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tables/table12.xml" ContentType="application/vnd.openxmlformats-officedocument.spreadsheetml.table+xml"/>
  <Override PartName="/xl/comments8.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9.xml" ContentType="application/vnd.openxmlformats-officedocument.spreadsheetml.comments+xml"/>
  <Override PartName="/xl/tables/table15.xml" ContentType="application/vnd.openxmlformats-officedocument.spreadsheetml.table+xml"/>
  <Override PartName="/xl/comments10.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comments11.xml" ContentType="application/vnd.openxmlformats-officedocument.spreadsheetml.comments+xml"/>
  <Override PartName="/xl/tables/table18.xml" ContentType="application/vnd.openxmlformats-officedocument.spreadsheetml.table+xml"/>
  <Override PartName="/xl/comments12.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comments13.xml" ContentType="application/vnd.openxmlformats-officedocument.spreadsheetml.comments+xml"/>
  <Override PartName="/xl/tables/table21.xml" ContentType="application/vnd.openxmlformats-officedocument.spreadsheetml.table+xml"/>
  <Override PartName="/xl/comments14.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omments15.xml" ContentType="application/vnd.openxmlformats-officedocument.spreadsheetml.comments+xml"/>
  <Override PartName="/xl/tables/table26.xml" ContentType="application/vnd.openxmlformats-officedocument.spreadsheetml.table+xml"/>
  <Override PartName="/xl/comments16.xml" ContentType="application/vnd.openxmlformats-officedocument.spreadsheetml.comments+xml"/>
  <Override PartName="/xl/tables/table27.xml" ContentType="application/vnd.openxmlformats-officedocument.spreadsheetml.table+xml"/>
  <Override PartName="/xl/tables/table28.xml" ContentType="application/vnd.openxmlformats-officedocument.spreadsheetml.table+xml"/>
  <Override PartName="/xl/comments17.xml" ContentType="application/vnd.openxmlformats-officedocument.spreadsheetml.comments+xml"/>
  <Override PartName="/xl/tables/table29.xml" ContentType="application/vnd.openxmlformats-officedocument.spreadsheetml.table+xml"/>
  <Override PartName="/xl/comments18.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9.xml" ContentType="application/vnd.openxmlformats-officedocument.spreadsheetml.comments+xml"/>
  <Override PartName="/xl/tables/table32.xml" ContentType="application/vnd.openxmlformats-officedocument.spreadsheetml.table+xml"/>
  <Override PartName="/xl/comments20.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21.xml" ContentType="application/vnd.openxmlformats-officedocument.spreadsheetml.comments+xml"/>
  <Override PartName="/xl/tables/table35.xml" ContentType="application/vnd.openxmlformats-officedocument.spreadsheetml.table+xml"/>
  <Override PartName="/xl/comments22.xml" ContentType="application/vnd.openxmlformats-officedocument.spreadsheetml.comments+xml"/>
  <Override PartName="/xl/tables/table36.xml" ContentType="application/vnd.openxmlformats-officedocument.spreadsheetml.table+xml"/>
  <Override PartName="/xl/tables/table37.xml" ContentType="application/vnd.openxmlformats-officedocument.spreadsheetml.table+xml"/>
  <Override PartName="/xl/comments23.xml" ContentType="application/vnd.openxmlformats-officedocument.spreadsheetml.comments+xml"/>
  <Override PartName="/xl/tables/table38.xml" ContentType="application/vnd.openxmlformats-officedocument.spreadsheetml.table+xml"/>
  <Override PartName="/xl/comments24.xml" ContentType="application/vnd.openxmlformats-officedocument.spreadsheetml.comments+xml"/>
  <Override PartName="/xl/tables/table39.xml" ContentType="application/vnd.openxmlformats-officedocument.spreadsheetml.table+xml"/>
  <Override PartName="/xl/tables/table40.xml" ContentType="application/vnd.openxmlformats-officedocument.spreadsheetml.table+xml"/>
  <Override PartName="/xl/comments25.xml" ContentType="application/vnd.openxmlformats-officedocument.spreadsheetml.comments+xml"/>
  <Override PartName="/xl/tables/table41.xml" ContentType="application/vnd.openxmlformats-officedocument.spreadsheetml.table+xml"/>
  <Override PartName="/xl/comments26.xml" ContentType="application/vnd.openxmlformats-officedocument.spreadsheetml.comments+xml"/>
  <Override PartName="/xl/tables/table42.xml" ContentType="application/vnd.openxmlformats-officedocument.spreadsheetml.table+xml"/>
  <Override PartName="/xl/tables/table43.xml" ContentType="application/vnd.openxmlformats-officedocument.spreadsheetml.table+xml"/>
  <Override PartName="/xl/comments27.xml" ContentType="application/vnd.openxmlformats-officedocument.spreadsheetml.comments+xml"/>
  <Override PartName="/xl/tables/table44.xml" ContentType="application/vnd.openxmlformats-officedocument.spreadsheetml.table+xml"/>
  <Override PartName="/xl/comments28.xml" ContentType="application/vnd.openxmlformats-officedocument.spreadsheetml.comments+xml"/>
  <Override PartName="/xl/tables/table4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E369436B-EED7-4E85-A155-0A32D8584768}"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HBE - OAL Threats Alert" sheetId="8" r:id="rId8"/>
    <sheet name="MED-ATZ" sheetId="9" r:id="rId9"/>
    <sheet name="MED-ATZ LF LEGACY" sheetId="10" r:id="rId10"/>
    <sheet name="MED-ATZ - FOCUS MODE" sheetId="11" r:id="rId11"/>
    <sheet name="MED-ATZ - OAL Threats Alert" sheetId="12" r:id="rId12"/>
    <sheet name="JED-CAI" sheetId="13" r:id="rId13"/>
    <sheet name="JED-CAI LF LEGACY" sheetId="14" r:id="rId14"/>
    <sheet name="JED-CAI - FOCUS MODE" sheetId="15" r:id="rId15"/>
    <sheet name="JED-CAI - OAL Threats Alert" sheetId="16" r:id="rId16"/>
    <sheet name="JED-HBE" sheetId="17" r:id="rId17"/>
    <sheet name="JED-HBE LF LEGACY" sheetId="18" r:id="rId18"/>
    <sheet name="JED-HBE - FOCUS MODE" sheetId="19" r:id="rId19"/>
    <sheet name="JED-HBE - OAL Threats Alert" sheetId="20" r:id="rId20"/>
    <sheet name="JED-ATZ" sheetId="21" r:id="rId21"/>
    <sheet name="JED-ATZ LF LEGACY" sheetId="22" r:id="rId22"/>
    <sheet name="JED-ATZ - FOCUS MODE" sheetId="23" r:id="rId23"/>
    <sheet name="JED-ATZ - OAL Threats Alert" sheetId="24" r:id="rId24"/>
    <sheet name="JED-LXR" sheetId="25" r:id="rId25"/>
    <sheet name="JED-LXR LF LEGACY" sheetId="26" r:id="rId26"/>
    <sheet name="JED-LXR - FOCUS MODE" sheetId="27" r:id="rId27"/>
    <sheet name="JED-LXR - OAL Threats Alert" sheetId="28" r:id="rId28"/>
    <sheet name="JED-ASW" sheetId="29" r:id="rId29"/>
    <sheet name="JED-ASW LF LEGACY" sheetId="30" r:id="rId30"/>
    <sheet name="JED-ASW - FOCUS MODE" sheetId="31" r:id="rId31"/>
    <sheet name="JED-ASW - OAL Threats Alert" sheetId="32" r:id="rId32"/>
    <sheet name="JED-SSH" sheetId="33" r:id="rId33"/>
    <sheet name="JED-SSH LF LEGACY" sheetId="34" r:id="rId34"/>
    <sheet name="JED-SSH - FOCUS MODE" sheetId="35" r:id="rId35"/>
    <sheet name="JED-SSH - OAL Threats Alert" sheetId="36" r:id="rId36"/>
    <sheet name="JED-HRG" sheetId="37" r:id="rId37"/>
    <sheet name="JED-HRG LF LEGACY" sheetId="38" r:id="rId38"/>
    <sheet name="JED-HRG - FOCUS MODE" sheetId="39" r:id="rId39"/>
    <sheet name="JED-HRG - OAL Threats Alert" sheetId="40" r:id="rId40"/>
    <sheet name="RUH-CAI" sheetId="41" r:id="rId41"/>
    <sheet name="RUH-CAI LF LEGACY" sheetId="42" r:id="rId42"/>
    <sheet name="RUH-CAI - FOCUS MODE" sheetId="43" r:id="rId43"/>
    <sheet name="RUH-CAI - OAL Threats Alert" sheetId="44" r:id="rId44"/>
    <sheet name="RUH-ATZ" sheetId="45" r:id="rId45"/>
    <sheet name="RUH-ATZ LF LEGACY" sheetId="46" r:id="rId46"/>
    <sheet name="RUH-ATZ - FOCUS MODE" sheetId="47" r:id="rId47"/>
    <sheet name="RUH-ATZ - OAL Threats Alert" sheetId="48" r:id="rId48"/>
    <sheet name="DMM-CAI" sheetId="49" r:id="rId49"/>
    <sheet name="DMM-CAI LF LEGACY" sheetId="50" r:id="rId50"/>
    <sheet name="DMM-CAI - FOCUS MODE" sheetId="51" r:id="rId51"/>
    <sheet name="DMM-CAI - OAL Threats Alert" sheetId="52" r:id="rId52"/>
    <sheet name="DMM-ATZ" sheetId="53" r:id="rId53"/>
    <sheet name="DMM-ATZ LF LEGACY" sheetId="54" r:id="rId54"/>
    <sheet name="DMM-ATZ - FOCUS MODE" sheetId="55" r:id="rId55"/>
    <sheet name="DMM-ATZ - OAL Threats Alert" sheetId="56" r:id="rId56"/>
    <sheet name="TUU-CAI" sheetId="57" r:id="rId57"/>
    <sheet name="TUU-CAI LF LEGACY" sheetId="58" r:id="rId58"/>
    <sheet name="TUU-CAI - FOCUS MODE" sheetId="59" r:id="rId59"/>
    <sheet name="TUU-CAI - OAL Threats Alert" sheetId="60" r:id="rId60"/>
    <sheet name="TUU-ATZ" sheetId="61" r:id="rId61"/>
    <sheet name="TUU-ATZ LF LEGACY" sheetId="62" r:id="rId62"/>
    <sheet name="TUU-ATZ - FOCUS MODE" sheetId="63" r:id="rId63"/>
    <sheet name="TUU-ATZ - OAL Threats Alert" sheetId="64" r:id="rId64"/>
    <sheet name="AJF-CAI" sheetId="65" r:id="rId65"/>
    <sheet name="AJF-CAI LF LEGACY" sheetId="66" r:id="rId66"/>
    <sheet name="AJF-CAI - FOCUS MODE" sheetId="67" r:id="rId67"/>
    <sheet name="AJF-CAI - OAL Threats Alert" sheetId="68" r:id="rId68"/>
    <sheet name="AJF-ATZ" sheetId="69" r:id="rId69"/>
    <sheet name="AJF-ATZ LF LEGACY" sheetId="70" r:id="rId70"/>
    <sheet name="AJF-ATZ - FOCUS MODE" sheetId="71" r:id="rId71"/>
    <sheet name="AJF-ATZ - OAL Threats Alert" sheetId="72" r:id="rId72"/>
    <sheet name="YNB-CAI" sheetId="73" r:id="rId73"/>
    <sheet name="YNB-CAI LF LEGACY" sheetId="74" r:id="rId74"/>
    <sheet name="YNB-CAI - FOCUS MODE" sheetId="75" r:id="rId75"/>
    <sheet name="YNB-CAI - OAL Threats Alert" sheetId="76" r:id="rId76"/>
    <sheet name="KSA_TO_EGY_ALL_ROUTES" sheetId="77" r:id="rId7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74" l="1"/>
  <c r="E5" i="74"/>
  <c r="G5" i="74"/>
  <c r="H5" i="74"/>
  <c r="I5" i="74"/>
  <c r="J5" i="74"/>
  <c r="M5" i="74"/>
  <c r="N5" i="74"/>
  <c r="O5" i="74"/>
  <c r="Q5" i="74"/>
  <c r="R5" i="74"/>
  <c r="S5" i="74"/>
  <c r="T5" i="74"/>
  <c r="U5" i="74"/>
  <c r="V5" i="74"/>
  <c r="W5" i="74"/>
  <c r="X5" i="74"/>
  <c r="Y5" i="74"/>
  <c r="Z5" i="74"/>
  <c r="AA5" i="74"/>
  <c r="AB5" i="74"/>
  <c r="AC5" i="74"/>
  <c r="AD5" i="74"/>
  <c r="AE5" i="74"/>
  <c r="AF5" i="74"/>
  <c r="AG5" i="74"/>
  <c r="AH5" i="74"/>
  <c r="AI5" i="74"/>
  <c r="AJ5" i="74"/>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3" i="62"/>
  <c r="E3" i="62"/>
  <c r="G3" i="62"/>
  <c r="H3" i="62"/>
  <c r="I3" i="62"/>
  <c r="J3" i="62"/>
  <c r="M3" i="62"/>
  <c r="N3" i="62"/>
  <c r="O3" i="62"/>
  <c r="Q3" i="62"/>
  <c r="R3" i="62"/>
  <c r="S3" i="62"/>
  <c r="T3" i="62"/>
  <c r="U3" i="62"/>
  <c r="V3" i="62"/>
  <c r="W3" i="62"/>
  <c r="X3" i="62"/>
  <c r="Y3" i="62"/>
  <c r="Z3" i="62"/>
  <c r="AA3" i="62"/>
  <c r="AB3" i="62"/>
  <c r="AC3" i="62"/>
  <c r="AD3" i="62"/>
  <c r="AE3" i="62"/>
  <c r="AF3" i="62"/>
  <c r="AG3" i="62"/>
  <c r="AH3" i="62"/>
  <c r="AI3" i="62"/>
  <c r="AJ3" i="62"/>
  <c r="C4" i="58"/>
  <c r="E4" i="58"/>
  <c r="G4" i="58"/>
  <c r="H4" i="58"/>
  <c r="I4" i="58"/>
  <c r="J4" i="58"/>
  <c r="M4" i="58"/>
  <c r="N4" i="58"/>
  <c r="O4" i="58"/>
  <c r="Q4" i="58"/>
  <c r="R4" i="58"/>
  <c r="S4" i="58"/>
  <c r="T4" i="58"/>
  <c r="U4" i="58"/>
  <c r="V4" i="58"/>
  <c r="W4" i="58"/>
  <c r="X4" i="58"/>
  <c r="Y4" i="58"/>
  <c r="Z4" i="58"/>
  <c r="AA4" i="58"/>
  <c r="AB4" i="58"/>
  <c r="AC4" i="58"/>
  <c r="AD4" i="58"/>
  <c r="AE4" i="58"/>
  <c r="AF4" i="58"/>
  <c r="AG4" i="58"/>
  <c r="AH4" i="58"/>
  <c r="AI4" i="58"/>
  <c r="AJ4" i="58"/>
  <c r="C3" i="54"/>
  <c r="E3" i="54"/>
  <c r="G3" i="54"/>
  <c r="H3" i="54"/>
  <c r="I3" i="54"/>
  <c r="J3" i="54"/>
  <c r="M3" i="54"/>
  <c r="N3" i="54"/>
  <c r="O3" i="54"/>
  <c r="Q3" i="54"/>
  <c r="R3" i="54"/>
  <c r="S3" i="54"/>
  <c r="T3" i="54"/>
  <c r="U3" i="54"/>
  <c r="V3" i="54"/>
  <c r="W3" i="54"/>
  <c r="X3" i="54"/>
  <c r="Y3" i="54"/>
  <c r="Z3" i="54"/>
  <c r="AA3" i="54"/>
  <c r="AB3" i="54"/>
  <c r="AC3" i="54"/>
  <c r="AD3" i="54"/>
  <c r="AE3" i="54"/>
  <c r="AF3" i="54"/>
  <c r="AG3" i="54"/>
  <c r="AH3" i="54"/>
  <c r="AI3" i="54"/>
  <c r="AJ3" i="54"/>
  <c r="C5" i="50"/>
  <c r="E5" i="50"/>
  <c r="G5" i="50"/>
  <c r="H5" i="50"/>
  <c r="I5" i="50"/>
  <c r="J5" i="50"/>
  <c r="M5" i="50"/>
  <c r="N5" i="50"/>
  <c r="O5" i="50"/>
  <c r="Q5" i="50"/>
  <c r="R5" i="50"/>
  <c r="S5" i="50"/>
  <c r="T5" i="50"/>
  <c r="U5" i="50"/>
  <c r="V5" i="50"/>
  <c r="W5" i="50"/>
  <c r="X5" i="50"/>
  <c r="Y5" i="50"/>
  <c r="Z5" i="50"/>
  <c r="AA5" i="50"/>
  <c r="AB5" i="50"/>
  <c r="AC5" i="50"/>
  <c r="AD5" i="50"/>
  <c r="AE5" i="50"/>
  <c r="AF5" i="50"/>
  <c r="AG5" i="50"/>
  <c r="AH5" i="50"/>
  <c r="AI5" i="50"/>
  <c r="AJ5" i="50"/>
  <c r="C6" i="42"/>
  <c r="E6" i="42"/>
  <c r="G6" i="42"/>
  <c r="H6" i="42"/>
  <c r="I6" i="42"/>
  <c r="J6" i="42"/>
  <c r="M6" i="42"/>
  <c r="N6" i="42"/>
  <c r="O6" i="42"/>
  <c r="Q6" i="42"/>
  <c r="R6" i="42"/>
  <c r="S6" i="42"/>
  <c r="T6" i="42"/>
  <c r="U6" i="42"/>
  <c r="V6" i="42"/>
  <c r="W6" i="42"/>
  <c r="X6" i="42"/>
  <c r="Y6" i="42"/>
  <c r="Z6" i="42"/>
  <c r="AA6" i="42"/>
  <c r="AB6" i="42"/>
  <c r="AC6" i="42"/>
  <c r="AD6" i="42"/>
  <c r="AE6" i="42"/>
  <c r="AF6" i="42"/>
  <c r="AG6" i="42"/>
  <c r="AH6" i="42"/>
  <c r="AI6" i="42"/>
  <c r="AJ6" i="42"/>
  <c r="C8" i="22"/>
  <c r="E8" i="22"/>
  <c r="G8" i="22"/>
  <c r="H8" i="22"/>
  <c r="I8" i="22"/>
  <c r="J8" i="22"/>
  <c r="M8" i="22"/>
  <c r="N8" i="22"/>
  <c r="O8" i="22"/>
  <c r="Q8" i="22"/>
  <c r="R8" i="22"/>
  <c r="S8" i="22"/>
  <c r="T8" i="22"/>
  <c r="U8" i="22"/>
  <c r="V8" i="22"/>
  <c r="W8" i="22"/>
  <c r="X8" i="22"/>
  <c r="Y8" i="22"/>
  <c r="Z8" i="22"/>
  <c r="AA8" i="22"/>
  <c r="AB8" i="22"/>
  <c r="AC8" i="22"/>
  <c r="AD8" i="22"/>
  <c r="AE8" i="22"/>
  <c r="AF8" i="22"/>
  <c r="AG8" i="22"/>
  <c r="AH8" i="22"/>
  <c r="AI8" i="22"/>
  <c r="AJ8" i="22"/>
  <c r="C6" i="18"/>
  <c r="E6" i="18"/>
  <c r="G6" i="18"/>
  <c r="H6" i="18"/>
  <c r="I6" i="18"/>
  <c r="J6" i="18"/>
  <c r="M6" i="18"/>
  <c r="N6" i="18"/>
  <c r="O6" i="18"/>
  <c r="Q6" i="18"/>
  <c r="R6" i="18"/>
  <c r="S6" i="18"/>
  <c r="T6" i="18"/>
  <c r="U6" i="18"/>
  <c r="V6" i="18"/>
  <c r="W6" i="18"/>
  <c r="X6" i="18"/>
  <c r="Y6" i="18"/>
  <c r="Z6" i="18"/>
  <c r="AA6" i="18"/>
  <c r="AB6" i="18"/>
  <c r="AC6" i="18"/>
  <c r="AD6" i="18"/>
  <c r="AE6" i="18"/>
  <c r="AF6" i="18"/>
  <c r="AG6" i="18"/>
  <c r="AH6" i="18"/>
  <c r="AI6" i="18"/>
  <c r="AJ6" i="18"/>
  <c r="C18" i="14"/>
  <c r="E18" i="14"/>
  <c r="G18" i="14"/>
  <c r="H18" i="14"/>
  <c r="I18" i="14"/>
  <c r="J18" i="14"/>
  <c r="M18" i="14"/>
  <c r="N18" i="14"/>
  <c r="O18" i="14"/>
  <c r="Q18" i="14"/>
  <c r="R18" i="14"/>
  <c r="S18" i="14"/>
  <c r="T18" i="14"/>
  <c r="U18" i="14"/>
  <c r="V18" i="14"/>
  <c r="W18" i="14"/>
  <c r="X18" i="14"/>
  <c r="Y18" i="14"/>
  <c r="Z18" i="14"/>
  <c r="AA18" i="14"/>
  <c r="AB18" i="14"/>
  <c r="AC18" i="14"/>
  <c r="AD18" i="14"/>
  <c r="AE18" i="14"/>
  <c r="AF18" i="14"/>
  <c r="AG18" i="14"/>
  <c r="AH18" i="14"/>
  <c r="AI18" i="14"/>
  <c r="AJ18" i="14"/>
  <c r="C3" i="10"/>
  <c r="E3" i="10"/>
  <c r="G3" i="10"/>
  <c r="H3" i="10"/>
  <c r="I3" i="10"/>
  <c r="J3" i="10"/>
  <c r="M3" i="10"/>
  <c r="N3" i="10"/>
  <c r="O3" i="10"/>
  <c r="Q3" i="10"/>
  <c r="R3" i="10"/>
  <c r="S3" i="10"/>
  <c r="T3" i="10"/>
  <c r="U3" i="10"/>
  <c r="V3" i="10"/>
  <c r="W3" i="10"/>
  <c r="X3" i="10"/>
  <c r="Y3" i="10"/>
  <c r="Z3" i="10"/>
  <c r="AA3" i="10"/>
  <c r="AB3" i="10"/>
  <c r="AC3" i="10"/>
  <c r="AD3" i="10"/>
  <c r="AE3" i="10"/>
  <c r="AF3" i="10"/>
  <c r="AG3" i="10"/>
  <c r="AH3" i="10"/>
  <c r="AI3" i="10"/>
  <c r="AJ3" i="10"/>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3" authorId="0" shapeId="0" xr:uid="{B0A2997F-259D-43E3-A8D2-3E4CC869E8B3}">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B23" authorId="0" shapeId="0" xr:uid="{81FBEC15-AAB0-484D-83A9-C2C749DC43A9}">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C23" authorId="0" shapeId="0" xr:uid="{7F583AF9-0165-443B-ABCE-BF819785459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D23" authorId="0" shapeId="0" xr:uid="{E8364714-6555-4CAB-AFCF-6F0EE4859EF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E23" authorId="0" shapeId="0" xr:uid="{6C22D48C-2CB2-49AC-ABB0-DAEB9A759C2F}">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F23" authorId="0" shapeId="0" xr:uid="{0DD85634-0D5F-4811-8F14-B33970FCC07D}">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G23" authorId="0" shapeId="0" xr:uid="{73EA3659-C73B-4846-9A1F-1D794E1CC2A0}">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H23" authorId="0" shapeId="0" xr:uid="{4DC1B74D-B7FF-4B23-A70F-21164A90664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A49" authorId="0" shapeId="0" xr:uid="{593DAFE6-F959-441B-BBC6-3D256E771E9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B49" authorId="0" shapeId="0" xr:uid="{38CA6F1D-ACFB-4D7C-8F13-62FA0C5C94D6}">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C49" authorId="0" shapeId="0" xr:uid="{11AE186D-7218-4950-9149-86D13360C72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D49" authorId="0" shapeId="0" xr:uid="{D1EFD2A3-C210-486C-8EEB-8F7C879F34E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E49" authorId="0" shapeId="0" xr:uid="{AB22EE0A-57A1-46DE-85DF-80BEB8DDFFD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F49" authorId="0" shapeId="0" xr:uid="{24D170A1-E4E0-4554-BCE1-AA3748E4E9E2}">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G49" authorId="0" shapeId="0" xr:uid="{5FF724AF-DC76-46DA-B258-987587C5D3FF}">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H49" authorId="0" shapeId="0" xr:uid="{5E49FF9D-AF05-4E97-A13B-9C459E9F0B6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8B378359-0281-401F-9E04-D7034A443F8D}">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B2" authorId="0" shapeId="0" xr:uid="{ED5891ED-F1E7-4B7D-B905-11BE7B248AB9}">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C2" authorId="0" shapeId="0" xr:uid="{1253591D-CCB4-496B-B078-DE7B7EDF2987}">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D2" authorId="0" shapeId="0" xr:uid="{1799699B-82E2-4AF4-89E5-6E708731135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E2" authorId="0" shapeId="0" xr:uid="{A2118541-B05A-497B-BC83-B863B7FFE03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F2" authorId="0" shapeId="0" xr:uid="{81074327-6858-4FE6-AACE-8F8EFD57EBD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G2" authorId="0" shapeId="0" xr:uid="{3880ADB1-0C74-4D1E-A949-D6E94470C3F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H2" authorId="0" shapeId="0" xr:uid="{5EF6EF5B-B86F-43C8-B2EE-E8D91634BE1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Q11 &amp; L4 &amp; G6 &amp; S6 &amp; W8 &amp; T9 &amp; X8 &amp; U8 &amp; O9 &amp; I16 &amp; P92 &amp; N2</t>
        </r>
      </text>
    </comment>
    <comment ref="A14" authorId="0" shapeId="0" xr:uid="{B6C56D5A-D10A-4475-A2CD-08B9F712247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B14" authorId="0" shapeId="0" xr:uid="{9FC8A2EF-2FD9-488E-84DE-32C8CDDC731F}">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C14" authorId="0" shapeId="0" xr:uid="{990D7CE3-8C64-4313-88D0-F886EB0366C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D14" authorId="0" shapeId="0" xr:uid="{60AA9B5A-9D62-4CE7-A6D1-98FFB7B57E3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E14" authorId="0" shapeId="0" xr:uid="{DB6D60AE-8E28-425E-A8A5-5E53554262F7}">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F14" authorId="0" shapeId="0" xr:uid="{F428EC27-7B57-4648-B2C4-F7BC004EC559}">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G14" authorId="0" shapeId="0" xr:uid="{7AC0BB26-FE84-44FF-B667-D0A5B07123A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H14" authorId="0" shapeId="0" xr:uid="{CECF7C7F-EAD6-42F8-B154-CD7EDEE8AE1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F70236AD-0214-482B-856C-6269E94B949C}">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B3" authorId="0" shapeId="0" xr:uid="{0713E66B-8033-4777-A342-B5DA96649CEB}">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C3" authorId="0" shapeId="0" xr:uid="{71CAA9B8-9201-4CC0-8F6A-22E0F9CFF007}">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D3" authorId="0" shapeId="0" xr:uid="{B292F6C2-B58D-4D03-A6E2-BF5BE475A10F}">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E3" authorId="0" shapeId="0" xr:uid="{B1EBFB50-2111-460B-85AA-12A8D6F3E3F5}">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F3" authorId="0" shapeId="0" xr:uid="{586B3449-6B1C-4F90-BB3C-997A32F24309}">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G3" authorId="0" shapeId="0" xr:uid="{4AFF659D-0FF5-4063-8345-CBC714272E2D}">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H3" authorId="0" shapeId="0" xr:uid="{CA7FB4E1-5576-463B-9E81-CF8951125512}">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6D6D7423-2D59-4EAB-8BD3-0AF598FE1BBC}">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B3" authorId="0" shapeId="0" xr:uid="{EA1FA18F-8450-45C0-81D9-7EEA8E6C75D4}">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C3" authorId="0" shapeId="0" xr:uid="{455D2D9A-57EE-41C1-AB15-16714B7AD8AB}">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D3" authorId="0" shapeId="0" xr:uid="{9774D8D8-CFE0-4ADF-BE64-CB8D22B3910E}">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E3" authorId="0" shapeId="0" xr:uid="{22D7784A-9EFE-4DE2-9305-83AE35C57B6A}">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F3" authorId="0" shapeId="0" xr:uid="{8D760962-BBB6-4701-8B70-A8BC866C1851}">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G3" authorId="0" shapeId="0" xr:uid="{2D1E7C60-9DD4-4574-B940-605CC9C48426}">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 ref="H3" authorId="0" shapeId="0" xr:uid="{DB02631F-0468-48C4-A762-D2702C1949C9}">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93.3%]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K3]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V5 &amp; L13 &amp; G4 &amp; S5 &amp; X4 &amp; U9 &amp; O10 &amp; I5 &amp; P110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90D27C41-4169-417D-AA55-B41B6385DC9B}">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B24" authorId="0" shapeId="0" xr:uid="{A2CE7ADA-77AD-4C87-87AE-D2C38DD70B53}">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C24" authorId="0" shapeId="0" xr:uid="{F436F77B-1E94-4E93-890D-1989105E70B5}">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D24" authorId="0" shapeId="0" xr:uid="{ED2806BE-73B1-443D-8DA0-5A37DEE77FFC}">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E24" authorId="0" shapeId="0" xr:uid="{F6B135F7-D509-4F41-B504-FAA38AF771CC}">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F24" authorId="0" shapeId="0" xr:uid="{E73B133B-CEFC-4DE3-AF76-511A0429510B}">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G24" authorId="0" shapeId="0" xr:uid="{C47EBF41-6864-4617-8477-DADCFCB734A2}">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H24" authorId="0" shapeId="0" xr:uid="{1F15A8BB-CE25-4CA2-B9C0-A1D31383C39D}">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51C12BA7-E30A-4D22-B2C0-8AE42CC5C0C8}">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B24" authorId="0" shapeId="0" xr:uid="{5D064178-1C5C-419E-AA5F-3B67E4CFE4C8}">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C24" authorId="0" shapeId="0" xr:uid="{BF175306-1908-485B-B55F-3DD55B8AAE75}">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D24" authorId="0" shapeId="0" xr:uid="{200D5D1A-B336-4FCC-8D50-26F45AE0C256}">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E24" authorId="0" shapeId="0" xr:uid="{293B2A1D-1A11-4AFD-8B05-AF5AE7270E49}">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F24" authorId="0" shapeId="0" xr:uid="{597BCAB6-1205-494F-8B10-45F400AE3036}">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G24" authorId="0" shapeId="0" xr:uid="{AA37A91D-9729-49D2-B2E8-B532B7521F8F}">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 ref="H24" authorId="0" shapeId="0" xr:uid="{C2722431-72F3-4B1B-A0B2-D9174FBBD4BE}">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96.4%]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X14 &amp; U20 &amp; O20 &amp; I20 &amp; P84</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5" authorId="0" shapeId="0" xr:uid="{CE47BCFC-9040-4AB3-824A-851D83D9E27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25" authorId="0" shapeId="0" xr:uid="{51653EC8-6325-49AD-A235-D531E101CB8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25" authorId="0" shapeId="0" xr:uid="{E982AB6A-EFF9-484D-9582-A25764DC4FF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25" authorId="0" shapeId="0" xr:uid="{F40DB582-F4A1-493F-A523-6A1005B5918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25" authorId="0" shapeId="0" xr:uid="{1749F56E-0DF7-4264-B6FB-C277ACCEA0C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25" authorId="0" shapeId="0" xr:uid="{CE103D32-EC4A-45DA-9D38-7E9695833A1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25" authorId="0" shapeId="0" xr:uid="{8C00BB17-8CD1-44F1-9FFF-50C751281C5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25" authorId="0" shapeId="0" xr:uid="{90821E54-238F-4AA8-845F-D6DF001FBF9C}">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26" authorId="0" shapeId="0" xr:uid="{FD8C2E36-20A4-4A37-A51A-C2AFF68AEE2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26" authorId="0" shapeId="0" xr:uid="{A91EA018-7D61-4658-87A9-96A0E08B5B6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26" authorId="0" shapeId="0" xr:uid="{05539AD7-F1D4-4BDA-98E7-15055AB8D2D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26" authorId="0" shapeId="0" xr:uid="{4F172751-A8EE-497C-9B3C-DB50CDAF320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26" authorId="0" shapeId="0" xr:uid="{5B3DA2F0-28BF-4EBD-AA39-1F0FE167C56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26" authorId="0" shapeId="0" xr:uid="{D30BCABA-2B51-4098-A81F-0D3F231DE82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26" authorId="0" shapeId="0" xr:uid="{CD4E27B8-D78C-4145-AD75-451F59AA875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26" authorId="0" shapeId="0" xr:uid="{ADF4BDE6-2B3B-4FF0-AA15-A6190C7FAA7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27" authorId="0" shapeId="0" xr:uid="{5A02C681-C7E0-4088-9C0E-6C90CABF207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27" authorId="0" shapeId="0" xr:uid="{4D3B064C-0F40-4196-B870-BD120AF9964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27" authorId="0" shapeId="0" xr:uid="{95C7ACB7-9459-412C-8318-8A157DFBC5F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27" authorId="0" shapeId="0" xr:uid="{2B0A5140-3F29-4012-8ABC-1299DF9B124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27" authorId="0" shapeId="0" xr:uid="{5D98005B-2015-47EE-B79C-D701F3631AD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27" authorId="0" shapeId="0" xr:uid="{C5DF4D1A-6DCE-44CD-9861-7B432F9ECB1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27" authorId="0" shapeId="0" xr:uid="{EAA17C81-570D-43B6-A78D-95774EBB959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27" authorId="0" shapeId="0" xr:uid="{F28E4ECF-BF8F-4706-AD3D-92B974F5181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28" authorId="0" shapeId="0" xr:uid="{9A970E85-FDAB-43DE-BB4B-8BE1E06FB6F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28" authorId="0" shapeId="0" xr:uid="{15DA5B1F-CEDA-4786-8642-FF8D506B2F3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28" authorId="0" shapeId="0" xr:uid="{5B9282C6-A8DD-4FC0-B36B-602A76255F8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28" authorId="0" shapeId="0" xr:uid="{2AFCA8A8-6828-4CAD-98E3-D70F715A804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28" authorId="0" shapeId="0" xr:uid="{3389845C-EE9C-437D-B4FE-904381A56CD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28" authorId="0" shapeId="0" xr:uid="{2E68CECC-DAE4-4705-AEF6-2B0E1181161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28" authorId="0" shapeId="0" xr:uid="{E820AE81-0149-4FF4-94C0-F7CC1106054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28" authorId="0" shapeId="0" xr:uid="{F89FD222-03C5-481F-A43E-B8262B270EA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29" authorId="0" shapeId="0" xr:uid="{00377BF0-FBCF-43A1-84C8-6A910B844B0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29" authorId="0" shapeId="0" xr:uid="{663C74EA-DEBF-444C-9D62-DC062035A2B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29" authorId="0" shapeId="0" xr:uid="{E97ADD8E-8C8B-4320-9714-A74F67E9F8E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29" authorId="0" shapeId="0" xr:uid="{D1FE7AFB-7F57-4120-BE61-325222346E1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29" authorId="0" shapeId="0" xr:uid="{77A4141C-1B87-477C-A8AD-5CA7DD25451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29" authorId="0" shapeId="0" xr:uid="{AD924731-F395-40DF-9BA7-C0DA44C4220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29" authorId="0" shapeId="0" xr:uid="{F4F62789-478E-4095-ABF4-8DDCB132A67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29" authorId="0" shapeId="0" xr:uid="{57771BEE-F02E-4957-A253-E8EC7730157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44" authorId="0" shapeId="0" xr:uid="{B7C282AD-490D-4FEF-9378-E9B6413A20A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44" authorId="0" shapeId="0" xr:uid="{0C09EAEB-716E-40B4-9899-828E7DB13EE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44" authorId="0" shapeId="0" xr:uid="{A1669E49-CD91-4F05-9A29-4830407F777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44" authorId="0" shapeId="0" xr:uid="{012F3627-D784-4F27-ACB2-FF002F718F1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44" authorId="0" shapeId="0" xr:uid="{0BBBF49D-3DE3-4E3C-87D8-49C0D922E81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44" authorId="0" shapeId="0" xr:uid="{BB63C1E6-156F-4D30-8796-9235A6CC190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44" authorId="0" shapeId="0" xr:uid="{1386AD25-4C72-4332-9071-2FBB2F2C291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44" authorId="0" shapeId="0" xr:uid="{2139464D-5396-4EF2-85C3-C02224EF71D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55" authorId="0" shapeId="0" xr:uid="{9CB1EAF1-A3BD-4D7D-9391-20E6D0068A7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55" authorId="0" shapeId="0" xr:uid="{DFCE96A0-1209-439F-90B8-C7C257C09BA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55" authorId="0" shapeId="0" xr:uid="{067C05DB-B748-4227-B797-3B7DAECA0FA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55" authorId="0" shapeId="0" xr:uid="{53D5CC74-1C9F-4D21-8907-C1D74C154C1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55" authorId="0" shapeId="0" xr:uid="{13B706C0-EE8B-4386-8B82-148C1533B6F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5" authorId="0" shapeId="0" xr:uid="{404ABE7F-4636-4E18-BBBB-8DE747C2743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55" authorId="0" shapeId="0" xr:uid="{49A2CA63-A9E3-4E86-AF9E-40DA9398B29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55" authorId="0" shapeId="0" xr:uid="{08BF31A8-D970-4A1A-B0F7-2FCDE97DC9B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100" authorId="0" shapeId="0" xr:uid="{73CBC518-51E0-48F4-BB9B-1452D3DD49A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100" authorId="0" shapeId="0" xr:uid="{ABCD49C7-3500-4244-BC1A-92E2865159D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100" authorId="0" shapeId="0" xr:uid="{28164866-C8D2-4598-9097-1612D6D6022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100" authorId="0" shapeId="0" xr:uid="{06707758-4A2C-429A-884F-149C6D64F0C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100" authorId="0" shapeId="0" xr:uid="{F1BAEDEA-1BAB-4B51-BC1F-4E3C8DAD38C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100" authorId="0" shapeId="0" xr:uid="{13DF039F-3042-4921-91EB-9C202C2C347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100" authorId="0" shapeId="0" xr:uid="{59CCBE6F-4159-4CE1-AE02-59E1233225D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100" authorId="0" shapeId="0" xr:uid="{0144A3C4-7EFF-4FD0-842E-A8227342415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101" authorId="0" shapeId="0" xr:uid="{D31524E2-A140-40C6-A651-6D5B85AC71D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101" authorId="0" shapeId="0" xr:uid="{1D034160-B31E-4438-B89F-2282C560512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101" authorId="0" shapeId="0" xr:uid="{4E801CC4-9480-49D3-B960-B220C23341A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101" authorId="0" shapeId="0" xr:uid="{96746D78-C8A5-4BEB-9A69-9833A6A7BE6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101" authorId="0" shapeId="0" xr:uid="{92226CBD-9B8A-4BDF-A4E4-734ED942CE6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101" authorId="0" shapeId="0" xr:uid="{8865261B-4693-4FFF-A865-4AEA2CE0CD9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101" authorId="0" shapeId="0" xr:uid="{B6781127-46F9-4DAF-8EF1-B6C8685B924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101" authorId="0" shapeId="0" xr:uid="{1F12BF8C-5A0C-4161-8801-D88B2E29B4B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102" authorId="0" shapeId="0" xr:uid="{798259EC-4E48-47FA-AC5B-668D177EDEE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102" authorId="0" shapeId="0" xr:uid="{9DA349AE-508C-4E93-B605-8CB9A94A8D1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102" authorId="0" shapeId="0" xr:uid="{6F264C0F-D236-45C0-BF71-36E45D70476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102" authorId="0" shapeId="0" xr:uid="{5A322DB5-5DC5-4ABF-951D-25BEE77BA13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102" authorId="0" shapeId="0" xr:uid="{40FB8B0C-B302-4664-B7E0-6DAA9D04990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102" authorId="0" shapeId="0" xr:uid="{BF0E4C71-D58B-4DE8-AA56-88CCAA4D65D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102" authorId="0" shapeId="0" xr:uid="{0FECA6A5-19DD-4711-B558-00CF23236B1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102" authorId="0" shapeId="0" xr:uid="{44F03BA2-DE38-4C7E-B4B0-B91AC2DE5E8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103" authorId="0" shapeId="0" xr:uid="{90D2A897-96B4-4E04-B714-3B595A3D924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103" authorId="0" shapeId="0" xr:uid="{B9490B34-0553-4789-8364-62F17AF3654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103" authorId="0" shapeId="0" xr:uid="{A957DE14-5ED7-4F1C-8E8E-B2295093096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103" authorId="0" shapeId="0" xr:uid="{1844EF9A-82AE-4C97-8AA7-037B2216B37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103" authorId="0" shapeId="0" xr:uid="{924F9F30-1946-4AC4-B84A-0D5A0D6298C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103" authorId="0" shapeId="0" xr:uid="{5A2C72B6-D402-471C-AA2C-AE80E0BD122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103" authorId="0" shapeId="0" xr:uid="{0B60477B-8EC9-489B-AA34-460FE3C0297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103" authorId="0" shapeId="0" xr:uid="{9D701D6E-1994-40D3-BEF2-74935C8853E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112" authorId="0" shapeId="0" xr:uid="{FCD9447F-8BC8-41AB-816F-F802258EE3C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112" authorId="0" shapeId="0" xr:uid="{9A6F7447-C693-4988-B120-53DCA6A9231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112" authorId="0" shapeId="0" xr:uid="{C10F1DCD-B9AC-4557-9CCB-333C8BAA6E8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112" authorId="0" shapeId="0" xr:uid="{E01848CE-F880-4C8B-A16A-68C533B3D12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112" authorId="0" shapeId="0" xr:uid="{BC45B2B6-F59C-4731-BF50-26DDDF6A119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112" authorId="0" shapeId="0" xr:uid="{EDE2AB4E-0BB0-4492-9CEE-C90033AA778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112" authorId="0" shapeId="0" xr:uid="{1487A7C2-65DA-4C7D-BC45-60AD78ADD35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112" authorId="0" shapeId="0" xr:uid="{0A1B4D66-DC0C-4E1C-B5E9-D7693478050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145" authorId="0" shapeId="0" xr:uid="{8AF8A5B0-670B-47CD-A18A-DE376DCFF83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145" authorId="0" shapeId="0" xr:uid="{41FFD4E7-7A7C-4CA7-AA86-DCE34C028A9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145" authorId="0" shapeId="0" xr:uid="{884C6544-22CD-493E-B974-DE165AA7283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145" authorId="0" shapeId="0" xr:uid="{E782BCA6-10A2-40AA-ABA1-98821B1BE57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145" authorId="0" shapeId="0" xr:uid="{B446E8F8-2159-4CEC-9FCF-1B612C19352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145" authorId="0" shapeId="0" xr:uid="{B250C2B7-6D24-4CD2-BA20-1024E761939F}">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145" authorId="0" shapeId="0" xr:uid="{9424FA21-58D1-4F81-8B3A-E4DB710F6D9C}">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145" authorId="0" shapeId="0" xr:uid="{EA177325-11B2-48EE-A1F6-F5E13AFE4F2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212" authorId="0" shapeId="0" xr:uid="{F56E9A47-E431-4408-90FF-A18C5D2FC5B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212" authorId="0" shapeId="0" xr:uid="{60B7AA5F-046A-4374-8CB9-1B1D385A371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212" authorId="0" shapeId="0" xr:uid="{51B8C270-5A9D-44E9-A9DA-8C224B3ED9C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212" authorId="0" shapeId="0" xr:uid="{FD7AC773-B206-4050-BEFE-A3D65040128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212" authorId="0" shapeId="0" xr:uid="{B7C55BD1-F81A-40FC-877A-994A7E752DE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12" authorId="0" shapeId="0" xr:uid="{3AAD44C7-84C9-4136-B8CE-17AA09D24DC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212" authorId="0" shapeId="0" xr:uid="{0A962134-E321-4349-8873-B61DDF157C8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212" authorId="0" shapeId="0" xr:uid="{C76A22ED-E226-4DEB-9E8E-9118E799FCE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213" authorId="0" shapeId="0" xr:uid="{4623664C-6945-4B4A-A106-685A75B5209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213" authorId="0" shapeId="0" xr:uid="{74A49B77-090C-41C7-A398-837B71A16EB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213" authorId="0" shapeId="0" xr:uid="{516E84DF-8B8B-4FF4-B0AE-305A2428E48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213" authorId="0" shapeId="0" xr:uid="{16607DDB-DD2B-4F4D-9A4D-9A49F34B68E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213" authorId="0" shapeId="0" xr:uid="{8F967ABE-42BB-4322-A89E-C04AAE1B1AD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13" authorId="0" shapeId="0" xr:uid="{EA0FDD7D-32B1-4A47-B91F-EBEE73189CD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213" authorId="0" shapeId="0" xr:uid="{68BF1473-64C0-4804-A4B8-04D693EBA78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213" authorId="0" shapeId="0" xr:uid="{4EEA0B0E-0C89-4FA7-870A-C6F55884350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214" authorId="0" shapeId="0" xr:uid="{16598E73-D82B-46A3-B2D4-B7A79307964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214" authorId="0" shapeId="0" xr:uid="{99C9FD12-005E-4504-8D5B-745EB8B2B8D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214" authorId="0" shapeId="0" xr:uid="{41848EE8-8B6A-4247-BB2E-FD0F22BFE4C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214" authorId="0" shapeId="0" xr:uid="{E289A2E0-BDFD-4F58-AE97-F64FFD9EE85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214" authorId="0" shapeId="0" xr:uid="{2D46AD00-4CAC-4CFE-AF26-256DEB61208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214" authorId="0" shapeId="0" xr:uid="{AD5BCEB8-52C3-44A9-AC5E-6070C7625FC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214" authorId="0" shapeId="0" xr:uid="{B24814F4-5BF2-4032-85BB-DFCEBC12A84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214" authorId="0" shapeId="0" xr:uid="{F7FD6976-68B6-47C3-ADC5-A40199617E9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C2F528A9-7D74-48C3-B670-F0CEE61853B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12" authorId="0" shapeId="0" xr:uid="{1E7D9F06-4F44-4BA0-B545-5A3A8A3C9B5D}">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12" authorId="0" shapeId="0" xr:uid="{EC6DE2C9-4E9B-47B3-AD6C-E8D9660AD93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12" authorId="0" shapeId="0" xr:uid="{E890214C-78FF-4F4C-83E9-48BE77E382F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12" authorId="0" shapeId="0" xr:uid="{3D3700C4-61F1-4718-96A7-1E56303C596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12" authorId="0" shapeId="0" xr:uid="{7F51E7EB-38F0-45FA-A169-05EC6219190A}">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12" authorId="0" shapeId="0" xr:uid="{E71CE1B2-2B43-49BB-93F9-10EBE2D3EA3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12" authorId="0" shapeId="0" xr:uid="{D25C6C3B-6E8F-4173-A5C6-2BF7594254D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13" authorId="0" shapeId="0" xr:uid="{840F1F1D-41C9-4B06-91DD-D486890141E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13" authorId="0" shapeId="0" xr:uid="{AEF82009-D504-44C8-AF6B-E72CDF052F7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13" authorId="0" shapeId="0" xr:uid="{BD65107F-4141-4E25-9D40-3F8D339E1ED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13" authorId="0" shapeId="0" xr:uid="{EDA46FF5-A1AE-4A4E-BA46-F24EEB2693E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13" authorId="0" shapeId="0" xr:uid="{FDE7B1EB-97BB-4DBE-A988-3E26353B784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13" authorId="0" shapeId="0" xr:uid="{9E8CA8F4-2060-4227-9B95-2185E7D0E06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13" authorId="0" shapeId="0" xr:uid="{6F29C438-7970-4529-B00E-EC14CDBE606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13" authorId="0" shapeId="0" xr:uid="{10ECCD00-508A-4725-87D9-599FAC406E2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14" authorId="0" shapeId="0" xr:uid="{BD1C5427-F833-46BF-8305-2DB73B201B1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14" authorId="0" shapeId="0" xr:uid="{E0E91E36-B4B7-4B03-AAB6-AFA4B7363D1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14" authorId="0" shapeId="0" xr:uid="{9D21127A-4FC0-4611-BDCC-019F23422B6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14" authorId="0" shapeId="0" xr:uid="{C6149AF9-9938-4BC3-9EB1-09C4B10F8CB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14" authorId="0" shapeId="0" xr:uid="{532AB0E9-07E7-4FCC-AA5D-53A4D8B4AEC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14" authorId="0" shapeId="0" xr:uid="{9FE42EAD-1D3A-4248-8EC8-77DB2A270FE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14" authorId="0" shapeId="0" xr:uid="{FF723D1D-7F36-46D5-8793-224495476CB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14" authorId="0" shapeId="0" xr:uid="{82FE4B45-E7DA-4B87-AB59-9D2A742402E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15" authorId="0" shapeId="0" xr:uid="{C8B1AFB0-813A-430B-8A01-B91E18E68D4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15" authorId="0" shapeId="0" xr:uid="{C9EF969B-867A-4B6A-BE24-8762B3615AF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15" authorId="0" shapeId="0" xr:uid="{607B7D57-482C-4AAE-AA25-2BB988E7B93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15" authorId="0" shapeId="0" xr:uid="{51B637DC-E898-40BF-BAA6-4DB9797F60C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15" authorId="0" shapeId="0" xr:uid="{E2554A66-4E01-4A79-8385-FBC529CB7DE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5" authorId="0" shapeId="0" xr:uid="{77A27C48-4A68-4E59-80A5-D51E3FB3468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15" authorId="0" shapeId="0" xr:uid="{7B0CC947-DFF2-45DF-B116-CCABB2B981E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15" authorId="0" shapeId="0" xr:uid="{DF4803D8-B5FC-4B1B-9D16-82A95211BB6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16" authorId="0" shapeId="0" xr:uid="{1FEF43FB-F86E-485E-A7ED-C8441F4298D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16" authorId="0" shapeId="0" xr:uid="{F4D3A80B-6405-40D1-ADAF-2816405DBDB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16" authorId="0" shapeId="0" xr:uid="{0D1299B3-445C-4FD9-AFDD-4DB98E8215F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16" authorId="0" shapeId="0" xr:uid="{B963ADB1-6B09-43B6-A3B0-88F98EE6312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16" authorId="0" shapeId="0" xr:uid="{10424B66-6E84-4F5B-8796-713D6AEB268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6" authorId="0" shapeId="0" xr:uid="{DC721672-7811-4808-8C4A-E6369B63414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16" authorId="0" shapeId="0" xr:uid="{5FEE51C1-BDE0-44FB-807C-ECB3177117F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16" authorId="0" shapeId="0" xr:uid="{F76AE049-88E8-4E12-9101-1CDFEA3CA18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18" authorId="0" shapeId="0" xr:uid="{017B39AA-D076-4373-8009-C5E1791857E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18" authorId="0" shapeId="0" xr:uid="{D92D74E8-7423-454B-B945-68433A75374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18" authorId="0" shapeId="0" xr:uid="{443087E5-F25D-46A3-9F8F-A3E8820CF20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18" authorId="0" shapeId="0" xr:uid="{57DB13E7-BBE5-4388-8988-DECF4BB710D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18" authorId="0" shapeId="0" xr:uid="{6AB11E9C-81A2-4F52-980E-8DE1611147B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8" authorId="0" shapeId="0" xr:uid="{1D016BEE-0B04-4900-9CE4-98C25B214C4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18" authorId="0" shapeId="0" xr:uid="{2EF568AD-1363-48CB-A997-A025339A564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18" authorId="0" shapeId="0" xr:uid="{56ACE7D2-DDD4-429E-B596-84A1246FB54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19" authorId="0" shapeId="0" xr:uid="{57C59DB5-4D97-4F01-A21F-ECF37064179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19" authorId="0" shapeId="0" xr:uid="{7321F027-236F-420A-80E0-FCE5D46D6D0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19" authorId="0" shapeId="0" xr:uid="{2E87EB30-B45B-40AE-8C62-E0CB3AA10FC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19" authorId="0" shapeId="0" xr:uid="{77D2FDF5-E1D0-469C-ACC5-5CAB2CA57C2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19" authorId="0" shapeId="0" xr:uid="{27A522BF-7734-4543-9161-D7E044B4EF5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9" authorId="0" shapeId="0" xr:uid="{7694F289-150B-480B-929B-5B0F856FF77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19" authorId="0" shapeId="0" xr:uid="{180CFB08-4533-4FD4-B913-951850C66CC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19" authorId="0" shapeId="0" xr:uid="{72E29DAB-4244-4CFF-8F7B-A6B38CA01DC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31" authorId="0" shapeId="0" xr:uid="{1AD74F06-D158-4917-BA15-7BE55837F80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31" authorId="0" shapeId="0" xr:uid="{7E522DE6-87CC-476C-9C29-AB0C4A1492F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31" authorId="0" shapeId="0" xr:uid="{33194CBF-221D-4876-9736-543A4E40861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31" authorId="0" shapeId="0" xr:uid="{9564A28E-A1E1-4DC1-B206-0FCACC4E7C8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31" authorId="0" shapeId="0" xr:uid="{B324A441-8C71-4FB3-8725-0793D2107EE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31" authorId="0" shapeId="0" xr:uid="{9C7F7DA6-F119-4811-9E6F-2E8A339B2BA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31" authorId="0" shapeId="0" xr:uid="{9ED365A9-D038-4AED-92B0-92AD2FF4A14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31" authorId="0" shapeId="0" xr:uid="{A6409B6B-6339-4DD6-9452-739895379C9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32" authorId="0" shapeId="0" xr:uid="{89E5B364-B94F-4C37-9ABD-DE8FDEC9C89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32" authorId="0" shapeId="0" xr:uid="{5662A1B0-9D18-4544-B4CB-0FCB9CF8D55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32" authorId="0" shapeId="0" xr:uid="{A2F24A85-AF3B-4C86-B6B8-BCA79C30A482}">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32" authorId="0" shapeId="0" xr:uid="{9DE0E4E0-7EC5-402E-9BF2-BD0915211A9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32" authorId="0" shapeId="0" xr:uid="{4EE11EA3-556E-4ECB-8948-33A23AFFEB6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32" authorId="0" shapeId="0" xr:uid="{D5200C81-1F0B-4212-8881-08BFE4928F3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32" authorId="0" shapeId="0" xr:uid="{ED0ABBD3-78F8-42F6-AFBE-1D41BD6386D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32" authorId="0" shapeId="0" xr:uid="{3525760D-B5BA-4A2F-B7D5-D581D83828F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33" authorId="0" shapeId="0" xr:uid="{5E247915-FD85-4DE5-99A1-7F18F58177C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33" authorId="0" shapeId="0" xr:uid="{B3BF3DC2-1B55-4C1E-98E4-14ED7C7BFE2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33" authorId="0" shapeId="0" xr:uid="{67DAC514-A3F3-4AA3-9C57-CB2BBC1E037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33" authorId="0" shapeId="0" xr:uid="{513D2B68-7966-46B3-87FD-82F96143FCB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33" authorId="0" shapeId="0" xr:uid="{7F21E422-169D-4411-BCEC-789039016E5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33" authorId="0" shapeId="0" xr:uid="{8D6860C1-586E-42B9-88B6-8648E5D1B06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33" authorId="0" shapeId="0" xr:uid="{EB820267-C2EE-4BE2-9C2D-20935272A4F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33" authorId="0" shapeId="0" xr:uid="{EF832DDE-6D8D-4D6C-A98B-BDF3BF2165D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34" authorId="0" shapeId="0" xr:uid="{0B195560-91CF-436E-B2DB-9F2BF0A121F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34" authorId="0" shapeId="0" xr:uid="{CE1A2349-D1BE-46F3-A1B4-B3EF80E849B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34" authorId="0" shapeId="0" xr:uid="{D0D73133-DB7D-403B-9207-04064AE5D71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34" authorId="0" shapeId="0" xr:uid="{8650FDCB-FA22-4E0B-BFFC-B358A31286C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34" authorId="0" shapeId="0" xr:uid="{903217D1-541C-4E67-8A45-DECE171EA45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34" authorId="0" shapeId="0" xr:uid="{00D59EA8-6D0B-47A8-A2DA-C4E70AD154D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34" authorId="0" shapeId="0" xr:uid="{E636537D-53DE-4715-B0F2-05433BB34BC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34" authorId="0" shapeId="0" xr:uid="{FB81C2B6-4F6E-478C-9519-A3426E74F84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36" authorId="0" shapeId="0" xr:uid="{F7496207-6CB5-4FEE-B395-CCC81B5C78B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36" authorId="0" shapeId="0" xr:uid="{2B68328A-45E2-441E-9F54-F4D4EE5CF76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36" authorId="0" shapeId="0" xr:uid="{3262444B-17D9-4132-BCC2-0D640E98F4B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36" authorId="0" shapeId="0" xr:uid="{3FE7733C-990B-4DCC-9BDB-5A188AF622F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36" authorId="0" shapeId="0" xr:uid="{A5A4A432-836E-4023-A726-BFE13B18830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36" authorId="0" shapeId="0" xr:uid="{A122B8F9-5AD9-4742-A0A5-8EE8B0B7972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36" authorId="0" shapeId="0" xr:uid="{78BA9B4B-63D3-41F6-89A9-BF3F1086E44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36" authorId="0" shapeId="0" xr:uid="{D84AE342-272F-4738-BC1F-0B05FFC6AC2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37" authorId="0" shapeId="0" xr:uid="{32824345-7381-4747-9498-E64488B3A7C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37" authorId="0" shapeId="0" xr:uid="{0D5192AC-9A9C-44FF-AED2-4E2174B3997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37" authorId="0" shapeId="0" xr:uid="{7A91BF10-D228-40B9-BE07-8AF794545D4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37" authorId="0" shapeId="0" xr:uid="{9BB6FB18-946C-4F04-8909-EE517EF5787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37" authorId="0" shapeId="0" xr:uid="{8D8A3503-9D8F-448E-99D4-17B20D54625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37" authorId="0" shapeId="0" xr:uid="{A0220E2B-93F7-4CE2-A135-81CEE549D73C}">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37" authorId="0" shapeId="0" xr:uid="{B041F09A-60E6-4EF6-8F28-F228C7A56EE6}">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37" authorId="0" shapeId="0" xr:uid="{243C4728-3924-4E49-AA6E-7BA55B58064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38" authorId="0" shapeId="0" xr:uid="{0BAA39BD-1A71-4193-A64E-4CEED6414AC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38" authorId="0" shapeId="0" xr:uid="{F379B6D0-BEC5-46AF-8EA6-8C0896D5E2F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38" authorId="0" shapeId="0" xr:uid="{3D24C3CB-EF80-467E-98F5-5BEE7C894FB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38" authorId="0" shapeId="0" xr:uid="{1E3DC310-3A04-4B74-84A6-FEBF94C5534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38" authorId="0" shapeId="0" xr:uid="{C5ABB7D6-9FF2-483C-9632-445D3B6EF6E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38" authorId="0" shapeId="0" xr:uid="{A1A0A92A-951F-4475-B0B5-87657B7ED24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38" authorId="0" shapeId="0" xr:uid="{1AD7AE00-340A-4033-9F6B-C23CF71790A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38" authorId="0" shapeId="0" xr:uid="{D4E3DB3D-D287-494D-9D28-4F66159D93F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39" authorId="0" shapeId="0" xr:uid="{46861021-2348-4B39-8FE0-01675D46569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39" authorId="0" shapeId="0" xr:uid="{65AEEA88-5C28-4B43-9319-68B4354E1F9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39" authorId="0" shapeId="0" xr:uid="{808AE7A1-D7CB-4C47-B8A5-6AE23A7BA67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39" authorId="0" shapeId="0" xr:uid="{78E495D0-B8B3-4B1E-98A8-353727A90D7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39" authorId="0" shapeId="0" xr:uid="{04AE2DAB-08C9-4D6D-9C6B-3D730A7344B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39" authorId="0" shapeId="0" xr:uid="{A11D742D-FD77-4214-81F5-E48FF25984E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39" authorId="0" shapeId="0" xr:uid="{FFD884BB-03CE-4C6F-BCD9-6A2A3F59250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39" authorId="0" shapeId="0" xr:uid="{DDB32203-A081-4512-9B51-B69714EF151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40" authorId="0" shapeId="0" xr:uid="{9E88A736-0B02-4945-B99E-193D581FE47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40" authorId="0" shapeId="0" xr:uid="{C5148090-6326-4429-8B8F-A59F281FE52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40" authorId="0" shapeId="0" xr:uid="{A8638783-45E2-412C-A1F0-857105BB59C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40" authorId="0" shapeId="0" xr:uid="{D70259F2-32D4-4FE6-B76F-DE8DD9A5718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40" authorId="0" shapeId="0" xr:uid="{FB266C55-2336-47BC-B476-C802E3A6A84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40" authorId="0" shapeId="0" xr:uid="{72F1C09E-602B-4A63-B43D-2EFB49FAA43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40" authorId="0" shapeId="0" xr:uid="{4E1A1928-227F-4C96-AF21-3EAF10DCE8A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40" authorId="0" shapeId="0" xr:uid="{9F9CA85C-99EC-456D-8929-C9185CBDE0E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F681D274-003F-438D-89D2-25C45D0CFF5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B12" authorId="0" shapeId="0" xr:uid="{1577B51E-0A12-4282-A3ED-9CD6684C7EC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C12" authorId="0" shapeId="0" xr:uid="{50238B37-721F-40F7-8FD5-1BCED3F698C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D12" authorId="0" shapeId="0" xr:uid="{2BFD8534-5A07-48DC-8F65-E0B29458399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E12" authorId="0" shapeId="0" xr:uid="{34C67013-C15D-4646-9766-96568E3859D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F12" authorId="0" shapeId="0" xr:uid="{68C633BC-AB6C-4F21-9E6B-412A1723918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G12" authorId="0" shapeId="0" xr:uid="{E81DD835-7434-4DA9-A6FF-1E52EC1A052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H12" authorId="0" shapeId="0" xr:uid="{FFDCD4B7-92AC-4F3A-9D22-707EBA06954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A26" authorId="0" shapeId="0" xr:uid="{35A3C624-3074-4AB8-9467-8BFEA96E415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B26" authorId="0" shapeId="0" xr:uid="{F7979B06-E0B0-4F5C-9534-21A4690F47B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C26" authorId="0" shapeId="0" xr:uid="{C0AB789D-3961-4F7E-9318-2931F438201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D26" authorId="0" shapeId="0" xr:uid="{1C3E5B18-1898-4685-B405-EE92637038D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E26" authorId="0" shapeId="0" xr:uid="{ACBAA868-3DE5-4915-95F8-9CBE5BBDC2A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F26" authorId="0" shapeId="0" xr:uid="{1711E197-7A48-48DD-9A45-5AA27EEA20E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G26" authorId="0" shapeId="0" xr:uid="{438447A2-813C-4600-88BF-9F386C2DFB4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H26" authorId="0" shapeId="0" xr:uid="{35DFDE98-22AF-41E7-8A59-F1D0CFB6E21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A42" authorId="0" shapeId="0" xr:uid="{4B433038-33A3-430E-8BD6-24EE836FE1C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B42" authorId="0" shapeId="0" xr:uid="{D2B4A1D4-8A3F-4CD5-9F11-3CAD7F81752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C42" authorId="0" shapeId="0" xr:uid="{E880BCCD-84D6-4387-BDA3-1316BF2F90D1}">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D42" authorId="0" shapeId="0" xr:uid="{5841A92C-350C-44ED-AA52-93C1AFC1932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E42" authorId="0" shapeId="0" xr:uid="{29DEB567-151E-4655-BB54-F6FEE708661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F42" authorId="0" shapeId="0" xr:uid="{6C2F810B-8F43-4905-94BB-C98E1DCC143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G42" authorId="0" shapeId="0" xr:uid="{DF450000-B967-4682-84D3-B9831A92EEF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H42" authorId="0" shapeId="0" xr:uid="{50D20B23-1888-4E6B-8E54-B836C635087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A46" authorId="0" shapeId="0" xr:uid="{47E399BA-FA3C-472A-BEA1-8F961AF8A9D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B46" authorId="0" shapeId="0" xr:uid="{D6181777-203B-4D55-8FB6-469E1D3F416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C46" authorId="0" shapeId="0" xr:uid="{DC7698EF-A1EF-4B59-A3B5-E935C320EBA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D46" authorId="0" shapeId="0" xr:uid="{1D2EF73E-7A88-4929-B802-FFD2B849B1A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E46" authorId="0" shapeId="0" xr:uid="{7D83B6A3-F125-44BC-818A-23EBEC0469D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F46" authorId="0" shapeId="0" xr:uid="{8285ACD6-2D52-4512-963E-2942F3DD28A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G46" authorId="0" shapeId="0" xr:uid="{8E8002E1-CB07-4FB9-9D98-AA88D1ABD39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H46" authorId="0" shapeId="0" xr:uid="{4AE91A3D-B926-4D0F-AD1C-563B5D8BC20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AA6C3F08-BF80-4F6C-90C1-3A990CD09D7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B2" authorId="0" shapeId="0" xr:uid="{9DC13DB1-3E91-4A0D-8BE7-EB9E780EFEE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C2" authorId="0" shapeId="0" xr:uid="{D4389D80-4FC5-4450-A108-95549FDA926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D2" authorId="0" shapeId="0" xr:uid="{02DC15EA-E2F9-4898-9BF7-F7D1D412C89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E2" authorId="0" shapeId="0" xr:uid="{E8816863-0A53-4CD9-A7F6-67A73D929D9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F2" authorId="0" shapeId="0" xr:uid="{021DCFE2-2C99-4AEC-9A37-6D4F2B0DA67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G2" authorId="0" shapeId="0" xr:uid="{B307C4A9-1468-48F9-8083-496C90EB481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H2" authorId="0" shapeId="0" xr:uid="{C154C7EE-901D-4C28-99A1-BCFE024C5F4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A14" authorId="0" shapeId="0" xr:uid="{85F683BE-1CEC-4FAE-9819-2A7161E7F11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B14" authorId="0" shapeId="0" xr:uid="{5AE02FC0-F383-42C7-A91E-97628A884BF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C14" authorId="0" shapeId="0" xr:uid="{750CCC8F-3B81-4802-8E5D-F71C9187A7C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D14" authorId="0" shapeId="0" xr:uid="{EFA7BBDC-2189-4F83-BD16-0ACBBCDBB1A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E14" authorId="0" shapeId="0" xr:uid="{47B5B1EB-9CEA-4AE8-BCCF-A9C1070C335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F14" authorId="0" shapeId="0" xr:uid="{1329AF07-A0C0-4929-89C8-203C93E65CE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G14" authorId="0" shapeId="0" xr:uid="{E0C44393-D5FB-465F-BE68-C89A412A4D6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H14" authorId="0" shapeId="0" xr:uid="{F74C5744-B4EB-400E-BAF4-B0D8EB552EE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A26" authorId="0" shapeId="0" xr:uid="{1325B2D5-83B7-4CE6-A96C-7841CD9DC228}">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B26" authorId="0" shapeId="0" xr:uid="{D3655A05-B398-48FD-84E3-573116F1959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C26" authorId="0" shapeId="0" xr:uid="{83EA5C05-1971-4B7C-834B-597142A158ED}">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D26" authorId="0" shapeId="0" xr:uid="{31A262A6-1B08-403E-A41F-425B616D160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E26" authorId="0" shapeId="0" xr:uid="{8C2637F4-2A07-4A59-8FEA-6D28808587C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F26" authorId="0" shapeId="0" xr:uid="{CC34D966-C733-40FC-898C-12B8ABCBDD4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G26" authorId="0" shapeId="0" xr:uid="{E676CE6F-6272-4E53-B9F7-315692C055E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H26" authorId="0" shapeId="0" xr:uid="{40F5A04B-54B3-4C81-9B72-4C0B5082671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A27" authorId="0" shapeId="0" xr:uid="{FBEDCDA8-AA16-4427-B4F1-12DE8421920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B27" authorId="0" shapeId="0" xr:uid="{DFEDB654-9D72-4136-933D-87F2ECF9761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C27" authorId="0" shapeId="0" xr:uid="{C7D883BB-E071-45FC-9379-5BD5997D989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D27" authorId="0" shapeId="0" xr:uid="{70B68B82-BADC-48DE-8A5F-776E63319F6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E27" authorId="0" shapeId="0" xr:uid="{6A5C57CA-378D-43C4-85D9-9FEF10114DF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F27" authorId="0" shapeId="0" xr:uid="{A6335351-1EF1-4080-BA1F-8D2B8F672E2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G27" authorId="0" shapeId="0" xr:uid="{AB59A9E1-592F-4EEC-B7C1-BB0D328B554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H27" authorId="0" shapeId="0" xr:uid="{CC180E06-BE87-4C73-9B92-E9A8755E495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1B878611-574D-4BFC-A2A4-26FB5E6ECF69}">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B2" authorId="0" shapeId="0" xr:uid="{9C2BD023-3371-4343-BDF7-9EEF79C5FE8A}">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C2" authorId="0" shapeId="0" xr:uid="{796BA6E2-C360-43CA-AACE-04BAA1B1A282}">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D2" authorId="0" shapeId="0" xr:uid="{6580B927-1791-46D8-8C63-3B0091F29E30}">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E2" authorId="0" shapeId="0" xr:uid="{FD748380-9675-432D-BF85-D2D887D5987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F2" authorId="0" shapeId="0" xr:uid="{57E9C762-68BE-46B4-A278-47B7E53293F7}">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G2" authorId="0" shapeId="0" xr:uid="{F8B1E1B0-3ADA-4107-8249-F531A949BEE2}">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H2" authorId="0" shapeId="0" xr:uid="{B35B4425-96CB-4EB6-8D66-A11A61E19591}">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A3" authorId="0" shapeId="0" xr:uid="{E96787AA-ED1E-4121-8B1F-BAC74BFA6F3B}">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B3" authorId="0" shapeId="0" xr:uid="{BDDDE4DD-354C-4802-9B25-8789D461277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C3" authorId="0" shapeId="0" xr:uid="{6EE0BAFC-D132-47CB-8906-01A027AC711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D3" authorId="0" shapeId="0" xr:uid="{7706A7BC-846E-4824-9DDA-3C819E6E370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E3" authorId="0" shapeId="0" xr:uid="{2735045E-D606-48C7-8189-811CB9BF211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F3" authorId="0" shapeId="0" xr:uid="{A1D8071F-BA11-413F-8749-D559B17E3E5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G3" authorId="0" shapeId="0" xr:uid="{B036E382-3E52-49F6-B3D6-428E7364609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H3" authorId="0" shapeId="0" xr:uid="{D9EAC3EF-F2FA-4879-9567-21F81B9F3FCF}">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A4" authorId="0" shapeId="0" xr:uid="{EE503E5C-2982-4820-A0F9-E53FA88561B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B4" authorId="0" shapeId="0" xr:uid="{ABF5DEFC-F7D3-45DD-B27D-8C53C31A62F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C4" authorId="0" shapeId="0" xr:uid="{FF09F52F-4365-415E-B5B8-2E33F22B11E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D4" authorId="0" shapeId="0" xr:uid="{5CB42FCE-9A22-40B3-9D02-08B2AFCDC28B}">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E4" authorId="0" shapeId="0" xr:uid="{D038FCE8-9891-4310-A2DC-1B54774526D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F4" authorId="0" shapeId="0" xr:uid="{CCC61DE3-28A7-439C-B5E5-4411565B69D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G4" authorId="0" shapeId="0" xr:uid="{F8D8EB17-A569-403E-87AF-52FC5C0AA0B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H4" authorId="0" shapeId="0" xr:uid="{D5CC76DC-4B88-402D-A682-F0F0536E492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A17" authorId="0" shapeId="0" xr:uid="{89CDD891-D138-4297-9FA8-8DE6C1472E8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B17" authorId="0" shapeId="0" xr:uid="{55CAC76F-63B7-43A8-BFB3-3020C0C841D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C17" authorId="0" shapeId="0" xr:uid="{00F852E4-F24A-4348-A208-A1B5EB60AA7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D17" authorId="0" shapeId="0" xr:uid="{D4E04779-A700-4FB4-932C-80A14A74D37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E17" authorId="0" shapeId="0" xr:uid="{F4F54664-6455-4392-B909-93D17FC9435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F17" authorId="0" shapeId="0" xr:uid="{54F9EB69-F27A-4547-8CDF-1F9116A215FC}">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G17" authorId="0" shapeId="0" xr:uid="{127CBAA6-A0B0-4101-8221-F4C60859BA75}">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H17" authorId="0" shapeId="0" xr:uid="{3F5E9CF3-DB38-47ED-954F-A8D7A612A44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A29" authorId="0" shapeId="0" xr:uid="{97D22AAC-D407-48C6-9150-DACF6BAA4AC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B29" authorId="0" shapeId="0" xr:uid="{57030C18-1772-451E-AD7C-B71CCB63F23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C29" authorId="0" shapeId="0" xr:uid="{B73BA744-E00B-46F0-B906-A8A601D6120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D29" authorId="0" shapeId="0" xr:uid="{0A504610-0755-48ED-8FEF-1A4ECA74AAD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E29" authorId="0" shapeId="0" xr:uid="{595AA5EA-2602-42C2-B6C1-574DE378DAC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F29" authorId="0" shapeId="0" xr:uid="{C9351677-BB73-4A17-AD16-FC052FFE1E7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G29" authorId="0" shapeId="0" xr:uid="{37D84878-4B71-4524-9FB4-C6F35AD08E2A}">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H29" authorId="0" shapeId="0" xr:uid="{5D3887C6-6310-44CD-B944-BB934EED5D16}">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A30" authorId="0" shapeId="0" xr:uid="{A100D2DF-97AE-4F4D-91FA-99F619002A4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B30" authorId="0" shapeId="0" xr:uid="{F38C03FC-2673-48A8-ADF4-FC98C5F227E8}">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C30" authorId="0" shapeId="0" xr:uid="{98A6CCCA-81CB-4954-834B-ED06146A011B}">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D30" authorId="0" shapeId="0" xr:uid="{5BA78B27-8FFA-46C5-A6DB-ED17B8ABB42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E30" authorId="0" shapeId="0" xr:uid="{C7D3CF8E-0F5D-40FF-BDD0-D39FA89FF764}">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F30" authorId="0" shapeId="0" xr:uid="{B2495CCE-04B2-4956-96C1-14CB0E3D9AB9}">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G30" authorId="0" shapeId="0" xr:uid="{154108A9-1D9B-4BB1-88DE-F8C120251F7D}">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H30" authorId="0" shapeId="0" xr:uid="{5EA7BB83-B22F-432A-875B-8EFCE4A4597B}">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51455D6-E4DA-475E-88B9-4A3B23667A2E}">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B2" authorId="0" shapeId="0" xr:uid="{0326660A-D7CE-4BD3-AFDD-00724778BFA0}">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C2" authorId="0" shapeId="0" xr:uid="{E8157340-3B96-4219-AB41-9C114E8500A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D2" authorId="0" shapeId="0" xr:uid="{BBCE11EB-CD8C-4CCC-A260-08FD3A6A1AE3}">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E2" authorId="0" shapeId="0" xr:uid="{6D01902A-0068-4F30-BF4B-F65922088C86}">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F2" authorId="0" shapeId="0" xr:uid="{D0E2438D-C06A-4B76-9834-04153AF3AEAD}">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G2" authorId="0" shapeId="0" xr:uid="{104563D3-2C8E-456A-9A1C-A09F3A3F8003}">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H2" authorId="0" shapeId="0" xr:uid="{B7E4C551-35A5-4B88-86BE-B015CB3BCC2F}">
      <text>
        <r>
          <rPr>
            <b/>
            <sz val="8.5"/>
            <color indexed="8"/>
            <rFont val="Calibri"/>
            <family val="2"/>
          </rPr>
          <t xml:space="preserve">-{ </t>
        </r>
        <r>
          <rPr>
            <b/>
            <sz val="10"/>
            <color indexed="10"/>
            <rFont val="Calibri"/>
            <family val="2"/>
          </rPr>
          <t>SM422</t>
        </r>
        <r>
          <rPr>
            <b/>
            <sz val="8.5"/>
            <color indexed="8"/>
            <rFont val="Calibri"/>
            <family val="2"/>
          </rPr>
          <t xml:space="preserve"> }-_x000D_
_x000D_
[</t>
        </r>
        <r>
          <rPr>
            <b/>
            <sz val="8.5"/>
            <color indexed="48"/>
            <rFont val="Calibri"/>
            <family val="2"/>
          </rPr>
          <t xml:space="preserve">LF </t>
        </r>
        <r>
          <rPr>
            <b/>
            <sz val="8.5"/>
            <color indexed="8"/>
            <rFont val="Calibri"/>
            <family val="2"/>
          </rPr>
          <t>» 55.4%]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U16 &amp; O24 &amp; I51 &amp; P1</t>
        </r>
      </text>
    </comment>
    <comment ref="A3" authorId="0" shapeId="0" xr:uid="{5E003D09-836B-4935-937D-DAEFABF8735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B3" authorId="0" shapeId="0" xr:uid="{54D82904-3A37-436F-8ACA-BAB9AF04A4D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C3" authorId="0" shapeId="0" xr:uid="{68402D11-D6D6-47BC-A6F6-421099E3A76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D3" authorId="0" shapeId="0" xr:uid="{63DF6466-E9A6-4549-BEE0-EFC087C6E93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E3" authorId="0" shapeId="0" xr:uid="{E2E09050-E102-43D2-BC94-85C6FD53A64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F3" authorId="0" shapeId="0" xr:uid="{4512DCA2-0B68-4A03-BBD8-5F70DC4AC96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G3" authorId="0" shapeId="0" xr:uid="{D99AD0A8-1527-46BB-B654-590AD86B34BA}">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H3" authorId="0" shapeId="0" xr:uid="{9D7FD048-C35E-4099-9A57-24BD5AAD5EC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13]_x000D_
_x000D_
[</t>
        </r>
        <r>
          <rPr>
            <b/>
            <sz val="8.5"/>
            <color indexed="48"/>
            <rFont val="Calibri"/>
            <family val="2"/>
          </rPr>
          <t>LOWESTAVAIL</t>
        </r>
        <r>
          <rPr>
            <b/>
            <sz val="8.5"/>
            <color indexed="8"/>
            <rFont val="Calibri"/>
            <family val="2"/>
          </rPr>
          <t xml:space="preserve"> » U2]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W17 &amp; T16 &amp; X4 &amp; U16 &amp; O16 &amp; I5 &amp; P39</t>
        </r>
      </text>
    </comment>
    <comment ref="A4" authorId="0" shapeId="0" xr:uid="{F44AA589-2B77-4A1B-A150-B293A38F8C1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B4" authorId="0" shapeId="0" xr:uid="{9A0593FA-D5FD-412B-97B3-EB4F6CB900A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C4" authorId="0" shapeId="0" xr:uid="{BD46917F-7E89-453D-A634-4F7FD075BCE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D4" authorId="0" shapeId="0" xr:uid="{906D3D29-FA66-4B5C-9322-07365F7D053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E4" authorId="0" shapeId="0" xr:uid="{F05C32F3-7353-4DE5-B1B0-F580327C7EBE}">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F4" authorId="0" shapeId="0" xr:uid="{4D7593B7-379D-454D-893F-9BA71049879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G4" authorId="0" shapeId="0" xr:uid="{48CA20B1-933A-43E1-AC55-608CAD5AA1C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H4" authorId="0" shapeId="0" xr:uid="{2F843275-B72D-4414-BB97-1FB88853CD9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S1 &amp; W6 &amp; T17 &amp; U2 &amp; O2 &amp; I5 &amp; E1 &amp; P91</t>
        </r>
      </text>
    </comment>
    <comment ref="A16" authorId="0" shapeId="0" xr:uid="{4E13388D-9696-4345-8458-ACE52AD1EF7C}">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B16" authorId="0" shapeId="0" xr:uid="{C5D72CC3-41AF-4D6A-AA07-04E0689A8D1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C16" authorId="0" shapeId="0" xr:uid="{B69B4D14-BFFF-4094-88EB-FDF2315278DF}">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D16" authorId="0" shapeId="0" xr:uid="{F0F85C7B-D4C4-49B0-8F3A-2A309BAD0DB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E16" authorId="0" shapeId="0" xr:uid="{0E456823-2AED-4EE2-ACE2-C8D899B00F3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F16" authorId="0" shapeId="0" xr:uid="{BD807378-08E5-4569-A6FC-E65393A2689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G16" authorId="0" shapeId="0" xr:uid="{6EFFD818-7AF4-4CC3-ACB5-380F881C17A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H16" authorId="0" shapeId="0" xr:uid="{2D0E903A-A711-48D1-8852-0405DEED079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75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T4 &amp; X17 &amp; U18 &amp; O38 &amp; I28 &amp; P3</t>
        </r>
      </text>
    </comment>
    <comment ref="A28" authorId="0" shapeId="0" xr:uid="{309C3512-3AEE-44BA-A981-9CA960E84D6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B28" authorId="0" shapeId="0" xr:uid="{BEEC5340-BFA4-4E4D-85F3-88D263539D0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C28" authorId="0" shapeId="0" xr:uid="{0551C087-5B88-4DD6-B598-420A402E1ED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D28" authorId="0" shapeId="0" xr:uid="{ADC43556-4142-4120-8DFC-C5AC6CE4C76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E28" authorId="0" shapeId="0" xr:uid="{2E05641B-0230-4995-9EC8-725DC4716BB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F28" authorId="0" shapeId="0" xr:uid="{CB86915F-5827-49D6-8748-76B61B85D8FA}">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G28" authorId="0" shapeId="0" xr:uid="{0A04B256-9FE8-4783-A1BD-7D2575647DA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H28" authorId="0" shapeId="0" xr:uid="{6D224534-AAEE-432B-897F-B5CA28617020}">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A29" authorId="0" shapeId="0" xr:uid="{65B705A6-BE82-434E-A456-AB2D82400F1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B29" authorId="0" shapeId="0" xr:uid="{080260E3-B4CE-40C9-857F-99486D06C37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C29" authorId="0" shapeId="0" xr:uid="{DA3D35A8-339C-41BF-9772-2B741294534E}">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D29" authorId="0" shapeId="0" xr:uid="{657632DC-DDB5-492D-AE69-1DE034949B1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E29" authorId="0" shapeId="0" xr:uid="{9B78C705-A2FC-4FF7-A32B-1B82881EECB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F29" authorId="0" shapeId="0" xr:uid="{4731C321-62CD-43AE-91BF-400AD332AC37}">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G29" authorId="0" shapeId="0" xr:uid="{C3653463-34B4-493E-A5C3-C276DD030CB1}">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 ref="H29" authorId="0" shapeId="0" xr:uid="{CDE7CB41-3C1D-412D-A11A-91F5ECD91450}">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73.2%] - [</t>
        </r>
        <r>
          <rPr>
            <b/>
            <sz val="8.5"/>
            <color indexed="48"/>
            <rFont val="Calibri"/>
            <family val="2"/>
          </rPr>
          <t xml:space="preserve">SOLD </t>
        </r>
        <r>
          <rPr>
            <b/>
            <sz val="8.5"/>
            <color indexed="8"/>
            <rFont val="Calibri"/>
            <family val="2"/>
          </rPr>
          <t>» 123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 &amp; X6 &amp; U20 &amp; O40 &amp; I20 &amp; P34</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7" authorId="0" shapeId="0" xr:uid="{E6FF4394-B6AC-4A82-892E-EB86DE755B7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B17" authorId="0" shapeId="0" xr:uid="{DD9FF874-9FF0-4041-B1DC-5AE1DE175ED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C17" authorId="0" shapeId="0" xr:uid="{AF05B969-A6D0-48C7-AAF7-28D24E3F2D1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D17" authorId="0" shapeId="0" xr:uid="{807AFCFC-7AD5-4792-B9AE-AA8BDB5E4854}">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E17" authorId="0" shapeId="0" xr:uid="{0D500F8C-7038-49C9-987B-E902BFF3376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F17" authorId="0" shapeId="0" xr:uid="{C82235F2-D09E-4CA0-BEAE-337027E695C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G17" authorId="0" shapeId="0" xr:uid="{4A863968-4170-4030-9CFF-DDC4B7B9DCF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H17" authorId="0" shapeId="0" xr:uid="{5A233499-EF2A-45CE-8DB9-6EAEDB94DFFE}">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A61" authorId="0" shapeId="0" xr:uid="{8E991C88-AC04-4F89-94F7-8968EE500B73}">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B61" authorId="0" shapeId="0" xr:uid="{74A16F7C-1E35-4B99-9061-2BDD6F29B44F}">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C61" authorId="0" shapeId="0" xr:uid="{5DFFA58B-4334-4884-9CCD-FC683D7B7B4C}">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D61" authorId="0" shapeId="0" xr:uid="{17D76C1E-FEF0-407A-8C20-7E8270CDD013}">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E61" authorId="0" shapeId="0" xr:uid="{0C100A0B-51A6-4080-A9EE-B96B726CE868}">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F61" authorId="0" shapeId="0" xr:uid="{8D959060-EB99-4889-95A3-8C0E5E343EF4}">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G61" authorId="0" shapeId="0" xr:uid="{49C4A86F-700F-4B27-B859-09BD4AC93CD4}">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H61" authorId="0" shapeId="0" xr:uid="{39EE10B9-EFDF-40E6-91DD-5F6EB44A3D19}">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A85" authorId="0" shapeId="0" xr:uid="{E4E4C5CE-0F5A-46EE-B4B5-A9B4C4C2E72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B85" authorId="0" shapeId="0" xr:uid="{BF8C5924-B64A-49AA-9827-60CE2F0241CA}">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C85" authorId="0" shapeId="0" xr:uid="{6C2EE73E-B7A3-48FA-B8CE-64AC6A251B1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D85" authorId="0" shapeId="0" xr:uid="{4DC20D63-A4C9-4B20-8E78-6E6CC8A0AD9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E85" authorId="0" shapeId="0" xr:uid="{FC8101B2-DB2D-4DE0-B9AF-E55265C66C4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85" authorId="0" shapeId="0" xr:uid="{376BAA45-99BA-491E-809B-4F92D5F2FDB1}">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G85" authorId="0" shapeId="0" xr:uid="{B0EEC4D8-BC39-4EAE-B2AF-484069FDC31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H85" authorId="0" shapeId="0" xr:uid="{803568E3-58E9-4412-A07A-112875C28B30}">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A123" authorId="0" shapeId="0" xr:uid="{5004BE63-7C5F-4790-9CFA-7AABADE5A8BF}">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B123" authorId="0" shapeId="0" xr:uid="{E261F852-40F1-4B85-8DB5-232DEF97BA4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C123" authorId="0" shapeId="0" xr:uid="{DC732BA5-EFFF-4C95-AFC2-5350776842A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D123" authorId="0" shapeId="0" xr:uid="{DA4E59D1-75C5-4706-BDFF-B8D109A90B9C}">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E123" authorId="0" shapeId="0" xr:uid="{A3161AA5-6C63-42CA-930B-6728D245EE1B}">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F123" authorId="0" shapeId="0" xr:uid="{AFF5DF5D-29BA-4DD0-A597-A4EB764E6A61}">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G123" authorId="0" shapeId="0" xr:uid="{C376F88A-976F-45EC-9110-0E175D2E38A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H123" authorId="0" shapeId="0" xr:uid="{EBC29CCC-2E20-4566-930D-2D69A5440E1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8" authorId="0" shapeId="0" xr:uid="{D12727A4-0BCE-46EB-9BE4-2B3691FD1DB0}">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B8" authorId="0" shapeId="0" xr:uid="{C4166091-E430-4FF6-9B67-55910F6EE77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C8" authorId="0" shapeId="0" xr:uid="{274A8F8D-EC5A-4B66-A296-70579EBB5E5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D8" authorId="0" shapeId="0" xr:uid="{56E1551C-6003-4933-8B6E-FD33B815918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E8" authorId="0" shapeId="0" xr:uid="{E5FA2CAD-19E5-4174-83D4-24ADDD57047F}">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F8" authorId="0" shapeId="0" xr:uid="{413D7CFA-6441-4E47-94F4-6AC787D508DA}">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G8" authorId="0" shapeId="0" xr:uid="{7DE37DEE-ED94-4E84-83E0-90B39408AE2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H8" authorId="0" shapeId="0" xr:uid="{5A9EA00F-2936-4C39-A3C9-4BCAD56635FE}">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73.8%] - [</t>
        </r>
        <r>
          <rPr>
            <b/>
            <sz val="8.5"/>
            <color indexed="48"/>
            <rFont val="Calibri"/>
            <family val="2"/>
          </rPr>
          <t xml:space="preserve">SOLD </t>
        </r>
        <r>
          <rPr>
            <b/>
            <sz val="8.5"/>
            <color indexed="8"/>
            <rFont val="Calibri"/>
            <family val="2"/>
          </rPr>
          <t>» 124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K6 &amp; V6 &amp; L37 &amp; G12 &amp; S8 &amp; W21 &amp; X1 &amp; U9 &amp; O18 &amp; I3 &amp; N2</t>
        </r>
      </text>
    </comment>
    <comment ref="A10" authorId="0" shapeId="0" xr:uid="{55190C88-CEF6-499B-B41E-BC5765FB2FF2}">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B10" authorId="0" shapeId="0" xr:uid="{ADC612AD-DE1A-49A7-8EED-6619BBB71EC9}">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C10" authorId="0" shapeId="0" xr:uid="{3AE4906B-4F20-4B20-8E15-02D16E9CA986}">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D10" authorId="0" shapeId="0" xr:uid="{E3FE3A90-26FD-4FFD-A2BA-E516BBF17D27}">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E10" authorId="0" shapeId="0" xr:uid="{44CB83CB-6F0C-43D5-9D97-EAC4E1BBB4F9}">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F10" authorId="0" shapeId="0" xr:uid="{D488049F-6B0C-42FD-A49A-29104D244C1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G10" authorId="0" shapeId="0" xr:uid="{DA5C008E-90C6-47A5-B1E8-0494C40CE670}">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H10" authorId="0" shapeId="0" xr:uid="{BD547C59-1F30-4965-8768-A0B7C4DE6E0F}">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126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S19 &amp; W15 &amp; T57 &amp; X35</t>
        </r>
      </text>
    </comment>
    <comment ref="A12" authorId="0" shapeId="0" xr:uid="{A3C75AA4-9EBB-4927-B380-C57C9BB0BAA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B12" authorId="0" shapeId="0" xr:uid="{4A3A80F0-E869-4822-9225-EC6FFE91E99F}">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C12" authorId="0" shapeId="0" xr:uid="{B03AD7C4-5F2E-47F5-A75E-CD51F3561BAE}">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D12" authorId="0" shapeId="0" xr:uid="{DF281202-D95F-43F3-AE65-8576649AF95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E12" authorId="0" shapeId="0" xr:uid="{9EB33C33-DB08-4C00-994E-0BFDECD480E4}">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12" authorId="0" shapeId="0" xr:uid="{2CFA1201-3347-414D-9D5B-42AA5D54972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G12" authorId="0" shapeId="0" xr:uid="{0501A911-DD3B-4CF7-A8F0-77F8AA48948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H12" authorId="0" shapeId="0" xr:uid="{7B027E73-79F7-435E-AEC2-06D091810A4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A20" authorId="0" shapeId="0" xr:uid="{ABFB860C-1BC9-4A1F-9DDB-420C058E210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B20" authorId="0" shapeId="0" xr:uid="{E3F9A809-01EE-4387-A018-5B92EDB581D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C20" authorId="0" shapeId="0" xr:uid="{A41FFE60-AB7D-4677-85C9-F0266A60F17E}">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D20" authorId="0" shapeId="0" xr:uid="{0522938D-F7B7-4AF4-8D9A-0FC3CF6586B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E20" authorId="0" shapeId="0" xr:uid="{3DE1A372-8FAA-46F8-8C21-EB9BCA69B91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F20" authorId="0" shapeId="0" xr:uid="{6D0E5767-B7FC-4AB9-BDA1-D4BB23E3AC0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G20" authorId="0" shapeId="0" xr:uid="{75C31554-A9FE-4C6E-A091-C0B9158A769A}">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 ref="H20" authorId="0" shapeId="0" xr:uid="{11CF220D-DC68-447C-9CEB-C56595D56C81}">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57.1%]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T12 &amp; X45 &amp; U5 &amp; O25 &amp; I5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5" authorId="0" shapeId="0" xr:uid="{F7CAAD01-6592-4404-A61F-01C4325B8CB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B15" authorId="0" shapeId="0" xr:uid="{80A93D3B-4270-43CF-B18A-D8DB7DF1D9C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C15" authorId="0" shapeId="0" xr:uid="{23239C26-EE22-4279-8854-1DFAE5A4F81D}">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D15" authorId="0" shapeId="0" xr:uid="{233899F2-B130-4F24-80A1-3D0ABA4054DE}">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E15" authorId="0" shapeId="0" xr:uid="{1F887BA2-10CC-4805-A46F-972FAB05359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F15" authorId="0" shapeId="0" xr:uid="{43DF0521-8254-4785-8AA4-419FBB529B1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G15" authorId="0" shapeId="0" xr:uid="{DF2E3E97-4BB1-4CAF-BD99-9BE4F8C34EA1}">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H15" authorId="0" shapeId="0" xr:uid="{A4B4E576-F63B-4970-91DB-8F7DB3F28981}">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A26" authorId="0" shapeId="0" xr:uid="{F26904AC-B1C6-4258-9306-7E9FFD34129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B26" authorId="0" shapeId="0" xr:uid="{72BBD619-F4DD-4FA3-8E85-2D44B97E55A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C26" authorId="0" shapeId="0" xr:uid="{6F188E0B-5BA7-45A9-82CA-9FD5D18F2355}">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D26" authorId="0" shapeId="0" xr:uid="{F0DD1F39-9781-4087-A34F-AB9672DF49E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E26" authorId="0" shapeId="0" xr:uid="{48AE2D9A-FFBE-4082-91A7-CB68C021A383}">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F26" authorId="0" shapeId="0" xr:uid="{50860123-A90B-472E-B8F0-1792F3C22151}">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G26" authorId="0" shapeId="0" xr:uid="{11AFCAA3-3C46-4840-9038-8973348C60A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H26" authorId="0" shapeId="0" xr:uid="{4CE47543-D243-4E93-AC77-22A0DEFD5FA7}">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A41" authorId="0" shapeId="0" xr:uid="{9876A536-D66B-4077-8C53-B23386E22C27}">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B41" authorId="0" shapeId="0" xr:uid="{255E5146-B409-43E4-9095-C2B89DA6DB1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C41" authorId="0" shapeId="0" xr:uid="{C1538C6F-10A3-481F-8481-C2642DEF38CC}">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D41" authorId="0" shapeId="0" xr:uid="{AEBE74A0-8288-495B-87B7-D878BF7D810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E41" authorId="0" shapeId="0" xr:uid="{0F19E2B2-5A5F-4B9D-A743-D0A94BB29BDD}">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F41" authorId="0" shapeId="0" xr:uid="{1F7E35F4-2C2E-4EE0-90CD-D16F5DBEFF2D}">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G41" authorId="0" shapeId="0" xr:uid="{28620749-8CB2-485C-B454-224FC25632A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H41" authorId="0" shapeId="0" xr:uid="{27B016B4-5E0B-4D52-8B48-342CA69CF399}">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7E574E7-44AF-4647-9640-F24561253E3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B2" authorId="0" shapeId="0" xr:uid="{850BAAE8-8C1A-4012-8FB6-9CD5EBCE2B2E}">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C2" authorId="0" shapeId="0" xr:uid="{AA877B64-AC76-4C70-8B97-1FDD643568B5}">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D2" authorId="0" shapeId="0" xr:uid="{5F0026A9-2DDD-44A7-B967-4245F98535E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E2" authorId="0" shapeId="0" xr:uid="{C47B5962-8308-4D3A-BBE6-B12CB6778114}">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F2" authorId="0" shapeId="0" xr:uid="{FD4FF395-ECA0-4C80-8B5A-866D6B8C8D0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G2" authorId="0" shapeId="0" xr:uid="{F8A71593-6BBC-4A53-AE5A-7032495DFF84}">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H2" authorId="0" shapeId="0" xr:uid="{248772FD-C57A-405F-8DBB-B3965FD05089}">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176]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V46 &amp; L16 &amp; G13 &amp; S10 &amp; W3 &amp; X4 &amp; U5 &amp; O4</t>
        </r>
      </text>
    </comment>
    <comment ref="A3" authorId="0" shapeId="0" xr:uid="{FDB903BB-1921-439D-834F-DF39998F4D6A}">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B3" authorId="0" shapeId="0" xr:uid="{D387805C-FEB8-4884-B266-EF1983F4E6E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C3" authorId="0" shapeId="0" xr:uid="{F8A2CB5E-C895-4C02-B8D5-A89E6C83AD6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D3" authorId="0" shapeId="0" xr:uid="{8A74E052-22D1-4EC4-8664-C32DF15FB58C}">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E3" authorId="0" shapeId="0" xr:uid="{8F2BEA64-7B85-4299-B2F8-476A63F76E21}">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F3" authorId="0" shapeId="0" xr:uid="{97766C8A-7DCC-422C-857E-BC068B56B69E}">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G3" authorId="0" shapeId="0" xr:uid="{7C1631A5-F086-4BE3-85E1-06E0149A7A2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H3" authorId="0" shapeId="0" xr:uid="{E3359EED-0C2D-40F5-9F18-2F150A2AEA8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58.3%] - [</t>
        </r>
        <r>
          <rPr>
            <b/>
            <sz val="8.5"/>
            <color indexed="48"/>
            <rFont val="Calibri"/>
            <family val="2"/>
          </rPr>
          <t xml:space="preserve">SOLD </t>
        </r>
        <r>
          <rPr>
            <b/>
            <sz val="8.5"/>
            <color indexed="8"/>
            <rFont val="Calibri"/>
            <family val="2"/>
          </rPr>
          <t>» 98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Q3 &amp; K19 &amp; V10 &amp; L17 &amp; G35 &amp; S10 &amp; W3 &amp; O1</t>
        </r>
      </text>
    </comment>
    <comment ref="A5" authorId="0" shapeId="0" xr:uid="{B2591809-CF43-47D8-A3D0-FA70AA94E931}">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B5" authorId="0" shapeId="0" xr:uid="{BDFEF162-0F85-4F30-B9D7-BA41D5F34CE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C5" authorId="0" shapeId="0" xr:uid="{EBCCA8F6-3B49-45E8-ADCE-B30A372AC800}">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D5" authorId="0" shapeId="0" xr:uid="{458FC618-0859-44F2-9D98-52A5AC43E06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E5" authorId="0" shapeId="0" xr:uid="{6B55485E-148D-4BAD-A2D8-67A6ECB19B0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F5" authorId="0" shapeId="0" xr:uid="{EA8A32DB-8DE5-48CD-ACC1-828C749669C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G5" authorId="0" shapeId="0" xr:uid="{B982E231-8F51-48DC-8B0A-99DDA87ED40D}">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 ref="H5" authorId="0" shapeId="0" xr:uid="{57820D5D-0996-442E-A54F-01D52F77E170}">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48.8%] - [</t>
        </r>
        <r>
          <rPr>
            <b/>
            <sz val="8.5"/>
            <color indexed="48"/>
            <rFont val="Calibri"/>
            <family val="2"/>
          </rPr>
          <t xml:space="preserve">SOLD </t>
        </r>
        <r>
          <rPr>
            <b/>
            <sz val="8.5"/>
            <color indexed="8"/>
            <rFont val="Calibri"/>
            <family val="2"/>
          </rPr>
          <t>» 82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S19 &amp; W12 &amp; X8 &amp; U8 &amp; O8 &amp; I26</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75321E84-44D1-4A75-A451-D0500195C5B1}">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B13" authorId="0" shapeId="0" xr:uid="{18C89509-C125-401D-8800-065CA20C0FD8}">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C13" authorId="0" shapeId="0" xr:uid="{0C4BCC16-57E7-4570-BD5E-1D637642E4B0}">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D13" authorId="0" shapeId="0" xr:uid="{83C39BA6-4DBF-4CED-8EFC-CB66188B5B37}">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E13" authorId="0" shapeId="0" xr:uid="{4091CEA8-630F-440D-B7AF-BDDE8BCEFD82}">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F13" authorId="0" shapeId="0" xr:uid="{1A1AAE55-2554-4383-BBD4-A1E99BB5A6C9}">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G13" authorId="0" shapeId="0" xr:uid="{457DA580-BFE3-4924-972D-5C45C8FBBDB0}">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H13" authorId="0" shapeId="0" xr:uid="{EC09F97C-C576-457E-A9DA-C736C7B0AAFD}">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9956ABB5-5875-4417-A9AF-0A35FC1505C5}">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B13" authorId="0" shapeId="0" xr:uid="{A4EE3B94-05B7-4D8A-B544-6866CB811FE2}">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C13" authorId="0" shapeId="0" xr:uid="{CC278505-5D73-44E2-A29B-44E0FBF4C877}">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D13" authorId="0" shapeId="0" xr:uid="{0444F824-283A-4B1D-8439-38CBC60FC656}">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E13" authorId="0" shapeId="0" xr:uid="{28EF73D6-4E62-4308-9F0F-1E1E894EFBD9}">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F13" authorId="0" shapeId="0" xr:uid="{179EA6B1-A7EE-42E1-AEBC-F8024C0F3991}">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G13" authorId="0" shapeId="0" xr:uid="{490D626E-A741-41FC-ACEE-D40D7D2E8E2B}">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 ref="H13" authorId="0" shapeId="0" xr:uid="{7407DFFF-FBE0-4B4E-944B-733AAAEED65E}">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136 PAX]_x000D_
_x000D_
[</t>
        </r>
        <r>
          <rPr>
            <b/>
            <sz val="8.5"/>
            <color indexed="21"/>
            <rFont val="Calibri"/>
            <family val="2"/>
          </rPr>
          <t xml:space="preserve">WEEKLY </t>
        </r>
        <r>
          <rPr>
            <b/>
            <sz val="8.5"/>
            <color indexed="8"/>
            <rFont val="Calibri"/>
            <family val="2"/>
          </rPr>
          <t>» 61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S4]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S16 &amp; W20 &amp; T20 &amp; X20 &amp; U20 &amp; O20 &amp; I20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2ABA5684-4CB7-41A4-80A6-A8937B66E3B0}">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B2" authorId="0" shapeId="0" xr:uid="{18571532-919D-40B3-9BDB-F0733AE74346}">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C2" authorId="0" shapeId="0" xr:uid="{AA43CA0E-C636-4157-AD7A-796582BBEA7D}">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D2" authorId="0" shapeId="0" xr:uid="{06DD8BB7-0BE9-4331-8928-5F745F1D9ED4}">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E2" authorId="0" shapeId="0" xr:uid="{F1F470F8-020D-4E2B-8CA5-E4CDCC28FA38}">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F2" authorId="0" shapeId="0" xr:uid="{4EB0D8FC-B860-4E57-8250-C941F911CEB8}">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G2" authorId="0" shapeId="0" xr:uid="{0ACF6672-AFA4-4E73-8938-1470BC938BDC}">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H2" authorId="0" shapeId="0" xr:uid="{A71A0834-775D-45F7-903C-FFE51C2A90E8}">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A9" authorId="0" shapeId="0" xr:uid="{3C7D74F0-C358-4A75-9375-E705EDE39B85}">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B9" authorId="0" shapeId="0" xr:uid="{A0AA3955-5C84-411C-8DBC-0FFA0FECCE01}">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C9" authorId="0" shapeId="0" xr:uid="{05C88CD2-F7B8-497A-916A-B589088842E3}">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D9" authorId="0" shapeId="0" xr:uid="{1E022F2C-5512-4D1A-87AE-787386B183FD}">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E9" authorId="0" shapeId="0" xr:uid="{21CCD44B-C8E2-4244-B3DC-4CA535B3BB6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F9" authorId="0" shapeId="0" xr:uid="{DC92FDA2-754D-4064-BF07-30E29E1E39C6}">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G9" authorId="0" shapeId="0" xr:uid="{B78646E8-BBF5-42D7-BFB6-3B20138D2CE3}">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H9" authorId="0" shapeId="0" xr:uid="{FFBD862E-292F-4CBB-9AAC-77C3FABDB4BB}">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FB82F5E6-64AB-473F-B68F-BFBB61399136}">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B2" authorId="0" shapeId="0" xr:uid="{FC5BFA90-8573-43A4-A5A2-CE21B000AFC7}">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C2" authorId="0" shapeId="0" xr:uid="{313A5FA1-76CA-43C4-8819-15F711039185}">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D2" authorId="0" shapeId="0" xr:uid="{DF52EAE9-D4F1-46A9-8114-379B70381E24}">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E2" authorId="0" shapeId="0" xr:uid="{3A4A7796-0BEA-4DEA-A103-7096EF1CF0D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F2" authorId="0" shapeId="0" xr:uid="{7CD9E913-4627-4AA9-B9D9-8A5D53B742E4}">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G2" authorId="0" shapeId="0" xr:uid="{45182351-20CA-483C-B7F7-AABA9B5FB7C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H2" authorId="0" shapeId="0" xr:uid="{6C05F940-928A-4799-B338-2CF1A59F9C63}">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7 PAX]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V5]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V5 &amp; L20 &amp; G22 &amp; S20 &amp; W10 &amp; T16 &amp; X7 &amp; U10 &amp; O17 &amp; I18</t>
        </r>
      </text>
    </comment>
    <comment ref="A7" authorId="0" shapeId="0" xr:uid="{C09E28B8-0326-4C6E-AD7E-7F4BC35CFBDD}">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B7" authorId="0" shapeId="0" xr:uid="{6175AFC8-BC42-4729-A1EB-B6AB8F2A0EF9}">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C7" authorId="0" shapeId="0" xr:uid="{4C606CB7-9EF6-4B96-994B-E7DAD2C6B60F}">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D7" authorId="0" shapeId="0" xr:uid="{DEBF5B74-04DF-4C80-BADD-ABD17C7FFC65}">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E7" authorId="0" shapeId="0" xr:uid="{FAA80CB7-0B87-4144-8E46-7C7872F625D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F7" authorId="0" shapeId="0" xr:uid="{3330CBCD-B284-4EA0-BDA2-30054125D150}">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G7" authorId="0" shapeId="0" xr:uid="{99A124E2-D0E8-4F82-9DA5-53D85B6DDBA1}">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 ref="H7" authorId="0" shapeId="0" xr:uid="{8CDFE68B-6D18-49C4-BB46-B8B9DA5D1D1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69.1%] - [</t>
        </r>
        <r>
          <rPr>
            <b/>
            <sz val="8.5"/>
            <color indexed="48"/>
            <rFont val="Calibri"/>
            <family val="2"/>
          </rPr>
          <t xml:space="preserve">SOLD </t>
        </r>
        <r>
          <rPr>
            <b/>
            <sz val="8.5"/>
            <color indexed="8"/>
            <rFont val="Calibri"/>
            <family val="2"/>
          </rPr>
          <t>» 67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U3 &amp; O46 &amp; I18</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6095AB15-40DC-42E2-8038-4A227B46C19C}">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B6" authorId="0" shapeId="0" xr:uid="{1B9EAF04-CE37-4299-AC4F-B19A0E7D3C49}">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C6" authorId="0" shapeId="0" xr:uid="{BD2B0926-7172-40AE-88E4-BA23C7834032}">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D6" authorId="0" shapeId="0" xr:uid="{2E31794F-7153-4D27-A561-BD431AAC6D5F}">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E6" authorId="0" shapeId="0" xr:uid="{0DF2E043-218A-44A2-AC60-A057475A7BC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F6" authorId="0" shapeId="0" xr:uid="{EF5F9C6D-94B6-45AC-8AC6-FB7E06CC5F7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G6" authorId="0" shapeId="0" xr:uid="{79A1BD18-E627-4EE4-BAAB-2678CCA408F3}">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H6" authorId="0" shapeId="0" xr:uid="{E940E8B1-F809-486A-BDE2-8FCDD3EE36A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55A5B2A5-AD4F-4156-A1CB-1BD7DF84E989}">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B6" authorId="0" shapeId="0" xr:uid="{DD6169DA-5716-44C0-845D-8336702D2B5D}">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C6" authorId="0" shapeId="0" xr:uid="{12FDDFD2-76D6-4821-9E72-D6AA9ABE405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D6" authorId="0" shapeId="0" xr:uid="{EBA1FFC3-27C0-4D42-9069-9442328B45D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E6" authorId="0" shapeId="0" xr:uid="{6D28634D-96BD-4509-B9F0-2062E1486E2F}">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F6" authorId="0" shapeId="0" xr:uid="{75043326-AB56-4E26-8494-D03C21C1B4A5}">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G6" authorId="0" shapeId="0" xr:uid="{43948135-70F4-4F02-B8C6-49C294A69E9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 ref="H6" authorId="0" shapeId="0" xr:uid="{73811E83-1049-4525-96CE-B6214B7CA428}">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38.1%]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 &amp; T6 &amp; X8 &amp; U10 &amp; O11 &amp; I27</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7B702B5-266B-43A5-A00E-D210A48A498F}">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B2" authorId="0" shapeId="0" xr:uid="{572C247B-9DB2-43B3-98EE-5A3DCD12BC2D}">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C2" authorId="0" shapeId="0" xr:uid="{4BD1EC8B-D1A5-42C0-8181-907F8203D82D}">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D2" authorId="0" shapeId="0" xr:uid="{5DFC15F0-081E-4E34-9C36-509D0D44A1B1}">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E2" authorId="0" shapeId="0" xr:uid="{05601B57-BF4C-446E-A114-3A67B66B7DE5}">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F2" authorId="0" shapeId="0" xr:uid="{E7B401F2-40A4-4F17-A69C-DF79921A1B1B}">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G2" authorId="0" shapeId="0" xr:uid="{58159092-969D-4860-A413-4CF50F7AA521}">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H2" authorId="0" shapeId="0" xr:uid="{6DD128CC-BD0E-4CF6-879B-F3F1DB14663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A4" authorId="0" shapeId="0" xr:uid="{A8893679-94D0-47BC-8F60-34DEFAC58420}">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B4" authorId="0" shapeId="0" xr:uid="{9A637BDF-8D3F-4160-9F5A-A4B2B1B77E99}">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C4" authorId="0" shapeId="0" xr:uid="{CBF3AB66-E52D-4403-B4AB-88C59F14A375}">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D4" authorId="0" shapeId="0" xr:uid="{D69AC2FF-4AAC-4BFF-AA60-816C01E73244}">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E4" authorId="0" shapeId="0" xr:uid="{7A527638-F847-4046-B7AF-C36AB3CC4D42}">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F4" authorId="0" shapeId="0" xr:uid="{B943B419-45BF-4DBD-9BB9-F8F933B99549}">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G4" authorId="0" shapeId="0" xr:uid="{4721AB27-A0F4-4C83-A0CF-281AF094C2F5}">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H4" authorId="0" shapeId="0" xr:uid="{1455A732-DBB4-4280-B400-986B6931DEF8}">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A861F667-73F6-4C7E-AC9E-FE43A23166B6}">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B2" authorId="0" shapeId="0" xr:uid="{EE3E6309-6765-4CC7-8403-6E79BDF2A438}">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C2" authorId="0" shapeId="0" xr:uid="{DEC25D64-C910-4210-9AE7-BC7FB4A7F844}">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D2" authorId="0" shapeId="0" xr:uid="{5752CFA1-C941-4D23-ACCA-93507270FBC1}">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E2" authorId="0" shapeId="0" xr:uid="{62F21061-A2EC-4ACE-BCF4-6826DF978CFC}">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F2" authorId="0" shapeId="0" xr:uid="{E109495C-727D-4069-9924-D78B835B9962}">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G2" authorId="0" shapeId="0" xr:uid="{E07335C1-2C4E-40DD-95BB-15031FACA8FC}">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H2" authorId="0" shapeId="0" xr:uid="{FE7E8EBB-36C5-4DE2-80A0-F8E461AA0C2F}">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91.7%] - [</t>
        </r>
        <r>
          <rPr>
            <b/>
            <sz val="8.5"/>
            <color indexed="48"/>
            <rFont val="Calibri"/>
            <family val="2"/>
          </rPr>
          <t xml:space="preserve">SOLD </t>
        </r>
        <r>
          <rPr>
            <b/>
            <sz val="8.5"/>
            <color indexed="8"/>
            <rFont val="Calibri"/>
            <family val="2"/>
          </rPr>
          <t>» 154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Q1 &amp; K3 &amp; V42 &amp; L2 &amp; G14 &amp; S18 &amp; W4 &amp; T15 &amp; X1 &amp; U11 &amp; O23 &amp; I20</t>
        </r>
      </text>
    </comment>
    <comment ref="A3" authorId="0" shapeId="0" xr:uid="{5A3D3805-220C-4FD1-AB8D-9049593157AE}">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B3" authorId="0" shapeId="0" xr:uid="{ACE99226-8F9B-4C9B-9412-0EE16624A3A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C3" authorId="0" shapeId="0" xr:uid="{EDAC32BD-D5A4-42BC-A0DA-43AE3EC42BE0}">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D3" authorId="0" shapeId="0" xr:uid="{4A37D454-DB4B-4DE0-94C6-0DB72CED6DFA}">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E3" authorId="0" shapeId="0" xr:uid="{10A24BAE-5940-41E7-B6F8-23AB5A113B59}">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F3" authorId="0" shapeId="0" xr:uid="{DB2A3B86-CDF5-41F7-B4DC-C4923CA0386A}">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G3" authorId="0" shapeId="0" xr:uid="{E660EB54-0210-41A2-8D0D-05D4F6A5DA52}">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 ref="H3" authorId="0" shapeId="0" xr:uid="{15BD93AD-3FC1-46FE-AF0D-E2AD8D40DBFF}">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125 PAX]_x000D_
_x000D_
[</t>
        </r>
        <r>
          <rPr>
            <b/>
            <sz val="8.5"/>
            <color indexed="21"/>
            <rFont val="Calibri"/>
            <family val="2"/>
          </rPr>
          <t xml:space="preserve">WEEKLY </t>
        </r>
        <r>
          <rPr>
            <b/>
            <sz val="8.5"/>
            <color indexed="8"/>
            <rFont val="Calibri"/>
            <family val="2"/>
          </rPr>
          <t>» 77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T22 &amp; X4 &amp; U20 &amp; O77 &amp; I2</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30D01C47-D0D3-4323-A68E-2A0B0D12D246}">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B5" authorId="0" shapeId="0" xr:uid="{267DE301-B81A-4F8E-8BBC-163E404133D9}">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C5" authorId="0" shapeId="0" xr:uid="{E60D3C68-89A7-4A7C-87C7-441D53B7060D}">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D5" authorId="0" shapeId="0" xr:uid="{DBA040B3-FA02-4872-B809-1A9390170B8A}">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E5" authorId="0" shapeId="0" xr:uid="{8F194B85-2F24-46B0-A3B8-CA32C547AF66}">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F5" authorId="0" shapeId="0" xr:uid="{B846FF92-A807-4DBF-9696-1DAE868BBC5C}">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G5" authorId="0" shapeId="0" xr:uid="{B3291AE4-2DCE-4E16-A3D5-577CECC7EF93}">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H5" authorId="0" shapeId="0" xr:uid="{A250C7F7-5595-4C41-B353-C182C33B18DF}">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946D9020-6BE3-4D3D-B98F-525B85E4CD98}">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B5" authorId="0" shapeId="0" xr:uid="{3144781D-B83C-4E0D-9CC4-ECC83CD2C1C1}">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C5" authorId="0" shapeId="0" xr:uid="{214B13AD-4F40-457C-8913-73F95C62ED44}">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D5" authorId="0" shapeId="0" xr:uid="{576D5965-D999-475C-9802-356C6A9DF4F7}">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E5" authorId="0" shapeId="0" xr:uid="{4C9D8319-D924-4387-A6FD-41A70D097849}">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F5" authorId="0" shapeId="0" xr:uid="{EA9E71DE-3551-402B-B42B-D50A64DE8925}">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G5" authorId="0" shapeId="0" xr:uid="{70D7C18F-BA27-4A21-BAB4-BFCCBC457310}">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 ref="H5" authorId="0" shapeId="0" xr:uid="{30641661-DE53-44C8-989A-E05B179260F3}">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85.1%]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80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X3]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S13 &amp; W3 &amp; T8 &amp; X22 &amp; U15 &amp; O52 &amp; I8</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F92B82A7-00AF-4DBB-9CB6-92E2BB4869B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B4" authorId="0" shapeId="0" xr:uid="{27B01821-BA47-4D95-9A87-36FFFCDA604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C4" authorId="0" shapeId="0" xr:uid="{32CD2438-2038-4A87-B287-8C40F5A62A26}">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D4" authorId="0" shapeId="0" xr:uid="{E86D4234-CC62-4C29-8998-9465F63D882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E4" authorId="0" shapeId="0" xr:uid="{A29D40C6-813B-43E1-9F41-BF3759E42B1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F4" authorId="0" shapeId="0" xr:uid="{DE89E656-C727-49D5-BD05-83D3FBDBFF9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G4" authorId="0" shapeId="0" xr:uid="{D42456C9-B3F5-4D65-BDA1-8C81C42ABBA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H4" authorId="0" shapeId="0" xr:uid="{27F413A8-240B-4E34-96CD-8291101CD07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A5" authorId="0" shapeId="0" xr:uid="{2B7B89B7-B07E-4B65-B364-F549AE1A9B9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B5" authorId="0" shapeId="0" xr:uid="{C25523C6-5CD0-424C-A633-872ADDBCCC0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C5" authorId="0" shapeId="0" xr:uid="{6C25F6F4-CC7C-47E0-8828-3FB5C743A79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D5" authorId="0" shapeId="0" xr:uid="{58C2821C-0F2A-4AFD-A03C-3A8EAE9F48F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E5" authorId="0" shapeId="0" xr:uid="{C02DF822-3FD7-42CF-8AA7-A5AE1D2181A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F5" authorId="0" shapeId="0" xr:uid="{5A28B31C-EA82-468A-91E4-CCB202C3DE65}">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G5" authorId="0" shapeId="0" xr:uid="{94B69AC5-0179-4688-BA19-1C551DE9353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H5" authorId="0" shapeId="0" xr:uid="{45345EB4-D22B-4C15-8C1E-084D0D561A52}">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A6" authorId="0" shapeId="0" xr:uid="{DDAB70E3-8317-48B2-96E0-8408F95D7AE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B6" authorId="0" shapeId="0" xr:uid="{5A494866-FF71-4F72-A078-4AD709B987D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C6" authorId="0" shapeId="0" xr:uid="{4DCDA761-D8C4-4096-B665-E0892EBF8825}">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D6" authorId="0" shapeId="0" xr:uid="{7561AC07-E73D-4F85-852B-465EF9906274}">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E6" authorId="0" shapeId="0" xr:uid="{95E2567C-DDC3-4496-A96B-CD7438FC843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F6" authorId="0" shapeId="0" xr:uid="{10C78133-10F9-41C5-B37A-DFA1BE82809C}">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G6" authorId="0" shapeId="0" xr:uid="{21417D91-1232-4291-8844-A492B5FB370C}">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H6" authorId="0" shapeId="0" xr:uid="{61DE7084-E41E-4CF8-BFBB-37894440C89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7AD8BAB5-FEA7-4C27-8D76-ABE6A18534E5}">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B2" authorId="0" shapeId="0" xr:uid="{03E494FD-6C9F-4CEF-9B0A-DA408C22B4B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C2" authorId="0" shapeId="0" xr:uid="{3E9C3A37-B082-4E44-965C-0BDE89DBE75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D2" authorId="0" shapeId="0" xr:uid="{7F32607C-944C-4DBD-8EB3-E824262B79A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E2" authorId="0" shapeId="0" xr:uid="{F00C04C3-2C95-4BBC-B2BB-255E29D71560}">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F2" authorId="0" shapeId="0" xr:uid="{67613E61-5A44-468E-8D88-54811689A616}">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G2" authorId="0" shapeId="0" xr:uid="{2CDA8144-4F2C-4A4E-990E-5A3A2A863F3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H2" authorId="0" shapeId="0" xr:uid="{A07BB9B2-361D-4797-8406-75078E288CC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V1 &amp; G10 &amp; S16 &amp; W30 &amp; T43 &amp; X35 &amp; U10 &amp; O10 &amp; I20</t>
        </r>
      </text>
    </comment>
    <comment ref="A3" authorId="0" shapeId="0" xr:uid="{E004D522-64A7-4AE9-8BC3-22198E053182}">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B3" authorId="0" shapeId="0" xr:uid="{4FAC2464-32BD-496B-8602-A94CBF92670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C3" authorId="0" shapeId="0" xr:uid="{704FCE67-8BBB-4A95-989D-1BBAECE83E7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D3" authorId="0" shapeId="0" xr:uid="{B991001F-81D4-4E82-ACB4-650E94CD0B71}">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E3" authorId="0" shapeId="0" xr:uid="{12412668-02D8-4686-92AB-EEA28328977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F3" authorId="0" shapeId="0" xr:uid="{9A806BF1-7865-47FC-BAA9-28DD4954E81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G3" authorId="0" shapeId="0" xr:uid="{D4C32F8E-8FCA-4AC9-A6FD-4FF5DB683294}">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H3" authorId="0" shapeId="0" xr:uid="{ABEC2848-AD5C-4026-A375-28F607461C7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92.7%] - [</t>
        </r>
        <r>
          <rPr>
            <b/>
            <sz val="8.5"/>
            <color indexed="48"/>
            <rFont val="Calibri"/>
            <family val="2"/>
          </rPr>
          <t xml:space="preserve">SOLD </t>
        </r>
        <r>
          <rPr>
            <b/>
            <sz val="8.5"/>
            <color indexed="8"/>
            <rFont val="Calibri"/>
            <family val="2"/>
          </rPr>
          <t>» 166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S56 &amp; W47 &amp; T9 &amp; X18 &amp; U15 &amp; O10 &amp; I5</t>
        </r>
      </text>
    </comment>
    <comment ref="A4" authorId="0" shapeId="0" xr:uid="{AFE04053-BE9F-4A7F-A30D-078C9396FDB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B4" authorId="0" shapeId="0" xr:uid="{7C38D130-AF45-4B63-86B9-2BC19D54066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C4" authorId="0" shapeId="0" xr:uid="{399A98C8-981F-4CB1-A48C-1857D628D76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D4" authorId="0" shapeId="0" xr:uid="{F2A2E009-FC58-43F4-B2C5-DB7ACD73D43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E4" authorId="0" shapeId="0" xr:uid="{9C04F54E-2CFE-4093-8F91-C0E5CE1D4FD4}">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F4" authorId="0" shapeId="0" xr:uid="{FA86B4DF-59B8-4BFB-92F1-8FB42D7E6171}">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G4" authorId="0" shapeId="0" xr:uid="{B41A627D-80B2-449E-B77C-3E1CFABD162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 ref="H4" authorId="0" shapeId="0" xr:uid="{AF11B431-C9BD-4E55-BF7F-FE1EFB37FDE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S21 &amp; W32 &amp; T9 &amp; X10 &amp; U18 &amp; P73</t>
        </r>
      </text>
    </comment>
  </commentList>
</comments>
</file>

<file path=xl/sharedStrings.xml><?xml version="1.0" encoding="utf-8"?>
<sst xmlns="http://schemas.openxmlformats.org/spreadsheetml/2006/main" count="11080" uniqueCount="914">
  <si>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</si>
  <si>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</si>
  <si>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</si>
  <si>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</si>
  <si>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</si>
  <si>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</si>
  <si>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</si>
  <si>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</si>
  <si>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</si>
  <si>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</si>
  <si>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</si>
  <si>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</si>
  <si>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</si>
  <si>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</si>
  <si>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</si>
  <si>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</si>
  <si>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</si>
  <si>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</si>
  <si>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</si>
  <si>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</si>
  <si>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</si>
  <si>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</si>
  <si>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</si>
  <si>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</si>
  <si>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</si>
  <si>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</si>
  <si>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</si>
  <si>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F3-769</t>
  </si>
  <si>
    <t>Check-in: 15 KG</t>
  </si>
  <si>
    <r>
      <rPr>
        <b/>
        <i/>
        <sz val="13"/>
        <color rgb="FFBC0000"/>
        <rFont val="Calibri"/>
        <family val="2"/>
      </rPr>
      <t>12</t>
    </r>
    <r>
      <rPr>
        <b/>
        <i/>
        <sz val="10"/>
        <color rgb="FFBC0000"/>
        <rFont val="Calibri"/>
        <family val="2"/>
      </rPr>
      <t xml:space="preserve"> FOR SAME CLASS</t>
    </r>
  </si>
  <si>
    <t>559 SAR</t>
  </si>
  <si>
    <t>Cabin: 10 KG / Check-in: 25 KG</t>
  </si>
  <si>
    <r>
      <rPr>
        <i/>
        <sz val="13"/>
        <rFont val="Calibri"/>
        <family val="2"/>
      </rPr>
      <t>12</t>
    </r>
    <r>
      <rPr>
        <i/>
        <sz val="10"/>
        <rFont val="Calibri"/>
        <family val="2"/>
      </rPr>
      <t xml:space="preserve"> FOR SAME CLASS</t>
    </r>
  </si>
  <si>
    <t>709 SAR</t>
  </si>
  <si>
    <t>Cabin: 10 KG / Check-in: 2 x 40 KG</t>
  </si>
  <si>
    <t>1,099 SAR</t>
  </si>
  <si>
    <t>flynas</t>
  </si>
  <si>
    <t>XY-793</t>
  </si>
  <si>
    <t>Cabin: 7 KG / Check-in: 20 KG</t>
  </si>
  <si>
    <r>
      <rPr>
        <b/>
        <i/>
        <sz val="13"/>
        <color rgb="FFBC0000"/>
        <rFont val="Calibri"/>
        <family val="2"/>
      </rPr>
      <t>6</t>
    </r>
    <r>
      <rPr>
        <b/>
        <i/>
        <sz val="10"/>
        <color rgb="FFBC0000"/>
        <rFont val="Calibri"/>
        <family val="2"/>
      </rPr>
      <t xml:space="preserve"> FOR SAME CLASS</t>
    </r>
  </si>
  <si>
    <t>609 SAR</t>
  </si>
  <si>
    <t>Cabin: 7 KG / Check-in: 30 KG</t>
  </si>
  <si>
    <r>
      <rPr>
        <i/>
        <sz val="13"/>
        <rFont val="Calibri"/>
        <family val="2"/>
      </rPr>
      <t>6</t>
    </r>
    <r>
      <rPr>
        <i/>
        <sz val="10"/>
        <rFont val="Calibri"/>
        <family val="2"/>
      </rPr>
      <t xml:space="preserve"> FOR SAME CLASS</t>
    </r>
  </si>
  <si>
    <t>Cabin: 7 KG / Check-in: 2 x 40 KG</t>
  </si>
  <si>
    <t>799 SAR</t>
  </si>
  <si>
    <t>XY-576</t>
  </si>
  <si>
    <r>
      <rPr>
        <b/>
        <i/>
        <sz val="13"/>
        <rFont val="Calibri"/>
        <family val="2"/>
      </rPr>
      <t>9</t>
    </r>
    <r>
      <rPr>
        <b/>
        <i/>
        <sz val="10"/>
        <rFont val="Calibri"/>
        <family val="2"/>
      </rPr>
      <t xml:space="preserve"> FOR SAME CLASS</t>
    </r>
  </si>
  <si>
    <t>689 SAR</t>
  </si>
  <si>
    <r>
      <rPr>
        <i/>
        <sz val="13"/>
        <rFont val="Calibri"/>
        <family val="2"/>
      </rPr>
      <t>9</t>
    </r>
    <r>
      <rPr>
        <i/>
        <sz val="10"/>
        <rFont val="Calibri"/>
        <family val="2"/>
      </rPr>
      <t xml:space="preserve"> FOR SAME CLASS</t>
    </r>
  </si>
  <si>
    <t>789 SAR</t>
  </si>
  <si>
    <t>879 SAR</t>
  </si>
  <si>
    <t>EgyptAir</t>
  </si>
  <si>
    <t>MS-676</t>
  </si>
  <si>
    <t>Cabin: 7 KG | Check-in: 2 PIECE</t>
  </si>
  <si>
    <r>
      <rPr>
        <b/>
        <i/>
        <sz val="13"/>
        <color rgb="FFBC0000"/>
        <rFont val="Calibri"/>
        <family val="2"/>
      </rPr>
      <t>+9</t>
    </r>
    <r>
      <rPr>
        <b/>
        <i/>
        <sz val="10"/>
        <color rgb="FFBC0000"/>
        <rFont val="Calibri"/>
        <family val="2"/>
      </rPr>
      <t xml:space="preserve"> FOR SAME CLASS</t>
    </r>
  </si>
  <si>
    <t>902 SAR</t>
  </si>
  <si>
    <t>MS-694</t>
  </si>
  <si>
    <r>
      <rPr>
        <b/>
        <i/>
        <sz val="13"/>
        <rFont val="Calibri"/>
        <family val="2"/>
      </rPr>
      <t>+9</t>
    </r>
    <r>
      <rPr>
        <b/>
        <i/>
        <sz val="10"/>
        <rFont val="Calibri"/>
        <family val="2"/>
      </rPr>
      <t xml:space="preserve"> FOR SAME CLASS</t>
    </r>
  </si>
  <si>
    <t>MS-696</t>
  </si>
  <si>
    <t>MS-678</t>
  </si>
  <si>
    <r>
      <rPr>
        <b/>
        <i/>
        <sz val="13"/>
        <rFont val="Calibri"/>
        <family val="2"/>
      </rPr>
      <t>6</t>
    </r>
    <r>
      <rPr>
        <b/>
        <i/>
        <sz val="10"/>
        <rFont val="Calibri"/>
        <family val="2"/>
      </rPr>
      <t xml:space="preserve"> FOR SAME CLASS</t>
    </r>
  </si>
  <si>
    <t>1,262 SAR</t>
  </si>
  <si>
    <t>MS-640</t>
  </si>
  <si>
    <t>1,802 SAR</t>
  </si>
  <si>
    <t>Saudia</t>
  </si>
  <si>
    <t>SV-319</t>
  </si>
  <si>
    <t>Cabin: 7 KG / Check-in: 23 KG</t>
  </si>
  <si>
    <t>1,609 SAR</t>
  </si>
  <si>
    <t>Cabin: 7 KG / Check-in: 2 x 46 KG</t>
  </si>
  <si>
    <r>
      <rPr>
        <i/>
        <sz val="13"/>
        <rFont val="Calibri"/>
        <family val="2"/>
      </rPr>
      <t>+9</t>
    </r>
    <r>
      <rPr>
        <i/>
        <sz val="10"/>
        <rFont val="Calibri"/>
        <family val="2"/>
      </rPr>
      <t xml:space="preserve"> FOR SAME CLASS</t>
    </r>
  </si>
  <si>
    <t>1,750 SAR</t>
  </si>
  <si>
    <t>SV-391</t>
  </si>
  <si>
    <t>SV-6903</t>
  </si>
  <si>
    <r>
      <rPr>
        <b/>
        <i/>
        <sz val="13"/>
        <rFont val="Calibri"/>
        <family val="2"/>
      </rPr>
      <t>4</t>
    </r>
    <r>
      <rPr>
        <b/>
        <i/>
        <sz val="10"/>
        <rFont val="Calibri"/>
        <family val="2"/>
      </rPr>
      <t xml:space="preserve"> FOR SAME CLASS</t>
    </r>
  </si>
  <si>
    <t>1,651 SAR</t>
  </si>
  <si>
    <t>SV-381</t>
  </si>
  <si>
    <r>
      <rPr>
        <b/>
        <i/>
        <sz val="13"/>
        <rFont val="Calibri"/>
        <family val="2"/>
      </rPr>
      <t>1</t>
    </r>
    <r>
      <rPr>
        <b/>
        <i/>
        <sz val="10"/>
        <rFont val="Calibri"/>
        <family val="2"/>
      </rPr>
      <t xml:space="preserve"> FOR SAME CLASS</t>
    </r>
  </si>
  <si>
    <t>2,165 SAR</t>
  </si>
  <si>
    <r>
      <rPr>
        <i/>
        <sz val="13"/>
        <rFont val="Calibri"/>
        <family val="2"/>
      </rPr>
      <t>1</t>
    </r>
    <r>
      <rPr>
        <i/>
        <sz val="10"/>
        <rFont val="Calibri"/>
        <family val="2"/>
      </rPr>
      <t xml:space="preserve"> FOR SAME CLASS</t>
    </r>
  </si>
  <si>
    <t>2,305 SAR</t>
  </si>
  <si>
    <t>Air Cairo</t>
  </si>
  <si>
    <t>SM494</t>
  </si>
  <si>
    <t>30KG + 7KG CABIN</t>
  </si>
  <si>
    <t>FULLY BOOKED</t>
  </si>
  <si>
    <t>2025-11-15T00:00:00</t>
  </si>
  <si>
    <t>CLOSED</t>
  </si>
  <si>
    <t>Q11 &amp; L4 &amp; G6 &amp; S6 &amp; W8 &amp; T9 &amp; X8 &amp; U8 &amp; O9 &amp; I16 &amp; P92 &amp; N2</t>
  </si>
  <si>
    <t>1,122 SAR</t>
  </si>
  <si>
    <r>
      <rPr>
        <b/>
        <i/>
        <sz val="13"/>
        <color rgb="FFBC0000"/>
        <rFont val="Calibri"/>
        <family val="2"/>
      </rPr>
      <t>4</t>
    </r>
    <r>
      <rPr>
        <b/>
        <i/>
        <sz val="10"/>
        <color rgb="FFBC0000"/>
        <rFont val="Calibri"/>
        <family val="2"/>
      </rPr>
      <t xml:space="preserve"> FOR SAME CLASS</t>
    </r>
  </si>
  <si>
    <r>
      <rPr>
        <b/>
        <i/>
        <sz val="13"/>
        <rFont val="Calibri"/>
        <family val="2"/>
      </rPr>
      <t>7</t>
    </r>
    <r>
      <rPr>
        <b/>
        <i/>
        <sz val="10"/>
        <rFont val="Calibri"/>
        <family val="2"/>
      </rPr>
      <t xml:space="preserve"> FOR SAME CLASS</t>
    </r>
  </si>
  <si>
    <t>1,868 SAR</t>
  </si>
  <si>
    <r>
      <rPr>
        <i/>
        <sz val="13"/>
        <rFont val="Calibri"/>
        <family val="2"/>
      </rPr>
      <t>7</t>
    </r>
    <r>
      <rPr>
        <i/>
        <sz val="10"/>
        <rFont val="Calibri"/>
        <family val="2"/>
      </rPr>
      <t xml:space="preserve"> FOR SAME CLASS</t>
    </r>
  </si>
  <si>
    <t>2,009 SAR</t>
  </si>
  <si>
    <r>
      <rPr>
        <i/>
        <sz val="13"/>
        <rFont val="Calibri"/>
        <family val="2"/>
      </rPr>
      <t>4</t>
    </r>
    <r>
      <rPr>
        <i/>
        <sz val="10"/>
        <rFont val="Calibri"/>
        <family val="2"/>
      </rPr>
      <t xml:space="preserve"> FOR SAME CLASS</t>
    </r>
  </si>
  <si>
    <r>
      <rPr>
        <b/>
        <i/>
        <sz val="13"/>
        <color rgb="FFBC0000"/>
        <rFont val="Calibri"/>
        <family val="2"/>
      </rPr>
      <t>2</t>
    </r>
    <r>
      <rPr>
        <b/>
        <i/>
        <sz val="10"/>
        <color rgb="FFBC0000"/>
        <rFont val="Calibri"/>
        <family val="2"/>
      </rPr>
      <t xml:space="preserve"> FOR SAME CLASS</t>
    </r>
  </si>
  <si>
    <r>
      <rPr>
        <i/>
        <sz val="13"/>
        <rFont val="Calibri"/>
        <family val="2"/>
      </rPr>
      <t>2</t>
    </r>
    <r>
      <rPr>
        <i/>
        <sz val="10"/>
        <rFont val="Calibri"/>
        <family val="2"/>
      </rPr>
      <t xml:space="preserve"> FOR SAME CLASS</t>
    </r>
  </si>
  <si>
    <r>
      <rPr>
        <b/>
        <i/>
        <sz val="13"/>
        <rFont val="Calibri"/>
        <family val="2"/>
      </rPr>
      <t>3</t>
    </r>
    <r>
      <rPr>
        <b/>
        <i/>
        <sz val="10"/>
        <rFont val="Calibri"/>
        <family val="2"/>
      </rPr>
      <t xml:space="preserve"> FOR SAME CLASS</t>
    </r>
  </si>
  <si>
    <r>
      <rPr>
        <i/>
        <sz val="13"/>
        <rFont val="Calibri"/>
        <family val="2"/>
      </rPr>
      <t>3</t>
    </r>
    <r>
      <rPr>
        <i/>
        <sz val="10"/>
        <rFont val="Calibri"/>
        <family val="2"/>
      </rPr>
      <t xml:space="preserve"> FOR SAME CLASS</t>
    </r>
  </si>
  <si>
    <r>
      <rPr>
        <b/>
        <i/>
        <sz val="13"/>
        <color rgb="FFBC0000"/>
        <rFont val="Calibri"/>
        <family val="2"/>
      </rPr>
      <t>8</t>
    </r>
    <r>
      <rPr>
        <b/>
        <i/>
        <sz val="10"/>
        <color rgb="FFBC0000"/>
        <rFont val="Calibri"/>
        <family val="2"/>
      </rPr>
      <t xml:space="preserve"> FOR SAME CLASS</t>
    </r>
  </si>
  <si>
    <t>619 SAR</t>
  </si>
  <si>
    <r>
      <rPr>
        <i/>
        <sz val="13"/>
        <rFont val="Calibri"/>
        <family val="2"/>
      </rPr>
      <t>8</t>
    </r>
    <r>
      <rPr>
        <i/>
        <sz val="10"/>
        <rFont val="Calibri"/>
        <family val="2"/>
      </rPr>
      <t xml:space="preserve"> FOR SAME CLASS</t>
    </r>
  </si>
  <si>
    <t>769 SAR</t>
  </si>
  <si>
    <t>1,002 SAR</t>
  </si>
  <si>
    <r>
      <rPr>
        <b/>
        <i/>
        <sz val="13"/>
        <rFont val="Calibri"/>
        <family val="2"/>
      </rPr>
      <t>2</t>
    </r>
    <r>
      <rPr>
        <b/>
        <i/>
        <sz val="10"/>
        <rFont val="Calibri"/>
        <family val="2"/>
      </rPr>
      <t xml:space="preserve"> FOR SAME CLASS</t>
    </r>
  </si>
  <si>
    <r>
      <rPr>
        <b/>
        <i/>
        <sz val="13"/>
        <color rgb="FFBC0000"/>
        <rFont val="Calibri"/>
        <family val="2"/>
      </rPr>
      <t>1</t>
    </r>
    <r>
      <rPr>
        <b/>
        <i/>
        <sz val="10"/>
        <color rgb="FFBC0000"/>
        <rFont val="Calibri"/>
        <family val="2"/>
      </rPr>
      <t xml:space="preserve"> FOR SAME CLASS</t>
    </r>
  </si>
  <si>
    <t>1,385 SAR</t>
  </si>
  <si>
    <t>1,525 SAR</t>
  </si>
  <si>
    <t>2025-11-13T00:00:00</t>
  </si>
  <si>
    <t>Q4 &amp; T3 &amp; X5 &amp; U9 &amp; O7 &amp; I17 &amp; P130 &amp; N4</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</si>
  <si>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</si>
  <si>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</si>
  <si>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</si>
  <si>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</si>
  <si>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</si>
  <si>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</si>
  <si>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</si>
  <si>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</si>
  <si>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</si>
  <si>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</si>
  <si>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</si>
  <si>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</si>
  <si>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</si>
  <si>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</si>
  <si>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</si>
  <si>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</si>
  <si>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</si>
  <si>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</si>
  <si>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</si>
  <si>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</si>
  <si>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</si>
  <si>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</si>
  <si>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</si>
  <si>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</si>
  <si>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</si>
  <si>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</si>
  <si>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</si>
  <si>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</si>
  <si>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</si>
  <si>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</si>
  <si>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12:55</t>
  </si>
  <si>
    <t>320</t>
  </si>
  <si>
    <t>UPCOMING</t>
  </si>
  <si>
    <t>Q11</t>
  </si>
  <si>
    <t>L4</t>
  </si>
  <si>
    <t>G6</t>
  </si>
  <si>
    <t>S6</t>
  </si>
  <si>
    <t>W8</t>
  </si>
  <si>
    <t>T9</t>
  </si>
  <si>
    <t>X8</t>
  </si>
  <si>
    <t>U8</t>
  </si>
  <si>
    <t>O9</t>
  </si>
  <si>
    <t>I16</t>
  </si>
  <si>
    <t>P92</t>
  </si>
  <si>
    <t>N2</t>
  </si>
  <si>
    <t>SATURDAY</t>
  </si>
  <si>
    <t>09:30</t>
  </si>
  <si>
    <t>Q4</t>
  </si>
  <si>
    <t>T3</t>
  </si>
  <si>
    <t>X5</t>
  </si>
  <si>
    <t>U9</t>
  </si>
  <si>
    <t>O7</t>
  </si>
  <si>
    <t>I17</t>
  </si>
  <si>
    <t>P130</t>
  </si>
  <si>
    <t>N4</t>
  </si>
  <si>
    <t>DATE</t>
  </si>
  <si>
    <t>ROUTE</t>
  </si>
  <si>
    <t>2025-11-20</t>
  </si>
  <si>
    <t>10:05</t>
  </si>
  <si>
    <t>08:30</t>
  </si>
  <si>
    <t>18:10</t>
  </si>
  <si>
    <t>02:35</t>
  </si>
  <si>
    <t>05:20</t>
  </si>
  <si>
    <t>10:40</t>
  </si>
  <si>
    <t>20:30</t>
  </si>
  <si>
    <t>14:30</t>
  </si>
  <si>
    <t>02:05</t>
  </si>
  <si>
    <t>13:15</t>
  </si>
  <si>
    <t>19:05</t>
  </si>
  <si>
    <t>MED-HBE</t>
  </si>
  <si>
    <t>MS-680</t>
  </si>
  <si>
    <t>923 SAR</t>
  </si>
  <si>
    <t>SM-486</t>
  </si>
  <si>
    <t>Cabin: 7 KG | Check-in: 40 KG</t>
  </si>
  <si>
    <r>
      <rPr>
        <b/>
        <i/>
        <sz val="13"/>
        <color rgb="FFBC0000"/>
        <rFont val="Calibri"/>
        <family val="2"/>
      </rPr>
      <t>3</t>
    </r>
    <r>
      <rPr>
        <b/>
        <i/>
        <sz val="10"/>
        <color rgb="FFBC0000"/>
        <rFont val="Calibri"/>
        <family val="2"/>
      </rPr>
      <t xml:space="preserve"> FOR SAME CLASS</t>
    </r>
  </si>
  <si>
    <t>992 SAR</t>
  </si>
  <si>
    <t>SM486</t>
  </si>
  <si>
    <t>2025-11-18T00:00:00</t>
  </si>
  <si>
    <t>K3</t>
  </si>
  <si>
    <t>K2 &amp; V5 &amp; L13 &amp; G4 &amp; S5 &amp; X4 &amp; U9 &amp; O10 &amp; I5 &amp; P110</t>
  </si>
  <si>
    <t>Indirect competition route MED – CAI - diversion ratio &amp; passenger leakage</t>
  </si>
  <si>
    <t>12 FOR SAME CLASS</t>
  </si>
  <si>
    <t>6 FOR SAME CLASS</t>
  </si>
  <si>
    <t>9 FOR SAME CLASS</t>
  </si>
  <si>
    <t>+9 FOR SAME CLASS</t>
  </si>
  <si>
    <t>15:30</t>
  </si>
  <si>
    <t>K2</t>
  </si>
  <si>
    <t>V5</t>
  </si>
  <si>
    <t>L13</t>
  </si>
  <si>
    <t>G4</t>
  </si>
  <si>
    <t>S5</t>
  </si>
  <si>
    <t>X4</t>
  </si>
  <si>
    <t>O10</t>
  </si>
  <si>
    <t>I5</t>
  </si>
  <si>
    <t>P110</t>
  </si>
  <si>
    <t>12:30</t>
  </si>
  <si>
    <t>MED-CAI AS ALTERNATIVE ROUTE</t>
  </si>
  <si>
    <t>MED-ATZ</t>
  </si>
  <si>
    <t>SM488</t>
  </si>
  <si>
    <t>LAST SEATS</t>
  </si>
  <si>
    <t>X6</t>
  </si>
  <si>
    <t>S4 &amp; X14 &amp; U20 &amp; O20 &amp; I20 &amp; P84</t>
  </si>
  <si>
    <t>2 FOR SAME CLASS</t>
  </si>
  <si>
    <t>3 FOR SAME CLASS</t>
  </si>
  <si>
    <t>8 FOR SAME CLASS</t>
  </si>
  <si>
    <t>02:20</t>
  </si>
  <si>
    <t>22:55</t>
  </si>
  <si>
    <t>S4</t>
  </si>
  <si>
    <t>X14</t>
  </si>
  <si>
    <t>U20</t>
  </si>
  <si>
    <t>O20</t>
  </si>
  <si>
    <t>I20</t>
  </si>
  <si>
    <t>P84</t>
  </si>
  <si>
    <t>2025-11-21</t>
  </si>
  <si>
    <t>11:50</t>
  </si>
  <si>
    <t>2025-11-22</t>
  </si>
  <si>
    <t>SM-488</t>
  </si>
  <si>
    <t>JED-CAI</t>
  </si>
  <si>
    <t>XY-565</t>
  </si>
  <si>
    <r>
      <rPr>
        <b/>
        <i/>
        <sz val="13"/>
        <color rgb="FFBC0000"/>
        <rFont val="Calibri"/>
        <family val="2"/>
      </rPr>
      <t>9</t>
    </r>
    <r>
      <rPr>
        <b/>
        <i/>
        <sz val="10"/>
        <color rgb="FFBC0000"/>
        <rFont val="Calibri"/>
        <family val="2"/>
      </rPr>
      <t xml:space="preserve"> FOR SAME CLASS</t>
    </r>
  </si>
  <si>
    <t>589 SAR</t>
  </si>
  <si>
    <t>779 SAR</t>
  </si>
  <si>
    <t>XY-583</t>
  </si>
  <si>
    <t>XY-573</t>
  </si>
  <si>
    <t>669 SAR</t>
  </si>
  <si>
    <t>859 SAR</t>
  </si>
  <si>
    <t>XY-567</t>
  </si>
  <si>
    <t>XY-589</t>
  </si>
  <si>
    <t>XY-577</t>
  </si>
  <si>
    <t>XY-569</t>
  </si>
  <si>
    <r>
      <rPr>
        <b/>
        <i/>
        <sz val="13"/>
        <rFont val="Calibri"/>
        <family val="2"/>
      </rPr>
      <t>5</t>
    </r>
    <r>
      <rPr>
        <b/>
        <i/>
        <sz val="10"/>
        <rFont val="Calibri"/>
        <family val="2"/>
      </rPr>
      <t xml:space="preserve"> FOR SAME CLASS</t>
    </r>
  </si>
  <si>
    <t>719 SAR</t>
  </si>
  <si>
    <r>
      <rPr>
        <i/>
        <sz val="13"/>
        <rFont val="Calibri"/>
        <family val="2"/>
      </rPr>
      <t>5</t>
    </r>
    <r>
      <rPr>
        <i/>
        <sz val="10"/>
        <rFont val="Calibri"/>
        <family val="2"/>
      </rPr>
      <t xml:space="preserve"> FOR SAME CLASS</t>
    </r>
  </si>
  <si>
    <t>819 SAR</t>
  </si>
  <si>
    <t>909 SAR</t>
  </si>
  <si>
    <t>XY-571</t>
  </si>
  <si>
    <t>829 SAR</t>
  </si>
  <si>
    <t>929 SAR</t>
  </si>
  <si>
    <t>1,019 SAR</t>
  </si>
  <si>
    <t>F3-753</t>
  </si>
  <si>
    <r>
      <rPr>
        <b/>
        <i/>
        <sz val="13"/>
        <color rgb="FFBC0000"/>
        <rFont val="Calibri"/>
        <family val="2"/>
      </rPr>
      <t>11</t>
    </r>
    <r>
      <rPr>
        <b/>
        <i/>
        <sz val="10"/>
        <color rgb="FFBC0000"/>
        <rFont val="Calibri"/>
        <family val="2"/>
      </rPr>
      <t xml:space="preserve"> FOR SAME CLASS</t>
    </r>
  </si>
  <si>
    <r>
      <rPr>
        <i/>
        <sz val="13"/>
        <rFont val="Calibri"/>
        <family val="2"/>
      </rPr>
      <t>11</t>
    </r>
    <r>
      <rPr>
        <i/>
        <sz val="10"/>
        <rFont val="Calibri"/>
        <family val="2"/>
      </rPr>
      <t xml:space="preserve"> FOR SAME CLASS</t>
    </r>
  </si>
  <si>
    <t>839 SAR</t>
  </si>
  <si>
    <t>F3-763</t>
  </si>
  <si>
    <r>
      <rPr>
        <b/>
        <i/>
        <sz val="13"/>
        <rFont val="Calibri"/>
        <family val="2"/>
      </rPr>
      <t>16</t>
    </r>
    <r>
      <rPr>
        <b/>
        <i/>
        <sz val="10"/>
        <rFont val="Calibri"/>
        <family val="2"/>
      </rPr>
      <t xml:space="preserve"> FOR SAME CLASS</t>
    </r>
  </si>
  <si>
    <r>
      <rPr>
        <i/>
        <sz val="13"/>
        <rFont val="Calibri"/>
        <family val="2"/>
      </rPr>
      <t>16</t>
    </r>
    <r>
      <rPr>
        <i/>
        <sz val="10"/>
        <rFont val="Calibri"/>
        <family val="2"/>
      </rPr>
      <t xml:space="preserve"> FOR SAME CLASS</t>
    </r>
  </si>
  <si>
    <t>F3-761</t>
  </si>
  <si>
    <r>
      <rPr>
        <b/>
        <i/>
        <sz val="13"/>
        <rFont val="Calibri"/>
        <family val="2"/>
      </rPr>
      <t>20</t>
    </r>
    <r>
      <rPr>
        <b/>
        <i/>
        <sz val="10"/>
        <rFont val="Calibri"/>
        <family val="2"/>
      </rPr>
      <t xml:space="preserve"> FOR SAME CLASS</t>
    </r>
  </si>
  <si>
    <r>
      <rPr>
        <i/>
        <sz val="13"/>
        <rFont val="Calibri"/>
        <family val="2"/>
      </rPr>
      <t>20</t>
    </r>
    <r>
      <rPr>
        <i/>
        <sz val="10"/>
        <rFont val="Calibri"/>
        <family val="2"/>
      </rPr>
      <t xml:space="preserve"> FOR SAME CLASS</t>
    </r>
  </si>
  <si>
    <t>F3-755</t>
  </si>
  <si>
    <t>749 SAR</t>
  </si>
  <si>
    <t>899 SAR</t>
  </si>
  <si>
    <t>Nesma Airlines</t>
  </si>
  <si>
    <t>NE-173</t>
  </si>
  <si>
    <t>Cabin: 7 KG | Check-in: 30 KG</t>
  </si>
  <si>
    <t>695 SAR</t>
  </si>
  <si>
    <t>NE-171</t>
  </si>
  <si>
    <t>745 SAR</t>
  </si>
  <si>
    <t>NE-175</t>
  </si>
  <si>
    <t>835 SAR</t>
  </si>
  <si>
    <t>Air Arabia Egypt</t>
  </si>
  <si>
    <t>E5-328</t>
  </si>
  <si>
    <t>Cabin: 10 KG / Check-in: 30 KG</t>
  </si>
  <si>
    <t>706 SAR</t>
  </si>
  <si>
    <t>Nile Air</t>
  </si>
  <si>
    <t>NP-128</t>
  </si>
  <si>
    <t>SM-432</t>
  </si>
  <si>
    <r>
      <rPr>
        <b/>
        <i/>
        <sz val="13"/>
        <color rgb="FFBC0000"/>
        <rFont val="Calibri"/>
        <family val="2"/>
      </rPr>
      <t>7</t>
    </r>
    <r>
      <rPr>
        <b/>
        <i/>
        <sz val="10"/>
        <color rgb="FFBC0000"/>
        <rFont val="Calibri"/>
        <family val="2"/>
      </rPr>
      <t xml:space="preserve"> FOR SAME CLASS</t>
    </r>
  </si>
  <si>
    <t>781 SAR</t>
  </si>
  <si>
    <t>SM432</t>
  </si>
  <si>
    <t>2025-11-17T00:00:00</t>
  </si>
  <si>
    <t>G7</t>
  </si>
  <si>
    <t>V4 &amp; L28 &amp; G19 &amp; S10 &amp; W10 &amp; T9 &amp; X6 &amp; U1 &amp; O5 &amp; I6 &amp; P2 &amp; N2</t>
  </si>
  <si>
    <t>SM-476</t>
  </si>
  <si>
    <t>SM476</t>
  </si>
  <si>
    <t>2025-11-19T00:00:00</t>
  </si>
  <si>
    <t>V1 &amp; L10 &amp; G11 &amp; S16 &amp; W5 &amp; P104</t>
  </si>
  <si>
    <t>SM-450</t>
  </si>
  <si>
    <t>SM450</t>
  </si>
  <si>
    <t>V1 &amp; L11 &amp; G21 &amp; S23 &amp; W31 &amp; E69 &amp; P1 &amp; N2</t>
  </si>
  <si>
    <t>SM-472</t>
  </si>
  <si>
    <t>SM472</t>
  </si>
  <si>
    <t>L13 &amp; G42 &amp; S15 &amp; W13 &amp; T10 &amp; X5 &amp; U5 &amp; O5 &amp; I5 &amp; P60</t>
  </si>
  <si>
    <t>SM-424</t>
  </si>
  <si>
    <r>
      <rPr>
        <b/>
        <i/>
        <sz val="13"/>
        <rFont val="Calibri"/>
        <family val="2"/>
      </rPr>
      <t>8</t>
    </r>
    <r>
      <rPr>
        <b/>
        <i/>
        <sz val="10"/>
        <rFont val="Calibri"/>
        <family val="2"/>
      </rPr>
      <t xml:space="preserve"> FOR SAME CLASS</t>
    </r>
  </si>
  <si>
    <t>SM424</t>
  </si>
  <si>
    <t>G8</t>
  </si>
  <si>
    <t>L16 &amp; G28 &amp; S36 &amp; W29 &amp; P28</t>
  </si>
  <si>
    <t>SM-478</t>
  </si>
  <si>
    <t>952 SAR</t>
  </si>
  <si>
    <t>SM478</t>
  </si>
  <si>
    <t>2025-11-16T00:00:00</t>
  </si>
  <si>
    <t>V7</t>
  </si>
  <si>
    <t>Q1 &amp; K6 &amp; V5 &amp; L16 &amp; G26 &amp; S16 &amp; W4 &amp; E1 &amp; P97</t>
  </si>
  <si>
    <t>SM-480</t>
  </si>
  <si>
    <t>1,366 SAR</t>
  </si>
  <si>
    <t>SM480</t>
  </si>
  <si>
    <t>H6</t>
  </si>
  <si>
    <t>M6 &amp; Q4 &amp; K4 &amp; V14 &amp; L16 &amp; G16 &amp; S16 &amp; W5 &amp; I2 &amp; P90</t>
  </si>
  <si>
    <t>SV-383</t>
  </si>
  <si>
    <t>1,193 SAR</t>
  </si>
  <si>
    <t>1,326 SAR</t>
  </si>
  <si>
    <t>SV-335</t>
  </si>
  <si>
    <t>SV-309</t>
  </si>
  <si>
    <t>1,586 SAR</t>
  </si>
  <si>
    <t>1,719 SAR</t>
  </si>
  <si>
    <t>SV-387</t>
  </si>
  <si>
    <t>1,828 SAR</t>
  </si>
  <si>
    <t>1,961 SAR</t>
  </si>
  <si>
    <t>SV-301</t>
  </si>
  <si>
    <t>SV-6891</t>
  </si>
  <si>
    <t>1,944 SAR</t>
  </si>
  <si>
    <t>SV-6893</t>
  </si>
  <si>
    <t>SV-6895</t>
  </si>
  <si>
    <t>SV-6664</t>
  </si>
  <si>
    <t>SV-389</t>
  </si>
  <si>
    <t>2,237 SAR</t>
  </si>
  <si>
    <t>2,370 SAR</t>
  </si>
  <si>
    <t>MS-644</t>
  </si>
  <si>
    <t>1,253 SAR</t>
  </si>
  <si>
    <t>MS-662</t>
  </si>
  <si>
    <t>1,413 SAR</t>
  </si>
  <si>
    <t>MS-668</t>
  </si>
  <si>
    <t>MS-674</t>
  </si>
  <si>
    <t>1,417 SAR</t>
  </si>
  <si>
    <t>MS-672</t>
  </si>
  <si>
    <t>2,005 SAR</t>
  </si>
  <si>
    <t>MS-670</t>
  </si>
  <si>
    <t>MS-664</t>
  </si>
  <si>
    <t>MS-666</t>
  </si>
  <si>
    <r>
      <rPr>
        <b/>
        <i/>
        <sz val="13"/>
        <color rgb="FFBC0000"/>
        <rFont val="Calibri"/>
        <family val="2"/>
      </rPr>
      <t>13</t>
    </r>
    <r>
      <rPr>
        <b/>
        <i/>
        <sz val="10"/>
        <color rgb="FFBC0000"/>
        <rFont val="Calibri"/>
        <family val="2"/>
      </rPr>
      <t xml:space="preserve"> FOR SAME CLASS</t>
    </r>
  </si>
  <si>
    <t>639 SAR</t>
  </si>
  <si>
    <r>
      <rPr>
        <i/>
        <sz val="13"/>
        <rFont val="Calibri"/>
        <family val="2"/>
      </rPr>
      <t>13</t>
    </r>
    <r>
      <rPr>
        <i/>
        <sz val="10"/>
        <rFont val="Calibri"/>
        <family val="2"/>
      </rPr>
      <t xml:space="preserve"> FOR SAME CLASS</t>
    </r>
  </si>
  <si>
    <r>
      <rPr>
        <b/>
        <i/>
        <sz val="13"/>
        <rFont val="Calibri"/>
        <family val="2"/>
      </rPr>
      <t>13</t>
    </r>
    <r>
      <rPr>
        <b/>
        <i/>
        <sz val="10"/>
        <rFont val="Calibri"/>
        <family val="2"/>
      </rPr>
      <t xml:space="preserve"> FOR SAME CLASS</t>
    </r>
  </si>
  <si>
    <r>
      <rPr>
        <b/>
        <i/>
        <sz val="13"/>
        <rFont val="Calibri"/>
        <family val="2"/>
      </rPr>
      <t>21</t>
    </r>
    <r>
      <rPr>
        <b/>
        <i/>
        <sz val="10"/>
        <rFont val="Calibri"/>
        <family val="2"/>
      </rPr>
      <t xml:space="preserve"> FOR SAME CLASS</t>
    </r>
  </si>
  <si>
    <r>
      <rPr>
        <i/>
        <sz val="13"/>
        <rFont val="Calibri"/>
        <family val="2"/>
      </rPr>
      <t>21</t>
    </r>
    <r>
      <rPr>
        <i/>
        <sz val="10"/>
        <rFont val="Calibri"/>
        <family val="2"/>
      </rPr>
      <t xml:space="preserve"> FOR SAME CLASS</t>
    </r>
  </si>
  <si>
    <r>
      <rPr>
        <b/>
        <i/>
        <sz val="13"/>
        <rFont val="Calibri"/>
        <family val="2"/>
      </rPr>
      <t>12</t>
    </r>
    <r>
      <rPr>
        <b/>
        <i/>
        <sz val="10"/>
        <rFont val="Calibri"/>
        <family val="2"/>
      </rPr>
      <t xml:space="preserve"> FOR SAME CLASS</t>
    </r>
  </si>
  <si>
    <t>1,499 SAR</t>
  </si>
  <si>
    <t>E5-322</t>
  </si>
  <si>
    <t>640 SAR</t>
  </si>
  <si>
    <t>866 SAR</t>
  </si>
  <si>
    <t>733 SAR</t>
  </si>
  <si>
    <t>959 SAR</t>
  </si>
  <si>
    <t>NP-228</t>
  </si>
  <si>
    <t>834 SAR</t>
  </si>
  <si>
    <r>
      <rPr>
        <b/>
        <i/>
        <sz val="13"/>
        <color rgb="FFBC0000"/>
        <rFont val="Calibri"/>
        <family val="2"/>
      </rPr>
      <t>5</t>
    </r>
    <r>
      <rPr>
        <b/>
        <i/>
        <sz val="10"/>
        <color rgb="FFBC0000"/>
        <rFont val="Calibri"/>
        <family val="2"/>
      </rPr>
      <t xml:space="preserve"> FOR SAME CLASS</t>
    </r>
  </si>
  <si>
    <t>856 SAR</t>
  </si>
  <si>
    <t>L5</t>
  </si>
  <si>
    <t>V22 &amp; L16 &amp; G22 &amp; S31 &amp; W5</t>
  </si>
  <si>
    <t>L3</t>
  </si>
  <si>
    <t>K3 &amp; V30 &amp; L20 &amp; G17 &amp; S16 &amp; W5</t>
  </si>
  <si>
    <t>L6</t>
  </si>
  <si>
    <t>V16 &amp; L44 &amp; G17 &amp; S13 &amp; W5</t>
  </si>
  <si>
    <t>L7</t>
  </si>
  <si>
    <t>V20 &amp; L16 &amp; G24 &amp; S32 &amp; W5</t>
  </si>
  <si>
    <t>K6 &amp; V30 &amp; L15 &amp; G17 &amp; S11 &amp; W5 &amp; T2 &amp; X5 &amp; U6 &amp; O4 &amp; I5 &amp; P1</t>
  </si>
  <si>
    <t>SM460</t>
  </si>
  <si>
    <t>V7 &amp; G1 &amp; S17 &amp; W10 &amp; T10 &amp; X10 &amp; U10 &amp; O10 &amp; I10 &amp; P92</t>
  </si>
  <si>
    <t>1,257 SAR</t>
  </si>
  <si>
    <t>SV-303</t>
  </si>
  <si>
    <t>Cabin: 7 KG | Check-in: 1 PIECE</t>
  </si>
  <si>
    <t>1,721 SAR</t>
  </si>
  <si>
    <t>SV-305</t>
  </si>
  <si>
    <t>739 SAR</t>
  </si>
  <si>
    <r>
      <rPr>
        <b/>
        <i/>
        <sz val="13"/>
        <rFont val="Calibri"/>
        <family val="2"/>
      </rPr>
      <t>15</t>
    </r>
    <r>
      <rPr>
        <b/>
        <i/>
        <sz val="10"/>
        <rFont val="Calibri"/>
        <family val="2"/>
      </rPr>
      <t xml:space="preserve"> FOR SAME CLASS</t>
    </r>
  </si>
  <si>
    <r>
      <rPr>
        <i/>
        <sz val="13"/>
        <rFont val="Calibri"/>
        <family val="2"/>
      </rPr>
      <t>15</t>
    </r>
    <r>
      <rPr>
        <i/>
        <sz val="10"/>
        <rFont val="Calibri"/>
        <family val="2"/>
      </rPr>
      <t xml:space="preserve"> FOR SAME CLASS</t>
    </r>
  </si>
  <si>
    <r>
      <rPr>
        <b/>
        <i/>
        <sz val="13"/>
        <rFont val="Calibri"/>
        <family val="2"/>
      </rPr>
      <t>14</t>
    </r>
    <r>
      <rPr>
        <b/>
        <i/>
        <sz val="10"/>
        <rFont val="Calibri"/>
        <family val="2"/>
      </rPr>
      <t xml:space="preserve"> FOR SAME CLASS</t>
    </r>
  </si>
  <si>
    <r>
      <rPr>
        <i/>
        <sz val="13"/>
        <rFont val="Calibri"/>
        <family val="2"/>
      </rPr>
      <t>14</t>
    </r>
    <r>
      <rPr>
        <i/>
        <sz val="10"/>
        <rFont val="Calibri"/>
        <family val="2"/>
      </rPr>
      <t xml:space="preserve"> FOR SAME CLASS</t>
    </r>
  </si>
  <si>
    <t>E5-362</t>
  </si>
  <si>
    <t>700 SAR</t>
  </si>
  <si>
    <t>927 SAR</t>
  </si>
  <si>
    <t>2025-11-10T00:00:00</t>
  </si>
  <si>
    <t>V3 &amp; G16 &amp; S17 &amp; W22 &amp; T10 &amp; X10 &amp; U17 &amp; O17 &amp; I17 &amp; P50</t>
  </si>
  <si>
    <t>K5 &amp; L6 &amp; S24 &amp; W5 &amp; P135 &amp; N4</t>
  </si>
  <si>
    <t>K3 &amp; L1 &amp; G3 &amp; S3 &amp; W4 &amp; T10 &amp; X12 &amp; U5 &amp; O6 &amp; I4 &amp; E45 &amp; P82 &amp; N1</t>
  </si>
  <si>
    <t>01:10</t>
  </si>
  <si>
    <t>L16</t>
  </si>
  <si>
    <t>G28</t>
  </si>
  <si>
    <t>S36</t>
  </si>
  <si>
    <t>W29</t>
  </si>
  <si>
    <t>P28</t>
  </si>
  <si>
    <t>02:45</t>
  </si>
  <si>
    <t>G42</t>
  </si>
  <si>
    <t>S15</t>
  </si>
  <si>
    <t>W13</t>
  </si>
  <si>
    <t>T10</t>
  </si>
  <si>
    <t>U5</t>
  </si>
  <si>
    <t>O5</t>
  </si>
  <si>
    <t>P60</t>
  </si>
  <si>
    <t>06:05</t>
  </si>
  <si>
    <t>V1</t>
  </si>
  <si>
    <t>L11</t>
  </si>
  <si>
    <t>G21</t>
  </si>
  <si>
    <t>S23</t>
  </si>
  <si>
    <t>W31</t>
  </si>
  <si>
    <t>E69</t>
  </si>
  <si>
    <t>P1</t>
  </si>
  <si>
    <t>08:00</t>
  </si>
  <si>
    <t>L10</t>
  </si>
  <si>
    <t>G11</t>
  </si>
  <si>
    <t>S16</t>
  </si>
  <si>
    <t>W5</t>
  </si>
  <si>
    <t>P104</t>
  </si>
  <si>
    <t>08:45</t>
  </si>
  <si>
    <t>V4</t>
  </si>
  <si>
    <t>L28</t>
  </si>
  <si>
    <t>G19</t>
  </si>
  <si>
    <t>S10</t>
  </si>
  <si>
    <t>W10</t>
  </si>
  <si>
    <t>U1</t>
  </si>
  <si>
    <t>I6</t>
  </si>
  <si>
    <t>P2</t>
  </si>
  <si>
    <t>14:00</t>
  </si>
  <si>
    <t>Q1</t>
  </si>
  <si>
    <t>K6</t>
  </si>
  <si>
    <t>G26</t>
  </si>
  <si>
    <t>W4</t>
  </si>
  <si>
    <t>E1</t>
  </si>
  <si>
    <t>P97</t>
  </si>
  <si>
    <t>17:45</t>
  </si>
  <si>
    <t>M6</t>
  </si>
  <si>
    <t>K4</t>
  </si>
  <si>
    <t>V14</t>
  </si>
  <si>
    <t>G16</t>
  </si>
  <si>
    <t>I2</t>
  </si>
  <si>
    <t>P90</t>
  </si>
  <si>
    <t>FRIDAY</t>
  </si>
  <si>
    <t>V30</t>
  </si>
  <si>
    <t>L20</t>
  </si>
  <si>
    <t>G17</t>
  </si>
  <si>
    <t>07:40</t>
  </si>
  <si>
    <t>L15</t>
  </si>
  <si>
    <t>S11</t>
  </si>
  <si>
    <t>T2</t>
  </si>
  <si>
    <t>U6</t>
  </si>
  <si>
    <t>O4</t>
  </si>
  <si>
    <t>11:00</t>
  </si>
  <si>
    <t>V20</t>
  </si>
  <si>
    <t>G24</t>
  </si>
  <si>
    <t>S32</t>
  </si>
  <si>
    <t>14:45</t>
  </si>
  <si>
    <t>V16</t>
  </si>
  <si>
    <t>L44</t>
  </si>
  <si>
    <t>S13</t>
  </si>
  <si>
    <t>17:40</t>
  </si>
  <si>
    <t>V22</t>
  </si>
  <si>
    <t>G22</t>
  </si>
  <si>
    <t>S31</t>
  </si>
  <si>
    <t>22:30</t>
  </si>
  <si>
    <t>G1</t>
  </si>
  <si>
    <t>S17</t>
  </si>
  <si>
    <t>X10</t>
  </si>
  <si>
    <t>U10</t>
  </si>
  <si>
    <t>I10</t>
  </si>
  <si>
    <t>05:40</t>
  </si>
  <si>
    <t>V3</t>
  </si>
  <si>
    <t>W22</t>
  </si>
  <si>
    <t>U17</t>
  </si>
  <si>
    <t>O17</t>
  </si>
  <si>
    <t>P50</t>
  </si>
  <si>
    <t>K5</t>
  </si>
  <si>
    <t>S24</t>
  </si>
  <si>
    <t>P135</t>
  </si>
  <si>
    <t>16:20</t>
  </si>
  <si>
    <t>L1</t>
  </si>
  <si>
    <t>G3</t>
  </si>
  <si>
    <t>S3</t>
  </si>
  <si>
    <t>X12</t>
  </si>
  <si>
    <t>O6</t>
  </si>
  <si>
    <t>I4</t>
  </si>
  <si>
    <t>E45</t>
  </si>
  <si>
    <t>P82</t>
  </si>
  <si>
    <t>N1</t>
  </si>
  <si>
    <t>06:10</t>
  </si>
  <si>
    <t>07:15</t>
  </si>
  <si>
    <t>21:40</t>
  </si>
  <si>
    <t>19:10</t>
  </si>
  <si>
    <t>21:20</t>
  </si>
  <si>
    <t>18:55</t>
  </si>
  <si>
    <t>14:15</t>
  </si>
  <si>
    <t>07:55</t>
  </si>
  <si>
    <t>15:50</t>
  </si>
  <si>
    <t>07:00</t>
  </si>
  <si>
    <t>03:05</t>
  </si>
  <si>
    <t>16:00</t>
  </si>
  <si>
    <t>JED-HBE</t>
  </si>
  <si>
    <t>E5-394</t>
  </si>
  <si>
    <t>Cabin: 10 KG</t>
  </si>
  <si>
    <t>1,006 SAR</t>
  </si>
  <si>
    <t>Cabin: 10 KG / Check-in: 20 KG</t>
  </si>
  <si>
    <t>1,096 SAR</t>
  </si>
  <si>
    <t>1,174 SAR</t>
  </si>
  <si>
    <t>E5-326</t>
  </si>
  <si>
    <t>1,042 SAR</t>
  </si>
  <si>
    <t>1,132 SAR</t>
  </si>
  <si>
    <t>1,210 SAR</t>
  </si>
  <si>
    <t>SV-331</t>
  </si>
  <si>
    <t>1,272 SAR</t>
  </si>
  <si>
    <t>1,400 SAR</t>
  </si>
  <si>
    <t>SV-411</t>
  </si>
  <si>
    <t>1,734 SAR</t>
  </si>
  <si>
    <t>1,862 SAR</t>
  </si>
  <si>
    <t>SM452</t>
  </si>
  <si>
    <t>K1 &amp; V5 &amp; L15 &amp; G3 &amp; S4 &amp; X2 &amp; U5 &amp; O5 &amp; I5 &amp; P134</t>
  </si>
  <si>
    <t>Indirect competition route JED – CAI - diversion ratio &amp; passenger leakage</t>
  </si>
  <si>
    <t>7 FOR SAME CLASS</t>
  </si>
  <si>
    <t>11 FOR SAME CLASS</t>
  </si>
  <si>
    <t>16 FOR SAME CLASS</t>
  </si>
  <si>
    <t>E5-392</t>
  </si>
  <si>
    <t>915 SAR</t>
  </si>
  <si>
    <t>990 SAR</t>
  </si>
  <si>
    <t>1,223 SAR</t>
  </si>
  <si>
    <t>SM-452</t>
  </si>
  <si>
    <t>1,066 SAR</t>
  </si>
  <si>
    <t>K1</t>
  </si>
  <si>
    <t>Q5 &amp; K6 &amp; L3 &amp; G18 &amp; S13 &amp; W14 &amp; T17 &amp; X17 &amp; P84</t>
  </si>
  <si>
    <t>13 FOR SAME CLASS</t>
  </si>
  <si>
    <t>21 FOR SAME CLASS</t>
  </si>
  <si>
    <t>23:25</t>
  </si>
  <si>
    <t>1 FOR SAME CLASS</t>
  </si>
  <si>
    <t>12:25</t>
  </si>
  <si>
    <t>4 FOR SAME CLASS</t>
  </si>
  <si>
    <t>F3-773</t>
  </si>
  <si>
    <t>Hand baggage only</t>
  </si>
  <si>
    <t>849 SAR</t>
  </si>
  <si>
    <t>908 SAR</t>
  </si>
  <si>
    <t>932 SAR</t>
  </si>
  <si>
    <t>Cabin: 10 KG / Check-in: 32 KG</t>
  </si>
  <si>
    <t>SM-458</t>
  </si>
  <si>
    <t>SM458</t>
  </si>
  <si>
    <t>L10 &amp; S16 &amp; W2 &amp; T15 &amp; X17 &amp; P118</t>
  </si>
  <si>
    <t>K2 &amp; V4 &amp; L14 &amp; S7 &amp; X14 &amp; P136</t>
  </si>
  <si>
    <t>869 SAR</t>
  </si>
  <si>
    <t>2,044 SAR</t>
  </si>
  <si>
    <t>2,172 SAR</t>
  </si>
  <si>
    <t>MS-656</t>
  </si>
  <si>
    <t>1,506 SAR</t>
  </si>
  <si>
    <t>15 FOR SAME CLASS</t>
  </si>
  <si>
    <t>14 FOR SAME CLASS</t>
  </si>
  <si>
    <t>06:55</t>
  </si>
  <si>
    <t>5 FOR SAME CLASS</t>
  </si>
  <si>
    <t>06:35</t>
  </si>
  <si>
    <t>X2</t>
  </si>
  <si>
    <t>P134</t>
  </si>
  <si>
    <t>10:00</t>
  </si>
  <si>
    <t>Q5</t>
  </si>
  <si>
    <t>G18</t>
  </si>
  <si>
    <t>W14</t>
  </si>
  <si>
    <t>T17</t>
  </si>
  <si>
    <t>X17</t>
  </si>
  <si>
    <t>W2</t>
  </si>
  <si>
    <t>T15</t>
  </si>
  <si>
    <t>P118</t>
  </si>
  <si>
    <t>19:00</t>
  </si>
  <si>
    <t>L14</t>
  </si>
  <si>
    <t>S7</t>
  </si>
  <si>
    <t>P136</t>
  </si>
  <si>
    <t>12:40</t>
  </si>
  <si>
    <t>08:10</t>
  </si>
  <si>
    <t>17:05</t>
  </si>
  <si>
    <t>JED-CAI AS ALTERNATIVE ROUTE</t>
  </si>
  <si>
    <t>JED-ATZ</t>
  </si>
  <si>
    <t>SM-422</t>
  </si>
  <si>
    <t>401 SAR</t>
  </si>
  <si>
    <t>SM422</t>
  </si>
  <si>
    <t>I9</t>
  </si>
  <si>
    <t>X1 &amp; U16 &amp; O24 &amp; I51 &amp; P1</t>
  </si>
  <si>
    <t>SM-456</t>
  </si>
  <si>
    <t>471 SAR</t>
  </si>
  <si>
    <t>SM456</t>
  </si>
  <si>
    <t>U2</t>
  </si>
  <si>
    <t>S3 &amp; W17 &amp; T16 &amp; X4 &amp; U16 &amp; O16 &amp; I5 &amp; P39</t>
  </si>
  <si>
    <t>SM-454</t>
  </si>
  <si>
    <t>586 SAR</t>
  </si>
  <si>
    <t>SM454</t>
  </si>
  <si>
    <t>S1 &amp; W6 &amp; T17 &amp; U2 &amp; O2 &amp; I5 &amp; E1 &amp; P91</t>
  </si>
  <si>
    <t>MS-8224</t>
  </si>
  <si>
    <t>SM492</t>
  </si>
  <si>
    <t>SEATS AVAILABLE</t>
  </si>
  <si>
    <t>X1</t>
  </si>
  <si>
    <t>S5 &amp; W3 &amp; T4 &amp; X17 &amp; U18 &amp; O38 &amp; I28 &amp; P3</t>
  </si>
  <si>
    <t>526 SAR</t>
  </si>
  <si>
    <t>G1 &amp; S2 &amp; X6 &amp; U19 &amp; P91</t>
  </si>
  <si>
    <t>X9</t>
  </si>
  <si>
    <t>S2 &amp; W1 &amp; X6 &amp; U20 &amp; O40 &amp; I20 &amp; P34</t>
  </si>
  <si>
    <t>02:00</t>
  </si>
  <si>
    <t>U16</t>
  </si>
  <si>
    <t>O24</t>
  </si>
  <si>
    <t>I51</t>
  </si>
  <si>
    <t>11:45</t>
  </si>
  <si>
    <t>S1</t>
  </si>
  <si>
    <t>W6</t>
  </si>
  <si>
    <t>O2</t>
  </si>
  <si>
    <t>P91</t>
  </si>
  <si>
    <t>17:00</t>
  </si>
  <si>
    <t>W17</t>
  </si>
  <si>
    <t>T16</t>
  </si>
  <si>
    <t>O16</t>
  </si>
  <si>
    <t>P39</t>
  </si>
  <si>
    <t>W3</t>
  </si>
  <si>
    <t>T4</t>
  </si>
  <si>
    <t>U18</t>
  </si>
  <si>
    <t>O38</t>
  </si>
  <si>
    <t>I28</t>
  </si>
  <si>
    <t>P3</t>
  </si>
  <si>
    <t>11:05</t>
  </si>
  <si>
    <t>S2</t>
  </si>
  <si>
    <t>W1</t>
  </si>
  <si>
    <t>O40</t>
  </si>
  <si>
    <t>P34</t>
  </si>
  <si>
    <t>16:30</t>
  </si>
  <si>
    <t>U19</t>
  </si>
  <si>
    <t>SM-492</t>
  </si>
  <si>
    <t>JED-LXR</t>
  </si>
  <si>
    <t>JED-ASW</t>
  </si>
  <si>
    <t>JED-SSH</t>
  </si>
  <si>
    <t>JED-HRG</t>
  </si>
  <si>
    <t>RUH-CAI</t>
  </si>
  <si>
    <t>F3-607</t>
  </si>
  <si>
    <t>599 SAR</t>
  </si>
  <si>
    <t>1,299 SAR</t>
  </si>
  <si>
    <t>F3-605</t>
  </si>
  <si>
    <t>F3-611</t>
  </si>
  <si>
    <t>1,999 SAR</t>
  </si>
  <si>
    <t>F3-615</t>
  </si>
  <si>
    <r>
      <rPr>
        <b/>
        <i/>
        <sz val="13"/>
        <rFont val="Calibri"/>
        <family val="2"/>
      </rPr>
      <t>11</t>
    </r>
    <r>
      <rPr>
        <b/>
        <i/>
        <sz val="10"/>
        <rFont val="Calibri"/>
        <family val="2"/>
      </rPr>
      <t xml:space="preserve"> FOR SAME CLASS</t>
    </r>
  </si>
  <si>
    <t>XY-273</t>
  </si>
  <si>
    <t>XY-263</t>
  </si>
  <si>
    <t>XY-269</t>
  </si>
  <si>
    <t>XY-267</t>
  </si>
  <si>
    <t>659 SAR</t>
  </si>
  <si>
    <t>759 SAR</t>
  </si>
  <si>
    <t>XY-275</t>
  </si>
  <si>
    <t>XY-271</t>
  </si>
  <si>
    <t>999 SAR</t>
  </si>
  <si>
    <t>1,089 SAR</t>
  </si>
  <si>
    <t>XY-265</t>
  </si>
  <si>
    <t>979 SAR</t>
  </si>
  <si>
    <t>1,079 SAR</t>
  </si>
  <si>
    <t>1,169 SAR</t>
  </si>
  <si>
    <t>NE-161</t>
  </si>
  <si>
    <t>NE-165</t>
  </si>
  <si>
    <t>935 SAR</t>
  </si>
  <si>
    <t>E5-411</t>
  </si>
  <si>
    <t>863 SAR</t>
  </si>
  <si>
    <t>SM-462</t>
  </si>
  <si>
    <t>794 SAR</t>
  </si>
  <si>
    <t>SM462</t>
  </si>
  <si>
    <t>Q1 &amp; K6 &amp; V6 &amp; L37 &amp; G12 &amp; S8 &amp; W21 &amp; X1 &amp; U9 &amp; O18 &amp; I3 &amp; N2</t>
  </si>
  <si>
    <t>NP-152</t>
  </si>
  <si>
    <t>NP-352</t>
  </si>
  <si>
    <t>933 SAR</t>
  </si>
  <si>
    <t>NP-252</t>
  </si>
  <si>
    <t>1,043 SAR</t>
  </si>
  <si>
    <t>MS-650</t>
  </si>
  <si>
    <t>1,907 SAR</t>
  </si>
  <si>
    <t>MS-652</t>
  </si>
  <si>
    <t>3,057 SAR</t>
  </si>
  <si>
    <t>MS-648</t>
  </si>
  <si>
    <t>3,061 SAR</t>
  </si>
  <si>
    <t>SV-311</t>
  </si>
  <si>
    <t>1,990 SAR</t>
  </si>
  <si>
    <t>2,118 SAR</t>
  </si>
  <si>
    <t>SV-417</t>
  </si>
  <si>
    <t>2,140 SAR</t>
  </si>
  <si>
    <t>2,268 SAR</t>
  </si>
  <si>
    <t>SV-6676</t>
  </si>
  <si>
    <t>2,167 SAR</t>
  </si>
  <si>
    <t>SV-313</t>
  </si>
  <si>
    <t>3,569 SAR</t>
  </si>
  <si>
    <t>3,697 SAR</t>
  </si>
  <si>
    <r>
      <rPr>
        <b/>
        <i/>
        <sz val="13"/>
        <color rgb="FFBC0000"/>
        <rFont val="Calibri"/>
        <family val="2"/>
      </rPr>
      <t>17</t>
    </r>
    <r>
      <rPr>
        <b/>
        <i/>
        <sz val="10"/>
        <color rgb="FFBC0000"/>
        <rFont val="Calibri"/>
        <family val="2"/>
      </rPr>
      <t xml:space="preserve"> FOR SAME CLASS</t>
    </r>
  </si>
  <si>
    <t>549 SAR</t>
  </si>
  <si>
    <r>
      <rPr>
        <i/>
        <sz val="13"/>
        <rFont val="Calibri"/>
        <family val="2"/>
      </rPr>
      <t>17</t>
    </r>
    <r>
      <rPr>
        <i/>
        <sz val="10"/>
        <rFont val="Calibri"/>
        <family val="2"/>
      </rPr>
      <t xml:space="preserve"> FOR SAME CLASS</t>
    </r>
  </si>
  <si>
    <t>699 SAR</t>
  </si>
  <si>
    <r>
      <rPr>
        <b/>
        <i/>
        <sz val="13"/>
        <rFont val="Calibri"/>
        <family val="2"/>
      </rPr>
      <t>24</t>
    </r>
    <r>
      <rPr>
        <b/>
        <i/>
        <sz val="10"/>
        <rFont val="Calibri"/>
        <family val="2"/>
      </rPr>
      <t xml:space="preserve"> FOR SAME CLASS</t>
    </r>
  </si>
  <si>
    <r>
      <rPr>
        <i/>
        <sz val="13"/>
        <rFont val="Calibri"/>
        <family val="2"/>
      </rPr>
      <t>24</t>
    </r>
    <r>
      <rPr>
        <i/>
        <sz val="10"/>
        <rFont val="Calibri"/>
        <family val="2"/>
      </rPr>
      <t xml:space="preserve"> FOR SAME CLASS</t>
    </r>
  </si>
  <si>
    <r>
      <rPr>
        <b/>
        <i/>
        <sz val="13"/>
        <rFont val="Calibri"/>
        <family val="2"/>
      </rPr>
      <t>26</t>
    </r>
    <r>
      <rPr>
        <b/>
        <i/>
        <sz val="10"/>
        <rFont val="Calibri"/>
        <family val="2"/>
      </rPr>
      <t xml:space="preserve"> FOR SAME CLASS</t>
    </r>
  </si>
  <si>
    <r>
      <rPr>
        <i/>
        <sz val="13"/>
        <rFont val="Calibri"/>
        <family val="2"/>
      </rPr>
      <t>26</t>
    </r>
    <r>
      <rPr>
        <i/>
        <sz val="10"/>
        <rFont val="Calibri"/>
        <family val="2"/>
      </rPr>
      <t xml:space="preserve"> FOR SAME CLASS</t>
    </r>
  </si>
  <si>
    <r>
      <rPr>
        <b/>
        <i/>
        <sz val="13"/>
        <rFont val="Calibri"/>
        <family val="2"/>
      </rPr>
      <t>17</t>
    </r>
    <r>
      <rPr>
        <b/>
        <i/>
        <sz val="10"/>
        <rFont val="Calibri"/>
        <family val="2"/>
      </rPr>
      <t xml:space="preserve"> FOR SAME CLASS</t>
    </r>
  </si>
  <si>
    <t>649 SAR</t>
  </si>
  <si>
    <t>SM-470</t>
  </si>
  <si>
    <t>728 SAR</t>
  </si>
  <si>
    <t>SM470</t>
  </si>
  <si>
    <t>S19 &amp; W15 &amp; T57 &amp; X35</t>
  </si>
  <si>
    <t>976 SAR</t>
  </si>
  <si>
    <t>G9</t>
  </si>
  <si>
    <t>K4 &amp; G5 &amp; S20 &amp; W39 &amp; T10 &amp; X10 &amp; U9 &amp; O10 &amp; I30</t>
  </si>
  <si>
    <t>1,191 SAR</t>
  </si>
  <si>
    <t>SV-321</t>
  </si>
  <si>
    <t>1,930 SAR</t>
  </si>
  <si>
    <t>SV-6595</t>
  </si>
  <si>
    <t>SV-6749</t>
  </si>
  <si>
    <t>2,357 SAR</t>
  </si>
  <si>
    <t>2,485 SAR</t>
  </si>
  <si>
    <t>Cabin: 0 KG | Check-in: 15 KG</t>
  </si>
  <si>
    <t>469 SAR</t>
  </si>
  <si>
    <t>509 SAR</t>
  </si>
  <si>
    <t>500 SAR</t>
  </si>
  <si>
    <t>NP-354</t>
  </si>
  <si>
    <t>518 SAR</t>
  </si>
  <si>
    <t>539 SAR</t>
  </si>
  <si>
    <t>729 SAR</t>
  </si>
  <si>
    <t>K2 &amp; W2 &amp; T12 &amp; X45 &amp; U5 &amp; O25 &amp; I5</t>
  </si>
  <si>
    <t>991 SAR</t>
  </si>
  <si>
    <t>1,187 SAR</t>
  </si>
  <si>
    <t>1,717 SAR</t>
  </si>
  <si>
    <t>14:40</t>
  </si>
  <si>
    <t>V6</t>
  </si>
  <si>
    <t>L37</t>
  </si>
  <si>
    <t>G12</t>
  </si>
  <si>
    <t>S8</t>
  </si>
  <si>
    <t>W21</t>
  </si>
  <si>
    <t>O18</t>
  </si>
  <si>
    <t>I3</t>
  </si>
  <si>
    <t>G5</t>
  </si>
  <si>
    <t>S20</t>
  </si>
  <si>
    <t>W39</t>
  </si>
  <si>
    <t>I30</t>
  </si>
  <si>
    <t>22:10</t>
  </si>
  <si>
    <t>S19</t>
  </si>
  <si>
    <t>W15</t>
  </si>
  <si>
    <t>T57</t>
  </si>
  <si>
    <t>X35</t>
  </si>
  <si>
    <t>T12</t>
  </si>
  <si>
    <t>X45</t>
  </si>
  <si>
    <t>O25</t>
  </si>
  <si>
    <t>12:00</t>
  </si>
  <si>
    <t>10:45</t>
  </si>
  <si>
    <t>09:00</t>
  </si>
  <si>
    <t>07:20</t>
  </si>
  <si>
    <t>10:15</t>
  </si>
  <si>
    <t>06:40</t>
  </si>
  <si>
    <t>14:55</t>
  </si>
  <si>
    <t>13:35</t>
  </si>
  <si>
    <t>RUH-ATZ</t>
  </si>
  <si>
    <t>RUH-CAI AS ALTERNATIVE ROUTE</t>
  </si>
  <si>
    <t>18:15</t>
  </si>
  <si>
    <t>19:35</t>
  </si>
  <si>
    <t>19:50</t>
  </si>
  <si>
    <t>15:55</t>
  </si>
  <si>
    <t>DMM-CAI</t>
  </si>
  <si>
    <t>F3-911</t>
  </si>
  <si>
    <r>
      <rPr>
        <b/>
        <i/>
        <sz val="13"/>
        <color rgb="FFBC0000"/>
        <rFont val="Calibri"/>
        <family val="2"/>
      </rPr>
      <t>10</t>
    </r>
    <r>
      <rPr>
        <b/>
        <i/>
        <sz val="10"/>
        <color rgb="FFBC0000"/>
        <rFont val="Calibri"/>
        <family val="2"/>
      </rPr>
      <t xml:space="preserve"> FOR SAME CLASS</t>
    </r>
  </si>
  <si>
    <r>
      <rPr>
        <i/>
        <sz val="13"/>
        <rFont val="Calibri"/>
        <family val="2"/>
      </rPr>
      <t>10</t>
    </r>
    <r>
      <rPr>
        <i/>
        <sz val="10"/>
        <rFont val="Calibri"/>
        <family val="2"/>
      </rPr>
      <t xml:space="preserve"> FOR SAME CLASS</t>
    </r>
  </si>
  <si>
    <t>XY-854</t>
  </si>
  <si>
    <t>809 SAR</t>
  </si>
  <si>
    <t>XY-894</t>
  </si>
  <si>
    <t>1,029 SAR</t>
  </si>
  <si>
    <t>1,119 SAR</t>
  </si>
  <si>
    <t>NE-153</t>
  </si>
  <si>
    <t>916 SAR</t>
  </si>
  <si>
    <t>NE-155</t>
  </si>
  <si>
    <t>1,024 SAR</t>
  </si>
  <si>
    <t>NP-332</t>
  </si>
  <si>
    <t>1,023 SAR</t>
  </si>
  <si>
    <t>NP-132</t>
  </si>
  <si>
    <t>SM-434</t>
  </si>
  <si>
    <t>1,136 SAR</t>
  </si>
  <si>
    <t>SM434</t>
  </si>
  <si>
    <t>K2 &amp; V46 &amp; L16 &amp; G13 &amp; S10 &amp; W3 &amp; X4 &amp; U5 &amp; O4</t>
  </si>
  <si>
    <t>SV-6446</t>
  </si>
  <si>
    <t>1,801 SAR</t>
  </si>
  <si>
    <t>MS-682</t>
  </si>
  <si>
    <t>2,587 SAR</t>
  </si>
  <si>
    <t>MS-684</t>
  </si>
  <si>
    <t>1,249 SAR</t>
  </si>
  <si>
    <t>NE-151</t>
  </si>
  <si>
    <t>813 SAR</t>
  </si>
  <si>
    <t>1,436 SAR</t>
  </si>
  <si>
    <t>Q7</t>
  </si>
  <si>
    <t>Q3 &amp; K19 &amp; V10 &amp; L17 &amp; G35 &amp; S10 &amp; W3 &amp; O1</t>
  </si>
  <si>
    <t>2,024 SAR</t>
  </si>
  <si>
    <t>MS-688</t>
  </si>
  <si>
    <t>E5-316</t>
  </si>
  <si>
    <t>544 SAR</t>
  </si>
  <si>
    <t>771 SAR</t>
  </si>
  <si>
    <t>629 SAR</t>
  </si>
  <si>
    <t>NP-232</t>
  </si>
  <si>
    <t>656 SAR</t>
  </si>
  <si>
    <t>806 SAR</t>
  </si>
  <si>
    <t>G1 &amp; S19 &amp; W12 &amp; X8 &amp; U8 &amp; O8 &amp; I26</t>
  </si>
  <si>
    <t>1,567 SAR</t>
  </si>
  <si>
    <t>V46</t>
  </si>
  <si>
    <t>G13</t>
  </si>
  <si>
    <t>13:55</t>
  </si>
  <si>
    <t>Q3</t>
  </si>
  <si>
    <t>K19</t>
  </si>
  <si>
    <t>V10</t>
  </si>
  <si>
    <t>L17</t>
  </si>
  <si>
    <t>G35</t>
  </si>
  <si>
    <t>O1</t>
  </si>
  <si>
    <t>W12</t>
  </si>
  <si>
    <t>O8</t>
  </si>
  <si>
    <t>I26</t>
  </si>
  <si>
    <t>04:45</t>
  </si>
  <si>
    <t>06:50</t>
  </si>
  <si>
    <t>20:00</t>
  </si>
  <si>
    <t>13:30</t>
  </si>
  <si>
    <t>23:00</t>
  </si>
  <si>
    <t>DMM-ATZ</t>
  </si>
  <si>
    <t>SM-438</t>
  </si>
  <si>
    <t>741 SAR</t>
  </si>
  <si>
    <t>SM438</t>
  </si>
  <si>
    <t>S16 &amp; W20 &amp; T20 &amp; X20 &amp; U20 &amp; O20 &amp; I20</t>
  </si>
  <si>
    <t>Indirect competition route DMM – CAI - diversion ratio &amp; passenger leakage</t>
  </si>
  <si>
    <t>05:10</t>
  </si>
  <si>
    <t>20:45</t>
  </si>
  <si>
    <t>W20</t>
  </si>
  <si>
    <t>T20</t>
  </si>
  <si>
    <t>X20</t>
  </si>
  <si>
    <t>DMM-CAI AS ALTERNATIVE ROUTE</t>
  </si>
  <si>
    <t>TUU-CAI</t>
  </si>
  <si>
    <t>SM-326</t>
  </si>
  <si>
    <t>850 SAR</t>
  </si>
  <si>
    <t>SM326</t>
  </si>
  <si>
    <t>K1 &amp; V5 &amp; L20 &amp; G22 &amp; S20 &amp; W10 &amp; T16 &amp; X7 &amp; U10 &amp; O17 &amp; I18</t>
  </si>
  <si>
    <t>NP-108</t>
  </si>
  <si>
    <t>1,080 SAR</t>
  </si>
  <si>
    <t>MS-812</t>
  </si>
  <si>
    <t>3,273 SAR</t>
  </si>
  <si>
    <t>E5-590</t>
  </si>
  <si>
    <t>Cabin: 10 KG | Check-in: 30 KG</t>
  </si>
  <si>
    <t>467 SAR</t>
  </si>
  <si>
    <t>NP-118</t>
  </si>
  <si>
    <t>521 SAR</t>
  </si>
  <si>
    <t>701 SAR</t>
  </si>
  <si>
    <t>NE-121</t>
  </si>
  <si>
    <t>355 SAR</t>
  </si>
  <si>
    <t>400 SAR</t>
  </si>
  <si>
    <t>U3 &amp; O46 &amp; I18</t>
  </si>
  <si>
    <t>420 SAR</t>
  </si>
  <si>
    <t>X7</t>
  </si>
  <si>
    <t>I18</t>
  </si>
  <si>
    <t>23:45</t>
  </si>
  <si>
    <t>E90</t>
  </si>
  <si>
    <t>U3</t>
  </si>
  <si>
    <t>O46</t>
  </si>
  <si>
    <t>TUU-ATZ</t>
  </si>
  <si>
    <t>SM-328</t>
  </si>
  <si>
    <t>536 SAR</t>
  </si>
  <si>
    <t>SM328</t>
  </si>
  <si>
    <t>S1 &amp; W1 &amp; T6 &amp; X8 &amp; U10 &amp; O11 &amp; I27</t>
  </si>
  <si>
    <t>Indirect competition route TUU – CAI - diversion ratio &amp; passenger leakage</t>
  </si>
  <si>
    <t>15:15</t>
  </si>
  <si>
    <t>21:45</t>
  </si>
  <si>
    <t>T6</t>
  </si>
  <si>
    <t>O11</t>
  </si>
  <si>
    <t>I27</t>
  </si>
  <si>
    <t>TUU-CAI AS ALTERNATIVE ROUTE</t>
  </si>
  <si>
    <t>AJF-CAI</t>
  </si>
  <si>
    <t>SM-322</t>
  </si>
  <si>
    <t>SM322</t>
  </si>
  <si>
    <t>Q1 &amp; K3 &amp; V42 &amp; L2 &amp; G14 &amp; S18 &amp; W4 &amp; T15 &amp; X1 &amp; U11 &amp; O23 &amp; I20</t>
  </si>
  <si>
    <t>NP-120</t>
  </si>
  <si>
    <t>573 SAR</t>
  </si>
  <si>
    <t>T22 &amp; X4 &amp; U20 &amp; O77 &amp; I2</t>
  </si>
  <si>
    <t>21:55</t>
  </si>
  <si>
    <t>V42</t>
  </si>
  <si>
    <t>L2</t>
  </si>
  <si>
    <t>G14</t>
  </si>
  <si>
    <t>S18</t>
  </si>
  <si>
    <t>U11</t>
  </si>
  <si>
    <t>O23</t>
  </si>
  <si>
    <t>T22</t>
  </si>
  <si>
    <t>O77</t>
  </si>
  <si>
    <t>AJF-ATZ</t>
  </si>
  <si>
    <t>SM-324</t>
  </si>
  <si>
    <t>538 SAR</t>
  </si>
  <si>
    <t>SM324</t>
  </si>
  <si>
    <t>X3</t>
  </si>
  <si>
    <t>V4 &amp; L9 &amp; G9 &amp; S13 &amp; W3 &amp; T8 &amp; X22 &amp; U15 &amp; O52 &amp; I8</t>
  </si>
  <si>
    <t>L9</t>
  </si>
  <si>
    <t>T8</t>
  </si>
  <si>
    <t>X22</t>
  </si>
  <si>
    <t>U15</t>
  </si>
  <si>
    <t>O52</t>
  </si>
  <si>
    <t>I8</t>
  </si>
  <si>
    <t>AJF-CAI AS ALTERNATIVE ROUTE</t>
  </si>
  <si>
    <t>20:25</t>
  </si>
  <si>
    <t>YNB-CAI</t>
  </si>
  <si>
    <t>NP-104</t>
  </si>
  <si>
    <t>571 SAR</t>
  </si>
  <si>
    <t>NE-181</t>
  </si>
  <si>
    <t>SM-442</t>
  </si>
  <si>
    <t>868 SAR</t>
  </si>
  <si>
    <t>SM442</t>
  </si>
  <si>
    <t>V1 &amp; G10 &amp; S16 &amp; W30 &amp; T43 &amp; X35 &amp; U10 &amp; O10 &amp; I20</t>
  </si>
  <si>
    <t>748 SAR</t>
  </si>
  <si>
    <t>G6 &amp; S56 &amp; W47 &amp; T9 &amp; X18 &amp; U15 &amp; O10 &amp; I5</t>
  </si>
  <si>
    <t>G5 &amp; S21 &amp; W32 &amp; T9 &amp; X10 &amp; U18 &amp; P73</t>
  </si>
  <si>
    <t>14:20</t>
  </si>
  <si>
    <t>G10</t>
  </si>
  <si>
    <t>W30</t>
  </si>
  <si>
    <t>T43</t>
  </si>
  <si>
    <t>07:50</t>
  </si>
  <si>
    <t>S56</t>
  </si>
  <si>
    <t>W47</t>
  </si>
  <si>
    <t>X18</t>
  </si>
  <si>
    <t>S21</t>
  </si>
  <si>
    <t>W32</t>
  </si>
  <si>
    <t>P73</t>
  </si>
  <si>
    <t>04:15</t>
  </si>
  <si>
    <t>11:25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</si>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</sst>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F800]dddd\,\ mmmm\ dd\,\ yyyy"/>
    <numFmt numFmtId="166" formatCode="yyyy\-mm\-dd\ h:mm:ss"/>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9C0006"/>
      <name val="Calibri"/>
      <family val="2"/>
    </font>
    <font>
      <i/>
      <sz val="11"/>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FFCCCCCC"/>
        <bgColor rgb="FFCCCCCC"/>
      </patternFill>
    </fill>
    <fill>
      <patternFill patternType="solid">
        <fgColor rgb="FFC5D9F1"/>
      </patternFill>
    </fill>
    <fill>
      <patternFill patternType="solid">
        <fgColor rgb="FF366092"/>
      </patternFill>
    </fill>
    <fill>
      <patternFill patternType="solid">
        <fgColor rgb="FFD8E4BC"/>
      </patternFill>
    </fill>
    <fill>
      <patternFill patternType="solid">
        <fgColor rgb="FFFFFFCC"/>
      </patternFill>
    </fill>
    <fill>
      <patternFill patternType="solid">
        <fgColor rgb="FFB5E7D3"/>
      </patternFill>
    </fill>
    <fill>
      <patternFill patternType="solid">
        <fgColor rgb="FFE6D5E6"/>
      </patternFill>
    </fill>
    <fill>
      <patternFill patternType="solid">
        <fgColor rgb="FFF2CA93"/>
      </patternFill>
    </fill>
    <fill>
      <patternFill patternType="solid">
        <fgColor rgb="FFC7FFFF"/>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85">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5" fillId="0" borderId="11" xfId="0" applyNumberFormat="1" applyFont="1" applyBorder="1" applyAlignment="1">
      <alignment horizontal="center" vertical="center"/>
    </xf>
    <xf numFmtId="168" fontId="15"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6" fillId="8" borderId="15" xfId="0" applyNumberFormat="1" applyFont="1" applyFill="1" applyBorder="1" applyAlignment="1">
      <alignment horizontal="center" vertical="center"/>
    </xf>
    <xf numFmtId="169" fontId="17" fillId="8" borderId="16" xfId="0" applyNumberFormat="1" applyFont="1" applyFill="1" applyBorder="1" applyAlignment="1">
      <alignment horizontal="center" vertical="center"/>
    </xf>
    <xf numFmtId="1" fontId="16" fillId="8" borderId="16" xfId="0" applyNumberFormat="1" applyFont="1" applyFill="1" applyBorder="1" applyAlignment="1">
      <alignment horizontal="center" vertical="center"/>
    </xf>
    <xf numFmtId="16" fontId="16" fillId="8" borderId="16" xfId="0" applyNumberFormat="1" applyFont="1" applyFill="1" applyBorder="1" applyAlignment="1">
      <alignment horizontal="center" vertical="center"/>
    </xf>
    <xf numFmtId="49" fontId="18" fillId="8" borderId="16" xfId="0" applyNumberFormat="1" applyFont="1" applyFill="1" applyBorder="1" applyAlignment="1">
      <alignment horizontal="center" vertical="center"/>
    </xf>
    <xf numFmtId="168" fontId="16" fillId="8" borderId="16" xfId="0" applyNumberFormat="1" applyFont="1" applyFill="1" applyBorder="1" applyAlignment="1">
      <alignment horizontal="center" vertical="center"/>
    </xf>
    <xf numFmtId="49" fontId="16" fillId="8" borderId="17" xfId="0" applyNumberFormat="1" applyFont="1" applyFill="1" applyBorder="1" applyAlignment="1">
      <alignment horizontal="center" vertical="center"/>
    </xf>
    <xf numFmtId="167" fontId="20"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3"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0" fontId="10" fillId="10" borderId="13" xfId="0" applyFont="1" applyFill="1" applyBorder="1" applyAlignment="1">
      <alignment horizontal="center" vertical="center"/>
    </xf>
    <xf numFmtId="49" fontId="16" fillId="10" borderId="15" xfId="0" applyNumberFormat="1" applyFont="1" applyFill="1" applyBorder="1" applyAlignment="1">
      <alignment horizontal="center" vertical="center"/>
    </xf>
    <xf numFmtId="169" fontId="17" fillId="10" borderId="16" xfId="0" applyNumberFormat="1" applyFont="1" applyFill="1" applyBorder="1" applyAlignment="1">
      <alignment horizontal="center" vertical="center"/>
    </xf>
    <xf numFmtId="1" fontId="16" fillId="10" borderId="16" xfId="0" applyNumberFormat="1" applyFont="1" applyFill="1" applyBorder="1" applyAlignment="1">
      <alignment horizontal="center" vertical="center"/>
    </xf>
    <xf numFmtId="16" fontId="16" fillId="10" borderId="16" xfId="0" applyNumberFormat="1" applyFont="1" applyFill="1" applyBorder="1" applyAlignment="1">
      <alignment horizontal="center" vertical="center"/>
    </xf>
    <xf numFmtId="49" fontId="18" fillId="10" borderId="16" xfId="0" applyNumberFormat="1" applyFont="1" applyFill="1" applyBorder="1" applyAlignment="1">
      <alignment horizontal="center" vertical="center"/>
    </xf>
    <xf numFmtId="168" fontId="16" fillId="10" borderId="16" xfId="0" applyNumberFormat="1" applyFont="1" applyFill="1" applyBorder="1" applyAlignment="1">
      <alignment horizontal="center" vertical="center"/>
    </xf>
    <xf numFmtId="49" fontId="16" fillId="10" borderId="17"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3"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6" fillId="12" borderId="30" xfId="0" applyNumberFormat="1" applyFont="1" applyFill="1" applyBorder="1" applyAlignment="1">
      <alignment horizontal="center" vertical="center"/>
    </xf>
    <xf numFmtId="169" fontId="17" fillId="12" borderId="31" xfId="0" applyNumberFormat="1" applyFont="1" applyFill="1" applyBorder="1" applyAlignment="1">
      <alignment horizontal="center" vertical="center"/>
    </xf>
    <xf numFmtId="1" fontId="16" fillId="12" borderId="31" xfId="0" applyNumberFormat="1" applyFont="1" applyFill="1" applyBorder="1" applyAlignment="1">
      <alignment horizontal="center" vertical="center"/>
    </xf>
    <xf numFmtId="16" fontId="16" fillId="12" borderId="31" xfId="0" applyNumberFormat="1" applyFont="1" applyFill="1" applyBorder="1" applyAlignment="1">
      <alignment horizontal="center" vertical="center"/>
    </xf>
    <xf numFmtId="49" fontId="18" fillId="12" borderId="31" xfId="0" applyNumberFormat="1" applyFont="1" applyFill="1" applyBorder="1" applyAlignment="1">
      <alignment horizontal="center" vertical="center"/>
    </xf>
    <xf numFmtId="168" fontId="16" fillId="12" borderId="31" xfId="0" applyNumberFormat="1" applyFont="1" applyFill="1" applyBorder="1" applyAlignment="1">
      <alignment horizontal="center" vertical="center"/>
    </xf>
    <xf numFmtId="49" fontId="16" fillId="12" borderId="32"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49" fontId="15" fillId="0" borderId="13" xfId="0" applyNumberFormat="1" applyFont="1" applyBorder="1" applyAlignment="1">
      <alignment horizontal="center" vertical="center"/>
    </xf>
    <xf numFmtId="168" fontId="15" fillId="0" borderId="13" xfId="0" applyNumberFormat="1" applyFont="1" applyBorder="1" applyAlignment="1">
      <alignment horizontal="center" vertical="center"/>
    </xf>
    <xf numFmtId="0" fontId="12" fillId="0" borderId="16" xfId="0" applyFont="1" applyBorder="1" applyAlignment="1">
      <alignment horizontal="center" vertical="center"/>
    </xf>
    <xf numFmtId="0" fontId="13"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171" fontId="22" fillId="0" borderId="29" xfId="0" applyNumberFormat="1" applyFont="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0" fontId="10" fillId="8" borderId="2" xfId="0" applyFont="1" applyFill="1" applyBorder="1" applyAlignment="1">
      <alignment horizontal="center" vertical="center"/>
    </xf>
    <xf numFmtId="49" fontId="16" fillId="8" borderId="30" xfId="0" applyNumberFormat="1" applyFont="1" applyFill="1" applyBorder="1" applyAlignment="1">
      <alignment horizontal="center" vertical="center"/>
    </xf>
    <xf numFmtId="169" fontId="17" fillId="8" borderId="31" xfId="0" applyNumberFormat="1" applyFont="1" applyFill="1" applyBorder="1" applyAlignment="1">
      <alignment horizontal="center" vertical="center"/>
    </xf>
    <xf numFmtId="1" fontId="16" fillId="8" borderId="31" xfId="0" applyNumberFormat="1" applyFont="1" applyFill="1" applyBorder="1" applyAlignment="1">
      <alignment horizontal="center" vertical="center"/>
    </xf>
    <xf numFmtId="16" fontId="16" fillId="8" borderId="31" xfId="0" applyNumberFormat="1" applyFont="1" applyFill="1" applyBorder="1" applyAlignment="1">
      <alignment horizontal="center" vertical="center"/>
    </xf>
    <xf numFmtId="49" fontId="18" fillId="8" borderId="31" xfId="0" applyNumberFormat="1" applyFont="1" applyFill="1" applyBorder="1" applyAlignment="1">
      <alignment horizontal="center" vertical="center"/>
    </xf>
    <xf numFmtId="168" fontId="16" fillId="8" borderId="31" xfId="0" applyNumberFormat="1" applyFont="1" applyFill="1" applyBorder="1" applyAlignment="1">
      <alignment horizontal="center" vertical="center"/>
    </xf>
    <xf numFmtId="49" fontId="16" fillId="8" borderId="32" xfId="0" applyNumberFormat="1" applyFont="1" applyFill="1" applyBorder="1" applyAlignment="1">
      <alignment horizontal="center" vertical="center"/>
    </xf>
    <xf numFmtId="0" fontId="22" fillId="0" borderId="27" xfId="0" applyFont="1" applyBorder="1" applyAlignment="1">
      <alignment horizontal="center" vertical="center"/>
    </xf>
    <xf numFmtId="0" fontId="23" fillId="0" borderId="26" xfId="0" applyFont="1" applyBorder="1" applyAlignment="1">
      <alignment horizontal="center" vertical="center"/>
    </xf>
    <xf numFmtId="169" fontId="16" fillId="12" borderId="31"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49" fontId="16" fillId="13" borderId="30" xfId="0" applyNumberFormat="1" applyFont="1" applyFill="1" applyBorder="1" applyAlignment="1">
      <alignment horizontal="center" vertical="center"/>
    </xf>
    <xf numFmtId="169" fontId="16" fillId="13" borderId="31" xfId="0" applyNumberFormat="1" applyFont="1" applyFill="1" applyBorder="1" applyAlignment="1">
      <alignment horizontal="center" vertical="center"/>
    </xf>
    <xf numFmtId="1" fontId="16" fillId="13" borderId="31" xfId="0" applyNumberFormat="1" applyFont="1" applyFill="1" applyBorder="1" applyAlignment="1">
      <alignment horizontal="center" vertical="center"/>
    </xf>
    <xf numFmtId="16" fontId="16" fillId="13" borderId="31" xfId="0" applyNumberFormat="1" applyFont="1" applyFill="1" applyBorder="1" applyAlignment="1">
      <alignment horizontal="center" vertical="center"/>
    </xf>
    <xf numFmtId="49" fontId="18" fillId="13" borderId="31" xfId="0" applyNumberFormat="1" applyFont="1" applyFill="1" applyBorder="1" applyAlignment="1">
      <alignment horizontal="center" vertical="center"/>
    </xf>
    <xf numFmtId="168" fontId="16" fillId="13" borderId="31" xfId="0" applyNumberFormat="1" applyFont="1" applyFill="1" applyBorder="1" applyAlignment="1">
      <alignment horizontal="center" vertical="center"/>
    </xf>
    <xf numFmtId="49" fontId="16" fillId="13" borderId="32" xfId="0" applyNumberFormat="1"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6" fillId="10" borderId="30" xfId="0" applyNumberFormat="1" applyFont="1" applyFill="1" applyBorder="1" applyAlignment="1">
      <alignment horizontal="center" vertical="center"/>
    </xf>
    <xf numFmtId="169" fontId="17" fillId="10" borderId="31" xfId="0" applyNumberFormat="1" applyFont="1" applyFill="1" applyBorder="1" applyAlignment="1">
      <alignment horizontal="center" vertical="center"/>
    </xf>
    <xf numFmtId="1" fontId="16" fillId="10" borderId="31" xfId="0" applyNumberFormat="1" applyFont="1" applyFill="1" applyBorder="1" applyAlignment="1">
      <alignment horizontal="center" vertical="center"/>
    </xf>
    <xf numFmtId="16" fontId="16" fillId="10" borderId="31" xfId="0" applyNumberFormat="1" applyFont="1" applyFill="1" applyBorder="1" applyAlignment="1">
      <alignment horizontal="center" vertical="center"/>
    </xf>
    <xf numFmtId="49" fontId="18" fillId="10" borderId="31" xfId="0" applyNumberFormat="1" applyFont="1" applyFill="1" applyBorder="1" applyAlignment="1">
      <alignment horizontal="center" vertical="center"/>
    </xf>
    <xf numFmtId="168" fontId="16" fillId="10" borderId="31" xfId="0" applyNumberFormat="1" applyFont="1" applyFill="1" applyBorder="1" applyAlignment="1">
      <alignment horizontal="center" vertical="center"/>
    </xf>
    <xf numFmtId="49" fontId="16" fillId="10" borderId="32" xfId="0" applyNumberFormat="1" applyFont="1" applyFill="1" applyBorder="1" applyAlignment="1">
      <alignment horizontal="center" vertical="center"/>
    </xf>
    <xf numFmtId="49" fontId="15" fillId="14" borderId="2" xfId="0" applyNumberFormat="1" applyFont="1" applyFill="1" applyBorder="1" applyAlignment="1">
      <alignment horizontal="center" vertical="center"/>
    </xf>
    <xf numFmtId="168" fontId="15" fillId="14" borderId="2" xfId="0" applyNumberFormat="1" applyFont="1" applyFill="1" applyBorder="1" applyAlignment="1">
      <alignment horizontal="center" vertical="center"/>
    </xf>
    <xf numFmtId="49" fontId="16" fillId="14" borderId="30" xfId="0" applyNumberFormat="1" applyFont="1" applyFill="1" applyBorder="1" applyAlignment="1">
      <alignment horizontal="center" vertical="center"/>
    </xf>
    <xf numFmtId="169" fontId="17" fillId="14" borderId="31" xfId="0" applyNumberFormat="1" applyFont="1" applyFill="1" applyBorder="1" applyAlignment="1">
      <alignment horizontal="center" vertical="center"/>
    </xf>
    <xf numFmtId="1" fontId="16" fillId="14" borderId="31" xfId="0" applyNumberFormat="1" applyFont="1" applyFill="1" applyBorder="1" applyAlignment="1">
      <alignment horizontal="center" vertical="center"/>
    </xf>
    <xf numFmtId="16" fontId="16" fillId="14" borderId="31" xfId="0" applyNumberFormat="1" applyFont="1" applyFill="1" applyBorder="1" applyAlignment="1">
      <alignment horizontal="center" vertical="center"/>
    </xf>
    <xf numFmtId="49" fontId="18" fillId="14" borderId="31" xfId="0" applyNumberFormat="1" applyFont="1" applyFill="1" applyBorder="1" applyAlignment="1">
      <alignment horizontal="center" vertical="center"/>
    </xf>
    <xf numFmtId="168" fontId="16" fillId="14" borderId="31" xfId="0" applyNumberFormat="1" applyFont="1" applyFill="1" applyBorder="1" applyAlignment="1">
      <alignment horizontal="center" vertical="center"/>
    </xf>
    <xf numFmtId="49" fontId="16" fillId="14" borderId="32" xfId="0" applyNumberFormat="1" applyFont="1" applyFill="1" applyBorder="1" applyAlignment="1">
      <alignment horizontal="center" vertical="center"/>
    </xf>
    <xf numFmtId="49" fontId="15" fillId="15" borderId="2" xfId="0" applyNumberFormat="1" applyFont="1" applyFill="1" applyBorder="1" applyAlignment="1">
      <alignment horizontal="center" vertical="center"/>
    </xf>
    <xf numFmtId="168" fontId="15" fillId="15" borderId="2" xfId="0" applyNumberFormat="1" applyFont="1" applyFill="1" applyBorder="1" applyAlignment="1">
      <alignment horizontal="center" vertical="center"/>
    </xf>
    <xf numFmtId="49" fontId="16" fillId="15" borderId="30" xfId="0" applyNumberFormat="1" applyFont="1" applyFill="1" applyBorder="1" applyAlignment="1">
      <alignment horizontal="center" vertical="center"/>
    </xf>
    <xf numFmtId="169" fontId="17" fillId="15" borderId="31" xfId="0" applyNumberFormat="1" applyFont="1" applyFill="1" applyBorder="1" applyAlignment="1">
      <alignment horizontal="center" vertical="center"/>
    </xf>
    <xf numFmtId="1" fontId="16" fillId="15" borderId="31" xfId="0" applyNumberFormat="1" applyFont="1" applyFill="1" applyBorder="1" applyAlignment="1">
      <alignment horizontal="center" vertical="center"/>
    </xf>
    <xf numFmtId="16" fontId="16" fillId="15" borderId="31" xfId="0" applyNumberFormat="1" applyFont="1" applyFill="1" applyBorder="1" applyAlignment="1">
      <alignment horizontal="center" vertical="center"/>
    </xf>
    <xf numFmtId="49" fontId="18" fillId="15" borderId="31" xfId="0" applyNumberFormat="1" applyFont="1" applyFill="1" applyBorder="1" applyAlignment="1">
      <alignment horizontal="center" vertical="center"/>
    </xf>
    <xf numFmtId="168" fontId="16" fillId="15" borderId="31" xfId="0" applyNumberFormat="1" applyFont="1" applyFill="1" applyBorder="1" applyAlignment="1">
      <alignment horizontal="center" vertical="center"/>
    </xf>
    <xf numFmtId="49" fontId="16" fillId="15" borderId="32" xfId="0" applyNumberFormat="1" applyFont="1" applyFill="1" applyBorder="1" applyAlignment="1">
      <alignment horizontal="center" vertical="center"/>
    </xf>
    <xf numFmtId="169" fontId="25" fillId="12" borderId="31" xfId="0" applyNumberFormat="1" applyFont="1" applyFill="1" applyBorder="1" applyAlignment="1">
      <alignment horizontal="center" vertical="center"/>
    </xf>
    <xf numFmtId="49" fontId="15" fillId="16" borderId="2" xfId="0" applyNumberFormat="1" applyFont="1" applyFill="1" applyBorder="1" applyAlignment="1">
      <alignment horizontal="center" vertical="center"/>
    </xf>
    <xf numFmtId="168" fontId="15" fillId="16" borderId="2" xfId="0" applyNumberFormat="1" applyFont="1" applyFill="1" applyBorder="1" applyAlignment="1">
      <alignment horizontal="center" vertical="center"/>
    </xf>
    <xf numFmtId="49" fontId="16" fillId="16" borderId="30" xfId="0" applyNumberFormat="1" applyFont="1" applyFill="1" applyBorder="1" applyAlignment="1">
      <alignment horizontal="center" vertical="center"/>
    </xf>
    <xf numFmtId="169" fontId="25" fillId="16" borderId="31" xfId="0" applyNumberFormat="1" applyFont="1" applyFill="1" applyBorder="1" applyAlignment="1">
      <alignment horizontal="center" vertical="center"/>
    </xf>
    <xf numFmtId="1" fontId="16" fillId="16" borderId="31" xfId="0" applyNumberFormat="1" applyFont="1" applyFill="1" applyBorder="1" applyAlignment="1">
      <alignment horizontal="center" vertical="center"/>
    </xf>
    <xf numFmtId="16" fontId="16" fillId="16" borderId="31" xfId="0" applyNumberFormat="1" applyFont="1" applyFill="1" applyBorder="1" applyAlignment="1">
      <alignment horizontal="center" vertical="center"/>
    </xf>
    <xf numFmtId="49" fontId="18" fillId="16" borderId="31" xfId="0" applyNumberFormat="1" applyFont="1" applyFill="1" applyBorder="1" applyAlignment="1">
      <alignment horizontal="center" vertical="center"/>
    </xf>
    <xf numFmtId="168" fontId="16" fillId="16" borderId="31" xfId="0" applyNumberFormat="1" applyFont="1" applyFill="1" applyBorder="1" applyAlignment="1">
      <alignment horizontal="center" vertical="center"/>
    </xf>
    <xf numFmtId="49" fontId="16" fillId="16" borderId="32" xfId="0" applyNumberFormat="1" applyFont="1" applyFill="1" applyBorder="1" applyAlignment="1">
      <alignment horizontal="center" vertical="center"/>
    </xf>
    <xf numFmtId="169" fontId="25" fillId="14" borderId="31" xfId="0" applyNumberFormat="1" applyFont="1" applyFill="1" applyBorder="1" applyAlignment="1">
      <alignment horizontal="center" vertical="center"/>
    </xf>
    <xf numFmtId="169" fontId="16" fillId="16" borderId="31" xfId="0" applyNumberFormat="1" applyFont="1" applyFill="1" applyBorder="1" applyAlignment="1">
      <alignment horizontal="center" vertical="center"/>
    </xf>
    <xf numFmtId="49" fontId="15" fillId="8" borderId="2" xfId="0" applyNumberFormat="1" applyFont="1" applyFill="1" applyBorder="1" applyAlignment="1">
      <alignment horizontal="center" vertical="center"/>
    </xf>
    <xf numFmtId="168" fontId="15" fillId="8" borderId="2" xfId="0" applyNumberFormat="1" applyFont="1" applyFill="1" applyBorder="1" applyAlignment="1">
      <alignment horizontal="center" vertical="center"/>
    </xf>
    <xf numFmtId="0" fontId="15" fillId="8" borderId="2" xfId="0"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0" fontId="10" fillId="13" borderId="2" xfId="0" applyFont="1" applyFill="1" applyBorder="1" applyAlignment="1">
      <alignment horizontal="center" vertical="center"/>
    </xf>
    <xf numFmtId="169" fontId="17" fillId="13" borderId="31" xfId="0" applyNumberFormat="1" applyFont="1" applyFill="1" applyBorder="1" applyAlignment="1">
      <alignment horizontal="center" vertical="center"/>
    </xf>
    <xf numFmtId="49" fontId="15" fillId="16" borderId="13" xfId="0" applyNumberFormat="1" applyFont="1" applyFill="1" applyBorder="1" applyAlignment="1">
      <alignment horizontal="center" vertical="center"/>
    </xf>
    <xf numFmtId="168" fontId="15" fillId="16" borderId="13" xfId="0" applyNumberFormat="1" applyFont="1" applyFill="1" applyBorder="1" applyAlignment="1">
      <alignment horizontal="center" vertical="center"/>
    </xf>
    <xf numFmtId="0" fontId="15" fillId="16" borderId="13" xfId="0" applyFont="1" applyFill="1" applyBorder="1" applyAlignment="1">
      <alignment horizontal="center" vertical="center"/>
    </xf>
    <xf numFmtId="49" fontId="16" fillId="16" borderId="15" xfId="0" applyNumberFormat="1" applyFont="1" applyFill="1" applyBorder="1" applyAlignment="1">
      <alignment horizontal="center" vertical="center"/>
    </xf>
    <xf numFmtId="169" fontId="17" fillId="16" borderId="16" xfId="0" applyNumberFormat="1" applyFont="1" applyFill="1" applyBorder="1" applyAlignment="1">
      <alignment horizontal="center" vertical="center"/>
    </xf>
    <xf numFmtId="1" fontId="16" fillId="16" borderId="16" xfId="0" applyNumberFormat="1" applyFont="1" applyFill="1" applyBorder="1" applyAlignment="1">
      <alignment horizontal="center" vertical="center"/>
    </xf>
    <xf numFmtId="16" fontId="16" fillId="16" borderId="16" xfId="0" applyNumberFormat="1" applyFont="1" applyFill="1" applyBorder="1" applyAlignment="1">
      <alignment horizontal="center" vertical="center"/>
    </xf>
    <xf numFmtId="49" fontId="18" fillId="16" borderId="16" xfId="0" applyNumberFormat="1" applyFont="1" applyFill="1" applyBorder="1" applyAlignment="1">
      <alignment horizontal="center" vertical="center"/>
    </xf>
    <xf numFmtId="168" fontId="16" fillId="16" borderId="16" xfId="0" applyNumberFormat="1" applyFont="1" applyFill="1" applyBorder="1" applyAlignment="1">
      <alignment horizontal="center" vertical="center"/>
    </xf>
    <xf numFmtId="49" fontId="16" fillId="16" borderId="17" xfId="0" applyNumberFormat="1" applyFont="1" applyFill="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0" fontId="10" fillId="16" borderId="2" xfId="0" applyFont="1" applyFill="1" applyBorder="1" applyAlignment="1">
      <alignment horizontal="center" vertical="center"/>
    </xf>
    <xf numFmtId="169" fontId="17" fillId="16" borderId="31"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169" fontId="16" fillId="10" borderId="31" xfId="0" applyNumberFormat="1" applyFont="1" applyFill="1" applyBorder="1" applyAlignment="1">
      <alignment horizontal="center" vertical="center"/>
    </xf>
    <xf numFmtId="49" fontId="15" fillId="17" borderId="2" xfId="0" applyNumberFormat="1" applyFont="1" applyFill="1" applyBorder="1" applyAlignment="1">
      <alignment horizontal="center" vertical="center"/>
    </xf>
    <xf numFmtId="168" fontId="15" fillId="17" borderId="2" xfId="0" applyNumberFormat="1" applyFont="1" applyFill="1" applyBorder="1" applyAlignment="1">
      <alignment horizontal="center" vertical="center"/>
    </xf>
    <xf numFmtId="49" fontId="16" fillId="17" borderId="30" xfId="0" applyNumberFormat="1" applyFont="1" applyFill="1" applyBorder="1" applyAlignment="1">
      <alignment horizontal="center" vertical="center"/>
    </xf>
    <xf numFmtId="169" fontId="16" fillId="17" borderId="31" xfId="0" applyNumberFormat="1" applyFont="1" applyFill="1" applyBorder="1" applyAlignment="1">
      <alignment horizontal="center" vertical="center"/>
    </xf>
    <xf numFmtId="1" fontId="16" fillId="17" borderId="31" xfId="0" applyNumberFormat="1" applyFont="1" applyFill="1" applyBorder="1" applyAlignment="1">
      <alignment horizontal="center" vertical="center"/>
    </xf>
    <xf numFmtId="16" fontId="16" fillId="17" borderId="31" xfId="0" applyNumberFormat="1" applyFont="1" applyFill="1" applyBorder="1" applyAlignment="1">
      <alignment horizontal="center" vertical="center"/>
    </xf>
    <xf numFmtId="49" fontId="18" fillId="17" borderId="31" xfId="0" applyNumberFormat="1" applyFont="1" applyFill="1" applyBorder="1" applyAlignment="1">
      <alignment horizontal="center" vertical="center"/>
    </xf>
    <xf numFmtId="168" fontId="16" fillId="17" borderId="31" xfId="0" applyNumberFormat="1" applyFont="1" applyFill="1" applyBorder="1" applyAlignment="1">
      <alignment horizontal="center" vertical="center"/>
    </xf>
    <xf numFmtId="49" fontId="16" fillId="17" borderId="32" xfId="0" applyNumberFormat="1" applyFont="1" applyFill="1" applyBorder="1" applyAlignment="1">
      <alignment horizontal="center" vertical="center"/>
    </xf>
    <xf numFmtId="169" fontId="16" fillId="14" borderId="31" xfId="0" applyNumberFormat="1" applyFont="1" applyFill="1" applyBorder="1" applyAlignment="1">
      <alignment horizontal="center" vertical="center"/>
    </xf>
    <xf numFmtId="169" fontId="16" fillId="8" borderId="31" xfId="0" applyNumberFormat="1" applyFont="1" applyFill="1" applyBorder="1" applyAlignment="1">
      <alignment horizontal="center" vertical="center"/>
    </xf>
    <xf numFmtId="0" fontId="6" fillId="0" borderId="0" xfId="0" applyFont="1"/>
    <xf numFmtId="0" fontId="20" fillId="0" borderId="0" xfId="0" applyFont="1"/>
    <xf numFmtId="0" fontId="26" fillId="0" borderId="0" xfId="0" applyFont="1"/>
    <xf numFmtId="0" fontId="21" fillId="11" borderId="5" xfId="0"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169" fontId="16" fillId="15" borderId="31" xfId="0" applyNumberFormat="1" applyFont="1" applyFill="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49" fontId="16" fillId="13" borderId="15" xfId="0" applyNumberFormat="1" applyFont="1" applyFill="1" applyBorder="1" applyAlignment="1">
      <alignment horizontal="center" vertical="center"/>
    </xf>
    <xf numFmtId="169" fontId="17" fillId="13" borderId="16" xfId="0" applyNumberFormat="1" applyFont="1" applyFill="1" applyBorder="1" applyAlignment="1">
      <alignment horizontal="center" vertical="center"/>
    </xf>
    <xf numFmtId="1" fontId="16" fillId="13" borderId="16" xfId="0" applyNumberFormat="1" applyFont="1" applyFill="1" applyBorder="1" applyAlignment="1">
      <alignment horizontal="center" vertical="center"/>
    </xf>
    <xf numFmtId="16" fontId="16" fillId="13" borderId="16" xfId="0" applyNumberFormat="1" applyFont="1" applyFill="1" applyBorder="1" applyAlignment="1">
      <alignment horizontal="center" vertical="center"/>
    </xf>
    <xf numFmtId="49" fontId="18" fillId="13" borderId="16" xfId="0" applyNumberFormat="1" applyFont="1" applyFill="1" applyBorder="1" applyAlignment="1">
      <alignment horizontal="center" vertical="center"/>
    </xf>
    <xf numFmtId="168" fontId="16" fillId="13" borderId="16" xfId="0" applyNumberFormat="1" applyFont="1" applyFill="1" applyBorder="1" applyAlignment="1">
      <alignment horizontal="center" vertical="center"/>
    </xf>
    <xf numFmtId="49" fontId="16" fillId="13" borderId="17" xfId="0" applyNumberFormat="1" applyFont="1" applyFill="1" applyBorder="1" applyAlignment="1">
      <alignment horizontal="center" vertical="center"/>
    </xf>
    <xf numFmtId="49" fontId="10" fillId="16" borderId="13" xfId="0" applyNumberFormat="1" applyFont="1" applyFill="1" applyBorder="1" applyAlignment="1">
      <alignment horizontal="center" vertical="center"/>
    </xf>
    <xf numFmtId="168" fontId="10" fillId="16" borderId="13" xfId="0" applyNumberFormat="1" applyFont="1" applyFill="1" applyBorder="1" applyAlignment="1">
      <alignment horizontal="center" vertical="center"/>
    </xf>
    <xf numFmtId="49" fontId="16" fillId="17" borderId="15" xfId="0" applyNumberFormat="1" applyFont="1" applyFill="1" applyBorder="1" applyAlignment="1">
      <alignment horizontal="center" vertical="center"/>
    </xf>
    <xf numFmtId="169" fontId="17" fillId="17" borderId="16" xfId="0" applyNumberFormat="1" applyFont="1" applyFill="1" applyBorder="1" applyAlignment="1">
      <alignment horizontal="center" vertical="center"/>
    </xf>
    <xf numFmtId="1" fontId="16" fillId="17" borderId="16" xfId="0" applyNumberFormat="1" applyFont="1" applyFill="1" applyBorder="1" applyAlignment="1">
      <alignment horizontal="center" vertical="center"/>
    </xf>
    <xf numFmtId="16" fontId="16" fillId="17" borderId="16" xfId="0" applyNumberFormat="1" applyFont="1" applyFill="1" applyBorder="1" applyAlignment="1">
      <alignment horizontal="center" vertical="center"/>
    </xf>
    <xf numFmtId="49" fontId="18" fillId="17" borderId="16" xfId="0" applyNumberFormat="1" applyFont="1" applyFill="1" applyBorder="1" applyAlignment="1">
      <alignment horizontal="center" vertical="center"/>
    </xf>
    <xf numFmtId="168" fontId="16" fillId="17" borderId="16" xfId="0" applyNumberFormat="1" applyFont="1" applyFill="1" applyBorder="1" applyAlignment="1">
      <alignment horizontal="center" vertical="center"/>
    </xf>
    <xf numFmtId="49" fontId="16" fillId="17" borderId="17" xfId="0" applyNumberFormat="1" applyFont="1" applyFill="1" applyBorder="1" applyAlignment="1">
      <alignment horizontal="center" vertical="center"/>
    </xf>
    <xf numFmtId="0" fontId="10" fillId="12" borderId="2" xfId="0" applyFont="1" applyFill="1" applyBorder="1" applyAlignment="1">
      <alignment horizontal="center" vertical="center"/>
    </xf>
    <xf numFmtId="49" fontId="16" fillId="12" borderId="15" xfId="0" applyNumberFormat="1" applyFont="1" applyFill="1" applyBorder="1" applyAlignment="1">
      <alignment horizontal="center" vertical="center"/>
    </xf>
    <xf numFmtId="169" fontId="17" fillId="12" borderId="16" xfId="0" applyNumberFormat="1" applyFont="1" applyFill="1" applyBorder="1" applyAlignment="1">
      <alignment horizontal="center" vertical="center"/>
    </xf>
    <xf numFmtId="1" fontId="16" fillId="12" borderId="16" xfId="0" applyNumberFormat="1" applyFont="1" applyFill="1" applyBorder="1" applyAlignment="1">
      <alignment horizontal="center" vertical="center"/>
    </xf>
    <xf numFmtId="16" fontId="16" fillId="12" borderId="16" xfId="0" applyNumberFormat="1" applyFont="1" applyFill="1" applyBorder="1" applyAlignment="1">
      <alignment horizontal="center" vertical="center"/>
    </xf>
    <xf numFmtId="49" fontId="18" fillId="12" borderId="16" xfId="0" applyNumberFormat="1" applyFont="1" applyFill="1" applyBorder="1" applyAlignment="1">
      <alignment horizontal="center" vertical="center"/>
    </xf>
    <xf numFmtId="168" fontId="16" fillId="12" borderId="16" xfId="0" applyNumberFormat="1" applyFont="1" applyFill="1" applyBorder="1" applyAlignment="1">
      <alignment horizontal="center" vertical="center"/>
    </xf>
    <xf numFmtId="49" fontId="16" fillId="12" borderId="17" xfId="0" applyNumberFormat="1" applyFont="1" applyFill="1" applyBorder="1" applyAlignment="1">
      <alignment horizontal="center" vertical="center"/>
    </xf>
    <xf numFmtId="166" fontId="0" fillId="0" borderId="0" xfId="0" applyNumberFormat="1"/>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0" fontId="11" fillId="0" borderId="7" xfId="0" applyFont="1" applyBorder="1"/>
    <xf numFmtId="0" fontId="0" fillId="0" borderId="12" xfId="0" applyBorder="1"/>
    <xf numFmtId="0" fontId="0" fillId="0" borderId="14" xfId="0" applyBorder="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49" fontId="5" fillId="4" borderId="2" xfId="0" applyNumberFormat="1" applyFont="1" applyFill="1" applyBorder="1" applyAlignment="1">
      <alignment horizontal="center" vertical="center"/>
    </xf>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0" fillId="0" borderId="7"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9" fillId="9" borderId="36" xfId="0" applyFont="1" applyFill="1" applyBorder="1" applyAlignment="1">
      <alignment horizontal="center" vertical="center"/>
    </xf>
    <xf numFmtId="0" fontId="19" fillId="9" borderId="37" xfId="0" applyFont="1" applyFill="1" applyBorder="1" applyAlignment="1">
      <alignment horizontal="center" vertical="center"/>
    </xf>
    <xf numFmtId="0" fontId="19" fillId="9" borderId="38" xfId="0" applyFont="1" applyFill="1" applyBorder="1" applyAlignment="1">
      <alignment horizontal="center" vertical="center"/>
    </xf>
  </cellXfs>
  <cellStyles count="1">
    <cellStyle name="Normal" xfId="0" builtinId="0"/>
  </cellStyles>
  <dxfs count="10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4" totalsRowCount="1" headerRowDxfId="1049" dataDxfId="1012" totalsRowDxfId="975">
  <tableColumns count="36">
    <tableColumn id="1" xr3:uid="{00000000-0010-0000-0000-000001000000}" name="Day" totalsRowLabel="TOTAL" dataDxfId="1048" totalsRowDxfId="1011"/>
    <tableColumn id="2" xr3:uid="{00000000-0010-0000-0000-000002000000}" name="Flt Dt" dataDxfId="1047" totalsRowDxfId="1010"/>
    <tableColumn id="3" xr3:uid="{00000000-0010-0000-0000-000003000000}" name="Flt" totalsRowFunction="count" dataDxfId="1046" totalsRowDxfId="1009"/>
    <tableColumn id="4" xr3:uid="{00000000-0010-0000-0000-000004000000}" name="DEP" dataDxfId="1045" totalsRowDxfId="1008"/>
    <tableColumn id="5" xr3:uid="{00000000-0010-0000-0000-000005000000}" name="Brd-Off" totalsRowFunction="count" dataDxfId="1044" totalsRowDxfId="1007"/>
    <tableColumn id="6" xr3:uid="{00000000-0010-0000-0000-000006000000}" name="Eqp" dataDxfId="1043" totalsRowDxfId="1006"/>
    <tableColumn id="7" xr3:uid="{00000000-0010-0000-0000-000007000000}" name="LF%" totalsRowFunction="average" dataDxfId="1042" totalsRowDxfId="1005"/>
    <tableColumn id="8" xr3:uid="{00000000-0010-0000-0000-000008000000}" name="CAP" totalsRowFunction="sum" dataDxfId="1041" totalsRowDxfId="1004"/>
    <tableColumn id="9" xr3:uid="{00000000-0010-0000-0000-000009000000}" name="BKG(Y)" totalsRowFunction="sum" dataDxfId="1040" totalsRowDxfId="1003"/>
    <tableColumn id="10" xr3:uid="{00000000-0010-0000-0000-00000A000000}" name="GRP(Y)" totalsRowFunction="sum" dataDxfId="1039" totalsRowDxfId="1002"/>
    <tableColumn id="11" xr3:uid="{00000000-0010-0000-0000-00000B000000}" name="FLT ST" dataDxfId="1038" totalsRowDxfId="1001"/>
    <tableColumn id="12" xr3:uid="{00000000-0010-0000-0000-00000C000000}" name="LST-SOLD" dataDxfId="1037" totalsRowDxfId="1000"/>
    <tableColumn id="13" xr3:uid="{00000000-0010-0000-0000-00000D000000}" name="TO-DAY" totalsRowFunction="sum" dataDxfId="1036" totalsRowDxfId="999"/>
    <tableColumn id="14" xr3:uid="{00000000-0010-0000-0000-00000E000000}" name="Y-DAY" totalsRowFunction="sum" dataDxfId="1035" totalsRowDxfId="998"/>
    <tableColumn id="15" xr3:uid="{00000000-0010-0000-0000-00000F000000}" name="WEEKLY" totalsRowFunction="sum" dataDxfId="1034" totalsRowDxfId="997"/>
    <tableColumn id="16" xr3:uid="{00000000-0010-0000-0000-000010000000}" name="LOWEST AVAIL" dataDxfId="1033" totalsRowDxfId="996"/>
    <tableColumn id="17" xr3:uid="{00000000-0010-0000-0000-000011000000}" name="Y" totalsRowFunction="sum" dataDxfId="1032" totalsRowDxfId="995"/>
    <tableColumn id="18" xr3:uid="{00000000-0010-0000-0000-000012000000}" name="B" totalsRowFunction="sum" dataDxfId="1031" totalsRowDxfId="994"/>
    <tableColumn id="19" xr3:uid="{00000000-0010-0000-0000-000013000000}" name="M" totalsRowFunction="sum" dataDxfId="1030" totalsRowDxfId="993"/>
    <tableColumn id="20" xr3:uid="{00000000-0010-0000-0000-000014000000}" name="H" totalsRowFunction="sum" dataDxfId="1029" totalsRowDxfId="992"/>
    <tableColumn id="21" xr3:uid="{00000000-0010-0000-0000-000015000000}" name="Q" totalsRowFunction="sum" dataDxfId="1028" totalsRowDxfId="991"/>
    <tableColumn id="22" xr3:uid="{00000000-0010-0000-0000-000016000000}" name="K" totalsRowFunction="sum" dataDxfId="1027" totalsRowDxfId="990"/>
    <tableColumn id="23" xr3:uid="{00000000-0010-0000-0000-000017000000}" name="V" totalsRowFunction="sum" dataDxfId="1026" totalsRowDxfId="989"/>
    <tableColumn id="24" xr3:uid="{00000000-0010-0000-0000-000018000000}" name="L" totalsRowFunction="sum" dataDxfId="1025" totalsRowDxfId="988"/>
    <tableColumn id="25" xr3:uid="{00000000-0010-0000-0000-000019000000}" name="G" totalsRowFunction="sum" dataDxfId="1024" totalsRowDxfId="987"/>
    <tableColumn id="26" xr3:uid="{00000000-0010-0000-0000-00001A000000}" name="S" totalsRowFunction="sum" dataDxfId="1023" totalsRowDxfId="986"/>
    <tableColumn id="27" xr3:uid="{00000000-0010-0000-0000-00001B000000}" name="W" totalsRowFunction="sum" dataDxfId="1022" totalsRowDxfId="985"/>
    <tableColumn id="28" xr3:uid="{00000000-0010-0000-0000-00001C000000}" name="T" totalsRowFunction="sum" dataDxfId="1021" totalsRowDxfId="984"/>
    <tableColumn id="29" xr3:uid="{00000000-0010-0000-0000-00001D000000}" name="X" totalsRowFunction="sum" dataDxfId="1020" totalsRowDxfId="983"/>
    <tableColumn id="30" xr3:uid="{00000000-0010-0000-0000-00001E000000}" name="U" totalsRowFunction="sum" dataDxfId="1019" totalsRowDxfId="982"/>
    <tableColumn id="31" xr3:uid="{00000000-0010-0000-0000-00001F000000}" name="O" totalsRowFunction="sum" dataDxfId="1018" totalsRowDxfId="981"/>
    <tableColumn id="32" xr3:uid="{00000000-0010-0000-0000-000020000000}" name="I" totalsRowFunction="sum" dataDxfId="1017" totalsRowDxfId="980"/>
    <tableColumn id="33" xr3:uid="{00000000-0010-0000-0000-000021000000}" name="E" totalsRowFunction="sum" dataDxfId="1016" totalsRowDxfId="979"/>
    <tableColumn id="34" xr3:uid="{00000000-0010-0000-0000-000022000000}" name="A" totalsRowFunction="sum" dataDxfId="1015" totalsRowDxfId="978"/>
    <tableColumn id="35" xr3:uid="{00000000-0010-0000-0000-000023000000}" name="P" totalsRowFunction="sum" dataDxfId="1014" totalsRowDxfId="977"/>
    <tableColumn id="36" xr3:uid="{00000000-0010-0000-0000-000024000000}" name="N" totalsRowFunction="count" dataDxfId="1013" totalsRowDxfId="9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49" totalsRowShown="0">
  <autoFilter ref="A1:H49"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14" totalsRowShown="0">
  <autoFilter ref="A1:H14"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3" totalsRowCount="1" headerRowDxfId="974" dataDxfId="937" totalsRowDxfId="900">
  <tableColumns count="36">
    <tableColumn id="1" xr3:uid="{00000000-0010-0000-0300-000001000000}" name="Day" totalsRowLabel="TOTAL" dataDxfId="973" totalsRowDxfId="936"/>
    <tableColumn id="2" xr3:uid="{00000000-0010-0000-0300-000002000000}" name="Flt Dt" dataDxfId="972" totalsRowDxfId="935"/>
    <tableColumn id="3" xr3:uid="{00000000-0010-0000-0300-000003000000}" name="Flt" totalsRowFunction="count" dataDxfId="971" totalsRowDxfId="934"/>
    <tableColumn id="4" xr3:uid="{00000000-0010-0000-0300-000004000000}" name="DEP" dataDxfId="970" totalsRowDxfId="933"/>
    <tableColumn id="5" xr3:uid="{00000000-0010-0000-0300-000005000000}" name="Brd-Off" totalsRowFunction="count" dataDxfId="969" totalsRowDxfId="932"/>
    <tableColumn id="6" xr3:uid="{00000000-0010-0000-0300-000006000000}" name="Eqp" dataDxfId="968" totalsRowDxfId="931"/>
    <tableColumn id="7" xr3:uid="{00000000-0010-0000-0300-000007000000}" name="LF%" totalsRowFunction="average" dataDxfId="967" totalsRowDxfId="930"/>
    <tableColumn id="8" xr3:uid="{00000000-0010-0000-0300-000008000000}" name="CAP" totalsRowFunction="sum" dataDxfId="966" totalsRowDxfId="929"/>
    <tableColumn id="9" xr3:uid="{00000000-0010-0000-0300-000009000000}" name="BKG(Y)" totalsRowFunction="sum" dataDxfId="965" totalsRowDxfId="928"/>
    <tableColumn id="10" xr3:uid="{00000000-0010-0000-0300-00000A000000}" name="GRP(Y)" totalsRowFunction="sum" dataDxfId="964" totalsRowDxfId="927"/>
    <tableColumn id="11" xr3:uid="{00000000-0010-0000-0300-00000B000000}" name="FLT ST" dataDxfId="963" totalsRowDxfId="926"/>
    <tableColumn id="12" xr3:uid="{00000000-0010-0000-0300-00000C000000}" name="LST-SOLD" dataDxfId="962" totalsRowDxfId="925"/>
    <tableColumn id="13" xr3:uid="{00000000-0010-0000-0300-00000D000000}" name="TO-DAY" totalsRowFunction="sum" dataDxfId="961" totalsRowDxfId="924"/>
    <tableColumn id="14" xr3:uid="{00000000-0010-0000-0300-00000E000000}" name="Y-DAY" totalsRowFunction="sum" dataDxfId="960" totalsRowDxfId="923"/>
    <tableColumn id="15" xr3:uid="{00000000-0010-0000-0300-00000F000000}" name="WEEKLY" totalsRowFunction="sum" dataDxfId="959" totalsRowDxfId="922"/>
    <tableColumn id="16" xr3:uid="{00000000-0010-0000-0300-000010000000}" name="LOWEST AVAIL" dataDxfId="958" totalsRowDxfId="921"/>
    <tableColumn id="17" xr3:uid="{00000000-0010-0000-0300-000011000000}" name="Y" totalsRowFunction="sum" dataDxfId="957" totalsRowDxfId="920"/>
    <tableColumn id="18" xr3:uid="{00000000-0010-0000-0300-000012000000}" name="B" totalsRowFunction="sum" dataDxfId="956" totalsRowDxfId="919"/>
    <tableColumn id="19" xr3:uid="{00000000-0010-0000-0300-000013000000}" name="M" totalsRowFunction="sum" dataDxfId="955" totalsRowDxfId="918"/>
    <tableColumn id="20" xr3:uid="{00000000-0010-0000-0300-000014000000}" name="H" totalsRowFunction="sum" dataDxfId="954" totalsRowDxfId="917"/>
    <tableColumn id="21" xr3:uid="{00000000-0010-0000-0300-000015000000}" name="Q" totalsRowFunction="sum" dataDxfId="953" totalsRowDxfId="916"/>
    <tableColumn id="22" xr3:uid="{00000000-0010-0000-0300-000016000000}" name="K" totalsRowFunction="sum" dataDxfId="952" totalsRowDxfId="915"/>
    <tableColumn id="23" xr3:uid="{00000000-0010-0000-0300-000017000000}" name="V" totalsRowFunction="sum" dataDxfId="951" totalsRowDxfId="914"/>
    <tableColumn id="24" xr3:uid="{00000000-0010-0000-0300-000018000000}" name="L" totalsRowFunction="sum" dataDxfId="950" totalsRowDxfId="913"/>
    <tableColumn id="25" xr3:uid="{00000000-0010-0000-0300-000019000000}" name="G" totalsRowFunction="sum" dataDxfId="949" totalsRowDxfId="912"/>
    <tableColumn id="26" xr3:uid="{00000000-0010-0000-0300-00001A000000}" name="S" totalsRowFunction="sum" dataDxfId="948" totalsRowDxfId="911"/>
    <tableColumn id="27" xr3:uid="{00000000-0010-0000-0300-00001B000000}" name="W" totalsRowFunction="sum" dataDxfId="947" totalsRowDxfId="910"/>
    <tableColumn id="28" xr3:uid="{00000000-0010-0000-0300-00001C000000}" name="T" totalsRowFunction="sum" dataDxfId="946" totalsRowDxfId="909"/>
    <tableColumn id="29" xr3:uid="{00000000-0010-0000-0300-00001D000000}" name="X" totalsRowFunction="sum" dataDxfId="945" totalsRowDxfId="908"/>
    <tableColumn id="30" xr3:uid="{00000000-0010-0000-0300-00001E000000}" name="U" totalsRowFunction="sum" dataDxfId="944" totalsRowDxfId="907"/>
    <tableColumn id="31" xr3:uid="{00000000-0010-0000-0300-00001F000000}" name="O" totalsRowFunction="sum" dataDxfId="943" totalsRowDxfId="906"/>
    <tableColumn id="32" xr3:uid="{00000000-0010-0000-0300-000020000000}" name="I" totalsRowFunction="sum" dataDxfId="942" totalsRowDxfId="905"/>
    <tableColumn id="33" xr3:uid="{00000000-0010-0000-0300-000021000000}" name="E" totalsRowFunction="sum" dataDxfId="941" totalsRowDxfId="904"/>
    <tableColumn id="34" xr3:uid="{00000000-0010-0000-0300-000022000000}" name="A" totalsRowFunction="sum" dataDxfId="940" totalsRowDxfId="903"/>
    <tableColumn id="35" xr3:uid="{00000000-0010-0000-0300-000023000000}" name="P" totalsRowFunction="sum" dataDxfId="939" totalsRowDxfId="902"/>
    <tableColumn id="36" xr3:uid="{00000000-0010-0000-0300-000024000000}" name="N" totalsRowFunction="count" dataDxfId="938" totalsRowDxfId="9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6" totalsRowShown="0">
  <autoFilter ref="A1:H3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MED_HBE" displayName="ThreatsAlert_MED_HBE" ref="A1:H36" totalsRowShown="0">
  <autoFilter ref="A1:H36"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D_ATZ_LF_LEGACY" displayName="MED_ATZ_LF_LEGACY" ref="A1:AJ3" totalsRowCount="1" headerRowDxfId="899" dataDxfId="862" totalsRowDxfId="825">
  <tableColumns count="36">
    <tableColumn id="1" xr3:uid="{00000000-0010-0000-0600-000001000000}" name="Day" totalsRowLabel="TOTAL" dataDxfId="898" totalsRowDxfId="861"/>
    <tableColumn id="2" xr3:uid="{00000000-0010-0000-0600-000002000000}" name="Flt Dt" dataDxfId="897" totalsRowDxfId="860"/>
    <tableColumn id="3" xr3:uid="{00000000-0010-0000-0600-000003000000}" name="Flt" totalsRowFunction="count" dataDxfId="896" totalsRowDxfId="859"/>
    <tableColumn id="4" xr3:uid="{00000000-0010-0000-0600-000004000000}" name="DEP" dataDxfId="895" totalsRowDxfId="858"/>
    <tableColumn id="5" xr3:uid="{00000000-0010-0000-0600-000005000000}" name="Brd-Off" totalsRowFunction="count" dataDxfId="894" totalsRowDxfId="857"/>
    <tableColumn id="6" xr3:uid="{00000000-0010-0000-0600-000006000000}" name="Eqp" dataDxfId="893" totalsRowDxfId="856"/>
    <tableColumn id="7" xr3:uid="{00000000-0010-0000-0600-000007000000}" name="LF%" totalsRowFunction="average" dataDxfId="892" totalsRowDxfId="855"/>
    <tableColumn id="8" xr3:uid="{00000000-0010-0000-0600-000008000000}" name="CAP" totalsRowFunction="sum" dataDxfId="891" totalsRowDxfId="854"/>
    <tableColumn id="9" xr3:uid="{00000000-0010-0000-0600-000009000000}" name="BKG(Y)" totalsRowFunction="sum" dataDxfId="890" totalsRowDxfId="853"/>
    <tableColumn id="10" xr3:uid="{00000000-0010-0000-0600-00000A000000}" name="GRP(Y)" totalsRowFunction="sum" dataDxfId="889" totalsRowDxfId="852"/>
    <tableColumn id="11" xr3:uid="{00000000-0010-0000-0600-00000B000000}" name="FLT ST" dataDxfId="888" totalsRowDxfId="851"/>
    <tableColumn id="12" xr3:uid="{00000000-0010-0000-0600-00000C000000}" name="LST-SOLD" dataDxfId="887" totalsRowDxfId="850"/>
    <tableColumn id="13" xr3:uid="{00000000-0010-0000-0600-00000D000000}" name="TO-DAY" totalsRowFunction="sum" dataDxfId="886" totalsRowDxfId="849"/>
    <tableColumn id="14" xr3:uid="{00000000-0010-0000-0600-00000E000000}" name="Y-DAY" totalsRowFunction="sum" dataDxfId="885" totalsRowDxfId="848"/>
    <tableColumn id="15" xr3:uid="{00000000-0010-0000-0600-00000F000000}" name="WEEKLY" totalsRowFunction="sum" dataDxfId="884" totalsRowDxfId="847"/>
    <tableColumn id="16" xr3:uid="{00000000-0010-0000-0600-000010000000}" name="LOWEST AVAIL" dataDxfId="883" totalsRowDxfId="846"/>
    <tableColumn id="17" xr3:uid="{00000000-0010-0000-0600-000011000000}" name="Y" totalsRowFunction="sum" dataDxfId="882" totalsRowDxfId="845"/>
    <tableColumn id="18" xr3:uid="{00000000-0010-0000-0600-000012000000}" name="B" totalsRowFunction="sum" dataDxfId="881" totalsRowDxfId="844"/>
    <tableColumn id="19" xr3:uid="{00000000-0010-0000-0600-000013000000}" name="M" totalsRowFunction="sum" dataDxfId="880" totalsRowDxfId="843"/>
    <tableColumn id="20" xr3:uid="{00000000-0010-0000-0600-000014000000}" name="H" totalsRowFunction="sum" dataDxfId="879" totalsRowDxfId="842"/>
    <tableColumn id="21" xr3:uid="{00000000-0010-0000-0600-000015000000}" name="Q" totalsRowFunction="sum" dataDxfId="878" totalsRowDxfId="841"/>
    <tableColumn id="22" xr3:uid="{00000000-0010-0000-0600-000016000000}" name="K" totalsRowFunction="sum" dataDxfId="877" totalsRowDxfId="840"/>
    <tableColumn id="23" xr3:uid="{00000000-0010-0000-0600-000017000000}" name="V" totalsRowFunction="sum" dataDxfId="876" totalsRowDxfId="839"/>
    <tableColumn id="24" xr3:uid="{00000000-0010-0000-0600-000018000000}" name="L" totalsRowFunction="sum" dataDxfId="875" totalsRowDxfId="838"/>
    <tableColumn id="25" xr3:uid="{00000000-0010-0000-0600-000019000000}" name="G" totalsRowFunction="sum" dataDxfId="874" totalsRowDxfId="837"/>
    <tableColumn id="26" xr3:uid="{00000000-0010-0000-0600-00001A000000}" name="S" totalsRowFunction="sum" dataDxfId="873" totalsRowDxfId="836"/>
    <tableColumn id="27" xr3:uid="{00000000-0010-0000-0600-00001B000000}" name="W" totalsRowFunction="sum" dataDxfId="872" totalsRowDxfId="835"/>
    <tableColumn id="28" xr3:uid="{00000000-0010-0000-0600-00001C000000}" name="T" totalsRowFunction="sum" dataDxfId="871" totalsRowDxfId="834"/>
    <tableColumn id="29" xr3:uid="{00000000-0010-0000-0600-00001D000000}" name="X" totalsRowFunction="sum" dataDxfId="870" totalsRowDxfId="833"/>
    <tableColumn id="30" xr3:uid="{00000000-0010-0000-0600-00001E000000}" name="U" totalsRowFunction="sum" dataDxfId="869" totalsRowDxfId="832"/>
    <tableColumn id="31" xr3:uid="{00000000-0010-0000-0600-00001F000000}" name="O" totalsRowFunction="sum" dataDxfId="868" totalsRowDxfId="831"/>
    <tableColumn id="32" xr3:uid="{00000000-0010-0000-0600-000020000000}" name="I" totalsRowFunction="sum" dataDxfId="867" totalsRowDxfId="830"/>
    <tableColumn id="33" xr3:uid="{00000000-0010-0000-0600-000021000000}" name="E" totalsRowFunction="sum" dataDxfId="866" totalsRowDxfId="829"/>
    <tableColumn id="34" xr3:uid="{00000000-0010-0000-0600-000022000000}" name="A" totalsRowFunction="sum" dataDxfId="865" totalsRowDxfId="828"/>
    <tableColumn id="35" xr3:uid="{00000000-0010-0000-0600-000023000000}" name="P" totalsRowFunction="sum" dataDxfId="864" totalsRowDxfId="827"/>
    <tableColumn id="36" xr3:uid="{00000000-0010-0000-0600-000024000000}" name="N" totalsRowFunction="count" dataDxfId="863" totalsRowDxfId="82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MED_ATZ" displayName="FocusMode_MED_ATZ" ref="A1:H35" totalsRowShown="0">
  <autoFilter ref="A1:H3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hreatsAlert_MED_ATZ" displayName="ThreatsAlert_MED_ATZ" ref="A1:H35" totalsRowShown="0">
  <autoFilter ref="A1:H3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JED_CAI_LF_LEGACY" displayName="JED_CAI_LF_LEGACY" ref="A1:AJ18" totalsRowCount="1" headerRowDxfId="824" dataDxfId="787" totalsRowDxfId="750">
  <tableColumns count="36">
    <tableColumn id="1" xr3:uid="{00000000-0010-0000-0900-000001000000}" name="Day" totalsRowLabel="TOTAL" dataDxfId="823" totalsRowDxfId="786"/>
    <tableColumn id="2" xr3:uid="{00000000-0010-0000-0900-000002000000}" name="Flt Dt" dataDxfId="822" totalsRowDxfId="785"/>
    <tableColumn id="3" xr3:uid="{00000000-0010-0000-0900-000003000000}" name="Flt" totalsRowFunction="count" dataDxfId="821" totalsRowDxfId="784"/>
    <tableColumn id="4" xr3:uid="{00000000-0010-0000-0900-000004000000}" name="DEP" dataDxfId="820" totalsRowDxfId="783"/>
    <tableColumn id="5" xr3:uid="{00000000-0010-0000-0900-000005000000}" name="Brd-Off" totalsRowFunction="count" dataDxfId="819" totalsRowDxfId="782"/>
    <tableColumn id="6" xr3:uid="{00000000-0010-0000-0900-000006000000}" name="Eqp" dataDxfId="818" totalsRowDxfId="781"/>
    <tableColumn id="7" xr3:uid="{00000000-0010-0000-0900-000007000000}" name="LF%" totalsRowFunction="average" dataDxfId="817" totalsRowDxfId="780"/>
    <tableColumn id="8" xr3:uid="{00000000-0010-0000-0900-000008000000}" name="CAP" totalsRowFunction="sum" dataDxfId="816" totalsRowDxfId="779"/>
    <tableColumn id="9" xr3:uid="{00000000-0010-0000-0900-000009000000}" name="BKG(Y)" totalsRowFunction="sum" dataDxfId="815" totalsRowDxfId="778"/>
    <tableColumn id="10" xr3:uid="{00000000-0010-0000-0900-00000A000000}" name="GRP(Y)" totalsRowFunction="sum" dataDxfId="814" totalsRowDxfId="777"/>
    <tableColumn id="11" xr3:uid="{00000000-0010-0000-0900-00000B000000}" name="FLT ST" dataDxfId="813" totalsRowDxfId="776"/>
    <tableColumn id="12" xr3:uid="{00000000-0010-0000-0900-00000C000000}" name="LST-SOLD" dataDxfId="812" totalsRowDxfId="775"/>
    <tableColumn id="13" xr3:uid="{00000000-0010-0000-0900-00000D000000}" name="TO-DAY" totalsRowFunction="sum" dataDxfId="811" totalsRowDxfId="774"/>
    <tableColumn id="14" xr3:uid="{00000000-0010-0000-0900-00000E000000}" name="Y-DAY" totalsRowFunction="sum" dataDxfId="810" totalsRowDxfId="773"/>
    <tableColumn id="15" xr3:uid="{00000000-0010-0000-0900-00000F000000}" name="WEEKLY" totalsRowFunction="sum" dataDxfId="809" totalsRowDxfId="772"/>
    <tableColumn id="16" xr3:uid="{00000000-0010-0000-0900-000010000000}" name="LOWEST AVAIL" dataDxfId="808" totalsRowDxfId="771"/>
    <tableColumn id="17" xr3:uid="{00000000-0010-0000-0900-000011000000}" name="Y" totalsRowFunction="sum" dataDxfId="807" totalsRowDxfId="770"/>
    <tableColumn id="18" xr3:uid="{00000000-0010-0000-0900-000012000000}" name="B" totalsRowFunction="sum" dataDxfId="806" totalsRowDxfId="769"/>
    <tableColumn id="19" xr3:uid="{00000000-0010-0000-0900-000013000000}" name="M" totalsRowFunction="sum" dataDxfId="805" totalsRowDxfId="768"/>
    <tableColumn id="20" xr3:uid="{00000000-0010-0000-0900-000014000000}" name="H" totalsRowFunction="sum" dataDxfId="804" totalsRowDxfId="767"/>
    <tableColumn id="21" xr3:uid="{00000000-0010-0000-0900-000015000000}" name="Q" totalsRowFunction="sum" dataDxfId="803" totalsRowDxfId="766"/>
    <tableColumn id="22" xr3:uid="{00000000-0010-0000-0900-000016000000}" name="K" totalsRowFunction="sum" dataDxfId="802" totalsRowDxfId="765"/>
    <tableColumn id="23" xr3:uid="{00000000-0010-0000-0900-000017000000}" name="V" totalsRowFunction="sum" dataDxfId="801" totalsRowDxfId="764"/>
    <tableColumn id="24" xr3:uid="{00000000-0010-0000-0900-000018000000}" name="L" totalsRowFunction="sum" dataDxfId="800" totalsRowDxfId="763"/>
    <tableColumn id="25" xr3:uid="{00000000-0010-0000-0900-000019000000}" name="G" totalsRowFunction="sum" dataDxfId="799" totalsRowDxfId="762"/>
    <tableColumn id="26" xr3:uid="{00000000-0010-0000-0900-00001A000000}" name="S" totalsRowFunction="sum" dataDxfId="798" totalsRowDxfId="761"/>
    <tableColumn id="27" xr3:uid="{00000000-0010-0000-0900-00001B000000}" name="W" totalsRowFunction="sum" dataDxfId="797" totalsRowDxfId="760"/>
    <tableColumn id="28" xr3:uid="{00000000-0010-0000-0900-00001C000000}" name="T" totalsRowFunction="sum" dataDxfId="796" totalsRowDxfId="759"/>
    <tableColumn id="29" xr3:uid="{00000000-0010-0000-0900-00001D000000}" name="X" totalsRowFunction="sum" dataDxfId="795" totalsRowDxfId="758"/>
    <tableColumn id="30" xr3:uid="{00000000-0010-0000-0900-00001E000000}" name="U" totalsRowFunction="sum" dataDxfId="794" totalsRowDxfId="757"/>
    <tableColumn id="31" xr3:uid="{00000000-0010-0000-0900-00001F000000}" name="O" totalsRowFunction="sum" dataDxfId="793" totalsRowDxfId="756"/>
    <tableColumn id="32" xr3:uid="{00000000-0010-0000-0900-000020000000}" name="I" totalsRowFunction="sum" dataDxfId="792" totalsRowDxfId="755"/>
    <tableColumn id="33" xr3:uid="{00000000-0010-0000-0900-000021000000}" name="E" totalsRowFunction="sum" dataDxfId="791" totalsRowDxfId="754"/>
    <tableColumn id="34" xr3:uid="{00000000-0010-0000-0900-000022000000}" name="A" totalsRowFunction="sum" dataDxfId="790" totalsRowDxfId="753"/>
    <tableColumn id="35" xr3:uid="{00000000-0010-0000-0900-000023000000}" name="P" totalsRowFunction="sum" dataDxfId="789" totalsRowDxfId="752"/>
    <tableColumn id="36" xr3:uid="{00000000-0010-0000-0900-000024000000}" name="N" totalsRowFunction="count" dataDxfId="788" totalsRowDxfId="75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JED_CAI" displayName="FocusMode_JED_CAI" ref="A1:H214" totalsRowShown="0">
  <autoFilter ref="A1:H214"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hreatsAlert_JED_CAI" displayName="ThreatsAlert_JED_CAI" ref="A1:H40" totalsRowShown="0">
  <autoFilter ref="A1:H40"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HBE_LF_LEGACY" displayName="JED_HBE_LF_LEGACY" ref="A1:AJ6" totalsRowCount="1" headerRowDxfId="749" dataDxfId="712" totalsRowDxfId="675">
  <tableColumns count="36">
    <tableColumn id="1" xr3:uid="{00000000-0010-0000-0C00-000001000000}" name="Day" totalsRowLabel="TOTAL" dataDxfId="748" totalsRowDxfId="711"/>
    <tableColumn id="2" xr3:uid="{00000000-0010-0000-0C00-000002000000}" name="Flt Dt" dataDxfId="747" totalsRowDxfId="710"/>
    <tableColumn id="3" xr3:uid="{00000000-0010-0000-0C00-000003000000}" name="Flt" totalsRowFunction="count" dataDxfId="746" totalsRowDxfId="709"/>
    <tableColumn id="4" xr3:uid="{00000000-0010-0000-0C00-000004000000}" name="DEP" dataDxfId="745" totalsRowDxfId="708"/>
    <tableColumn id="5" xr3:uid="{00000000-0010-0000-0C00-000005000000}" name="Brd-Off" totalsRowFunction="count" dataDxfId="744" totalsRowDxfId="707"/>
    <tableColumn id="6" xr3:uid="{00000000-0010-0000-0C00-000006000000}" name="Eqp" dataDxfId="743" totalsRowDxfId="706"/>
    <tableColumn id="7" xr3:uid="{00000000-0010-0000-0C00-000007000000}" name="LF%" totalsRowFunction="average" dataDxfId="742" totalsRowDxfId="705"/>
    <tableColumn id="8" xr3:uid="{00000000-0010-0000-0C00-000008000000}" name="CAP" totalsRowFunction="sum" dataDxfId="741" totalsRowDxfId="704"/>
    <tableColumn id="9" xr3:uid="{00000000-0010-0000-0C00-000009000000}" name="BKG(Y)" totalsRowFunction="sum" dataDxfId="740" totalsRowDxfId="703"/>
    <tableColumn id="10" xr3:uid="{00000000-0010-0000-0C00-00000A000000}" name="GRP(Y)" totalsRowFunction="sum" dataDxfId="739" totalsRowDxfId="702"/>
    <tableColumn id="11" xr3:uid="{00000000-0010-0000-0C00-00000B000000}" name="FLT ST" dataDxfId="738" totalsRowDxfId="701"/>
    <tableColumn id="12" xr3:uid="{00000000-0010-0000-0C00-00000C000000}" name="LST-SOLD" dataDxfId="737" totalsRowDxfId="700"/>
    <tableColumn id="13" xr3:uid="{00000000-0010-0000-0C00-00000D000000}" name="TO-DAY" totalsRowFunction="sum" dataDxfId="736" totalsRowDxfId="699"/>
    <tableColumn id="14" xr3:uid="{00000000-0010-0000-0C00-00000E000000}" name="Y-DAY" totalsRowFunction="sum" dataDxfId="735" totalsRowDxfId="698"/>
    <tableColumn id="15" xr3:uid="{00000000-0010-0000-0C00-00000F000000}" name="WEEKLY" totalsRowFunction="sum" dataDxfId="734" totalsRowDxfId="697"/>
    <tableColumn id="16" xr3:uid="{00000000-0010-0000-0C00-000010000000}" name="LOWEST AVAIL" dataDxfId="733" totalsRowDxfId="696"/>
    <tableColumn id="17" xr3:uid="{00000000-0010-0000-0C00-000011000000}" name="Y" totalsRowFunction="sum" dataDxfId="732" totalsRowDxfId="695"/>
    <tableColumn id="18" xr3:uid="{00000000-0010-0000-0C00-000012000000}" name="B" totalsRowFunction="sum" dataDxfId="731" totalsRowDxfId="694"/>
    <tableColumn id="19" xr3:uid="{00000000-0010-0000-0C00-000013000000}" name="M" totalsRowFunction="sum" dataDxfId="730" totalsRowDxfId="693"/>
    <tableColumn id="20" xr3:uid="{00000000-0010-0000-0C00-000014000000}" name="H" totalsRowFunction="sum" dataDxfId="729" totalsRowDxfId="692"/>
    <tableColumn id="21" xr3:uid="{00000000-0010-0000-0C00-000015000000}" name="Q" totalsRowFunction="sum" dataDxfId="728" totalsRowDxfId="691"/>
    <tableColumn id="22" xr3:uid="{00000000-0010-0000-0C00-000016000000}" name="K" totalsRowFunction="sum" dataDxfId="727" totalsRowDxfId="690"/>
    <tableColumn id="23" xr3:uid="{00000000-0010-0000-0C00-000017000000}" name="V" totalsRowFunction="sum" dataDxfId="726" totalsRowDxfId="689"/>
    <tableColumn id="24" xr3:uid="{00000000-0010-0000-0C00-000018000000}" name="L" totalsRowFunction="sum" dataDxfId="725" totalsRowDxfId="688"/>
    <tableColumn id="25" xr3:uid="{00000000-0010-0000-0C00-000019000000}" name="G" totalsRowFunction="sum" dataDxfId="724" totalsRowDxfId="687"/>
    <tableColumn id="26" xr3:uid="{00000000-0010-0000-0C00-00001A000000}" name="S" totalsRowFunction="sum" dataDxfId="723" totalsRowDxfId="686"/>
    <tableColumn id="27" xr3:uid="{00000000-0010-0000-0C00-00001B000000}" name="W" totalsRowFunction="sum" dataDxfId="722" totalsRowDxfId="685"/>
    <tableColumn id="28" xr3:uid="{00000000-0010-0000-0C00-00001C000000}" name="T" totalsRowFunction="sum" dataDxfId="721" totalsRowDxfId="684"/>
    <tableColumn id="29" xr3:uid="{00000000-0010-0000-0C00-00001D000000}" name="X" totalsRowFunction="sum" dataDxfId="720" totalsRowDxfId="683"/>
    <tableColumn id="30" xr3:uid="{00000000-0010-0000-0C00-00001E000000}" name="U" totalsRowFunction="sum" dataDxfId="719" totalsRowDxfId="682"/>
    <tableColumn id="31" xr3:uid="{00000000-0010-0000-0C00-00001F000000}" name="O" totalsRowFunction="sum" dataDxfId="718" totalsRowDxfId="681"/>
    <tableColumn id="32" xr3:uid="{00000000-0010-0000-0C00-000020000000}" name="I" totalsRowFunction="sum" dataDxfId="717" totalsRowDxfId="680"/>
    <tableColumn id="33" xr3:uid="{00000000-0010-0000-0C00-000021000000}" name="E" totalsRowFunction="sum" dataDxfId="716" totalsRowDxfId="679"/>
    <tableColumn id="34" xr3:uid="{00000000-0010-0000-0C00-000022000000}" name="A" totalsRowFunction="sum" dataDxfId="715" totalsRowDxfId="678"/>
    <tableColumn id="35" xr3:uid="{00000000-0010-0000-0C00-000023000000}" name="P" totalsRowFunction="sum" dataDxfId="714" totalsRowDxfId="677"/>
    <tableColumn id="36" xr3:uid="{00000000-0010-0000-0C00-000024000000}" name="N" totalsRowFunction="count" dataDxfId="713" totalsRowDxfId="67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HBE" displayName="FocusMode_JED_HBE" ref="A1:H63" totalsRowShown="0">
  <autoFilter ref="A1:H63"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hreatsAlert_JED_HBE" displayName="ThreatsAlert_JED_HBE" ref="A1:H38" totalsRowShown="0">
  <autoFilter ref="A1:H38"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JED_ATZ_LF_LEGACY" displayName="JED_ATZ_LF_LEGACY" ref="A1:AJ8" totalsRowCount="1" headerRowDxfId="674" dataDxfId="637" totalsRowDxfId="600">
  <tableColumns count="36">
    <tableColumn id="1" xr3:uid="{00000000-0010-0000-0F00-000001000000}" name="Day" totalsRowLabel="TOTAL" dataDxfId="673" totalsRowDxfId="636"/>
    <tableColumn id="2" xr3:uid="{00000000-0010-0000-0F00-000002000000}" name="Flt Dt" dataDxfId="672" totalsRowDxfId="635"/>
    <tableColumn id="3" xr3:uid="{00000000-0010-0000-0F00-000003000000}" name="Flt" totalsRowFunction="count" dataDxfId="671" totalsRowDxfId="634"/>
    <tableColumn id="4" xr3:uid="{00000000-0010-0000-0F00-000004000000}" name="DEP" dataDxfId="670" totalsRowDxfId="633"/>
    <tableColumn id="5" xr3:uid="{00000000-0010-0000-0F00-000005000000}" name="Brd-Off" totalsRowFunction="count" dataDxfId="669" totalsRowDxfId="632"/>
    <tableColumn id="6" xr3:uid="{00000000-0010-0000-0F00-000006000000}" name="Eqp" dataDxfId="668" totalsRowDxfId="631"/>
    <tableColumn id="7" xr3:uid="{00000000-0010-0000-0F00-000007000000}" name="LF%" totalsRowFunction="average" dataDxfId="667" totalsRowDxfId="630"/>
    <tableColumn id="8" xr3:uid="{00000000-0010-0000-0F00-000008000000}" name="CAP" totalsRowFunction="sum" dataDxfId="666" totalsRowDxfId="629"/>
    <tableColumn id="9" xr3:uid="{00000000-0010-0000-0F00-000009000000}" name="BKG(Y)" totalsRowFunction="sum" dataDxfId="665" totalsRowDxfId="628"/>
    <tableColumn id="10" xr3:uid="{00000000-0010-0000-0F00-00000A000000}" name="GRP(Y)" totalsRowFunction="sum" dataDxfId="664" totalsRowDxfId="627"/>
    <tableColumn id="11" xr3:uid="{00000000-0010-0000-0F00-00000B000000}" name="FLT ST" dataDxfId="663" totalsRowDxfId="626"/>
    <tableColumn id="12" xr3:uid="{00000000-0010-0000-0F00-00000C000000}" name="LST-SOLD" dataDxfId="662" totalsRowDxfId="625"/>
    <tableColumn id="13" xr3:uid="{00000000-0010-0000-0F00-00000D000000}" name="TO-DAY" totalsRowFunction="sum" dataDxfId="661" totalsRowDxfId="624"/>
    <tableColumn id="14" xr3:uid="{00000000-0010-0000-0F00-00000E000000}" name="Y-DAY" totalsRowFunction="sum" dataDxfId="660" totalsRowDxfId="623"/>
    <tableColumn id="15" xr3:uid="{00000000-0010-0000-0F00-00000F000000}" name="WEEKLY" totalsRowFunction="sum" dataDxfId="659" totalsRowDxfId="622"/>
    <tableColumn id="16" xr3:uid="{00000000-0010-0000-0F00-000010000000}" name="LOWEST AVAIL" dataDxfId="658" totalsRowDxfId="621"/>
    <tableColumn id="17" xr3:uid="{00000000-0010-0000-0F00-000011000000}" name="Y" totalsRowFunction="sum" dataDxfId="657" totalsRowDxfId="620"/>
    <tableColumn id="18" xr3:uid="{00000000-0010-0000-0F00-000012000000}" name="B" totalsRowFunction="sum" dataDxfId="656" totalsRowDxfId="619"/>
    <tableColumn id="19" xr3:uid="{00000000-0010-0000-0F00-000013000000}" name="M" totalsRowFunction="sum" dataDxfId="655" totalsRowDxfId="618"/>
    <tableColumn id="20" xr3:uid="{00000000-0010-0000-0F00-000014000000}" name="H" totalsRowFunction="sum" dataDxfId="654" totalsRowDxfId="617"/>
    <tableColumn id="21" xr3:uid="{00000000-0010-0000-0F00-000015000000}" name="Q" totalsRowFunction="sum" dataDxfId="653" totalsRowDxfId="616"/>
    <tableColumn id="22" xr3:uid="{00000000-0010-0000-0F00-000016000000}" name="K" totalsRowFunction="sum" dataDxfId="652" totalsRowDxfId="615"/>
    <tableColumn id="23" xr3:uid="{00000000-0010-0000-0F00-000017000000}" name="V" totalsRowFunction="sum" dataDxfId="651" totalsRowDxfId="614"/>
    <tableColumn id="24" xr3:uid="{00000000-0010-0000-0F00-000018000000}" name="L" totalsRowFunction="sum" dataDxfId="650" totalsRowDxfId="613"/>
    <tableColumn id="25" xr3:uid="{00000000-0010-0000-0F00-000019000000}" name="G" totalsRowFunction="sum" dataDxfId="649" totalsRowDxfId="612"/>
    <tableColumn id="26" xr3:uid="{00000000-0010-0000-0F00-00001A000000}" name="S" totalsRowFunction="sum" dataDxfId="648" totalsRowDxfId="611"/>
    <tableColumn id="27" xr3:uid="{00000000-0010-0000-0F00-00001B000000}" name="W" totalsRowFunction="sum" dataDxfId="647" totalsRowDxfId="610"/>
    <tableColumn id="28" xr3:uid="{00000000-0010-0000-0F00-00001C000000}" name="T" totalsRowFunction="sum" dataDxfId="646" totalsRowDxfId="609"/>
    <tableColumn id="29" xr3:uid="{00000000-0010-0000-0F00-00001D000000}" name="X" totalsRowFunction="sum" dataDxfId="645" totalsRowDxfId="608"/>
    <tableColumn id="30" xr3:uid="{00000000-0010-0000-0F00-00001E000000}" name="U" totalsRowFunction="sum" dataDxfId="644" totalsRowDxfId="607"/>
    <tableColumn id="31" xr3:uid="{00000000-0010-0000-0F00-00001F000000}" name="O" totalsRowFunction="sum" dataDxfId="643" totalsRowDxfId="606"/>
    <tableColumn id="32" xr3:uid="{00000000-0010-0000-0F00-000020000000}" name="I" totalsRowFunction="sum" dataDxfId="642" totalsRowDxfId="605"/>
    <tableColumn id="33" xr3:uid="{00000000-0010-0000-0F00-000021000000}" name="E" totalsRowFunction="sum" dataDxfId="641" totalsRowDxfId="604"/>
    <tableColumn id="34" xr3:uid="{00000000-0010-0000-0F00-000022000000}" name="A" totalsRowFunction="sum" dataDxfId="640" totalsRowDxfId="603"/>
    <tableColumn id="35" xr3:uid="{00000000-0010-0000-0F00-000023000000}" name="P" totalsRowFunction="sum" dataDxfId="639" totalsRowDxfId="602"/>
    <tableColumn id="36" xr3:uid="{00000000-0010-0000-0F00-000024000000}" name="N" totalsRowFunction="count" dataDxfId="638" totalsRowDxfId="6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JED_ATZ" displayName="FocusMode_JED_ATZ" ref="A1:H42" totalsRowShown="0">
  <autoFilter ref="A1:H42"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hreatsAlert_JED_ATZ" displayName="ThreatsAlert_JED_ATZ" ref="A1:H40" totalsRowShown="0">
  <autoFilter ref="A1:H40"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RUH_CAI_LF_LEGACY" displayName="RUH_CAI_LF_LEGACY" ref="A1:AJ6" totalsRowCount="1" headerRowDxfId="599" dataDxfId="562" totalsRowDxfId="525">
  <tableColumns count="36">
    <tableColumn id="1" xr3:uid="{00000000-0010-0000-1200-000001000000}" name="Day" totalsRowLabel="TOTAL" dataDxfId="598" totalsRowDxfId="561"/>
    <tableColumn id="2" xr3:uid="{00000000-0010-0000-1200-000002000000}" name="Flt Dt" dataDxfId="597" totalsRowDxfId="560"/>
    <tableColumn id="3" xr3:uid="{00000000-0010-0000-1200-000003000000}" name="Flt" totalsRowFunction="count" dataDxfId="596" totalsRowDxfId="559"/>
    <tableColumn id="4" xr3:uid="{00000000-0010-0000-1200-000004000000}" name="DEP" dataDxfId="595" totalsRowDxfId="558"/>
    <tableColumn id="5" xr3:uid="{00000000-0010-0000-1200-000005000000}" name="Brd-Off" totalsRowFunction="count" dataDxfId="594" totalsRowDxfId="557"/>
    <tableColumn id="6" xr3:uid="{00000000-0010-0000-1200-000006000000}" name="Eqp" dataDxfId="593" totalsRowDxfId="556"/>
    <tableColumn id="7" xr3:uid="{00000000-0010-0000-1200-000007000000}" name="LF%" totalsRowFunction="average" dataDxfId="592" totalsRowDxfId="555"/>
    <tableColumn id="8" xr3:uid="{00000000-0010-0000-1200-000008000000}" name="CAP" totalsRowFunction="sum" dataDxfId="591" totalsRowDxfId="554"/>
    <tableColumn id="9" xr3:uid="{00000000-0010-0000-1200-000009000000}" name="BKG(Y)" totalsRowFunction="sum" dataDxfId="590" totalsRowDxfId="553"/>
    <tableColumn id="10" xr3:uid="{00000000-0010-0000-1200-00000A000000}" name="GRP(Y)" totalsRowFunction="sum" dataDxfId="589" totalsRowDxfId="552"/>
    <tableColumn id="11" xr3:uid="{00000000-0010-0000-1200-00000B000000}" name="FLT ST" dataDxfId="588" totalsRowDxfId="551"/>
    <tableColumn id="12" xr3:uid="{00000000-0010-0000-1200-00000C000000}" name="LST-SOLD" dataDxfId="587" totalsRowDxfId="550"/>
    <tableColumn id="13" xr3:uid="{00000000-0010-0000-1200-00000D000000}" name="TO-DAY" totalsRowFunction="sum" dataDxfId="586" totalsRowDxfId="549"/>
    <tableColumn id="14" xr3:uid="{00000000-0010-0000-1200-00000E000000}" name="Y-DAY" totalsRowFunction="sum" dataDxfId="585" totalsRowDxfId="548"/>
    <tableColumn id="15" xr3:uid="{00000000-0010-0000-1200-00000F000000}" name="WEEKLY" totalsRowFunction="sum" dataDxfId="584" totalsRowDxfId="547"/>
    <tableColumn id="16" xr3:uid="{00000000-0010-0000-1200-000010000000}" name="LOWEST AVAIL" dataDxfId="583" totalsRowDxfId="546"/>
    <tableColumn id="17" xr3:uid="{00000000-0010-0000-1200-000011000000}" name="Y" totalsRowFunction="sum" dataDxfId="582" totalsRowDxfId="545"/>
    <tableColumn id="18" xr3:uid="{00000000-0010-0000-1200-000012000000}" name="B" totalsRowFunction="sum" dataDxfId="581" totalsRowDxfId="544"/>
    <tableColumn id="19" xr3:uid="{00000000-0010-0000-1200-000013000000}" name="M" totalsRowFunction="sum" dataDxfId="580" totalsRowDxfId="543"/>
    <tableColumn id="20" xr3:uid="{00000000-0010-0000-1200-000014000000}" name="H" totalsRowFunction="sum" dataDxfId="579" totalsRowDxfId="542"/>
    <tableColumn id="21" xr3:uid="{00000000-0010-0000-1200-000015000000}" name="Q" totalsRowFunction="sum" dataDxfId="578" totalsRowDxfId="541"/>
    <tableColumn id="22" xr3:uid="{00000000-0010-0000-1200-000016000000}" name="K" totalsRowFunction="sum" dataDxfId="577" totalsRowDxfId="540"/>
    <tableColumn id="23" xr3:uid="{00000000-0010-0000-1200-000017000000}" name="V" totalsRowFunction="sum" dataDxfId="576" totalsRowDxfId="539"/>
    <tableColumn id="24" xr3:uid="{00000000-0010-0000-1200-000018000000}" name="L" totalsRowFunction="sum" dataDxfId="575" totalsRowDxfId="538"/>
    <tableColumn id="25" xr3:uid="{00000000-0010-0000-1200-000019000000}" name="G" totalsRowFunction="sum" dataDxfId="574" totalsRowDxfId="537"/>
    <tableColumn id="26" xr3:uid="{00000000-0010-0000-1200-00001A000000}" name="S" totalsRowFunction="sum" dataDxfId="573" totalsRowDxfId="536"/>
    <tableColumn id="27" xr3:uid="{00000000-0010-0000-1200-00001B000000}" name="W" totalsRowFunction="sum" dataDxfId="572" totalsRowDxfId="535"/>
    <tableColumn id="28" xr3:uid="{00000000-0010-0000-1200-00001C000000}" name="T" totalsRowFunction="sum" dataDxfId="571" totalsRowDxfId="534"/>
    <tableColumn id="29" xr3:uid="{00000000-0010-0000-1200-00001D000000}" name="X" totalsRowFunction="sum" dataDxfId="570" totalsRowDxfId="533"/>
    <tableColumn id="30" xr3:uid="{00000000-0010-0000-1200-00001E000000}" name="U" totalsRowFunction="sum" dataDxfId="569" totalsRowDxfId="532"/>
    <tableColumn id="31" xr3:uid="{00000000-0010-0000-1200-00001F000000}" name="O" totalsRowFunction="sum" dataDxfId="568" totalsRowDxfId="531"/>
    <tableColumn id="32" xr3:uid="{00000000-0010-0000-1200-000020000000}" name="I" totalsRowFunction="sum" dataDxfId="567" totalsRowDxfId="530"/>
    <tableColumn id="33" xr3:uid="{00000000-0010-0000-1200-000021000000}" name="E" totalsRowFunction="sum" dataDxfId="566" totalsRowDxfId="529"/>
    <tableColumn id="34" xr3:uid="{00000000-0010-0000-1200-000022000000}" name="A" totalsRowFunction="sum" dataDxfId="565" totalsRowDxfId="528"/>
    <tableColumn id="35" xr3:uid="{00000000-0010-0000-1200-000023000000}" name="P" totalsRowFunction="sum" dataDxfId="564" totalsRowDxfId="527"/>
    <tableColumn id="36" xr3:uid="{00000000-0010-0000-1200-000024000000}" name="N" totalsRowFunction="count" dataDxfId="563" totalsRowDxfId="52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RUH_CAI" displayName="FocusMode_RUH_CAI" ref="A1:H144" totalsRowShown="0">
  <autoFilter ref="A1:H144"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hreatsAlert_RUH_CAI" displayName="ThreatsAlert_RUH_CAI" ref="A1:H20" totalsRowShown="0">
  <autoFilter ref="A1:H20"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RUH_ATZ" displayName="FocusMode_RUH_ATZ" ref="A1:H34" totalsRowShown="0">
  <autoFilter ref="A1:H34"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hreatsAlert_RUH_ATZ" displayName="ThreatsAlert_RUH_ATZ" ref="A1:H34" totalsRowShown="0">
  <autoFilter ref="A1:H34"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DMM_CAI_LF_LEGACY" displayName="DMM_CAI_LF_LEGACY" ref="A1:AJ5" totalsRowCount="1" headerRowDxfId="524" dataDxfId="487" totalsRowDxfId="450">
  <tableColumns count="36">
    <tableColumn id="1" xr3:uid="{00000000-0010-0000-1700-000001000000}" name="Day" totalsRowLabel="TOTAL" dataDxfId="523" totalsRowDxfId="486"/>
    <tableColumn id="2" xr3:uid="{00000000-0010-0000-1700-000002000000}" name="Flt Dt" dataDxfId="522" totalsRowDxfId="485"/>
    <tableColumn id="3" xr3:uid="{00000000-0010-0000-1700-000003000000}" name="Flt" totalsRowFunction="count" dataDxfId="521" totalsRowDxfId="484"/>
    <tableColumn id="4" xr3:uid="{00000000-0010-0000-1700-000004000000}" name="DEP" dataDxfId="520" totalsRowDxfId="483"/>
    <tableColumn id="5" xr3:uid="{00000000-0010-0000-1700-000005000000}" name="Brd-Off" totalsRowFunction="count" dataDxfId="519" totalsRowDxfId="482"/>
    <tableColumn id="6" xr3:uid="{00000000-0010-0000-1700-000006000000}" name="Eqp" dataDxfId="518" totalsRowDxfId="481"/>
    <tableColumn id="7" xr3:uid="{00000000-0010-0000-1700-000007000000}" name="LF%" totalsRowFunction="average" dataDxfId="517" totalsRowDxfId="480"/>
    <tableColumn id="8" xr3:uid="{00000000-0010-0000-1700-000008000000}" name="CAP" totalsRowFunction="sum" dataDxfId="516" totalsRowDxfId="479"/>
    <tableColumn id="9" xr3:uid="{00000000-0010-0000-1700-000009000000}" name="BKG(Y)" totalsRowFunction="sum" dataDxfId="515" totalsRowDxfId="478"/>
    <tableColumn id="10" xr3:uid="{00000000-0010-0000-1700-00000A000000}" name="GRP(Y)" totalsRowFunction="sum" dataDxfId="514" totalsRowDxfId="477"/>
    <tableColumn id="11" xr3:uid="{00000000-0010-0000-1700-00000B000000}" name="FLT ST" dataDxfId="513" totalsRowDxfId="476"/>
    <tableColumn id="12" xr3:uid="{00000000-0010-0000-1700-00000C000000}" name="LST-SOLD" dataDxfId="512" totalsRowDxfId="475"/>
    <tableColumn id="13" xr3:uid="{00000000-0010-0000-1700-00000D000000}" name="TO-DAY" totalsRowFunction="sum" dataDxfId="511" totalsRowDxfId="474"/>
    <tableColumn id="14" xr3:uid="{00000000-0010-0000-1700-00000E000000}" name="Y-DAY" totalsRowFunction="sum" dataDxfId="510" totalsRowDxfId="473"/>
    <tableColumn id="15" xr3:uid="{00000000-0010-0000-1700-00000F000000}" name="WEEKLY" totalsRowFunction="sum" dataDxfId="509" totalsRowDxfId="472"/>
    <tableColumn id="16" xr3:uid="{00000000-0010-0000-1700-000010000000}" name="LOWEST AVAIL" dataDxfId="508" totalsRowDxfId="471"/>
    <tableColumn id="17" xr3:uid="{00000000-0010-0000-1700-000011000000}" name="Y" totalsRowFunction="sum" dataDxfId="507" totalsRowDxfId="470"/>
    <tableColumn id="18" xr3:uid="{00000000-0010-0000-1700-000012000000}" name="B" totalsRowFunction="sum" dataDxfId="506" totalsRowDxfId="469"/>
    <tableColumn id="19" xr3:uid="{00000000-0010-0000-1700-000013000000}" name="M" totalsRowFunction="sum" dataDxfId="505" totalsRowDxfId="468"/>
    <tableColumn id="20" xr3:uid="{00000000-0010-0000-1700-000014000000}" name="H" totalsRowFunction="sum" dataDxfId="504" totalsRowDxfId="467"/>
    <tableColumn id="21" xr3:uid="{00000000-0010-0000-1700-000015000000}" name="Q" totalsRowFunction="sum" dataDxfId="503" totalsRowDxfId="466"/>
    <tableColumn id="22" xr3:uid="{00000000-0010-0000-1700-000016000000}" name="K" totalsRowFunction="sum" dataDxfId="502" totalsRowDxfId="465"/>
    <tableColumn id="23" xr3:uid="{00000000-0010-0000-1700-000017000000}" name="V" totalsRowFunction="sum" dataDxfId="501" totalsRowDxfId="464"/>
    <tableColumn id="24" xr3:uid="{00000000-0010-0000-1700-000018000000}" name="L" totalsRowFunction="sum" dataDxfId="500" totalsRowDxfId="463"/>
    <tableColumn id="25" xr3:uid="{00000000-0010-0000-1700-000019000000}" name="G" totalsRowFunction="sum" dataDxfId="499" totalsRowDxfId="462"/>
    <tableColumn id="26" xr3:uid="{00000000-0010-0000-1700-00001A000000}" name="S" totalsRowFunction="sum" dataDxfId="498" totalsRowDxfId="461"/>
    <tableColumn id="27" xr3:uid="{00000000-0010-0000-1700-00001B000000}" name="W" totalsRowFunction="sum" dataDxfId="497" totalsRowDxfId="460"/>
    <tableColumn id="28" xr3:uid="{00000000-0010-0000-1700-00001C000000}" name="T" totalsRowFunction="sum" dataDxfId="496" totalsRowDxfId="459"/>
    <tableColumn id="29" xr3:uid="{00000000-0010-0000-1700-00001D000000}" name="X" totalsRowFunction="sum" dataDxfId="495" totalsRowDxfId="458"/>
    <tableColumn id="30" xr3:uid="{00000000-0010-0000-1700-00001E000000}" name="U" totalsRowFunction="sum" dataDxfId="494" totalsRowDxfId="457"/>
    <tableColumn id="31" xr3:uid="{00000000-0010-0000-1700-00001F000000}" name="O" totalsRowFunction="sum" dataDxfId="493" totalsRowDxfId="456"/>
    <tableColumn id="32" xr3:uid="{00000000-0010-0000-1700-000020000000}" name="I" totalsRowFunction="sum" dataDxfId="492" totalsRowDxfId="455"/>
    <tableColumn id="33" xr3:uid="{00000000-0010-0000-1700-000021000000}" name="E" totalsRowFunction="sum" dataDxfId="491" totalsRowDxfId="454"/>
    <tableColumn id="34" xr3:uid="{00000000-0010-0000-1700-000022000000}" name="A" totalsRowFunction="sum" dataDxfId="490" totalsRowDxfId="453"/>
    <tableColumn id="35" xr3:uid="{00000000-0010-0000-1700-000023000000}" name="P" totalsRowFunction="sum" dataDxfId="489" totalsRowDxfId="452"/>
    <tableColumn id="36" xr3:uid="{00000000-0010-0000-1700-000024000000}" name="N" totalsRowFunction="count" dataDxfId="488" totalsRowDxfId="45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FocusMode_DMM_CAI" displayName="FocusMode_DMM_CAI" ref="A1:H48" totalsRowShown="0">
  <autoFilter ref="A1:H48"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hreatsAlert_DMM_CAI" displayName="ThreatsAlert_DMM_CAI" ref="A1:H5" totalsRowShown="0">
  <autoFilter ref="A1:H5"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DMM_ATZ_LF_LEGACY" displayName="DMM_ATZ_LF_LEGACY" ref="A1:AJ3" totalsRowCount="1" headerRowDxfId="449" dataDxfId="412" totalsRowDxfId="375">
  <tableColumns count="36">
    <tableColumn id="1" xr3:uid="{00000000-0010-0000-1A00-000001000000}" name="Day" totalsRowLabel="TOTAL" dataDxfId="448" totalsRowDxfId="411"/>
    <tableColumn id="2" xr3:uid="{00000000-0010-0000-1A00-000002000000}" name="Flt Dt" dataDxfId="447" totalsRowDxfId="410"/>
    <tableColumn id="3" xr3:uid="{00000000-0010-0000-1A00-000003000000}" name="Flt" totalsRowFunction="count" dataDxfId="446" totalsRowDxfId="409"/>
    <tableColumn id="4" xr3:uid="{00000000-0010-0000-1A00-000004000000}" name="DEP" dataDxfId="445" totalsRowDxfId="408"/>
    <tableColumn id="5" xr3:uid="{00000000-0010-0000-1A00-000005000000}" name="Brd-Off" totalsRowFunction="count" dataDxfId="444" totalsRowDxfId="407"/>
    <tableColumn id="6" xr3:uid="{00000000-0010-0000-1A00-000006000000}" name="Eqp" dataDxfId="443" totalsRowDxfId="406"/>
    <tableColumn id="7" xr3:uid="{00000000-0010-0000-1A00-000007000000}" name="LF%" totalsRowFunction="average" dataDxfId="442" totalsRowDxfId="405"/>
    <tableColumn id="8" xr3:uid="{00000000-0010-0000-1A00-000008000000}" name="CAP" totalsRowFunction="sum" dataDxfId="441" totalsRowDxfId="404"/>
    <tableColumn id="9" xr3:uid="{00000000-0010-0000-1A00-000009000000}" name="BKG(Y)" totalsRowFunction="sum" dataDxfId="440" totalsRowDxfId="403"/>
    <tableColumn id="10" xr3:uid="{00000000-0010-0000-1A00-00000A000000}" name="GRP(Y)" totalsRowFunction="sum" dataDxfId="439" totalsRowDxfId="402"/>
    <tableColumn id="11" xr3:uid="{00000000-0010-0000-1A00-00000B000000}" name="FLT ST" dataDxfId="438" totalsRowDxfId="401"/>
    <tableColumn id="12" xr3:uid="{00000000-0010-0000-1A00-00000C000000}" name="LST-SOLD" dataDxfId="437" totalsRowDxfId="400"/>
    <tableColumn id="13" xr3:uid="{00000000-0010-0000-1A00-00000D000000}" name="TO-DAY" totalsRowFunction="sum" dataDxfId="436" totalsRowDxfId="399"/>
    <tableColumn id="14" xr3:uid="{00000000-0010-0000-1A00-00000E000000}" name="Y-DAY" totalsRowFunction="sum" dataDxfId="435" totalsRowDxfId="398"/>
    <tableColumn id="15" xr3:uid="{00000000-0010-0000-1A00-00000F000000}" name="WEEKLY" totalsRowFunction="sum" dataDxfId="434" totalsRowDxfId="397"/>
    <tableColumn id="16" xr3:uid="{00000000-0010-0000-1A00-000010000000}" name="LOWEST AVAIL" dataDxfId="433" totalsRowDxfId="396"/>
    <tableColumn id="17" xr3:uid="{00000000-0010-0000-1A00-000011000000}" name="Y" totalsRowFunction="sum" dataDxfId="432" totalsRowDxfId="395"/>
    <tableColumn id="18" xr3:uid="{00000000-0010-0000-1A00-000012000000}" name="B" totalsRowFunction="sum" dataDxfId="431" totalsRowDxfId="394"/>
    <tableColumn id="19" xr3:uid="{00000000-0010-0000-1A00-000013000000}" name="M" totalsRowFunction="sum" dataDxfId="430" totalsRowDxfId="393"/>
    <tableColumn id="20" xr3:uid="{00000000-0010-0000-1A00-000014000000}" name="H" totalsRowFunction="sum" dataDxfId="429" totalsRowDxfId="392"/>
    <tableColumn id="21" xr3:uid="{00000000-0010-0000-1A00-000015000000}" name="Q" totalsRowFunction="sum" dataDxfId="428" totalsRowDxfId="391"/>
    <tableColumn id="22" xr3:uid="{00000000-0010-0000-1A00-000016000000}" name="K" totalsRowFunction="sum" dataDxfId="427" totalsRowDxfId="390"/>
    <tableColumn id="23" xr3:uid="{00000000-0010-0000-1A00-000017000000}" name="V" totalsRowFunction="sum" dataDxfId="426" totalsRowDxfId="389"/>
    <tableColumn id="24" xr3:uid="{00000000-0010-0000-1A00-000018000000}" name="L" totalsRowFunction="sum" dataDxfId="425" totalsRowDxfId="388"/>
    <tableColumn id="25" xr3:uid="{00000000-0010-0000-1A00-000019000000}" name="G" totalsRowFunction="sum" dataDxfId="424" totalsRowDxfId="387"/>
    <tableColumn id="26" xr3:uid="{00000000-0010-0000-1A00-00001A000000}" name="S" totalsRowFunction="sum" dataDxfId="423" totalsRowDxfId="386"/>
    <tableColumn id="27" xr3:uid="{00000000-0010-0000-1A00-00001B000000}" name="W" totalsRowFunction="sum" dataDxfId="422" totalsRowDxfId="385"/>
    <tableColumn id="28" xr3:uid="{00000000-0010-0000-1A00-00001C000000}" name="T" totalsRowFunction="sum" dataDxfId="421" totalsRowDxfId="384"/>
    <tableColumn id="29" xr3:uid="{00000000-0010-0000-1A00-00001D000000}" name="X" totalsRowFunction="sum" dataDxfId="420" totalsRowDxfId="383"/>
    <tableColumn id="30" xr3:uid="{00000000-0010-0000-1A00-00001E000000}" name="U" totalsRowFunction="sum" dataDxfId="419" totalsRowDxfId="382"/>
    <tableColumn id="31" xr3:uid="{00000000-0010-0000-1A00-00001F000000}" name="O" totalsRowFunction="sum" dataDxfId="418" totalsRowDxfId="381"/>
    <tableColumn id="32" xr3:uid="{00000000-0010-0000-1A00-000020000000}" name="I" totalsRowFunction="sum" dataDxfId="417" totalsRowDxfId="380"/>
    <tableColumn id="33" xr3:uid="{00000000-0010-0000-1A00-000021000000}" name="E" totalsRowFunction="sum" dataDxfId="416" totalsRowDxfId="379"/>
    <tableColumn id="34" xr3:uid="{00000000-0010-0000-1A00-000022000000}" name="A" totalsRowFunction="sum" dataDxfId="415" totalsRowDxfId="378"/>
    <tableColumn id="35" xr3:uid="{00000000-0010-0000-1A00-000023000000}" name="P" totalsRowFunction="sum" dataDxfId="414" totalsRowDxfId="377"/>
    <tableColumn id="36" xr3:uid="{00000000-0010-0000-1A00-000024000000}" name="N" totalsRowFunction="count" dataDxfId="413" totalsRowDxfId="376"/>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FocusMode_DMM_ATZ" displayName="FocusMode_DMM_ATZ" ref="A1:H35" totalsRowShown="0">
  <autoFilter ref="A1:H35" xr:uid="{00000000-0009-0000-0100-00001C000000}"/>
  <tableColumns count="8">
    <tableColumn id="1" xr3:uid="{00000000-0010-0000-1B00-000001000000}" name="DATE"/>
    <tableColumn id="2" xr3:uid="{00000000-0010-0000-1B00-000002000000}" name="AIRLINE"/>
    <tableColumn id="3" xr3:uid="{00000000-0010-0000-1B00-000003000000}" name="FLIGHT NUM"/>
    <tableColumn id="4" xr3:uid="{00000000-0010-0000-1B00-000004000000}" name="ROUTE"/>
    <tableColumn id="5" xr3:uid="{00000000-0010-0000-1B00-000005000000}" name="DEPARTURE"/>
    <tableColumn id="6" xr3:uid="{00000000-0010-0000-1B00-000006000000}" name="BAGGAGE"/>
    <tableColumn id="7" xr3:uid="{00000000-0010-0000-1B00-000007000000}" name="AVAILABILITY"/>
    <tableColumn id="8" xr3:uid="{00000000-0010-0000-1B00-000008000000}" name="PUBLISHED FA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hreatsAlert_DMM_ATZ" displayName="ThreatsAlert_DMM_ATZ" ref="A1:H35" totalsRowShown="0">
  <autoFilter ref="A1:H35"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UU_CAI_LF_LEGACY" displayName="TUU_CAI_LF_LEGACY" ref="A1:AJ4" totalsRowCount="1" headerRowDxfId="374" dataDxfId="337" totalsRowDxfId="300">
  <tableColumns count="36">
    <tableColumn id="1" xr3:uid="{00000000-0010-0000-1D00-000001000000}" name="Day" totalsRowLabel="TOTAL" dataDxfId="373" totalsRowDxfId="336"/>
    <tableColumn id="2" xr3:uid="{00000000-0010-0000-1D00-000002000000}" name="Flt Dt" dataDxfId="372" totalsRowDxfId="335"/>
    <tableColumn id="3" xr3:uid="{00000000-0010-0000-1D00-000003000000}" name="Flt" totalsRowFunction="count" dataDxfId="371" totalsRowDxfId="334"/>
    <tableColumn id="4" xr3:uid="{00000000-0010-0000-1D00-000004000000}" name="DEP" dataDxfId="370" totalsRowDxfId="333"/>
    <tableColumn id="5" xr3:uid="{00000000-0010-0000-1D00-000005000000}" name="Brd-Off" totalsRowFunction="count" dataDxfId="369" totalsRowDxfId="332"/>
    <tableColumn id="6" xr3:uid="{00000000-0010-0000-1D00-000006000000}" name="Eqp" dataDxfId="368" totalsRowDxfId="331"/>
    <tableColumn id="7" xr3:uid="{00000000-0010-0000-1D00-000007000000}" name="LF%" totalsRowFunction="average" dataDxfId="367" totalsRowDxfId="330"/>
    <tableColumn id="8" xr3:uid="{00000000-0010-0000-1D00-000008000000}" name="CAP" totalsRowFunction="sum" dataDxfId="366" totalsRowDxfId="329"/>
    <tableColumn id="9" xr3:uid="{00000000-0010-0000-1D00-000009000000}" name="BKG(Y)" totalsRowFunction="sum" dataDxfId="365" totalsRowDxfId="328"/>
    <tableColumn id="10" xr3:uid="{00000000-0010-0000-1D00-00000A000000}" name="GRP(Y)" totalsRowFunction="sum" dataDxfId="364" totalsRowDxfId="327"/>
    <tableColumn id="11" xr3:uid="{00000000-0010-0000-1D00-00000B000000}" name="FLT ST" dataDxfId="363" totalsRowDxfId="326"/>
    <tableColumn id="12" xr3:uid="{00000000-0010-0000-1D00-00000C000000}" name="LST-SOLD" dataDxfId="362" totalsRowDxfId="325"/>
    <tableColumn id="13" xr3:uid="{00000000-0010-0000-1D00-00000D000000}" name="TO-DAY" totalsRowFunction="sum" dataDxfId="361" totalsRowDxfId="324"/>
    <tableColumn id="14" xr3:uid="{00000000-0010-0000-1D00-00000E000000}" name="Y-DAY" totalsRowFunction="sum" dataDxfId="360" totalsRowDxfId="323"/>
    <tableColumn id="15" xr3:uid="{00000000-0010-0000-1D00-00000F000000}" name="WEEKLY" totalsRowFunction="sum" dataDxfId="359" totalsRowDxfId="322"/>
    <tableColumn id="16" xr3:uid="{00000000-0010-0000-1D00-000010000000}" name="LOWEST AVAIL" dataDxfId="358" totalsRowDxfId="321"/>
    <tableColumn id="17" xr3:uid="{00000000-0010-0000-1D00-000011000000}" name="Y" totalsRowFunction="sum" dataDxfId="357" totalsRowDxfId="320"/>
    <tableColumn id="18" xr3:uid="{00000000-0010-0000-1D00-000012000000}" name="B" totalsRowFunction="sum" dataDxfId="356" totalsRowDxfId="319"/>
    <tableColumn id="19" xr3:uid="{00000000-0010-0000-1D00-000013000000}" name="M" totalsRowFunction="sum" dataDxfId="355" totalsRowDxfId="318"/>
    <tableColumn id="20" xr3:uid="{00000000-0010-0000-1D00-000014000000}" name="H" totalsRowFunction="sum" dataDxfId="354" totalsRowDxfId="317"/>
    <tableColumn id="21" xr3:uid="{00000000-0010-0000-1D00-000015000000}" name="Q" totalsRowFunction="sum" dataDxfId="353" totalsRowDxfId="316"/>
    <tableColumn id="22" xr3:uid="{00000000-0010-0000-1D00-000016000000}" name="K" totalsRowFunction="sum" dataDxfId="352" totalsRowDxfId="315"/>
    <tableColumn id="23" xr3:uid="{00000000-0010-0000-1D00-000017000000}" name="V" totalsRowFunction="sum" dataDxfId="351" totalsRowDxfId="314"/>
    <tableColumn id="24" xr3:uid="{00000000-0010-0000-1D00-000018000000}" name="L" totalsRowFunction="sum" dataDxfId="350" totalsRowDxfId="313"/>
    <tableColumn id="25" xr3:uid="{00000000-0010-0000-1D00-000019000000}" name="G" totalsRowFunction="sum" dataDxfId="349" totalsRowDxfId="312"/>
    <tableColumn id="26" xr3:uid="{00000000-0010-0000-1D00-00001A000000}" name="S" totalsRowFunction="sum" dataDxfId="348" totalsRowDxfId="311"/>
    <tableColumn id="27" xr3:uid="{00000000-0010-0000-1D00-00001B000000}" name="W" totalsRowFunction="sum" dataDxfId="347" totalsRowDxfId="310"/>
    <tableColumn id="28" xr3:uid="{00000000-0010-0000-1D00-00001C000000}" name="T" totalsRowFunction="sum" dataDxfId="346" totalsRowDxfId="309"/>
    <tableColumn id="29" xr3:uid="{00000000-0010-0000-1D00-00001D000000}" name="X" totalsRowFunction="sum" dataDxfId="345" totalsRowDxfId="308"/>
    <tableColumn id="30" xr3:uid="{00000000-0010-0000-1D00-00001E000000}" name="U" totalsRowFunction="sum" dataDxfId="344" totalsRowDxfId="307"/>
    <tableColumn id="31" xr3:uid="{00000000-0010-0000-1D00-00001F000000}" name="O" totalsRowFunction="sum" dataDxfId="343" totalsRowDxfId="306"/>
    <tableColumn id="32" xr3:uid="{00000000-0010-0000-1D00-000020000000}" name="I" totalsRowFunction="sum" dataDxfId="342" totalsRowDxfId="305"/>
    <tableColumn id="33" xr3:uid="{00000000-0010-0000-1D00-000021000000}" name="E" totalsRowFunction="sum" dataDxfId="341" totalsRowDxfId="304"/>
    <tableColumn id="34" xr3:uid="{00000000-0010-0000-1D00-000022000000}" name="A" totalsRowFunction="sum" dataDxfId="340" totalsRowDxfId="303"/>
    <tableColumn id="35" xr3:uid="{00000000-0010-0000-1D00-000023000000}" name="P" totalsRowFunction="sum" dataDxfId="339" totalsRowDxfId="302"/>
    <tableColumn id="36" xr3:uid="{00000000-0010-0000-1D00-000024000000}" name="N" totalsRowFunction="count" dataDxfId="338" totalsRowDxfId="301"/>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TUU_CAI" displayName="FocusMode_TUU_CAI" ref="A1:H11" totalsRowShown="0">
  <autoFilter ref="A1:H11"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TUU_CAI" displayName="ThreatsAlert_TUU_CAI" ref="A1:H8" totalsRowShown="0">
  <autoFilter ref="A1:H8"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UU_ATZ_LF_LEGACY" displayName="TUU_ATZ_LF_LEGACY" ref="A1:AJ3" totalsRowCount="1" headerRowDxfId="299" dataDxfId="262" totalsRowDxfId="225">
  <tableColumns count="36">
    <tableColumn id="1" xr3:uid="{00000000-0010-0000-2000-000001000000}" name="Day" totalsRowLabel="TOTAL" dataDxfId="298" totalsRowDxfId="261"/>
    <tableColumn id="2" xr3:uid="{00000000-0010-0000-2000-000002000000}" name="Flt Dt" dataDxfId="297" totalsRowDxfId="260"/>
    <tableColumn id="3" xr3:uid="{00000000-0010-0000-2000-000003000000}" name="Flt" totalsRowFunction="count" dataDxfId="296" totalsRowDxfId="259"/>
    <tableColumn id="4" xr3:uid="{00000000-0010-0000-2000-000004000000}" name="DEP" dataDxfId="295" totalsRowDxfId="258"/>
    <tableColumn id="5" xr3:uid="{00000000-0010-0000-2000-000005000000}" name="Brd-Off" totalsRowFunction="count" dataDxfId="294" totalsRowDxfId="257"/>
    <tableColumn id="6" xr3:uid="{00000000-0010-0000-2000-000006000000}" name="Eqp" dataDxfId="293" totalsRowDxfId="256"/>
    <tableColumn id="7" xr3:uid="{00000000-0010-0000-2000-000007000000}" name="LF%" totalsRowFunction="average" dataDxfId="292" totalsRowDxfId="255"/>
    <tableColumn id="8" xr3:uid="{00000000-0010-0000-2000-000008000000}" name="CAP" totalsRowFunction="sum" dataDxfId="291" totalsRowDxfId="254"/>
    <tableColumn id="9" xr3:uid="{00000000-0010-0000-2000-000009000000}" name="BKG(Y)" totalsRowFunction="sum" dataDxfId="290" totalsRowDxfId="253"/>
    <tableColumn id="10" xr3:uid="{00000000-0010-0000-2000-00000A000000}" name="GRP(Y)" totalsRowFunction="sum" dataDxfId="289" totalsRowDxfId="252"/>
    <tableColumn id="11" xr3:uid="{00000000-0010-0000-2000-00000B000000}" name="FLT ST" dataDxfId="288" totalsRowDxfId="251"/>
    <tableColumn id="12" xr3:uid="{00000000-0010-0000-2000-00000C000000}" name="LST-SOLD" dataDxfId="287" totalsRowDxfId="250"/>
    <tableColumn id="13" xr3:uid="{00000000-0010-0000-2000-00000D000000}" name="TO-DAY" totalsRowFunction="sum" dataDxfId="286" totalsRowDxfId="249"/>
    <tableColumn id="14" xr3:uid="{00000000-0010-0000-2000-00000E000000}" name="Y-DAY" totalsRowFunction="sum" dataDxfId="285" totalsRowDxfId="248"/>
    <tableColumn id="15" xr3:uid="{00000000-0010-0000-2000-00000F000000}" name="WEEKLY" totalsRowFunction="sum" dataDxfId="284" totalsRowDxfId="247"/>
    <tableColumn id="16" xr3:uid="{00000000-0010-0000-2000-000010000000}" name="LOWEST AVAIL" dataDxfId="283" totalsRowDxfId="246"/>
    <tableColumn id="17" xr3:uid="{00000000-0010-0000-2000-000011000000}" name="Y" totalsRowFunction="sum" dataDxfId="282" totalsRowDxfId="245"/>
    <tableColumn id="18" xr3:uid="{00000000-0010-0000-2000-000012000000}" name="B" totalsRowFunction="sum" dataDxfId="281" totalsRowDxfId="244"/>
    <tableColumn id="19" xr3:uid="{00000000-0010-0000-2000-000013000000}" name="M" totalsRowFunction="sum" dataDxfId="280" totalsRowDxfId="243"/>
    <tableColumn id="20" xr3:uid="{00000000-0010-0000-2000-000014000000}" name="H" totalsRowFunction="sum" dataDxfId="279" totalsRowDxfId="242"/>
    <tableColumn id="21" xr3:uid="{00000000-0010-0000-2000-000015000000}" name="Q" totalsRowFunction="sum" dataDxfId="278" totalsRowDxfId="241"/>
    <tableColumn id="22" xr3:uid="{00000000-0010-0000-2000-000016000000}" name="K" totalsRowFunction="sum" dataDxfId="277" totalsRowDxfId="240"/>
    <tableColumn id="23" xr3:uid="{00000000-0010-0000-2000-000017000000}" name="V" totalsRowFunction="sum" dataDxfId="276" totalsRowDxfId="239"/>
    <tableColumn id="24" xr3:uid="{00000000-0010-0000-2000-000018000000}" name="L" totalsRowFunction="sum" dataDxfId="275" totalsRowDxfId="238"/>
    <tableColumn id="25" xr3:uid="{00000000-0010-0000-2000-000019000000}" name="G" totalsRowFunction="sum" dataDxfId="274" totalsRowDxfId="237"/>
    <tableColumn id="26" xr3:uid="{00000000-0010-0000-2000-00001A000000}" name="S" totalsRowFunction="sum" dataDxfId="273" totalsRowDxfId="236"/>
    <tableColumn id="27" xr3:uid="{00000000-0010-0000-2000-00001B000000}" name="W" totalsRowFunction="sum" dataDxfId="272" totalsRowDxfId="235"/>
    <tableColumn id="28" xr3:uid="{00000000-0010-0000-2000-00001C000000}" name="T" totalsRowFunction="sum" dataDxfId="271" totalsRowDxfId="234"/>
    <tableColumn id="29" xr3:uid="{00000000-0010-0000-2000-00001D000000}" name="X" totalsRowFunction="sum" dataDxfId="270" totalsRowDxfId="233"/>
    <tableColumn id="30" xr3:uid="{00000000-0010-0000-2000-00001E000000}" name="U" totalsRowFunction="sum" dataDxfId="269" totalsRowDxfId="232"/>
    <tableColumn id="31" xr3:uid="{00000000-0010-0000-2000-00001F000000}" name="O" totalsRowFunction="sum" dataDxfId="268" totalsRowDxfId="231"/>
    <tableColumn id="32" xr3:uid="{00000000-0010-0000-2000-000020000000}" name="I" totalsRowFunction="sum" dataDxfId="267" totalsRowDxfId="230"/>
    <tableColumn id="33" xr3:uid="{00000000-0010-0000-2000-000021000000}" name="E" totalsRowFunction="sum" dataDxfId="266" totalsRowDxfId="229"/>
    <tableColumn id="34" xr3:uid="{00000000-0010-0000-2000-000022000000}" name="A" totalsRowFunction="sum" dataDxfId="265" totalsRowDxfId="228"/>
    <tableColumn id="35" xr3:uid="{00000000-0010-0000-2000-000023000000}" name="P" totalsRowFunction="sum" dataDxfId="264" totalsRowDxfId="227"/>
    <tableColumn id="36" xr3:uid="{00000000-0010-0000-2000-000024000000}" name="N" totalsRowFunction="count" dataDxfId="263" totalsRowDxfId="22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TUU_ATZ" displayName="FocusMode_TUU_ATZ" ref="A1:H15" totalsRowShown="0">
  <autoFilter ref="A1:H15"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hreatsAlert_TUU_ATZ" displayName="ThreatsAlert_TUU_ATZ" ref="A1:H15" totalsRowShown="0">
  <autoFilter ref="A1:H15"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JF_CAI_LF_LEGACY" displayName="AJF_CAI_LF_LEGACY" ref="A1:AJ4" totalsRowCount="1" headerRowDxfId="224" dataDxfId="187" totalsRowDxfId="150">
  <tableColumns count="36">
    <tableColumn id="1" xr3:uid="{00000000-0010-0000-2300-000001000000}" name="Day" totalsRowLabel="TOTAL" dataDxfId="223" totalsRowDxfId="186"/>
    <tableColumn id="2" xr3:uid="{00000000-0010-0000-2300-000002000000}" name="Flt Dt" dataDxfId="222" totalsRowDxfId="185"/>
    <tableColumn id="3" xr3:uid="{00000000-0010-0000-2300-000003000000}" name="Flt" totalsRowFunction="count" dataDxfId="221" totalsRowDxfId="184"/>
    <tableColumn id="4" xr3:uid="{00000000-0010-0000-2300-000004000000}" name="DEP" dataDxfId="220" totalsRowDxfId="183"/>
    <tableColumn id="5" xr3:uid="{00000000-0010-0000-2300-000005000000}" name="Brd-Off" totalsRowFunction="count" dataDxfId="219" totalsRowDxfId="182"/>
    <tableColumn id="6" xr3:uid="{00000000-0010-0000-2300-000006000000}" name="Eqp" dataDxfId="218" totalsRowDxfId="181"/>
    <tableColumn id="7" xr3:uid="{00000000-0010-0000-2300-000007000000}" name="LF%" totalsRowFunction="average" dataDxfId="217" totalsRowDxfId="180"/>
    <tableColumn id="8" xr3:uid="{00000000-0010-0000-2300-000008000000}" name="CAP" totalsRowFunction="sum" dataDxfId="216" totalsRowDxfId="179"/>
    <tableColumn id="9" xr3:uid="{00000000-0010-0000-2300-000009000000}" name="BKG(Y)" totalsRowFunction="sum" dataDxfId="215" totalsRowDxfId="178"/>
    <tableColumn id="10" xr3:uid="{00000000-0010-0000-2300-00000A000000}" name="GRP(Y)" totalsRowFunction="sum" dataDxfId="214" totalsRowDxfId="177"/>
    <tableColumn id="11" xr3:uid="{00000000-0010-0000-2300-00000B000000}" name="FLT ST" dataDxfId="213" totalsRowDxfId="176"/>
    <tableColumn id="12" xr3:uid="{00000000-0010-0000-2300-00000C000000}" name="LST-SOLD" dataDxfId="212" totalsRowDxfId="175"/>
    <tableColumn id="13" xr3:uid="{00000000-0010-0000-2300-00000D000000}" name="TO-DAY" totalsRowFunction="sum" dataDxfId="211" totalsRowDxfId="174"/>
    <tableColumn id="14" xr3:uid="{00000000-0010-0000-2300-00000E000000}" name="Y-DAY" totalsRowFunction="sum" dataDxfId="210" totalsRowDxfId="173"/>
    <tableColumn id="15" xr3:uid="{00000000-0010-0000-2300-00000F000000}" name="WEEKLY" totalsRowFunction="sum" dataDxfId="209" totalsRowDxfId="172"/>
    <tableColumn id="16" xr3:uid="{00000000-0010-0000-2300-000010000000}" name="LOWEST AVAIL" dataDxfId="208" totalsRowDxfId="171"/>
    <tableColumn id="17" xr3:uid="{00000000-0010-0000-2300-000011000000}" name="Y" totalsRowFunction="sum" dataDxfId="207" totalsRowDxfId="170"/>
    <tableColumn id="18" xr3:uid="{00000000-0010-0000-2300-000012000000}" name="B" totalsRowFunction="sum" dataDxfId="206" totalsRowDxfId="169"/>
    <tableColumn id="19" xr3:uid="{00000000-0010-0000-2300-000013000000}" name="M" totalsRowFunction="sum" dataDxfId="205" totalsRowDxfId="168"/>
    <tableColumn id="20" xr3:uid="{00000000-0010-0000-2300-000014000000}" name="H" totalsRowFunction="sum" dataDxfId="204" totalsRowDxfId="167"/>
    <tableColumn id="21" xr3:uid="{00000000-0010-0000-2300-000015000000}" name="Q" totalsRowFunction="sum" dataDxfId="203" totalsRowDxfId="166"/>
    <tableColumn id="22" xr3:uid="{00000000-0010-0000-2300-000016000000}" name="K" totalsRowFunction="sum" dataDxfId="202" totalsRowDxfId="165"/>
    <tableColumn id="23" xr3:uid="{00000000-0010-0000-2300-000017000000}" name="V" totalsRowFunction="sum" dataDxfId="201" totalsRowDxfId="164"/>
    <tableColumn id="24" xr3:uid="{00000000-0010-0000-2300-000018000000}" name="L" totalsRowFunction="sum" dataDxfId="200" totalsRowDxfId="163"/>
    <tableColumn id="25" xr3:uid="{00000000-0010-0000-2300-000019000000}" name="G" totalsRowFunction="sum" dataDxfId="199" totalsRowDxfId="162"/>
    <tableColumn id="26" xr3:uid="{00000000-0010-0000-2300-00001A000000}" name="S" totalsRowFunction="sum" dataDxfId="198" totalsRowDxfId="161"/>
    <tableColumn id="27" xr3:uid="{00000000-0010-0000-2300-00001B000000}" name="W" totalsRowFunction="sum" dataDxfId="197" totalsRowDxfId="160"/>
    <tableColumn id="28" xr3:uid="{00000000-0010-0000-2300-00001C000000}" name="T" totalsRowFunction="sum" dataDxfId="196" totalsRowDxfId="159"/>
    <tableColumn id="29" xr3:uid="{00000000-0010-0000-2300-00001D000000}" name="X" totalsRowFunction="sum" dataDxfId="195" totalsRowDxfId="158"/>
    <tableColumn id="30" xr3:uid="{00000000-0010-0000-2300-00001E000000}" name="U" totalsRowFunction="sum" dataDxfId="194" totalsRowDxfId="157"/>
    <tableColumn id="31" xr3:uid="{00000000-0010-0000-2300-00001F000000}" name="O" totalsRowFunction="sum" dataDxfId="193" totalsRowDxfId="156"/>
    <tableColumn id="32" xr3:uid="{00000000-0010-0000-2300-000020000000}" name="I" totalsRowFunction="sum" dataDxfId="192" totalsRowDxfId="155"/>
    <tableColumn id="33" xr3:uid="{00000000-0010-0000-2300-000021000000}" name="E" totalsRowFunction="sum" dataDxfId="191" totalsRowDxfId="154"/>
    <tableColumn id="34" xr3:uid="{00000000-0010-0000-2300-000022000000}" name="A" totalsRowFunction="sum" dataDxfId="190" totalsRowDxfId="153"/>
    <tableColumn id="35" xr3:uid="{00000000-0010-0000-2300-000023000000}" name="P" totalsRowFunction="sum" dataDxfId="189" totalsRowDxfId="152"/>
    <tableColumn id="36" xr3:uid="{00000000-0010-0000-2300-000024000000}" name="N" totalsRowFunction="count" dataDxfId="188" totalsRowDxfId="15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ocusMode_AJF_CAI" displayName="FocusMode_AJF_CAI" ref="A1:H4" totalsRowShown="0">
  <autoFilter ref="A1:H4"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hreatsAlert_AJF_CAI" displayName="ThreatsAlert_AJF_CAI" ref="A1:H3" totalsRowShown="0">
  <autoFilter ref="A1:H3" xr:uid="{00000000-0009-0000-0100-000026000000}"/>
  <tableColumns count="8">
    <tableColumn id="1" xr3:uid="{00000000-0010-0000-2500-000001000000}" name="DATE"/>
    <tableColumn id="2" xr3:uid="{00000000-0010-0000-2500-000002000000}" name="AIRLINE"/>
    <tableColumn id="3" xr3:uid="{00000000-0010-0000-2500-000003000000}" name="FLIGHT NUM"/>
    <tableColumn id="4" xr3:uid="{00000000-0010-0000-2500-000004000000}" name="ROUTE"/>
    <tableColumn id="5" xr3:uid="{00000000-0010-0000-2500-000005000000}" name="DEPARTURE"/>
    <tableColumn id="6" xr3:uid="{00000000-0010-0000-2500-000006000000}" name="BAGGAGE"/>
    <tableColumn id="7" xr3:uid="{00000000-0010-0000-2500-000007000000}" name="AVAILABILITY"/>
    <tableColumn id="8" xr3:uid="{00000000-0010-0000-2500-000008000000}" name="PUBLISHED FARE"/>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AJF_ATZ_LF_LEGACY" displayName="AJF_ATZ_LF_LEGACY" ref="A1:AJ3" totalsRowCount="1" headerRowDxfId="149" dataDxfId="112" totalsRowDxfId="75">
  <tableColumns count="36">
    <tableColumn id="1" xr3:uid="{00000000-0010-0000-2600-000001000000}" name="Day" totalsRowLabel="TOTAL" dataDxfId="148" totalsRowDxfId="111"/>
    <tableColumn id="2" xr3:uid="{00000000-0010-0000-2600-000002000000}" name="Flt Dt" dataDxfId="147" totalsRowDxfId="110"/>
    <tableColumn id="3" xr3:uid="{00000000-0010-0000-2600-000003000000}" name="Flt" totalsRowFunction="count" dataDxfId="146" totalsRowDxfId="109"/>
    <tableColumn id="4" xr3:uid="{00000000-0010-0000-2600-000004000000}" name="DEP" dataDxfId="145" totalsRowDxfId="108"/>
    <tableColumn id="5" xr3:uid="{00000000-0010-0000-2600-000005000000}" name="Brd-Off" totalsRowFunction="count" dataDxfId="144" totalsRowDxfId="107"/>
    <tableColumn id="6" xr3:uid="{00000000-0010-0000-2600-000006000000}" name="Eqp" dataDxfId="143" totalsRowDxfId="106"/>
    <tableColumn id="7" xr3:uid="{00000000-0010-0000-2600-000007000000}" name="LF%" totalsRowFunction="average" dataDxfId="142" totalsRowDxfId="105"/>
    <tableColumn id="8" xr3:uid="{00000000-0010-0000-2600-000008000000}" name="CAP" totalsRowFunction="sum" dataDxfId="141" totalsRowDxfId="104"/>
    <tableColumn id="9" xr3:uid="{00000000-0010-0000-2600-000009000000}" name="BKG(Y)" totalsRowFunction="sum" dataDxfId="140" totalsRowDxfId="103"/>
    <tableColumn id="10" xr3:uid="{00000000-0010-0000-2600-00000A000000}" name="GRP(Y)" totalsRowFunction="sum" dataDxfId="139" totalsRowDxfId="102"/>
    <tableColumn id="11" xr3:uid="{00000000-0010-0000-2600-00000B000000}" name="FLT ST" dataDxfId="138" totalsRowDxfId="101"/>
    <tableColumn id="12" xr3:uid="{00000000-0010-0000-2600-00000C000000}" name="LST-SOLD" dataDxfId="137" totalsRowDxfId="100"/>
    <tableColumn id="13" xr3:uid="{00000000-0010-0000-2600-00000D000000}" name="TO-DAY" totalsRowFunction="sum" dataDxfId="136" totalsRowDxfId="99"/>
    <tableColumn id="14" xr3:uid="{00000000-0010-0000-2600-00000E000000}" name="Y-DAY" totalsRowFunction="sum" dataDxfId="135" totalsRowDxfId="98"/>
    <tableColumn id="15" xr3:uid="{00000000-0010-0000-2600-00000F000000}" name="WEEKLY" totalsRowFunction="sum" dataDxfId="134" totalsRowDxfId="97"/>
    <tableColumn id="16" xr3:uid="{00000000-0010-0000-2600-000010000000}" name="LOWEST AVAIL" dataDxfId="133" totalsRowDxfId="96"/>
    <tableColumn id="17" xr3:uid="{00000000-0010-0000-2600-000011000000}" name="Y" totalsRowFunction="sum" dataDxfId="132" totalsRowDxfId="95"/>
    <tableColumn id="18" xr3:uid="{00000000-0010-0000-2600-000012000000}" name="B" totalsRowFunction="sum" dataDxfId="131" totalsRowDxfId="94"/>
    <tableColumn id="19" xr3:uid="{00000000-0010-0000-2600-000013000000}" name="M" totalsRowFunction="sum" dataDxfId="130" totalsRowDxfId="93"/>
    <tableColumn id="20" xr3:uid="{00000000-0010-0000-2600-000014000000}" name="H" totalsRowFunction="sum" dataDxfId="129" totalsRowDxfId="92"/>
    <tableColumn id="21" xr3:uid="{00000000-0010-0000-2600-000015000000}" name="Q" totalsRowFunction="sum" dataDxfId="128" totalsRowDxfId="91"/>
    <tableColumn id="22" xr3:uid="{00000000-0010-0000-2600-000016000000}" name="K" totalsRowFunction="sum" dataDxfId="127" totalsRowDxfId="90"/>
    <tableColumn id="23" xr3:uid="{00000000-0010-0000-2600-000017000000}" name="V" totalsRowFunction="sum" dataDxfId="126" totalsRowDxfId="89"/>
    <tableColumn id="24" xr3:uid="{00000000-0010-0000-2600-000018000000}" name="L" totalsRowFunction="sum" dataDxfId="125" totalsRowDxfId="88"/>
    <tableColumn id="25" xr3:uid="{00000000-0010-0000-2600-000019000000}" name="G" totalsRowFunction="sum" dataDxfId="124" totalsRowDxfId="87"/>
    <tableColumn id="26" xr3:uid="{00000000-0010-0000-2600-00001A000000}" name="S" totalsRowFunction="sum" dataDxfId="123" totalsRowDxfId="86"/>
    <tableColumn id="27" xr3:uid="{00000000-0010-0000-2600-00001B000000}" name="W" totalsRowFunction="sum" dataDxfId="122" totalsRowDxfId="85"/>
    <tableColumn id="28" xr3:uid="{00000000-0010-0000-2600-00001C000000}" name="T" totalsRowFunction="sum" dataDxfId="121" totalsRowDxfId="84"/>
    <tableColumn id="29" xr3:uid="{00000000-0010-0000-2600-00001D000000}" name="X" totalsRowFunction="sum" dataDxfId="120" totalsRowDxfId="83"/>
    <tableColumn id="30" xr3:uid="{00000000-0010-0000-2600-00001E000000}" name="U" totalsRowFunction="sum" dataDxfId="119" totalsRowDxfId="82"/>
    <tableColumn id="31" xr3:uid="{00000000-0010-0000-2600-00001F000000}" name="O" totalsRowFunction="sum" dataDxfId="118" totalsRowDxfId="81"/>
    <tableColumn id="32" xr3:uid="{00000000-0010-0000-2600-000020000000}" name="I" totalsRowFunction="sum" dataDxfId="117" totalsRowDxfId="80"/>
    <tableColumn id="33" xr3:uid="{00000000-0010-0000-2600-000021000000}" name="E" totalsRowFunction="sum" dataDxfId="116" totalsRowDxfId="79"/>
    <tableColumn id="34" xr3:uid="{00000000-0010-0000-2600-000022000000}" name="A" totalsRowFunction="sum" dataDxfId="115" totalsRowDxfId="78"/>
    <tableColumn id="35" xr3:uid="{00000000-0010-0000-2600-000023000000}" name="P" totalsRowFunction="sum" dataDxfId="114" totalsRowDxfId="77"/>
    <tableColumn id="36" xr3:uid="{00000000-0010-0000-2600-000024000000}" name="N" totalsRowFunction="count" dataDxfId="113" totalsRowDxfId="76"/>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FocusMode_AJF_ATZ" displayName="FocusMode_AJF_ATZ" ref="A1:H7" totalsRowShown="0">
  <autoFilter ref="A1:H7"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hreatsAlert_AJF_ATZ" displayName="ThreatsAlert_AJF_ATZ" ref="A1:H7" totalsRowShown="0">
  <autoFilter ref="A1:H7"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YNB_CAI_LF_LEGACY" displayName="YNB_CAI_LF_LEGACY" ref="A1:AJ5" totalsRowCount="1" headerRowDxfId="74" dataDxfId="37" totalsRowDxfId="0">
  <tableColumns count="36">
    <tableColumn id="1" xr3:uid="{00000000-0010-0000-2900-000001000000}" name="Day" totalsRowLabel="TOTAL" dataDxfId="73" totalsRowDxfId="36"/>
    <tableColumn id="2" xr3:uid="{00000000-0010-0000-2900-000002000000}" name="Flt Dt" dataDxfId="72" totalsRowDxfId="35"/>
    <tableColumn id="3" xr3:uid="{00000000-0010-0000-2900-000003000000}" name="Flt" totalsRowFunction="count" dataDxfId="71" totalsRowDxfId="34"/>
    <tableColumn id="4" xr3:uid="{00000000-0010-0000-2900-000004000000}" name="DEP" dataDxfId="70" totalsRowDxfId="33"/>
    <tableColumn id="5" xr3:uid="{00000000-0010-0000-2900-000005000000}" name="Brd-Off" totalsRowFunction="count" dataDxfId="69" totalsRowDxfId="32"/>
    <tableColumn id="6" xr3:uid="{00000000-0010-0000-2900-000006000000}" name="Eqp" dataDxfId="68" totalsRowDxfId="31"/>
    <tableColumn id="7" xr3:uid="{00000000-0010-0000-2900-000007000000}" name="LF%" totalsRowFunction="average" dataDxfId="67" totalsRowDxfId="30"/>
    <tableColumn id="8" xr3:uid="{00000000-0010-0000-2900-000008000000}" name="CAP" totalsRowFunction="sum" dataDxfId="66" totalsRowDxfId="29"/>
    <tableColumn id="9" xr3:uid="{00000000-0010-0000-2900-000009000000}" name="BKG(Y)" totalsRowFunction="sum" dataDxfId="65" totalsRowDxfId="28"/>
    <tableColumn id="10" xr3:uid="{00000000-0010-0000-2900-00000A000000}" name="GRP(Y)" totalsRowFunction="sum" dataDxfId="64" totalsRowDxfId="27"/>
    <tableColumn id="11" xr3:uid="{00000000-0010-0000-2900-00000B000000}" name="FLT ST" dataDxfId="63" totalsRowDxfId="26"/>
    <tableColumn id="12" xr3:uid="{00000000-0010-0000-2900-00000C000000}" name="LST-SOLD" dataDxfId="62" totalsRowDxfId="25"/>
    <tableColumn id="13" xr3:uid="{00000000-0010-0000-2900-00000D000000}" name="TO-DAY" totalsRowFunction="sum" dataDxfId="61" totalsRowDxfId="24"/>
    <tableColumn id="14" xr3:uid="{00000000-0010-0000-2900-00000E000000}" name="Y-DAY" totalsRowFunction="sum" dataDxfId="60" totalsRowDxfId="23"/>
    <tableColumn id="15" xr3:uid="{00000000-0010-0000-2900-00000F000000}" name="WEEKLY" totalsRowFunction="sum" dataDxfId="59" totalsRowDxfId="22"/>
    <tableColumn id="16" xr3:uid="{00000000-0010-0000-2900-000010000000}" name="LOWEST AVAIL" dataDxfId="58" totalsRowDxfId="21"/>
    <tableColumn id="17" xr3:uid="{00000000-0010-0000-2900-000011000000}" name="Y" totalsRowFunction="sum" dataDxfId="57" totalsRowDxfId="20"/>
    <tableColumn id="18" xr3:uid="{00000000-0010-0000-2900-000012000000}" name="B" totalsRowFunction="sum" dataDxfId="56" totalsRowDxfId="19"/>
    <tableColumn id="19" xr3:uid="{00000000-0010-0000-2900-000013000000}" name="M" totalsRowFunction="sum" dataDxfId="55" totalsRowDxfId="18"/>
    <tableColumn id="20" xr3:uid="{00000000-0010-0000-2900-000014000000}" name="H" totalsRowFunction="sum" dataDxfId="54" totalsRowDxfId="17"/>
    <tableColumn id="21" xr3:uid="{00000000-0010-0000-2900-000015000000}" name="Q" totalsRowFunction="sum" dataDxfId="53" totalsRowDxfId="16"/>
    <tableColumn id="22" xr3:uid="{00000000-0010-0000-2900-000016000000}" name="K" totalsRowFunction="sum" dataDxfId="52" totalsRowDxfId="15"/>
    <tableColumn id="23" xr3:uid="{00000000-0010-0000-2900-000017000000}" name="V" totalsRowFunction="sum" dataDxfId="51" totalsRowDxfId="14"/>
    <tableColumn id="24" xr3:uid="{00000000-0010-0000-2900-000018000000}" name="L" totalsRowFunction="sum" dataDxfId="50" totalsRowDxfId="13"/>
    <tableColumn id="25" xr3:uid="{00000000-0010-0000-2900-000019000000}" name="G" totalsRowFunction="sum" dataDxfId="49" totalsRowDxfId="12"/>
    <tableColumn id="26" xr3:uid="{00000000-0010-0000-2900-00001A000000}" name="S" totalsRowFunction="sum" dataDxfId="48" totalsRowDxfId="11"/>
    <tableColumn id="27" xr3:uid="{00000000-0010-0000-2900-00001B000000}" name="W" totalsRowFunction="sum" dataDxfId="47" totalsRowDxfId="10"/>
    <tableColumn id="28" xr3:uid="{00000000-0010-0000-2900-00001C000000}" name="T" totalsRowFunction="sum" dataDxfId="46" totalsRowDxfId="9"/>
    <tableColumn id="29" xr3:uid="{00000000-0010-0000-2900-00001D000000}" name="X" totalsRowFunction="sum" dataDxfId="45" totalsRowDxfId="8"/>
    <tableColumn id="30" xr3:uid="{00000000-0010-0000-2900-00001E000000}" name="U" totalsRowFunction="sum" dataDxfId="44" totalsRowDxfId="7"/>
    <tableColumn id="31" xr3:uid="{00000000-0010-0000-2900-00001F000000}" name="O" totalsRowFunction="sum" dataDxfId="43" totalsRowDxfId="6"/>
    <tableColumn id="32" xr3:uid="{00000000-0010-0000-2900-000020000000}" name="I" totalsRowFunction="sum" dataDxfId="42" totalsRowDxfId="5"/>
    <tableColumn id="33" xr3:uid="{00000000-0010-0000-2900-000021000000}" name="E" totalsRowFunction="sum" dataDxfId="41" totalsRowDxfId="4"/>
    <tableColumn id="34" xr3:uid="{00000000-0010-0000-2900-000022000000}" name="A" totalsRowFunction="sum" dataDxfId="40" totalsRowDxfId="3"/>
    <tableColumn id="35" xr3:uid="{00000000-0010-0000-2900-000023000000}" name="P" totalsRowFunction="sum" dataDxfId="39" totalsRowDxfId="2"/>
    <tableColumn id="36" xr3:uid="{00000000-0010-0000-2900-000024000000}" name="N" totalsRowFunction="count" dataDxfId="38" totalsRowDxfId="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FocusMode_YNB_CAI" displayName="FocusMode_YNB_CAI" ref="A1:H6" totalsRowShown="0">
  <autoFilter ref="A1:H6"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hreatsAlert_YNB_CAI" displayName="ThreatsAlert_YNB_CAI" ref="A1:H4" totalsRowShown="0">
  <autoFilter ref="A1:H4"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KSA_TO_EGY_ALL_ROUTES" displayName="KSA_TO_EGY_ALL_ROUTES" ref="A1:AJ48" totalsRowShown="0">
  <tableColumns count="36">
    <tableColumn id="1" xr3:uid="{00000000-0010-0000-2C00-000001000000}" name="Day" totalsRowLabel="TOTAL"/>
    <tableColumn id="2" xr3:uid="{00000000-0010-0000-2C00-000002000000}" name="Flt Dt"/>
    <tableColumn id="3" xr3:uid="{00000000-0010-0000-2C00-000003000000}" name="Flt" totalsRowFunction="count"/>
    <tableColumn id="4" xr3:uid="{00000000-0010-0000-2C00-000004000000}" name="DEP"/>
    <tableColumn id="5" xr3:uid="{00000000-0010-0000-2C00-000005000000}" name="Brd-Off" totalsRowFunction="count"/>
    <tableColumn id="6" xr3:uid="{00000000-0010-0000-2C00-000006000000}" name="Eqp"/>
    <tableColumn id="7" xr3:uid="{00000000-0010-0000-2C00-000007000000}" name="LF%" totalsRowFunction="average"/>
    <tableColumn id="8" xr3:uid="{00000000-0010-0000-2C00-000008000000}" name="CAP" totalsRowFunction="sum"/>
    <tableColumn id="9" xr3:uid="{00000000-0010-0000-2C00-000009000000}" name="BKG(Y)" totalsRowFunction="sum"/>
    <tableColumn id="10" xr3:uid="{00000000-0010-0000-2C00-00000A000000}" name="GRP(Y)" totalsRowFunction="sum"/>
    <tableColumn id="11" xr3:uid="{00000000-0010-0000-2C00-00000B000000}" name="FLT ST"/>
    <tableColumn id="12" xr3:uid="{00000000-0010-0000-2C00-00000C000000}" name="LST-SOLD"/>
    <tableColumn id="13" xr3:uid="{00000000-0010-0000-2C00-00000D000000}" name="TO-DAY" totalsRowFunction="sum"/>
    <tableColumn id="14" xr3:uid="{00000000-0010-0000-2C00-00000E000000}" name="Y-DAY" totalsRowFunction="sum"/>
    <tableColumn id="15" xr3:uid="{00000000-0010-0000-2C00-00000F000000}" name="WEEKLY" totalsRowFunction="sum"/>
    <tableColumn id="16" xr3:uid="{00000000-0010-0000-2C00-000010000000}" name="LOWEST AVAIL" totalsRowFunction="sum"/>
    <tableColumn id="17" xr3:uid="{00000000-0010-0000-2C00-000011000000}" name="Y" totalsRowFunction="sum"/>
    <tableColumn id="18" xr3:uid="{00000000-0010-0000-2C00-000012000000}" name="B" totalsRowFunction="sum"/>
    <tableColumn id="19" xr3:uid="{00000000-0010-0000-2C00-000013000000}" name="M" totalsRowFunction="sum"/>
    <tableColumn id="20" xr3:uid="{00000000-0010-0000-2C00-000014000000}" name="H" totalsRowFunction="sum"/>
    <tableColumn id="21" xr3:uid="{00000000-0010-0000-2C00-000015000000}" name="Q" totalsRowFunction="sum"/>
    <tableColumn id="22" xr3:uid="{00000000-0010-0000-2C00-000016000000}" name="K" totalsRowFunction="sum"/>
    <tableColumn id="23" xr3:uid="{00000000-0010-0000-2C00-000017000000}" name="V" totalsRowFunction="sum"/>
    <tableColumn id="24" xr3:uid="{00000000-0010-0000-2C00-000018000000}" name="L" totalsRowFunction="sum"/>
    <tableColumn id="25" xr3:uid="{00000000-0010-0000-2C00-000019000000}" name="G" totalsRowFunction="sum"/>
    <tableColumn id="26" xr3:uid="{00000000-0010-0000-2C00-00001A000000}" name="S" totalsRowFunction="sum"/>
    <tableColumn id="27" xr3:uid="{00000000-0010-0000-2C00-00001B000000}" name="W" totalsRowFunction="sum"/>
    <tableColumn id="28" xr3:uid="{00000000-0010-0000-2C00-00001C000000}" name="T" totalsRowFunction="sum"/>
    <tableColumn id="29" xr3:uid="{00000000-0010-0000-2C00-00001D000000}" name="X" totalsRowFunction="sum"/>
    <tableColumn id="30" xr3:uid="{00000000-0010-0000-2C00-00001E000000}" name="U" totalsRowFunction="sum"/>
    <tableColumn id="31" xr3:uid="{00000000-0010-0000-2C00-00001F000000}" name="O" totalsRowFunction="sum"/>
    <tableColumn id="32" xr3:uid="{00000000-0010-0000-2C00-000020000000}" name="I" totalsRowFunction="sum"/>
    <tableColumn id="33" xr3:uid="{00000000-0010-0000-2C00-000021000000}" name="E" totalsRowFunction="sum"/>
    <tableColumn id="34" xr3:uid="{00000000-0010-0000-2C00-000022000000}" name="A" totalsRowFunction="sum"/>
    <tableColumn id="35" xr3:uid="{00000000-0010-0000-2C00-000023000000}" name="P" totalsRowFunction="sum"/>
    <tableColumn id="36" xr3:uid="{00000000-0010-0000-2C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8.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1.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2.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4.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5.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7.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8.xml"/><Relationship Id="rId1" Type="http://schemas.openxmlformats.org/officeDocument/2006/relationships/vmlDrawing" Target="../drawings/vmlDrawing12.v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0.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1.xml"/><Relationship Id="rId1" Type="http://schemas.openxmlformats.org/officeDocument/2006/relationships/vmlDrawing" Target="../drawings/vmlDrawing14.v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5.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6.xml"/><Relationship Id="rId1" Type="http://schemas.openxmlformats.org/officeDocument/2006/relationships/vmlDrawing" Target="../drawings/vmlDrawing16.vml"/></Relationships>
</file>

<file path=xl/worksheets/_rels/sheet5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8.xml"/><Relationship Id="rId1" Type="http://schemas.openxmlformats.org/officeDocument/2006/relationships/vmlDrawing" Target="../drawings/vmlDrawing17.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9.xml"/><Relationship Id="rId1" Type="http://schemas.openxmlformats.org/officeDocument/2006/relationships/vmlDrawing" Target="../drawings/vmlDrawing18.vml"/></Relationships>
</file>

<file path=xl/worksheets/_rels/sheet58.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1.xml"/><Relationship Id="rId1" Type="http://schemas.openxmlformats.org/officeDocument/2006/relationships/vmlDrawing" Target="../drawings/vmlDrawing19.v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2.xml"/><Relationship Id="rId1" Type="http://schemas.openxmlformats.org/officeDocument/2006/relationships/vmlDrawing" Target="../drawings/vmlDrawing20.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4.xml"/><Relationship Id="rId1" Type="http://schemas.openxmlformats.org/officeDocument/2006/relationships/vmlDrawing" Target="../drawings/vmlDrawing21.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5.xml"/><Relationship Id="rId1" Type="http://schemas.openxmlformats.org/officeDocument/2006/relationships/vmlDrawing" Target="../drawings/vmlDrawing22.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7.xml"/><Relationship Id="rId1" Type="http://schemas.openxmlformats.org/officeDocument/2006/relationships/vmlDrawing" Target="../drawings/vmlDrawing23.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38.xml"/><Relationship Id="rId1" Type="http://schemas.openxmlformats.org/officeDocument/2006/relationships/vmlDrawing" Target="../drawings/vmlDrawing24.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0.xml"/><Relationship Id="rId1" Type="http://schemas.openxmlformats.org/officeDocument/2006/relationships/vmlDrawing" Target="../drawings/vmlDrawing25.vml"/></Relationships>
</file>

<file path=xl/worksheets/_rels/sheet72.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1.xml"/><Relationship Id="rId1" Type="http://schemas.openxmlformats.org/officeDocument/2006/relationships/vmlDrawing" Target="../drawings/vmlDrawing26.v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3.xml"/><Relationship Id="rId1" Type="http://schemas.openxmlformats.org/officeDocument/2006/relationships/vmlDrawing" Target="../drawings/vmlDrawing27.vml"/></Relationships>
</file>

<file path=xl/worksheets/_rels/sheet76.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4.xml"/><Relationship Id="rId1" Type="http://schemas.openxmlformats.org/officeDocument/2006/relationships/vmlDrawing" Target="../drawings/vmlDrawing28.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59"/>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44140625" bestFit="1" customWidth="1"/>
  </cols>
  <sheetData>
    <row r="1" spans="1:92" ht="28.8" customHeight="1" x14ac:dyDescent="0.3">
      <c r="A1" s="257" t="s">
        <v>0</v>
      </c>
      <c r="B1" s="248"/>
      <c r="C1" s="248"/>
      <c r="D1" s="248"/>
      <c r="E1" s="248"/>
      <c r="F1" s="1" t="s">
        <v>1</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45980.430521177623</v>
      </c>
      <c r="H2" s="248"/>
      <c r="I2" s="248"/>
      <c r="J2" s="248"/>
      <c r="K2" s="259">
        <v>45980.430521177877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0.4201388888888889</v>
      </c>
      <c r="D6" s="8" t="s">
        <v>28</v>
      </c>
      <c r="E6" s="8" t="s">
        <v>29</v>
      </c>
      <c r="F6" s="8" t="s">
        <v>30</v>
      </c>
      <c r="G6" s="250"/>
      <c r="H6" s="10"/>
      <c r="I6" s="11"/>
      <c r="J6" s="11"/>
      <c r="K6" s="11"/>
      <c r="L6" s="11"/>
      <c r="M6" s="11"/>
      <c r="N6" s="11"/>
      <c r="O6" s="12"/>
      <c r="P6" s="11"/>
      <c r="Q6" s="13"/>
      <c r="R6" s="14"/>
    </row>
    <row r="7" spans="1:92" ht="15" customHeight="1" x14ac:dyDescent="0.3">
      <c r="A7" s="15" t="s">
        <v>26</v>
      </c>
      <c r="B7" s="15" t="s">
        <v>27</v>
      </c>
      <c r="C7" s="16">
        <v>0.4201388888888889</v>
      </c>
      <c r="D7" s="15" t="s">
        <v>31</v>
      </c>
      <c r="E7" s="15" t="s">
        <v>32</v>
      </c>
      <c r="F7" s="15" t="s">
        <v>33</v>
      </c>
      <c r="G7" s="251"/>
      <c r="H7" s="10"/>
      <c r="I7" s="11"/>
      <c r="J7" s="11"/>
      <c r="K7" s="11"/>
      <c r="L7" s="11"/>
      <c r="M7" s="11"/>
      <c r="N7" s="11"/>
      <c r="O7" s="12"/>
      <c r="P7" s="11"/>
      <c r="Q7" s="13"/>
      <c r="R7" s="14"/>
    </row>
    <row r="8" spans="1:92" ht="15" customHeight="1" x14ac:dyDescent="0.3">
      <c r="A8" s="15" t="s">
        <v>26</v>
      </c>
      <c r="B8" s="15" t="s">
        <v>27</v>
      </c>
      <c r="C8" s="16">
        <v>0.4201388888888889</v>
      </c>
      <c r="D8" s="15" t="s">
        <v>34</v>
      </c>
      <c r="E8" s="15" t="s">
        <v>32</v>
      </c>
      <c r="F8" s="15" t="s">
        <v>35</v>
      </c>
      <c r="G8" s="251"/>
      <c r="H8" s="10"/>
      <c r="I8" s="11"/>
      <c r="J8" s="11"/>
      <c r="K8" s="11"/>
      <c r="L8" s="11"/>
      <c r="M8" s="11"/>
      <c r="N8" s="11"/>
      <c r="O8" s="12"/>
      <c r="P8" s="11"/>
      <c r="Q8" s="13"/>
      <c r="R8" s="14"/>
    </row>
    <row r="9" spans="1:92" ht="15" customHeight="1" x14ac:dyDescent="0.3">
      <c r="A9" s="17" t="s">
        <v>36</v>
      </c>
      <c r="B9" s="17" t="s">
        <v>37</v>
      </c>
      <c r="C9" s="18">
        <v>0.35416666666666669</v>
      </c>
      <c r="D9" s="17" t="s">
        <v>38</v>
      </c>
      <c r="E9" s="17" t="s">
        <v>39</v>
      </c>
      <c r="F9" s="17" t="s">
        <v>40</v>
      </c>
      <c r="G9" s="251"/>
      <c r="H9" s="10"/>
      <c r="I9" s="11"/>
      <c r="J9" s="11"/>
      <c r="K9" s="11"/>
      <c r="L9" s="11"/>
      <c r="M9" s="11"/>
      <c r="N9" s="11"/>
      <c r="O9" s="12"/>
      <c r="P9" s="11"/>
      <c r="Q9" s="13"/>
      <c r="R9" s="14"/>
    </row>
    <row r="10" spans="1:92" ht="15" customHeight="1" x14ac:dyDescent="0.3">
      <c r="A10" s="15" t="s">
        <v>36</v>
      </c>
      <c r="B10" s="15" t="s">
        <v>37</v>
      </c>
      <c r="C10" s="16">
        <v>0.35416666666666669</v>
      </c>
      <c r="D10" s="15" t="s">
        <v>41</v>
      </c>
      <c r="E10" s="15" t="s">
        <v>42</v>
      </c>
      <c r="F10" s="15" t="s">
        <v>33</v>
      </c>
      <c r="G10" s="251"/>
      <c r="H10" s="10"/>
      <c r="I10" s="11"/>
      <c r="J10" s="11"/>
      <c r="K10" s="11"/>
      <c r="L10" s="11"/>
      <c r="M10" s="11"/>
      <c r="N10" s="11"/>
      <c r="O10" s="12"/>
      <c r="P10" s="11"/>
      <c r="Q10" s="13"/>
      <c r="R10" s="14"/>
    </row>
    <row r="11" spans="1:92" ht="15" customHeight="1" x14ac:dyDescent="0.3">
      <c r="A11" s="15" t="s">
        <v>36</v>
      </c>
      <c r="B11" s="15" t="s">
        <v>37</v>
      </c>
      <c r="C11" s="16">
        <v>0.35416666666666669</v>
      </c>
      <c r="D11" s="15" t="s">
        <v>43</v>
      </c>
      <c r="E11" s="15" t="s">
        <v>42</v>
      </c>
      <c r="F11" s="15" t="s">
        <v>44</v>
      </c>
      <c r="G11" s="251"/>
      <c r="H11" s="10"/>
      <c r="I11" s="11"/>
      <c r="J11" s="11"/>
      <c r="K11" s="11"/>
      <c r="L11" s="11"/>
      <c r="M11" s="11"/>
      <c r="N11" s="11"/>
      <c r="O11" s="12"/>
      <c r="P11" s="11"/>
      <c r="Q11" s="13"/>
      <c r="R11" s="14"/>
    </row>
    <row r="12" spans="1:92" ht="15" customHeight="1" x14ac:dyDescent="0.3">
      <c r="A12" s="19" t="s">
        <v>36</v>
      </c>
      <c r="B12" s="19" t="s">
        <v>45</v>
      </c>
      <c r="C12" s="20">
        <v>0.75694444444444453</v>
      </c>
      <c r="D12" s="19" t="s">
        <v>38</v>
      </c>
      <c r="E12" s="19" t="s">
        <v>46</v>
      </c>
      <c r="F12" s="19" t="s">
        <v>47</v>
      </c>
      <c r="G12" s="251"/>
      <c r="H12" s="10"/>
      <c r="I12" s="11"/>
      <c r="J12" s="11"/>
      <c r="K12" s="11"/>
      <c r="L12" s="11"/>
      <c r="M12" s="11"/>
      <c r="N12" s="11"/>
      <c r="O12" s="12"/>
      <c r="P12" s="11"/>
      <c r="Q12" s="13"/>
      <c r="R12" s="14"/>
    </row>
    <row r="13" spans="1:92" ht="15" customHeight="1" x14ac:dyDescent="0.3">
      <c r="A13" s="15" t="s">
        <v>36</v>
      </c>
      <c r="B13" s="15" t="s">
        <v>45</v>
      </c>
      <c r="C13" s="16">
        <v>0.75694444444444453</v>
      </c>
      <c r="D13" s="15" t="s">
        <v>41</v>
      </c>
      <c r="E13" s="15" t="s">
        <v>48</v>
      </c>
      <c r="F13" s="15" t="s">
        <v>49</v>
      </c>
      <c r="G13" s="251"/>
      <c r="H13" s="10"/>
      <c r="I13" s="11"/>
      <c r="J13" s="11"/>
      <c r="K13" s="11"/>
      <c r="L13" s="11"/>
      <c r="M13" s="11"/>
      <c r="N13" s="11"/>
      <c r="O13" s="12"/>
      <c r="P13" s="11"/>
      <c r="Q13" s="13"/>
      <c r="R13" s="14"/>
    </row>
    <row r="14" spans="1:92" ht="15" customHeight="1" x14ac:dyDescent="0.3">
      <c r="A14" s="15" t="s">
        <v>36</v>
      </c>
      <c r="B14" s="15" t="s">
        <v>45</v>
      </c>
      <c r="C14" s="16">
        <v>0.75694444444444453</v>
      </c>
      <c r="D14" s="15" t="s">
        <v>43</v>
      </c>
      <c r="E14" s="15" t="s">
        <v>48</v>
      </c>
      <c r="F14" s="15" t="s">
        <v>50</v>
      </c>
      <c r="G14" s="251"/>
      <c r="H14" s="10"/>
      <c r="I14" s="11"/>
      <c r="J14" s="11"/>
      <c r="K14" s="11"/>
      <c r="L14" s="11"/>
      <c r="M14" s="11"/>
      <c r="N14" s="11"/>
      <c r="O14" s="12"/>
      <c r="P14" s="11"/>
      <c r="Q14" s="13"/>
      <c r="R14" s="14"/>
    </row>
    <row r="15" spans="1:92" ht="15" customHeight="1" x14ac:dyDescent="0.3">
      <c r="A15" s="17" t="s">
        <v>51</v>
      </c>
      <c r="B15" s="17" t="s">
        <v>52</v>
      </c>
      <c r="C15" s="18">
        <v>0.1076388888888889</v>
      </c>
      <c r="D15" s="17" t="s">
        <v>53</v>
      </c>
      <c r="E15" s="17" t="s">
        <v>54</v>
      </c>
      <c r="F15" s="17" t="s">
        <v>55</v>
      </c>
      <c r="G15" s="251"/>
      <c r="H15" s="10"/>
      <c r="I15" s="11"/>
      <c r="J15" s="11"/>
      <c r="K15" s="11"/>
      <c r="L15" s="11"/>
      <c r="M15" s="11"/>
      <c r="N15" s="11"/>
      <c r="O15" s="12"/>
      <c r="P15" s="11"/>
      <c r="Q15" s="13"/>
      <c r="R15" s="14"/>
    </row>
    <row r="16" spans="1:92" ht="15" customHeight="1" x14ac:dyDescent="0.3">
      <c r="A16" s="19" t="s">
        <v>51</v>
      </c>
      <c r="B16" s="19" t="s">
        <v>56</v>
      </c>
      <c r="C16" s="20">
        <v>0.22222222222222221</v>
      </c>
      <c r="D16" s="19" t="s">
        <v>53</v>
      </c>
      <c r="E16" s="19" t="s">
        <v>57</v>
      </c>
      <c r="F16" s="19" t="s">
        <v>55</v>
      </c>
      <c r="G16" s="251"/>
      <c r="H16" s="10"/>
      <c r="I16" s="11"/>
      <c r="J16" s="11"/>
      <c r="K16" s="11"/>
      <c r="L16" s="11"/>
      <c r="M16" s="11"/>
      <c r="N16" s="11"/>
      <c r="O16" s="12"/>
      <c r="P16" s="11"/>
      <c r="Q16" s="13"/>
      <c r="R16" s="14"/>
    </row>
    <row r="17" spans="1:18" ht="15" customHeight="1" x14ac:dyDescent="0.3">
      <c r="A17" s="19" t="s">
        <v>51</v>
      </c>
      <c r="B17" s="19" t="s">
        <v>58</v>
      </c>
      <c r="C17" s="20">
        <v>0.44444444444444442</v>
      </c>
      <c r="D17" s="19" t="s">
        <v>53</v>
      </c>
      <c r="E17" s="19" t="s">
        <v>57</v>
      </c>
      <c r="F17" s="19" t="s">
        <v>55</v>
      </c>
      <c r="G17" s="251"/>
      <c r="H17" s="10"/>
      <c r="I17" s="11"/>
      <c r="J17" s="11"/>
      <c r="K17" s="11"/>
      <c r="L17" s="11"/>
      <c r="M17" s="11"/>
      <c r="N17" s="11"/>
      <c r="O17" s="12"/>
      <c r="P17" s="11"/>
      <c r="Q17" s="13"/>
      <c r="R17" s="14"/>
    </row>
    <row r="18" spans="1:18" ht="15" customHeight="1" x14ac:dyDescent="0.3">
      <c r="A18" s="19" t="s">
        <v>51</v>
      </c>
      <c r="B18" s="19" t="s">
        <v>59</v>
      </c>
      <c r="C18" s="20">
        <v>0.85416666666666663</v>
      </c>
      <c r="D18" s="19" t="s">
        <v>53</v>
      </c>
      <c r="E18" s="19" t="s">
        <v>60</v>
      </c>
      <c r="F18" s="19" t="s">
        <v>61</v>
      </c>
      <c r="G18" s="251"/>
      <c r="H18" s="10"/>
      <c r="I18" s="11"/>
      <c r="J18" s="11"/>
      <c r="K18" s="11"/>
      <c r="L18" s="11"/>
      <c r="M18" s="11"/>
      <c r="N18" s="11"/>
      <c r="O18" s="12"/>
      <c r="P18" s="11"/>
      <c r="Q18" s="13"/>
      <c r="R18" s="14"/>
    </row>
    <row r="19" spans="1:18" ht="15" customHeight="1" x14ac:dyDescent="0.3">
      <c r="A19" s="19" t="s">
        <v>51</v>
      </c>
      <c r="B19" s="19" t="s">
        <v>62</v>
      </c>
      <c r="C19" s="20">
        <v>0.55208333333333337</v>
      </c>
      <c r="D19" s="19" t="s">
        <v>53</v>
      </c>
      <c r="E19" s="19" t="s">
        <v>57</v>
      </c>
      <c r="F19" s="19" t="s">
        <v>63</v>
      </c>
      <c r="G19" s="251"/>
      <c r="H19" s="10"/>
      <c r="I19" s="11"/>
      <c r="J19" s="11"/>
      <c r="K19" s="11"/>
      <c r="L19" s="11"/>
      <c r="M19" s="11"/>
      <c r="N19" s="11"/>
      <c r="O19" s="12"/>
      <c r="P19" s="11"/>
      <c r="Q19" s="13"/>
      <c r="R19" s="14"/>
    </row>
    <row r="20" spans="1:18" ht="15" customHeight="1" x14ac:dyDescent="0.3">
      <c r="A20" s="17" t="s">
        <v>64</v>
      </c>
      <c r="B20" s="17" t="s">
        <v>65</v>
      </c>
      <c r="C20" s="18">
        <v>0.60416666666666663</v>
      </c>
      <c r="D20" s="17" t="s">
        <v>66</v>
      </c>
      <c r="E20" s="17" t="s">
        <v>54</v>
      </c>
      <c r="F20" s="17" t="s">
        <v>67</v>
      </c>
      <c r="G20" s="251"/>
      <c r="H20" s="10"/>
      <c r="I20" s="11"/>
      <c r="J20" s="11"/>
      <c r="K20" s="11"/>
      <c r="L20" s="11"/>
      <c r="M20" s="11"/>
      <c r="N20" s="11"/>
      <c r="O20" s="12"/>
      <c r="P20" s="11"/>
      <c r="Q20" s="13"/>
      <c r="R20" s="14"/>
    </row>
    <row r="21" spans="1:18" ht="15" customHeight="1" x14ac:dyDescent="0.3">
      <c r="A21" s="15" t="s">
        <v>64</v>
      </c>
      <c r="B21" s="15" t="s">
        <v>65</v>
      </c>
      <c r="C21" s="16">
        <v>0.60416666666666663</v>
      </c>
      <c r="D21" s="15" t="s">
        <v>68</v>
      </c>
      <c r="E21" s="15" t="s">
        <v>69</v>
      </c>
      <c r="F21" s="15" t="s">
        <v>70</v>
      </c>
      <c r="G21" s="251"/>
      <c r="H21" s="10"/>
      <c r="I21" s="11"/>
      <c r="J21" s="11"/>
      <c r="K21" s="11"/>
      <c r="L21" s="11"/>
      <c r="M21" s="11"/>
      <c r="N21" s="11"/>
      <c r="O21" s="12"/>
      <c r="P21" s="11"/>
      <c r="Q21" s="13"/>
      <c r="R21" s="14"/>
    </row>
    <row r="22" spans="1:18" ht="15" customHeight="1" x14ac:dyDescent="0.3">
      <c r="A22" s="19" t="s">
        <v>64</v>
      </c>
      <c r="B22" s="19" t="s">
        <v>71</v>
      </c>
      <c r="C22" s="20">
        <v>8.6805555555555566E-2</v>
      </c>
      <c r="D22" s="19" t="s">
        <v>66</v>
      </c>
      <c r="E22" s="19" t="s">
        <v>57</v>
      </c>
      <c r="F22" s="19" t="s">
        <v>67</v>
      </c>
      <c r="G22" s="251"/>
      <c r="H22" s="10"/>
      <c r="I22" s="11"/>
      <c r="J22" s="11"/>
      <c r="K22" s="11"/>
      <c r="L22" s="11"/>
      <c r="M22" s="11"/>
      <c r="N22" s="11"/>
      <c r="O22" s="12"/>
      <c r="P22" s="11"/>
      <c r="Q22" s="13"/>
      <c r="R22" s="14"/>
    </row>
    <row r="23" spans="1:18" ht="15" customHeight="1" x14ac:dyDescent="0.3">
      <c r="A23" s="15" t="s">
        <v>64</v>
      </c>
      <c r="B23" s="15" t="s">
        <v>71</v>
      </c>
      <c r="C23" s="16">
        <v>8.6805555555555566E-2</v>
      </c>
      <c r="D23" s="15" t="s">
        <v>68</v>
      </c>
      <c r="E23" s="15" t="s">
        <v>69</v>
      </c>
      <c r="F23" s="15" t="s">
        <v>70</v>
      </c>
      <c r="G23" s="251"/>
      <c r="H23" s="10"/>
      <c r="I23" s="11"/>
      <c r="J23" s="11"/>
      <c r="K23" s="11"/>
      <c r="L23" s="11"/>
      <c r="M23" s="11"/>
      <c r="N23" s="11"/>
      <c r="O23" s="12"/>
      <c r="P23" s="11"/>
      <c r="Q23" s="13"/>
      <c r="R23" s="14"/>
    </row>
    <row r="24" spans="1:18" ht="15" customHeight="1" x14ac:dyDescent="0.3">
      <c r="A24" s="19" t="s">
        <v>64</v>
      </c>
      <c r="B24" s="19" t="s">
        <v>72</v>
      </c>
      <c r="C24" s="20">
        <v>0.4201388888888889</v>
      </c>
      <c r="D24" s="19" t="s">
        <v>68</v>
      </c>
      <c r="E24" s="19" t="s">
        <v>73</v>
      </c>
      <c r="F24" s="19" t="s">
        <v>74</v>
      </c>
      <c r="G24" s="251"/>
      <c r="H24" s="10"/>
      <c r="I24" s="11"/>
      <c r="J24" s="11"/>
      <c r="K24" s="11"/>
      <c r="L24" s="11"/>
      <c r="M24" s="11"/>
      <c r="N24" s="11"/>
      <c r="O24" s="12"/>
      <c r="P24" s="11"/>
      <c r="Q24" s="13"/>
      <c r="R24" s="14"/>
    </row>
    <row r="25" spans="1:18" ht="15" customHeight="1" x14ac:dyDescent="0.3">
      <c r="A25" s="19" t="s">
        <v>64</v>
      </c>
      <c r="B25" s="19" t="s">
        <v>75</v>
      </c>
      <c r="C25" s="20">
        <v>0.79513888888888884</v>
      </c>
      <c r="D25" s="19" t="s">
        <v>66</v>
      </c>
      <c r="E25" s="19" t="s">
        <v>76</v>
      </c>
      <c r="F25" s="19" t="s">
        <v>77</v>
      </c>
      <c r="G25" s="251"/>
      <c r="H25" s="10"/>
      <c r="I25" s="11"/>
      <c r="J25" s="11"/>
      <c r="K25" s="11"/>
      <c r="L25" s="11"/>
      <c r="M25" s="11"/>
      <c r="N25" s="11"/>
      <c r="O25" s="12"/>
      <c r="P25" s="11"/>
      <c r="Q25" s="13"/>
      <c r="R25" s="14"/>
    </row>
    <row r="26" spans="1:18" ht="15" customHeight="1" x14ac:dyDescent="0.3">
      <c r="A26" s="15" t="s">
        <v>64</v>
      </c>
      <c r="B26" s="15" t="s">
        <v>75</v>
      </c>
      <c r="C26" s="16">
        <v>0.79513888888888884</v>
      </c>
      <c r="D26" s="15" t="s">
        <v>68</v>
      </c>
      <c r="E26" s="15" t="s">
        <v>78</v>
      </c>
      <c r="F26" s="15" t="s">
        <v>79</v>
      </c>
      <c r="G26" s="251"/>
      <c r="H26" s="10"/>
      <c r="I26" s="11"/>
      <c r="J26" s="11"/>
      <c r="K26" s="11"/>
      <c r="L26" s="11"/>
      <c r="M26" s="11"/>
      <c r="N26" s="11"/>
      <c r="O26" s="12"/>
      <c r="P26" s="11"/>
      <c r="Q26" s="13"/>
      <c r="R26" s="14"/>
    </row>
    <row r="27" spans="1:18" ht="15" customHeight="1" thickBot="1" x14ac:dyDescent="0.35">
      <c r="A27" s="21" t="s">
        <v>80</v>
      </c>
      <c r="B27" s="21" t="s">
        <v>81</v>
      </c>
      <c r="C27" s="22">
        <v>0.53819444444444442</v>
      </c>
      <c r="D27" s="21" t="s">
        <v>82</v>
      </c>
      <c r="E27" s="23"/>
      <c r="F27" s="21" t="s">
        <v>83</v>
      </c>
      <c r="G27" s="252"/>
      <c r="H27" s="24" t="s">
        <v>81</v>
      </c>
      <c r="I27" s="25">
        <v>1.0169999999999999</v>
      </c>
      <c r="J27" s="26">
        <v>179</v>
      </c>
      <c r="K27" s="27" t="s">
        <v>84</v>
      </c>
      <c r="L27" s="26">
        <v>6</v>
      </c>
      <c r="M27" s="26">
        <v>0</v>
      </c>
      <c r="N27" s="26">
        <v>0</v>
      </c>
      <c r="O27" s="28" t="s">
        <v>85</v>
      </c>
      <c r="P27" s="29">
        <v>0.53819444444444442</v>
      </c>
      <c r="Q27" s="26">
        <v>176</v>
      </c>
      <c r="R27" s="30" t="s">
        <v>86</v>
      </c>
    </row>
    <row r="28" spans="1:18" ht="17.399999999999999" customHeight="1" thickBot="1" x14ac:dyDescent="0.35">
      <c r="A28" s="282"/>
      <c r="B28" s="283"/>
      <c r="C28" s="283"/>
      <c r="D28" s="283"/>
      <c r="E28" s="283"/>
      <c r="F28" s="283"/>
      <c r="G28" s="283"/>
      <c r="H28" s="283"/>
      <c r="I28" s="283"/>
      <c r="J28" s="283"/>
      <c r="K28" s="283"/>
      <c r="L28" s="283"/>
      <c r="M28" s="283"/>
      <c r="N28" s="283"/>
      <c r="O28" s="283"/>
      <c r="P28" s="283"/>
      <c r="Q28" s="283"/>
      <c r="R28" s="284"/>
    </row>
    <row r="29" spans="1:18" ht="22.05" customHeight="1" thickTop="1" thickBot="1" x14ac:dyDescent="0.35">
      <c r="A29" s="261" t="s">
        <v>6</v>
      </c>
      <c r="B29" s="254"/>
      <c r="C29" s="254"/>
      <c r="D29" s="254"/>
      <c r="E29" s="254"/>
      <c r="F29" s="255"/>
      <c r="G29" s="31">
        <v>45982</v>
      </c>
      <c r="H29" s="253" t="s">
        <v>7</v>
      </c>
      <c r="I29" s="254"/>
      <c r="J29" s="254"/>
      <c r="K29" s="254"/>
      <c r="L29" s="254"/>
      <c r="M29" s="254"/>
      <c r="N29" s="254"/>
      <c r="O29" s="254"/>
      <c r="P29" s="254"/>
      <c r="Q29" s="254"/>
      <c r="R29" s="255"/>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51</v>
      </c>
      <c r="B31" s="8" t="s">
        <v>52</v>
      </c>
      <c r="C31" s="9">
        <v>9.7222222222222224E-2</v>
      </c>
      <c r="D31" s="8" t="s">
        <v>53</v>
      </c>
      <c r="E31" s="8" t="s">
        <v>54</v>
      </c>
      <c r="F31" s="8" t="s">
        <v>87</v>
      </c>
      <c r="G31" s="250"/>
      <c r="H31" s="10"/>
      <c r="I31" s="11"/>
      <c r="J31" s="11"/>
      <c r="K31" s="11"/>
      <c r="L31" s="11"/>
      <c r="M31" s="11"/>
      <c r="N31" s="11"/>
      <c r="O31" s="12"/>
      <c r="P31" s="11"/>
      <c r="Q31" s="13"/>
      <c r="R31" s="14"/>
    </row>
    <row r="32" spans="1:18" ht="15" customHeight="1" x14ac:dyDescent="0.3">
      <c r="A32" s="19" t="s">
        <v>51</v>
      </c>
      <c r="B32" s="19" t="s">
        <v>56</v>
      </c>
      <c r="C32" s="20">
        <v>0.22222222222222221</v>
      </c>
      <c r="D32" s="19" t="s">
        <v>53</v>
      </c>
      <c r="E32" s="19" t="s">
        <v>57</v>
      </c>
      <c r="F32" s="19" t="s">
        <v>87</v>
      </c>
      <c r="G32" s="251"/>
      <c r="H32" s="10"/>
      <c r="I32" s="11"/>
      <c r="J32" s="11"/>
      <c r="K32" s="11"/>
      <c r="L32" s="11"/>
      <c r="M32" s="11"/>
      <c r="N32" s="11"/>
      <c r="O32" s="12"/>
      <c r="P32" s="11"/>
      <c r="Q32" s="13"/>
      <c r="R32" s="14"/>
    </row>
    <row r="33" spans="1:18" ht="15" customHeight="1" x14ac:dyDescent="0.3">
      <c r="A33" s="19" t="s">
        <v>51</v>
      </c>
      <c r="B33" s="19" t="s">
        <v>58</v>
      </c>
      <c r="C33" s="20">
        <v>0.44444444444444442</v>
      </c>
      <c r="D33" s="19" t="s">
        <v>53</v>
      </c>
      <c r="E33" s="19" t="s">
        <v>57</v>
      </c>
      <c r="F33" s="19" t="s">
        <v>87</v>
      </c>
      <c r="G33" s="251"/>
      <c r="H33" s="10"/>
      <c r="I33" s="11"/>
      <c r="J33" s="11"/>
      <c r="K33" s="11"/>
      <c r="L33" s="11"/>
      <c r="M33" s="11"/>
      <c r="N33" s="11"/>
      <c r="O33" s="12"/>
      <c r="P33" s="11"/>
      <c r="Q33" s="13"/>
      <c r="R33" s="14"/>
    </row>
    <row r="34" spans="1:18" ht="15" customHeight="1" x14ac:dyDescent="0.3">
      <c r="A34" s="19" t="s">
        <v>51</v>
      </c>
      <c r="B34" s="19" t="s">
        <v>62</v>
      </c>
      <c r="C34" s="20">
        <v>0.49305555555555558</v>
      </c>
      <c r="D34" s="19" t="s">
        <v>53</v>
      </c>
      <c r="E34" s="19" t="s">
        <v>57</v>
      </c>
      <c r="F34" s="19" t="s">
        <v>87</v>
      </c>
      <c r="G34" s="251"/>
      <c r="H34" s="10"/>
      <c r="I34" s="11"/>
      <c r="J34" s="11"/>
      <c r="K34" s="11"/>
      <c r="L34" s="11"/>
      <c r="M34" s="11"/>
      <c r="N34" s="11"/>
      <c r="O34" s="12"/>
      <c r="P34" s="11"/>
      <c r="Q34" s="13"/>
      <c r="R34" s="14"/>
    </row>
    <row r="35" spans="1:18" ht="15" customHeight="1" x14ac:dyDescent="0.3">
      <c r="A35" s="17" t="s">
        <v>64</v>
      </c>
      <c r="B35" s="17" t="s">
        <v>72</v>
      </c>
      <c r="C35" s="18">
        <v>0.4201388888888889</v>
      </c>
      <c r="D35" s="17" t="s">
        <v>68</v>
      </c>
      <c r="E35" s="17" t="s">
        <v>88</v>
      </c>
      <c r="F35" s="17" t="s">
        <v>74</v>
      </c>
      <c r="G35" s="251"/>
      <c r="H35" s="10"/>
      <c r="I35" s="11"/>
      <c r="J35" s="11"/>
      <c r="K35" s="11"/>
      <c r="L35" s="11"/>
      <c r="M35" s="11"/>
      <c r="N35" s="11"/>
      <c r="O35" s="12"/>
      <c r="P35" s="11"/>
      <c r="Q35" s="13"/>
      <c r="R35" s="14"/>
    </row>
    <row r="36" spans="1:18" ht="15" customHeight="1" x14ac:dyDescent="0.3">
      <c r="A36" s="19" t="s">
        <v>64</v>
      </c>
      <c r="B36" s="19" t="s">
        <v>75</v>
      </c>
      <c r="C36" s="20">
        <v>0.79513888888888884</v>
      </c>
      <c r="D36" s="19" t="s">
        <v>66</v>
      </c>
      <c r="E36" s="19" t="s">
        <v>89</v>
      </c>
      <c r="F36" s="19" t="s">
        <v>90</v>
      </c>
      <c r="G36" s="251"/>
      <c r="H36" s="10"/>
      <c r="I36" s="11"/>
      <c r="J36" s="11"/>
      <c r="K36" s="11"/>
      <c r="L36" s="11"/>
      <c r="M36" s="11"/>
      <c r="N36" s="11"/>
      <c r="O36" s="12"/>
      <c r="P36" s="11"/>
      <c r="Q36" s="13"/>
      <c r="R36" s="14"/>
    </row>
    <row r="37" spans="1:18" ht="15" customHeight="1" x14ac:dyDescent="0.3">
      <c r="A37" s="15" t="s">
        <v>64</v>
      </c>
      <c r="B37" s="15" t="s">
        <v>75</v>
      </c>
      <c r="C37" s="16">
        <v>0.79513888888888884</v>
      </c>
      <c r="D37" s="15" t="s">
        <v>68</v>
      </c>
      <c r="E37" s="15" t="s">
        <v>91</v>
      </c>
      <c r="F37" s="15" t="s">
        <v>92</v>
      </c>
      <c r="G37" s="251"/>
      <c r="H37" s="10"/>
      <c r="I37" s="11"/>
      <c r="J37" s="11"/>
      <c r="K37" s="11"/>
      <c r="L37" s="11"/>
      <c r="M37" s="11"/>
      <c r="N37" s="11"/>
      <c r="O37" s="12"/>
      <c r="P37" s="11"/>
      <c r="Q37" s="13"/>
      <c r="R37" s="14"/>
    </row>
    <row r="38" spans="1:18" ht="15" customHeight="1" x14ac:dyDescent="0.3">
      <c r="A38" s="19" t="s">
        <v>64</v>
      </c>
      <c r="B38" s="19" t="s">
        <v>71</v>
      </c>
      <c r="C38" s="20">
        <v>8.6805555555555566E-2</v>
      </c>
      <c r="D38" s="19" t="s">
        <v>66</v>
      </c>
      <c r="E38" s="19" t="s">
        <v>60</v>
      </c>
      <c r="F38" s="19" t="s">
        <v>90</v>
      </c>
      <c r="G38" s="251"/>
      <c r="H38" s="10"/>
      <c r="I38" s="11"/>
      <c r="J38" s="11"/>
      <c r="K38" s="11"/>
      <c r="L38" s="11"/>
      <c r="M38" s="11"/>
      <c r="N38" s="11"/>
      <c r="O38" s="12"/>
      <c r="P38" s="11"/>
      <c r="Q38" s="13"/>
      <c r="R38" s="14"/>
    </row>
    <row r="39" spans="1:18" ht="15" customHeight="1" x14ac:dyDescent="0.3">
      <c r="A39" s="15" t="s">
        <v>64</v>
      </c>
      <c r="B39" s="15" t="s">
        <v>71</v>
      </c>
      <c r="C39" s="16">
        <v>8.6805555555555566E-2</v>
      </c>
      <c r="D39" s="15" t="s">
        <v>68</v>
      </c>
      <c r="E39" s="15" t="s">
        <v>42</v>
      </c>
      <c r="F39" s="15" t="s">
        <v>92</v>
      </c>
      <c r="G39" s="251"/>
      <c r="H39" s="10"/>
      <c r="I39" s="11"/>
      <c r="J39" s="11"/>
      <c r="K39" s="11"/>
      <c r="L39" s="11"/>
      <c r="M39" s="11"/>
      <c r="N39" s="11"/>
      <c r="O39" s="12"/>
      <c r="P39" s="11"/>
      <c r="Q39" s="13"/>
      <c r="R39" s="14"/>
    </row>
    <row r="40" spans="1:18" ht="15" customHeight="1" x14ac:dyDescent="0.3">
      <c r="A40" s="19" t="s">
        <v>64</v>
      </c>
      <c r="B40" s="19" t="s">
        <v>65</v>
      </c>
      <c r="C40" s="20">
        <v>0.60416666666666663</v>
      </c>
      <c r="D40" s="19" t="s">
        <v>66</v>
      </c>
      <c r="E40" s="19" t="s">
        <v>73</v>
      </c>
      <c r="F40" s="19" t="s">
        <v>77</v>
      </c>
      <c r="G40" s="251"/>
      <c r="H40" s="10"/>
      <c r="I40" s="11"/>
      <c r="J40" s="11"/>
      <c r="K40" s="11"/>
      <c r="L40" s="11"/>
      <c r="M40" s="11"/>
      <c r="N40" s="11"/>
      <c r="O40" s="12"/>
      <c r="P40" s="11"/>
      <c r="Q40" s="13"/>
      <c r="R40" s="14"/>
    </row>
    <row r="41" spans="1:18" ht="15" customHeight="1" thickBot="1" x14ac:dyDescent="0.35">
      <c r="A41" s="39" t="s">
        <v>64</v>
      </c>
      <c r="B41" s="39" t="s">
        <v>65</v>
      </c>
      <c r="C41" s="40">
        <v>0.60416666666666663</v>
      </c>
      <c r="D41" s="39" t="s">
        <v>68</v>
      </c>
      <c r="E41" s="39" t="s">
        <v>93</v>
      </c>
      <c r="F41" s="39" t="s">
        <v>79</v>
      </c>
      <c r="G41" s="252"/>
      <c r="H41" s="41"/>
      <c r="I41" s="42"/>
      <c r="J41" s="42"/>
      <c r="K41" s="42"/>
      <c r="L41" s="42"/>
      <c r="M41" s="42"/>
      <c r="N41" s="42"/>
      <c r="O41" s="43"/>
      <c r="P41" s="42"/>
      <c r="Q41" s="44"/>
      <c r="R41" s="45"/>
    </row>
    <row r="42" spans="1:18" ht="17.399999999999999" customHeight="1" thickBot="1" x14ac:dyDescent="0.35">
      <c r="A42" s="282"/>
      <c r="B42" s="283"/>
      <c r="C42" s="283"/>
      <c r="D42" s="283"/>
      <c r="E42" s="283"/>
      <c r="F42" s="283"/>
      <c r="G42" s="283"/>
      <c r="H42" s="283"/>
      <c r="I42" s="283"/>
      <c r="J42" s="283"/>
      <c r="K42" s="283"/>
      <c r="L42" s="283"/>
      <c r="M42" s="283"/>
      <c r="N42" s="283"/>
      <c r="O42" s="283"/>
      <c r="P42" s="283"/>
      <c r="Q42" s="283"/>
      <c r="R42" s="284"/>
    </row>
    <row r="43" spans="1:18" ht="22.05" customHeight="1" thickTop="1" thickBot="1" x14ac:dyDescent="0.35">
      <c r="A43" s="261" t="s">
        <v>6</v>
      </c>
      <c r="B43" s="254"/>
      <c r="C43" s="254"/>
      <c r="D43" s="254"/>
      <c r="E43" s="254"/>
      <c r="F43" s="255"/>
      <c r="G43" s="31">
        <v>45983</v>
      </c>
      <c r="H43" s="253" t="s">
        <v>7</v>
      </c>
      <c r="I43" s="254"/>
      <c r="J43" s="254"/>
      <c r="K43" s="254"/>
      <c r="L43" s="254"/>
      <c r="M43" s="254"/>
      <c r="N43" s="254"/>
      <c r="O43" s="254"/>
      <c r="P43" s="254"/>
      <c r="Q43" s="254"/>
      <c r="R43" s="255"/>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15" customHeight="1" x14ac:dyDescent="0.3">
      <c r="A45" s="8" t="s">
        <v>36</v>
      </c>
      <c r="B45" s="8" t="s">
        <v>37</v>
      </c>
      <c r="C45" s="9">
        <v>0.35416666666666669</v>
      </c>
      <c r="D45" s="8" t="s">
        <v>38</v>
      </c>
      <c r="E45" s="8" t="s">
        <v>94</v>
      </c>
      <c r="F45" s="8" t="s">
        <v>40</v>
      </c>
      <c r="G45" s="250"/>
      <c r="H45" s="10"/>
      <c r="I45" s="11"/>
      <c r="J45" s="11"/>
      <c r="K45" s="11"/>
      <c r="L45" s="11"/>
      <c r="M45" s="11"/>
      <c r="N45" s="11"/>
      <c r="O45" s="12"/>
      <c r="P45" s="11"/>
      <c r="Q45" s="13"/>
      <c r="R45" s="14"/>
    </row>
    <row r="46" spans="1:18" ht="15" customHeight="1" x14ac:dyDescent="0.3">
      <c r="A46" s="15" t="s">
        <v>36</v>
      </c>
      <c r="B46" s="15" t="s">
        <v>37</v>
      </c>
      <c r="C46" s="16">
        <v>0.35416666666666669</v>
      </c>
      <c r="D46" s="15" t="s">
        <v>41</v>
      </c>
      <c r="E46" s="15" t="s">
        <v>95</v>
      </c>
      <c r="F46" s="15" t="s">
        <v>33</v>
      </c>
      <c r="G46" s="251"/>
      <c r="H46" s="10"/>
      <c r="I46" s="11"/>
      <c r="J46" s="11"/>
      <c r="K46" s="11"/>
      <c r="L46" s="11"/>
      <c r="M46" s="11"/>
      <c r="N46" s="11"/>
      <c r="O46" s="12"/>
      <c r="P46" s="11"/>
      <c r="Q46" s="13"/>
      <c r="R46" s="14"/>
    </row>
    <row r="47" spans="1:18" ht="15" customHeight="1" x14ac:dyDescent="0.3">
      <c r="A47" s="15" t="s">
        <v>36</v>
      </c>
      <c r="B47" s="15" t="s">
        <v>37</v>
      </c>
      <c r="C47" s="16">
        <v>0.35416666666666669</v>
      </c>
      <c r="D47" s="15" t="s">
        <v>43</v>
      </c>
      <c r="E47" s="15" t="s">
        <v>95</v>
      </c>
      <c r="F47" s="15" t="s">
        <v>44</v>
      </c>
      <c r="G47" s="251"/>
      <c r="H47" s="10"/>
      <c r="I47" s="11"/>
      <c r="J47" s="11"/>
      <c r="K47" s="11"/>
      <c r="L47" s="11"/>
      <c r="M47" s="11"/>
      <c r="N47" s="11"/>
      <c r="O47" s="12"/>
      <c r="P47" s="11"/>
      <c r="Q47" s="13"/>
      <c r="R47" s="14"/>
    </row>
    <row r="48" spans="1:18" ht="15" customHeight="1" x14ac:dyDescent="0.3">
      <c r="A48" s="19" t="s">
        <v>36</v>
      </c>
      <c r="B48" s="19" t="s">
        <v>45</v>
      </c>
      <c r="C48" s="20">
        <v>0.75694444444444453</v>
      </c>
      <c r="D48" s="19" t="s">
        <v>38</v>
      </c>
      <c r="E48" s="19" t="s">
        <v>96</v>
      </c>
      <c r="F48" s="19" t="s">
        <v>40</v>
      </c>
      <c r="G48" s="251"/>
      <c r="H48" s="10"/>
      <c r="I48" s="11"/>
      <c r="J48" s="11"/>
      <c r="K48" s="11"/>
      <c r="L48" s="11"/>
      <c r="M48" s="11"/>
      <c r="N48" s="11"/>
      <c r="O48" s="12"/>
      <c r="P48" s="11"/>
      <c r="Q48" s="13"/>
      <c r="R48" s="14"/>
    </row>
    <row r="49" spans="1:18" ht="15" customHeight="1" x14ac:dyDescent="0.3">
      <c r="A49" s="15" t="s">
        <v>36</v>
      </c>
      <c r="B49" s="15" t="s">
        <v>45</v>
      </c>
      <c r="C49" s="16">
        <v>0.75694444444444453</v>
      </c>
      <c r="D49" s="15" t="s">
        <v>41</v>
      </c>
      <c r="E49" s="15" t="s">
        <v>97</v>
      </c>
      <c r="F49" s="15" t="s">
        <v>33</v>
      </c>
      <c r="G49" s="251"/>
      <c r="H49" s="10"/>
      <c r="I49" s="11"/>
      <c r="J49" s="11"/>
      <c r="K49" s="11"/>
      <c r="L49" s="11"/>
      <c r="M49" s="11"/>
      <c r="N49" s="11"/>
      <c r="O49" s="12"/>
      <c r="P49" s="11"/>
      <c r="Q49" s="13"/>
      <c r="R49" s="14"/>
    </row>
    <row r="50" spans="1:18" ht="15" customHeight="1" x14ac:dyDescent="0.3">
      <c r="A50" s="15" t="s">
        <v>36</v>
      </c>
      <c r="B50" s="15" t="s">
        <v>45</v>
      </c>
      <c r="C50" s="16">
        <v>0.75694444444444453</v>
      </c>
      <c r="D50" s="15" t="s">
        <v>43</v>
      </c>
      <c r="E50" s="15" t="s">
        <v>97</v>
      </c>
      <c r="F50" s="15" t="s">
        <v>44</v>
      </c>
      <c r="G50" s="251"/>
      <c r="H50" s="10"/>
      <c r="I50" s="11"/>
      <c r="J50" s="11"/>
      <c r="K50" s="11"/>
      <c r="L50" s="11"/>
      <c r="M50" s="11"/>
      <c r="N50" s="11"/>
      <c r="O50" s="12"/>
      <c r="P50" s="11"/>
      <c r="Q50" s="13"/>
      <c r="R50" s="14"/>
    </row>
    <row r="51" spans="1:18" ht="15" customHeight="1" x14ac:dyDescent="0.3">
      <c r="A51" s="17" t="s">
        <v>26</v>
      </c>
      <c r="B51" s="17" t="s">
        <v>27</v>
      </c>
      <c r="C51" s="18">
        <v>0.4201388888888889</v>
      </c>
      <c r="D51" s="17" t="s">
        <v>28</v>
      </c>
      <c r="E51" s="17" t="s">
        <v>98</v>
      </c>
      <c r="F51" s="17" t="s">
        <v>99</v>
      </c>
      <c r="G51" s="251"/>
      <c r="H51" s="10"/>
      <c r="I51" s="11"/>
      <c r="J51" s="11"/>
      <c r="K51" s="11"/>
      <c r="L51" s="11"/>
      <c r="M51" s="11"/>
      <c r="N51" s="11"/>
      <c r="O51" s="12"/>
      <c r="P51" s="11"/>
      <c r="Q51" s="13"/>
      <c r="R51" s="14"/>
    </row>
    <row r="52" spans="1:18" ht="15" customHeight="1" x14ac:dyDescent="0.3">
      <c r="A52" s="15" t="s">
        <v>26</v>
      </c>
      <c r="B52" s="15" t="s">
        <v>27</v>
      </c>
      <c r="C52" s="16">
        <v>0.4201388888888889</v>
      </c>
      <c r="D52" s="15" t="s">
        <v>31</v>
      </c>
      <c r="E52" s="15" t="s">
        <v>100</v>
      </c>
      <c r="F52" s="15" t="s">
        <v>101</v>
      </c>
      <c r="G52" s="251"/>
      <c r="H52" s="10"/>
      <c r="I52" s="11"/>
      <c r="J52" s="11"/>
      <c r="K52" s="11"/>
      <c r="L52" s="11"/>
      <c r="M52" s="11"/>
      <c r="N52" s="11"/>
      <c r="O52" s="12"/>
      <c r="P52" s="11"/>
      <c r="Q52" s="13"/>
      <c r="R52" s="14"/>
    </row>
    <row r="53" spans="1:18" ht="15" customHeight="1" x14ac:dyDescent="0.3">
      <c r="A53" s="15" t="s">
        <v>26</v>
      </c>
      <c r="B53" s="15" t="s">
        <v>27</v>
      </c>
      <c r="C53" s="16">
        <v>0.4201388888888889</v>
      </c>
      <c r="D53" s="15" t="s">
        <v>34</v>
      </c>
      <c r="E53" s="15" t="s">
        <v>100</v>
      </c>
      <c r="F53" s="15" t="s">
        <v>35</v>
      </c>
      <c r="G53" s="251"/>
      <c r="H53" s="10"/>
      <c r="I53" s="11"/>
      <c r="J53" s="11"/>
      <c r="K53" s="11"/>
      <c r="L53" s="11"/>
      <c r="M53" s="11"/>
      <c r="N53" s="11"/>
      <c r="O53" s="12"/>
      <c r="P53" s="11"/>
      <c r="Q53" s="13"/>
      <c r="R53" s="14"/>
    </row>
    <row r="54" spans="1:18" ht="15" customHeight="1" x14ac:dyDescent="0.3">
      <c r="A54" s="17" t="s">
        <v>51</v>
      </c>
      <c r="B54" s="17" t="s">
        <v>52</v>
      </c>
      <c r="C54" s="18">
        <v>9.7222222222222224E-2</v>
      </c>
      <c r="D54" s="17" t="s">
        <v>53</v>
      </c>
      <c r="E54" s="17" t="s">
        <v>54</v>
      </c>
      <c r="F54" s="17" t="s">
        <v>102</v>
      </c>
      <c r="G54" s="251"/>
      <c r="H54" s="10"/>
      <c r="I54" s="11"/>
      <c r="J54" s="11"/>
      <c r="K54" s="11"/>
      <c r="L54" s="11"/>
      <c r="M54" s="11"/>
      <c r="N54" s="11"/>
      <c r="O54" s="12"/>
      <c r="P54" s="11"/>
      <c r="Q54" s="13"/>
      <c r="R54" s="14"/>
    </row>
    <row r="55" spans="1:18" ht="15" customHeight="1" x14ac:dyDescent="0.3">
      <c r="A55" s="19" t="s">
        <v>51</v>
      </c>
      <c r="B55" s="19" t="s">
        <v>56</v>
      </c>
      <c r="C55" s="20">
        <v>0.22222222222222221</v>
      </c>
      <c r="D55" s="19" t="s">
        <v>53</v>
      </c>
      <c r="E55" s="19" t="s">
        <v>103</v>
      </c>
      <c r="F55" s="19" t="s">
        <v>61</v>
      </c>
      <c r="G55" s="251"/>
      <c r="H55" s="10"/>
      <c r="I55" s="11"/>
      <c r="J55" s="11"/>
      <c r="K55" s="11"/>
      <c r="L55" s="11"/>
      <c r="M55" s="11"/>
      <c r="N55" s="11"/>
      <c r="O55" s="12"/>
      <c r="P55" s="11"/>
      <c r="Q55" s="13"/>
      <c r="R55" s="14"/>
    </row>
    <row r="56" spans="1:18" ht="15" customHeight="1" x14ac:dyDescent="0.3">
      <c r="A56" s="17" t="s">
        <v>64</v>
      </c>
      <c r="B56" s="17" t="s">
        <v>71</v>
      </c>
      <c r="C56" s="18">
        <v>8.6805555555555566E-2</v>
      </c>
      <c r="D56" s="17" t="s">
        <v>66</v>
      </c>
      <c r="E56" s="17" t="s">
        <v>104</v>
      </c>
      <c r="F56" s="17" t="s">
        <v>105</v>
      </c>
      <c r="G56" s="251"/>
      <c r="H56" s="10"/>
      <c r="I56" s="11"/>
      <c r="J56" s="11"/>
      <c r="K56" s="11"/>
      <c r="L56" s="11"/>
      <c r="M56" s="11"/>
      <c r="N56" s="11"/>
      <c r="O56" s="12"/>
      <c r="P56" s="11"/>
      <c r="Q56" s="13"/>
      <c r="R56" s="14"/>
    </row>
    <row r="57" spans="1:18" ht="15" customHeight="1" x14ac:dyDescent="0.3">
      <c r="A57" s="15" t="s">
        <v>64</v>
      </c>
      <c r="B57" s="15" t="s">
        <v>71</v>
      </c>
      <c r="C57" s="16">
        <v>8.6805555555555566E-2</v>
      </c>
      <c r="D57" s="15" t="s">
        <v>68</v>
      </c>
      <c r="E57" s="15" t="s">
        <v>78</v>
      </c>
      <c r="F57" s="15" t="s">
        <v>106</v>
      </c>
      <c r="G57" s="251"/>
      <c r="H57" s="10"/>
      <c r="I57" s="11"/>
      <c r="J57" s="11"/>
      <c r="K57" s="11"/>
      <c r="L57" s="11"/>
      <c r="M57" s="11"/>
      <c r="N57" s="11"/>
      <c r="O57" s="12"/>
      <c r="P57" s="11"/>
      <c r="Q57" s="13"/>
      <c r="R57" s="14"/>
    </row>
    <row r="58" spans="1:18" ht="15" customHeight="1" x14ac:dyDescent="0.3">
      <c r="A58" s="19" t="s">
        <v>64</v>
      </c>
      <c r="B58" s="19" t="s">
        <v>72</v>
      </c>
      <c r="C58" s="20">
        <v>0.4201388888888889</v>
      </c>
      <c r="D58" s="19" t="s">
        <v>68</v>
      </c>
      <c r="E58" s="19" t="s">
        <v>73</v>
      </c>
      <c r="F58" s="19" t="s">
        <v>74</v>
      </c>
      <c r="G58" s="251"/>
      <c r="H58" s="10"/>
      <c r="I58" s="11"/>
      <c r="J58" s="11"/>
      <c r="K58" s="11"/>
      <c r="L58" s="11"/>
      <c r="M58" s="11"/>
      <c r="N58" s="11"/>
      <c r="O58" s="12"/>
      <c r="P58" s="11"/>
      <c r="Q58" s="13"/>
      <c r="R58" s="14"/>
    </row>
    <row r="59" spans="1:18" ht="15" customHeight="1" x14ac:dyDescent="0.3">
      <c r="A59" s="46" t="s">
        <v>80</v>
      </c>
      <c r="B59" s="46" t="s">
        <v>81</v>
      </c>
      <c r="C59" s="47">
        <v>0.39583333333333331</v>
      </c>
      <c r="D59" s="46" t="s">
        <v>82</v>
      </c>
      <c r="E59" s="48"/>
      <c r="F59" s="46" t="s">
        <v>83</v>
      </c>
      <c r="G59" s="252"/>
      <c r="H59" s="49" t="s">
        <v>81</v>
      </c>
      <c r="I59" s="50">
        <v>1</v>
      </c>
      <c r="J59" s="51">
        <v>179</v>
      </c>
      <c r="K59" s="52" t="s">
        <v>107</v>
      </c>
      <c r="L59" s="51">
        <v>1</v>
      </c>
      <c r="M59" s="51">
        <v>0</v>
      </c>
      <c r="N59" s="51">
        <v>0</v>
      </c>
      <c r="O59" s="53" t="s">
        <v>85</v>
      </c>
      <c r="P59" s="54">
        <v>0.39583333333333331</v>
      </c>
      <c r="Q59" s="51">
        <v>179</v>
      </c>
      <c r="R59" s="55" t="s">
        <v>108</v>
      </c>
    </row>
  </sheetData>
  <mergeCells count="18">
    <mergeCell ref="H43:R43"/>
    <mergeCell ref="G45:G59"/>
    <mergeCell ref="A43:F43"/>
    <mergeCell ref="H4:R4"/>
    <mergeCell ref="A29:F29"/>
    <mergeCell ref="G31:G41"/>
    <mergeCell ref="A42:R42"/>
    <mergeCell ref="H1:L1"/>
    <mergeCell ref="A1:E1"/>
    <mergeCell ref="G2:J2"/>
    <mergeCell ref="K2:R2"/>
    <mergeCell ref="A4:F4"/>
    <mergeCell ref="N1:R1"/>
    <mergeCell ref="A2:F2"/>
    <mergeCell ref="A3:R3"/>
    <mergeCell ref="G6:G27"/>
    <mergeCell ref="A28:R28"/>
    <mergeCell ref="H29:R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8.5546875" style="269" bestFit="1" customWidth="1"/>
    <col min="6" max="6" width="4.21875" style="269" bestFit="1" customWidth="1"/>
    <col min="7" max="7" width="11.5546875"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0" width="3.88671875" style="269" bestFit="1" customWidth="1"/>
    <col min="21" max="21" width="4.5546875" style="269" bestFit="1" customWidth="1"/>
    <col min="22" max="26" width="3.88671875" style="269" bestFit="1" customWidth="1"/>
    <col min="27" max="27" width="4" style="269" bestFit="1" customWidth="1"/>
    <col min="28" max="34" width="3.88671875" style="269" bestFit="1" customWidth="1"/>
    <col min="35" max="35" width="5.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81</v>
      </c>
      <c r="D2" s="273" t="s">
        <v>139</v>
      </c>
      <c r="E2" s="272" t="s">
        <v>1</v>
      </c>
      <c r="F2" s="272" t="s">
        <v>140</v>
      </c>
      <c r="G2" s="274">
        <v>1.0169999999999999</v>
      </c>
      <c r="H2" s="275">
        <v>176</v>
      </c>
      <c r="I2" s="275">
        <v>179</v>
      </c>
      <c r="J2" s="275">
        <v>92</v>
      </c>
      <c r="K2" s="272" t="s">
        <v>141</v>
      </c>
      <c r="L2" s="276" t="s">
        <v>84</v>
      </c>
      <c r="M2" s="275">
        <v>0</v>
      </c>
      <c r="N2" s="275">
        <v>0</v>
      </c>
      <c r="O2" s="275">
        <v>6</v>
      </c>
      <c r="P2" s="272" t="s">
        <v>85</v>
      </c>
      <c r="Q2" s="268"/>
      <c r="R2" s="268"/>
      <c r="S2" s="268"/>
      <c r="T2" s="268"/>
      <c r="U2" s="275" t="s">
        <v>142</v>
      </c>
      <c r="V2" s="268"/>
      <c r="W2" s="268"/>
      <c r="X2" s="275" t="s">
        <v>143</v>
      </c>
      <c r="Y2" s="275" t="s">
        <v>144</v>
      </c>
      <c r="Z2" s="275" t="s">
        <v>145</v>
      </c>
      <c r="AA2" s="275" t="s">
        <v>146</v>
      </c>
      <c r="AB2" s="275" t="s">
        <v>147</v>
      </c>
      <c r="AC2" s="275" t="s">
        <v>148</v>
      </c>
      <c r="AD2" s="275" t="s">
        <v>149</v>
      </c>
      <c r="AE2" s="275" t="s">
        <v>150</v>
      </c>
      <c r="AF2" s="275" t="s">
        <v>151</v>
      </c>
      <c r="AG2" s="268"/>
      <c r="AH2" s="268"/>
      <c r="AI2" s="275" t="s">
        <v>152</v>
      </c>
      <c r="AJ2" s="275" t="s">
        <v>153</v>
      </c>
    </row>
    <row r="3" spans="1:36" x14ac:dyDescent="0.3">
      <c r="A3" s="270" t="s">
        <v>154</v>
      </c>
      <c r="B3" s="271">
        <v>45983</v>
      </c>
      <c r="C3" s="272" t="s">
        <v>81</v>
      </c>
      <c r="D3" s="273" t="s">
        <v>155</v>
      </c>
      <c r="E3" s="272" t="s">
        <v>1</v>
      </c>
      <c r="F3" s="272" t="s">
        <v>140</v>
      </c>
      <c r="G3" s="274">
        <v>1</v>
      </c>
      <c r="H3" s="275">
        <v>179</v>
      </c>
      <c r="I3" s="275">
        <v>179</v>
      </c>
      <c r="J3" s="275">
        <v>130</v>
      </c>
      <c r="K3" s="272" t="s">
        <v>141</v>
      </c>
      <c r="L3" s="276" t="s">
        <v>107</v>
      </c>
      <c r="M3" s="275">
        <v>0</v>
      </c>
      <c r="N3" s="275">
        <v>0</v>
      </c>
      <c r="O3" s="275">
        <v>1</v>
      </c>
      <c r="P3" s="272" t="s">
        <v>85</v>
      </c>
      <c r="Q3" s="268"/>
      <c r="R3" s="268"/>
      <c r="S3" s="268"/>
      <c r="T3" s="268"/>
      <c r="U3" s="275" t="s">
        <v>156</v>
      </c>
      <c r="V3" s="268"/>
      <c r="W3" s="268"/>
      <c r="X3" s="268"/>
      <c r="Y3" s="268"/>
      <c r="Z3" s="268"/>
      <c r="AA3" s="268"/>
      <c r="AB3" s="275" t="s">
        <v>157</v>
      </c>
      <c r="AC3" s="275" t="s">
        <v>158</v>
      </c>
      <c r="AD3" s="275" t="s">
        <v>159</v>
      </c>
      <c r="AE3" s="275" t="s">
        <v>160</v>
      </c>
      <c r="AF3" s="275" t="s">
        <v>161</v>
      </c>
      <c r="AG3" s="268"/>
      <c r="AH3" s="268"/>
      <c r="AI3" s="275" t="s">
        <v>162</v>
      </c>
      <c r="AJ3" s="275" t="s">
        <v>163</v>
      </c>
    </row>
    <row r="4" spans="1:36" ht="21" x14ac:dyDescent="0.3">
      <c r="A4" s="277" t="s">
        <v>913</v>
      </c>
      <c r="B4" s="278"/>
      <c r="C4" s="277">
        <f>SUBTOTAL(103,MED_CAI_LF_LEGACY[Flt])</f>
        <v>2</v>
      </c>
      <c r="D4" s="277"/>
      <c r="E4" s="277">
        <f>SUBTOTAL(103,MED_CAI_LF_LEGACY[Brd-Off])</f>
        <v>2</v>
      </c>
      <c r="F4" s="277"/>
      <c r="G4" s="279">
        <f>SUBTOTAL(101,MED_CAI_LF_LEGACY[LF%])</f>
        <v>1.0085</v>
      </c>
      <c r="H4" s="280">
        <f>SUBTOTAL(109,MED_CAI_LF_LEGACY[CAP])</f>
        <v>355</v>
      </c>
      <c r="I4" s="280">
        <f>SUBTOTAL(109,MED_CAI_LF_LEGACY[BKG(Y)])</f>
        <v>358</v>
      </c>
      <c r="J4" s="280">
        <f>SUBTOTAL(109,MED_CAI_LF_LEGACY[GRP(Y)])</f>
        <v>222</v>
      </c>
      <c r="K4" s="277"/>
      <c r="L4" s="278"/>
      <c r="M4" s="280">
        <f>SUBTOTAL(109,MED_CAI_LF_LEGACY[TO-DAY])</f>
        <v>0</v>
      </c>
      <c r="N4" s="280">
        <f>SUBTOTAL(109,MED_CAI_LF_LEGACY[Y-DAY])</f>
        <v>0</v>
      </c>
      <c r="O4" s="280">
        <f>SUBTOTAL(109,MED_CAI_LF_LEGACY[WEEKLY])</f>
        <v>7</v>
      </c>
      <c r="P4" s="281"/>
      <c r="Q4" s="280">
        <f>SUBTOTAL(109,MED_CAI_LF_LEGACY[Y])</f>
        <v>0</v>
      </c>
      <c r="R4" s="280">
        <f>SUBTOTAL(109,MED_CAI_LF_LEGACY[B])</f>
        <v>0</v>
      </c>
      <c r="S4" s="280">
        <f>SUBTOTAL(109,MED_CAI_LF_LEGACY[M])</f>
        <v>0</v>
      </c>
      <c r="T4" s="280">
        <f>SUBTOTAL(109,MED_CAI_LF_LEGACY[H])</f>
        <v>0</v>
      </c>
      <c r="U4" s="280">
        <f>SUBTOTAL(109,MED_CAI_LF_LEGACY[Q])</f>
        <v>0</v>
      </c>
      <c r="V4" s="280">
        <f>SUBTOTAL(109,MED_CAI_LF_LEGACY[K])</f>
        <v>0</v>
      </c>
      <c r="W4" s="280">
        <f>SUBTOTAL(109,MED_CAI_LF_LEGACY[V])</f>
        <v>0</v>
      </c>
      <c r="X4" s="280">
        <f>SUBTOTAL(109,MED_CAI_LF_LEGACY[L])</f>
        <v>0</v>
      </c>
      <c r="Y4" s="280">
        <f>SUBTOTAL(109,MED_CAI_LF_LEGACY[G])</f>
        <v>0</v>
      </c>
      <c r="Z4" s="280">
        <f>SUBTOTAL(109,MED_CAI_LF_LEGACY[S])</f>
        <v>0</v>
      </c>
      <c r="AA4" s="280">
        <f>SUBTOTAL(109,MED_CAI_LF_LEGACY[W])</f>
        <v>0</v>
      </c>
      <c r="AB4" s="280">
        <f>SUBTOTAL(109,MED_CAI_LF_LEGACY[T])</f>
        <v>0</v>
      </c>
      <c r="AC4" s="280">
        <f>SUBTOTAL(109,MED_CAI_LF_LEGACY[X])</f>
        <v>0</v>
      </c>
      <c r="AD4" s="280">
        <f>SUBTOTAL(109,MED_CAI_LF_LEGACY[U])</f>
        <v>0</v>
      </c>
      <c r="AE4" s="280">
        <f>SUBTOTAL(109,MED_CAI_LF_LEGACY[O])</f>
        <v>0</v>
      </c>
      <c r="AF4" s="280">
        <f>SUBTOTAL(109,MED_CAI_LF_LEGACY[I])</f>
        <v>0</v>
      </c>
      <c r="AG4" s="280">
        <f>SUBTOTAL(109,MED_CAI_LF_LEGACY[E])</f>
        <v>0</v>
      </c>
      <c r="AH4" s="280">
        <f>SUBTOTAL(109,MED_CAI_LF_LEGACY[A])</f>
        <v>0</v>
      </c>
      <c r="AI4" s="280">
        <f>SUBTOTAL(109,MED_CAI_LF_LEGACY[P])</f>
        <v>0</v>
      </c>
      <c r="AJ4" s="280">
        <f>SUBTOTAL(103,MED_CAI_LF_LEGACY[N])</f>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441406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26</v>
      </c>
      <c r="C2" s="62" t="s">
        <v>27</v>
      </c>
      <c r="D2" s="61" t="s">
        <v>1</v>
      </c>
      <c r="E2" s="61" t="s">
        <v>167</v>
      </c>
      <c r="F2" s="61" t="s">
        <v>28</v>
      </c>
      <c r="G2" s="63">
        <v>12</v>
      </c>
      <c r="H2" s="64">
        <v>559</v>
      </c>
    </row>
    <row r="3" spans="1:8" ht="19.8" customHeight="1" x14ac:dyDescent="0.3">
      <c r="A3" s="60" t="s">
        <v>166</v>
      </c>
      <c r="B3" s="61" t="s">
        <v>36</v>
      </c>
      <c r="C3" s="62" t="s">
        <v>37</v>
      </c>
      <c r="D3" s="61" t="s">
        <v>1</v>
      </c>
      <c r="E3" s="61" t="s">
        <v>168</v>
      </c>
      <c r="F3" s="61" t="s">
        <v>38</v>
      </c>
      <c r="G3" s="63">
        <v>6</v>
      </c>
      <c r="H3" s="64">
        <v>609</v>
      </c>
    </row>
    <row r="4" spans="1:8" ht="19.8" customHeight="1" x14ac:dyDescent="0.3">
      <c r="A4" s="60" t="s">
        <v>166</v>
      </c>
      <c r="B4" s="61" t="s">
        <v>36</v>
      </c>
      <c r="C4" s="62" t="s">
        <v>45</v>
      </c>
      <c r="D4" s="61" t="s">
        <v>1</v>
      </c>
      <c r="E4" s="61" t="s">
        <v>169</v>
      </c>
      <c r="F4" s="61" t="s">
        <v>38</v>
      </c>
      <c r="G4" s="63">
        <v>9</v>
      </c>
      <c r="H4" s="64">
        <v>689</v>
      </c>
    </row>
    <row r="5" spans="1:8" ht="19.8" customHeight="1" x14ac:dyDescent="0.3">
      <c r="A5" s="60" t="s">
        <v>166</v>
      </c>
      <c r="B5" s="61" t="s">
        <v>26</v>
      </c>
      <c r="C5" s="62" t="s">
        <v>27</v>
      </c>
      <c r="D5" s="61" t="s">
        <v>1</v>
      </c>
      <c r="E5" s="61" t="s">
        <v>167</v>
      </c>
      <c r="F5" s="61" t="s">
        <v>31</v>
      </c>
      <c r="G5" s="63">
        <v>12</v>
      </c>
      <c r="H5" s="64">
        <v>709</v>
      </c>
    </row>
    <row r="6" spans="1:8" ht="19.8" customHeight="1" x14ac:dyDescent="0.3">
      <c r="A6" s="60" t="s">
        <v>166</v>
      </c>
      <c r="B6" s="61" t="s">
        <v>36</v>
      </c>
      <c r="C6" s="62" t="s">
        <v>37</v>
      </c>
      <c r="D6" s="61" t="s">
        <v>1</v>
      </c>
      <c r="E6" s="61" t="s">
        <v>168</v>
      </c>
      <c r="F6" s="61" t="s">
        <v>41</v>
      </c>
      <c r="G6" s="63">
        <v>6</v>
      </c>
      <c r="H6" s="64">
        <v>709</v>
      </c>
    </row>
    <row r="7" spans="1:8" ht="19.8" customHeight="1" x14ac:dyDescent="0.3">
      <c r="A7" s="60" t="s">
        <v>166</v>
      </c>
      <c r="B7" s="61" t="s">
        <v>36</v>
      </c>
      <c r="C7" s="62" t="s">
        <v>45</v>
      </c>
      <c r="D7" s="61" t="s">
        <v>1</v>
      </c>
      <c r="E7" s="61" t="s">
        <v>169</v>
      </c>
      <c r="F7" s="61" t="s">
        <v>41</v>
      </c>
      <c r="G7" s="63">
        <v>9</v>
      </c>
      <c r="H7" s="64">
        <v>789</v>
      </c>
    </row>
    <row r="8" spans="1:8" ht="19.8" customHeight="1" x14ac:dyDescent="0.3">
      <c r="A8" s="60" t="s">
        <v>166</v>
      </c>
      <c r="B8" s="61" t="s">
        <v>36</v>
      </c>
      <c r="C8" s="62" t="s">
        <v>37</v>
      </c>
      <c r="D8" s="61" t="s">
        <v>1</v>
      </c>
      <c r="E8" s="61" t="s">
        <v>168</v>
      </c>
      <c r="F8" s="61" t="s">
        <v>43</v>
      </c>
      <c r="G8" s="63">
        <v>6</v>
      </c>
      <c r="H8" s="64">
        <v>799</v>
      </c>
    </row>
    <row r="9" spans="1:8" ht="19.8" customHeight="1" x14ac:dyDescent="0.3">
      <c r="A9" s="60" t="s">
        <v>166</v>
      </c>
      <c r="B9" s="61" t="s">
        <v>36</v>
      </c>
      <c r="C9" s="62" t="s">
        <v>45</v>
      </c>
      <c r="D9" s="61" t="s">
        <v>1</v>
      </c>
      <c r="E9" s="61" t="s">
        <v>169</v>
      </c>
      <c r="F9" s="61" t="s">
        <v>43</v>
      </c>
      <c r="G9" s="63">
        <v>9</v>
      </c>
      <c r="H9" s="64">
        <v>879</v>
      </c>
    </row>
    <row r="10" spans="1:8" ht="19.8" customHeight="1" x14ac:dyDescent="0.3">
      <c r="A10" s="60" t="s">
        <v>166</v>
      </c>
      <c r="B10" s="61" t="s">
        <v>51</v>
      </c>
      <c r="C10" s="62" t="s">
        <v>52</v>
      </c>
      <c r="D10" s="61" t="s">
        <v>1</v>
      </c>
      <c r="E10" s="61" t="s">
        <v>170</v>
      </c>
      <c r="F10" s="61" t="s">
        <v>53</v>
      </c>
      <c r="G10" s="63">
        <v>9</v>
      </c>
      <c r="H10" s="64">
        <v>902</v>
      </c>
    </row>
    <row r="11" spans="1:8" ht="19.8" customHeight="1" x14ac:dyDescent="0.3">
      <c r="A11" s="60" t="s">
        <v>166</v>
      </c>
      <c r="B11" s="61" t="s">
        <v>51</v>
      </c>
      <c r="C11" s="62" t="s">
        <v>56</v>
      </c>
      <c r="D11" s="61" t="s">
        <v>1</v>
      </c>
      <c r="E11" s="61" t="s">
        <v>171</v>
      </c>
      <c r="F11" s="61" t="s">
        <v>53</v>
      </c>
      <c r="G11" s="63">
        <v>9</v>
      </c>
      <c r="H11" s="64">
        <v>902</v>
      </c>
    </row>
    <row r="12" spans="1:8" ht="19.8" customHeight="1" x14ac:dyDescent="0.3">
      <c r="A12" s="60" t="s">
        <v>166</v>
      </c>
      <c r="B12" s="61" t="s">
        <v>51</v>
      </c>
      <c r="C12" s="62" t="s">
        <v>58</v>
      </c>
      <c r="D12" s="61" t="s">
        <v>1</v>
      </c>
      <c r="E12" s="61" t="s">
        <v>172</v>
      </c>
      <c r="F12" s="61" t="s">
        <v>53</v>
      </c>
      <c r="G12" s="63">
        <v>9</v>
      </c>
      <c r="H12" s="64">
        <v>902</v>
      </c>
    </row>
    <row r="13" spans="1:8" ht="19.8" customHeight="1" x14ac:dyDescent="0.3">
      <c r="A13" s="60" t="s">
        <v>166</v>
      </c>
      <c r="B13" s="61" t="s">
        <v>26</v>
      </c>
      <c r="C13" s="62" t="s">
        <v>27</v>
      </c>
      <c r="D13" s="61" t="s">
        <v>1</v>
      </c>
      <c r="E13" s="61" t="s">
        <v>167</v>
      </c>
      <c r="F13" s="61" t="s">
        <v>34</v>
      </c>
      <c r="G13" s="63">
        <v>12</v>
      </c>
      <c r="H13" s="65" t="s">
        <v>35</v>
      </c>
    </row>
    <row r="14" spans="1:8" ht="19.8" customHeight="1" x14ac:dyDescent="0.3">
      <c r="A14" s="60" t="s">
        <v>166</v>
      </c>
      <c r="B14" s="61" t="s">
        <v>51</v>
      </c>
      <c r="C14" s="62" t="s">
        <v>59</v>
      </c>
      <c r="D14" s="61" t="s">
        <v>1</v>
      </c>
      <c r="E14" s="61" t="s">
        <v>173</v>
      </c>
      <c r="F14" s="61" t="s">
        <v>53</v>
      </c>
      <c r="G14" s="63">
        <v>6</v>
      </c>
      <c r="H14" s="65" t="s">
        <v>61</v>
      </c>
    </row>
    <row r="15" spans="1:8" ht="19.8" customHeight="1" x14ac:dyDescent="0.3">
      <c r="A15" s="60" t="s">
        <v>166</v>
      </c>
      <c r="B15" s="61" t="s">
        <v>64</v>
      </c>
      <c r="C15" s="62" t="s">
        <v>65</v>
      </c>
      <c r="D15" s="61" t="s">
        <v>1</v>
      </c>
      <c r="E15" s="61" t="s">
        <v>174</v>
      </c>
      <c r="F15" s="61" t="s">
        <v>66</v>
      </c>
      <c r="G15" s="63">
        <v>9</v>
      </c>
      <c r="H15" s="65" t="s">
        <v>67</v>
      </c>
    </row>
    <row r="16" spans="1:8" ht="19.8" customHeight="1" x14ac:dyDescent="0.3">
      <c r="A16" s="60" t="s">
        <v>166</v>
      </c>
      <c r="B16" s="61" t="s">
        <v>64</v>
      </c>
      <c r="C16" s="62" t="s">
        <v>71</v>
      </c>
      <c r="D16" s="61" t="s">
        <v>1</v>
      </c>
      <c r="E16" s="61" t="s">
        <v>175</v>
      </c>
      <c r="F16" s="61" t="s">
        <v>66</v>
      </c>
      <c r="G16" s="63">
        <v>9</v>
      </c>
      <c r="H16" s="65" t="s">
        <v>67</v>
      </c>
    </row>
    <row r="17" spans="1:8" ht="19.8" customHeight="1" x14ac:dyDescent="0.3">
      <c r="A17" s="60" t="s">
        <v>166</v>
      </c>
      <c r="B17" s="61" t="s">
        <v>64</v>
      </c>
      <c r="C17" s="62" t="s">
        <v>72</v>
      </c>
      <c r="D17" s="61" t="s">
        <v>1</v>
      </c>
      <c r="E17" s="61" t="s">
        <v>167</v>
      </c>
      <c r="F17" s="61" t="s">
        <v>68</v>
      </c>
      <c r="G17" s="63">
        <v>4</v>
      </c>
      <c r="H17" s="65" t="s">
        <v>74</v>
      </c>
    </row>
    <row r="18" spans="1:8" ht="19.8" customHeight="1" x14ac:dyDescent="0.3">
      <c r="A18" s="60" t="s">
        <v>166</v>
      </c>
      <c r="B18" s="61" t="s">
        <v>64</v>
      </c>
      <c r="C18" s="62" t="s">
        <v>65</v>
      </c>
      <c r="D18" s="61" t="s">
        <v>1</v>
      </c>
      <c r="E18" s="61" t="s">
        <v>174</v>
      </c>
      <c r="F18" s="61" t="s">
        <v>68</v>
      </c>
      <c r="G18" s="63">
        <v>9</v>
      </c>
      <c r="H18" s="65" t="s">
        <v>70</v>
      </c>
    </row>
    <row r="19" spans="1:8" ht="19.8" customHeight="1" x14ac:dyDescent="0.3">
      <c r="A19" s="60" t="s">
        <v>166</v>
      </c>
      <c r="B19" s="61" t="s">
        <v>64</v>
      </c>
      <c r="C19" s="62" t="s">
        <v>71</v>
      </c>
      <c r="D19" s="61" t="s">
        <v>1</v>
      </c>
      <c r="E19" s="61" t="s">
        <v>175</v>
      </c>
      <c r="F19" s="61" t="s">
        <v>68</v>
      </c>
      <c r="G19" s="63">
        <v>9</v>
      </c>
      <c r="H19" s="65" t="s">
        <v>70</v>
      </c>
    </row>
    <row r="20" spans="1:8" ht="19.8" customHeight="1" x14ac:dyDescent="0.3">
      <c r="A20" s="60" t="s">
        <v>166</v>
      </c>
      <c r="B20" s="61" t="s">
        <v>51</v>
      </c>
      <c r="C20" s="62" t="s">
        <v>62</v>
      </c>
      <c r="D20" s="61" t="s">
        <v>1</v>
      </c>
      <c r="E20" s="61" t="s">
        <v>176</v>
      </c>
      <c r="F20" s="61" t="s">
        <v>53</v>
      </c>
      <c r="G20" s="63">
        <v>9</v>
      </c>
      <c r="H20" s="65" t="s">
        <v>63</v>
      </c>
    </row>
    <row r="21" spans="1:8" ht="19.8" customHeight="1" x14ac:dyDescent="0.3">
      <c r="A21" s="60" t="s">
        <v>166</v>
      </c>
      <c r="B21" s="61" t="s">
        <v>64</v>
      </c>
      <c r="C21" s="62" t="s">
        <v>75</v>
      </c>
      <c r="D21" s="61" t="s">
        <v>1</v>
      </c>
      <c r="E21" s="61" t="s">
        <v>177</v>
      </c>
      <c r="F21" s="61" t="s">
        <v>66</v>
      </c>
      <c r="G21" s="63">
        <v>1</v>
      </c>
      <c r="H21" s="65" t="s">
        <v>77</v>
      </c>
    </row>
    <row r="22" spans="1:8" ht="19.8" customHeight="1" x14ac:dyDescent="0.3">
      <c r="A22" s="60" t="s">
        <v>166</v>
      </c>
      <c r="B22" s="61" t="s">
        <v>64</v>
      </c>
      <c r="C22" s="62" t="s">
        <v>75</v>
      </c>
      <c r="D22" s="61" t="s">
        <v>1</v>
      </c>
      <c r="E22" s="61" t="s">
        <v>177</v>
      </c>
      <c r="F22" s="61" t="s">
        <v>68</v>
      </c>
      <c r="G22" s="63">
        <v>1</v>
      </c>
      <c r="H22" s="65" t="s">
        <v>79</v>
      </c>
    </row>
    <row r="23" spans="1:8" ht="19.8" customHeight="1" x14ac:dyDescent="0.3">
      <c r="A23" s="66" t="s">
        <v>166</v>
      </c>
      <c r="B23" s="67" t="s">
        <v>80</v>
      </c>
      <c r="C23" s="68" t="s">
        <v>81</v>
      </c>
      <c r="D23" s="67" t="s">
        <v>1</v>
      </c>
      <c r="E23" s="67" t="s">
        <v>139</v>
      </c>
      <c r="F23" s="67" t="s">
        <v>82</v>
      </c>
      <c r="G23" s="67"/>
      <c r="H23" s="69" t="s">
        <v>83</v>
      </c>
    </row>
    <row r="24" spans="1:8" ht="19.8" customHeight="1" x14ac:dyDescent="0.3">
      <c r="A24" s="70">
        <v>45982</v>
      </c>
      <c r="B24" s="61" t="s">
        <v>51</v>
      </c>
      <c r="C24" s="62" t="s">
        <v>52</v>
      </c>
      <c r="D24" s="61" t="s">
        <v>1</v>
      </c>
      <c r="E24" s="71">
        <v>1.0972222222222221</v>
      </c>
      <c r="F24" s="61" t="s">
        <v>53</v>
      </c>
      <c r="G24" s="63">
        <v>9</v>
      </c>
      <c r="H24" s="65" t="s">
        <v>87</v>
      </c>
    </row>
    <row r="25" spans="1:8" ht="19.8" customHeight="1" x14ac:dyDescent="0.3">
      <c r="A25" s="70">
        <v>45982</v>
      </c>
      <c r="B25" s="61" t="s">
        <v>51</v>
      </c>
      <c r="C25" s="62" t="s">
        <v>56</v>
      </c>
      <c r="D25" s="61" t="s">
        <v>1</v>
      </c>
      <c r="E25" s="71">
        <v>1.2222222222222221</v>
      </c>
      <c r="F25" s="61" t="s">
        <v>53</v>
      </c>
      <c r="G25" s="63">
        <v>9</v>
      </c>
      <c r="H25" s="65" t="s">
        <v>87</v>
      </c>
    </row>
    <row r="26" spans="1:8" ht="19.8" customHeight="1" x14ac:dyDescent="0.3">
      <c r="A26" s="70">
        <v>45982</v>
      </c>
      <c r="B26" s="61" t="s">
        <v>51</v>
      </c>
      <c r="C26" s="62" t="s">
        <v>58</v>
      </c>
      <c r="D26" s="61" t="s">
        <v>1</v>
      </c>
      <c r="E26" s="71">
        <v>1.444444444444444</v>
      </c>
      <c r="F26" s="61" t="s">
        <v>53</v>
      </c>
      <c r="G26" s="63">
        <v>9</v>
      </c>
      <c r="H26" s="65" t="s">
        <v>87</v>
      </c>
    </row>
    <row r="27" spans="1:8" ht="19.8" customHeight="1" x14ac:dyDescent="0.3">
      <c r="A27" s="70">
        <v>45982</v>
      </c>
      <c r="B27" s="61" t="s">
        <v>51</v>
      </c>
      <c r="C27" s="62" t="s">
        <v>62</v>
      </c>
      <c r="D27" s="61" t="s">
        <v>1</v>
      </c>
      <c r="E27" s="71">
        <v>1.493055555555556</v>
      </c>
      <c r="F27" s="61" t="s">
        <v>53</v>
      </c>
      <c r="G27" s="63">
        <v>9</v>
      </c>
      <c r="H27" s="65" t="s">
        <v>87</v>
      </c>
    </row>
    <row r="28" spans="1:8" ht="19.8" customHeight="1" x14ac:dyDescent="0.3">
      <c r="A28" s="70">
        <v>45982</v>
      </c>
      <c r="B28" s="61" t="s">
        <v>64</v>
      </c>
      <c r="C28" s="62" t="s">
        <v>72</v>
      </c>
      <c r="D28" s="61" t="s">
        <v>1</v>
      </c>
      <c r="E28" s="71">
        <v>1.4201388888888891</v>
      </c>
      <c r="F28" s="61" t="s">
        <v>68</v>
      </c>
      <c r="G28" s="63">
        <v>4</v>
      </c>
      <c r="H28" s="65" t="s">
        <v>74</v>
      </c>
    </row>
    <row r="29" spans="1:8" ht="19.8" customHeight="1" x14ac:dyDescent="0.3">
      <c r="A29" s="70">
        <v>45982</v>
      </c>
      <c r="B29" s="61" t="s">
        <v>64</v>
      </c>
      <c r="C29" s="62" t="s">
        <v>75</v>
      </c>
      <c r="D29" s="61" t="s">
        <v>1</v>
      </c>
      <c r="E29" s="71">
        <v>1.7951388888888891</v>
      </c>
      <c r="F29" s="61" t="s">
        <v>66</v>
      </c>
      <c r="G29" s="63">
        <v>7</v>
      </c>
      <c r="H29" s="65" t="s">
        <v>90</v>
      </c>
    </row>
    <row r="30" spans="1:8" ht="19.8" customHeight="1" x14ac:dyDescent="0.3">
      <c r="A30" s="70">
        <v>45982</v>
      </c>
      <c r="B30" s="61" t="s">
        <v>64</v>
      </c>
      <c r="C30" s="62" t="s">
        <v>71</v>
      </c>
      <c r="D30" s="61" t="s">
        <v>1</v>
      </c>
      <c r="E30" s="71">
        <v>1.086805555555556</v>
      </c>
      <c r="F30" s="61" t="s">
        <v>66</v>
      </c>
      <c r="G30" s="63">
        <v>6</v>
      </c>
      <c r="H30" s="65" t="s">
        <v>90</v>
      </c>
    </row>
    <row r="31" spans="1:8" ht="19.8" customHeight="1" x14ac:dyDescent="0.3">
      <c r="A31" s="70">
        <v>45982</v>
      </c>
      <c r="B31" s="61" t="s">
        <v>64</v>
      </c>
      <c r="C31" s="62" t="s">
        <v>75</v>
      </c>
      <c r="D31" s="61" t="s">
        <v>1</v>
      </c>
      <c r="E31" s="71">
        <v>1.7951388888888891</v>
      </c>
      <c r="F31" s="61" t="s">
        <v>68</v>
      </c>
      <c r="G31" s="63">
        <v>7</v>
      </c>
      <c r="H31" s="65" t="s">
        <v>92</v>
      </c>
    </row>
    <row r="32" spans="1:8" ht="19.8" customHeight="1" x14ac:dyDescent="0.3">
      <c r="A32" s="70">
        <v>45982</v>
      </c>
      <c r="B32" s="61" t="s">
        <v>64</v>
      </c>
      <c r="C32" s="62" t="s">
        <v>71</v>
      </c>
      <c r="D32" s="61" t="s">
        <v>1</v>
      </c>
      <c r="E32" s="71">
        <v>1.086805555555556</v>
      </c>
      <c r="F32" s="61" t="s">
        <v>68</v>
      </c>
      <c r="G32" s="63">
        <v>6</v>
      </c>
      <c r="H32" s="65" t="s">
        <v>92</v>
      </c>
    </row>
    <row r="33" spans="1:8" ht="19.8" customHeight="1" x14ac:dyDescent="0.3">
      <c r="A33" s="70">
        <v>45982</v>
      </c>
      <c r="B33" s="61" t="s">
        <v>64</v>
      </c>
      <c r="C33" s="62" t="s">
        <v>65</v>
      </c>
      <c r="D33" s="61" t="s">
        <v>1</v>
      </c>
      <c r="E33" s="71">
        <v>1.604166666666667</v>
      </c>
      <c r="F33" s="61" t="s">
        <v>66</v>
      </c>
      <c r="G33" s="63">
        <v>4</v>
      </c>
      <c r="H33" s="65" t="s">
        <v>77</v>
      </c>
    </row>
    <row r="34" spans="1:8" ht="19.8" customHeight="1" x14ac:dyDescent="0.3">
      <c r="A34" s="72">
        <v>45982</v>
      </c>
      <c r="B34" s="73" t="s">
        <v>64</v>
      </c>
      <c r="C34" s="74" t="s">
        <v>65</v>
      </c>
      <c r="D34" s="73" t="s">
        <v>1</v>
      </c>
      <c r="E34" s="75">
        <v>1.604166666666667</v>
      </c>
      <c r="F34" s="73" t="s">
        <v>68</v>
      </c>
      <c r="G34" s="76">
        <v>4</v>
      </c>
      <c r="H34" s="77" t="s">
        <v>79</v>
      </c>
    </row>
    <row r="35" spans="1:8" ht="19.8" customHeight="1" x14ac:dyDescent="0.3">
      <c r="A35" s="70">
        <v>45983</v>
      </c>
      <c r="B35" s="61" t="s">
        <v>36</v>
      </c>
      <c r="C35" s="62" t="s">
        <v>37</v>
      </c>
      <c r="D35" s="61" t="s">
        <v>1</v>
      </c>
      <c r="E35" s="71">
        <v>1.354166666666667</v>
      </c>
      <c r="F35" s="61" t="s">
        <v>38</v>
      </c>
      <c r="G35" s="63">
        <v>2</v>
      </c>
      <c r="H35" s="64">
        <v>609</v>
      </c>
    </row>
    <row r="36" spans="1:8" ht="19.8" customHeight="1" x14ac:dyDescent="0.3">
      <c r="A36" s="70">
        <v>45983</v>
      </c>
      <c r="B36" s="61" t="s">
        <v>36</v>
      </c>
      <c r="C36" s="62" t="s">
        <v>45</v>
      </c>
      <c r="D36" s="61" t="s">
        <v>1</v>
      </c>
      <c r="E36" s="71">
        <v>1.756944444444444</v>
      </c>
      <c r="F36" s="61" t="s">
        <v>38</v>
      </c>
      <c r="G36" s="63">
        <v>3</v>
      </c>
      <c r="H36" s="64">
        <v>609</v>
      </c>
    </row>
    <row r="37" spans="1:8" ht="19.8" customHeight="1" x14ac:dyDescent="0.3">
      <c r="A37" s="70">
        <v>45983</v>
      </c>
      <c r="B37" s="61" t="s">
        <v>26</v>
      </c>
      <c r="C37" s="62" t="s">
        <v>27</v>
      </c>
      <c r="D37" s="61" t="s">
        <v>1</v>
      </c>
      <c r="E37" s="71">
        <v>1.4201388888888891</v>
      </c>
      <c r="F37" s="61" t="s">
        <v>28</v>
      </c>
      <c r="G37" s="63">
        <v>8</v>
      </c>
      <c r="H37" s="64">
        <v>619</v>
      </c>
    </row>
    <row r="38" spans="1:8" ht="19.8" customHeight="1" x14ac:dyDescent="0.3">
      <c r="A38" s="70">
        <v>45983</v>
      </c>
      <c r="B38" s="61" t="s">
        <v>36</v>
      </c>
      <c r="C38" s="62" t="s">
        <v>37</v>
      </c>
      <c r="D38" s="61" t="s">
        <v>1</v>
      </c>
      <c r="E38" s="71">
        <v>1.354166666666667</v>
      </c>
      <c r="F38" s="61" t="s">
        <v>41</v>
      </c>
      <c r="G38" s="63">
        <v>2</v>
      </c>
      <c r="H38" s="64">
        <v>709</v>
      </c>
    </row>
    <row r="39" spans="1:8" ht="19.8" customHeight="1" x14ac:dyDescent="0.3">
      <c r="A39" s="70">
        <v>45983</v>
      </c>
      <c r="B39" s="61" t="s">
        <v>36</v>
      </c>
      <c r="C39" s="62" t="s">
        <v>45</v>
      </c>
      <c r="D39" s="61" t="s">
        <v>1</v>
      </c>
      <c r="E39" s="71">
        <v>1.756944444444444</v>
      </c>
      <c r="F39" s="61" t="s">
        <v>41</v>
      </c>
      <c r="G39" s="63">
        <v>3</v>
      </c>
      <c r="H39" s="64">
        <v>709</v>
      </c>
    </row>
    <row r="40" spans="1:8" ht="19.8" customHeight="1" x14ac:dyDescent="0.3">
      <c r="A40" s="70">
        <v>45983</v>
      </c>
      <c r="B40" s="61" t="s">
        <v>26</v>
      </c>
      <c r="C40" s="62" t="s">
        <v>27</v>
      </c>
      <c r="D40" s="61" t="s">
        <v>1</v>
      </c>
      <c r="E40" s="71">
        <v>1.4201388888888891</v>
      </c>
      <c r="F40" s="61" t="s">
        <v>31</v>
      </c>
      <c r="G40" s="63">
        <v>8</v>
      </c>
      <c r="H40" s="64">
        <v>769</v>
      </c>
    </row>
    <row r="41" spans="1:8" ht="19.8" customHeight="1" x14ac:dyDescent="0.3">
      <c r="A41" s="70">
        <v>45983</v>
      </c>
      <c r="B41" s="61" t="s">
        <v>36</v>
      </c>
      <c r="C41" s="62" t="s">
        <v>37</v>
      </c>
      <c r="D41" s="61" t="s">
        <v>1</v>
      </c>
      <c r="E41" s="71">
        <v>1.354166666666667</v>
      </c>
      <c r="F41" s="61" t="s">
        <v>43</v>
      </c>
      <c r="G41" s="63">
        <v>2</v>
      </c>
      <c r="H41" s="64">
        <v>799</v>
      </c>
    </row>
    <row r="42" spans="1:8" ht="19.8" customHeight="1" x14ac:dyDescent="0.3">
      <c r="A42" s="70">
        <v>45983</v>
      </c>
      <c r="B42" s="61" t="s">
        <v>36</v>
      </c>
      <c r="C42" s="62" t="s">
        <v>45</v>
      </c>
      <c r="D42" s="61" t="s">
        <v>1</v>
      </c>
      <c r="E42" s="71">
        <v>1.756944444444444</v>
      </c>
      <c r="F42" s="61" t="s">
        <v>43</v>
      </c>
      <c r="G42" s="63">
        <v>3</v>
      </c>
      <c r="H42" s="64">
        <v>799</v>
      </c>
    </row>
    <row r="43" spans="1:8" ht="19.8" customHeight="1" x14ac:dyDescent="0.3">
      <c r="A43" s="70">
        <v>45983</v>
      </c>
      <c r="B43" s="61" t="s">
        <v>51</v>
      </c>
      <c r="C43" s="62" t="s">
        <v>52</v>
      </c>
      <c r="D43" s="61" t="s">
        <v>1</v>
      </c>
      <c r="E43" s="71">
        <v>1.0972222222222221</v>
      </c>
      <c r="F43" s="61" t="s">
        <v>53</v>
      </c>
      <c r="G43" s="63">
        <v>9</v>
      </c>
      <c r="H43" s="65" t="s">
        <v>102</v>
      </c>
    </row>
    <row r="44" spans="1:8" ht="19.8" customHeight="1" x14ac:dyDescent="0.3">
      <c r="A44" s="70">
        <v>45983</v>
      </c>
      <c r="B44" s="61" t="s">
        <v>26</v>
      </c>
      <c r="C44" s="62" t="s">
        <v>27</v>
      </c>
      <c r="D44" s="61" t="s">
        <v>1</v>
      </c>
      <c r="E44" s="71">
        <v>1.4201388888888891</v>
      </c>
      <c r="F44" s="61" t="s">
        <v>34</v>
      </c>
      <c r="G44" s="63">
        <v>8</v>
      </c>
      <c r="H44" s="65" t="s">
        <v>35</v>
      </c>
    </row>
    <row r="45" spans="1:8" ht="19.8" customHeight="1" x14ac:dyDescent="0.3">
      <c r="A45" s="70">
        <v>45983</v>
      </c>
      <c r="B45" s="61" t="s">
        <v>51</v>
      </c>
      <c r="C45" s="62" t="s">
        <v>56</v>
      </c>
      <c r="D45" s="61" t="s">
        <v>1</v>
      </c>
      <c r="E45" s="71">
        <v>1.2222222222222221</v>
      </c>
      <c r="F45" s="61" t="s">
        <v>53</v>
      </c>
      <c r="G45" s="63">
        <v>2</v>
      </c>
      <c r="H45" s="65" t="s">
        <v>61</v>
      </c>
    </row>
    <row r="46" spans="1:8" ht="19.8" customHeight="1" x14ac:dyDescent="0.3">
      <c r="A46" s="70">
        <v>45983</v>
      </c>
      <c r="B46" s="61" t="s">
        <v>64</v>
      </c>
      <c r="C46" s="62" t="s">
        <v>71</v>
      </c>
      <c r="D46" s="61" t="s">
        <v>1</v>
      </c>
      <c r="E46" s="71">
        <v>1.086805555555556</v>
      </c>
      <c r="F46" s="61" t="s">
        <v>66</v>
      </c>
      <c r="G46" s="63">
        <v>1</v>
      </c>
      <c r="H46" s="65" t="s">
        <v>105</v>
      </c>
    </row>
    <row r="47" spans="1:8" ht="19.8" customHeight="1" x14ac:dyDescent="0.3">
      <c r="A47" s="70">
        <v>45983</v>
      </c>
      <c r="B47" s="61" t="s">
        <v>64</v>
      </c>
      <c r="C47" s="62" t="s">
        <v>71</v>
      </c>
      <c r="D47" s="61" t="s">
        <v>1</v>
      </c>
      <c r="E47" s="71">
        <v>1.086805555555556</v>
      </c>
      <c r="F47" s="61" t="s">
        <v>68</v>
      </c>
      <c r="G47" s="63">
        <v>1</v>
      </c>
      <c r="H47" s="65" t="s">
        <v>106</v>
      </c>
    </row>
    <row r="48" spans="1:8" ht="19.8" customHeight="1" x14ac:dyDescent="0.3">
      <c r="A48" s="70">
        <v>45983</v>
      </c>
      <c r="B48" s="61" t="s">
        <v>64</v>
      </c>
      <c r="C48" s="62" t="s">
        <v>72</v>
      </c>
      <c r="D48" s="61" t="s">
        <v>1</v>
      </c>
      <c r="E48" s="71">
        <v>1.4201388888888891</v>
      </c>
      <c r="F48" s="61" t="s">
        <v>68</v>
      </c>
      <c r="G48" s="63">
        <v>4</v>
      </c>
      <c r="H48" s="65" t="s">
        <v>74</v>
      </c>
    </row>
    <row r="49" spans="1:8" ht="19.8" customHeight="1" x14ac:dyDescent="0.3">
      <c r="A49" s="78">
        <v>45983</v>
      </c>
      <c r="B49" s="67" t="s">
        <v>80</v>
      </c>
      <c r="C49" s="68" t="s">
        <v>81</v>
      </c>
      <c r="D49" s="67" t="s">
        <v>1</v>
      </c>
      <c r="E49" s="79">
        <v>1.395833333333333</v>
      </c>
      <c r="F49" s="67" t="s">
        <v>82</v>
      </c>
      <c r="G49" s="67"/>
      <c r="H49" s="69" t="s">
        <v>83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204.441406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6" t="s">
        <v>166</v>
      </c>
      <c r="B2" s="67" t="s">
        <v>80</v>
      </c>
      <c r="C2" s="68" t="s">
        <v>81</v>
      </c>
      <c r="D2" s="67" t="s">
        <v>1</v>
      </c>
      <c r="E2" s="67" t="s">
        <v>139</v>
      </c>
      <c r="F2" s="67" t="s">
        <v>82</v>
      </c>
      <c r="G2" s="67"/>
      <c r="H2" s="69" t="s">
        <v>83</v>
      </c>
    </row>
    <row r="3" spans="1:8" ht="19.8" customHeight="1" x14ac:dyDescent="0.3">
      <c r="A3" s="70">
        <v>45982</v>
      </c>
      <c r="B3" s="61" t="s">
        <v>51</v>
      </c>
      <c r="C3" s="62" t="s">
        <v>52</v>
      </c>
      <c r="D3" s="61" t="s">
        <v>1</v>
      </c>
      <c r="E3" s="71">
        <v>1.0972222222222221</v>
      </c>
      <c r="F3" s="61" t="s">
        <v>53</v>
      </c>
      <c r="G3" s="63">
        <v>9</v>
      </c>
      <c r="H3" s="65" t="s">
        <v>87</v>
      </c>
    </row>
    <row r="4" spans="1:8" ht="19.8" customHeight="1" x14ac:dyDescent="0.3">
      <c r="A4" s="70">
        <v>45982</v>
      </c>
      <c r="B4" s="61" t="s">
        <v>51</v>
      </c>
      <c r="C4" s="62" t="s">
        <v>56</v>
      </c>
      <c r="D4" s="61" t="s">
        <v>1</v>
      </c>
      <c r="E4" s="71">
        <v>1.2222222222222221</v>
      </c>
      <c r="F4" s="61" t="s">
        <v>53</v>
      </c>
      <c r="G4" s="63">
        <v>9</v>
      </c>
      <c r="H4" s="65" t="s">
        <v>87</v>
      </c>
    </row>
    <row r="5" spans="1:8" ht="19.8" customHeight="1" x14ac:dyDescent="0.3">
      <c r="A5" s="70">
        <v>45982</v>
      </c>
      <c r="B5" s="61" t="s">
        <v>51</v>
      </c>
      <c r="C5" s="62" t="s">
        <v>58</v>
      </c>
      <c r="D5" s="61" t="s">
        <v>1</v>
      </c>
      <c r="E5" s="71">
        <v>1.444444444444444</v>
      </c>
      <c r="F5" s="61" t="s">
        <v>53</v>
      </c>
      <c r="G5" s="63">
        <v>9</v>
      </c>
      <c r="H5" s="65" t="s">
        <v>87</v>
      </c>
    </row>
    <row r="6" spans="1:8" ht="19.8" customHeight="1" x14ac:dyDescent="0.3">
      <c r="A6" s="70">
        <v>45982</v>
      </c>
      <c r="B6" s="61" t="s">
        <v>51</v>
      </c>
      <c r="C6" s="62" t="s">
        <v>62</v>
      </c>
      <c r="D6" s="61" t="s">
        <v>1</v>
      </c>
      <c r="E6" s="71">
        <v>1.493055555555556</v>
      </c>
      <c r="F6" s="61" t="s">
        <v>53</v>
      </c>
      <c r="G6" s="63">
        <v>9</v>
      </c>
      <c r="H6" s="65" t="s">
        <v>87</v>
      </c>
    </row>
    <row r="7" spans="1:8" ht="19.8" customHeight="1" x14ac:dyDescent="0.3">
      <c r="A7" s="70">
        <v>45982</v>
      </c>
      <c r="B7" s="61" t="s">
        <v>64</v>
      </c>
      <c r="C7" s="62" t="s">
        <v>72</v>
      </c>
      <c r="D7" s="61" t="s">
        <v>1</v>
      </c>
      <c r="E7" s="71">
        <v>1.4201388888888891</v>
      </c>
      <c r="F7" s="61" t="s">
        <v>68</v>
      </c>
      <c r="G7" s="63">
        <v>4</v>
      </c>
      <c r="H7" s="65" t="s">
        <v>74</v>
      </c>
    </row>
    <row r="8" spans="1:8" ht="19.8" customHeight="1" x14ac:dyDescent="0.3">
      <c r="A8" s="70">
        <v>45982</v>
      </c>
      <c r="B8" s="61" t="s">
        <v>64</v>
      </c>
      <c r="C8" s="62" t="s">
        <v>75</v>
      </c>
      <c r="D8" s="61" t="s">
        <v>1</v>
      </c>
      <c r="E8" s="71">
        <v>1.7951388888888891</v>
      </c>
      <c r="F8" s="61" t="s">
        <v>66</v>
      </c>
      <c r="G8" s="63">
        <v>7</v>
      </c>
      <c r="H8" s="65" t="s">
        <v>90</v>
      </c>
    </row>
    <row r="9" spans="1:8" ht="19.8" customHeight="1" x14ac:dyDescent="0.3">
      <c r="A9" s="70">
        <v>45982</v>
      </c>
      <c r="B9" s="61" t="s">
        <v>64</v>
      </c>
      <c r="C9" s="62" t="s">
        <v>71</v>
      </c>
      <c r="D9" s="61" t="s">
        <v>1</v>
      </c>
      <c r="E9" s="71">
        <v>1.086805555555556</v>
      </c>
      <c r="F9" s="61" t="s">
        <v>66</v>
      </c>
      <c r="G9" s="63">
        <v>6</v>
      </c>
      <c r="H9" s="65" t="s">
        <v>90</v>
      </c>
    </row>
    <row r="10" spans="1:8" ht="19.8" customHeight="1" x14ac:dyDescent="0.3">
      <c r="A10" s="70">
        <v>45982</v>
      </c>
      <c r="B10" s="61" t="s">
        <v>64</v>
      </c>
      <c r="C10" s="62" t="s">
        <v>75</v>
      </c>
      <c r="D10" s="61" t="s">
        <v>1</v>
      </c>
      <c r="E10" s="71">
        <v>1.7951388888888891</v>
      </c>
      <c r="F10" s="61" t="s">
        <v>68</v>
      </c>
      <c r="G10" s="63">
        <v>7</v>
      </c>
      <c r="H10" s="65" t="s">
        <v>92</v>
      </c>
    </row>
    <row r="11" spans="1:8" ht="19.8" customHeight="1" x14ac:dyDescent="0.3">
      <c r="A11" s="70">
        <v>45982</v>
      </c>
      <c r="B11" s="61" t="s">
        <v>64</v>
      </c>
      <c r="C11" s="62" t="s">
        <v>71</v>
      </c>
      <c r="D11" s="61" t="s">
        <v>1</v>
      </c>
      <c r="E11" s="71">
        <v>1.086805555555556</v>
      </c>
      <c r="F11" s="61" t="s">
        <v>68</v>
      </c>
      <c r="G11" s="63">
        <v>6</v>
      </c>
      <c r="H11" s="65" t="s">
        <v>92</v>
      </c>
    </row>
    <row r="12" spans="1:8" ht="19.8" customHeight="1" x14ac:dyDescent="0.3">
      <c r="A12" s="70">
        <v>45982</v>
      </c>
      <c r="B12" s="61" t="s">
        <v>64</v>
      </c>
      <c r="C12" s="62" t="s">
        <v>65</v>
      </c>
      <c r="D12" s="61" t="s">
        <v>1</v>
      </c>
      <c r="E12" s="71">
        <v>1.604166666666667</v>
      </c>
      <c r="F12" s="61" t="s">
        <v>66</v>
      </c>
      <c r="G12" s="63">
        <v>4</v>
      </c>
      <c r="H12" s="65" t="s">
        <v>77</v>
      </c>
    </row>
    <row r="13" spans="1:8" ht="19.8" customHeight="1" x14ac:dyDescent="0.3">
      <c r="A13" s="72">
        <v>45982</v>
      </c>
      <c r="B13" s="73" t="s">
        <v>64</v>
      </c>
      <c r="C13" s="74" t="s">
        <v>65</v>
      </c>
      <c r="D13" s="73" t="s">
        <v>1</v>
      </c>
      <c r="E13" s="75">
        <v>1.604166666666667</v>
      </c>
      <c r="F13" s="73" t="s">
        <v>68</v>
      </c>
      <c r="G13" s="76">
        <v>4</v>
      </c>
      <c r="H13" s="77" t="s">
        <v>79</v>
      </c>
    </row>
    <row r="14" spans="1:8" ht="19.8" customHeight="1" x14ac:dyDescent="0.3">
      <c r="A14" s="78">
        <v>45983</v>
      </c>
      <c r="B14" s="67" t="s">
        <v>80</v>
      </c>
      <c r="C14" s="68" t="s">
        <v>81</v>
      </c>
      <c r="D14" s="67" t="s">
        <v>1</v>
      </c>
      <c r="E14" s="79">
        <v>1.395833333333333</v>
      </c>
      <c r="F14" s="67" t="s">
        <v>82</v>
      </c>
      <c r="G14" s="67"/>
      <c r="H14" s="69" t="s">
        <v>83</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0"/>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33203125" bestFit="1" customWidth="1"/>
  </cols>
  <sheetData>
    <row r="1" spans="1:92" ht="28.8" customHeight="1" x14ac:dyDescent="0.3">
      <c r="A1" s="257" t="s">
        <v>0</v>
      </c>
      <c r="B1" s="248"/>
      <c r="C1" s="248"/>
      <c r="D1" s="248"/>
      <c r="E1" s="248"/>
      <c r="F1" s="1" t="s">
        <v>178</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45980.430530530299</v>
      </c>
      <c r="H2" s="248"/>
      <c r="I2" s="248"/>
      <c r="J2" s="248"/>
      <c r="K2" s="259">
        <v>45980.430530530633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51</v>
      </c>
      <c r="B6" s="8" t="s">
        <v>179</v>
      </c>
      <c r="C6" s="9">
        <v>0.52083333333333337</v>
      </c>
      <c r="D6" s="8" t="s">
        <v>53</v>
      </c>
      <c r="E6" s="8" t="s">
        <v>54</v>
      </c>
      <c r="F6" s="8" t="s">
        <v>180</v>
      </c>
      <c r="G6" s="250"/>
      <c r="H6" s="10"/>
      <c r="I6" s="11"/>
      <c r="J6" s="11"/>
      <c r="K6" s="11"/>
      <c r="L6" s="11"/>
      <c r="M6" s="11"/>
      <c r="N6" s="11"/>
      <c r="O6" s="12"/>
      <c r="P6" s="11"/>
      <c r="Q6" s="13"/>
      <c r="R6" s="14"/>
    </row>
    <row r="7" spans="1:92" ht="15" customHeight="1" x14ac:dyDescent="0.3">
      <c r="A7" s="80" t="s">
        <v>80</v>
      </c>
      <c r="B7" s="80" t="s">
        <v>181</v>
      </c>
      <c r="C7" s="81">
        <v>0.64583333333333337</v>
      </c>
      <c r="D7" s="80" t="s">
        <v>182</v>
      </c>
      <c r="E7" s="80" t="s">
        <v>183</v>
      </c>
      <c r="F7" s="80" t="s">
        <v>184</v>
      </c>
      <c r="G7" s="251"/>
      <c r="H7" s="82" t="s">
        <v>185</v>
      </c>
      <c r="I7" s="83">
        <v>0.93300000000000005</v>
      </c>
      <c r="J7" s="84">
        <v>167</v>
      </c>
      <c r="K7" s="85" t="s">
        <v>186</v>
      </c>
      <c r="L7" s="84">
        <v>12</v>
      </c>
      <c r="M7" s="84">
        <v>0</v>
      </c>
      <c r="N7" s="84">
        <v>1</v>
      </c>
      <c r="O7" s="86" t="s">
        <v>187</v>
      </c>
      <c r="P7" s="87">
        <v>0.64583333333333337</v>
      </c>
      <c r="Q7" s="84">
        <v>179</v>
      </c>
      <c r="R7" s="88" t="s">
        <v>188</v>
      </c>
    </row>
    <row r="8" spans="1:92" ht="18" x14ac:dyDescent="0.3">
      <c r="A8" s="264" t="s">
        <v>189</v>
      </c>
      <c r="B8" s="265"/>
      <c r="C8" s="265"/>
      <c r="D8" s="265"/>
      <c r="E8" s="265"/>
      <c r="F8" s="266"/>
      <c r="G8" s="251"/>
      <c r="H8" s="89"/>
      <c r="I8" s="89"/>
      <c r="J8" s="89"/>
      <c r="K8" s="89"/>
      <c r="L8" s="89"/>
      <c r="M8" s="89"/>
      <c r="N8" s="89"/>
      <c r="O8" s="90"/>
      <c r="P8" s="89"/>
      <c r="Q8" s="56"/>
      <c r="R8" s="56"/>
    </row>
    <row r="9" spans="1:92" ht="15" customHeight="1" x14ac:dyDescent="0.3">
      <c r="A9" s="19" t="s">
        <v>26</v>
      </c>
      <c r="B9" s="19" t="s">
        <v>27</v>
      </c>
      <c r="C9" s="20" t="s">
        <v>167</v>
      </c>
      <c r="D9" s="19" t="s">
        <v>28</v>
      </c>
      <c r="E9" s="19" t="s">
        <v>190</v>
      </c>
      <c r="F9" s="19" t="s">
        <v>30</v>
      </c>
      <c r="G9" s="251"/>
      <c r="H9" s="89"/>
      <c r="I9" s="89"/>
      <c r="J9" s="89"/>
      <c r="K9" s="89"/>
      <c r="L9" s="89"/>
      <c r="M9" s="89"/>
      <c r="N9" s="89"/>
      <c r="O9" s="90"/>
      <c r="P9" s="89"/>
      <c r="Q9" s="56"/>
      <c r="R9" s="56"/>
    </row>
    <row r="10" spans="1:92" ht="15" customHeight="1" x14ac:dyDescent="0.3">
      <c r="A10" s="19" t="s">
        <v>36</v>
      </c>
      <c r="B10" s="19" t="s">
        <v>37</v>
      </c>
      <c r="C10" s="20" t="s">
        <v>168</v>
      </c>
      <c r="D10" s="19" t="s">
        <v>38</v>
      </c>
      <c r="E10" s="19" t="s">
        <v>191</v>
      </c>
      <c r="F10" s="19" t="s">
        <v>40</v>
      </c>
      <c r="G10" s="251"/>
      <c r="H10" s="89"/>
      <c r="I10" s="89"/>
      <c r="J10" s="89"/>
      <c r="K10" s="89"/>
      <c r="L10" s="89"/>
      <c r="M10" s="89"/>
      <c r="N10" s="89"/>
      <c r="O10" s="90"/>
      <c r="P10" s="89"/>
      <c r="Q10" s="56"/>
      <c r="R10" s="56"/>
    </row>
    <row r="11" spans="1:92" ht="15" customHeight="1" x14ac:dyDescent="0.3">
      <c r="A11" s="19" t="s">
        <v>36</v>
      </c>
      <c r="B11" s="19" t="s">
        <v>45</v>
      </c>
      <c r="C11" s="20" t="s">
        <v>169</v>
      </c>
      <c r="D11" s="19" t="s">
        <v>38</v>
      </c>
      <c r="E11" s="19" t="s">
        <v>192</v>
      </c>
      <c r="F11" s="19" t="s">
        <v>47</v>
      </c>
      <c r="G11" s="251"/>
      <c r="H11" s="89"/>
      <c r="I11" s="89"/>
      <c r="J11" s="89"/>
      <c r="K11" s="89"/>
      <c r="L11" s="89"/>
      <c r="M11" s="89"/>
      <c r="N11" s="89"/>
      <c r="O11" s="90"/>
      <c r="P11" s="89"/>
      <c r="Q11" s="56"/>
      <c r="R11" s="56"/>
    </row>
    <row r="12" spans="1:92" ht="15" customHeight="1" x14ac:dyDescent="0.3">
      <c r="A12" s="19" t="s">
        <v>26</v>
      </c>
      <c r="B12" s="19" t="s">
        <v>27</v>
      </c>
      <c r="C12" s="20" t="s">
        <v>167</v>
      </c>
      <c r="D12" s="19" t="s">
        <v>31</v>
      </c>
      <c r="E12" s="19" t="s">
        <v>190</v>
      </c>
      <c r="F12" s="19" t="s">
        <v>33</v>
      </c>
      <c r="G12" s="251"/>
      <c r="H12" s="89"/>
      <c r="I12" s="89"/>
      <c r="J12" s="89"/>
      <c r="K12" s="89"/>
      <c r="L12" s="89"/>
      <c r="M12" s="89"/>
      <c r="N12" s="89"/>
      <c r="O12" s="90"/>
      <c r="P12" s="89"/>
      <c r="Q12" s="56"/>
      <c r="R12" s="56"/>
    </row>
    <row r="13" spans="1:92" ht="15" customHeight="1" x14ac:dyDescent="0.3">
      <c r="A13" s="19" t="s">
        <v>36</v>
      </c>
      <c r="B13" s="19" t="s">
        <v>37</v>
      </c>
      <c r="C13" s="20" t="s">
        <v>168</v>
      </c>
      <c r="D13" s="19" t="s">
        <v>41</v>
      </c>
      <c r="E13" s="19" t="s">
        <v>191</v>
      </c>
      <c r="F13" s="19" t="s">
        <v>33</v>
      </c>
      <c r="G13" s="251"/>
      <c r="H13" s="89"/>
      <c r="I13" s="89"/>
      <c r="J13" s="89"/>
      <c r="K13" s="89"/>
      <c r="L13" s="89"/>
      <c r="M13" s="89"/>
      <c r="N13" s="89"/>
      <c r="O13" s="90"/>
      <c r="P13" s="89"/>
      <c r="Q13" s="56"/>
      <c r="R13" s="56"/>
    </row>
    <row r="14" spans="1:92" ht="15" customHeight="1" x14ac:dyDescent="0.3">
      <c r="A14" s="19" t="s">
        <v>36</v>
      </c>
      <c r="B14" s="19" t="s">
        <v>45</v>
      </c>
      <c r="C14" s="20" t="s">
        <v>169</v>
      </c>
      <c r="D14" s="19" t="s">
        <v>41</v>
      </c>
      <c r="E14" s="19" t="s">
        <v>192</v>
      </c>
      <c r="F14" s="19" t="s">
        <v>49</v>
      </c>
      <c r="G14" s="251"/>
      <c r="H14" s="89"/>
      <c r="I14" s="89"/>
      <c r="J14" s="89"/>
      <c r="K14" s="89"/>
      <c r="L14" s="89"/>
      <c r="M14" s="89"/>
      <c r="N14" s="89"/>
      <c r="O14" s="90"/>
      <c r="P14" s="89"/>
      <c r="Q14" s="56"/>
      <c r="R14" s="56"/>
    </row>
    <row r="15" spans="1:92" ht="15" customHeight="1" x14ac:dyDescent="0.3">
      <c r="A15" s="19" t="s">
        <v>36</v>
      </c>
      <c r="B15" s="19" t="s">
        <v>37</v>
      </c>
      <c r="C15" s="20" t="s">
        <v>168</v>
      </c>
      <c r="D15" s="19" t="s">
        <v>43</v>
      </c>
      <c r="E15" s="19" t="s">
        <v>191</v>
      </c>
      <c r="F15" s="19" t="s">
        <v>44</v>
      </c>
      <c r="G15" s="251"/>
      <c r="H15" s="89"/>
      <c r="I15" s="89"/>
      <c r="J15" s="89"/>
      <c r="K15" s="89"/>
      <c r="L15" s="89"/>
      <c r="M15" s="89"/>
      <c r="N15" s="89"/>
      <c r="O15" s="90"/>
      <c r="P15" s="89"/>
      <c r="Q15" s="56"/>
      <c r="R15" s="56"/>
    </row>
    <row r="16" spans="1:92" ht="15" customHeight="1" x14ac:dyDescent="0.3">
      <c r="A16" s="19" t="s">
        <v>36</v>
      </c>
      <c r="B16" s="19" t="s">
        <v>45</v>
      </c>
      <c r="C16" s="20" t="s">
        <v>169</v>
      </c>
      <c r="D16" s="19" t="s">
        <v>43</v>
      </c>
      <c r="E16" s="19" t="s">
        <v>192</v>
      </c>
      <c r="F16" s="19" t="s">
        <v>50</v>
      </c>
      <c r="G16" s="251"/>
      <c r="H16" s="89"/>
      <c r="I16" s="89"/>
      <c r="J16" s="89"/>
      <c r="K16" s="89"/>
      <c r="L16" s="89"/>
      <c r="M16" s="89"/>
      <c r="N16" s="89"/>
      <c r="O16" s="90"/>
      <c r="P16" s="89"/>
      <c r="Q16" s="56"/>
      <c r="R16" s="56"/>
    </row>
    <row r="17" spans="1:18" ht="15" customHeight="1" x14ac:dyDescent="0.3">
      <c r="A17" s="19" t="s">
        <v>51</v>
      </c>
      <c r="B17" s="19" t="s">
        <v>52</v>
      </c>
      <c r="C17" s="20" t="s">
        <v>170</v>
      </c>
      <c r="D17" s="19" t="s">
        <v>53</v>
      </c>
      <c r="E17" s="19" t="s">
        <v>193</v>
      </c>
      <c r="F17" s="19" t="s">
        <v>55</v>
      </c>
      <c r="G17" s="251"/>
      <c r="H17" s="89"/>
      <c r="I17" s="89"/>
      <c r="J17" s="89"/>
      <c r="K17" s="89"/>
      <c r="L17" s="89"/>
      <c r="M17" s="89"/>
      <c r="N17" s="89"/>
      <c r="O17" s="90"/>
      <c r="P17" s="89"/>
      <c r="Q17" s="56"/>
      <c r="R17" s="56"/>
    </row>
    <row r="18" spans="1:18" ht="15" customHeight="1" thickBot="1" x14ac:dyDescent="0.35">
      <c r="A18" s="91" t="s">
        <v>51</v>
      </c>
      <c r="B18" s="91" t="s">
        <v>56</v>
      </c>
      <c r="C18" s="92" t="s">
        <v>171</v>
      </c>
      <c r="D18" s="91" t="s">
        <v>53</v>
      </c>
      <c r="E18" s="91" t="s">
        <v>193</v>
      </c>
      <c r="F18" s="91" t="s">
        <v>55</v>
      </c>
      <c r="G18" s="252"/>
      <c r="H18" s="93"/>
      <c r="I18" s="93"/>
      <c r="J18" s="93"/>
      <c r="K18" s="93"/>
      <c r="L18" s="93"/>
      <c r="M18" s="93"/>
      <c r="N18" s="93"/>
      <c r="O18" s="94"/>
      <c r="P18" s="93"/>
      <c r="Q18" s="95"/>
      <c r="R18" s="95"/>
    </row>
    <row r="19" spans="1:18" ht="17.399999999999999" customHeight="1" thickBot="1" x14ac:dyDescent="0.35">
      <c r="A19" s="282"/>
      <c r="B19" s="283"/>
      <c r="C19" s="283"/>
      <c r="D19" s="283"/>
      <c r="E19" s="283"/>
      <c r="F19" s="283"/>
      <c r="G19" s="283"/>
      <c r="H19" s="283"/>
      <c r="I19" s="283"/>
      <c r="J19" s="283"/>
      <c r="K19" s="283"/>
      <c r="L19" s="283"/>
      <c r="M19" s="283"/>
      <c r="N19" s="283"/>
      <c r="O19" s="283"/>
      <c r="P19" s="283"/>
      <c r="Q19" s="283"/>
      <c r="R19" s="284"/>
    </row>
    <row r="20" spans="1:18" ht="15" thickTop="1" x14ac:dyDescent="0.3"/>
  </sheetData>
  <mergeCells count="12">
    <mergeCell ref="H1:L1"/>
    <mergeCell ref="A1:E1"/>
    <mergeCell ref="G2:J2"/>
    <mergeCell ref="K2:R2"/>
    <mergeCell ref="A4:F4"/>
    <mergeCell ref="H4:R4"/>
    <mergeCell ref="N1:R1"/>
    <mergeCell ref="A2:F2"/>
    <mergeCell ref="A3:R3"/>
    <mergeCell ref="A19:R19"/>
    <mergeCell ref="A8:F8"/>
    <mergeCell ref="G6:G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9.1093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3" width="3.88671875" style="269" bestFit="1" customWidth="1"/>
    <col min="24" max="24" width="4.109375" style="269" bestFit="1" customWidth="1"/>
    <col min="25" max="30" width="3.88671875" style="269" bestFit="1" customWidth="1"/>
    <col min="31" max="31" width="4.5546875" style="269" bestFit="1" customWidth="1"/>
    <col min="32" max="34" width="3.88671875" style="269" bestFit="1" customWidth="1"/>
    <col min="35" max="35" width="5.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185</v>
      </c>
      <c r="D2" s="273" t="s">
        <v>194</v>
      </c>
      <c r="E2" s="272" t="s">
        <v>178</v>
      </c>
      <c r="F2" s="272" t="s">
        <v>140</v>
      </c>
      <c r="G2" s="274">
        <v>0.93300000000000005</v>
      </c>
      <c r="H2" s="275">
        <v>179</v>
      </c>
      <c r="I2" s="275">
        <v>167</v>
      </c>
      <c r="J2" s="275">
        <v>110</v>
      </c>
      <c r="K2" s="272" t="s">
        <v>141</v>
      </c>
      <c r="L2" s="276" t="s">
        <v>186</v>
      </c>
      <c r="M2" s="275">
        <v>0</v>
      </c>
      <c r="N2" s="275">
        <v>1</v>
      </c>
      <c r="O2" s="275">
        <v>12</v>
      </c>
      <c r="P2" s="272" t="s">
        <v>187</v>
      </c>
      <c r="Q2" s="268"/>
      <c r="R2" s="268"/>
      <c r="S2" s="268"/>
      <c r="T2" s="268"/>
      <c r="U2" s="268"/>
      <c r="V2" s="275" t="s">
        <v>195</v>
      </c>
      <c r="W2" s="275" t="s">
        <v>196</v>
      </c>
      <c r="X2" s="275" t="s">
        <v>197</v>
      </c>
      <c r="Y2" s="275" t="s">
        <v>198</v>
      </c>
      <c r="Z2" s="275" t="s">
        <v>199</v>
      </c>
      <c r="AA2" s="268"/>
      <c r="AB2" s="268"/>
      <c r="AC2" s="275" t="s">
        <v>200</v>
      </c>
      <c r="AD2" s="275" t="s">
        <v>159</v>
      </c>
      <c r="AE2" s="275" t="s">
        <v>201</v>
      </c>
      <c r="AF2" s="275" t="s">
        <v>202</v>
      </c>
      <c r="AG2" s="268"/>
      <c r="AH2" s="268"/>
      <c r="AI2" s="275" t="s">
        <v>203</v>
      </c>
      <c r="AJ2" s="268"/>
    </row>
    <row r="3" spans="1:36" ht="21" x14ac:dyDescent="0.3">
      <c r="A3" s="277" t="s">
        <v>913</v>
      </c>
      <c r="B3" s="278"/>
      <c r="C3" s="277">
        <f>SUBTOTAL(103,MED_HBE_LF_LEGACY[Flt])</f>
        <v>1</v>
      </c>
      <c r="D3" s="277"/>
      <c r="E3" s="277">
        <f>SUBTOTAL(103,MED_HBE_LF_LEGACY[Brd-Off])</f>
        <v>1</v>
      </c>
      <c r="F3" s="277"/>
      <c r="G3" s="279">
        <f>SUBTOTAL(101,MED_HBE_LF_LEGACY[LF%])</f>
        <v>0.93300000000000005</v>
      </c>
      <c r="H3" s="280">
        <f>SUBTOTAL(109,MED_HBE_LF_LEGACY[CAP])</f>
        <v>179</v>
      </c>
      <c r="I3" s="280">
        <f>SUBTOTAL(109,MED_HBE_LF_LEGACY[BKG(Y)])</f>
        <v>167</v>
      </c>
      <c r="J3" s="280">
        <f>SUBTOTAL(109,MED_HBE_LF_LEGACY[GRP(Y)])</f>
        <v>110</v>
      </c>
      <c r="K3" s="277"/>
      <c r="L3" s="278"/>
      <c r="M3" s="280">
        <f>SUBTOTAL(109,MED_HBE_LF_LEGACY[TO-DAY])</f>
        <v>0</v>
      </c>
      <c r="N3" s="280">
        <f>SUBTOTAL(109,MED_HBE_LF_LEGACY[Y-DAY])</f>
        <v>1</v>
      </c>
      <c r="O3" s="280">
        <f>SUBTOTAL(109,MED_HBE_LF_LEGACY[WEEKLY])</f>
        <v>12</v>
      </c>
      <c r="P3" s="281"/>
      <c r="Q3" s="280">
        <f>SUBTOTAL(109,MED_HBE_LF_LEGACY[Y])</f>
        <v>0</v>
      </c>
      <c r="R3" s="280">
        <f>SUBTOTAL(109,MED_HBE_LF_LEGACY[B])</f>
        <v>0</v>
      </c>
      <c r="S3" s="280">
        <f>SUBTOTAL(109,MED_HBE_LF_LEGACY[M])</f>
        <v>0</v>
      </c>
      <c r="T3" s="280">
        <f>SUBTOTAL(109,MED_HBE_LF_LEGACY[H])</f>
        <v>0</v>
      </c>
      <c r="U3" s="280">
        <f>SUBTOTAL(109,MED_HBE_LF_LEGACY[Q])</f>
        <v>0</v>
      </c>
      <c r="V3" s="280">
        <f>SUBTOTAL(109,MED_HBE_LF_LEGACY[K])</f>
        <v>0</v>
      </c>
      <c r="W3" s="280">
        <f>SUBTOTAL(109,MED_HBE_LF_LEGACY[V])</f>
        <v>0</v>
      </c>
      <c r="X3" s="280">
        <f>SUBTOTAL(109,MED_HBE_LF_LEGACY[L])</f>
        <v>0</v>
      </c>
      <c r="Y3" s="280">
        <f>SUBTOTAL(109,MED_HBE_LF_LEGACY[G])</f>
        <v>0</v>
      </c>
      <c r="Z3" s="280">
        <f>SUBTOTAL(109,MED_HBE_LF_LEGACY[S])</f>
        <v>0</v>
      </c>
      <c r="AA3" s="280">
        <f>SUBTOTAL(109,MED_HBE_LF_LEGACY[W])</f>
        <v>0</v>
      </c>
      <c r="AB3" s="280">
        <f>SUBTOTAL(109,MED_HBE_LF_LEGACY[T])</f>
        <v>0</v>
      </c>
      <c r="AC3" s="280">
        <f>SUBTOTAL(109,MED_HBE_LF_LEGACY[X])</f>
        <v>0</v>
      </c>
      <c r="AD3" s="280">
        <f>SUBTOTAL(109,MED_HBE_LF_LEGACY[U])</f>
        <v>0</v>
      </c>
      <c r="AE3" s="280">
        <f>SUBTOTAL(109,MED_HBE_LF_LEGACY[O])</f>
        <v>0</v>
      </c>
      <c r="AF3" s="280">
        <f>SUBTOTAL(109,MED_HBE_LF_LEGACY[I])</f>
        <v>0</v>
      </c>
      <c r="AG3" s="280">
        <f>SUBTOTAL(109,MED_HBE_LF_LEGACY[E])</f>
        <v>0</v>
      </c>
      <c r="AH3" s="280">
        <f>SUBTOTAL(109,MED_HBE_LF_LEGACY[A])</f>
        <v>0</v>
      </c>
      <c r="AI3" s="280">
        <f>SUBTOTAL(109,MED_HBE_LF_LEGACY[P])</f>
        <v>0</v>
      </c>
      <c r="AJ3" s="280">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1.109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51</v>
      </c>
      <c r="C2" s="62" t="s">
        <v>179</v>
      </c>
      <c r="D2" s="61" t="s">
        <v>178</v>
      </c>
      <c r="E2" s="61" t="s">
        <v>204</v>
      </c>
      <c r="F2" s="61" t="s">
        <v>53</v>
      </c>
      <c r="G2" s="63">
        <v>9</v>
      </c>
      <c r="H2" s="64">
        <v>923</v>
      </c>
    </row>
    <row r="3" spans="1:8" ht="19.8" customHeight="1" x14ac:dyDescent="0.3">
      <c r="A3" s="96" t="s">
        <v>166</v>
      </c>
      <c r="B3" s="97" t="s">
        <v>80</v>
      </c>
      <c r="C3" s="98" t="s">
        <v>181</v>
      </c>
      <c r="D3" s="97" t="s">
        <v>178</v>
      </c>
      <c r="E3" s="97" t="s">
        <v>194</v>
      </c>
      <c r="F3" s="97" t="s">
        <v>182</v>
      </c>
      <c r="G3" s="99">
        <v>3</v>
      </c>
      <c r="H3" s="100">
        <v>992</v>
      </c>
    </row>
    <row r="4" spans="1:8" ht="19.8" customHeight="1" x14ac:dyDescent="0.3">
      <c r="A4" s="101"/>
      <c r="B4" s="102"/>
      <c r="C4" s="102"/>
      <c r="D4" s="102"/>
      <c r="E4" s="102"/>
      <c r="F4" s="103" t="s">
        <v>205</v>
      </c>
      <c r="G4" s="102"/>
      <c r="H4" s="104"/>
    </row>
    <row r="5" spans="1:8" ht="19.8" customHeight="1" x14ac:dyDescent="0.3">
      <c r="A5" s="70">
        <v>45981</v>
      </c>
      <c r="B5" s="61" t="s">
        <v>26</v>
      </c>
      <c r="C5" s="62" t="s">
        <v>27</v>
      </c>
      <c r="D5" s="61" t="s">
        <v>1</v>
      </c>
      <c r="E5" s="71">
        <v>1.4201388888888891</v>
      </c>
      <c r="F5" s="61" t="s">
        <v>28</v>
      </c>
      <c r="G5" s="63">
        <v>12</v>
      </c>
      <c r="H5" s="64">
        <v>559</v>
      </c>
    </row>
    <row r="6" spans="1:8" ht="19.8" customHeight="1" x14ac:dyDescent="0.3">
      <c r="A6" s="70">
        <v>45981</v>
      </c>
      <c r="B6" s="61" t="s">
        <v>36</v>
      </c>
      <c r="C6" s="62" t="s">
        <v>37</v>
      </c>
      <c r="D6" s="61" t="s">
        <v>1</v>
      </c>
      <c r="E6" s="71">
        <v>1.354166666666667</v>
      </c>
      <c r="F6" s="61" t="s">
        <v>38</v>
      </c>
      <c r="G6" s="63">
        <v>6</v>
      </c>
      <c r="H6" s="64">
        <v>609</v>
      </c>
    </row>
    <row r="7" spans="1:8" ht="19.8" customHeight="1" x14ac:dyDescent="0.3">
      <c r="A7" s="70">
        <v>45981</v>
      </c>
      <c r="B7" s="61" t="s">
        <v>36</v>
      </c>
      <c r="C7" s="62" t="s">
        <v>45</v>
      </c>
      <c r="D7" s="61" t="s">
        <v>1</v>
      </c>
      <c r="E7" s="71">
        <v>1.756944444444444</v>
      </c>
      <c r="F7" s="61" t="s">
        <v>38</v>
      </c>
      <c r="G7" s="63">
        <v>9</v>
      </c>
      <c r="H7" s="64">
        <v>689</v>
      </c>
    </row>
    <row r="8" spans="1:8" ht="19.8" customHeight="1" x14ac:dyDescent="0.3">
      <c r="A8" s="70">
        <v>45981</v>
      </c>
      <c r="B8" s="61" t="s">
        <v>26</v>
      </c>
      <c r="C8" s="62" t="s">
        <v>27</v>
      </c>
      <c r="D8" s="61" t="s">
        <v>1</v>
      </c>
      <c r="E8" s="71">
        <v>1.4201388888888891</v>
      </c>
      <c r="F8" s="61" t="s">
        <v>31</v>
      </c>
      <c r="G8" s="63">
        <v>12</v>
      </c>
      <c r="H8" s="64">
        <v>709</v>
      </c>
    </row>
    <row r="9" spans="1:8" ht="19.8" customHeight="1" x14ac:dyDescent="0.3">
      <c r="A9" s="70">
        <v>45981</v>
      </c>
      <c r="B9" s="61" t="s">
        <v>36</v>
      </c>
      <c r="C9" s="62" t="s">
        <v>37</v>
      </c>
      <c r="D9" s="61" t="s">
        <v>1</v>
      </c>
      <c r="E9" s="71">
        <v>1.354166666666667</v>
      </c>
      <c r="F9" s="61" t="s">
        <v>41</v>
      </c>
      <c r="G9" s="63">
        <v>6</v>
      </c>
      <c r="H9" s="64">
        <v>709</v>
      </c>
    </row>
    <row r="10" spans="1:8" ht="19.8" customHeight="1" x14ac:dyDescent="0.3">
      <c r="A10" s="70">
        <v>45981</v>
      </c>
      <c r="B10" s="61" t="s">
        <v>36</v>
      </c>
      <c r="C10" s="62" t="s">
        <v>45</v>
      </c>
      <c r="D10" s="61" t="s">
        <v>1</v>
      </c>
      <c r="E10" s="71">
        <v>1.756944444444444</v>
      </c>
      <c r="F10" s="61" t="s">
        <v>41</v>
      </c>
      <c r="G10" s="63">
        <v>9</v>
      </c>
      <c r="H10" s="64">
        <v>789</v>
      </c>
    </row>
    <row r="11" spans="1:8" ht="19.8" customHeight="1" x14ac:dyDescent="0.3">
      <c r="A11" s="70">
        <v>45981</v>
      </c>
      <c r="B11" s="61" t="s">
        <v>36</v>
      </c>
      <c r="C11" s="62" t="s">
        <v>37</v>
      </c>
      <c r="D11" s="61" t="s">
        <v>1</v>
      </c>
      <c r="E11" s="71">
        <v>1.354166666666667</v>
      </c>
      <c r="F11" s="61" t="s">
        <v>43</v>
      </c>
      <c r="G11" s="63">
        <v>6</v>
      </c>
      <c r="H11" s="64">
        <v>799</v>
      </c>
    </row>
    <row r="12" spans="1:8" ht="19.8" customHeight="1" x14ac:dyDescent="0.3">
      <c r="A12" s="70">
        <v>45981</v>
      </c>
      <c r="B12" s="61" t="s">
        <v>36</v>
      </c>
      <c r="C12" s="62" t="s">
        <v>45</v>
      </c>
      <c r="D12" s="61" t="s">
        <v>1</v>
      </c>
      <c r="E12" s="71">
        <v>1.756944444444444</v>
      </c>
      <c r="F12" s="61" t="s">
        <v>43</v>
      </c>
      <c r="G12" s="63">
        <v>9</v>
      </c>
      <c r="H12" s="64">
        <v>879</v>
      </c>
    </row>
    <row r="13" spans="1:8" ht="19.8" customHeight="1" x14ac:dyDescent="0.3">
      <c r="A13" s="70">
        <v>45981</v>
      </c>
      <c r="B13" s="61" t="s">
        <v>51</v>
      </c>
      <c r="C13" s="62" t="s">
        <v>52</v>
      </c>
      <c r="D13" s="61" t="s">
        <v>1</v>
      </c>
      <c r="E13" s="71">
        <v>1.1076388888888891</v>
      </c>
      <c r="F13" s="61" t="s">
        <v>53</v>
      </c>
      <c r="G13" s="63">
        <v>9</v>
      </c>
      <c r="H13" s="64">
        <v>902</v>
      </c>
    </row>
    <row r="14" spans="1:8" ht="19.8" customHeight="1" x14ac:dyDescent="0.3">
      <c r="A14" s="72">
        <v>45981</v>
      </c>
      <c r="B14" s="73" t="s">
        <v>51</v>
      </c>
      <c r="C14" s="74" t="s">
        <v>56</v>
      </c>
      <c r="D14" s="73" t="s">
        <v>1</v>
      </c>
      <c r="E14" s="75">
        <v>1.2222222222222221</v>
      </c>
      <c r="F14" s="73" t="s">
        <v>53</v>
      </c>
      <c r="G14" s="76">
        <v>9</v>
      </c>
      <c r="H14" s="105">
        <v>902</v>
      </c>
    </row>
    <row r="15" spans="1:8" ht="19.8" customHeight="1" x14ac:dyDescent="0.3">
      <c r="A15" s="101"/>
      <c r="B15" s="102"/>
      <c r="C15" s="102"/>
      <c r="D15" s="102"/>
      <c r="E15" s="102"/>
      <c r="F15" s="103" t="s">
        <v>205</v>
      </c>
      <c r="G15" s="102"/>
      <c r="H15" s="104"/>
    </row>
    <row r="16" spans="1:8" ht="19.8" customHeight="1" x14ac:dyDescent="0.3">
      <c r="A16" s="70">
        <v>45982</v>
      </c>
      <c r="B16" s="61" t="s">
        <v>51</v>
      </c>
      <c r="C16" s="62" t="s">
        <v>52</v>
      </c>
      <c r="D16" s="61" t="s">
        <v>1</v>
      </c>
      <c r="E16" s="71">
        <v>1.0972222222222221</v>
      </c>
      <c r="F16" s="61" t="s">
        <v>53</v>
      </c>
      <c r="G16" s="63">
        <v>9</v>
      </c>
      <c r="H16" s="65" t="s">
        <v>87</v>
      </c>
    </row>
    <row r="17" spans="1:8" ht="19.8" customHeight="1" x14ac:dyDescent="0.3">
      <c r="A17" s="70">
        <v>45982</v>
      </c>
      <c r="B17" s="61" t="s">
        <v>51</v>
      </c>
      <c r="C17" s="62" t="s">
        <v>56</v>
      </c>
      <c r="D17" s="61" t="s">
        <v>1</v>
      </c>
      <c r="E17" s="71">
        <v>1.2222222222222221</v>
      </c>
      <c r="F17" s="61" t="s">
        <v>53</v>
      </c>
      <c r="G17" s="63">
        <v>9</v>
      </c>
      <c r="H17" s="65" t="s">
        <v>87</v>
      </c>
    </row>
    <row r="18" spans="1:8" ht="19.8" customHeight="1" x14ac:dyDescent="0.3">
      <c r="A18" s="70">
        <v>45982</v>
      </c>
      <c r="B18" s="61" t="s">
        <v>51</v>
      </c>
      <c r="C18" s="62" t="s">
        <v>58</v>
      </c>
      <c r="D18" s="61" t="s">
        <v>1</v>
      </c>
      <c r="E18" s="71">
        <v>1.444444444444444</v>
      </c>
      <c r="F18" s="61" t="s">
        <v>53</v>
      </c>
      <c r="G18" s="63">
        <v>9</v>
      </c>
      <c r="H18" s="65" t="s">
        <v>87</v>
      </c>
    </row>
    <row r="19" spans="1:8" ht="19.8" customHeight="1" x14ac:dyDescent="0.3">
      <c r="A19" s="70">
        <v>45982</v>
      </c>
      <c r="B19" s="61" t="s">
        <v>51</v>
      </c>
      <c r="C19" s="62" t="s">
        <v>62</v>
      </c>
      <c r="D19" s="61" t="s">
        <v>1</v>
      </c>
      <c r="E19" s="71">
        <v>1.493055555555556</v>
      </c>
      <c r="F19" s="61" t="s">
        <v>53</v>
      </c>
      <c r="G19" s="63">
        <v>9</v>
      </c>
      <c r="H19" s="65" t="s">
        <v>87</v>
      </c>
    </row>
    <row r="20" spans="1:8" ht="19.8" customHeight="1" x14ac:dyDescent="0.3">
      <c r="A20" s="70">
        <v>45982</v>
      </c>
      <c r="B20" s="61" t="s">
        <v>64</v>
      </c>
      <c r="C20" s="62" t="s">
        <v>72</v>
      </c>
      <c r="D20" s="61" t="s">
        <v>1</v>
      </c>
      <c r="E20" s="71">
        <v>1.4201388888888891</v>
      </c>
      <c r="F20" s="61" t="s">
        <v>68</v>
      </c>
      <c r="G20" s="63">
        <v>4</v>
      </c>
      <c r="H20" s="65" t="s">
        <v>74</v>
      </c>
    </row>
    <row r="21" spans="1:8" ht="19.8" customHeight="1" x14ac:dyDescent="0.3">
      <c r="A21" s="70">
        <v>45982</v>
      </c>
      <c r="B21" s="61" t="s">
        <v>64</v>
      </c>
      <c r="C21" s="62" t="s">
        <v>75</v>
      </c>
      <c r="D21" s="61" t="s">
        <v>1</v>
      </c>
      <c r="E21" s="71">
        <v>1.7951388888888891</v>
      </c>
      <c r="F21" s="61" t="s">
        <v>66</v>
      </c>
      <c r="G21" s="63">
        <v>7</v>
      </c>
      <c r="H21" s="65" t="s">
        <v>90</v>
      </c>
    </row>
    <row r="22" spans="1:8" ht="19.8" customHeight="1" x14ac:dyDescent="0.3">
      <c r="A22" s="70">
        <v>45982</v>
      </c>
      <c r="B22" s="61" t="s">
        <v>64</v>
      </c>
      <c r="C22" s="62" t="s">
        <v>71</v>
      </c>
      <c r="D22" s="61" t="s">
        <v>1</v>
      </c>
      <c r="E22" s="71">
        <v>1.086805555555556</v>
      </c>
      <c r="F22" s="61" t="s">
        <v>66</v>
      </c>
      <c r="G22" s="63">
        <v>6</v>
      </c>
      <c r="H22" s="65" t="s">
        <v>90</v>
      </c>
    </row>
    <row r="23" spans="1:8" ht="19.8" customHeight="1" x14ac:dyDescent="0.3">
      <c r="A23" s="70">
        <v>45982</v>
      </c>
      <c r="B23" s="61" t="s">
        <v>64</v>
      </c>
      <c r="C23" s="62" t="s">
        <v>75</v>
      </c>
      <c r="D23" s="61" t="s">
        <v>1</v>
      </c>
      <c r="E23" s="71">
        <v>1.7951388888888891</v>
      </c>
      <c r="F23" s="61" t="s">
        <v>68</v>
      </c>
      <c r="G23" s="63">
        <v>7</v>
      </c>
      <c r="H23" s="65" t="s">
        <v>92</v>
      </c>
    </row>
    <row r="24" spans="1:8" ht="19.8" customHeight="1" x14ac:dyDescent="0.3">
      <c r="A24" s="70">
        <v>45982</v>
      </c>
      <c r="B24" s="61" t="s">
        <v>64</v>
      </c>
      <c r="C24" s="62" t="s">
        <v>71</v>
      </c>
      <c r="D24" s="61" t="s">
        <v>1</v>
      </c>
      <c r="E24" s="71">
        <v>1.086805555555556</v>
      </c>
      <c r="F24" s="61" t="s">
        <v>68</v>
      </c>
      <c r="G24" s="63">
        <v>6</v>
      </c>
      <c r="H24" s="65" t="s">
        <v>92</v>
      </c>
    </row>
    <row r="25" spans="1:8" ht="19.8" customHeight="1" x14ac:dyDescent="0.3">
      <c r="A25" s="72">
        <v>45982</v>
      </c>
      <c r="B25" s="73" t="s">
        <v>64</v>
      </c>
      <c r="C25" s="74" t="s">
        <v>65</v>
      </c>
      <c r="D25" s="73" t="s">
        <v>1</v>
      </c>
      <c r="E25" s="75">
        <v>1.604166666666667</v>
      </c>
      <c r="F25" s="73" t="s">
        <v>66</v>
      </c>
      <c r="G25" s="76">
        <v>4</v>
      </c>
      <c r="H25" s="77" t="s">
        <v>77</v>
      </c>
    </row>
    <row r="26" spans="1:8" ht="19.8" customHeight="1" x14ac:dyDescent="0.3">
      <c r="A26" s="101"/>
      <c r="B26" s="102"/>
      <c r="C26" s="102"/>
      <c r="D26" s="102"/>
      <c r="E26" s="102"/>
      <c r="F26" s="103" t="s">
        <v>205</v>
      </c>
      <c r="G26" s="102"/>
      <c r="H26" s="104"/>
    </row>
    <row r="27" spans="1:8" ht="19.8" customHeight="1" x14ac:dyDescent="0.3">
      <c r="A27" s="70">
        <v>45983</v>
      </c>
      <c r="B27" s="61" t="s">
        <v>36</v>
      </c>
      <c r="C27" s="62" t="s">
        <v>37</v>
      </c>
      <c r="D27" s="61" t="s">
        <v>1</v>
      </c>
      <c r="E27" s="71">
        <v>1.354166666666667</v>
      </c>
      <c r="F27" s="61" t="s">
        <v>38</v>
      </c>
      <c r="G27" s="63">
        <v>2</v>
      </c>
      <c r="H27" s="64">
        <v>609</v>
      </c>
    </row>
    <row r="28" spans="1:8" ht="19.8" customHeight="1" x14ac:dyDescent="0.3">
      <c r="A28" s="70">
        <v>45983</v>
      </c>
      <c r="B28" s="61" t="s">
        <v>36</v>
      </c>
      <c r="C28" s="62" t="s">
        <v>45</v>
      </c>
      <c r="D28" s="61" t="s">
        <v>1</v>
      </c>
      <c r="E28" s="71">
        <v>1.756944444444444</v>
      </c>
      <c r="F28" s="61" t="s">
        <v>38</v>
      </c>
      <c r="G28" s="63">
        <v>3</v>
      </c>
      <c r="H28" s="64">
        <v>609</v>
      </c>
    </row>
    <row r="29" spans="1:8" ht="19.8" customHeight="1" x14ac:dyDescent="0.3">
      <c r="A29" s="70">
        <v>45983</v>
      </c>
      <c r="B29" s="61" t="s">
        <v>26</v>
      </c>
      <c r="C29" s="62" t="s">
        <v>27</v>
      </c>
      <c r="D29" s="61" t="s">
        <v>1</v>
      </c>
      <c r="E29" s="71">
        <v>1.4201388888888891</v>
      </c>
      <c r="F29" s="61" t="s">
        <v>28</v>
      </c>
      <c r="G29" s="63">
        <v>8</v>
      </c>
      <c r="H29" s="64">
        <v>619</v>
      </c>
    </row>
    <row r="30" spans="1:8" ht="19.8" customHeight="1" x14ac:dyDescent="0.3">
      <c r="A30" s="70">
        <v>45983</v>
      </c>
      <c r="B30" s="61" t="s">
        <v>36</v>
      </c>
      <c r="C30" s="62" t="s">
        <v>37</v>
      </c>
      <c r="D30" s="61" t="s">
        <v>1</v>
      </c>
      <c r="E30" s="71">
        <v>1.354166666666667</v>
      </c>
      <c r="F30" s="61" t="s">
        <v>41</v>
      </c>
      <c r="G30" s="63">
        <v>2</v>
      </c>
      <c r="H30" s="64">
        <v>709</v>
      </c>
    </row>
    <row r="31" spans="1:8" ht="19.8" customHeight="1" x14ac:dyDescent="0.3">
      <c r="A31" s="70">
        <v>45983</v>
      </c>
      <c r="B31" s="61" t="s">
        <v>36</v>
      </c>
      <c r="C31" s="62" t="s">
        <v>45</v>
      </c>
      <c r="D31" s="61" t="s">
        <v>1</v>
      </c>
      <c r="E31" s="71">
        <v>1.756944444444444</v>
      </c>
      <c r="F31" s="61" t="s">
        <v>41</v>
      </c>
      <c r="G31" s="63">
        <v>3</v>
      </c>
      <c r="H31" s="64">
        <v>709</v>
      </c>
    </row>
    <row r="32" spans="1:8" ht="19.8" customHeight="1" x14ac:dyDescent="0.3">
      <c r="A32" s="70">
        <v>45983</v>
      </c>
      <c r="B32" s="61" t="s">
        <v>26</v>
      </c>
      <c r="C32" s="62" t="s">
        <v>27</v>
      </c>
      <c r="D32" s="61" t="s">
        <v>1</v>
      </c>
      <c r="E32" s="71">
        <v>1.4201388888888891</v>
      </c>
      <c r="F32" s="61" t="s">
        <v>31</v>
      </c>
      <c r="G32" s="63">
        <v>8</v>
      </c>
      <c r="H32" s="64">
        <v>769</v>
      </c>
    </row>
    <row r="33" spans="1:8" ht="19.8" customHeight="1" x14ac:dyDescent="0.3">
      <c r="A33" s="70">
        <v>45983</v>
      </c>
      <c r="B33" s="61" t="s">
        <v>36</v>
      </c>
      <c r="C33" s="62" t="s">
        <v>37</v>
      </c>
      <c r="D33" s="61" t="s">
        <v>1</v>
      </c>
      <c r="E33" s="71">
        <v>1.354166666666667</v>
      </c>
      <c r="F33" s="61" t="s">
        <v>43</v>
      </c>
      <c r="G33" s="63">
        <v>2</v>
      </c>
      <c r="H33" s="64">
        <v>799</v>
      </c>
    </row>
    <row r="34" spans="1:8" ht="19.8" customHeight="1" x14ac:dyDescent="0.3">
      <c r="A34" s="70">
        <v>45983</v>
      </c>
      <c r="B34" s="61" t="s">
        <v>36</v>
      </c>
      <c r="C34" s="62" t="s">
        <v>45</v>
      </c>
      <c r="D34" s="61" t="s">
        <v>1</v>
      </c>
      <c r="E34" s="71">
        <v>1.756944444444444</v>
      </c>
      <c r="F34" s="61" t="s">
        <v>43</v>
      </c>
      <c r="G34" s="63">
        <v>3</v>
      </c>
      <c r="H34" s="64">
        <v>799</v>
      </c>
    </row>
    <row r="35" spans="1:8" ht="19.8" customHeight="1" x14ac:dyDescent="0.3">
      <c r="A35" s="70">
        <v>45983</v>
      </c>
      <c r="B35" s="61" t="s">
        <v>51</v>
      </c>
      <c r="C35" s="62" t="s">
        <v>52</v>
      </c>
      <c r="D35" s="61" t="s">
        <v>1</v>
      </c>
      <c r="E35" s="71">
        <v>1.0972222222222221</v>
      </c>
      <c r="F35" s="61" t="s">
        <v>53</v>
      </c>
      <c r="G35" s="63">
        <v>9</v>
      </c>
      <c r="H35" s="65" t="s">
        <v>102</v>
      </c>
    </row>
    <row r="36" spans="1:8" ht="19.8" customHeight="1" x14ac:dyDescent="0.3">
      <c r="A36" s="72">
        <v>45983</v>
      </c>
      <c r="B36" s="73" t="s">
        <v>26</v>
      </c>
      <c r="C36" s="74" t="s">
        <v>27</v>
      </c>
      <c r="D36" s="73" t="s">
        <v>1</v>
      </c>
      <c r="E36" s="75">
        <v>1.4201388888888891</v>
      </c>
      <c r="F36" s="73" t="s">
        <v>34</v>
      </c>
      <c r="G36" s="76">
        <v>8</v>
      </c>
      <c r="H36" s="77" t="s">
        <v>35</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91.109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51</v>
      </c>
      <c r="C2" s="62" t="s">
        <v>179</v>
      </c>
      <c r="D2" s="61" t="s">
        <v>178</v>
      </c>
      <c r="E2" s="61" t="s">
        <v>204</v>
      </c>
      <c r="F2" s="61" t="s">
        <v>53</v>
      </c>
      <c r="G2" s="63">
        <v>9</v>
      </c>
      <c r="H2" s="64">
        <v>923</v>
      </c>
    </row>
    <row r="3" spans="1:8" ht="19.8" customHeight="1" x14ac:dyDescent="0.3">
      <c r="A3" s="96" t="s">
        <v>166</v>
      </c>
      <c r="B3" s="97" t="s">
        <v>80</v>
      </c>
      <c r="C3" s="98" t="s">
        <v>181</v>
      </c>
      <c r="D3" s="97" t="s">
        <v>178</v>
      </c>
      <c r="E3" s="97" t="s">
        <v>194</v>
      </c>
      <c r="F3" s="97" t="s">
        <v>182</v>
      </c>
      <c r="G3" s="99">
        <v>3</v>
      </c>
      <c r="H3" s="100">
        <v>992</v>
      </c>
    </row>
    <row r="4" spans="1:8" ht="19.8" customHeight="1" x14ac:dyDescent="0.3">
      <c r="A4" s="101"/>
      <c r="B4" s="102"/>
      <c r="C4" s="102"/>
      <c r="D4" s="102"/>
      <c r="E4" s="102"/>
      <c r="F4" s="103" t="s">
        <v>205</v>
      </c>
      <c r="G4" s="102"/>
      <c r="H4" s="104"/>
    </row>
    <row r="5" spans="1:8" ht="19.8" customHeight="1" x14ac:dyDescent="0.3">
      <c r="A5" s="70">
        <v>45981</v>
      </c>
      <c r="B5" s="61" t="s">
        <v>26</v>
      </c>
      <c r="C5" s="62" t="s">
        <v>27</v>
      </c>
      <c r="D5" s="61" t="s">
        <v>1</v>
      </c>
      <c r="E5" s="71">
        <v>1.4201388888888891</v>
      </c>
      <c r="F5" s="61" t="s">
        <v>28</v>
      </c>
      <c r="G5" s="63">
        <v>12</v>
      </c>
      <c r="H5" s="64">
        <v>559</v>
      </c>
    </row>
    <row r="6" spans="1:8" ht="19.8" customHeight="1" x14ac:dyDescent="0.3">
      <c r="A6" s="70">
        <v>45981</v>
      </c>
      <c r="B6" s="61" t="s">
        <v>36</v>
      </c>
      <c r="C6" s="62" t="s">
        <v>37</v>
      </c>
      <c r="D6" s="61" t="s">
        <v>1</v>
      </c>
      <c r="E6" s="71">
        <v>1.354166666666667</v>
      </c>
      <c r="F6" s="61" t="s">
        <v>38</v>
      </c>
      <c r="G6" s="63">
        <v>6</v>
      </c>
      <c r="H6" s="64">
        <v>609</v>
      </c>
    </row>
    <row r="7" spans="1:8" ht="19.8" customHeight="1" x14ac:dyDescent="0.3">
      <c r="A7" s="70">
        <v>45981</v>
      </c>
      <c r="B7" s="61" t="s">
        <v>36</v>
      </c>
      <c r="C7" s="62" t="s">
        <v>45</v>
      </c>
      <c r="D7" s="61" t="s">
        <v>1</v>
      </c>
      <c r="E7" s="71">
        <v>1.756944444444444</v>
      </c>
      <c r="F7" s="61" t="s">
        <v>38</v>
      </c>
      <c r="G7" s="63">
        <v>9</v>
      </c>
      <c r="H7" s="64">
        <v>689</v>
      </c>
    </row>
    <row r="8" spans="1:8" ht="19.8" customHeight="1" x14ac:dyDescent="0.3">
      <c r="A8" s="70">
        <v>45981</v>
      </c>
      <c r="B8" s="61" t="s">
        <v>26</v>
      </c>
      <c r="C8" s="62" t="s">
        <v>27</v>
      </c>
      <c r="D8" s="61" t="s">
        <v>1</v>
      </c>
      <c r="E8" s="71">
        <v>1.4201388888888891</v>
      </c>
      <c r="F8" s="61" t="s">
        <v>31</v>
      </c>
      <c r="G8" s="63">
        <v>12</v>
      </c>
      <c r="H8" s="64">
        <v>709</v>
      </c>
    </row>
    <row r="9" spans="1:8" ht="19.8" customHeight="1" x14ac:dyDescent="0.3">
      <c r="A9" s="70">
        <v>45981</v>
      </c>
      <c r="B9" s="61" t="s">
        <v>36</v>
      </c>
      <c r="C9" s="62" t="s">
        <v>37</v>
      </c>
      <c r="D9" s="61" t="s">
        <v>1</v>
      </c>
      <c r="E9" s="71">
        <v>1.354166666666667</v>
      </c>
      <c r="F9" s="61" t="s">
        <v>41</v>
      </c>
      <c r="G9" s="63">
        <v>6</v>
      </c>
      <c r="H9" s="64">
        <v>709</v>
      </c>
    </row>
    <row r="10" spans="1:8" ht="19.8" customHeight="1" x14ac:dyDescent="0.3">
      <c r="A10" s="70">
        <v>45981</v>
      </c>
      <c r="B10" s="61" t="s">
        <v>36</v>
      </c>
      <c r="C10" s="62" t="s">
        <v>45</v>
      </c>
      <c r="D10" s="61" t="s">
        <v>1</v>
      </c>
      <c r="E10" s="71">
        <v>1.756944444444444</v>
      </c>
      <c r="F10" s="61" t="s">
        <v>41</v>
      </c>
      <c r="G10" s="63">
        <v>9</v>
      </c>
      <c r="H10" s="64">
        <v>789</v>
      </c>
    </row>
    <row r="11" spans="1:8" ht="19.8" customHeight="1" x14ac:dyDescent="0.3">
      <c r="A11" s="70">
        <v>45981</v>
      </c>
      <c r="B11" s="61" t="s">
        <v>36</v>
      </c>
      <c r="C11" s="62" t="s">
        <v>37</v>
      </c>
      <c r="D11" s="61" t="s">
        <v>1</v>
      </c>
      <c r="E11" s="71">
        <v>1.354166666666667</v>
      </c>
      <c r="F11" s="61" t="s">
        <v>43</v>
      </c>
      <c r="G11" s="63">
        <v>6</v>
      </c>
      <c r="H11" s="64">
        <v>799</v>
      </c>
    </row>
    <row r="12" spans="1:8" ht="19.8" customHeight="1" x14ac:dyDescent="0.3">
      <c r="A12" s="70">
        <v>45981</v>
      </c>
      <c r="B12" s="61" t="s">
        <v>36</v>
      </c>
      <c r="C12" s="62" t="s">
        <v>45</v>
      </c>
      <c r="D12" s="61" t="s">
        <v>1</v>
      </c>
      <c r="E12" s="71">
        <v>1.756944444444444</v>
      </c>
      <c r="F12" s="61" t="s">
        <v>43</v>
      </c>
      <c r="G12" s="63">
        <v>9</v>
      </c>
      <c r="H12" s="64">
        <v>879</v>
      </c>
    </row>
    <row r="13" spans="1:8" ht="19.8" customHeight="1" x14ac:dyDescent="0.3">
      <c r="A13" s="70">
        <v>45981</v>
      </c>
      <c r="B13" s="61" t="s">
        <v>51</v>
      </c>
      <c r="C13" s="62" t="s">
        <v>52</v>
      </c>
      <c r="D13" s="61" t="s">
        <v>1</v>
      </c>
      <c r="E13" s="71">
        <v>1.1076388888888891</v>
      </c>
      <c r="F13" s="61" t="s">
        <v>53</v>
      </c>
      <c r="G13" s="63">
        <v>9</v>
      </c>
      <c r="H13" s="64">
        <v>902</v>
      </c>
    </row>
    <row r="14" spans="1:8" ht="19.8" customHeight="1" x14ac:dyDescent="0.3">
      <c r="A14" s="72">
        <v>45981</v>
      </c>
      <c r="B14" s="73" t="s">
        <v>51</v>
      </c>
      <c r="C14" s="74" t="s">
        <v>56</v>
      </c>
      <c r="D14" s="73" t="s">
        <v>1</v>
      </c>
      <c r="E14" s="75">
        <v>1.2222222222222221</v>
      </c>
      <c r="F14" s="73" t="s">
        <v>53</v>
      </c>
      <c r="G14" s="76">
        <v>9</v>
      </c>
      <c r="H14" s="105">
        <v>902</v>
      </c>
    </row>
    <row r="15" spans="1:8" ht="19.8" customHeight="1" x14ac:dyDescent="0.3">
      <c r="A15" s="101"/>
      <c r="B15" s="102"/>
      <c r="C15" s="102"/>
      <c r="D15" s="102"/>
      <c r="E15" s="102"/>
      <c r="F15" s="103" t="s">
        <v>205</v>
      </c>
      <c r="G15" s="102"/>
      <c r="H15" s="104"/>
    </row>
    <row r="16" spans="1:8" ht="19.8" customHeight="1" x14ac:dyDescent="0.3">
      <c r="A16" s="70">
        <v>45982</v>
      </c>
      <c r="B16" s="61" t="s">
        <v>51</v>
      </c>
      <c r="C16" s="62" t="s">
        <v>52</v>
      </c>
      <c r="D16" s="61" t="s">
        <v>1</v>
      </c>
      <c r="E16" s="71">
        <v>1.0972222222222221</v>
      </c>
      <c r="F16" s="61" t="s">
        <v>53</v>
      </c>
      <c r="G16" s="63">
        <v>9</v>
      </c>
      <c r="H16" s="65" t="s">
        <v>87</v>
      </c>
    </row>
    <row r="17" spans="1:8" ht="19.8" customHeight="1" x14ac:dyDescent="0.3">
      <c r="A17" s="70">
        <v>45982</v>
      </c>
      <c r="B17" s="61" t="s">
        <v>51</v>
      </c>
      <c r="C17" s="62" t="s">
        <v>56</v>
      </c>
      <c r="D17" s="61" t="s">
        <v>1</v>
      </c>
      <c r="E17" s="71">
        <v>1.2222222222222221</v>
      </c>
      <c r="F17" s="61" t="s">
        <v>53</v>
      </c>
      <c r="G17" s="63">
        <v>9</v>
      </c>
      <c r="H17" s="65" t="s">
        <v>87</v>
      </c>
    </row>
    <row r="18" spans="1:8" ht="19.8" customHeight="1" x14ac:dyDescent="0.3">
      <c r="A18" s="70">
        <v>45982</v>
      </c>
      <c r="B18" s="61" t="s">
        <v>51</v>
      </c>
      <c r="C18" s="62" t="s">
        <v>58</v>
      </c>
      <c r="D18" s="61" t="s">
        <v>1</v>
      </c>
      <c r="E18" s="71">
        <v>1.444444444444444</v>
      </c>
      <c r="F18" s="61" t="s">
        <v>53</v>
      </c>
      <c r="G18" s="63">
        <v>9</v>
      </c>
      <c r="H18" s="65" t="s">
        <v>87</v>
      </c>
    </row>
    <row r="19" spans="1:8" ht="19.8" customHeight="1" x14ac:dyDescent="0.3">
      <c r="A19" s="70">
        <v>45982</v>
      </c>
      <c r="B19" s="61" t="s">
        <v>51</v>
      </c>
      <c r="C19" s="62" t="s">
        <v>62</v>
      </c>
      <c r="D19" s="61" t="s">
        <v>1</v>
      </c>
      <c r="E19" s="71">
        <v>1.493055555555556</v>
      </c>
      <c r="F19" s="61" t="s">
        <v>53</v>
      </c>
      <c r="G19" s="63">
        <v>9</v>
      </c>
      <c r="H19" s="65" t="s">
        <v>87</v>
      </c>
    </row>
    <row r="20" spans="1:8" ht="19.8" customHeight="1" x14ac:dyDescent="0.3">
      <c r="A20" s="70">
        <v>45982</v>
      </c>
      <c r="B20" s="61" t="s">
        <v>64</v>
      </c>
      <c r="C20" s="62" t="s">
        <v>72</v>
      </c>
      <c r="D20" s="61" t="s">
        <v>1</v>
      </c>
      <c r="E20" s="71">
        <v>1.4201388888888891</v>
      </c>
      <c r="F20" s="61" t="s">
        <v>68</v>
      </c>
      <c r="G20" s="63">
        <v>4</v>
      </c>
      <c r="H20" s="65" t="s">
        <v>74</v>
      </c>
    </row>
    <row r="21" spans="1:8" ht="19.8" customHeight="1" x14ac:dyDescent="0.3">
      <c r="A21" s="70">
        <v>45982</v>
      </c>
      <c r="B21" s="61" t="s">
        <v>64</v>
      </c>
      <c r="C21" s="62" t="s">
        <v>75</v>
      </c>
      <c r="D21" s="61" t="s">
        <v>1</v>
      </c>
      <c r="E21" s="71">
        <v>1.7951388888888891</v>
      </c>
      <c r="F21" s="61" t="s">
        <v>66</v>
      </c>
      <c r="G21" s="63">
        <v>7</v>
      </c>
      <c r="H21" s="65" t="s">
        <v>90</v>
      </c>
    </row>
    <row r="22" spans="1:8" ht="19.8" customHeight="1" x14ac:dyDescent="0.3">
      <c r="A22" s="70">
        <v>45982</v>
      </c>
      <c r="B22" s="61" t="s">
        <v>64</v>
      </c>
      <c r="C22" s="62" t="s">
        <v>71</v>
      </c>
      <c r="D22" s="61" t="s">
        <v>1</v>
      </c>
      <c r="E22" s="71">
        <v>1.086805555555556</v>
      </c>
      <c r="F22" s="61" t="s">
        <v>66</v>
      </c>
      <c r="G22" s="63">
        <v>6</v>
      </c>
      <c r="H22" s="65" t="s">
        <v>90</v>
      </c>
    </row>
    <row r="23" spans="1:8" ht="19.8" customHeight="1" x14ac:dyDescent="0.3">
      <c r="A23" s="70">
        <v>45982</v>
      </c>
      <c r="B23" s="61" t="s">
        <v>64</v>
      </c>
      <c r="C23" s="62" t="s">
        <v>75</v>
      </c>
      <c r="D23" s="61" t="s">
        <v>1</v>
      </c>
      <c r="E23" s="71">
        <v>1.7951388888888891</v>
      </c>
      <c r="F23" s="61" t="s">
        <v>68</v>
      </c>
      <c r="G23" s="63">
        <v>7</v>
      </c>
      <c r="H23" s="65" t="s">
        <v>92</v>
      </c>
    </row>
    <row r="24" spans="1:8" ht="19.8" customHeight="1" x14ac:dyDescent="0.3">
      <c r="A24" s="70">
        <v>45982</v>
      </c>
      <c r="B24" s="61" t="s">
        <v>64</v>
      </c>
      <c r="C24" s="62" t="s">
        <v>71</v>
      </c>
      <c r="D24" s="61" t="s">
        <v>1</v>
      </c>
      <c r="E24" s="71">
        <v>1.086805555555556</v>
      </c>
      <c r="F24" s="61" t="s">
        <v>68</v>
      </c>
      <c r="G24" s="63">
        <v>6</v>
      </c>
      <c r="H24" s="65" t="s">
        <v>92</v>
      </c>
    </row>
    <row r="25" spans="1:8" ht="19.8" customHeight="1" x14ac:dyDescent="0.3">
      <c r="A25" s="72">
        <v>45982</v>
      </c>
      <c r="B25" s="73" t="s">
        <v>64</v>
      </c>
      <c r="C25" s="74" t="s">
        <v>65</v>
      </c>
      <c r="D25" s="73" t="s">
        <v>1</v>
      </c>
      <c r="E25" s="75">
        <v>1.604166666666667</v>
      </c>
      <c r="F25" s="73" t="s">
        <v>66</v>
      </c>
      <c r="G25" s="76">
        <v>4</v>
      </c>
      <c r="H25" s="77" t="s">
        <v>77</v>
      </c>
    </row>
    <row r="26" spans="1:8" ht="19.8" customHeight="1" x14ac:dyDescent="0.3">
      <c r="A26" s="101"/>
      <c r="B26" s="102"/>
      <c r="C26" s="102"/>
      <c r="D26" s="102"/>
      <c r="E26" s="102"/>
      <c r="F26" s="103" t="s">
        <v>205</v>
      </c>
      <c r="G26" s="102"/>
      <c r="H26" s="104"/>
    </row>
    <row r="27" spans="1:8" ht="19.8" customHeight="1" x14ac:dyDescent="0.3">
      <c r="A27" s="70">
        <v>45983</v>
      </c>
      <c r="B27" s="61" t="s">
        <v>36</v>
      </c>
      <c r="C27" s="62" t="s">
        <v>37</v>
      </c>
      <c r="D27" s="61" t="s">
        <v>1</v>
      </c>
      <c r="E27" s="71">
        <v>1.354166666666667</v>
      </c>
      <c r="F27" s="61" t="s">
        <v>38</v>
      </c>
      <c r="G27" s="63">
        <v>2</v>
      </c>
      <c r="H27" s="64">
        <v>609</v>
      </c>
    </row>
    <row r="28" spans="1:8" ht="19.8" customHeight="1" x14ac:dyDescent="0.3">
      <c r="A28" s="70">
        <v>45983</v>
      </c>
      <c r="B28" s="61" t="s">
        <v>36</v>
      </c>
      <c r="C28" s="62" t="s">
        <v>45</v>
      </c>
      <c r="D28" s="61" t="s">
        <v>1</v>
      </c>
      <c r="E28" s="71">
        <v>1.756944444444444</v>
      </c>
      <c r="F28" s="61" t="s">
        <v>38</v>
      </c>
      <c r="G28" s="63">
        <v>3</v>
      </c>
      <c r="H28" s="64">
        <v>609</v>
      </c>
    </row>
    <row r="29" spans="1:8" ht="19.8" customHeight="1" x14ac:dyDescent="0.3">
      <c r="A29" s="70">
        <v>45983</v>
      </c>
      <c r="B29" s="61" t="s">
        <v>26</v>
      </c>
      <c r="C29" s="62" t="s">
        <v>27</v>
      </c>
      <c r="D29" s="61" t="s">
        <v>1</v>
      </c>
      <c r="E29" s="71">
        <v>1.4201388888888891</v>
      </c>
      <c r="F29" s="61" t="s">
        <v>28</v>
      </c>
      <c r="G29" s="63">
        <v>8</v>
      </c>
      <c r="H29" s="64">
        <v>619</v>
      </c>
    </row>
    <row r="30" spans="1:8" ht="19.8" customHeight="1" x14ac:dyDescent="0.3">
      <c r="A30" s="70">
        <v>45983</v>
      </c>
      <c r="B30" s="61" t="s">
        <v>36</v>
      </c>
      <c r="C30" s="62" t="s">
        <v>37</v>
      </c>
      <c r="D30" s="61" t="s">
        <v>1</v>
      </c>
      <c r="E30" s="71">
        <v>1.354166666666667</v>
      </c>
      <c r="F30" s="61" t="s">
        <v>41</v>
      </c>
      <c r="G30" s="63">
        <v>2</v>
      </c>
      <c r="H30" s="64">
        <v>709</v>
      </c>
    </row>
    <row r="31" spans="1:8" ht="19.8" customHeight="1" x14ac:dyDescent="0.3">
      <c r="A31" s="70">
        <v>45983</v>
      </c>
      <c r="B31" s="61" t="s">
        <v>36</v>
      </c>
      <c r="C31" s="62" t="s">
        <v>45</v>
      </c>
      <c r="D31" s="61" t="s">
        <v>1</v>
      </c>
      <c r="E31" s="71">
        <v>1.756944444444444</v>
      </c>
      <c r="F31" s="61" t="s">
        <v>41</v>
      </c>
      <c r="G31" s="63">
        <v>3</v>
      </c>
      <c r="H31" s="64">
        <v>709</v>
      </c>
    </row>
    <row r="32" spans="1:8" ht="19.8" customHeight="1" x14ac:dyDescent="0.3">
      <c r="A32" s="70">
        <v>45983</v>
      </c>
      <c r="B32" s="61" t="s">
        <v>26</v>
      </c>
      <c r="C32" s="62" t="s">
        <v>27</v>
      </c>
      <c r="D32" s="61" t="s">
        <v>1</v>
      </c>
      <c r="E32" s="71">
        <v>1.4201388888888891</v>
      </c>
      <c r="F32" s="61" t="s">
        <v>31</v>
      </c>
      <c r="G32" s="63">
        <v>8</v>
      </c>
      <c r="H32" s="64">
        <v>769</v>
      </c>
    </row>
    <row r="33" spans="1:8" ht="19.8" customHeight="1" x14ac:dyDescent="0.3">
      <c r="A33" s="70">
        <v>45983</v>
      </c>
      <c r="B33" s="61" t="s">
        <v>36</v>
      </c>
      <c r="C33" s="62" t="s">
        <v>37</v>
      </c>
      <c r="D33" s="61" t="s">
        <v>1</v>
      </c>
      <c r="E33" s="71">
        <v>1.354166666666667</v>
      </c>
      <c r="F33" s="61" t="s">
        <v>43</v>
      </c>
      <c r="G33" s="63">
        <v>2</v>
      </c>
      <c r="H33" s="64">
        <v>799</v>
      </c>
    </row>
    <row r="34" spans="1:8" ht="19.8" customHeight="1" x14ac:dyDescent="0.3">
      <c r="A34" s="70">
        <v>45983</v>
      </c>
      <c r="B34" s="61" t="s">
        <v>36</v>
      </c>
      <c r="C34" s="62" t="s">
        <v>45</v>
      </c>
      <c r="D34" s="61" t="s">
        <v>1</v>
      </c>
      <c r="E34" s="71">
        <v>1.756944444444444</v>
      </c>
      <c r="F34" s="61" t="s">
        <v>43</v>
      </c>
      <c r="G34" s="63">
        <v>3</v>
      </c>
      <c r="H34" s="64">
        <v>799</v>
      </c>
    </row>
    <row r="35" spans="1:8" ht="19.8" customHeight="1" x14ac:dyDescent="0.3">
      <c r="A35" s="70">
        <v>45983</v>
      </c>
      <c r="B35" s="61" t="s">
        <v>51</v>
      </c>
      <c r="C35" s="62" t="s">
        <v>52</v>
      </c>
      <c r="D35" s="61" t="s">
        <v>1</v>
      </c>
      <c r="E35" s="71">
        <v>1.0972222222222221</v>
      </c>
      <c r="F35" s="61" t="s">
        <v>53</v>
      </c>
      <c r="G35" s="63">
        <v>9</v>
      </c>
      <c r="H35" s="65" t="s">
        <v>102</v>
      </c>
    </row>
    <row r="36" spans="1:8" ht="19.8" customHeight="1" x14ac:dyDescent="0.3">
      <c r="A36" s="72">
        <v>45983</v>
      </c>
      <c r="B36" s="73" t="s">
        <v>26</v>
      </c>
      <c r="C36" s="74" t="s">
        <v>27</v>
      </c>
      <c r="D36" s="73" t="s">
        <v>1</v>
      </c>
      <c r="E36" s="75">
        <v>1.4201388888888891</v>
      </c>
      <c r="F36" s="73" t="s">
        <v>34</v>
      </c>
      <c r="G36" s="76">
        <v>8</v>
      </c>
      <c r="H36" s="77" t="s">
        <v>35</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17"/>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21875" bestFit="1" customWidth="1"/>
  </cols>
  <sheetData>
    <row r="1" spans="1:92" ht="28.8" customHeight="1" x14ac:dyDescent="0.3">
      <c r="A1" s="257" t="s">
        <v>0</v>
      </c>
      <c r="B1" s="248"/>
      <c r="C1" s="248"/>
      <c r="D1" s="248"/>
      <c r="E1" s="248"/>
      <c r="F1" s="1" t="s">
        <v>206</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45980.430535957348</v>
      </c>
      <c r="H2" s="248"/>
      <c r="I2" s="248"/>
      <c r="J2" s="248"/>
      <c r="K2" s="259">
        <v>45980.430535957639</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45983</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6" t="s">
        <v>80</v>
      </c>
      <c r="B6" s="106" t="s">
        <v>207</v>
      </c>
      <c r="C6" s="107">
        <v>0.95486111111111116</v>
      </c>
      <c r="D6" s="106" t="s">
        <v>82</v>
      </c>
      <c r="E6" s="108"/>
      <c r="F6" s="106" t="s">
        <v>208</v>
      </c>
      <c r="G6" s="250"/>
      <c r="H6" s="109" t="s">
        <v>207</v>
      </c>
      <c r="I6" s="110">
        <v>0.96430000000000005</v>
      </c>
      <c r="J6" s="111">
        <v>162</v>
      </c>
      <c r="K6" s="112" t="s">
        <v>186</v>
      </c>
      <c r="L6" s="111">
        <v>50</v>
      </c>
      <c r="M6" s="111">
        <v>0</v>
      </c>
      <c r="N6" s="111">
        <v>7</v>
      </c>
      <c r="O6" s="113" t="s">
        <v>209</v>
      </c>
      <c r="P6" s="114">
        <v>0.95486111111111116</v>
      </c>
      <c r="Q6" s="111">
        <v>168</v>
      </c>
      <c r="R6" s="115" t="s">
        <v>210</v>
      </c>
    </row>
    <row r="7" spans="1:92" ht="18" x14ac:dyDescent="0.3">
      <c r="A7" s="264" t="s">
        <v>189</v>
      </c>
      <c r="B7" s="265"/>
      <c r="C7" s="265"/>
      <c r="D7" s="265"/>
      <c r="E7" s="265"/>
      <c r="F7" s="266"/>
      <c r="G7" s="251"/>
      <c r="H7" s="89"/>
      <c r="I7" s="89"/>
      <c r="J7" s="89"/>
      <c r="K7" s="89"/>
      <c r="L7" s="89"/>
      <c r="M7" s="89"/>
      <c r="N7" s="89"/>
      <c r="O7" s="90"/>
      <c r="P7" s="89"/>
      <c r="Q7" s="56"/>
      <c r="R7" s="56"/>
    </row>
    <row r="8" spans="1:92" ht="15" customHeight="1" x14ac:dyDescent="0.3">
      <c r="A8" s="19" t="s">
        <v>36</v>
      </c>
      <c r="B8" s="19" t="s">
        <v>37</v>
      </c>
      <c r="C8" s="20" t="s">
        <v>168</v>
      </c>
      <c r="D8" s="19" t="s">
        <v>38</v>
      </c>
      <c r="E8" s="19" t="s">
        <v>211</v>
      </c>
      <c r="F8" s="19" t="s">
        <v>40</v>
      </c>
      <c r="G8" s="251"/>
      <c r="H8" s="89"/>
      <c r="I8" s="89"/>
      <c r="J8" s="89"/>
      <c r="K8" s="89"/>
      <c r="L8" s="89"/>
      <c r="M8" s="89"/>
      <c r="N8" s="89"/>
      <c r="O8" s="90"/>
      <c r="P8" s="89"/>
      <c r="Q8" s="56"/>
      <c r="R8" s="56"/>
    </row>
    <row r="9" spans="1:92" ht="15" customHeight="1" x14ac:dyDescent="0.3">
      <c r="A9" s="19" t="s">
        <v>36</v>
      </c>
      <c r="B9" s="19" t="s">
        <v>45</v>
      </c>
      <c r="C9" s="20" t="s">
        <v>169</v>
      </c>
      <c r="D9" s="19" t="s">
        <v>38</v>
      </c>
      <c r="E9" s="19" t="s">
        <v>212</v>
      </c>
      <c r="F9" s="19" t="s">
        <v>40</v>
      </c>
      <c r="G9" s="251"/>
      <c r="H9" s="89"/>
      <c r="I9" s="89"/>
      <c r="J9" s="89"/>
      <c r="K9" s="89"/>
      <c r="L9" s="89"/>
      <c r="M9" s="89"/>
      <c r="N9" s="89"/>
      <c r="O9" s="90"/>
      <c r="P9" s="89"/>
      <c r="Q9" s="56"/>
      <c r="R9" s="56"/>
    </row>
    <row r="10" spans="1:92" ht="15" customHeight="1" x14ac:dyDescent="0.3">
      <c r="A10" s="19" t="s">
        <v>26</v>
      </c>
      <c r="B10" s="19" t="s">
        <v>27</v>
      </c>
      <c r="C10" s="20" t="s">
        <v>167</v>
      </c>
      <c r="D10" s="19" t="s">
        <v>28</v>
      </c>
      <c r="E10" s="19" t="s">
        <v>213</v>
      </c>
      <c r="F10" s="19" t="s">
        <v>99</v>
      </c>
      <c r="G10" s="251"/>
      <c r="H10" s="89"/>
      <c r="I10" s="89"/>
      <c r="J10" s="89"/>
      <c r="K10" s="89"/>
      <c r="L10" s="89"/>
      <c r="M10" s="89"/>
      <c r="N10" s="89"/>
      <c r="O10" s="90"/>
      <c r="P10" s="89"/>
      <c r="Q10" s="56"/>
      <c r="R10" s="56"/>
    </row>
    <row r="11" spans="1:92" ht="15" customHeight="1" x14ac:dyDescent="0.3">
      <c r="A11" s="19" t="s">
        <v>36</v>
      </c>
      <c r="B11" s="19" t="s">
        <v>37</v>
      </c>
      <c r="C11" s="20" t="s">
        <v>168</v>
      </c>
      <c r="D11" s="19" t="s">
        <v>41</v>
      </c>
      <c r="E11" s="19" t="s">
        <v>211</v>
      </c>
      <c r="F11" s="19" t="s">
        <v>33</v>
      </c>
      <c r="G11" s="251"/>
      <c r="H11" s="89"/>
      <c r="I11" s="89"/>
      <c r="J11" s="89"/>
      <c r="K11" s="89"/>
      <c r="L11" s="89"/>
      <c r="M11" s="89"/>
      <c r="N11" s="89"/>
      <c r="O11" s="90"/>
      <c r="P11" s="89"/>
      <c r="Q11" s="56"/>
      <c r="R11" s="56"/>
    </row>
    <row r="12" spans="1:92" ht="15" customHeight="1" x14ac:dyDescent="0.3">
      <c r="A12" s="19" t="s">
        <v>36</v>
      </c>
      <c r="B12" s="19" t="s">
        <v>45</v>
      </c>
      <c r="C12" s="20" t="s">
        <v>169</v>
      </c>
      <c r="D12" s="19" t="s">
        <v>41</v>
      </c>
      <c r="E12" s="19" t="s">
        <v>212</v>
      </c>
      <c r="F12" s="19" t="s">
        <v>33</v>
      </c>
      <c r="G12" s="251"/>
      <c r="H12" s="89"/>
      <c r="I12" s="89"/>
      <c r="J12" s="89"/>
      <c r="K12" s="89"/>
      <c r="L12" s="89"/>
      <c r="M12" s="89"/>
      <c r="N12" s="89"/>
      <c r="O12" s="90"/>
      <c r="P12" s="89"/>
      <c r="Q12" s="56"/>
      <c r="R12" s="56"/>
    </row>
    <row r="13" spans="1:92" ht="15" customHeight="1" x14ac:dyDescent="0.3">
      <c r="A13" s="19" t="s">
        <v>26</v>
      </c>
      <c r="B13" s="19" t="s">
        <v>27</v>
      </c>
      <c r="C13" s="20" t="s">
        <v>167</v>
      </c>
      <c r="D13" s="19" t="s">
        <v>31</v>
      </c>
      <c r="E13" s="19" t="s">
        <v>213</v>
      </c>
      <c r="F13" s="19" t="s">
        <v>101</v>
      </c>
      <c r="G13" s="251"/>
      <c r="H13" s="89"/>
      <c r="I13" s="89"/>
      <c r="J13" s="89"/>
      <c r="K13" s="89"/>
      <c r="L13" s="89"/>
      <c r="M13" s="89"/>
      <c r="N13" s="89"/>
      <c r="O13" s="90"/>
      <c r="P13" s="89"/>
      <c r="Q13" s="56"/>
      <c r="R13" s="56"/>
    </row>
    <row r="14" spans="1:92" ht="15" customHeight="1" x14ac:dyDescent="0.3">
      <c r="A14" s="19" t="s">
        <v>36</v>
      </c>
      <c r="B14" s="19" t="s">
        <v>37</v>
      </c>
      <c r="C14" s="20" t="s">
        <v>168</v>
      </c>
      <c r="D14" s="19" t="s">
        <v>43</v>
      </c>
      <c r="E14" s="19" t="s">
        <v>211</v>
      </c>
      <c r="F14" s="19" t="s">
        <v>44</v>
      </c>
      <c r="G14" s="251"/>
      <c r="H14" s="89"/>
      <c r="I14" s="89"/>
      <c r="J14" s="89"/>
      <c r="K14" s="89"/>
      <c r="L14" s="89"/>
      <c r="M14" s="89"/>
      <c r="N14" s="89"/>
      <c r="O14" s="90"/>
      <c r="P14" s="89"/>
      <c r="Q14" s="56"/>
      <c r="R14" s="56"/>
    </row>
    <row r="15" spans="1:92" ht="15" customHeight="1" x14ac:dyDescent="0.3">
      <c r="A15" s="19" t="s">
        <v>36</v>
      </c>
      <c r="B15" s="19" t="s">
        <v>45</v>
      </c>
      <c r="C15" s="20" t="s">
        <v>169</v>
      </c>
      <c r="D15" s="19" t="s">
        <v>43</v>
      </c>
      <c r="E15" s="19" t="s">
        <v>212</v>
      </c>
      <c r="F15" s="19" t="s">
        <v>44</v>
      </c>
      <c r="G15" s="251"/>
      <c r="H15" s="89"/>
      <c r="I15" s="89"/>
      <c r="J15" s="89"/>
      <c r="K15" s="89"/>
      <c r="L15" s="89"/>
      <c r="M15" s="89"/>
      <c r="N15" s="89"/>
      <c r="O15" s="90"/>
      <c r="P15" s="89"/>
      <c r="Q15" s="56"/>
      <c r="R15" s="56"/>
    </row>
    <row r="16" spans="1:92" ht="15" customHeight="1" x14ac:dyDescent="0.3">
      <c r="A16" s="19" t="s">
        <v>51</v>
      </c>
      <c r="B16" s="19" t="s">
        <v>52</v>
      </c>
      <c r="C16" s="20" t="s">
        <v>214</v>
      </c>
      <c r="D16" s="19" t="s">
        <v>53</v>
      </c>
      <c r="E16" s="19" t="s">
        <v>193</v>
      </c>
      <c r="F16" s="19" t="s">
        <v>102</v>
      </c>
      <c r="G16" s="251"/>
      <c r="H16" s="89"/>
      <c r="I16" s="89"/>
      <c r="J16" s="89"/>
      <c r="K16" s="89"/>
      <c r="L16" s="89"/>
      <c r="M16" s="89"/>
      <c r="N16" s="89"/>
      <c r="O16" s="90"/>
      <c r="P16" s="89"/>
      <c r="Q16" s="56"/>
      <c r="R16" s="56"/>
    </row>
    <row r="17" spans="1:18" ht="15" customHeight="1" x14ac:dyDescent="0.3">
      <c r="A17" s="91" t="s">
        <v>26</v>
      </c>
      <c r="B17" s="91" t="s">
        <v>27</v>
      </c>
      <c r="C17" s="92" t="s">
        <v>167</v>
      </c>
      <c r="D17" s="91" t="s">
        <v>34</v>
      </c>
      <c r="E17" s="91" t="s">
        <v>213</v>
      </c>
      <c r="F17" s="91" t="s">
        <v>35</v>
      </c>
      <c r="G17" s="252"/>
      <c r="H17" s="93"/>
      <c r="I17" s="93"/>
      <c r="J17" s="93"/>
      <c r="K17" s="93"/>
      <c r="L17" s="93"/>
      <c r="M17" s="93"/>
      <c r="N17" s="93"/>
      <c r="O17" s="94"/>
      <c r="P17" s="93"/>
      <c r="Q17" s="95"/>
      <c r="R17" s="95"/>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
  <sheetViews>
    <sheetView workbookViewId="0"/>
  </sheetViews>
  <sheetFormatPr defaultRowHeight="15.6" outlineLevelCol="1" x14ac:dyDescent="0.3"/>
  <cols>
    <col min="1" max="1" width="9.77734375" style="269" bestFit="1" customWidth="1"/>
    <col min="2" max="2" width="10.44140625" style="269" bestFit="1" customWidth="1"/>
    <col min="3" max="3" width="6.77734375" style="269" bestFit="1" customWidth="1"/>
    <col min="4" max="4" width="5.5546875" style="269" bestFit="1" customWidth="1"/>
    <col min="5" max="5" width="8.777343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8" width="3.88671875" style="269" bestFit="1" customWidth="1"/>
    <col min="29" max="29" width="4.21875" style="269" bestFit="1" customWidth="1"/>
    <col min="30" max="31" width="4.5546875" style="269" bestFit="1" customWidth="1"/>
    <col min="32" max="34" width="3.88671875" style="269" bestFit="1" customWidth="1"/>
    <col min="35" max="35" width="4.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154</v>
      </c>
      <c r="B2" s="271">
        <v>45983</v>
      </c>
      <c r="C2" s="272" t="s">
        <v>207</v>
      </c>
      <c r="D2" s="273" t="s">
        <v>215</v>
      </c>
      <c r="E2" s="272" t="s">
        <v>206</v>
      </c>
      <c r="F2" s="272" t="s">
        <v>140</v>
      </c>
      <c r="G2" s="274">
        <v>0.96430000000000005</v>
      </c>
      <c r="H2" s="275">
        <v>168</v>
      </c>
      <c r="I2" s="275">
        <v>162</v>
      </c>
      <c r="J2" s="275">
        <v>84</v>
      </c>
      <c r="K2" s="272" t="s">
        <v>141</v>
      </c>
      <c r="L2" s="276" t="s">
        <v>186</v>
      </c>
      <c r="M2" s="275">
        <v>0</v>
      </c>
      <c r="N2" s="275">
        <v>7</v>
      </c>
      <c r="O2" s="275">
        <v>50</v>
      </c>
      <c r="P2" s="272" t="s">
        <v>209</v>
      </c>
      <c r="Q2" s="268"/>
      <c r="R2" s="268"/>
      <c r="S2" s="268"/>
      <c r="T2" s="268"/>
      <c r="U2" s="268"/>
      <c r="V2" s="268"/>
      <c r="W2" s="268"/>
      <c r="X2" s="268"/>
      <c r="Y2" s="268"/>
      <c r="Z2" s="275" t="s">
        <v>216</v>
      </c>
      <c r="AA2" s="268"/>
      <c r="AB2" s="268"/>
      <c r="AC2" s="275" t="s">
        <v>217</v>
      </c>
      <c r="AD2" s="275" t="s">
        <v>218</v>
      </c>
      <c r="AE2" s="275" t="s">
        <v>219</v>
      </c>
      <c r="AF2" s="275" t="s">
        <v>220</v>
      </c>
      <c r="AG2" s="268"/>
      <c r="AH2" s="268"/>
      <c r="AI2" s="275" t="s">
        <v>221</v>
      </c>
      <c r="AJ2" s="268"/>
    </row>
    <row r="3" spans="1:36" ht="21" x14ac:dyDescent="0.3">
      <c r="A3" s="277" t="s">
        <v>913</v>
      </c>
      <c r="B3" s="278"/>
      <c r="C3" s="277">
        <f>SUBTOTAL(103,MED_ATZ_LF_LEGACY[Flt])</f>
        <v>1</v>
      </c>
      <c r="D3" s="277"/>
      <c r="E3" s="277">
        <f>SUBTOTAL(103,MED_ATZ_LF_LEGACY[Brd-Off])</f>
        <v>1</v>
      </c>
      <c r="F3" s="277"/>
      <c r="G3" s="279">
        <f>SUBTOTAL(101,MED_ATZ_LF_LEGACY[LF%])</f>
        <v>0.96430000000000005</v>
      </c>
      <c r="H3" s="280">
        <f>SUBTOTAL(109,MED_ATZ_LF_LEGACY[CAP])</f>
        <v>168</v>
      </c>
      <c r="I3" s="280">
        <f>SUBTOTAL(109,MED_ATZ_LF_LEGACY[BKG(Y)])</f>
        <v>162</v>
      </c>
      <c r="J3" s="280">
        <f>SUBTOTAL(109,MED_ATZ_LF_LEGACY[GRP(Y)])</f>
        <v>84</v>
      </c>
      <c r="K3" s="277"/>
      <c r="L3" s="278"/>
      <c r="M3" s="280">
        <f>SUBTOTAL(109,MED_ATZ_LF_LEGACY[TO-DAY])</f>
        <v>0</v>
      </c>
      <c r="N3" s="280">
        <f>SUBTOTAL(109,MED_ATZ_LF_LEGACY[Y-DAY])</f>
        <v>7</v>
      </c>
      <c r="O3" s="280">
        <f>SUBTOTAL(109,MED_ATZ_LF_LEGACY[WEEKLY])</f>
        <v>50</v>
      </c>
      <c r="P3" s="281"/>
      <c r="Q3" s="280">
        <f>SUBTOTAL(109,MED_ATZ_LF_LEGACY[Y])</f>
        <v>0</v>
      </c>
      <c r="R3" s="280">
        <f>SUBTOTAL(109,MED_ATZ_LF_LEGACY[B])</f>
        <v>0</v>
      </c>
      <c r="S3" s="280">
        <f>SUBTOTAL(109,MED_ATZ_LF_LEGACY[M])</f>
        <v>0</v>
      </c>
      <c r="T3" s="280">
        <f>SUBTOTAL(109,MED_ATZ_LF_LEGACY[H])</f>
        <v>0</v>
      </c>
      <c r="U3" s="280">
        <f>SUBTOTAL(109,MED_ATZ_LF_LEGACY[Q])</f>
        <v>0</v>
      </c>
      <c r="V3" s="280">
        <f>SUBTOTAL(109,MED_ATZ_LF_LEGACY[K])</f>
        <v>0</v>
      </c>
      <c r="W3" s="280">
        <f>SUBTOTAL(109,MED_ATZ_LF_LEGACY[V])</f>
        <v>0</v>
      </c>
      <c r="X3" s="280">
        <f>SUBTOTAL(109,MED_ATZ_LF_LEGACY[L])</f>
        <v>0</v>
      </c>
      <c r="Y3" s="280">
        <f>SUBTOTAL(109,MED_ATZ_LF_LEGACY[G])</f>
        <v>0</v>
      </c>
      <c r="Z3" s="280">
        <f>SUBTOTAL(109,MED_ATZ_LF_LEGACY[S])</f>
        <v>0</v>
      </c>
      <c r="AA3" s="280">
        <f>SUBTOTAL(109,MED_ATZ_LF_LEGACY[W])</f>
        <v>0</v>
      </c>
      <c r="AB3" s="280">
        <f>SUBTOTAL(109,MED_ATZ_LF_LEGACY[T])</f>
        <v>0</v>
      </c>
      <c r="AC3" s="280">
        <f>SUBTOTAL(109,MED_ATZ_LF_LEGACY[X])</f>
        <v>0</v>
      </c>
      <c r="AD3" s="280">
        <f>SUBTOTAL(109,MED_ATZ_LF_LEGACY[U])</f>
        <v>0</v>
      </c>
      <c r="AE3" s="280">
        <f>SUBTOTAL(109,MED_ATZ_LF_LEGACY[O])</f>
        <v>0</v>
      </c>
      <c r="AF3" s="280">
        <f>SUBTOTAL(109,MED_ATZ_LF_LEGACY[I])</f>
        <v>0</v>
      </c>
      <c r="AG3" s="280">
        <f>SUBTOTAL(109,MED_ATZ_LF_LEGACY[E])</f>
        <v>0</v>
      </c>
      <c r="AH3" s="280">
        <f>SUBTOTAL(109,MED_ATZ_LF_LEGACY[A])</f>
        <v>0</v>
      </c>
      <c r="AI3" s="280">
        <f>SUBTOTAL(109,MED_ATZ_LF_LEGACY[P])</f>
        <v>0</v>
      </c>
      <c r="AJ3" s="280">
        <f>SUBTOTAL(103,MED_ATZ_LF_LEGACY[N])</f>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4.5546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205</v>
      </c>
      <c r="G2" s="102"/>
      <c r="H2" s="104"/>
    </row>
    <row r="3" spans="1:8" ht="19.8" customHeight="1" x14ac:dyDescent="0.3">
      <c r="A3" s="60" t="s">
        <v>166</v>
      </c>
      <c r="B3" s="61" t="s">
        <v>26</v>
      </c>
      <c r="C3" s="62" t="s">
        <v>27</v>
      </c>
      <c r="D3" s="61" t="s">
        <v>1</v>
      </c>
      <c r="E3" s="61" t="s">
        <v>167</v>
      </c>
      <c r="F3" s="61" t="s">
        <v>28</v>
      </c>
      <c r="G3" s="63">
        <v>12</v>
      </c>
      <c r="H3" s="64">
        <v>559</v>
      </c>
    </row>
    <row r="4" spans="1:8" ht="19.8" customHeight="1" x14ac:dyDescent="0.3">
      <c r="A4" s="60" t="s">
        <v>166</v>
      </c>
      <c r="B4" s="61" t="s">
        <v>36</v>
      </c>
      <c r="C4" s="62" t="s">
        <v>37</v>
      </c>
      <c r="D4" s="61" t="s">
        <v>1</v>
      </c>
      <c r="E4" s="61" t="s">
        <v>168</v>
      </c>
      <c r="F4" s="61" t="s">
        <v>38</v>
      </c>
      <c r="G4" s="63">
        <v>6</v>
      </c>
      <c r="H4" s="64">
        <v>609</v>
      </c>
    </row>
    <row r="5" spans="1:8" ht="19.8" customHeight="1" x14ac:dyDescent="0.3">
      <c r="A5" s="60" t="s">
        <v>166</v>
      </c>
      <c r="B5" s="61" t="s">
        <v>36</v>
      </c>
      <c r="C5" s="62" t="s">
        <v>45</v>
      </c>
      <c r="D5" s="61" t="s">
        <v>1</v>
      </c>
      <c r="E5" s="61" t="s">
        <v>169</v>
      </c>
      <c r="F5" s="61" t="s">
        <v>38</v>
      </c>
      <c r="G5" s="63">
        <v>9</v>
      </c>
      <c r="H5" s="64">
        <v>689</v>
      </c>
    </row>
    <row r="6" spans="1:8" ht="19.8" customHeight="1" x14ac:dyDescent="0.3">
      <c r="A6" s="60" t="s">
        <v>166</v>
      </c>
      <c r="B6" s="61" t="s">
        <v>26</v>
      </c>
      <c r="C6" s="62" t="s">
        <v>27</v>
      </c>
      <c r="D6" s="61" t="s">
        <v>1</v>
      </c>
      <c r="E6" s="61" t="s">
        <v>167</v>
      </c>
      <c r="F6" s="61" t="s">
        <v>31</v>
      </c>
      <c r="G6" s="63">
        <v>12</v>
      </c>
      <c r="H6" s="64">
        <v>709</v>
      </c>
    </row>
    <row r="7" spans="1:8" ht="19.8" customHeight="1" x14ac:dyDescent="0.3">
      <c r="A7" s="60" t="s">
        <v>166</v>
      </c>
      <c r="B7" s="61" t="s">
        <v>36</v>
      </c>
      <c r="C7" s="62" t="s">
        <v>37</v>
      </c>
      <c r="D7" s="61" t="s">
        <v>1</v>
      </c>
      <c r="E7" s="61" t="s">
        <v>168</v>
      </c>
      <c r="F7" s="61" t="s">
        <v>41</v>
      </c>
      <c r="G7" s="63">
        <v>6</v>
      </c>
      <c r="H7" s="64">
        <v>709</v>
      </c>
    </row>
    <row r="8" spans="1:8" ht="19.8" customHeight="1" x14ac:dyDescent="0.3">
      <c r="A8" s="60" t="s">
        <v>166</v>
      </c>
      <c r="B8" s="61" t="s">
        <v>36</v>
      </c>
      <c r="C8" s="62" t="s">
        <v>45</v>
      </c>
      <c r="D8" s="61" t="s">
        <v>1</v>
      </c>
      <c r="E8" s="61" t="s">
        <v>169</v>
      </c>
      <c r="F8" s="61" t="s">
        <v>41</v>
      </c>
      <c r="G8" s="63">
        <v>9</v>
      </c>
      <c r="H8" s="64">
        <v>789</v>
      </c>
    </row>
    <row r="9" spans="1:8" ht="19.8" customHeight="1" x14ac:dyDescent="0.3">
      <c r="A9" s="60" t="s">
        <v>166</v>
      </c>
      <c r="B9" s="61" t="s">
        <v>36</v>
      </c>
      <c r="C9" s="62" t="s">
        <v>37</v>
      </c>
      <c r="D9" s="61" t="s">
        <v>1</v>
      </c>
      <c r="E9" s="61" t="s">
        <v>168</v>
      </c>
      <c r="F9" s="61" t="s">
        <v>43</v>
      </c>
      <c r="G9" s="63">
        <v>6</v>
      </c>
      <c r="H9" s="64">
        <v>799</v>
      </c>
    </row>
    <row r="10" spans="1:8" ht="19.8" customHeight="1" x14ac:dyDescent="0.3">
      <c r="A10" s="60" t="s">
        <v>166</v>
      </c>
      <c r="B10" s="61" t="s">
        <v>36</v>
      </c>
      <c r="C10" s="62" t="s">
        <v>45</v>
      </c>
      <c r="D10" s="61" t="s">
        <v>1</v>
      </c>
      <c r="E10" s="61" t="s">
        <v>169</v>
      </c>
      <c r="F10" s="61" t="s">
        <v>43</v>
      </c>
      <c r="G10" s="63">
        <v>9</v>
      </c>
      <c r="H10" s="64">
        <v>879</v>
      </c>
    </row>
    <row r="11" spans="1:8" ht="19.8" customHeight="1" x14ac:dyDescent="0.3">
      <c r="A11" s="60" t="s">
        <v>166</v>
      </c>
      <c r="B11" s="61" t="s">
        <v>51</v>
      </c>
      <c r="C11" s="62" t="s">
        <v>52</v>
      </c>
      <c r="D11" s="61" t="s">
        <v>1</v>
      </c>
      <c r="E11" s="61" t="s">
        <v>170</v>
      </c>
      <c r="F11" s="61" t="s">
        <v>53</v>
      </c>
      <c r="G11" s="63">
        <v>9</v>
      </c>
      <c r="H11" s="64">
        <v>902</v>
      </c>
    </row>
    <row r="12" spans="1:8" ht="19.8" customHeight="1" x14ac:dyDescent="0.3">
      <c r="A12" s="116" t="s">
        <v>166</v>
      </c>
      <c r="B12" s="73" t="s">
        <v>51</v>
      </c>
      <c r="C12" s="74" t="s">
        <v>56</v>
      </c>
      <c r="D12" s="73" t="s">
        <v>1</v>
      </c>
      <c r="E12" s="73" t="s">
        <v>171</v>
      </c>
      <c r="F12" s="73" t="s">
        <v>53</v>
      </c>
      <c r="G12" s="76">
        <v>9</v>
      </c>
      <c r="H12" s="105">
        <v>902</v>
      </c>
    </row>
    <row r="13" spans="1:8" ht="19.8" customHeight="1" x14ac:dyDescent="0.3">
      <c r="A13" s="101"/>
      <c r="B13" s="102"/>
      <c r="C13" s="102"/>
      <c r="D13" s="102"/>
      <c r="E13" s="102"/>
      <c r="F13" s="103" t="s">
        <v>205</v>
      </c>
      <c r="G13" s="102"/>
      <c r="H13" s="104"/>
    </row>
    <row r="14" spans="1:8" ht="19.8" customHeight="1" x14ac:dyDescent="0.3">
      <c r="A14" s="60" t="s">
        <v>222</v>
      </c>
      <c r="B14" s="61" t="s">
        <v>51</v>
      </c>
      <c r="C14" s="62" t="s">
        <v>52</v>
      </c>
      <c r="D14" s="61" t="s">
        <v>1</v>
      </c>
      <c r="E14" s="61" t="s">
        <v>214</v>
      </c>
      <c r="F14" s="61" t="s">
        <v>53</v>
      </c>
      <c r="G14" s="63">
        <v>9</v>
      </c>
      <c r="H14" s="65" t="s">
        <v>87</v>
      </c>
    </row>
    <row r="15" spans="1:8" ht="19.8" customHeight="1" x14ac:dyDescent="0.3">
      <c r="A15" s="60" t="s">
        <v>222</v>
      </c>
      <c r="B15" s="61" t="s">
        <v>51</v>
      </c>
      <c r="C15" s="62" t="s">
        <v>56</v>
      </c>
      <c r="D15" s="61" t="s">
        <v>1</v>
      </c>
      <c r="E15" s="61" t="s">
        <v>171</v>
      </c>
      <c r="F15" s="61" t="s">
        <v>53</v>
      </c>
      <c r="G15" s="63">
        <v>9</v>
      </c>
      <c r="H15" s="65" t="s">
        <v>87</v>
      </c>
    </row>
    <row r="16" spans="1:8" ht="19.8" customHeight="1" x14ac:dyDescent="0.3">
      <c r="A16" s="60" t="s">
        <v>222</v>
      </c>
      <c r="B16" s="61" t="s">
        <v>51</v>
      </c>
      <c r="C16" s="62" t="s">
        <v>58</v>
      </c>
      <c r="D16" s="61" t="s">
        <v>1</v>
      </c>
      <c r="E16" s="61" t="s">
        <v>172</v>
      </c>
      <c r="F16" s="61" t="s">
        <v>53</v>
      </c>
      <c r="G16" s="63">
        <v>9</v>
      </c>
      <c r="H16" s="65" t="s">
        <v>87</v>
      </c>
    </row>
    <row r="17" spans="1:8" ht="19.8" customHeight="1" x14ac:dyDescent="0.3">
      <c r="A17" s="60" t="s">
        <v>222</v>
      </c>
      <c r="B17" s="61" t="s">
        <v>51</v>
      </c>
      <c r="C17" s="62" t="s">
        <v>62</v>
      </c>
      <c r="D17" s="61" t="s">
        <v>1</v>
      </c>
      <c r="E17" s="61" t="s">
        <v>223</v>
      </c>
      <c r="F17" s="61" t="s">
        <v>53</v>
      </c>
      <c r="G17" s="63">
        <v>9</v>
      </c>
      <c r="H17" s="65" t="s">
        <v>87</v>
      </c>
    </row>
    <row r="18" spans="1:8" ht="19.8" customHeight="1" x14ac:dyDescent="0.3">
      <c r="A18" s="60" t="s">
        <v>222</v>
      </c>
      <c r="B18" s="61" t="s">
        <v>64</v>
      </c>
      <c r="C18" s="62" t="s">
        <v>72</v>
      </c>
      <c r="D18" s="61" t="s">
        <v>1</v>
      </c>
      <c r="E18" s="61" t="s">
        <v>167</v>
      </c>
      <c r="F18" s="61" t="s">
        <v>68</v>
      </c>
      <c r="G18" s="63">
        <v>4</v>
      </c>
      <c r="H18" s="65" t="s">
        <v>74</v>
      </c>
    </row>
    <row r="19" spans="1:8" ht="19.8" customHeight="1" x14ac:dyDescent="0.3">
      <c r="A19" s="60" t="s">
        <v>222</v>
      </c>
      <c r="B19" s="61" t="s">
        <v>64</v>
      </c>
      <c r="C19" s="62" t="s">
        <v>75</v>
      </c>
      <c r="D19" s="61" t="s">
        <v>1</v>
      </c>
      <c r="E19" s="61" t="s">
        <v>177</v>
      </c>
      <c r="F19" s="61" t="s">
        <v>66</v>
      </c>
      <c r="G19" s="63">
        <v>7</v>
      </c>
      <c r="H19" s="65" t="s">
        <v>90</v>
      </c>
    </row>
    <row r="20" spans="1:8" ht="19.8" customHeight="1" x14ac:dyDescent="0.3">
      <c r="A20" s="60" t="s">
        <v>222</v>
      </c>
      <c r="B20" s="61" t="s">
        <v>64</v>
      </c>
      <c r="C20" s="62" t="s">
        <v>71</v>
      </c>
      <c r="D20" s="61" t="s">
        <v>1</v>
      </c>
      <c r="E20" s="61" t="s">
        <v>175</v>
      </c>
      <c r="F20" s="61" t="s">
        <v>66</v>
      </c>
      <c r="G20" s="63">
        <v>6</v>
      </c>
      <c r="H20" s="65" t="s">
        <v>90</v>
      </c>
    </row>
    <row r="21" spans="1:8" ht="19.8" customHeight="1" x14ac:dyDescent="0.3">
      <c r="A21" s="60" t="s">
        <v>222</v>
      </c>
      <c r="B21" s="61" t="s">
        <v>64</v>
      </c>
      <c r="C21" s="62" t="s">
        <v>75</v>
      </c>
      <c r="D21" s="61" t="s">
        <v>1</v>
      </c>
      <c r="E21" s="61" t="s">
        <v>177</v>
      </c>
      <c r="F21" s="61" t="s">
        <v>68</v>
      </c>
      <c r="G21" s="63">
        <v>7</v>
      </c>
      <c r="H21" s="65" t="s">
        <v>92</v>
      </c>
    </row>
    <row r="22" spans="1:8" ht="19.8" customHeight="1" x14ac:dyDescent="0.3">
      <c r="A22" s="60" t="s">
        <v>222</v>
      </c>
      <c r="B22" s="61" t="s">
        <v>64</v>
      </c>
      <c r="C22" s="62" t="s">
        <v>71</v>
      </c>
      <c r="D22" s="61" t="s">
        <v>1</v>
      </c>
      <c r="E22" s="61" t="s">
        <v>175</v>
      </c>
      <c r="F22" s="61" t="s">
        <v>68</v>
      </c>
      <c r="G22" s="63">
        <v>6</v>
      </c>
      <c r="H22" s="65" t="s">
        <v>92</v>
      </c>
    </row>
    <row r="23" spans="1:8" ht="19.8" customHeight="1" x14ac:dyDescent="0.3">
      <c r="A23" s="116" t="s">
        <v>222</v>
      </c>
      <c r="B23" s="73" t="s">
        <v>64</v>
      </c>
      <c r="C23" s="74" t="s">
        <v>65</v>
      </c>
      <c r="D23" s="73" t="s">
        <v>1</v>
      </c>
      <c r="E23" s="73" t="s">
        <v>174</v>
      </c>
      <c r="F23" s="73" t="s">
        <v>66</v>
      </c>
      <c r="G23" s="76">
        <v>4</v>
      </c>
      <c r="H23" s="77" t="s">
        <v>77</v>
      </c>
    </row>
    <row r="24" spans="1:8" ht="19.8" customHeight="1" x14ac:dyDescent="0.3">
      <c r="A24" s="96" t="s">
        <v>224</v>
      </c>
      <c r="B24" s="97" t="s">
        <v>80</v>
      </c>
      <c r="C24" s="98" t="s">
        <v>225</v>
      </c>
      <c r="D24" s="97" t="s">
        <v>206</v>
      </c>
      <c r="E24" s="97" t="s">
        <v>215</v>
      </c>
      <c r="F24" s="97"/>
      <c r="G24" s="97"/>
      <c r="H24" s="117" t="s">
        <v>208</v>
      </c>
    </row>
    <row r="25" spans="1:8" ht="19.8" customHeight="1" x14ac:dyDescent="0.3">
      <c r="A25" s="101"/>
      <c r="B25" s="102"/>
      <c r="C25" s="102"/>
      <c r="D25" s="102"/>
      <c r="E25" s="102"/>
      <c r="F25" s="103" t="s">
        <v>205</v>
      </c>
      <c r="G25" s="102"/>
      <c r="H25" s="104"/>
    </row>
    <row r="26" spans="1:8" ht="19.8" customHeight="1" x14ac:dyDescent="0.3">
      <c r="A26" s="70">
        <v>45983</v>
      </c>
      <c r="B26" s="61" t="s">
        <v>36</v>
      </c>
      <c r="C26" s="62" t="s">
        <v>37</v>
      </c>
      <c r="D26" s="61" t="s">
        <v>1</v>
      </c>
      <c r="E26" s="71">
        <v>1.354166666666667</v>
      </c>
      <c r="F26" s="61" t="s">
        <v>38</v>
      </c>
      <c r="G26" s="63">
        <v>2</v>
      </c>
      <c r="H26" s="64">
        <v>609</v>
      </c>
    </row>
    <row r="27" spans="1:8" ht="19.8" customHeight="1" x14ac:dyDescent="0.3">
      <c r="A27" s="70">
        <v>45983</v>
      </c>
      <c r="B27" s="61" t="s">
        <v>36</v>
      </c>
      <c r="C27" s="62" t="s">
        <v>45</v>
      </c>
      <c r="D27" s="61" t="s">
        <v>1</v>
      </c>
      <c r="E27" s="71">
        <v>1.756944444444444</v>
      </c>
      <c r="F27" s="61" t="s">
        <v>38</v>
      </c>
      <c r="G27" s="63">
        <v>3</v>
      </c>
      <c r="H27" s="64">
        <v>609</v>
      </c>
    </row>
    <row r="28" spans="1:8" ht="19.8" customHeight="1" x14ac:dyDescent="0.3">
      <c r="A28" s="70">
        <v>45983</v>
      </c>
      <c r="B28" s="61" t="s">
        <v>26</v>
      </c>
      <c r="C28" s="62" t="s">
        <v>27</v>
      </c>
      <c r="D28" s="61" t="s">
        <v>1</v>
      </c>
      <c r="E28" s="71">
        <v>1.4201388888888891</v>
      </c>
      <c r="F28" s="61" t="s">
        <v>28</v>
      </c>
      <c r="G28" s="63">
        <v>8</v>
      </c>
      <c r="H28" s="64">
        <v>619</v>
      </c>
    </row>
    <row r="29" spans="1:8" ht="19.8" customHeight="1" x14ac:dyDescent="0.3">
      <c r="A29" s="70">
        <v>45983</v>
      </c>
      <c r="B29" s="61" t="s">
        <v>36</v>
      </c>
      <c r="C29" s="62" t="s">
        <v>37</v>
      </c>
      <c r="D29" s="61" t="s">
        <v>1</v>
      </c>
      <c r="E29" s="71">
        <v>1.354166666666667</v>
      </c>
      <c r="F29" s="61" t="s">
        <v>41</v>
      </c>
      <c r="G29" s="63">
        <v>2</v>
      </c>
      <c r="H29" s="64">
        <v>709</v>
      </c>
    </row>
    <row r="30" spans="1:8" ht="19.8" customHeight="1" x14ac:dyDescent="0.3">
      <c r="A30" s="70">
        <v>45983</v>
      </c>
      <c r="B30" s="61" t="s">
        <v>36</v>
      </c>
      <c r="C30" s="62" t="s">
        <v>45</v>
      </c>
      <c r="D30" s="61" t="s">
        <v>1</v>
      </c>
      <c r="E30" s="71">
        <v>1.756944444444444</v>
      </c>
      <c r="F30" s="61" t="s">
        <v>41</v>
      </c>
      <c r="G30" s="63">
        <v>3</v>
      </c>
      <c r="H30" s="64">
        <v>709</v>
      </c>
    </row>
    <row r="31" spans="1:8" ht="19.8" customHeight="1" x14ac:dyDescent="0.3">
      <c r="A31" s="70">
        <v>45983</v>
      </c>
      <c r="B31" s="61" t="s">
        <v>26</v>
      </c>
      <c r="C31" s="62" t="s">
        <v>27</v>
      </c>
      <c r="D31" s="61" t="s">
        <v>1</v>
      </c>
      <c r="E31" s="71">
        <v>1.4201388888888891</v>
      </c>
      <c r="F31" s="61" t="s">
        <v>31</v>
      </c>
      <c r="G31" s="63">
        <v>8</v>
      </c>
      <c r="H31" s="64">
        <v>769</v>
      </c>
    </row>
    <row r="32" spans="1:8" ht="19.8" customHeight="1" x14ac:dyDescent="0.3">
      <c r="A32" s="70">
        <v>45983</v>
      </c>
      <c r="B32" s="61" t="s">
        <v>36</v>
      </c>
      <c r="C32" s="62" t="s">
        <v>37</v>
      </c>
      <c r="D32" s="61" t="s">
        <v>1</v>
      </c>
      <c r="E32" s="71">
        <v>1.354166666666667</v>
      </c>
      <c r="F32" s="61" t="s">
        <v>43</v>
      </c>
      <c r="G32" s="63">
        <v>2</v>
      </c>
      <c r="H32" s="64">
        <v>799</v>
      </c>
    </row>
    <row r="33" spans="1:8" ht="19.8" customHeight="1" x14ac:dyDescent="0.3">
      <c r="A33" s="70">
        <v>45983</v>
      </c>
      <c r="B33" s="61" t="s">
        <v>36</v>
      </c>
      <c r="C33" s="62" t="s">
        <v>45</v>
      </c>
      <c r="D33" s="61" t="s">
        <v>1</v>
      </c>
      <c r="E33" s="71">
        <v>1.756944444444444</v>
      </c>
      <c r="F33" s="61" t="s">
        <v>43</v>
      </c>
      <c r="G33" s="63">
        <v>3</v>
      </c>
      <c r="H33" s="64">
        <v>799</v>
      </c>
    </row>
    <row r="34" spans="1:8" ht="19.8" customHeight="1" x14ac:dyDescent="0.3">
      <c r="A34" s="70">
        <v>45983</v>
      </c>
      <c r="B34" s="61" t="s">
        <v>51</v>
      </c>
      <c r="C34" s="62" t="s">
        <v>52</v>
      </c>
      <c r="D34" s="61" t="s">
        <v>1</v>
      </c>
      <c r="E34" s="71">
        <v>1.0972222222222221</v>
      </c>
      <c r="F34" s="61" t="s">
        <v>53</v>
      </c>
      <c r="G34" s="63">
        <v>9</v>
      </c>
      <c r="H34" s="65" t="s">
        <v>102</v>
      </c>
    </row>
    <row r="35" spans="1:8" ht="19.8" customHeight="1" x14ac:dyDescent="0.3">
      <c r="A35" s="72">
        <v>45983</v>
      </c>
      <c r="B35" s="73" t="s">
        <v>26</v>
      </c>
      <c r="C35" s="74" t="s">
        <v>27</v>
      </c>
      <c r="D35" s="73" t="s">
        <v>1</v>
      </c>
      <c r="E35" s="75">
        <v>1.4201388888888891</v>
      </c>
      <c r="F35" s="73" t="s">
        <v>34</v>
      </c>
      <c r="G35" s="76">
        <v>8</v>
      </c>
      <c r="H35" s="77" t="s">
        <v>35</v>
      </c>
    </row>
  </sheetData>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74.5546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205</v>
      </c>
      <c r="G2" s="102"/>
      <c r="H2" s="104"/>
    </row>
    <row r="3" spans="1:8" ht="19.8" customHeight="1" x14ac:dyDescent="0.3">
      <c r="A3" s="60" t="s">
        <v>166</v>
      </c>
      <c r="B3" s="61" t="s">
        <v>26</v>
      </c>
      <c r="C3" s="62" t="s">
        <v>27</v>
      </c>
      <c r="D3" s="61" t="s">
        <v>1</v>
      </c>
      <c r="E3" s="61" t="s">
        <v>167</v>
      </c>
      <c r="F3" s="61" t="s">
        <v>28</v>
      </c>
      <c r="G3" s="63">
        <v>12</v>
      </c>
      <c r="H3" s="64">
        <v>559</v>
      </c>
    </row>
    <row r="4" spans="1:8" ht="19.8" customHeight="1" x14ac:dyDescent="0.3">
      <c r="A4" s="60" t="s">
        <v>166</v>
      </c>
      <c r="B4" s="61" t="s">
        <v>36</v>
      </c>
      <c r="C4" s="62" t="s">
        <v>37</v>
      </c>
      <c r="D4" s="61" t="s">
        <v>1</v>
      </c>
      <c r="E4" s="61" t="s">
        <v>168</v>
      </c>
      <c r="F4" s="61" t="s">
        <v>38</v>
      </c>
      <c r="G4" s="63">
        <v>6</v>
      </c>
      <c r="H4" s="64">
        <v>609</v>
      </c>
    </row>
    <row r="5" spans="1:8" ht="19.8" customHeight="1" x14ac:dyDescent="0.3">
      <c r="A5" s="60" t="s">
        <v>166</v>
      </c>
      <c r="B5" s="61" t="s">
        <v>36</v>
      </c>
      <c r="C5" s="62" t="s">
        <v>45</v>
      </c>
      <c r="D5" s="61" t="s">
        <v>1</v>
      </c>
      <c r="E5" s="61" t="s">
        <v>169</v>
      </c>
      <c r="F5" s="61" t="s">
        <v>38</v>
      </c>
      <c r="G5" s="63">
        <v>9</v>
      </c>
      <c r="H5" s="64">
        <v>689</v>
      </c>
    </row>
    <row r="6" spans="1:8" ht="19.8" customHeight="1" x14ac:dyDescent="0.3">
      <c r="A6" s="60" t="s">
        <v>166</v>
      </c>
      <c r="B6" s="61" t="s">
        <v>26</v>
      </c>
      <c r="C6" s="62" t="s">
        <v>27</v>
      </c>
      <c r="D6" s="61" t="s">
        <v>1</v>
      </c>
      <c r="E6" s="61" t="s">
        <v>167</v>
      </c>
      <c r="F6" s="61" t="s">
        <v>31</v>
      </c>
      <c r="G6" s="63">
        <v>12</v>
      </c>
      <c r="H6" s="64">
        <v>709</v>
      </c>
    </row>
    <row r="7" spans="1:8" ht="19.8" customHeight="1" x14ac:dyDescent="0.3">
      <c r="A7" s="60" t="s">
        <v>166</v>
      </c>
      <c r="B7" s="61" t="s">
        <v>36</v>
      </c>
      <c r="C7" s="62" t="s">
        <v>37</v>
      </c>
      <c r="D7" s="61" t="s">
        <v>1</v>
      </c>
      <c r="E7" s="61" t="s">
        <v>168</v>
      </c>
      <c r="F7" s="61" t="s">
        <v>41</v>
      </c>
      <c r="G7" s="63">
        <v>6</v>
      </c>
      <c r="H7" s="64">
        <v>709</v>
      </c>
    </row>
    <row r="8" spans="1:8" ht="19.8" customHeight="1" x14ac:dyDescent="0.3">
      <c r="A8" s="60" t="s">
        <v>166</v>
      </c>
      <c r="B8" s="61" t="s">
        <v>36</v>
      </c>
      <c r="C8" s="62" t="s">
        <v>45</v>
      </c>
      <c r="D8" s="61" t="s">
        <v>1</v>
      </c>
      <c r="E8" s="61" t="s">
        <v>169</v>
      </c>
      <c r="F8" s="61" t="s">
        <v>41</v>
      </c>
      <c r="G8" s="63">
        <v>9</v>
      </c>
      <c r="H8" s="64">
        <v>789</v>
      </c>
    </row>
    <row r="9" spans="1:8" ht="19.8" customHeight="1" x14ac:dyDescent="0.3">
      <c r="A9" s="60" t="s">
        <v>166</v>
      </c>
      <c r="B9" s="61" t="s">
        <v>36</v>
      </c>
      <c r="C9" s="62" t="s">
        <v>37</v>
      </c>
      <c r="D9" s="61" t="s">
        <v>1</v>
      </c>
      <c r="E9" s="61" t="s">
        <v>168</v>
      </c>
      <c r="F9" s="61" t="s">
        <v>43</v>
      </c>
      <c r="G9" s="63">
        <v>6</v>
      </c>
      <c r="H9" s="64">
        <v>799</v>
      </c>
    </row>
    <row r="10" spans="1:8" ht="19.8" customHeight="1" x14ac:dyDescent="0.3">
      <c r="A10" s="60" t="s">
        <v>166</v>
      </c>
      <c r="B10" s="61" t="s">
        <v>36</v>
      </c>
      <c r="C10" s="62" t="s">
        <v>45</v>
      </c>
      <c r="D10" s="61" t="s">
        <v>1</v>
      </c>
      <c r="E10" s="61" t="s">
        <v>169</v>
      </c>
      <c r="F10" s="61" t="s">
        <v>43</v>
      </c>
      <c r="G10" s="63">
        <v>9</v>
      </c>
      <c r="H10" s="64">
        <v>879</v>
      </c>
    </row>
    <row r="11" spans="1:8" ht="19.8" customHeight="1" x14ac:dyDescent="0.3">
      <c r="A11" s="60" t="s">
        <v>166</v>
      </c>
      <c r="B11" s="61" t="s">
        <v>51</v>
      </c>
      <c r="C11" s="62" t="s">
        <v>52</v>
      </c>
      <c r="D11" s="61" t="s">
        <v>1</v>
      </c>
      <c r="E11" s="61" t="s">
        <v>170</v>
      </c>
      <c r="F11" s="61" t="s">
        <v>53</v>
      </c>
      <c r="G11" s="63">
        <v>9</v>
      </c>
      <c r="H11" s="64">
        <v>902</v>
      </c>
    </row>
    <row r="12" spans="1:8" ht="19.8" customHeight="1" x14ac:dyDescent="0.3">
      <c r="A12" s="116" t="s">
        <v>166</v>
      </c>
      <c r="B12" s="73" t="s">
        <v>51</v>
      </c>
      <c r="C12" s="74" t="s">
        <v>56</v>
      </c>
      <c r="D12" s="73" t="s">
        <v>1</v>
      </c>
      <c r="E12" s="73" t="s">
        <v>171</v>
      </c>
      <c r="F12" s="73" t="s">
        <v>53</v>
      </c>
      <c r="G12" s="76">
        <v>9</v>
      </c>
      <c r="H12" s="105">
        <v>902</v>
      </c>
    </row>
    <row r="13" spans="1:8" ht="19.8" customHeight="1" x14ac:dyDescent="0.3">
      <c r="A13" s="101"/>
      <c r="B13" s="102"/>
      <c r="C13" s="102"/>
      <c r="D13" s="102"/>
      <c r="E13" s="102"/>
      <c r="F13" s="103" t="s">
        <v>205</v>
      </c>
      <c r="G13" s="102"/>
      <c r="H13" s="104"/>
    </row>
    <row r="14" spans="1:8" ht="19.8" customHeight="1" x14ac:dyDescent="0.3">
      <c r="A14" s="60" t="s">
        <v>222</v>
      </c>
      <c r="B14" s="61" t="s">
        <v>51</v>
      </c>
      <c r="C14" s="62" t="s">
        <v>52</v>
      </c>
      <c r="D14" s="61" t="s">
        <v>1</v>
      </c>
      <c r="E14" s="61" t="s">
        <v>214</v>
      </c>
      <c r="F14" s="61" t="s">
        <v>53</v>
      </c>
      <c r="G14" s="63">
        <v>9</v>
      </c>
      <c r="H14" s="65" t="s">
        <v>87</v>
      </c>
    </row>
    <row r="15" spans="1:8" ht="19.8" customHeight="1" x14ac:dyDescent="0.3">
      <c r="A15" s="60" t="s">
        <v>222</v>
      </c>
      <c r="B15" s="61" t="s">
        <v>51</v>
      </c>
      <c r="C15" s="62" t="s">
        <v>56</v>
      </c>
      <c r="D15" s="61" t="s">
        <v>1</v>
      </c>
      <c r="E15" s="61" t="s">
        <v>171</v>
      </c>
      <c r="F15" s="61" t="s">
        <v>53</v>
      </c>
      <c r="G15" s="63">
        <v>9</v>
      </c>
      <c r="H15" s="65" t="s">
        <v>87</v>
      </c>
    </row>
    <row r="16" spans="1:8" ht="19.8" customHeight="1" x14ac:dyDescent="0.3">
      <c r="A16" s="60" t="s">
        <v>222</v>
      </c>
      <c r="B16" s="61" t="s">
        <v>51</v>
      </c>
      <c r="C16" s="62" t="s">
        <v>58</v>
      </c>
      <c r="D16" s="61" t="s">
        <v>1</v>
      </c>
      <c r="E16" s="61" t="s">
        <v>172</v>
      </c>
      <c r="F16" s="61" t="s">
        <v>53</v>
      </c>
      <c r="G16" s="63">
        <v>9</v>
      </c>
      <c r="H16" s="65" t="s">
        <v>87</v>
      </c>
    </row>
    <row r="17" spans="1:8" ht="19.8" customHeight="1" x14ac:dyDescent="0.3">
      <c r="A17" s="60" t="s">
        <v>222</v>
      </c>
      <c r="B17" s="61" t="s">
        <v>51</v>
      </c>
      <c r="C17" s="62" t="s">
        <v>62</v>
      </c>
      <c r="D17" s="61" t="s">
        <v>1</v>
      </c>
      <c r="E17" s="61" t="s">
        <v>223</v>
      </c>
      <c r="F17" s="61" t="s">
        <v>53</v>
      </c>
      <c r="G17" s="63">
        <v>9</v>
      </c>
      <c r="H17" s="65" t="s">
        <v>87</v>
      </c>
    </row>
    <row r="18" spans="1:8" ht="19.8" customHeight="1" x14ac:dyDescent="0.3">
      <c r="A18" s="60" t="s">
        <v>222</v>
      </c>
      <c r="B18" s="61" t="s">
        <v>64</v>
      </c>
      <c r="C18" s="62" t="s">
        <v>72</v>
      </c>
      <c r="D18" s="61" t="s">
        <v>1</v>
      </c>
      <c r="E18" s="61" t="s">
        <v>167</v>
      </c>
      <c r="F18" s="61" t="s">
        <v>68</v>
      </c>
      <c r="G18" s="63">
        <v>4</v>
      </c>
      <c r="H18" s="65" t="s">
        <v>74</v>
      </c>
    </row>
    <row r="19" spans="1:8" ht="19.8" customHeight="1" x14ac:dyDescent="0.3">
      <c r="A19" s="60" t="s">
        <v>222</v>
      </c>
      <c r="B19" s="61" t="s">
        <v>64</v>
      </c>
      <c r="C19" s="62" t="s">
        <v>75</v>
      </c>
      <c r="D19" s="61" t="s">
        <v>1</v>
      </c>
      <c r="E19" s="61" t="s">
        <v>177</v>
      </c>
      <c r="F19" s="61" t="s">
        <v>66</v>
      </c>
      <c r="G19" s="63">
        <v>7</v>
      </c>
      <c r="H19" s="65" t="s">
        <v>90</v>
      </c>
    </row>
    <row r="20" spans="1:8" ht="19.8" customHeight="1" x14ac:dyDescent="0.3">
      <c r="A20" s="60" t="s">
        <v>222</v>
      </c>
      <c r="B20" s="61" t="s">
        <v>64</v>
      </c>
      <c r="C20" s="62" t="s">
        <v>71</v>
      </c>
      <c r="D20" s="61" t="s">
        <v>1</v>
      </c>
      <c r="E20" s="61" t="s">
        <v>175</v>
      </c>
      <c r="F20" s="61" t="s">
        <v>66</v>
      </c>
      <c r="G20" s="63">
        <v>6</v>
      </c>
      <c r="H20" s="65" t="s">
        <v>90</v>
      </c>
    </row>
    <row r="21" spans="1:8" ht="19.8" customHeight="1" x14ac:dyDescent="0.3">
      <c r="A21" s="60" t="s">
        <v>222</v>
      </c>
      <c r="B21" s="61" t="s">
        <v>64</v>
      </c>
      <c r="C21" s="62" t="s">
        <v>75</v>
      </c>
      <c r="D21" s="61" t="s">
        <v>1</v>
      </c>
      <c r="E21" s="61" t="s">
        <v>177</v>
      </c>
      <c r="F21" s="61" t="s">
        <v>68</v>
      </c>
      <c r="G21" s="63">
        <v>7</v>
      </c>
      <c r="H21" s="65" t="s">
        <v>92</v>
      </c>
    </row>
    <row r="22" spans="1:8" ht="19.8" customHeight="1" x14ac:dyDescent="0.3">
      <c r="A22" s="60" t="s">
        <v>222</v>
      </c>
      <c r="B22" s="61" t="s">
        <v>64</v>
      </c>
      <c r="C22" s="62" t="s">
        <v>71</v>
      </c>
      <c r="D22" s="61" t="s">
        <v>1</v>
      </c>
      <c r="E22" s="61" t="s">
        <v>175</v>
      </c>
      <c r="F22" s="61" t="s">
        <v>68</v>
      </c>
      <c r="G22" s="63">
        <v>6</v>
      </c>
      <c r="H22" s="65" t="s">
        <v>92</v>
      </c>
    </row>
    <row r="23" spans="1:8" ht="19.8" customHeight="1" x14ac:dyDescent="0.3">
      <c r="A23" s="116" t="s">
        <v>222</v>
      </c>
      <c r="B23" s="73" t="s">
        <v>64</v>
      </c>
      <c r="C23" s="74" t="s">
        <v>65</v>
      </c>
      <c r="D23" s="73" t="s">
        <v>1</v>
      </c>
      <c r="E23" s="73" t="s">
        <v>174</v>
      </c>
      <c r="F23" s="73" t="s">
        <v>66</v>
      </c>
      <c r="G23" s="76">
        <v>4</v>
      </c>
      <c r="H23" s="77" t="s">
        <v>77</v>
      </c>
    </row>
    <row r="24" spans="1:8" ht="19.8" customHeight="1" x14ac:dyDescent="0.3">
      <c r="A24" s="96" t="s">
        <v>224</v>
      </c>
      <c r="B24" s="97" t="s">
        <v>80</v>
      </c>
      <c r="C24" s="98" t="s">
        <v>225</v>
      </c>
      <c r="D24" s="97" t="s">
        <v>206</v>
      </c>
      <c r="E24" s="97" t="s">
        <v>215</v>
      </c>
      <c r="F24" s="97"/>
      <c r="G24" s="97"/>
      <c r="H24" s="117" t="s">
        <v>208</v>
      </c>
    </row>
    <row r="25" spans="1:8" ht="19.8" customHeight="1" x14ac:dyDescent="0.3">
      <c r="A25" s="101"/>
      <c r="B25" s="102"/>
      <c r="C25" s="102"/>
      <c r="D25" s="102"/>
      <c r="E25" s="102"/>
      <c r="F25" s="103" t="s">
        <v>205</v>
      </c>
      <c r="G25" s="102"/>
      <c r="H25" s="104"/>
    </row>
    <row r="26" spans="1:8" ht="19.8" customHeight="1" x14ac:dyDescent="0.3">
      <c r="A26" s="70">
        <v>45983</v>
      </c>
      <c r="B26" s="61" t="s">
        <v>36</v>
      </c>
      <c r="C26" s="62" t="s">
        <v>37</v>
      </c>
      <c r="D26" s="61" t="s">
        <v>1</v>
      </c>
      <c r="E26" s="71">
        <v>1.354166666666667</v>
      </c>
      <c r="F26" s="61" t="s">
        <v>38</v>
      </c>
      <c r="G26" s="63">
        <v>2</v>
      </c>
      <c r="H26" s="64">
        <v>609</v>
      </c>
    </row>
    <row r="27" spans="1:8" ht="19.8" customHeight="1" x14ac:dyDescent="0.3">
      <c r="A27" s="70">
        <v>45983</v>
      </c>
      <c r="B27" s="61" t="s">
        <v>36</v>
      </c>
      <c r="C27" s="62" t="s">
        <v>45</v>
      </c>
      <c r="D27" s="61" t="s">
        <v>1</v>
      </c>
      <c r="E27" s="71">
        <v>1.756944444444444</v>
      </c>
      <c r="F27" s="61" t="s">
        <v>38</v>
      </c>
      <c r="G27" s="63">
        <v>3</v>
      </c>
      <c r="H27" s="64">
        <v>609</v>
      </c>
    </row>
    <row r="28" spans="1:8" ht="19.8" customHeight="1" x14ac:dyDescent="0.3">
      <c r="A28" s="70">
        <v>45983</v>
      </c>
      <c r="B28" s="61" t="s">
        <v>26</v>
      </c>
      <c r="C28" s="62" t="s">
        <v>27</v>
      </c>
      <c r="D28" s="61" t="s">
        <v>1</v>
      </c>
      <c r="E28" s="71">
        <v>1.4201388888888891</v>
      </c>
      <c r="F28" s="61" t="s">
        <v>28</v>
      </c>
      <c r="G28" s="63">
        <v>8</v>
      </c>
      <c r="H28" s="64">
        <v>619</v>
      </c>
    </row>
    <row r="29" spans="1:8" ht="19.8" customHeight="1" x14ac:dyDescent="0.3">
      <c r="A29" s="70">
        <v>45983</v>
      </c>
      <c r="B29" s="61" t="s">
        <v>36</v>
      </c>
      <c r="C29" s="62" t="s">
        <v>37</v>
      </c>
      <c r="D29" s="61" t="s">
        <v>1</v>
      </c>
      <c r="E29" s="71">
        <v>1.354166666666667</v>
      </c>
      <c r="F29" s="61" t="s">
        <v>41</v>
      </c>
      <c r="G29" s="63">
        <v>2</v>
      </c>
      <c r="H29" s="64">
        <v>709</v>
      </c>
    </row>
    <row r="30" spans="1:8" ht="19.8" customHeight="1" x14ac:dyDescent="0.3">
      <c r="A30" s="70">
        <v>45983</v>
      </c>
      <c r="B30" s="61" t="s">
        <v>36</v>
      </c>
      <c r="C30" s="62" t="s">
        <v>45</v>
      </c>
      <c r="D30" s="61" t="s">
        <v>1</v>
      </c>
      <c r="E30" s="71">
        <v>1.756944444444444</v>
      </c>
      <c r="F30" s="61" t="s">
        <v>41</v>
      </c>
      <c r="G30" s="63">
        <v>3</v>
      </c>
      <c r="H30" s="64">
        <v>709</v>
      </c>
    </row>
    <row r="31" spans="1:8" ht="19.8" customHeight="1" x14ac:dyDescent="0.3">
      <c r="A31" s="70">
        <v>45983</v>
      </c>
      <c r="B31" s="61" t="s">
        <v>26</v>
      </c>
      <c r="C31" s="62" t="s">
        <v>27</v>
      </c>
      <c r="D31" s="61" t="s">
        <v>1</v>
      </c>
      <c r="E31" s="71">
        <v>1.4201388888888891</v>
      </c>
      <c r="F31" s="61" t="s">
        <v>31</v>
      </c>
      <c r="G31" s="63">
        <v>8</v>
      </c>
      <c r="H31" s="64">
        <v>769</v>
      </c>
    </row>
    <row r="32" spans="1:8" ht="19.8" customHeight="1" x14ac:dyDescent="0.3">
      <c r="A32" s="70">
        <v>45983</v>
      </c>
      <c r="B32" s="61" t="s">
        <v>36</v>
      </c>
      <c r="C32" s="62" t="s">
        <v>37</v>
      </c>
      <c r="D32" s="61" t="s">
        <v>1</v>
      </c>
      <c r="E32" s="71">
        <v>1.354166666666667</v>
      </c>
      <c r="F32" s="61" t="s">
        <v>43</v>
      </c>
      <c r="G32" s="63">
        <v>2</v>
      </c>
      <c r="H32" s="64">
        <v>799</v>
      </c>
    </row>
    <row r="33" spans="1:8" ht="19.8" customHeight="1" x14ac:dyDescent="0.3">
      <c r="A33" s="70">
        <v>45983</v>
      </c>
      <c r="B33" s="61" t="s">
        <v>36</v>
      </c>
      <c r="C33" s="62" t="s">
        <v>45</v>
      </c>
      <c r="D33" s="61" t="s">
        <v>1</v>
      </c>
      <c r="E33" s="71">
        <v>1.756944444444444</v>
      </c>
      <c r="F33" s="61" t="s">
        <v>43</v>
      </c>
      <c r="G33" s="63">
        <v>3</v>
      </c>
      <c r="H33" s="64">
        <v>799</v>
      </c>
    </row>
    <row r="34" spans="1:8" ht="19.8" customHeight="1" x14ac:dyDescent="0.3">
      <c r="A34" s="70">
        <v>45983</v>
      </c>
      <c r="B34" s="61" t="s">
        <v>51</v>
      </c>
      <c r="C34" s="62" t="s">
        <v>52</v>
      </c>
      <c r="D34" s="61" t="s">
        <v>1</v>
      </c>
      <c r="E34" s="71">
        <v>1.0972222222222221</v>
      </c>
      <c r="F34" s="61" t="s">
        <v>53</v>
      </c>
      <c r="G34" s="63">
        <v>9</v>
      </c>
      <c r="H34" s="65" t="s">
        <v>102</v>
      </c>
    </row>
    <row r="35" spans="1:8" ht="19.8" customHeight="1" x14ac:dyDescent="0.3">
      <c r="A35" s="72">
        <v>45983</v>
      </c>
      <c r="B35" s="73" t="s">
        <v>26</v>
      </c>
      <c r="C35" s="74" t="s">
        <v>27</v>
      </c>
      <c r="D35" s="73" t="s">
        <v>1</v>
      </c>
      <c r="E35" s="75">
        <v>1.4201388888888891</v>
      </c>
      <c r="F35" s="73" t="s">
        <v>34</v>
      </c>
      <c r="G35" s="76">
        <v>8</v>
      </c>
      <c r="H35" s="77" t="s">
        <v>35</v>
      </c>
    </row>
  </sheetData>
  <pageMargins left="0.75" right="0.75" top="1" bottom="1" header="0.5" footer="0.5"/>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224"/>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257" t="s">
        <v>0</v>
      </c>
      <c r="B1" s="248"/>
      <c r="C1" s="248"/>
      <c r="D1" s="248"/>
      <c r="E1" s="248"/>
      <c r="F1" s="1" t="s">
        <v>226</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45980.430540921407</v>
      </c>
      <c r="H2" s="248"/>
      <c r="I2" s="248"/>
      <c r="J2" s="248"/>
      <c r="K2" s="259">
        <v>45980.430540921749</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227</v>
      </c>
      <c r="C6" s="9">
        <v>0.25694444444444448</v>
      </c>
      <c r="D6" s="8" t="s">
        <v>38</v>
      </c>
      <c r="E6" s="8" t="s">
        <v>228</v>
      </c>
      <c r="F6" s="8" t="s">
        <v>229</v>
      </c>
      <c r="G6" s="267"/>
      <c r="H6" s="10"/>
      <c r="I6" s="11"/>
      <c r="J6" s="11"/>
      <c r="K6" s="11"/>
      <c r="L6" s="11"/>
      <c r="M6" s="11"/>
      <c r="N6" s="11"/>
      <c r="O6" s="12"/>
      <c r="P6" s="11"/>
      <c r="Q6" s="13"/>
      <c r="R6" s="14"/>
    </row>
    <row r="7" spans="1:92" ht="15" customHeight="1" x14ac:dyDescent="0.3">
      <c r="A7" s="15" t="s">
        <v>36</v>
      </c>
      <c r="B7" s="15" t="s">
        <v>227</v>
      </c>
      <c r="C7" s="16">
        <v>0.25694444444444448</v>
      </c>
      <c r="D7" s="15" t="s">
        <v>41</v>
      </c>
      <c r="E7" s="15" t="s">
        <v>48</v>
      </c>
      <c r="F7" s="15" t="s">
        <v>47</v>
      </c>
      <c r="G7" s="251"/>
      <c r="H7" s="10"/>
      <c r="I7" s="11"/>
      <c r="J7" s="11"/>
      <c r="K7" s="11"/>
      <c r="L7" s="11"/>
      <c r="M7" s="11"/>
      <c r="N7" s="11"/>
      <c r="O7" s="12"/>
      <c r="P7" s="11"/>
      <c r="Q7" s="13"/>
      <c r="R7" s="14"/>
    </row>
    <row r="8" spans="1:92" ht="15" customHeight="1" x14ac:dyDescent="0.3">
      <c r="A8" s="15" t="s">
        <v>36</v>
      </c>
      <c r="B8" s="15" t="s">
        <v>227</v>
      </c>
      <c r="C8" s="16">
        <v>0.25694444444444448</v>
      </c>
      <c r="D8" s="15" t="s">
        <v>43</v>
      </c>
      <c r="E8" s="15" t="s">
        <v>48</v>
      </c>
      <c r="F8" s="15" t="s">
        <v>230</v>
      </c>
      <c r="G8" s="251"/>
      <c r="H8" s="10"/>
      <c r="I8" s="11"/>
      <c r="J8" s="11"/>
      <c r="K8" s="11"/>
      <c r="L8" s="11"/>
      <c r="M8" s="11"/>
      <c r="N8" s="11"/>
      <c r="O8" s="12"/>
      <c r="P8" s="11"/>
      <c r="Q8" s="13"/>
      <c r="R8" s="14"/>
    </row>
    <row r="9" spans="1:92" ht="15" customHeight="1" x14ac:dyDescent="0.3">
      <c r="A9" s="19" t="s">
        <v>36</v>
      </c>
      <c r="B9" s="19" t="s">
        <v>231</v>
      </c>
      <c r="C9" s="20">
        <v>0.30208333333333331</v>
      </c>
      <c r="D9" s="19" t="s">
        <v>38</v>
      </c>
      <c r="E9" s="19" t="s">
        <v>89</v>
      </c>
      <c r="F9" s="19" t="s">
        <v>229</v>
      </c>
      <c r="G9" s="251"/>
      <c r="H9" s="10"/>
      <c r="I9" s="11"/>
      <c r="J9" s="11"/>
      <c r="K9" s="11"/>
      <c r="L9" s="11"/>
      <c r="M9" s="11"/>
      <c r="N9" s="11"/>
      <c r="O9" s="12"/>
      <c r="P9" s="11"/>
      <c r="Q9" s="13"/>
      <c r="R9" s="14"/>
    </row>
    <row r="10" spans="1:92" ht="15" customHeight="1" x14ac:dyDescent="0.3">
      <c r="A10" s="15" t="s">
        <v>36</v>
      </c>
      <c r="B10" s="15" t="s">
        <v>231</v>
      </c>
      <c r="C10" s="16">
        <v>0.30208333333333331</v>
      </c>
      <c r="D10" s="15" t="s">
        <v>41</v>
      </c>
      <c r="E10" s="15" t="s">
        <v>91</v>
      </c>
      <c r="F10" s="15" t="s">
        <v>47</v>
      </c>
      <c r="G10" s="251"/>
      <c r="H10" s="10"/>
      <c r="I10" s="11"/>
      <c r="J10" s="11"/>
      <c r="K10" s="11"/>
      <c r="L10" s="11"/>
      <c r="M10" s="11"/>
      <c r="N10" s="11"/>
      <c r="O10" s="12"/>
      <c r="P10" s="11"/>
      <c r="Q10" s="13"/>
      <c r="R10" s="14"/>
    </row>
    <row r="11" spans="1:92" ht="15" customHeight="1" x14ac:dyDescent="0.3">
      <c r="A11" s="15" t="s">
        <v>36</v>
      </c>
      <c r="B11" s="15" t="s">
        <v>231</v>
      </c>
      <c r="C11" s="16">
        <v>0.30208333333333331</v>
      </c>
      <c r="D11" s="15" t="s">
        <v>43</v>
      </c>
      <c r="E11" s="15" t="s">
        <v>91</v>
      </c>
      <c r="F11" s="15" t="s">
        <v>230</v>
      </c>
      <c r="G11" s="251"/>
      <c r="H11" s="10"/>
      <c r="I11" s="11"/>
      <c r="J11" s="11"/>
      <c r="K11" s="11"/>
      <c r="L11" s="11"/>
      <c r="M11" s="11"/>
      <c r="N11" s="11"/>
      <c r="O11" s="12"/>
      <c r="P11" s="11"/>
      <c r="Q11" s="13"/>
      <c r="R11" s="14"/>
    </row>
    <row r="12" spans="1:92" ht="15" customHeight="1" x14ac:dyDescent="0.3">
      <c r="A12" s="19" t="s">
        <v>36</v>
      </c>
      <c r="B12" s="19" t="s">
        <v>232</v>
      </c>
      <c r="C12" s="20">
        <v>0.85416666666666663</v>
      </c>
      <c r="D12" s="19" t="s">
        <v>38</v>
      </c>
      <c r="E12" s="19" t="s">
        <v>46</v>
      </c>
      <c r="F12" s="19" t="s">
        <v>233</v>
      </c>
      <c r="G12" s="251"/>
      <c r="H12" s="10"/>
      <c r="I12" s="11"/>
      <c r="J12" s="11"/>
      <c r="K12" s="11"/>
      <c r="L12" s="11"/>
      <c r="M12" s="11"/>
      <c r="N12" s="11"/>
      <c r="O12" s="12"/>
      <c r="P12" s="11"/>
      <c r="Q12" s="13"/>
      <c r="R12" s="14"/>
    </row>
    <row r="13" spans="1:92" ht="15" customHeight="1" x14ac:dyDescent="0.3">
      <c r="A13" s="15" t="s">
        <v>36</v>
      </c>
      <c r="B13" s="15" t="s">
        <v>232</v>
      </c>
      <c r="C13" s="16">
        <v>0.85416666666666663</v>
      </c>
      <c r="D13" s="15" t="s">
        <v>41</v>
      </c>
      <c r="E13" s="15" t="s">
        <v>48</v>
      </c>
      <c r="F13" s="15" t="s">
        <v>101</v>
      </c>
      <c r="G13" s="251"/>
      <c r="H13" s="10"/>
      <c r="I13" s="11"/>
      <c r="J13" s="11"/>
      <c r="K13" s="11"/>
      <c r="L13" s="11"/>
      <c r="M13" s="11"/>
      <c r="N13" s="11"/>
      <c r="O13" s="12"/>
      <c r="P13" s="11"/>
      <c r="Q13" s="13"/>
      <c r="R13" s="14"/>
    </row>
    <row r="14" spans="1:92" ht="15" customHeight="1" x14ac:dyDescent="0.3">
      <c r="A14" s="15" t="s">
        <v>36</v>
      </c>
      <c r="B14" s="15" t="s">
        <v>232</v>
      </c>
      <c r="C14" s="16">
        <v>0.85416666666666663</v>
      </c>
      <c r="D14" s="15" t="s">
        <v>43</v>
      </c>
      <c r="E14" s="15" t="s">
        <v>48</v>
      </c>
      <c r="F14" s="15" t="s">
        <v>234</v>
      </c>
      <c r="G14" s="251"/>
      <c r="H14" s="10"/>
      <c r="I14" s="11"/>
      <c r="J14" s="11"/>
      <c r="K14" s="11"/>
      <c r="L14" s="11"/>
      <c r="M14" s="11"/>
      <c r="N14" s="11"/>
      <c r="O14" s="12"/>
      <c r="P14" s="11"/>
      <c r="Q14" s="13"/>
      <c r="R14" s="14"/>
    </row>
    <row r="15" spans="1:92" ht="15" customHeight="1" x14ac:dyDescent="0.3">
      <c r="A15" s="19" t="s">
        <v>36</v>
      </c>
      <c r="B15" s="19" t="s">
        <v>235</v>
      </c>
      <c r="C15" s="20">
        <v>0.90277777777777779</v>
      </c>
      <c r="D15" s="19" t="s">
        <v>38</v>
      </c>
      <c r="E15" s="19" t="s">
        <v>46</v>
      </c>
      <c r="F15" s="19" t="s">
        <v>233</v>
      </c>
      <c r="G15" s="251"/>
      <c r="H15" s="10"/>
      <c r="I15" s="11"/>
      <c r="J15" s="11"/>
      <c r="K15" s="11"/>
      <c r="L15" s="11"/>
      <c r="M15" s="11"/>
      <c r="N15" s="11"/>
      <c r="O15" s="12"/>
      <c r="P15" s="11"/>
      <c r="Q15" s="13"/>
      <c r="R15" s="14"/>
    </row>
    <row r="16" spans="1:92" ht="15" customHeight="1" x14ac:dyDescent="0.3">
      <c r="A16" s="15" t="s">
        <v>36</v>
      </c>
      <c r="B16" s="15" t="s">
        <v>235</v>
      </c>
      <c r="C16" s="16">
        <v>0.90277777777777779</v>
      </c>
      <c r="D16" s="15" t="s">
        <v>41</v>
      </c>
      <c r="E16" s="15" t="s">
        <v>48</v>
      </c>
      <c r="F16" s="15" t="s">
        <v>101</v>
      </c>
      <c r="G16" s="251"/>
      <c r="H16" s="10"/>
      <c r="I16" s="11"/>
      <c r="J16" s="11"/>
      <c r="K16" s="11"/>
      <c r="L16" s="11"/>
      <c r="M16" s="11"/>
      <c r="N16" s="11"/>
      <c r="O16" s="12"/>
      <c r="P16" s="11"/>
      <c r="Q16" s="13"/>
      <c r="R16" s="14"/>
    </row>
    <row r="17" spans="1:18" ht="15" customHeight="1" x14ac:dyDescent="0.3">
      <c r="A17" s="15" t="s">
        <v>36</v>
      </c>
      <c r="B17" s="15" t="s">
        <v>235</v>
      </c>
      <c r="C17" s="16">
        <v>0.90277777777777779</v>
      </c>
      <c r="D17" s="15" t="s">
        <v>43</v>
      </c>
      <c r="E17" s="15" t="s">
        <v>48</v>
      </c>
      <c r="F17" s="15" t="s">
        <v>234</v>
      </c>
      <c r="G17" s="251"/>
      <c r="H17" s="10"/>
      <c r="I17" s="11"/>
      <c r="J17" s="11"/>
      <c r="K17" s="11"/>
      <c r="L17" s="11"/>
      <c r="M17" s="11"/>
      <c r="N17" s="11"/>
      <c r="O17" s="12"/>
      <c r="P17" s="11"/>
      <c r="Q17" s="13"/>
      <c r="R17" s="14"/>
    </row>
    <row r="18" spans="1:18" ht="15" customHeight="1" x14ac:dyDescent="0.3">
      <c r="A18" s="19" t="s">
        <v>36</v>
      </c>
      <c r="B18" s="19" t="s">
        <v>236</v>
      </c>
      <c r="C18" s="20">
        <v>0.79861111111111116</v>
      </c>
      <c r="D18" s="19" t="s">
        <v>38</v>
      </c>
      <c r="E18" s="19" t="s">
        <v>46</v>
      </c>
      <c r="F18" s="19" t="s">
        <v>233</v>
      </c>
      <c r="G18" s="251"/>
      <c r="H18" s="10"/>
      <c r="I18" s="11"/>
      <c r="J18" s="11"/>
      <c r="K18" s="11"/>
      <c r="L18" s="11"/>
      <c r="M18" s="11"/>
      <c r="N18" s="11"/>
      <c r="O18" s="12"/>
      <c r="P18" s="11"/>
      <c r="Q18" s="13"/>
      <c r="R18" s="14"/>
    </row>
    <row r="19" spans="1:18" ht="15" customHeight="1" x14ac:dyDescent="0.3">
      <c r="A19" s="15" t="s">
        <v>36</v>
      </c>
      <c r="B19" s="15" t="s">
        <v>236</v>
      </c>
      <c r="C19" s="16">
        <v>0.79861111111111116</v>
      </c>
      <c r="D19" s="15" t="s">
        <v>41</v>
      </c>
      <c r="E19" s="15" t="s">
        <v>48</v>
      </c>
      <c r="F19" s="15" t="s">
        <v>101</v>
      </c>
      <c r="G19" s="251"/>
      <c r="H19" s="10"/>
      <c r="I19" s="11"/>
      <c r="J19" s="11"/>
      <c r="K19" s="11"/>
      <c r="L19" s="11"/>
      <c r="M19" s="11"/>
      <c r="N19" s="11"/>
      <c r="O19" s="12"/>
      <c r="P19" s="11"/>
      <c r="Q19" s="13"/>
      <c r="R19" s="14"/>
    </row>
    <row r="20" spans="1:18" ht="15" customHeight="1" x14ac:dyDescent="0.3">
      <c r="A20" s="15" t="s">
        <v>36</v>
      </c>
      <c r="B20" s="15" t="s">
        <v>236</v>
      </c>
      <c r="C20" s="16">
        <v>0.79861111111111116</v>
      </c>
      <c r="D20" s="15" t="s">
        <v>43</v>
      </c>
      <c r="E20" s="15" t="s">
        <v>48</v>
      </c>
      <c r="F20" s="15" t="s">
        <v>234</v>
      </c>
      <c r="G20" s="251"/>
      <c r="H20" s="10"/>
      <c r="I20" s="11"/>
      <c r="J20" s="11"/>
      <c r="K20" s="11"/>
      <c r="L20" s="11"/>
      <c r="M20" s="11"/>
      <c r="N20" s="11"/>
      <c r="O20" s="12"/>
      <c r="P20" s="11"/>
      <c r="Q20" s="13"/>
      <c r="R20" s="14"/>
    </row>
    <row r="21" spans="1:18" ht="15" customHeight="1" x14ac:dyDescent="0.3">
      <c r="A21" s="19" t="s">
        <v>36</v>
      </c>
      <c r="B21" s="19" t="s">
        <v>237</v>
      </c>
      <c r="C21" s="20">
        <v>0.39583333333333331</v>
      </c>
      <c r="D21" s="19" t="s">
        <v>38</v>
      </c>
      <c r="E21" s="19" t="s">
        <v>46</v>
      </c>
      <c r="F21" s="19" t="s">
        <v>233</v>
      </c>
      <c r="G21" s="251"/>
      <c r="H21" s="10"/>
      <c r="I21" s="11"/>
      <c r="J21" s="11"/>
      <c r="K21" s="11"/>
      <c r="L21" s="11"/>
      <c r="M21" s="11"/>
      <c r="N21" s="11"/>
      <c r="O21" s="12"/>
      <c r="P21" s="11"/>
      <c r="Q21" s="13"/>
      <c r="R21" s="14"/>
    </row>
    <row r="22" spans="1:18" ht="15" customHeight="1" x14ac:dyDescent="0.3">
      <c r="A22" s="15" t="s">
        <v>36</v>
      </c>
      <c r="B22" s="15" t="s">
        <v>237</v>
      </c>
      <c r="C22" s="16">
        <v>0.39583333333333331</v>
      </c>
      <c r="D22" s="15" t="s">
        <v>41</v>
      </c>
      <c r="E22" s="15" t="s">
        <v>48</v>
      </c>
      <c r="F22" s="15" t="s">
        <v>101</v>
      </c>
      <c r="G22" s="251"/>
      <c r="H22" s="10"/>
      <c r="I22" s="11"/>
      <c r="J22" s="11"/>
      <c r="K22" s="11"/>
      <c r="L22" s="11"/>
      <c r="M22" s="11"/>
      <c r="N22" s="11"/>
      <c r="O22" s="12"/>
      <c r="P22" s="11"/>
      <c r="Q22" s="13"/>
      <c r="R22" s="14"/>
    </row>
    <row r="23" spans="1:18" ht="15" customHeight="1" x14ac:dyDescent="0.3">
      <c r="A23" s="15" t="s">
        <v>36</v>
      </c>
      <c r="B23" s="15" t="s">
        <v>237</v>
      </c>
      <c r="C23" s="16">
        <v>0.39583333333333331</v>
      </c>
      <c r="D23" s="15" t="s">
        <v>43</v>
      </c>
      <c r="E23" s="15" t="s">
        <v>48</v>
      </c>
      <c r="F23" s="15" t="s">
        <v>234</v>
      </c>
      <c r="G23" s="251"/>
      <c r="H23" s="10"/>
      <c r="I23" s="11"/>
      <c r="J23" s="11"/>
      <c r="K23" s="11"/>
      <c r="L23" s="11"/>
      <c r="M23" s="11"/>
      <c r="N23" s="11"/>
      <c r="O23" s="12"/>
      <c r="P23" s="11"/>
      <c r="Q23" s="13"/>
      <c r="R23" s="14"/>
    </row>
    <row r="24" spans="1:18" ht="15" customHeight="1" x14ac:dyDescent="0.3">
      <c r="A24" s="19" t="s">
        <v>36</v>
      </c>
      <c r="B24" s="19" t="s">
        <v>238</v>
      </c>
      <c r="C24" s="20">
        <v>0.65972222222222221</v>
      </c>
      <c r="D24" s="19" t="s">
        <v>38</v>
      </c>
      <c r="E24" s="19" t="s">
        <v>239</v>
      </c>
      <c r="F24" s="19" t="s">
        <v>240</v>
      </c>
      <c r="G24" s="251"/>
      <c r="H24" s="10"/>
      <c r="I24" s="11"/>
      <c r="J24" s="11"/>
      <c r="K24" s="11"/>
      <c r="L24" s="11"/>
      <c r="M24" s="11"/>
      <c r="N24" s="11"/>
      <c r="O24" s="12"/>
      <c r="P24" s="11"/>
      <c r="Q24" s="13"/>
      <c r="R24" s="14"/>
    </row>
    <row r="25" spans="1:18" ht="15" customHeight="1" x14ac:dyDescent="0.3">
      <c r="A25" s="15" t="s">
        <v>36</v>
      </c>
      <c r="B25" s="15" t="s">
        <v>238</v>
      </c>
      <c r="C25" s="16">
        <v>0.65972222222222221</v>
      </c>
      <c r="D25" s="15" t="s">
        <v>41</v>
      </c>
      <c r="E25" s="15" t="s">
        <v>241</v>
      </c>
      <c r="F25" s="15" t="s">
        <v>242</v>
      </c>
      <c r="G25" s="251"/>
      <c r="H25" s="10"/>
      <c r="I25" s="11"/>
      <c r="J25" s="11"/>
      <c r="K25" s="11"/>
      <c r="L25" s="11"/>
      <c r="M25" s="11"/>
      <c r="N25" s="11"/>
      <c r="O25" s="12"/>
      <c r="P25" s="11"/>
      <c r="Q25" s="13"/>
      <c r="R25" s="14"/>
    </row>
    <row r="26" spans="1:18" ht="15" customHeight="1" x14ac:dyDescent="0.3">
      <c r="A26" s="15" t="s">
        <v>36</v>
      </c>
      <c r="B26" s="15" t="s">
        <v>238</v>
      </c>
      <c r="C26" s="16">
        <v>0.65972222222222221</v>
      </c>
      <c r="D26" s="15" t="s">
        <v>43</v>
      </c>
      <c r="E26" s="15" t="s">
        <v>241</v>
      </c>
      <c r="F26" s="15" t="s">
        <v>243</v>
      </c>
      <c r="G26" s="251"/>
      <c r="H26" s="10"/>
      <c r="I26" s="11"/>
      <c r="J26" s="11"/>
      <c r="K26" s="11"/>
      <c r="L26" s="11"/>
      <c r="M26" s="11"/>
      <c r="N26" s="11"/>
      <c r="O26" s="12"/>
      <c r="P26" s="11"/>
      <c r="Q26" s="13"/>
      <c r="R26" s="14"/>
    </row>
    <row r="27" spans="1:18" ht="15" customHeight="1" x14ac:dyDescent="0.3">
      <c r="A27" s="19" t="s">
        <v>36</v>
      </c>
      <c r="B27" s="19" t="s">
        <v>244</v>
      </c>
      <c r="C27" s="20">
        <v>0.51736111111111105</v>
      </c>
      <c r="D27" s="19" t="s">
        <v>38</v>
      </c>
      <c r="E27" s="19" t="s">
        <v>239</v>
      </c>
      <c r="F27" s="19" t="s">
        <v>245</v>
      </c>
      <c r="G27" s="251"/>
      <c r="H27" s="10"/>
      <c r="I27" s="11"/>
      <c r="J27" s="11"/>
      <c r="K27" s="11"/>
      <c r="L27" s="11"/>
      <c r="M27" s="11"/>
      <c r="N27" s="11"/>
      <c r="O27" s="12"/>
      <c r="P27" s="11"/>
      <c r="Q27" s="13"/>
      <c r="R27" s="14"/>
    </row>
    <row r="28" spans="1:18" ht="15" customHeight="1" x14ac:dyDescent="0.3">
      <c r="A28" s="15" t="s">
        <v>36</v>
      </c>
      <c r="B28" s="15" t="s">
        <v>244</v>
      </c>
      <c r="C28" s="16">
        <v>0.51736111111111105</v>
      </c>
      <c r="D28" s="15" t="s">
        <v>41</v>
      </c>
      <c r="E28" s="15" t="s">
        <v>241</v>
      </c>
      <c r="F28" s="15" t="s">
        <v>246</v>
      </c>
      <c r="G28" s="251"/>
      <c r="H28" s="10"/>
      <c r="I28" s="11"/>
      <c r="J28" s="11"/>
      <c r="K28" s="11"/>
      <c r="L28" s="11"/>
      <c r="M28" s="11"/>
      <c r="N28" s="11"/>
      <c r="O28" s="12"/>
      <c r="P28" s="11"/>
      <c r="Q28" s="13"/>
      <c r="R28" s="14"/>
    </row>
    <row r="29" spans="1:18" ht="15" customHeight="1" x14ac:dyDescent="0.3">
      <c r="A29" s="15" t="s">
        <v>36</v>
      </c>
      <c r="B29" s="15" t="s">
        <v>244</v>
      </c>
      <c r="C29" s="16">
        <v>0.51736111111111105</v>
      </c>
      <c r="D29" s="15" t="s">
        <v>43</v>
      </c>
      <c r="E29" s="15" t="s">
        <v>241</v>
      </c>
      <c r="F29" s="15" t="s">
        <v>247</v>
      </c>
      <c r="G29" s="251"/>
      <c r="H29" s="10"/>
      <c r="I29" s="11"/>
      <c r="J29" s="11"/>
      <c r="K29" s="11"/>
      <c r="L29" s="11"/>
      <c r="M29" s="11"/>
      <c r="N29" s="11"/>
      <c r="O29" s="12"/>
      <c r="P29" s="11"/>
      <c r="Q29" s="13"/>
      <c r="R29" s="14"/>
    </row>
    <row r="30" spans="1:18" ht="15" customHeight="1" x14ac:dyDescent="0.3">
      <c r="A30" s="17" t="s">
        <v>26</v>
      </c>
      <c r="B30" s="17" t="s">
        <v>248</v>
      </c>
      <c r="C30" s="18">
        <v>0.30208333333333331</v>
      </c>
      <c r="D30" s="17" t="s">
        <v>28</v>
      </c>
      <c r="E30" s="17" t="s">
        <v>249</v>
      </c>
      <c r="F30" s="17" t="s">
        <v>47</v>
      </c>
      <c r="G30" s="251"/>
      <c r="H30" s="10"/>
      <c r="I30" s="11"/>
      <c r="J30" s="11"/>
      <c r="K30" s="11"/>
      <c r="L30" s="11"/>
      <c r="M30" s="11"/>
      <c r="N30" s="11"/>
      <c r="O30" s="12"/>
      <c r="P30" s="11"/>
      <c r="Q30" s="13"/>
      <c r="R30" s="14"/>
    </row>
    <row r="31" spans="1:18" ht="15" customHeight="1" x14ac:dyDescent="0.3">
      <c r="A31" s="15" t="s">
        <v>26</v>
      </c>
      <c r="B31" s="15" t="s">
        <v>248</v>
      </c>
      <c r="C31" s="16">
        <v>0.30208333333333331</v>
      </c>
      <c r="D31" s="15" t="s">
        <v>31</v>
      </c>
      <c r="E31" s="15" t="s">
        <v>250</v>
      </c>
      <c r="F31" s="15" t="s">
        <v>251</v>
      </c>
      <c r="G31" s="251"/>
      <c r="H31" s="10"/>
      <c r="I31" s="11"/>
      <c r="J31" s="11"/>
      <c r="K31" s="11"/>
      <c r="L31" s="11"/>
      <c r="M31" s="11"/>
      <c r="N31" s="11"/>
      <c r="O31" s="12"/>
      <c r="P31" s="11"/>
      <c r="Q31" s="13"/>
      <c r="R31" s="14"/>
    </row>
    <row r="32" spans="1:18" ht="15" customHeight="1" x14ac:dyDescent="0.3">
      <c r="A32" s="15" t="s">
        <v>26</v>
      </c>
      <c r="B32" s="15" t="s">
        <v>248</v>
      </c>
      <c r="C32" s="16">
        <v>0.30208333333333331</v>
      </c>
      <c r="D32" s="15" t="s">
        <v>34</v>
      </c>
      <c r="E32" s="15" t="s">
        <v>250</v>
      </c>
      <c r="F32" s="15" t="s">
        <v>35</v>
      </c>
      <c r="G32" s="251"/>
      <c r="H32" s="10"/>
      <c r="I32" s="11"/>
      <c r="J32" s="11"/>
      <c r="K32" s="11"/>
      <c r="L32" s="11"/>
      <c r="M32" s="11"/>
      <c r="N32" s="11"/>
      <c r="O32" s="12"/>
      <c r="P32" s="11"/>
      <c r="Q32" s="13"/>
      <c r="R32" s="14"/>
    </row>
    <row r="33" spans="1:18" ht="15" customHeight="1" x14ac:dyDescent="0.3">
      <c r="A33" s="19" t="s">
        <v>26</v>
      </c>
      <c r="B33" s="19" t="s">
        <v>252</v>
      </c>
      <c r="C33" s="20">
        <v>0.88888888888888884</v>
      </c>
      <c r="D33" s="19" t="s">
        <v>28</v>
      </c>
      <c r="E33" s="19" t="s">
        <v>253</v>
      </c>
      <c r="F33" s="19" t="s">
        <v>47</v>
      </c>
      <c r="G33" s="251"/>
      <c r="H33" s="10"/>
      <c r="I33" s="11"/>
      <c r="J33" s="11"/>
      <c r="K33" s="11"/>
      <c r="L33" s="11"/>
      <c r="M33" s="11"/>
      <c r="N33" s="11"/>
      <c r="O33" s="12"/>
      <c r="P33" s="11"/>
      <c r="Q33" s="13"/>
      <c r="R33" s="14"/>
    </row>
    <row r="34" spans="1:18" ht="15" customHeight="1" x14ac:dyDescent="0.3">
      <c r="A34" s="15" t="s">
        <v>26</v>
      </c>
      <c r="B34" s="15" t="s">
        <v>252</v>
      </c>
      <c r="C34" s="16">
        <v>0.88888888888888884</v>
      </c>
      <c r="D34" s="15" t="s">
        <v>31</v>
      </c>
      <c r="E34" s="15" t="s">
        <v>254</v>
      </c>
      <c r="F34" s="15" t="s">
        <v>251</v>
      </c>
      <c r="G34" s="251"/>
      <c r="H34" s="10"/>
      <c r="I34" s="11"/>
      <c r="J34" s="11"/>
      <c r="K34" s="11"/>
      <c r="L34" s="11"/>
      <c r="M34" s="11"/>
      <c r="N34" s="11"/>
      <c r="O34" s="12"/>
      <c r="P34" s="11"/>
      <c r="Q34" s="13"/>
      <c r="R34" s="14"/>
    </row>
    <row r="35" spans="1:18" ht="15" customHeight="1" x14ac:dyDescent="0.3">
      <c r="A35" s="15" t="s">
        <v>26</v>
      </c>
      <c r="B35" s="15" t="s">
        <v>252</v>
      </c>
      <c r="C35" s="16">
        <v>0.88888888888888884</v>
      </c>
      <c r="D35" s="15" t="s">
        <v>34</v>
      </c>
      <c r="E35" s="15" t="s">
        <v>254</v>
      </c>
      <c r="F35" s="15" t="s">
        <v>35</v>
      </c>
      <c r="G35" s="251"/>
      <c r="H35" s="10"/>
      <c r="I35" s="11"/>
      <c r="J35" s="11"/>
      <c r="K35" s="11"/>
      <c r="L35" s="11"/>
      <c r="M35" s="11"/>
      <c r="N35" s="11"/>
      <c r="O35" s="12"/>
      <c r="P35" s="11"/>
      <c r="Q35" s="13"/>
      <c r="R35" s="14"/>
    </row>
    <row r="36" spans="1:18" ht="15" customHeight="1" x14ac:dyDescent="0.3">
      <c r="A36" s="19" t="s">
        <v>26</v>
      </c>
      <c r="B36" s="19" t="s">
        <v>255</v>
      </c>
      <c r="C36" s="20">
        <v>0.78819444444444453</v>
      </c>
      <c r="D36" s="19" t="s">
        <v>28</v>
      </c>
      <c r="E36" s="19" t="s">
        <v>256</v>
      </c>
      <c r="F36" s="19" t="s">
        <v>47</v>
      </c>
      <c r="G36" s="251"/>
      <c r="H36" s="10"/>
      <c r="I36" s="11"/>
      <c r="J36" s="11"/>
      <c r="K36" s="11"/>
      <c r="L36" s="11"/>
      <c r="M36" s="11"/>
      <c r="N36" s="11"/>
      <c r="O36" s="12"/>
      <c r="P36" s="11"/>
      <c r="Q36" s="13"/>
      <c r="R36" s="14"/>
    </row>
    <row r="37" spans="1:18" ht="15" customHeight="1" x14ac:dyDescent="0.3">
      <c r="A37" s="15" t="s">
        <v>26</v>
      </c>
      <c r="B37" s="15" t="s">
        <v>255</v>
      </c>
      <c r="C37" s="16">
        <v>0.78819444444444453</v>
      </c>
      <c r="D37" s="15" t="s">
        <v>31</v>
      </c>
      <c r="E37" s="15" t="s">
        <v>257</v>
      </c>
      <c r="F37" s="15" t="s">
        <v>251</v>
      </c>
      <c r="G37" s="251"/>
      <c r="H37" s="10"/>
      <c r="I37" s="11"/>
      <c r="J37" s="11"/>
      <c r="K37" s="11"/>
      <c r="L37" s="11"/>
      <c r="M37" s="11"/>
      <c r="N37" s="11"/>
      <c r="O37" s="12"/>
      <c r="P37" s="11"/>
      <c r="Q37" s="13"/>
      <c r="R37" s="14"/>
    </row>
    <row r="38" spans="1:18" ht="15" customHeight="1" x14ac:dyDescent="0.3">
      <c r="A38" s="15" t="s">
        <v>26</v>
      </c>
      <c r="B38" s="15" t="s">
        <v>255</v>
      </c>
      <c r="C38" s="16">
        <v>0.78819444444444453</v>
      </c>
      <c r="D38" s="15" t="s">
        <v>34</v>
      </c>
      <c r="E38" s="15" t="s">
        <v>257</v>
      </c>
      <c r="F38" s="15" t="s">
        <v>35</v>
      </c>
      <c r="G38" s="251"/>
      <c r="H38" s="10"/>
      <c r="I38" s="11"/>
      <c r="J38" s="11"/>
      <c r="K38" s="11"/>
      <c r="L38" s="11"/>
      <c r="M38" s="11"/>
      <c r="N38" s="11"/>
      <c r="O38" s="12"/>
      <c r="P38" s="11"/>
      <c r="Q38" s="13"/>
      <c r="R38" s="14"/>
    </row>
    <row r="39" spans="1:18" ht="15" customHeight="1" x14ac:dyDescent="0.3">
      <c r="A39" s="19" t="s">
        <v>26</v>
      </c>
      <c r="B39" s="19" t="s">
        <v>258</v>
      </c>
      <c r="C39" s="20">
        <v>0.12847222222222221</v>
      </c>
      <c r="D39" s="19" t="s">
        <v>28</v>
      </c>
      <c r="E39" s="19" t="s">
        <v>60</v>
      </c>
      <c r="F39" s="19" t="s">
        <v>259</v>
      </c>
      <c r="G39" s="251"/>
      <c r="H39" s="10"/>
      <c r="I39" s="11"/>
      <c r="J39" s="11"/>
      <c r="K39" s="11"/>
      <c r="L39" s="11"/>
      <c r="M39" s="11"/>
      <c r="N39" s="11"/>
      <c r="O39" s="12"/>
      <c r="P39" s="11"/>
      <c r="Q39" s="13"/>
      <c r="R39" s="14"/>
    </row>
    <row r="40" spans="1:18" ht="15" customHeight="1" x14ac:dyDescent="0.3">
      <c r="A40" s="15" t="s">
        <v>26</v>
      </c>
      <c r="B40" s="15" t="s">
        <v>258</v>
      </c>
      <c r="C40" s="16">
        <v>0.12847222222222221</v>
      </c>
      <c r="D40" s="15" t="s">
        <v>31</v>
      </c>
      <c r="E40" s="15" t="s">
        <v>42</v>
      </c>
      <c r="F40" s="15" t="s">
        <v>260</v>
      </c>
      <c r="G40" s="251"/>
      <c r="H40" s="10"/>
      <c r="I40" s="11"/>
      <c r="J40" s="11"/>
      <c r="K40" s="11"/>
      <c r="L40" s="11"/>
      <c r="M40" s="11"/>
      <c r="N40" s="11"/>
      <c r="O40" s="12"/>
      <c r="P40" s="11"/>
      <c r="Q40" s="13"/>
      <c r="R40" s="14"/>
    </row>
    <row r="41" spans="1:18" ht="15" customHeight="1" x14ac:dyDescent="0.3">
      <c r="A41" s="15" t="s">
        <v>26</v>
      </c>
      <c r="B41" s="15" t="s">
        <v>258</v>
      </c>
      <c r="C41" s="16">
        <v>0.12847222222222221</v>
      </c>
      <c r="D41" s="15" t="s">
        <v>34</v>
      </c>
      <c r="E41" s="15" t="s">
        <v>42</v>
      </c>
      <c r="F41" s="15" t="s">
        <v>35</v>
      </c>
      <c r="G41" s="251"/>
      <c r="H41" s="10"/>
      <c r="I41" s="11"/>
      <c r="J41" s="11"/>
      <c r="K41" s="11"/>
      <c r="L41" s="11"/>
      <c r="M41" s="11"/>
      <c r="N41" s="11"/>
      <c r="O41" s="12"/>
      <c r="P41" s="11"/>
      <c r="Q41" s="13"/>
      <c r="R41" s="14"/>
    </row>
    <row r="42" spans="1:18" ht="15" customHeight="1" x14ac:dyDescent="0.3">
      <c r="A42" s="17" t="s">
        <v>261</v>
      </c>
      <c r="B42" s="17" t="s">
        <v>262</v>
      </c>
      <c r="C42" s="18">
        <v>0.59375</v>
      </c>
      <c r="D42" s="17" t="s">
        <v>263</v>
      </c>
      <c r="E42" s="17" t="s">
        <v>104</v>
      </c>
      <c r="F42" s="17" t="s">
        <v>264</v>
      </c>
      <c r="G42" s="251"/>
      <c r="H42" s="10"/>
      <c r="I42" s="11"/>
      <c r="J42" s="11"/>
      <c r="K42" s="11"/>
      <c r="L42" s="11"/>
      <c r="M42" s="11"/>
      <c r="N42" s="11"/>
      <c r="O42" s="12"/>
      <c r="P42" s="11"/>
      <c r="Q42" s="13"/>
      <c r="R42" s="14"/>
    </row>
    <row r="43" spans="1:18" ht="15" customHeight="1" x14ac:dyDescent="0.3">
      <c r="A43" s="19" t="s">
        <v>261</v>
      </c>
      <c r="B43" s="19" t="s">
        <v>265</v>
      </c>
      <c r="C43" s="20">
        <v>0.29166666666666669</v>
      </c>
      <c r="D43" s="19" t="s">
        <v>263</v>
      </c>
      <c r="E43" s="19" t="s">
        <v>73</v>
      </c>
      <c r="F43" s="19" t="s">
        <v>266</v>
      </c>
      <c r="G43" s="251"/>
      <c r="H43" s="10"/>
      <c r="I43" s="11"/>
      <c r="J43" s="11"/>
      <c r="K43" s="11"/>
      <c r="L43" s="11"/>
      <c r="M43" s="11"/>
      <c r="N43" s="11"/>
      <c r="O43" s="12"/>
      <c r="P43" s="11"/>
      <c r="Q43" s="13"/>
      <c r="R43" s="14"/>
    </row>
    <row r="44" spans="1:18" ht="15" customHeight="1" x14ac:dyDescent="0.3">
      <c r="A44" s="19" t="s">
        <v>261</v>
      </c>
      <c r="B44" s="19" t="s">
        <v>267</v>
      </c>
      <c r="C44" s="20">
        <v>0.85069444444444453</v>
      </c>
      <c r="D44" s="19" t="s">
        <v>263</v>
      </c>
      <c r="E44" s="19" t="s">
        <v>103</v>
      </c>
      <c r="F44" s="19" t="s">
        <v>268</v>
      </c>
      <c r="G44" s="251"/>
      <c r="H44" s="10"/>
      <c r="I44" s="11"/>
      <c r="J44" s="11"/>
      <c r="K44" s="11"/>
      <c r="L44" s="11"/>
      <c r="M44" s="11"/>
      <c r="N44" s="11"/>
      <c r="O44" s="12"/>
      <c r="P44" s="11"/>
      <c r="Q44" s="13"/>
      <c r="R44" s="14"/>
    </row>
    <row r="45" spans="1:18" ht="15" customHeight="1" x14ac:dyDescent="0.3">
      <c r="A45" s="17" t="s">
        <v>269</v>
      </c>
      <c r="B45" s="17" t="s">
        <v>270</v>
      </c>
      <c r="C45" s="18">
        <v>0.3298611111111111</v>
      </c>
      <c r="D45" s="17" t="s">
        <v>271</v>
      </c>
      <c r="E45" s="17" t="s">
        <v>228</v>
      </c>
      <c r="F45" s="17" t="s">
        <v>272</v>
      </c>
      <c r="G45" s="251"/>
      <c r="H45" s="10"/>
      <c r="I45" s="11"/>
      <c r="J45" s="11"/>
      <c r="K45" s="11"/>
      <c r="L45" s="11"/>
      <c r="M45" s="11"/>
      <c r="N45" s="11"/>
      <c r="O45" s="12"/>
      <c r="P45" s="11"/>
      <c r="Q45" s="13"/>
      <c r="R45" s="14"/>
    </row>
    <row r="46" spans="1:18" ht="15" customHeight="1" x14ac:dyDescent="0.3">
      <c r="A46" s="15" t="s">
        <v>269</v>
      </c>
      <c r="B46" s="15" t="s">
        <v>270</v>
      </c>
      <c r="C46" s="16">
        <v>0.3298611111111111</v>
      </c>
      <c r="D46" s="15" t="s">
        <v>34</v>
      </c>
      <c r="E46" s="15" t="s">
        <v>48</v>
      </c>
      <c r="F46" s="15" t="s">
        <v>245</v>
      </c>
      <c r="G46" s="251"/>
      <c r="H46" s="10"/>
      <c r="I46" s="11"/>
      <c r="J46" s="11"/>
      <c r="K46" s="11"/>
      <c r="L46" s="11"/>
      <c r="M46" s="11"/>
      <c r="N46" s="11"/>
      <c r="O46" s="12"/>
      <c r="P46" s="11"/>
      <c r="Q46" s="13"/>
      <c r="R46" s="14"/>
    </row>
    <row r="47" spans="1:18" ht="15" customHeight="1" x14ac:dyDescent="0.3">
      <c r="A47" s="17" t="s">
        <v>273</v>
      </c>
      <c r="B47" s="17" t="s">
        <v>274</v>
      </c>
      <c r="C47" s="18">
        <v>0.66666666666666663</v>
      </c>
      <c r="D47" s="17" t="s">
        <v>263</v>
      </c>
      <c r="E47" s="17" t="s">
        <v>54</v>
      </c>
      <c r="F47" s="17" t="s">
        <v>259</v>
      </c>
      <c r="G47" s="251"/>
      <c r="H47" s="10"/>
      <c r="I47" s="11"/>
      <c r="J47" s="11"/>
      <c r="K47" s="11"/>
      <c r="L47" s="11"/>
      <c r="M47" s="11"/>
      <c r="N47" s="11"/>
      <c r="O47" s="12"/>
      <c r="P47" s="11"/>
      <c r="Q47" s="13"/>
      <c r="R47" s="14"/>
    </row>
    <row r="48" spans="1:18" ht="15" customHeight="1" x14ac:dyDescent="0.3">
      <c r="A48" s="80" t="s">
        <v>80</v>
      </c>
      <c r="B48" s="80" t="s">
        <v>275</v>
      </c>
      <c r="C48" s="81">
        <v>0.36458333333333331</v>
      </c>
      <c r="D48" s="80" t="s">
        <v>182</v>
      </c>
      <c r="E48" s="80" t="s">
        <v>276</v>
      </c>
      <c r="F48" s="80" t="s">
        <v>277</v>
      </c>
      <c r="G48" s="251"/>
      <c r="H48" s="82" t="s">
        <v>278</v>
      </c>
      <c r="I48" s="118">
        <v>0.56979999999999997</v>
      </c>
      <c r="J48" s="84">
        <v>102</v>
      </c>
      <c r="K48" s="85" t="s">
        <v>279</v>
      </c>
      <c r="L48" s="84">
        <v>16</v>
      </c>
      <c r="M48" s="84">
        <v>0</v>
      </c>
      <c r="N48" s="84">
        <v>0</v>
      </c>
      <c r="O48" s="86" t="s">
        <v>280</v>
      </c>
      <c r="P48" s="87">
        <v>0.36458333333333331</v>
      </c>
      <c r="Q48" s="84">
        <v>179</v>
      </c>
      <c r="R48" s="88" t="s">
        <v>281</v>
      </c>
    </row>
    <row r="49" spans="1:18" ht="15" customHeight="1" x14ac:dyDescent="0.3">
      <c r="A49" s="119" t="s">
        <v>80</v>
      </c>
      <c r="B49" s="119" t="s">
        <v>282</v>
      </c>
      <c r="C49" s="120">
        <v>0.33333333333333331</v>
      </c>
      <c r="D49" s="119" t="s">
        <v>182</v>
      </c>
      <c r="E49" s="119" t="s">
        <v>73</v>
      </c>
      <c r="F49" s="119" t="s">
        <v>277</v>
      </c>
      <c r="G49" s="251"/>
      <c r="H49" s="121" t="s">
        <v>283</v>
      </c>
      <c r="I49" s="122">
        <v>0.82120000000000004</v>
      </c>
      <c r="J49" s="123">
        <v>147</v>
      </c>
      <c r="K49" s="124" t="s">
        <v>284</v>
      </c>
      <c r="L49" s="123">
        <v>16</v>
      </c>
      <c r="M49" s="123">
        <v>3</v>
      </c>
      <c r="N49" s="123">
        <v>5</v>
      </c>
      <c r="O49" s="125" t="s">
        <v>198</v>
      </c>
      <c r="P49" s="126">
        <v>0.33333333333333331</v>
      </c>
      <c r="Q49" s="123">
        <v>179</v>
      </c>
      <c r="R49" s="127" t="s">
        <v>285</v>
      </c>
    </row>
    <row r="50" spans="1:18" ht="15" customHeight="1" x14ac:dyDescent="0.3">
      <c r="A50" s="128" t="s">
        <v>80</v>
      </c>
      <c r="B50" s="128" t="s">
        <v>286</v>
      </c>
      <c r="C50" s="129">
        <v>0.25347222222222221</v>
      </c>
      <c r="D50" s="128" t="s">
        <v>182</v>
      </c>
      <c r="E50" s="128" t="s">
        <v>89</v>
      </c>
      <c r="F50" s="128" t="s">
        <v>277</v>
      </c>
      <c r="G50" s="251"/>
      <c r="H50" s="82" t="s">
        <v>287</v>
      </c>
      <c r="I50" s="83">
        <v>0.88829999999999998</v>
      </c>
      <c r="J50" s="84">
        <v>159</v>
      </c>
      <c r="K50" s="85" t="s">
        <v>284</v>
      </c>
      <c r="L50" s="84">
        <v>15</v>
      </c>
      <c r="M50" s="84">
        <v>4</v>
      </c>
      <c r="N50" s="84">
        <v>5</v>
      </c>
      <c r="O50" s="86" t="s">
        <v>280</v>
      </c>
      <c r="P50" s="87">
        <v>0.25347222222222221</v>
      </c>
      <c r="Q50" s="84">
        <v>179</v>
      </c>
      <c r="R50" s="88" t="s">
        <v>288</v>
      </c>
    </row>
    <row r="51" spans="1:18" ht="15" customHeight="1" x14ac:dyDescent="0.3">
      <c r="A51" s="130" t="s">
        <v>80</v>
      </c>
      <c r="B51" s="130" t="s">
        <v>289</v>
      </c>
      <c r="C51" s="131">
        <v>0.1145833333333333</v>
      </c>
      <c r="D51" s="130" t="s">
        <v>182</v>
      </c>
      <c r="E51" s="130" t="s">
        <v>60</v>
      </c>
      <c r="F51" s="130" t="s">
        <v>277</v>
      </c>
      <c r="G51" s="251"/>
      <c r="H51" s="132" t="s">
        <v>290</v>
      </c>
      <c r="I51" s="133">
        <v>0.92510000000000003</v>
      </c>
      <c r="J51" s="134">
        <v>173</v>
      </c>
      <c r="K51" s="135" t="s">
        <v>186</v>
      </c>
      <c r="L51" s="134">
        <v>15</v>
      </c>
      <c r="M51" s="134">
        <v>0</v>
      </c>
      <c r="N51" s="134">
        <v>4</v>
      </c>
      <c r="O51" s="136" t="s">
        <v>144</v>
      </c>
      <c r="P51" s="137">
        <v>0.1145833333333333</v>
      </c>
      <c r="Q51" s="134">
        <v>187</v>
      </c>
      <c r="R51" s="138" t="s">
        <v>291</v>
      </c>
    </row>
    <row r="52" spans="1:18" ht="15" customHeight="1" x14ac:dyDescent="0.3">
      <c r="A52" s="119" t="s">
        <v>80</v>
      </c>
      <c r="B52" s="119" t="s">
        <v>292</v>
      </c>
      <c r="C52" s="120">
        <v>4.8611111111111112E-2</v>
      </c>
      <c r="D52" s="119" t="s">
        <v>182</v>
      </c>
      <c r="E52" s="119" t="s">
        <v>293</v>
      </c>
      <c r="F52" s="119" t="s">
        <v>277</v>
      </c>
      <c r="G52" s="251"/>
      <c r="H52" s="121" t="s">
        <v>294</v>
      </c>
      <c r="I52" s="122">
        <v>0.76539999999999997</v>
      </c>
      <c r="J52" s="123">
        <v>137</v>
      </c>
      <c r="K52" s="124" t="s">
        <v>284</v>
      </c>
      <c r="L52" s="123">
        <v>36</v>
      </c>
      <c r="M52" s="123">
        <v>1</v>
      </c>
      <c r="N52" s="123">
        <v>9</v>
      </c>
      <c r="O52" s="125" t="s">
        <v>295</v>
      </c>
      <c r="P52" s="126">
        <v>4.8611111111111112E-2</v>
      </c>
      <c r="Q52" s="123">
        <v>179</v>
      </c>
      <c r="R52" s="127" t="s">
        <v>296</v>
      </c>
    </row>
    <row r="53" spans="1:18" ht="15" customHeight="1" x14ac:dyDescent="0.3">
      <c r="A53" s="139" t="s">
        <v>80</v>
      </c>
      <c r="B53" s="139" t="s">
        <v>297</v>
      </c>
      <c r="C53" s="140">
        <v>0.58333333333333337</v>
      </c>
      <c r="D53" s="139" t="s">
        <v>182</v>
      </c>
      <c r="E53" s="139" t="s">
        <v>89</v>
      </c>
      <c r="F53" s="139" t="s">
        <v>298</v>
      </c>
      <c r="G53" s="251"/>
      <c r="H53" s="141" t="s">
        <v>299</v>
      </c>
      <c r="I53" s="142">
        <v>0.96089999999999998</v>
      </c>
      <c r="J53" s="143">
        <v>172</v>
      </c>
      <c r="K53" s="144" t="s">
        <v>300</v>
      </c>
      <c r="L53" s="143">
        <v>9</v>
      </c>
      <c r="M53" s="143">
        <v>0</v>
      </c>
      <c r="N53" s="143">
        <v>0</v>
      </c>
      <c r="O53" s="145" t="s">
        <v>301</v>
      </c>
      <c r="P53" s="146">
        <v>0.58333333333333337</v>
      </c>
      <c r="Q53" s="143">
        <v>179</v>
      </c>
      <c r="R53" s="147" t="s">
        <v>302</v>
      </c>
    </row>
    <row r="54" spans="1:18" ht="15" customHeight="1" x14ac:dyDescent="0.3">
      <c r="A54" s="148" t="s">
        <v>80</v>
      </c>
      <c r="B54" s="148" t="s">
        <v>303</v>
      </c>
      <c r="C54" s="149">
        <v>0.73958333333333337</v>
      </c>
      <c r="D54" s="148" t="s">
        <v>182</v>
      </c>
      <c r="E54" s="148" t="s">
        <v>60</v>
      </c>
      <c r="F54" s="148" t="s">
        <v>304</v>
      </c>
      <c r="G54" s="251"/>
      <c r="H54" s="150" t="s">
        <v>305</v>
      </c>
      <c r="I54" s="151">
        <v>0.96650000000000003</v>
      </c>
      <c r="J54" s="152">
        <v>173</v>
      </c>
      <c r="K54" s="153" t="s">
        <v>279</v>
      </c>
      <c r="L54" s="152">
        <v>3</v>
      </c>
      <c r="M54" s="152">
        <v>0</v>
      </c>
      <c r="N54" s="152">
        <v>0</v>
      </c>
      <c r="O54" s="154" t="s">
        <v>306</v>
      </c>
      <c r="P54" s="155">
        <v>0.73958333333333337</v>
      </c>
      <c r="Q54" s="152">
        <v>179</v>
      </c>
      <c r="R54" s="156" t="s">
        <v>307</v>
      </c>
    </row>
    <row r="55" spans="1:18" ht="15" customHeight="1" x14ac:dyDescent="0.3">
      <c r="A55" s="17" t="s">
        <v>64</v>
      </c>
      <c r="B55" s="17" t="s">
        <v>308</v>
      </c>
      <c r="C55" s="18">
        <v>0.1423611111111111</v>
      </c>
      <c r="D55" s="17" t="s">
        <v>66</v>
      </c>
      <c r="E55" s="17" t="s">
        <v>54</v>
      </c>
      <c r="F55" s="17" t="s">
        <v>309</v>
      </c>
      <c r="G55" s="251"/>
      <c r="H55" s="10"/>
      <c r="I55" s="11"/>
      <c r="J55" s="11"/>
      <c r="K55" s="11"/>
      <c r="L55" s="11"/>
      <c r="M55" s="11"/>
      <c r="N55" s="11"/>
      <c r="O55" s="12"/>
      <c r="P55" s="11"/>
      <c r="Q55" s="13"/>
      <c r="R55" s="14"/>
    </row>
    <row r="56" spans="1:18" ht="15" customHeight="1" x14ac:dyDescent="0.3">
      <c r="A56" s="15" t="s">
        <v>64</v>
      </c>
      <c r="B56" s="15" t="s">
        <v>308</v>
      </c>
      <c r="C56" s="16">
        <v>0.1423611111111111</v>
      </c>
      <c r="D56" s="15" t="s">
        <v>68</v>
      </c>
      <c r="E56" s="15" t="s">
        <v>69</v>
      </c>
      <c r="F56" s="15" t="s">
        <v>310</v>
      </c>
      <c r="G56" s="251"/>
      <c r="H56" s="10"/>
      <c r="I56" s="11"/>
      <c r="J56" s="11"/>
      <c r="K56" s="11"/>
      <c r="L56" s="11"/>
      <c r="M56" s="11"/>
      <c r="N56" s="11"/>
      <c r="O56" s="12"/>
      <c r="P56" s="11"/>
      <c r="Q56" s="13"/>
      <c r="R56" s="14"/>
    </row>
    <row r="57" spans="1:18" ht="15" customHeight="1" x14ac:dyDescent="0.3">
      <c r="A57" s="19" t="s">
        <v>64</v>
      </c>
      <c r="B57" s="19" t="s">
        <v>311</v>
      </c>
      <c r="C57" s="20">
        <v>0.24305555555555561</v>
      </c>
      <c r="D57" s="19" t="s">
        <v>66</v>
      </c>
      <c r="E57" s="19" t="s">
        <v>57</v>
      </c>
      <c r="F57" s="19" t="s">
        <v>309</v>
      </c>
      <c r="G57" s="251"/>
      <c r="H57" s="10"/>
      <c r="I57" s="11"/>
      <c r="J57" s="11"/>
      <c r="K57" s="11"/>
      <c r="L57" s="11"/>
      <c r="M57" s="11"/>
      <c r="N57" s="11"/>
      <c r="O57" s="12"/>
      <c r="P57" s="11"/>
      <c r="Q57" s="13"/>
      <c r="R57" s="14"/>
    </row>
    <row r="58" spans="1:18" ht="15" customHeight="1" x14ac:dyDescent="0.3">
      <c r="A58" s="15" t="s">
        <v>64</v>
      </c>
      <c r="B58" s="15" t="s">
        <v>311</v>
      </c>
      <c r="C58" s="16">
        <v>0.24305555555555561</v>
      </c>
      <c r="D58" s="15" t="s">
        <v>68</v>
      </c>
      <c r="E58" s="15" t="s">
        <v>69</v>
      </c>
      <c r="F58" s="15" t="s">
        <v>310</v>
      </c>
      <c r="G58" s="251"/>
      <c r="H58" s="10"/>
      <c r="I58" s="11"/>
      <c r="J58" s="11"/>
      <c r="K58" s="11"/>
      <c r="L58" s="11"/>
      <c r="M58" s="11"/>
      <c r="N58" s="11"/>
      <c r="O58" s="12"/>
      <c r="P58" s="11"/>
      <c r="Q58" s="13"/>
      <c r="R58" s="14"/>
    </row>
    <row r="59" spans="1:18" ht="15" customHeight="1" x14ac:dyDescent="0.3">
      <c r="A59" s="19" t="s">
        <v>64</v>
      </c>
      <c r="B59" s="19" t="s">
        <v>312</v>
      </c>
      <c r="C59" s="20">
        <v>6.9444444444444441E-3</v>
      </c>
      <c r="D59" s="19" t="s">
        <v>66</v>
      </c>
      <c r="E59" s="19" t="s">
        <v>57</v>
      </c>
      <c r="F59" s="19" t="s">
        <v>313</v>
      </c>
      <c r="G59" s="251"/>
      <c r="H59" s="10"/>
      <c r="I59" s="11"/>
      <c r="J59" s="11"/>
      <c r="K59" s="11"/>
      <c r="L59" s="11"/>
      <c r="M59" s="11"/>
      <c r="N59" s="11"/>
      <c r="O59" s="12"/>
      <c r="P59" s="11"/>
      <c r="Q59" s="13"/>
      <c r="R59" s="14"/>
    </row>
    <row r="60" spans="1:18" ht="15" customHeight="1" x14ac:dyDescent="0.3">
      <c r="A60" s="15" t="s">
        <v>64</v>
      </c>
      <c r="B60" s="15" t="s">
        <v>312</v>
      </c>
      <c r="C60" s="16">
        <v>6.9444444444444441E-3</v>
      </c>
      <c r="D60" s="15" t="s">
        <v>68</v>
      </c>
      <c r="E60" s="15" t="s">
        <v>69</v>
      </c>
      <c r="F60" s="15" t="s">
        <v>314</v>
      </c>
      <c r="G60" s="251"/>
      <c r="H60" s="10"/>
      <c r="I60" s="11"/>
      <c r="J60" s="11"/>
      <c r="K60" s="11"/>
      <c r="L60" s="11"/>
      <c r="M60" s="11"/>
      <c r="N60" s="11"/>
      <c r="O60" s="12"/>
      <c r="P60" s="11"/>
      <c r="Q60" s="13"/>
      <c r="R60" s="14"/>
    </row>
    <row r="61" spans="1:18" ht="15" customHeight="1" x14ac:dyDescent="0.3">
      <c r="A61" s="19" t="s">
        <v>64</v>
      </c>
      <c r="B61" s="19" t="s">
        <v>315</v>
      </c>
      <c r="C61" s="20">
        <v>0.93055555555555547</v>
      </c>
      <c r="D61" s="19" t="s">
        <v>66</v>
      </c>
      <c r="E61" s="19" t="s">
        <v>57</v>
      </c>
      <c r="F61" s="19" t="s">
        <v>316</v>
      </c>
      <c r="G61" s="251"/>
      <c r="H61" s="10"/>
      <c r="I61" s="11"/>
      <c r="J61" s="11"/>
      <c r="K61" s="11"/>
      <c r="L61" s="11"/>
      <c r="M61" s="11"/>
      <c r="N61" s="11"/>
      <c r="O61" s="12"/>
      <c r="P61" s="11"/>
      <c r="Q61" s="13"/>
      <c r="R61" s="14"/>
    </row>
    <row r="62" spans="1:18" ht="15" customHeight="1" x14ac:dyDescent="0.3">
      <c r="A62" s="15" t="s">
        <v>64</v>
      </c>
      <c r="B62" s="15" t="s">
        <v>315</v>
      </c>
      <c r="C62" s="16">
        <v>0.93055555555555547</v>
      </c>
      <c r="D62" s="15" t="s">
        <v>68</v>
      </c>
      <c r="E62" s="15" t="s">
        <v>69</v>
      </c>
      <c r="F62" s="15" t="s">
        <v>317</v>
      </c>
      <c r="G62" s="251"/>
      <c r="H62" s="10"/>
      <c r="I62" s="11"/>
      <c r="J62" s="11"/>
      <c r="K62" s="11"/>
      <c r="L62" s="11"/>
      <c r="M62" s="11"/>
      <c r="N62" s="11"/>
      <c r="O62" s="12"/>
      <c r="P62" s="11"/>
      <c r="Q62" s="13"/>
      <c r="R62" s="14"/>
    </row>
    <row r="63" spans="1:18" ht="15" customHeight="1" x14ac:dyDescent="0.3">
      <c r="A63" s="19" t="s">
        <v>64</v>
      </c>
      <c r="B63" s="19" t="s">
        <v>318</v>
      </c>
      <c r="C63" s="20">
        <v>0.37847222222222232</v>
      </c>
      <c r="D63" s="19" t="s">
        <v>66</v>
      </c>
      <c r="E63" s="19" t="s">
        <v>57</v>
      </c>
      <c r="F63" s="19" t="s">
        <v>316</v>
      </c>
      <c r="G63" s="251"/>
      <c r="H63" s="10"/>
      <c r="I63" s="11"/>
      <c r="J63" s="11"/>
      <c r="K63" s="11"/>
      <c r="L63" s="11"/>
      <c r="M63" s="11"/>
      <c r="N63" s="11"/>
      <c r="O63" s="12"/>
      <c r="P63" s="11"/>
      <c r="Q63" s="13"/>
      <c r="R63" s="14"/>
    </row>
    <row r="64" spans="1:18" ht="15" customHeight="1" x14ac:dyDescent="0.3">
      <c r="A64" s="15" t="s">
        <v>64</v>
      </c>
      <c r="B64" s="15" t="s">
        <v>318</v>
      </c>
      <c r="C64" s="16">
        <v>0.37847222222222232</v>
      </c>
      <c r="D64" s="15" t="s">
        <v>68</v>
      </c>
      <c r="E64" s="15" t="s">
        <v>69</v>
      </c>
      <c r="F64" s="15" t="s">
        <v>317</v>
      </c>
      <c r="G64" s="251"/>
      <c r="H64" s="10"/>
      <c r="I64" s="11"/>
      <c r="J64" s="11"/>
      <c r="K64" s="11"/>
      <c r="L64" s="11"/>
      <c r="M64" s="11"/>
      <c r="N64" s="11"/>
      <c r="O64" s="12"/>
      <c r="P64" s="11"/>
      <c r="Q64" s="13"/>
      <c r="R64" s="14"/>
    </row>
    <row r="65" spans="1:18" ht="15" customHeight="1" x14ac:dyDescent="0.3">
      <c r="A65" s="19" t="s">
        <v>64</v>
      </c>
      <c r="B65" s="19" t="s">
        <v>319</v>
      </c>
      <c r="C65" s="20">
        <v>0.30208333333333331</v>
      </c>
      <c r="D65" s="19" t="s">
        <v>68</v>
      </c>
      <c r="E65" s="19" t="s">
        <v>73</v>
      </c>
      <c r="F65" s="19" t="s">
        <v>320</v>
      </c>
      <c r="G65" s="251"/>
      <c r="H65" s="10"/>
      <c r="I65" s="11"/>
      <c r="J65" s="11"/>
      <c r="K65" s="11"/>
      <c r="L65" s="11"/>
      <c r="M65" s="11"/>
      <c r="N65" s="11"/>
      <c r="O65" s="12"/>
      <c r="P65" s="11"/>
      <c r="Q65" s="13"/>
      <c r="R65" s="14"/>
    </row>
    <row r="66" spans="1:18" ht="15" customHeight="1" x14ac:dyDescent="0.3">
      <c r="A66" s="19" t="s">
        <v>64</v>
      </c>
      <c r="B66" s="19" t="s">
        <v>321</v>
      </c>
      <c r="C66" s="20">
        <v>0.12847222222222221</v>
      </c>
      <c r="D66" s="19" t="s">
        <v>68</v>
      </c>
      <c r="E66" s="19" t="s">
        <v>73</v>
      </c>
      <c r="F66" s="19" t="s">
        <v>320</v>
      </c>
      <c r="G66" s="251"/>
      <c r="H66" s="10"/>
      <c r="I66" s="11"/>
      <c r="J66" s="11"/>
      <c r="K66" s="11"/>
      <c r="L66" s="11"/>
      <c r="M66" s="11"/>
      <c r="N66" s="11"/>
      <c r="O66" s="12"/>
      <c r="P66" s="11"/>
      <c r="Q66" s="13"/>
      <c r="R66" s="14"/>
    </row>
    <row r="67" spans="1:18" ht="15" customHeight="1" x14ac:dyDescent="0.3">
      <c r="A67" s="19" t="s">
        <v>64</v>
      </c>
      <c r="B67" s="19" t="s">
        <v>322</v>
      </c>
      <c r="C67" s="20">
        <v>0.78819444444444453</v>
      </c>
      <c r="D67" s="19" t="s">
        <v>68</v>
      </c>
      <c r="E67" s="19" t="s">
        <v>73</v>
      </c>
      <c r="F67" s="19" t="s">
        <v>320</v>
      </c>
      <c r="G67" s="251"/>
      <c r="H67" s="10"/>
      <c r="I67" s="11"/>
      <c r="J67" s="11"/>
      <c r="K67" s="11"/>
      <c r="L67" s="11"/>
      <c r="M67" s="11"/>
      <c r="N67" s="11"/>
      <c r="O67" s="12"/>
      <c r="P67" s="11"/>
      <c r="Q67" s="13"/>
      <c r="R67" s="14"/>
    </row>
    <row r="68" spans="1:18" ht="15" customHeight="1" x14ac:dyDescent="0.3">
      <c r="A68" s="19" t="s">
        <v>64</v>
      </c>
      <c r="B68" s="19" t="s">
        <v>323</v>
      </c>
      <c r="C68" s="20">
        <v>0.88888888888888884</v>
      </c>
      <c r="D68" s="19" t="s">
        <v>68</v>
      </c>
      <c r="E68" s="19" t="s">
        <v>73</v>
      </c>
      <c r="F68" s="19" t="s">
        <v>320</v>
      </c>
      <c r="G68" s="251"/>
      <c r="H68" s="10"/>
      <c r="I68" s="11"/>
      <c r="J68" s="11"/>
      <c r="K68" s="11"/>
      <c r="L68" s="11"/>
      <c r="M68" s="11"/>
      <c r="N68" s="11"/>
      <c r="O68" s="12"/>
      <c r="P68" s="11"/>
      <c r="Q68" s="13"/>
      <c r="R68" s="14"/>
    </row>
    <row r="69" spans="1:18" ht="15" customHeight="1" x14ac:dyDescent="0.3">
      <c r="A69" s="19" t="s">
        <v>64</v>
      </c>
      <c r="B69" s="19" t="s">
        <v>324</v>
      </c>
      <c r="C69" s="20">
        <v>0.82986111111111116</v>
      </c>
      <c r="D69" s="19" t="s">
        <v>66</v>
      </c>
      <c r="E69" s="19" t="s">
        <v>89</v>
      </c>
      <c r="F69" s="19" t="s">
        <v>325</v>
      </c>
      <c r="G69" s="251"/>
      <c r="H69" s="10"/>
      <c r="I69" s="11"/>
      <c r="J69" s="11"/>
      <c r="K69" s="11"/>
      <c r="L69" s="11"/>
      <c r="M69" s="11"/>
      <c r="N69" s="11"/>
      <c r="O69" s="12"/>
      <c r="P69" s="11"/>
      <c r="Q69" s="13"/>
      <c r="R69" s="14"/>
    </row>
    <row r="70" spans="1:18" ht="15" customHeight="1" x14ac:dyDescent="0.3">
      <c r="A70" s="15" t="s">
        <v>64</v>
      </c>
      <c r="B70" s="15" t="s">
        <v>324</v>
      </c>
      <c r="C70" s="16">
        <v>0.82986111111111116</v>
      </c>
      <c r="D70" s="15" t="s">
        <v>68</v>
      </c>
      <c r="E70" s="15" t="s">
        <v>91</v>
      </c>
      <c r="F70" s="15" t="s">
        <v>326</v>
      </c>
      <c r="G70" s="251"/>
      <c r="H70" s="10"/>
      <c r="I70" s="11"/>
      <c r="J70" s="11"/>
      <c r="K70" s="11"/>
      <c r="L70" s="11"/>
      <c r="M70" s="11"/>
      <c r="N70" s="11"/>
      <c r="O70" s="12"/>
      <c r="P70" s="11"/>
      <c r="Q70" s="13"/>
      <c r="R70" s="14"/>
    </row>
    <row r="71" spans="1:18" ht="15" customHeight="1" x14ac:dyDescent="0.3">
      <c r="A71" s="17" t="s">
        <v>51</v>
      </c>
      <c r="B71" s="17" t="s">
        <v>327</v>
      </c>
      <c r="C71" s="18">
        <v>1.388888888888889E-2</v>
      </c>
      <c r="D71" s="17" t="s">
        <v>53</v>
      </c>
      <c r="E71" s="17" t="s">
        <v>54</v>
      </c>
      <c r="F71" s="17" t="s">
        <v>328</v>
      </c>
      <c r="G71" s="251"/>
      <c r="H71" s="10"/>
      <c r="I71" s="11"/>
      <c r="J71" s="11"/>
      <c r="K71" s="11"/>
      <c r="L71" s="11"/>
      <c r="M71" s="11"/>
      <c r="N71" s="11"/>
      <c r="O71" s="12"/>
      <c r="P71" s="11"/>
      <c r="Q71" s="13"/>
      <c r="R71" s="14"/>
    </row>
    <row r="72" spans="1:18" ht="15" customHeight="1" x14ac:dyDescent="0.3">
      <c r="A72" s="19" t="s">
        <v>51</v>
      </c>
      <c r="B72" s="19" t="s">
        <v>329</v>
      </c>
      <c r="C72" s="20">
        <v>0.4861111111111111</v>
      </c>
      <c r="D72" s="19" t="s">
        <v>53</v>
      </c>
      <c r="E72" s="19" t="s">
        <v>57</v>
      </c>
      <c r="F72" s="19" t="s">
        <v>330</v>
      </c>
      <c r="G72" s="251"/>
      <c r="H72" s="10"/>
      <c r="I72" s="11"/>
      <c r="J72" s="11"/>
      <c r="K72" s="11"/>
      <c r="L72" s="11"/>
      <c r="M72" s="11"/>
      <c r="N72" s="11"/>
      <c r="O72" s="12"/>
      <c r="P72" s="11"/>
      <c r="Q72" s="13"/>
      <c r="R72" s="14"/>
    </row>
    <row r="73" spans="1:18" ht="15" customHeight="1" x14ac:dyDescent="0.3">
      <c r="A73" s="19" t="s">
        <v>51</v>
      </c>
      <c r="B73" s="19" t="s">
        <v>331</v>
      </c>
      <c r="C73" s="20">
        <v>0.51388888888888895</v>
      </c>
      <c r="D73" s="19" t="s">
        <v>53</v>
      </c>
      <c r="E73" s="19" t="s">
        <v>57</v>
      </c>
      <c r="F73" s="19" t="s">
        <v>330</v>
      </c>
      <c r="G73" s="251"/>
      <c r="H73" s="10"/>
      <c r="I73" s="11"/>
      <c r="J73" s="11"/>
      <c r="K73" s="11"/>
      <c r="L73" s="11"/>
      <c r="M73" s="11"/>
      <c r="N73" s="11"/>
      <c r="O73" s="12"/>
      <c r="P73" s="11"/>
      <c r="Q73" s="13"/>
      <c r="R73" s="14"/>
    </row>
    <row r="74" spans="1:18" ht="15" customHeight="1" x14ac:dyDescent="0.3">
      <c r="A74" s="19" t="s">
        <v>51</v>
      </c>
      <c r="B74" s="19" t="s">
        <v>332</v>
      </c>
      <c r="C74" s="20">
        <v>0.22222222222222221</v>
      </c>
      <c r="D74" s="19" t="s">
        <v>53</v>
      </c>
      <c r="E74" s="19" t="s">
        <v>57</v>
      </c>
      <c r="F74" s="19" t="s">
        <v>333</v>
      </c>
      <c r="G74" s="251"/>
      <c r="H74" s="10"/>
      <c r="I74" s="11"/>
      <c r="J74" s="11"/>
      <c r="K74" s="11"/>
      <c r="L74" s="11"/>
      <c r="M74" s="11"/>
      <c r="N74" s="11"/>
      <c r="O74" s="12"/>
      <c r="P74" s="11"/>
      <c r="Q74" s="13"/>
      <c r="R74" s="14"/>
    </row>
    <row r="75" spans="1:18" ht="15" customHeight="1" x14ac:dyDescent="0.3">
      <c r="A75" s="19" t="s">
        <v>51</v>
      </c>
      <c r="B75" s="19" t="s">
        <v>334</v>
      </c>
      <c r="C75" s="20">
        <v>0.77430555555555547</v>
      </c>
      <c r="D75" s="19" t="s">
        <v>53</v>
      </c>
      <c r="E75" s="19" t="s">
        <v>73</v>
      </c>
      <c r="F75" s="19" t="s">
        <v>335</v>
      </c>
      <c r="G75" s="251"/>
      <c r="H75" s="10"/>
      <c r="I75" s="11"/>
      <c r="J75" s="11"/>
      <c r="K75" s="11"/>
      <c r="L75" s="11"/>
      <c r="M75" s="11"/>
      <c r="N75" s="11"/>
      <c r="O75" s="12"/>
      <c r="P75" s="11"/>
      <c r="Q75" s="13"/>
      <c r="R75" s="14"/>
    </row>
    <row r="76" spans="1:18" ht="15" customHeight="1" x14ac:dyDescent="0.3">
      <c r="A76" s="19" t="s">
        <v>51</v>
      </c>
      <c r="B76" s="19" t="s">
        <v>336</v>
      </c>
      <c r="C76" s="20">
        <v>0.95833333333333337</v>
      </c>
      <c r="D76" s="19" t="s">
        <v>53</v>
      </c>
      <c r="E76" s="19" t="s">
        <v>89</v>
      </c>
      <c r="F76" s="19" t="s">
        <v>335</v>
      </c>
      <c r="G76" s="251"/>
      <c r="H76" s="10"/>
      <c r="I76" s="11"/>
      <c r="J76" s="11"/>
      <c r="K76" s="11"/>
      <c r="L76" s="11"/>
      <c r="M76" s="11"/>
      <c r="N76" s="11"/>
      <c r="O76" s="12"/>
      <c r="P76" s="11"/>
      <c r="Q76" s="13"/>
      <c r="R76" s="14"/>
    </row>
    <row r="77" spans="1:18" ht="15" customHeight="1" x14ac:dyDescent="0.3">
      <c r="A77" s="19" t="s">
        <v>51</v>
      </c>
      <c r="B77" s="19" t="s">
        <v>337</v>
      </c>
      <c r="C77" s="20">
        <v>0.14583333333333329</v>
      </c>
      <c r="D77" s="19" t="s">
        <v>53</v>
      </c>
      <c r="E77" s="19" t="s">
        <v>57</v>
      </c>
      <c r="F77" s="19" t="s">
        <v>335</v>
      </c>
      <c r="G77" s="251"/>
      <c r="H77" s="10"/>
      <c r="I77" s="11"/>
      <c r="J77" s="11"/>
      <c r="K77" s="11"/>
      <c r="L77" s="11"/>
      <c r="M77" s="11"/>
      <c r="N77" s="11"/>
      <c r="O77" s="12"/>
      <c r="P77" s="11"/>
      <c r="Q77" s="13"/>
      <c r="R77" s="14"/>
    </row>
    <row r="78" spans="1:18" ht="15" customHeight="1" thickBot="1" x14ac:dyDescent="0.35">
      <c r="A78" s="91" t="s">
        <v>51</v>
      </c>
      <c r="B78" s="91" t="s">
        <v>338</v>
      </c>
      <c r="C78" s="92">
        <v>0.27777777777777779</v>
      </c>
      <c r="D78" s="91" t="s">
        <v>53</v>
      </c>
      <c r="E78" s="91" t="s">
        <v>57</v>
      </c>
      <c r="F78" s="91" t="s">
        <v>335</v>
      </c>
      <c r="G78" s="252"/>
      <c r="H78" s="41"/>
      <c r="I78" s="42"/>
      <c r="J78" s="42"/>
      <c r="K78" s="42"/>
      <c r="L78" s="42"/>
      <c r="M78" s="42"/>
      <c r="N78" s="42"/>
      <c r="O78" s="43"/>
      <c r="P78" s="42"/>
      <c r="Q78" s="44"/>
      <c r="R78" s="45"/>
    </row>
    <row r="79" spans="1:18" ht="17.399999999999999" customHeight="1" thickBot="1" x14ac:dyDescent="0.35">
      <c r="A79" s="282"/>
      <c r="B79" s="283"/>
      <c r="C79" s="283"/>
      <c r="D79" s="283"/>
      <c r="E79" s="283"/>
      <c r="F79" s="283"/>
      <c r="G79" s="283"/>
      <c r="H79" s="283"/>
      <c r="I79" s="283"/>
      <c r="J79" s="283"/>
      <c r="K79" s="283"/>
      <c r="L79" s="283"/>
      <c r="M79" s="283"/>
      <c r="N79" s="283"/>
      <c r="O79" s="283"/>
      <c r="P79" s="283"/>
      <c r="Q79" s="283"/>
      <c r="R79" s="284"/>
    </row>
    <row r="80" spans="1:18" ht="22.05" customHeight="1" thickTop="1" thickBot="1" x14ac:dyDescent="0.35">
      <c r="A80" s="261" t="s">
        <v>6</v>
      </c>
      <c r="B80" s="254"/>
      <c r="C80" s="254"/>
      <c r="D80" s="254"/>
      <c r="E80" s="254"/>
      <c r="F80" s="255"/>
      <c r="G80" s="31">
        <v>45982</v>
      </c>
      <c r="H80" s="253" t="s">
        <v>7</v>
      </c>
      <c r="I80" s="254"/>
      <c r="J80" s="254"/>
      <c r="K80" s="254"/>
      <c r="L80" s="254"/>
      <c r="M80" s="254"/>
      <c r="N80" s="254"/>
      <c r="O80" s="254"/>
      <c r="P80" s="254"/>
      <c r="Q80" s="254"/>
      <c r="R80" s="255"/>
    </row>
    <row r="81" spans="1:18" ht="24" customHeight="1" x14ac:dyDescent="0.3">
      <c r="A81" s="32" t="s">
        <v>8</v>
      </c>
      <c r="B81" s="32" t="s">
        <v>9</v>
      </c>
      <c r="C81" s="33" t="s">
        <v>10</v>
      </c>
      <c r="D81" s="32" t="s">
        <v>11</v>
      </c>
      <c r="E81" s="32" t="s">
        <v>12</v>
      </c>
      <c r="F81" s="34" t="s">
        <v>13</v>
      </c>
      <c r="G81" s="35" t="s">
        <v>14</v>
      </c>
      <c r="H81" s="32" t="s">
        <v>15</v>
      </c>
      <c r="I81" s="36" t="s">
        <v>16</v>
      </c>
      <c r="J81" s="37" t="s">
        <v>17</v>
      </c>
      <c r="K81" s="38" t="s">
        <v>18</v>
      </c>
      <c r="L81" s="37" t="s">
        <v>19</v>
      </c>
      <c r="M81" s="37" t="s">
        <v>20</v>
      </c>
      <c r="N81" s="37" t="s">
        <v>21</v>
      </c>
      <c r="O81" s="32" t="s">
        <v>22</v>
      </c>
      <c r="P81" s="33" t="s">
        <v>23</v>
      </c>
      <c r="Q81" s="37" t="s">
        <v>24</v>
      </c>
      <c r="R81" s="32" t="s">
        <v>25</v>
      </c>
    </row>
    <row r="82" spans="1:18" ht="15" customHeight="1" x14ac:dyDescent="0.3">
      <c r="A82" s="8" t="s">
        <v>26</v>
      </c>
      <c r="B82" s="8" t="s">
        <v>258</v>
      </c>
      <c r="C82" s="9">
        <v>0.12847222222222221</v>
      </c>
      <c r="D82" s="8" t="s">
        <v>28</v>
      </c>
      <c r="E82" s="8" t="s">
        <v>339</v>
      </c>
      <c r="F82" s="8" t="s">
        <v>340</v>
      </c>
      <c r="G82" s="250"/>
      <c r="H82" s="10"/>
      <c r="I82" s="11"/>
      <c r="J82" s="11"/>
      <c r="K82" s="11"/>
      <c r="L82" s="11"/>
      <c r="M82" s="11"/>
      <c r="N82" s="11"/>
      <c r="O82" s="12"/>
      <c r="P82" s="11"/>
      <c r="Q82" s="13"/>
      <c r="R82" s="14"/>
    </row>
    <row r="83" spans="1:18" ht="15" customHeight="1" x14ac:dyDescent="0.3">
      <c r="A83" s="15" t="s">
        <v>26</v>
      </c>
      <c r="B83" s="15" t="s">
        <v>258</v>
      </c>
      <c r="C83" s="16">
        <v>0.12847222222222221</v>
      </c>
      <c r="D83" s="15" t="s">
        <v>31</v>
      </c>
      <c r="E83" s="15" t="s">
        <v>341</v>
      </c>
      <c r="F83" s="15" t="s">
        <v>49</v>
      </c>
      <c r="G83" s="251"/>
      <c r="H83" s="10"/>
      <c r="I83" s="11"/>
      <c r="J83" s="11"/>
      <c r="K83" s="11"/>
      <c r="L83" s="11"/>
      <c r="M83" s="11"/>
      <c r="N83" s="11"/>
      <c r="O83" s="12"/>
      <c r="P83" s="11"/>
      <c r="Q83" s="13"/>
      <c r="R83" s="14"/>
    </row>
    <row r="84" spans="1:18" ht="15" customHeight="1" x14ac:dyDescent="0.3">
      <c r="A84" s="15" t="s">
        <v>26</v>
      </c>
      <c r="B84" s="15" t="s">
        <v>258</v>
      </c>
      <c r="C84" s="16">
        <v>0.12847222222222221</v>
      </c>
      <c r="D84" s="15" t="s">
        <v>34</v>
      </c>
      <c r="E84" s="15" t="s">
        <v>341</v>
      </c>
      <c r="F84" s="15" t="s">
        <v>35</v>
      </c>
      <c r="G84" s="251"/>
      <c r="H84" s="10"/>
      <c r="I84" s="11"/>
      <c r="J84" s="11"/>
      <c r="K84" s="11"/>
      <c r="L84" s="11"/>
      <c r="M84" s="11"/>
      <c r="N84" s="11"/>
      <c r="O84" s="12"/>
      <c r="P84" s="11"/>
      <c r="Q84" s="13"/>
      <c r="R84" s="14"/>
    </row>
    <row r="85" spans="1:18" ht="15" customHeight="1" x14ac:dyDescent="0.3">
      <c r="A85" s="19" t="s">
        <v>26</v>
      </c>
      <c r="B85" s="19" t="s">
        <v>248</v>
      </c>
      <c r="C85" s="20">
        <v>0.30208333333333331</v>
      </c>
      <c r="D85" s="19" t="s">
        <v>28</v>
      </c>
      <c r="E85" s="19" t="s">
        <v>342</v>
      </c>
      <c r="F85" s="19" t="s">
        <v>340</v>
      </c>
      <c r="G85" s="251"/>
      <c r="H85" s="10"/>
      <c r="I85" s="11"/>
      <c r="J85" s="11"/>
      <c r="K85" s="11"/>
      <c r="L85" s="11"/>
      <c r="M85" s="11"/>
      <c r="N85" s="11"/>
      <c r="O85" s="12"/>
      <c r="P85" s="11"/>
      <c r="Q85" s="13"/>
      <c r="R85" s="14"/>
    </row>
    <row r="86" spans="1:18" ht="15" customHeight="1" x14ac:dyDescent="0.3">
      <c r="A86" s="15" t="s">
        <v>26</v>
      </c>
      <c r="B86" s="15" t="s">
        <v>248</v>
      </c>
      <c r="C86" s="16">
        <v>0.30208333333333331</v>
      </c>
      <c r="D86" s="15" t="s">
        <v>31</v>
      </c>
      <c r="E86" s="15" t="s">
        <v>341</v>
      </c>
      <c r="F86" s="15" t="s">
        <v>49</v>
      </c>
      <c r="G86" s="251"/>
      <c r="H86" s="10"/>
      <c r="I86" s="11"/>
      <c r="J86" s="11"/>
      <c r="K86" s="11"/>
      <c r="L86" s="11"/>
      <c r="M86" s="11"/>
      <c r="N86" s="11"/>
      <c r="O86" s="12"/>
      <c r="P86" s="11"/>
      <c r="Q86" s="13"/>
      <c r="R86" s="14"/>
    </row>
    <row r="87" spans="1:18" ht="15" customHeight="1" x14ac:dyDescent="0.3">
      <c r="A87" s="15" t="s">
        <v>26</v>
      </c>
      <c r="B87" s="15" t="s">
        <v>248</v>
      </c>
      <c r="C87" s="16">
        <v>0.30208333333333331</v>
      </c>
      <c r="D87" s="15" t="s">
        <v>34</v>
      </c>
      <c r="E87" s="15" t="s">
        <v>341</v>
      </c>
      <c r="F87" s="15" t="s">
        <v>35</v>
      </c>
      <c r="G87" s="251"/>
      <c r="H87" s="10"/>
      <c r="I87" s="11"/>
      <c r="J87" s="11"/>
      <c r="K87" s="11"/>
      <c r="L87" s="11"/>
      <c r="M87" s="11"/>
      <c r="N87" s="11"/>
      <c r="O87" s="12"/>
      <c r="P87" s="11"/>
      <c r="Q87" s="13"/>
      <c r="R87" s="14"/>
    </row>
    <row r="88" spans="1:18" ht="15" customHeight="1" x14ac:dyDescent="0.3">
      <c r="A88" s="19" t="s">
        <v>26</v>
      </c>
      <c r="B88" s="19" t="s">
        <v>252</v>
      </c>
      <c r="C88" s="20">
        <v>0.88888888888888884</v>
      </c>
      <c r="D88" s="19" t="s">
        <v>28</v>
      </c>
      <c r="E88" s="19" t="s">
        <v>343</v>
      </c>
      <c r="F88" s="19" t="s">
        <v>340</v>
      </c>
      <c r="G88" s="251"/>
      <c r="H88" s="10"/>
      <c r="I88" s="11"/>
      <c r="J88" s="11"/>
      <c r="K88" s="11"/>
      <c r="L88" s="11"/>
      <c r="M88" s="11"/>
      <c r="N88" s="11"/>
      <c r="O88" s="12"/>
      <c r="P88" s="11"/>
      <c r="Q88" s="13"/>
      <c r="R88" s="14"/>
    </row>
    <row r="89" spans="1:18" ht="15" customHeight="1" x14ac:dyDescent="0.3">
      <c r="A89" s="15" t="s">
        <v>26</v>
      </c>
      <c r="B89" s="15" t="s">
        <v>252</v>
      </c>
      <c r="C89" s="16">
        <v>0.88888888888888884</v>
      </c>
      <c r="D89" s="15" t="s">
        <v>31</v>
      </c>
      <c r="E89" s="15" t="s">
        <v>344</v>
      </c>
      <c r="F89" s="15" t="s">
        <v>49</v>
      </c>
      <c r="G89" s="251"/>
      <c r="H89" s="10"/>
      <c r="I89" s="11"/>
      <c r="J89" s="11"/>
      <c r="K89" s="11"/>
      <c r="L89" s="11"/>
      <c r="M89" s="11"/>
      <c r="N89" s="11"/>
      <c r="O89" s="12"/>
      <c r="P89" s="11"/>
      <c r="Q89" s="13"/>
      <c r="R89" s="14"/>
    </row>
    <row r="90" spans="1:18" ht="15" customHeight="1" x14ac:dyDescent="0.3">
      <c r="A90" s="15" t="s">
        <v>26</v>
      </c>
      <c r="B90" s="15" t="s">
        <v>252</v>
      </c>
      <c r="C90" s="16">
        <v>0.88888888888888884</v>
      </c>
      <c r="D90" s="15" t="s">
        <v>34</v>
      </c>
      <c r="E90" s="15" t="s">
        <v>344</v>
      </c>
      <c r="F90" s="15" t="s">
        <v>35</v>
      </c>
      <c r="G90" s="251"/>
      <c r="H90" s="10"/>
      <c r="I90" s="11"/>
      <c r="J90" s="11"/>
      <c r="K90" s="11"/>
      <c r="L90" s="11"/>
      <c r="M90" s="11"/>
      <c r="N90" s="11"/>
      <c r="O90" s="12"/>
      <c r="P90" s="11"/>
      <c r="Q90" s="13"/>
      <c r="R90" s="14"/>
    </row>
    <row r="91" spans="1:18" ht="15" customHeight="1" x14ac:dyDescent="0.3">
      <c r="A91" s="19" t="s">
        <v>26</v>
      </c>
      <c r="B91" s="19" t="s">
        <v>255</v>
      </c>
      <c r="C91" s="20">
        <v>0.78819444444444453</v>
      </c>
      <c r="D91" s="19" t="s">
        <v>28</v>
      </c>
      <c r="E91" s="19" t="s">
        <v>345</v>
      </c>
      <c r="F91" s="19" t="s">
        <v>340</v>
      </c>
      <c r="G91" s="251"/>
      <c r="H91" s="10"/>
      <c r="I91" s="11"/>
      <c r="J91" s="11"/>
      <c r="K91" s="11"/>
      <c r="L91" s="11"/>
      <c r="M91" s="11"/>
      <c r="N91" s="11"/>
      <c r="O91" s="12"/>
      <c r="P91" s="11"/>
      <c r="Q91" s="13"/>
      <c r="R91" s="14"/>
    </row>
    <row r="92" spans="1:18" ht="15" customHeight="1" x14ac:dyDescent="0.3">
      <c r="A92" s="15" t="s">
        <v>26</v>
      </c>
      <c r="B92" s="15" t="s">
        <v>255</v>
      </c>
      <c r="C92" s="16">
        <v>0.78819444444444453</v>
      </c>
      <c r="D92" s="15" t="s">
        <v>31</v>
      </c>
      <c r="E92" s="15" t="s">
        <v>32</v>
      </c>
      <c r="F92" s="15" t="s">
        <v>49</v>
      </c>
      <c r="G92" s="251"/>
      <c r="H92" s="10"/>
      <c r="I92" s="11"/>
      <c r="J92" s="11"/>
      <c r="K92" s="11"/>
      <c r="L92" s="11"/>
      <c r="M92" s="11"/>
      <c r="N92" s="11"/>
      <c r="O92" s="12"/>
      <c r="P92" s="11"/>
      <c r="Q92" s="13"/>
      <c r="R92" s="14"/>
    </row>
    <row r="93" spans="1:18" ht="15" customHeight="1" x14ac:dyDescent="0.3">
      <c r="A93" s="15" t="s">
        <v>26</v>
      </c>
      <c r="B93" s="15" t="s">
        <v>255</v>
      </c>
      <c r="C93" s="16">
        <v>0.78819444444444453</v>
      </c>
      <c r="D93" s="15" t="s">
        <v>34</v>
      </c>
      <c r="E93" s="15" t="s">
        <v>32</v>
      </c>
      <c r="F93" s="15" t="s">
        <v>346</v>
      </c>
      <c r="G93" s="251"/>
      <c r="H93" s="10"/>
      <c r="I93" s="11"/>
      <c r="J93" s="11"/>
      <c r="K93" s="11"/>
      <c r="L93" s="11"/>
      <c r="M93" s="11"/>
      <c r="N93" s="11"/>
      <c r="O93" s="12"/>
      <c r="P93" s="11"/>
      <c r="Q93" s="13"/>
      <c r="R93" s="14"/>
    </row>
    <row r="94" spans="1:18" ht="15" customHeight="1" x14ac:dyDescent="0.3">
      <c r="A94" s="17" t="s">
        <v>269</v>
      </c>
      <c r="B94" s="17" t="s">
        <v>347</v>
      </c>
      <c r="C94" s="18">
        <v>0.97569444444444453</v>
      </c>
      <c r="D94" s="17" t="s">
        <v>271</v>
      </c>
      <c r="E94" s="17" t="s">
        <v>228</v>
      </c>
      <c r="F94" s="17" t="s">
        <v>348</v>
      </c>
      <c r="G94" s="251"/>
      <c r="H94" s="10"/>
      <c r="I94" s="11"/>
      <c r="J94" s="11"/>
      <c r="K94" s="11"/>
      <c r="L94" s="11"/>
      <c r="M94" s="11"/>
      <c r="N94" s="11"/>
      <c r="O94" s="12"/>
      <c r="P94" s="11"/>
      <c r="Q94" s="13"/>
      <c r="R94" s="14"/>
    </row>
    <row r="95" spans="1:18" ht="15" customHeight="1" x14ac:dyDescent="0.3">
      <c r="A95" s="15" t="s">
        <v>269</v>
      </c>
      <c r="B95" s="15" t="s">
        <v>347</v>
      </c>
      <c r="C95" s="16">
        <v>0.97569444444444453</v>
      </c>
      <c r="D95" s="15" t="s">
        <v>34</v>
      </c>
      <c r="E95" s="15" t="s">
        <v>48</v>
      </c>
      <c r="F95" s="15" t="s">
        <v>349</v>
      </c>
      <c r="G95" s="251"/>
      <c r="H95" s="10"/>
      <c r="I95" s="11"/>
      <c r="J95" s="11"/>
      <c r="K95" s="11"/>
      <c r="L95" s="11"/>
      <c r="M95" s="11"/>
      <c r="N95" s="11"/>
      <c r="O95" s="12"/>
      <c r="P95" s="11"/>
      <c r="Q95" s="13"/>
      <c r="R95" s="14"/>
    </row>
    <row r="96" spans="1:18" ht="15" customHeight="1" x14ac:dyDescent="0.3">
      <c r="A96" s="19" t="s">
        <v>269</v>
      </c>
      <c r="B96" s="19" t="s">
        <v>270</v>
      </c>
      <c r="C96" s="20">
        <v>0.3923611111111111</v>
      </c>
      <c r="D96" s="19" t="s">
        <v>271</v>
      </c>
      <c r="E96" s="19" t="s">
        <v>46</v>
      </c>
      <c r="F96" s="19" t="s">
        <v>350</v>
      </c>
      <c r="G96" s="251"/>
      <c r="H96" s="10"/>
      <c r="I96" s="11"/>
      <c r="J96" s="11"/>
      <c r="K96" s="11"/>
      <c r="L96" s="11"/>
      <c r="M96" s="11"/>
      <c r="N96" s="11"/>
      <c r="O96" s="12"/>
      <c r="P96" s="11"/>
      <c r="Q96" s="13"/>
      <c r="R96" s="14"/>
    </row>
    <row r="97" spans="1:18" ht="15" customHeight="1" x14ac:dyDescent="0.3">
      <c r="A97" s="15" t="s">
        <v>269</v>
      </c>
      <c r="B97" s="15" t="s">
        <v>270</v>
      </c>
      <c r="C97" s="16">
        <v>0.3923611111111111</v>
      </c>
      <c r="D97" s="15" t="s">
        <v>34</v>
      </c>
      <c r="E97" s="15" t="s">
        <v>48</v>
      </c>
      <c r="F97" s="15" t="s">
        <v>351</v>
      </c>
      <c r="G97" s="251"/>
      <c r="H97" s="10"/>
      <c r="I97" s="11"/>
      <c r="J97" s="11"/>
      <c r="K97" s="11"/>
      <c r="L97" s="11"/>
      <c r="M97" s="11"/>
      <c r="N97" s="11"/>
      <c r="O97" s="12"/>
      <c r="P97" s="11"/>
      <c r="Q97" s="13"/>
      <c r="R97" s="14"/>
    </row>
    <row r="98" spans="1:18" ht="15" customHeight="1" x14ac:dyDescent="0.3">
      <c r="A98" s="17" t="s">
        <v>36</v>
      </c>
      <c r="B98" s="17" t="s">
        <v>235</v>
      </c>
      <c r="C98" s="18">
        <v>0.90277777777777779</v>
      </c>
      <c r="D98" s="17" t="s">
        <v>38</v>
      </c>
      <c r="E98" s="17" t="s">
        <v>104</v>
      </c>
      <c r="F98" s="17" t="s">
        <v>233</v>
      </c>
      <c r="G98" s="251"/>
      <c r="H98" s="10"/>
      <c r="I98" s="11"/>
      <c r="J98" s="11"/>
      <c r="K98" s="11"/>
      <c r="L98" s="11"/>
      <c r="M98" s="11"/>
      <c r="N98" s="11"/>
      <c r="O98" s="12"/>
      <c r="P98" s="11"/>
      <c r="Q98" s="13"/>
      <c r="R98" s="14"/>
    </row>
    <row r="99" spans="1:18" ht="15" customHeight="1" x14ac:dyDescent="0.3">
      <c r="A99" s="15" t="s">
        <v>36</v>
      </c>
      <c r="B99" s="15" t="s">
        <v>235</v>
      </c>
      <c r="C99" s="16">
        <v>0.90277777777777779</v>
      </c>
      <c r="D99" s="15" t="s">
        <v>41</v>
      </c>
      <c r="E99" s="15" t="s">
        <v>78</v>
      </c>
      <c r="F99" s="15" t="s">
        <v>101</v>
      </c>
      <c r="G99" s="251"/>
      <c r="H99" s="10"/>
      <c r="I99" s="11"/>
      <c r="J99" s="11"/>
      <c r="K99" s="11"/>
      <c r="L99" s="11"/>
      <c r="M99" s="11"/>
      <c r="N99" s="11"/>
      <c r="O99" s="12"/>
      <c r="P99" s="11"/>
      <c r="Q99" s="13"/>
      <c r="R99" s="14"/>
    </row>
    <row r="100" spans="1:18" ht="15" customHeight="1" x14ac:dyDescent="0.3">
      <c r="A100" s="15" t="s">
        <v>36</v>
      </c>
      <c r="B100" s="15" t="s">
        <v>235</v>
      </c>
      <c r="C100" s="16">
        <v>0.90277777777777779</v>
      </c>
      <c r="D100" s="15" t="s">
        <v>43</v>
      </c>
      <c r="E100" s="15" t="s">
        <v>78</v>
      </c>
      <c r="F100" s="15" t="s">
        <v>234</v>
      </c>
      <c r="G100" s="251"/>
      <c r="H100" s="10"/>
      <c r="I100" s="11"/>
      <c r="J100" s="11"/>
      <c r="K100" s="11"/>
      <c r="L100" s="11"/>
      <c r="M100" s="11"/>
      <c r="N100" s="11"/>
      <c r="O100" s="12"/>
      <c r="P100" s="11"/>
      <c r="Q100" s="13"/>
      <c r="R100" s="14"/>
    </row>
    <row r="101" spans="1:18" ht="15" customHeight="1" x14ac:dyDescent="0.3">
      <c r="A101" s="19" t="s">
        <v>36</v>
      </c>
      <c r="B101" s="19" t="s">
        <v>236</v>
      </c>
      <c r="C101" s="20">
        <v>0.79861111111111116</v>
      </c>
      <c r="D101" s="19" t="s">
        <v>38</v>
      </c>
      <c r="E101" s="19" t="s">
        <v>103</v>
      </c>
      <c r="F101" s="19" t="s">
        <v>233</v>
      </c>
      <c r="G101" s="251"/>
      <c r="H101" s="10"/>
      <c r="I101" s="11"/>
      <c r="J101" s="11"/>
      <c r="K101" s="11"/>
      <c r="L101" s="11"/>
      <c r="M101" s="11"/>
      <c r="N101" s="11"/>
      <c r="O101" s="12"/>
      <c r="P101" s="11"/>
      <c r="Q101" s="13"/>
      <c r="R101" s="14"/>
    </row>
    <row r="102" spans="1:18" ht="15" customHeight="1" x14ac:dyDescent="0.3">
      <c r="A102" s="15" t="s">
        <v>36</v>
      </c>
      <c r="B102" s="15" t="s">
        <v>236</v>
      </c>
      <c r="C102" s="16">
        <v>0.79861111111111116</v>
      </c>
      <c r="D102" s="15" t="s">
        <v>41</v>
      </c>
      <c r="E102" s="15" t="s">
        <v>95</v>
      </c>
      <c r="F102" s="15" t="s">
        <v>101</v>
      </c>
      <c r="G102" s="251"/>
      <c r="H102" s="10"/>
      <c r="I102" s="11"/>
      <c r="J102" s="11"/>
      <c r="K102" s="11"/>
      <c r="L102" s="11"/>
      <c r="M102" s="11"/>
      <c r="N102" s="11"/>
      <c r="O102" s="12"/>
      <c r="P102" s="11"/>
      <c r="Q102" s="13"/>
      <c r="R102" s="14"/>
    </row>
    <row r="103" spans="1:18" ht="15" customHeight="1" x14ac:dyDescent="0.3">
      <c r="A103" s="15" t="s">
        <v>36</v>
      </c>
      <c r="B103" s="15" t="s">
        <v>236</v>
      </c>
      <c r="C103" s="16">
        <v>0.79861111111111116</v>
      </c>
      <c r="D103" s="15" t="s">
        <v>43</v>
      </c>
      <c r="E103" s="15" t="s">
        <v>95</v>
      </c>
      <c r="F103" s="15" t="s">
        <v>234</v>
      </c>
      <c r="G103" s="251"/>
      <c r="H103" s="10"/>
      <c r="I103" s="11"/>
      <c r="J103" s="11"/>
      <c r="K103" s="11"/>
      <c r="L103" s="11"/>
      <c r="M103" s="11"/>
      <c r="N103" s="11"/>
      <c r="O103" s="12"/>
      <c r="P103" s="11"/>
      <c r="Q103" s="13"/>
      <c r="R103" s="14"/>
    </row>
    <row r="104" spans="1:18" ht="15" customHeight="1" x14ac:dyDescent="0.3">
      <c r="A104" s="19" t="s">
        <v>36</v>
      </c>
      <c r="B104" s="19" t="s">
        <v>232</v>
      </c>
      <c r="C104" s="20">
        <v>0.85416666666666663</v>
      </c>
      <c r="D104" s="19" t="s">
        <v>38</v>
      </c>
      <c r="E104" s="19" t="s">
        <v>46</v>
      </c>
      <c r="F104" s="19" t="s">
        <v>240</v>
      </c>
      <c r="G104" s="251"/>
      <c r="H104" s="10"/>
      <c r="I104" s="11"/>
      <c r="J104" s="11"/>
      <c r="K104" s="11"/>
      <c r="L104" s="11"/>
      <c r="M104" s="11"/>
      <c r="N104" s="11"/>
      <c r="O104" s="12"/>
      <c r="P104" s="11"/>
      <c r="Q104" s="13"/>
      <c r="R104" s="14"/>
    </row>
    <row r="105" spans="1:18" ht="15" customHeight="1" x14ac:dyDescent="0.3">
      <c r="A105" s="15" t="s">
        <v>36</v>
      </c>
      <c r="B105" s="15" t="s">
        <v>232</v>
      </c>
      <c r="C105" s="16">
        <v>0.85416666666666663</v>
      </c>
      <c r="D105" s="15" t="s">
        <v>41</v>
      </c>
      <c r="E105" s="15" t="s">
        <v>48</v>
      </c>
      <c r="F105" s="15" t="s">
        <v>242</v>
      </c>
      <c r="G105" s="251"/>
      <c r="H105" s="10"/>
      <c r="I105" s="11"/>
      <c r="J105" s="11"/>
      <c r="K105" s="11"/>
      <c r="L105" s="11"/>
      <c r="M105" s="11"/>
      <c r="N105" s="11"/>
      <c r="O105" s="12"/>
      <c r="P105" s="11"/>
      <c r="Q105" s="13"/>
      <c r="R105" s="14"/>
    </row>
    <row r="106" spans="1:18" ht="15" customHeight="1" x14ac:dyDescent="0.3">
      <c r="A106" s="15" t="s">
        <v>36</v>
      </c>
      <c r="B106" s="15" t="s">
        <v>232</v>
      </c>
      <c r="C106" s="16">
        <v>0.85416666666666663</v>
      </c>
      <c r="D106" s="15" t="s">
        <v>43</v>
      </c>
      <c r="E106" s="15" t="s">
        <v>48</v>
      </c>
      <c r="F106" s="15" t="s">
        <v>243</v>
      </c>
      <c r="G106" s="251"/>
      <c r="H106" s="10"/>
      <c r="I106" s="11"/>
      <c r="J106" s="11"/>
      <c r="K106" s="11"/>
      <c r="L106" s="11"/>
      <c r="M106" s="11"/>
      <c r="N106" s="11"/>
      <c r="O106" s="12"/>
      <c r="P106" s="11"/>
      <c r="Q106" s="13"/>
      <c r="R106" s="14"/>
    </row>
    <row r="107" spans="1:18" ht="15" customHeight="1" x14ac:dyDescent="0.3">
      <c r="A107" s="19" t="s">
        <v>36</v>
      </c>
      <c r="B107" s="19" t="s">
        <v>244</v>
      </c>
      <c r="C107" s="20">
        <v>0.51736111111111105</v>
      </c>
      <c r="D107" s="19" t="s">
        <v>38</v>
      </c>
      <c r="E107" s="19" t="s">
        <v>73</v>
      </c>
      <c r="F107" s="19" t="s">
        <v>240</v>
      </c>
      <c r="G107" s="251"/>
      <c r="H107" s="10"/>
      <c r="I107" s="11"/>
      <c r="J107" s="11"/>
      <c r="K107" s="11"/>
      <c r="L107" s="11"/>
      <c r="M107" s="11"/>
      <c r="N107" s="11"/>
      <c r="O107" s="12"/>
      <c r="P107" s="11"/>
      <c r="Q107" s="13"/>
      <c r="R107" s="14"/>
    </row>
    <row r="108" spans="1:18" ht="15" customHeight="1" x14ac:dyDescent="0.3">
      <c r="A108" s="15" t="s">
        <v>36</v>
      </c>
      <c r="B108" s="15" t="s">
        <v>244</v>
      </c>
      <c r="C108" s="16">
        <v>0.51736111111111105</v>
      </c>
      <c r="D108" s="15" t="s">
        <v>41</v>
      </c>
      <c r="E108" s="15" t="s">
        <v>93</v>
      </c>
      <c r="F108" s="15" t="s">
        <v>242</v>
      </c>
      <c r="G108" s="251"/>
      <c r="H108" s="10"/>
      <c r="I108" s="11"/>
      <c r="J108" s="11"/>
      <c r="K108" s="11"/>
      <c r="L108" s="11"/>
      <c r="M108" s="11"/>
      <c r="N108" s="11"/>
      <c r="O108" s="12"/>
      <c r="P108" s="11"/>
      <c r="Q108" s="13"/>
      <c r="R108" s="14"/>
    </row>
    <row r="109" spans="1:18" ht="15" customHeight="1" x14ac:dyDescent="0.3">
      <c r="A109" s="15" t="s">
        <v>36</v>
      </c>
      <c r="B109" s="15" t="s">
        <v>244</v>
      </c>
      <c r="C109" s="16">
        <v>0.51736111111111105</v>
      </c>
      <c r="D109" s="15" t="s">
        <v>43</v>
      </c>
      <c r="E109" s="15" t="s">
        <v>93</v>
      </c>
      <c r="F109" s="15" t="s">
        <v>243</v>
      </c>
      <c r="G109" s="251"/>
      <c r="H109" s="10"/>
      <c r="I109" s="11"/>
      <c r="J109" s="11"/>
      <c r="K109" s="11"/>
      <c r="L109" s="11"/>
      <c r="M109" s="11"/>
      <c r="N109" s="11"/>
      <c r="O109" s="12"/>
      <c r="P109" s="11"/>
      <c r="Q109" s="13"/>
      <c r="R109" s="14"/>
    </row>
    <row r="110" spans="1:18" ht="15" customHeight="1" x14ac:dyDescent="0.3">
      <c r="A110" s="19" t="s">
        <v>36</v>
      </c>
      <c r="B110" s="19" t="s">
        <v>237</v>
      </c>
      <c r="C110" s="20">
        <v>0.39583333333333331</v>
      </c>
      <c r="D110" s="19" t="s">
        <v>38</v>
      </c>
      <c r="E110" s="19" t="s">
        <v>60</v>
      </c>
      <c r="F110" s="19" t="s">
        <v>240</v>
      </c>
      <c r="G110" s="251"/>
      <c r="H110" s="10"/>
      <c r="I110" s="11"/>
      <c r="J110" s="11"/>
      <c r="K110" s="11"/>
      <c r="L110" s="11"/>
      <c r="M110" s="11"/>
      <c r="N110" s="11"/>
      <c r="O110" s="12"/>
      <c r="P110" s="11"/>
      <c r="Q110" s="13"/>
      <c r="R110" s="14"/>
    </row>
    <row r="111" spans="1:18" ht="15" customHeight="1" x14ac:dyDescent="0.3">
      <c r="A111" s="15" t="s">
        <v>36</v>
      </c>
      <c r="B111" s="15" t="s">
        <v>237</v>
      </c>
      <c r="C111" s="16">
        <v>0.39583333333333331</v>
      </c>
      <c r="D111" s="15" t="s">
        <v>41</v>
      </c>
      <c r="E111" s="15" t="s">
        <v>42</v>
      </c>
      <c r="F111" s="15" t="s">
        <v>242</v>
      </c>
      <c r="G111" s="251"/>
      <c r="H111" s="10"/>
      <c r="I111" s="11"/>
      <c r="J111" s="11"/>
      <c r="K111" s="11"/>
      <c r="L111" s="11"/>
      <c r="M111" s="11"/>
      <c r="N111" s="11"/>
      <c r="O111" s="12"/>
      <c r="P111" s="11"/>
      <c r="Q111" s="13"/>
      <c r="R111" s="14"/>
    </row>
    <row r="112" spans="1:18" ht="15" customHeight="1" x14ac:dyDescent="0.3">
      <c r="A112" s="15" t="s">
        <v>36</v>
      </c>
      <c r="B112" s="15" t="s">
        <v>237</v>
      </c>
      <c r="C112" s="16">
        <v>0.39583333333333331</v>
      </c>
      <c r="D112" s="15" t="s">
        <v>43</v>
      </c>
      <c r="E112" s="15" t="s">
        <v>42</v>
      </c>
      <c r="F112" s="15" t="s">
        <v>243</v>
      </c>
      <c r="G112" s="251"/>
      <c r="H112" s="10"/>
      <c r="I112" s="11"/>
      <c r="J112" s="11"/>
      <c r="K112" s="11"/>
      <c r="L112" s="11"/>
      <c r="M112" s="11"/>
      <c r="N112" s="11"/>
      <c r="O112" s="12"/>
      <c r="P112" s="11"/>
      <c r="Q112" s="13"/>
      <c r="R112" s="14"/>
    </row>
    <row r="113" spans="1:18" ht="15" customHeight="1" x14ac:dyDescent="0.3">
      <c r="A113" s="19" t="s">
        <v>36</v>
      </c>
      <c r="B113" s="19" t="s">
        <v>238</v>
      </c>
      <c r="C113" s="20">
        <v>0.64583333333333337</v>
      </c>
      <c r="D113" s="19" t="s">
        <v>38</v>
      </c>
      <c r="E113" s="19" t="s">
        <v>46</v>
      </c>
      <c r="F113" s="19" t="s">
        <v>240</v>
      </c>
      <c r="G113" s="251"/>
      <c r="H113" s="10"/>
      <c r="I113" s="11"/>
      <c r="J113" s="11"/>
      <c r="K113" s="11"/>
      <c r="L113" s="11"/>
      <c r="M113" s="11"/>
      <c r="N113" s="11"/>
      <c r="O113" s="12"/>
      <c r="P113" s="11"/>
      <c r="Q113" s="13"/>
      <c r="R113" s="14"/>
    </row>
    <row r="114" spans="1:18" ht="15" customHeight="1" x14ac:dyDescent="0.3">
      <c r="A114" s="15" t="s">
        <v>36</v>
      </c>
      <c r="B114" s="15" t="s">
        <v>238</v>
      </c>
      <c r="C114" s="16">
        <v>0.64583333333333337</v>
      </c>
      <c r="D114" s="15" t="s">
        <v>41</v>
      </c>
      <c r="E114" s="15" t="s">
        <v>48</v>
      </c>
      <c r="F114" s="15" t="s">
        <v>242</v>
      </c>
      <c r="G114" s="251"/>
      <c r="H114" s="10"/>
      <c r="I114" s="11"/>
      <c r="J114" s="11"/>
      <c r="K114" s="11"/>
      <c r="L114" s="11"/>
      <c r="M114" s="11"/>
      <c r="N114" s="11"/>
      <c r="O114" s="12"/>
      <c r="P114" s="11"/>
      <c r="Q114" s="13"/>
      <c r="R114" s="14"/>
    </row>
    <row r="115" spans="1:18" ht="15" customHeight="1" x14ac:dyDescent="0.3">
      <c r="A115" s="15" t="s">
        <v>36</v>
      </c>
      <c r="B115" s="15" t="s">
        <v>238</v>
      </c>
      <c r="C115" s="16">
        <v>0.64583333333333337</v>
      </c>
      <c r="D115" s="15" t="s">
        <v>43</v>
      </c>
      <c r="E115" s="15" t="s">
        <v>48</v>
      </c>
      <c r="F115" s="15" t="s">
        <v>243</v>
      </c>
      <c r="G115" s="251"/>
      <c r="H115" s="10"/>
      <c r="I115" s="11"/>
      <c r="J115" s="11"/>
      <c r="K115" s="11"/>
      <c r="L115" s="11"/>
      <c r="M115" s="11"/>
      <c r="N115" s="11"/>
      <c r="O115" s="12"/>
      <c r="P115" s="11"/>
      <c r="Q115" s="13"/>
      <c r="R115" s="14"/>
    </row>
    <row r="116" spans="1:18" ht="15" customHeight="1" x14ac:dyDescent="0.3">
      <c r="A116" s="19" t="s">
        <v>36</v>
      </c>
      <c r="B116" s="19" t="s">
        <v>227</v>
      </c>
      <c r="C116" s="20">
        <v>0.25694444444444448</v>
      </c>
      <c r="D116" s="19" t="s">
        <v>38</v>
      </c>
      <c r="E116" s="19" t="s">
        <v>73</v>
      </c>
      <c r="F116" s="19" t="s">
        <v>245</v>
      </c>
      <c r="G116" s="251"/>
      <c r="H116" s="10"/>
      <c r="I116" s="11"/>
      <c r="J116" s="11"/>
      <c r="K116" s="11"/>
      <c r="L116" s="11"/>
      <c r="M116" s="11"/>
      <c r="N116" s="11"/>
      <c r="O116" s="12"/>
      <c r="P116" s="11"/>
      <c r="Q116" s="13"/>
      <c r="R116" s="14"/>
    </row>
    <row r="117" spans="1:18" ht="15" customHeight="1" x14ac:dyDescent="0.3">
      <c r="A117" s="15" t="s">
        <v>36</v>
      </c>
      <c r="B117" s="15" t="s">
        <v>227</v>
      </c>
      <c r="C117" s="16">
        <v>0.25694444444444448</v>
      </c>
      <c r="D117" s="15" t="s">
        <v>41</v>
      </c>
      <c r="E117" s="15" t="s">
        <v>93</v>
      </c>
      <c r="F117" s="15" t="s">
        <v>246</v>
      </c>
      <c r="G117" s="251"/>
      <c r="H117" s="10"/>
      <c r="I117" s="11"/>
      <c r="J117" s="11"/>
      <c r="K117" s="11"/>
      <c r="L117" s="11"/>
      <c r="M117" s="11"/>
      <c r="N117" s="11"/>
      <c r="O117" s="12"/>
      <c r="P117" s="11"/>
      <c r="Q117" s="13"/>
      <c r="R117" s="14"/>
    </row>
    <row r="118" spans="1:18" ht="15" customHeight="1" x14ac:dyDescent="0.3">
      <c r="A118" s="15" t="s">
        <v>36</v>
      </c>
      <c r="B118" s="15" t="s">
        <v>227</v>
      </c>
      <c r="C118" s="16">
        <v>0.25694444444444448</v>
      </c>
      <c r="D118" s="15" t="s">
        <v>43</v>
      </c>
      <c r="E118" s="15" t="s">
        <v>93</v>
      </c>
      <c r="F118" s="15" t="s">
        <v>247</v>
      </c>
      <c r="G118" s="251"/>
      <c r="H118" s="10"/>
      <c r="I118" s="11"/>
      <c r="J118" s="11"/>
      <c r="K118" s="11"/>
      <c r="L118" s="11"/>
      <c r="M118" s="11"/>
      <c r="N118" s="11"/>
      <c r="O118" s="12"/>
      <c r="P118" s="11"/>
      <c r="Q118" s="13"/>
      <c r="R118" s="14"/>
    </row>
    <row r="119" spans="1:18" ht="15" customHeight="1" x14ac:dyDescent="0.3">
      <c r="A119" s="17" t="s">
        <v>273</v>
      </c>
      <c r="B119" s="17" t="s">
        <v>352</v>
      </c>
      <c r="C119" s="18">
        <v>0.41666666666666669</v>
      </c>
      <c r="D119" s="17" t="s">
        <v>263</v>
      </c>
      <c r="E119" s="17" t="s">
        <v>104</v>
      </c>
      <c r="F119" s="17" t="s">
        <v>353</v>
      </c>
      <c r="G119" s="251"/>
      <c r="H119" s="10"/>
      <c r="I119" s="11"/>
      <c r="J119" s="11"/>
      <c r="K119" s="11"/>
      <c r="L119" s="11"/>
      <c r="M119" s="11"/>
      <c r="N119" s="11"/>
      <c r="O119" s="12"/>
      <c r="P119" s="11"/>
      <c r="Q119" s="13"/>
      <c r="R119" s="14"/>
    </row>
    <row r="120" spans="1:18" ht="15" customHeight="1" x14ac:dyDescent="0.3">
      <c r="A120" s="19" t="s">
        <v>273</v>
      </c>
      <c r="B120" s="19" t="s">
        <v>274</v>
      </c>
      <c r="C120" s="20">
        <v>0.71527777777777779</v>
      </c>
      <c r="D120" s="19" t="s">
        <v>263</v>
      </c>
      <c r="E120" s="19" t="s">
        <v>76</v>
      </c>
      <c r="F120" s="19" t="s">
        <v>353</v>
      </c>
      <c r="G120" s="251"/>
      <c r="H120" s="10"/>
      <c r="I120" s="11"/>
      <c r="J120" s="11"/>
      <c r="K120" s="11"/>
      <c r="L120" s="11"/>
      <c r="M120" s="11"/>
      <c r="N120" s="11"/>
      <c r="O120" s="12"/>
      <c r="P120" s="11"/>
      <c r="Q120" s="13"/>
      <c r="R120" s="14"/>
    </row>
    <row r="121" spans="1:18" ht="15" customHeight="1" x14ac:dyDescent="0.3">
      <c r="A121" s="80" t="s">
        <v>80</v>
      </c>
      <c r="B121" s="80" t="s">
        <v>289</v>
      </c>
      <c r="C121" s="81">
        <v>0.73611111111111116</v>
      </c>
      <c r="D121" s="80" t="s">
        <v>182</v>
      </c>
      <c r="E121" s="80" t="s">
        <v>354</v>
      </c>
      <c r="F121" s="80" t="s">
        <v>355</v>
      </c>
      <c r="G121" s="251"/>
      <c r="H121" s="82" t="s">
        <v>290</v>
      </c>
      <c r="I121" s="157">
        <v>0.5363</v>
      </c>
      <c r="J121" s="84">
        <v>96</v>
      </c>
      <c r="K121" s="85" t="s">
        <v>186</v>
      </c>
      <c r="L121" s="84">
        <v>15</v>
      </c>
      <c r="M121" s="84">
        <v>0</v>
      </c>
      <c r="N121" s="84">
        <v>3</v>
      </c>
      <c r="O121" s="86" t="s">
        <v>356</v>
      </c>
      <c r="P121" s="87">
        <v>0.73611111111111116</v>
      </c>
      <c r="Q121" s="84">
        <v>179</v>
      </c>
      <c r="R121" s="88" t="s">
        <v>357</v>
      </c>
    </row>
    <row r="122" spans="1:18" ht="15" customHeight="1" x14ac:dyDescent="0.3">
      <c r="A122" s="158" t="s">
        <v>80</v>
      </c>
      <c r="B122" s="158" t="s">
        <v>292</v>
      </c>
      <c r="C122" s="159">
        <v>0.1145833333333333</v>
      </c>
      <c r="D122" s="158" t="s">
        <v>182</v>
      </c>
      <c r="E122" s="158" t="s">
        <v>96</v>
      </c>
      <c r="F122" s="158" t="s">
        <v>355</v>
      </c>
      <c r="G122" s="251"/>
      <c r="H122" s="160" t="s">
        <v>294</v>
      </c>
      <c r="I122" s="161">
        <v>0.50839999999999996</v>
      </c>
      <c r="J122" s="162">
        <v>91</v>
      </c>
      <c r="K122" s="163" t="s">
        <v>284</v>
      </c>
      <c r="L122" s="162">
        <v>24</v>
      </c>
      <c r="M122" s="162">
        <v>1</v>
      </c>
      <c r="N122" s="162">
        <v>7</v>
      </c>
      <c r="O122" s="164" t="s">
        <v>358</v>
      </c>
      <c r="P122" s="165">
        <v>0.1145833333333333</v>
      </c>
      <c r="Q122" s="162">
        <v>179</v>
      </c>
      <c r="R122" s="166" t="s">
        <v>359</v>
      </c>
    </row>
    <row r="123" spans="1:18" ht="15" customHeight="1" x14ac:dyDescent="0.3">
      <c r="A123" s="128" t="s">
        <v>80</v>
      </c>
      <c r="B123" s="128" t="s">
        <v>303</v>
      </c>
      <c r="C123" s="129">
        <v>0.61458333333333337</v>
      </c>
      <c r="D123" s="128" t="s">
        <v>182</v>
      </c>
      <c r="E123" s="128" t="s">
        <v>60</v>
      </c>
      <c r="F123" s="128" t="s">
        <v>355</v>
      </c>
      <c r="G123" s="251"/>
      <c r="H123" s="82" t="s">
        <v>305</v>
      </c>
      <c r="I123" s="157">
        <v>0.53069999999999995</v>
      </c>
      <c r="J123" s="84">
        <v>95</v>
      </c>
      <c r="K123" s="85" t="s">
        <v>186</v>
      </c>
      <c r="L123" s="84">
        <v>19</v>
      </c>
      <c r="M123" s="84">
        <v>0</v>
      </c>
      <c r="N123" s="84">
        <v>1</v>
      </c>
      <c r="O123" s="86" t="s">
        <v>360</v>
      </c>
      <c r="P123" s="87">
        <v>0.61458333333333337</v>
      </c>
      <c r="Q123" s="84">
        <v>179</v>
      </c>
      <c r="R123" s="88" t="s">
        <v>361</v>
      </c>
    </row>
    <row r="124" spans="1:18" ht="15" customHeight="1" x14ac:dyDescent="0.3">
      <c r="A124" s="139" t="s">
        <v>80</v>
      </c>
      <c r="B124" s="139" t="s">
        <v>297</v>
      </c>
      <c r="C124" s="140">
        <v>0.45833333333333331</v>
      </c>
      <c r="D124" s="139" t="s">
        <v>182</v>
      </c>
      <c r="E124" s="139" t="s">
        <v>89</v>
      </c>
      <c r="F124" s="139" t="s">
        <v>355</v>
      </c>
      <c r="G124" s="251"/>
      <c r="H124" s="141" t="s">
        <v>299</v>
      </c>
      <c r="I124" s="167">
        <v>0.54190000000000005</v>
      </c>
      <c r="J124" s="143">
        <v>97</v>
      </c>
      <c r="K124" s="144" t="s">
        <v>84</v>
      </c>
      <c r="L124" s="143">
        <v>7</v>
      </c>
      <c r="M124" s="143">
        <v>0</v>
      </c>
      <c r="N124" s="143">
        <v>0</v>
      </c>
      <c r="O124" s="145" t="s">
        <v>362</v>
      </c>
      <c r="P124" s="146">
        <v>0.45833333333333331</v>
      </c>
      <c r="Q124" s="143">
        <v>179</v>
      </c>
      <c r="R124" s="147" t="s">
        <v>363</v>
      </c>
    </row>
    <row r="125" spans="1:18" ht="15" customHeight="1" x14ac:dyDescent="0.3">
      <c r="A125" s="158" t="s">
        <v>80</v>
      </c>
      <c r="B125" s="158" t="s">
        <v>282</v>
      </c>
      <c r="C125" s="159">
        <v>0.31944444444444448</v>
      </c>
      <c r="D125" s="158" t="s">
        <v>182</v>
      </c>
      <c r="E125" s="158" t="s">
        <v>89</v>
      </c>
      <c r="F125" s="158" t="s">
        <v>298</v>
      </c>
      <c r="G125" s="251"/>
      <c r="H125" s="160" t="s">
        <v>283</v>
      </c>
      <c r="I125" s="168">
        <v>0.5978</v>
      </c>
      <c r="J125" s="162">
        <v>107</v>
      </c>
      <c r="K125" s="163" t="s">
        <v>279</v>
      </c>
      <c r="L125" s="162">
        <v>21</v>
      </c>
      <c r="M125" s="162">
        <v>0</v>
      </c>
      <c r="N125" s="162">
        <v>0</v>
      </c>
      <c r="O125" s="164" t="s">
        <v>301</v>
      </c>
      <c r="P125" s="165">
        <v>0.31944444444444448</v>
      </c>
      <c r="Q125" s="162">
        <v>179</v>
      </c>
      <c r="R125" s="166" t="s">
        <v>364</v>
      </c>
    </row>
    <row r="126" spans="1:18" ht="15" customHeight="1" x14ac:dyDescent="0.3">
      <c r="A126" s="169" t="s">
        <v>80</v>
      </c>
      <c r="B126" s="169" t="s">
        <v>365</v>
      </c>
      <c r="C126" s="170">
        <v>0.9375</v>
      </c>
      <c r="D126" s="169" t="s">
        <v>82</v>
      </c>
      <c r="E126" s="171"/>
      <c r="F126" s="169" t="s">
        <v>83</v>
      </c>
      <c r="G126" s="251"/>
      <c r="H126" s="109" t="s">
        <v>365</v>
      </c>
      <c r="I126" s="110">
        <v>1.0172000000000001</v>
      </c>
      <c r="J126" s="111">
        <v>177</v>
      </c>
      <c r="K126" s="112" t="s">
        <v>186</v>
      </c>
      <c r="L126" s="111">
        <v>7</v>
      </c>
      <c r="M126" s="111">
        <v>0</v>
      </c>
      <c r="N126" s="111">
        <v>1</v>
      </c>
      <c r="O126" s="113" t="s">
        <v>85</v>
      </c>
      <c r="P126" s="114">
        <v>0.9375</v>
      </c>
      <c r="Q126" s="111">
        <v>174</v>
      </c>
      <c r="R126" s="115" t="s">
        <v>366</v>
      </c>
    </row>
    <row r="127" spans="1:18" ht="15" customHeight="1" x14ac:dyDescent="0.3">
      <c r="A127" s="17" t="s">
        <v>51</v>
      </c>
      <c r="B127" s="17" t="s">
        <v>332</v>
      </c>
      <c r="C127" s="18">
        <v>0.22916666666666671</v>
      </c>
      <c r="D127" s="17" t="s">
        <v>53</v>
      </c>
      <c r="E127" s="17" t="s">
        <v>54</v>
      </c>
      <c r="F127" s="17" t="s">
        <v>367</v>
      </c>
      <c r="G127" s="251"/>
      <c r="H127" s="10"/>
      <c r="I127" s="11"/>
      <c r="J127" s="11"/>
      <c r="K127" s="11"/>
      <c r="L127" s="11"/>
      <c r="M127" s="11"/>
      <c r="N127" s="11"/>
      <c r="O127" s="12"/>
      <c r="P127" s="11"/>
      <c r="Q127" s="13"/>
      <c r="R127" s="14"/>
    </row>
    <row r="128" spans="1:18" ht="15" customHeight="1" x14ac:dyDescent="0.3">
      <c r="A128" s="19" t="s">
        <v>51</v>
      </c>
      <c r="B128" s="19" t="s">
        <v>336</v>
      </c>
      <c r="C128" s="20">
        <v>0.96527777777777779</v>
      </c>
      <c r="D128" s="19" t="s">
        <v>53</v>
      </c>
      <c r="E128" s="19" t="s">
        <v>57</v>
      </c>
      <c r="F128" s="19" t="s">
        <v>330</v>
      </c>
      <c r="G128" s="251"/>
      <c r="H128" s="10"/>
      <c r="I128" s="11"/>
      <c r="J128" s="11"/>
      <c r="K128" s="11"/>
      <c r="L128" s="11"/>
      <c r="M128" s="11"/>
      <c r="N128" s="11"/>
      <c r="O128" s="12"/>
      <c r="P128" s="11"/>
      <c r="Q128" s="13"/>
      <c r="R128" s="14"/>
    </row>
    <row r="129" spans="1:18" ht="15" customHeight="1" x14ac:dyDescent="0.3">
      <c r="A129" s="19" t="s">
        <v>51</v>
      </c>
      <c r="B129" s="19" t="s">
        <v>327</v>
      </c>
      <c r="C129" s="20">
        <v>1.388888888888889E-2</v>
      </c>
      <c r="D129" s="19" t="s">
        <v>53</v>
      </c>
      <c r="E129" s="19" t="s">
        <v>57</v>
      </c>
      <c r="F129" s="19" t="s">
        <v>333</v>
      </c>
      <c r="G129" s="251"/>
      <c r="H129" s="10"/>
      <c r="I129" s="11"/>
      <c r="J129" s="11"/>
      <c r="K129" s="11"/>
      <c r="L129" s="11"/>
      <c r="M129" s="11"/>
      <c r="N129" s="11"/>
      <c r="O129" s="12"/>
      <c r="P129" s="11"/>
      <c r="Q129" s="13"/>
      <c r="R129" s="14"/>
    </row>
    <row r="130" spans="1:18" ht="15" customHeight="1" x14ac:dyDescent="0.3">
      <c r="A130" s="19" t="s">
        <v>51</v>
      </c>
      <c r="B130" s="19" t="s">
        <v>334</v>
      </c>
      <c r="C130" s="20">
        <v>0.79166666666666663</v>
      </c>
      <c r="D130" s="19" t="s">
        <v>53</v>
      </c>
      <c r="E130" s="19" t="s">
        <v>57</v>
      </c>
      <c r="F130" s="19" t="s">
        <v>313</v>
      </c>
      <c r="G130" s="251"/>
      <c r="H130" s="10"/>
      <c r="I130" s="11"/>
      <c r="J130" s="11"/>
      <c r="K130" s="11"/>
      <c r="L130" s="11"/>
      <c r="M130" s="11"/>
      <c r="N130" s="11"/>
      <c r="O130" s="12"/>
      <c r="P130" s="11"/>
      <c r="Q130" s="13"/>
      <c r="R130" s="14"/>
    </row>
    <row r="131" spans="1:18" ht="15" customHeight="1" x14ac:dyDescent="0.3">
      <c r="A131" s="19" t="s">
        <v>51</v>
      </c>
      <c r="B131" s="19" t="s">
        <v>337</v>
      </c>
      <c r="C131" s="20">
        <v>0.14583333333333329</v>
      </c>
      <c r="D131" s="19" t="s">
        <v>53</v>
      </c>
      <c r="E131" s="19" t="s">
        <v>57</v>
      </c>
      <c r="F131" s="19" t="s">
        <v>313</v>
      </c>
      <c r="G131" s="251"/>
      <c r="H131" s="10"/>
      <c r="I131" s="11"/>
      <c r="J131" s="11"/>
      <c r="K131" s="11"/>
      <c r="L131" s="11"/>
      <c r="M131" s="11"/>
      <c r="N131" s="11"/>
      <c r="O131" s="12"/>
      <c r="P131" s="11"/>
      <c r="Q131" s="13"/>
      <c r="R131" s="14"/>
    </row>
    <row r="132" spans="1:18" ht="15" customHeight="1" x14ac:dyDescent="0.3">
      <c r="A132" s="19" t="s">
        <v>51</v>
      </c>
      <c r="B132" s="19" t="s">
        <v>338</v>
      </c>
      <c r="C132" s="20">
        <v>0.27777777777777779</v>
      </c>
      <c r="D132" s="19" t="s">
        <v>53</v>
      </c>
      <c r="E132" s="19" t="s">
        <v>57</v>
      </c>
      <c r="F132" s="19" t="s">
        <v>313</v>
      </c>
      <c r="G132" s="251"/>
      <c r="H132" s="10"/>
      <c r="I132" s="11"/>
      <c r="J132" s="11"/>
      <c r="K132" s="11"/>
      <c r="L132" s="11"/>
      <c r="M132" s="11"/>
      <c r="N132" s="11"/>
      <c r="O132" s="12"/>
      <c r="P132" s="11"/>
      <c r="Q132" s="13"/>
      <c r="R132" s="14"/>
    </row>
    <row r="133" spans="1:18" ht="15" customHeight="1" x14ac:dyDescent="0.3">
      <c r="A133" s="19" t="s">
        <v>51</v>
      </c>
      <c r="B133" s="19" t="s">
        <v>329</v>
      </c>
      <c r="C133" s="20">
        <v>0.50694444444444442</v>
      </c>
      <c r="D133" s="19" t="s">
        <v>53</v>
      </c>
      <c r="E133" s="19" t="s">
        <v>57</v>
      </c>
      <c r="F133" s="19" t="s">
        <v>335</v>
      </c>
      <c r="G133" s="251"/>
      <c r="H133" s="10"/>
      <c r="I133" s="11"/>
      <c r="J133" s="11"/>
      <c r="K133" s="11"/>
      <c r="L133" s="11"/>
      <c r="M133" s="11"/>
      <c r="N133" s="11"/>
      <c r="O133" s="12"/>
      <c r="P133" s="11"/>
      <c r="Q133" s="13"/>
      <c r="R133" s="14"/>
    </row>
    <row r="134" spans="1:18" ht="15" customHeight="1" x14ac:dyDescent="0.3">
      <c r="A134" s="17" t="s">
        <v>64</v>
      </c>
      <c r="B134" s="17" t="s">
        <v>308</v>
      </c>
      <c r="C134" s="18">
        <v>0.1423611111111111</v>
      </c>
      <c r="D134" s="17" t="s">
        <v>66</v>
      </c>
      <c r="E134" s="17" t="s">
        <v>54</v>
      </c>
      <c r="F134" s="17" t="s">
        <v>313</v>
      </c>
      <c r="G134" s="251"/>
      <c r="H134" s="10"/>
      <c r="I134" s="11"/>
      <c r="J134" s="11"/>
      <c r="K134" s="11"/>
      <c r="L134" s="11"/>
      <c r="M134" s="11"/>
      <c r="N134" s="11"/>
      <c r="O134" s="12"/>
      <c r="P134" s="11"/>
      <c r="Q134" s="13"/>
      <c r="R134" s="14"/>
    </row>
    <row r="135" spans="1:18" ht="15" customHeight="1" x14ac:dyDescent="0.3">
      <c r="A135" s="15" t="s">
        <v>64</v>
      </c>
      <c r="B135" s="15" t="s">
        <v>308</v>
      </c>
      <c r="C135" s="16">
        <v>0.1423611111111111</v>
      </c>
      <c r="D135" s="15" t="s">
        <v>68</v>
      </c>
      <c r="E135" s="15" t="s">
        <v>69</v>
      </c>
      <c r="F135" s="15" t="s">
        <v>314</v>
      </c>
      <c r="G135" s="251"/>
      <c r="H135" s="10"/>
      <c r="I135" s="11"/>
      <c r="J135" s="11"/>
      <c r="K135" s="11"/>
      <c r="L135" s="11"/>
      <c r="M135" s="11"/>
      <c r="N135" s="11"/>
      <c r="O135" s="12"/>
      <c r="P135" s="11"/>
      <c r="Q135" s="13"/>
      <c r="R135" s="14"/>
    </row>
    <row r="136" spans="1:18" ht="15" customHeight="1" x14ac:dyDescent="0.3">
      <c r="A136" s="19" t="s">
        <v>64</v>
      </c>
      <c r="B136" s="19" t="s">
        <v>315</v>
      </c>
      <c r="C136" s="20">
        <v>0.93055555555555547</v>
      </c>
      <c r="D136" s="19" t="s">
        <v>66</v>
      </c>
      <c r="E136" s="19" t="s">
        <v>57</v>
      </c>
      <c r="F136" s="19" t="s">
        <v>313</v>
      </c>
      <c r="G136" s="251"/>
      <c r="H136" s="10"/>
      <c r="I136" s="11"/>
      <c r="J136" s="11"/>
      <c r="K136" s="11"/>
      <c r="L136" s="11"/>
      <c r="M136" s="11"/>
      <c r="N136" s="11"/>
      <c r="O136" s="12"/>
      <c r="P136" s="11"/>
      <c r="Q136" s="13"/>
      <c r="R136" s="14"/>
    </row>
    <row r="137" spans="1:18" ht="15" customHeight="1" x14ac:dyDescent="0.3">
      <c r="A137" s="15" t="s">
        <v>64</v>
      </c>
      <c r="B137" s="15" t="s">
        <v>315</v>
      </c>
      <c r="C137" s="16">
        <v>0.93055555555555547</v>
      </c>
      <c r="D137" s="15" t="s">
        <v>68</v>
      </c>
      <c r="E137" s="15" t="s">
        <v>69</v>
      </c>
      <c r="F137" s="15" t="s">
        <v>314</v>
      </c>
      <c r="G137" s="251"/>
      <c r="H137" s="10"/>
      <c r="I137" s="11"/>
      <c r="J137" s="11"/>
      <c r="K137" s="11"/>
      <c r="L137" s="11"/>
      <c r="M137" s="11"/>
      <c r="N137" s="11"/>
      <c r="O137" s="12"/>
      <c r="P137" s="11"/>
      <c r="Q137" s="13"/>
      <c r="R137" s="14"/>
    </row>
    <row r="138" spans="1:18" ht="15" customHeight="1" x14ac:dyDescent="0.3">
      <c r="A138" s="19" t="s">
        <v>64</v>
      </c>
      <c r="B138" s="19" t="s">
        <v>368</v>
      </c>
      <c r="C138" s="20">
        <v>0.71875</v>
      </c>
      <c r="D138" s="19" t="s">
        <v>66</v>
      </c>
      <c r="E138" s="19" t="s">
        <v>57</v>
      </c>
      <c r="F138" s="19" t="s">
        <v>313</v>
      </c>
      <c r="G138" s="251"/>
      <c r="H138" s="10"/>
      <c r="I138" s="11"/>
      <c r="J138" s="11"/>
      <c r="K138" s="11"/>
      <c r="L138" s="11"/>
      <c r="M138" s="11"/>
      <c r="N138" s="11"/>
      <c r="O138" s="12"/>
      <c r="P138" s="11"/>
      <c r="Q138" s="13"/>
      <c r="R138" s="14"/>
    </row>
    <row r="139" spans="1:18" ht="15" customHeight="1" x14ac:dyDescent="0.3">
      <c r="A139" s="15" t="s">
        <v>64</v>
      </c>
      <c r="B139" s="15" t="s">
        <v>368</v>
      </c>
      <c r="C139" s="16">
        <v>0.71875</v>
      </c>
      <c r="D139" s="15" t="s">
        <v>68</v>
      </c>
      <c r="E139" s="15" t="s">
        <v>69</v>
      </c>
      <c r="F139" s="15" t="s">
        <v>314</v>
      </c>
      <c r="G139" s="251"/>
      <c r="H139" s="10"/>
      <c r="I139" s="11"/>
      <c r="J139" s="11"/>
      <c r="K139" s="11"/>
      <c r="L139" s="11"/>
      <c r="M139" s="11"/>
      <c r="N139" s="11"/>
      <c r="O139" s="12"/>
      <c r="P139" s="11"/>
      <c r="Q139" s="13"/>
      <c r="R139" s="14"/>
    </row>
    <row r="140" spans="1:18" ht="15" customHeight="1" x14ac:dyDescent="0.3">
      <c r="A140" s="19" t="s">
        <v>64</v>
      </c>
      <c r="B140" s="19" t="s">
        <v>324</v>
      </c>
      <c r="C140" s="20">
        <v>0.82986111111111116</v>
      </c>
      <c r="D140" s="19" t="s">
        <v>66</v>
      </c>
      <c r="E140" s="19" t="s">
        <v>57</v>
      </c>
      <c r="F140" s="19" t="s">
        <v>313</v>
      </c>
      <c r="G140" s="251"/>
      <c r="H140" s="10"/>
      <c r="I140" s="11"/>
      <c r="J140" s="11"/>
      <c r="K140" s="11"/>
      <c r="L140" s="11"/>
      <c r="M140" s="11"/>
      <c r="N140" s="11"/>
      <c r="O140" s="12"/>
      <c r="P140" s="11"/>
      <c r="Q140" s="13"/>
      <c r="R140" s="14"/>
    </row>
    <row r="141" spans="1:18" ht="15" customHeight="1" x14ac:dyDescent="0.3">
      <c r="A141" s="15" t="s">
        <v>64</v>
      </c>
      <c r="B141" s="15" t="s">
        <v>324</v>
      </c>
      <c r="C141" s="16">
        <v>0.82986111111111116</v>
      </c>
      <c r="D141" s="15" t="s">
        <v>68</v>
      </c>
      <c r="E141" s="15" t="s">
        <v>69</v>
      </c>
      <c r="F141" s="15" t="s">
        <v>314</v>
      </c>
      <c r="G141" s="251"/>
      <c r="H141" s="10"/>
      <c r="I141" s="11"/>
      <c r="J141" s="11"/>
      <c r="K141" s="11"/>
      <c r="L141" s="11"/>
      <c r="M141" s="11"/>
      <c r="N141" s="11"/>
      <c r="O141" s="12"/>
      <c r="P141" s="11"/>
      <c r="Q141" s="13"/>
      <c r="R141" s="14"/>
    </row>
    <row r="142" spans="1:18" ht="15" customHeight="1" x14ac:dyDescent="0.3">
      <c r="A142" s="19" t="s">
        <v>64</v>
      </c>
      <c r="B142" s="19" t="s">
        <v>311</v>
      </c>
      <c r="C142" s="20">
        <v>0.23958333333333329</v>
      </c>
      <c r="D142" s="19" t="s">
        <v>369</v>
      </c>
      <c r="E142" s="19" t="s">
        <v>57</v>
      </c>
      <c r="F142" s="19" t="s">
        <v>313</v>
      </c>
      <c r="G142" s="251"/>
      <c r="H142" s="10"/>
      <c r="I142" s="11"/>
      <c r="J142" s="11"/>
      <c r="K142" s="11"/>
      <c r="L142" s="11"/>
      <c r="M142" s="11"/>
      <c r="N142" s="11"/>
      <c r="O142" s="12"/>
      <c r="P142" s="11"/>
      <c r="Q142" s="13"/>
      <c r="R142" s="14"/>
    </row>
    <row r="143" spans="1:18" ht="15" customHeight="1" x14ac:dyDescent="0.3">
      <c r="A143" s="19" t="s">
        <v>64</v>
      </c>
      <c r="B143" s="19" t="s">
        <v>319</v>
      </c>
      <c r="C143" s="20">
        <v>0.30208333333333331</v>
      </c>
      <c r="D143" s="19" t="s">
        <v>68</v>
      </c>
      <c r="E143" s="19" t="s">
        <v>73</v>
      </c>
      <c r="F143" s="19" t="s">
        <v>370</v>
      </c>
      <c r="G143" s="251"/>
      <c r="H143" s="10"/>
      <c r="I143" s="11"/>
      <c r="J143" s="11"/>
      <c r="K143" s="11"/>
      <c r="L143" s="11"/>
      <c r="M143" s="11"/>
      <c r="N143" s="11"/>
      <c r="O143" s="12"/>
      <c r="P143" s="11"/>
      <c r="Q143" s="13"/>
      <c r="R143" s="14"/>
    </row>
    <row r="144" spans="1:18" ht="15" customHeight="1" x14ac:dyDescent="0.3">
      <c r="A144" s="19" t="s">
        <v>64</v>
      </c>
      <c r="B144" s="19" t="s">
        <v>321</v>
      </c>
      <c r="C144" s="20">
        <v>0.12847222222222221</v>
      </c>
      <c r="D144" s="19" t="s">
        <v>68</v>
      </c>
      <c r="E144" s="19" t="s">
        <v>73</v>
      </c>
      <c r="F144" s="19" t="s">
        <v>370</v>
      </c>
      <c r="G144" s="251"/>
      <c r="H144" s="10"/>
      <c r="I144" s="11"/>
      <c r="J144" s="11"/>
      <c r="K144" s="11"/>
      <c r="L144" s="11"/>
      <c r="M144" s="11"/>
      <c r="N144" s="11"/>
      <c r="O144" s="12"/>
      <c r="P144" s="11"/>
      <c r="Q144" s="13"/>
      <c r="R144" s="14"/>
    </row>
    <row r="145" spans="1:18" ht="15" customHeight="1" x14ac:dyDescent="0.3">
      <c r="A145" s="19" t="s">
        <v>64</v>
      </c>
      <c r="B145" s="19" t="s">
        <v>322</v>
      </c>
      <c r="C145" s="20">
        <v>0.78819444444444453</v>
      </c>
      <c r="D145" s="19" t="s">
        <v>53</v>
      </c>
      <c r="E145" s="19" t="s">
        <v>73</v>
      </c>
      <c r="F145" s="19" t="s">
        <v>370</v>
      </c>
      <c r="G145" s="251"/>
      <c r="H145" s="10"/>
      <c r="I145" s="11"/>
      <c r="J145" s="11"/>
      <c r="K145" s="11"/>
      <c r="L145" s="11"/>
      <c r="M145" s="11"/>
      <c r="N145" s="11"/>
      <c r="O145" s="12"/>
      <c r="P145" s="11"/>
      <c r="Q145" s="13"/>
      <c r="R145" s="14"/>
    </row>
    <row r="146" spans="1:18" ht="15" customHeight="1" x14ac:dyDescent="0.3">
      <c r="A146" s="19" t="s">
        <v>64</v>
      </c>
      <c r="B146" s="19" t="s">
        <v>323</v>
      </c>
      <c r="C146" s="20">
        <v>0.88888888888888884</v>
      </c>
      <c r="D146" s="19" t="s">
        <v>68</v>
      </c>
      <c r="E146" s="19" t="s">
        <v>73</v>
      </c>
      <c r="F146" s="19" t="s">
        <v>370</v>
      </c>
      <c r="G146" s="251"/>
      <c r="H146" s="10"/>
      <c r="I146" s="11"/>
      <c r="J146" s="11"/>
      <c r="K146" s="11"/>
      <c r="L146" s="11"/>
      <c r="M146" s="11"/>
      <c r="N146" s="11"/>
      <c r="O146" s="12"/>
      <c r="P146" s="11"/>
      <c r="Q146" s="13"/>
      <c r="R146" s="14"/>
    </row>
    <row r="147" spans="1:18" ht="15" customHeight="1" x14ac:dyDescent="0.3">
      <c r="A147" s="19" t="s">
        <v>64</v>
      </c>
      <c r="B147" s="19" t="s">
        <v>312</v>
      </c>
      <c r="C147" s="20">
        <v>6.9444444444444441E-3</v>
      </c>
      <c r="D147" s="19" t="s">
        <v>66</v>
      </c>
      <c r="E147" s="19" t="s">
        <v>57</v>
      </c>
      <c r="F147" s="19" t="s">
        <v>316</v>
      </c>
      <c r="G147" s="251"/>
      <c r="H147" s="10"/>
      <c r="I147" s="11"/>
      <c r="J147" s="11"/>
      <c r="K147" s="11"/>
      <c r="L147" s="11"/>
      <c r="M147" s="11"/>
      <c r="N147" s="11"/>
      <c r="O147" s="12"/>
      <c r="P147" s="11"/>
      <c r="Q147" s="13"/>
      <c r="R147" s="14"/>
    </row>
    <row r="148" spans="1:18" ht="15" customHeight="1" x14ac:dyDescent="0.3">
      <c r="A148" s="15" t="s">
        <v>64</v>
      </c>
      <c r="B148" s="15" t="s">
        <v>312</v>
      </c>
      <c r="C148" s="16">
        <v>6.9444444444444441E-3</v>
      </c>
      <c r="D148" s="15" t="s">
        <v>68</v>
      </c>
      <c r="E148" s="15" t="s">
        <v>69</v>
      </c>
      <c r="F148" s="15" t="s">
        <v>317</v>
      </c>
      <c r="G148" s="251"/>
      <c r="H148" s="10"/>
      <c r="I148" s="11"/>
      <c r="J148" s="11"/>
      <c r="K148" s="11"/>
      <c r="L148" s="11"/>
      <c r="M148" s="11"/>
      <c r="N148" s="11"/>
      <c r="O148" s="12"/>
      <c r="P148" s="11"/>
      <c r="Q148" s="13"/>
      <c r="R148" s="14"/>
    </row>
    <row r="149" spans="1:18" ht="15" customHeight="1" x14ac:dyDescent="0.3">
      <c r="A149" s="19" t="s">
        <v>64</v>
      </c>
      <c r="B149" s="19" t="s">
        <v>318</v>
      </c>
      <c r="C149" s="20">
        <v>0.37847222222222232</v>
      </c>
      <c r="D149" s="19" t="s">
        <v>66</v>
      </c>
      <c r="E149" s="19" t="s">
        <v>57</v>
      </c>
      <c r="F149" s="19" t="s">
        <v>316</v>
      </c>
      <c r="G149" s="251"/>
      <c r="H149" s="10"/>
      <c r="I149" s="11"/>
      <c r="J149" s="11"/>
      <c r="K149" s="11"/>
      <c r="L149" s="11"/>
      <c r="M149" s="11"/>
      <c r="N149" s="11"/>
      <c r="O149" s="12"/>
      <c r="P149" s="11"/>
      <c r="Q149" s="13"/>
      <c r="R149" s="14"/>
    </row>
    <row r="150" spans="1:18" ht="15" customHeight="1" x14ac:dyDescent="0.3">
      <c r="A150" s="15" t="s">
        <v>64</v>
      </c>
      <c r="B150" s="15" t="s">
        <v>318</v>
      </c>
      <c r="C150" s="16">
        <v>0.37847222222222232</v>
      </c>
      <c r="D150" s="15" t="s">
        <v>68</v>
      </c>
      <c r="E150" s="15" t="s">
        <v>69</v>
      </c>
      <c r="F150" s="15" t="s">
        <v>317</v>
      </c>
      <c r="G150" s="251"/>
      <c r="H150" s="10"/>
      <c r="I150" s="11"/>
      <c r="J150" s="11"/>
      <c r="K150" s="11"/>
      <c r="L150" s="11"/>
      <c r="M150" s="11"/>
      <c r="N150" s="11"/>
      <c r="O150" s="12"/>
      <c r="P150" s="11"/>
      <c r="Q150" s="13"/>
      <c r="R150" s="14"/>
    </row>
    <row r="151" spans="1:18" ht="15" customHeight="1" x14ac:dyDescent="0.3">
      <c r="A151" s="19" t="s">
        <v>64</v>
      </c>
      <c r="B151" s="19" t="s">
        <v>371</v>
      </c>
      <c r="C151" s="20">
        <v>0.61111111111111105</v>
      </c>
      <c r="D151" s="19" t="s">
        <v>66</v>
      </c>
      <c r="E151" s="19" t="s">
        <v>57</v>
      </c>
      <c r="F151" s="19" t="s">
        <v>316</v>
      </c>
      <c r="G151" s="251"/>
      <c r="H151" s="10"/>
      <c r="I151" s="11"/>
      <c r="J151" s="11"/>
      <c r="K151" s="11"/>
      <c r="L151" s="11"/>
      <c r="M151" s="11"/>
      <c r="N151" s="11"/>
      <c r="O151" s="12"/>
      <c r="P151" s="11"/>
      <c r="Q151" s="13"/>
      <c r="R151" s="14"/>
    </row>
    <row r="152" spans="1:18" ht="15" customHeight="1" thickBot="1" x14ac:dyDescent="0.35">
      <c r="A152" s="39" t="s">
        <v>64</v>
      </c>
      <c r="B152" s="39" t="s">
        <v>371</v>
      </c>
      <c r="C152" s="40">
        <v>0.61111111111111105</v>
      </c>
      <c r="D152" s="39" t="s">
        <v>68</v>
      </c>
      <c r="E152" s="39" t="s">
        <v>69</v>
      </c>
      <c r="F152" s="39" t="s">
        <v>317</v>
      </c>
      <c r="G152" s="252"/>
      <c r="H152" s="41"/>
      <c r="I152" s="42"/>
      <c r="J152" s="42"/>
      <c r="K152" s="42"/>
      <c r="L152" s="42"/>
      <c r="M152" s="42"/>
      <c r="N152" s="42"/>
      <c r="O152" s="43"/>
      <c r="P152" s="42"/>
      <c r="Q152" s="44"/>
      <c r="R152" s="45"/>
    </row>
    <row r="153" spans="1:18" ht="17.399999999999999" customHeight="1" thickBot="1" x14ac:dyDescent="0.35">
      <c r="A153" s="282"/>
      <c r="B153" s="283"/>
      <c r="C153" s="283"/>
      <c r="D153" s="283"/>
      <c r="E153" s="283"/>
      <c r="F153" s="283"/>
      <c r="G153" s="283"/>
      <c r="H153" s="283"/>
      <c r="I153" s="283"/>
      <c r="J153" s="283"/>
      <c r="K153" s="283"/>
      <c r="L153" s="283"/>
      <c r="M153" s="283"/>
      <c r="N153" s="283"/>
      <c r="O153" s="283"/>
      <c r="P153" s="283"/>
      <c r="Q153" s="283"/>
      <c r="R153" s="284"/>
    </row>
    <row r="154" spans="1:18" ht="22.05" customHeight="1" thickTop="1" thickBot="1" x14ac:dyDescent="0.35">
      <c r="A154" s="261" t="s">
        <v>6</v>
      </c>
      <c r="B154" s="254"/>
      <c r="C154" s="254"/>
      <c r="D154" s="254"/>
      <c r="E154" s="254"/>
      <c r="F154" s="255"/>
      <c r="G154" s="31">
        <v>45983</v>
      </c>
      <c r="H154" s="253" t="s">
        <v>7</v>
      </c>
      <c r="I154" s="254"/>
      <c r="J154" s="254"/>
      <c r="K154" s="254"/>
      <c r="L154" s="254"/>
      <c r="M154" s="254"/>
      <c r="N154" s="254"/>
      <c r="O154" s="254"/>
      <c r="P154" s="254"/>
      <c r="Q154" s="254"/>
      <c r="R154" s="255"/>
    </row>
    <row r="155" spans="1:18" ht="24" customHeight="1" x14ac:dyDescent="0.3">
      <c r="A155" s="32" t="s">
        <v>8</v>
      </c>
      <c r="B155" s="32" t="s">
        <v>9</v>
      </c>
      <c r="C155" s="33" t="s">
        <v>10</v>
      </c>
      <c r="D155" s="32" t="s">
        <v>11</v>
      </c>
      <c r="E155" s="32" t="s">
        <v>12</v>
      </c>
      <c r="F155" s="34" t="s">
        <v>13</v>
      </c>
      <c r="G155" s="35" t="s">
        <v>14</v>
      </c>
      <c r="H155" s="32" t="s">
        <v>15</v>
      </c>
      <c r="I155" s="36" t="s">
        <v>16</v>
      </c>
      <c r="J155" s="37" t="s">
        <v>17</v>
      </c>
      <c r="K155" s="38" t="s">
        <v>18</v>
      </c>
      <c r="L155" s="37" t="s">
        <v>19</v>
      </c>
      <c r="M155" s="37" t="s">
        <v>20</v>
      </c>
      <c r="N155" s="37" t="s">
        <v>21</v>
      </c>
      <c r="O155" s="32" t="s">
        <v>22</v>
      </c>
      <c r="P155" s="33" t="s">
        <v>23</v>
      </c>
      <c r="Q155" s="37" t="s">
        <v>24</v>
      </c>
      <c r="R155" s="32" t="s">
        <v>25</v>
      </c>
    </row>
    <row r="156" spans="1:18" ht="15" customHeight="1" x14ac:dyDescent="0.3">
      <c r="A156" s="8" t="s">
        <v>26</v>
      </c>
      <c r="B156" s="8" t="s">
        <v>258</v>
      </c>
      <c r="C156" s="9">
        <v>0.12847222222222221</v>
      </c>
      <c r="D156" s="8" t="s">
        <v>28</v>
      </c>
      <c r="E156" s="8" t="s">
        <v>276</v>
      </c>
      <c r="F156" s="8" t="s">
        <v>229</v>
      </c>
      <c r="G156" s="250"/>
      <c r="H156" s="10"/>
      <c r="I156" s="11"/>
      <c r="J156" s="11"/>
      <c r="K156" s="11"/>
      <c r="L156" s="11"/>
      <c r="M156" s="11"/>
      <c r="N156" s="11"/>
      <c r="O156" s="12"/>
      <c r="P156" s="11"/>
      <c r="Q156" s="13"/>
      <c r="R156" s="14"/>
    </row>
    <row r="157" spans="1:18" ht="15" customHeight="1" x14ac:dyDescent="0.3">
      <c r="A157" s="15" t="s">
        <v>26</v>
      </c>
      <c r="B157" s="15" t="s">
        <v>258</v>
      </c>
      <c r="C157" s="16">
        <v>0.12847222222222221</v>
      </c>
      <c r="D157" s="15" t="s">
        <v>31</v>
      </c>
      <c r="E157" s="15" t="s">
        <v>91</v>
      </c>
      <c r="F157" s="15" t="s">
        <v>372</v>
      </c>
      <c r="G157" s="251"/>
      <c r="H157" s="10"/>
      <c r="I157" s="11"/>
      <c r="J157" s="11"/>
      <c r="K157" s="11"/>
      <c r="L157" s="11"/>
      <c r="M157" s="11"/>
      <c r="N157" s="11"/>
      <c r="O157" s="12"/>
      <c r="P157" s="11"/>
      <c r="Q157" s="13"/>
      <c r="R157" s="14"/>
    </row>
    <row r="158" spans="1:18" ht="15" customHeight="1" x14ac:dyDescent="0.3">
      <c r="A158" s="15" t="s">
        <v>26</v>
      </c>
      <c r="B158" s="15" t="s">
        <v>258</v>
      </c>
      <c r="C158" s="16">
        <v>0.12847222222222221</v>
      </c>
      <c r="D158" s="15" t="s">
        <v>34</v>
      </c>
      <c r="E158" s="15" t="s">
        <v>91</v>
      </c>
      <c r="F158" s="15" t="s">
        <v>35</v>
      </c>
      <c r="G158" s="251"/>
      <c r="H158" s="10"/>
      <c r="I158" s="11"/>
      <c r="J158" s="11"/>
      <c r="K158" s="11"/>
      <c r="L158" s="11"/>
      <c r="M158" s="11"/>
      <c r="N158" s="11"/>
      <c r="O158" s="12"/>
      <c r="P158" s="11"/>
      <c r="Q158" s="13"/>
      <c r="R158" s="14"/>
    </row>
    <row r="159" spans="1:18" ht="15" customHeight="1" x14ac:dyDescent="0.3">
      <c r="A159" s="19" t="s">
        <v>26</v>
      </c>
      <c r="B159" s="19" t="s">
        <v>248</v>
      </c>
      <c r="C159" s="20">
        <v>0.30208333333333331</v>
      </c>
      <c r="D159" s="19" t="s">
        <v>28</v>
      </c>
      <c r="E159" s="19" t="s">
        <v>373</v>
      </c>
      <c r="F159" s="19" t="s">
        <v>229</v>
      </c>
      <c r="G159" s="251"/>
      <c r="H159" s="10"/>
      <c r="I159" s="11"/>
      <c r="J159" s="11"/>
      <c r="K159" s="11"/>
      <c r="L159" s="11"/>
      <c r="M159" s="11"/>
      <c r="N159" s="11"/>
      <c r="O159" s="12"/>
      <c r="P159" s="11"/>
      <c r="Q159" s="13"/>
      <c r="R159" s="14"/>
    </row>
    <row r="160" spans="1:18" ht="15" customHeight="1" x14ac:dyDescent="0.3">
      <c r="A160" s="15" t="s">
        <v>26</v>
      </c>
      <c r="B160" s="15" t="s">
        <v>248</v>
      </c>
      <c r="C160" s="16">
        <v>0.30208333333333331</v>
      </c>
      <c r="D160" s="15" t="s">
        <v>31</v>
      </c>
      <c r="E160" s="15" t="s">
        <v>374</v>
      </c>
      <c r="F160" s="15" t="s">
        <v>372</v>
      </c>
      <c r="G160" s="251"/>
      <c r="H160" s="10"/>
      <c r="I160" s="11"/>
      <c r="J160" s="11"/>
      <c r="K160" s="11"/>
      <c r="L160" s="11"/>
      <c r="M160" s="11"/>
      <c r="N160" s="11"/>
      <c r="O160" s="12"/>
      <c r="P160" s="11"/>
      <c r="Q160" s="13"/>
      <c r="R160" s="14"/>
    </row>
    <row r="161" spans="1:18" ht="15" customHeight="1" x14ac:dyDescent="0.3">
      <c r="A161" s="15" t="s">
        <v>26</v>
      </c>
      <c r="B161" s="15" t="s">
        <v>248</v>
      </c>
      <c r="C161" s="16">
        <v>0.30208333333333331</v>
      </c>
      <c r="D161" s="15" t="s">
        <v>34</v>
      </c>
      <c r="E161" s="15" t="s">
        <v>374</v>
      </c>
      <c r="F161" s="15" t="s">
        <v>35</v>
      </c>
      <c r="G161" s="251"/>
      <c r="H161" s="10"/>
      <c r="I161" s="11"/>
      <c r="J161" s="11"/>
      <c r="K161" s="11"/>
      <c r="L161" s="11"/>
      <c r="M161" s="11"/>
      <c r="N161" s="11"/>
      <c r="O161" s="12"/>
      <c r="P161" s="11"/>
      <c r="Q161" s="13"/>
      <c r="R161" s="14"/>
    </row>
    <row r="162" spans="1:18" ht="15" customHeight="1" x14ac:dyDescent="0.3">
      <c r="A162" s="19" t="s">
        <v>26</v>
      </c>
      <c r="B162" s="19" t="s">
        <v>252</v>
      </c>
      <c r="C162" s="20">
        <v>0.88888888888888884</v>
      </c>
      <c r="D162" s="19" t="s">
        <v>28</v>
      </c>
      <c r="E162" s="19" t="s">
        <v>375</v>
      </c>
      <c r="F162" s="19" t="s">
        <v>340</v>
      </c>
      <c r="G162" s="251"/>
      <c r="H162" s="10"/>
      <c r="I162" s="11"/>
      <c r="J162" s="11"/>
      <c r="K162" s="11"/>
      <c r="L162" s="11"/>
      <c r="M162" s="11"/>
      <c r="N162" s="11"/>
      <c r="O162" s="12"/>
      <c r="P162" s="11"/>
      <c r="Q162" s="13"/>
      <c r="R162" s="14"/>
    </row>
    <row r="163" spans="1:18" ht="15" customHeight="1" x14ac:dyDescent="0.3">
      <c r="A163" s="15" t="s">
        <v>26</v>
      </c>
      <c r="B163" s="15" t="s">
        <v>252</v>
      </c>
      <c r="C163" s="16">
        <v>0.88888888888888884</v>
      </c>
      <c r="D163" s="15" t="s">
        <v>31</v>
      </c>
      <c r="E163" s="15" t="s">
        <v>376</v>
      </c>
      <c r="F163" s="15" t="s">
        <v>49</v>
      </c>
      <c r="G163" s="251"/>
      <c r="H163" s="10"/>
      <c r="I163" s="11"/>
      <c r="J163" s="11"/>
      <c r="K163" s="11"/>
      <c r="L163" s="11"/>
      <c r="M163" s="11"/>
      <c r="N163" s="11"/>
      <c r="O163" s="12"/>
      <c r="P163" s="11"/>
      <c r="Q163" s="13"/>
      <c r="R163" s="14"/>
    </row>
    <row r="164" spans="1:18" ht="15" customHeight="1" x14ac:dyDescent="0.3">
      <c r="A164" s="15" t="s">
        <v>26</v>
      </c>
      <c r="B164" s="15" t="s">
        <v>252</v>
      </c>
      <c r="C164" s="16">
        <v>0.88888888888888884</v>
      </c>
      <c r="D164" s="15" t="s">
        <v>34</v>
      </c>
      <c r="E164" s="15" t="s">
        <v>376</v>
      </c>
      <c r="F164" s="15" t="s">
        <v>35</v>
      </c>
      <c r="G164" s="251"/>
      <c r="H164" s="10"/>
      <c r="I164" s="11"/>
      <c r="J164" s="11"/>
      <c r="K164" s="11"/>
      <c r="L164" s="11"/>
      <c r="M164" s="11"/>
      <c r="N164" s="11"/>
      <c r="O164" s="12"/>
      <c r="P164" s="11"/>
      <c r="Q164" s="13"/>
      <c r="R164" s="14"/>
    </row>
    <row r="165" spans="1:18" ht="15" customHeight="1" x14ac:dyDescent="0.3">
      <c r="A165" s="19" t="s">
        <v>26</v>
      </c>
      <c r="B165" s="19" t="s">
        <v>255</v>
      </c>
      <c r="C165" s="20">
        <v>0.78819444444444453</v>
      </c>
      <c r="D165" s="19" t="s">
        <v>28</v>
      </c>
      <c r="E165" s="19" t="s">
        <v>375</v>
      </c>
      <c r="F165" s="19" t="s">
        <v>47</v>
      </c>
      <c r="G165" s="251"/>
      <c r="H165" s="10"/>
      <c r="I165" s="11"/>
      <c r="J165" s="11"/>
      <c r="K165" s="11"/>
      <c r="L165" s="11"/>
      <c r="M165" s="11"/>
      <c r="N165" s="11"/>
      <c r="O165" s="12"/>
      <c r="P165" s="11"/>
      <c r="Q165" s="13"/>
      <c r="R165" s="14"/>
    </row>
    <row r="166" spans="1:18" ht="15" customHeight="1" x14ac:dyDescent="0.3">
      <c r="A166" s="15" t="s">
        <v>26</v>
      </c>
      <c r="B166" s="15" t="s">
        <v>255</v>
      </c>
      <c r="C166" s="16">
        <v>0.78819444444444453</v>
      </c>
      <c r="D166" s="15" t="s">
        <v>31</v>
      </c>
      <c r="E166" s="15" t="s">
        <v>376</v>
      </c>
      <c r="F166" s="15" t="s">
        <v>251</v>
      </c>
      <c r="G166" s="251"/>
      <c r="H166" s="10"/>
      <c r="I166" s="11"/>
      <c r="J166" s="11"/>
      <c r="K166" s="11"/>
      <c r="L166" s="11"/>
      <c r="M166" s="11"/>
      <c r="N166" s="11"/>
      <c r="O166" s="12"/>
      <c r="P166" s="11"/>
      <c r="Q166" s="13"/>
      <c r="R166" s="14"/>
    </row>
    <row r="167" spans="1:18" ht="15" customHeight="1" x14ac:dyDescent="0.3">
      <c r="A167" s="15" t="s">
        <v>26</v>
      </c>
      <c r="B167" s="15" t="s">
        <v>255</v>
      </c>
      <c r="C167" s="16">
        <v>0.78819444444444453</v>
      </c>
      <c r="D167" s="15" t="s">
        <v>34</v>
      </c>
      <c r="E167" s="15" t="s">
        <v>376</v>
      </c>
      <c r="F167" s="15" t="s">
        <v>35</v>
      </c>
      <c r="G167" s="251"/>
      <c r="H167" s="10"/>
      <c r="I167" s="11"/>
      <c r="J167" s="11"/>
      <c r="K167" s="11"/>
      <c r="L167" s="11"/>
      <c r="M167" s="11"/>
      <c r="N167" s="11"/>
      <c r="O167" s="12"/>
      <c r="P167" s="11"/>
      <c r="Q167" s="13"/>
      <c r="R167" s="14"/>
    </row>
    <row r="168" spans="1:18" ht="15" customHeight="1" x14ac:dyDescent="0.3">
      <c r="A168" s="17" t="s">
        <v>269</v>
      </c>
      <c r="B168" s="17" t="s">
        <v>270</v>
      </c>
      <c r="C168" s="18">
        <v>0.28819444444444448</v>
      </c>
      <c r="D168" s="17" t="s">
        <v>271</v>
      </c>
      <c r="E168" s="17" t="s">
        <v>228</v>
      </c>
      <c r="F168" s="17" t="s">
        <v>348</v>
      </c>
      <c r="G168" s="251"/>
      <c r="H168" s="10"/>
      <c r="I168" s="11"/>
      <c r="J168" s="11"/>
      <c r="K168" s="11"/>
      <c r="L168" s="11"/>
      <c r="M168" s="11"/>
      <c r="N168" s="11"/>
      <c r="O168" s="12"/>
      <c r="P168" s="11"/>
      <c r="Q168" s="13"/>
      <c r="R168" s="14"/>
    </row>
    <row r="169" spans="1:18" ht="15" customHeight="1" x14ac:dyDescent="0.3">
      <c r="A169" s="15" t="s">
        <v>269</v>
      </c>
      <c r="B169" s="15" t="s">
        <v>270</v>
      </c>
      <c r="C169" s="16">
        <v>0.28819444444444448</v>
      </c>
      <c r="D169" s="15" t="s">
        <v>34</v>
      </c>
      <c r="E169" s="15" t="s">
        <v>48</v>
      </c>
      <c r="F169" s="15" t="s">
        <v>349</v>
      </c>
      <c r="G169" s="251"/>
      <c r="H169" s="10"/>
      <c r="I169" s="11"/>
      <c r="J169" s="11"/>
      <c r="K169" s="11"/>
      <c r="L169" s="11"/>
      <c r="M169" s="11"/>
      <c r="N169" s="11"/>
      <c r="O169" s="12"/>
      <c r="P169" s="11"/>
      <c r="Q169" s="13"/>
      <c r="R169" s="14"/>
    </row>
    <row r="170" spans="1:18" ht="15" customHeight="1" x14ac:dyDescent="0.3">
      <c r="A170" s="19" t="s">
        <v>269</v>
      </c>
      <c r="B170" s="19" t="s">
        <v>377</v>
      </c>
      <c r="C170" s="20">
        <v>0.21527777777777779</v>
      </c>
      <c r="D170" s="19" t="s">
        <v>271</v>
      </c>
      <c r="E170" s="19" t="s">
        <v>46</v>
      </c>
      <c r="F170" s="19" t="s">
        <v>378</v>
      </c>
      <c r="G170" s="251"/>
      <c r="H170" s="10"/>
      <c r="I170" s="11"/>
      <c r="J170" s="11"/>
      <c r="K170" s="11"/>
      <c r="L170" s="11"/>
      <c r="M170" s="11"/>
      <c r="N170" s="11"/>
      <c r="O170" s="12"/>
      <c r="P170" s="11"/>
      <c r="Q170" s="13"/>
      <c r="R170" s="14"/>
    </row>
    <row r="171" spans="1:18" ht="15" customHeight="1" x14ac:dyDescent="0.3">
      <c r="A171" s="15" t="s">
        <v>269</v>
      </c>
      <c r="B171" s="15" t="s">
        <v>377</v>
      </c>
      <c r="C171" s="16">
        <v>0.21527777777777779</v>
      </c>
      <c r="D171" s="15" t="s">
        <v>34</v>
      </c>
      <c r="E171" s="15" t="s">
        <v>48</v>
      </c>
      <c r="F171" s="15" t="s">
        <v>379</v>
      </c>
      <c r="G171" s="251"/>
      <c r="H171" s="10"/>
      <c r="I171" s="11"/>
      <c r="J171" s="11"/>
      <c r="K171" s="11"/>
      <c r="L171" s="11"/>
      <c r="M171" s="11"/>
      <c r="N171" s="11"/>
      <c r="O171" s="12"/>
      <c r="P171" s="11"/>
      <c r="Q171" s="13"/>
      <c r="R171" s="14"/>
    </row>
    <row r="172" spans="1:18" ht="15" customHeight="1" x14ac:dyDescent="0.3">
      <c r="A172" s="17" t="s">
        <v>36</v>
      </c>
      <c r="B172" s="17" t="s">
        <v>232</v>
      </c>
      <c r="C172" s="18">
        <v>0.85416666666666663</v>
      </c>
      <c r="D172" s="17" t="s">
        <v>38</v>
      </c>
      <c r="E172" s="17" t="s">
        <v>354</v>
      </c>
      <c r="F172" s="17" t="s">
        <v>233</v>
      </c>
      <c r="G172" s="251"/>
      <c r="H172" s="10"/>
      <c r="I172" s="11"/>
      <c r="J172" s="11"/>
      <c r="K172" s="11"/>
      <c r="L172" s="11"/>
      <c r="M172" s="11"/>
      <c r="N172" s="11"/>
      <c r="O172" s="12"/>
      <c r="P172" s="11"/>
      <c r="Q172" s="13"/>
      <c r="R172" s="14"/>
    </row>
    <row r="173" spans="1:18" ht="15" customHeight="1" x14ac:dyDescent="0.3">
      <c r="A173" s="15" t="s">
        <v>36</v>
      </c>
      <c r="B173" s="15" t="s">
        <v>232</v>
      </c>
      <c r="C173" s="16">
        <v>0.85416666666666663</v>
      </c>
      <c r="D173" s="15" t="s">
        <v>41</v>
      </c>
      <c r="E173" s="15" t="s">
        <v>241</v>
      </c>
      <c r="F173" s="15" t="s">
        <v>101</v>
      </c>
      <c r="G173" s="251"/>
      <c r="H173" s="10"/>
      <c r="I173" s="11"/>
      <c r="J173" s="11"/>
      <c r="K173" s="11"/>
      <c r="L173" s="11"/>
      <c r="M173" s="11"/>
      <c r="N173" s="11"/>
      <c r="O173" s="12"/>
      <c r="P173" s="11"/>
      <c r="Q173" s="13"/>
      <c r="R173" s="14"/>
    </row>
    <row r="174" spans="1:18" ht="15" customHeight="1" x14ac:dyDescent="0.3">
      <c r="A174" s="15" t="s">
        <v>36</v>
      </c>
      <c r="B174" s="15" t="s">
        <v>232</v>
      </c>
      <c r="C174" s="16">
        <v>0.85416666666666663</v>
      </c>
      <c r="D174" s="15" t="s">
        <v>43</v>
      </c>
      <c r="E174" s="15" t="s">
        <v>241</v>
      </c>
      <c r="F174" s="15" t="s">
        <v>234</v>
      </c>
      <c r="G174" s="251"/>
      <c r="H174" s="10"/>
      <c r="I174" s="11"/>
      <c r="J174" s="11"/>
      <c r="K174" s="11"/>
      <c r="L174" s="11"/>
      <c r="M174" s="11"/>
      <c r="N174" s="11"/>
      <c r="O174" s="12"/>
      <c r="P174" s="11"/>
      <c r="Q174" s="13"/>
      <c r="R174" s="14"/>
    </row>
    <row r="175" spans="1:18" ht="15" customHeight="1" x14ac:dyDescent="0.3">
      <c r="A175" s="19" t="s">
        <v>36</v>
      </c>
      <c r="B175" s="19" t="s">
        <v>227</v>
      </c>
      <c r="C175" s="20">
        <v>0.25694444444444448</v>
      </c>
      <c r="D175" s="19" t="s">
        <v>38</v>
      </c>
      <c r="E175" s="19" t="s">
        <v>46</v>
      </c>
      <c r="F175" s="19" t="s">
        <v>233</v>
      </c>
      <c r="G175" s="251"/>
      <c r="H175" s="10"/>
      <c r="I175" s="11"/>
      <c r="J175" s="11"/>
      <c r="K175" s="11"/>
      <c r="L175" s="11"/>
      <c r="M175" s="11"/>
      <c r="N175" s="11"/>
      <c r="O175" s="12"/>
      <c r="P175" s="11"/>
      <c r="Q175" s="13"/>
      <c r="R175" s="14"/>
    </row>
    <row r="176" spans="1:18" ht="15" customHeight="1" x14ac:dyDescent="0.3">
      <c r="A176" s="15" t="s">
        <v>36</v>
      </c>
      <c r="B176" s="15" t="s">
        <v>227</v>
      </c>
      <c r="C176" s="16">
        <v>0.25694444444444448</v>
      </c>
      <c r="D176" s="15" t="s">
        <v>41</v>
      </c>
      <c r="E176" s="15" t="s">
        <v>48</v>
      </c>
      <c r="F176" s="15" t="s">
        <v>101</v>
      </c>
      <c r="G176" s="251"/>
      <c r="H176" s="10"/>
      <c r="I176" s="11"/>
      <c r="J176" s="11"/>
      <c r="K176" s="11"/>
      <c r="L176" s="11"/>
      <c r="M176" s="11"/>
      <c r="N176" s="11"/>
      <c r="O176" s="12"/>
      <c r="P176" s="11"/>
      <c r="Q176" s="13"/>
      <c r="R176" s="14"/>
    </row>
    <row r="177" spans="1:18" ht="15" customHeight="1" x14ac:dyDescent="0.3">
      <c r="A177" s="15" t="s">
        <v>36</v>
      </c>
      <c r="B177" s="15" t="s">
        <v>227</v>
      </c>
      <c r="C177" s="16">
        <v>0.25694444444444448</v>
      </c>
      <c r="D177" s="15" t="s">
        <v>43</v>
      </c>
      <c r="E177" s="15" t="s">
        <v>48</v>
      </c>
      <c r="F177" s="15" t="s">
        <v>234</v>
      </c>
      <c r="G177" s="251"/>
      <c r="H177" s="10"/>
      <c r="I177" s="11"/>
      <c r="J177" s="11"/>
      <c r="K177" s="11"/>
      <c r="L177" s="11"/>
      <c r="M177" s="11"/>
      <c r="N177" s="11"/>
      <c r="O177" s="12"/>
      <c r="P177" s="11"/>
      <c r="Q177" s="13"/>
      <c r="R177" s="14"/>
    </row>
    <row r="178" spans="1:18" ht="15" customHeight="1" x14ac:dyDescent="0.3">
      <c r="A178" s="19" t="s">
        <v>36</v>
      </c>
      <c r="B178" s="19" t="s">
        <v>244</v>
      </c>
      <c r="C178" s="20">
        <v>0.51736111111111105</v>
      </c>
      <c r="D178" s="19" t="s">
        <v>38</v>
      </c>
      <c r="E178" s="19" t="s">
        <v>73</v>
      </c>
      <c r="F178" s="19" t="s">
        <v>233</v>
      </c>
      <c r="G178" s="251"/>
      <c r="H178" s="10"/>
      <c r="I178" s="11"/>
      <c r="J178" s="11"/>
      <c r="K178" s="11"/>
      <c r="L178" s="11"/>
      <c r="M178" s="11"/>
      <c r="N178" s="11"/>
      <c r="O178" s="12"/>
      <c r="P178" s="11"/>
      <c r="Q178" s="13"/>
      <c r="R178" s="14"/>
    </row>
    <row r="179" spans="1:18" ht="15" customHeight="1" x14ac:dyDescent="0.3">
      <c r="A179" s="15" t="s">
        <v>36</v>
      </c>
      <c r="B179" s="15" t="s">
        <v>244</v>
      </c>
      <c r="C179" s="16">
        <v>0.51736111111111105</v>
      </c>
      <c r="D179" s="15" t="s">
        <v>41</v>
      </c>
      <c r="E179" s="15" t="s">
        <v>93</v>
      </c>
      <c r="F179" s="15" t="s">
        <v>101</v>
      </c>
      <c r="G179" s="251"/>
      <c r="H179" s="10"/>
      <c r="I179" s="11"/>
      <c r="J179" s="11"/>
      <c r="K179" s="11"/>
      <c r="L179" s="11"/>
      <c r="M179" s="11"/>
      <c r="N179" s="11"/>
      <c r="O179" s="12"/>
      <c r="P179" s="11"/>
      <c r="Q179" s="13"/>
      <c r="R179" s="14"/>
    </row>
    <row r="180" spans="1:18" ht="15" customHeight="1" x14ac:dyDescent="0.3">
      <c r="A180" s="15" t="s">
        <v>36</v>
      </c>
      <c r="B180" s="15" t="s">
        <v>244</v>
      </c>
      <c r="C180" s="16">
        <v>0.51736111111111105</v>
      </c>
      <c r="D180" s="15" t="s">
        <v>43</v>
      </c>
      <c r="E180" s="15" t="s">
        <v>93</v>
      </c>
      <c r="F180" s="15" t="s">
        <v>234</v>
      </c>
      <c r="G180" s="251"/>
      <c r="H180" s="10"/>
      <c r="I180" s="11"/>
      <c r="J180" s="11"/>
      <c r="K180" s="11"/>
      <c r="L180" s="11"/>
      <c r="M180" s="11"/>
      <c r="N180" s="11"/>
      <c r="O180" s="12"/>
      <c r="P180" s="11"/>
      <c r="Q180" s="13"/>
      <c r="R180" s="14"/>
    </row>
    <row r="181" spans="1:18" ht="15" customHeight="1" x14ac:dyDescent="0.3">
      <c r="A181" s="19" t="s">
        <v>36</v>
      </c>
      <c r="B181" s="19" t="s">
        <v>237</v>
      </c>
      <c r="C181" s="20">
        <v>0.39583333333333331</v>
      </c>
      <c r="D181" s="19" t="s">
        <v>38</v>
      </c>
      <c r="E181" s="19" t="s">
        <v>73</v>
      </c>
      <c r="F181" s="19" t="s">
        <v>233</v>
      </c>
      <c r="G181" s="251"/>
      <c r="H181" s="10"/>
      <c r="I181" s="11"/>
      <c r="J181" s="11"/>
      <c r="K181" s="11"/>
      <c r="L181" s="11"/>
      <c r="M181" s="11"/>
      <c r="N181" s="11"/>
      <c r="O181" s="12"/>
      <c r="P181" s="11"/>
      <c r="Q181" s="13"/>
      <c r="R181" s="14"/>
    </row>
    <row r="182" spans="1:18" ht="15" customHeight="1" x14ac:dyDescent="0.3">
      <c r="A182" s="15" t="s">
        <v>36</v>
      </c>
      <c r="B182" s="15" t="s">
        <v>237</v>
      </c>
      <c r="C182" s="16">
        <v>0.39583333333333331</v>
      </c>
      <c r="D182" s="15" t="s">
        <v>41</v>
      </c>
      <c r="E182" s="15" t="s">
        <v>93</v>
      </c>
      <c r="F182" s="15" t="s">
        <v>101</v>
      </c>
      <c r="G182" s="251"/>
      <c r="H182" s="10"/>
      <c r="I182" s="11"/>
      <c r="J182" s="11"/>
      <c r="K182" s="11"/>
      <c r="L182" s="11"/>
      <c r="M182" s="11"/>
      <c r="N182" s="11"/>
      <c r="O182" s="12"/>
      <c r="P182" s="11"/>
      <c r="Q182" s="13"/>
      <c r="R182" s="14"/>
    </row>
    <row r="183" spans="1:18" ht="15" customHeight="1" x14ac:dyDescent="0.3">
      <c r="A183" s="15" t="s">
        <v>36</v>
      </c>
      <c r="B183" s="15" t="s">
        <v>237</v>
      </c>
      <c r="C183" s="16">
        <v>0.39583333333333331</v>
      </c>
      <c r="D183" s="15" t="s">
        <v>43</v>
      </c>
      <c r="E183" s="15" t="s">
        <v>93</v>
      </c>
      <c r="F183" s="15" t="s">
        <v>234</v>
      </c>
      <c r="G183" s="251"/>
      <c r="H183" s="10"/>
      <c r="I183" s="11"/>
      <c r="J183" s="11"/>
      <c r="K183" s="11"/>
      <c r="L183" s="11"/>
      <c r="M183" s="11"/>
      <c r="N183" s="11"/>
      <c r="O183" s="12"/>
      <c r="P183" s="11"/>
      <c r="Q183" s="13"/>
      <c r="R183" s="14"/>
    </row>
    <row r="184" spans="1:18" ht="15" customHeight="1" x14ac:dyDescent="0.3">
      <c r="A184" s="19" t="s">
        <v>36</v>
      </c>
      <c r="B184" s="19" t="s">
        <v>238</v>
      </c>
      <c r="C184" s="20">
        <v>0.65972222222222221</v>
      </c>
      <c r="D184" s="19" t="s">
        <v>38</v>
      </c>
      <c r="E184" s="19" t="s">
        <v>293</v>
      </c>
      <c r="F184" s="19" t="s">
        <v>233</v>
      </c>
      <c r="G184" s="251"/>
      <c r="H184" s="10"/>
      <c r="I184" s="11"/>
      <c r="J184" s="11"/>
      <c r="K184" s="11"/>
      <c r="L184" s="11"/>
      <c r="M184" s="11"/>
      <c r="N184" s="11"/>
      <c r="O184" s="12"/>
      <c r="P184" s="11"/>
      <c r="Q184" s="13"/>
      <c r="R184" s="14"/>
    </row>
    <row r="185" spans="1:18" ht="15" customHeight="1" x14ac:dyDescent="0.3">
      <c r="A185" s="15" t="s">
        <v>36</v>
      </c>
      <c r="B185" s="15" t="s">
        <v>238</v>
      </c>
      <c r="C185" s="16">
        <v>0.65972222222222221</v>
      </c>
      <c r="D185" s="15" t="s">
        <v>41</v>
      </c>
      <c r="E185" s="15" t="s">
        <v>100</v>
      </c>
      <c r="F185" s="15" t="s">
        <v>101</v>
      </c>
      <c r="G185" s="251"/>
      <c r="H185" s="10"/>
      <c r="I185" s="11"/>
      <c r="J185" s="11"/>
      <c r="K185" s="11"/>
      <c r="L185" s="11"/>
      <c r="M185" s="11"/>
      <c r="N185" s="11"/>
      <c r="O185" s="12"/>
      <c r="P185" s="11"/>
      <c r="Q185" s="13"/>
      <c r="R185" s="14"/>
    </row>
    <row r="186" spans="1:18" ht="15" customHeight="1" x14ac:dyDescent="0.3">
      <c r="A186" s="15" t="s">
        <v>36</v>
      </c>
      <c r="B186" s="15" t="s">
        <v>238</v>
      </c>
      <c r="C186" s="16">
        <v>0.65972222222222221</v>
      </c>
      <c r="D186" s="15" t="s">
        <v>43</v>
      </c>
      <c r="E186" s="15" t="s">
        <v>100</v>
      </c>
      <c r="F186" s="15" t="s">
        <v>234</v>
      </c>
      <c r="G186" s="251"/>
      <c r="H186" s="10"/>
      <c r="I186" s="11"/>
      <c r="J186" s="11"/>
      <c r="K186" s="11"/>
      <c r="L186" s="11"/>
      <c r="M186" s="11"/>
      <c r="N186" s="11"/>
      <c r="O186" s="12"/>
      <c r="P186" s="11"/>
      <c r="Q186" s="13"/>
      <c r="R186" s="14"/>
    </row>
    <row r="187" spans="1:18" ht="15" customHeight="1" x14ac:dyDescent="0.3">
      <c r="A187" s="19" t="s">
        <v>36</v>
      </c>
      <c r="B187" s="19" t="s">
        <v>235</v>
      </c>
      <c r="C187" s="20">
        <v>0.90277777777777779</v>
      </c>
      <c r="D187" s="19" t="s">
        <v>38</v>
      </c>
      <c r="E187" s="19" t="s">
        <v>46</v>
      </c>
      <c r="F187" s="19" t="s">
        <v>240</v>
      </c>
      <c r="G187" s="251"/>
      <c r="H187" s="10"/>
      <c r="I187" s="11"/>
      <c r="J187" s="11"/>
      <c r="K187" s="11"/>
      <c r="L187" s="11"/>
      <c r="M187" s="11"/>
      <c r="N187" s="11"/>
      <c r="O187" s="12"/>
      <c r="P187" s="11"/>
      <c r="Q187" s="13"/>
      <c r="R187" s="14"/>
    </row>
    <row r="188" spans="1:18" ht="15" customHeight="1" x14ac:dyDescent="0.3">
      <c r="A188" s="15" t="s">
        <v>36</v>
      </c>
      <c r="B188" s="15" t="s">
        <v>235</v>
      </c>
      <c r="C188" s="16">
        <v>0.90277777777777779</v>
      </c>
      <c r="D188" s="15" t="s">
        <v>41</v>
      </c>
      <c r="E188" s="15" t="s">
        <v>48</v>
      </c>
      <c r="F188" s="15" t="s">
        <v>242</v>
      </c>
      <c r="G188" s="251"/>
      <c r="H188" s="10"/>
      <c r="I188" s="11"/>
      <c r="J188" s="11"/>
      <c r="K188" s="11"/>
      <c r="L188" s="11"/>
      <c r="M188" s="11"/>
      <c r="N188" s="11"/>
      <c r="O188" s="12"/>
      <c r="P188" s="11"/>
      <c r="Q188" s="13"/>
      <c r="R188" s="14"/>
    </row>
    <row r="189" spans="1:18" ht="15" customHeight="1" x14ac:dyDescent="0.3">
      <c r="A189" s="15" t="s">
        <v>36</v>
      </c>
      <c r="B189" s="15" t="s">
        <v>235</v>
      </c>
      <c r="C189" s="16">
        <v>0.90277777777777779</v>
      </c>
      <c r="D189" s="15" t="s">
        <v>43</v>
      </c>
      <c r="E189" s="15" t="s">
        <v>48</v>
      </c>
      <c r="F189" s="15" t="s">
        <v>243</v>
      </c>
      <c r="G189" s="251"/>
      <c r="H189" s="10"/>
      <c r="I189" s="11"/>
      <c r="J189" s="11"/>
      <c r="K189" s="11"/>
      <c r="L189" s="11"/>
      <c r="M189" s="11"/>
      <c r="N189" s="11"/>
      <c r="O189" s="12"/>
      <c r="P189" s="11"/>
      <c r="Q189" s="13"/>
      <c r="R189" s="14"/>
    </row>
    <row r="190" spans="1:18" ht="15" customHeight="1" x14ac:dyDescent="0.3">
      <c r="A190" s="19" t="s">
        <v>36</v>
      </c>
      <c r="B190" s="19" t="s">
        <v>236</v>
      </c>
      <c r="C190" s="20">
        <v>0.79861111111111116</v>
      </c>
      <c r="D190" s="19" t="s">
        <v>38</v>
      </c>
      <c r="E190" s="19" t="s">
        <v>46</v>
      </c>
      <c r="F190" s="19" t="s">
        <v>240</v>
      </c>
      <c r="G190" s="251"/>
      <c r="H190" s="10"/>
      <c r="I190" s="11"/>
      <c r="J190" s="11"/>
      <c r="K190" s="11"/>
      <c r="L190" s="11"/>
      <c r="M190" s="11"/>
      <c r="N190" s="11"/>
      <c r="O190" s="12"/>
      <c r="P190" s="11"/>
      <c r="Q190" s="13"/>
      <c r="R190" s="14"/>
    </row>
    <row r="191" spans="1:18" ht="15" customHeight="1" x14ac:dyDescent="0.3">
      <c r="A191" s="15" t="s">
        <v>36</v>
      </c>
      <c r="B191" s="15" t="s">
        <v>236</v>
      </c>
      <c r="C191" s="16">
        <v>0.79861111111111116</v>
      </c>
      <c r="D191" s="15" t="s">
        <v>41</v>
      </c>
      <c r="E191" s="15" t="s">
        <v>48</v>
      </c>
      <c r="F191" s="15" t="s">
        <v>242</v>
      </c>
      <c r="G191" s="251"/>
      <c r="H191" s="10"/>
      <c r="I191" s="11"/>
      <c r="J191" s="11"/>
      <c r="K191" s="11"/>
      <c r="L191" s="11"/>
      <c r="M191" s="11"/>
      <c r="N191" s="11"/>
      <c r="O191" s="12"/>
      <c r="P191" s="11"/>
      <c r="Q191" s="13"/>
      <c r="R191" s="14"/>
    </row>
    <row r="192" spans="1:18" ht="15" customHeight="1" x14ac:dyDescent="0.3">
      <c r="A192" s="15" t="s">
        <v>36</v>
      </c>
      <c r="B192" s="15" t="s">
        <v>236</v>
      </c>
      <c r="C192" s="16">
        <v>0.79861111111111116</v>
      </c>
      <c r="D192" s="15" t="s">
        <v>43</v>
      </c>
      <c r="E192" s="15" t="s">
        <v>48</v>
      </c>
      <c r="F192" s="15" t="s">
        <v>243</v>
      </c>
      <c r="G192" s="251"/>
      <c r="H192" s="10"/>
      <c r="I192" s="11"/>
      <c r="J192" s="11"/>
      <c r="K192" s="11"/>
      <c r="L192" s="11"/>
      <c r="M192" s="11"/>
      <c r="N192" s="11"/>
      <c r="O192" s="12"/>
      <c r="P192" s="11"/>
      <c r="Q192" s="13"/>
      <c r="R192" s="14"/>
    </row>
    <row r="193" spans="1:18" ht="15" customHeight="1" x14ac:dyDescent="0.3">
      <c r="A193" s="17" t="s">
        <v>273</v>
      </c>
      <c r="B193" s="17" t="s">
        <v>274</v>
      </c>
      <c r="C193" s="18">
        <v>0.66666666666666663</v>
      </c>
      <c r="D193" s="17" t="s">
        <v>263</v>
      </c>
      <c r="E193" s="17" t="s">
        <v>104</v>
      </c>
      <c r="F193" s="17" t="s">
        <v>259</v>
      </c>
      <c r="G193" s="251"/>
      <c r="H193" s="10"/>
      <c r="I193" s="11"/>
      <c r="J193" s="11"/>
      <c r="K193" s="11"/>
      <c r="L193" s="11"/>
      <c r="M193" s="11"/>
      <c r="N193" s="11"/>
      <c r="O193" s="12"/>
      <c r="P193" s="11"/>
      <c r="Q193" s="13"/>
      <c r="R193" s="14"/>
    </row>
    <row r="194" spans="1:18" ht="15" customHeight="1" x14ac:dyDescent="0.3">
      <c r="A194" s="17" t="s">
        <v>261</v>
      </c>
      <c r="B194" s="17" t="s">
        <v>265</v>
      </c>
      <c r="C194" s="18">
        <v>0.27083333333333331</v>
      </c>
      <c r="D194" s="17" t="s">
        <v>263</v>
      </c>
      <c r="E194" s="17" t="s">
        <v>104</v>
      </c>
      <c r="F194" s="17" t="s">
        <v>268</v>
      </c>
      <c r="G194" s="251"/>
      <c r="H194" s="10"/>
      <c r="I194" s="11"/>
      <c r="J194" s="11"/>
      <c r="K194" s="11"/>
      <c r="L194" s="11"/>
      <c r="M194" s="11"/>
      <c r="N194" s="11"/>
      <c r="O194" s="12"/>
      <c r="P194" s="11"/>
      <c r="Q194" s="13"/>
      <c r="R194" s="14"/>
    </row>
    <row r="195" spans="1:18" ht="15" customHeight="1" x14ac:dyDescent="0.3">
      <c r="A195" s="17" t="s">
        <v>64</v>
      </c>
      <c r="B195" s="17" t="s">
        <v>312</v>
      </c>
      <c r="C195" s="18">
        <v>6.9444444444444441E-3</v>
      </c>
      <c r="D195" s="17" t="s">
        <v>66</v>
      </c>
      <c r="E195" s="17" t="s">
        <v>54</v>
      </c>
      <c r="F195" s="17" t="s">
        <v>309</v>
      </c>
      <c r="G195" s="251"/>
      <c r="H195" s="10"/>
      <c r="I195" s="11"/>
      <c r="J195" s="11"/>
      <c r="K195" s="11"/>
      <c r="L195" s="11"/>
      <c r="M195" s="11"/>
      <c r="N195" s="11"/>
      <c r="O195" s="12"/>
      <c r="P195" s="11"/>
      <c r="Q195" s="13"/>
      <c r="R195" s="14"/>
    </row>
    <row r="196" spans="1:18" ht="15" customHeight="1" x14ac:dyDescent="0.3">
      <c r="A196" s="15" t="s">
        <v>64</v>
      </c>
      <c r="B196" s="15" t="s">
        <v>312</v>
      </c>
      <c r="C196" s="16">
        <v>6.9444444444444441E-3</v>
      </c>
      <c r="D196" s="15" t="s">
        <v>68</v>
      </c>
      <c r="E196" s="15" t="s">
        <v>69</v>
      </c>
      <c r="F196" s="15" t="s">
        <v>310</v>
      </c>
      <c r="G196" s="251"/>
      <c r="H196" s="10"/>
      <c r="I196" s="11"/>
      <c r="J196" s="11"/>
      <c r="K196" s="11"/>
      <c r="L196" s="11"/>
      <c r="M196" s="11"/>
      <c r="N196" s="11"/>
      <c r="O196" s="12"/>
      <c r="P196" s="11"/>
      <c r="Q196" s="13"/>
      <c r="R196" s="14"/>
    </row>
    <row r="197" spans="1:18" ht="15" customHeight="1" x14ac:dyDescent="0.3">
      <c r="A197" s="19" t="s">
        <v>64</v>
      </c>
      <c r="B197" s="19" t="s">
        <v>308</v>
      </c>
      <c r="C197" s="20">
        <v>0.1423611111111111</v>
      </c>
      <c r="D197" s="19" t="s">
        <v>66</v>
      </c>
      <c r="E197" s="19" t="s">
        <v>57</v>
      </c>
      <c r="F197" s="19" t="s">
        <v>309</v>
      </c>
      <c r="G197" s="251"/>
      <c r="H197" s="10"/>
      <c r="I197" s="11"/>
      <c r="J197" s="11"/>
      <c r="K197" s="11"/>
      <c r="L197" s="11"/>
      <c r="M197" s="11"/>
      <c r="N197" s="11"/>
      <c r="O197" s="12"/>
      <c r="P197" s="11"/>
      <c r="Q197" s="13"/>
      <c r="R197" s="14"/>
    </row>
    <row r="198" spans="1:18" ht="15" customHeight="1" x14ac:dyDescent="0.3">
      <c r="A198" s="15" t="s">
        <v>64</v>
      </c>
      <c r="B198" s="15" t="s">
        <v>308</v>
      </c>
      <c r="C198" s="16">
        <v>0.1423611111111111</v>
      </c>
      <c r="D198" s="15" t="s">
        <v>68</v>
      </c>
      <c r="E198" s="15" t="s">
        <v>69</v>
      </c>
      <c r="F198" s="15" t="s">
        <v>310</v>
      </c>
      <c r="G198" s="251"/>
      <c r="H198" s="10"/>
      <c r="I198" s="11"/>
      <c r="J198" s="11"/>
      <c r="K198" s="11"/>
      <c r="L198" s="11"/>
      <c r="M198" s="11"/>
      <c r="N198" s="11"/>
      <c r="O198" s="12"/>
      <c r="P198" s="11"/>
      <c r="Q198" s="13"/>
      <c r="R198" s="14"/>
    </row>
    <row r="199" spans="1:18" ht="15" customHeight="1" x14ac:dyDescent="0.3">
      <c r="A199" s="19" t="s">
        <v>64</v>
      </c>
      <c r="B199" s="19" t="s">
        <v>315</v>
      </c>
      <c r="C199" s="20">
        <v>0.93055555555555547</v>
      </c>
      <c r="D199" s="19" t="s">
        <v>66</v>
      </c>
      <c r="E199" s="19" t="s">
        <v>57</v>
      </c>
      <c r="F199" s="19" t="s">
        <v>309</v>
      </c>
      <c r="G199" s="251"/>
      <c r="H199" s="10"/>
      <c r="I199" s="11"/>
      <c r="J199" s="11"/>
      <c r="K199" s="11"/>
      <c r="L199" s="11"/>
      <c r="M199" s="11"/>
      <c r="N199" s="11"/>
      <c r="O199" s="12"/>
      <c r="P199" s="11"/>
      <c r="Q199" s="13"/>
      <c r="R199" s="14"/>
    </row>
    <row r="200" spans="1:18" ht="15" customHeight="1" x14ac:dyDescent="0.3">
      <c r="A200" s="15" t="s">
        <v>64</v>
      </c>
      <c r="B200" s="15" t="s">
        <v>315</v>
      </c>
      <c r="C200" s="16">
        <v>0.93055555555555547</v>
      </c>
      <c r="D200" s="15" t="s">
        <v>68</v>
      </c>
      <c r="E200" s="15" t="s">
        <v>69</v>
      </c>
      <c r="F200" s="15" t="s">
        <v>310</v>
      </c>
      <c r="G200" s="251"/>
      <c r="H200" s="10"/>
      <c r="I200" s="11"/>
      <c r="J200" s="11"/>
      <c r="K200" s="11"/>
      <c r="L200" s="11"/>
      <c r="M200" s="11"/>
      <c r="N200" s="11"/>
      <c r="O200" s="12"/>
      <c r="P200" s="11"/>
      <c r="Q200" s="13"/>
      <c r="R200" s="14"/>
    </row>
    <row r="201" spans="1:18" ht="15" customHeight="1" x14ac:dyDescent="0.3">
      <c r="A201" s="19" t="s">
        <v>64</v>
      </c>
      <c r="B201" s="19" t="s">
        <v>311</v>
      </c>
      <c r="C201" s="20">
        <v>0.24305555555555561</v>
      </c>
      <c r="D201" s="19" t="s">
        <v>66</v>
      </c>
      <c r="E201" s="19" t="s">
        <v>57</v>
      </c>
      <c r="F201" s="19" t="s">
        <v>309</v>
      </c>
      <c r="G201" s="251"/>
      <c r="H201" s="10"/>
      <c r="I201" s="11"/>
      <c r="J201" s="11"/>
      <c r="K201" s="11"/>
      <c r="L201" s="11"/>
      <c r="M201" s="11"/>
      <c r="N201" s="11"/>
      <c r="O201" s="12"/>
      <c r="P201" s="11"/>
      <c r="Q201" s="13"/>
      <c r="R201" s="14"/>
    </row>
    <row r="202" spans="1:18" ht="15" customHeight="1" x14ac:dyDescent="0.3">
      <c r="A202" s="15" t="s">
        <v>64</v>
      </c>
      <c r="B202" s="15" t="s">
        <v>311</v>
      </c>
      <c r="C202" s="16">
        <v>0.24305555555555561</v>
      </c>
      <c r="D202" s="15" t="s">
        <v>68</v>
      </c>
      <c r="E202" s="15" t="s">
        <v>69</v>
      </c>
      <c r="F202" s="15" t="s">
        <v>310</v>
      </c>
      <c r="G202" s="251"/>
      <c r="H202" s="10"/>
      <c r="I202" s="11"/>
      <c r="J202" s="11"/>
      <c r="K202" s="11"/>
      <c r="L202" s="11"/>
      <c r="M202" s="11"/>
      <c r="N202" s="11"/>
      <c r="O202" s="12"/>
      <c r="P202" s="11"/>
      <c r="Q202" s="13"/>
      <c r="R202" s="14"/>
    </row>
    <row r="203" spans="1:18" ht="15" customHeight="1" x14ac:dyDescent="0.3">
      <c r="A203" s="19" t="s">
        <v>64</v>
      </c>
      <c r="B203" s="19" t="s">
        <v>368</v>
      </c>
      <c r="C203" s="20">
        <v>0.71875</v>
      </c>
      <c r="D203" s="19" t="s">
        <v>66</v>
      </c>
      <c r="E203" s="19" t="s">
        <v>57</v>
      </c>
      <c r="F203" s="19" t="s">
        <v>313</v>
      </c>
      <c r="G203" s="251"/>
      <c r="H203" s="10"/>
      <c r="I203" s="11"/>
      <c r="J203" s="11"/>
      <c r="K203" s="11"/>
      <c r="L203" s="11"/>
      <c r="M203" s="11"/>
      <c r="N203" s="11"/>
      <c r="O203" s="12"/>
      <c r="P203" s="11"/>
      <c r="Q203" s="13"/>
      <c r="R203" s="14"/>
    </row>
    <row r="204" spans="1:18" ht="15" customHeight="1" x14ac:dyDescent="0.3">
      <c r="A204" s="15" t="s">
        <v>64</v>
      </c>
      <c r="B204" s="15" t="s">
        <v>368</v>
      </c>
      <c r="C204" s="16">
        <v>0.71875</v>
      </c>
      <c r="D204" s="15" t="s">
        <v>68</v>
      </c>
      <c r="E204" s="15" t="s">
        <v>69</v>
      </c>
      <c r="F204" s="15" t="s">
        <v>314</v>
      </c>
      <c r="G204" s="251"/>
      <c r="H204" s="10"/>
      <c r="I204" s="11"/>
      <c r="J204" s="11"/>
      <c r="K204" s="11"/>
      <c r="L204" s="11"/>
      <c r="M204" s="11"/>
      <c r="N204" s="11"/>
      <c r="O204" s="12"/>
      <c r="P204" s="11"/>
      <c r="Q204" s="13"/>
      <c r="R204" s="14"/>
    </row>
    <row r="205" spans="1:18" ht="15" customHeight="1" x14ac:dyDescent="0.3">
      <c r="A205" s="19" t="s">
        <v>64</v>
      </c>
      <c r="B205" s="19" t="s">
        <v>318</v>
      </c>
      <c r="C205" s="20">
        <v>0.37847222222222232</v>
      </c>
      <c r="D205" s="19" t="s">
        <v>66</v>
      </c>
      <c r="E205" s="19" t="s">
        <v>57</v>
      </c>
      <c r="F205" s="19" t="s">
        <v>313</v>
      </c>
      <c r="G205" s="251"/>
      <c r="H205" s="10"/>
      <c r="I205" s="11"/>
      <c r="J205" s="11"/>
      <c r="K205" s="11"/>
      <c r="L205" s="11"/>
      <c r="M205" s="11"/>
      <c r="N205" s="11"/>
      <c r="O205" s="12"/>
      <c r="P205" s="11"/>
      <c r="Q205" s="13"/>
      <c r="R205" s="14"/>
    </row>
    <row r="206" spans="1:18" ht="15" customHeight="1" x14ac:dyDescent="0.3">
      <c r="A206" s="15" t="s">
        <v>64</v>
      </c>
      <c r="B206" s="15" t="s">
        <v>318</v>
      </c>
      <c r="C206" s="16">
        <v>0.37847222222222232</v>
      </c>
      <c r="D206" s="15" t="s">
        <v>68</v>
      </c>
      <c r="E206" s="15" t="s">
        <v>69</v>
      </c>
      <c r="F206" s="15" t="s">
        <v>314</v>
      </c>
      <c r="G206" s="251"/>
      <c r="H206" s="10"/>
      <c r="I206" s="11"/>
      <c r="J206" s="11"/>
      <c r="K206" s="11"/>
      <c r="L206" s="11"/>
      <c r="M206" s="11"/>
      <c r="N206" s="11"/>
      <c r="O206" s="12"/>
      <c r="P206" s="11"/>
      <c r="Q206" s="13"/>
      <c r="R206" s="14"/>
    </row>
    <row r="207" spans="1:18" ht="15" customHeight="1" x14ac:dyDescent="0.3">
      <c r="A207" s="19" t="s">
        <v>64</v>
      </c>
      <c r="B207" s="19" t="s">
        <v>371</v>
      </c>
      <c r="C207" s="20">
        <v>0.61111111111111105</v>
      </c>
      <c r="D207" s="19" t="s">
        <v>66</v>
      </c>
      <c r="E207" s="19" t="s">
        <v>57</v>
      </c>
      <c r="F207" s="19" t="s">
        <v>313</v>
      </c>
      <c r="G207" s="251"/>
      <c r="H207" s="10"/>
      <c r="I207" s="11"/>
      <c r="J207" s="11"/>
      <c r="K207" s="11"/>
      <c r="L207" s="11"/>
      <c r="M207" s="11"/>
      <c r="N207" s="11"/>
      <c r="O207" s="12"/>
      <c r="P207" s="11"/>
      <c r="Q207" s="13"/>
      <c r="R207" s="14"/>
    </row>
    <row r="208" spans="1:18" ht="15" customHeight="1" x14ac:dyDescent="0.3">
      <c r="A208" s="15" t="s">
        <v>64</v>
      </c>
      <c r="B208" s="15" t="s">
        <v>371</v>
      </c>
      <c r="C208" s="16">
        <v>0.61111111111111105</v>
      </c>
      <c r="D208" s="15" t="s">
        <v>68</v>
      </c>
      <c r="E208" s="15" t="s">
        <v>69</v>
      </c>
      <c r="F208" s="15" t="s">
        <v>314</v>
      </c>
      <c r="G208" s="251"/>
      <c r="H208" s="10"/>
      <c r="I208" s="11"/>
      <c r="J208" s="11"/>
      <c r="K208" s="11"/>
      <c r="L208" s="11"/>
      <c r="M208" s="11"/>
      <c r="N208" s="11"/>
      <c r="O208" s="12"/>
      <c r="P208" s="11"/>
      <c r="Q208" s="13"/>
      <c r="R208" s="14"/>
    </row>
    <row r="209" spans="1:18" ht="15" customHeight="1" x14ac:dyDescent="0.3">
      <c r="A209" s="19" t="s">
        <v>64</v>
      </c>
      <c r="B209" s="19" t="s">
        <v>319</v>
      </c>
      <c r="C209" s="20">
        <v>0.30208333333333331</v>
      </c>
      <c r="D209" s="19" t="s">
        <v>68</v>
      </c>
      <c r="E209" s="19" t="s">
        <v>73</v>
      </c>
      <c r="F209" s="19" t="s">
        <v>370</v>
      </c>
      <c r="G209" s="251"/>
      <c r="H209" s="10"/>
      <c r="I209" s="11"/>
      <c r="J209" s="11"/>
      <c r="K209" s="11"/>
      <c r="L209" s="11"/>
      <c r="M209" s="11"/>
      <c r="N209" s="11"/>
      <c r="O209" s="12"/>
      <c r="P209" s="11"/>
      <c r="Q209" s="13"/>
      <c r="R209" s="14"/>
    </row>
    <row r="210" spans="1:18" ht="15" customHeight="1" x14ac:dyDescent="0.3">
      <c r="A210" s="19" t="s">
        <v>64</v>
      </c>
      <c r="B210" s="19" t="s">
        <v>321</v>
      </c>
      <c r="C210" s="20">
        <v>0.12847222222222221</v>
      </c>
      <c r="D210" s="19" t="s">
        <v>68</v>
      </c>
      <c r="E210" s="19" t="s">
        <v>73</v>
      </c>
      <c r="F210" s="19" t="s">
        <v>370</v>
      </c>
      <c r="G210" s="251"/>
      <c r="H210" s="10"/>
      <c r="I210" s="11"/>
      <c r="J210" s="11"/>
      <c r="K210" s="11"/>
      <c r="L210" s="11"/>
      <c r="M210" s="11"/>
      <c r="N210" s="11"/>
      <c r="O210" s="12"/>
      <c r="P210" s="11"/>
      <c r="Q210" s="13"/>
      <c r="R210" s="14"/>
    </row>
    <row r="211" spans="1:18" ht="15" customHeight="1" x14ac:dyDescent="0.3">
      <c r="A211" s="19" t="s">
        <v>64</v>
      </c>
      <c r="B211" s="19" t="s">
        <v>323</v>
      </c>
      <c r="C211" s="20">
        <v>0.88888888888888884</v>
      </c>
      <c r="D211" s="19" t="s">
        <v>68</v>
      </c>
      <c r="E211" s="19" t="s">
        <v>73</v>
      </c>
      <c r="F211" s="19" t="s">
        <v>370</v>
      </c>
      <c r="G211" s="251"/>
      <c r="H211" s="10"/>
      <c r="I211" s="11"/>
      <c r="J211" s="11"/>
      <c r="K211" s="11"/>
      <c r="L211" s="11"/>
      <c r="M211" s="11"/>
      <c r="N211" s="11"/>
      <c r="O211" s="12"/>
      <c r="P211" s="11"/>
      <c r="Q211" s="13"/>
      <c r="R211" s="14"/>
    </row>
    <row r="212" spans="1:18" ht="15" customHeight="1" x14ac:dyDescent="0.3">
      <c r="A212" s="19" t="s">
        <v>64</v>
      </c>
      <c r="B212" s="19" t="s">
        <v>324</v>
      </c>
      <c r="C212" s="20">
        <v>0.82986111111111116</v>
      </c>
      <c r="D212" s="19" t="s">
        <v>66</v>
      </c>
      <c r="E212" s="19" t="s">
        <v>57</v>
      </c>
      <c r="F212" s="19" t="s">
        <v>316</v>
      </c>
      <c r="G212" s="251"/>
      <c r="H212" s="10"/>
      <c r="I212" s="11"/>
      <c r="J212" s="11"/>
      <c r="K212" s="11"/>
      <c r="L212" s="11"/>
      <c r="M212" s="11"/>
      <c r="N212" s="11"/>
      <c r="O212" s="12"/>
      <c r="P212" s="11"/>
      <c r="Q212" s="13"/>
      <c r="R212" s="14"/>
    </row>
    <row r="213" spans="1:18" ht="15" customHeight="1" x14ac:dyDescent="0.3">
      <c r="A213" s="15" t="s">
        <v>64</v>
      </c>
      <c r="B213" s="15" t="s">
        <v>324</v>
      </c>
      <c r="C213" s="16">
        <v>0.82986111111111116</v>
      </c>
      <c r="D213" s="15" t="s">
        <v>68</v>
      </c>
      <c r="E213" s="15" t="s">
        <v>69</v>
      </c>
      <c r="F213" s="15" t="s">
        <v>317</v>
      </c>
      <c r="G213" s="251"/>
      <c r="H213" s="10"/>
      <c r="I213" s="11"/>
      <c r="J213" s="11"/>
      <c r="K213" s="11"/>
      <c r="L213" s="11"/>
      <c r="M213" s="11"/>
      <c r="N213" s="11"/>
      <c r="O213" s="12"/>
      <c r="P213" s="11"/>
      <c r="Q213" s="13"/>
      <c r="R213" s="14"/>
    </row>
    <row r="214" spans="1:18" ht="15" customHeight="1" x14ac:dyDescent="0.3">
      <c r="A214" s="19" t="s">
        <v>64</v>
      </c>
      <c r="B214" s="19" t="s">
        <v>322</v>
      </c>
      <c r="C214" s="20">
        <v>0.78819444444444453</v>
      </c>
      <c r="D214" s="19" t="s">
        <v>68</v>
      </c>
      <c r="E214" s="19" t="s">
        <v>73</v>
      </c>
      <c r="F214" s="19" t="s">
        <v>320</v>
      </c>
      <c r="G214" s="251"/>
      <c r="H214" s="10"/>
      <c r="I214" s="11"/>
      <c r="J214" s="11"/>
      <c r="K214" s="11"/>
      <c r="L214" s="11"/>
      <c r="M214" s="11"/>
      <c r="N214" s="11"/>
      <c r="O214" s="12"/>
      <c r="P214" s="11"/>
      <c r="Q214" s="13"/>
      <c r="R214" s="14"/>
    </row>
    <row r="215" spans="1:18" ht="15" customHeight="1" x14ac:dyDescent="0.3">
      <c r="A215" s="17" t="s">
        <v>51</v>
      </c>
      <c r="B215" s="17" t="s">
        <v>332</v>
      </c>
      <c r="C215" s="18">
        <v>0.22916666666666671</v>
      </c>
      <c r="D215" s="17" t="s">
        <v>53</v>
      </c>
      <c r="E215" s="17" t="s">
        <v>54</v>
      </c>
      <c r="F215" s="17" t="s">
        <v>328</v>
      </c>
      <c r="G215" s="251"/>
      <c r="H215" s="10"/>
      <c r="I215" s="11"/>
      <c r="J215" s="11"/>
      <c r="K215" s="11"/>
      <c r="L215" s="11"/>
      <c r="M215" s="11"/>
      <c r="N215" s="11"/>
      <c r="O215" s="12"/>
      <c r="P215" s="11"/>
      <c r="Q215" s="13"/>
      <c r="R215" s="14"/>
    </row>
    <row r="216" spans="1:18" ht="15" customHeight="1" x14ac:dyDescent="0.3">
      <c r="A216" s="19" t="s">
        <v>51</v>
      </c>
      <c r="B216" s="19" t="s">
        <v>338</v>
      </c>
      <c r="C216" s="20">
        <v>0.27777777777777779</v>
      </c>
      <c r="D216" s="19" t="s">
        <v>53</v>
      </c>
      <c r="E216" s="19" t="s">
        <v>57</v>
      </c>
      <c r="F216" s="19" t="s">
        <v>330</v>
      </c>
      <c r="G216" s="251"/>
      <c r="H216" s="10"/>
      <c r="I216" s="11"/>
      <c r="J216" s="11"/>
      <c r="K216" s="11"/>
      <c r="L216" s="11"/>
      <c r="M216" s="11"/>
      <c r="N216" s="11"/>
      <c r="O216" s="12"/>
      <c r="P216" s="11"/>
      <c r="Q216" s="13"/>
      <c r="R216" s="14"/>
    </row>
    <row r="217" spans="1:18" ht="15" customHeight="1" x14ac:dyDescent="0.3">
      <c r="A217" s="19" t="s">
        <v>51</v>
      </c>
      <c r="B217" s="19" t="s">
        <v>327</v>
      </c>
      <c r="C217" s="20">
        <v>1.388888888888889E-2</v>
      </c>
      <c r="D217" s="19" t="s">
        <v>53</v>
      </c>
      <c r="E217" s="19" t="s">
        <v>57</v>
      </c>
      <c r="F217" s="19" t="s">
        <v>333</v>
      </c>
      <c r="G217" s="251"/>
      <c r="H217" s="10"/>
      <c r="I217" s="11"/>
      <c r="J217" s="11"/>
      <c r="K217" s="11"/>
      <c r="L217" s="11"/>
      <c r="M217" s="11"/>
      <c r="N217" s="11"/>
      <c r="O217" s="12"/>
      <c r="P217" s="11"/>
      <c r="Q217" s="13"/>
      <c r="R217" s="14"/>
    </row>
    <row r="218" spans="1:18" ht="15" customHeight="1" x14ac:dyDescent="0.3">
      <c r="A218" s="19" t="s">
        <v>51</v>
      </c>
      <c r="B218" s="19" t="s">
        <v>334</v>
      </c>
      <c r="C218" s="20">
        <v>0.77083333333333337</v>
      </c>
      <c r="D218" s="19" t="s">
        <v>53</v>
      </c>
      <c r="E218" s="19" t="s">
        <v>73</v>
      </c>
      <c r="F218" s="19" t="s">
        <v>335</v>
      </c>
      <c r="G218" s="251"/>
      <c r="H218" s="10"/>
      <c r="I218" s="11"/>
      <c r="J218" s="11"/>
      <c r="K218" s="11"/>
      <c r="L218" s="11"/>
      <c r="M218" s="11"/>
      <c r="N218" s="11"/>
      <c r="O218" s="12"/>
      <c r="P218" s="11"/>
      <c r="Q218" s="13"/>
      <c r="R218" s="14"/>
    </row>
    <row r="219" spans="1:18" ht="15" customHeight="1" x14ac:dyDescent="0.3">
      <c r="A219" s="19" t="s">
        <v>51</v>
      </c>
      <c r="B219" s="19" t="s">
        <v>337</v>
      </c>
      <c r="C219" s="20">
        <v>0.14583333333333329</v>
      </c>
      <c r="D219" s="19" t="s">
        <v>53</v>
      </c>
      <c r="E219" s="19" t="s">
        <v>103</v>
      </c>
      <c r="F219" s="19" t="s">
        <v>335</v>
      </c>
      <c r="G219" s="251"/>
      <c r="H219" s="10"/>
      <c r="I219" s="11"/>
      <c r="J219" s="11"/>
      <c r="K219" s="11"/>
      <c r="L219" s="11"/>
      <c r="M219" s="11"/>
      <c r="N219" s="11"/>
      <c r="O219" s="12"/>
      <c r="P219" s="11"/>
      <c r="Q219" s="13"/>
      <c r="R219" s="14"/>
    </row>
    <row r="220" spans="1:18" ht="15" customHeight="1" x14ac:dyDescent="0.3">
      <c r="A220" s="19" t="s">
        <v>51</v>
      </c>
      <c r="B220" s="19" t="s">
        <v>329</v>
      </c>
      <c r="C220" s="20">
        <v>0.4861111111111111</v>
      </c>
      <c r="D220" s="19" t="s">
        <v>53</v>
      </c>
      <c r="E220" s="19" t="s">
        <v>60</v>
      </c>
      <c r="F220" s="19" t="s">
        <v>335</v>
      </c>
      <c r="G220" s="251"/>
      <c r="H220" s="10"/>
      <c r="I220" s="11"/>
      <c r="J220" s="11"/>
      <c r="K220" s="11"/>
      <c r="L220" s="11"/>
      <c r="M220" s="11"/>
      <c r="N220" s="11"/>
      <c r="O220" s="12"/>
      <c r="P220" s="11"/>
      <c r="Q220" s="13"/>
      <c r="R220" s="14"/>
    </row>
    <row r="221" spans="1:18" ht="15" customHeight="1" x14ac:dyDescent="0.3">
      <c r="A221" s="19" t="s">
        <v>51</v>
      </c>
      <c r="B221" s="19" t="s">
        <v>331</v>
      </c>
      <c r="C221" s="20">
        <v>0.54166666666666663</v>
      </c>
      <c r="D221" s="19" t="s">
        <v>53</v>
      </c>
      <c r="E221" s="19" t="s">
        <v>60</v>
      </c>
      <c r="F221" s="19" t="s">
        <v>335</v>
      </c>
      <c r="G221" s="251"/>
      <c r="H221" s="10"/>
      <c r="I221" s="11"/>
      <c r="J221" s="11"/>
      <c r="K221" s="11"/>
      <c r="L221" s="11"/>
      <c r="M221" s="11"/>
      <c r="N221" s="11"/>
      <c r="O221" s="12"/>
      <c r="P221" s="11"/>
      <c r="Q221" s="13"/>
      <c r="R221" s="14"/>
    </row>
    <row r="222" spans="1:18" ht="15" customHeight="1" x14ac:dyDescent="0.3">
      <c r="A222" s="172" t="s">
        <v>80</v>
      </c>
      <c r="B222" s="172" t="s">
        <v>287</v>
      </c>
      <c r="C222" s="173">
        <v>0.2361111111111111</v>
      </c>
      <c r="D222" s="172" t="s">
        <v>82</v>
      </c>
      <c r="E222" s="174"/>
      <c r="F222" s="172" t="s">
        <v>83</v>
      </c>
      <c r="G222" s="251"/>
      <c r="H222" s="121" t="s">
        <v>287</v>
      </c>
      <c r="I222" s="175">
        <v>1</v>
      </c>
      <c r="J222" s="123">
        <v>179</v>
      </c>
      <c r="K222" s="124" t="s">
        <v>380</v>
      </c>
      <c r="L222" s="123">
        <v>0</v>
      </c>
      <c r="M222" s="123">
        <v>0</v>
      </c>
      <c r="N222" s="123">
        <v>0</v>
      </c>
      <c r="O222" s="125" t="s">
        <v>85</v>
      </c>
      <c r="P222" s="126">
        <v>0.2361111111111111</v>
      </c>
      <c r="Q222" s="123">
        <v>179</v>
      </c>
      <c r="R222" s="127" t="s">
        <v>381</v>
      </c>
    </row>
    <row r="223" spans="1:18" ht="15" customHeight="1" x14ac:dyDescent="0.3">
      <c r="A223" s="169" t="s">
        <v>80</v>
      </c>
      <c r="B223" s="169" t="s">
        <v>283</v>
      </c>
      <c r="C223" s="170">
        <v>0.33333333333333331</v>
      </c>
      <c r="D223" s="169" t="s">
        <v>82</v>
      </c>
      <c r="E223" s="171"/>
      <c r="F223" s="169" t="s">
        <v>83</v>
      </c>
      <c r="G223" s="251"/>
      <c r="H223" s="109" t="s">
        <v>283</v>
      </c>
      <c r="I223" s="110">
        <v>1</v>
      </c>
      <c r="J223" s="111">
        <v>179</v>
      </c>
      <c r="K223" s="112" t="s">
        <v>186</v>
      </c>
      <c r="L223" s="111">
        <v>6</v>
      </c>
      <c r="M223" s="111">
        <v>0</v>
      </c>
      <c r="N223" s="111">
        <v>4</v>
      </c>
      <c r="O223" s="113" t="s">
        <v>85</v>
      </c>
      <c r="P223" s="114">
        <v>0.33333333333333331</v>
      </c>
      <c r="Q223" s="111">
        <v>179</v>
      </c>
      <c r="R223" s="115" t="s">
        <v>382</v>
      </c>
    </row>
    <row r="224" spans="1:18" ht="15" customHeight="1" x14ac:dyDescent="0.3">
      <c r="A224" s="176" t="s">
        <v>80</v>
      </c>
      <c r="B224" s="176" t="s">
        <v>299</v>
      </c>
      <c r="C224" s="177">
        <v>0.68055555555555547</v>
      </c>
      <c r="D224" s="176" t="s">
        <v>82</v>
      </c>
      <c r="E224" s="178"/>
      <c r="F224" s="176" t="s">
        <v>83</v>
      </c>
      <c r="G224" s="252"/>
      <c r="H224" s="179" t="s">
        <v>299</v>
      </c>
      <c r="I224" s="180">
        <v>1</v>
      </c>
      <c r="J224" s="181">
        <v>179</v>
      </c>
      <c r="K224" s="182" t="s">
        <v>284</v>
      </c>
      <c r="L224" s="181">
        <v>4</v>
      </c>
      <c r="M224" s="181">
        <v>1</v>
      </c>
      <c r="N224" s="181">
        <v>0</v>
      </c>
      <c r="O224" s="183" t="s">
        <v>85</v>
      </c>
      <c r="P224" s="184">
        <v>0.68055555555555547</v>
      </c>
      <c r="Q224" s="181">
        <v>179</v>
      </c>
      <c r="R224" s="185" t="s">
        <v>383</v>
      </c>
    </row>
  </sheetData>
  <mergeCells count="18">
    <mergeCell ref="G156:G224"/>
    <mergeCell ref="H1:L1"/>
    <mergeCell ref="A1:E1"/>
    <mergeCell ref="G2:J2"/>
    <mergeCell ref="K2:R2"/>
    <mergeCell ref="A4:F4"/>
    <mergeCell ref="G6:G78"/>
    <mergeCell ref="A79:R79"/>
    <mergeCell ref="A154:F154"/>
    <mergeCell ref="H80:R80"/>
    <mergeCell ref="H4:R4"/>
    <mergeCell ref="H154:R154"/>
    <mergeCell ref="N1:R1"/>
    <mergeCell ref="A2:F2"/>
    <mergeCell ref="A153:R153"/>
    <mergeCell ref="A3:R3"/>
    <mergeCell ref="A80:F80"/>
    <mergeCell ref="G82:G15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8"/>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7.5546875" style="269" bestFit="1" customWidth="1"/>
    <col min="6" max="6" width="4.21875" style="269" bestFit="1" customWidth="1"/>
    <col min="7" max="7" width="10" style="269" bestFit="1" customWidth="1"/>
    <col min="8" max="9" width="8.5546875" style="269" bestFit="1" customWidth="1"/>
    <col min="10"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2" width="3.88671875" style="269" bestFit="1" customWidth="1"/>
    <col min="23" max="23" width="4.33203125" style="269" bestFit="1" customWidth="1"/>
    <col min="24" max="24" width="4.109375" style="269" bestFit="1" customWidth="1"/>
    <col min="25" max="25" width="4.44140625" style="269" bestFit="1" customWidth="1"/>
    <col min="26" max="26" width="4.109375" style="269" bestFit="1" customWidth="1"/>
    <col min="27" max="27" width="5" style="269" bestFit="1" customWidth="1"/>
    <col min="28" max="29" width="4.21875" style="269" bestFit="1" customWidth="1"/>
    <col min="30" max="31" width="4.5546875" style="269" bestFit="1" customWidth="1"/>
    <col min="32" max="32" width="3.88671875" style="269" bestFit="1" customWidth="1"/>
    <col min="33" max="33" width="4.21875" style="269" bestFit="1" customWidth="1"/>
    <col min="34" max="34" width="3.88671875" style="269" bestFit="1" customWidth="1"/>
    <col min="35" max="35" width="5.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294</v>
      </c>
      <c r="D2" s="273" t="s">
        <v>384</v>
      </c>
      <c r="E2" s="272" t="s">
        <v>226</v>
      </c>
      <c r="F2" s="272" t="s">
        <v>140</v>
      </c>
      <c r="G2" s="274">
        <v>0.76539999999999997</v>
      </c>
      <c r="H2" s="275">
        <v>179</v>
      </c>
      <c r="I2" s="275">
        <v>137</v>
      </c>
      <c r="J2" s="275">
        <v>28</v>
      </c>
      <c r="K2" s="272" t="s">
        <v>141</v>
      </c>
      <c r="L2" s="276" t="s">
        <v>284</v>
      </c>
      <c r="M2" s="275">
        <v>1</v>
      </c>
      <c r="N2" s="275">
        <v>9</v>
      </c>
      <c r="O2" s="275">
        <v>36</v>
      </c>
      <c r="P2" s="272" t="s">
        <v>295</v>
      </c>
      <c r="Q2" s="268"/>
      <c r="R2" s="268"/>
      <c r="S2" s="268"/>
      <c r="T2" s="268"/>
      <c r="U2" s="268"/>
      <c r="V2" s="268"/>
      <c r="W2" s="268"/>
      <c r="X2" s="275" t="s">
        <v>385</v>
      </c>
      <c r="Y2" s="275" t="s">
        <v>386</v>
      </c>
      <c r="Z2" s="275" t="s">
        <v>387</v>
      </c>
      <c r="AA2" s="275" t="s">
        <v>388</v>
      </c>
      <c r="AB2" s="268"/>
      <c r="AC2" s="268"/>
      <c r="AD2" s="268"/>
      <c r="AE2" s="268"/>
      <c r="AF2" s="268"/>
      <c r="AG2" s="268"/>
      <c r="AH2" s="268"/>
      <c r="AI2" s="275" t="s">
        <v>389</v>
      </c>
      <c r="AJ2" s="268"/>
    </row>
    <row r="3" spans="1:36" x14ac:dyDescent="0.3">
      <c r="A3" s="270" t="s">
        <v>138</v>
      </c>
      <c r="B3" s="271">
        <v>45981</v>
      </c>
      <c r="C3" s="272" t="s">
        <v>290</v>
      </c>
      <c r="D3" s="273" t="s">
        <v>390</v>
      </c>
      <c r="E3" s="272" t="s">
        <v>226</v>
      </c>
      <c r="F3" s="272" t="s">
        <v>140</v>
      </c>
      <c r="G3" s="274">
        <v>0.92510000000000003</v>
      </c>
      <c r="H3" s="275">
        <v>187</v>
      </c>
      <c r="I3" s="275">
        <v>173</v>
      </c>
      <c r="J3" s="275">
        <v>60</v>
      </c>
      <c r="K3" s="272" t="s">
        <v>141</v>
      </c>
      <c r="L3" s="276" t="s">
        <v>186</v>
      </c>
      <c r="M3" s="275">
        <v>0</v>
      </c>
      <c r="N3" s="275">
        <v>4</v>
      </c>
      <c r="O3" s="275">
        <v>15</v>
      </c>
      <c r="P3" s="272" t="s">
        <v>144</v>
      </c>
      <c r="Q3" s="268"/>
      <c r="R3" s="268"/>
      <c r="S3" s="268"/>
      <c r="T3" s="268"/>
      <c r="U3" s="268"/>
      <c r="V3" s="268"/>
      <c r="W3" s="268"/>
      <c r="X3" s="275" t="s">
        <v>197</v>
      </c>
      <c r="Y3" s="275" t="s">
        <v>391</v>
      </c>
      <c r="Z3" s="275" t="s">
        <v>392</v>
      </c>
      <c r="AA3" s="275" t="s">
        <v>393</v>
      </c>
      <c r="AB3" s="275" t="s">
        <v>394</v>
      </c>
      <c r="AC3" s="275" t="s">
        <v>158</v>
      </c>
      <c r="AD3" s="275" t="s">
        <v>395</v>
      </c>
      <c r="AE3" s="275" t="s">
        <v>396</v>
      </c>
      <c r="AF3" s="275" t="s">
        <v>202</v>
      </c>
      <c r="AG3" s="268"/>
      <c r="AH3" s="268"/>
      <c r="AI3" s="275" t="s">
        <v>397</v>
      </c>
      <c r="AJ3" s="268"/>
    </row>
    <row r="4" spans="1:36" x14ac:dyDescent="0.3">
      <c r="A4" s="270" t="s">
        <v>138</v>
      </c>
      <c r="B4" s="271">
        <v>45981</v>
      </c>
      <c r="C4" s="272" t="s">
        <v>287</v>
      </c>
      <c r="D4" s="273" t="s">
        <v>398</v>
      </c>
      <c r="E4" s="272" t="s">
        <v>226</v>
      </c>
      <c r="F4" s="272" t="s">
        <v>140</v>
      </c>
      <c r="G4" s="274">
        <v>0.88829999999999998</v>
      </c>
      <c r="H4" s="275">
        <v>179</v>
      </c>
      <c r="I4" s="275">
        <v>159</v>
      </c>
      <c r="J4" s="275">
        <v>72</v>
      </c>
      <c r="K4" s="272" t="s">
        <v>141</v>
      </c>
      <c r="L4" s="276" t="s">
        <v>284</v>
      </c>
      <c r="M4" s="275">
        <v>4</v>
      </c>
      <c r="N4" s="275">
        <v>5</v>
      </c>
      <c r="O4" s="275">
        <v>15</v>
      </c>
      <c r="P4" s="272" t="s">
        <v>280</v>
      </c>
      <c r="Q4" s="268"/>
      <c r="R4" s="268"/>
      <c r="S4" s="268"/>
      <c r="T4" s="268"/>
      <c r="U4" s="268"/>
      <c r="V4" s="268"/>
      <c r="W4" s="275" t="s">
        <v>399</v>
      </c>
      <c r="X4" s="275" t="s">
        <v>400</v>
      </c>
      <c r="Y4" s="275" t="s">
        <v>401</v>
      </c>
      <c r="Z4" s="275" t="s">
        <v>402</v>
      </c>
      <c r="AA4" s="275" t="s">
        <v>403</v>
      </c>
      <c r="AB4" s="268"/>
      <c r="AC4" s="268"/>
      <c r="AD4" s="268"/>
      <c r="AE4" s="268"/>
      <c r="AF4" s="268"/>
      <c r="AG4" s="275" t="s">
        <v>404</v>
      </c>
      <c r="AH4" s="268"/>
      <c r="AI4" s="275" t="s">
        <v>405</v>
      </c>
      <c r="AJ4" s="275" t="s">
        <v>153</v>
      </c>
    </row>
    <row r="5" spans="1:36" x14ac:dyDescent="0.3">
      <c r="A5" s="270" t="s">
        <v>138</v>
      </c>
      <c r="B5" s="271">
        <v>45981</v>
      </c>
      <c r="C5" s="272" t="s">
        <v>283</v>
      </c>
      <c r="D5" s="273" t="s">
        <v>406</v>
      </c>
      <c r="E5" s="272" t="s">
        <v>226</v>
      </c>
      <c r="F5" s="272" t="s">
        <v>140</v>
      </c>
      <c r="G5" s="274">
        <v>0.82120000000000004</v>
      </c>
      <c r="H5" s="275">
        <v>179</v>
      </c>
      <c r="I5" s="275">
        <v>147</v>
      </c>
      <c r="J5" s="275">
        <v>104</v>
      </c>
      <c r="K5" s="272" t="s">
        <v>141</v>
      </c>
      <c r="L5" s="276" t="s">
        <v>284</v>
      </c>
      <c r="M5" s="275">
        <v>3</v>
      </c>
      <c r="N5" s="275">
        <v>5</v>
      </c>
      <c r="O5" s="275">
        <v>16</v>
      </c>
      <c r="P5" s="272" t="s">
        <v>198</v>
      </c>
      <c r="Q5" s="268"/>
      <c r="R5" s="268"/>
      <c r="S5" s="268"/>
      <c r="T5" s="268"/>
      <c r="U5" s="268"/>
      <c r="V5" s="268"/>
      <c r="W5" s="275" t="s">
        <v>399</v>
      </c>
      <c r="X5" s="275" t="s">
        <v>407</v>
      </c>
      <c r="Y5" s="275" t="s">
        <v>408</v>
      </c>
      <c r="Z5" s="275" t="s">
        <v>409</v>
      </c>
      <c r="AA5" s="275" t="s">
        <v>410</v>
      </c>
      <c r="AB5" s="268"/>
      <c r="AC5" s="268"/>
      <c r="AD5" s="268"/>
      <c r="AE5" s="268"/>
      <c r="AF5" s="268"/>
      <c r="AG5" s="268"/>
      <c r="AH5" s="268"/>
      <c r="AI5" s="275" t="s">
        <v>411</v>
      </c>
      <c r="AJ5" s="268"/>
    </row>
    <row r="6" spans="1:36" x14ac:dyDescent="0.3">
      <c r="A6" s="270" t="s">
        <v>138</v>
      </c>
      <c r="B6" s="271">
        <v>45981</v>
      </c>
      <c r="C6" s="272" t="s">
        <v>278</v>
      </c>
      <c r="D6" s="273" t="s">
        <v>412</v>
      </c>
      <c r="E6" s="272" t="s">
        <v>226</v>
      </c>
      <c r="F6" s="272" t="s">
        <v>140</v>
      </c>
      <c r="G6" s="274">
        <v>0.56979999999999997</v>
      </c>
      <c r="H6" s="275">
        <v>179</v>
      </c>
      <c r="I6" s="275">
        <v>102</v>
      </c>
      <c r="J6" s="275">
        <v>2</v>
      </c>
      <c r="K6" s="272" t="s">
        <v>141</v>
      </c>
      <c r="L6" s="276" t="s">
        <v>279</v>
      </c>
      <c r="M6" s="275">
        <v>0</v>
      </c>
      <c r="N6" s="275">
        <v>0</v>
      </c>
      <c r="O6" s="275">
        <v>16</v>
      </c>
      <c r="P6" s="272" t="s">
        <v>280</v>
      </c>
      <c r="Q6" s="268"/>
      <c r="R6" s="268"/>
      <c r="S6" s="268"/>
      <c r="T6" s="268"/>
      <c r="U6" s="268"/>
      <c r="V6" s="268"/>
      <c r="W6" s="275" t="s">
        <v>413</v>
      </c>
      <c r="X6" s="275" t="s">
        <v>414</v>
      </c>
      <c r="Y6" s="275" t="s">
        <v>415</v>
      </c>
      <c r="Z6" s="275" t="s">
        <v>416</v>
      </c>
      <c r="AA6" s="275" t="s">
        <v>417</v>
      </c>
      <c r="AB6" s="275" t="s">
        <v>147</v>
      </c>
      <c r="AC6" s="275" t="s">
        <v>209</v>
      </c>
      <c r="AD6" s="275" t="s">
        <v>418</v>
      </c>
      <c r="AE6" s="275" t="s">
        <v>396</v>
      </c>
      <c r="AF6" s="275" t="s">
        <v>419</v>
      </c>
      <c r="AG6" s="268"/>
      <c r="AH6" s="268"/>
      <c r="AI6" s="275" t="s">
        <v>420</v>
      </c>
      <c r="AJ6" s="275" t="s">
        <v>153</v>
      </c>
    </row>
    <row r="7" spans="1:36" x14ac:dyDescent="0.3">
      <c r="A7" s="270" t="s">
        <v>138</v>
      </c>
      <c r="B7" s="271">
        <v>45981</v>
      </c>
      <c r="C7" s="272" t="s">
        <v>299</v>
      </c>
      <c r="D7" s="273" t="s">
        <v>421</v>
      </c>
      <c r="E7" s="272" t="s">
        <v>226</v>
      </c>
      <c r="F7" s="272" t="s">
        <v>140</v>
      </c>
      <c r="G7" s="274">
        <v>0.96089999999999998</v>
      </c>
      <c r="H7" s="275">
        <v>179</v>
      </c>
      <c r="I7" s="275">
        <v>172</v>
      </c>
      <c r="J7" s="275">
        <v>98</v>
      </c>
      <c r="K7" s="272" t="s">
        <v>141</v>
      </c>
      <c r="L7" s="276" t="s">
        <v>300</v>
      </c>
      <c r="M7" s="275">
        <v>0</v>
      </c>
      <c r="N7" s="275">
        <v>0</v>
      </c>
      <c r="O7" s="275">
        <v>9</v>
      </c>
      <c r="P7" s="272" t="s">
        <v>301</v>
      </c>
      <c r="Q7" s="268"/>
      <c r="R7" s="268"/>
      <c r="S7" s="268"/>
      <c r="T7" s="268"/>
      <c r="U7" s="275" t="s">
        <v>422</v>
      </c>
      <c r="V7" s="275" t="s">
        <v>423</v>
      </c>
      <c r="W7" s="275" t="s">
        <v>196</v>
      </c>
      <c r="X7" s="275" t="s">
        <v>385</v>
      </c>
      <c r="Y7" s="275" t="s">
        <v>424</v>
      </c>
      <c r="Z7" s="275" t="s">
        <v>409</v>
      </c>
      <c r="AA7" s="275" t="s">
        <v>425</v>
      </c>
      <c r="AB7" s="268"/>
      <c r="AC7" s="268"/>
      <c r="AD7" s="268"/>
      <c r="AE7" s="268"/>
      <c r="AF7" s="268"/>
      <c r="AG7" s="275" t="s">
        <v>426</v>
      </c>
      <c r="AH7" s="268"/>
      <c r="AI7" s="275" t="s">
        <v>427</v>
      </c>
      <c r="AJ7" s="268"/>
    </row>
    <row r="8" spans="1:36" x14ac:dyDescent="0.3">
      <c r="A8" s="270" t="s">
        <v>138</v>
      </c>
      <c r="B8" s="271">
        <v>45981</v>
      </c>
      <c r="C8" s="272" t="s">
        <v>305</v>
      </c>
      <c r="D8" s="273" t="s">
        <v>428</v>
      </c>
      <c r="E8" s="272" t="s">
        <v>226</v>
      </c>
      <c r="F8" s="272" t="s">
        <v>140</v>
      </c>
      <c r="G8" s="274">
        <v>0.96650000000000003</v>
      </c>
      <c r="H8" s="275">
        <v>179</v>
      </c>
      <c r="I8" s="275">
        <v>173</v>
      </c>
      <c r="J8" s="275">
        <v>90</v>
      </c>
      <c r="K8" s="272" t="s">
        <v>141</v>
      </c>
      <c r="L8" s="276" t="s">
        <v>279</v>
      </c>
      <c r="M8" s="275">
        <v>0</v>
      </c>
      <c r="N8" s="275">
        <v>0</v>
      </c>
      <c r="O8" s="275">
        <v>3</v>
      </c>
      <c r="P8" s="272" t="s">
        <v>306</v>
      </c>
      <c r="Q8" s="268"/>
      <c r="R8" s="268"/>
      <c r="S8" s="275" t="s">
        <v>429</v>
      </c>
      <c r="T8" s="268"/>
      <c r="U8" s="275" t="s">
        <v>156</v>
      </c>
      <c r="V8" s="275" t="s">
        <v>430</v>
      </c>
      <c r="W8" s="275" t="s">
        <v>431</v>
      </c>
      <c r="X8" s="275" t="s">
        <v>385</v>
      </c>
      <c r="Y8" s="275" t="s">
        <v>432</v>
      </c>
      <c r="Z8" s="275" t="s">
        <v>409</v>
      </c>
      <c r="AA8" s="275" t="s">
        <v>410</v>
      </c>
      <c r="AB8" s="268"/>
      <c r="AC8" s="268"/>
      <c r="AD8" s="268"/>
      <c r="AE8" s="268"/>
      <c r="AF8" s="275" t="s">
        <v>433</v>
      </c>
      <c r="AG8" s="268"/>
      <c r="AH8" s="268"/>
      <c r="AI8" s="275" t="s">
        <v>434</v>
      </c>
      <c r="AJ8" s="268"/>
    </row>
    <row r="9" spans="1:36" x14ac:dyDescent="0.3">
      <c r="A9" s="270" t="s">
        <v>435</v>
      </c>
      <c r="B9" s="271">
        <v>45982</v>
      </c>
      <c r="C9" s="272" t="s">
        <v>294</v>
      </c>
      <c r="D9" s="273" t="s">
        <v>390</v>
      </c>
      <c r="E9" s="272" t="s">
        <v>226</v>
      </c>
      <c r="F9" s="272" t="s">
        <v>140</v>
      </c>
      <c r="G9" s="274">
        <v>0.50839999999999996</v>
      </c>
      <c r="H9" s="275">
        <v>179</v>
      </c>
      <c r="I9" s="275">
        <v>91</v>
      </c>
      <c r="J9" s="275">
        <v>0</v>
      </c>
      <c r="K9" s="272" t="s">
        <v>141</v>
      </c>
      <c r="L9" s="276" t="s">
        <v>284</v>
      </c>
      <c r="M9" s="275">
        <v>1</v>
      </c>
      <c r="N9" s="275">
        <v>7</v>
      </c>
      <c r="O9" s="275">
        <v>24</v>
      </c>
      <c r="P9" s="272" t="s">
        <v>358</v>
      </c>
      <c r="Q9" s="268"/>
      <c r="R9" s="268"/>
      <c r="S9" s="268"/>
      <c r="T9" s="268"/>
      <c r="U9" s="268"/>
      <c r="V9" s="275" t="s">
        <v>187</v>
      </c>
      <c r="W9" s="275" t="s">
        <v>436</v>
      </c>
      <c r="X9" s="275" t="s">
        <v>437</v>
      </c>
      <c r="Y9" s="275" t="s">
        <v>438</v>
      </c>
      <c r="Z9" s="275" t="s">
        <v>409</v>
      </c>
      <c r="AA9" s="275" t="s">
        <v>410</v>
      </c>
      <c r="AB9" s="268"/>
      <c r="AC9" s="268"/>
      <c r="AD9" s="268"/>
      <c r="AE9" s="268"/>
      <c r="AF9" s="268"/>
      <c r="AG9" s="268"/>
      <c r="AH9" s="268"/>
      <c r="AI9" s="268"/>
      <c r="AJ9" s="268"/>
    </row>
    <row r="10" spans="1:36" x14ac:dyDescent="0.3">
      <c r="A10" s="270" t="s">
        <v>435</v>
      </c>
      <c r="B10" s="271">
        <v>45982</v>
      </c>
      <c r="C10" s="272" t="s">
        <v>283</v>
      </c>
      <c r="D10" s="273" t="s">
        <v>439</v>
      </c>
      <c r="E10" s="272" t="s">
        <v>226</v>
      </c>
      <c r="F10" s="272" t="s">
        <v>140</v>
      </c>
      <c r="G10" s="274">
        <v>0.5978</v>
      </c>
      <c r="H10" s="275">
        <v>179</v>
      </c>
      <c r="I10" s="275">
        <v>107</v>
      </c>
      <c r="J10" s="275">
        <v>1</v>
      </c>
      <c r="K10" s="272" t="s">
        <v>141</v>
      </c>
      <c r="L10" s="276" t="s">
        <v>279</v>
      </c>
      <c r="M10" s="275">
        <v>0</v>
      </c>
      <c r="N10" s="275">
        <v>0</v>
      </c>
      <c r="O10" s="275">
        <v>21</v>
      </c>
      <c r="P10" s="272" t="s">
        <v>301</v>
      </c>
      <c r="Q10" s="268"/>
      <c r="R10" s="268"/>
      <c r="S10" s="268"/>
      <c r="T10" s="268"/>
      <c r="U10" s="268"/>
      <c r="V10" s="275" t="s">
        <v>423</v>
      </c>
      <c r="W10" s="275" t="s">
        <v>436</v>
      </c>
      <c r="X10" s="275" t="s">
        <v>440</v>
      </c>
      <c r="Y10" s="275" t="s">
        <v>438</v>
      </c>
      <c r="Z10" s="275" t="s">
        <v>441</v>
      </c>
      <c r="AA10" s="275" t="s">
        <v>410</v>
      </c>
      <c r="AB10" s="275" t="s">
        <v>442</v>
      </c>
      <c r="AC10" s="275" t="s">
        <v>158</v>
      </c>
      <c r="AD10" s="275" t="s">
        <v>443</v>
      </c>
      <c r="AE10" s="275" t="s">
        <v>444</v>
      </c>
      <c r="AF10" s="275" t="s">
        <v>202</v>
      </c>
      <c r="AG10" s="268"/>
      <c r="AH10" s="268"/>
      <c r="AI10" s="275" t="s">
        <v>405</v>
      </c>
      <c r="AJ10" s="268"/>
    </row>
    <row r="11" spans="1:36" x14ac:dyDescent="0.3">
      <c r="A11" s="270" t="s">
        <v>435</v>
      </c>
      <c r="B11" s="271">
        <v>45982</v>
      </c>
      <c r="C11" s="272" t="s">
        <v>299</v>
      </c>
      <c r="D11" s="273" t="s">
        <v>445</v>
      </c>
      <c r="E11" s="272" t="s">
        <v>226</v>
      </c>
      <c r="F11" s="272" t="s">
        <v>140</v>
      </c>
      <c r="G11" s="274">
        <v>0.54190000000000005</v>
      </c>
      <c r="H11" s="275">
        <v>179</v>
      </c>
      <c r="I11" s="275">
        <v>97</v>
      </c>
      <c r="J11" s="275">
        <v>0</v>
      </c>
      <c r="K11" s="272" t="s">
        <v>141</v>
      </c>
      <c r="L11" s="276" t="s">
        <v>84</v>
      </c>
      <c r="M11" s="275">
        <v>0</v>
      </c>
      <c r="N11" s="275">
        <v>0</v>
      </c>
      <c r="O11" s="275">
        <v>7</v>
      </c>
      <c r="P11" s="272" t="s">
        <v>362</v>
      </c>
      <c r="Q11" s="268"/>
      <c r="R11" s="268"/>
      <c r="S11" s="268"/>
      <c r="T11" s="268"/>
      <c r="U11" s="268"/>
      <c r="V11" s="268"/>
      <c r="W11" s="275" t="s">
        <v>446</v>
      </c>
      <c r="X11" s="275" t="s">
        <v>385</v>
      </c>
      <c r="Y11" s="275" t="s">
        <v>447</v>
      </c>
      <c r="Z11" s="275" t="s">
        <v>448</v>
      </c>
      <c r="AA11" s="275" t="s">
        <v>410</v>
      </c>
      <c r="AB11" s="268"/>
      <c r="AC11" s="268"/>
      <c r="AD11" s="268"/>
      <c r="AE11" s="268"/>
      <c r="AF11" s="268"/>
      <c r="AG11" s="268"/>
      <c r="AH11" s="268"/>
      <c r="AI11" s="268"/>
      <c r="AJ11" s="268"/>
    </row>
    <row r="12" spans="1:36" x14ac:dyDescent="0.3">
      <c r="A12" s="270" t="s">
        <v>435</v>
      </c>
      <c r="B12" s="271">
        <v>45982</v>
      </c>
      <c r="C12" s="272" t="s">
        <v>305</v>
      </c>
      <c r="D12" s="273" t="s">
        <v>449</v>
      </c>
      <c r="E12" s="272" t="s">
        <v>226</v>
      </c>
      <c r="F12" s="272" t="s">
        <v>140</v>
      </c>
      <c r="G12" s="274">
        <v>0.53069999999999995</v>
      </c>
      <c r="H12" s="275">
        <v>179</v>
      </c>
      <c r="I12" s="275">
        <v>95</v>
      </c>
      <c r="J12" s="275">
        <v>0</v>
      </c>
      <c r="K12" s="272" t="s">
        <v>141</v>
      </c>
      <c r="L12" s="276" t="s">
        <v>186</v>
      </c>
      <c r="M12" s="275">
        <v>0</v>
      </c>
      <c r="N12" s="275">
        <v>1</v>
      </c>
      <c r="O12" s="275">
        <v>19</v>
      </c>
      <c r="P12" s="272" t="s">
        <v>360</v>
      </c>
      <c r="Q12" s="268"/>
      <c r="R12" s="268"/>
      <c r="S12" s="268"/>
      <c r="T12" s="268"/>
      <c r="U12" s="268"/>
      <c r="V12" s="268"/>
      <c r="W12" s="275" t="s">
        <v>450</v>
      </c>
      <c r="X12" s="275" t="s">
        <v>451</v>
      </c>
      <c r="Y12" s="275" t="s">
        <v>438</v>
      </c>
      <c r="Z12" s="275" t="s">
        <v>452</v>
      </c>
      <c r="AA12" s="275" t="s">
        <v>410</v>
      </c>
      <c r="AB12" s="268"/>
      <c r="AC12" s="268"/>
      <c r="AD12" s="268"/>
      <c r="AE12" s="268"/>
      <c r="AF12" s="268"/>
      <c r="AG12" s="268"/>
      <c r="AH12" s="268"/>
      <c r="AI12" s="268"/>
      <c r="AJ12" s="268"/>
    </row>
    <row r="13" spans="1:36" x14ac:dyDescent="0.3">
      <c r="A13" s="270" t="s">
        <v>435</v>
      </c>
      <c r="B13" s="271">
        <v>45982</v>
      </c>
      <c r="C13" s="272" t="s">
        <v>290</v>
      </c>
      <c r="D13" s="273" t="s">
        <v>453</v>
      </c>
      <c r="E13" s="272" t="s">
        <v>226</v>
      </c>
      <c r="F13" s="272" t="s">
        <v>140</v>
      </c>
      <c r="G13" s="274">
        <v>0.5363</v>
      </c>
      <c r="H13" s="275">
        <v>179</v>
      </c>
      <c r="I13" s="275">
        <v>96</v>
      </c>
      <c r="J13" s="275">
        <v>0</v>
      </c>
      <c r="K13" s="272" t="s">
        <v>141</v>
      </c>
      <c r="L13" s="276" t="s">
        <v>186</v>
      </c>
      <c r="M13" s="275">
        <v>0</v>
      </c>
      <c r="N13" s="275">
        <v>3</v>
      </c>
      <c r="O13" s="275">
        <v>15</v>
      </c>
      <c r="P13" s="272" t="s">
        <v>356</v>
      </c>
      <c r="Q13" s="268"/>
      <c r="R13" s="268"/>
      <c r="S13" s="268"/>
      <c r="T13" s="268"/>
      <c r="U13" s="268"/>
      <c r="V13" s="268"/>
      <c r="W13" s="275" t="s">
        <v>454</v>
      </c>
      <c r="X13" s="275" t="s">
        <v>385</v>
      </c>
      <c r="Y13" s="275" t="s">
        <v>455</v>
      </c>
      <c r="Z13" s="275" t="s">
        <v>456</v>
      </c>
      <c r="AA13" s="275" t="s">
        <v>410</v>
      </c>
      <c r="AB13" s="268"/>
      <c r="AC13" s="268"/>
      <c r="AD13" s="268"/>
      <c r="AE13" s="268"/>
      <c r="AF13" s="268"/>
      <c r="AG13" s="268"/>
      <c r="AH13" s="268"/>
      <c r="AI13" s="268"/>
      <c r="AJ13" s="268"/>
    </row>
    <row r="14" spans="1:36" x14ac:dyDescent="0.3">
      <c r="A14" s="270" t="s">
        <v>435</v>
      </c>
      <c r="B14" s="271">
        <v>45982</v>
      </c>
      <c r="C14" s="272" t="s">
        <v>365</v>
      </c>
      <c r="D14" s="273" t="s">
        <v>457</v>
      </c>
      <c r="E14" s="272" t="s">
        <v>226</v>
      </c>
      <c r="F14" s="272" t="s">
        <v>140</v>
      </c>
      <c r="G14" s="274">
        <v>1.0172000000000001</v>
      </c>
      <c r="H14" s="275">
        <v>174</v>
      </c>
      <c r="I14" s="275">
        <v>177</v>
      </c>
      <c r="J14" s="275">
        <v>92</v>
      </c>
      <c r="K14" s="272" t="s">
        <v>141</v>
      </c>
      <c r="L14" s="276" t="s">
        <v>186</v>
      </c>
      <c r="M14" s="275">
        <v>0</v>
      </c>
      <c r="N14" s="275">
        <v>1</v>
      </c>
      <c r="O14" s="275">
        <v>7</v>
      </c>
      <c r="P14" s="272" t="s">
        <v>85</v>
      </c>
      <c r="Q14" s="268"/>
      <c r="R14" s="268"/>
      <c r="S14" s="268"/>
      <c r="T14" s="268"/>
      <c r="U14" s="268"/>
      <c r="V14" s="268"/>
      <c r="W14" s="275" t="s">
        <v>301</v>
      </c>
      <c r="X14" s="268"/>
      <c r="Y14" s="275" t="s">
        <v>458</v>
      </c>
      <c r="Z14" s="275" t="s">
        <v>459</v>
      </c>
      <c r="AA14" s="275" t="s">
        <v>417</v>
      </c>
      <c r="AB14" s="275" t="s">
        <v>394</v>
      </c>
      <c r="AC14" s="275" t="s">
        <v>460</v>
      </c>
      <c r="AD14" s="275" t="s">
        <v>461</v>
      </c>
      <c r="AE14" s="275" t="s">
        <v>201</v>
      </c>
      <c r="AF14" s="275" t="s">
        <v>462</v>
      </c>
      <c r="AG14" s="268"/>
      <c r="AH14" s="268"/>
      <c r="AI14" s="275" t="s">
        <v>152</v>
      </c>
      <c r="AJ14" s="268"/>
    </row>
    <row r="15" spans="1:36" x14ac:dyDescent="0.3">
      <c r="A15" s="270" t="s">
        <v>154</v>
      </c>
      <c r="B15" s="271">
        <v>45983</v>
      </c>
      <c r="C15" s="272" t="s">
        <v>287</v>
      </c>
      <c r="D15" s="273" t="s">
        <v>463</v>
      </c>
      <c r="E15" s="272" t="s">
        <v>226</v>
      </c>
      <c r="F15" s="272" t="s">
        <v>140</v>
      </c>
      <c r="G15" s="274">
        <v>1</v>
      </c>
      <c r="H15" s="275">
        <v>179</v>
      </c>
      <c r="I15" s="275">
        <v>179</v>
      </c>
      <c r="J15" s="275">
        <v>50</v>
      </c>
      <c r="K15" s="272" t="s">
        <v>141</v>
      </c>
      <c r="L15" s="276" t="s">
        <v>380</v>
      </c>
      <c r="M15" s="275">
        <v>0</v>
      </c>
      <c r="N15" s="275">
        <v>0</v>
      </c>
      <c r="O15" s="275">
        <v>0</v>
      </c>
      <c r="P15" s="272" t="s">
        <v>85</v>
      </c>
      <c r="Q15" s="268"/>
      <c r="R15" s="268"/>
      <c r="S15" s="268"/>
      <c r="T15" s="268"/>
      <c r="U15" s="268"/>
      <c r="V15" s="268"/>
      <c r="W15" s="275" t="s">
        <v>464</v>
      </c>
      <c r="X15" s="268"/>
      <c r="Y15" s="275" t="s">
        <v>432</v>
      </c>
      <c r="Z15" s="275" t="s">
        <v>459</v>
      </c>
      <c r="AA15" s="275" t="s">
        <v>465</v>
      </c>
      <c r="AB15" s="275" t="s">
        <v>394</v>
      </c>
      <c r="AC15" s="275" t="s">
        <v>460</v>
      </c>
      <c r="AD15" s="275" t="s">
        <v>466</v>
      </c>
      <c r="AE15" s="275" t="s">
        <v>467</v>
      </c>
      <c r="AF15" s="275" t="s">
        <v>161</v>
      </c>
      <c r="AG15" s="268"/>
      <c r="AH15" s="268"/>
      <c r="AI15" s="275" t="s">
        <v>468</v>
      </c>
      <c r="AJ15" s="268"/>
    </row>
    <row r="16" spans="1:36" x14ac:dyDescent="0.3">
      <c r="A16" s="270" t="s">
        <v>154</v>
      </c>
      <c r="B16" s="271">
        <v>45983</v>
      </c>
      <c r="C16" s="272" t="s">
        <v>283</v>
      </c>
      <c r="D16" s="273" t="s">
        <v>406</v>
      </c>
      <c r="E16" s="272" t="s">
        <v>226</v>
      </c>
      <c r="F16" s="272" t="s">
        <v>140</v>
      </c>
      <c r="G16" s="274">
        <v>1</v>
      </c>
      <c r="H16" s="275">
        <v>179</v>
      </c>
      <c r="I16" s="275">
        <v>179</v>
      </c>
      <c r="J16" s="275">
        <v>134</v>
      </c>
      <c r="K16" s="272" t="s">
        <v>141</v>
      </c>
      <c r="L16" s="276" t="s">
        <v>186</v>
      </c>
      <c r="M16" s="275">
        <v>0</v>
      </c>
      <c r="N16" s="275">
        <v>4</v>
      </c>
      <c r="O16" s="275">
        <v>6</v>
      </c>
      <c r="P16" s="272" t="s">
        <v>85</v>
      </c>
      <c r="Q16" s="268"/>
      <c r="R16" s="268"/>
      <c r="S16" s="268"/>
      <c r="T16" s="268"/>
      <c r="U16" s="268"/>
      <c r="V16" s="275" t="s">
        <v>469</v>
      </c>
      <c r="W16" s="268"/>
      <c r="X16" s="275" t="s">
        <v>360</v>
      </c>
      <c r="Y16" s="268"/>
      <c r="Z16" s="275" t="s">
        <v>470</v>
      </c>
      <c r="AA16" s="275" t="s">
        <v>410</v>
      </c>
      <c r="AB16" s="268"/>
      <c r="AC16" s="268"/>
      <c r="AD16" s="268"/>
      <c r="AE16" s="268"/>
      <c r="AF16" s="268"/>
      <c r="AG16" s="268"/>
      <c r="AH16" s="268"/>
      <c r="AI16" s="275" t="s">
        <v>471</v>
      </c>
      <c r="AJ16" s="275" t="s">
        <v>163</v>
      </c>
    </row>
    <row r="17" spans="1:36" x14ac:dyDescent="0.3">
      <c r="A17" s="270" t="s">
        <v>154</v>
      </c>
      <c r="B17" s="271">
        <v>45983</v>
      </c>
      <c r="C17" s="272" t="s">
        <v>299</v>
      </c>
      <c r="D17" s="273" t="s">
        <v>472</v>
      </c>
      <c r="E17" s="272" t="s">
        <v>226</v>
      </c>
      <c r="F17" s="272" t="s">
        <v>140</v>
      </c>
      <c r="G17" s="274">
        <v>1</v>
      </c>
      <c r="H17" s="275">
        <v>179</v>
      </c>
      <c r="I17" s="275">
        <v>179</v>
      </c>
      <c r="J17" s="275">
        <v>127</v>
      </c>
      <c r="K17" s="272" t="s">
        <v>141</v>
      </c>
      <c r="L17" s="276" t="s">
        <v>284</v>
      </c>
      <c r="M17" s="275">
        <v>1</v>
      </c>
      <c r="N17" s="275">
        <v>0</v>
      </c>
      <c r="O17" s="275">
        <v>4</v>
      </c>
      <c r="P17" s="272" t="s">
        <v>85</v>
      </c>
      <c r="Q17" s="268"/>
      <c r="R17" s="268"/>
      <c r="S17" s="268"/>
      <c r="T17" s="268"/>
      <c r="U17" s="268"/>
      <c r="V17" s="275" t="s">
        <v>187</v>
      </c>
      <c r="W17" s="268"/>
      <c r="X17" s="275" t="s">
        <v>473</v>
      </c>
      <c r="Y17" s="275" t="s">
        <v>474</v>
      </c>
      <c r="Z17" s="275" t="s">
        <v>475</v>
      </c>
      <c r="AA17" s="275" t="s">
        <v>425</v>
      </c>
      <c r="AB17" s="275" t="s">
        <v>394</v>
      </c>
      <c r="AC17" s="275" t="s">
        <v>476</v>
      </c>
      <c r="AD17" s="275" t="s">
        <v>395</v>
      </c>
      <c r="AE17" s="275" t="s">
        <v>477</v>
      </c>
      <c r="AF17" s="275" t="s">
        <v>478</v>
      </c>
      <c r="AG17" s="275" t="s">
        <v>479</v>
      </c>
      <c r="AH17" s="268"/>
      <c r="AI17" s="275" t="s">
        <v>480</v>
      </c>
      <c r="AJ17" s="275" t="s">
        <v>481</v>
      </c>
    </row>
    <row r="18" spans="1:36" ht="21" x14ac:dyDescent="0.3">
      <c r="A18" s="277" t="s">
        <v>913</v>
      </c>
      <c r="B18" s="278"/>
      <c r="C18" s="277">
        <f>SUBTOTAL(103,JED_CAI_LF_LEGACY[Flt])</f>
        <v>16</v>
      </c>
      <c r="D18" s="277"/>
      <c r="E18" s="277">
        <f>SUBTOTAL(103,JED_CAI_LF_LEGACY[Brd-Off])</f>
        <v>16</v>
      </c>
      <c r="F18" s="277"/>
      <c r="G18" s="279">
        <f>SUBTOTAL(101,JED_CAI_LF_LEGACY[LF%])</f>
        <v>0.78934375000000012</v>
      </c>
      <c r="H18" s="280">
        <f>SUBTOTAL(109,JED_CAI_LF_LEGACY[CAP])</f>
        <v>2867</v>
      </c>
      <c r="I18" s="280">
        <f>SUBTOTAL(109,JED_CAI_LF_LEGACY[BKG(Y)])</f>
        <v>2263</v>
      </c>
      <c r="J18" s="280">
        <f>SUBTOTAL(109,JED_CAI_LF_LEGACY[GRP(Y)])</f>
        <v>858</v>
      </c>
      <c r="K18" s="277"/>
      <c r="L18" s="278"/>
      <c r="M18" s="280">
        <f>SUBTOTAL(109,JED_CAI_LF_LEGACY[TO-DAY])</f>
        <v>10</v>
      </c>
      <c r="N18" s="280">
        <f>SUBTOTAL(109,JED_CAI_LF_LEGACY[Y-DAY])</f>
        <v>39</v>
      </c>
      <c r="O18" s="280">
        <f>SUBTOTAL(109,JED_CAI_LF_LEGACY[WEEKLY])</f>
        <v>213</v>
      </c>
      <c r="P18" s="281"/>
      <c r="Q18" s="280">
        <f>SUBTOTAL(109,JED_CAI_LF_LEGACY[Y])</f>
        <v>0</v>
      </c>
      <c r="R18" s="280">
        <f>SUBTOTAL(109,JED_CAI_LF_LEGACY[B])</f>
        <v>0</v>
      </c>
      <c r="S18" s="280">
        <f>SUBTOTAL(109,JED_CAI_LF_LEGACY[M])</f>
        <v>0</v>
      </c>
      <c r="T18" s="280">
        <f>SUBTOTAL(109,JED_CAI_LF_LEGACY[H])</f>
        <v>0</v>
      </c>
      <c r="U18" s="280">
        <f>SUBTOTAL(109,JED_CAI_LF_LEGACY[Q])</f>
        <v>0</v>
      </c>
      <c r="V18" s="280">
        <f>SUBTOTAL(109,JED_CAI_LF_LEGACY[K])</f>
        <v>0</v>
      </c>
      <c r="W18" s="280">
        <f>SUBTOTAL(109,JED_CAI_LF_LEGACY[V])</f>
        <v>0</v>
      </c>
      <c r="X18" s="280">
        <f>SUBTOTAL(109,JED_CAI_LF_LEGACY[L])</f>
        <v>0</v>
      </c>
      <c r="Y18" s="280">
        <f>SUBTOTAL(109,JED_CAI_LF_LEGACY[G])</f>
        <v>0</v>
      </c>
      <c r="Z18" s="280">
        <f>SUBTOTAL(109,JED_CAI_LF_LEGACY[S])</f>
        <v>0</v>
      </c>
      <c r="AA18" s="280">
        <f>SUBTOTAL(109,JED_CAI_LF_LEGACY[W])</f>
        <v>0</v>
      </c>
      <c r="AB18" s="280">
        <f>SUBTOTAL(109,JED_CAI_LF_LEGACY[T])</f>
        <v>0</v>
      </c>
      <c r="AC18" s="280">
        <f>SUBTOTAL(109,JED_CAI_LF_LEGACY[X])</f>
        <v>0</v>
      </c>
      <c r="AD18" s="280">
        <f>SUBTOTAL(109,JED_CAI_LF_LEGACY[U])</f>
        <v>0</v>
      </c>
      <c r="AE18" s="280">
        <f>SUBTOTAL(109,JED_CAI_LF_LEGACY[O])</f>
        <v>0</v>
      </c>
      <c r="AF18" s="280">
        <f>SUBTOTAL(109,JED_CAI_LF_LEGACY[I])</f>
        <v>0</v>
      </c>
      <c r="AG18" s="280">
        <f>SUBTOTAL(109,JED_CAI_LF_LEGACY[E])</f>
        <v>0</v>
      </c>
      <c r="AH18" s="280">
        <f>SUBTOTAL(109,JED_CAI_LF_LEGACY[A])</f>
        <v>0</v>
      </c>
      <c r="AI18" s="280">
        <f>SUBTOTAL(109,JED_CAI_LF_LEGACY[P])</f>
        <v>0</v>
      </c>
      <c r="AJ18" s="280">
        <f>SUBTOTAL(103,JED_CAI_LF_LEGACY[N])</f>
        <v>4</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1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1.2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36</v>
      </c>
      <c r="C2" s="62" t="s">
        <v>227</v>
      </c>
      <c r="D2" s="61" t="s">
        <v>226</v>
      </c>
      <c r="E2" s="61" t="s">
        <v>482</v>
      </c>
      <c r="F2" s="61" t="s">
        <v>38</v>
      </c>
      <c r="G2" s="63">
        <v>9</v>
      </c>
      <c r="H2" s="64">
        <v>589</v>
      </c>
    </row>
    <row r="3" spans="1:8" ht="19.8" customHeight="1" x14ac:dyDescent="0.3">
      <c r="A3" s="60" t="s">
        <v>166</v>
      </c>
      <c r="B3" s="61" t="s">
        <v>36</v>
      </c>
      <c r="C3" s="62" t="s">
        <v>231</v>
      </c>
      <c r="D3" s="61" t="s">
        <v>226</v>
      </c>
      <c r="E3" s="61" t="s">
        <v>483</v>
      </c>
      <c r="F3" s="61" t="s">
        <v>38</v>
      </c>
      <c r="G3" s="63">
        <v>7</v>
      </c>
      <c r="H3" s="64">
        <v>589</v>
      </c>
    </row>
    <row r="4" spans="1:8" ht="19.8" customHeight="1" x14ac:dyDescent="0.3">
      <c r="A4" s="60" t="s">
        <v>166</v>
      </c>
      <c r="B4" s="61" t="s">
        <v>36</v>
      </c>
      <c r="C4" s="62" t="s">
        <v>232</v>
      </c>
      <c r="D4" s="61" t="s">
        <v>226</v>
      </c>
      <c r="E4" s="61" t="s">
        <v>173</v>
      </c>
      <c r="F4" s="61" t="s">
        <v>38</v>
      </c>
      <c r="G4" s="63">
        <v>9</v>
      </c>
      <c r="H4" s="64">
        <v>669</v>
      </c>
    </row>
    <row r="5" spans="1:8" ht="19.8" customHeight="1" x14ac:dyDescent="0.3">
      <c r="A5" s="60" t="s">
        <v>166</v>
      </c>
      <c r="B5" s="61" t="s">
        <v>36</v>
      </c>
      <c r="C5" s="62" t="s">
        <v>235</v>
      </c>
      <c r="D5" s="61" t="s">
        <v>226</v>
      </c>
      <c r="E5" s="61" t="s">
        <v>484</v>
      </c>
      <c r="F5" s="61" t="s">
        <v>38</v>
      </c>
      <c r="G5" s="63">
        <v>9</v>
      </c>
      <c r="H5" s="64">
        <v>669</v>
      </c>
    </row>
    <row r="6" spans="1:8" ht="19.8" customHeight="1" x14ac:dyDescent="0.3">
      <c r="A6" s="60" t="s">
        <v>166</v>
      </c>
      <c r="B6" s="61" t="s">
        <v>36</v>
      </c>
      <c r="C6" s="62" t="s">
        <v>236</v>
      </c>
      <c r="D6" s="61" t="s">
        <v>226</v>
      </c>
      <c r="E6" s="61" t="s">
        <v>485</v>
      </c>
      <c r="F6" s="61" t="s">
        <v>38</v>
      </c>
      <c r="G6" s="63">
        <v>9</v>
      </c>
      <c r="H6" s="64">
        <v>669</v>
      </c>
    </row>
    <row r="7" spans="1:8" ht="19.8" customHeight="1" x14ac:dyDescent="0.3">
      <c r="A7" s="60" t="s">
        <v>166</v>
      </c>
      <c r="B7" s="61" t="s">
        <v>36</v>
      </c>
      <c r="C7" s="62" t="s">
        <v>237</v>
      </c>
      <c r="D7" s="61" t="s">
        <v>226</v>
      </c>
      <c r="E7" s="61" t="s">
        <v>155</v>
      </c>
      <c r="F7" s="61" t="s">
        <v>38</v>
      </c>
      <c r="G7" s="63">
        <v>9</v>
      </c>
      <c r="H7" s="64">
        <v>669</v>
      </c>
    </row>
    <row r="8" spans="1:8" ht="19.8" customHeight="1" x14ac:dyDescent="0.3">
      <c r="A8" s="60" t="s">
        <v>166</v>
      </c>
      <c r="B8" s="61" t="s">
        <v>36</v>
      </c>
      <c r="C8" s="62" t="s">
        <v>227</v>
      </c>
      <c r="D8" s="61" t="s">
        <v>226</v>
      </c>
      <c r="E8" s="61" t="s">
        <v>482</v>
      </c>
      <c r="F8" s="61" t="s">
        <v>41</v>
      </c>
      <c r="G8" s="63">
        <v>9</v>
      </c>
      <c r="H8" s="64">
        <v>689</v>
      </c>
    </row>
    <row r="9" spans="1:8" ht="19.8" customHeight="1" x14ac:dyDescent="0.3">
      <c r="A9" s="60" t="s">
        <v>166</v>
      </c>
      <c r="B9" s="61" t="s">
        <v>36</v>
      </c>
      <c r="C9" s="62" t="s">
        <v>231</v>
      </c>
      <c r="D9" s="61" t="s">
        <v>226</v>
      </c>
      <c r="E9" s="61" t="s">
        <v>483</v>
      </c>
      <c r="F9" s="61" t="s">
        <v>41</v>
      </c>
      <c r="G9" s="63">
        <v>7</v>
      </c>
      <c r="H9" s="64">
        <v>689</v>
      </c>
    </row>
    <row r="10" spans="1:8" ht="19.8" customHeight="1" x14ac:dyDescent="0.3">
      <c r="A10" s="60" t="s">
        <v>166</v>
      </c>
      <c r="B10" s="61" t="s">
        <v>26</v>
      </c>
      <c r="C10" s="62" t="s">
        <v>248</v>
      </c>
      <c r="D10" s="61" t="s">
        <v>226</v>
      </c>
      <c r="E10" s="61" t="s">
        <v>483</v>
      </c>
      <c r="F10" s="61" t="s">
        <v>28</v>
      </c>
      <c r="G10" s="63">
        <v>11</v>
      </c>
      <c r="H10" s="64">
        <v>689</v>
      </c>
    </row>
    <row r="11" spans="1:8" ht="19.8" customHeight="1" x14ac:dyDescent="0.3">
      <c r="A11" s="60" t="s">
        <v>166</v>
      </c>
      <c r="B11" s="61" t="s">
        <v>26</v>
      </c>
      <c r="C11" s="62" t="s">
        <v>252</v>
      </c>
      <c r="D11" s="61" t="s">
        <v>226</v>
      </c>
      <c r="E11" s="61" t="s">
        <v>486</v>
      </c>
      <c r="F11" s="61" t="s">
        <v>28</v>
      </c>
      <c r="G11" s="63">
        <v>16</v>
      </c>
      <c r="H11" s="64">
        <v>689</v>
      </c>
    </row>
    <row r="12" spans="1:8" ht="19.8" customHeight="1" x14ac:dyDescent="0.3">
      <c r="A12" s="60" t="s">
        <v>166</v>
      </c>
      <c r="B12" s="61" t="s">
        <v>26</v>
      </c>
      <c r="C12" s="62" t="s">
        <v>255</v>
      </c>
      <c r="D12" s="61" t="s">
        <v>226</v>
      </c>
      <c r="E12" s="61" t="s">
        <v>487</v>
      </c>
      <c r="F12" s="61" t="s">
        <v>28</v>
      </c>
      <c r="G12" s="63">
        <v>20</v>
      </c>
      <c r="H12" s="64">
        <v>689</v>
      </c>
    </row>
    <row r="13" spans="1:8" ht="19.8" customHeight="1" x14ac:dyDescent="0.3">
      <c r="A13" s="60" t="s">
        <v>166</v>
      </c>
      <c r="B13" s="61" t="s">
        <v>261</v>
      </c>
      <c r="C13" s="62" t="s">
        <v>262</v>
      </c>
      <c r="D13" s="61" t="s">
        <v>226</v>
      </c>
      <c r="E13" s="61" t="s">
        <v>488</v>
      </c>
      <c r="F13" s="61" t="s">
        <v>263</v>
      </c>
      <c r="G13" s="63">
        <v>1</v>
      </c>
      <c r="H13" s="64">
        <v>695</v>
      </c>
    </row>
    <row r="14" spans="1:8" ht="19.8" customHeight="1" x14ac:dyDescent="0.3">
      <c r="A14" s="60" t="s">
        <v>166</v>
      </c>
      <c r="B14" s="61" t="s">
        <v>269</v>
      </c>
      <c r="C14" s="62" t="s">
        <v>270</v>
      </c>
      <c r="D14" s="61" t="s">
        <v>226</v>
      </c>
      <c r="E14" s="61" t="s">
        <v>489</v>
      </c>
      <c r="F14" s="61" t="s">
        <v>271</v>
      </c>
      <c r="G14" s="63">
        <v>9</v>
      </c>
      <c r="H14" s="64">
        <v>706</v>
      </c>
    </row>
    <row r="15" spans="1:8" ht="19.8" customHeight="1" x14ac:dyDescent="0.3">
      <c r="A15" s="60" t="s">
        <v>166</v>
      </c>
      <c r="B15" s="61" t="s">
        <v>36</v>
      </c>
      <c r="C15" s="62" t="s">
        <v>238</v>
      </c>
      <c r="D15" s="61" t="s">
        <v>226</v>
      </c>
      <c r="E15" s="61" t="s">
        <v>490</v>
      </c>
      <c r="F15" s="61" t="s">
        <v>38</v>
      </c>
      <c r="G15" s="63">
        <v>5</v>
      </c>
      <c r="H15" s="64">
        <v>719</v>
      </c>
    </row>
    <row r="16" spans="1:8" ht="19.8" customHeight="1" x14ac:dyDescent="0.3">
      <c r="A16" s="60" t="s">
        <v>166</v>
      </c>
      <c r="B16" s="61" t="s">
        <v>261</v>
      </c>
      <c r="C16" s="62" t="s">
        <v>265</v>
      </c>
      <c r="D16" s="61" t="s">
        <v>226</v>
      </c>
      <c r="E16" s="61" t="s">
        <v>491</v>
      </c>
      <c r="F16" s="61" t="s">
        <v>263</v>
      </c>
      <c r="G16" s="63">
        <v>4</v>
      </c>
      <c r="H16" s="64">
        <v>745</v>
      </c>
    </row>
    <row r="17" spans="1:8" ht="19.8" customHeight="1" x14ac:dyDescent="0.3">
      <c r="A17" s="60" t="s">
        <v>166</v>
      </c>
      <c r="B17" s="61" t="s">
        <v>26</v>
      </c>
      <c r="C17" s="62" t="s">
        <v>258</v>
      </c>
      <c r="D17" s="61" t="s">
        <v>226</v>
      </c>
      <c r="E17" s="61" t="s">
        <v>492</v>
      </c>
      <c r="F17" s="61" t="s">
        <v>28</v>
      </c>
      <c r="G17" s="63">
        <v>6</v>
      </c>
      <c r="H17" s="64">
        <v>749</v>
      </c>
    </row>
    <row r="18" spans="1:8" ht="19.8" customHeight="1" x14ac:dyDescent="0.3">
      <c r="A18" s="60" t="s">
        <v>166</v>
      </c>
      <c r="B18" s="61" t="s">
        <v>273</v>
      </c>
      <c r="C18" s="62" t="s">
        <v>274</v>
      </c>
      <c r="D18" s="61" t="s">
        <v>226</v>
      </c>
      <c r="E18" s="61" t="s">
        <v>493</v>
      </c>
      <c r="F18" s="61" t="s">
        <v>263</v>
      </c>
      <c r="G18" s="63">
        <v>9</v>
      </c>
      <c r="H18" s="64">
        <v>749</v>
      </c>
    </row>
    <row r="19" spans="1:8" ht="19.8" customHeight="1" x14ac:dyDescent="0.3">
      <c r="A19" s="60" t="s">
        <v>166</v>
      </c>
      <c r="B19" s="61" t="s">
        <v>36</v>
      </c>
      <c r="C19" s="62" t="s">
        <v>232</v>
      </c>
      <c r="D19" s="61" t="s">
        <v>226</v>
      </c>
      <c r="E19" s="61" t="s">
        <v>173</v>
      </c>
      <c r="F19" s="61" t="s">
        <v>41</v>
      </c>
      <c r="G19" s="63">
        <v>9</v>
      </c>
      <c r="H19" s="64">
        <v>769</v>
      </c>
    </row>
    <row r="20" spans="1:8" ht="19.8" customHeight="1" x14ac:dyDescent="0.3">
      <c r="A20" s="60" t="s">
        <v>166</v>
      </c>
      <c r="B20" s="61" t="s">
        <v>36</v>
      </c>
      <c r="C20" s="62" t="s">
        <v>235</v>
      </c>
      <c r="D20" s="61" t="s">
        <v>226</v>
      </c>
      <c r="E20" s="61" t="s">
        <v>484</v>
      </c>
      <c r="F20" s="61" t="s">
        <v>41</v>
      </c>
      <c r="G20" s="63">
        <v>9</v>
      </c>
      <c r="H20" s="64">
        <v>769</v>
      </c>
    </row>
    <row r="21" spans="1:8" ht="19.8" customHeight="1" x14ac:dyDescent="0.3">
      <c r="A21" s="60" t="s">
        <v>166</v>
      </c>
      <c r="B21" s="61" t="s">
        <v>36</v>
      </c>
      <c r="C21" s="62" t="s">
        <v>236</v>
      </c>
      <c r="D21" s="61" t="s">
        <v>226</v>
      </c>
      <c r="E21" s="61" t="s">
        <v>485</v>
      </c>
      <c r="F21" s="61" t="s">
        <v>41</v>
      </c>
      <c r="G21" s="63">
        <v>9</v>
      </c>
      <c r="H21" s="64">
        <v>769</v>
      </c>
    </row>
    <row r="22" spans="1:8" ht="19.8" customHeight="1" x14ac:dyDescent="0.3">
      <c r="A22" s="60" t="s">
        <v>166</v>
      </c>
      <c r="B22" s="61" t="s">
        <v>36</v>
      </c>
      <c r="C22" s="62" t="s">
        <v>237</v>
      </c>
      <c r="D22" s="61" t="s">
        <v>226</v>
      </c>
      <c r="E22" s="61" t="s">
        <v>155</v>
      </c>
      <c r="F22" s="61" t="s">
        <v>41</v>
      </c>
      <c r="G22" s="63">
        <v>9</v>
      </c>
      <c r="H22" s="64">
        <v>769</v>
      </c>
    </row>
    <row r="23" spans="1:8" ht="19.8" customHeight="1" x14ac:dyDescent="0.3">
      <c r="A23" s="60" t="s">
        <v>166</v>
      </c>
      <c r="B23" s="61" t="s">
        <v>36</v>
      </c>
      <c r="C23" s="62" t="s">
        <v>227</v>
      </c>
      <c r="D23" s="61" t="s">
        <v>226</v>
      </c>
      <c r="E23" s="61" t="s">
        <v>482</v>
      </c>
      <c r="F23" s="61" t="s">
        <v>43</v>
      </c>
      <c r="G23" s="63">
        <v>9</v>
      </c>
      <c r="H23" s="64">
        <v>779</v>
      </c>
    </row>
    <row r="24" spans="1:8" ht="19.8" customHeight="1" x14ac:dyDescent="0.3">
      <c r="A24" s="60" t="s">
        <v>166</v>
      </c>
      <c r="B24" s="61" t="s">
        <v>36</v>
      </c>
      <c r="C24" s="62" t="s">
        <v>231</v>
      </c>
      <c r="D24" s="61" t="s">
        <v>226</v>
      </c>
      <c r="E24" s="61" t="s">
        <v>483</v>
      </c>
      <c r="F24" s="61" t="s">
        <v>43</v>
      </c>
      <c r="G24" s="63">
        <v>7</v>
      </c>
      <c r="H24" s="64">
        <v>779</v>
      </c>
    </row>
    <row r="25" spans="1:8" ht="19.8" customHeight="1" x14ac:dyDescent="0.3">
      <c r="A25" s="96" t="s">
        <v>166</v>
      </c>
      <c r="B25" s="97" t="s">
        <v>80</v>
      </c>
      <c r="C25" s="98" t="s">
        <v>275</v>
      </c>
      <c r="D25" s="97" t="s">
        <v>226</v>
      </c>
      <c r="E25" s="97" t="s">
        <v>412</v>
      </c>
      <c r="F25" s="97" t="s">
        <v>182</v>
      </c>
      <c r="G25" s="99">
        <v>7</v>
      </c>
      <c r="H25" s="100">
        <v>781</v>
      </c>
    </row>
    <row r="26" spans="1:8" ht="19.8" customHeight="1" x14ac:dyDescent="0.3">
      <c r="A26" s="186">
        <v>45981</v>
      </c>
      <c r="B26" s="97" t="s">
        <v>80</v>
      </c>
      <c r="C26" s="98" t="s">
        <v>282</v>
      </c>
      <c r="D26" s="97" t="s">
        <v>226</v>
      </c>
      <c r="E26" s="187">
        <v>1.333333333333333</v>
      </c>
      <c r="F26" s="97" t="s">
        <v>182</v>
      </c>
      <c r="G26" s="99">
        <v>4</v>
      </c>
      <c r="H26" s="100">
        <v>781</v>
      </c>
    </row>
    <row r="27" spans="1:8" ht="19.8" customHeight="1" x14ac:dyDescent="0.3">
      <c r="A27" s="186">
        <v>45981</v>
      </c>
      <c r="B27" s="97" t="s">
        <v>80</v>
      </c>
      <c r="C27" s="98" t="s">
        <v>286</v>
      </c>
      <c r="D27" s="97" t="s">
        <v>226</v>
      </c>
      <c r="E27" s="187">
        <v>1.2534722222222221</v>
      </c>
      <c r="F27" s="97" t="s">
        <v>182</v>
      </c>
      <c r="G27" s="99">
        <v>7</v>
      </c>
      <c r="H27" s="100">
        <v>781</v>
      </c>
    </row>
    <row r="28" spans="1:8" ht="19.8" customHeight="1" x14ac:dyDescent="0.3">
      <c r="A28" s="186">
        <v>45981</v>
      </c>
      <c r="B28" s="97" t="s">
        <v>80</v>
      </c>
      <c r="C28" s="98" t="s">
        <v>289</v>
      </c>
      <c r="D28" s="97" t="s">
        <v>226</v>
      </c>
      <c r="E28" s="187">
        <v>1.114583333333333</v>
      </c>
      <c r="F28" s="97" t="s">
        <v>182</v>
      </c>
      <c r="G28" s="99">
        <v>6</v>
      </c>
      <c r="H28" s="100">
        <v>781</v>
      </c>
    </row>
    <row r="29" spans="1:8" ht="19.8" customHeight="1" x14ac:dyDescent="0.3">
      <c r="A29" s="186">
        <v>45981</v>
      </c>
      <c r="B29" s="97" t="s">
        <v>80</v>
      </c>
      <c r="C29" s="98" t="s">
        <v>292</v>
      </c>
      <c r="D29" s="97" t="s">
        <v>226</v>
      </c>
      <c r="E29" s="187">
        <v>1.0486111111111109</v>
      </c>
      <c r="F29" s="97" t="s">
        <v>182</v>
      </c>
      <c r="G29" s="99">
        <v>8</v>
      </c>
      <c r="H29" s="100">
        <v>781</v>
      </c>
    </row>
    <row r="30" spans="1:8" ht="19.8" customHeight="1" x14ac:dyDescent="0.3">
      <c r="A30" s="70">
        <v>45981</v>
      </c>
      <c r="B30" s="61" t="s">
        <v>36</v>
      </c>
      <c r="C30" s="62" t="s">
        <v>238</v>
      </c>
      <c r="D30" s="61" t="s">
        <v>226</v>
      </c>
      <c r="E30" s="71">
        <v>1.6597222222222221</v>
      </c>
      <c r="F30" s="61" t="s">
        <v>41</v>
      </c>
      <c r="G30" s="63">
        <v>5</v>
      </c>
      <c r="H30" s="64">
        <v>819</v>
      </c>
    </row>
    <row r="31" spans="1:8" ht="19.8" customHeight="1" x14ac:dyDescent="0.3">
      <c r="A31" s="70">
        <v>45981</v>
      </c>
      <c r="B31" s="61" t="s">
        <v>269</v>
      </c>
      <c r="C31" s="62" t="s">
        <v>270</v>
      </c>
      <c r="D31" s="61" t="s">
        <v>226</v>
      </c>
      <c r="E31" s="71">
        <v>1.3298611111111109</v>
      </c>
      <c r="F31" s="61" t="s">
        <v>34</v>
      </c>
      <c r="G31" s="63">
        <v>9</v>
      </c>
      <c r="H31" s="64">
        <v>829</v>
      </c>
    </row>
    <row r="32" spans="1:8" ht="19.8" customHeight="1" x14ac:dyDescent="0.3">
      <c r="A32" s="70">
        <v>45981</v>
      </c>
      <c r="B32" s="61" t="s">
        <v>36</v>
      </c>
      <c r="C32" s="62" t="s">
        <v>244</v>
      </c>
      <c r="D32" s="61" t="s">
        <v>226</v>
      </c>
      <c r="E32" s="71">
        <v>1.5173611111111109</v>
      </c>
      <c r="F32" s="61" t="s">
        <v>38</v>
      </c>
      <c r="G32" s="63">
        <v>5</v>
      </c>
      <c r="H32" s="64">
        <v>829</v>
      </c>
    </row>
    <row r="33" spans="1:8" ht="19.8" customHeight="1" x14ac:dyDescent="0.3">
      <c r="A33" s="70">
        <v>45981</v>
      </c>
      <c r="B33" s="61" t="s">
        <v>261</v>
      </c>
      <c r="C33" s="62" t="s">
        <v>267</v>
      </c>
      <c r="D33" s="61" t="s">
        <v>226</v>
      </c>
      <c r="E33" s="71">
        <v>1.850694444444444</v>
      </c>
      <c r="F33" s="61" t="s">
        <v>263</v>
      </c>
      <c r="G33" s="63">
        <v>2</v>
      </c>
      <c r="H33" s="64">
        <v>835</v>
      </c>
    </row>
    <row r="34" spans="1:8" ht="19.8" customHeight="1" x14ac:dyDescent="0.3">
      <c r="A34" s="70">
        <v>45981</v>
      </c>
      <c r="B34" s="61" t="s">
        <v>26</v>
      </c>
      <c r="C34" s="62" t="s">
        <v>248</v>
      </c>
      <c r="D34" s="61" t="s">
        <v>226</v>
      </c>
      <c r="E34" s="71">
        <v>1.302083333333333</v>
      </c>
      <c r="F34" s="61" t="s">
        <v>31</v>
      </c>
      <c r="G34" s="63">
        <v>11</v>
      </c>
      <c r="H34" s="64">
        <v>839</v>
      </c>
    </row>
    <row r="35" spans="1:8" ht="19.8" customHeight="1" x14ac:dyDescent="0.3">
      <c r="A35" s="70">
        <v>45981</v>
      </c>
      <c r="B35" s="61" t="s">
        <v>26</v>
      </c>
      <c r="C35" s="62" t="s">
        <v>252</v>
      </c>
      <c r="D35" s="61" t="s">
        <v>226</v>
      </c>
      <c r="E35" s="71">
        <v>1.8888888888888891</v>
      </c>
      <c r="F35" s="61" t="s">
        <v>31</v>
      </c>
      <c r="G35" s="63">
        <v>16</v>
      </c>
      <c r="H35" s="64">
        <v>839</v>
      </c>
    </row>
    <row r="36" spans="1:8" ht="19.8" customHeight="1" x14ac:dyDescent="0.3">
      <c r="A36" s="70">
        <v>45981</v>
      </c>
      <c r="B36" s="61" t="s">
        <v>26</v>
      </c>
      <c r="C36" s="62" t="s">
        <v>255</v>
      </c>
      <c r="D36" s="61" t="s">
        <v>226</v>
      </c>
      <c r="E36" s="71">
        <v>1.788194444444444</v>
      </c>
      <c r="F36" s="61" t="s">
        <v>31</v>
      </c>
      <c r="G36" s="63">
        <v>20</v>
      </c>
      <c r="H36" s="64">
        <v>839</v>
      </c>
    </row>
    <row r="37" spans="1:8" ht="19.8" customHeight="1" x14ac:dyDescent="0.3">
      <c r="A37" s="70">
        <v>45981</v>
      </c>
      <c r="B37" s="61" t="s">
        <v>36</v>
      </c>
      <c r="C37" s="62" t="s">
        <v>232</v>
      </c>
      <c r="D37" s="61" t="s">
        <v>226</v>
      </c>
      <c r="E37" s="71">
        <v>1.854166666666667</v>
      </c>
      <c r="F37" s="61" t="s">
        <v>43</v>
      </c>
      <c r="G37" s="63">
        <v>9</v>
      </c>
      <c r="H37" s="64">
        <v>859</v>
      </c>
    </row>
    <row r="38" spans="1:8" ht="19.8" customHeight="1" x14ac:dyDescent="0.3">
      <c r="A38" s="70">
        <v>45981</v>
      </c>
      <c r="B38" s="61" t="s">
        <v>36</v>
      </c>
      <c r="C38" s="62" t="s">
        <v>235</v>
      </c>
      <c r="D38" s="61" t="s">
        <v>226</v>
      </c>
      <c r="E38" s="71">
        <v>1.9027777777777779</v>
      </c>
      <c r="F38" s="61" t="s">
        <v>43</v>
      </c>
      <c r="G38" s="63">
        <v>9</v>
      </c>
      <c r="H38" s="64">
        <v>859</v>
      </c>
    </row>
    <row r="39" spans="1:8" ht="19.8" customHeight="1" x14ac:dyDescent="0.3">
      <c r="A39" s="70">
        <v>45981</v>
      </c>
      <c r="B39" s="61" t="s">
        <v>36</v>
      </c>
      <c r="C39" s="62" t="s">
        <v>236</v>
      </c>
      <c r="D39" s="61" t="s">
        <v>226</v>
      </c>
      <c r="E39" s="71">
        <v>1.7986111111111109</v>
      </c>
      <c r="F39" s="61" t="s">
        <v>43</v>
      </c>
      <c r="G39" s="63">
        <v>9</v>
      </c>
      <c r="H39" s="64">
        <v>859</v>
      </c>
    </row>
    <row r="40" spans="1:8" ht="19.8" customHeight="1" x14ac:dyDescent="0.3">
      <c r="A40" s="70">
        <v>45981</v>
      </c>
      <c r="B40" s="61" t="s">
        <v>36</v>
      </c>
      <c r="C40" s="62" t="s">
        <v>237</v>
      </c>
      <c r="D40" s="61" t="s">
        <v>226</v>
      </c>
      <c r="E40" s="71">
        <v>1.395833333333333</v>
      </c>
      <c r="F40" s="61" t="s">
        <v>43</v>
      </c>
      <c r="G40" s="63">
        <v>9</v>
      </c>
      <c r="H40" s="64">
        <v>859</v>
      </c>
    </row>
    <row r="41" spans="1:8" ht="19.8" customHeight="1" x14ac:dyDescent="0.3">
      <c r="A41" s="70">
        <v>45981</v>
      </c>
      <c r="B41" s="61" t="s">
        <v>26</v>
      </c>
      <c r="C41" s="62" t="s">
        <v>258</v>
      </c>
      <c r="D41" s="61" t="s">
        <v>226</v>
      </c>
      <c r="E41" s="71">
        <v>1.1284722222222221</v>
      </c>
      <c r="F41" s="61" t="s">
        <v>31</v>
      </c>
      <c r="G41" s="63">
        <v>6</v>
      </c>
      <c r="H41" s="64">
        <v>899</v>
      </c>
    </row>
    <row r="42" spans="1:8" ht="19.8" customHeight="1" x14ac:dyDescent="0.3">
      <c r="A42" s="70">
        <v>45981</v>
      </c>
      <c r="B42" s="61" t="s">
        <v>36</v>
      </c>
      <c r="C42" s="62" t="s">
        <v>238</v>
      </c>
      <c r="D42" s="61" t="s">
        <v>226</v>
      </c>
      <c r="E42" s="71">
        <v>1.6597222222222221</v>
      </c>
      <c r="F42" s="61" t="s">
        <v>43</v>
      </c>
      <c r="G42" s="63">
        <v>5</v>
      </c>
      <c r="H42" s="64">
        <v>909</v>
      </c>
    </row>
    <row r="43" spans="1:8" ht="19.8" customHeight="1" x14ac:dyDescent="0.3">
      <c r="A43" s="70">
        <v>45981</v>
      </c>
      <c r="B43" s="61" t="s">
        <v>36</v>
      </c>
      <c r="C43" s="62" t="s">
        <v>244</v>
      </c>
      <c r="D43" s="61" t="s">
        <v>226</v>
      </c>
      <c r="E43" s="71">
        <v>1.5173611111111109</v>
      </c>
      <c r="F43" s="61" t="s">
        <v>41</v>
      </c>
      <c r="G43" s="63">
        <v>5</v>
      </c>
      <c r="H43" s="64">
        <v>929</v>
      </c>
    </row>
    <row r="44" spans="1:8" ht="19.8" customHeight="1" x14ac:dyDescent="0.3">
      <c r="A44" s="186">
        <v>45981</v>
      </c>
      <c r="B44" s="97" t="s">
        <v>80</v>
      </c>
      <c r="C44" s="98" t="s">
        <v>297</v>
      </c>
      <c r="D44" s="97" t="s">
        <v>226</v>
      </c>
      <c r="E44" s="187">
        <v>1.583333333333333</v>
      </c>
      <c r="F44" s="97" t="s">
        <v>182</v>
      </c>
      <c r="G44" s="99">
        <v>7</v>
      </c>
      <c r="H44" s="100">
        <v>952</v>
      </c>
    </row>
    <row r="45" spans="1:8" ht="19.8" customHeight="1" x14ac:dyDescent="0.3">
      <c r="A45" s="70">
        <v>45981</v>
      </c>
      <c r="B45" s="61" t="s">
        <v>36</v>
      </c>
      <c r="C45" s="62" t="s">
        <v>244</v>
      </c>
      <c r="D45" s="61" t="s">
        <v>226</v>
      </c>
      <c r="E45" s="71">
        <v>1.5173611111111109</v>
      </c>
      <c r="F45" s="61" t="s">
        <v>43</v>
      </c>
      <c r="G45" s="63">
        <v>5</v>
      </c>
      <c r="H45" s="65" t="s">
        <v>247</v>
      </c>
    </row>
    <row r="46" spans="1:8" ht="19.8" customHeight="1" x14ac:dyDescent="0.3">
      <c r="A46" s="70">
        <v>45981</v>
      </c>
      <c r="B46" s="61" t="s">
        <v>26</v>
      </c>
      <c r="C46" s="62" t="s">
        <v>258</v>
      </c>
      <c r="D46" s="61" t="s">
        <v>226</v>
      </c>
      <c r="E46" s="71">
        <v>1.1284722222222221</v>
      </c>
      <c r="F46" s="61" t="s">
        <v>34</v>
      </c>
      <c r="G46" s="63">
        <v>6</v>
      </c>
      <c r="H46" s="65" t="s">
        <v>35</v>
      </c>
    </row>
    <row r="47" spans="1:8" ht="19.8" customHeight="1" x14ac:dyDescent="0.3">
      <c r="A47" s="70">
        <v>45981</v>
      </c>
      <c r="B47" s="61" t="s">
        <v>26</v>
      </c>
      <c r="C47" s="62" t="s">
        <v>248</v>
      </c>
      <c r="D47" s="61" t="s">
        <v>226</v>
      </c>
      <c r="E47" s="71">
        <v>1.302083333333333</v>
      </c>
      <c r="F47" s="61" t="s">
        <v>34</v>
      </c>
      <c r="G47" s="63">
        <v>11</v>
      </c>
      <c r="H47" s="65" t="s">
        <v>35</v>
      </c>
    </row>
    <row r="48" spans="1:8" ht="19.8" customHeight="1" x14ac:dyDescent="0.3">
      <c r="A48" s="70">
        <v>45981</v>
      </c>
      <c r="B48" s="61" t="s">
        <v>26</v>
      </c>
      <c r="C48" s="62" t="s">
        <v>252</v>
      </c>
      <c r="D48" s="61" t="s">
        <v>226</v>
      </c>
      <c r="E48" s="71">
        <v>1.8888888888888891</v>
      </c>
      <c r="F48" s="61" t="s">
        <v>34</v>
      </c>
      <c r="G48" s="63">
        <v>16</v>
      </c>
      <c r="H48" s="65" t="s">
        <v>35</v>
      </c>
    </row>
    <row r="49" spans="1:8" ht="19.8" customHeight="1" x14ac:dyDescent="0.3">
      <c r="A49" s="70">
        <v>45981</v>
      </c>
      <c r="B49" s="61" t="s">
        <v>26</v>
      </c>
      <c r="C49" s="62" t="s">
        <v>255</v>
      </c>
      <c r="D49" s="61" t="s">
        <v>226</v>
      </c>
      <c r="E49" s="71">
        <v>1.788194444444444</v>
      </c>
      <c r="F49" s="61" t="s">
        <v>34</v>
      </c>
      <c r="G49" s="63">
        <v>20</v>
      </c>
      <c r="H49" s="65" t="s">
        <v>35</v>
      </c>
    </row>
    <row r="50" spans="1:8" ht="19.8" customHeight="1" x14ac:dyDescent="0.3">
      <c r="A50" s="70">
        <v>45981</v>
      </c>
      <c r="B50" s="61" t="s">
        <v>64</v>
      </c>
      <c r="C50" s="62" t="s">
        <v>308</v>
      </c>
      <c r="D50" s="61" t="s">
        <v>226</v>
      </c>
      <c r="E50" s="71">
        <v>1.1423611111111109</v>
      </c>
      <c r="F50" s="61" t="s">
        <v>66</v>
      </c>
      <c r="G50" s="63">
        <v>9</v>
      </c>
      <c r="H50" s="65" t="s">
        <v>309</v>
      </c>
    </row>
    <row r="51" spans="1:8" ht="19.8" customHeight="1" x14ac:dyDescent="0.3">
      <c r="A51" s="70">
        <v>45981</v>
      </c>
      <c r="B51" s="61" t="s">
        <v>64</v>
      </c>
      <c r="C51" s="62" t="s">
        <v>311</v>
      </c>
      <c r="D51" s="61" t="s">
        <v>226</v>
      </c>
      <c r="E51" s="71">
        <v>1.243055555555556</v>
      </c>
      <c r="F51" s="61" t="s">
        <v>66</v>
      </c>
      <c r="G51" s="63">
        <v>9</v>
      </c>
      <c r="H51" s="65" t="s">
        <v>309</v>
      </c>
    </row>
    <row r="52" spans="1:8" ht="19.8" customHeight="1" x14ac:dyDescent="0.3">
      <c r="A52" s="70">
        <v>45981</v>
      </c>
      <c r="B52" s="61" t="s">
        <v>51</v>
      </c>
      <c r="C52" s="62" t="s">
        <v>327</v>
      </c>
      <c r="D52" s="61" t="s">
        <v>226</v>
      </c>
      <c r="E52" s="71">
        <v>1.0138888888888891</v>
      </c>
      <c r="F52" s="61" t="s">
        <v>53</v>
      </c>
      <c r="G52" s="63">
        <v>9</v>
      </c>
      <c r="H52" s="65" t="s">
        <v>328</v>
      </c>
    </row>
    <row r="53" spans="1:8" ht="19.8" customHeight="1" x14ac:dyDescent="0.3">
      <c r="A53" s="70">
        <v>45981</v>
      </c>
      <c r="B53" s="61" t="s">
        <v>64</v>
      </c>
      <c r="C53" s="62" t="s">
        <v>308</v>
      </c>
      <c r="D53" s="61" t="s">
        <v>226</v>
      </c>
      <c r="E53" s="71">
        <v>1.1423611111111109</v>
      </c>
      <c r="F53" s="61" t="s">
        <v>68</v>
      </c>
      <c r="G53" s="63">
        <v>9</v>
      </c>
      <c r="H53" s="65" t="s">
        <v>310</v>
      </c>
    </row>
    <row r="54" spans="1:8" ht="19.8" customHeight="1" x14ac:dyDescent="0.3">
      <c r="A54" s="70">
        <v>45981</v>
      </c>
      <c r="B54" s="61" t="s">
        <v>64</v>
      </c>
      <c r="C54" s="62" t="s">
        <v>311</v>
      </c>
      <c r="D54" s="61" t="s">
        <v>226</v>
      </c>
      <c r="E54" s="71">
        <v>1.243055555555556</v>
      </c>
      <c r="F54" s="61" t="s">
        <v>68</v>
      </c>
      <c r="G54" s="63">
        <v>9</v>
      </c>
      <c r="H54" s="65" t="s">
        <v>310</v>
      </c>
    </row>
    <row r="55" spans="1:8" ht="19.8" customHeight="1" x14ac:dyDescent="0.3">
      <c r="A55" s="186">
        <v>45981</v>
      </c>
      <c r="B55" s="97" t="s">
        <v>80</v>
      </c>
      <c r="C55" s="98" t="s">
        <v>303</v>
      </c>
      <c r="D55" s="97" t="s">
        <v>226</v>
      </c>
      <c r="E55" s="187">
        <v>1.739583333333333</v>
      </c>
      <c r="F55" s="97" t="s">
        <v>182</v>
      </c>
      <c r="G55" s="99">
        <v>6</v>
      </c>
      <c r="H55" s="117" t="s">
        <v>304</v>
      </c>
    </row>
    <row r="56" spans="1:8" ht="19.8" customHeight="1" x14ac:dyDescent="0.3">
      <c r="A56" s="70">
        <v>45981</v>
      </c>
      <c r="B56" s="61" t="s">
        <v>51</v>
      </c>
      <c r="C56" s="62" t="s">
        <v>329</v>
      </c>
      <c r="D56" s="61" t="s">
        <v>226</v>
      </c>
      <c r="E56" s="71">
        <v>1.4861111111111109</v>
      </c>
      <c r="F56" s="61" t="s">
        <v>53</v>
      </c>
      <c r="G56" s="63">
        <v>9</v>
      </c>
      <c r="H56" s="65" t="s">
        <v>330</v>
      </c>
    </row>
    <row r="57" spans="1:8" ht="19.8" customHeight="1" x14ac:dyDescent="0.3">
      <c r="A57" s="70">
        <v>45981</v>
      </c>
      <c r="B57" s="61" t="s">
        <v>51</v>
      </c>
      <c r="C57" s="62" t="s">
        <v>331</v>
      </c>
      <c r="D57" s="61" t="s">
        <v>226</v>
      </c>
      <c r="E57" s="71">
        <v>1.5138888888888891</v>
      </c>
      <c r="F57" s="61" t="s">
        <v>53</v>
      </c>
      <c r="G57" s="63">
        <v>9</v>
      </c>
      <c r="H57" s="65" t="s">
        <v>330</v>
      </c>
    </row>
    <row r="58" spans="1:8" ht="19.8" customHeight="1" x14ac:dyDescent="0.3">
      <c r="A58" s="70">
        <v>45981</v>
      </c>
      <c r="B58" s="61" t="s">
        <v>51</v>
      </c>
      <c r="C58" s="62" t="s">
        <v>332</v>
      </c>
      <c r="D58" s="61" t="s">
        <v>226</v>
      </c>
      <c r="E58" s="71">
        <v>1.2222222222222221</v>
      </c>
      <c r="F58" s="61" t="s">
        <v>53</v>
      </c>
      <c r="G58" s="63">
        <v>9</v>
      </c>
      <c r="H58" s="65" t="s">
        <v>333</v>
      </c>
    </row>
    <row r="59" spans="1:8" ht="19.8" customHeight="1" x14ac:dyDescent="0.3">
      <c r="A59" s="70">
        <v>45981</v>
      </c>
      <c r="B59" s="61" t="s">
        <v>64</v>
      </c>
      <c r="C59" s="62" t="s">
        <v>312</v>
      </c>
      <c r="D59" s="61" t="s">
        <v>226</v>
      </c>
      <c r="E59" s="71">
        <v>1.006944444444444</v>
      </c>
      <c r="F59" s="61" t="s">
        <v>66</v>
      </c>
      <c r="G59" s="63">
        <v>9</v>
      </c>
      <c r="H59" s="65" t="s">
        <v>313</v>
      </c>
    </row>
    <row r="60" spans="1:8" ht="19.8" customHeight="1" x14ac:dyDescent="0.3">
      <c r="A60" s="70">
        <v>45981</v>
      </c>
      <c r="B60" s="61" t="s">
        <v>64</v>
      </c>
      <c r="C60" s="62" t="s">
        <v>312</v>
      </c>
      <c r="D60" s="61" t="s">
        <v>226</v>
      </c>
      <c r="E60" s="71">
        <v>1.006944444444444</v>
      </c>
      <c r="F60" s="61" t="s">
        <v>68</v>
      </c>
      <c r="G60" s="63">
        <v>9</v>
      </c>
      <c r="H60" s="65" t="s">
        <v>314</v>
      </c>
    </row>
    <row r="61" spans="1:8" ht="19.8" customHeight="1" x14ac:dyDescent="0.3">
      <c r="A61" s="70">
        <v>45981</v>
      </c>
      <c r="B61" s="61" t="s">
        <v>64</v>
      </c>
      <c r="C61" s="62" t="s">
        <v>315</v>
      </c>
      <c r="D61" s="61" t="s">
        <v>226</v>
      </c>
      <c r="E61" s="71">
        <v>1.930555555555556</v>
      </c>
      <c r="F61" s="61" t="s">
        <v>66</v>
      </c>
      <c r="G61" s="63">
        <v>9</v>
      </c>
      <c r="H61" s="65" t="s">
        <v>316</v>
      </c>
    </row>
    <row r="62" spans="1:8" ht="19.8" customHeight="1" x14ac:dyDescent="0.3">
      <c r="A62" s="70">
        <v>45981</v>
      </c>
      <c r="B62" s="61" t="s">
        <v>64</v>
      </c>
      <c r="C62" s="62" t="s">
        <v>318</v>
      </c>
      <c r="D62" s="61" t="s">
        <v>226</v>
      </c>
      <c r="E62" s="71">
        <v>1.3784722222222221</v>
      </c>
      <c r="F62" s="61" t="s">
        <v>66</v>
      </c>
      <c r="G62" s="63">
        <v>9</v>
      </c>
      <c r="H62" s="65" t="s">
        <v>316</v>
      </c>
    </row>
    <row r="63" spans="1:8" ht="19.8" customHeight="1" x14ac:dyDescent="0.3">
      <c r="A63" s="70">
        <v>45981</v>
      </c>
      <c r="B63" s="61" t="s">
        <v>64</v>
      </c>
      <c r="C63" s="62" t="s">
        <v>319</v>
      </c>
      <c r="D63" s="61" t="s">
        <v>226</v>
      </c>
      <c r="E63" s="71">
        <v>1.302083333333333</v>
      </c>
      <c r="F63" s="61" t="s">
        <v>68</v>
      </c>
      <c r="G63" s="63">
        <v>4</v>
      </c>
      <c r="H63" s="65" t="s">
        <v>320</v>
      </c>
    </row>
    <row r="64" spans="1:8" ht="19.8" customHeight="1" x14ac:dyDescent="0.3">
      <c r="A64" s="70">
        <v>45981</v>
      </c>
      <c r="B64" s="61" t="s">
        <v>64</v>
      </c>
      <c r="C64" s="62" t="s">
        <v>321</v>
      </c>
      <c r="D64" s="61" t="s">
        <v>226</v>
      </c>
      <c r="E64" s="71">
        <v>1.1284722222222221</v>
      </c>
      <c r="F64" s="61" t="s">
        <v>68</v>
      </c>
      <c r="G64" s="63">
        <v>4</v>
      </c>
      <c r="H64" s="65" t="s">
        <v>320</v>
      </c>
    </row>
    <row r="65" spans="1:8" ht="19.8" customHeight="1" x14ac:dyDescent="0.3">
      <c r="A65" s="70">
        <v>45981</v>
      </c>
      <c r="B65" s="61" t="s">
        <v>64</v>
      </c>
      <c r="C65" s="62" t="s">
        <v>322</v>
      </c>
      <c r="D65" s="61" t="s">
        <v>226</v>
      </c>
      <c r="E65" s="71">
        <v>1.788194444444444</v>
      </c>
      <c r="F65" s="61" t="s">
        <v>68</v>
      </c>
      <c r="G65" s="63">
        <v>4</v>
      </c>
      <c r="H65" s="65" t="s">
        <v>320</v>
      </c>
    </row>
    <row r="66" spans="1:8" ht="19.8" customHeight="1" x14ac:dyDescent="0.3">
      <c r="A66" s="70">
        <v>45981</v>
      </c>
      <c r="B66" s="61" t="s">
        <v>64</v>
      </c>
      <c r="C66" s="62" t="s">
        <v>323</v>
      </c>
      <c r="D66" s="61" t="s">
        <v>226</v>
      </c>
      <c r="E66" s="71">
        <v>1.8888888888888891</v>
      </c>
      <c r="F66" s="61" t="s">
        <v>68</v>
      </c>
      <c r="G66" s="63">
        <v>4</v>
      </c>
      <c r="H66" s="65" t="s">
        <v>320</v>
      </c>
    </row>
    <row r="67" spans="1:8" ht="19.8" customHeight="1" x14ac:dyDescent="0.3">
      <c r="A67" s="70">
        <v>45981</v>
      </c>
      <c r="B67" s="61" t="s">
        <v>64</v>
      </c>
      <c r="C67" s="62" t="s">
        <v>315</v>
      </c>
      <c r="D67" s="61" t="s">
        <v>226</v>
      </c>
      <c r="E67" s="71">
        <v>1.930555555555556</v>
      </c>
      <c r="F67" s="61" t="s">
        <v>68</v>
      </c>
      <c r="G67" s="63">
        <v>9</v>
      </c>
      <c r="H67" s="65" t="s">
        <v>317</v>
      </c>
    </row>
    <row r="68" spans="1:8" ht="19.8" customHeight="1" x14ac:dyDescent="0.3">
      <c r="A68" s="70">
        <v>45981</v>
      </c>
      <c r="B68" s="61" t="s">
        <v>64</v>
      </c>
      <c r="C68" s="62" t="s">
        <v>318</v>
      </c>
      <c r="D68" s="61" t="s">
        <v>226</v>
      </c>
      <c r="E68" s="71">
        <v>1.3784722222222221</v>
      </c>
      <c r="F68" s="61" t="s">
        <v>68</v>
      </c>
      <c r="G68" s="63">
        <v>9</v>
      </c>
      <c r="H68" s="65" t="s">
        <v>317</v>
      </c>
    </row>
    <row r="69" spans="1:8" ht="19.8" customHeight="1" x14ac:dyDescent="0.3">
      <c r="A69" s="70">
        <v>45981</v>
      </c>
      <c r="B69" s="61" t="s">
        <v>51</v>
      </c>
      <c r="C69" s="62" t="s">
        <v>334</v>
      </c>
      <c r="D69" s="61" t="s">
        <v>226</v>
      </c>
      <c r="E69" s="71">
        <v>1.774305555555556</v>
      </c>
      <c r="F69" s="61" t="s">
        <v>53</v>
      </c>
      <c r="G69" s="63">
        <v>4</v>
      </c>
      <c r="H69" s="65" t="s">
        <v>335</v>
      </c>
    </row>
    <row r="70" spans="1:8" ht="19.8" customHeight="1" x14ac:dyDescent="0.3">
      <c r="A70" s="70">
        <v>45981</v>
      </c>
      <c r="B70" s="61" t="s">
        <v>51</v>
      </c>
      <c r="C70" s="62" t="s">
        <v>336</v>
      </c>
      <c r="D70" s="61" t="s">
        <v>226</v>
      </c>
      <c r="E70" s="71">
        <v>1.958333333333333</v>
      </c>
      <c r="F70" s="61" t="s">
        <v>53</v>
      </c>
      <c r="G70" s="63">
        <v>7</v>
      </c>
      <c r="H70" s="65" t="s">
        <v>335</v>
      </c>
    </row>
    <row r="71" spans="1:8" ht="19.8" customHeight="1" x14ac:dyDescent="0.3">
      <c r="A71" s="70">
        <v>45981</v>
      </c>
      <c r="B71" s="61" t="s">
        <v>51</v>
      </c>
      <c r="C71" s="62" t="s">
        <v>337</v>
      </c>
      <c r="D71" s="61" t="s">
        <v>226</v>
      </c>
      <c r="E71" s="71">
        <v>1.145833333333333</v>
      </c>
      <c r="F71" s="61" t="s">
        <v>53</v>
      </c>
      <c r="G71" s="63">
        <v>9</v>
      </c>
      <c r="H71" s="65" t="s">
        <v>335</v>
      </c>
    </row>
    <row r="72" spans="1:8" ht="19.8" customHeight="1" x14ac:dyDescent="0.3">
      <c r="A72" s="70">
        <v>45981</v>
      </c>
      <c r="B72" s="61" t="s">
        <v>51</v>
      </c>
      <c r="C72" s="62" t="s">
        <v>338</v>
      </c>
      <c r="D72" s="61" t="s">
        <v>226</v>
      </c>
      <c r="E72" s="71">
        <v>1.2777777777777779</v>
      </c>
      <c r="F72" s="61" t="s">
        <v>53</v>
      </c>
      <c r="G72" s="63">
        <v>9</v>
      </c>
      <c r="H72" s="65" t="s">
        <v>335</v>
      </c>
    </row>
    <row r="73" spans="1:8" ht="19.8" customHeight="1" x14ac:dyDescent="0.3">
      <c r="A73" s="70">
        <v>45981</v>
      </c>
      <c r="B73" s="61" t="s">
        <v>64</v>
      </c>
      <c r="C73" s="62" t="s">
        <v>324</v>
      </c>
      <c r="D73" s="61" t="s">
        <v>226</v>
      </c>
      <c r="E73" s="71">
        <v>1.8298611111111109</v>
      </c>
      <c r="F73" s="61" t="s">
        <v>66</v>
      </c>
      <c r="G73" s="63">
        <v>7</v>
      </c>
      <c r="H73" s="65" t="s">
        <v>325</v>
      </c>
    </row>
    <row r="74" spans="1:8" ht="19.8" customHeight="1" x14ac:dyDescent="0.3">
      <c r="A74" s="72">
        <v>45981</v>
      </c>
      <c r="B74" s="73" t="s">
        <v>64</v>
      </c>
      <c r="C74" s="74" t="s">
        <v>324</v>
      </c>
      <c r="D74" s="73" t="s">
        <v>226</v>
      </c>
      <c r="E74" s="75">
        <v>1.8298611111111109</v>
      </c>
      <c r="F74" s="73" t="s">
        <v>68</v>
      </c>
      <c r="G74" s="76">
        <v>7</v>
      </c>
      <c r="H74" s="77" t="s">
        <v>326</v>
      </c>
    </row>
    <row r="75" spans="1:8" ht="19.8" customHeight="1" x14ac:dyDescent="0.3">
      <c r="A75" s="70">
        <v>45982</v>
      </c>
      <c r="B75" s="61" t="s">
        <v>26</v>
      </c>
      <c r="C75" s="62" t="s">
        <v>258</v>
      </c>
      <c r="D75" s="61" t="s">
        <v>226</v>
      </c>
      <c r="E75" s="71">
        <v>1.1284722222222221</v>
      </c>
      <c r="F75" s="61" t="s">
        <v>28</v>
      </c>
      <c r="G75" s="63">
        <v>13</v>
      </c>
      <c r="H75" s="64">
        <v>639</v>
      </c>
    </row>
    <row r="76" spans="1:8" ht="19.8" customHeight="1" x14ac:dyDescent="0.3">
      <c r="A76" s="70">
        <v>45982</v>
      </c>
      <c r="B76" s="61" t="s">
        <v>26</v>
      </c>
      <c r="C76" s="62" t="s">
        <v>248</v>
      </c>
      <c r="D76" s="61" t="s">
        <v>226</v>
      </c>
      <c r="E76" s="71">
        <v>1.302083333333333</v>
      </c>
      <c r="F76" s="61" t="s">
        <v>28</v>
      </c>
      <c r="G76" s="63">
        <v>13</v>
      </c>
      <c r="H76" s="64">
        <v>639</v>
      </c>
    </row>
    <row r="77" spans="1:8" ht="19.8" customHeight="1" x14ac:dyDescent="0.3">
      <c r="A77" s="70">
        <v>45982</v>
      </c>
      <c r="B77" s="61" t="s">
        <v>26</v>
      </c>
      <c r="C77" s="62" t="s">
        <v>252</v>
      </c>
      <c r="D77" s="61" t="s">
        <v>226</v>
      </c>
      <c r="E77" s="71">
        <v>1.8888888888888891</v>
      </c>
      <c r="F77" s="61" t="s">
        <v>28</v>
      </c>
      <c r="G77" s="63">
        <v>21</v>
      </c>
      <c r="H77" s="64">
        <v>639</v>
      </c>
    </row>
    <row r="78" spans="1:8" ht="19.8" customHeight="1" x14ac:dyDescent="0.3">
      <c r="A78" s="70">
        <v>45982</v>
      </c>
      <c r="B78" s="61" t="s">
        <v>26</v>
      </c>
      <c r="C78" s="62" t="s">
        <v>255</v>
      </c>
      <c r="D78" s="61" t="s">
        <v>226</v>
      </c>
      <c r="E78" s="71">
        <v>1.788194444444444</v>
      </c>
      <c r="F78" s="61" t="s">
        <v>28</v>
      </c>
      <c r="G78" s="63">
        <v>12</v>
      </c>
      <c r="H78" s="64">
        <v>639</v>
      </c>
    </row>
    <row r="79" spans="1:8" ht="19.8" customHeight="1" x14ac:dyDescent="0.3">
      <c r="A79" s="70">
        <v>45982</v>
      </c>
      <c r="B79" s="61" t="s">
        <v>269</v>
      </c>
      <c r="C79" s="62" t="s">
        <v>347</v>
      </c>
      <c r="D79" s="61" t="s">
        <v>226</v>
      </c>
      <c r="E79" s="71">
        <v>1.975694444444444</v>
      </c>
      <c r="F79" s="61" t="s">
        <v>271</v>
      </c>
      <c r="G79" s="63">
        <v>9</v>
      </c>
      <c r="H79" s="64">
        <v>640</v>
      </c>
    </row>
    <row r="80" spans="1:8" ht="19.8" customHeight="1" x14ac:dyDescent="0.3">
      <c r="A80" s="70">
        <v>45982</v>
      </c>
      <c r="B80" s="61" t="s">
        <v>36</v>
      </c>
      <c r="C80" s="62" t="s">
        <v>235</v>
      </c>
      <c r="D80" s="61" t="s">
        <v>226</v>
      </c>
      <c r="E80" s="71">
        <v>1.9027777777777779</v>
      </c>
      <c r="F80" s="61" t="s">
        <v>38</v>
      </c>
      <c r="G80" s="63">
        <v>1</v>
      </c>
      <c r="H80" s="64">
        <v>669</v>
      </c>
    </row>
    <row r="81" spans="1:8" ht="19.8" customHeight="1" x14ac:dyDescent="0.3">
      <c r="A81" s="70">
        <v>45982</v>
      </c>
      <c r="B81" s="61" t="s">
        <v>36</v>
      </c>
      <c r="C81" s="62" t="s">
        <v>236</v>
      </c>
      <c r="D81" s="61" t="s">
        <v>226</v>
      </c>
      <c r="E81" s="71">
        <v>1.7986111111111109</v>
      </c>
      <c r="F81" s="61" t="s">
        <v>38</v>
      </c>
      <c r="G81" s="63">
        <v>2</v>
      </c>
      <c r="H81" s="64">
        <v>669</v>
      </c>
    </row>
    <row r="82" spans="1:8" ht="19.8" customHeight="1" x14ac:dyDescent="0.3">
      <c r="A82" s="70">
        <v>45982</v>
      </c>
      <c r="B82" s="61" t="s">
        <v>36</v>
      </c>
      <c r="C82" s="62" t="s">
        <v>232</v>
      </c>
      <c r="D82" s="61" t="s">
        <v>226</v>
      </c>
      <c r="E82" s="71">
        <v>1.854166666666667</v>
      </c>
      <c r="F82" s="61" t="s">
        <v>38</v>
      </c>
      <c r="G82" s="63">
        <v>9</v>
      </c>
      <c r="H82" s="64">
        <v>719</v>
      </c>
    </row>
    <row r="83" spans="1:8" ht="19.8" customHeight="1" x14ac:dyDescent="0.3">
      <c r="A83" s="70">
        <v>45982</v>
      </c>
      <c r="B83" s="61" t="s">
        <v>36</v>
      </c>
      <c r="C83" s="62" t="s">
        <v>244</v>
      </c>
      <c r="D83" s="61" t="s">
        <v>226</v>
      </c>
      <c r="E83" s="71">
        <v>1.5173611111111109</v>
      </c>
      <c r="F83" s="61" t="s">
        <v>38</v>
      </c>
      <c r="G83" s="63">
        <v>4</v>
      </c>
      <c r="H83" s="64">
        <v>719</v>
      </c>
    </row>
    <row r="84" spans="1:8" ht="19.8" customHeight="1" x14ac:dyDescent="0.3">
      <c r="A84" s="70">
        <v>45982</v>
      </c>
      <c r="B84" s="61" t="s">
        <v>36</v>
      </c>
      <c r="C84" s="62" t="s">
        <v>237</v>
      </c>
      <c r="D84" s="61" t="s">
        <v>226</v>
      </c>
      <c r="E84" s="71">
        <v>1.395833333333333</v>
      </c>
      <c r="F84" s="61" t="s">
        <v>38</v>
      </c>
      <c r="G84" s="63">
        <v>6</v>
      </c>
      <c r="H84" s="64">
        <v>719</v>
      </c>
    </row>
    <row r="85" spans="1:8" ht="19.8" customHeight="1" x14ac:dyDescent="0.3">
      <c r="A85" s="70">
        <v>45982</v>
      </c>
      <c r="B85" s="61" t="s">
        <v>36</v>
      </c>
      <c r="C85" s="62" t="s">
        <v>238</v>
      </c>
      <c r="D85" s="61" t="s">
        <v>226</v>
      </c>
      <c r="E85" s="71">
        <v>1.645833333333333</v>
      </c>
      <c r="F85" s="61" t="s">
        <v>38</v>
      </c>
      <c r="G85" s="63">
        <v>9</v>
      </c>
      <c r="H85" s="64">
        <v>719</v>
      </c>
    </row>
    <row r="86" spans="1:8" ht="19.8" customHeight="1" x14ac:dyDescent="0.3">
      <c r="A86" s="70">
        <v>45982</v>
      </c>
      <c r="B86" s="61" t="s">
        <v>269</v>
      </c>
      <c r="C86" s="62" t="s">
        <v>270</v>
      </c>
      <c r="D86" s="61" t="s">
        <v>226</v>
      </c>
      <c r="E86" s="71">
        <v>1.3923611111111109</v>
      </c>
      <c r="F86" s="61" t="s">
        <v>271</v>
      </c>
      <c r="G86" s="63">
        <v>9</v>
      </c>
      <c r="H86" s="64">
        <v>733</v>
      </c>
    </row>
    <row r="87" spans="1:8" ht="19.8" customHeight="1" x14ac:dyDescent="0.3">
      <c r="A87" s="70">
        <v>45982</v>
      </c>
      <c r="B87" s="61" t="s">
        <v>36</v>
      </c>
      <c r="C87" s="62" t="s">
        <v>235</v>
      </c>
      <c r="D87" s="61" t="s">
        <v>226</v>
      </c>
      <c r="E87" s="71">
        <v>1.9027777777777779</v>
      </c>
      <c r="F87" s="61" t="s">
        <v>41</v>
      </c>
      <c r="G87" s="63">
        <v>1</v>
      </c>
      <c r="H87" s="64">
        <v>769</v>
      </c>
    </row>
    <row r="88" spans="1:8" ht="19.8" customHeight="1" x14ac:dyDescent="0.3">
      <c r="A88" s="70">
        <v>45982</v>
      </c>
      <c r="B88" s="61" t="s">
        <v>36</v>
      </c>
      <c r="C88" s="62" t="s">
        <v>236</v>
      </c>
      <c r="D88" s="61" t="s">
        <v>226</v>
      </c>
      <c r="E88" s="71">
        <v>1.7986111111111109</v>
      </c>
      <c r="F88" s="61" t="s">
        <v>41</v>
      </c>
      <c r="G88" s="63">
        <v>2</v>
      </c>
      <c r="H88" s="64">
        <v>769</v>
      </c>
    </row>
    <row r="89" spans="1:8" ht="19.8" customHeight="1" x14ac:dyDescent="0.3">
      <c r="A89" s="70">
        <v>45982</v>
      </c>
      <c r="B89" s="61" t="s">
        <v>26</v>
      </c>
      <c r="C89" s="62" t="s">
        <v>258</v>
      </c>
      <c r="D89" s="61" t="s">
        <v>226</v>
      </c>
      <c r="E89" s="71">
        <v>1.1284722222222221</v>
      </c>
      <c r="F89" s="61" t="s">
        <v>31</v>
      </c>
      <c r="G89" s="63">
        <v>13</v>
      </c>
      <c r="H89" s="64">
        <v>789</v>
      </c>
    </row>
    <row r="90" spans="1:8" ht="19.8" customHeight="1" x14ac:dyDescent="0.3">
      <c r="A90" s="70">
        <v>45982</v>
      </c>
      <c r="B90" s="61" t="s">
        <v>26</v>
      </c>
      <c r="C90" s="62" t="s">
        <v>248</v>
      </c>
      <c r="D90" s="61" t="s">
        <v>226</v>
      </c>
      <c r="E90" s="71">
        <v>1.302083333333333</v>
      </c>
      <c r="F90" s="61" t="s">
        <v>31</v>
      </c>
      <c r="G90" s="63">
        <v>13</v>
      </c>
      <c r="H90" s="64">
        <v>789</v>
      </c>
    </row>
    <row r="91" spans="1:8" ht="19.8" customHeight="1" x14ac:dyDescent="0.3">
      <c r="A91" s="70">
        <v>45982</v>
      </c>
      <c r="B91" s="61" t="s">
        <v>26</v>
      </c>
      <c r="C91" s="62" t="s">
        <v>252</v>
      </c>
      <c r="D91" s="61" t="s">
        <v>226</v>
      </c>
      <c r="E91" s="71">
        <v>1.8888888888888891</v>
      </c>
      <c r="F91" s="61" t="s">
        <v>31</v>
      </c>
      <c r="G91" s="63">
        <v>21</v>
      </c>
      <c r="H91" s="64">
        <v>789</v>
      </c>
    </row>
    <row r="92" spans="1:8" ht="19.8" customHeight="1" x14ac:dyDescent="0.3">
      <c r="A92" s="70">
        <v>45982</v>
      </c>
      <c r="B92" s="61" t="s">
        <v>26</v>
      </c>
      <c r="C92" s="62" t="s">
        <v>255</v>
      </c>
      <c r="D92" s="61" t="s">
        <v>226</v>
      </c>
      <c r="E92" s="71">
        <v>1.788194444444444</v>
      </c>
      <c r="F92" s="61" t="s">
        <v>31</v>
      </c>
      <c r="G92" s="63">
        <v>12</v>
      </c>
      <c r="H92" s="64">
        <v>789</v>
      </c>
    </row>
    <row r="93" spans="1:8" ht="19.8" customHeight="1" x14ac:dyDescent="0.3">
      <c r="A93" s="70">
        <v>45982</v>
      </c>
      <c r="B93" s="61" t="s">
        <v>36</v>
      </c>
      <c r="C93" s="62" t="s">
        <v>232</v>
      </c>
      <c r="D93" s="61" t="s">
        <v>226</v>
      </c>
      <c r="E93" s="71">
        <v>1.854166666666667</v>
      </c>
      <c r="F93" s="61" t="s">
        <v>41</v>
      </c>
      <c r="G93" s="63">
        <v>9</v>
      </c>
      <c r="H93" s="64">
        <v>819</v>
      </c>
    </row>
    <row r="94" spans="1:8" ht="19.8" customHeight="1" x14ac:dyDescent="0.3">
      <c r="A94" s="70">
        <v>45982</v>
      </c>
      <c r="B94" s="61" t="s">
        <v>36</v>
      </c>
      <c r="C94" s="62" t="s">
        <v>244</v>
      </c>
      <c r="D94" s="61" t="s">
        <v>226</v>
      </c>
      <c r="E94" s="71">
        <v>1.5173611111111109</v>
      </c>
      <c r="F94" s="61" t="s">
        <v>41</v>
      </c>
      <c r="G94" s="63">
        <v>4</v>
      </c>
      <c r="H94" s="64">
        <v>819</v>
      </c>
    </row>
    <row r="95" spans="1:8" ht="19.8" customHeight="1" x14ac:dyDescent="0.3">
      <c r="A95" s="70">
        <v>45982</v>
      </c>
      <c r="B95" s="61" t="s">
        <v>36</v>
      </c>
      <c r="C95" s="62" t="s">
        <v>237</v>
      </c>
      <c r="D95" s="61" t="s">
        <v>226</v>
      </c>
      <c r="E95" s="71">
        <v>1.395833333333333</v>
      </c>
      <c r="F95" s="61" t="s">
        <v>41</v>
      </c>
      <c r="G95" s="63">
        <v>6</v>
      </c>
      <c r="H95" s="64">
        <v>819</v>
      </c>
    </row>
    <row r="96" spans="1:8" ht="19.8" customHeight="1" x14ac:dyDescent="0.3">
      <c r="A96" s="70">
        <v>45982</v>
      </c>
      <c r="B96" s="61" t="s">
        <v>36</v>
      </c>
      <c r="C96" s="62" t="s">
        <v>238</v>
      </c>
      <c r="D96" s="61" t="s">
        <v>226</v>
      </c>
      <c r="E96" s="71">
        <v>1.645833333333333</v>
      </c>
      <c r="F96" s="61" t="s">
        <v>41</v>
      </c>
      <c r="G96" s="63">
        <v>9</v>
      </c>
      <c r="H96" s="64">
        <v>819</v>
      </c>
    </row>
    <row r="97" spans="1:8" ht="19.8" customHeight="1" x14ac:dyDescent="0.3">
      <c r="A97" s="70">
        <v>45982</v>
      </c>
      <c r="B97" s="61" t="s">
        <v>36</v>
      </c>
      <c r="C97" s="62" t="s">
        <v>227</v>
      </c>
      <c r="D97" s="61" t="s">
        <v>226</v>
      </c>
      <c r="E97" s="71">
        <v>1.256944444444444</v>
      </c>
      <c r="F97" s="61" t="s">
        <v>38</v>
      </c>
      <c r="G97" s="63">
        <v>4</v>
      </c>
      <c r="H97" s="64">
        <v>829</v>
      </c>
    </row>
    <row r="98" spans="1:8" ht="19.8" customHeight="1" x14ac:dyDescent="0.3">
      <c r="A98" s="70">
        <v>45982</v>
      </c>
      <c r="B98" s="61" t="s">
        <v>273</v>
      </c>
      <c r="C98" s="62" t="s">
        <v>352</v>
      </c>
      <c r="D98" s="61" t="s">
        <v>226</v>
      </c>
      <c r="E98" s="71">
        <v>1.416666666666667</v>
      </c>
      <c r="F98" s="61" t="s">
        <v>263</v>
      </c>
      <c r="G98" s="63">
        <v>1</v>
      </c>
      <c r="H98" s="64">
        <v>834</v>
      </c>
    </row>
    <row r="99" spans="1:8" ht="19.8" customHeight="1" x14ac:dyDescent="0.3">
      <c r="A99" s="70">
        <v>45982</v>
      </c>
      <c r="B99" s="61" t="s">
        <v>273</v>
      </c>
      <c r="C99" s="62" t="s">
        <v>274</v>
      </c>
      <c r="D99" s="61" t="s">
        <v>226</v>
      </c>
      <c r="E99" s="71">
        <v>1.7152777777777779</v>
      </c>
      <c r="F99" s="61" t="s">
        <v>263</v>
      </c>
      <c r="G99" s="63">
        <v>1</v>
      </c>
      <c r="H99" s="64">
        <v>834</v>
      </c>
    </row>
    <row r="100" spans="1:8" ht="19.8" customHeight="1" x14ac:dyDescent="0.3">
      <c r="A100" s="186">
        <v>45982</v>
      </c>
      <c r="B100" s="97" t="s">
        <v>80</v>
      </c>
      <c r="C100" s="98" t="s">
        <v>289</v>
      </c>
      <c r="D100" s="97" t="s">
        <v>226</v>
      </c>
      <c r="E100" s="187">
        <v>1.7361111111111109</v>
      </c>
      <c r="F100" s="97" t="s">
        <v>182</v>
      </c>
      <c r="G100" s="99">
        <v>5</v>
      </c>
      <c r="H100" s="100">
        <v>856</v>
      </c>
    </row>
    <row r="101" spans="1:8" ht="19.8" customHeight="1" x14ac:dyDescent="0.3">
      <c r="A101" s="186">
        <v>45982</v>
      </c>
      <c r="B101" s="97" t="s">
        <v>80</v>
      </c>
      <c r="C101" s="98" t="s">
        <v>292</v>
      </c>
      <c r="D101" s="97" t="s">
        <v>226</v>
      </c>
      <c r="E101" s="187">
        <v>1.114583333333333</v>
      </c>
      <c r="F101" s="97" t="s">
        <v>182</v>
      </c>
      <c r="G101" s="99">
        <v>3</v>
      </c>
      <c r="H101" s="100">
        <v>856</v>
      </c>
    </row>
    <row r="102" spans="1:8" ht="19.8" customHeight="1" x14ac:dyDescent="0.3">
      <c r="A102" s="186">
        <v>45982</v>
      </c>
      <c r="B102" s="97" t="s">
        <v>80</v>
      </c>
      <c r="C102" s="98" t="s">
        <v>303</v>
      </c>
      <c r="D102" s="97" t="s">
        <v>226</v>
      </c>
      <c r="E102" s="187">
        <v>1.614583333333333</v>
      </c>
      <c r="F102" s="97" t="s">
        <v>182</v>
      </c>
      <c r="G102" s="99">
        <v>6</v>
      </c>
      <c r="H102" s="100">
        <v>856</v>
      </c>
    </row>
    <row r="103" spans="1:8" ht="19.8" customHeight="1" x14ac:dyDescent="0.3">
      <c r="A103" s="186">
        <v>45982</v>
      </c>
      <c r="B103" s="97" t="s">
        <v>80</v>
      </c>
      <c r="C103" s="98" t="s">
        <v>297</v>
      </c>
      <c r="D103" s="97" t="s">
        <v>226</v>
      </c>
      <c r="E103" s="187">
        <v>1.458333333333333</v>
      </c>
      <c r="F103" s="97" t="s">
        <v>182</v>
      </c>
      <c r="G103" s="99">
        <v>7</v>
      </c>
      <c r="H103" s="100">
        <v>856</v>
      </c>
    </row>
    <row r="104" spans="1:8" ht="19.8" customHeight="1" x14ac:dyDescent="0.3">
      <c r="A104" s="70">
        <v>45982</v>
      </c>
      <c r="B104" s="61" t="s">
        <v>36</v>
      </c>
      <c r="C104" s="62" t="s">
        <v>235</v>
      </c>
      <c r="D104" s="61" t="s">
        <v>226</v>
      </c>
      <c r="E104" s="71">
        <v>1.9027777777777779</v>
      </c>
      <c r="F104" s="61" t="s">
        <v>43</v>
      </c>
      <c r="G104" s="63">
        <v>1</v>
      </c>
      <c r="H104" s="64">
        <v>859</v>
      </c>
    </row>
    <row r="105" spans="1:8" ht="19.8" customHeight="1" x14ac:dyDescent="0.3">
      <c r="A105" s="70">
        <v>45982</v>
      </c>
      <c r="B105" s="61" t="s">
        <v>36</v>
      </c>
      <c r="C105" s="62" t="s">
        <v>236</v>
      </c>
      <c r="D105" s="61" t="s">
        <v>226</v>
      </c>
      <c r="E105" s="71">
        <v>1.7986111111111109</v>
      </c>
      <c r="F105" s="61" t="s">
        <v>43</v>
      </c>
      <c r="G105" s="63">
        <v>2</v>
      </c>
      <c r="H105" s="64">
        <v>859</v>
      </c>
    </row>
    <row r="106" spans="1:8" ht="19.8" customHeight="1" x14ac:dyDescent="0.3">
      <c r="A106" s="70">
        <v>45982</v>
      </c>
      <c r="B106" s="61" t="s">
        <v>269</v>
      </c>
      <c r="C106" s="62" t="s">
        <v>347</v>
      </c>
      <c r="D106" s="61" t="s">
        <v>226</v>
      </c>
      <c r="E106" s="71">
        <v>1.975694444444444</v>
      </c>
      <c r="F106" s="61" t="s">
        <v>34</v>
      </c>
      <c r="G106" s="63">
        <v>9</v>
      </c>
      <c r="H106" s="64">
        <v>866</v>
      </c>
    </row>
    <row r="107" spans="1:8" ht="19.8" customHeight="1" x14ac:dyDescent="0.3">
      <c r="A107" s="70">
        <v>45982</v>
      </c>
      <c r="B107" s="61" t="s">
        <v>36</v>
      </c>
      <c r="C107" s="62" t="s">
        <v>232</v>
      </c>
      <c r="D107" s="61" t="s">
        <v>226</v>
      </c>
      <c r="E107" s="71">
        <v>1.854166666666667</v>
      </c>
      <c r="F107" s="61" t="s">
        <v>43</v>
      </c>
      <c r="G107" s="63">
        <v>9</v>
      </c>
      <c r="H107" s="64">
        <v>909</v>
      </c>
    </row>
    <row r="108" spans="1:8" ht="19.8" customHeight="1" x14ac:dyDescent="0.3">
      <c r="A108" s="70">
        <v>45982</v>
      </c>
      <c r="B108" s="61" t="s">
        <v>36</v>
      </c>
      <c r="C108" s="62" t="s">
        <v>244</v>
      </c>
      <c r="D108" s="61" t="s">
        <v>226</v>
      </c>
      <c r="E108" s="71">
        <v>1.5173611111111109</v>
      </c>
      <c r="F108" s="61" t="s">
        <v>43</v>
      </c>
      <c r="G108" s="63">
        <v>4</v>
      </c>
      <c r="H108" s="64">
        <v>909</v>
      </c>
    </row>
    <row r="109" spans="1:8" ht="19.8" customHeight="1" x14ac:dyDescent="0.3">
      <c r="A109" s="70">
        <v>45982</v>
      </c>
      <c r="B109" s="61" t="s">
        <v>36</v>
      </c>
      <c r="C109" s="62" t="s">
        <v>237</v>
      </c>
      <c r="D109" s="61" t="s">
        <v>226</v>
      </c>
      <c r="E109" s="71">
        <v>1.395833333333333</v>
      </c>
      <c r="F109" s="61" t="s">
        <v>43</v>
      </c>
      <c r="G109" s="63">
        <v>6</v>
      </c>
      <c r="H109" s="64">
        <v>909</v>
      </c>
    </row>
    <row r="110" spans="1:8" ht="19.8" customHeight="1" x14ac:dyDescent="0.3">
      <c r="A110" s="70">
        <v>45982</v>
      </c>
      <c r="B110" s="61" t="s">
        <v>36</v>
      </c>
      <c r="C110" s="62" t="s">
        <v>238</v>
      </c>
      <c r="D110" s="61" t="s">
        <v>226</v>
      </c>
      <c r="E110" s="71">
        <v>1.645833333333333</v>
      </c>
      <c r="F110" s="61" t="s">
        <v>43</v>
      </c>
      <c r="G110" s="63">
        <v>9</v>
      </c>
      <c r="H110" s="64">
        <v>909</v>
      </c>
    </row>
    <row r="111" spans="1:8" ht="19.8" customHeight="1" x14ac:dyDescent="0.3">
      <c r="A111" s="70">
        <v>45982</v>
      </c>
      <c r="B111" s="61" t="s">
        <v>36</v>
      </c>
      <c r="C111" s="62" t="s">
        <v>227</v>
      </c>
      <c r="D111" s="61" t="s">
        <v>226</v>
      </c>
      <c r="E111" s="71">
        <v>1.256944444444444</v>
      </c>
      <c r="F111" s="61" t="s">
        <v>41</v>
      </c>
      <c r="G111" s="63">
        <v>4</v>
      </c>
      <c r="H111" s="64">
        <v>929</v>
      </c>
    </row>
    <row r="112" spans="1:8" ht="19.8" customHeight="1" x14ac:dyDescent="0.3">
      <c r="A112" s="186">
        <v>45982</v>
      </c>
      <c r="B112" s="97" t="s">
        <v>80</v>
      </c>
      <c r="C112" s="98" t="s">
        <v>282</v>
      </c>
      <c r="D112" s="97" t="s">
        <v>226</v>
      </c>
      <c r="E112" s="187">
        <v>1.319444444444444</v>
      </c>
      <c r="F112" s="97" t="s">
        <v>182</v>
      </c>
      <c r="G112" s="99">
        <v>7</v>
      </c>
      <c r="H112" s="100">
        <v>952</v>
      </c>
    </row>
    <row r="113" spans="1:8" ht="19.8" customHeight="1" x14ac:dyDescent="0.3">
      <c r="A113" s="70">
        <v>45982</v>
      </c>
      <c r="B113" s="61" t="s">
        <v>269</v>
      </c>
      <c r="C113" s="62" t="s">
        <v>270</v>
      </c>
      <c r="D113" s="61" t="s">
        <v>226</v>
      </c>
      <c r="E113" s="71">
        <v>1.3923611111111109</v>
      </c>
      <c r="F113" s="61" t="s">
        <v>34</v>
      </c>
      <c r="G113" s="63">
        <v>9</v>
      </c>
      <c r="H113" s="64">
        <v>959</v>
      </c>
    </row>
    <row r="114" spans="1:8" ht="19.8" customHeight="1" x14ac:dyDescent="0.3">
      <c r="A114" s="70">
        <v>45982</v>
      </c>
      <c r="B114" s="61" t="s">
        <v>36</v>
      </c>
      <c r="C114" s="62" t="s">
        <v>227</v>
      </c>
      <c r="D114" s="61" t="s">
        <v>226</v>
      </c>
      <c r="E114" s="71">
        <v>1.256944444444444</v>
      </c>
      <c r="F114" s="61" t="s">
        <v>43</v>
      </c>
      <c r="G114" s="63">
        <v>4</v>
      </c>
      <c r="H114" s="65" t="s">
        <v>247</v>
      </c>
    </row>
    <row r="115" spans="1:8" ht="19.8" customHeight="1" x14ac:dyDescent="0.3">
      <c r="A115" s="70">
        <v>45982</v>
      </c>
      <c r="B115" s="61" t="s">
        <v>26</v>
      </c>
      <c r="C115" s="62" t="s">
        <v>258</v>
      </c>
      <c r="D115" s="61" t="s">
        <v>226</v>
      </c>
      <c r="E115" s="71">
        <v>1.1284722222222221</v>
      </c>
      <c r="F115" s="61" t="s">
        <v>34</v>
      </c>
      <c r="G115" s="63">
        <v>13</v>
      </c>
      <c r="H115" s="65" t="s">
        <v>35</v>
      </c>
    </row>
    <row r="116" spans="1:8" ht="19.8" customHeight="1" x14ac:dyDescent="0.3">
      <c r="A116" s="70">
        <v>45982</v>
      </c>
      <c r="B116" s="61" t="s">
        <v>26</v>
      </c>
      <c r="C116" s="62" t="s">
        <v>248</v>
      </c>
      <c r="D116" s="61" t="s">
        <v>226</v>
      </c>
      <c r="E116" s="71">
        <v>1.302083333333333</v>
      </c>
      <c r="F116" s="61" t="s">
        <v>34</v>
      </c>
      <c r="G116" s="63">
        <v>13</v>
      </c>
      <c r="H116" s="65" t="s">
        <v>35</v>
      </c>
    </row>
    <row r="117" spans="1:8" ht="19.8" customHeight="1" x14ac:dyDescent="0.3">
      <c r="A117" s="70">
        <v>45982</v>
      </c>
      <c r="B117" s="61" t="s">
        <v>26</v>
      </c>
      <c r="C117" s="62" t="s">
        <v>252</v>
      </c>
      <c r="D117" s="61" t="s">
        <v>226</v>
      </c>
      <c r="E117" s="71">
        <v>1.8888888888888891</v>
      </c>
      <c r="F117" s="61" t="s">
        <v>34</v>
      </c>
      <c r="G117" s="63">
        <v>21</v>
      </c>
      <c r="H117" s="65" t="s">
        <v>35</v>
      </c>
    </row>
    <row r="118" spans="1:8" ht="19.8" customHeight="1" x14ac:dyDescent="0.3">
      <c r="A118" s="70">
        <v>45982</v>
      </c>
      <c r="B118" s="61" t="s">
        <v>51</v>
      </c>
      <c r="C118" s="62" t="s">
        <v>332</v>
      </c>
      <c r="D118" s="61" t="s">
        <v>226</v>
      </c>
      <c r="E118" s="71">
        <v>1.229166666666667</v>
      </c>
      <c r="F118" s="61" t="s">
        <v>53</v>
      </c>
      <c r="G118" s="63">
        <v>9</v>
      </c>
      <c r="H118" s="65" t="s">
        <v>367</v>
      </c>
    </row>
    <row r="119" spans="1:8" ht="19.8" customHeight="1" x14ac:dyDescent="0.3">
      <c r="A119" s="70">
        <v>45982</v>
      </c>
      <c r="B119" s="61" t="s">
        <v>51</v>
      </c>
      <c r="C119" s="62" t="s">
        <v>336</v>
      </c>
      <c r="D119" s="61" t="s">
        <v>226</v>
      </c>
      <c r="E119" s="71">
        <v>1.9652777777777779</v>
      </c>
      <c r="F119" s="61" t="s">
        <v>53</v>
      </c>
      <c r="G119" s="63">
        <v>9</v>
      </c>
      <c r="H119" s="65" t="s">
        <v>330</v>
      </c>
    </row>
    <row r="120" spans="1:8" ht="19.8" customHeight="1" x14ac:dyDescent="0.3">
      <c r="A120" s="70">
        <v>45982</v>
      </c>
      <c r="B120" s="61" t="s">
        <v>51</v>
      </c>
      <c r="C120" s="62" t="s">
        <v>327</v>
      </c>
      <c r="D120" s="61" t="s">
        <v>226</v>
      </c>
      <c r="E120" s="71">
        <v>1.0138888888888891</v>
      </c>
      <c r="F120" s="61" t="s">
        <v>53</v>
      </c>
      <c r="G120" s="63">
        <v>9</v>
      </c>
      <c r="H120" s="65" t="s">
        <v>333</v>
      </c>
    </row>
    <row r="121" spans="1:8" ht="19.8" customHeight="1" x14ac:dyDescent="0.3">
      <c r="A121" s="70">
        <v>45982</v>
      </c>
      <c r="B121" s="61" t="s">
        <v>26</v>
      </c>
      <c r="C121" s="62" t="s">
        <v>255</v>
      </c>
      <c r="D121" s="61" t="s">
        <v>226</v>
      </c>
      <c r="E121" s="71">
        <v>1.788194444444444</v>
      </c>
      <c r="F121" s="61" t="s">
        <v>34</v>
      </c>
      <c r="G121" s="63">
        <v>12</v>
      </c>
      <c r="H121" s="65" t="s">
        <v>346</v>
      </c>
    </row>
    <row r="122" spans="1:8" ht="19.8" customHeight="1" x14ac:dyDescent="0.3">
      <c r="A122" s="70">
        <v>45982</v>
      </c>
      <c r="B122" s="61" t="s">
        <v>51</v>
      </c>
      <c r="C122" s="62" t="s">
        <v>334</v>
      </c>
      <c r="D122" s="61" t="s">
        <v>226</v>
      </c>
      <c r="E122" s="71">
        <v>1.791666666666667</v>
      </c>
      <c r="F122" s="61" t="s">
        <v>53</v>
      </c>
      <c r="G122" s="63">
        <v>9</v>
      </c>
      <c r="H122" s="65" t="s">
        <v>313</v>
      </c>
    </row>
    <row r="123" spans="1:8" ht="19.8" customHeight="1" x14ac:dyDescent="0.3">
      <c r="A123" s="70">
        <v>45982</v>
      </c>
      <c r="B123" s="61" t="s">
        <v>64</v>
      </c>
      <c r="C123" s="62" t="s">
        <v>308</v>
      </c>
      <c r="D123" s="61" t="s">
        <v>226</v>
      </c>
      <c r="E123" s="71">
        <v>1.1423611111111109</v>
      </c>
      <c r="F123" s="61" t="s">
        <v>66</v>
      </c>
      <c r="G123" s="63">
        <v>9</v>
      </c>
      <c r="H123" s="65" t="s">
        <v>313</v>
      </c>
    </row>
    <row r="124" spans="1:8" ht="19.8" customHeight="1" x14ac:dyDescent="0.3">
      <c r="A124" s="70">
        <v>45982</v>
      </c>
      <c r="B124" s="61" t="s">
        <v>64</v>
      </c>
      <c r="C124" s="62" t="s">
        <v>315</v>
      </c>
      <c r="D124" s="61" t="s">
        <v>226</v>
      </c>
      <c r="E124" s="71">
        <v>1.930555555555556</v>
      </c>
      <c r="F124" s="61" t="s">
        <v>66</v>
      </c>
      <c r="G124" s="63">
        <v>9</v>
      </c>
      <c r="H124" s="65" t="s">
        <v>313</v>
      </c>
    </row>
    <row r="125" spans="1:8" ht="19.8" customHeight="1" x14ac:dyDescent="0.3">
      <c r="A125" s="70">
        <v>45982</v>
      </c>
      <c r="B125" s="61" t="s">
        <v>64</v>
      </c>
      <c r="C125" s="62" t="s">
        <v>368</v>
      </c>
      <c r="D125" s="61" t="s">
        <v>226</v>
      </c>
      <c r="E125" s="71">
        <v>1.71875</v>
      </c>
      <c r="F125" s="61" t="s">
        <v>66</v>
      </c>
      <c r="G125" s="63">
        <v>9</v>
      </c>
      <c r="H125" s="65" t="s">
        <v>313</v>
      </c>
    </row>
    <row r="126" spans="1:8" ht="19.8" customHeight="1" x14ac:dyDescent="0.3">
      <c r="A126" s="70">
        <v>45982</v>
      </c>
      <c r="B126" s="61" t="s">
        <v>64</v>
      </c>
      <c r="C126" s="62" t="s">
        <v>324</v>
      </c>
      <c r="D126" s="61" t="s">
        <v>226</v>
      </c>
      <c r="E126" s="71">
        <v>1.8298611111111109</v>
      </c>
      <c r="F126" s="61" t="s">
        <v>66</v>
      </c>
      <c r="G126" s="63">
        <v>9</v>
      </c>
      <c r="H126" s="65" t="s">
        <v>313</v>
      </c>
    </row>
    <row r="127" spans="1:8" ht="19.8" customHeight="1" x14ac:dyDescent="0.3">
      <c r="A127" s="70">
        <v>45982</v>
      </c>
      <c r="B127" s="61" t="s">
        <v>51</v>
      </c>
      <c r="C127" s="62" t="s">
        <v>337</v>
      </c>
      <c r="D127" s="61" t="s">
        <v>226</v>
      </c>
      <c r="E127" s="71">
        <v>1.145833333333333</v>
      </c>
      <c r="F127" s="61" t="s">
        <v>53</v>
      </c>
      <c r="G127" s="63">
        <v>9</v>
      </c>
      <c r="H127" s="65" t="s">
        <v>313</v>
      </c>
    </row>
    <row r="128" spans="1:8" ht="19.8" customHeight="1" x14ac:dyDescent="0.3">
      <c r="A128" s="70">
        <v>45982</v>
      </c>
      <c r="B128" s="61" t="s">
        <v>51</v>
      </c>
      <c r="C128" s="62" t="s">
        <v>338</v>
      </c>
      <c r="D128" s="61" t="s">
        <v>226</v>
      </c>
      <c r="E128" s="71">
        <v>1.2777777777777779</v>
      </c>
      <c r="F128" s="61" t="s">
        <v>53</v>
      </c>
      <c r="G128" s="63">
        <v>9</v>
      </c>
      <c r="H128" s="65" t="s">
        <v>313</v>
      </c>
    </row>
    <row r="129" spans="1:8" ht="19.8" customHeight="1" x14ac:dyDescent="0.3">
      <c r="A129" s="70">
        <v>45982</v>
      </c>
      <c r="B129" s="61" t="s">
        <v>64</v>
      </c>
      <c r="C129" s="62" t="s">
        <v>311</v>
      </c>
      <c r="D129" s="61" t="s">
        <v>226</v>
      </c>
      <c r="E129" s="71">
        <v>1.239583333333333</v>
      </c>
      <c r="F129" s="61" t="s">
        <v>369</v>
      </c>
      <c r="G129" s="63">
        <v>9</v>
      </c>
      <c r="H129" s="65" t="s">
        <v>313</v>
      </c>
    </row>
    <row r="130" spans="1:8" ht="19.8" customHeight="1" x14ac:dyDescent="0.3">
      <c r="A130" s="70">
        <v>45982</v>
      </c>
      <c r="B130" s="61" t="s">
        <v>64</v>
      </c>
      <c r="C130" s="62" t="s">
        <v>308</v>
      </c>
      <c r="D130" s="61" t="s">
        <v>226</v>
      </c>
      <c r="E130" s="71">
        <v>1.1423611111111109</v>
      </c>
      <c r="F130" s="61" t="s">
        <v>68</v>
      </c>
      <c r="G130" s="63">
        <v>9</v>
      </c>
      <c r="H130" s="65" t="s">
        <v>314</v>
      </c>
    </row>
    <row r="131" spans="1:8" ht="19.8" customHeight="1" x14ac:dyDescent="0.3">
      <c r="A131" s="70">
        <v>45982</v>
      </c>
      <c r="B131" s="61" t="s">
        <v>64</v>
      </c>
      <c r="C131" s="62" t="s">
        <v>315</v>
      </c>
      <c r="D131" s="61" t="s">
        <v>226</v>
      </c>
      <c r="E131" s="71">
        <v>1.930555555555556</v>
      </c>
      <c r="F131" s="61" t="s">
        <v>68</v>
      </c>
      <c r="G131" s="63">
        <v>9</v>
      </c>
      <c r="H131" s="65" t="s">
        <v>314</v>
      </c>
    </row>
    <row r="132" spans="1:8" ht="19.8" customHeight="1" x14ac:dyDescent="0.3">
      <c r="A132" s="70">
        <v>45982</v>
      </c>
      <c r="B132" s="61" t="s">
        <v>64</v>
      </c>
      <c r="C132" s="62" t="s">
        <v>368</v>
      </c>
      <c r="D132" s="61" t="s">
        <v>226</v>
      </c>
      <c r="E132" s="71">
        <v>1.71875</v>
      </c>
      <c r="F132" s="61" t="s">
        <v>68</v>
      </c>
      <c r="G132" s="63">
        <v>9</v>
      </c>
      <c r="H132" s="65" t="s">
        <v>314</v>
      </c>
    </row>
    <row r="133" spans="1:8" ht="19.8" customHeight="1" x14ac:dyDescent="0.3">
      <c r="A133" s="70">
        <v>45982</v>
      </c>
      <c r="B133" s="61" t="s">
        <v>64</v>
      </c>
      <c r="C133" s="62" t="s">
        <v>324</v>
      </c>
      <c r="D133" s="61" t="s">
        <v>226</v>
      </c>
      <c r="E133" s="71">
        <v>1.8298611111111109</v>
      </c>
      <c r="F133" s="61" t="s">
        <v>68</v>
      </c>
      <c r="G133" s="63">
        <v>9</v>
      </c>
      <c r="H133" s="65" t="s">
        <v>314</v>
      </c>
    </row>
    <row r="134" spans="1:8" ht="19.8" customHeight="1" x14ac:dyDescent="0.3">
      <c r="A134" s="70">
        <v>45982</v>
      </c>
      <c r="B134" s="61" t="s">
        <v>64</v>
      </c>
      <c r="C134" s="62" t="s">
        <v>319</v>
      </c>
      <c r="D134" s="61" t="s">
        <v>226</v>
      </c>
      <c r="E134" s="71">
        <v>1.302083333333333</v>
      </c>
      <c r="F134" s="61" t="s">
        <v>68</v>
      </c>
      <c r="G134" s="63">
        <v>4</v>
      </c>
      <c r="H134" s="65" t="s">
        <v>370</v>
      </c>
    </row>
    <row r="135" spans="1:8" ht="19.8" customHeight="1" x14ac:dyDescent="0.3">
      <c r="A135" s="70">
        <v>45982</v>
      </c>
      <c r="B135" s="61" t="s">
        <v>64</v>
      </c>
      <c r="C135" s="62" t="s">
        <v>321</v>
      </c>
      <c r="D135" s="61" t="s">
        <v>226</v>
      </c>
      <c r="E135" s="71">
        <v>1.1284722222222221</v>
      </c>
      <c r="F135" s="61" t="s">
        <v>68</v>
      </c>
      <c r="G135" s="63">
        <v>4</v>
      </c>
      <c r="H135" s="65" t="s">
        <v>370</v>
      </c>
    </row>
    <row r="136" spans="1:8" ht="19.8" customHeight="1" x14ac:dyDescent="0.3">
      <c r="A136" s="70">
        <v>45982</v>
      </c>
      <c r="B136" s="61" t="s">
        <v>64</v>
      </c>
      <c r="C136" s="62" t="s">
        <v>322</v>
      </c>
      <c r="D136" s="61" t="s">
        <v>226</v>
      </c>
      <c r="E136" s="71">
        <v>1.788194444444444</v>
      </c>
      <c r="F136" s="61" t="s">
        <v>53</v>
      </c>
      <c r="G136" s="63">
        <v>4</v>
      </c>
      <c r="H136" s="65" t="s">
        <v>370</v>
      </c>
    </row>
    <row r="137" spans="1:8" ht="19.8" customHeight="1" x14ac:dyDescent="0.3">
      <c r="A137" s="70">
        <v>45982</v>
      </c>
      <c r="B137" s="61" t="s">
        <v>64</v>
      </c>
      <c r="C137" s="62" t="s">
        <v>323</v>
      </c>
      <c r="D137" s="61" t="s">
        <v>226</v>
      </c>
      <c r="E137" s="71">
        <v>1.8888888888888891</v>
      </c>
      <c r="F137" s="61" t="s">
        <v>68</v>
      </c>
      <c r="G137" s="63">
        <v>4</v>
      </c>
      <c r="H137" s="65" t="s">
        <v>370</v>
      </c>
    </row>
    <row r="138" spans="1:8" ht="19.8" customHeight="1" x14ac:dyDescent="0.3">
      <c r="A138" s="70">
        <v>45982</v>
      </c>
      <c r="B138" s="61" t="s">
        <v>64</v>
      </c>
      <c r="C138" s="62" t="s">
        <v>312</v>
      </c>
      <c r="D138" s="61" t="s">
        <v>226</v>
      </c>
      <c r="E138" s="71">
        <v>1.006944444444444</v>
      </c>
      <c r="F138" s="61" t="s">
        <v>66</v>
      </c>
      <c r="G138" s="63">
        <v>9</v>
      </c>
      <c r="H138" s="65" t="s">
        <v>316</v>
      </c>
    </row>
    <row r="139" spans="1:8" ht="19.8" customHeight="1" x14ac:dyDescent="0.3">
      <c r="A139" s="70">
        <v>45982</v>
      </c>
      <c r="B139" s="61" t="s">
        <v>64</v>
      </c>
      <c r="C139" s="62" t="s">
        <v>318</v>
      </c>
      <c r="D139" s="61" t="s">
        <v>226</v>
      </c>
      <c r="E139" s="71">
        <v>1.3784722222222221</v>
      </c>
      <c r="F139" s="61" t="s">
        <v>66</v>
      </c>
      <c r="G139" s="63">
        <v>9</v>
      </c>
      <c r="H139" s="65" t="s">
        <v>316</v>
      </c>
    </row>
    <row r="140" spans="1:8" ht="19.8" customHeight="1" x14ac:dyDescent="0.3">
      <c r="A140" s="70">
        <v>45982</v>
      </c>
      <c r="B140" s="61" t="s">
        <v>64</v>
      </c>
      <c r="C140" s="62" t="s">
        <v>371</v>
      </c>
      <c r="D140" s="61" t="s">
        <v>226</v>
      </c>
      <c r="E140" s="71">
        <v>1.6111111111111109</v>
      </c>
      <c r="F140" s="61" t="s">
        <v>66</v>
      </c>
      <c r="G140" s="63">
        <v>9</v>
      </c>
      <c r="H140" s="65" t="s">
        <v>316</v>
      </c>
    </row>
    <row r="141" spans="1:8" ht="19.8" customHeight="1" x14ac:dyDescent="0.3">
      <c r="A141" s="70">
        <v>45982</v>
      </c>
      <c r="B141" s="61" t="s">
        <v>64</v>
      </c>
      <c r="C141" s="62" t="s">
        <v>312</v>
      </c>
      <c r="D141" s="61" t="s">
        <v>226</v>
      </c>
      <c r="E141" s="71">
        <v>1.006944444444444</v>
      </c>
      <c r="F141" s="61" t="s">
        <v>68</v>
      </c>
      <c r="G141" s="63">
        <v>9</v>
      </c>
      <c r="H141" s="65" t="s">
        <v>317</v>
      </c>
    </row>
    <row r="142" spans="1:8" ht="19.8" customHeight="1" x14ac:dyDescent="0.3">
      <c r="A142" s="70">
        <v>45982</v>
      </c>
      <c r="B142" s="61" t="s">
        <v>64</v>
      </c>
      <c r="C142" s="62" t="s">
        <v>318</v>
      </c>
      <c r="D142" s="61" t="s">
        <v>226</v>
      </c>
      <c r="E142" s="71">
        <v>1.3784722222222221</v>
      </c>
      <c r="F142" s="61" t="s">
        <v>68</v>
      </c>
      <c r="G142" s="63">
        <v>9</v>
      </c>
      <c r="H142" s="65" t="s">
        <v>317</v>
      </c>
    </row>
    <row r="143" spans="1:8" ht="19.8" customHeight="1" x14ac:dyDescent="0.3">
      <c r="A143" s="70">
        <v>45982</v>
      </c>
      <c r="B143" s="61" t="s">
        <v>64</v>
      </c>
      <c r="C143" s="62" t="s">
        <v>371</v>
      </c>
      <c r="D143" s="61" t="s">
        <v>226</v>
      </c>
      <c r="E143" s="71">
        <v>1.6111111111111109</v>
      </c>
      <c r="F143" s="61" t="s">
        <v>68</v>
      </c>
      <c r="G143" s="63">
        <v>9</v>
      </c>
      <c r="H143" s="65" t="s">
        <v>317</v>
      </c>
    </row>
    <row r="144" spans="1:8" ht="19.8" customHeight="1" x14ac:dyDescent="0.3">
      <c r="A144" s="70">
        <v>45982</v>
      </c>
      <c r="B144" s="61" t="s">
        <v>51</v>
      </c>
      <c r="C144" s="62" t="s">
        <v>329</v>
      </c>
      <c r="D144" s="61" t="s">
        <v>226</v>
      </c>
      <c r="E144" s="71">
        <v>1.506944444444444</v>
      </c>
      <c r="F144" s="61" t="s">
        <v>53</v>
      </c>
      <c r="G144" s="63">
        <v>9</v>
      </c>
      <c r="H144" s="65" t="s">
        <v>335</v>
      </c>
    </row>
    <row r="145" spans="1:8" ht="19.8" customHeight="1" x14ac:dyDescent="0.3">
      <c r="A145" s="78">
        <v>45982</v>
      </c>
      <c r="B145" s="67" t="s">
        <v>80</v>
      </c>
      <c r="C145" s="68" t="s">
        <v>365</v>
      </c>
      <c r="D145" s="67" t="s">
        <v>226</v>
      </c>
      <c r="E145" s="79">
        <v>1.9375</v>
      </c>
      <c r="F145" s="67" t="s">
        <v>82</v>
      </c>
      <c r="G145" s="67"/>
      <c r="H145" s="69" t="s">
        <v>83</v>
      </c>
    </row>
    <row r="146" spans="1:8" ht="19.8" customHeight="1" x14ac:dyDescent="0.3">
      <c r="A146" s="70">
        <v>45983</v>
      </c>
      <c r="B146" s="61" t="s">
        <v>26</v>
      </c>
      <c r="C146" s="62" t="s">
        <v>258</v>
      </c>
      <c r="D146" s="61" t="s">
        <v>226</v>
      </c>
      <c r="E146" s="71">
        <v>1.1284722222222221</v>
      </c>
      <c r="F146" s="61" t="s">
        <v>28</v>
      </c>
      <c r="G146" s="63">
        <v>7</v>
      </c>
      <c r="H146" s="64">
        <v>589</v>
      </c>
    </row>
    <row r="147" spans="1:8" ht="19.8" customHeight="1" x14ac:dyDescent="0.3">
      <c r="A147" s="70">
        <v>45983</v>
      </c>
      <c r="B147" s="61" t="s">
        <v>26</v>
      </c>
      <c r="C147" s="62" t="s">
        <v>248</v>
      </c>
      <c r="D147" s="61" t="s">
        <v>226</v>
      </c>
      <c r="E147" s="71">
        <v>1.302083333333333</v>
      </c>
      <c r="F147" s="61" t="s">
        <v>28</v>
      </c>
      <c r="G147" s="63">
        <v>15</v>
      </c>
      <c r="H147" s="64">
        <v>589</v>
      </c>
    </row>
    <row r="148" spans="1:8" ht="19.8" customHeight="1" x14ac:dyDescent="0.3">
      <c r="A148" s="70">
        <v>45983</v>
      </c>
      <c r="B148" s="61" t="s">
        <v>26</v>
      </c>
      <c r="C148" s="62" t="s">
        <v>252</v>
      </c>
      <c r="D148" s="61" t="s">
        <v>226</v>
      </c>
      <c r="E148" s="71">
        <v>1.8888888888888891</v>
      </c>
      <c r="F148" s="61" t="s">
        <v>28</v>
      </c>
      <c r="G148" s="63">
        <v>14</v>
      </c>
      <c r="H148" s="64">
        <v>639</v>
      </c>
    </row>
    <row r="149" spans="1:8" ht="19.8" customHeight="1" x14ac:dyDescent="0.3">
      <c r="A149" s="70">
        <v>45983</v>
      </c>
      <c r="B149" s="61" t="s">
        <v>269</v>
      </c>
      <c r="C149" s="62" t="s">
        <v>270</v>
      </c>
      <c r="D149" s="61" t="s">
        <v>226</v>
      </c>
      <c r="E149" s="71">
        <v>1.288194444444444</v>
      </c>
      <c r="F149" s="61" t="s">
        <v>271</v>
      </c>
      <c r="G149" s="63">
        <v>9</v>
      </c>
      <c r="H149" s="64">
        <v>640</v>
      </c>
    </row>
    <row r="150" spans="1:8" ht="19.8" customHeight="1" x14ac:dyDescent="0.3">
      <c r="A150" s="70">
        <v>45983</v>
      </c>
      <c r="B150" s="61" t="s">
        <v>36</v>
      </c>
      <c r="C150" s="62" t="s">
        <v>232</v>
      </c>
      <c r="D150" s="61" t="s">
        <v>226</v>
      </c>
      <c r="E150" s="71">
        <v>1.854166666666667</v>
      </c>
      <c r="F150" s="61" t="s">
        <v>38</v>
      </c>
      <c r="G150" s="63">
        <v>5</v>
      </c>
      <c r="H150" s="64">
        <v>669</v>
      </c>
    </row>
    <row r="151" spans="1:8" ht="19.8" customHeight="1" x14ac:dyDescent="0.3">
      <c r="A151" s="70">
        <v>45983</v>
      </c>
      <c r="B151" s="61" t="s">
        <v>36</v>
      </c>
      <c r="C151" s="62" t="s">
        <v>227</v>
      </c>
      <c r="D151" s="61" t="s">
        <v>226</v>
      </c>
      <c r="E151" s="71">
        <v>1.256944444444444</v>
      </c>
      <c r="F151" s="61" t="s">
        <v>38</v>
      </c>
      <c r="G151" s="63">
        <v>9</v>
      </c>
      <c r="H151" s="64">
        <v>669</v>
      </c>
    </row>
    <row r="152" spans="1:8" ht="19.8" customHeight="1" x14ac:dyDescent="0.3">
      <c r="A152" s="70">
        <v>45983</v>
      </c>
      <c r="B152" s="61" t="s">
        <v>36</v>
      </c>
      <c r="C152" s="62" t="s">
        <v>244</v>
      </c>
      <c r="D152" s="61" t="s">
        <v>226</v>
      </c>
      <c r="E152" s="71">
        <v>1.5173611111111109</v>
      </c>
      <c r="F152" s="61" t="s">
        <v>38</v>
      </c>
      <c r="G152" s="63">
        <v>4</v>
      </c>
      <c r="H152" s="64">
        <v>669</v>
      </c>
    </row>
    <row r="153" spans="1:8" ht="19.8" customHeight="1" x14ac:dyDescent="0.3">
      <c r="A153" s="70">
        <v>45983</v>
      </c>
      <c r="B153" s="61" t="s">
        <v>36</v>
      </c>
      <c r="C153" s="62" t="s">
        <v>237</v>
      </c>
      <c r="D153" s="61" t="s">
        <v>226</v>
      </c>
      <c r="E153" s="71">
        <v>1.395833333333333</v>
      </c>
      <c r="F153" s="61" t="s">
        <v>38</v>
      </c>
      <c r="G153" s="63">
        <v>4</v>
      </c>
      <c r="H153" s="64">
        <v>669</v>
      </c>
    </row>
    <row r="154" spans="1:8" ht="19.8" customHeight="1" x14ac:dyDescent="0.3">
      <c r="A154" s="70">
        <v>45983</v>
      </c>
      <c r="B154" s="61" t="s">
        <v>36</v>
      </c>
      <c r="C154" s="62" t="s">
        <v>238</v>
      </c>
      <c r="D154" s="61" t="s">
        <v>226</v>
      </c>
      <c r="E154" s="71">
        <v>1.6597222222222221</v>
      </c>
      <c r="F154" s="61" t="s">
        <v>38</v>
      </c>
      <c r="G154" s="63">
        <v>8</v>
      </c>
      <c r="H154" s="64">
        <v>669</v>
      </c>
    </row>
    <row r="155" spans="1:8" ht="19.8" customHeight="1" x14ac:dyDescent="0.3">
      <c r="A155" s="70">
        <v>45983</v>
      </c>
      <c r="B155" s="61" t="s">
        <v>26</v>
      </c>
      <c r="C155" s="62" t="s">
        <v>255</v>
      </c>
      <c r="D155" s="61" t="s">
        <v>226</v>
      </c>
      <c r="E155" s="71">
        <v>1.788194444444444</v>
      </c>
      <c r="F155" s="61" t="s">
        <v>28</v>
      </c>
      <c r="G155" s="63">
        <v>14</v>
      </c>
      <c r="H155" s="64">
        <v>689</v>
      </c>
    </row>
    <row r="156" spans="1:8" ht="19.8" customHeight="1" x14ac:dyDescent="0.3">
      <c r="A156" s="70">
        <v>45983</v>
      </c>
      <c r="B156" s="61" t="s">
        <v>269</v>
      </c>
      <c r="C156" s="62" t="s">
        <v>377</v>
      </c>
      <c r="D156" s="61" t="s">
        <v>226</v>
      </c>
      <c r="E156" s="71">
        <v>1.2152777777777779</v>
      </c>
      <c r="F156" s="61" t="s">
        <v>271</v>
      </c>
      <c r="G156" s="63">
        <v>9</v>
      </c>
      <c r="H156" s="64">
        <v>700</v>
      </c>
    </row>
    <row r="157" spans="1:8" ht="19.8" customHeight="1" x14ac:dyDescent="0.3">
      <c r="A157" s="70">
        <v>45983</v>
      </c>
      <c r="B157" s="61" t="s">
        <v>36</v>
      </c>
      <c r="C157" s="62" t="s">
        <v>235</v>
      </c>
      <c r="D157" s="61" t="s">
        <v>226</v>
      </c>
      <c r="E157" s="71">
        <v>1.9027777777777779</v>
      </c>
      <c r="F157" s="61" t="s">
        <v>38</v>
      </c>
      <c r="G157" s="63">
        <v>9</v>
      </c>
      <c r="H157" s="64">
        <v>719</v>
      </c>
    </row>
    <row r="158" spans="1:8" ht="19.8" customHeight="1" x14ac:dyDescent="0.3">
      <c r="A158" s="70">
        <v>45983</v>
      </c>
      <c r="B158" s="61" t="s">
        <v>36</v>
      </c>
      <c r="C158" s="62" t="s">
        <v>236</v>
      </c>
      <c r="D158" s="61" t="s">
        <v>226</v>
      </c>
      <c r="E158" s="71">
        <v>1.7986111111111109</v>
      </c>
      <c r="F158" s="61" t="s">
        <v>38</v>
      </c>
      <c r="G158" s="63">
        <v>9</v>
      </c>
      <c r="H158" s="64">
        <v>719</v>
      </c>
    </row>
    <row r="159" spans="1:8" ht="19.8" customHeight="1" x14ac:dyDescent="0.3">
      <c r="A159" s="70">
        <v>45983</v>
      </c>
      <c r="B159" s="61" t="s">
        <v>26</v>
      </c>
      <c r="C159" s="62" t="s">
        <v>258</v>
      </c>
      <c r="D159" s="61" t="s">
        <v>226</v>
      </c>
      <c r="E159" s="71">
        <v>1.1284722222222221</v>
      </c>
      <c r="F159" s="61" t="s">
        <v>31</v>
      </c>
      <c r="G159" s="63">
        <v>7</v>
      </c>
      <c r="H159" s="64">
        <v>739</v>
      </c>
    </row>
    <row r="160" spans="1:8" ht="19.8" customHeight="1" x14ac:dyDescent="0.3">
      <c r="A160" s="70">
        <v>45983</v>
      </c>
      <c r="B160" s="61" t="s">
        <v>26</v>
      </c>
      <c r="C160" s="62" t="s">
        <v>248</v>
      </c>
      <c r="D160" s="61" t="s">
        <v>226</v>
      </c>
      <c r="E160" s="71">
        <v>1.302083333333333</v>
      </c>
      <c r="F160" s="61" t="s">
        <v>31</v>
      </c>
      <c r="G160" s="63">
        <v>15</v>
      </c>
      <c r="H160" s="64">
        <v>739</v>
      </c>
    </row>
    <row r="161" spans="1:8" ht="19.8" customHeight="1" x14ac:dyDescent="0.3">
      <c r="A161" s="70">
        <v>45983</v>
      </c>
      <c r="B161" s="61" t="s">
        <v>273</v>
      </c>
      <c r="C161" s="62" t="s">
        <v>274</v>
      </c>
      <c r="D161" s="61" t="s">
        <v>226</v>
      </c>
      <c r="E161" s="71">
        <v>1.666666666666667</v>
      </c>
      <c r="F161" s="61" t="s">
        <v>263</v>
      </c>
      <c r="G161" s="63">
        <v>1</v>
      </c>
      <c r="H161" s="64">
        <v>749</v>
      </c>
    </row>
    <row r="162" spans="1:8" ht="19.8" customHeight="1" x14ac:dyDescent="0.3">
      <c r="A162" s="70">
        <v>45983</v>
      </c>
      <c r="B162" s="61" t="s">
        <v>36</v>
      </c>
      <c r="C162" s="62" t="s">
        <v>232</v>
      </c>
      <c r="D162" s="61" t="s">
        <v>226</v>
      </c>
      <c r="E162" s="71">
        <v>1.854166666666667</v>
      </c>
      <c r="F162" s="61" t="s">
        <v>41</v>
      </c>
      <c r="G162" s="63">
        <v>5</v>
      </c>
      <c r="H162" s="64">
        <v>769</v>
      </c>
    </row>
    <row r="163" spans="1:8" ht="19.8" customHeight="1" x14ac:dyDescent="0.3">
      <c r="A163" s="70">
        <v>45983</v>
      </c>
      <c r="B163" s="61" t="s">
        <v>36</v>
      </c>
      <c r="C163" s="62" t="s">
        <v>227</v>
      </c>
      <c r="D163" s="61" t="s">
        <v>226</v>
      </c>
      <c r="E163" s="71">
        <v>1.256944444444444</v>
      </c>
      <c r="F163" s="61" t="s">
        <v>41</v>
      </c>
      <c r="G163" s="63">
        <v>9</v>
      </c>
      <c r="H163" s="64">
        <v>769</v>
      </c>
    </row>
    <row r="164" spans="1:8" ht="19.8" customHeight="1" x14ac:dyDescent="0.3">
      <c r="A164" s="70">
        <v>45983</v>
      </c>
      <c r="B164" s="61" t="s">
        <v>36</v>
      </c>
      <c r="C164" s="62" t="s">
        <v>244</v>
      </c>
      <c r="D164" s="61" t="s">
        <v>226</v>
      </c>
      <c r="E164" s="71">
        <v>1.5173611111111109</v>
      </c>
      <c r="F164" s="61" t="s">
        <v>41</v>
      </c>
      <c r="G164" s="63">
        <v>4</v>
      </c>
      <c r="H164" s="64">
        <v>769</v>
      </c>
    </row>
    <row r="165" spans="1:8" ht="19.8" customHeight="1" x14ac:dyDescent="0.3">
      <c r="A165" s="70">
        <v>45983</v>
      </c>
      <c r="B165" s="61" t="s">
        <v>36</v>
      </c>
      <c r="C165" s="62" t="s">
        <v>237</v>
      </c>
      <c r="D165" s="61" t="s">
        <v>226</v>
      </c>
      <c r="E165" s="71">
        <v>1.395833333333333</v>
      </c>
      <c r="F165" s="61" t="s">
        <v>41</v>
      </c>
      <c r="G165" s="63">
        <v>4</v>
      </c>
      <c r="H165" s="64">
        <v>769</v>
      </c>
    </row>
    <row r="166" spans="1:8" ht="19.8" customHeight="1" x14ac:dyDescent="0.3">
      <c r="A166" s="70">
        <v>45983</v>
      </c>
      <c r="B166" s="61" t="s">
        <v>36</v>
      </c>
      <c r="C166" s="62" t="s">
        <v>238</v>
      </c>
      <c r="D166" s="61" t="s">
        <v>226</v>
      </c>
      <c r="E166" s="71">
        <v>1.6597222222222221</v>
      </c>
      <c r="F166" s="61" t="s">
        <v>41</v>
      </c>
      <c r="G166" s="63">
        <v>8</v>
      </c>
      <c r="H166" s="64">
        <v>769</v>
      </c>
    </row>
    <row r="167" spans="1:8" ht="19.8" customHeight="1" x14ac:dyDescent="0.3">
      <c r="A167" s="70">
        <v>45983</v>
      </c>
      <c r="B167" s="61" t="s">
        <v>26</v>
      </c>
      <c r="C167" s="62" t="s">
        <v>252</v>
      </c>
      <c r="D167" s="61" t="s">
        <v>226</v>
      </c>
      <c r="E167" s="71">
        <v>1.8888888888888891</v>
      </c>
      <c r="F167" s="61" t="s">
        <v>31</v>
      </c>
      <c r="G167" s="63">
        <v>14</v>
      </c>
      <c r="H167" s="64">
        <v>789</v>
      </c>
    </row>
    <row r="168" spans="1:8" ht="19.8" customHeight="1" x14ac:dyDescent="0.3">
      <c r="A168" s="70">
        <v>45983</v>
      </c>
      <c r="B168" s="61" t="s">
        <v>36</v>
      </c>
      <c r="C168" s="62" t="s">
        <v>235</v>
      </c>
      <c r="D168" s="61" t="s">
        <v>226</v>
      </c>
      <c r="E168" s="71">
        <v>1.9027777777777779</v>
      </c>
      <c r="F168" s="61" t="s">
        <v>41</v>
      </c>
      <c r="G168" s="63">
        <v>9</v>
      </c>
      <c r="H168" s="64">
        <v>819</v>
      </c>
    </row>
    <row r="169" spans="1:8" ht="19.8" customHeight="1" x14ac:dyDescent="0.3">
      <c r="A169" s="70">
        <v>45983</v>
      </c>
      <c r="B169" s="61" t="s">
        <v>36</v>
      </c>
      <c r="C169" s="62" t="s">
        <v>236</v>
      </c>
      <c r="D169" s="61" t="s">
        <v>226</v>
      </c>
      <c r="E169" s="71">
        <v>1.7986111111111109</v>
      </c>
      <c r="F169" s="61" t="s">
        <v>41</v>
      </c>
      <c r="G169" s="63">
        <v>9</v>
      </c>
      <c r="H169" s="64">
        <v>819</v>
      </c>
    </row>
    <row r="170" spans="1:8" ht="19.8" customHeight="1" x14ac:dyDescent="0.3">
      <c r="A170" s="70">
        <v>45983</v>
      </c>
      <c r="B170" s="61" t="s">
        <v>261</v>
      </c>
      <c r="C170" s="62" t="s">
        <v>265</v>
      </c>
      <c r="D170" s="61" t="s">
        <v>226</v>
      </c>
      <c r="E170" s="71">
        <v>1.270833333333333</v>
      </c>
      <c r="F170" s="61" t="s">
        <v>263</v>
      </c>
      <c r="G170" s="63">
        <v>1</v>
      </c>
      <c r="H170" s="64">
        <v>835</v>
      </c>
    </row>
    <row r="171" spans="1:8" ht="19.8" customHeight="1" x14ac:dyDescent="0.3">
      <c r="A171" s="70">
        <v>45983</v>
      </c>
      <c r="B171" s="61" t="s">
        <v>26</v>
      </c>
      <c r="C171" s="62" t="s">
        <v>255</v>
      </c>
      <c r="D171" s="61" t="s">
        <v>226</v>
      </c>
      <c r="E171" s="71">
        <v>1.788194444444444</v>
      </c>
      <c r="F171" s="61" t="s">
        <v>31</v>
      </c>
      <c r="G171" s="63">
        <v>14</v>
      </c>
      <c r="H171" s="64">
        <v>839</v>
      </c>
    </row>
    <row r="172" spans="1:8" ht="19.8" customHeight="1" x14ac:dyDescent="0.3">
      <c r="A172" s="70">
        <v>45983</v>
      </c>
      <c r="B172" s="61" t="s">
        <v>36</v>
      </c>
      <c r="C172" s="62" t="s">
        <v>232</v>
      </c>
      <c r="D172" s="61" t="s">
        <v>226</v>
      </c>
      <c r="E172" s="71">
        <v>1.854166666666667</v>
      </c>
      <c r="F172" s="61" t="s">
        <v>43</v>
      </c>
      <c r="G172" s="63">
        <v>5</v>
      </c>
      <c r="H172" s="64">
        <v>859</v>
      </c>
    </row>
    <row r="173" spans="1:8" ht="19.8" customHeight="1" x14ac:dyDescent="0.3">
      <c r="A173" s="70">
        <v>45983</v>
      </c>
      <c r="B173" s="61" t="s">
        <v>36</v>
      </c>
      <c r="C173" s="62" t="s">
        <v>227</v>
      </c>
      <c r="D173" s="61" t="s">
        <v>226</v>
      </c>
      <c r="E173" s="71">
        <v>1.256944444444444</v>
      </c>
      <c r="F173" s="61" t="s">
        <v>43</v>
      </c>
      <c r="G173" s="63">
        <v>9</v>
      </c>
      <c r="H173" s="64">
        <v>859</v>
      </c>
    </row>
    <row r="174" spans="1:8" ht="19.8" customHeight="1" x14ac:dyDescent="0.3">
      <c r="A174" s="70">
        <v>45983</v>
      </c>
      <c r="B174" s="61" t="s">
        <v>36</v>
      </c>
      <c r="C174" s="62" t="s">
        <v>244</v>
      </c>
      <c r="D174" s="61" t="s">
        <v>226</v>
      </c>
      <c r="E174" s="71">
        <v>1.5173611111111109</v>
      </c>
      <c r="F174" s="61" t="s">
        <v>43</v>
      </c>
      <c r="G174" s="63">
        <v>4</v>
      </c>
      <c r="H174" s="64">
        <v>859</v>
      </c>
    </row>
    <row r="175" spans="1:8" ht="19.8" customHeight="1" x14ac:dyDescent="0.3">
      <c r="A175" s="70">
        <v>45983</v>
      </c>
      <c r="B175" s="61" t="s">
        <v>36</v>
      </c>
      <c r="C175" s="62" t="s">
        <v>237</v>
      </c>
      <c r="D175" s="61" t="s">
        <v>226</v>
      </c>
      <c r="E175" s="71">
        <v>1.395833333333333</v>
      </c>
      <c r="F175" s="61" t="s">
        <v>43</v>
      </c>
      <c r="G175" s="63">
        <v>4</v>
      </c>
      <c r="H175" s="64">
        <v>859</v>
      </c>
    </row>
    <row r="176" spans="1:8" ht="19.8" customHeight="1" x14ac:dyDescent="0.3">
      <c r="A176" s="70">
        <v>45983</v>
      </c>
      <c r="B176" s="61" t="s">
        <v>36</v>
      </c>
      <c r="C176" s="62" t="s">
        <v>238</v>
      </c>
      <c r="D176" s="61" t="s">
        <v>226</v>
      </c>
      <c r="E176" s="71">
        <v>1.6597222222222221</v>
      </c>
      <c r="F176" s="61" t="s">
        <v>43</v>
      </c>
      <c r="G176" s="63">
        <v>8</v>
      </c>
      <c r="H176" s="64">
        <v>859</v>
      </c>
    </row>
    <row r="177" spans="1:8" ht="19.8" customHeight="1" x14ac:dyDescent="0.3">
      <c r="A177" s="70">
        <v>45983</v>
      </c>
      <c r="B177" s="61" t="s">
        <v>269</v>
      </c>
      <c r="C177" s="62" t="s">
        <v>270</v>
      </c>
      <c r="D177" s="61" t="s">
        <v>226</v>
      </c>
      <c r="E177" s="71">
        <v>1.288194444444444</v>
      </c>
      <c r="F177" s="61" t="s">
        <v>34</v>
      </c>
      <c r="G177" s="63">
        <v>9</v>
      </c>
      <c r="H177" s="64">
        <v>866</v>
      </c>
    </row>
    <row r="178" spans="1:8" ht="19.8" customHeight="1" x14ac:dyDescent="0.3">
      <c r="A178" s="70">
        <v>45983</v>
      </c>
      <c r="B178" s="61" t="s">
        <v>36</v>
      </c>
      <c r="C178" s="62" t="s">
        <v>235</v>
      </c>
      <c r="D178" s="61" t="s">
        <v>226</v>
      </c>
      <c r="E178" s="71">
        <v>1.9027777777777779</v>
      </c>
      <c r="F178" s="61" t="s">
        <v>43</v>
      </c>
      <c r="G178" s="63">
        <v>9</v>
      </c>
      <c r="H178" s="64">
        <v>909</v>
      </c>
    </row>
    <row r="179" spans="1:8" ht="19.8" customHeight="1" x14ac:dyDescent="0.3">
      <c r="A179" s="70">
        <v>45983</v>
      </c>
      <c r="B179" s="61" t="s">
        <v>36</v>
      </c>
      <c r="C179" s="62" t="s">
        <v>236</v>
      </c>
      <c r="D179" s="61" t="s">
        <v>226</v>
      </c>
      <c r="E179" s="71">
        <v>1.7986111111111109</v>
      </c>
      <c r="F179" s="61" t="s">
        <v>43</v>
      </c>
      <c r="G179" s="63">
        <v>9</v>
      </c>
      <c r="H179" s="64">
        <v>909</v>
      </c>
    </row>
    <row r="180" spans="1:8" ht="19.8" customHeight="1" x14ac:dyDescent="0.3">
      <c r="A180" s="70">
        <v>45983</v>
      </c>
      <c r="B180" s="61" t="s">
        <v>269</v>
      </c>
      <c r="C180" s="62" t="s">
        <v>377</v>
      </c>
      <c r="D180" s="61" t="s">
        <v>226</v>
      </c>
      <c r="E180" s="71">
        <v>1.2152777777777779</v>
      </c>
      <c r="F180" s="61" t="s">
        <v>34</v>
      </c>
      <c r="G180" s="63">
        <v>9</v>
      </c>
      <c r="H180" s="64">
        <v>927</v>
      </c>
    </row>
    <row r="181" spans="1:8" ht="19.8" customHeight="1" x14ac:dyDescent="0.3">
      <c r="A181" s="70">
        <v>45983</v>
      </c>
      <c r="B181" s="61" t="s">
        <v>26</v>
      </c>
      <c r="C181" s="62" t="s">
        <v>258</v>
      </c>
      <c r="D181" s="61" t="s">
        <v>226</v>
      </c>
      <c r="E181" s="71">
        <v>1.1284722222222221</v>
      </c>
      <c r="F181" s="61" t="s">
        <v>34</v>
      </c>
      <c r="G181" s="63">
        <v>7</v>
      </c>
      <c r="H181" s="65" t="s">
        <v>35</v>
      </c>
    </row>
    <row r="182" spans="1:8" ht="19.8" customHeight="1" x14ac:dyDescent="0.3">
      <c r="A182" s="70">
        <v>45983</v>
      </c>
      <c r="B182" s="61" t="s">
        <v>26</v>
      </c>
      <c r="C182" s="62" t="s">
        <v>248</v>
      </c>
      <c r="D182" s="61" t="s">
        <v>226</v>
      </c>
      <c r="E182" s="71">
        <v>1.302083333333333</v>
      </c>
      <c r="F182" s="61" t="s">
        <v>34</v>
      </c>
      <c r="G182" s="63">
        <v>15</v>
      </c>
      <c r="H182" s="65" t="s">
        <v>35</v>
      </c>
    </row>
    <row r="183" spans="1:8" ht="19.8" customHeight="1" x14ac:dyDescent="0.3">
      <c r="A183" s="70">
        <v>45983</v>
      </c>
      <c r="B183" s="61" t="s">
        <v>26</v>
      </c>
      <c r="C183" s="62" t="s">
        <v>252</v>
      </c>
      <c r="D183" s="61" t="s">
        <v>226</v>
      </c>
      <c r="E183" s="71">
        <v>1.8888888888888891</v>
      </c>
      <c r="F183" s="61" t="s">
        <v>34</v>
      </c>
      <c r="G183" s="63">
        <v>14</v>
      </c>
      <c r="H183" s="65" t="s">
        <v>35</v>
      </c>
    </row>
    <row r="184" spans="1:8" ht="19.8" customHeight="1" x14ac:dyDescent="0.3">
      <c r="A184" s="70">
        <v>45983</v>
      </c>
      <c r="B184" s="61" t="s">
        <v>26</v>
      </c>
      <c r="C184" s="62" t="s">
        <v>255</v>
      </c>
      <c r="D184" s="61" t="s">
        <v>226</v>
      </c>
      <c r="E184" s="71">
        <v>1.788194444444444</v>
      </c>
      <c r="F184" s="61" t="s">
        <v>34</v>
      </c>
      <c r="G184" s="63">
        <v>14</v>
      </c>
      <c r="H184" s="65" t="s">
        <v>35</v>
      </c>
    </row>
    <row r="185" spans="1:8" ht="19.8" customHeight="1" x14ac:dyDescent="0.3">
      <c r="A185" s="70">
        <v>45983</v>
      </c>
      <c r="B185" s="61" t="s">
        <v>64</v>
      </c>
      <c r="C185" s="62" t="s">
        <v>312</v>
      </c>
      <c r="D185" s="61" t="s">
        <v>226</v>
      </c>
      <c r="E185" s="71">
        <v>1.006944444444444</v>
      </c>
      <c r="F185" s="61" t="s">
        <v>66</v>
      </c>
      <c r="G185" s="63">
        <v>9</v>
      </c>
      <c r="H185" s="65" t="s">
        <v>309</v>
      </c>
    </row>
    <row r="186" spans="1:8" ht="19.8" customHeight="1" x14ac:dyDescent="0.3">
      <c r="A186" s="70">
        <v>45983</v>
      </c>
      <c r="B186" s="61" t="s">
        <v>64</v>
      </c>
      <c r="C186" s="62" t="s">
        <v>308</v>
      </c>
      <c r="D186" s="61" t="s">
        <v>226</v>
      </c>
      <c r="E186" s="71">
        <v>1.1423611111111109</v>
      </c>
      <c r="F186" s="61" t="s">
        <v>66</v>
      </c>
      <c r="G186" s="63">
        <v>9</v>
      </c>
      <c r="H186" s="65" t="s">
        <v>309</v>
      </c>
    </row>
    <row r="187" spans="1:8" ht="19.8" customHeight="1" x14ac:dyDescent="0.3">
      <c r="A187" s="70">
        <v>45983</v>
      </c>
      <c r="B187" s="61" t="s">
        <v>64</v>
      </c>
      <c r="C187" s="62" t="s">
        <v>315</v>
      </c>
      <c r="D187" s="61" t="s">
        <v>226</v>
      </c>
      <c r="E187" s="71">
        <v>1.930555555555556</v>
      </c>
      <c r="F187" s="61" t="s">
        <v>66</v>
      </c>
      <c r="G187" s="63">
        <v>9</v>
      </c>
      <c r="H187" s="65" t="s">
        <v>309</v>
      </c>
    </row>
    <row r="188" spans="1:8" ht="19.8" customHeight="1" x14ac:dyDescent="0.3">
      <c r="A188" s="70">
        <v>45983</v>
      </c>
      <c r="B188" s="61" t="s">
        <v>64</v>
      </c>
      <c r="C188" s="62" t="s">
        <v>311</v>
      </c>
      <c r="D188" s="61" t="s">
        <v>226</v>
      </c>
      <c r="E188" s="71">
        <v>1.243055555555556</v>
      </c>
      <c r="F188" s="61" t="s">
        <v>66</v>
      </c>
      <c r="G188" s="63">
        <v>9</v>
      </c>
      <c r="H188" s="65" t="s">
        <v>309</v>
      </c>
    </row>
    <row r="189" spans="1:8" ht="19.8" customHeight="1" x14ac:dyDescent="0.3">
      <c r="A189" s="70">
        <v>45983</v>
      </c>
      <c r="B189" s="61" t="s">
        <v>51</v>
      </c>
      <c r="C189" s="62" t="s">
        <v>332</v>
      </c>
      <c r="D189" s="61" t="s">
        <v>226</v>
      </c>
      <c r="E189" s="71">
        <v>1.229166666666667</v>
      </c>
      <c r="F189" s="61" t="s">
        <v>53</v>
      </c>
      <c r="G189" s="63">
        <v>9</v>
      </c>
      <c r="H189" s="65" t="s">
        <v>328</v>
      </c>
    </row>
    <row r="190" spans="1:8" ht="19.8" customHeight="1" x14ac:dyDescent="0.3">
      <c r="A190" s="70">
        <v>45983</v>
      </c>
      <c r="B190" s="61" t="s">
        <v>64</v>
      </c>
      <c r="C190" s="62" t="s">
        <v>312</v>
      </c>
      <c r="D190" s="61" t="s">
        <v>226</v>
      </c>
      <c r="E190" s="71">
        <v>1.006944444444444</v>
      </c>
      <c r="F190" s="61" t="s">
        <v>68</v>
      </c>
      <c r="G190" s="63">
        <v>9</v>
      </c>
      <c r="H190" s="65" t="s">
        <v>310</v>
      </c>
    </row>
    <row r="191" spans="1:8" ht="19.8" customHeight="1" x14ac:dyDescent="0.3">
      <c r="A191" s="70">
        <v>45983</v>
      </c>
      <c r="B191" s="61" t="s">
        <v>64</v>
      </c>
      <c r="C191" s="62" t="s">
        <v>308</v>
      </c>
      <c r="D191" s="61" t="s">
        <v>226</v>
      </c>
      <c r="E191" s="71">
        <v>1.1423611111111109</v>
      </c>
      <c r="F191" s="61" t="s">
        <v>68</v>
      </c>
      <c r="G191" s="63">
        <v>9</v>
      </c>
      <c r="H191" s="65" t="s">
        <v>310</v>
      </c>
    </row>
    <row r="192" spans="1:8" ht="19.8" customHeight="1" x14ac:dyDescent="0.3">
      <c r="A192" s="70">
        <v>45983</v>
      </c>
      <c r="B192" s="61" t="s">
        <v>64</v>
      </c>
      <c r="C192" s="62" t="s">
        <v>315</v>
      </c>
      <c r="D192" s="61" t="s">
        <v>226</v>
      </c>
      <c r="E192" s="71">
        <v>1.930555555555556</v>
      </c>
      <c r="F192" s="61" t="s">
        <v>68</v>
      </c>
      <c r="G192" s="63">
        <v>9</v>
      </c>
      <c r="H192" s="65" t="s">
        <v>310</v>
      </c>
    </row>
    <row r="193" spans="1:8" ht="19.8" customHeight="1" x14ac:dyDescent="0.3">
      <c r="A193" s="70">
        <v>45983</v>
      </c>
      <c r="B193" s="61" t="s">
        <v>64</v>
      </c>
      <c r="C193" s="62" t="s">
        <v>311</v>
      </c>
      <c r="D193" s="61" t="s">
        <v>226</v>
      </c>
      <c r="E193" s="71">
        <v>1.243055555555556</v>
      </c>
      <c r="F193" s="61" t="s">
        <v>68</v>
      </c>
      <c r="G193" s="63">
        <v>9</v>
      </c>
      <c r="H193" s="65" t="s">
        <v>310</v>
      </c>
    </row>
    <row r="194" spans="1:8" ht="19.8" customHeight="1" x14ac:dyDescent="0.3">
      <c r="A194" s="70">
        <v>45983</v>
      </c>
      <c r="B194" s="61" t="s">
        <v>51</v>
      </c>
      <c r="C194" s="62" t="s">
        <v>338</v>
      </c>
      <c r="D194" s="61" t="s">
        <v>226</v>
      </c>
      <c r="E194" s="71">
        <v>1.2777777777777779</v>
      </c>
      <c r="F194" s="61" t="s">
        <v>53</v>
      </c>
      <c r="G194" s="63">
        <v>9</v>
      </c>
      <c r="H194" s="65" t="s">
        <v>330</v>
      </c>
    </row>
    <row r="195" spans="1:8" ht="19.8" customHeight="1" x14ac:dyDescent="0.3">
      <c r="A195" s="70">
        <v>45983</v>
      </c>
      <c r="B195" s="61" t="s">
        <v>51</v>
      </c>
      <c r="C195" s="62" t="s">
        <v>327</v>
      </c>
      <c r="D195" s="61" t="s">
        <v>226</v>
      </c>
      <c r="E195" s="71">
        <v>1.0138888888888891</v>
      </c>
      <c r="F195" s="61" t="s">
        <v>53</v>
      </c>
      <c r="G195" s="63">
        <v>9</v>
      </c>
      <c r="H195" s="65" t="s">
        <v>333</v>
      </c>
    </row>
    <row r="196" spans="1:8" ht="19.8" customHeight="1" x14ac:dyDescent="0.3">
      <c r="A196" s="70">
        <v>45983</v>
      </c>
      <c r="B196" s="61" t="s">
        <v>64</v>
      </c>
      <c r="C196" s="62" t="s">
        <v>368</v>
      </c>
      <c r="D196" s="61" t="s">
        <v>226</v>
      </c>
      <c r="E196" s="71">
        <v>1.71875</v>
      </c>
      <c r="F196" s="61" t="s">
        <v>66</v>
      </c>
      <c r="G196" s="63">
        <v>9</v>
      </c>
      <c r="H196" s="65" t="s">
        <v>313</v>
      </c>
    </row>
    <row r="197" spans="1:8" ht="19.8" customHeight="1" x14ac:dyDescent="0.3">
      <c r="A197" s="70">
        <v>45983</v>
      </c>
      <c r="B197" s="61" t="s">
        <v>64</v>
      </c>
      <c r="C197" s="62" t="s">
        <v>318</v>
      </c>
      <c r="D197" s="61" t="s">
        <v>226</v>
      </c>
      <c r="E197" s="71">
        <v>1.3784722222222221</v>
      </c>
      <c r="F197" s="61" t="s">
        <v>66</v>
      </c>
      <c r="G197" s="63">
        <v>9</v>
      </c>
      <c r="H197" s="65" t="s">
        <v>313</v>
      </c>
    </row>
    <row r="198" spans="1:8" ht="19.8" customHeight="1" x14ac:dyDescent="0.3">
      <c r="A198" s="70">
        <v>45983</v>
      </c>
      <c r="B198" s="61" t="s">
        <v>64</v>
      </c>
      <c r="C198" s="62" t="s">
        <v>371</v>
      </c>
      <c r="D198" s="61" t="s">
        <v>226</v>
      </c>
      <c r="E198" s="71">
        <v>1.6111111111111109</v>
      </c>
      <c r="F198" s="61" t="s">
        <v>66</v>
      </c>
      <c r="G198" s="63">
        <v>9</v>
      </c>
      <c r="H198" s="65" t="s">
        <v>313</v>
      </c>
    </row>
    <row r="199" spans="1:8" ht="19.8" customHeight="1" x14ac:dyDescent="0.3">
      <c r="A199" s="70">
        <v>45983</v>
      </c>
      <c r="B199" s="61" t="s">
        <v>64</v>
      </c>
      <c r="C199" s="62" t="s">
        <v>368</v>
      </c>
      <c r="D199" s="61" t="s">
        <v>226</v>
      </c>
      <c r="E199" s="71">
        <v>1.71875</v>
      </c>
      <c r="F199" s="61" t="s">
        <v>68</v>
      </c>
      <c r="G199" s="63">
        <v>9</v>
      </c>
      <c r="H199" s="65" t="s">
        <v>314</v>
      </c>
    </row>
    <row r="200" spans="1:8" ht="19.8" customHeight="1" x14ac:dyDescent="0.3">
      <c r="A200" s="70">
        <v>45983</v>
      </c>
      <c r="B200" s="61" t="s">
        <v>64</v>
      </c>
      <c r="C200" s="62" t="s">
        <v>318</v>
      </c>
      <c r="D200" s="61" t="s">
        <v>226</v>
      </c>
      <c r="E200" s="71">
        <v>1.3784722222222221</v>
      </c>
      <c r="F200" s="61" t="s">
        <v>68</v>
      </c>
      <c r="G200" s="63">
        <v>9</v>
      </c>
      <c r="H200" s="65" t="s">
        <v>314</v>
      </c>
    </row>
    <row r="201" spans="1:8" ht="19.8" customHeight="1" x14ac:dyDescent="0.3">
      <c r="A201" s="70">
        <v>45983</v>
      </c>
      <c r="B201" s="61" t="s">
        <v>64</v>
      </c>
      <c r="C201" s="62" t="s">
        <v>371</v>
      </c>
      <c r="D201" s="61" t="s">
        <v>226</v>
      </c>
      <c r="E201" s="71">
        <v>1.6111111111111109</v>
      </c>
      <c r="F201" s="61" t="s">
        <v>68</v>
      </c>
      <c r="G201" s="63">
        <v>9</v>
      </c>
      <c r="H201" s="65" t="s">
        <v>314</v>
      </c>
    </row>
    <row r="202" spans="1:8" ht="19.8" customHeight="1" x14ac:dyDescent="0.3">
      <c r="A202" s="70">
        <v>45983</v>
      </c>
      <c r="B202" s="61" t="s">
        <v>64</v>
      </c>
      <c r="C202" s="62" t="s">
        <v>319</v>
      </c>
      <c r="D202" s="61" t="s">
        <v>226</v>
      </c>
      <c r="E202" s="71">
        <v>1.302083333333333</v>
      </c>
      <c r="F202" s="61" t="s">
        <v>68</v>
      </c>
      <c r="G202" s="63">
        <v>4</v>
      </c>
      <c r="H202" s="65" t="s">
        <v>370</v>
      </c>
    </row>
    <row r="203" spans="1:8" ht="19.8" customHeight="1" x14ac:dyDescent="0.3">
      <c r="A203" s="70">
        <v>45983</v>
      </c>
      <c r="B203" s="61" t="s">
        <v>64</v>
      </c>
      <c r="C203" s="62" t="s">
        <v>321</v>
      </c>
      <c r="D203" s="61" t="s">
        <v>226</v>
      </c>
      <c r="E203" s="71">
        <v>1.1284722222222221</v>
      </c>
      <c r="F203" s="61" t="s">
        <v>68</v>
      </c>
      <c r="G203" s="63">
        <v>4</v>
      </c>
      <c r="H203" s="65" t="s">
        <v>370</v>
      </c>
    </row>
    <row r="204" spans="1:8" ht="19.8" customHeight="1" x14ac:dyDescent="0.3">
      <c r="A204" s="70">
        <v>45983</v>
      </c>
      <c r="B204" s="61" t="s">
        <v>64</v>
      </c>
      <c r="C204" s="62" t="s">
        <v>323</v>
      </c>
      <c r="D204" s="61" t="s">
        <v>226</v>
      </c>
      <c r="E204" s="71">
        <v>1.8888888888888891</v>
      </c>
      <c r="F204" s="61" t="s">
        <v>68</v>
      </c>
      <c r="G204" s="63">
        <v>4</v>
      </c>
      <c r="H204" s="65" t="s">
        <v>370</v>
      </c>
    </row>
    <row r="205" spans="1:8" ht="19.8" customHeight="1" x14ac:dyDescent="0.3">
      <c r="A205" s="70">
        <v>45983</v>
      </c>
      <c r="B205" s="61" t="s">
        <v>64</v>
      </c>
      <c r="C205" s="62" t="s">
        <v>324</v>
      </c>
      <c r="D205" s="61" t="s">
        <v>226</v>
      </c>
      <c r="E205" s="71">
        <v>1.8298611111111109</v>
      </c>
      <c r="F205" s="61" t="s">
        <v>66</v>
      </c>
      <c r="G205" s="63">
        <v>9</v>
      </c>
      <c r="H205" s="65" t="s">
        <v>316</v>
      </c>
    </row>
    <row r="206" spans="1:8" ht="19.8" customHeight="1" x14ac:dyDescent="0.3">
      <c r="A206" s="70">
        <v>45983</v>
      </c>
      <c r="B206" s="61" t="s">
        <v>64</v>
      </c>
      <c r="C206" s="62" t="s">
        <v>322</v>
      </c>
      <c r="D206" s="61" t="s">
        <v>226</v>
      </c>
      <c r="E206" s="71">
        <v>1.788194444444444</v>
      </c>
      <c r="F206" s="61" t="s">
        <v>68</v>
      </c>
      <c r="G206" s="63">
        <v>4</v>
      </c>
      <c r="H206" s="65" t="s">
        <v>320</v>
      </c>
    </row>
    <row r="207" spans="1:8" ht="19.8" customHeight="1" x14ac:dyDescent="0.3">
      <c r="A207" s="70">
        <v>45983</v>
      </c>
      <c r="B207" s="61" t="s">
        <v>64</v>
      </c>
      <c r="C207" s="62" t="s">
        <v>324</v>
      </c>
      <c r="D207" s="61" t="s">
        <v>226</v>
      </c>
      <c r="E207" s="71">
        <v>1.8298611111111109</v>
      </c>
      <c r="F207" s="61" t="s">
        <v>68</v>
      </c>
      <c r="G207" s="63">
        <v>9</v>
      </c>
      <c r="H207" s="65" t="s">
        <v>317</v>
      </c>
    </row>
    <row r="208" spans="1:8" ht="19.8" customHeight="1" x14ac:dyDescent="0.3">
      <c r="A208" s="70">
        <v>45983</v>
      </c>
      <c r="B208" s="61" t="s">
        <v>51</v>
      </c>
      <c r="C208" s="62" t="s">
        <v>334</v>
      </c>
      <c r="D208" s="61" t="s">
        <v>226</v>
      </c>
      <c r="E208" s="71">
        <v>1.770833333333333</v>
      </c>
      <c r="F208" s="61" t="s">
        <v>53</v>
      </c>
      <c r="G208" s="63">
        <v>4</v>
      </c>
      <c r="H208" s="65" t="s">
        <v>335</v>
      </c>
    </row>
    <row r="209" spans="1:8" ht="19.8" customHeight="1" x14ac:dyDescent="0.3">
      <c r="A209" s="70">
        <v>45983</v>
      </c>
      <c r="B209" s="61" t="s">
        <v>51</v>
      </c>
      <c r="C209" s="62" t="s">
        <v>337</v>
      </c>
      <c r="D209" s="61" t="s">
        <v>226</v>
      </c>
      <c r="E209" s="71">
        <v>1.145833333333333</v>
      </c>
      <c r="F209" s="61" t="s">
        <v>53</v>
      </c>
      <c r="G209" s="63">
        <v>2</v>
      </c>
      <c r="H209" s="65" t="s">
        <v>335</v>
      </c>
    </row>
    <row r="210" spans="1:8" ht="19.8" customHeight="1" x14ac:dyDescent="0.3">
      <c r="A210" s="70">
        <v>45983</v>
      </c>
      <c r="B210" s="61" t="s">
        <v>51</v>
      </c>
      <c r="C210" s="62" t="s">
        <v>329</v>
      </c>
      <c r="D210" s="61" t="s">
        <v>226</v>
      </c>
      <c r="E210" s="71">
        <v>1.4861111111111109</v>
      </c>
      <c r="F210" s="61" t="s">
        <v>53</v>
      </c>
      <c r="G210" s="63">
        <v>6</v>
      </c>
      <c r="H210" s="65" t="s">
        <v>335</v>
      </c>
    </row>
    <row r="211" spans="1:8" ht="19.8" customHeight="1" x14ac:dyDescent="0.3">
      <c r="A211" s="70">
        <v>45983</v>
      </c>
      <c r="B211" s="61" t="s">
        <v>51</v>
      </c>
      <c r="C211" s="62" t="s">
        <v>331</v>
      </c>
      <c r="D211" s="61" t="s">
        <v>226</v>
      </c>
      <c r="E211" s="71">
        <v>1.541666666666667</v>
      </c>
      <c r="F211" s="61" t="s">
        <v>53</v>
      </c>
      <c r="G211" s="63">
        <v>6</v>
      </c>
      <c r="H211" s="65" t="s">
        <v>335</v>
      </c>
    </row>
    <row r="212" spans="1:8" ht="19.8" customHeight="1" x14ac:dyDescent="0.3">
      <c r="A212" s="186">
        <v>45983</v>
      </c>
      <c r="B212" s="97" t="s">
        <v>80</v>
      </c>
      <c r="C212" s="98" t="s">
        <v>287</v>
      </c>
      <c r="D212" s="97" t="s">
        <v>226</v>
      </c>
      <c r="E212" s="187">
        <v>1.2361111111111109</v>
      </c>
      <c r="F212" s="97" t="s">
        <v>82</v>
      </c>
      <c r="G212" s="97"/>
      <c r="H212" s="117" t="s">
        <v>83</v>
      </c>
    </row>
    <row r="213" spans="1:8" ht="19.8" customHeight="1" x14ac:dyDescent="0.3">
      <c r="A213" s="186">
        <v>45983</v>
      </c>
      <c r="B213" s="97" t="s">
        <v>80</v>
      </c>
      <c r="C213" s="98" t="s">
        <v>283</v>
      </c>
      <c r="D213" s="97" t="s">
        <v>226</v>
      </c>
      <c r="E213" s="187">
        <v>1.333333333333333</v>
      </c>
      <c r="F213" s="97" t="s">
        <v>82</v>
      </c>
      <c r="G213" s="97"/>
      <c r="H213" s="117" t="s">
        <v>83</v>
      </c>
    </row>
    <row r="214" spans="1:8" ht="19.8" customHeight="1" x14ac:dyDescent="0.3">
      <c r="A214" s="78">
        <v>45983</v>
      </c>
      <c r="B214" s="67" t="s">
        <v>80</v>
      </c>
      <c r="C214" s="68" t="s">
        <v>299</v>
      </c>
      <c r="D214" s="67" t="s">
        <v>226</v>
      </c>
      <c r="E214" s="79">
        <v>1.680555555555556</v>
      </c>
      <c r="F214" s="67" t="s">
        <v>82</v>
      </c>
      <c r="G214" s="67"/>
      <c r="H214" s="69" t="s">
        <v>83</v>
      </c>
    </row>
  </sheetData>
  <pageMargins left="0.75" right="0.75" top="1" bottom="1" header="0.5" footer="0.5"/>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1.2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36</v>
      </c>
      <c r="C2" s="62" t="s">
        <v>227</v>
      </c>
      <c r="D2" s="61" t="s">
        <v>226</v>
      </c>
      <c r="E2" s="61" t="s">
        <v>482</v>
      </c>
      <c r="F2" s="61" t="s">
        <v>41</v>
      </c>
      <c r="G2" s="63">
        <v>9</v>
      </c>
      <c r="H2" s="64">
        <v>689</v>
      </c>
    </row>
    <row r="3" spans="1:8" ht="19.8" customHeight="1" x14ac:dyDescent="0.3">
      <c r="A3" s="60" t="s">
        <v>166</v>
      </c>
      <c r="B3" s="61" t="s">
        <v>36</v>
      </c>
      <c r="C3" s="62" t="s">
        <v>231</v>
      </c>
      <c r="D3" s="61" t="s">
        <v>226</v>
      </c>
      <c r="E3" s="61" t="s">
        <v>483</v>
      </c>
      <c r="F3" s="61" t="s">
        <v>41</v>
      </c>
      <c r="G3" s="63">
        <v>7</v>
      </c>
      <c r="H3" s="64">
        <v>689</v>
      </c>
    </row>
    <row r="4" spans="1:8" ht="19.8" customHeight="1" x14ac:dyDescent="0.3">
      <c r="A4" s="60" t="s">
        <v>166</v>
      </c>
      <c r="B4" s="61" t="s">
        <v>261</v>
      </c>
      <c r="C4" s="62" t="s">
        <v>262</v>
      </c>
      <c r="D4" s="61" t="s">
        <v>226</v>
      </c>
      <c r="E4" s="61" t="s">
        <v>488</v>
      </c>
      <c r="F4" s="61" t="s">
        <v>263</v>
      </c>
      <c r="G4" s="63">
        <v>1</v>
      </c>
      <c r="H4" s="64">
        <v>695</v>
      </c>
    </row>
    <row r="5" spans="1:8" ht="19.8" customHeight="1" x14ac:dyDescent="0.3">
      <c r="A5" s="60" t="s">
        <v>166</v>
      </c>
      <c r="B5" s="61" t="s">
        <v>269</v>
      </c>
      <c r="C5" s="62" t="s">
        <v>270</v>
      </c>
      <c r="D5" s="61" t="s">
        <v>226</v>
      </c>
      <c r="E5" s="61" t="s">
        <v>489</v>
      </c>
      <c r="F5" s="61" t="s">
        <v>271</v>
      </c>
      <c r="G5" s="63">
        <v>9</v>
      </c>
      <c r="H5" s="64">
        <v>706</v>
      </c>
    </row>
    <row r="6" spans="1:8" ht="19.8" customHeight="1" x14ac:dyDescent="0.3">
      <c r="A6" s="60" t="s">
        <v>166</v>
      </c>
      <c r="B6" s="61" t="s">
        <v>261</v>
      </c>
      <c r="C6" s="62" t="s">
        <v>265</v>
      </c>
      <c r="D6" s="61" t="s">
        <v>226</v>
      </c>
      <c r="E6" s="61" t="s">
        <v>491</v>
      </c>
      <c r="F6" s="61" t="s">
        <v>263</v>
      </c>
      <c r="G6" s="63">
        <v>4</v>
      </c>
      <c r="H6" s="64">
        <v>745</v>
      </c>
    </row>
    <row r="7" spans="1:8" ht="19.8" customHeight="1" x14ac:dyDescent="0.3">
      <c r="A7" s="60" t="s">
        <v>166</v>
      </c>
      <c r="B7" s="61" t="s">
        <v>273</v>
      </c>
      <c r="C7" s="62" t="s">
        <v>274</v>
      </c>
      <c r="D7" s="61" t="s">
        <v>226</v>
      </c>
      <c r="E7" s="61" t="s">
        <v>493</v>
      </c>
      <c r="F7" s="61" t="s">
        <v>263</v>
      </c>
      <c r="G7" s="63">
        <v>9</v>
      </c>
      <c r="H7" s="64">
        <v>749</v>
      </c>
    </row>
    <row r="8" spans="1:8" ht="19.8" customHeight="1" x14ac:dyDescent="0.3">
      <c r="A8" s="60" t="s">
        <v>166</v>
      </c>
      <c r="B8" s="61" t="s">
        <v>36</v>
      </c>
      <c r="C8" s="62" t="s">
        <v>232</v>
      </c>
      <c r="D8" s="61" t="s">
        <v>226</v>
      </c>
      <c r="E8" s="61" t="s">
        <v>173</v>
      </c>
      <c r="F8" s="61" t="s">
        <v>41</v>
      </c>
      <c r="G8" s="63">
        <v>9</v>
      </c>
      <c r="H8" s="64">
        <v>769</v>
      </c>
    </row>
    <row r="9" spans="1:8" ht="19.8" customHeight="1" x14ac:dyDescent="0.3">
      <c r="A9" s="60" t="s">
        <v>166</v>
      </c>
      <c r="B9" s="61" t="s">
        <v>36</v>
      </c>
      <c r="C9" s="62" t="s">
        <v>235</v>
      </c>
      <c r="D9" s="61" t="s">
        <v>226</v>
      </c>
      <c r="E9" s="61" t="s">
        <v>484</v>
      </c>
      <c r="F9" s="61" t="s">
        <v>41</v>
      </c>
      <c r="G9" s="63">
        <v>9</v>
      </c>
      <c r="H9" s="64">
        <v>769</v>
      </c>
    </row>
    <row r="10" spans="1:8" ht="19.8" customHeight="1" x14ac:dyDescent="0.3">
      <c r="A10" s="60" t="s">
        <v>166</v>
      </c>
      <c r="B10" s="61" t="s">
        <v>36</v>
      </c>
      <c r="C10" s="62" t="s">
        <v>236</v>
      </c>
      <c r="D10" s="61" t="s">
        <v>226</v>
      </c>
      <c r="E10" s="61" t="s">
        <v>485</v>
      </c>
      <c r="F10" s="61" t="s">
        <v>41</v>
      </c>
      <c r="G10" s="63">
        <v>9</v>
      </c>
      <c r="H10" s="64">
        <v>769</v>
      </c>
    </row>
    <row r="11" spans="1:8" ht="19.8" customHeight="1" x14ac:dyDescent="0.3">
      <c r="A11" s="60" t="s">
        <v>166</v>
      </c>
      <c r="B11" s="61" t="s">
        <v>36</v>
      </c>
      <c r="C11" s="62" t="s">
        <v>237</v>
      </c>
      <c r="D11" s="61" t="s">
        <v>226</v>
      </c>
      <c r="E11" s="61" t="s">
        <v>155</v>
      </c>
      <c r="F11" s="61" t="s">
        <v>41</v>
      </c>
      <c r="G11" s="63">
        <v>9</v>
      </c>
      <c r="H11" s="64">
        <v>769</v>
      </c>
    </row>
    <row r="12" spans="1:8" ht="19.8" customHeight="1" x14ac:dyDescent="0.3">
      <c r="A12" s="96" t="s">
        <v>166</v>
      </c>
      <c r="B12" s="97" t="s">
        <v>80</v>
      </c>
      <c r="C12" s="98" t="s">
        <v>275</v>
      </c>
      <c r="D12" s="97" t="s">
        <v>226</v>
      </c>
      <c r="E12" s="97" t="s">
        <v>412</v>
      </c>
      <c r="F12" s="97" t="s">
        <v>182</v>
      </c>
      <c r="G12" s="99">
        <v>7</v>
      </c>
      <c r="H12" s="100">
        <v>781</v>
      </c>
    </row>
    <row r="13" spans="1:8" ht="19.8" customHeight="1" x14ac:dyDescent="0.3">
      <c r="A13" s="186">
        <v>45981</v>
      </c>
      <c r="B13" s="97" t="s">
        <v>80</v>
      </c>
      <c r="C13" s="98" t="s">
        <v>282</v>
      </c>
      <c r="D13" s="97" t="s">
        <v>226</v>
      </c>
      <c r="E13" s="187">
        <v>1.333333333333333</v>
      </c>
      <c r="F13" s="97" t="s">
        <v>182</v>
      </c>
      <c r="G13" s="99">
        <v>4</v>
      </c>
      <c r="H13" s="100">
        <v>781</v>
      </c>
    </row>
    <row r="14" spans="1:8" ht="19.8" customHeight="1" x14ac:dyDescent="0.3">
      <c r="A14" s="186">
        <v>45981</v>
      </c>
      <c r="B14" s="97" t="s">
        <v>80</v>
      </c>
      <c r="C14" s="98" t="s">
        <v>286</v>
      </c>
      <c r="D14" s="97" t="s">
        <v>226</v>
      </c>
      <c r="E14" s="187">
        <v>1.2534722222222221</v>
      </c>
      <c r="F14" s="97" t="s">
        <v>182</v>
      </c>
      <c r="G14" s="99">
        <v>7</v>
      </c>
      <c r="H14" s="100">
        <v>781</v>
      </c>
    </row>
    <row r="15" spans="1:8" ht="19.8" customHeight="1" x14ac:dyDescent="0.3">
      <c r="A15" s="186">
        <v>45981</v>
      </c>
      <c r="B15" s="97" t="s">
        <v>80</v>
      </c>
      <c r="C15" s="98" t="s">
        <v>289</v>
      </c>
      <c r="D15" s="97" t="s">
        <v>226</v>
      </c>
      <c r="E15" s="187">
        <v>1.114583333333333</v>
      </c>
      <c r="F15" s="97" t="s">
        <v>182</v>
      </c>
      <c r="G15" s="99">
        <v>6</v>
      </c>
      <c r="H15" s="100">
        <v>781</v>
      </c>
    </row>
    <row r="16" spans="1:8" ht="19.8" customHeight="1" x14ac:dyDescent="0.3">
      <c r="A16" s="186">
        <v>45981</v>
      </c>
      <c r="B16" s="97" t="s">
        <v>80</v>
      </c>
      <c r="C16" s="98" t="s">
        <v>292</v>
      </c>
      <c r="D16" s="97" t="s">
        <v>226</v>
      </c>
      <c r="E16" s="187">
        <v>1.0486111111111109</v>
      </c>
      <c r="F16" s="97" t="s">
        <v>182</v>
      </c>
      <c r="G16" s="99">
        <v>8</v>
      </c>
      <c r="H16" s="100">
        <v>781</v>
      </c>
    </row>
    <row r="17" spans="1:8" ht="19.8" customHeight="1" x14ac:dyDescent="0.3">
      <c r="A17" s="70">
        <v>45981</v>
      </c>
      <c r="B17" s="61" t="s">
        <v>36</v>
      </c>
      <c r="C17" s="62" t="s">
        <v>244</v>
      </c>
      <c r="D17" s="61" t="s">
        <v>226</v>
      </c>
      <c r="E17" s="71">
        <v>1.5173611111111109</v>
      </c>
      <c r="F17" s="61" t="s">
        <v>41</v>
      </c>
      <c r="G17" s="63">
        <v>5</v>
      </c>
      <c r="H17" s="64">
        <v>929</v>
      </c>
    </row>
    <row r="18" spans="1:8" ht="19.8" customHeight="1" x14ac:dyDescent="0.3">
      <c r="A18" s="186">
        <v>45981</v>
      </c>
      <c r="B18" s="97" t="s">
        <v>80</v>
      </c>
      <c r="C18" s="98" t="s">
        <v>297</v>
      </c>
      <c r="D18" s="97" t="s">
        <v>226</v>
      </c>
      <c r="E18" s="187">
        <v>1.583333333333333</v>
      </c>
      <c r="F18" s="97" t="s">
        <v>182</v>
      </c>
      <c r="G18" s="99">
        <v>7</v>
      </c>
      <c r="H18" s="100">
        <v>952</v>
      </c>
    </row>
    <row r="19" spans="1:8" ht="19.8" customHeight="1" x14ac:dyDescent="0.3">
      <c r="A19" s="186">
        <v>45981</v>
      </c>
      <c r="B19" s="97" t="s">
        <v>80</v>
      </c>
      <c r="C19" s="98" t="s">
        <v>303</v>
      </c>
      <c r="D19" s="97" t="s">
        <v>226</v>
      </c>
      <c r="E19" s="187">
        <v>1.739583333333333</v>
      </c>
      <c r="F19" s="97" t="s">
        <v>182</v>
      </c>
      <c r="G19" s="99">
        <v>6</v>
      </c>
      <c r="H19" s="117" t="s">
        <v>304</v>
      </c>
    </row>
    <row r="20" spans="1:8" ht="19.8" customHeight="1" x14ac:dyDescent="0.3">
      <c r="A20" s="70">
        <v>45981</v>
      </c>
      <c r="B20" s="61" t="s">
        <v>51</v>
      </c>
      <c r="C20" s="62" t="s">
        <v>329</v>
      </c>
      <c r="D20" s="61" t="s">
        <v>226</v>
      </c>
      <c r="E20" s="71">
        <v>1.4861111111111109</v>
      </c>
      <c r="F20" s="61" t="s">
        <v>53</v>
      </c>
      <c r="G20" s="63">
        <v>9</v>
      </c>
      <c r="H20" s="65" t="s">
        <v>330</v>
      </c>
    </row>
    <row r="21" spans="1:8" ht="19.8" customHeight="1" x14ac:dyDescent="0.3">
      <c r="A21" s="70">
        <v>45981</v>
      </c>
      <c r="B21" s="61" t="s">
        <v>51</v>
      </c>
      <c r="C21" s="62" t="s">
        <v>331</v>
      </c>
      <c r="D21" s="61" t="s">
        <v>226</v>
      </c>
      <c r="E21" s="71">
        <v>1.5138888888888891</v>
      </c>
      <c r="F21" s="61" t="s">
        <v>53</v>
      </c>
      <c r="G21" s="63">
        <v>9</v>
      </c>
      <c r="H21" s="65" t="s">
        <v>330</v>
      </c>
    </row>
    <row r="22" spans="1:8" ht="19.8" customHeight="1" x14ac:dyDescent="0.3">
      <c r="A22" s="72">
        <v>45981</v>
      </c>
      <c r="B22" s="73" t="s">
        <v>51</v>
      </c>
      <c r="C22" s="74" t="s">
        <v>332</v>
      </c>
      <c r="D22" s="73" t="s">
        <v>226</v>
      </c>
      <c r="E22" s="75">
        <v>1.2222222222222221</v>
      </c>
      <c r="F22" s="73" t="s">
        <v>53</v>
      </c>
      <c r="G22" s="76">
        <v>9</v>
      </c>
      <c r="H22" s="77" t="s">
        <v>333</v>
      </c>
    </row>
    <row r="23" spans="1:8" ht="19.8" customHeight="1" x14ac:dyDescent="0.3">
      <c r="A23" s="70">
        <v>45982</v>
      </c>
      <c r="B23" s="61" t="s">
        <v>36</v>
      </c>
      <c r="C23" s="62" t="s">
        <v>235</v>
      </c>
      <c r="D23" s="61" t="s">
        <v>226</v>
      </c>
      <c r="E23" s="71">
        <v>1.9027777777777779</v>
      </c>
      <c r="F23" s="61" t="s">
        <v>41</v>
      </c>
      <c r="G23" s="63">
        <v>1</v>
      </c>
      <c r="H23" s="64">
        <v>769</v>
      </c>
    </row>
    <row r="24" spans="1:8" ht="19.8" customHeight="1" x14ac:dyDescent="0.3">
      <c r="A24" s="70">
        <v>45982</v>
      </c>
      <c r="B24" s="61" t="s">
        <v>36</v>
      </c>
      <c r="C24" s="62" t="s">
        <v>236</v>
      </c>
      <c r="D24" s="61" t="s">
        <v>226</v>
      </c>
      <c r="E24" s="71">
        <v>1.7986111111111109</v>
      </c>
      <c r="F24" s="61" t="s">
        <v>41</v>
      </c>
      <c r="G24" s="63">
        <v>2</v>
      </c>
      <c r="H24" s="64">
        <v>769</v>
      </c>
    </row>
    <row r="25" spans="1:8" ht="19.8" customHeight="1" x14ac:dyDescent="0.3">
      <c r="A25" s="70">
        <v>45982</v>
      </c>
      <c r="B25" s="61" t="s">
        <v>36</v>
      </c>
      <c r="C25" s="62" t="s">
        <v>232</v>
      </c>
      <c r="D25" s="61" t="s">
        <v>226</v>
      </c>
      <c r="E25" s="71">
        <v>1.854166666666667</v>
      </c>
      <c r="F25" s="61" t="s">
        <v>41</v>
      </c>
      <c r="G25" s="63">
        <v>9</v>
      </c>
      <c r="H25" s="64">
        <v>819</v>
      </c>
    </row>
    <row r="26" spans="1:8" ht="19.8" customHeight="1" x14ac:dyDescent="0.3">
      <c r="A26" s="70">
        <v>45982</v>
      </c>
      <c r="B26" s="61" t="s">
        <v>36</v>
      </c>
      <c r="C26" s="62" t="s">
        <v>244</v>
      </c>
      <c r="D26" s="61" t="s">
        <v>226</v>
      </c>
      <c r="E26" s="71">
        <v>1.5173611111111109</v>
      </c>
      <c r="F26" s="61" t="s">
        <v>41</v>
      </c>
      <c r="G26" s="63">
        <v>4</v>
      </c>
      <c r="H26" s="64">
        <v>819</v>
      </c>
    </row>
    <row r="27" spans="1:8" ht="19.8" customHeight="1" x14ac:dyDescent="0.3">
      <c r="A27" s="70">
        <v>45982</v>
      </c>
      <c r="B27" s="61" t="s">
        <v>36</v>
      </c>
      <c r="C27" s="62" t="s">
        <v>237</v>
      </c>
      <c r="D27" s="61" t="s">
        <v>226</v>
      </c>
      <c r="E27" s="71">
        <v>1.395833333333333</v>
      </c>
      <c r="F27" s="61" t="s">
        <v>41</v>
      </c>
      <c r="G27" s="63">
        <v>6</v>
      </c>
      <c r="H27" s="64">
        <v>819</v>
      </c>
    </row>
    <row r="28" spans="1:8" ht="19.8" customHeight="1" x14ac:dyDescent="0.3">
      <c r="A28" s="70">
        <v>45982</v>
      </c>
      <c r="B28" s="61" t="s">
        <v>36</v>
      </c>
      <c r="C28" s="62" t="s">
        <v>238</v>
      </c>
      <c r="D28" s="61" t="s">
        <v>226</v>
      </c>
      <c r="E28" s="71">
        <v>1.645833333333333</v>
      </c>
      <c r="F28" s="61" t="s">
        <v>41</v>
      </c>
      <c r="G28" s="63">
        <v>9</v>
      </c>
      <c r="H28" s="64">
        <v>819</v>
      </c>
    </row>
    <row r="29" spans="1:8" ht="19.8" customHeight="1" x14ac:dyDescent="0.3">
      <c r="A29" s="70">
        <v>45982</v>
      </c>
      <c r="B29" s="61" t="s">
        <v>273</v>
      </c>
      <c r="C29" s="62" t="s">
        <v>352</v>
      </c>
      <c r="D29" s="61" t="s">
        <v>226</v>
      </c>
      <c r="E29" s="71">
        <v>1.416666666666667</v>
      </c>
      <c r="F29" s="61" t="s">
        <v>263</v>
      </c>
      <c r="G29" s="63">
        <v>1</v>
      </c>
      <c r="H29" s="64">
        <v>834</v>
      </c>
    </row>
    <row r="30" spans="1:8" ht="19.8" customHeight="1" x14ac:dyDescent="0.3">
      <c r="A30" s="70">
        <v>45982</v>
      </c>
      <c r="B30" s="61" t="s">
        <v>273</v>
      </c>
      <c r="C30" s="62" t="s">
        <v>274</v>
      </c>
      <c r="D30" s="61" t="s">
        <v>226</v>
      </c>
      <c r="E30" s="71">
        <v>1.7152777777777779</v>
      </c>
      <c r="F30" s="61" t="s">
        <v>263</v>
      </c>
      <c r="G30" s="63">
        <v>1</v>
      </c>
      <c r="H30" s="64">
        <v>834</v>
      </c>
    </row>
    <row r="31" spans="1:8" ht="19.8" customHeight="1" x14ac:dyDescent="0.3">
      <c r="A31" s="186">
        <v>45982</v>
      </c>
      <c r="B31" s="97" t="s">
        <v>80</v>
      </c>
      <c r="C31" s="98" t="s">
        <v>289</v>
      </c>
      <c r="D31" s="97" t="s">
        <v>226</v>
      </c>
      <c r="E31" s="187">
        <v>1.7361111111111109</v>
      </c>
      <c r="F31" s="97" t="s">
        <v>182</v>
      </c>
      <c r="G31" s="99">
        <v>5</v>
      </c>
      <c r="H31" s="100">
        <v>856</v>
      </c>
    </row>
    <row r="32" spans="1:8" ht="19.8" customHeight="1" x14ac:dyDescent="0.3">
      <c r="A32" s="186">
        <v>45982</v>
      </c>
      <c r="B32" s="97" t="s">
        <v>80</v>
      </c>
      <c r="C32" s="98" t="s">
        <v>292</v>
      </c>
      <c r="D32" s="97" t="s">
        <v>226</v>
      </c>
      <c r="E32" s="187">
        <v>1.114583333333333</v>
      </c>
      <c r="F32" s="97" t="s">
        <v>182</v>
      </c>
      <c r="G32" s="99">
        <v>3</v>
      </c>
      <c r="H32" s="100">
        <v>856</v>
      </c>
    </row>
    <row r="33" spans="1:8" ht="19.8" customHeight="1" x14ac:dyDescent="0.3">
      <c r="A33" s="186">
        <v>45982</v>
      </c>
      <c r="B33" s="97" t="s">
        <v>80</v>
      </c>
      <c r="C33" s="98" t="s">
        <v>303</v>
      </c>
      <c r="D33" s="97" t="s">
        <v>226</v>
      </c>
      <c r="E33" s="187">
        <v>1.614583333333333</v>
      </c>
      <c r="F33" s="97" t="s">
        <v>182</v>
      </c>
      <c r="G33" s="99">
        <v>6</v>
      </c>
      <c r="H33" s="100">
        <v>856</v>
      </c>
    </row>
    <row r="34" spans="1:8" ht="19.8" customHeight="1" x14ac:dyDescent="0.3">
      <c r="A34" s="186">
        <v>45982</v>
      </c>
      <c r="B34" s="97" t="s">
        <v>80</v>
      </c>
      <c r="C34" s="98" t="s">
        <v>297</v>
      </c>
      <c r="D34" s="97" t="s">
        <v>226</v>
      </c>
      <c r="E34" s="187">
        <v>1.458333333333333</v>
      </c>
      <c r="F34" s="97" t="s">
        <v>182</v>
      </c>
      <c r="G34" s="99">
        <v>7</v>
      </c>
      <c r="H34" s="100">
        <v>856</v>
      </c>
    </row>
    <row r="35" spans="1:8" ht="19.8" customHeight="1" x14ac:dyDescent="0.3">
      <c r="A35" s="70">
        <v>45982</v>
      </c>
      <c r="B35" s="61" t="s">
        <v>36</v>
      </c>
      <c r="C35" s="62" t="s">
        <v>227</v>
      </c>
      <c r="D35" s="61" t="s">
        <v>226</v>
      </c>
      <c r="E35" s="71">
        <v>1.256944444444444</v>
      </c>
      <c r="F35" s="61" t="s">
        <v>41</v>
      </c>
      <c r="G35" s="63">
        <v>4</v>
      </c>
      <c r="H35" s="64">
        <v>929</v>
      </c>
    </row>
    <row r="36" spans="1:8" ht="19.8" customHeight="1" x14ac:dyDescent="0.3">
      <c r="A36" s="186">
        <v>45982</v>
      </c>
      <c r="B36" s="97" t="s">
        <v>80</v>
      </c>
      <c r="C36" s="98" t="s">
        <v>282</v>
      </c>
      <c r="D36" s="97" t="s">
        <v>226</v>
      </c>
      <c r="E36" s="187">
        <v>1.319444444444444</v>
      </c>
      <c r="F36" s="97" t="s">
        <v>182</v>
      </c>
      <c r="G36" s="99">
        <v>7</v>
      </c>
      <c r="H36" s="100">
        <v>952</v>
      </c>
    </row>
    <row r="37" spans="1:8" ht="19.8" customHeight="1" x14ac:dyDescent="0.3">
      <c r="A37" s="78">
        <v>45982</v>
      </c>
      <c r="B37" s="67" t="s">
        <v>80</v>
      </c>
      <c r="C37" s="68" t="s">
        <v>365</v>
      </c>
      <c r="D37" s="67" t="s">
        <v>226</v>
      </c>
      <c r="E37" s="79">
        <v>1.9375</v>
      </c>
      <c r="F37" s="67" t="s">
        <v>82</v>
      </c>
      <c r="G37" s="67"/>
      <c r="H37" s="69" t="s">
        <v>83</v>
      </c>
    </row>
    <row r="38" spans="1:8" ht="19.8" customHeight="1" x14ac:dyDescent="0.3">
      <c r="A38" s="186">
        <v>45983</v>
      </c>
      <c r="B38" s="97" t="s">
        <v>80</v>
      </c>
      <c r="C38" s="98" t="s">
        <v>287</v>
      </c>
      <c r="D38" s="97" t="s">
        <v>226</v>
      </c>
      <c r="E38" s="187">
        <v>1.2361111111111109</v>
      </c>
      <c r="F38" s="97" t="s">
        <v>82</v>
      </c>
      <c r="G38" s="97"/>
      <c r="H38" s="117" t="s">
        <v>83</v>
      </c>
    </row>
    <row r="39" spans="1:8" ht="19.8" customHeight="1" x14ac:dyDescent="0.3">
      <c r="A39" s="186">
        <v>45983</v>
      </c>
      <c r="B39" s="97" t="s">
        <v>80</v>
      </c>
      <c r="C39" s="98" t="s">
        <v>283</v>
      </c>
      <c r="D39" s="97" t="s">
        <v>226</v>
      </c>
      <c r="E39" s="187">
        <v>1.333333333333333</v>
      </c>
      <c r="F39" s="97" t="s">
        <v>82</v>
      </c>
      <c r="G39" s="97"/>
      <c r="H39" s="117" t="s">
        <v>83</v>
      </c>
    </row>
    <row r="40" spans="1:8" ht="19.8" customHeight="1" x14ac:dyDescent="0.3">
      <c r="A40" s="78">
        <v>45983</v>
      </c>
      <c r="B40" s="67" t="s">
        <v>80</v>
      </c>
      <c r="C40" s="68" t="s">
        <v>299</v>
      </c>
      <c r="D40" s="67" t="s">
        <v>226</v>
      </c>
      <c r="E40" s="79">
        <v>1.680555555555556</v>
      </c>
      <c r="F40" s="67" t="s">
        <v>82</v>
      </c>
      <c r="G40" s="67"/>
      <c r="H40" s="69" t="s">
        <v>83</v>
      </c>
    </row>
  </sheetData>
  <pageMargins left="0.75" right="0.75" top="1" bottom="1" header="0.5" footer="0.5"/>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73"/>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 bestFit="1" customWidth="1"/>
  </cols>
  <sheetData>
    <row r="1" spans="1:92" ht="28.8" customHeight="1" x14ac:dyDescent="0.3">
      <c r="A1" s="257" t="s">
        <v>0</v>
      </c>
      <c r="B1" s="248"/>
      <c r="C1" s="248"/>
      <c r="D1" s="248"/>
      <c r="E1" s="248"/>
      <c r="F1" s="1" t="s">
        <v>494</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45980.430574013481</v>
      </c>
      <c r="H2" s="248"/>
      <c r="I2" s="248"/>
      <c r="J2" s="248"/>
      <c r="K2" s="259">
        <v>45980.430574013728</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269</v>
      </c>
      <c r="B6" s="8" t="s">
        <v>495</v>
      </c>
      <c r="C6" s="9">
        <v>0.79861111111111116</v>
      </c>
      <c r="D6" s="8" t="s">
        <v>496</v>
      </c>
      <c r="E6" s="8" t="s">
        <v>228</v>
      </c>
      <c r="F6" s="8" t="s">
        <v>497</v>
      </c>
      <c r="G6" s="250"/>
      <c r="H6" s="10"/>
      <c r="I6" s="11"/>
      <c r="J6" s="11"/>
      <c r="K6" s="11"/>
      <c r="L6" s="11"/>
      <c r="M6" s="11"/>
      <c r="N6" s="11"/>
      <c r="O6" s="12"/>
      <c r="P6" s="11"/>
      <c r="Q6" s="13"/>
      <c r="R6" s="14"/>
    </row>
    <row r="7" spans="1:92" ht="15" customHeight="1" x14ac:dyDescent="0.3">
      <c r="A7" s="15" t="s">
        <v>269</v>
      </c>
      <c r="B7" s="15" t="s">
        <v>495</v>
      </c>
      <c r="C7" s="16">
        <v>0.79861111111111116</v>
      </c>
      <c r="D7" s="15" t="s">
        <v>498</v>
      </c>
      <c r="E7" s="15" t="s">
        <v>48</v>
      </c>
      <c r="F7" s="15" t="s">
        <v>499</v>
      </c>
      <c r="G7" s="251"/>
      <c r="H7" s="10"/>
      <c r="I7" s="11"/>
      <c r="J7" s="11"/>
      <c r="K7" s="11"/>
      <c r="L7" s="11"/>
      <c r="M7" s="11"/>
      <c r="N7" s="11"/>
      <c r="O7" s="12"/>
      <c r="P7" s="11"/>
      <c r="Q7" s="13"/>
      <c r="R7" s="14"/>
    </row>
    <row r="8" spans="1:92" ht="15" customHeight="1" x14ac:dyDescent="0.3">
      <c r="A8" s="15" t="s">
        <v>269</v>
      </c>
      <c r="B8" s="15" t="s">
        <v>495</v>
      </c>
      <c r="C8" s="16">
        <v>0.79861111111111116</v>
      </c>
      <c r="D8" s="15" t="s">
        <v>34</v>
      </c>
      <c r="E8" s="15" t="s">
        <v>48</v>
      </c>
      <c r="F8" s="15" t="s">
        <v>500</v>
      </c>
      <c r="G8" s="251"/>
      <c r="H8" s="10"/>
      <c r="I8" s="11"/>
      <c r="J8" s="11"/>
      <c r="K8" s="11"/>
      <c r="L8" s="11"/>
      <c r="M8" s="11"/>
      <c r="N8" s="11"/>
      <c r="O8" s="12"/>
      <c r="P8" s="11"/>
      <c r="Q8" s="13"/>
      <c r="R8" s="14"/>
    </row>
    <row r="9" spans="1:92" ht="15" customHeight="1" x14ac:dyDescent="0.3">
      <c r="A9" s="19" t="s">
        <v>269</v>
      </c>
      <c r="B9" s="19" t="s">
        <v>501</v>
      </c>
      <c r="C9" s="20">
        <v>0.52777777777777779</v>
      </c>
      <c r="D9" s="19" t="s">
        <v>496</v>
      </c>
      <c r="E9" s="19" t="s">
        <v>73</v>
      </c>
      <c r="F9" s="19" t="s">
        <v>502</v>
      </c>
      <c r="G9" s="251"/>
      <c r="H9" s="10"/>
      <c r="I9" s="11"/>
      <c r="J9" s="11"/>
      <c r="K9" s="11"/>
      <c r="L9" s="11"/>
      <c r="M9" s="11"/>
      <c r="N9" s="11"/>
      <c r="O9" s="12"/>
      <c r="P9" s="11"/>
      <c r="Q9" s="13"/>
      <c r="R9" s="14"/>
    </row>
    <row r="10" spans="1:92" ht="15" customHeight="1" x14ac:dyDescent="0.3">
      <c r="A10" s="15" t="s">
        <v>269</v>
      </c>
      <c r="B10" s="15" t="s">
        <v>501</v>
      </c>
      <c r="C10" s="16">
        <v>0.52777777777777779</v>
      </c>
      <c r="D10" s="15" t="s">
        <v>498</v>
      </c>
      <c r="E10" s="15" t="s">
        <v>93</v>
      </c>
      <c r="F10" s="15" t="s">
        <v>503</v>
      </c>
      <c r="G10" s="251"/>
      <c r="H10" s="10"/>
      <c r="I10" s="11"/>
      <c r="J10" s="11"/>
      <c r="K10" s="11"/>
      <c r="L10" s="11"/>
      <c r="M10" s="11"/>
      <c r="N10" s="11"/>
      <c r="O10" s="12"/>
      <c r="P10" s="11"/>
      <c r="Q10" s="13"/>
      <c r="R10" s="14"/>
    </row>
    <row r="11" spans="1:92" ht="15" customHeight="1" x14ac:dyDescent="0.3">
      <c r="A11" s="15" t="s">
        <v>269</v>
      </c>
      <c r="B11" s="15" t="s">
        <v>501</v>
      </c>
      <c r="C11" s="16">
        <v>0.52777777777777779</v>
      </c>
      <c r="D11" s="15" t="s">
        <v>34</v>
      </c>
      <c r="E11" s="15" t="s">
        <v>93</v>
      </c>
      <c r="F11" s="15" t="s">
        <v>504</v>
      </c>
      <c r="G11" s="251"/>
      <c r="H11" s="10"/>
      <c r="I11" s="11"/>
      <c r="J11" s="11"/>
      <c r="K11" s="11"/>
      <c r="L11" s="11"/>
      <c r="M11" s="11"/>
      <c r="N11" s="11"/>
      <c r="O11" s="12"/>
      <c r="P11" s="11"/>
      <c r="Q11" s="13"/>
      <c r="R11" s="14"/>
    </row>
    <row r="12" spans="1:92" ht="15" customHeight="1" x14ac:dyDescent="0.3">
      <c r="A12" s="17" t="s">
        <v>64</v>
      </c>
      <c r="B12" s="17" t="s">
        <v>505</v>
      </c>
      <c r="C12" s="18">
        <v>0.34027777777777768</v>
      </c>
      <c r="D12" s="17" t="s">
        <v>66</v>
      </c>
      <c r="E12" s="17" t="s">
        <v>54</v>
      </c>
      <c r="F12" s="17" t="s">
        <v>506</v>
      </c>
      <c r="G12" s="251"/>
      <c r="H12" s="10"/>
      <c r="I12" s="11"/>
      <c r="J12" s="11"/>
      <c r="K12" s="11"/>
      <c r="L12" s="11"/>
      <c r="M12" s="11"/>
      <c r="N12" s="11"/>
      <c r="O12" s="12"/>
      <c r="P12" s="11"/>
      <c r="Q12" s="13"/>
      <c r="R12" s="14"/>
    </row>
    <row r="13" spans="1:92" ht="15" customHeight="1" x14ac:dyDescent="0.3">
      <c r="A13" s="15" t="s">
        <v>64</v>
      </c>
      <c r="B13" s="15" t="s">
        <v>505</v>
      </c>
      <c r="C13" s="16">
        <v>0.34027777777777768</v>
      </c>
      <c r="D13" s="15" t="s">
        <v>68</v>
      </c>
      <c r="E13" s="15" t="s">
        <v>69</v>
      </c>
      <c r="F13" s="15" t="s">
        <v>507</v>
      </c>
      <c r="G13" s="251"/>
      <c r="H13" s="10"/>
      <c r="I13" s="11"/>
      <c r="J13" s="11"/>
      <c r="K13" s="11"/>
      <c r="L13" s="11"/>
      <c r="M13" s="11"/>
      <c r="N13" s="11"/>
      <c r="O13" s="12"/>
      <c r="P13" s="11"/>
      <c r="Q13" s="13"/>
      <c r="R13" s="14"/>
    </row>
    <row r="14" spans="1:92" ht="15" customHeight="1" x14ac:dyDescent="0.3">
      <c r="A14" s="19" t="s">
        <v>64</v>
      </c>
      <c r="B14" s="19" t="s">
        <v>508</v>
      </c>
      <c r="C14" s="20">
        <v>0.71180555555555547</v>
      </c>
      <c r="D14" s="19" t="s">
        <v>66</v>
      </c>
      <c r="E14" s="19" t="s">
        <v>57</v>
      </c>
      <c r="F14" s="19" t="s">
        <v>509</v>
      </c>
      <c r="G14" s="251"/>
      <c r="H14" s="10"/>
      <c r="I14" s="11"/>
      <c r="J14" s="11"/>
      <c r="K14" s="11"/>
      <c r="L14" s="11"/>
      <c r="M14" s="11"/>
      <c r="N14" s="11"/>
      <c r="O14" s="12"/>
      <c r="P14" s="11"/>
      <c r="Q14" s="13"/>
      <c r="R14" s="14"/>
    </row>
    <row r="15" spans="1:92" ht="15" customHeight="1" x14ac:dyDescent="0.3">
      <c r="A15" s="15" t="s">
        <v>64</v>
      </c>
      <c r="B15" s="15" t="s">
        <v>508</v>
      </c>
      <c r="C15" s="16">
        <v>0.71180555555555547</v>
      </c>
      <c r="D15" s="15" t="s">
        <v>68</v>
      </c>
      <c r="E15" s="15" t="s">
        <v>69</v>
      </c>
      <c r="F15" s="15" t="s">
        <v>510</v>
      </c>
      <c r="G15" s="251"/>
      <c r="H15" s="10"/>
      <c r="I15" s="11"/>
      <c r="J15" s="11"/>
      <c r="K15" s="11"/>
      <c r="L15" s="11"/>
      <c r="M15" s="11"/>
      <c r="N15" s="11"/>
      <c r="O15" s="12"/>
      <c r="P15" s="11"/>
      <c r="Q15" s="13"/>
      <c r="R15" s="14"/>
    </row>
    <row r="16" spans="1:92" ht="15" customHeight="1" x14ac:dyDescent="0.3">
      <c r="A16" s="188" t="s">
        <v>80</v>
      </c>
      <c r="B16" s="188" t="s">
        <v>511</v>
      </c>
      <c r="C16" s="189">
        <v>0.27430555555555552</v>
      </c>
      <c r="D16" s="188" t="s">
        <v>82</v>
      </c>
      <c r="E16" s="190"/>
      <c r="F16" s="188" t="s">
        <v>83</v>
      </c>
      <c r="G16" s="251"/>
      <c r="H16" s="160" t="s">
        <v>511</v>
      </c>
      <c r="I16" s="191">
        <v>1</v>
      </c>
      <c r="J16" s="162">
        <v>179</v>
      </c>
      <c r="K16" s="163" t="s">
        <v>186</v>
      </c>
      <c r="L16" s="162">
        <v>7</v>
      </c>
      <c r="M16" s="162">
        <v>0</v>
      </c>
      <c r="N16" s="162">
        <v>1</v>
      </c>
      <c r="O16" s="164" t="s">
        <v>85</v>
      </c>
      <c r="P16" s="165">
        <v>0.27430555555555552</v>
      </c>
      <c r="Q16" s="162">
        <v>179</v>
      </c>
      <c r="R16" s="166" t="s">
        <v>512</v>
      </c>
    </row>
    <row r="17" spans="1:18" ht="18" x14ac:dyDescent="0.3">
      <c r="A17" s="264" t="s">
        <v>513</v>
      </c>
      <c r="B17" s="265"/>
      <c r="C17" s="265"/>
      <c r="D17" s="265"/>
      <c r="E17" s="265"/>
      <c r="F17" s="266"/>
      <c r="G17" s="251"/>
      <c r="H17" s="89"/>
      <c r="I17" s="89"/>
      <c r="J17" s="89"/>
      <c r="K17" s="89"/>
      <c r="L17" s="89"/>
      <c r="M17" s="89"/>
      <c r="N17" s="89"/>
      <c r="O17" s="90"/>
      <c r="P17" s="89"/>
      <c r="Q17" s="56"/>
      <c r="R17" s="56"/>
    </row>
    <row r="18" spans="1:18" ht="15" customHeight="1" x14ac:dyDescent="0.3">
      <c r="A18" s="19" t="s">
        <v>36</v>
      </c>
      <c r="B18" s="19" t="s">
        <v>227</v>
      </c>
      <c r="C18" s="20" t="s">
        <v>482</v>
      </c>
      <c r="D18" s="19" t="s">
        <v>38</v>
      </c>
      <c r="E18" s="19" t="s">
        <v>192</v>
      </c>
      <c r="F18" s="19" t="s">
        <v>229</v>
      </c>
      <c r="G18" s="251"/>
      <c r="H18" s="89"/>
      <c r="I18" s="89"/>
      <c r="J18" s="89"/>
      <c r="K18" s="89"/>
      <c r="L18" s="89"/>
      <c r="M18" s="89"/>
      <c r="N18" s="89"/>
      <c r="O18" s="90"/>
      <c r="P18" s="89"/>
      <c r="Q18" s="56"/>
      <c r="R18" s="56"/>
    </row>
    <row r="19" spans="1:18" ht="15" customHeight="1" x14ac:dyDescent="0.3">
      <c r="A19" s="19" t="s">
        <v>36</v>
      </c>
      <c r="B19" s="19" t="s">
        <v>231</v>
      </c>
      <c r="C19" s="20" t="s">
        <v>483</v>
      </c>
      <c r="D19" s="19" t="s">
        <v>38</v>
      </c>
      <c r="E19" s="19" t="s">
        <v>514</v>
      </c>
      <c r="F19" s="19" t="s">
        <v>229</v>
      </c>
      <c r="G19" s="251"/>
      <c r="H19" s="89"/>
      <c r="I19" s="89"/>
      <c r="J19" s="89"/>
      <c r="K19" s="89"/>
      <c r="L19" s="89"/>
      <c r="M19" s="89"/>
      <c r="N19" s="89"/>
      <c r="O19" s="90"/>
      <c r="P19" s="89"/>
      <c r="Q19" s="56"/>
      <c r="R19" s="56"/>
    </row>
    <row r="20" spans="1:18" ht="15" customHeight="1" x14ac:dyDescent="0.3">
      <c r="A20" s="19" t="s">
        <v>36</v>
      </c>
      <c r="B20" s="19" t="s">
        <v>232</v>
      </c>
      <c r="C20" s="20" t="s">
        <v>173</v>
      </c>
      <c r="D20" s="19" t="s">
        <v>38</v>
      </c>
      <c r="E20" s="19" t="s">
        <v>192</v>
      </c>
      <c r="F20" s="19" t="s">
        <v>233</v>
      </c>
      <c r="G20" s="251"/>
      <c r="H20" s="89"/>
      <c r="I20" s="89"/>
      <c r="J20" s="89"/>
      <c r="K20" s="89"/>
      <c r="L20" s="89"/>
      <c r="M20" s="89"/>
      <c r="N20" s="89"/>
      <c r="O20" s="90"/>
      <c r="P20" s="89"/>
      <c r="Q20" s="56"/>
      <c r="R20" s="56"/>
    </row>
    <row r="21" spans="1:18" ht="15" customHeight="1" x14ac:dyDescent="0.3">
      <c r="A21" s="19" t="s">
        <v>36</v>
      </c>
      <c r="B21" s="19" t="s">
        <v>235</v>
      </c>
      <c r="C21" s="20" t="s">
        <v>484</v>
      </c>
      <c r="D21" s="19" t="s">
        <v>38</v>
      </c>
      <c r="E21" s="19" t="s">
        <v>192</v>
      </c>
      <c r="F21" s="19" t="s">
        <v>233</v>
      </c>
      <c r="G21" s="251"/>
      <c r="H21" s="89"/>
      <c r="I21" s="89"/>
      <c r="J21" s="89"/>
      <c r="K21" s="89"/>
      <c r="L21" s="89"/>
      <c r="M21" s="89"/>
      <c r="N21" s="89"/>
      <c r="O21" s="90"/>
      <c r="P21" s="89"/>
      <c r="Q21" s="56"/>
      <c r="R21" s="56"/>
    </row>
    <row r="22" spans="1:18" ht="15" customHeight="1" x14ac:dyDescent="0.3">
      <c r="A22" s="19" t="s">
        <v>36</v>
      </c>
      <c r="B22" s="19" t="s">
        <v>236</v>
      </c>
      <c r="C22" s="20" t="s">
        <v>485</v>
      </c>
      <c r="D22" s="19" t="s">
        <v>38</v>
      </c>
      <c r="E22" s="19" t="s">
        <v>192</v>
      </c>
      <c r="F22" s="19" t="s">
        <v>233</v>
      </c>
      <c r="G22" s="251"/>
      <c r="H22" s="89"/>
      <c r="I22" s="89"/>
      <c r="J22" s="89"/>
      <c r="K22" s="89"/>
      <c r="L22" s="89"/>
      <c r="M22" s="89"/>
      <c r="N22" s="89"/>
      <c r="O22" s="90"/>
      <c r="P22" s="89"/>
      <c r="Q22" s="56"/>
      <c r="R22" s="56"/>
    </row>
    <row r="23" spans="1:18" ht="15" customHeight="1" x14ac:dyDescent="0.3">
      <c r="A23" s="19" t="s">
        <v>36</v>
      </c>
      <c r="B23" s="19" t="s">
        <v>237</v>
      </c>
      <c r="C23" s="20" t="s">
        <v>155</v>
      </c>
      <c r="D23" s="19" t="s">
        <v>38</v>
      </c>
      <c r="E23" s="19" t="s">
        <v>192</v>
      </c>
      <c r="F23" s="19" t="s">
        <v>233</v>
      </c>
      <c r="G23" s="251"/>
      <c r="H23" s="89"/>
      <c r="I23" s="89"/>
      <c r="J23" s="89"/>
      <c r="K23" s="89"/>
      <c r="L23" s="89"/>
      <c r="M23" s="89"/>
      <c r="N23" s="89"/>
      <c r="O23" s="90"/>
      <c r="P23" s="89"/>
      <c r="Q23" s="56"/>
      <c r="R23" s="56"/>
    </row>
    <row r="24" spans="1:18" ht="15" customHeight="1" x14ac:dyDescent="0.3">
      <c r="A24" s="19" t="s">
        <v>36</v>
      </c>
      <c r="B24" s="19" t="s">
        <v>227</v>
      </c>
      <c r="C24" s="20" t="s">
        <v>482</v>
      </c>
      <c r="D24" s="19" t="s">
        <v>41</v>
      </c>
      <c r="E24" s="19" t="s">
        <v>192</v>
      </c>
      <c r="F24" s="19" t="s">
        <v>47</v>
      </c>
      <c r="G24" s="251"/>
      <c r="H24" s="89"/>
      <c r="I24" s="89"/>
      <c r="J24" s="89"/>
      <c r="K24" s="89"/>
      <c r="L24" s="89"/>
      <c r="M24" s="89"/>
      <c r="N24" s="89"/>
      <c r="O24" s="90"/>
      <c r="P24" s="89"/>
      <c r="Q24" s="56"/>
      <c r="R24" s="56"/>
    </row>
    <row r="25" spans="1:18" ht="15" customHeight="1" x14ac:dyDescent="0.3">
      <c r="A25" s="19" t="s">
        <v>36</v>
      </c>
      <c r="B25" s="19" t="s">
        <v>231</v>
      </c>
      <c r="C25" s="20" t="s">
        <v>483</v>
      </c>
      <c r="D25" s="19" t="s">
        <v>41</v>
      </c>
      <c r="E25" s="19" t="s">
        <v>514</v>
      </c>
      <c r="F25" s="19" t="s">
        <v>47</v>
      </c>
      <c r="G25" s="251"/>
      <c r="H25" s="89"/>
      <c r="I25" s="89"/>
      <c r="J25" s="89"/>
      <c r="K25" s="89"/>
      <c r="L25" s="89"/>
      <c r="M25" s="89"/>
      <c r="N25" s="89"/>
      <c r="O25" s="90"/>
      <c r="P25" s="89"/>
      <c r="Q25" s="56"/>
      <c r="R25" s="56"/>
    </row>
    <row r="26" spans="1:18" ht="15" customHeight="1" x14ac:dyDescent="0.3">
      <c r="A26" s="19" t="s">
        <v>26</v>
      </c>
      <c r="B26" s="19" t="s">
        <v>248</v>
      </c>
      <c r="C26" s="20" t="s">
        <v>483</v>
      </c>
      <c r="D26" s="19" t="s">
        <v>28</v>
      </c>
      <c r="E26" s="19" t="s">
        <v>515</v>
      </c>
      <c r="F26" s="19" t="s">
        <v>47</v>
      </c>
      <c r="G26" s="251"/>
      <c r="H26" s="89"/>
      <c r="I26" s="89"/>
      <c r="J26" s="89"/>
      <c r="K26" s="89"/>
      <c r="L26" s="89"/>
      <c r="M26" s="89"/>
      <c r="N26" s="89"/>
      <c r="O26" s="90"/>
      <c r="P26" s="89"/>
      <c r="Q26" s="56"/>
      <c r="R26" s="56"/>
    </row>
    <row r="27" spans="1:18" ht="15" customHeight="1" thickBot="1" x14ac:dyDescent="0.35">
      <c r="A27" s="91" t="s">
        <v>26</v>
      </c>
      <c r="B27" s="91" t="s">
        <v>252</v>
      </c>
      <c r="C27" s="92" t="s">
        <v>486</v>
      </c>
      <c r="D27" s="91" t="s">
        <v>28</v>
      </c>
      <c r="E27" s="91" t="s">
        <v>516</v>
      </c>
      <c r="F27" s="91" t="s">
        <v>47</v>
      </c>
      <c r="G27" s="252"/>
      <c r="H27" s="93"/>
      <c r="I27" s="93"/>
      <c r="J27" s="93"/>
      <c r="K27" s="93"/>
      <c r="L27" s="93"/>
      <c r="M27" s="93"/>
      <c r="N27" s="93"/>
      <c r="O27" s="94"/>
      <c r="P27" s="93"/>
      <c r="Q27" s="95"/>
      <c r="R27" s="95"/>
    </row>
    <row r="28" spans="1:18" ht="17.399999999999999" customHeight="1" thickBot="1" x14ac:dyDescent="0.35">
      <c r="A28" s="282"/>
      <c r="B28" s="283"/>
      <c r="C28" s="283"/>
      <c r="D28" s="283"/>
      <c r="E28" s="283"/>
      <c r="F28" s="283"/>
      <c r="G28" s="283"/>
      <c r="H28" s="283"/>
      <c r="I28" s="283"/>
      <c r="J28" s="283"/>
      <c r="K28" s="283"/>
      <c r="L28" s="283"/>
      <c r="M28" s="283"/>
      <c r="N28" s="283"/>
      <c r="O28" s="283"/>
      <c r="P28" s="283"/>
      <c r="Q28" s="283"/>
      <c r="R28" s="284"/>
    </row>
    <row r="29" spans="1:18" ht="22.05" customHeight="1" thickTop="1" thickBot="1" x14ac:dyDescent="0.35">
      <c r="A29" s="261" t="s">
        <v>6</v>
      </c>
      <c r="B29" s="254"/>
      <c r="C29" s="254"/>
      <c r="D29" s="254"/>
      <c r="E29" s="254"/>
      <c r="F29" s="255"/>
      <c r="G29" s="31">
        <v>45982</v>
      </c>
      <c r="H29" s="253" t="s">
        <v>7</v>
      </c>
      <c r="I29" s="254"/>
      <c r="J29" s="254"/>
      <c r="K29" s="254"/>
      <c r="L29" s="254"/>
      <c r="M29" s="254"/>
      <c r="N29" s="254"/>
      <c r="O29" s="254"/>
      <c r="P29" s="254"/>
      <c r="Q29" s="254"/>
      <c r="R29" s="255"/>
    </row>
    <row r="30" spans="1:18" ht="24" customHeight="1" x14ac:dyDescent="0.3">
      <c r="A30" s="32" t="s">
        <v>8</v>
      </c>
      <c r="B30" s="32" t="s">
        <v>9</v>
      </c>
      <c r="C30" s="33" t="s">
        <v>10</v>
      </c>
      <c r="D30" s="32" t="s">
        <v>11</v>
      </c>
      <c r="E30" s="32" t="s">
        <v>12</v>
      </c>
      <c r="F30" s="34" t="s">
        <v>13</v>
      </c>
      <c r="G30" s="35" t="s">
        <v>14</v>
      </c>
      <c r="H30" s="32" t="s">
        <v>15</v>
      </c>
      <c r="I30" s="36" t="s">
        <v>16</v>
      </c>
      <c r="J30" s="37" t="s">
        <v>17</v>
      </c>
      <c r="K30" s="38" t="s">
        <v>18</v>
      </c>
      <c r="L30" s="37" t="s">
        <v>19</v>
      </c>
      <c r="M30" s="37" t="s">
        <v>20</v>
      </c>
      <c r="N30" s="37" t="s">
        <v>21</v>
      </c>
      <c r="O30" s="32" t="s">
        <v>22</v>
      </c>
      <c r="P30" s="33" t="s">
        <v>23</v>
      </c>
      <c r="Q30" s="37" t="s">
        <v>24</v>
      </c>
      <c r="R30" s="32" t="s">
        <v>25</v>
      </c>
    </row>
    <row r="31" spans="1:18" ht="15" customHeight="1" x14ac:dyDescent="0.3">
      <c r="A31" s="8" t="s">
        <v>269</v>
      </c>
      <c r="B31" s="8" t="s">
        <v>517</v>
      </c>
      <c r="C31" s="9">
        <v>0.1875</v>
      </c>
      <c r="D31" s="8" t="s">
        <v>496</v>
      </c>
      <c r="E31" s="8" t="s">
        <v>228</v>
      </c>
      <c r="F31" s="8" t="s">
        <v>518</v>
      </c>
      <c r="G31" s="250"/>
      <c r="H31" s="10"/>
      <c r="I31" s="11"/>
      <c r="J31" s="11"/>
      <c r="K31" s="11"/>
      <c r="L31" s="11"/>
      <c r="M31" s="11"/>
      <c r="N31" s="11"/>
      <c r="O31" s="12"/>
      <c r="P31" s="11"/>
      <c r="Q31" s="13"/>
      <c r="R31" s="14"/>
    </row>
    <row r="32" spans="1:18" ht="15" customHeight="1" x14ac:dyDescent="0.3">
      <c r="A32" s="15" t="s">
        <v>269</v>
      </c>
      <c r="B32" s="15" t="s">
        <v>517</v>
      </c>
      <c r="C32" s="16">
        <v>0.1875</v>
      </c>
      <c r="D32" s="15" t="s">
        <v>498</v>
      </c>
      <c r="E32" s="15" t="s">
        <v>48</v>
      </c>
      <c r="F32" s="15" t="s">
        <v>519</v>
      </c>
      <c r="G32" s="251"/>
      <c r="H32" s="10"/>
      <c r="I32" s="11"/>
      <c r="J32" s="11"/>
      <c r="K32" s="11"/>
      <c r="L32" s="11"/>
      <c r="M32" s="11"/>
      <c r="N32" s="11"/>
      <c r="O32" s="12"/>
      <c r="P32" s="11"/>
      <c r="Q32" s="13"/>
      <c r="R32" s="14"/>
    </row>
    <row r="33" spans="1:18" ht="15" customHeight="1" x14ac:dyDescent="0.3">
      <c r="A33" s="15" t="s">
        <v>269</v>
      </c>
      <c r="B33" s="15" t="s">
        <v>517</v>
      </c>
      <c r="C33" s="16">
        <v>0.1875</v>
      </c>
      <c r="D33" s="15" t="s">
        <v>34</v>
      </c>
      <c r="E33" s="15" t="s">
        <v>48</v>
      </c>
      <c r="F33" s="15" t="s">
        <v>520</v>
      </c>
      <c r="G33" s="251"/>
      <c r="H33" s="10"/>
      <c r="I33" s="11"/>
      <c r="J33" s="11"/>
      <c r="K33" s="11"/>
      <c r="L33" s="11"/>
      <c r="M33" s="11"/>
      <c r="N33" s="11"/>
      <c r="O33" s="12"/>
      <c r="P33" s="11"/>
      <c r="Q33" s="13"/>
      <c r="R33" s="14"/>
    </row>
    <row r="34" spans="1:18" ht="15" customHeight="1" x14ac:dyDescent="0.3">
      <c r="A34" s="80" t="s">
        <v>80</v>
      </c>
      <c r="B34" s="80" t="s">
        <v>521</v>
      </c>
      <c r="C34" s="81">
        <v>0.41666666666666669</v>
      </c>
      <c r="D34" s="80" t="s">
        <v>182</v>
      </c>
      <c r="E34" s="80" t="s">
        <v>104</v>
      </c>
      <c r="F34" s="80" t="s">
        <v>522</v>
      </c>
      <c r="G34" s="251"/>
      <c r="H34" s="82" t="s">
        <v>511</v>
      </c>
      <c r="I34" s="83">
        <v>0.98880000000000001</v>
      </c>
      <c r="J34" s="84">
        <v>177</v>
      </c>
      <c r="K34" s="85" t="s">
        <v>186</v>
      </c>
      <c r="L34" s="84">
        <v>10</v>
      </c>
      <c r="M34" s="84">
        <v>0</v>
      </c>
      <c r="N34" s="84">
        <v>3</v>
      </c>
      <c r="O34" s="86" t="s">
        <v>523</v>
      </c>
      <c r="P34" s="87">
        <v>0.41666666666666669</v>
      </c>
      <c r="Q34" s="84">
        <v>179</v>
      </c>
      <c r="R34" s="88" t="s">
        <v>524</v>
      </c>
    </row>
    <row r="35" spans="1:18" ht="15" customHeight="1" x14ac:dyDescent="0.3">
      <c r="A35" s="17" t="s">
        <v>64</v>
      </c>
      <c r="B35" s="17" t="s">
        <v>508</v>
      </c>
      <c r="C35" s="18">
        <v>0.71180555555555547</v>
      </c>
      <c r="D35" s="17" t="s">
        <v>66</v>
      </c>
      <c r="E35" s="17" t="s">
        <v>54</v>
      </c>
      <c r="F35" s="17" t="s">
        <v>509</v>
      </c>
      <c r="G35" s="251"/>
      <c r="H35" s="10"/>
      <c r="I35" s="11"/>
      <c r="J35" s="11"/>
      <c r="K35" s="11"/>
      <c r="L35" s="11"/>
      <c r="M35" s="11"/>
      <c r="N35" s="11"/>
      <c r="O35" s="12"/>
      <c r="P35" s="11"/>
      <c r="Q35" s="13"/>
      <c r="R35" s="14"/>
    </row>
    <row r="36" spans="1:18" ht="15" customHeight="1" x14ac:dyDescent="0.3">
      <c r="A36" s="15" t="s">
        <v>64</v>
      </c>
      <c r="B36" s="15" t="s">
        <v>508</v>
      </c>
      <c r="C36" s="16">
        <v>0.71180555555555547</v>
      </c>
      <c r="D36" s="15" t="s">
        <v>68</v>
      </c>
      <c r="E36" s="15" t="s">
        <v>69</v>
      </c>
      <c r="F36" s="15" t="s">
        <v>510</v>
      </c>
      <c r="G36" s="251"/>
      <c r="H36" s="10"/>
      <c r="I36" s="11"/>
      <c r="J36" s="11"/>
      <c r="K36" s="11"/>
      <c r="L36" s="11"/>
      <c r="M36" s="11"/>
      <c r="N36" s="11"/>
      <c r="O36" s="12"/>
      <c r="P36" s="11"/>
      <c r="Q36" s="13"/>
      <c r="R36" s="14"/>
    </row>
    <row r="37" spans="1:18" ht="18" x14ac:dyDescent="0.3">
      <c r="A37" s="264" t="s">
        <v>513</v>
      </c>
      <c r="B37" s="265"/>
      <c r="C37" s="265"/>
      <c r="D37" s="265"/>
      <c r="E37" s="265"/>
      <c r="F37" s="266"/>
      <c r="G37" s="251"/>
      <c r="H37" s="89"/>
      <c r="I37" s="89"/>
      <c r="J37" s="89"/>
      <c r="K37" s="89"/>
      <c r="L37" s="89"/>
      <c r="M37" s="89"/>
      <c r="N37" s="89"/>
      <c r="O37" s="90"/>
      <c r="P37" s="89"/>
      <c r="Q37" s="56"/>
      <c r="R37" s="56"/>
    </row>
    <row r="38" spans="1:18" ht="15" customHeight="1" x14ac:dyDescent="0.3">
      <c r="A38" s="19" t="s">
        <v>26</v>
      </c>
      <c r="B38" s="19" t="s">
        <v>258</v>
      </c>
      <c r="C38" s="20" t="s">
        <v>492</v>
      </c>
      <c r="D38" s="19" t="s">
        <v>28</v>
      </c>
      <c r="E38" s="19" t="s">
        <v>525</v>
      </c>
      <c r="F38" s="19" t="s">
        <v>340</v>
      </c>
      <c r="G38" s="251"/>
      <c r="H38" s="89"/>
      <c r="I38" s="89"/>
      <c r="J38" s="89"/>
      <c r="K38" s="89"/>
      <c r="L38" s="89"/>
      <c r="M38" s="89"/>
      <c r="N38" s="89"/>
      <c r="O38" s="90"/>
      <c r="P38" s="89"/>
      <c r="Q38" s="56"/>
      <c r="R38" s="56"/>
    </row>
    <row r="39" spans="1:18" ht="15" customHeight="1" x14ac:dyDescent="0.3">
      <c r="A39" s="19" t="s">
        <v>26</v>
      </c>
      <c r="B39" s="19" t="s">
        <v>248</v>
      </c>
      <c r="C39" s="20" t="s">
        <v>483</v>
      </c>
      <c r="D39" s="19" t="s">
        <v>28</v>
      </c>
      <c r="E39" s="19" t="s">
        <v>525</v>
      </c>
      <c r="F39" s="19" t="s">
        <v>340</v>
      </c>
      <c r="G39" s="251"/>
      <c r="H39" s="89"/>
      <c r="I39" s="89"/>
      <c r="J39" s="89"/>
      <c r="K39" s="89"/>
      <c r="L39" s="89"/>
      <c r="M39" s="89"/>
      <c r="N39" s="89"/>
      <c r="O39" s="90"/>
      <c r="P39" s="89"/>
      <c r="Q39" s="56"/>
      <c r="R39" s="56"/>
    </row>
    <row r="40" spans="1:18" ht="15" customHeight="1" x14ac:dyDescent="0.3">
      <c r="A40" s="19" t="s">
        <v>26</v>
      </c>
      <c r="B40" s="19" t="s">
        <v>252</v>
      </c>
      <c r="C40" s="20" t="s">
        <v>486</v>
      </c>
      <c r="D40" s="19" t="s">
        <v>28</v>
      </c>
      <c r="E40" s="19" t="s">
        <v>526</v>
      </c>
      <c r="F40" s="19" t="s">
        <v>340</v>
      </c>
      <c r="G40" s="251"/>
      <c r="H40" s="89"/>
      <c r="I40" s="89"/>
      <c r="J40" s="89"/>
      <c r="K40" s="89"/>
      <c r="L40" s="89"/>
      <c r="M40" s="89"/>
      <c r="N40" s="89"/>
      <c r="O40" s="90"/>
      <c r="P40" s="89"/>
      <c r="Q40" s="56"/>
      <c r="R40" s="56"/>
    </row>
    <row r="41" spans="1:18" ht="15" customHeight="1" x14ac:dyDescent="0.3">
      <c r="A41" s="19" t="s">
        <v>26</v>
      </c>
      <c r="B41" s="19" t="s">
        <v>255</v>
      </c>
      <c r="C41" s="20" t="s">
        <v>487</v>
      </c>
      <c r="D41" s="19" t="s">
        <v>28</v>
      </c>
      <c r="E41" s="19" t="s">
        <v>190</v>
      </c>
      <c r="F41" s="19" t="s">
        <v>340</v>
      </c>
      <c r="G41" s="251"/>
      <c r="H41" s="89"/>
      <c r="I41" s="89"/>
      <c r="J41" s="89"/>
      <c r="K41" s="89"/>
      <c r="L41" s="89"/>
      <c r="M41" s="89"/>
      <c r="N41" s="89"/>
      <c r="O41" s="90"/>
      <c r="P41" s="89"/>
      <c r="Q41" s="56"/>
      <c r="R41" s="56"/>
    </row>
    <row r="42" spans="1:18" ht="15" customHeight="1" x14ac:dyDescent="0.3">
      <c r="A42" s="19" t="s">
        <v>269</v>
      </c>
      <c r="B42" s="19" t="s">
        <v>347</v>
      </c>
      <c r="C42" s="20" t="s">
        <v>527</v>
      </c>
      <c r="D42" s="19" t="s">
        <v>271</v>
      </c>
      <c r="E42" s="19" t="s">
        <v>192</v>
      </c>
      <c r="F42" s="19" t="s">
        <v>348</v>
      </c>
      <c r="G42" s="251"/>
      <c r="H42" s="89"/>
      <c r="I42" s="89"/>
      <c r="J42" s="89"/>
      <c r="K42" s="89"/>
      <c r="L42" s="89"/>
      <c r="M42" s="89"/>
      <c r="N42" s="89"/>
      <c r="O42" s="90"/>
      <c r="P42" s="89"/>
      <c r="Q42" s="56"/>
      <c r="R42" s="56"/>
    </row>
    <row r="43" spans="1:18" ht="15" customHeight="1" x14ac:dyDescent="0.3">
      <c r="A43" s="19" t="s">
        <v>36</v>
      </c>
      <c r="B43" s="19" t="s">
        <v>235</v>
      </c>
      <c r="C43" s="20" t="s">
        <v>484</v>
      </c>
      <c r="D43" s="19" t="s">
        <v>38</v>
      </c>
      <c r="E43" s="19" t="s">
        <v>528</v>
      </c>
      <c r="F43" s="19" t="s">
        <v>233</v>
      </c>
      <c r="G43" s="251"/>
      <c r="H43" s="89"/>
      <c r="I43" s="89"/>
      <c r="J43" s="89"/>
      <c r="K43" s="89"/>
      <c r="L43" s="89"/>
      <c r="M43" s="89"/>
      <c r="N43" s="89"/>
      <c r="O43" s="90"/>
      <c r="P43" s="89"/>
      <c r="Q43" s="56"/>
      <c r="R43" s="56"/>
    </row>
    <row r="44" spans="1:18" ht="15" customHeight="1" x14ac:dyDescent="0.3">
      <c r="A44" s="19" t="s">
        <v>36</v>
      </c>
      <c r="B44" s="19" t="s">
        <v>236</v>
      </c>
      <c r="C44" s="20" t="s">
        <v>485</v>
      </c>
      <c r="D44" s="19" t="s">
        <v>38</v>
      </c>
      <c r="E44" s="19" t="s">
        <v>211</v>
      </c>
      <c r="F44" s="19" t="s">
        <v>233</v>
      </c>
      <c r="G44" s="251"/>
      <c r="H44" s="89"/>
      <c r="I44" s="89"/>
      <c r="J44" s="89"/>
      <c r="K44" s="89"/>
      <c r="L44" s="89"/>
      <c r="M44" s="89"/>
      <c r="N44" s="89"/>
      <c r="O44" s="90"/>
      <c r="P44" s="89"/>
      <c r="Q44" s="56"/>
      <c r="R44" s="56"/>
    </row>
    <row r="45" spans="1:18" ht="15" customHeight="1" x14ac:dyDescent="0.3">
      <c r="A45" s="19" t="s">
        <v>36</v>
      </c>
      <c r="B45" s="19" t="s">
        <v>232</v>
      </c>
      <c r="C45" s="20" t="s">
        <v>173</v>
      </c>
      <c r="D45" s="19" t="s">
        <v>38</v>
      </c>
      <c r="E45" s="19" t="s">
        <v>192</v>
      </c>
      <c r="F45" s="19" t="s">
        <v>240</v>
      </c>
      <c r="G45" s="251"/>
      <c r="H45" s="89"/>
      <c r="I45" s="89"/>
      <c r="J45" s="89"/>
      <c r="K45" s="89"/>
      <c r="L45" s="89"/>
      <c r="M45" s="89"/>
      <c r="N45" s="89"/>
      <c r="O45" s="90"/>
      <c r="P45" s="89"/>
      <c r="Q45" s="56"/>
      <c r="R45" s="56"/>
    </row>
    <row r="46" spans="1:18" ht="15" customHeight="1" x14ac:dyDescent="0.3">
      <c r="A46" s="19" t="s">
        <v>36</v>
      </c>
      <c r="B46" s="19" t="s">
        <v>244</v>
      </c>
      <c r="C46" s="20" t="s">
        <v>529</v>
      </c>
      <c r="D46" s="19" t="s">
        <v>38</v>
      </c>
      <c r="E46" s="19" t="s">
        <v>530</v>
      </c>
      <c r="F46" s="19" t="s">
        <v>240</v>
      </c>
      <c r="G46" s="251"/>
      <c r="H46" s="89"/>
      <c r="I46" s="89"/>
      <c r="J46" s="89"/>
      <c r="K46" s="89"/>
      <c r="L46" s="89"/>
      <c r="M46" s="89"/>
      <c r="N46" s="89"/>
      <c r="O46" s="90"/>
      <c r="P46" s="89"/>
      <c r="Q46" s="56"/>
      <c r="R46" s="56"/>
    </row>
    <row r="47" spans="1:18" ht="15" customHeight="1" thickBot="1" x14ac:dyDescent="0.35">
      <c r="A47" s="91" t="s">
        <v>36</v>
      </c>
      <c r="B47" s="91" t="s">
        <v>237</v>
      </c>
      <c r="C47" s="92" t="s">
        <v>155</v>
      </c>
      <c r="D47" s="91" t="s">
        <v>38</v>
      </c>
      <c r="E47" s="91" t="s">
        <v>191</v>
      </c>
      <c r="F47" s="91" t="s">
        <v>240</v>
      </c>
      <c r="G47" s="252"/>
      <c r="H47" s="93"/>
      <c r="I47" s="93"/>
      <c r="J47" s="93"/>
      <c r="K47" s="93"/>
      <c r="L47" s="93"/>
      <c r="M47" s="93"/>
      <c r="N47" s="93"/>
      <c r="O47" s="94"/>
      <c r="P47" s="93"/>
      <c r="Q47" s="95"/>
      <c r="R47" s="95"/>
    </row>
    <row r="48" spans="1:18" ht="17.399999999999999" customHeight="1" thickBot="1" x14ac:dyDescent="0.35">
      <c r="A48" s="282"/>
      <c r="B48" s="283"/>
      <c r="C48" s="283"/>
      <c r="D48" s="283"/>
      <c r="E48" s="283"/>
      <c r="F48" s="283"/>
      <c r="G48" s="283"/>
      <c r="H48" s="283"/>
      <c r="I48" s="283"/>
      <c r="J48" s="283"/>
      <c r="K48" s="283"/>
      <c r="L48" s="283"/>
      <c r="M48" s="283"/>
      <c r="N48" s="283"/>
      <c r="O48" s="283"/>
      <c r="P48" s="283"/>
      <c r="Q48" s="283"/>
      <c r="R48" s="284"/>
    </row>
    <row r="49" spans="1:18" ht="22.05" customHeight="1" thickTop="1" thickBot="1" x14ac:dyDescent="0.35">
      <c r="A49" s="261" t="s">
        <v>6</v>
      </c>
      <c r="B49" s="254"/>
      <c r="C49" s="254"/>
      <c r="D49" s="254"/>
      <c r="E49" s="254"/>
      <c r="F49" s="255"/>
      <c r="G49" s="31">
        <v>45983</v>
      </c>
      <c r="H49" s="253" t="s">
        <v>7</v>
      </c>
      <c r="I49" s="254"/>
      <c r="J49" s="254"/>
      <c r="K49" s="254"/>
      <c r="L49" s="254"/>
      <c r="M49" s="254"/>
      <c r="N49" s="254"/>
      <c r="O49" s="254"/>
      <c r="P49" s="254"/>
      <c r="Q49" s="254"/>
      <c r="R49" s="255"/>
    </row>
    <row r="50" spans="1:18" ht="24" customHeight="1" x14ac:dyDescent="0.3">
      <c r="A50" s="32" t="s">
        <v>8</v>
      </c>
      <c r="B50" s="32" t="s">
        <v>9</v>
      </c>
      <c r="C50" s="33" t="s">
        <v>10</v>
      </c>
      <c r="D50" s="32" t="s">
        <v>11</v>
      </c>
      <c r="E50" s="32" t="s">
        <v>12</v>
      </c>
      <c r="F50" s="34" t="s">
        <v>13</v>
      </c>
      <c r="G50" s="35" t="s">
        <v>14</v>
      </c>
      <c r="H50" s="32" t="s">
        <v>15</v>
      </c>
      <c r="I50" s="36" t="s">
        <v>16</v>
      </c>
      <c r="J50" s="37" t="s">
        <v>17</v>
      </c>
      <c r="K50" s="38" t="s">
        <v>18</v>
      </c>
      <c r="L50" s="37" t="s">
        <v>19</v>
      </c>
      <c r="M50" s="37" t="s">
        <v>20</v>
      </c>
      <c r="N50" s="37" t="s">
        <v>21</v>
      </c>
      <c r="O50" s="32" t="s">
        <v>22</v>
      </c>
      <c r="P50" s="33" t="s">
        <v>23</v>
      </c>
      <c r="Q50" s="37" t="s">
        <v>24</v>
      </c>
      <c r="R50" s="32" t="s">
        <v>25</v>
      </c>
    </row>
    <row r="51" spans="1:18" ht="15" customHeight="1" x14ac:dyDescent="0.3">
      <c r="A51" s="8" t="s">
        <v>26</v>
      </c>
      <c r="B51" s="8" t="s">
        <v>531</v>
      </c>
      <c r="C51" s="9">
        <v>0.25694444444444448</v>
      </c>
      <c r="D51" s="8" t="s">
        <v>532</v>
      </c>
      <c r="E51" s="8" t="s">
        <v>104</v>
      </c>
      <c r="F51" s="8" t="s">
        <v>533</v>
      </c>
      <c r="G51" s="250"/>
      <c r="H51" s="10"/>
      <c r="I51" s="11"/>
      <c r="J51" s="11"/>
      <c r="K51" s="11"/>
      <c r="L51" s="11"/>
      <c r="M51" s="11"/>
      <c r="N51" s="11"/>
      <c r="O51" s="12"/>
      <c r="P51" s="11"/>
      <c r="Q51" s="13"/>
      <c r="R51" s="14"/>
    </row>
    <row r="52" spans="1:18" ht="15" customHeight="1" x14ac:dyDescent="0.3">
      <c r="A52" s="15" t="s">
        <v>26</v>
      </c>
      <c r="B52" s="15" t="s">
        <v>531</v>
      </c>
      <c r="C52" s="16">
        <v>0.25694444444444448</v>
      </c>
      <c r="D52" s="15" t="s">
        <v>496</v>
      </c>
      <c r="E52" s="15" t="s">
        <v>78</v>
      </c>
      <c r="F52" s="15" t="s">
        <v>534</v>
      </c>
      <c r="G52" s="251"/>
      <c r="H52" s="10"/>
      <c r="I52" s="11"/>
      <c r="J52" s="11"/>
      <c r="K52" s="11"/>
      <c r="L52" s="11"/>
      <c r="M52" s="11"/>
      <c r="N52" s="11"/>
      <c r="O52" s="12"/>
      <c r="P52" s="11"/>
      <c r="Q52" s="13"/>
      <c r="R52" s="14"/>
    </row>
    <row r="53" spans="1:18" ht="15" customHeight="1" x14ac:dyDescent="0.3">
      <c r="A53" s="15" t="s">
        <v>26</v>
      </c>
      <c r="B53" s="15" t="s">
        <v>531</v>
      </c>
      <c r="C53" s="16">
        <v>0.25694444444444448</v>
      </c>
      <c r="D53" s="15" t="s">
        <v>498</v>
      </c>
      <c r="E53" s="15" t="s">
        <v>78</v>
      </c>
      <c r="F53" s="15" t="s">
        <v>535</v>
      </c>
      <c r="G53" s="251"/>
      <c r="H53" s="10"/>
      <c r="I53" s="11"/>
      <c r="J53" s="11"/>
      <c r="K53" s="11"/>
      <c r="L53" s="11"/>
      <c r="M53" s="11"/>
      <c r="N53" s="11"/>
      <c r="O53" s="12"/>
      <c r="P53" s="11"/>
      <c r="Q53" s="13"/>
      <c r="R53" s="14"/>
    </row>
    <row r="54" spans="1:18" ht="15" customHeight="1" x14ac:dyDescent="0.3">
      <c r="A54" s="15" t="s">
        <v>26</v>
      </c>
      <c r="B54" s="15" t="s">
        <v>531</v>
      </c>
      <c r="C54" s="16">
        <v>0.25694444444444448</v>
      </c>
      <c r="D54" s="15" t="s">
        <v>536</v>
      </c>
      <c r="E54" s="15" t="s">
        <v>78</v>
      </c>
      <c r="F54" s="15" t="s">
        <v>35</v>
      </c>
      <c r="G54" s="251"/>
      <c r="H54" s="10"/>
      <c r="I54" s="11"/>
      <c r="J54" s="11"/>
      <c r="K54" s="11"/>
      <c r="L54" s="11"/>
      <c r="M54" s="11"/>
      <c r="N54" s="11"/>
      <c r="O54" s="12"/>
      <c r="P54" s="11"/>
      <c r="Q54" s="13"/>
      <c r="R54" s="14"/>
    </row>
    <row r="55" spans="1:18" ht="15" customHeight="1" x14ac:dyDescent="0.3">
      <c r="A55" s="192" t="s">
        <v>80</v>
      </c>
      <c r="B55" s="192" t="s">
        <v>537</v>
      </c>
      <c r="C55" s="193">
        <v>0.45833333333333331</v>
      </c>
      <c r="D55" s="192" t="s">
        <v>182</v>
      </c>
      <c r="E55" s="192" t="s">
        <v>104</v>
      </c>
      <c r="F55" s="192" t="s">
        <v>355</v>
      </c>
      <c r="G55" s="251"/>
      <c r="H55" s="132" t="s">
        <v>538</v>
      </c>
      <c r="I55" s="133">
        <v>0.99439999999999995</v>
      </c>
      <c r="J55" s="134">
        <v>178</v>
      </c>
      <c r="K55" s="135" t="s">
        <v>279</v>
      </c>
      <c r="L55" s="134">
        <v>10</v>
      </c>
      <c r="M55" s="134">
        <v>0</v>
      </c>
      <c r="N55" s="134">
        <v>0</v>
      </c>
      <c r="O55" s="136" t="s">
        <v>473</v>
      </c>
      <c r="P55" s="137">
        <v>0.45833333333333331</v>
      </c>
      <c r="Q55" s="134">
        <v>179</v>
      </c>
      <c r="R55" s="138" t="s">
        <v>539</v>
      </c>
    </row>
    <row r="56" spans="1:18" ht="15" customHeight="1" x14ac:dyDescent="0.3">
      <c r="A56" s="139" t="s">
        <v>80</v>
      </c>
      <c r="B56" s="139" t="s">
        <v>521</v>
      </c>
      <c r="C56" s="140">
        <v>0.79166666666666663</v>
      </c>
      <c r="D56" s="139" t="s">
        <v>182</v>
      </c>
      <c r="E56" s="139" t="s">
        <v>76</v>
      </c>
      <c r="F56" s="139" t="s">
        <v>298</v>
      </c>
      <c r="G56" s="251"/>
      <c r="H56" s="141" t="s">
        <v>511</v>
      </c>
      <c r="I56" s="142">
        <v>0.98880000000000001</v>
      </c>
      <c r="J56" s="143">
        <v>177</v>
      </c>
      <c r="K56" s="144" t="s">
        <v>186</v>
      </c>
      <c r="L56" s="143">
        <v>6</v>
      </c>
      <c r="M56" s="143">
        <v>0</v>
      </c>
      <c r="N56" s="143">
        <v>3</v>
      </c>
      <c r="O56" s="145" t="s">
        <v>399</v>
      </c>
      <c r="P56" s="146">
        <v>0.79166666666666663</v>
      </c>
      <c r="Q56" s="143">
        <v>179</v>
      </c>
      <c r="R56" s="147" t="s">
        <v>540</v>
      </c>
    </row>
    <row r="57" spans="1:18" ht="15" customHeight="1" x14ac:dyDescent="0.3">
      <c r="A57" s="17" t="s">
        <v>269</v>
      </c>
      <c r="B57" s="17" t="s">
        <v>501</v>
      </c>
      <c r="C57" s="18">
        <v>0.52777777777777779</v>
      </c>
      <c r="D57" s="17" t="s">
        <v>496</v>
      </c>
      <c r="E57" s="17" t="s">
        <v>88</v>
      </c>
      <c r="F57" s="17" t="s">
        <v>541</v>
      </c>
      <c r="G57" s="251"/>
      <c r="H57" s="10"/>
      <c r="I57" s="11"/>
      <c r="J57" s="11"/>
      <c r="K57" s="11"/>
      <c r="L57" s="11"/>
      <c r="M57" s="11"/>
      <c r="N57" s="11"/>
      <c r="O57" s="12"/>
      <c r="P57" s="11"/>
      <c r="Q57" s="13"/>
      <c r="R57" s="14"/>
    </row>
    <row r="58" spans="1:18" ht="15" customHeight="1" x14ac:dyDescent="0.3">
      <c r="A58" s="17" t="s">
        <v>64</v>
      </c>
      <c r="B58" s="17" t="s">
        <v>508</v>
      </c>
      <c r="C58" s="18">
        <v>0.71180555555555547</v>
      </c>
      <c r="D58" s="17" t="s">
        <v>66</v>
      </c>
      <c r="E58" s="17" t="s">
        <v>39</v>
      </c>
      <c r="F58" s="17" t="s">
        <v>506</v>
      </c>
      <c r="G58" s="251"/>
      <c r="H58" s="10"/>
      <c r="I58" s="11"/>
      <c r="J58" s="11"/>
      <c r="K58" s="11"/>
      <c r="L58" s="11"/>
      <c r="M58" s="11"/>
      <c r="N58" s="11"/>
      <c r="O58" s="12"/>
      <c r="P58" s="11"/>
      <c r="Q58" s="13"/>
      <c r="R58" s="14"/>
    </row>
    <row r="59" spans="1:18" ht="15" customHeight="1" x14ac:dyDescent="0.3">
      <c r="A59" s="15" t="s">
        <v>64</v>
      </c>
      <c r="B59" s="15" t="s">
        <v>508</v>
      </c>
      <c r="C59" s="16">
        <v>0.71180555555555547</v>
      </c>
      <c r="D59" s="15" t="s">
        <v>68</v>
      </c>
      <c r="E59" s="15" t="s">
        <v>42</v>
      </c>
      <c r="F59" s="15" t="s">
        <v>507</v>
      </c>
      <c r="G59" s="251"/>
      <c r="H59" s="10"/>
      <c r="I59" s="11"/>
      <c r="J59" s="11"/>
      <c r="K59" s="11"/>
      <c r="L59" s="11"/>
      <c r="M59" s="11"/>
      <c r="N59" s="11"/>
      <c r="O59" s="12"/>
      <c r="P59" s="11"/>
      <c r="Q59" s="13"/>
      <c r="R59" s="14"/>
    </row>
    <row r="60" spans="1:18" ht="15" customHeight="1" x14ac:dyDescent="0.3">
      <c r="A60" s="19" t="s">
        <v>64</v>
      </c>
      <c r="B60" s="19" t="s">
        <v>505</v>
      </c>
      <c r="C60" s="20">
        <v>0.34027777777777768</v>
      </c>
      <c r="D60" s="19" t="s">
        <v>66</v>
      </c>
      <c r="E60" s="19" t="s">
        <v>239</v>
      </c>
      <c r="F60" s="19" t="s">
        <v>542</v>
      </c>
      <c r="G60" s="251"/>
      <c r="H60" s="10"/>
      <c r="I60" s="11"/>
      <c r="J60" s="11"/>
      <c r="K60" s="11"/>
      <c r="L60" s="11"/>
      <c r="M60" s="11"/>
      <c r="N60" s="11"/>
      <c r="O60" s="12"/>
      <c r="P60" s="11"/>
      <c r="Q60" s="13"/>
      <c r="R60" s="14"/>
    </row>
    <row r="61" spans="1:18" ht="15" customHeight="1" x14ac:dyDescent="0.3">
      <c r="A61" s="15" t="s">
        <v>64</v>
      </c>
      <c r="B61" s="15" t="s">
        <v>505</v>
      </c>
      <c r="C61" s="16">
        <v>0.34027777777777768</v>
      </c>
      <c r="D61" s="15" t="s">
        <v>68</v>
      </c>
      <c r="E61" s="15" t="s">
        <v>241</v>
      </c>
      <c r="F61" s="15" t="s">
        <v>543</v>
      </c>
      <c r="G61" s="251"/>
      <c r="H61" s="10"/>
      <c r="I61" s="11"/>
      <c r="J61" s="11"/>
      <c r="K61" s="11"/>
      <c r="L61" s="11"/>
      <c r="M61" s="11"/>
      <c r="N61" s="11"/>
      <c r="O61" s="12"/>
      <c r="P61" s="11"/>
      <c r="Q61" s="13"/>
      <c r="R61" s="14"/>
    </row>
    <row r="62" spans="1:18" ht="15" customHeight="1" x14ac:dyDescent="0.3">
      <c r="A62" s="17" t="s">
        <v>51</v>
      </c>
      <c r="B62" s="17" t="s">
        <v>544</v>
      </c>
      <c r="C62" s="18">
        <v>0.60416666666666663</v>
      </c>
      <c r="D62" s="17" t="s">
        <v>53</v>
      </c>
      <c r="E62" s="17" t="s">
        <v>54</v>
      </c>
      <c r="F62" s="17" t="s">
        <v>545</v>
      </c>
      <c r="G62" s="251"/>
      <c r="H62" s="10"/>
      <c r="I62" s="11"/>
      <c r="J62" s="11"/>
      <c r="K62" s="11"/>
      <c r="L62" s="11"/>
      <c r="M62" s="11"/>
      <c r="N62" s="11"/>
      <c r="O62" s="12"/>
      <c r="P62" s="11"/>
      <c r="Q62" s="13"/>
      <c r="R62" s="14"/>
    </row>
    <row r="63" spans="1:18" ht="18" x14ac:dyDescent="0.3">
      <c r="A63" s="264" t="s">
        <v>513</v>
      </c>
      <c r="B63" s="265"/>
      <c r="C63" s="265"/>
      <c r="D63" s="265"/>
      <c r="E63" s="265"/>
      <c r="F63" s="266"/>
      <c r="G63" s="251"/>
      <c r="H63" s="89"/>
      <c r="I63" s="89"/>
      <c r="J63" s="89"/>
      <c r="K63" s="89"/>
      <c r="L63" s="89"/>
      <c r="M63" s="89"/>
      <c r="N63" s="89"/>
      <c r="O63" s="90"/>
      <c r="P63" s="89"/>
      <c r="Q63" s="56"/>
      <c r="R63" s="56"/>
    </row>
    <row r="64" spans="1:18" ht="15" customHeight="1" x14ac:dyDescent="0.3">
      <c r="A64" s="19" t="s">
        <v>26</v>
      </c>
      <c r="B64" s="19" t="s">
        <v>258</v>
      </c>
      <c r="C64" s="20" t="s">
        <v>492</v>
      </c>
      <c r="D64" s="19" t="s">
        <v>28</v>
      </c>
      <c r="E64" s="19" t="s">
        <v>514</v>
      </c>
      <c r="F64" s="19" t="s">
        <v>229</v>
      </c>
      <c r="G64" s="251"/>
      <c r="H64" s="89"/>
      <c r="I64" s="89"/>
      <c r="J64" s="89"/>
      <c r="K64" s="89"/>
      <c r="L64" s="89"/>
      <c r="M64" s="89"/>
      <c r="N64" s="89"/>
      <c r="O64" s="90"/>
      <c r="P64" s="89"/>
      <c r="Q64" s="56"/>
      <c r="R64" s="56"/>
    </row>
    <row r="65" spans="1:18" ht="15" customHeight="1" x14ac:dyDescent="0.3">
      <c r="A65" s="19" t="s">
        <v>26</v>
      </c>
      <c r="B65" s="19" t="s">
        <v>248</v>
      </c>
      <c r="C65" s="20" t="s">
        <v>483</v>
      </c>
      <c r="D65" s="19" t="s">
        <v>28</v>
      </c>
      <c r="E65" s="19" t="s">
        <v>546</v>
      </c>
      <c r="F65" s="19" t="s">
        <v>229</v>
      </c>
      <c r="G65" s="251"/>
      <c r="H65" s="89"/>
      <c r="I65" s="89"/>
      <c r="J65" s="89"/>
      <c r="K65" s="89"/>
      <c r="L65" s="89"/>
      <c r="M65" s="89"/>
      <c r="N65" s="89"/>
      <c r="O65" s="90"/>
      <c r="P65" s="89"/>
      <c r="Q65" s="56"/>
      <c r="R65" s="56"/>
    </row>
    <row r="66" spans="1:18" ht="15" customHeight="1" x14ac:dyDescent="0.3">
      <c r="A66" s="19" t="s">
        <v>26</v>
      </c>
      <c r="B66" s="19" t="s">
        <v>252</v>
      </c>
      <c r="C66" s="20" t="s">
        <v>486</v>
      </c>
      <c r="D66" s="19" t="s">
        <v>28</v>
      </c>
      <c r="E66" s="19" t="s">
        <v>547</v>
      </c>
      <c r="F66" s="19" t="s">
        <v>340</v>
      </c>
      <c r="G66" s="251"/>
      <c r="H66" s="89"/>
      <c r="I66" s="89"/>
      <c r="J66" s="89"/>
      <c r="K66" s="89"/>
      <c r="L66" s="89"/>
      <c r="M66" s="89"/>
      <c r="N66" s="89"/>
      <c r="O66" s="90"/>
      <c r="P66" s="89"/>
      <c r="Q66" s="56"/>
      <c r="R66" s="56"/>
    </row>
    <row r="67" spans="1:18" ht="15" customHeight="1" x14ac:dyDescent="0.3">
      <c r="A67" s="19" t="s">
        <v>269</v>
      </c>
      <c r="B67" s="19" t="s">
        <v>270</v>
      </c>
      <c r="C67" s="20" t="s">
        <v>548</v>
      </c>
      <c r="D67" s="19" t="s">
        <v>271</v>
      </c>
      <c r="E67" s="19" t="s">
        <v>192</v>
      </c>
      <c r="F67" s="19" t="s">
        <v>348</v>
      </c>
      <c r="G67" s="251"/>
      <c r="H67" s="89"/>
      <c r="I67" s="89"/>
      <c r="J67" s="89"/>
      <c r="K67" s="89"/>
      <c r="L67" s="89"/>
      <c r="M67" s="89"/>
      <c r="N67" s="89"/>
      <c r="O67" s="90"/>
      <c r="P67" s="89"/>
      <c r="Q67" s="56"/>
      <c r="R67" s="56"/>
    </row>
    <row r="68" spans="1:18" ht="15" customHeight="1" x14ac:dyDescent="0.3">
      <c r="A68" s="19" t="s">
        <v>36</v>
      </c>
      <c r="B68" s="19" t="s">
        <v>232</v>
      </c>
      <c r="C68" s="20" t="s">
        <v>173</v>
      </c>
      <c r="D68" s="19" t="s">
        <v>38</v>
      </c>
      <c r="E68" s="19" t="s">
        <v>549</v>
      </c>
      <c r="F68" s="19" t="s">
        <v>233</v>
      </c>
      <c r="G68" s="251"/>
      <c r="H68" s="89"/>
      <c r="I68" s="89"/>
      <c r="J68" s="89"/>
      <c r="K68" s="89"/>
      <c r="L68" s="89"/>
      <c r="M68" s="89"/>
      <c r="N68" s="89"/>
      <c r="O68" s="90"/>
      <c r="P68" s="89"/>
      <c r="Q68" s="56"/>
      <c r="R68" s="56"/>
    </row>
    <row r="69" spans="1:18" ht="15" customHeight="1" x14ac:dyDescent="0.3">
      <c r="A69" s="19" t="s">
        <v>36</v>
      </c>
      <c r="B69" s="19" t="s">
        <v>227</v>
      </c>
      <c r="C69" s="20" t="s">
        <v>482</v>
      </c>
      <c r="D69" s="19" t="s">
        <v>38</v>
      </c>
      <c r="E69" s="19" t="s">
        <v>192</v>
      </c>
      <c r="F69" s="19" t="s">
        <v>233</v>
      </c>
      <c r="G69" s="251"/>
      <c r="H69" s="89"/>
      <c r="I69" s="89"/>
      <c r="J69" s="89"/>
      <c r="K69" s="89"/>
      <c r="L69" s="89"/>
      <c r="M69" s="89"/>
      <c r="N69" s="89"/>
      <c r="O69" s="90"/>
      <c r="P69" s="89"/>
      <c r="Q69" s="56"/>
      <c r="R69" s="56"/>
    </row>
    <row r="70" spans="1:18" ht="15" customHeight="1" x14ac:dyDescent="0.3">
      <c r="A70" s="19" t="s">
        <v>36</v>
      </c>
      <c r="B70" s="19" t="s">
        <v>244</v>
      </c>
      <c r="C70" s="20" t="s">
        <v>529</v>
      </c>
      <c r="D70" s="19" t="s">
        <v>38</v>
      </c>
      <c r="E70" s="19" t="s">
        <v>530</v>
      </c>
      <c r="F70" s="19" t="s">
        <v>233</v>
      </c>
      <c r="G70" s="251"/>
      <c r="H70" s="89"/>
      <c r="I70" s="89"/>
      <c r="J70" s="89"/>
      <c r="K70" s="89"/>
      <c r="L70" s="89"/>
      <c r="M70" s="89"/>
      <c r="N70" s="89"/>
      <c r="O70" s="90"/>
      <c r="P70" s="89"/>
      <c r="Q70" s="56"/>
      <c r="R70" s="56"/>
    </row>
    <row r="71" spans="1:18" ht="15" customHeight="1" x14ac:dyDescent="0.3">
      <c r="A71" s="19" t="s">
        <v>36</v>
      </c>
      <c r="B71" s="19" t="s">
        <v>237</v>
      </c>
      <c r="C71" s="20" t="s">
        <v>155</v>
      </c>
      <c r="D71" s="19" t="s">
        <v>38</v>
      </c>
      <c r="E71" s="19" t="s">
        <v>530</v>
      </c>
      <c r="F71" s="19" t="s">
        <v>233</v>
      </c>
      <c r="G71" s="251"/>
      <c r="H71" s="89"/>
      <c r="I71" s="89"/>
      <c r="J71" s="89"/>
      <c r="K71" s="89"/>
      <c r="L71" s="89"/>
      <c r="M71" s="89"/>
      <c r="N71" s="89"/>
      <c r="O71" s="90"/>
      <c r="P71" s="89"/>
      <c r="Q71" s="56"/>
      <c r="R71" s="56"/>
    </row>
    <row r="72" spans="1:18" ht="15" customHeight="1" x14ac:dyDescent="0.3">
      <c r="A72" s="19" t="s">
        <v>36</v>
      </c>
      <c r="B72" s="19" t="s">
        <v>238</v>
      </c>
      <c r="C72" s="20" t="s">
        <v>490</v>
      </c>
      <c r="D72" s="19" t="s">
        <v>38</v>
      </c>
      <c r="E72" s="19" t="s">
        <v>213</v>
      </c>
      <c r="F72" s="19" t="s">
        <v>233</v>
      </c>
      <c r="G72" s="251"/>
      <c r="H72" s="89"/>
      <c r="I72" s="89"/>
      <c r="J72" s="89"/>
      <c r="K72" s="89"/>
      <c r="L72" s="89"/>
      <c r="M72" s="89"/>
      <c r="N72" s="89"/>
      <c r="O72" s="90"/>
      <c r="P72" s="89"/>
      <c r="Q72" s="56"/>
      <c r="R72" s="56"/>
    </row>
    <row r="73" spans="1:18" ht="15" customHeight="1" x14ac:dyDescent="0.3">
      <c r="A73" s="91" t="s">
        <v>26</v>
      </c>
      <c r="B73" s="91" t="s">
        <v>255</v>
      </c>
      <c r="C73" s="92" t="s">
        <v>487</v>
      </c>
      <c r="D73" s="91" t="s">
        <v>28</v>
      </c>
      <c r="E73" s="91" t="s">
        <v>547</v>
      </c>
      <c r="F73" s="91" t="s">
        <v>47</v>
      </c>
      <c r="G73" s="252"/>
      <c r="H73" s="93"/>
      <c r="I73" s="93"/>
      <c r="J73" s="93"/>
      <c r="K73" s="93"/>
      <c r="L73" s="93"/>
      <c r="M73" s="93"/>
      <c r="N73" s="93"/>
      <c r="O73" s="94"/>
      <c r="P73" s="93"/>
      <c r="Q73" s="95"/>
      <c r="R73" s="95"/>
    </row>
  </sheetData>
  <mergeCells count="21">
    <mergeCell ref="A63:F63"/>
    <mergeCell ref="A28:R28"/>
    <mergeCell ref="K2:R2"/>
    <mergeCell ref="A48:R48"/>
    <mergeCell ref="A49:F49"/>
    <mergeCell ref="G31:G47"/>
    <mergeCell ref="G51:G73"/>
    <mergeCell ref="A37:F37"/>
    <mergeCell ref="H29:R29"/>
    <mergeCell ref="H1:L1"/>
    <mergeCell ref="A1:E1"/>
    <mergeCell ref="G6:G27"/>
    <mergeCell ref="H4:R4"/>
    <mergeCell ref="A2:F2"/>
    <mergeCell ref="A3:R3"/>
    <mergeCell ref="G2:J2"/>
    <mergeCell ref="A17:F17"/>
    <mergeCell ref="A4:F4"/>
    <mergeCell ref="H49:R49"/>
    <mergeCell ref="A29:F29"/>
    <mergeCell ref="N1:R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6"/>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8.1093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3" width="3.88671875" style="269" bestFit="1" customWidth="1"/>
    <col min="24" max="24" width="4.109375" style="269" bestFit="1" customWidth="1"/>
    <col min="25" max="25" width="4.44140625" style="269" bestFit="1" customWidth="1"/>
    <col min="26" max="26" width="4.109375" style="269" bestFit="1" customWidth="1"/>
    <col min="27" max="27" width="5" style="269" bestFit="1" customWidth="1"/>
    <col min="28" max="29" width="4.21875" style="269" bestFit="1" customWidth="1"/>
    <col min="30" max="34" width="3.88671875" style="269" bestFit="1" customWidth="1"/>
    <col min="35" max="35" width="5.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511</v>
      </c>
      <c r="D2" s="273" t="s">
        <v>550</v>
      </c>
      <c r="E2" s="272" t="s">
        <v>494</v>
      </c>
      <c r="F2" s="272" t="s">
        <v>140</v>
      </c>
      <c r="G2" s="274">
        <v>1</v>
      </c>
      <c r="H2" s="275">
        <v>179</v>
      </c>
      <c r="I2" s="275">
        <v>179</v>
      </c>
      <c r="J2" s="275">
        <v>134</v>
      </c>
      <c r="K2" s="272" t="s">
        <v>141</v>
      </c>
      <c r="L2" s="276" t="s">
        <v>186</v>
      </c>
      <c r="M2" s="275">
        <v>0</v>
      </c>
      <c r="N2" s="275">
        <v>1</v>
      </c>
      <c r="O2" s="275">
        <v>7</v>
      </c>
      <c r="P2" s="272" t="s">
        <v>85</v>
      </c>
      <c r="Q2" s="268"/>
      <c r="R2" s="268"/>
      <c r="S2" s="268"/>
      <c r="T2" s="268"/>
      <c r="U2" s="268"/>
      <c r="V2" s="275" t="s">
        <v>523</v>
      </c>
      <c r="W2" s="275" t="s">
        <v>196</v>
      </c>
      <c r="X2" s="275" t="s">
        <v>440</v>
      </c>
      <c r="Y2" s="275" t="s">
        <v>474</v>
      </c>
      <c r="Z2" s="275" t="s">
        <v>216</v>
      </c>
      <c r="AA2" s="268"/>
      <c r="AB2" s="268"/>
      <c r="AC2" s="275" t="s">
        <v>551</v>
      </c>
      <c r="AD2" s="275" t="s">
        <v>395</v>
      </c>
      <c r="AE2" s="275" t="s">
        <v>396</v>
      </c>
      <c r="AF2" s="275" t="s">
        <v>202</v>
      </c>
      <c r="AG2" s="268"/>
      <c r="AH2" s="268"/>
      <c r="AI2" s="275" t="s">
        <v>552</v>
      </c>
      <c r="AJ2" s="268"/>
    </row>
    <row r="3" spans="1:36" x14ac:dyDescent="0.3">
      <c r="A3" s="270" t="s">
        <v>435</v>
      </c>
      <c r="B3" s="271">
        <v>45982</v>
      </c>
      <c r="C3" s="272" t="s">
        <v>511</v>
      </c>
      <c r="D3" s="273" t="s">
        <v>553</v>
      </c>
      <c r="E3" s="272" t="s">
        <v>494</v>
      </c>
      <c r="F3" s="272" t="s">
        <v>140</v>
      </c>
      <c r="G3" s="274">
        <v>0.98880000000000001</v>
      </c>
      <c r="H3" s="275">
        <v>179</v>
      </c>
      <c r="I3" s="275">
        <v>177</v>
      </c>
      <c r="J3" s="275">
        <v>83</v>
      </c>
      <c r="K3" s="272" t="s">
        <v>141</v>
      </c>
      <c r="L3" s="276" t="s">
        <v>186</v>
      </c>
      <c r="M3" s="275">
        <v>0</v>
      </c>
      <c r="N3" s="275">
        <v>3</v>
      </c>
      <c r="O3" s="275">
        <v>10</v>
      </c>
      <c r="P3" s="272" t="s">
        <v>523</v>
      </c>
      <c r="Q3" s="268"/>
      <c r="R3" s="268"/>
      <c r="S3" s="268"/>
      <c r="T3" s="268"/>
      <c r="U3" s="275" t="s">
        <v>554</v>
      </c>
      <c r="V3" s="275" t="s">
        <v>423</v>
      </c>
      <c r="W3" s="268"/>
      <c r="X3" s="275" t="s">
        <v>358</v>
      </c>
      <c r="Y3" s="275" t="s">
        <v>555</v>
      </c>
      <c r="Z3" s="275" t="s">
        <v>452</v>
      </c>
      <c r="AA3" s="275" t="s">
        <v>556</v>
      </c>
      <c r="AB3" s="275" t="s">
        <v>557</v>
      </c>
      <c r="AC3" s="275" t="s">
        <v>558</v>
      </c>
      <c r="AD3" s="268"/>
      <c r="AE3" s="268"/>
      <c r="AF3" s="268"/>
      <c r="AG3" s="268"/>
      <c r="AH3" s="268"/>
      <c r="AI3" s="275" t="s">
        <v>221</v>
      </c>
      <c r="AJ3" s="268"/>
    </row>
    <row r="4" spans="1:36" x14ac:dyDescent="0.3">
      <c r="A4" s="270" t="s">
        <v>154</v>
      </c>
      <c r="B4" s="271">
        <v>45983</v>
      </c>
      <c r="C4" s="272" t="s">
        <v>538</v>
      </c>
      <c r="D4" s="273" t="s">
        <v>445</v>
      </c>
      <c r="E4" s="272" t="s">
        <v>494</v>
      </c>
      <c r="F4" s="272" t="s">
        <v>140</v>
      </c>
      <c r="G4" s="274">
        <v>0.99439999999999995</v>
      </c>
      <c r="H4" s="275">
        <v>179</v>
      </c>
      <c r="I4" s="275">
        <v>178</v>
      </c>
      <c r="J4" s="275">
        <v>118</v>
      </c>
      <c r="K4" s="272" t="s">
        <v>141</v>
      </c>
      <c r="L4" s="276" t="s">
        <v>279</v>
      </c>
      <c r="M4" s="275">
        <v>0</v>
      </c>
      <c r="N4" s="275">
        <v>0</v>
      </c>
      <c r="O4" s="275">
        <v>10</v>
      </c>
      <c r="P4" s="272" t="s">
        <v>473</v>
      </c>
      <c r="Q4" s="268"/>
      <c r="R4" s="268"/>
      <c r="S4" s="268"/>
      <c r="T4" s="268"/>
      <c r="U4" s="268"/>
      <c r="V4" s="268"/>
      <c r="W4" s="268"/>
      <c r="X4" s="275" t="s">
        <v>407</v>
      </c>
      <c r="Y4" s="268"/>
      <c r="Z4" s="275" t="s">
        <v>409</v>
      </c>
      <c r="AA4" s="275" t="s">
        <v>559</v>
      </c>
      <c r="AB4" s="275" t="s">
        <v>560</v>
      </c>
      <c r="AC4" s="275" t="s">
        <v>558</v>
      </c>
      <c r="AD4" s="268"/>
      <c r="AE4" s="268"/>
      <c r="AF4" s="268"/>
      <c r="AG4" s="268"/>
      <c r="AH4" s="268"/>
      <c r="AI4" s="275" t="s">
        <v>561</v>
      </c>
      <c r="AJ4" s="268"/>
    </row>
    <row r="5" spans="1:36" x14ac:dyDescent="0.3">
      <c r="A5" s="270" t="s">
        <v>154</v>
      </c>
      <c r="B5" s="271">
        <v>45983</v>
      </c>
      <c r="C5" s="272" t="s">
        <v>511</v>
      </c>
      <c r="D5" s="273" t="s">
        <v>562</v>
      </c>
      <c r="E5" s="272" t="s">
        <v>494</v>
      </c>
      <c r="F5" s="272" t="s">
        <v>140</v>
      </c>
      <c r="G5" s="274">
        <v>0.98880000000000001</v>
      </c>
      <c r="H5" s="275">
        <v>179</v>
      </c>
      <c r="I5" s="275">
        <v>177</v>
      </c>
      <c r="J5" s="275">
        <v>136</v>
      </c>
      <c r="K5" s="272" t="s">
        <v>141</v>
      </c>
      <c r="L5" s="276" t="s">
        <v>186</v>
      </c>
      <c r="M5" s="275">
        <v>0</v>
      </c>
      <c r="N5" s="275">
        <v>3</v>
      </c>
      <c r="O5" s="275">
        <v>6</v>
      </c>
      <c r="P5" s="272" t="s">
        <v>399</v>
      </c>
      <c r="Q5" s="268"/>
      <c r="R5" s="268"/>
      <c r="S5" s="268"/>
      <c r="T5" s="268"/>
      <c r="U5" s="268"/>
      <c r="V5" s="275" t="s">
        <v>195</v>
      </c>
      <c r="W5" s="275" t="s">
        <v>413</v>
      </c>
      <c r="X5" s="275" t="s">
        <v>563</v>
      </c>
      <c r="Y5" s="268"/>
      <c r="Z5" s="275" t="s">
        <v>564</v>
      </c>
      <c r="AA5" s="268"/>
      <c r="AB5" s="268"/>
      <c r="AC5" s="275" t="s">
        <v>217</v>
      </c>
      <c r="AD5" s="268"/>
      <c r="AE5" s="268"/>
      <c r="AF5" s="268"/>
      <c r="AG5" s="268"/>
      <c r="AH5" s="268"/>
      <c r="AI5" s="275" t="s">
        <v>565</v>
      </c>
      <c r="AJ5" s="268"/>
    </row>
    <row r="6" spans="1:36" ht="21" x14ac:dyDescent="0.3">
      <c r="A6" s="277" t="s">
        <v>913</v>
      </c>
      <c r="B6" s="278"/>
      <c r="C6" s="277">
        <f>SUBTOTAL(103,JED_HBE_LF_LEGACY[Flt])</f>
        <v>4</v>
      </c>
      <c r="D6" s="277"/>
      <c r="E6" s="277">
        <f>SUBTOTAL(103,JED_HBE_LF_LEGACY[Brd-Off])</f>
        <v>4</v>
      </c>
      <c r="F6" s="277"/>
      <c r="G6" s="279">
        <f>SUBTOTAL(101,JED_HBE_LF_LEGACY[LF%])</f>
        <v>0.99299999999999999</v>
      </c>
      <c r="H6" s="280">
        <f>SUBTOTAL(109,JED_HBE_LF_LEGACY[CAP])</f>
        <v>716</v>
      </c>
      <c r="I6" s="280">
        <f>SUBTOTAL(109,JED_HBE_LF_LEGACY[BKG(Y)])</f>
        <v>711</v>
      </c>
      <c r="J6" s="280">
        <f>SUBTOTAL(109,JED_HBE_LF_LEGACY[GRP(Y)])</f>
        <v>471</v>
      </c>
      <c r="K6" s="277"/>
      <c r="L6" s="278"/>
      <c r="M6" s="280">
        <f>SUBTOTAL(109,JED_HBE_LF_LEGACY[TO-DAY])</f>
        <v>0</v>
      </c>
      <c r="N6" s="280">
        <f>SUBTOTAL(109,JED_HBE_LF_LEGACY[Y-DAY])</f>
        <v>7</v>
      </c>
      <c r="O6" s="280">
        <f>SUBTOTAL(109,JED_HBE_LF_LEGACY[WEEKLY])</f>
        <v>33</v>
      </c>
      <c r="P6" s="281"/>
      <c r="Q6" s="280">
        <f>SUBTOTAL(109,JED_HBE_LF_LEGACY[Y])</f>
        <v>0</v>
      </c>
      <c r="R6" s="280">
        <f>SUBTOTAL(109,JED_HBE_LF_LEGACY[B])</f>
        <v>0</v>
      </c>
      <c r="S6" s="280">
        <f>SUBTOTAL(109,JED_HBE_LF_LEGACY[M])</f>
        <v>0</v>
      </c>
      <c r="T6" s="280">
        <f>SUBTOTAL(109,JED_HBE_LF_LEGACY[H])</f>
        <v>0</v>
      </c>
      <c r="U6" s="280">
        <f>SUBTOTAL(109,JED_HBE_LF_LEGACY[Q])</f>
        <v>0</v>
      </c>
      <c r="V6" s="280">
        <f>SUBTOTAL(109,JED_HBE_LF_LEGACY[K])</f>
        <v>0</v>
      </c>
      <c r="W6" s="280">
        <f>SUBTOTAL(109,JED_HBE_LF_LEGACY[V])</f>
        <v>0</v>
      </c>
      <c r="X6" s="280">
        <f>SUBTOTAL(109,JED_HBE_LF_LEGACY[L])</f>
        <v>0</v>
      </c>
      <c r="Y6" s="280">
        <f>SUBTOTAL(109,JED_HBE_LF_LEGACY[G])</f>
        <v>0</v>
      </c>
      <c r="Z6" s="280">
        <f>SUBTOTAL(109,JED_HBE_LF_LEGACY[S])</f>
        <v>0</v>
      </c>
      <c r="AA6" s="280">
        <f>SUBTOTAL(109,JED_HBE_LF_LEGACY[W])</f>
        <v>0</v>
      </c>
      <c r="AB6" s="280">
        <f>SUBTOTAL(109,JED_HBE_LF_LEGACY[T])</f>
        <v>0</v>
      </c>
      <c r="AC6" s="280">
        <f>SUBTOTAL(109,JED_HBE_LF_LEGACY[X])</f>
        <v>0</v>
      </c>
      <c r="AD6" s="280">
        <f>SUBTOTAL(109,JED_HBE_LF_LEGACY[U])</f>
        <v>0</v>
      </c>
      <c r="AE6" s="280">
        <f>SUBTOTAL(109,JED_HBE_LF_LEGACY[O])</f>
        <v>0</v>
      </c>
      <c r="AF6" s="280">
        <f>SUBTOTAL(109,JED_HBE_LF_LEGACY[I])</f>
        <v>0</v>
      </c>
      <c r="AG6" s="280">
        <f>SUBTOTAL(109,JED_HBE_LF_LEGACY[E])</f>
        <v>0</v>
      </c>
      <c r="AH6" s="280">
        <f>SUBTOTAL(109,JED_HBE_LF_LEGACY[A])</f>
        <v>0</v>
      </c>
      <c r="AI6" s="280">
        <f>SUBTOTAL(109,JED_HBE_LF_LEGACY[P])</f>
        <v>0</v>
      </c>
      <c r="AJ6" s="280">
        <f>SUBTOTAL(103,JED_HBE_LF_LEGACY[N])</f>
        <v>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5546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269</v>
      </c>
      <c r="C2" s="62" t="s">
        <v>495</v>
      </c>
      <c r="D2" s="61" t="s">
        <v>494</v>
      </c>
      <c r="E2" s="61" t="s">
        <v>485</v>
      </c>
      <c r="F2" s="61" t="s">
        <v>496</v>
      </c>
      <c r="G2" s="63">
        <v>9</v>
      </c>
      <c r="H2" s="65" t="s">
        <v>497</v>
      </c>
    </row>
    <row r="3" spans="1:8" ht="19.8" customHeight="1" x14ac:dyDescent="0.3">
      <c r="A3" s="60" t="s">
        <v>166</v>
      </c>
      <c r="B3" s="61" t="s">
        <v>269</v>
      </c>
      <c r="C3" s="62" t="s">
        <v>501</v>
      </c>
      <c r="D3" s="61" t="s">
        <v>494</v>
      </c>
      <c r="E3" s="61" t="s">
        <v>566</v>
      </c>
      <c r="F3" s="61" t="s">
        <v>496</v>
      </c>
      <c r="G3" s="63">
        <v>4</v>
      </c>
      <c r="H3" s="65" t="s">
        <v>502</v>
      </c>
    </row>
    <row r="4" spans="1:8" ht="19.8" customHeight="1" x14ac:dyDescent="0.3">
      <c r="A4" s="60" t="s">
        <v>166</v>
      </c>
      <c r="B4" s="61" t="s">
        <v>269</v>
      </c>
      <c r="C4" s="62" t="s">
        <v>495</v>
      </c>
      <c r="D4" s="61" t="s">
        <v>494</v>
      </c>
      <c r="E4" s="61" t="s">
        <v>485</v>
      </c>
      <c r="F4" s="61" t="s">
        <v>498</v>
      </c>
      <c r="G4" s="63">
        <v>9</v>
      </c>
      <c r="H4" s="65" t="s">
        <v>499</v>
      </c>
    </row>
    <row r="5" spans="1:8" ht="19.8" customHeight="1" x14ac:dyDescent="0.3">
      <c r="A5" s="60" t="s">
        <v>166</v>
      </c>
      <c r="B5" s="61" t="s">
        <v>269</v>
      </c>
      <c r="C5" s="62" t="s">
        <v>501</v>
      </c>
      <c r="D5" s="61" t="s">
        <v>494</v>
      </c>
      <c r="E5" s="61" t="s">
        <v>566</v>
      </c>
      <c r="F5" s="61" t="s">
        <v>498</v>
      </c>
      <c r="G5" s="63">
        <v>4</v>
      </c>
      <c r="H5" s="65" t="s">
        <v>503</v>
      </c>
    </row>
    <row r="6" spans="1:8" ht="19.8" customHeight="1" x14ac:dyDescent="0.3">
      <c r="A6" s="60" t="s">
        <v>166</v>
      </c>
      <c r="B6" s="61" t="s">
        <v>269</v>
      </c>
      <c r="C6" s="62" t="s">
        <v>495</v>
      </c>
      <c r="D6" s="61" t="s">
        <v>494</v>
      </c>
      <c r="E6" s="61" t="s">
        <v>485</v>
      </c>
      <c r="F6" s="61" t="s">
        <v>34</v>
      </c>
      <c r="G6" s="63">
        <v>9</v>
      </c>
      <c r="H6" s="65" t="s">
        <v>500</v>
      </c>
    </row>
    <row r="7" spans="1:8" ht="19.8" customHeight="1" x14ac:dyDescent="0.3">
      <c r="A7" s="60" t="s">
        <v>166</v>
      </c>
      <c r="B7" s="61" t="s">
        <v>269</v>
      </c>
      <c r="C7" s="62" t="s">
        <v>501</v>
      </c>
      <c r="D7" s="61" t="s">
        <v>494</v>
      </c>
      <c r="E7" s="61" t="s">
        <v>566</v>
      </c>
      <c r="F7" s="61" t="s">
        <v>34</v>
      </c>
      <c r="G7" s="63">
        <v>4</v>
      </c>
      <c r="H7" s="65" t="s">
        <v>504</v>
      </c>
    </row>
    <row r="8" spans="1:8" ht="19.8" customHeight="1" x14ac:dyDescent="0.3">
      <c r="A8" s="60" t="s">
        <v>166</v>
      </c>
      <c r="B8" s="61" t="s">
        <v>64</v>
      </c>
      <c r="C8" s="62" t="s">
        <v>505</v>
      </c>
      <c r="D8" s="61" t="s">
        <v>494</v>
      </c>
      <c r="E8" s="61" t="s">
        <v>567</v>
      </c>
      <c r="F8" s="61" t="s">
        <v>66</v>
      </c>
      <c r="G8" s="63">
        <v>9</v>
      </c>
      <c r="H8" s="65" t="s">
        <v>506</v>
      </c>
    </row>
    <row r="9" spans="1:8" ht="19.8" customHeight="1" x14ac:dyDescent="0.3">
      <c r="A9" s="60" t="s">
        <v>166</v>
      </c>
      <c r="B9" s="61" t="s">
        <v>64</v>
      </c>
      <c r="C9" s="62" t="s">
        <v>505</v>
      </c>
      <c r="D9" s="61" t="s">
        <v>494</v>
      </c>
      <c r="E9" s="61" t="s">
        <v>567</v>
      </c>
      <c r="F9" s="61" t="s">
        <v>68</v>
      </c>
      <c r="G9" s="63">
        <v>9</v>
      </c>
      <c r="H9" s="65" t="s">
        <v>507</v>
      </c>
    </row>
    <row r="10" spans="1:8" ht="19.8" customHeight="1" x14ac:dyDescent="0.3">
      <c r="A10" s="60" t="s">
        <v>166</v>
      </c>
      <c r="B10" s="61" t="s">
        <v>64</v>
      </c>
      <c r="C10" s="62" t="s">
        <v>508</v>
      </c>
      <c r="D10" s="61" t="s">
        <v>494</v>
      </c>
      <c r="E10" s="61" t="s">
        <v>568</v>
      </c>
      <c r="F10" s="61" t="s">
        <v>66</v>
      </c>
      <c r="G10" s="63">
        <v>9</v>
      </c>
      <c r="H10" s="65" t="s">
        <v>509</v>
      </c>
    </row>
    <row r="11" spans="1:8" ht="19.8" customHeight="1" x14ac:dyDescent="0.3">
      <c r="A11" s="60" t="s">
        <v>166</v>
      </c>
      <c r="B11" s="61" t="s">
        <v>64</v>
      </c>
      <c r="C11" s="62" t="s">
        <v>508</v>
      </c>
      <c r="D11" s="61" t="s">
        <v>494</v>
      </c>
      <c r="E11" s="61" t="s">
        <v>568</v>
      </c>
      <c r="F11" s="61" t="s">
        <v>68</v>
      </c>
      <c r="G11" s="63">
        <v>9</v>
      </c>
      <c r="H11" s="65" t="s">
        <v>510</v>
      </c>
    </row>
    <row r="12" spans="1:8" ht="19.8" customHeight="1" x14ac:dyDescent="0.3">
      <c r="A12" s="96" t="s">
        <v>166</v>
      </c>
      <c r="B12" s="97" t="s">
        <v>80</v>
      </c>
      <c r="C12" s="98" t="s">
        <v>511</v>
      </c>
      <c r="D12" s="97" t="s">
        <v>494</v>
      </c>
      <c r="E12" s="97" t="s">
        <v>550</v>
      </c>
      <c r="F12" s="97" t="s">
        <v>82</v>
      </c>
      <c r="G12" s="97"/>
      <c r="H12" s="117" t="s">
        <v>83</v>
      </c>
    </row>
    <row r="13" spans="1:8" ht="19.8" customHeight="1" x14ac:dyDescent="0.3">
      <c r="A13" s="101"/>
      <c r="B13" s="102"/>
      <c r="C13" s="102"/>
      <c r="D13" s="102"/>
      <c r="E13" s="102"/>
      <c r="F13" s="103" t="s">
        <v>569</v>
      </c>
      <c r="G13" s="102"/>
      <c r="H13" s="104"/>
    </row>
    <row r="14" spans="1:8" ht="19.8" customHeight="1" x14ac:dyDescent="0.3">
      <c r="A14" s="70">
        <v>45981</v>
      </c>
      <c r="B14" s="61" t="s">
        <v>36</v>
      </c>
      <c r="C14" s="62" t="s">
        <v>227</v>
      </c>
      <c r="D14" s="61" t="s">
        <v>226</v>
      </c>
      <c r="E14" s="71">
        <v>1.256944444444444</v>
      </c>
      <c r="F14" s="61" t="s">
        <v>38</v>
      </c>
      <c r="G14" s="63">
        <v>9</v>
      </c>
      <c r="H14" s="64">
        <v>589</v>
      </c>
    </row>
    <row r="15" spans="1:8" ht="19.8" customHeight="1" x14ac:dyDescent="0.3">
      <c r="A15" s="70">
        <v>45981</v>
      </c>
      <c r="B15" s="61" t="s">
        <v>36</v>
      </c>
      <c r="C15" s="62" t="s">
        <v>231</v>
      </c>
      <c r="D15" s="61" t="s">
        <v>226</v>
      </c>
      <c r="E15" s="71">
        <v>1.302083333333333</v>
      </c>
      <c r="F15" s="61" t="s">
        <v>38</v>
      </c>
      <c r="G15" s="63">
        <v>7</v>
      </c>
      <c r="H15" s="64">
        <v>589</v>
      </c>
    </row>
    <row r="16" spans="1:8" ht="19.8" customHeight="1" x14ac:dyDescent="0.3">
      <c r="A16" s="70">
        <v>45981</v>
      </c>
      <c r="B16" s="61" t="s">
        <v>36</v>
      </c>
      <c r="C16" s="62" t="s">
        <v>232</v>
      </c>
      <c r="D16" s="61" t="s">
        <v>226</v>
      </c>
      <c r="E16" s="71">
        <v>1.854166666666667</v>
      </c>
      <c r="F16" s="61" t="s">
        <v>38</v>
      </c>
      <c r="G16" s="63">
        <v>9</v>
      </c>
      <c r="H16" s="64">
        <v>669</v>
      </c>
    </row>
    <row r="17" spans="1:8" ht="19.8" customHeight="1" x14ac:dyDescent="0.3">
      <c r="A17" s="70">
        <v>45981</v>
      </c>
      <c r="B17" s="61" t="s">
        <v>36</v>
      </c>
      <c r="C17" s="62" t="s">
        <v>235</v>
      </c>
      <c r="D17" s="61" t="s">
        <v>226</v>
      </c>
      <c r="E17" s="71">
        <v>1.9027777777777779</v>
      </c>
      <c r="F17" s="61" t="s">
        <v>38</v>
      </c>
      <c r="G17" s="63">
        <v>9</v>
      </c>
      <c r="H17" s="64">
        <v>669</v>
      </c>
    </row>
    <row r="18" spans="1:8" ht="19.8" customHeight="1" x14ac:dyDescent="0.3">
      <c r="A18" s="70">
        <v>45981</v>
      </c>
      <c r="B18" s="61" t="s">
        <v>36</v>
      </c>
      <c r="C18" s="62" t="s">
        <v>236</v>
      </c>
      <c r="D18" s="61" t="s">
        <v>226</v>
      </c>
      <c r="E18" s="71">
        <v>1.7986111111111109</v>
      </c>
      <c r="F18" s="61" t="s">
        <v>38</v>
      </c>
      <c r="G18" s="63">
        <v>9</v>
      </c>
      <c r="H18" s="64">
        <v>669</v>
      </c>
    </row>
    <row r="19" spans="1:8" ht="19.8" customHeight="1" x14ac:dyDescent="0.3">
      <c r="A19" s="70">
        <v>45981</v>
      </c>
      <c r="B19" s="61" t="s">
        <v>36</v>
      </c>
      <c r="C19" s="62" t="s">
        <v>237</v>
      </c>
      <c r="D19" s="61" t="s">
        <v>226</v>
      </c>
      <c r="E19" s="71">
        <v>1.395833333333333</v>
      </c>
      <c r="F19" s="61" t="s">
        <v>38</v>
      </c>
      <c r="G19" s="63">
        <v>9</v>
      </c>
      <c r="H19" s="64">
        <v>669</v>
      </c>
    </row>
    <row r="20" spans="1:8" ht="19.8" customHeight="1" x14ac:dyDescent="0.3">
      <c r="A20" s="70">
        <v>45981</v>
      </c>
      <c r="B20" s="61" t="s">
        <v>36</v>
      </c>
      <c r="C20" s="62" t="s">
        <v>227</v>
      </c>
      <c r="D20" s="61" t="s">
        <v>226</v>
      </c>
      <c r="E20" s="71">
        <v>1.256944444444444</v>
      </c>
      <c r="F20" s="61" t="s">
        <v>41</v>
      </c>
      <c r="G20" s="63">
        <v>9</v>
      </c>
      <c r="H20" s="64">
        <v>689</v>
      </c>
    </row>
    <row r="21" spans="1:8" ht="19.8" customHeight="1" x14ac:dyDescent="0.3">
      <c r="A21" s="70">
        <v>45981</v>
      </c>
      <c r="B21" s="61" t="s">
        <v>36</v>
      </c>
      <c r="C21" s="62" t="s">
        <v>231</v>
      </c>
      <c r="D21" s="61" t="s">
        <v>226</v>
      </c>
      <c r="E21" s="71">
        <v>1.302083333333333</v>
      </c>
      <c r="F21" s="61" t="s">
        <v>41</v>
      </c>
      <c r="G21" s="63">
        <v>7</v>
      </c>
      <c r="H21" s="64">
        <v>689</v>
      </c>
    </row>
    <row r="22" spans="1:8" ht="19.8" customHeight="1" x14ac:dyDescent="0.3">
      <c r="A22" s="70">
        <v>45981</v>
      </c>
      <c r="B22" s="61" t="s">
        <v>26</v>
      </c>
      <c r="C22" s="62" t="s">
        <v>248</v>
      </c>
      <c r="D22" s="61" t="s">
        <v>226</v>
      </c>
      <c r="E22" s="71">
        <v>1.302083333333333</v>
      </c>
      <c r="F22" s="61" t="s">
        <v>28</v>
      </c>
      <c r="G22" s="63">
        <v>11</v>
      </c>
      <c r="H22" s="64">
        <v>689</v>
      </c>
    </row>
    <row r="23" spans="1:8" ht="19.8" customHeight="1" x14ac:dyDescent="0.3">
      <c r="A23" s="72">
        <v>45981</v>
      </c>
      <c r="B23" s="73" t="s">
        <v>26</v>
      </c>
      <c r="C23" s="74" t="s">
        <v>252</v>
      </c>
      <c r="D23" s="73" t="s">
        <v>226</v>
      </c>
      <c r="E23" s="75">
        <v>1.8888888888888891</v>
      </c>
      <c r="F23" s="73" t="s">
        <v>28</v>
      </c>
      <c r="G23" s="76">
        <v>16</v>
      </c>
      <c r="H23" s="105">
        <v>689</v>
      </c>
    </row>
    <row r="24" spans="1:8" ht="19.8" customHeight="1" x14ac:dyDescent="0.3">
      <c r="A24" s="70">
        <v>45982</v>
      </c>
      <c r="B24" s="61" t="s">
        <v>269</v>
      </c>
      <c r="C24" s="62" t="s">
        <v>517</v>
      </c>
      <c r="D24" s="61" t="s">
        <v>494</v>
      </c>
      <c r="E24" s="71">
        <v>1.1875</v>
      </c>
      <c r="F24" s="61" t="s">
        <v>496</v>
      </c>
      <c r="G24" s="63">
        <v>9</v>
      </c>
      <c r="H24" s="64">
        <v>915</v>
      </c>
    </row>
    <row r="25" spans="1:8" ht="19.8" customHeight="1" x14ac:dyDescent="0.3">
      <c r="A25" s="70">
        <v>45982</v>
      </c>
      <c r="B25" s="61" t="s">
        <v>269</v>
      </c>
      <c r="C25" s="62" t="s">
        <v>517</v>
      </c>
      <c r="D25" s="61" t="s">
        <v>494</v>
      </c>
      <c r="E25" s="71">
        <v>1.1875</v>
      </c>
      <c r="F25" s="61" t="s">
        <v>498</v>
      </c>
      <c r="G25" s="63">
        <v>9</v>
      </c>
      <c r="H25" s="64">
        <v>990</v>
      </c>
    </row>
    <row r="26" spans="1:8" ht="19.8" customHeight="1" x14ac:dyDescent="0.3">
      <c r="A26" s="186">
        <v>45982</v>
      </c>
      <c r="B26" s="97" t="s">
        <v>80</v>
      </c>
      <c r="C26" s="98" t="s">
        <v>521</v>
      </c>
      <c r="D26" s="97" t="s">
        <v>494</v>
      </c>
      <c r="E26" s="187">
        <v>1.416666666666667</v>
      </c>
      <c r="F26" s="97" t="s">
        <v>182</v>
      </c>
      <c r="G26" s="99">
        <v>1</v>
      </c>
      <c r="H26" s="117" t="s">
        <v>522</v>
      </c>
    </row>
    <row r="27" spans="1:8" ht="19.8" customHeight="1" x14ac:dyDescent="0.3">
      <c r="A27" s="70">
        <v>45982</v>
      </c>
      <c r="B27" s="61" t="s">
        <v>269</v>
      </c>
      <c r="C27" s="62" t="s">
        <v>517</v>
      </c>
      <c r="D27" s="61" t="s">
        <v>494</v>
      </c>
      <c r="E27" s="71">
        <v>1.1875</v>
      </c>
      <c r="F27" s="61" t="s">
        <v>34</v>
      </c>
      <c r="G27" s="63">
        <v>9</v>
      </c>
      <c r="H27" s="65" t="s">
        <v>520</v>
      </c>
    </row>
    <row r="28" spans="1:8" ht="19.8" customHeight="1" x14ac:dyDescent="0.3">
      <c r="A28" s="70">
        <v>45982</v>
      </c>
      <c r="B28" s="61" t="s">
        <v>64</v>
      </c>
      <c r="C28" s="62" t="s">
        <v>508</v>
      </c>
      <c r="D28" s="61" t="s">
        <v>494</v>
      </c>
      <c r="E28" s="71">
        <v>1.711805555555556</v>
      </c>
      <c r="F28" s="61" t="s">
        <v>66</v>
      </c>
      <c r="G28" s="63">
        <v>9</v>
      </c>
      <c r="H28" s="65" t="s">
        <v>509</v>
      </c>
    </row>
    <row r="29" spans="1:8" ht="19.8" customHeight="1" x14ac:dyDescent="0.3">
      <c r="A29" s="70">
        <v>45982</v>
      </c>
      <c r="B29" s="61" t="s">
        <v>64</v>
      </c>
      <c r="C29" s="62" t="s">
        <v>508</v>
      </c>
      <c r="D29" s="61" t="s">
        <v>494</v>
      </c>
      <c r="E29" s="71">
        <v>1.711805555555556</v>
      </c>
      <c r="F29" s="61" t="s">
        <v>68</v>
      </c>
      <c r="G29" s="63">
        <v>9</v>
      </c>
      <c r="H29" s="65" t="s">
        <v>510</v>
      </c>
    </row>
    <row r="30" spans="1:8" ht="19.8" customHeight="1" x14ac:dyDescent="0.3">
      <c r="A30" s="101"/>
      <c r="B30" s="102"/>
      <c r="C30" s="102"/>
      <c r="D30" s="102"/>
      <c r="E30" s="102"/>
      <c r="F30" s="103" t="s">
        <v>569</v>
      </c>
      <c r="G30" s="102"/>
      <c r="H30" s="104"/>
    </row>
    <row r="31" spans="1:8" ht="19.8" customHeight="1" x14ac:dyDescent="0.3">
      <c r="A31" s="70">
        <v>45982</v>
      </c>
      <c r="B31" s="61" t="s">
        <v>26</v>
      </c>
      <c r="C31" s="62" t="s">
        <v>258</v>
      </c>
      <c r="D31" s="61" t="s">
        <v>226</v>
      </c>
      <c r="E31" s="71">
        <v>1.1284722222222221</v>
      </c>
      <c r="F31" s="61" t="s">
        <v>28</v>
      </c>
      <c r="G31" s="63">
        <v>13</v>
      </c>
      <c r="H31" s="64">
        <v>639</v>
      </c>
    </row>
    <row r="32" spans="1:8" ht="19.8" customHeight="1" x14ac:dyDescent="0.3">
      <c r="A32" s="70">
        <v>45982</v>
      </c>
      <c r="B32" s="61" t="s">
        <v>26</v>
      </c>
      <c r="C32" s="62" t="s">
        <v>248</v>
      </c>
      <c r="D32" s="61" t="s">
        <v>226</v>
      </c>
      <c r="E32" s="71">
        <v>1.302083333333333</v>
      </c>
      <c r="F32" s="61" t="s">
        <v>28</v>
      </c>
      <c r="G32" s="63">
        <v>13</v>
      </c>
      <c r="H32" s="64">
        <v>639</v>
      </c>
    </row>
    <row r="33" spans="1:8" ht="19.8" customHeight="1" x14ac:dyDescent="0.3">
      <c r="A33" s="70">
        <v>45982</v>
      </c>
      <c r="B33" s="61" t="s">
        <v>26</v>
      </c>
      <c r="C33" s="62" t="s">
        <v>252</v>
      </c>
      <c r="D33" s="61" t="s">
        <v>226</v>
      </c>
      <c r="E33" s="71">
        <v>1.8888888888888891</v>
      </c>
      <c r="F33" s="61" t="s">
        <v>28</v>
      </c>
      <c r="G33" s="63">
        <v>21</v>
      </c>
      <c r="H33" s="64">
        <v>639</v>
      </c>
    </row>
    <row r="34" spans="1:8" ht="19.8" customHeight="1" x14ac:dyDescent="0.3">
      <c r="A34" s="70">
        <v>45982</v>
      </c>
      <c r="B34" s="61" t="s">
        <v>26</v>
      </c>
      <c r="C34" s="62" t="s">
        <v>255</v>
      </c>
      <c r="D34" s="61" t="s">
        <v>226</v>
      </c>
      <c r="E34" s="71">
        <v>1.788194444444444</v>
      </c>
      <c r="F34" s="61" t="s">
        <v>28</v>
      </c>
      <c r="G34" s="63">
        <v>12</v>
      </c>
      <c r="H34" s="64">
        <v>639</v>
      </c>
    </row>
    <row r="35" spans="1:8" ht="19.8" customHeight="1" x14ac:dyDescent="0.3">
      <c r="A35" s="70">
        <v>45982</v>
      </c>
      <c r="B35" s="61" t="s">
        <v>269</v>
      </c>
      <c r="C35" s="62" t="s">
        <v>347</v>
      </c>
      <c r="D35" s="61" t="s">
        <v>226</v>
      </c>
      <c r="E35" s="71">
        <v>1.975694444444444</v>
      </c>
      <c r="F35" s="61" t="s">
        <v>271</v>
      </c>
      <c r="G35" s="63">
        <v>9</v>
      </c>
      <c r="H35" s="64">
        <v>640</v>
      </c>
    </row>
    <row r="36" spans="1:8" ht="19.8" customHeight="1" x14ac:dyDescent="0.3">
      <c r="A36" s="70">
        <v>45982</v>
      </c>
      <c r="B36" s="61" t="s">
        <v>36</v>
      </c>
      <c r="C36" s="62" t="s">
        <v>235</v>
      </c>
      <c r="D36" s="61" t="s">
        <v>226</v>
      </c>
      <c r="E36" s="71">
        <v>1.9027777777777779</v>
      </c>
      <c r="F36" s="61" t="s">
        <v>38</v>
      </c>
      <c r="G36" s="63">
        <v>1</v>
      </c>
      <c r="H36" s="64">
        <v>669</v>
      </c>
    </row>
    <row r="37" spans="1:8" ht="19.8" customHeight="1" x14ac:dyDescent="0.3">
      <c r="A37" s="70">
        <v>45982</v>
      </c>
      <c r="B37" s="61" t="s">
        <v>36</v>
      </c>
      <c r="C37" s="62" t="s">
        <v>236</v>
      </c>
      <c r="D37" s="61" t="s">
        <v>226</v>
      </c>
      <c r="E37" s="71">
        <v>1.7986111111111109</v>
      </c>
      <c r="F37" s="61" t="s">
        <v>38</v>
      </c>
      <c r="G37" s="63">
        <v>2</v>
      </c>
      <c r="H37" s="64">
        <v>669</v>
      </c>
    </row>
    <row r="38" spans="1:8" ht="19.8" customHeight="1" x14ac:dyDescent="0.3">
      <c r="A38" s="70">
        <v>45982</v>
      </c>
      <c r="B38" s="61" t="s">
        <v>36</v>
      </c>
      <c r="C38" s="62" t="s">
        <v>232</v>
      </c>
      <c r="D38" s="61" t="s">
        <v>226</v>
      </c>
      <c r="E38" s="71">
        <v>1.854166666666667</v>
      </c>
      <c r="F38" s="61" t="s">
        <v>38</v>
      </c>
      <c r="G38" s="63">
        <v>9</v>
      </c>
      <c r="H38" s="64">
        <v>719</v>
      </c>
    </row>
    <row r="39" spans="1:8" ht="19.8" customHeight="1" x14ac:dyDescent="0.3">
      <c r="A39" s="70">
        <v>45982</v>
      </c>
      <c r="B39" s="61" t="s">
        <v>36</v>
      </c>
      <c r="C39" s="62" t="s">
        <v>244</v>
      </c>
      <c r="D39" s="61" t="s">
        <v>226</v>
      </c>
      <c r="E39" s="71">
        <v>1.5173611111111109</v>
      </c>
      <c r="F39" s="61" t="s">
        <v>38</v>
      </c>
      <c r="G39" s="63">
        <v>4</v>
      </c>
      <c r="H39" s="64">
        <v>719</v>
      </c>
    </row>
    <row r="40" spans="1:8" ht="19.8" customHeight="1" x14ac:dyDescent="0.3">
      <c r="A40" s="72">
        <v>45982</v>
      </c>
      <c r="B40" s="73" t="s">
        <v>36</v>
      </c>
      <c r="C40" s="74" t="s">
        <v>237</v>
      </c>
      <c r="D40" s="73" t="s">
        <v>226</v>
      </c>
      <c r="E40" s="75">
        <v>1.395833333333333</v>
      </c>
      <c r="F40" s="73" t="s">
        <v>38</v>
      </c>
      <c r="G40" s="76">
        <v>6</v>
      </c>
      <c r="H40" s="105">
        <v>719</v>
      </c>
    </row>
    <row r="41" spans="1:8" ht="19.8" customHeight="1" x14ac:dyDescent="0.3">
      <c r="A41" s="70">
        <v>45983</v>
      </c>
      <c r="B41" s="61" t="s">
        <v>26</v>
      </c>
      <c r="C41" s="62" t="s">
        <v>531</v>
      </c>
      <c r="D41" s="61" t="s">
        <v>494</v>
      </c>
      <c r="E41" s="71">
        <v>1.256944444444444</v>
      </c>
      <c r="F41" s="61" t="s">
        <v>532</v>
      </c>
      <c r="G41" s="63">
        <v>1</v>
      </c>
      <c r="H41" s="64">
        <v>849</v>
      </c>
    </row>
    <row r="42" spans="1:8" ht="19.8" customHeight="1" x14ac:dyDescent="0.3">
      <c r="A42" s="186">
        <v>45983</v>
      </c>
      <c r="B42" s="97" t="s">
        <v>80</v>
      </c>
      <c r="C42" s="98" t="s">
        <v>537</v>
      </c>
      <c r="D42" s="97" t="s">
        <v>494</v>
      </c>
      <c r="E42" s="187">
        <v>1.458333333333333</v>
      </c>
      <c r="F42" s="97" t="s">
        <v>182</v>
      </c>
      <c r="G42" s="99">
        <v>1</v>
      </c>
      <c r="H42" s="100">
        <v>856</v>
      </c>
    </row>
    <row r="43" spans="1:8" ht="19.8" customHeight="1" x14ac:dyDescent="0.3">
      <c r="A43" s="70">
        <v>45983</v>
      </c>
      <c r="B43" s="61" t="s">
        <v>269</v>
      </c>
      <c r="C43" s="62" t="s">
        <v>501</v>
      </c>
      <c r="D43" s="61" t="s">
        <v>494</v>
      </c>
      <c r="E43" s="71">
        <v>1.5277777777777779</v>
      </c>
      <c r="F43" s="61" t="s">
        <v>496</v>
      </c>
      <c r="G43" s="63">
        <v>4</v>
      </c>
      <c r="H43" s="64">
        <v>869</v>
      </c>
    </row>
    <row r="44" spans="1:8" ht="19.8" customHeight="1" x14ac:dyDescent="0.3">
      <c r="A44" s="70">
        <v>45983</v>
      </c>
      <c r="B44" s="61" t="s">
        <v>26</v>
      </c>
      <c r="C44" s="62" t="s">
        <v>531</v>
      </c>
      <c r="D44" s="61" t="s">
        <v>494</v>
      </c>
      <c r="E44" s="71">
        <v>1.256944444444444</v>
      </c>
      <c r="F44" s="61" t="s">
        <v>496</v>
      </c>
      <c r="G44" s="63">
        <v>1</v>
      </c>
      <c r="H44" s="64">
        <v>908</v>
      </c>
    </row>
    <row r="45" spans="1:8" ht="19.8" customHeight="1" x14ac:dyDescent="0.3">
      <c r="A45" s="70">
        <v>45983</v>
      </c>
      <c r="B45" s="61" t="s">
        <v>26</v>
      </c>
      <c r="C45" s="62" t="s">
        <v>531</v>
      </c>
      <c r="D45" s="61" t="s">
        <v>494</v>
      </c>
      <c r="E45" s="71">
        <v>1.256944444444444</v>
      </c>
      <c r="F45" s="61" t="s">
        <v>498</v>
      </c>
      <c r="G45" s="63">
        <v>1</v>
      </c>
      <c r="H45" s="64">
        <v>932</v>
      </c>
    </row>
    <row r="46" spans="1:8" ht="19.8" customHeight="1" x14ac:dyDescent="0.3">
      <c r="A46" s="186">
        <v>45983</v>
      </c>
      <c r="B46" s="97" t="s">
        <v>80</v>
      </c>
      <c r="C46" s="98" t="s">
        <v>521</v>
      </c>
      <c r="D46" s="97" t="s">
        <v>494</v>
      </c>
      <c r="E46" s="187">
        <v>1.791666666666667</v>
      </c>
      <c r="F46" s="97" t="s">
        <v>182</v>
      </c>
      <c r="G46" s="99">
        <v>1</v>
      </c>
      <c r="H46" s="100">
        <v>952</v>
      </c>
    </row>
    <row r="47" spans="1:8" ht="19.8" customHeight="1" x14ac:dyDescent="0.3">
      <c r="A47" s="70">
        <v>45983</v>
      </c>
      <c r="B47" s="61" t="s">
        <v>26</v>
      </c>
      <c r="C47" s="62" t="s">
        <v>531</v>
      </c>
      <c r="D47" s="61" t="s">
        <v>494</v>
      </c>
      <c r="E47" s="71">
        <v>1.256944444444444</v>
      </c>
      <c r="F47" s="61" t="s">
        <v>536</v>
      </c>
      <c r="G47" s="63">
        <v>1</v>
      </c>
      <c r="H47" s="65" t="s">
        <v>35</v>
      </c>
    </row>
    <row r="48" spans="1:8" ht="19.8" customHeight="1" x14ac:dyDescent="0.3">
      <c r="A48" s="70">
        <v>45983</v>
      </c>
      <c r="B48" s="61" t="s">
        <v>64</v>
      </c>
      <c r="C48" s="62" t="s">
        <v>508</v>
      </c>
      <c r="D48" s="61" t="s">
        <v>494</v>
      </c>
      <c r="E48" s="71">
        <v>1.711805555555556</v>
      </c>
      <c r="F48" s="61" t="s">
        <v>66</v>
      </c>
      <c r="G48" s="63">
        <v>6</v>
      </c>
      <c r="H48" s="65" t="s">
        <v>506</v>
      </c>
    </row>
    <row r="49" spans="1:8" ht="19.8" customHeight="1" x14ac:dyDescent="0.3">
      <c r="A49" s="70">
        <v>45983</v>
      </c>
      <c r="B49" s="61" t="s">
        <v>64</v>
      </c>
      <c r="C49" s="62" t="s">
        <v>508</v>
      </c>
      <c r="D49" s="61" t="s">
        <v>494</v>
      </c>
      <c r="E49" s="71">
        <v>1.711805555555556</v>
      </c>
      <c r="F49" s="61" t="s">
        <v>68</v>
      </c>
      <c r="G49" s="63">
        <v>6</v>
      </c>
      <c r="H49" s="65" t="s">
        <v>507</v>
      </c>
    </row>
    <row r="50" spans="1:8" ht="19.8" customHeight="1" x14ac:dyDescent="0.3">
      <c r="A50" s="70">
        <v>45983</v>
      </c>
      <c r="B50" s="61" t="s">
        <v>51</v>
      </c>
      <c r="C50" s="62" t="s">
        <v>544</v>
      </c>
      <c r="D50" s="61" t="s">
        <v>494</v>
      </c>
      <c r="E50" s="71">
        <v>1.604166666666667</v>
      </c>
      <c r="F50" s="61" t="s">
        <v>53</v>
      </c>
      <c r="G50" s="63">
        <v>9</v>
      </c>
      <c r="H50" s="65" t="s">
        <v>545</v>
      </c>
    </row>
    <row r="51" spans="1:8" ht="19.8" customHeight="1" x14ac:dyDescent="0.3">
      <c r="A51" s="70">
        <v>45983</v>
      </c>
      <c r="B51" s="61" t="s">
        <v>64</v>
      </c>
      <c r="C51" s="62" t="s">
        <v>505</v>
      </c>
      <c r="D51" s="61" t="s">
        <v>494</v>
      </c>
      <c r="E51" s="71">
        <v>1.3402777777777779</v>
      </c>
      <c r="F51" s="61" t="s">
        <v>66</v>
      </c>
      <c r="G51" s="63">
        <v>5</v>
      </c>
      <c r="H51" s="65" t="s">
        <v>542</v>
      </c>
    </row>
    <row r="52" spans="1:8" ht="19.8" customHeight="1" x14ac:dyDescent="0.3">
      <c r="A52" s="70">
        <v>45983</v>
      </c>
      <c r="B52" s="61" t="s">
        <v>64</v>
      </c>
      <c r="C52" s="62" t="s">
        <v>505</v>
      </c>
      <c r="D52" s="61" t="s">
        <v>494</v>
      </c>
      <c r="E52" s="71">
        <v>1.3402777777777779</v>
      </c>
      <c r="F52" s="61" t="s">
        <v>68</v>
      </c>
      <c r="G52" s="63">
        <v>5</v>
      </c>
      <c r="H52" s="65" t="s">
        <v>543</v>
      </c>
    </row>
    <row r="53" spans="1:8" ht="19.8" customHeight="1" x14ac:dyDescent="0.3">
      <c r="A53" s="101"/>
      <c r="B53" s="102"/>
      <c r="C53" s="102"/>
      <c r="D53" s="102"/>
      <c r="E53" s="102"/>
      <c r="F53" s="103" t="s">
        <v>569</v>
      </c>
      <c r="G53" s="102"/>
      <c r="H53" s="104"/>
    </row>
    <row r="54" spans="1:8" ht="19.8" customHeight="1" x14ac:dyDescent="0.3">
      <c r="A54" s="70">
        <v>45983</v>
      </c>
      <c r="B54" s="61" t="s">
        <v>26</v>
      </c>
      <c r="C54" s="62" t="s">
        <v>258</v>
      </c>
      <c r="D54" s="61" t="s">
        <v>226</v>
      </c>
      <c r="E54" s="71">
        <v>1.1284722222222221</v>
      </c>
      <c r="F54" s="61" t="s">
        <v>28</v>
      </c>
      <c r="G54" s="63">
        <v>7</v>
      </c>
      <c r="H54" s="64">
        <v>589</v>
      </c>
    </row>
    <row r="55" spans="1:8" ht="19.8" customHeight="1" x14ac:dyDescent="0.3">
      <c r="A55" s="70">
        <v>45983</v>
      </c>
      <c r="B55" s="61" t="s">
        <v>26</v>
      </c>
      <c r="C55" s="62" t="s">
        <v>248</v>
      </c>
      <c r="D55" s="61" t="s">
        <v>226</v>
      </c>
      <c r="E55" s="71">
        <v>1.302083333333333</v>
      </c>
      <c r="F55" s="61" t="s">
        <v>28</v>
      </c>
      <c r="G55" s="63">
        <v>15</v>
      </c>
      <c r="H55" s="64">
        <v>589</v>
      </c>
    </row>
    <row r="56" spans="1:8" ht="19.8" customHeight="1" x14ac:dyDescent="0.3">
      <c r="A56" s="70">
        <v>45983</v>
      </c>
      <c r="B56" s="61" t="s">
        <v>26</v>
      </c>
      <c r="C56" s="62" t="s">
        <v>252</v>
      </c>
      <c r="D56" s="61" t="s">
        <v>226</v>
      </c>
      <c r="E56" s="71">
        <v>1.8888888888888891</v>
      </c>
      <c r="F56" s="61" t="s">
        <v>28</v>
      </c>
      <c r="G56" s="63">
        <v>14</v>
      </c>
      <c r="H56" s="64">
        <v>639</v>
      </c>
    </row>
    <row r="57" spans="1:8" ht="19.8" customHeight="1" x14ac:dyDescent="0.3">
      <c r="A57" s="70">
        <v>45983</v>
      </c>
      <c r="B57" s="61" t="s">
        <v>269</v>
      </c>
      <c r="C57" s="62" t="s">
        <v>270</v>
      </c>
      <c r="D57" s="61" t="s">
        <v>226</v>
      </c>
      <c r="E57" s="71">
        <v>1.288194444444444</v>
      </c>
      <c r="F57" s="61" t="s">
        <v>271</v>
      </c>
      <c r="G57" s="63">
        <v>9</v>
      </c>
      <c r="H57" s="64">
        <v>640</v>
      </c>
    </row>
    <row r="58" spans="1:8" ht="19.8" customHeight="1" x14ac:dyDescent="0.3">
      <c r="A58" s="70">
        <v>45983</v>
      </c>
      <c r="B58" s="61" t="s">
        <v>36</v>
      </c>
      <c r="C58" s="62" t="s">
        <v>232</v>
      </c>
      <c r="D58" s="61" t="s">
        <v>226</v>
      </c>
      <c r="E58" s="71">
        <v>1.854166666666667</v>
      </c>
      <c r="F58" s="61" t="s">
        <v>38</v>
      </c>
      <c r="G58" s="63">
        <v>5</v>
      </c>
      <c r="H58" s="64">
        <v>669</v>
      </c>
    </row>
    <row r="59" spans="1:8" ht="19.8" customHeight="1" x14ac:dyDescent="0.3">
      <c r="A59" s="70">
        <v>45983</v>
      </c>
      <c r="B59" s="61" t="s">
        <v>36</v>
      </c>
      <c r="C59" s="62" t="s">
        <v>227</v>
      </c>
      <c r="D59" s="61" t="s">
        <v>226</v>
      </c>
      <c r="E59" s="71">
        <v>1.256944444444444</v>
      </c>
      <c r="F59" s="61" t="s">
        <v>38</v>
      </c>
      <c r="G59" s="63">
        <v>9</v>
      </c>
      <c r="H59" s="64">
        <v>669</v>
      </c>
    </row>
    <row r="60" spans="1:8" ht="19.8" customHeight="1" x14ac:dyDescent="0.3">
      <c r="A60" s="70">
        <v>45983</v>
      </c>
      <c r="B60" s="61" t="s">
        <v>36</v>
      </c>
      <c r="C60" s="62" t="s">
        <v>244</v>
      </c>
      <c r="D60" s="61" t="s">
        <v>226</v>
      </c>
      <c r="E60" s="71">
        <v>1.5173611111111109</v>
      </c>
      <c r="F60" s="61" t="s">
        <v>38</v>
      </c>
      <c r="G60" s="63">
        <v>4</v>
      </c>
      <c r="H60" s="64">
        <v>669</v>
      </c>
    </row>
    <row r="61" spans="1:8" ht="19.8" customHeight="1" x14ac:dyDescent="0.3">
      <c r="A61" s="70">
        <v>45983</v>
      </c>
      <c r="B61" s="61" t="s">
        <v>36</v>
      </c>
      <c r="C61" s="62" t="s">
        <v>237</v>
      </c>
      <c r="D61" s="61" t="s">
        <v>226</v>
      </c>
      <c r="E61" s="71">
        <v>1.395833333333333</v>
      </c>
      <c r="F61" s="61" t="s">
        <v>38</v>
      </c>
      <c r="G61" s="63">
        <v>4</v>
      </c>
      <c r="H61" s="64">
        <v>669</v>
      </c>
    </row>
    <row r="62" spans="1:8" ht="19.8" customHeight="1" x14ac:dyDescent="0.3">
      <c r="A62" s="70">
        <v>45983</v>
      </c>
      <c r="B62" s="61" t="s">
        <v>36</v>
      </c>
      <c r="C62" s="62" t="s">
        <v>238</v>
      </c>
      <c r="D62" s="61" t="s">
        <v>226</v>
      </c>
      <c r="E62" s="71">
        <v>1.6597222222222221</v>
      </c>
      <c r="F62" s="61" t="s">
        <v>38</v>
      </c>
      <c r="G62" s="63">
        <v>8</v>
      </c>
      <c r="H62" s="64">
        <v>669</v>
      </c>
    </row>
    <row r="63" spans="1:8" ht="19.8" customHeight="1" x14ac:dyDescent="0.3">
      <c r="A63" s="72">
        <v>45983</v>
      </c>
      <c r="B63" s="73" t="s">
        <v>26</v>
      </c>
      <c r="C63" s="74" t="s">
        <v>255</v>
      </c>
      <c r="D63" s="73" t="s">
        <v>226</v>
      </c>
      <c r="E63" s="75">
        <v>1.788194444444444</v>
      </c>
      <c r="F63" s="73" t="s">
        <v>28</v>
      </c>
      <c r="G63" s="76">
        <v>14</v>
      </c>
      <c r="H63" s="105">
        <v>689</v>
      </c>
    </row>
  </sheetData>
  <pageMargins left="0.75" right="0.75" top="1" bottom="1" header="0.5" footer="0.5"/>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92.5546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96" t="s">
        <v>166</v>
      </c>
      <c r="B2" s="97" t="s">
        <v>80</v>
      </c>
      <c r="C2" s="98" t="s">
        <v>511</v>
      </c>
      <c r="D2" s="97" t="s">
        <v>494</v>
      </c>
      <c r="E2" s="97" t="s">
        <v>550</v>
      </c>
      <c r="F2" s="97" t="s">
        <v>82</v>
      </c>
      <c r="G2" s="97"/>
      <c r="H2" s="117" t="s">
        <v>83</v>
      </c>
    </row>
    <row r="3" spans="1:8" ht="19.8" customHeight="1" x14ac:dyDescent="0.3">
      <c r="A3" s="101"/>
      <c r="B3" s="102"/>
      <c r="C3" s="102"/>
      <c r="D3" s="102"/>
      <c r="E3" s="102"/>
      <c r="F3" s="103" t="s">
        <v>569</v>
      </c>
      <c r="G3" s="102"/>
      <c r="H3" s="104"/>
    </row>
    <row r="4" spans="1:8" ht="19.8" customHeight="1" x14ac:dyDescent="0.3">
      <c r="A4" s="70">
        <v>45981</v>
      </c>
      <c r="B4" s="61" t="s">
        <v>36</v>
      </c>
      <c r="C4" s="62" t="s">
        <v>227</v>
      </c>
      <c r="D4" s="61" t="s">
        <v>226</v>
      </c>
      <c r="E4" s="71">
        <v>1.256944444444444</v>
      </c>
      <c r="F4" s="61" t="s">
        <v>38</v>
      </c>
      <c r="G4" s="63">
        <v>9</v>
      </c>
      <c r="H4" s="64">
        <v>589</v>
      </c>
    </row>
    <row r="5" spans="1:8" ht="19.8" customHeight="1" x14ac:dyDescent="0.3">
      <c r="A5" s="70">
        <v>45981</v>
      </c>
      <c r="B5" s="61" t="s">
        <v>36</v>
      </c>
      <c r="C5" s="62" t="s">
        <v>231</v>
      </c>
      <c r="D5" s="61" t="s">
        <v>226</v>
      </c>
      <c r="E5" s="71">
        <v>1.302083333333333</v>
      </c>
      <c r="F5" s="61" t="s">
        <v>38</v>
      </c>
      <c r="G5" s="63">
        <v>7</v>
      </c>
      <c r="H5" s="64">
        <v>589</v>
      </c>
    </row>
    <row r="6" spans="1:8" ht="19.8" customHeight="1" x14ac:dyDescent="0.3">
      <c r="A6" s="70">
        <v>45981</v>
      </c>
      <c r="B6" s="61" t="s">
        <v>36</v>
      </c>
      <c r="C6" s="62" t="s">
        <v>232</v>
      </c>
      <c r="D6" s="61" t="s">
        <v>226</v>
      </c>
      <c r="E6" s="71">
        <v>1.854166666666667</v>
      </c>
      <c r="F6" s="61" t="s">
        <v>38</v>
      </c>
      <c r="G6" s="63">
        <v>9</v>
      </c>
      <c r="H6" s="64">
        <v>669</v>
      </c>
    </row>
    <row r="7" spans="1:8" ht="19.8" customHeight="1" x14ac:dyDescent="0.3">
      <c r="A7" s="70">
        <v>45981</v>
      </c>
      <c r="B7" s="61" t="s">
        <v>36</v>
      </c>
      <c r="C7" s="62" t="s">
        <v>235</v>
      </c>
      <c r="D7" s="61" t="s">
        <v>226</v>
      </c>
      <c r="E7" s="71">
        <v>1.9027777777777779</v>
      </c>
      <c r="F7" s="61" t="s">
        <v>38</v>
      </c>
      <c r="G7" s="63">
        <v>9</v>
      </c>
      <c r="H7" s="64">
        <v>669</v>
      </c>
    </row>
    <row r="8" spans="1:8" ht="19.8" customHeight="1" x14ac:dyDescent="0.3">
      <c r="A8" s="70">
        <v>45981</v>
      </c>
      <c r="B8" s="61" t="s">
        <v>36</v>
      </c>
      <c r="C8" s="62" t="s">
        <v>236</v>
      </c>
      <c r="D8" s="61" t="s">
        <v>226</v>
      </c>
      <c r="E8" s="71">
        <v>1.7986111111111109</v>
      </c>
      <c r="F8" s="61" t="s">
        <v>38</v>
      </c>
      <c r="G8" s="63">
        <v>9</v>
      </c>
      <c r="H8" s="64">
        <v>669</v>
      </c>
    </row>
    <row r="9" spans="1:8" ht="19.8" customHeight="1" x14ac:dyDescent="0.3">
      <c r="A9" s="70">
        <v>45981</v>
      </c>
      <c r="B9" s="61" t="s">
        <v>36</v>
      </c>
      <c r="C9" s="62" t="s">
        <v>237</v>
      </c>
      <c r="D9" s="61" t="s">
        <v>226</v>
      </c>
      <c r="E9" s="71">
        <v>1.395833333333333</v>
      </c>
      <c r="F9" s="61" t="s">
        <v>38</v>
      </c>
      <c r="G9" s="63">
        <v>9</v>
      </c>
      <c r="H9" s="64">
        <v>669</v>
      </c>
    </row>
    <row r="10" spans="1:8" ht="19.8" customHeight="1" x14ac:dyDescent="0.3">
      <c r="A10" s="70">
        <v>45981</v>
      </c>
      <c r="B10" s="61" t="s">
        <v>36</v>
      </c>
      <c r="C10" s="62" t="s">
        <v>227</v>
      </c>
      <c r="D10" s="61" t="s">
        <v>226</v>
      </c>
      <c r="E10" s="71">
        <v>1.256944444444444</v>
      </c>
      <c r="F10" s="61" t="s">
        <v>41</v>
      </c>
      <c r="G10" s="63">
        <v>9</v>
      </c>
      <c r="H10" s="64">
        <v>689</v>
      </c>
    </row>
    <row r="11" spans="1:8" ht="19.8" customHeight="1" x14ac:dyDescent="0.3">
      <c r="A11" s="70">
        <v>45981</v>
      </c>
      <c r="B11" s="61" t="s">
        <v>36</v>
      </c>
      <c r="C11" s="62" t="s">
        <v>231</v>
      </c>
      <c r="D11" s="61" t="s">
        <v>226</v>
      </c>
      <c r="E11" s="71">
        <v>1.302083333333333</v>
      </c>
      <c r="F11" s="61" t="s">
        <v>41</v>
      </c>
      <c r="G11" s="63">
        <v>7</v>
      </c>
      <c r="H11" s="64">
        <v>689</v>
      </c>
    </row>
    <row r="12" spans="1:8" ht="19.8" customHeight="1" x14ac:dyDescent="0.3">
      <c r="A12" s="70">
        <v>45981</v>
      </c>
      <c r="B12" s="61" t="s">
        <v>26</v>
      </c>
      <c r="C12" s="62" t="s">
        <v>248</v>
      </c>
      <c r="D12" s="61" t="s">
        <v>226</v>
      </c>
      <c r="E12" s="71">
        <v>1.302083333333333</v>
      </c>
      <c r="F12" s="61" t="s">
        <v>28</v>
      </c>
      <c r="G12" s="63">
        <v>11</v>
      </c>
      <c r="H12" s="64">
        <v>689</v>
      </c>
    </row>
    <row r="13" spans="1:8" ht="19.8" customHeight="1" x14ac:dyDescent="0.3">
      <c r="A13" s="72">
        <v>45981</v>
      </c>
      <c r="B13" s="73" t="s">
        <v>26</v>
      </c>
      <c r="C13" s="74" t="s">
        <v>252</v>
      </c>
      <c r="D13" s="73" t="s">
        <v>226</v>
      </c>
      <c r="E13" s="75">
        <v>1.8888888888888891</v>
      </c>
      <c r="F13" s="73" t="s">
        <v>28</v>
      </c>
      <c r="G13" s="76">
        <v>16</v>
      </c>
      <c r="H13" s="105">
        <v>689</v>
      </c>
    </row>
    <row r="14" spans="1:8" ht="19.8" customHeight="1" x14ac:dyDescent="0.3">
      <c r="A14" s="186">
        <v>45982</v>
      </c>
      <c r="B14" s="97" t="s">
        <v>80</v>
      </c>
      <c r="C14" s="98" t="s">
        <v>521</v>
      </c>
      <c r="D14" s="97" t="s">
        <v>494</v>
      </c>
      <c r="E14" s="187">
        <v>1.416666666666667</v>
      </c>
      <c r="F14" s="97" t="s">
        <v>182</v>
      </c>
      <c r="G14" s="99">
        <v>1</v>
      </c>
      <c r="H14" s="117" t="s">
        <v>522</v>
      </c>
    </row>
    <row r="15" spans="1:8" ht="19.8" customHeight="1" x14ac:dyDescent="0.3">
      <c r="A15" s="101"/>
      <c r="B15" s="102"/>
      <c r="C15" s="102"/>
      <c r="D15" s="102"/>
      <c r="E15" s="102"/>
      <c r="F15" s="103" t="s">
        <v>569</v>
      </c>
      <c r="G15" s="102"/>
      <c r="H15" s="104"/>
    </row>
    <row r="16" spans="1:8" ht="19.8" customHeight="1" x14ac:dyDescent="0.3">
      <c r="A16" s="70">
        <v>45982</v>
      </c>
      <c r="B16" s="61" t="s">
        <v>26</v>
      </c>
      <c r="C16" s="62" t="s">
        <v>258</v>
      </c>
      <c r="D16" s="61" t="s">
        <v>226</v>
      </c>
      <c r="E16" s="71">
        <v>1.1284722222222221</v>
      </c>
      <c r="F16" s="61" t="s">
        <v>28</v>
      </c>
      <c r="G16" s="63">
        <v>13</v>
      </c>
      <c r="H16" s="64">
        <v>639</v>
      </c>
    </row>
    <row r="17" spans="1:8" ht="19.8" customHeight="1" x14ac:dyDescent="0.3">
      <c r="A17" s="70">
        <v>45982</v>
      </c>
      <c r="B17" s="61" t="s">
        <v>26</v>
      </c>
      <c r="C17" s="62" t="s">
        <v>248</v>
      </c>
      <c r="D17" s="61" t="s">
        <v>226</v>
      </c>
      <c r="E17" s="71">
        <v>1.302083333333333</v>
      </c>
      <c r="F17" s="61" t="s">
        <v>28</v>
      </c>
      <c r="G17" s="63">
        <v>13</v>
      </c>
      <c r="H17" s="64">
        <v>639</v>
      </c>
    </row>
    <row r="18" spans="1:8" ht="19.8" customHeight="1" x14ac:dyDescent="0.3">
      <c r="A18" s="70">
        <v>45982</v>
      </c>
      <c r="B18" s="61" t="s">
        <v>26</v>
      </c>
      <c r="C18" s="62" t="s">
        <v>252</v>
      </c>
      <c r="D18" s="61" t="s">
        <v>226</v>
      </c>
      <c r="E18" s="71">
        <v>1.8888888888888891</v>
      </c>
      <c r="F18" s="61" t="s">
        <v>28</v>
      </c>
      <c r="G18" s="63">
        <v>21</v>
      </c>
      <c r="H18" s="64">
        <v>639</v>
      </c>
    </row>
    <row r="19" spans="1:8" ht="19.8" customHeight="1" x14ac:dyDescent="0.3">
      <c r="A19" s="70">
        <v>45982</v>
      </c>
      <c r="B19" s="61" t="s">
        <v>26</v>
      </c>
      <c r="C19" s="62" t="s">
        <v>255</v>
      </c>
      <c r="D19" s="61" t="s">
        <v>226</v>
      </c>
      <c r="E19" s="71">
        <v>1.788194444444444</v>
      </c>
      <c r="F19" s="61" t="s">
        <v>28</v>
      </c>
      <c r="G19" s="63">
        <v>12</v>
      </c>
      <c r="H19" s="64">
        <v>639</v>
      </c>
    </row>
    <row r="20" spans="1:8" ht="19.8" customHeight="1" x14ac:dyDescent="0.3">
      <c r="A20" s="70">
        <v>45982</v>
      </c>
      <c r="B20" s="61" t="s">
        <v>269</v>
      </c>
      <c r="C20" s="62" t="s">
        <v>347</v>
      </c>
      <c r="D20" s="61" t="s">
        <v>226</v>
      </c>
      <c r="E20" s="71">
        <v>1.975694444444444</v>
      </c>
      <c r="F20" s="61" t="s">
        <v>271</v>
      </c>
      <c r="G20" s="63">
        <v>9</v>
      </c>
      <c r="H20" s="64">
        <v>640</v>
      </c>
    </row>
    <row r="21" spans="1:8" ht="19.8" customHeight="1" x14ac:dyDescent="0.3">
      <c r="A21" s="70">
        <v>45982</v>
      </c>
      <c r="B21" s="61" t="s">
        <v>36</v>
      </c>
      <c r="C21" s="62" t="s">
        <v>235</v>
      </c>
      <c r="D21" s="61" t="s">
        <v>226</v>
      </c>
      <c r="E21" s="71">
        <v>1.9027777777777779</v>
      </c>
      <c r="F21" s="61" t="s">
        <v>38</v>
      </c>
      <c r="G21" s="63">
        <v>1</v>
      </c>
      <c r="H21" s="64">
        <v>669</v>
      </c>
    </row>
    <row r="22" spans="1:8" ht="19.8" customHeight="1" x14ac:dyDescent="0.3">
      <c r="A22" s="70">
        <v>45982</v>
      </c>
      <c r="B22" s="61" t="s">
        <v>36</v>
      </c>
      <c r="C22" s="62" t="s">
        <v>236</v>
      </c>
      <c r="D22" s="61" t="s">
        <v>226</v>
      </c>
      <c r="E22" s="71">
        <v>1.7986111111111109</v>
      </c>
      <c r="F22" s="61" t="s">
        <v>38</v>
      </c>
      <c r="G22" s="63">
        <v>2</v>
      </c>
      <c r="H22" s="64">
        <v>669</v>
      </c>
    </row>
    <row r="23" spans="1:8" ht="19.8" customHeight="1" x14ac:dyDescent="0.3">
      <c r="A23" s="70">
        <v>45982</v>
      </c>
      <c r="B23" s="61" t="s">
        <v>36</v>
      </c>
      <c r="C23" s="62" t="s">
        <v>232</v>
      </c>
      <c r="D23" s="61" t="s">
        <v>226</v>
      </c>
      <c r="E23" s="71">
        <v>1.854166666666667</v>
      </c>
      <c r="F23" s="61" t="s">
        <v>38</v>
      </c>
      <c r="G23" s="63">
        <v>9</v>
      </c>
      <c r="H23" s="64">
        <v>719</v>
      </c>
    </row>
    <row r="24" spans="1:8" ht="19.8" customHeight="1" x14ac:dyDescent="0.3">
      <c r="A24" s="70">
        <v>45982</v>
      </c>
      <c r="B24" s="61" t="s">
        <v>36</v>
      </c>
      <c r="C24" s="62" t="s">
        <v>244</v>
      </c>
      <c r="D24" s="61" t="s">
        <v>226</v>
      </c>
      <c r="E24" s="71">
        <v>1.5173611111111109</v>
      </c>
      <c r="F24" s="61" t="s">
        <v>38</v>
      </c>
      <c r="G24" s="63">
        <v>4</v>
      </c>
      <c r="H24" s="64">
        <v>719</v>
      </c>
    </row>
    <row r="25" spans="1:8" ht="19.8" customHeight="1" x14ac:dyDescent="0.3">
      <c r="A25" s="72">
        <v>45982</v>
      </c>
      <c r="B25" s="73" t="s">
        <v>36</v>
      </c>
      <c r="C25" s="74" t="s">
        <v>237</v>
      </c>
      <c r="D25" s="73" t="s">
        <v>226</v>
      </c>
      <c r="E25" s="75">
        <v>1.395833333333333</v>
      </c>
      <c r="F25" s="73" t="s">
        <v>38</v>
      </c>
      <c r="G25" s="76">
        <v>6</v>
      </c>
      <c r="H25" s="105">
        <v>719</v>
      </c>
    </row>
    <row r="26" spans="1:8" ht="19.8" customHeight="1" x14ac:dyDescent="0.3">
      <c r="A26" s="186">
        <v>45983</v>
      </c>
      <c r="B26" s="97" t="s">
        <v>80</v>
      </c>
      <c r="C26" s="98" t="s">
        <v>537</v>
      </c>
      <c r="D26" s="97" t="s">
        <v>494</v>
      </c>
      <c r="E26" s="187">
        <v>1.458333333333333</v>
      </c>
      <c r="F26" s="97" t="s">
        <v>182</v>
      </c>
      <c r="G26" s="99">
        <v>1</v>
      </c>
      <c r="H26" s="100">
        <v>856</v>
      </c>
    </row>
    <row r="27" spans="1:8" ht="19.8" customHeight="1" x14ac:dyDescent="0.3">
      <c r="A27" s="186">
        <v>45983</v>
      </c>
      <c r="B27" s="97" t="s">
        <v>80</v>
      </c>
      <c r="C27" s="98" t="s">
        <v>521</v>
      </c>
      <c r="D27" s="97" t="s">
        <v>494</v>
      </c>
      <c r="E27" s="187">
        <v>1.791666666666667</v>
      </c>
      <c r="F27" s="97" t="s">
        <v>182</v>
      </c>
      <c r="G27" s="99">
        <v>1</v>
      </c>
      <c r="H27" s="100">
        <v>952</v>
      </c>
    </row>
    <row r="28" spans="1:8" ht="19.8" customHeight="1" x14ac:dyDescent="0.3">
      <c r="A28" s="101"/>
      <c r="B28" s="102"/>
      <c r="C28" s="102"/>
      <c r="D28" s="102"/>
      <c r="E28" s="102"/>
      <c r="F28" s="103" t="s">
        <v>569</v>
      </c>
      <c r="G28" s="102"/>
      <c r="H28" s="104"/>
    </row>
    <row r="29" spans="1:8" ht="19.8" customHeight="1" x14ac:dyDescent="0.3">
      <c r="A29" s="70">
        <v>45983</v>
      </c>
      <c r="B29" s="61" t="s">
        <v>26</v>
      </c>
      <c r="C29" s="62" t="s">
        <v>258</v>
      </c>
      <c r="D29" s="61" t="s">
        <v>226</v>
      </c>
      <c r="E29" s="71">
        <v>1.1284722222222221</v>
      </c>
      <c r="F29" s="61" t="s">
        <v>28</v>
      </c>
      <c r="G29" s="63">
        <v>7</v>
      </c>
      <c r="H29" s="64">
        <v>589</v>
      </c>
    </row>
    <row r="30" spans="1:8" ht="19.8" customHeight="1" x14ac:dyDescent="0.3">
      <c r="A30" s="70">
        <v>45983</v>
      </c>
      <c r="B30" s="61" t="s">
        <v>26</v>
      </c>
      <c r="C30" s="62" t="s">
        <v>248</v>
      </c>
      <c r="D30" s="61" t="s">
        <v>226</v>
      </c>
      <c r="E30" s="71">
        <v>1.302083333333333</v>
      </c>
      <c r="F30" s="61" t="s">
        <v>28</v>
      </c>
      <c r="G30" s="63">
        <v>15</v>
      </c>
      <c r="H30" s="64">
        <v>589</v>
      </c>
    </row>
    <row r="31" spans="1:8" ht="19.8" customHeight="1" x14ac:dyDescent="0.3">
      <c r="A31" s="70">
        <v>45983</v>
      </c>
      <c r="B31" s="61" t="s">
        <v>26</v>
      </c>
      <c r="C31" s="62" t="s">
        <v>252</v>
      </c>
      <c r="D31" s="61" t="s">
        <v>226</v>
      </c>
      <c r="E31" s="71">
        <v>1.8888888888888891</v>
      </c>
      <c r="F31" s="61" t="s">
        <v>28</v>
      </c>
      <c r="G31" s="63">
        <v>14</v>
      </c>
      <c r="H31" s="64">
        <v>639</v>
      </c>
    </row>
    <row r="32" spans="1:8" ht="19.8" customHeight="1" x14ac:dyDescent="0.3">
      <c r="A32" s="70">
        <v>45983</v>
      </c>
      <c r="B32" s="61" t="s">
        <v>269</v>
      </c>
      <c r="C32" s="62" t="s">
        <v>270</v>
      </c>
      <c r="D32" s="61" t="s">
        <v>226</v>
      </c>
      <c r="E32" s="71">
        <v>1.288194444444444</v>
      </c>
      <c r="F32" s="61" t="s">
        <v>271</v>
      </c>
      <c r="G32" s="63">
        <v>9</v>
      </c>
      <c r="H32" s="64">
        <v>640</v>
      </c>
    </row>
    <row r="33" spans="1:8" ht="19.8" customHeight="1" x14ac:dyDescent="0.3">
      <c r="A33" s="70">
        <v>45983</v>
      </c>
      <c r="B33" s="61" t="s">
        <v>36</v>
      </c>
      <c r="C33" s="62" t="s">
        <v>232</v>
      </c>
      <c r="D33" s="61" t="s">
        <v>226</v>
      </c>
      <c r="E33" s="71">
        <v>1.854166666666667</v>
      </c>
      <c r="F33" s="61" t="s">
        <v>38</v>
      </c>
      <c r="G33" s="63">
        <v>5</v>
      </c>
      <c r="H33" s="64">
        <v>669</v>
      </c>
    </row>
    <row r="34" spans="1:8" ht="19.8" customHeight="1" x14ac:dyDescent="0.3">
      <c r="A34" s="70">
        <v>45983</v>
      </c>
      <c r="B34" s="61" t="s">
        <v>36</v>
      </c>
      <c r="C34" s="62" t="s">
        <v>227</v>
      </c>
      <c r="D34" s="61" t="s">
        <v>226</v>
      </c>
      <c r="E34" s="71">
        <v>1.256944444444444</v>
      </c>
      <c r="F34" s="61" t="s">
        <v>38</v>
      </c>
      <c r="G34" s="63">
        <v>9</v>
      </c>
      <c r="H34" s="64">
        <v>669</v>
      </c>
    </row>
    <row r="35" spans="1:8" ht="19.8" customHeight="1" x14ac:dyDescent="0.3">
      <c r="A35" s="70">
        <v>45983</v>
      </c>
      <c r="B35" s="61" t="s">
        <v>36</v>
      </c>
      <c r="C35" s="62" t="s">
        <v>244</v>
      </c>
      <c r="D35" s="61" t="s">
        <v>226</v>
      </c>
      <c r="E35" s="71">
        <v>1.5173611111111109</v>
      </c>
      <c r="F35" s="61" t="s">
        <v>38</v>
      </c>
      <c r="G35" s="63">
        <v>4</v>
      </c>
      <c r="H35" s="64">
        <v>669</v>
      </c>
    </row>
    <row r="36" spans="1:8" ht="19.8" customHeight="1" x14ac:dyDescent="0.3">
      <c r="A36" s="70">
        <v>45983</v>
      </c>
      <c r="B36" s="61" t="s">
        <v>36</v>
      </c>
      <c r="C36" s="62" t="s">
        <v>237</v>
      </c>
      <c r="D36" s="61" t="s">
        <v>226</v>
      </c>
      <c r="E36" s="71">
        <v>1.395833333333333</v>
      </c>
      <c r="F36" s="61" t="s">
        <v>38</v>
      </c>
      <c r="G36" s="63">
        <v>4</v>
      </c>
      <c r="H36" s="64">
        <v>669</v>
      </c>
    </row>
    <row r="37" spans="1:8" ht="19.8" customHeight="1" x14ac:dyDescent="0.3">
      <c r="A37" s="70">
        <v>45983</v>
      </c>
      <c r="B37" s="61" t="s">
        <v>36</v>
      </c>
      <c r="C37" s="62" t="s">
        <v>238</v>
      </c>
      <c r="D37" s="61" t="s">
        <v>226</v>
      </c>
      <c r="E37" s="71">
        <v>1.6597222222222221</v>
      </c>
      <c r="F37" s="61" t="s">
        <v>38</v>
      </c>
      <c r="G37" s="63">
        <v>8</v>
      </c>
      <c r="H37" s="64">
        <v>669</v>
      </c>
    </row>
    <row r="38" spans="1:8" ht="19.8" customHeight="1" x14ac:dyDescent="0.3">
      <c r="A38" s="72">
        <v>45983</v>
      </c>
      <c r="B38" s="73" t="s">
        <v>26</v>
      </c>
      <c r="C38" s="74" t="s">
        <v>255</v>
      </c>
      <c r="D38" s="73" t="s">
        <v>226</v>
      </c>
      <c r="E38" s="75">
        <v>1.788194444444444</v>
      </c>
      <c r="F38" s="73" t="s">
        <v>28</v>
      </c>
      <c r="G38" s="76">
        <v>14</v>
      </c>
      <c r="H38" s="105">
        <v>689</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2"/>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0.109375" bestFit="1" customWidth="1"/>
  </cols>
  <sheetData>
    <row r="1" spans="1:92" ht="28.8" customHeight="1" x14ac:dyDescent="0.3">
      <c r="A1" s="257" t="s">
        <v>0</v>
      </c>
      <c r="B1" s="248"/>
      <c r="C1" s="248"/>
      <c r="D1" s="248"/>
      <c r="E1" s="248"/>
      <c r="F1" s="1" t="s">
        <v>570</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45980.430587340379</v>
      </c>
      <c r="H2" s="248"/>
      <c r="I2" s="248"/>
      <c r="J2" s="248"/>
      <c r="K2" s="259">
        <v>45980.43058734083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92" t="s">
        <v>80</v>
      </c>
      <c r="B6" s="192" t="s">
        <v>571</v>
      </c>
      <c r="C6" s="193">
        <v>8.3333333333333329E-2</v>
      </c>
      <c r="D6" s="192" t="s">
        <v>182</v>
      </c>
      <c r="E6" s="192" t="s">
        <v>54</v>
      </c>
      <c r="F6" s="192" t="s">
        <v>572</v>
      </c>
      <c r="G6" s="250"/>
      <c r="H6" s="132" t="s">
        <v>573</v>
      </c>
      <c r="I6" s="194">
        <v>0.55359999999999998</v>
      </c>
      <c r="J6" s="134">
        <v>93</v>
      </c>
      <c r="K6" s="135" t="s">
        <v>284</v>
      </c>
      <c r="L6" s="134">
        <v>55</v>
      </c>
      <c r="M6" s="134">
        <v>1</v>
      </c>
      <c r="N6" s="134">
        <v>22</v>
      </c>
      <c r="O6" s="136" t="s">
        <v>574</v>
      </c>
      <c r="P6" s="137">
        <v>8.3333333333333329E-2</v>
      </c>
      <c r="Q6" s="134">
        <v>168</v>
      </c>
      <c r="R6" s="138" t="s">
        <v>575</v>
      </c>
    </row>
    <row r="7" spans="1:92" ht="15" customHeight="1" x14ac:dyDescent="0.3">
      <c r="A7" s="195" t="s">
        <v>80</v>
      </c>
      <c r="B7" s="195" t="s">
        <v>576</v>
      </c>
      <c r="C7" s="196">
        <v>0.70833333333333337</v>
      </c>
      <c r="D7" s="195" t="s">
        <v>182</v>
      </c>
      <c r="E7" s="195" t="s">
        <v>103</v>
      </c>
      <c r="F7" s="195" t="s">
        <v>577</v>
      </c>
      <c r="G7" s="251"/>
      <c r="H7" s="197" t="s">
        <v>578</v>
      </c>
      <c r="I7" s="198">
        <v>0.6905</v>
      </c>
      <c r="J7" s="199">
        <v>116</v>
      </c>
      <c r="K7" s="200" t="s">
        <v>284</v>
      </c>
      <c r="L7" s="199">
        <v>56</v>
      </c>
      <c r="M7" s="199">
        <v>1</v>
      </c>
      <c r="N7" s="199">
        <v>13</v>
      </c>
      <c r="O7" s="201" t="s">
        <v>579</v>
      </c>
      <c r="P7" s="202">
        <v>0.70833333333333337</v>
      </c>
      <c r="Q7" s="199">
        <v>168</v>
      </c>
      <c r="R7" s="203" t="s">
        <v>580</v>
      </c>
    </row>
    <row r="8" spans="1:92" ht="15" customHeight="1" x14ac:dyDescent="0.3">
      <c r="A8" s="139" t="s">
        <v>80</v>
      </c>
      <c r="B8" s="139" t="s">
        <v>581</v>
      </c>
      <c r="C8" s="140">
        <v>0.48958333333333331</v>
      </c>
      <c r="D8" s="139" t="s">
        <v>182</v>
      </c>
      <c r="E8" s="139" t="s">
        <v>57</v>
      </c>
      <c r="F8" s="139" t="s">
        <v>582</v>
      </c>
      <c r="G8" s="251"/>
      <c r="H8" s="141" t="s">
        <v>583</v>
      </c>
      <c r="I8" s="204">
        <v>0.74399999999999999</v>
      </c>
      <c r="J8" s="143">
        <v>125</v>
      </c>
      <c r="K8" s="144" t="s">
        <v>300</v>
      </c>
      <c r="L8" s="143">
        <v>10</v>
      </c>
      <c r="M8" s="143">
        <v>0</v>
      </c>
      <c r="N8" s="143">
        <v>0</v>
      </c>
      <c r="O8" s="145" t="s">
        <v>147</v>
      </c>
      <c r="P8" s="146">
        <v>0.48958333333333331</v>
      </c>
      <c r="Q8" s="143">
        <v>168</v>
      </c>
      <c r="R8" s="147" t="s">
        <v>584</v>
      </c>
    </row>
    <row r="9" spans="1:92" ht="15" customHeight="1" x14ac:dyDescent="0.3">
      <c r="A9" s="17" t="s">
        <v>51</v>
      </c>
      <c r="B9" s="17" t="s">
        <v>585</v>
      </c>
      <c r="C9" s="18">
        <v>0.48958333333333331</v>
      </c>
      <c r="D9" s="17" t="s">
        <v>369</v>
      </c>
      <c r="E9" s="17" t="s">
        <v>88</v>
      </c>
      <c r="F9" s="17" t="s">
        <v>348</v>
      </c>
      <c r="G9" s="251"/>
      <c r="H9" s="10"/>
      <c r="I9" s="11"/>
      <c r="J9" s="11"/>
      <c r="K9" s="11"/>
      <c r="L9" s="11"/>
      <c r="M9" s="11"/>
      <c r="N9" s="11"/>
      <c r="O9" s="12"/>
      <c r="P9" s="11"/>
      <c r="Q9" s="13"/>
      <c r="R9" s="14"/>
    </row>
    <row r="10" spans="1:92" ht="18" x14ac:dyDescent="0.3">
      <c r="A10" s="264" t="s">
        <v>513</v>
      </c>
      <c r="B10" s="265"/>
      <c r="C10" s="265"/>
      <c r="D10" s="265"/>
      <c r="E10" s="265"/>
      <c r="F10" s="266"/>
      <c r="G10" s="251"/>
      <c r="H10" s="89"/>
      <c r="I10" s="89"/>
      <c r="J10" s="89"/>
      <c r="K10" s="89"/>
      <c r="L10" s="89"/>
      <c r="M10" s="89"/>
      <c r="N10" s="89"/>
      <c r="O10" s="90"/>
      <c r="P10" s="89"/>
      <c r="Q10" s="56"/>
      <c r="R10" s="56"/>
    </row>
    <row r="11" spans="1:92" ht="15" customHeight="1" x14ac:dyDescent="0.3">
      <c r="A11" s="19" t="s">
        <v>36</v>
      </c>
      <c r="B11" s="19" t="s">
        <v>227</v>
      </c>
      <c r="C11" s="20" t="s">
        <v>482</v>
      </c>
      <c r="D11" s="19" t="s">
        <v>38</v>
      </c>
      <c r="E11" s="19" t="s">
        <v>192</v>
      </c>
      <c r="F11" s="19" t="s">
        <v>229</v>
      </c>
      <c r="G11" s="251"/>
      <c r="H11" s="89"/>
      <c r="I11" s="89"/>
      <c r="J11" s="89"/>
      <c r="K11" s="89"/>
      <c r="L11" s="89"/>
      <c r="M11" s="89"/>
      <c r="N11" s="89"/>
      <c r="O11" s="90"/>
      <c r="P11" s="89"/>
      <c r="Q11" s="56"/>
      <c r="R11" s="56"/>
    </row>
    <row r="12" spans="1:92" ht="15" customHeight="1" x14ac:dyDescent="0.3">
      <c r="A12" s="19" t="s">
        <v>36</v>
      </c>
      <c r="B12" s="19" t="s">
        <v>231</v>
      </c>
      <c r="C12" s="20" t="s">
        <v>483</v>
      </c>
      <c r="D12" s="19" t="s">
        <v>38</v>
      </c>
      <c r="E12" s="19" t="s">
        <v>514</v>
      </c>
      <c r="F12" s="19" t="s">
        <v>229</v>
      </c>
      <c r="G12" s="251"/>
      <c r="H12" s="89"/>
      <c r="I12" s="89"/>
      <c r="J12" s="89"/>
      <c r="K12" s="89"/>
      <c r="L12" s="89"/>
      <c r="M12" s="89"/>
      <c r="N12" s="89"/>
      <c r="O12" s="90"/>
      <c r="P12" s="89"/>
      <c r="Q12" s="56"/>
      <c r="R12" s="56"/>
    </row>
    <row r="13" spans="1:92" ht="15" customHeight="1" x14ac:dyDescent="0.3">
      <c r="A13" s="19" t="s">
        <v>36</v>
      </c>
      <c r="B13" s="19" t="s">
        <v>232</v>
      </c>
      <c r="C13" s="20" t="s">
        <v>173</v>
      </c>
      <c r="D13" s="19" t="s">
        <v>38</v>
      </c>
      <c r="E13" s="19" t="s">
        <v>192</v>
      </c>
      <c r="F13" s="19" t="s">
        <v>233</v>
      </c>
      <c r="G13" s="251"/>
      <c r="H13" s="89"/>
      <c r="I13" s="89"/>
      <c r="J13" s="89"/>
      <c r="K13" s="89"/>
      <c r="L13" s="89"/>
      <c r="M13" s="89"/>
      <c r="N13" s="89"/>
      <c r="O13" s="90"/>
      <c r="P13" s="89"/>
      <c r="Q13" s="56"/>
      <c r="R13" s="56"/>
    </row>
    <row r="14" spans="1:92" ht="15" customHeight="1" x14ac:dyDescent="0.3">
      <c r="A14" s="19" t="s">
        <v>36</v>
      </c>
      <c r="B14" s="19" t="s">
        <v>235</v>
      </c>
      <c r="C14" s="20" t="s">
        <v>484</v>
      </c>
      <c r="D14" s="19" t="s">
        <v>38</v>
      </c>
      <c r="E14" s="19" t="s">
        <v>192</v>
      </c>
      <c r="F14" s="19" t="s">
        <v>233</v>
      </c>
      <c r="G14" s="251"/>
      <c r="H14" s="89"/>
      <c r="I14" s="89"/>
      <c r="J14" s="89"/>
      <c r="K14" s="89"/>
      <c r="L14" s="89"/>
      <c r="M14" s="89"/>
      <c r="N14" s="89"/>
      <c r="O14" s="90"/>
      <c r="P14" s="89"/>
      <c r="Q14" s="56"/>
      <c r="R14" s="56"/>
    </row>
    <row r="15" spans="1:92" ht="15" customHeight="1" x14ac:dyDescent="0.3">
      <c r="A15" s="19" t="s">
        <v>36</v>
      </c>
      <c r="B15" s="19" t="s">
        <v>236</v>
      </c>
      <c r="C15" s="20" t="s">
        <v>485</v>
      </c>
      <c r="D15" s="19" t="s">
        <v>38</v>
      </c>
      <c r="E15" s="19" t="s">
        <v>192</v>
      </c>
      <c r="F15" s="19" t="s">
        <v>233</v>
      </c>
      <c r="G15" s="251"/>
      <c r="H15" s="89"/>
      <c r="I15" s="89"/>
      <c r="J15" s="89"/>
      <c r="K15" s="89"/>
      <c r="L15" s="89"/>
      <c r="M15" s="89"/>
      <c r="N15" s="89"/>
      <c r="O15" s="90"/>
      <c r="P15" s="89"/>
      <c r="Q15" s="56"/>
      <c r="R15" s="56"/>
    </row>
    <row r="16" spans="1:92" ht="15" customHeight="1" x14ac:dyDescent="0.3">
      <c r="A16" s="19" t="s">
        <v>36</v>
      </c>
      <c r="B16" s="19" t="s">
        <v>237</v>
      </c>
      <c r="C16" s="20" t="s">
        <v>155</v>
      </c>
      <c r="D16" s="19" t="s">
        <v>38</v>
      </c>
      <c r="E16" s="19" t="s">
        <v>192</v>
      </c>
      <c r="F16" s="19" t="s">
        <v>233</v>
      </c>
      <c r="G16" s="251"/>
      <c r="H16" s="89"/>
      <c r="I16" s="89"/>
      <c r="J16" s="89"/>
      <c r="K16" s="89"/>
      <c r="L16" s="89"/>
      <c r="M16" s="89"/>
      <c r="N16" s="89"/>
      <c r="O16" s="90"/>
      <c r="P16" s="89"/>
      <c r="Q16" s="56"/>
      <c r="R16" s="56"/>
    </row>
    <row r="17" spans="1:18" ht="15" customHeight="1" x14ac:dyDescent="0.3">
      <c r="A17" s="19" t="s">
        <v>36</v>
      </c>
      <c r="B17" s="19" t="s">
        <v>227</v>
      </c>
      <c r="C17" s="20" t="s">
        <v>482</v>
      </c>
      <c r="D17" s="19" t="s">
        <v>41</v>
      </c>
      <c r="E17" s="19" t="s">
        <v>192</v>
      </c>
      <c r="F17" s="19" t="s">
        <v>47</v>
      </c>
      <c r="G17" s="251"/>
      <c r="H17" s="89"/>
      <c r="I17" s="89"/>
      <c r="J17" s="89"/>
      <c r="K17" s="89"/>
      <c r="L17" s="89"/>
      <c r="M17" s="89"/>
      <c r="N17" s="89"/>
      <c r="O17" s="90"/>
      <c r="P17" s="89"/>
      <c r="Q17" s="56"/>
      <c r="R17" s="56"/>
    </row>
    <row r="18" spans="1:18" ht="15" customHeight="1" x14ac:dyDescent="0.3">
      <c r="A18" s="19" t="s">
        <v>36</v>
      </c>
      <c r="B18" s="19" t="s">
        <v>231</v>
      </c>
      <c r="C18" s="20" t="s">
        <v>483</v>
      </c>
      <c r="D18" s="19" t="s">
        <v>41</v>
      </c>
      <c r="E18" s="19" t="s">
        <v>514</v>
      </c>
      <c r="F18" s="19" t="s">
        <v>47</v>
      </c>
      <c r="G18" s="251"/>
      <c r="H18" s="89"/>
      <c r="I18" s="89"/>
      <c r="J18" s="89"/>
      <c r="K18" s="89"/>
      <c r="L18" s="89"/>
      <c r="M18" s="89"/>
      <c r="N18" s="89"/>
      <c r="O18" s="90"/>
      <c r="P18" s="89"/>
      <c r="Q18" s="56"/>
      <c r="R18" s="56"/>
    </row>
    <row r="19" spans="1:18" ht="15" customHeight="1" x14ac:dyDescent="0.3">
      <c r="A19" s="19" t="s">
        <v>26</v>
      </c>
      <c r="B19" s="19" t="s">
        <v>248</v>
      </c>
      <c r="C19" s="20" t="s">
        <v>483</v>
      </c>
      <c r="D19" s="19" t="s">
        <v>28</v>
      </c>
      <c r="E19" s="19" t="s">
        <v>515</v>
      </c>
      <c r="F19" s="19" t="s">
        <v>47</v>
      </c>
      <c r="G19" s="251"/>
      <c r="H19" s="89"/>
      <c r="I19" s="89"/>
      <c r="J19" s="89"/>
      <c r="K19" s="89"/>
      <c r="L19" s="89"/>
      <c r="M19" s="89"/>
      <c r="N19" s="89"/>
      <c r="O19" s="90"/>
      <c r="P19" s="89"/>
      <c r="Q19" s="56"/>
      <c r="R19" s="56"/>
    </row>
    <row r="20" spans="1:18" ht="15" customHeight="1" thickBot="1" x14ac:dyDescent="0.35">
      <c r="A20" s="91" t="s">
        <v>26</v>
      </c>
      <c r="B20" s="91" t="s">
        <v>252</v>
      </c>
      <c r="C20" s="92" t="s">
        <v>486</v>
      </c>
      <c r="D20" s="91" t="s">
        <v>28</v>
      </c>
      <c r="E20" s="91" t="s">
        <v>516</v>
      </c>
      <c r="F20" s="91" t="s">
        <v>47</v>
      </c>
      <c r="G20" s="252"/>
      <c r="H20" s="93"/>
      <c r="I20" s="93"/>
      <c r="J20" s="93"/>
      <c r="K20" s="93"/>
      <c r="L20" s="93"/>
      <c r="M20" s="93"/>
      <c r="N20" s="93"/>
      <c r="O20" s="94"/>
      <c r="P20" s="93"/>
      <c r="Q20" s="95"/>
      <c r="R20" s="95"/>
    </row>
    <row r="21" spans="1:18" ht="17.399999999999999" customHeight="1" thickBot="1" x14ac:dyDescent="0.35">
      <c r="A21" s="282"/>
      <c r="B21" s="283"/>
      <c r="C21" s="283"/>
      <c r="D21" s="283"/>
      <c r="E21" s="283"/>
      <c r="F21" s="283"/>
      <c r="G21" s="283"/>
      <c r="H21" s="283"/>
      <c r="I21" s="283"/>
      <c r="J21" s="283"/>
      <c r="K21" s="283"/>
      <c r="L21" s="283"/>
      <c r="M21" s="283"/>
      <c r="N21" s="283"/>
      <c r="O21" s="283"/>
      <c r="P21" s="283"/>
      <c r="Q21" s="283"/>
      <c r="R21" s="284"/>
    </row>
    <row r="22" spans="1:18" ht="22.05" customHeight="1" thickTop="1" thickBot="1" x14ac:dyDescent="0.35">
      <c r="A22" s="261" t="s">
        <v>6</v>
      </c>
      <c r="B22" s="254"/>
      <c r="C22" s="254"/>
      <c r="D22" s="254"/>
      <c r="E22" s="254"/>
      <c r="F22" s="255"/>
      <c r="G22" s="31">
        <v>45982</v>
      </c>
      <c r="H22" s="253" t="s">
        <v>7</v>
      </c>
      <c r="I22" s="254"/>
      <c r="J22" s="254"/>
      <c r="K22" s="254"/>
      <c r="L22" s="254"/>
      <c r="M22" s="254"/>
      <c r="N22" s="254"/>
      <c r="O22" s="254"/>
      <c r="P22" s="254"/>
      <c r="Q22" s="254"/>
      <c r="R22" s="255"/>
    </row>
    <row r="23" spans="1:18" ht="24" customHeight="1" x14ac:dyDescent="0.3">
      <c r="A23" s="32" t="s">
        <v>8</v>
      </c>
      <c r="B23" s="32" t="s">
        <v>9</v>
      </c>
      <c r="C23" s="33" t="s">
        <v>10</v>
      </c>
      <c r="D23" s="32" t="s">
        <v>11</v>
      </c>
      <c r="E23" s="32" t="s">
        <v>12</v>
      </c>
      <c r="F23" s="34" t="s">
        <v>13</v>
      </c>
      <c r="G23" s="35" t="s">
        <v>14</v>
      </c>
      <c r="H23" s="32" t="s">
        <v>15</v>
      </c>
      <c r="I23" s="36" t="s">
        <v>16</v>
      </c>
      <c r="J23" s="37" t="s">
        <v>17</v>
      </c>
      <c r="K23" s="38" t="s">
        <v>18</v>
      </c>
      <c r="L23" s="37" t="s">
        <v>19</v>
      </c>
      <c r="M23" s="37" t="s">
        <v>20</v>
      </c>
      <c r="N23" s="37" t="s">
        <v>21</v>
      </c>
      <c r="O23" s="32" t="s">
        <v>22</v>
      </c>
      <c r="P23" s="33" t="s">
        <v>23</v>
      </c>
      <c r="Q23" s="37" t="s">
        <v>24</v>
      </c>
      <c r="R23" s="32" t="s">
        <v>25</v>
      </c>
    </row>
    <row r="24" spans="1:18" ht="15" customHeight="1" x14ac:dyDescent="0.3">
      <c r="A24" s="106" t="s">
        <v>80</v>
      </c>
      <c r="B24" s="106" t="s">
        <v>586</v>
      </c>
      <c r="C24" s="107">
        <v>0.29166666666666669</v>
      </c>
      <c r="D24" s="106" t="s">
        <v>82</v>
      </c>
      <c r="E24" s="108"/>
      <c r="F24" s="106" t="s">
        <v>587</v>
      </c>
      <c r="G24" s="250"/>
      <c r="H24" s="109" t="s">
        <v>586</v>
      </c>
      <c r="I24" s="205">
        <v>0.6905</v>
      </c>
      <c r="J24" s="111">
        <v>116</v>
      </c>
      <c r="K24" s="112" t="s">
        <v>284</v>
      </c>
      <c r="L24" s="111">
        <v>75</v>
      </c>
      <c r="M24" s="111">
        <v>1</v>
      </c>
      <c r="N24" s="111">
        <v>12</v>
      </c>
      <c r="O24" s="113" t="s">
        <v>588</v>
      </c>
      <c r="P24" s="114">
        <v>0.29166666666666669</v>
      </c>
      <c r="Q24" s="111">
        <v>168</v>
      </c>
      <c r="R24" s="115" t="s">
        <v>589</v>
      </c>
    </row>
    <row r="25" spans="1:18" ht="18" x14ac:dyDescent="0.3">
      <c r="A25" s="264" t="s">
        <v>513</v>
      </c>
      <c r="B25" s="265"/>
      <c r="C25" s="265"/>
      <c r="D25" s="265"/>
      <c r="E25" s="265"/>
      <c r="F25" s="266"/>
      <c r="G25" s="251"/>
      <c r="H25" s="89"/>
      <c r="I25" s="89"/>
      <c r="J25" s="89"/>
      <c r="K25" s="89"/>
      <c r="L25" s="89"/>
      <c r="M25" s="89"/>
      <c r="N25" s="89"/>
      <c r="O25" s="90"/>
      <c r="P25" s="89"/>
      <c r="Q25" s="56"/>
      <c r="R25" s="56"/>
    </row>
    <row r="26" spans="1:18" ht="15" customHeight="1" x14ac:dyDescent="0.3">
      <c r="A26" s="19" t="s">
        <v>26</v>
      </c>
      <c r="B26" s="19" t="s">
        <v>258</v>
      </c>
      <c r="C26" s="20" t="s">
        <v>492</v>
      </c>
      <c r="D26" s="19" t="s">
        <v>28</v>
      </c>
      <c r="E26" s="19" t="s">
        <v>525</v>
      </c>
      <c r="F26" s="19" t="s">
        <v>340</v>
      </c>
      <c r="G26" s="251"/>
      <c r="H26" s="89"/>
      <c r="I26" s="89"/>
      <c r="J26" s="89"/>
      <c r="K26" s="89"/>
      <c r="L26" s="89"/>
      <c r="M26" s="89"/>
      <c r="N26" s="89"/>
      <c r="O26" s="90"/>
      <c r="P26" s="89"/>
      <c r="Q26" s="56"/>
      <c r="R26" s="56"/>
    </row>
    <row r="27" spans="1:18" ht="15" customHeight="1" x14ac:dyDescent="0.3">
      <c r="A27" s="19" t="s">
        <v>26</v>
      </c>
      <c r="B27" s="19" t="s">
        <v>248</v>
      </c>
      <c r="C27" s="20" t="s">
        <v>483</v>
      </c>
      <c r="D27" s="19" t="s">
        <v>28</v>
      </c>
      <c r="E27" s="19" t="s">
        <v>525</v>
      </c>
      <c r="F27" s="19" t="s">
        <v>340</v>
      </c>
      <c r="G27" s="251"/>
      <c r="H27" s="89"/>
      <c r="I27" s="89"/>
      <c r="J27" s="89"/>
      <c r="K27" s="89"/>
      <c r="L27" s="89"/>
      <c r="M27" s="89"/>
      <c r="N27" s="89"/>
      <c r="O27" s="90"/>
      <c r="P27" s="89"/>
      <c r="Q27" s="56"/>
      <c r="R27" s="56"/>
    </row>
    <row r="28" spans="1:18" ht="15" customHeight="1" x14ac:dyDescent="0.3">
      <c r="A28" s="19" t="s">
        <v>26</v>
      </c>
      <c r="B28" s="19" t="s">
        <v>252</v>
      </c>
      <c r="C28" s="20" t="s">
        <v>486</v>
      </c>
      <c r="D28" s="19" t="s">
        <v>28</v>
      </c>
      <c r="E28" s="19" t="s">
        <v>526</v>
      </c>
      <c r="F28" s="19" t="s">
        <v>340</v>
      </c>
      <c r="G28" s="251"/>
      <c r="H28" s="89"/>
      <c r="I28" s="89"/>
      <c r="J28" s="89"/>
      <c r="K28" s="89"/>
      <c r="L28" s="89"/>
      <c r="M28" s="89"/>
      <c r="N28" s="89"/>
      <c r="O28" s="90"/>
      <c r="P28" s="89"/>
      <c r="Q28" s="56"/>
      <c r="R28" s="56"/>
    </row>
    <row r="29" spans="1:18" ht="15" customHeight="1" x14ac:dyDescent="0.3">
      <c r="A29" s="19" t="s">
        <v>26</v>
      </c>
      <c r="B29" s="19" t="s">
        <v>255</v>
      </c>
      <c r="C29" s="20" t="s">
        <v>487</v>
      </c>
      <c r="D29" s="19" t="s">
        <v>28</v>
      </c>
      <c r="E29" s="19" t="s">
        <v>190</v>
      </c>
      <c r="F29" s="19" t="s">
        <v>340</v>
      </c>
      <c r="G29" s="251"/>
      <c r="H29" s="89"/>
      <c r="I29" s="89"/>
      <c r="J29" s="89"/>
      <c r="K29" s="89"/>
      <c r="L29" s="89"/>
      <c r="M29" s="89"/>
      <c r="N29" s="89"/>
      <c r="O29" s="90"/>
      <c r="P29" s="89"/>
      <c r="Q29" s="56"/>
      <c r="R29" s="56"/>
    </row>
    <row r="30" spans="1:18" ht="15" customHeight="1" x14ac:dyDescent="0.3">
      <c r="A30" s="19" t="s">
        <v>269</v>
      </c>
      <c r="B30" s="19" t="s">
        <v>347</v>
      </c>
      <c r="C30" s="20" t="s">
        <v>527</v>
      </c>
      <c r="D30" s="19" t="s">
        <v>271</v>
      </c>
      <c r="E30" s="19" t="s">
        <v>192</v>
      </c>
      <c r="F30" s="19" t="s">
        <v>348</v>
      </c>
      <c r="G30" s="251"/>
      <c r="H30" s="89"/>
      <c r="I30" s="89"/>
      <c r="J30" s="89"/>
      <c r="K30" s="89"/>
      <c r="L30" s="89"/>
      <c r="M30" s="89"/>
      <c r="N30" s="89"/>
      <c r="O30" s="90"/>
      <c r="P30" s="89"/>
      <c r="Q30" s="56"/>
      <c r="R30" s="56"/>
    </row>
    <row r="31" spans="1:18" ht="15" customHeight="1" x14ac:dyDescent="0.3">
      <c r="A31" s="19" t="s">
        <v>36</v>
      </c>
      <c r="B31" s="19" t="s">
        <v>235</v>
      </c>
      <c r="C31" s="20" t="s">
        <v>484</v>
      </c>
      <c r="D31" s="19" t="s">
        <v>38</v>
      </c>
      <c r="E31" s="19" t="s">
        <v>528</v>
      </c>
      <c r="F31" s="19" t="s">
        <v>233</v>
      </c>
      <c r="G31" s="251"/>
      <c r="H31" s="89"/>
      <c r="I31" s="89"/>
      <c r="J31" s="89"/>
      <c r="K31" s="89"/>
      <c r="L31" s="89"/>
      <c r="M31" s="89"/>
      <c r="N31" s="89"/>
      <c r="O31" s="90"/>
      <c r="P31" s="89"/>
      <c r="Q31" s="56"/>
      <c r="R31" s="56"/>
    </row>
    <row r="32" spans="1:18" ht="15" customHeight="1" x14ac:dyDescent="0.3">
      <c r="A32" s="19" t="s">
        <v>36</v>
      </c>
      <c r="B32" s="19" t="s">
        <v>236</v>
      </c>
      <c r="C32" s="20" t="s">
        <v>485</v>
      </c>
      <c r="D32" s="19" t="s">
        <v>38</v>
      </c>
      <c r="E32" s="19" t="s">
        <v>211</v>
      </c>
      <c r="F32" s="19" t="s">
        <v>233</v>
      </c>
      <c r="G32" s="251"/>
      <c r="H32" s="89"/>
      <c r="I32" s="89"/>
      <c r="J32" s="89"/>
      <c r="K32" s="89"/>
      <c r="L32" s="89"/>
      <c r="M32" s="89"/>
      <c r="N32" s="89"/>
      <c r="O32" s="90"/>
      <c r="P32" s="89"/>
      <c r="Q32" s="56"/>
      <c r="R32" s="56"/>
    </row>
    <row r="33" spans="1:18" ht="15" customHeight="1" x14ac:dyDescent="0.3">
      <c r="A33" s="19" t="s">
        <v>36</v>
      </c>
      <c r="B33" s="19" t="s">
        <v>232</v>
      </c>
      <c r="C33" s="20" t="s">
        <v>173</v>
      </c>
      <c r="D33" s="19" t="s">
        <v>38</v>
      </c>
      <c r="E33" s="19" t="s">
        <v>192</v>
      </c>
      <c r="F33" s="19" t="s">
        <v>240</v>
      </c>
      <c r="G33" s="251"/>
      <c r="H33" s="89"/>
      <c r="I33" s="89"/>
      <c r="J33" s="89"/>
      <c r="K33" s="89"/>
      <c r="L33" s="89"/>
      <c r="M33" s="89"/>
      <c r="N33" s="89"/>
      <c r="O33" s="90"/>
      <c r="P33" s="89"/>
      <c r="Q33" s="56"/>
      <c r="R33" s="56"/>
    </row>
    <row r="34" spans="1:18" ht="15" customHeight="1" x14ac:dyDescent="0.3">
      <c r="A34" s="19" t="s">
        <v>36</v>
      </c>
      <c r="B34" s="19" t="s">
        <v>244</v>
      </c>
      <c r="C34" s="20" t="s">
        <v>529</v>
      </c>
      <c r="D34" s="19" t="s">
        <v>38</v>
      </c>
      <c r="E34" s="19" t="s">
        <v>530</v>
      </c>
      <c r="F34" s="19" t="s">
        <v>240</v>
      </c>
      <c r="G34" s="251"/>
      <c r="H34" s="89"/>
      <c r="I34" s="89"/>
      <c r="J34" s="89"/>
      <c r="K34" s="89"/>
      <c r="L34" s="89"/>
      <c r="M34" s="89"/>
      <c r="N34" s="89"/>
      <c r="O34" s="90"/>
      <c r="P34" s="89"/>
      <c r="Q34" s="56"/>
      <c r="R34" s="56"/>
    </row>
    <row r="35" spans="1:18" ht="15" customHeight="1" thickBot="1" x14ac:dyDescent="0.35">
      <c r="A35" s="91" t="s">
        <v>36</v>
      </c>
      <c r="B35" s="91" t="s">
        <v>237</v>
      </c>
      <c r="C35" s="92" t="s">
        <v>155</v>
      </c>
      <c r="D35" s="91" t="s">
        <v>38</v>
      </c>
      <c r="E35" s="91" t="s">
        <v>191</v>
      </c>
      <c r="F35" s="91" t="s">
        <v>240</v>
      </c>
      <c r="G35" s="252"/>
      <c r="H35" s="93"/>
      <c r="I35" s="93"/>
      <c r="J35" s="93"/>
      <c r="K35" s="93"/>
      <c r="L35" s="93"/>
      <c r="M35" s="93"/>
      <c r="N35" s="93"/>
      <c r="O35" s="94"/>
      <c r="P35" s="93"/>
      <c r="Q35" s="95"/>
      <c r="R35" s="95"/>
    </row>
    <row r="36" spans="1:18" ht="17.399999999999999" customHeight="1" thickBot="1" x14ac:dyDescent="0.35">
      <c r="A36" s="282"/>
      <c r="B36" s="283"/>
      <c r="C36" s="283"/>
      <c r="D36" s="283"/>
      <c r="E36" s="283"/>
      <c r="F36" s="283"/>
      <c r="G36" s="283"/>
      <c r="H36" s="283"/>
      <c r="I36" s="283"/>
      <c r="J36" s="283"/>
      <c r="K36" s="283"/>
      <c r="L36" s="283"/>
      <c r="M36" s="283"/>
      <c r="N36" s="283"/>
      <c r="O36" s="283"/>
      <c r="P36" s="283"/>
      <c r="Q36" s="283"/>
      <c r="R36" s="284"/>
    </row>
    <row r="37" spans="1:18" ht="22.05" customHeight="1" thickTop="1" thickBot="1" x14ac:dyDescent="0.35">
      <c r="A37" s="261" t="s">
        <v>6</v>
      </c>
      <c r="B37" s="254"/>
      <c r="C37" s="254"/>
      <c r="D37" s="254"/>
      <c r="E37" s="254"/>
      <c r="F37" s="255"/>
      <c r="G37" s="31">
        <v>45983</v>
      </c>
      <c r="H37" s="253" t="s">
        <v>7</v>
      </c>
      <c r="I37" s="254"/>
      <c r="J37" s="254"/>
      <c r="K37" s="254"/>
      <c r="L37" s="254"/>
      <c r="M37" s="254"/>
      <c r="N37" s="254"/>
      <c r="O37" s="254"/>
      <c r="P37" s="254"/>
      <c r="Q37" s="254"/>
      <c r="R37" s="255"/>
    </row>
    <row r="38" spans="1:18" ht="24" customHeight="1" x14ac:dyDescent="0.3">
      <c r="A38" s="32" t="s">
        <v>8</v>
      </c>
      <c r="B38" s="32" t="s">
        <v>9</v>
      </c>
      <c r="C38" s="33" t="s">
        <v>10</v>
      </c>
      <c r="D38" s="32" t="s">
        <v>11</v>
      </c>
      <c r="E38" s="32" t="s">
        <v>12</v>
      </c>
      <c r="F38" s="34" t="s">
        <v>13</v>
      </c>
      <c r="G38" s="35" t="s">
        <v>14</v>
      </c>
      <c r="H38" s="32" t="s">
        <v>15</v>
      </c>
      <c r="I38" s="36" t="s">
        <v>16</v>
      </c>
      <c r="J38" s="37" t="s">
        <v>17</v>
      </c>
      <c r="K38" s="38" t="s">
        <v>18</v>
      </c>
      <c r="L38" s="37" t="s">
        <v>19</v>
      </c>
      <c r="M38" s="37" t="s">
        <v>20</v>
      </c>
      <c r="N38" s="37" t="s">
        <v>21</v>
      </c>
      <c r="O38" s="32" t="s">
        <v>22</v>
      </c>
      <c r="P38" s="33" t="s">
        <v>23</v>
      </c>
      <c r="Q38" s="37" t="s">
        <v>24</v>
      </c>
      <c r="R38" s="32" t="s">
        <v>25</v>
      </c>
    </row>
    <row r="39" spans="1:18" ht="15" customHeight="1" x14ac:dyDescent="0.3">
      <c r="A39" s="80" t="s">
        <v>80</v>
      </c>
      <c r="B39" s="80" t="s">
        <v>576</v>
      </c>
      <c r="C39" s="81">
        <v>0.6875</v>
      </c>
      <c r="D39" s="80" t="s">
        <v>182</v>
      </c>
      <c r="E39" s="80" t="s">
        <v>94</v>
      </c>
      <c r="F39" s="80" t="s">
        <v>590</v>
      </c>
      <c r="G39" s="250"/>
      <c r="H39" s="82" t="s">
        <v>578</v>
      </c>
      <c r="I39" s="118">
        <v>0.70830000000000004</v>
      </c>
      <c r="J39" s="84">
        <v>119</v>
      </c>
      <c r="K39" s="85" t="s">
        <v>284</v>
      </c>
      <c r="L39" s="84">
        <v>8</v>
      </c>
      <c r="M39" s="84">
        <v>1</v>
      </c>
      <c r="N39" s="84">
        <v>4</v>
      </c>
      <c r="O39" s="86" t="s">
        <v>551</v>
      </c>
      <c r="P39" s="87">
        <v>0.6875</v>
      </c>
      <c r="Q39" s="84">
        <v>168</v>
      </c>
      <c r="R39" s="88" t="s">
        <v>591</v>
      </c>
    </row>
    <row r="40" spans="1:18" ht="15" customHeight="1" x14ac:dyDescent="0.3">
      <c r="A40" s="169" t="s">
        <v>80</v>
      </c>
      <c r="B40" s="169" t="s">
        <v>581</v>
      </c>
      <c r="C40" s="170">
        <v>0.46180555555555558</v>
      </c>
      <c r="D40" s="169" t="s">
        <v>182</v>
      </c>
      <c r="E40" s="169" t="s">
        <v>57</v>
      </c>
      <c r="F40" s="169" t="s">
        <v>590</v>
      </c>
      <c r="G40" s="251"/>
      <c r="H40" s="109" t="s">
        <v>583</v>
      </c>
      <c r="I40" s="205">
        <v>0.73209999999999997</v>
      </c>
      <c r="J40" s="111">
        <v>123</v>
      </c>
      <c r="K40" s="112" t="s">
        <v>186</v>
      </c>
      <c r="L40" s="111">
        <v>47</v>
      </c>
      <c r="M40" s="111">
        <v>0</v>
      </c>
      <c r="N40" s="111">
        <v>7</v>
      </c>
      <c r="O40" s="113" t="s">
        <v>592</v>
      </c>
      <c r="P40" s="114">
        <v>0.46180555555555558</v>
      </c>
      <c r="Q40" s="111">
        <v>168</v>
      </c>
      <c r="R40" s="115" t="s">
        <v>593</v>
      </c>
    </row>
    <row r="41" spans="1:18" ht="15" customHeight="1" x14ac:dyDescent="0.3">
      <c r="A41" s="17" t="s">
        <v>51</v>
      </c>
      <c r="B41" s="17" t="s">
        <v>585</v>
      </c>
      <c r="C41" s="18">
        <v>0.46180555555555558</v>
      </c>
      <c r="D41" s="17" t="s">
        <v>369</v>
      </c>
      <c r="E41" s="17" t="s">
        <v>88</v>
      </c>
      <c r="F41" s="17" t="s">
        <v>348</v>
      </c>
      <c r="G41" s="251"/>
      <c r="H41" s="10"/>
      <c r="I41" s="11"/>
      <c r="J41" s="11"/>
      <c r="K41" s="11"/>
      <c r="L41" s="11"/>
      <c r="M41" s="11"/>
      <c r="N41" s="11"/>
      <c r="O41" s="12"/>
      <c r="P41" s="11"/>
      <c r="Q41" s="13"/>
      <c r="R41" s="14"/>
    </row>
    <row r="42" spans="1:18" ht="18" x14ac:dyDescent="0.3">
      <c r="A42" s="264" t="s">
        <v>513</v>
      </c>
      <c r="B42" s="265"/>
      <c r="C42" s="265"/>
      <c r="D42" s="265"/>
      <c r="E42" s="265"/>
      <c r="F42" s="266"/>
      <c r="G42" s="251"/>
      <c r="H42" s="89"/>
      <c r="I42" s="89"/>
      <c r="J42" s="89"/>
      <c r="K42" s="89"/>
      <c r="L42" s="89"/>
      <c r="M42" s="89"/>
      <c r="N42" s="89"/>
      <c r="O42" s="90"/>
      <c r="P42" s="89"/>
      <c r="Q42" s="56"/>
      <c r="R42" s="56"/>
    </row>
    <row r="43" spans="1:18" ht="15" customHeight="1" x14ac:dyDescent="0.3">
      <c r="A43" s="19" t="s">
        <v>26</v>
      </c>
      <c r="B43" s="19" t="s">
        <v>258</v>
      </c>
      <c r="C43" s="20" t="s">
        <v>492</v>
      </c>
      <c r="D43" s="19" t="s">
        <v>28</v>
      </c>
      <c r="E43" s="19" t="s">
        <v>514</v>
      </c>
      <c r="F43" s="19" t="s">
        <v>229</v>
      </c>
      <c r="G43" s="251"/>
      <c r="H43" s="89"/>
      <c r="I43" s="89"/>
      <c r="J43" s="89"/>
      <c r="K43" s="89"/>
      <c r="L43" s="89"/>
      <c r="M43" s="89"/>
      <c r="N43" s="89"/>
      <c r="O43" s="90"/>
      <c r="P43" s="89"/>
      <c r="Q43" s="56"/>
      <c r="R43" s="56"/>
    </row>
    <row r="44" spans="1:18" ht="15" customHeight="1" x14ac:dyDescent="0.3">
      <c r="A44" s="19" t="s">
        <v>26</v>
      </c>
      <c r="B44" s="19" t="s">
        <v>248</v>
      </c>
      <c r="C44" s="20" t="s">
        <v>483</v>
      </c>
      <c r="D44" s="19" t="s">
        <v>28</v>
      </c>
      <c r="E44" s="19" t="s">
        <v>546</v>
      </c>
      <c r="F44" s="19" t="s">
        <v>229</v>
      </c>
      <c r="G44" s="251"/>
      <c r="H44" s="89"/>
      <c r="I44" s="89"/>
      <c r="J44" s="89"/>
      <c r="K44" s="89"/>
      <c r="L44" s="89"/>
      <c r="M44" s="89"/>
      <c r="N44" s="89"/>
      <c r="O44" s="90"/>
      <c r="P44" s="89"/>
      <c r="Q44" s="56"/>
      <c r="R44" s="56"/>
    </row>
    <row r="45" spans="1:18" ht="15" customHeight="1" x14ac:dyDescent="0.3">
      <c r="A45" s="19" t="s">
        <v>26</v>
      </c>
      <c r="B45" s="19" t="s">
        <v>252</v>
      </c>
      <c r="C45" s="20" t="s">
        <v>486</v>
      </c>
      <c r="D45" s="19" t="s">
        <v>28</v>
      </c>
      <c r="E45" s="19" t="s">
        <v>547</v>
      </c>
      <c r="F45" s="19" t="s">
        <v>340</v>
      </c>
      <c r="G45" s="251"/>
      <c r="H45" s="89"/>
      <c r="I45" s="89"/>
      <c r="J45" s="89"/>
      <c r="K45" s="89"/>
      <c r="L45" s="89"/>
      <c r="M45" s="89"/>
      <c r="N45" s="89"/>
      <c r="O45" s="90"/>
      <c r="P45" s="89"/>
      <c r="Q45" s="56"/>
      <c r="R45" s="56"/>
    </row>
    <row r="46" spans="1:18" ht="15" customHeight="1" x14ac:dyDescent="0.3">
      <c r="A46" s="19" t="s">
        <v>269</v>
      </c>
      <c r="B46" s="19" t="s">
        <v>270</v>
      </c>
      <c r="C46" s="20" t="s">
        <v>548</v>
      </c>
      <c r="D46" s="19" t="s">
        <v>271</v>
      </c>
      <c r="E46" s="19" t="s">
        <v>192</v>
      </c>
      <c r="F46" s="19" t="s">
        <v>348</v>
      </c>
      <c r="G46" s="251"/>
      <c r="H46" s="89"/>
      <c r="I46" s="89"/>
      <c r="J46" s="89"/>
      <c r="K46" s="89"/>
      <c r="L46" s="89"/>
      <c r="M46" s="89"/>
      <c r="N46" s="89"/>
      <c r="O46" s="90"/>
      <c r="P46" s="89"/>
      <c r="Q46" s="56"/>
      <c r="R46" s="56"/>
    </row>
    <row r="47" spans="1:18" ht="15" customHeight="1" x14ac:dyDescent="0.3">
      <c r="A47" s="19" t="s">
        <v>36</v>
      </c>
      <c r="B47" s="19" t="s">
        <v>232</v>
      </c>
      <c r="C47" s="20" t="s">
        <v>173</v>
      </c>
      <c r="D47" s="19" t="s">
        <v>38</v>
      </c>
      <c r="E47" s="19" t="s">
        <v>549</v>
      </c>
      <c r="F47" s="19" t="s">
        <v>233</v>
      </c>
      <c r="G47" s="251"/>
      <c r="H47" s="89"/>
      <c r="I47" s="89"/>
      <c r="J47" s="89"/>
      <c r="K47" s="89"/>
      <c r="L47" s="89"/>
      <c r="M47" s="89"/>
      <c r="N47" s="89"/>
      <c r="O47" s="90"/>
      <c r="P47" s="89"/>
      <c r="Q47" s="56"/>
      <c r="R47" s="56"/>
    </row>
    <row r="48" spans="1:18" ht="15" customHeight="1" x14ac:dyDescent="0.3">
      <c r="A48" s="19" t="s">
        <v>36</v>
      </c>
      <c r="B48" s="19" t="s">
        <v>227</v>
      </c>
      <c r="C48" s="20" t="s">
        <v>482</v>
      </c>
      <c r="D48" s="19" t="s">
        <v>38</v>
      </c>
      <c r="E48" s="19" t="s">
        <v>192</v>
      </c>
      <c r="F48" s="19" t="s">
        <v>233</v>
      </c>
      <c r="G48" s="251"/>
      <c r="H48" s="89"/>
      <c r="I48" s="89"/>
      <c r="J48" s="89"/>
      <c r="K48" s="89"/>
      <c r="L48" s="89"/>
      <c r="M48" s="89"/>
      <c r="N48" s="89"/>
      <c r="O48" s="90"/>
      <c r="P48" s="89"/>
      <c r="Q48" s="56"/>
      <c r="R48" s="56"/>
    </row>
    <row r="49" spans="1:18" ht="15" customHeight="1" x14ac:dyDescent="0.3">
      <c r="A49" s="19" t="s">
        <v>36</v>
      </c>
      <c r="B49" s="19" t="s">
        <v>244</v>
      </c>
      <c r="C49" s="20" t="s">
        <v>529</v>
      </c>
      <c r="D49" s="19" t="s">
        <v>38</v>
      </c>
      <c r="E49" s="19" t="s">
        <v>530</v>
      </c>
      <c r="F49" s="19" t="s">
        <v>233</v>
      </c>
      <c r="G49" s="251"/>
      <c r="H49" s="89"/>
      <c r="I49" s="89"/>
      <c r="J49" s="89"/>
      <c r="K49" s="89"/>
      <c r="L49" s="89"/>
      <c r="M49" s="89"/>
      <c r="N49" s="89"/>
      <c r="O49" s="90"/>
      <c r="P49" s="89"/>
      <c r="Q49" s="56"/>
      <c r="R49" s="56"/>
    </row>
    <row r="50" spans="1:18" ht="15" customHeight="1" x14ac:dyDescent="0.3">
      <c r="A50" s="19" t="s">
        <v>36</v>
      </c>
      <c r="B50" s="19" t="s">
        <v>237</v>
      </c>
      <c r="C50" s="20" t="s">
        <v>155</v>
      </c>
      <c r="D50" s="19" t="s">
        <v>38</v>
      </c>
      <c r="E50" s="19" t="s">
        <v>530</v>
      </c>
      <c r="F50" s="19" t="s">
        <v>233</v>
      </c>
      <c r="G50" s="251"/>
      <c r="H50" s="89"/>
      <c r="I50" s="89"/>
      <c r="J50" s="89"/>
      <c r="K50" s="89"/>
      <c r="L50" s="89"/>
      <c r="M50" s="89"/>
      <c r="N50" s="89"/>
      <c r="O50" s="90"/>
      <c r="P50" s="89"/>
      <c r="Q50" s="56"/>
      <c r="R50" s="56"/>
    </row>
    <row r="51" spans="1:18" ht="15" customHeight="1" x14ac:dyDescent="0.3">
      <c r="A51" s="19" t="s">
        <v>36</v>
      </c>
      <c r="B51" s="19" t="s">
        <v>238</v>
      </c>
      <c r="C51" s="20" t="s">
        <v>490</v>
      </c>
      <c r="D51" s="19" t="s">
        <v>38</v>
      </c>
      <c r="E51" s="19" t="s">
        <v>213</v>
      </c>
      <c r="F51" s="19" t="s">
        <v>233</v>
      </c>
      <c r="G51" s="251"/>
      <c r="H51" s="89"/>
      <c r="I51" s="89"/>
      <c r="J51" s="89"/>
      <c r="K51" s="89"/>
      <c r="L51" s="89"/>
      <c r="M51" s="89"/>
      <c r="N51" s="89"/>
      <c r="O51" s="90"/>
      <c r="P51" s="89"/>
      <c r="Q51" s="56"/>
      <c r="R51" s="56"/>
    </row>
    <row r="52" spans="1:18" ht="15" customHeight="1" x14ac:dyDescent="0.3">
      <c r="A52" s="91" t="s">
        <v>26</v>
      </c>
      <c r="B52" s="91" t="s">
        <v>255</v>
      </c>
      <c r="C52" s="92" t="s">
        <v>487</v>
      </c>
      <c r="D52" s="91" t="s">
        <v>28</v>
      </c>
      <c r="E52" s="91" t="s">
        <v>547</v>
      </c>
      <c r="F52" s="91" t="s">
        <v>47</v>
      </c>
      <c r="G52" s="252"/>
      <c r="H52" s="93"/>
      <c r="I52" s="93"/>
      <c r="J52" s="93"/>
      <c r="K52" s="93"/>
      <c r="L52" s="93"/>
      <c r="M52" s="93"/>
      <c r="N52" s="93"/>
      <c r="O52" s="94"/>
      <c r="P52" s="93"/>
      <c r="Q52" s="95"/>
      <c r="R52" s="95"/>
    </row>
  </sheetData>
  <mergeCells count="21">
    <mergeCell ref="A42:F42"/>
    <mergeCell ref="A22:F22"/>
    <mergeCell ref="G2:J2"/>
    <mergeCell ref="A4:F4"/>
    <mergeCell ref="G6:G20"/>
    <mergeCell ref="A10:F10"/>
    <mergeCell ref="H37:R37"/>
    <mergeCell ref="H22:R22"/>
    <mergeCell ref="G39:G52"/>
    <mergeCell ref="A36:R36"/>
    <mergeCell ref="G24:G35"/>
    <mergeCell ref="A25:F25"/>
    <mergeCell ref="A37:F37"/>
    <mergeCell ref="H1:L1"/>
    <mergeCell ref="A1:E1"/>
    <mergeCell ref="H4:R4"/>
    <mergeCell ref="A2:F2"/>
    <mergeCell ref="A3:R3"/>
    <mergeCell ref="A21:R21"/>
    <mergeCell ref="N1:R1"/>
    <mergeCell ref="K2:R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8"/>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7.77734375" style="269" bestFit="1" customWidth="1"/>
    <col min="6" max="6" width="4.21875" style="269" bestFit="1" customWidth="1"/>
    <col min="7" max="7" width="10" style="269" bestFit="1" customWidth="1"/>
    <col min="8" max="8" width="8.5546875" style="269" bestFit="1" customWidth="1"/>
    <col min="9"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6" width="3.88671875" style="269" bestFit="1" customWidth="1"/>
    <col min="27" max="27" width="5" style="269" bestFit="1" customWidth="1"/>
    <col min="28" max="29" width="4.21875" style="269" bestFit="1" customWidth="1"/>
    <col min="30" max="31" width="4.5546875" style="269" bestFit="1" customWidth="1"/>
    <col min="32" max="34" width="3.88671875" style="269" bestFit="1" customWidth="1"/>
    <col min="35" max="35" width="4.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573</v>
      </c>
      <c r="D2" s="273" t="s">
        <v>594</v>
      </c>
      <c r="E2" s="272" t="s">
        <v>570</v>
      </c>
      <c r="F2" s="272" t="s">
        <v>140</v>
      </c>
      <c r="G2" s="274">
        <v>0.55359999999999998</v>
      </c>
      <c r="H2" s="275">
        <v>168</v>
      </c>
      <c r="I2" s="275">
        <v>93</v>
      </c>
      <c r="J2" s="275">
        <v>0</v>
      </c>
      <c r="K2" s="272" t="s">
        <v>141</v>
      </c>
      <c r="L2" s="276" t="s">
        <v>284</v>
      </c>
      <c r="M2" s="275">
        <v>1</v>
      </c>
      <c r="N2" s="275">
        <v>22</v>
      </c>
      <c r="O2" s="275">
        <v>55</v>
      </c>
      <c r="P2" s="272" t="s">
        <v>574</v>
      </c>
      <c r="Q2" s="268"/>
      <c r="R2" s="268"/>
      <c r="S2" s="268"/>
      <c r="T2" s="268"/>
      <c r="U2" s="268"/>
      <c r="V2" s="268"/>
      <c r="W2" s="268"/>
      <c r="X2" s="268"/>
      <c r="Y2" s="268"/>
      <c r="Z2" s="268"/>
      <c r="AA2" s="268"/>
      <c r="AB2" s="268"/>
      <c r="AC2" s="275" t="s">
        <v>588</v>
      </c>
      <c r="AD2" s="275" t="s">
        <v>595</v>
      </c>
      <c r="AE2" s="275" t="s">
        <v>596</v>
      </c>
      <c r="AF2" s="275" t="s">
        <v>597</v>
      </c>
      <c r="AG2" s="268"/>
      <c r="AH2" s="268"/>
      <c r="AI2" s="275" t="s">
        <v>405</v>
      </c>
      <c r="AJ2" s="268"/>
    </row>
    <row r="3" spans="1:36" x14ac:dyDescent="0.3">
      <c r="A3" s="270" t="s">
        <v>138</v>
      </c>
      <c r="B3" s="271">
        <v>45981</v>
      </c>
      <c r="C3" s="272" t="s">
        <v>583</v>
      </c>
      <c r="D3" s="273" t="s">
        <v>598</v>
      </c>
      <c r="E3" s="272" t="s">
        <v>570</v>
      </c>
      <c r="F3" s="272" t="s">
        <v>140</v>
      </c>
      <c r="G3" s="274">
        <v>0.74399999999999999</v>
      </c>
      <c r="H3" s="275">
        <v>168</v>
      </c>
      <c r="I3" s="275">
        <v>125</v>
      </c>
      <c r="J3" s="275">
        <v>92</v>
      </c>
      <c r="K3" s="272" t="s">
        <v>141</v>
      </c>
      <c r="L3" s="276" t="s">
        <v>300</v>
      </c>
      <c r="M3" s="275">
        <v>0</v>
      </c>
      <c r="N3" s="275">
        <v>0</v>
      </c>
      <c r="O3" s="275">
        <v>10</v>
      </c>
      <c r="P3" s="272" t="s">
        <v>147</v>
      </c>
      <c r="Q3" s="268"/>
      <c r="R3" s="268"/>
      <c r="S3" s="268"/>
      <c r="T3" s="268"/>
      <c r="U3" s="268"/>
      <c r="V3" s="268"/>
      <c r="W3" s="268"/>
      <c r="X3" s="268"/>
      <c r="Y3" s="268"/>
      <c r="Z3" s="275" t="s">
        <v>599</v>
      </c>
      <c r="AA3" s="275" t="s">
        <v>600</v>
      </c>
      <c r="AB3" s="275" t="s">
        <v>557</v>
      </c>
      <c r="AC3" s="268"/>
      <c r="AD3" s="275" t="s">
        <v>579</v>
      </c>
      <c r="AE3" s="275" t="s">
        <v>601</v>
      </c>
      <c r="AF3" s="275" t="s">
        <v>202</v>
      </c>
      <c r="AG3" s="275" t="s">
        <v>426</v>
      </c>
      <c r="AH3" s="268"/>
      <c r="AI3" s="275" t="s">
        <v>602</v>
      </c>
      <c r="AJ3" s="268"/>
    </row>
    <row r="4" spans="1:36" x14ac:dyDescent="0.3">
      <c r="A4" s="270" t="s">
        <v>138</v>
      </c>
      <c r="B4" s="271">
        <v>45981</v>
      </c>
      <c r="C4" s="272" t="s">
        <v>578</v>
      </c>
      <c r="D4" s="273" t="s">
        <v>603</v>
      </c>
      <c r="E4" s="272" t="s">
        <v>570</v>
      </c>
      <c r="F4" s="272" t="s">
        <v>140</v>
      </c>
      <c r="G4" s="274">
        <v>0.6905</v>
      </c>
      <c r="H4" s="275">
        <v>168</v>
      </c>
      <c r="I4" s="275">
        <v>116</v>
      </c>
      <c r="J4" s="275">
        <v>39</v>
      </c>
      <c r="K4" s="272" t="s">
        <v>141</v>
      </c>
      <c r="L4" s="276" t="s">
        <v>284</v>
      </c>
      <c r="M4" s="275">
        <v>1</v>
      </c>
      <c r="N4" s="275">
        <v>13</v>
      </c>
      <c r="O4" s="275">
        <v>56</v>
      </c>
      <c r="P4" s="272" t="s">
        <v>579</v>
      </c>
      <c r="Q4" s="268"/>
      <c r="R4" s="268"/>
      <c r="S4" s="268"/>
      <c r="T4" s="268"/>
      <c r="U4" s="268"/>
      <c r="V4" s="268"/>
      <c r="W4" s="268"/>
      <c r="X4" s="268"/>
      <c r="Y4" s="268"/>
      <c r="Z4" s="275" t="s">
        <v>475</v>
      </c>
      <c r="AA4" s="275" t="s">
        <v>604</v>
      </c>
      <c r="AB4" s="275" t="s">
        <v>605</v>
      </c>
      <c r="AC4" s="275" t="s">
        <v>200</v>
      </c>
      <c r="AD4" s="275" t="s">
        <v>595</v>
      </c>
      <c r="AE4" s="275" t="s">
        <v>606</v>
      </c>
      <c r="AF4" s="275" t="s">
        <v>202</v>
      </c>
      <c r="AG4" s="268"/>
      <c r="AH4" s="268"/>
      <c r="AI4" s="275" t="s">
        <v>607</v>
      </c>
      <c r="AJ4" s="268"/>
    </row>
    <row r="5" spans="1:36" x14ac:dyDescent="0.3">
      <c r="A5" s="270" t="s">
        <v>435</v>
      </c>
      <c r="B5" s="271">
        <v>45982</v>
      </c>
      <c r="C5" s="272" t="s">
        <v>586</v>
      </c>
      <c r="D5" s="273" t="s">
        <v>491</v>
      </c>
      <c r="E5" s="272" t="s">
        <v>570</v>
      </c>
      <c r="F5" s="272" t="s">
        <v>140</v>
      </c>
      <c r="G5" s="274">
        <v>0.6905</v>
      </c>
      <c r="H5" s="275">
        <v>168</v>
      </c>
      <c r="I5" s="275">
        <v>116</v>
      </c>
      <c r="J5" s="275">
        <v>3</v>
      </c>
      <c r="K5" s="272" t="s">
        <v>141</v>
      </c>
      <c r="L5" s="276" t="s">
        <v>284</v>
      </c>
      <c r="M5" s="275">
        <v>1</v>
      </c>
      <c r="N5" s="275">
        <v>12</v>
      </c>
      <c r="O5" s="275">
        <v>75</v>
      </c>
      <c r="P5" s="272" t="s">
        <v>588</v>
      </c>
      <c r="Q5" s="268"/>
      <c r="R5" s="268"/>
      <c r="S5" s="268"/>
      <c r="T5" s="268"/>
      <c r="U5" s="268"/>
      <c r="V5" s="268"/>
      <c r="W5" s="268"/>
      <c r="X5" s="268"/>
      <c r="Y5" s="268"/>
      <c r="Z5" s="275" t="s">
        <v>199</v>
      </c>
      <c r="AA5" s="275" t="s">
        <v>608</v>
      </c>
      <c r="AB5" s="275" t="s">
        <v>609</v>
      </c>
      <c r="AC5" s="275" t="s">
        <v>558</v>
      </c>
      <c r="AD5" s="275" t="s">
        <v>610</v>
      </c>
      <c r="AE5" s="275" t="s">
        <v>611</v>
      </c>
      <c r="AF5" s="275" t="s">
        <v>612</v>
      </c>
      <c r="AG5" s="268"/>
      <c r="AH5" s="268"/>
      <c r="AI5" s="275" t="s">
        <v>613</v>
      </c>
      <c r="AJ5" s="268"/>
    </row>
    <row r="6" spans="1:36" x14ac:dyDescent="0.3">
      <c r="A6" s="270" t="s">
        <v>154</v>
      </c>
      <c r="B6" s="271">
        <v>45983</v>
      </c>
      <c r="C6" s="272" t="s">
        <v>583</v>
      </c>
      <c r="D6" s="273" t="s">
        <v>614</v>
      </c>
      <c r="E6" s="272" t="s">
        <v>570</v>
      </c>
      <c r="F6" s="272" t="s">
        <v>140</v>
      </c>
      <c r="G6" s="274">
        <v>0.73209999999999997</v>
      </c>
      <c r="H6" s="275">
        <v>168</v>
      </c>
      <c r="I6" s="275">
        <v>123</v>
      </c>
      <c r="J6" s="275">
        <v>34</v>
      </c>
      <c r="K6" s="272" t="s">
        <v>141</v>
      </c>
      <c r="L6" s="276" t="s">
        <v>186</v>
      </c>
      <c r="M6" s="275">
        <v>0</v>
      </c>
      <c r="N6" s="275">
        <v>7</v>
      </c>
      <c r="O6" s="275">
        <v>47</v>
      </c>
      <c r="P6" s="272" t="s">
        <v>592</v>
      </c>
      <c r="Q6" s="268"/>
      <c r="R6" s="268"/>
      <c r="S6" s="268"/>
      <c r="T6" s="268"/>
      <c r="U6" s="268"/>
      <c r="V6" s="268"/>
      <c r="W6" s="268"/>
      <c r="X6" s="268"/>
      <c r="Y6" s="268"/>
      <c r="Z6" s="275" t="s">
        <v>615</v>
      </c>
      <c r="AA6" s="275" t="s">
        <v>616</v>
      </c>
      <c r="AB6" s="268"/>
      <c r="AC6" s="275" t="s">
        <v>209</v>
      </c>
      <c r="AD6" s="275" t="s">
        <v>218</v>
      </c>
      <c r="AE6" s="275" t="s">
        <v>617</v>
      </c>
      <c r="AF6" s="275" t="s">
        <v>220</v>
      </c>
      <c r="AG6" s="268"/>
      <c r="AH6" s="268"/>
      <c r="AI6" s="275" t="s">
        <v>618</v>
      </c>
      <c r="AJ6" s="268"/>
    </row>
    <row r="7" spans="1:36" x14ac:dyDescent="0.3">
      <c r="A7" s="270" t="s">
        <v>154</v>
      </c>
      <c r="B7" s="271">
        <v>45983</v>
      </c>
      <c r="C7" s="272" t="s">
        <v>578</v>
      </c>
      <c r="D7" s="273" t="s">
        <v>619</v>
      </c>
      <c r="E7" s="272" t="s">
        <v>570</v>
      </c>
      <c r="F7" s="272" t="s">
        <v>140</v>
      </c>
      <c r="G7" s="274">
        <v>0.70830000000000004</v>
      </c>
      <c r="H7" s="275">
        <v>168</v>
      </c>
      <c r="I7" s="275">
        <v>119</v>
      </c>
      <c r="J7" s="275">
        <v>89</v>
      </c>
      <c r="K7" s="272" t="s">
        <v>141</v>
      </c>
      <c r="L7" s="276" t="s">
        <v>284</v>
      </c>
      <c r="M7" s="275">
        <v>1</v>
      </c>
      <c r="N7" s="275">
        <v>4</v>
      </c>
      <c r="O7" s="275">
        <v>8</v>
      </c>
      <c r="P7" s="272" t="s">
        <v>551</v>
      </c>
      <c r="Q7" s="268"/>
      <c r="R7" s="268"/>
      <c r="S7" s="268"/>
      <c r="T7" s="268"/>
      <c r="U7" s="268"/>
      <c r="V7" s="268"/>
      <c r="W7" s="268"/>
      <c r="X7" s="268"/>
      <c r="Y7" s="275" t="s">
        <v>458</v>
      </c>
      <c r="Z7" s="275" t="s">
        <v>615</v>
      </c>
      <c r="AA7" s="268"/>
      <c r="AB7" s="268"/>
      <c r="AC7" s="275" t="s">
        <v>209</v>
      </c>
      <c r="AD7" s="275" t="s">
        <v>620</v>
      </c>
      <c r="AE7" s="268"/>
      <c r="AF7" s="268"/>
      <c r="AG7" s="268"/>
      <c r="AH7" s="268"/>
      <c r="AI7" s="275" t="s">
        <v>602</v>
      </c>
      <c r="AJ7" s="268"/>
    </row>
    <row r="8" spans="1:36" ht="21" x14ac:dyDescent="0.3">
      <c r="A8" s="277" t="s">
        <v>913</v>
      </c>
      <c r="B8" s="278"/>
      <c r="C8" s="277">
        <f>SUBTOTAL(103,JED_ATZ_LF_LEGACY[Flt])</f>
        <v>6</v>
      </c>
      <c r="D8" s="277"/>
      <c r="E8" s="277">
        <f>SUBTOTAL(103,JED_ATZ_LF_LEGACY[Brd-Off])</f>
        <v>6</v>
      </c>
      <c r="F8" s="277"/>
      <c r="G8" s="279">
        <f>SUBTOTAL(101,JED_ATZ_LF_LEGACY[LF%])</f>
        <v>0.68650000000000011</v>
      </c>
      <c r="H8" s="280">
        <f>SUBTOTAL(109,JED_ATZ_LF_LEGACY[CAP])</f>
        <v>1008</v>
      </c>
      <c r="I8" s="280">
        <f>SUBTOTAL(109,JED_ATZ_LF_LEGACY[BKG(Y)])</f>
        <v>692</v>
      </c>
      <c r="J8" s="280">
        <f>SUBTOTAL(109,JED_ATZ_LF_LEGACY[GRP(Y)])</f>
        <v>257</v>
      </c>
      <c r="K8" s="277"/>
      <c r="L8" s="278"/>
      <c r="M8" s="280">
        <f>SUBTOTAL(109,JED_ATZ_LF_LEGACY[TO-DAY])</f>
        <v>4</v>
      </c>
      <c r="N8" s="280">
        <f>SUBTOTAL(109,JED_ATZ_LF_LEGACY[Y-DAY])</f>
        <v>58</v>
      </c>
      <c r="O8" s="280">
        <f>SUBTOTAL(109,JED_ATZ_LF_LEGACY[WEEKLY])</f>
        <v>251</v>
      </c>
      <c r="P8" s="281"/>
      <c r="Q8" s="280">
        <f>SUBTOTAL(109,JED_ATZ_LF_LEGACY[Y])</f>
        <v>0</v>
      </c>
      <c r="R8" s="280">
        <f>SUBTOTAL(109,JED_ATZ_LF_LEGACY[B])</f>
        <v>0</v>
      </c>
      <c r="S8" s="280">
        <f>SUBTOTAL(109,JED_ATZ_LF_LEGACY[M])</f>
        <v>0</v>
      </c>
      <c r="T8" s="280">
        <f>SUBTOTAL(109,JED_ATZ_LF_LEGACY[H])</f>
        <v>0</v>
      </c>
      <c r="U8" s="280">
        <f>SUBTOTAL(109,JED_ATZ_LF_LEGACY[Q])</f>
        <v>0</v>
      </c>
      <c r="V8" s="280">
        <f>SUBTOTAL(109,JED_ATZ_LF_LEGACY[K])</f>
        <v>0</v>
      </c>
      <c r="W8" s="280">
        <f>SUBTOTAL(109,JED_ATZ_LF_LEGACY[V])</f>
        <v>0</v>
      </c>
      <c r="X8" s="280">
        <f>SUBTOTAL(109,JED_ATZ_LF_LEGACY[L])</f>
        <v>0</v>
      </c>
      <c r="Y8" s="280">
        <f>SUBTOTAL(109,JED_ATZ_LF_LEGACY[G])</f>
        <v>0</v>
      </c>
      <c r="Z8" s="280">
        <f>SUBTOTAL(109,JED_ATZ_LF_LEGACY[S])</f>
        <v>0</v>
      </c>
      <c r="AA8" s="280">
        <f>SUBTOTAL(109,JED_ATZ_LF_LEGACY[W])</f>
        <v>0</v>
      </c>
      <c r="AB8" s="280">
        <f>SUBTOTAL(109,JED_ATZ_LF_LEGACY[T])</f>
        <v>0</v>
      </c>
      <c r="AC8" s="280">
        <f>SUBTOTAL(109,JED_ATZ_LF_LEGACY[X])</f>
        <v>0</v>
      </c>
      <c r="AD8" s="280">
        <f>SUBTOTAL(109,JED_ATZ_LF_LEGACY[U])</f>
        <v>0</v>
      </c>
      <c r="AE8" s="280">
        <f>SUBTOTAL(109,JED_ATZ_LF_LEGACY[O])</f>
        <v>0</v>
      </c>
      <c r="AF8" s="280">
        <f>SUBTOTAL(109,JED_ATZ_LF_LEGACY[I])</f>
        <v>0</v>
      </c>
      <c r="AG8" s="280">
        <f>SUBTOTAL(109,JED_ATZ_LF_LEGACY[E])</f>
        <v>0</v>
      </c>
      <c r="AH8" s="280">
        <f>SUBTOTAL(109,JED_ATZ_LF_LEGACY[A])</f>
        <v>0</v>
      </c>
      <c r="AI8" s="280">
        <f>SUBTOTAL(109,JED_ATZ_LF_LEGACY[P])</f>
        <v>0</v>
      </c>
      <c r="AJ8" s="280">
        <f>SUBTOTAL(103,JED_ATZ_LF_LEGACY[N])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7.109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96" t="s">
        <v>166</v>
      </c>
      <c r="B2" s="97" t="s">
        <v>80</v>
      </c>
      <c r="C2" s="98" t="s">
        <v>571</v>
      </c>
      <c r="D2" s="97" t="s">
        <v>570</v>
      </c>
      <c r="E2" s="97" t="s">
        <v>594</v>
      </c>
      <c r="F2" s="97" t="s">
        <v>182</v>
      </c>
      <c r="G2" s="99">
        <v>9</v>
      </c>
      <c r="H2" s="100">
        <v>401</v>
      </c>
    </row>
    <row r="3" spans="1:8" ht="19.8" customHeight="1" x14ac:dyDescent="0.3">
      <c r="A3" s="186">
        <v>45981</v>
      </c>
      <c r="B3" s="97" t="s">
        <v>80</v>
      </c>
      <c r="C3" s="98" t="s">
        <v>576</v>
      </c>
      <c r="D3" s="97" t="s">
        <v>570</v>
      </c>
      <c r="E3" s="187">
        <v>1.708333333333333</v>
      </c>
      <c r="F3" s="97" t="s">
        <v>182</v>
      </c>
      <c r="G3" s="99">
        <v>2</v>
      </c>
      <c r="H3" s="100">
        <v>471</v>
      </c>
    </row>
    <row r="4" spans="1:8" ht="19.8" customHeight="1" x14ac:dyDescent="0.3">
      <c r="A4" s="186">
        <v>45981</v>
      </c>
      <c r="B4" s="97" t="s">
        <v>80</v>
      </c>
      <c r="C4" s="98" t="s">
        <v>581</v>
      </c>
      <c r="D4" s="97" t="s">
        <v>570</v>
      </c>
      <c r="E4" s="187">
        <v>1.489583333333333</v>
      </c>
      <c r="F4" s="97" t="s">
        <v>182</v>
      </c>
      <c r="G4" s="99">
        <v>9</v>
      </c>
      <c r="H4" s="100">
        <v>586</v>
      </c>
    </row>
    <row r="5" spans="1:8" ht="19.8" customHeight="1" x14ac:dyDescent="0.3">
      <c r="A5" s="70">
        <v>45981</v>
      </c>
      <c r="B5" s="61" t="s">
        <v>51</v>
      </c>
      <c r="C5" s="62" t="s">
        <v>585</v>
      </c>
      <c r="D5" s="61" t="s">
        <v>570</v>
      </c>
      <c r="E5" s="71">
        <v>1.489583333333333</v>
      </c>
      <c r="F5" s="61" t="s">
        <v>369</v>
      </c>
      <c r="G5" s="63">
        <v>4</v>
      </c>
      <c r="H5" s="64">
        <v>640</v>
      </c>
    </row>
    <row r="6" spans="1:8" ht="19.8" customHeight="1" x14ac:dyDescent="0.3">
      <c r="A6" s="101"/>
      <c r="B6" s="102"/>
      <c r="C6" s="102"/>
      <c r="D6" s="102"/>
      <c r="E6" s="102"/>
      <c r="F6" s="103" t="s">
        <v>569</v>
      </c>
      <c r="G6" s="102"/>
      <c r="H6" s="104"/>
    </row>
    <row r="7" spans="1:8" ht="19.8" customHeight="1" x14ac:dyDescent="0.3">
      <c r="A7" s="70">
        <v>45981</v>
      </c>
      <c r="B7" s="61" t="s">
        <v>36</v>
      </c>
      <c r="C7" s="62" t="s">
        <v>227</v>
      </c>
      <c r="D7" s="61" t="s">
        <v>226</v>
      </c>
      <c r="E7" s="71">
        <v>1.256944444444444</v>
      </c>
      <c r="F7" s="61" t="s">
        <v>38</v>
      </c>
      <c r="G7" s="63">
        <v>9</v>
      </c>
      <c r="H7" s="64">
        <v>589</v>
      </c>
    </row>
    <row r="8" spans="1:8" ht="19.8" customHeight="1" x14ac:dyDescent="0.3">
      <c r="A8" s="70">
        <v>45981</v>
      </c>
      <c r="B8" s="61" t="s">
        <v>36</v>
      </c>
      <c r="C8" s="62" t="s">
        <v>231</v>
      </c>
      <c r="D8" s="61" t="s">
        <v>226</v>
      </c>
      <c r="E8" s="71">
        <v>1.302083333333333</v>
      </c>
      <c r="F8" s="61" t="s">
        <v>38</v>
      </c>
      <c r="G8" s="63">
        <v>7</v>
      </c>
      <c r="H8" s="64">
        <v>589</v>
      </c>
    </row>
    <row r="9" spans="1:8" ht="19.8" customHeight="1" x14ac:dyDescent="0.3">
      <c r="A9" s="70">
        <v>45981</v>
      </c>
      <c r="B9" s="61" t="s">
        <v>36</v>
      </c>
      <c r="C9" s="62" t="s">
        <v>232</v>
      </c>
      <c r="D9" s="61" t="s">
        <v>226</v>
      </c>
      <c r="E9" s="71">
        <v>1.854166666666667</v>
      </c>
      <c r="F9" s="61" t="s">
        <v>38</v>
      </c>
      <c r="G9" s="63">
        <v>9</v>
      </c>
      <c r="H9" s="64">
        <v>669</v>
      </c>
    </row>
    <row r="10" spans="1:8" ht="19.8" customHeight="1" x14ac:dyDescent="0.3">
      <c r="A10" s="70">
        <v>45981</v>
      </c>
      <c r="B10" s="61" t="s">
        <v>36</v>
      </c>
      <c r="C10" s="62" t="s">
        <v>235</v>
      </c>
      <c r="D10" s="61" t="s">
        <v>226</v>
      </c>
      <c r="E10" s="71">
        <v>1.9027777777777779</v>
      </c>
      <c r="F10" s="61" t="s">
        <v>38</v>
      </c>
      <c r="G10" s="63">
        <v>9</v>
      </c>
      <c r="H10" s="64">
        <v>669</v>
      </c>
    </row>
    <row r="11" spans="1:8" ht="19.8" customHeight="1" x14ac:dyDescent="0.3">
      <c r="A11" s="70">
        <v>45981</v>
      </c>
      <c r="B11" s="61" t="s">
        <v>36</v>
      </c>
      <c r="C11" s="62" t="s">
        <v>236</v>
      </c>
      <c r="D11" s="61" t="s">
        <v>226</v>
      </c>
      <c r="E11" s="71">
        <v>1.7986111111111109</v>
      </c>
      <c r="F11" s="61" t="s">
        <v>38</v>
      </c>
      <c r="G11" s="63">
        <v>9</v>
      </c>
      <c r="H11" s="64">
        <v>669</v>
      </c>
    </row>
    <row r="12" spans="1:8" ht="19.8" customHeight="1" x14ac:dyDescent="0.3">
      <c r="A12" s="70">
        <v>45981</v>
      </c>
      <c r="B12" s="61" t="s">
        <v>36</v>
      </c>
      <c r="C12" s="62" t="s">
        <v>237</v>
      </c>
      <c r="D12" s="61" t="s">
        <v>226</v>
      </c>
      <c r="E12" s="71">
        <v>1.395833333333333</v>
      </c>
      <c r="F12" s="61" t="s">
        <v>38</v>
      </c>
      <c r="G12" s="63">
        <v>9</v>
      </c>
      <c r="H12" s="64">
        <v>669</v>
      </c>
    </row>
    <row r="13" spans="1:8" ht="19.8" customHeight="1" x14ac:dyDescent="0.3">
      <c r="A13" s="70">
        <v>45981</v>
      </c>
      <c r="B13" s="61" t="s">
        <v>36</v>
      </c>
      <c r="C13" s="62" t="s">
        <v>227</v>
      </c>
      <c r="D13" s="61" t="s">
        <v>226</v>
      </c>
      <c r="E13" s="71">
        <v>1.256944444444444</v>
      </c>
      <c r="F13" s="61" t="s">
        <v>41</v>
      </c>
      <c r="G13" s="63">
        <v>9</v>
      </c>
      <c r="H13" s="64">
        <v>689</v>
      </c>
    </row>
    <row r="14" spans="1:8" ht="19.8" customHeight="1" x14ac:dyDescent="0.3">
      <c r="A14" s="70">
        <v>45981</v>
      </c>
      <c r="B14" s="61" t="s">
        <v>36</v>
      </c>
      <c r="C14" s="62" t="s">
        <v>231</v>
      </c>
      <c r="D14" s="61" t="s">
        <v>226</v>
      </c>
      <c r="E14" s="71">
        <v>1.302083333333333</v>
      </c>
      <c r="F14" s="61" t="s">
        <v>41</v>
      </c>
      <c r="G14" s="63">
        <v>7</v>
      </c>
      <c r="H14" s="64">
        <v>689</v>
      </c>
    </row>
    <row r="15" spans="1:8" ht="19.8" customHeight="1" x14ac:dyDescent="0.3">
      <c r="A15" s="70">
        <v>45981</v>
      </c>
      <c r="B15" s="61" t="s">
        <v>26</v>
      </c>
      <c r="C15" s="62" t="s">
        <v>248</v>
      </c>
      <c r="D15" s="61" t="s">
        <v>226</v>
      </c>
      <c r="E15" s="71">
        <v>1.302083333333333</v>
      </c>
      <c r="F15" s="61" t="s">
        <v>28</v>
      </c>
      <c r="G15" s="63">
        <v>11</v>
      </c>
      <c r="H15" s="64">
        <v>689</v>
      </c>
    </row>
    <row r="16" spans="1:8" ht="19.8" customHeight="1" x14ac:dyDescent="0.3">
      <c r="A16" s="72">
        <v>45981</v>
      </c>
      <c r="B16" s="73" t="s">
        <v>26</v>
      </c>
      <c r="C16" s="74" t="s">
        <v>252</v>
      </c>
      <c r="D16" s="73" t="s">
        <v>226</v>
      </c>
      <c r="E16" s="75">
        <v>1.8888888888888891</v>
      </c>
      <c r="F16" s="73" t="s">
        <v>28</v>
      </c>
      <c r="G16" s="76">
        <v>16</v>
      </c>
      <c r="H16" s="105">
        <v>689</v>
      </c>
    </row>
    <row r="17" spans="1:8" ht="19.8" customHeight="1" x14ac:dyDescent="0.3">
      <c r="A17" s="186">
        <v>45982</v>
      </c>
      <c r="B17" s="97" t="s">
        <v>80</v>
      </c>
      <c r="C17" s="98" t="s">
        <v>621</v>
      </c>
      <c r="D17" s="97" t="s">
        <v>570</v>
      </c>
      <c r="E17" s="187">
        <v>1.291666666666667</v>
      </c>
      <c r="F17" s="97"/>
      <c r="G17" s="97"/>
      <c r="H17" s="117" t="s">
        <v>587</v>
      </c>
    </row>
    <row r="18" spans="1:8" ht="19.8" customHeight="1" x14ac:dyDescent="0.3">
      <c r="A18" s="101"/>
      <c r="B18" s="102"/>
      <c r="C18" s="102"/>
      <c r="D18" s="102"/>
      <c r="E18" s="102"/>
      <c r="F18" s="103" t="s">
        <v>569</v>
      </c>
      <c r="G18" s="102"/>
      <c r="H18" s="104"/>
    </row>
    <row r="19" spans="1:8" ht="19.8" customHeight="1" x14ac:dyDescent="0.3">
      <c r="A19" s="70">
        <v>45982</v>
      </c>
      <c r="B19" s="61" t="s">
        <v>26</v>
      </c>
      <c r="C19" s="62" t="s">
        <v>258</v>
      </c>
      <c r="D19" s="61" t="s">
        <v>226</v>
      </c>
      <c r="E19" s="71">
        <v>1.1284722222222221</v>
      </c>
      <c r="F19" s="61" t="s">
        <v>28</v>
      </c>
      <c r="G19" s="63">
        <v>13</v>
      </c>
      <c r="H19" s="64">
        <v>639</v>
      </c>
    </row>
    <row r="20" spans="1:8" ht="19.8" customHeight="1" x14ac:dyDescent="0.3">
      <c r="A20" s="70">
        <v>45982</v>
      </c>
      <c r="B20" s="61" t="s">
        <v>26</v>
      </c>
      <c r="C20" s="62" t="s">
        <v>248</v>
      </c>
      <c r="D20" s="61" t="s">
        <v>226</v>
      </c>
      <c r="E20" s="71">
        <v>1.302083333333333</v>
      </c>
      <c r="F20" s="61" t="s">
        <v>28</v>
      </c>
      <c r="G20" s="63">
        <v>13</v>
      </c>
      <c r="H20" s="64">
        <v>639</v>
      </c>
    </row>
    <row r="21" spans="1:8" ht="19.8" customHeight="1" x14ac:dyDescent="0.3">
      <c r="A21" s="70">
        <v>45982</v>
      </c>
      <c r="B21" s="61" t="s">
        <v>26</v>
      </c>
      <c r="C21" s="62" t="s">
        <v>252</v>
      </c>
      <c r="D21" s="61" t="s">
        <v>226</v>
      </c>
      <c r="E21" s="71">
        <v>1.8888888888888891</v>
      </c>
      <c r="F21" s="61" t="s">
        <v>28</v>
      </c>
      <c r="G21" s="63">
        <v>21</v>
      </c>
      <c r="H21" s="64">
        <v>639</v>
      </c>
    </row>
    <row r="22" spans="1:8" ht="19.8" customHeight="1" x14ac:dyDescent="0.3">
      <c r="A22" s="70">
        <v>45982</v>
      </c>
      <c r="B22" s="61" t="s">
        <v>26</v>
      </c>
      <c r="C22" s="62" t="s">
        <v>255</v>
      </c>
      <c r="D22" s="61" t="s">
        <v>226</v>
      </c>
      <c r="E22" s="71">
        <v>1.788194444444444</v>
      </c>
      <c r="F22" s="61" t="s">
        <v>28</v>
      </c>
      <c r="G22" s="63">
        <v>12</v>
      </c>
      <c r="H22" s="64">
        <v>639</v>
      </c>
    </row>
    <row r="23" spans="1:8" ht="19.8" customHeight="1" x14ac:dyDescent="0.3">
      <c r="A23" s="70">
        <v>45982</v>
      </c>
      <c r="B23" s="61" t="s">
        <v>269</v>
      </c>
      <c r="C23" s="62" t="s">
        <v>347</v>
      </c>
      <c r="D23" s="61" t="s">
        <v>226</v>
      </c>
      <c r="E23" s="71">
        <v>1.975694444444444</v>
      </c>
      <c r="F23" s="61" t="s">
        <v>271</v>
      </c>
      <c r="G23" s="63">
        <v>9</v>
      </c>
      <c r="H23" s="64">
        <v>640</v>
      </c>
    </row>
    <row r="24" spans="1:8" ht="19.8" customHeight="1" x14ac:dyDescent="0.3">
      <c r="A24" s="70">
        <v>45982</v>
      </c>
      <c r="B24" s="61" t="s">
        <v>36</v>
      </c>
      <c r="C24" s="62" t="s">
        <v>235</v>
      </c>
      <c r="D24" s="61" t="s">
        <v>226</v>
      </c>
      <c r="E24" s="71">
        <v>1.9027777777777779</v>
      </c>
      <c r="F24" s="61" t="s">
        <v>38</v>
      </c>
      <c r="G24" s="63">
        <v>1</v>
      </c>
      <c r="H24" s="64">
        <v>669</v>
      </c>
    </row>
    <row r="25" spans="1:8" ht="19.8" customHeight="1" x14ac:dyDescent="0.3">
      <c r="A25" s="70">
        <v>45982</v>
      </c>
      <c r="B25" s="61" t="s">
        <v>36</v>
      </c>
      <c r="C25" s="62" t="s">
        <v>236</v>
      </c>
      <c r="D25" s="61" t="s">
        <v>226</v>
      </c>
      <c r="E25" s="71">
        <v>1.7986111111111109</v>
      </c>
      <c r="F25" s="61" t="s">
        <v>38</v>
      </c>
      <c r="G25" s="63">
        <v>2</v>
      </c>
      <c r="H25" s="64">
        <v>669</v>
      </c>
    </row>
    <row r="26" spans="1:8" ht="19.8" customHeight="1" x14ac:dyDescent="0.3">
      <c r="A26" s="70">
        <v>45982</v>
      </c>
      <c r="B26" s="61" t="s">
        <v>36</v>
      </c>
      <c r="C26" s="62" t="s">
        <v>232</v>
      </c>
      <c r="D26" s="61" t="s">
        <v>226</v>
      </c>
      <c r="E26" s="71">
        <v>1.854166666666667</v>
      </c>
      <c r="F26" s="61" t="s">
        <v>38</v>
      </c>
      <c r="G26" s="63">
        <v>9</v>
      </c>
      <c r="H26" s="64">
        <v>719</v>
      </c>
    </row>
    <row r="27" spans="1:8" ht="19.8" customHeight="1" x14ac:dyDescent="0.3">
      <c r="A27" s="70">
        <v>45982</v>
      </c>
      <c r="B27" s="61" t="s">
        <v>36</v>
      </c>
      <c r="C27" s="62" t="s">
        <v>244</v>
      </c>
      <c r="D27" s="61" t="s">
        <v>226</v>
      </c>
      <c r="E27" s="71">
        <v>1.5173611111111109</v>
      </c>
      <c r="F27" s="61" t="s">
        <v>38</v>
      </c>
      <c r="G27" s="63">
        <v>4</v>
      </c>
      <c r="H27" s="64">
        <v>719</v>
      </c>
    </row>
    <row r="28" spans="1:8" ht="19.8" customHeight="1" x14ac:dyDescent="0.3">
      <c r="A28" s="72">
        <v>45982</v>
      </c>
      <c r="B28" s="73" t="s">
        <v>36</v>
      </c>
      <c r="C28" s="74" t="s">
        <v>237</v>
      </c>
      <c r="D28" s="73" t="s">
        <v>226</v>
      </c>
      <c r="E28" s="75">
        <v>1.395833333333333</v>
      </c>
      <c r="F28" s="73" t="s">
        <v>38</v>
      </c>
      <c r="G28" s="76">
        <v>6</v>
      </c>
      <c r="H28" s="105">
        <v>719</v>
      </c>
    </row>
    <row r="29" spans="1:8" ht="19.8" customHeight="1" x14ac:dyDescent="0.3">
      <c r="A29" s="186">
        <v>45983</v>
      </c>
      <c r="B29" s="97" t="s">
        <v>80</v>
      </c>
      <c r="C29" s="98" t="s">
        <v>576</v>
      </c>
      <c r="D29" s="97" t="s">
        <v>570</v>
      </c>
      <c r="E29" s="187">
        <v>1.6875</v>
      </c>
      <c r="F29" s="97" t="s">
        <v>182</v>
      </c>
      <c r="G29" s="99">
        <v>2</v>
      </c>
      <c r="H29" s="100">
        <v>526</v>
      </c>
    </row>
    <row r="30" spans="1:8" ht="19.8" customHeight="1" x14ac:dyDescent="0.3">
      <c r="A30" s="186">
        <v>45983</v>
      </c>
      <c r="B30" s="97" t="s">
        <v>80</v>
      </c>
      <c r="C30" s="98" t="s">
        <v>581</v>
      </c>
      <c r="D30" s="97" t="s">
        <v>570</v>
      </c>
      <c r="E30" s="187">
        <v>1.461805555555556</v>
      </c>
      <c r="F30" s="97" t="s">
        <v>182</v>
      </c>
      <c r="G30" s="99">
        <v>9</v>
      </c>
      <c r="H30" s="100">
        <v>526</v>
      </c>
    </row>
    <row r="31" spans="1:8" ht="19.8" customHeight="1" x14ac:dyDescent="0.3">
      <c r="A31" s="70">
        <v>45983</v>
      </c>
      <c r="B31" s="61" t="s">
        <v>51</v>
      </c>
      <c r="C31" s="62" t="s">
        <v>585</v>
      </c>
      <c r="D31" s="61" t="s">
        <v>570</v>
      </c>
      <c r="E31" s="71">
        <v>1.461805555555556</v>
      </c>
      <c r="F31" s="61" t="s">
        <v>369</v>
      </c>
      <c r="G31" s="63">
        <v>4</v>
      </c>
      <c r="H31" s="64">
        <v>640</v>
      </c>
    </row>
    <row r="32" spans="1:8" ht="19.8" customHeight="1" x14ac:dyDescent="0.3">
      <c r="A32" s="101"/>
      <c r="B32" s="102"/>
      <c r="C32" s="102"/>
      <c r="D32" s="102"/>
      <c r="E32" s="102"/>
      <c r="F32" s="103" t="s">
        <v>569</v>
      </c>
      <c r="G32" s="102"/>
      <c r="H32" s="104"/>
    </row>
    <row r="33" spans="1:8" ht="19.8" customHeight="1" x14ac:dyDescent="0.3">
      <c r="A33" s="70">
        <v>45983</v>
      </c>
      <c r="B33" s="61" t="s">
        <v>26</v>
      </c>
      <c r="C33" s="62" t="s">
        <v>258</v>
      </c>
      <c r="D33" s="61" t="s">
        <v>226</v>
      </c>
      <c r="E33" s="71">
        <v>1.1284722222222221</v>
      </c>
      <c r="F33" s="61" t="s">
        <v>28</v>
      </c>
      <c r="G33" s="63">
        <v>7</v>
      </c>
      <c r="H33" s="64">
        <v>589</v>
      </c>
    </row>
    <row r="34" spans="1:8" ht="19.8" customHeight="1" x14ac:dyDescent="0.3">
      <c r="A34" s="70">
        <v>45983</v>
      </c>
      <c r="B34" s="61" t="s">
        <v>26</v>
      </c>
      <c r="C34" s="62" t="s">
        <v>248</v>
      </c>
      <c r="D34" s="61" t="s">
        <v>226</v>
      </c>
      <c r="E34" s="71">
        <v>1.302083333333333</v>
      </c>
      <c r="F34" s="61" t="s">
        <v>28</v>
      </c>
      <c r="G34" s="63">
        <v>15</v>
      </c>
      <c r="H34" s="64">
        <v>589</v>
      </c>
    </row>
    <row r="35" spans="1:8" ht="19.8" customHeight="1" x14ac:dyDescent="0.3">
      <c r="A35" s="70">
        <v>45983</v>
      </c>
      <c r="B35" s="61" t="s">
        <v>26</v>
      </c>
      <c r="C35" s="62" t="s">
        <v>252</v>
      </c>
      <c r="D35" s="61" t="s">
        <v>226</v>
      </c>
      <c r="E35" s="71">
        <v>1.8888888888888891</v>
      </c>
      <c r="F35" s="61" t="s">
        <v>28</v>
      </c>
      <c r="G35" s="63">
        <v>14</v>
      </c>
      <c r="H35" s="64">
        <v>639</v>
      </c>
    </row>
    <row r="36" spans="1:8" ht="19.8" customHeight="1" x14ac:dyDescent="0.3">
      <c r="A36" s="70">
        <v>45983</v>
      </c>
      <c r="B36" s="61" t="s">
        <v>269</v>
      </c>
      <c r="C36" s="62" t="s">
        <v>270</v>
      </c>
      <c r="D36" s="61" t="s">
        <v>226</v>
      </c>
      <c r="E36" s="71">
        <v>1.288194444444444</v>
      </c>
      <c r="F36" s="61" t="s">
        <v>271</v>
      </c>
      <c r="G36" s="63">
        <v>9</v>
      </c>
      <c r="H36" s="64">
        <v>640</v>
      </c>
    </row>
    <row r="37" spans="1:8" ht="19.8" customHeight="1" x14ac:dyDescent="0.3">
      <c r="A37" s="70">
        <v>45983</v>
      </c>
      <c r="B37" s="61" t="s">
        <v>36</v>
      </c>
      <c r="C37" s="62" t="s">
        <v>232</v>
      </c>
      <c r="D37" s="61" t="s">
        <v>226</v>
      </c>
      <c r="E37" s="71">
        <v>1.854166666666667</v>
      </c>
      <c r="F37" s="61" t="s">
        <v>38</v>
      </c>
      <c r="G37" s="63">
        <v>5</v>
      </c>
      <c r="H37" s="64">
        <v>669</v>
      </c>
    </row>
    <row r="38" spans="1:8" ht="19.8" customHeight="1" x14ac:dyDescent="0.3">
      <c r="A38" s="70">
        <v>45983</v>
      </c>
      <c r="B38" s="61" t="s">
        <v>36</v>
      </c>
      <c r="C38" s="62" t="s">
        <v>227</v>
      </c>
      <c r="D38" s="61" t="s">
        <v>226</v>
      </c>
      <c r="E38" s="71">
        <v>1.256944444444444</v>
      </c>
      <c r="F38" s="61" t="s">
        <v>38</v>
      </c>
      <c r="G38" s="63">
        <v>9</v>
      </c>
      <c r="H38" s="64">
        <v>669</v>
      </c>
    </row>
    <row r="39" spans="1:8" ht="19.8" customHeight="1" x14ac:dyDescent="0.3">
      <c r="A39" s="70">
        <v>45983</v>
      </c>
      <c r="B39" s="61" t="s">
        <v>36</v>
      </c>
      <c r="C39" s="62" t="s">
        <v>244</v>
      </c>
      <c r="D39" s="61" t="s">
        <v>226</v>
      </c>
      <c r="E39" s="71">
        <v>1.5173611111111109</v>
      </c>
      <c r="F39" s="61" t="s">
        <v>38</v>
      </c>
      <c r="G39" s="63">
        <v>4</v>
      </c>
      <c r="H39" s="64">
        <v>669</v>
      </c>
    </row>
    <row r="40" spans="1:8" ht="19.8" customHeight="1" x14ac:dyDescent="0.3">
      <c r="A40" s="70">
        <v>45983</v>
      </c>
      <c r="B40" s="61" t="s">
        <v>36</v>
      </c>
      <c r="C40" s="62" t="s">
        <v>237</v>
      </c>
      <c r="D40" s="61" t="s">
        <v>226</v>
      </c>
      <c r="E40" s="71">
        <v>1.395833333333333</v>
      </c>
      <c r="F40" s="61" t="s">
        <v>38</v>
      </c>
      <c r="G40" s="63">
        <v>4</v>
      </c>
      <c r="H40" s="64">
        <v>669</v>
      </c>
    </row>
    <row r="41" spans="1:8" ht="19.8" customHeight="1" x14ac:dyDescent="0.3">
      <c r="A41" s="70">
        <v>45983</v>
      </c>
      <c r="B41" s="61" t="s">
        <v>36</v>
      </c>
      <c r="C41" s="62" t="s">
        <v>238</v>
      </c>
      <c r="D41" s="61" t="s">
        <v>226</v>
      </c>
      <c r="E41" s="71">
        <v>1.6597222222222221</v>
      </c>
      <c r="F41" s="61" t="s">
        <v>38</v>
      </c>
      <c r="G41" s="63">
        <v>8</v>
      </c>
      <c r="H41" s="64">
        <v>669</v>
      </c>
    </row>
    <row r="42" spans="1:8" ht="19.8" customHeight="1" x14ac:dyDescent="0.3">
      <c r="A42" s="72">
        <v>45983</v>
      </c>
      <c r="B42" s="73" t="s">
        <v>26</v>
      </c>
      <c r="C42" s="74" t="s">
        <v>255</v>
      </c>
      <c r="D42" s="73" t="s">
        <v>226</v>
      </c>
      <c r="E42" s="75">
        <v>1.788194444444444</v>
      </c>
      <c r="F42" s="73" t="s">
        <v>28</v>
      </c>
      <c r="G42" s="76">
        <v>14</v>
      </c>
      <c r="H42" s="105">
        <v>689</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40"/>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7.109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96" t="s">
        <v>166</v>
      </c>
      <c r="B2" s="97" t="s">
        <v>80</v>
      </c>
      <c r="C2" s="98" t="s">
        <v>571</v>
      </c>
      <c r="D2" s="97" t="s">
        <v>570</v>
      </c>
      <c r="E2" s="97" t="s">
        <v>594</v>
      </c>
      <c r="F2" s="97" t="s">
        <v>182</v>
      </c>
      <c r="G2" s="99">
        <v>9</v>
      </c>
      <c r="H2" s="100">
        <v>401</v>
      </c>
    </row>
    <row r="3" spans="1:8" ht="19.8" customHeight="1" x14ac:dyDescent="0.3">
      <c r="A3" s="186">
        <v>45981</v>
      </c>
      <c r="B3" s="97" t="s">
        <v>80</v>
      </c>
      <c r="C3" s="98" t="s">
        <v>576</v>
      </c>
      <c r="D3" s="97" t="s">
        <v>570</v>
      </c>
      <c r="E3" s="187">
        <v>1.708333333333333</v>
      </c>
      <c r="F3" s="97" t="s">
        <v>182</v>
      </c>
      <c r="G3" s="99">
        <v>2</v>
      </c>
      <c r="H3" s="100">
        <v>471</v>
      </c>
    </row>
    <row r="4" spans="1:8" ht="19.8" customHeight="1" x14ac:dyDescent="0.3">
      <c r="A4" s="186">
        <v>45981</v>
      </c>
      <c r="B4" s="97" t="s">
        <v>80</v>
      </c>
      <c r="C4" s="98" t="s">
        <v>581</v>
      </c>
      <c r="D4" s="97" t="s">
        <v>570</v>
      </c>
      <c r="E4" s="187">
        <v>1.489583333333333</v>
      </c>
      <c r="F4" s="97" t="s">
        <v>182</v>
      </c>
      <c r="G4" s="99">
        <v>9</v>
      </c>
      <c r="H4" s="100">
        <v>586</v>
      </c>
    </row>
    <row r="5" spans="1:8" ht="19.8" customHeight="1" x14ac:dyDescent="0.3">
      <c r="A5" s="101"/>
      <c r="B5" s="102"/>
      <c r="C5" s="102"/>
      <c r="D5" s="102"/>
      <c r="E5" s="102"/>
      <c r="F5" s="103" t="s">
        <v>569</v>
      </c>
      <c r="G5" s="102"/>
      <c r="H5" s="104"/>
    </row>
    <row r="6" spans="1:8" ht="19.8" customHeight="1" x14ac:dyDescent="0.3">
      <c r="A6" s="70">
        <v>45981</v>
      </c>
      <c r="B6" s="61" t="s">
        <v>36</v>
      </c>
      <c r="C6" s="62" t="s">
        <v>227</v>
      </c>
      <c r="D6" s="61" t="s">
        <v>226</v>
      </c>
      <c r="E6" s="71">
        <v>1.256944444444444</v>
      </c>
      <c r="F6" s="61" t="s">
        <v>38</v>
      </c>
      <c r="G6" s="63">
        <v>9</v>
      </c>
      <c r="H6" s="64">
        <v>589</v>
      </c>
    </row>
    <row r="7" spans="1:8" ht="19.8" customHeight="1" x14ac:dyDescent="0.3">
      <c r="A7" s="70">
        <v>45981</v>
      </c>
      <c r="B7" s="61" t="s">
        <v>36</v>
      </c>
      <c r="C7" s="62" t="s">
        <v>231</v>
      </c>
      <c r="D7" s="61" t="s">
        <v>226</v>
      </c>
      <c r="E7" s="71">
        <v>1.302083333333333</v>
      </c>
      <c r="F7" s="61" t="s">
        <v>38</v>
      </c>
      <c r="G7" s="63">
        <v>7</v>
      </c>
      <c r="H7" s="64">
        <v>589</v>
      </c>
    </row>
    <row r="8" spans="1:8" ht="19.8" customHeight="1" x14ac:dyDescent="0.3">
      <c r="A8" s="70">
        <v>45981</v>
      </c>
      <c r="B8" s="61" t="s">
        <v>36</v>
      </c>
      <c r="C8" s="62" t="s">
        <v>232</v>
      </c>
      <c r="D8" s="61" t="s">
        <v>226</v>
      </c>
      <c r="E8" s="71">
        <v>1.854166666666667</v>
      </c>
      <c r="F8" s="61" t="s">
        <v>38</v>
      </c>
      <c r="G8" s="63">
        <v>9</v>
      </c>
      <c r="H8" s="64">
        <v>669</v>
      </c>
    </row>
    <row r="9" spans="1:8" ht="19.8" customHeight="1" x14ac:dyDescent="0.3">
      <c r="A9" s="70">
        <v>45981</v>
      </c>
      <c r="B9" s="61" t="s">
        <v>36</v>
      </c>
      <c r="C9" s="62" t="s">
        <v>235</v>
      </c>
      <c r="D9" s="61" t="s">
        <v>226</v>
      </c>
      <c r="E9" s="71">
        <v>1.9027777777777779</v>
      </c>
      <c r="F9" s="61" t="s">
        <v>38</v>
      </c>
      <c r="G9" s="63">
        <v>9</v>
      </c>
      <c r="H9" s="64">
        <v>669</v>
      </c>
    </row>
    <row r="10" spans="1:8" ht="19.8" customHeight="1" x14ac:dyDescent="0.3">
      <c r="A10" s="70">
        <v>45981</v>
      </c>
      <c r="B10" s="61" t="s">
        <v>36</v>
      </c>
      <c r="C10" s="62" t="s">
        <v>236</v>
      </c>
      <c r="D10" s="61" t="s">
        <v>226</v>
      </c>
      <c r="E10" s="71">
        <v>1.7986111111111109</v>
      </c>
      <c r="F10" s="61" t="s">
        <v>38</v>
      </c>
      <c r="G10" s="63">
        <v>9</v>
      </c>
      <c r="H10" s="64">
        <v>669</v>
      </c>
    </row>
    <row r="11" spans="1:8" ht="19.8" customHeight="1" x14ac:dyDescent="0.3">
      <c r="A11" s="70">
        <v>45981</v>
      </c>
      <c r="B11" s="61" t="s">
        <v>36</v>
      </c>
      <c r="C11" s="62" t="s">
        <v>237</v>
      </c>
      <c r="D11" s="61" t="s">
        <v>226</v>
      </c>
      <c r="E11" s="71">
        <v>1.395833333333333</v>
      </c>
      <c r="F11" s="61" t="s">
        <v>38</v>
      </c>
      <c r="G11" s="63">
        <v>9</v>
      </c>
      <c r="H11" s="64">
        <v>669</v>
      </c>
    </row>
    <row r="12" spans="1:8" ht="19.8" customHeight="1" x14ac:dyDescent="0.3">
      <c r="A12" s="70">
        <v>45981</v>
      </c>
      <c r="B12" s="61" t="s">
        <v>36</v>
      </c>
      <c r="C12" s="62" t="s">
        <v>227</v>
      </c>
      <c r="D12" s="61" t="s">
        <v>226</v>
      </c>
      <c r="E12" s="71">
        <v>1.256944444444444</v>
      </c>
      <c r="F12" s="61" t="s">
        <v>41</v>
      </c>
      <c r="G12" s="63">
        <v>9</v>
      </c>
      <c r="H12" s="64">
        <v>689</v>
      </c>
    </row>
    <row r="13" spans="1:8" ht="19.8" customHeight="1" x14ac:dyDescent="0.3">
      <c r="A13" s="70">
        <v>45981</v>
      </c>
      <c r="B13" s="61" t="s">
        <v>36</v>
      </c>
      <c r="C13" s="62" t="s">
        <v>231</v>
      </c>
      <c r="D13" s="61" t="s">
        <v>226</v>
      </c>
      <c r="E13" s="71">
        <v>1.302083333333333</v>
      </c>
      <c r="F13" s="61" t="s">
        <v>41</v>
      </c>
      <c r="G13" s="63">
        <v>7</v>
      </c>
      <c r="H13" s="64">
        <v>689</v>
      </c>
    </row>
    <row r="14" spans="1:8" ht="19.8" customHeight="1" x14ac:dyDescent="0.3">
      <c r="A14" s="70">
        <v>45981</v>
      </c>
      <c r="B14" s="61" t="s">
        <v>26</v>
      </c>
      <c r="C14" s="62" t="s">
        <v>248</v>
      </c>
      <c r="D14" s="61" t="s">
        <v>226</v>
      </c>
      <c r="E14" s="71">
        <v>1.302083333333333</v>
      </c>
      <c r="F14" s="61" t="s">
        <v>28</v>
      </c>
      <c r="G14" s="63">
        <v>11</v>
      </c>
      <c r="H14" s="64">
        <v>689</v>
      </c>
    </row>
    <row r="15" spans="1:8" ht="19.8" customHeight="1" x14ac:dyDescent="0.3">
      <c r="A15" s="72">
        <v>45981</v>
      </c>
      <c r="B15" s="73" t="s">
        <v>26</v>
      </c>
      <c r="C15" s="74" t="s">
        <v>252</v>
      </c>
      <c r="D15" s="73" t="s">
        <v>226</v>
      </c>
      <c r="E15" s="75">
        <v>1.8888888888888891</v>
      </c>
      <c r="F15" s="73" t="s">
        <v>28</v>
      </c>
      <c r="G15" s="76">
        <v>16</v>
      </c>
      <c r="H15" s="105">
        <v>689</v>
      </c>
    </row>
    <row r="16" spans="1:8" ht="19.8" customHeight="1" x14ac:dyDescent="0.3">
      <c r="A16" s="186">
        <v>45982</v>
      </c>
      <c r="B16" s="97" t="s">
        <v>80</v>
      </c>
      <c r="C16" s="98" t="s">
        <v>621</v>
      </c>
      <c r="D16" s="97" t="s">
        <v>570</v>
      </c>
      <c r="E16" s="187">
        <v>1.291666666666667</v>
      </c>
      <c r="F16" s="97"/>
      <c r="G16" s="97"/>
      <c r="H16" s="117" t="s">
        <v>587</v>
      </c>
    </row>
    <row r="17" spans="1:8" ht="19.8" customHeight="1" x14ac:dyDescent="0.3">
      <c r="A17" s="101"/>
      <c r="B17" s="102"/>
      <c r="C17" s="102"/>
      <c r="D17" s="102"/>
      <c r="E17" s="102"/>
      <c r="F17" s="103" t="s">
        <v>569</v>
      </c>
      <c r="G17" s="102"/>
      <c r="H17" s="104"/>
    </row>
    <row r="18" spans="1:8" ht="19.8" customHeight="1" x14ac:dyDescent="0.3">
      <c r="A18" s="70">
        <v>45982</v>
      </c>
      <c r="B18" s="61" t="s">
        <v>26</v>
      </c>
      <c r="C18" s="62" t="s">
        <v>258</v>
      </c>
      <c r="D18" s="61" t="s">
        <v>226</v>
      </c>
      <c r="E18" s="71">
        <v>1.1284722222222221</v>
      </c>
      <c r="F18" s="61" t="s">
        <v>28</v>
      </c>
      <c r="G18" s="63">
        <v>13</v>
      </c>
      <c r="H18" s="64">
        <v>639</v>
      </c>
    </row>
    <row r="19" spans="1:8" ht="19.8" customHeight="1" x14ac:dyDescent="0.3">
      <c r="A19" s="70">
        <v>45982</v>
      </c>
      <c r="B19" s="61" t="s">
        <v>26</v>
      </c>
      <c r="C19" s="62" t="s">
        <v>248</v>
      </c>
      <c r="D19" s="61" t="s">
        <v>226</v>
      </c>
      <c r="E19" s="71">
        <v>1.302083333333333</v>
      </c>
      <c r="F19" s="61" t="s">
        <v>28</v>
      </c>
      <c r="G19" s="63">
        <v>13</v>
      </c>
      <c r="H19" s="64">
        <v>639</v>
      </c>
    </row>
    <row r="20" spans="1:8" ht="19.8" customHeight="1" x14ac:dyDescent="0.3">
      <c r="A20" s="70">
        <v>45982</v>
      </c>
      <c r="B20" s="61" t="s">
        <v>26</v>
      </c>
      <c r="C20" s="62" t="s">
        <v>252</v>
      </c>
      <c r="D20" s="61" t="s">
        <v>226</v>
      </c>
      <c r="E20" s="71">
        <v>1.8888888888888891</v>
      </c>
      <c r="F20" s="61" t="s">
        <v>28</v>
      </c>
      <c r="G20" s="63">
        <v>21</v>
      </c>
      <c r="H20" s="64">
        <v>639</v>
      </c>
    </row>
    <row r="21" spans="1:8" ht="19.8" customHeight="1" x14ac:dyDescent="0.3">
      <c r="A21" s="70">
        <v>45982</v>
      </c>
      <c r="B21" s="61" t="s">
        <v>26</v>
      </c>
      <c r="C21" s="62" t="s">
        <v>255</v>
      </c>
      <c r="D21" s="61" t="s">
        <v>226</v>
      </c>
      <c r="E21" s="71">
        <v>1.788194444444444</v>
      </c>
      <c r="F21" s="61" t="s">
        <v>28</v>
      </c>
      <c r="G21" s="63">
        <v>12</v>
      </c>
      <c r="H21" s="64">
        <v>639</v>
      </c>
    </row>
    <row r="22" spans="1:8" ht="19.8" customHeight="1" x14ac:dyDescent="0.3">
      <c r="A22" s="70">
        <v>45982</v>
      </c>
      <c r="B22" s="61" t="s">
        <v>269</v>
      </c>
      <c r="C22" s="62" t="s">
        <v>347</v>
      </c>
      <c r="D22" s="61" t="s">
        <v>226</v>
      </c>
      <c r="E22" s="71">
        <v>1.975694444444444</v>
      </c>
      <c r="F22" s="61" t="s">
        <v>271</v>
      </c>
      <c r="G22" s="63">
        <v>9</v>
      </c>
      <c r="H22" s="64">
        <v>640</v>
      </c>
    </row>
    <row r="23" spans="1:8" ht="19.8" customHeight="1" x14ac:dyDescent="0.3">
      <c r="A23" s="70">
        <v>45982</v>
      </c>
      <c r="B23" s="61" t="s">
        <v>36</v>
      </c>
      <c r="C23" s="62" t="s">
        <v>235</v>
      </c>
      <c r="D23" s="61" t="s">
        <v>226</v>
      </c>
      <c r="E23" s="71">
        <v>1.9027777777777779</v>
      </c>
      <c r="F23" s="61" t="s">
        <v>38</v>
      </c>
      <c r="G23" s="63">
        <v>1</v>
      </c>
      <c r="H23" s="64">
        <v>669</v>
      </c>
    </row>
    <row r="24" spans="1:8" ht="19.8" customHeight="1" x14ac:dyDescent="0.3">
      <c r="A24" s="70">
        <v>45982</v>
      </c>
      <c r="B24" s="61" t="s">
        <v>36</v>
      </c>
      <c r="C24" s="62" t="s">
        <v>236</v>
      </c>
      <c r="D24" s="61" t="s">
        <v>226</v>
      </c>
      <c r="E24" s="71">
        <v>1.7986111111111109</v>
      </c>
      <c r="F24" s="61" t="s">
        <v>38</v>
      </c>
      <c r="G24" s="63">
        <v>2</v>
      </c>
      <c r="H24" s="64">
        <v>669</v>
      </c>
    </row>
    <row r="25" spans="1:8" ht="19.8" customHeight="1" x14ac:dyDescent="0.3">
      <c r="A25" s="70">
        <v>45982</v>
      </c>
      <c r="B25" s="61" t="s">
        <v>36</v>
      </c>
      <c r="C25" s="62" t="s">
        <v>232</v>
      </c>
      <c r="D25" s="61" t="s">
        <v>226</v>
      </c>
      <c r="E25" s="71">
        <v>1.854166666666667</v>
      </c>
      <c r="F25" s="61" t="s">
        <v>38</v>
      </c>
      <c r="G25" s="63">
        <v>9</v>
      </c>
      <c r="H25" s="64">
        <v>719</v>
      </c>
    </row>
    <row r="26" spans="1:8" ht="19.8" customHeight="1" x14ac:dyDescent="0.3">
      <c r="A26" s="70">
        <v>45982</v>
      </c>
      <c r="B26" s="61" t="s">
        <v>36</v>
      </c>
      <c r="C26" s="62" t="s">
        <v>244</v>
      </c>
      <c r="D26" s="61" t="s">
        <v>226</v>
      </c>
      <c r="E26" s="71">
        <v>1.5173611111111109</v>
      </c>
      <c r="F26" s="61" t="s">
        <v>38</v>
      </c>
      <c r="G26" s="63">
        <v>4</v>
      </c>
      <c r="H26" s="64">
        <v>719</v>
      </c>
    </row>
    <row r="27" spans="1:8" ht="19.8" customHeight="1" x14ac:dyDescent="0.3">
      <c r="A27" s="72">
        <v>45982</v>
      </c>
      <c r="B27" s="73" t="s">
        <v>36</v>
      </c>
      <c r="C27" s="74" t="s">
        <v>237</v>
      </c>
      <c r="D27" s="73" t="s">
        <v>226</v>
      </c>
      <c r="E27" s="75">
        <v>1.395833333333333</v>
      </c>
      <c r="F27" s="73" t="s">
        <v>38</v>
      </c>
      <c r="G27" s="76">
        <v>6</v>
      </c>
      <c r="H27" s="105">
        <v>719</v>
      </c>
    </row>
    <row r="28" spans="1:8" ht="19.8" customHeight="1" x14ac:dyDescent="0.3">
      <c r="A28" s="186">
        <v>45983</v>
      </c>
      <c r="B28" s="97" t="s">
        <v>80</v>
      </c>
      <c r="C28" s="98" t="s">
        <v>576</v>
      </c>
      <c r="D28" s="97" t="s">
        <v>570</v>
      </c>
      <c r="E28" s="187">
        <v>1.6875</v>
      </c>
      <c r="F28" s="97" t="s">
        <v>182</v>
      </c>
      <c r="G28" s="99">
        <v>2</v>
      </c>
      <c r="H28" s="100">
        <v>526</v>
      </c>
    </row>
    <row r="29" spans="1:8" ht="19.8" customHeight="1" x14ac:dyDescent="0.3">
      <c r="A29" s="186">
        <v>45983</v>
      </c>
      <c r="B29" s="97" t="s">
        <v>80</v>
      </c>
      <c r="C29" s="98" t="s">
        <v>581</v>
      </c>
      <c r="D29" s="97" t="s">
        <v>570</v>
      </c>
      <c r="E29" s="187">
        <v>1.461805555555556</v>
      </c>
      <c r="F29" s="97" t="s">
        <v>182</v>
      </c>
      <c r="G29" s="99">
        <v>9</v>
      </c>
      <c r="H29" s="100">
        <v>526</v>
      </c>
    </row>
    <row r="30" spans="1:8" ht="19.8" customHeight="1" x14ac:dyDescent="0.3">
      <c r="A30" s="101"/>
      <c r="B30" s="102"/>
      <c r="C30" s="102"/>
      <c r="D30" s="102"/>
      <c r="E30" s="102"/>
      <c r="F30" s="103" t="s">
        <v>569</v>
      </c>
      <c r="G30" s="102"/>
      <c r="H30" s="104"/>
    </row>
    <row r="31" spans="1:8" ht="19.8" customHeight="1" x14ac:dyDescent="0.3">
      <c r="A31" s="70">
        <v>45983</v>
      </c>
      <c r="B31" s="61" t="s">
        <v>26</v>
      </c>
      <c r="C31" s="62" t="s">
        <v>258</v>
      </c>
      <c r="D31" s="61" t="s">
        <v>226</v>
      </c>
      <c r="E31" s="71">
        <v>1.1284722222222221</v>
      </c>
      <c r="F31" s="61" t="s">
        <v>28</v>
      </c>
      <c r="G31" s="63">
        <v>7</v>
      </c>
      <c r="H31" s="64">
        <v>589</v>
      </c>
    </row>
    <row r="32" spans="1:8" ht="19.8" customHeight="1" x14ac:dyDescent="0.3">
      <c r="A32" s="70">
        <v>45983</v>
      </c>
      <c r="B32" s="61" t="s">
        <v>26</v>
      </c>
      <c r="C32" s="62" t="s">
        <v>248</v>
      </c>
      <c r="D32" s="61" t="s">
        <v>226</v>
      </c>
      <c r="E32" s="71">
        <v>1.302083333333333</v>
      </c>
      <c r="F32" s="61" t="s">
        <v>28</v>
      </c>
      <c r="G32" s="63">
        <v>15</v>
      </c>
      <c r="H32" s="64">
        <v>589</v>
      </c>
    </row>
    <row r="33" spans="1:8" ht="19.8" customHeight="1" x14ac:dyDescent="0.3">
      <c r="A33" s="70">
        <v>45983</v>
      </c>
      <c r="B33" s="61" t="s">
        <v>26</v>
      </c>
      <c r="C33" s="62" t="s">
        <v>252</v>
      </c>
      <c r="D33" s="61" t="s">
        <v>226</v>
      </c>
      <c r="E33" s="71">
        <v>1.8888888888888891</v>
      </c>
      <c r="F33" s="61" t="s">
        <v>28</v>
      </c>
      <c r="G33" s="63">
        <v>14</v>
      </c>
      <c r="H33" s="64">
        <v>639</v>
      </c>
    </row>
    <row r="34" spans="1:8" ht="19.8" customHeight="1" x14ac:dyDescent="0.3">
      <c r="A34" s="70">
        <v>45983</v>
      </c>
      <c r="B34" s="61" t="s">
        <v>269</v>
      </c>
      <c r="C34" s="62" t="s">
        <v>270</v>
      </c>
      <c r="D34" s="61" t="s">
        <v>226</v>
      </c>
      <c r="E34" s="71">
        <v>1.288194444444444</v>
      </c>
      <c r="F34" s="61" t="s">
        <v>271</v>
      </c>
      <c r="G34" s="63">
        <v>9</v>
      </c>
      <c r="H34" s="64">
        <v>640</v>
      </c>
    </row>
    <row r="35" spans="1:8" ht="19.8" customHeight="1" x14ac:dyDescent="0.3">
      <c r="A35" s="70">
        <v>45983</v>
      </c>
      <c r="B35" s="61" t="s">
        <v>36</v>
      </c>
      <c r="C35" s="62" t="s">
        <v>232</v>
      </c>
      <c r="D35" s="61" t="s">
        <v>226</v>
      </c>
      <c r="E35" s="71">
        <v>1.854166666666667</v>
      </c>
      <c r="F35" s="61" t="s">
        <v>38</v>
      </c>
      <c r="G35" s="63">
        <v>5</v>
      </c>
      <c r="H35" s="64">
        <v>669</v>
      </c>
    </row>
    <row r="36" spans="1:8" ht="19.8" customHeight="1" x14ac:dyDescent="0.3">
      <c r="A36" s="70">
        <v>45983</v>
      </c>
      <c r="B36" s="61" t="s">
        <v>36</v>
      </c>
      <c r="C36" s="62" t="s">
        <v>227</v>
      </c>
      <c r="D36" s="61" t="s">
        <v>226</v>
      </c>
      <c r="E36" s="71">
        <v>1.256944444444444</v>
      </c>
      <c r="F36" s="61" t="s">
        <v>38</v>
      </c>
      <c r="G36" s="63">
        <v>9</v>
      </c>
      <c r="H36" s="64">
        <v>669</v>
      </c>
    </row>
    <row r="37" spans="1:8" ht="19.8" customHeight="1" x14ac:dyDescent="0.3">
      <c r="A37" s="70">
        <v>45983</v>
      </c>
      <c r="B37" s="61" t="s">
        <v>36</v>
      </c>
      <c r="C37" s="62" t="s">
        <v>244</v>
      </c>
      <c r="D37" s="61" t="s">
        <v>226</v>
      </c>
      <c r="E37" s="71">
        <v>1.5173611111111109</v>
      </c>
      <c r="F37" s="61" t="s">
        <v>38</v>
      </c>
      <c r="G37" s="63">
        <v>4</v>
      </c>
      <c r="H37" s="64">
        <v>669</v>
      </c>
    </row>
    <row r="38" spans="1:8" ht="19.8" customHeight="1" x14ac:dyDescent="0.3">
      <c r="A38" s="70">
        <v>45983</v>
      </c>
      <c r="B38" s="61" t="s">
        <v>36</v>
      </c>
      <c r="C38" s="62" t="s">
        <v>237</v>
      </c>
      <c r="D38" s="61" t="s">
        <v>226</v>
      </c>
      <c r="E38" s="71">
        <v>1.395833333333333</v>
      </c>
      <c r="F38" s="61" t="s">
        <v>38</v>
      </c>
      <c r="G38" s="63">
        <v>4</v>
      </c>
      <c r="H38" s="64">
        <v>669</v>
      </c>
    </row>
    <row r="39" spans="1:8" ht="19.8" customHeight="1" x14ac:dyDescent="0.3">
      <c r="A39" s="70">
        <v>45983</v>
      </c>
      <c r="B39" s="61" t="s">
        <v>36</v>
      </c>
      <c r="C39" s="62" t="s">
        <v>238</v>
      </c>
      <c r="D39" s="61" t="s">
        <v>226</v>
      </c>
      <c r="E39" s="71">
        <v>1.6597222222222221</v>
      </c>
      <c r="F39" s="61" t="s">
        <v>38</v>
      </c>
      <c r="G39" s="63">
        <v>8</v>
      </c>
      <c r="H39" s="64">
        <v>669</v>
      </c>
    </row>
    <row r="40" spans="1:8" ht="19.8" customHeight="1" x14ac:dyDescent="0.3">
      <c r="A40" s="72">
        <v>45983</v>
      </c>
      <c r="B40" s="73" t="s">
        <v>26</v>
      </c>
      <c r="C40" s="74" t="s">
        <v>255</v>
      </c>
      <c r="D40" s="73" t="s">
        <v>226</v>
      </c>
      <c r="E40" s="75">
        <v>1.788194444444444</v>
      </c>
      <c r="F40" s="73" t="s">
        <v>28</v>
      </c>
      <c r="G40" s="76">
        <v>14</v>
      </c>
      <c r="H40" s="105">
        <v>689</v>
      </c>
    </row>
  </sheetData>
  <pageMargins left="0.75" right="0.75" top="1" bottom="1" header="0.5" footer="0.5"/>
  <legacy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57" t="s">
        <v>0</v>
      </c>
      <c r="B1" s="248"/>
      <c r="C1" s="248"/>
      <c r="D1" s="248"/>
      <c r="E1" s="248"/>
      <c r="F1" s="1" t="s">
        <v>622</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45980.430597882143</v>
      </c>
      <c r="H2" s="248"/>
      <c r="I2" s="248"/>
      <c r="J2" s="248"/>
      <c r="K2" s="259">
        <v>45980.430597882631</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1.6" customHeight="1" x14ac:dyDescent="0.5">
      <c r="A4" s="206"/>
      <c r="B4" s="206"/>
      <c r="C4" s="206"/>
      <c r="D4" s="206"/>
      <c r="E4" s="206"/>
      <c r="F4" s="206"/>
      <c r="G4" s="206"/>
      <c r="H4" s="207"/>
      <c r="I4" s="208"/>
      <c r="J4" s="208"/>
      <c r="K4" s="208"/>
      <c r="L4" s="208"/>
      <c r="M4" s="208"/>
      <c r="N4" s="208"/>
      <c r="O4" s="208"/>
      <c r="P4" s="208"/>
      <c r="Q4" s="208"/>
      <c r="R4" s="208"/>
      <c r="CA4" s="3"/>
      <c r="CB4" s="3"/>
      <c r="CC4" s="3"/>
      <c r="CD4" s="3"/>
      <c r="CE4" s="3"/>
      <c r="CF4" s="3"/>
      <c r="CG4" s="3"/>
      <c r="CH4" s="3"/>
      <c r="CI4" s="3"/>
      <c r="CJ4" s="3"/>
      <c r="CK4" s="3"/>
      <c r="CL4" s="3"/>
      <c r="CM4" s="3"/>
      <c r="CN4" s="3"/>
    </row>
    <row r="5" spans="1:92" ht="18.600000000000001" customHeight="1" x14ac:dyDescent="0.3">
      <c r="A5" s="208"/>
      <c r="B5" s="208"/>
      <c r="C5" s="208"/>
      <c r="D5" s="208"/>
      <c r="E5" s="208"/>
      <c r="F5" s="208"/>
      <c r="G5" s="208"/>
      <c r="H5" s="208"/>
      <c r="I5" s="208"/>
      <c r="J5" s="208"/>
      <c r="K5" s="208"/>
      <c r="L5" s="208"/>
      <c r="M5" s="208"/>
      <c r="N5" s="208"/>
      <c r="O5" s="208"/>
      <c r="P5" s="208"/>
      <c r="Q5" s="208"/>
      <c r="R5" s="208"/>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1"/>
  <sheetViews>
    <sheetView workbookViewId="0"/>
  </sheetViews>
  <sheetFormatPr defaultRowHeight="15.6" outlineLevelCol="1" x14ac:dyDescent="0.3"/>
  <cols>
    <col min="1" max="1" width="4.109375" style="269" bestFit="1" customWidth="1"/>
    <col min="2" max="2" width="5.33203125" style="269" bestFit="1" customWidth="1"/>
    <col min="3" max="3" width="3" style="269" bestFit="1" customWidth="1"/>
    <col min="4" max="4" width="4.21875" style="269" bestFit="1" customWidth="1"/>
    <col min="5" max="5" width="7.109375" style="269" bestFit="1" customWidth="1"/>
    <col min="6" max="6" width="4" style="269" bestFit="1" customWidth="1"/>
    <col min="7" max="8" width="4.21875" style="269" bestFit="1" customWidth="1"/>
    <col min="9" max="10" width="6.44140625" style="269" bestFit="1" customWidth="1"/>
    <col min="11" max="11" width="6.109375" style="269" bestFit="1" customWidth="1"/>
    <col min="12" max="12" width="8.77734375" style="269" bestFit="1" customWidth="1"/>
    <col min="13" max="13" width="7.33203125" style="269" bestFit="1" customWidth="1" outlineLevel="1"/>
    <col min="14" max="14" width="6" style="269" bestFit="1" customWidth="1" outlineLevel="1"/>
    <col min="15" max="15" width="7.6640625" style="269" bestFit="1" customWidth="1" outlineLevel="1"/>
    <col min="16" max="16" width="13.21875" style="269" bestFit="1" customWidth="1"/>
    <col min="17" max="17" width="2" style="269" bestFit="1" customWidth="1"/>
    <col min="18" max="18" width="2.109375" style="269" bestFit="1" customWidth="1"/>
    <col min="19" max="19" width="2.6640625" style="269" bestFit="1" customWidth="1"/>
    <col min="20" max="20" width="2.21875" style="269" bestFit="1" customWidth="1"/>
    <col min="21" max="21" width="2.33203125" style="269" bestFit="1" customWidth="1"/>
    <col min="22" max="22" width="2" style="269" bestFit="1" customWidth="1"/>
    <col min="23" max="23" width="2.109375" style="269" bestFit="1" customWidth="1"/>
    <col min="24" max="24" width="1.88671875" style="269" bestFit="1" customWidth="1"/>
    <col min="25" max="25" width="2.21875" style="269" bestFit="1" customWidth="1"/>
    <col min="26" max="26" width="1.88671875" style="269" bestFit="1" customWidth="1"/>
    <col min="27" max="27" width="2.77734375" style="269" bestFit="1" customWidth="1"/>
    <col min="28" max="29" width="2" style="269" bestFit="1" customWidth="1"/>
    <col min="30" max="31" width="2.33203125" style="269" bestFit="1" customWidth="1"/>
    <col min="32" max="32" width="1.5546875" style="269" bestFit="1" customWidth="1"/>
    <col min="33" max="33" width="2" style="269" bestFit="1" customWidth="1"/>
    <col min="34" max="34" width="2.109375" style="269" bestFit="1" customWidth="1"/>
    <col min="35" max="35" width="2" style="269" bestFit="1" customWidth="1"/>
    <col min="36" max="36" width="2.3320312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57" t="s">
        <v>0</v>
      </c>
      <c r="B1" s="248"/>
      <c r="C1" s="248"/>
      <c r="D1" s="248"/>
      <c r="E1" s="248"/>
      <c r="F1" s="1" t="s">
        <v>623</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45980.430598940118</v>
      </c>
      <c r="H2" s="248"/>
      <c r="I2" s="248"/>
      <c r="J2" s="248"/>
      <c r="K2" s="259">
        <v>45980.430598940387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1.6" customHeight="1" x14ac:dyDescent="0.5">
      <c r="A4" s="206"/>
      <c r="B4" s="206"/>
      <c r="C4" s="206"/>
      <c r="D4" s="206"/>
      <c r="E4" s="206"/>
      <c r="F4" s="206"/>
      <c r="G4" s="206"/>
      <c r="H4" s="207"/>
      <c r="I4" s="208"/>
      <c r="J4" s="208"/>
      <c r="K4" s="208"/>
      <c r="L4" s="208"/>
      <c r="M4" s="208"/>
      <c r="N4" s="208"/>
      <c r="O4" s="208"/>
      <c r="P4" s="208"/>
      <c r="Q4" s="208"/>
      <c r="R4" s="208"/>
      <c r="CA4" s="3"/>
      <c r="CB4" s="3"/>
      <c r="CC4" s="3"/>
      <c r="CD4" s="3"/>
      <c r="CE4" s="3"/>
      <c r="CF4" s="3"/>
      <c r="CG4" s="3"/>
      <c r="CH4" s="3"/>
      <c r="CI4" s="3"/>
      <c r="CJ4" s="3"/>
      <c r="CK4" s="3"/>
      <c r="CL4" s="3"/>
      <c r="CM4" s="3"/>
      <c r="CN4" s="3"/>
    </row>
    <row r="5" spans="1:92" ht="18.600000000000001" customHeight="1" x14ac:dyDescent="0.3">
      <c r="A5" s="208"/>
      <c r="B5" s="208"/>
      <c r="C5" s="208"/>
      <c r="D5" s="208"/>
      <c r="E5" s="208"/>
      <c r="F5" s="208"/>
      <c r="G5" s="208"/>
      <c r="H5" s="208"/>
      <c r="I5" s="208"/>
      <c r="J5" s="208"/>
      <c r="K5" s="208"/>
      <c r="L5" s="208"/>
      <c r="M5" s="208"/>
      <c r="N5" s="208"/>
      <c r="O5" s="208"/>
      <c r="P5" s="208"/>
      <c r="Q5" s="208"/>
      <c r="R5" s="208"/>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1"/>
  <sheetViews>
    <sheetView workbookViewId="0"/>
  </sheetViews>
  <sheetFormatPr defaultRowHeight="15.6" outlineLevelCol="1" x14ac:dyDescent="0.3"/>
  <cols>
    <col min="1" max="1" width="4.109375" style="269" bestFit="1" customWidth="1"/>
    <col min="2" max="2" width="5.33203125" style="269" bestFit="1" customWidth="1"/>
    <col min="3" max="3" width="3" style="269" bestFit="1" customWidth="1"/>
    <col min="4" max="4" width="4.21875" style="269" bestFit="1" customWidth="1"/>
    <col min="5" max="5" width="7.109375" style="269" bestFit="1" customWidth="1"/>
    <col min="6" max="6" width="4" style="269" bestFit="1" customWidth="1"/>
    <col min="7" max="8" width="4.21875" style="269" bestFit="1" customWidth="1"/>
    <col min="9" max="10" width="6.44140625" style="269" bestFit="1" customWidth="1"/>
    <col min="11" max="11" width="6.109375" style="269" bestFit="1" customWidth="1"/>
    <col min="12" max="12" width="8.77734375" style="269" bestFit="1" customWidth="1"/>
    <col min="13" max="13" width="7.33203125" style="269" bestFit="1" customWidth="1" outlineLevel="1"/>
    <col min="14" max="14" width="6" style="269" bestFit="1" customWidth="1" outlineLevel="1"/>
    <col min="15" max="15" width="7.6640625" style="269" bestFit="1" customWidth="1" outlineLevel="1"/>
    <col min="16" max="16" width="13.21875" style="269" bestFit="1" customWidth="1"/>
    <col min="17" max="17" width="2" style="269" bestFit="1" customWidth="1"/>
    <col min="18" max="18" width="2.109375" style="269" bestFit="1" customWidth="1"/>
    <col min="19" max="19" width="2.6640625" style="269" bestFit="1" customWidth="1"/>
    <col min="20" max="20" width="2.21875" style="269" bestFit="1" customWidth="1"/>
    <col min="21" max="21" width="2.33203125" style="269" bestFit="1" customWidth="1"/>
    <col min="22" max="22" width="2" style="269" bestFit="1" customWidth="1"/>
    <col min="23" max="23" width="2.109375" style="269" bestFit="1" customWidth="1"/>
    <col min="24" max="24" width="1.88671875" style="269" bestFit="1" customWidth="1"/>
    <col min="25" max="25" width="2.21875" style="269" bestFit="1" customWidth="1"/>
    <col min="26" max="26" width="1.88671875" style="269" bestFit="1" customWidth="1"/>
    <col min="27" max="27" width="2.77734375" style="269" bestFit="1" customWidth="1"/>
    <col min="28" max="29" width="2" style="269" bestFit="1" customWidth="1"/>
    <col min="30" max="31" width="2.33203125" style="269" bestFit="1" customWidth="1"/>
    <col min="32" max="32" width="1.5546875" style="269" bestFit="1" customWidth="1"/>
    <col min="33" max="33" width="2" style="269" bestFit="1" customWidth="1"/>
    <col min="34" max="34" width="2.109375" style="269" bestFit="1" customWidth="1"/>
    <col min="35" max="35" width="2" style="269" bestFit="1" customWidth="1"/>
    <col min="36" max="36" width="2.3320312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57" t="s">
        <v>0</v>
      </c>
      <c r="B1" s="248"/>
      <c r="C1" s="248"/>
      <c r="D1" s="248"/>
      <c r="E1" s="248"/>
      <c r="F1" s="1" t="s">
        <v>624</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45980.430599830892</v>
      </c>
      <c r="H2" s="248"/>
      <c r="I2" s="248"/>
      <c r="J2" s="248"/>
      <c r="K2" s="259">
        <v>45980.43059983127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1.6" customHeight="1" x14ac:dyDescent="0.5">
      <c r="A4" s="206"/>
      <c r="B4" s="206"/>
      <c r="C4" s="206"/>
      <c r="D4" s="206"/>
      <c r="E4" s="206"/>
      <c r="F4" s="206"/>
      <c r="G4" s="206"/>
      <c r="H4" s="207"/>
      <c r="I4" s="208"/>
      <c r="J4" s="208"/>
      <c r="K4" s="208"/>
      <c r="L4" s="208"/>
      <c r="M4" s="208"/>
      <c r="N4" s="208"/>
      <c r="O4" s="208"/>
      <c r="P4" s="208"/>
      <c r="Q4" s="208"/>
      <c r="R4" s="208"/>
      <c r="CA4" s="3"/>
      <c r="CB4" s="3"/>
      <c r="CC4" s="3"/>
      <c r="CD4" s="3"/>
      <c r="CE4" s="3"/>
      <c r="CF4" s="3"/>
      <c r="CG4" s="3"/>
      <c r="CH4" s="3"/>
      <c r="CI4" s="3"/>
      <c r="CJ4" s="3"/>
      <c r="CK4" s="3"/>
      <c r="CL4" s="3"/>
      <c r="CM4" s="3"/>
      <c r="CN4" s="3"/>
    </row>
    <row r="5" spans="1:92" ht="18.600000000000001" customHeight="1" x14ac:dyDescent="0.3">
      <c r="A5" s="208"/>
      <c r="B5" s="208"/>
      <c r="C5" s="208"/>
      <c r="D5" s="208"/>
      <c r="E5" s="208"/>
      <c r="F5" s="208"/>
      <c r="G5" s="208"/>
      <c r="H5" s="208"/>
      <c r="I5" s="208"/>
      <c r="J5" s="208"/>
      <c r="K5" s="208"/>
      <c r="L5" s="208"/>
      <c r="M5" s="208"/>
      <c r="N5" s="208"/>
      <c r="O5" s="208"/>
      <c r="P5" s="208"/>
      <c r="Q5" s="208"/>
      <c r="R5" s="208"/>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
  <sheetViews>
    <sheetView workbookViewId="0"/>
  </sheetViews>
  <sheetFormatPr defaultRowHeight="15.6" outlineLevelCol="1" x14ac:dyDescent="0.3"/>
  <cols>
    <col min="1" max="1" width="4.109375" style="269" bestFit="1" customWidth="1"/>
    <col min="2" max="2" width="5.33203125" style="269" bestFit="1" customWidth="1"/>
    <col min="3" max="3" width="3" style="269" bestFit="1" customWidth="1"/>
    <col min="4" max="4" width="4.21875" style="269" bestFit="1" customWidth="1"/>
    <col min="5" max="5" width="7.109375" style="269" bestFit="1" customWidth="1"/>
    <col min="6" max="6" width="4" style="269" bestFit="1" customWidth="1"/>
    <col min="7" max="8" width="4.21875" style="269" bestFit="1" customWidth="1"/>
    <col min="9" max="10" width="6.44140625" style="269" bestFit="1" customWidth="1"/>
    <col min="11" max="11" width="6.109375" style="269" bestFit="1" customWidth="1"/>
    <col min="12" max="12" width="8.77734375" style="269" bestFit="1" customWidth="1"/>
    <col min="13" max="13" width="7.33203125" style="269" bestFit="1" customWidth="1" outlineLevel="1"/>
    <col min="14" max="14" width="6" style="269" bestFit="1" customWidth="1" outlineLevel="1"/>
    <col min="15" max="15" width="7.6640625" style="269" bestFit="1" customWidth="1" outlineLevel="1"/>
    <col min="16" max="16" width="13.21875" style="269" bestFit="1" customWidth="1"/>
    <col min="17" max="17" width="2" style="269" bestFit="1" customWidth="1"/>
    <col min="18" max="18" width="2.109375" style="269" bestFit="1" customWidth="1"/>
    <col min="19" max="19" width="2.6640625" style="269" bestFit="1" customWidth="1"/>
    <col min="20" max="20" width="2.21875" style="269" bestFit="1" customWidth="1"/>
    <col min="21" max="21" width="2.33203125" style="269" bestFit="1" customWidth="1"/>
    <col min="22" max="22" width="2" style="269" bestFit="1" customWidth="1"/>
    <col min="23" max="23" width="2.109375" style="269" bestFit="1" customWidth="1"/>
    <col min="24" max="24" width="1.88671875" style="269" bestFit="1" customWidth="1"/>
    <col min="25" max="25" width="2.21875" style="269" bestFit="1" customWidth="1"/>
    <col min="26" max="26" width="1.88671875" style="269" bestFit="1" customWidth="1"/>
    <col min="27" max="27" width="2.77734375" style="269" bestFit="1" customWidth="1"/>
    <col min="28" max="29" width="2" style="269" bestFit="1" customWidth="1"/>
    <col min="30" max="31" width="2.33203125" style="269" bestFit="1" customWidth="1"/>
    <col min="32" max="32" width="1.5546875" style="269" bestFit="1" customWidth="1"/>
    <col min="33" max="33" width="2" style="269" bestFit="1" customWidth="1"/>
    <col min="34" max="34" width="2.109375" style="269" bestFit="1" customWidth="1"/>
    <col min="35" max="35" width="2" style="269" bestFit="1" customWidth="1"/>
    <col min="36" max="36" width="2.3320312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57" t="s">
        <v>0</v>
      </c>
      <c r="B1" s="248"/>
      <c r="C1" s="248"/>
      <c r="D1" s="248"/>
      <c r="E1" s="248"/>
      <c r="F1" s="1" t="s">
        <v>625</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45980.43060070803</v>
      </c>
      <c r="H2" s="248"/>
      <c r="I2" s="248"/>
      <c r="J2" s="248"/>
      <c r="K2" s="259">
        <v>45980.430600708343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1.6" customHeight="1" x14ac:dyDescent="0.5">
      <c r="A4" s="206"/>
      <c r="B4" s="206"/>
      <c r="C4" s="206"/>
      <c r="D4" s="206"/>
      <c r="E4" s="206"/>
      <c r="F4" s="206"/>
      <c r="G4" s="206"/>
      <c r="H4" s="207"/>
      <c r="I4" s="208"/>
      <c r="J4" s="208"/>
      <c r="K4" s="208"/>
      <c r="L4" s="208"/>
      <c r="M4" s="208"/>
      <c r="N4" s="208"/>
      <c r="O4" s="208"/>
      <c r="P4" s="208"/>
      <c r="Q4" s="208"/>
      <c r="R4" s="208"/>
      <c r="CA4" s="3"/>
      <c r="CB4" s="3"/>
      <c r="CC4" s="3"/>
      <c r="CD4" s="3"/>
      <c r="CE4" s="3"/>
      <c r="CF4" s="3"/>
      <c r="CG4" s="3"/>
      <c r="CH4" s="3"/>
      <c r="CI4" s="3"/>
      <c r="CJ4" s="3"/>
      <c r="CK4" s="3"/>
      <c r="CL4" s="3"/>
      <c r="CM4" s="3"/>
      <c r="CN4" s="3"/>
    </row>
    <row r="5" spans="1:92" ht="18.600000000000001" customHeight="1" x14ac:dyDescent="0.3">
      <c r="A5" s="208"/>
      <c r="B5" s="208"/>
      <c r="C5" s="208"/>
      <c r="D5" s="208"/>
      <c r="E5" s="208"/>
      <c r="F5" s="208"/>
      <c r="G5" s="208"/>
      <c r="H5" s="208"/>
      <c r="I5" s="208"/>
      <c r="J5" s="208"/>
      <c r="K5" s="208"/>
      <c r="L5" s="208"/>
      <c r="M5" s="208"/>
      <c r="N5" s="208"/>
      <c r="O5" s="208"/>
      <c r="P5" s="208"/>
      <c r="Q5" s="208"/>
      <c r="R5" s="208"/>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69" bestFit="1" customWidth="1"/>
    <col min="2" max="2" width="5.33203125" style="269" bestFit="1" customWidth="1"/>
    <col min="3" max="3" width="3" style="269" bestFit="1" customWidth="1"/>
    <col min="4" max="4" width="4.21875" style="269" bestFit="1" customWidth="1"/>
    <col min="5" max="5" width="7.109375" style="269" bestFit="1" customWidth="1"/>
    <col min="6" max="6" width="4" style="269" bestFit="1" customWidth="1"/>
    <col min="7" max="8" width="4.21875" style="269" bestFit="1" customWidth="1"/>
    <col min="9" max="10" width="6.44140625" style="269" bestFit="1" customWidth="1"/>
    <col min="11" max="11" width="6.109375" style="269" bestFit="1" customWidth="1"/>
    <col min="12" max="12" width="8.77734375" style="269" bestFit="1" customWidth="1"/>
    <col min="13" max="13" width="7.33203125" style="269" bestFit="1" customWidth="1" outlineLevel="1"/>
    <col min="14" max="14" width="6" style="269" bestFit="1" customWidth="1" outlineLevel="1"/>
    <col min="15" max="15" width="7.6640625" style="269" bestFit="1" customWidth="1" outlineLevel="1"/>
    <col min="16" max="16" width="13.21875" style="269" bestFit="1" customWidth="1"/>
    <col min="17" max="17" width="2" style="269" bestFit="1" customWidth="1"/>
    <col min="18" max="18" width="2.109375" style="269" bestFit="1" customWidth="1"/>
    <col min="19" max="19" width="2.6640625" style="269" bestFit="1" customWidth="1"/>
    <col min="20" max="20" width="2.21875" style="269" bestFit="1" customWidth="1"/>
    <col min="21" max="21" width="2.33203125" style="269" bestFit="1" customWidth="1"/>
    <col min="22" max="22" width="2" style="269" bestFit="1" customWidth="1"/>
    <col min="23" max="23" width="2.109375" style="269" bestFit="1" customWidth="1"/>
    <col min="24" max="24" width="1.88671875" style="269" bestFit="1" customWidth="1"/>
    <col min="25" max="25" width="2.21875" style="269" bestFit="1" customWidth="1"/>
    <col min="26" max="26" width="1.88671875" style="269" bestFit="1" customWidth="1"/>
    <col min="27" max="27" width="2.77734375" style="269" bestFit="1" customWidth="1"/>
    <col min="28" max="29" width="2" style="269" bestFit="1" customWidth="1"/>
    <col min="30" max="31" width="2.33203125" style="269" bestFit="1" customWidth="1"/>
    <col min="32" max="32" width="1.5546875" style="269" bestFit="1" customWidth="1"/>
    <col min="33" max="33" width="2" style="269" bestFit="1" customWidth="1"/>
    <col min="34" max="34" width="2.109375" style="269" bestFit="1" customWidth="1"/>
    <col min="35" max="35" width="2" style="269" bestFit="1" customWidth="1"/>
    <col min="36" max="36" width="2.3320312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209" t="s">
        <v>164</v>
      </c>
      <c r="B1" s="209" t="s">
        <v>8</v>
      </c>
      <c r="C1" s="209" t="s">
        <v>9</v>
      </c>
      <c r="D1" s="209" t="s">
        <v>165</v>
      </c>
      <c r="E1" s="209" t="s">
        <v>10</v>
      </c>
      <c r="F1" s="209" t="s">
        <v>11</v>
      </c>
      <c r="G1" s="209" t="s">
        <v>12</v>
      </c>
      <c r="H1" s="209" t="s">
        <v>13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54"/>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2" bestFit="1" customWidth="1"/>
  </cols>
  <sheetData>
    <row r="1" spans="1:92" ht="28.8" customHeight="1" x14ac:dyDescent="0.3">
      <c r="A1" s="257" t="s">
        <v>0</v>
      </c>
      <c r="B1" s="248"/>
      <c r="C1" s="248"/>
      <c r="D1" s="248"/>
      <c r="E1" s="248"/>
      <c r="F1" s="1" t="s">
        <v>626</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45980.430601541768</v>
      </c>
      <c r="H2" s="248"/>
      <c r="I2" s="248"/>
      <c r="J2" s="248"/>
      <c r="K2" s="259">
        <v>45980.430601542117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627</v>
      </c>
      <c r="C6" s="9">
        <v>0.5</v>
      </c>
      <c r="D6" s="8" t="s">
        <v>28</v>
      </c>
      <c r="E6" s="8" t="s">
        <v>354</v>
      </c>
      <c r="F6" s="8" t="s">
        <v>628</v>
      </c>
      <c r="G6" s="250"/>
      <c r="H6" s="10"/>
      <c r="I6" s="11"/>
      <c r="J6" s="11"/>
      <c r="K6" s="11"/>
      <c r="L6" s="11"/>
      <c r="M6" s="11"/>
      <c r="N6" s="11"/>
      <c r="O6" s="12"/>
      <c r="P6" s="11"/>
      <c r="Q6" s="13"/>
      <c r="R6" s="14"/>
    </row>
    <row r="7" spans="1:92" ht="15" customHeight="1" x14ac:dyDescent="0.3">
      <c r="A7" s="15" t="s">
        <v>26</v>
      </c>
      <c r="B7" s="15" t="s">
        <v>627</v>
      </c>
      <c r="C7" s="16">
        <v>0.5</v>
      </c>
      <c r="D7" s="15" t="s">
        <v>31</v>
      </c>
      <c r="E7" s="15" t="s">
        <v>241</v>
      </c>
      <c r="F7" s="15" t="s">
        <v>259</v>
      </c>
      <c r="G7" s="251"/>
      <c r="H7" s="10"/>
      <c r="I7" s="11"/>
      <c r="J7" s="11"/>
      <c r="K7" s="11"/>
      <c r="L7" s="11"/>
      <c r="M7" s="11"/>
      <c r="N7" s="11"/>
      <c r="O7" s="12"/>
      <c r="P7" s="11"/>
      <c r="Q7" s="13"/>
      <c r="R7" s="14"/>
    </row>
    <row r="8" spans="1:92" ht="15" customHeight="1" x14ac:dyDescent="0.3">
      <c r="A8" s="15" t="s">
        <v>26</v>
      </c>
      <c r="B8" s="15" t="s">
        <v>627</v>
      </c>
      <c r="C8" s="16">
        <v>0.5</v>
      </c>
      <c r="D8" s="15" t="s">
        <v>34</v>
      </c>
      <c r="E8" s="15" t="s">
        <v>241</v>
      </c>
      <c r="F8" s="15" t="s">
        <v>629</v>
      </c>
      <c r="G8" s="251"/>
      <c r="H8" s="10"/>
      <c r="I8" s="11"/>
      <c r="J8" s="11"/>
      <c r="K8" s="11"/>
      <c r="L8" s="11"/>
      <c r="M8" s="11"/>
      <c r="N8" s="11"/>
      <c r="O8" s="12"/>
      <c r="P8" s="11"/>
      <c r="Q8" s="13"/>
      <c r="R8" s="14"/>
    </row>
    <row r="9" spans="1:92" ht="15" customHeight="1" x14ac:dyDescent="0.3">
      <c r="A9" s="19" t="s">
        <v>26</v>
      </c>
      <c r="B9" s="19" t="s">
        <v>630</v>
      </c>
      <c r="C9" s="20">
        <v>0.44791666666666669</v>
      </c>
      <c r="D9" s="19" t="s">
        <v>28</v>
      </c>
      <c r="E9" s="19" t="s">
        <v>239</v>
      </c>
      <c r="F9" s="19" t="s">
        <v>628</v>
      </c>
      <c r="G9" s="251"/>
      <c r="H9" s="10"/>
      <c r="I9" s="11"/>
      <c r="J9" s="11"/>
      <c r="K9" s="11"/>
      <c r="L9" s="11"/>
      <c r="M9" s="11"/>
      <c r="N9" s="11"/>
      <c r="O9" s="12"/>
      <c r="P9" s="11"/>
      <c r="Q9" s="13"/>
      <c r="R9" s="14"/>
    </row>
    <row r="10" spans="1:92" ht="15" customHeight="1" x14ac:dyDescent="0.3">
      <c r="A10" s="15" t="s">
        <v>26</v>
      </c>
      <c r="B10" s="15" t="s">
        <v>630</v>
      </c>
      <c r="C10" s="16">
        <v>0.44791666666666669</v>
      </c>
      <c r="D10" s="15" t="s">
        <v>31</v>
      </c>
      <c r="E10" s="15" t="s">
        <v>241</v>
      </c>
      <c r="F10" s="15" t="s">
        <v>259</v>
      </c>
      <c r="G10" s="251"/>
      <c r="H10" s="10"/>
      <c r="I10" s="11"/>
      <c r="J10" s="11"/>
      <c r="K10" s="11"/>
      <c r="L10" s="11"/>
      <c r="M10" s="11"/>
      <c r="N10" s="11"/>
      <c r="O10" s="12"/>
      <c r="P10" s="11"/>
      <c r="Q10" s="13"/>
      <c r="R10" s="14"/>
    </row>
    <row r="11" spans="1:92" ht="15" customHeight="1" x14ac:dyDescent="0.3">
      <c r="A11" s="15" t="s">
        <v>26</v>
      </c>
      <c r="B11" s="15" t="s">
        <v>630</v>
      </c>
      <c r="C11" s="16">
        <v>0.44791666666666669</v>
      </c>
      <c r="D11" s="15" t="s">
        <v>34</v>
      </c>
      <c r="E11" s="15" t="s">
        <v>241</v>
      </c>
      <c r="F11" s="15" t="s">
        <v>629</v>
      </c>
      <c r="G11" s="251"/>
      <c r="H11" s="10"/>
      <c r="I11" s="11"/>
      <c r="J11" s="11"/>
      <c r="K11" s="11"/>
      <c r="L11" s="11"/>
      <c r="M11" s="11"/>
      <c r="N11" s="11"/>
      <c r="O11" s="12"/>
      <c r="P11" s="11"/>
      <c r="Q11" s="13"/>
      <c r="R11" s="14"/>
    </row>
    <row r="12" spans="1:92" ht="15" customHeight="1" x14ac:dyDescent="0.3">
      <c r="A12" s="19" t="s">
        <v>26</v>
      </c>
      <c r="B12" s="19" t="s">
        <v>631</v>
      </c>
      <c r="C12" s="20">
        <v>0.76041666666666663</v>
      </c>
      <c r="D12" s="19" t="s">
        <v>28</v>
      </c>
      <c r="E12" s="19" t="s">
        <v>373</v>
      </c>
      <c r="F12" s="19" t="s">
        <v>541</v>
      </c>
      <c r="G12" s="251"/>
      <c r="H12" s="10"/>
      <c r="I12" s="11"/>
      <c r="J12" s="11"/>
      <c r="K12" s="11"/>
      <c r="L12" s="11"/>
      <c r="M12" s="11"/>
      <c r="N12" s="11"/>
      <c r="O12" s="12"/>
      <c r="P12" s="11"/>
      <c r="Q12" s="13"/>
      <c r="R12" s="14"/>
    </row>
    <row r="13" spans="1:92" ht="15" customHeight="1" x14ac:dyDescent="0.3">
      <c r="A13" s="15" t="s">
        <v>26</v>
      </c>
      <c r="B13" s="15" t="s">
        <v>631</v>
      </c>
      <c r="C13" s="16">
        <v>0.76041666666666663</v>
      </c>
      <c r="D13" s="15" t="s">
        <v>31</v>
      </c>
      <c r="E13" s="15" t="s">
        <v>374</v>
      </c>
      <c r="F13" s="15" t="s">
        <v>247</v>
      </c>
      <c r="G13" s="251"/>
      <c r="H13" s="10"/>
      <c r="I13" s="11"/>
      <c r="J13" s="11"/>
      <c r="K13" s="11"/>
      <c r="L13" s="11"/>
      <c r="M13" s="11"/>
      <c r="N13" s="11"/>
      <c r="O13" s="12"/>
      <c r="P13" s="11"/>
      <c r="Q13" s="13"/>
      <c r="R13" s="14"/>
    </row>
    <row r="14" spans="1:92" ht="15" customHeight="1" x14ac:dyDescent="0.3">
      <c r="A14" s="15" t="s">
        <v>26</v>
      </c>
      <c r="B14" s="15" t="s">
        <v>631</v>
      </c>
      <c r="C14" s="16">
        <v>0.76041666666666663</v>
      </c>
      <c r="D14" s="15" t="s">
        <v>34</v>
      </c>
      <c r="E14" s="15" t="s">
        <v>374</v>
      </c>
      <c r="F14" s="15" t="s">
        <v>632</v>
      </c>
      <c r="G14" s="251"/>
      <c r="H14" s="10"/>
      <c r="I14" s="11"/>
      <c r="J14" s="11"/>
      <c r="K14" s="11"/>
      <c r="L14" s="11"/>
      <c r="M14" s="11"/>
      <c r="N14" s="11"/>
      <c r="O14" s="12"/>
      <c r="P14" s="11"/>
      <c r="Q14" s="13"/>
      <c r="R14" s="14"/>
    </row>
    <row r="15" spans="1:92" ht="15" customHeight="1" x14ac:dyDescent="0.3">
      <c r="A15" s="19" t="s">
        <v>26</v>
      </c>
      <c r="B15" s="19" t="s">
        <v>633</v>
      </c>
      <c r="C15" s="20">
        <v>0.81597222222222221</v>
      </c>
      <c r="D15" s="19" t="s">
        <v>28</v>
      </c>
      <c r="E15" s="19" t="s">
        <v>634</v>
      </c>
      <c r="F15" s="19" t="s">
        <v>541</v>
      </c>
      <c r="G15" s="251"/>
      <c r="H15" s="10"/>
      <c r="I15" s="11"/>
      <c r="J15" s="11"/>
      <c r="K15" s="11"/>
      <c r="L15" s="11"/>
      <c r="M15" s="11"/>
      <c r="N15" s="11"/>
      <c r="O15" s="12"/>
      <c r="P15" s="11"/>
      <c r="Q15" s="13"/>
      <c r="R15" s="14"/>
    </row>
    <row r="16" spans="1:92" ht="15" customHeight="1" x14ac:dyDescent="0.3">
      <c r="A16" s="15" t="s">
        <v>26</v>
      </c>
      <c r="B16" s="15" t="s">
        <v>633</v>
      </c>
      <c r="C16" s="16">
        <v>0.81597222222222221</v>
      </c>
      <c r="D16" s="15" t="s">
        <v>31</v>
      </c>
      <c r="E16" s="15" t="s">
        <v>250</v>
      </c>
      <c r="F16" s="15" t="s">
        <v>247</v>
      </c>
      <c r="G16" s="251"/>
      <c r="H16" s="10"/>
      <c r="I16" s="11"/>
      <c r="J16" s="11"/>
      <c r="K16" s="11"/>
      <c r="L16" s="11"/>
      <c r="M16" s="11"/>
      <c r="N16" s="11"/>
      <c r="O16" s="12"/>
      <c r="P16" s="11"/>
      <c r="Q16" s="13"/>
      <c r="R16" s="14"/>
    </row>
    <row r="17" spans="1:18" ht="15" customHeight="1" x14ac:dyDescent="0.3">
      <c r="A17" s="15" t="s">
        <v>26</v>
      </c>
      <c r="B17" s="15" t="s">
        <v>633</v>
      </c>
      <c r="C17" s="16">
        <v>0.81597222222222221</v>
      </c>
      <c r="D17" s="15" t="s">
        <v>34</v>
      </c>
      <c r="E17" s="15" t="s">
        <v>250</v>
      </c>
      <c r="F17" s="15" t="s">
        <v>632</v>
      </c>
      <c r="G17" s="251"/>
      <c r="H17" s="10"/>
      <c r="I17" s="11"/>
      <c r="J17" s="11"/>
      <c r="K17" s="11"/>
      <c r="L17" s="11"/>
      <c r="M17" s="11"/>
      <c r="N17" s="11"/>
      <c r="O17" s="12"/>
      <c r="P17" s="11"/>
      <c r="Q17" s="13"/>
      <c r="R17" s="14"/>
    </row>
    <row r="18" spans="1:18" ht="15" customHeight="1" x14ac:dyDescent="0.3">
      <c r="A18" s="17" t="s">
        <v>36</v>
      </c>
      <c r="B18" s="17" t="s">
        <v>635</v>
      </c>
      <c r="C18" s="18">
        <v>0.375</v>
      </c>
      <c r="D18" s="17" t="s">
        <v>38</v>
      </c>
      <c r="E18" s="17" t="s">
        <v>228</v>
      </c>
      <c r="F18" s="17" t="s">
        <v>40</v>
      </c>
      <c r="G18" s="251"/>
      <c r="H18" s="10"/>
      <c r="I18" s="11"/>
      <c r="J18" s="11"/>
      <c r="K18" s="11"/>
      <c r="L18" s="11"/>
      <c r="M18" s="11"/>
      <c r="N18" s="11"/>
      <c r="O18" s="12"/>
      <c r="P18" s="11"/>
      <c r="Q18" s="13"/>
      <c r="R18" s="14"/>
    </row>
    <row r="19" spans="1:18" ht="15" customHeight="1" x14ac:dyDescent="0.3">
      <c r="A19" s="15" t="s">
        <v>36</v>
      </c>
      <c r="B19" s="15" t="s">
        <v>635</v>
      </c>
      <c r="C19" s="16">
        <v>0.375</v>
      </c>
      <c r="D19" s="15" t="s">
        <v>41</v>
      </c>
      <c r="E19" s="15" t="s">
        <v>48</v>
      </c>
      <c r="F19" s="15" t="s">
        <v>33</v>
      </c>
      <c r="G19" s="251"/>
      <c r="H19" s="10"/>
      <c r="I19" s="11"/>
      <c r="J19" s="11"/>
      <c r="K19" s="11"/>
      <c r="L19" s="11"/>
      <c r="M19" s="11"/>
      <c r="N19" s="11"/>
      <c r="O19" s="12"/>
      <c r="P19" s="11"/>
      <c r="Q19" s="13"/>
      <c r="R19" s="14"/>
    </row>
    <row r="20" spans="1:18" ht="15" customHeight="1" x14ac:dyDescent="0.3">
      <c r="A20" s="15" t="s">
        <v>36</v>
      </c>
      <c r="B20" s="15" t="s">
        <v>635</v>
      </c>
      <c r="C20" s="16">
        <v>0.375</v>
      </c>
      <c r="D20" s="15" t="s">
        <v>43</v>
      </c>
      <c r="E20" s="15" t="s">
        <v>48</v>
      </c>
      <c r="F20" s="15" t="s">
        <v>44</v>
      </c>
      <c r="G20" s="251"/>
      <c r="H20" s="10"/>
      <c r="I20" s="11"/>
      <c r="J20" s="11"/>
      <c r="K20" s="11"/>
      <c r="L20" s="11"/>
      <c r="M20" s="11"/>
      <c r="N20" s="11"/>
      <c r="O20" s="12"/>
      <c r="P20" s="11"/>
      <c r="Q20" s="13"/>
      <c r="R20" s="14"/>
    </row>
    <row r="21" spans="1:18" ht="15" customHeight="1" x14ac:dyDescent="0.3">
      <c r="A21" s="19" t="s">
        <v>36</v>
      </c>
      <c r="B21" s="19" t="s">
        <v>636</v>
      </c>
      <c r="C21" s="20">
        <v>0.30555555555555552</v>
      </c>
      <c r="D21" s="19" t="s">
        <v>38</v>
      </c>
      <c r="E21" s="19" t="s">
        <v>293</v>
      </c>
      <c r="F21" s="19" t="s">
        <v>40</v>
      </c>
      <c r="G21" s="251"/>
      <c r="H21" s="10"/>
      <c r="I21" s="11"/>
      <c r="J21" s="11"/>
      <c r="K21" s="11"/>
      <c r="L21" s="11"/>
      <c r="M21" s="11"/>
      <c r="N21" s="11"/>
      <c r="O21" s="12"/>
      <c r="P21" s="11"/>
      <c r="Q21" s="13"/>
      <c r="R21" s="14"/>
    </row>
    <row r="22" spans="1:18" ht="15" customHeight="1" x14ac:dyDescent="0.3">
      <c r="A22" s="15" t="s">
        <v>36</v>
      </c>
      <c r="B22" s="15" t="s">
        <v>636</v>
      </c>
      <c r="C22" s="16">
        <v>0.30555555555555552</v>
      </c>
      <c r="D22" s="15" t="s">
        <v>41</v>
      </c>
      <c r="E22" s="15" t="s">
        <v>100</v>
      </c>
      <c r="F22" s="15" t="s">
        <v>33</v>
      </c>
      <c r="G22" s="251"/>
      <c r="H22" s="10"/>
      <c r="I22" s="11"/>
      <c r="J22" s="11"/>
      <c r="K22" s="11"/>
      <c r="L22" s="11"/>
      <c r="M22" s="11"/>
      <c r="N22" s="11"/>
      <c r="O22" s="12"/>
      <c r="P22" s="11"/>
      <c r="Q22" s="13"/>
      <c r="R22" s="14"/>
    </row>
    <row r="23" spans="1:18" ht="15" customHeight="1" x14ac:dyDescent="0.3">
      <c r="A23" s="15" t="s">
        <v>36</v>
      </c>
      <c r="B23" s="15" t="s">
        <v>636</v>
      </c>
      <c r="C23" s="16">
        <v>0.30555555555555552</v>
      </c>
      <c r="D23" s="15" t="s">
        <v>43</v>
      </c>
      <c r="E23" s="15" t="s">
        <v>100</v>
      </c>
      <c r="F23" s="15" t="s">
        <v>44</v>
      </c>
      <c r="G23" s="251"/>
      <c r="H23" s="10"/>
      <c r="I23" s="11"/>
      <c r="J23" s="11"/>
      <c r="K23" s="11"/>
      <c r="L23" s="11"/>
      <c r="M23" s="11"/>
      <c r="N23" s="11"/>
      <c r="O23" s="12"/>
      <c r="P23" s="11"/>
      <c r="Q23" s="13"/>
      <c r="R23" s="14"/>
    </row>
    <row r="24" spans="1:18" ht="15" customHeight="1" x14ac:dyDescent="0.3">
      <c r="A24" s="19" t="s">
        <v>36</v>
      </c>
      <c r="B24" s="19" t="s">
        <v>637</v>
      </c>
      <c r="C24" s="20">
        <v>0.42708333333333331</v>
      </c>
      <c r="D24" s="19" t="s">
        <v>38</v>
      </c>
      <c r="E24" s="19" t="s">
        <v>239</v>
      </c>
      <c r="F24" s="19" t="s">
        <v>40</v>
      </c>
      <c r="G24" s="251"/>
      <c r="H24" s="10"/>
      <c r="I24" s="11"/>
      <c r="J24" s="11"/>
      <c r="K24" s="11"/>
      <c r="L24" s="11"/>
      <c r="M24" s="11"/>
      <c r="N24" s="11"/>
      <c r="O24" s="12"/>
      <c r="P24" s="11"/>
      <c r="Q24" s="13"/>
      <c r="R24" s="14"/>
    </row>
    <row r="25" spans="1:18" ht="15" customHeight="1" x14ac:dyDescent="0.3">
      <c r="A25" s="15" t="s">
        <v>36</v>
      </c>
      <c r="B25" s="15" t="s">
        <v>637</v>
      </c>
      <c r="C25" s="16">
        <v>0.42708333333333331</v>
      </c>
      <c r="D25" s="15" t="s">
        <v>41</v>
      </c>
      <c r="E25" s="15" t="s">
        <v>241</v>
      </c>
      <c r="F25" s="15" t="s">
        <v>33</v>
      </c>
      <c r="G25" s="251"/>
      <c r="H25" s="10"/>
      <c r="I25" s="11"/>
      <c r="J25" s="11"/>
      <c r="K25" s="11"/>
      <c r="L25" s="11"/>
      <c r="M25" s="11"/>
      <c r="N25" s="11"/>
      <c r="O25" s="12"/>
      <c r="P25" s="11"/>
      <c r="Q25" s="13"/>
      <c r="R25" s="14"/>
    </row>
    <row r="26" spans="1:18" ht="15" customHeight="1" x14ac:dyDescent="0.3">
      <c r="A26" s="15" t="s">
        <v>36</v>
      </c>
      <c r="B26" s="15" t="s">
        <v>637</v>
      </c>
      <c r="C26" s="16">
        <v>0.42708333333333331</v>
      </c>
      <c r="D26" s="15" t="s">
        <v>43</v>
      </c>
      <c r="E26" s="15" t="s">
        <v>241</v>
      </c>
      <c r="F26" s="15" t="s">
        <v>44</v>
      </c>
      <c r="G26" s="251"/>
      <c r="H26" s="10"/>
      <c r="I26" s="11"/>
      <c r="J26" s="11"/>
      <c r="K26" s="11"/>
      <c r="L26" s="11"/>
      <c r="M26" s="11"/>
      <c r="N26" s="11"/>
      <c r="O26" s="12"/>
      <c r="P26" s="11"/>
      <c r="Q26" s="13"/>
      <c r="R26" s="14"/>
    </row>
    <row r="27" spans="1:18" ht="15" customHeight="1" x14ac:dyDescent="0.3">
      <c r="A27" s="19" t="s">
        <v>36</v>
      </c>
      <c r="B27" s="19" t="s">
        <v>638</v>
      </c>
      <c r="C27" s="20">
        <v>0.5</v>
      </c>
      <c r="D27" s="19" t="s">
        <v>38</v>
      </c>
      <c r="E27" s="19" t="s">
        <v>89</v>
      </c>
      <c r="F27" s="19" t="s">
        <v>639</v>
      </c>
      <c r="G27" s="251"/>
      <c r="H27" s="10"/>
      <c r="I27" s="11"/>
      <c r="J27" s="11"/>
      <c r="K27" s="11"/>
      <c r="L27" s="11"/>
      <c r="M27" s="11"/>
      <c r="N27" s="11"/>
      <c r="O27" s="12"/>
      <c r="P27" s="11"/>
      <c r="Q27" s="13"/>
      <c r="R27" s="14"/>
    </row>
    <row r="28" spans="1:18" ht="15" customHeight="1" x14ac:dyDescent="0.3">
      <c r="A28" s="15" t="s">
        <v>36</v>
      </c>
      <c r="B28" s="15" t="s">
        <v>638</v>
      </c>
      <c r="C28" s="16">
        <v>0.5</v>
      </c>
      <c r="D28" s="15" t="s">
        <v>41</v>
      </c>
      <c r="E28" s="15" t="s">
        <v>91</v>
      </c>
      <c r="F28" s="15" t="s">
        <v>640</v>
      </c>
      <c r="G28" s="251"/>
      <c r="H28" s="10"/>
      <c r="I28" s="11"/>
      <c r="J28" s="11"/>
      <c r="K28" s="11"/>
      <c r="L28" s="11"/>
      <c r="M28" s="11"/>
      <c r="N28" s="11"/>
      <c r="O28" s="12"/>
      <c r="P28" s="11"/>
      <c r="Q28" s="13"/>
      <c r="R28" s="14"/>
    </row>
    <row r="29" spans="1:18" ht="15" customHeight="1" x14ac:dyDescent="0.3">
      <c r="A29" s="15" t="s">
        <v>36</v>
      </c>
      <c r="B29" s="15" t="s">
        <v>638</v>
      </c>
      <c r="C29" s="16">
        <v>0.5</v>
      </c>
      <c r="D29" s="15" t="s">
        <v>43</v>
      </c>
      <c r="E29" s="15" t="s">
        <v>91</v>
      </c>
      <c r="F29" s="15" t="s">
        <v>533</v>
      </c>
      <c r="G29" s="251"/>
      <c r="H29" s="10"/>
      <c r="I29" s="11"/>
      <c r="J29" s="11"/>
      <c r="K29" s="11"/>
      <c r="L29" s="11"/>
      <c r="M29" s="11"/>
      <c r="N29" s="11"/>
      <c r="O29" s="12"/>
      <c r="P29" s="11"/>
      <c r="Q29" s="13"/>
      <c r="R29" s="14"/>
    </row>
    <row r="30" spans="1:18" ht="15" customHeight="1" x14ac:dyDescent="0.3">
      <c r="A30" s="19" t="s">
        <v>36</v>
      </c>
      <c r="B30" s="19" t="s">
        <v>641</v>
      </c>
      <c r="C30" s="20">
        <v>0.56597222222222221</v>
      </c>
      <c r="D30" s="19" t="s">
        <v>38</v>
      </c>
      <c r="E30" s="19" t="s">
        <v>293</v>
      </c>
      <c r="F30" s="19" t="s">
        <v>372</v>
      </c>
      <c r="G30" s="251"/>
      <c r="H30" s="10"/>
      <c r="I30" s="11"/>
      <c r="J30" s="11"/>
      <c r="K30" s="11"/>
      <c r="L30" s="11"/>
      <c r="M30" s="11"/>
      <c r="N30" s="11"/>
      <c r="O30" s="12"/>
      <c r="P30" s="11"/>
      <c r="Q30" s="13"/>
      <c r="R30" s="14"/>
    </row>
    <row r="31" spans="1:18" ht="15" customHeight="1" x14ac:dyDescent="0.3">
      <c r="A31" s="15" t="s">
        <v>36</v>
      </c>
      <c r="B31" s="15" t="s">
        <v>641</v>
      </c>
      <c r="C31" s="16">
        <v>0.56597222222222221</v>
      </c>
      <c r="D31" s="15" t="s">
        <v>41</v>
      </c>
      <c r="E31" s="15" t="s">
        <v>100</v>
      </c>
      <c r="F31" s="15" t="s">
        <v>251</v>
      </c>
      <c r="G31" s="251"/>
      <c r="H31" s="10"/>
      <c r="I31" s="11"/>
      <c r="J31" s="11"/>
      <c r="K31" s="11"/>
      <c r="L31" s="11"/>
      <c r="M31" s="11"/>
      <c r="N31" s="11"/>
      <c r="O31" s="12"/>
      <c r="P31" s="11"/>
      <c r="Q31" s="13"/>
      <c r="R31" s="14"/>
    </row>
    <row r="32" spans="1:18" ht="15" customHeight="1" x14ac:dyDescent="0.3">
      <c r="A32" s="15" t="s">
        <v>36</v>
      </c>
      <c r="B32" s="15" t="s">
        <v>641</v>
      </c>
      <c r="C32" s="16">
        <v>0.56597222222222221</v>
      </c>
      <c r="D32" s="15" t="s">
        <v>43</v>
      </c>
      <c r="E32" s="15" t="s">
        <v>100</v>
      </c>
      <c r="F32" s="15" t="s">
        <v>246</v>
      </c>
      <c r="G32" s="251"/>
      <c r="H32" s="10"/>
      <c r="I32" s="11"/>
      <c r="J32" s="11"/>
      <c r="K32" s="11"/>
      <c r="L32" s="11"/>
      <c r="M32" s="11"/>
      <c r="N32" s="11"/>
      <c r="O32" s="12"/>
      <c r="P32" s="11"/>
      <c r="Q32" s="13"/>
      <c r="R32" s="14"/>
    </row>
    <row r="33" spans="1:18" ht="15" customHeight="1" x14ac:dyDescent="0.3">
      <c r="A33" s="19" t="s">
        <v>36</v>
      </c>
      <c r="B33" s="19" t="s">
        <v>642</v>
      </c>
      <c r="C33" s="20">
        <v>0.6875</v>
      </c>
      <c r="D33" s="19" t="s">
        <v>38</v>
      </c>
      <c r="E33" s="19" t="s">
        <v>96</v>
      </c>
      <c r="F33" s="19" t="s">
        <v>260</v>
      </c>
      <c r="G33" s="251"/>
      <c r="H33" s="10"/>
      <c r="I33" s="11"/>
      <c r="J33" s="11"/>
      <c r="K33" s="11"/>
      <c r="L33" s="11"/>
      <c r="M33" s="11"/>
      <c r="N33" s="11"/>
      <c r="O33" s="12"/>
      <c r="P33" s="11"/>
      <c r="Q33" s="13"/>
      <c r="R33" s="14"/>
    </row>
    <row r="34" spans="1:18" ht="15" customHeight="1" x14ac:dyDescent="0.3">
      <c r="A34" s="15" t="s">
        <v>36</v>
      </c>
      <c r="B34" s="15" t="s">
        <v>642</v>
      </c>
      <c r="C34" s="16">
        <v>0.6875</v>
      </c>
      <c r="D34" s="15" t="s">
        <v>41</v>
      </c>
      <c r="E34" s="15" t="s">
        <v>97</v>
      </c>
      <c r="F34" s="15" t="s">
        <v>643</v>
      </c>
      <c r="G34" s="251"/>
      <c r="H34" s="10"/>
      <c r="I34" s="11"/>
      <c r="J34" s="11"/>
      <c r="K34" s="11"/>
      <c r="L34" s="11"/>
      <c r="M34" s="11"/>
      <c r="N34" s="11"/>
      <c r="O34" s="12"/>
      <c r="P34" s="11"/>
      <c r="Q34" s="13"/>
      <c r="R34" s="14"/>
    </row>
    <row r="35" spans="1:18" ht="15" customHeight="1" x14ac:dyDescent="0.3">
      <c r="A35" s="15" t="s">
        <v>36</v>
      </c>
      <c r="B35" s="15" t="s">
        <v>642</v>
      </c>
      <c r="C35" s="16">
        <v>0.6875</v>
      </c>
      <c r="D35" s="15" t="s">
        <v>43</v>
      </c>
      <c r="E35" s="15" t="s">
        <v>97</v>
      </c>
      <c r="F35" s="15" t="s">
        <v>644</v>
      </c>
      <c r="G35" s="251"/>
      <c r="H35" s="10"/>
      <c r="I35" s="11"/>
      <c r="J35" s="11"/>
      <c r="K35" s="11"/>
      <c r="L35" s="11"/>
      <c r="M35" s="11"/>
      <c r="N35" s="11"/>
      <c r="O35" s="12"/>
      <c r="P35" s="11"/>
      <c r="Q35" s="13"/>
      <c r="R35" s="14"/>
    </row>
    <row r="36" spans="1:18" ht="15" customHeight="1" x14ac:dyDescent="0.3">
      <c r="A36" s="19" t="s">
        <v>36</v>
      </c>
      <c r="B36" s="19" t="s">
        <v>645</v>
      </c>
      <c r="C36" s="20">
        <v>0.82638888888888884</v>
      </c>
      <c r="D36" s="19" t="s">
        <v>38</v>
      </c>
      <c r="E36" s="19" t="s">
        <v>46</v>
      </c>
      <c r="F36" s="19" t="s">
        <v>646</v>
      </c>
      <c r="G36" s="251"/>
      <c r="H36" s="10"/>
      <c r="I36" s="11"/>
      <c r="J36" s="11"/>
      <c r="K36" s="11"/>
      <c r="L36" s="11"/>
      <c r="M36" s="11"/>
      <c r="N36" s="11"/>
      <c r="O36" s="12"/>
      <c r="P36" s="11"/>
      <c r="Q36" s="13"/>
      <c r="R36" s="14"/>
    </row>
    <row r="37" spans="1:18" ht="15" customHeight="1" x14ac:dyDescent="0.3">
      <c r="A37" s="15" t="s">
        <v>36</v>
      </c>
      <c r="B37" s="15" t="s">
        <v>645</v>
      </c>
      <c r="C37" s="16">
        <v>0.82638888888888884</v>
      </c>
      <c r="D37" s="15" t="s">
        <v>41</v>
      </c>
      <c r="E37" s="15" t="s">
        <v>48</v>
      </c>
      <c r="F37" s="15" t="s">
        <v>647</v>
      </c>
      <c r="G37" s="251"/>
      <c r="H37" s="10"/>
      <c r="I37" s="11"/>
      <c r="J37" s="11"/>
      <c r="K37" s="11"/>
      <c r="L37" s="11"/>
      <c r="M37" s="11"/>
      <c r="N37" s="11"/>
      <c r="O37" s="12"/>
      <c r="P37" s="11"/>
      <c r="Q37" s="13"/>
      <c r="R37" s="14"/>
    </row>
    <row r="38" spans="1:18" ht="15" customHeight="1" x14ac:dyDescent="0.3">
      <c r="A38" s="15" t="s">
        <v>36</v>
      </c>
      <c r="B38" s="15" t="s">
        <v>645</v>
      </c>
      <c r="C38" s="16">
        <v>0.82638888888888884</v>
      </c>
      <c r="D38" s="15" t="s">
        <v>43</v>
      </c>
      <c r="E38" s="15" t="s">
        <v>48</v>
      </c>
      <c r="F38" s="15" t="s">
        <v>648</v>
      </c>
      <c r="G38" s="251"/>
      <c r="H38" s="10"/>
      <c r="I38" s="11"/>
      <c r="J38" s="11"/>
      <c r="K38" s="11"/>
      <c r="L38" s="11"/>
      <c r="M38" s="11"/>
      <c r="N38" s="11"/>
      <c r="O38" s="12"/>
      <c r="P38" s="11"/>
      <c r="Q38" s="13"/>
      <c r="R38" s="14"/>
    </row>
    <row r="39" spans="1:18" ht="15" customHeight="1" x14ac:dyDescent="0.3">
      <c r="A39" s="17" t="s">
        <v>261</v>
      </c>
      <c r="B39" s="17" t="s">
        <v>649</v>
      </c>
      <c r="C39" s="18">
        <v>0.27777777777777779</v>
      </c>
      <c r="D39" s="17" t="s">
        <v>263</v>
      </c>
      <c r="E39" s="17" t="s">
        <v>94</v>
      </c>
      <c r="F39" s="17" t="s">
        <v>264</v>
      </c>
      <c r="G39" s="251"/>
      <c r="H39" s="10"/>
      <c r="I39" s="11"/>
      <c r="J39" s="11"/>
      <c r="K39" s="11"/>
      <c r="L39" s="11"/>
      <c r="M39" s="11"/>
      <c r="N39" s="11"/>
      <c r="O39" s="12"/>
      <c r="P39" s="11"/>
      <c r="Q39" s="13"/>
      <c r="R39" s="14"/>
    </row>
    <row r="40" spans="1:18" ht="15" customHeight="1" x14ac:dyDescent="0.3">
      <c r="A40" s="19" t="s">
        <v>261</v>
      </c>
      <c r="B40" s="19" t="s">
        <v>650</v>
      </c>
      <c r="C40" s="20">
        <v>0.87847222222222221</v>
      </c>
      <c r="D40" s="19" t="s">
        <v>263</v>
      </c>
      <c r="E40" s="19" t="s">
        <v>60</v>
      </c>
      <c r="F40" s="19" t="s">
        <v>651</v>
      </c>
      <c r="G40" s="251"/>
      <c r="H40" s="10"/>
      <c r="I40" s="11"/>
      <c r="J40" s="11"/>
      <c r="K40" s="11"/>
      <c r="L40" s="11"/>
      <c r="M40" s="11"/>
      <c r="N40" s="11"/>
      <c r="O40" s="12"/>
      <c r="P40" s="11"/>
      <c r="Q40" s="13"/>
      <c r="R40" s="14"/>
    </row>
    <row r="41" spans="1:18" ht="15" customHeight="1" x14ac:dyDescent="0.3">
      <c r="A41" s="17" t="s">
        <v>269</v>
      </c>
      <c r="B41" s="17" t="s">
        <v>652</v>
      </c>
      <c r="C41" s="18">
        <v>0.62152777777777779</v>
      </c>
      <c r="D41" s="17" t="s">
        <v>271</v>
      </c>
      <c r="E41" s="17" t="s">
        <v>228</v>
      </c>
      <c r="F41" s="17" t="s">
        <v>372</v>
      </c>
      <c r="G41" s="251"/>
      <c r="H41" s="10"/>
      <c r="I41" s="11"/>
      <c r="J41" s="11"/>
      <c r="K41" s="11"/>
      <c r="L41" s="11"/>
      <c r="M41" s="11"/>
      <c r="N41" s="11"/>
      <c r="O41" s="12"/>
      <c r="P41" s="11"/>
      <c r="Q41" s="13"/>
      <c r="R41" s="14"/>
    </row>
    <row r="42" spans="1:18" ht="15" customHeight="1" x14ac:dyDescent="0.3">
      <c r="A42" s="15" t="s">
        <v>269</v>
      </c>
      <c r="B42" s="15" t="s">
        <v>652</v>
      </c>
      <c r="C42" s="16">
        <v>0.62152777777777779</v>
      </c>
      <c r="D42" s="15" t="s">
        <v>34</v>
      </c>
      <c r="E42" s="15" t="s">
        <v>48</v>
      </c>
      <c r="F42" s="15" t="s">
        <v>653</v>
      </c>
      <c r="G42" s="251"/>
      <c r="H42" s="10"/>
      <c r="I42" s="11"/>
      <c r="J42" s="11"/>
      <c r="K42" s="11"/>
      <c r="L42" s="11"/>
      <c r="M42" s="11"/>
      <c r="N42" s="11"/>
      <c r="O42" s="12"/>
      <c r="P42" s="11"/>
      <c r="Q42" s="13"/>
      <c r="R42" s="14"/>
    </row>
    <row r="43" spans="1:18" ht="15" customHeight="1" x14ac:dyDescent="0.3">
      <c r="A43" s="210" t="s">
        <v>80</v>
      </c>
      <c r="B43" s="210" t="s">
        <v>654</v>
      </c>
      <c r="C43" s="211">
        <v>0.61111111111111105</v>
      </c>
      <c r="D43" s="210" t="s">
        <v>182</v>
      </c>
      <c r="E43" s="210" t="s">
        <v>98</v>
      </c>
      <c r="F43" s="210" t="s">
        <v>655</v>
      </c>
      <c r="G43" s="251"/>
      <c r="H43" s="150" t="s">
        <v>656</v>
      </c>
      <c r="I43" s="212">
        <v>0.73809999999999998</v>
      </c>
      <c r="J43" s="152">
        <v>124</v>
      </c>
      <c r="K43" s="153" t="s">
        <v>284</v>
      </c>
      <c r="L43" s="152">
        <v>37</v>
      </c>
      <c r="M43" s="152">
        <v>1</v>
      </c>
      <c r="N43" s="152">
        <v>10</v>
      </c>
      <c r="O43" s="154" t="s">
        <v>146</v>
      </c>
      <c r="P43" s="155">
        <v>0.61111111111111105</v>
      </c>
      <c r="Q43" s="152">
        <v>168</v>
      </c>
      <c r="R43" s="156" t="s">
        <v>657</v>
      </c>
    </row>
    <row r="44" spans="1:18" ht="15" customHeight="1" x14ac:dyDescent="0.3">
      <c r="A44" s="17" t="s">
        <v>273</v>
      </c>
      <c r="B44" s="17" t="s">
        <v>658</v>
      </c>
      <c r="C44" s="18">
        <v>0.35416666666666669</v>
      </c>
      <c r="D44" s="17" t="s">
        <v>263</v>
      </c>
      <c r="E44" s="17" t="s">
        <v>98</v>
      </c>
      <c r="F44" s="17" t="s">
        <v>353</v>
      </c>
      <c r="G44" s="251"/>
      <c r="H44" s="10"/>
      <c r="I44" s="11"/>
      <c r="J44" s="11"/>
      <c r="K44" s="11"/>
      <c r="L44" s="11"/>
      <c r="M44" s="11"/>
      <c r="N44" s="11"/>
      <c r="O44" s="12"/>
      <c r="P44" s="11"/>
      <c r="Q44" s="13"/>
      <c r="R44" s="14"/>
    </row>
    <row r="45" spans="1:18" ht="15" customHeight="1" x14ac:dyDescent="0.3">
      <c r="A45" s="19" t="s">
        <v>273</v>
      </c>
      <c r="B45" s="19" t="s">
        <v>659</v>
      </c>
      <c r="C45" s="20">
        <v>0.98611111111111116</v>
      </c>
      <c r="D45" s="19" t="s">
        <v>263</v>
      </c>
      <c r="E45" s="19" t="s">
        <v>60</v>
      </c>
      <c r="F45" s="19" t="s">
        <v>660</v>
      </c>
      <c r="G45" s="251"/>
      <c r="H45" s="10"/>
      <c r="I45" s="11"/>
      <c r="J45" s="11"/>
      <c r="K45" s="11"/>
      <c r="L45" s="11"/>
      <c r="M45" s="11"/>
      <c r="N45" s="11"/>
      <c r="O45" s="12"/>
      <c r="P45" s="11"/>
      <c r="Q45" s="13"/>
      <c r="R45" s="14"/>
    </row>
    <row r="46" spans="1:18" ht="15" customHeight="1" x14ac:dyDescent="0.3">
      <c r="A46" s="19" t="s">
        <v>273</v>
      </c>
      <c r="B46" s="19" t="s">
        <v>661</v>
      </c>
      <c r="C46" s="20">
        <v>0.80208333333333337</v>
      </c>
      <c r="D46" s="19" t="s">
        <v>263</v>
      </c>
      <c r="E46" s="19" t="s">
        <v>89</v>
      </c>
      <c r="F46" s="19" t="s">
        <v>662</v>
      </c>
      <c r="G46" s="251"/>
      <c r="H46" s="10"/>
      <c r="I46" s="11"/>
      <c r="J46" s="11"/>
      <c r="K46" s="11"/>
      <c r="L46" s="11"/>
      <c r="M46" s="11"/>
      <c r="N46" s="11"/>
      <c r="O46" s="12"/>
      <c r="P46" s="11"/>
      <c r="Q46" s="13"/>
      <c r="R46" s="14"/>
    </row>
    <row r="47" spans="1:18" ht="15" customHeight="1" x14ac:dyDescent="0.3">
      <c r="A47" s="17" t="s">
        <v>51</v>
      </c>
      <c r="B47" s="17" t="s">
        <v>663</v>
      </c>
      <c r="C47" s="18">
        <v>0.16666666666666671</v>
      </c>
      <c r="D47" s="17" t="s">
        <v>53</v>
      </c>
      <c r="E47" s="17" t="s">
        <v>98</v>
      </c>
      <c r="F47" s="17" t="s">
        <v>664</v>
      </c>
      <c r="G47" s="251"/>
      <c r="H47" s="10"/>
      <c r="I47" s="11"/>
      <c r="J47" s="11"/>
      <c r="K47" s="11"/>
      <c r="L47" s="11"/>
      <c r="M47" s="11"/>
      <c r="N47" s="11"/>
      <c r="O47" s="12"/>
      <c r="P47" s="11"/>
      <c r="Q47" s="13"/>
      <c r="R47" s="14"/>
    </row>
    <row r="48" spans="1:18" ht="15" customHeight="1" x14ac:dyDescent="0.3">
      <c r="A48" s="19" t="s">
        <v>51</v>
      </c>
      <c r="B48" s="19" t="s">
        <v>665</v>
      </c>
      <c r="C48" s="20">
        <v>0.54166666666666663</v>
      </c>
      <c r="D48" s="19" t="s">
        <v>53</v>
      </c>
      <c r="E48" s="19" t="s">
        <v>76</v>
      </c>
      <c r="F48" s="19" t="s">
        <v>666</v>
      </c>
      <c r="G48" s="251"/>
      <c r="H48" s="10"/>
      <c r="I48" s="11"/>
      <c r="J48" s="11"/>
      <c r="K48" s="11"/>
      <c r="L48" s="11"/>
      <c r="M48" s="11"/>
      <c r="N48" s="11"/>
      <c r="O48" s="12"/>
      <c r="P48" s="11"/>
      <c r="Q48" s="13"/>
      <c r="R48" s="14"/>
    </row>
    <row r="49" spans="1:18" ht="15" customHeight="1" x14ac:dyDescent="0.3">
      <c r="A49" s="19" t="s">
        <v>51</v>
      </c>
      <c r="B49" s="19" t="s">
        <v>667</v>
      </c>
      <c r="C49" s="20">
        <v>0.91666666666666663</v>
      </c>
      <c r="D49" s="19" t="s">
        <v>53</v>
      </c>
      <c r="E49" s="19" t="s">
        <v>76</v>
      </c>
      <c r="F49" s="19" t="s">
        <v>668</v>
      </c>
      <c r="G49" s="251"/>
      <c r="H49" s="10"/>
      <c r="I49" s="11"/>
      <c r="J49" s="11"/>
      <c r="K49" s="11"/>
      <c r="L49" s="11"/>
      <c r="M49" s="11"/>
      <c r="N49" s="11"/>
      <c r="O49" s="12"/>
      <c r="P49" s="11"/>
      <c r="Q49" s="13"/>
      <c r="R49" s="14"/>
    </row>
    <row r="50" spans="1:18" ht="15" customHeight="1" x14ac:dyDescent="0.3">
      <c r="A50" s="17" t="s">
        <v>64</v>
      </c>
      <c r="B50" s="17" t="s">
        <v>669</v>
      </c>
      <c r="C50" s="18">
        <v>0.2986111111111111</v>
      </c>
      <c r="D50" s="17" t="s">
        <v>66</v>
      </c>
      <c r="E50" s="17" t="s">
        <v>54</v>
      </c>
      <c r="F50" s="17" t="s">
        <v>670</v>
      </c>
      <c r="G50" s="251"/>
      <c r="H50" s="10"/>
      <c r="I50" s="11"/>
      <c r="J50" s="11"/>
      <c r="K50" s="11"/>
      <c r="L50" s="11"/>
      <c r="M50" s="11"/>
      <c r="N50" s="11"/>
      <c r="O50" s="12"/>
      <c r="P50" s="11"/>
      <c r="Q50" s="13"/>
      <c r="R50" s="14"/>
    </row>
    <row r="51" spans="1:18" ht="15" customHeight="1" x14ac:dyDescent="0.3">
      <c r="A51" s="15" t="s">
        <v>64</v>
      </c>
      <c r="B51" s="15" t="s">
        <v>669</v>
      </c>
      <c r="C51" s="16">
        <v>0.2986111111111111</v>
      </c>
      <c r="D51" s="15" t="s">
        <v>68</v>
      </c>
      <c r="E51" s="15" t="s">
        <v>69</v>
      </c>
      <c r="F51" s="15" t="s">
        <v>671</v>
      </c>
      <c r="G51" s="251"/>
      <c r="H51" s="10"/>
      <c r="I51" s="11"/>
      <c r="J51" s="11"/>
      <c r="K51" s="11"/>
      <c r="L51" s="11"/>
      <c r="M51" s="11"/>
      <c r="N51" s="11"/>
      <c r="O51" s="12"/>
      <c r="P51" s="11"/>
      <c r="Q51" s="13"/>
      <c r="R51" s="14"/>
    </row>
    <row r="52" spans="1:18" ht="15" customHeight="1" x14ac:dyDescent="0.3">
      <c r="A52" s="19" t="s">
        <v>64</v>
      </c>
      <c r="B52" s="19" t="s">
        <v>672</v>
      </c>
      <c r="C52" s="20">
        <v>0.4826388888888889</v>
      </c>
      <c r="D52" s="19" t="s">
        <v>66</v>
      </c>
      <c r="E52" s="19" t="s">
        <v>57</v>
      </c>
      <c r="F52" s="19" t="s">
        <v>673</v>
      </c>
      <c r="G52" s="251"/>
      <c r="H52" s="10"/>
      <c r="I52" s="11"/>
      <c r="J52" s="11"/>
      <c r="K52" s="11"/>
      <c r="L52" s="11"/>
      <c r="M52" s="11"/>
      <c r="N52" s="11"/>
      <c r="O52" s="12"/>
      <c r="P52" s="11"/>
      <c r="Q52" s="13"/>
      <c r="R52" s="14"/>
    </row>
    <row r="53" spans="1:18" ht="15" customHeight="1" x14ac:dyDescent="0.3">
      <c r="A53" s="15" t="s">
        <v>64</v>
      </c>
      <c r="B53" s="15" t="s">
        <v>672</v>
      </c>
      <c r="C53" s="16">
        <v>0.4826388888888889</v>
      </c>
      <c r="D53" s="15" t="s">
        <v>68</v>
      </c>
      <c r="E53" s="15" t="s">
        <v>69</v>
      </c>
      <c r="F53" s="15" t="s">
        <v>674</v>
      </c>
      <c r="G53" s="251"/>
      <c r="H53" s="10"/>
      <c r="I53" s="11"/>
      <c r="J53" s="11"/>
      <c r="K53" s="11"/>
      <c r="L53" s="11"/>
      <c r="M53" s="11"/>
      <c r="N53" s="11"/>
      <c r="O53" s="12"/>
      <c r="P53" s="11"/>
      <c r="Q53" s="13"/>
      <c r="R53" s="14"/>
    </row>
    <row r="54" spans="1:18" ht="15" customHeight="1" x14ac:dyDescent="0.3">
      <c r="A54" s="19" t="s">
        <v>64</v>
      </c>
      <c r="B54" s="19" t="s">
        <v>675</v>
      </c>
      <c r="C54" s="20">
        <v>0.5</v>
      </c>
      <c r="D54" s="19" t="s">
        <v>68</v>
      </c>
      <c r="E54" s="19" t="s">
        <v>73</v>
      </c>
      <c r="F54" s="19" t="s">
        <v>676</v>
      </c>
      <c r="G54" s="251"/>
      <c r="H54" s="10"/>
      <c r="I54" s="11"/>
      <c r="J54" s="11"/>
      <c r="K54" s="11"/>
      <c r="L54" s="11"/>
      <c r="M54" s="11"/>
      <c r="N54" s="11"/>
      <c r="O54" s="12"/>
      <c r="P54" s="11"/>
      <c r="Q54" s="13"/>
      <c r="R54" s="14"/>
    </row>
    <row r="55" spans="1:18" ht="15" customHeight="1" x14ac:dyDescent="0.3">
      <c r="A55" s="19" t="s">
        <v>64</v>
      </c>
      <c r="B55" s="19" t="s">
        <v>677</v>
      </c>
      <c r="C55" s="20">
        <v>0.68402777777777779</v>
      </c>
      <c r="D55" s="19" t="s">
        <v>66</v>
      </c>
      <c r="E55" s="19" t="s">
        <v>239</v>
      </c>
      <c r="F55" s="19" t="s">
        <v>678</v>
      </c>
      <c r="G55" s="251"/>
      <c r="H55" s="10"/>
      <c r="I55" s="11"/>
      <c r="J55" s="11"/>
      <c r="K55" s="11"/>
      <c r="L55" s="11"/>
      <c r="M55" s="11"/>
      <c r="N55" s="11"/>
      <c r="O55" s="12"/>
      <c r="P55" s="11"/>
      <c r="Q55" s="13"/>
      <c r="R55" s="14"/>
    </row>
    <row r="56" spans="1:18" ht="15" customHeight="1" thickBot="1" x14ac:dyDescent="0.35">
      <c r="A56" s="39" t="s">
        <v>64</v>
      </c>
      <c r="B56" s="39" t="s">
        <v>677</v>
      </c>
      <c r="C56" s="40">
        <v>0.68402777777777779</v>
      </c>
      <c r="D56" s="39" t="s">
        <v>68</v>
      </c>
      <c r="E56" s="39" t="s">
        <v>241</v>
      </c>
      <c r="F56" s="39" t="s">
        <v>679</v>
      </c>
      <c r="G56" s="252"/>
      <c r="H56" s="41"/>
      <c r="I56" s="42"/>
      <c r="J56" s="42"/>
      <c r="K56" s="42"/>
      <c r="L56" s="42"/>
      <c r="M56" s="42"/>
      <c r="N56" s="42"/>
      <c r="O56" s="43"/>
      <c r="P56" s="42"/>
      <c r="Q56" s="44"/>
      <c r="R56" s="45"/>
    </row>
    <row r="57" spans="1:18" ht="17.399999999999999" customHeight="1" thickBot="1" x14ac:dyDescent="0.35">
      <c r="A57" s="282"/>
      <c r="B57" s="283"/>
      <c r="C57" s="283"/>
      <c r="D57" s="283"/>
      <c r="E57" s="283"/>
      <c r="F57" s="283"/>
      <c r="G57" s="283"/>
      <c r="H57" s="283"/>
      <c r="I57" s="283"/>
      <c r="J57" s="283"/>
      <c r="K57" s="283"/>
      <c r="L57" s="283"/>
      <c r="M57" s="283"/>
      <c r="N57" s="283"/>
      <c r="O57" s="283"/>
      <c r="P57" s="283"/>
      <c r="Q57" s="283"/>
      <c r="R57" s="284"/>
    </row>
    <row r="58" spans="1:18" ht="22.05" customHeight="1" thickTop="1" thickBot="1" x14ac:dyDescent="0.35">
      <c r="A58" s="261" t="s">
        <v>6</v>
      </c>
      <c r="B58" s="254"/>
      <c r="C58" s="254"/>
      <c r="D58" s="254"/>
      <c r="E58" s="254"/>
      <c r="F58" s="255"/>
      <c r="G58" s="31">
        <v>45982</v>
      </c>
      <c r="H58" s="253" t="s">
        <v>7</v>
      </c>
      <c r="I58" s="254"/>
      <c r="J58" s="254"/>
      <c r="K58" s="254"/>
      <c r="L58" s="254"/>
      <c r="M58" s="254"/>
      <c r="N58" s="254"/>
      <c r="O58" s="254"/>
      <c r="P58" s="254"/>
      <c r="Q58" s="254"/>
      <c r="R58" s="255"/>
    </row>
    <row r="59" spans="1:18" ht="24" customHeight="1" x14ac:dyDescent="0.3">
      <c r="A59" s="32" t="s">
        <v>8</v>
      </c>
      <c r="B59" s="32" t="s">
        <v>9</v>
      </c>
      <c r="C59" s="33" t="s">
        <v>10</v>
      </c>
      <c r="D59" s="32" t="s">
        <v>11</v>
      </c>
      <c r="E59" s="32" t="s">
        <v>12</v>
      </c>
      <c r="F59" s="34" t="s">
        <v>13</v>
      </c>
      <c r="G59" s="35" t="s">
        <v>14</v>
      </c>
      <c r="H59" s="32" t="s">
        <v>15</v>
      </c>
      <c r="I59" s="36" t="s">
        <v>16</v>
      </c>
      <c r="J59" s="37" t="s">
        <v>17</v>
      </c>
      <c r="K59" s="38" t="s">
        <v>18</v>
      </c>
      <c r="L59" s="37" t="s">
        <v>19</v>
      </c>
      <c r="M59" s="37" t="s">
        <v>20</v>
      </c>
      <c r="N59" s="37" t="s">
        <v>21</v>
      </c>
      <c r="O59" s="32" t="s">
        <v>22</v>
      </c>
      <c r="P59" s="33" t="s">
        <v>23</v>
      </c>
      <c r="Q59" s="37" t="s">
        <v>24</v>
      </c>
      <c r="R59" s="32" t="s">
        <v>25</v>
      </c>
    </row>
    <row r="60" spans="1:18" ht="15" customHeight="1" x14ac:dyDescent="0.3">
      <c r="A60" s="8" t="s">
        <v>26</v>
      </c>
      <c r="B60" s="8" t="s">
        <v>627</v>
      </c>
      <c r="C60" s="9">
        <v>0.5</v>
      </c>
      <c r="D60" s="8" t="s">
        <v>28</v>
      </c>
      <c r="E60" s="8" t="s">
        <v>680</v>
      </c>
      <c r="F60" s="8" t="s">
        <v>681</v>
      </c>
      <c r="G60" s="250"/>
      <c r="H60" s="10"/>
      <c r="I60" s="11"/>
      <c r="J60" s="11"/>
      <c r="K60" s="11"/>
      <c r="L60" s="11"/>
      <c r="M60" s="11"/>
      <c r="N60" s="11"/>
      <c r="O60" s="12"/>
      <c r="P60" s="11"/>
      <c r="Q60" s="13"/>
      <c r="R60" s="14"/>
    </row>
    <row r="61" spans="1:18" ht="15" customHeight="1" x14ac:dyDescent="0.3">
      <c r="A61" s="15" t="s">
        <v>26</v>
      </c>
      <c r="B61" s="15" t="s">
        <v>627</v>
      </c>
      <c r="C61" s="16">
        <v>0.5</v>
      </c>
      <c r="D61" s="15" t="s">
        <v>31</v>
      </c>
      <c r="E61" s="15" t="s">
        <v>682</v>
      </c>
      <c r="F61" s="15" t="s">
        <v>683</v>
      </c>
      <c r="G61" s="251"/>
      <c r="H61" s="10"/>
      <c r="I61" s="11"/>
      <c r="J61" s="11"/>
      <c r="K61" s="11"/>
      <c r="L61" s="11"/>
      <c r="M61" s="11"/>
      <c r="N61" s="11"/>
      <c r="O61" s="12"/>
      <c r="P61" s="11"/>
      <c r="Q61" s="13"/>
      <c r="R61" s="14"/>
    </row>
    <row r="62" spans="1:18" ht="15" customHeight="1" x14ac:dyDescent="0.3">
      <c r="A62" s="15" t="s">
        <v>26</v>
      </c>
      <c r="B62" s="15" t="s">
        <v>627</v>
      </c>
      <c r="C62" s="16">
        <v>0.5</v>
      </c>
      <c r="D62" s="15" t="s">
        <v>34</v>
      </c>
      <c r="E62" s="15" t="s">
        <v>682</v>
      </c>
      <c r="F62" s="15" t="s">
        <v>629</v>
      </c>
      <c r="G62" s="251"/>
      <c r="H62" s="10"/>
      <c r="I62" s="11"/>
      <c r="J62" s="11"/>
      <c r="K62" s="11"/>
      <c r="L62" s="11"/>
      <c r="M62" s="11"/>
      <c r="N62" s="11"/>
      <c r="O62" s="12"/>
      <c r="P62" s="11"/>
      <c r="Q62" s="13"/>
      <c r="R62" s="14"/>
    </row>
    <row r="63" spans="1:18" ht="15" customHeight="1" x14ac:dyDescent="0.3">
      <c r="A63" s="19" t="s">
        <v>26</v>
      </c>
      <c r="B63" s="19" t="s">
        <v>631</v>
      </c>
      <c r="C63" s="20">
        <v>0.76041666666666663</v>
      </c>
      <c r="D63" s="19" t="s">
        <v>28</v>
      </c>
      <c r="E63" s="19" t="s">
        <v>684</v>
      </c>
      <c r="F63" s="19" t="s">
        <v>628</v>
      </c>
      <c r="G63" s="251"/>
      <c r="H63" s="10"/>
      <c r="I63" s="11"/>
      <c r="J63" s="11"/>
      <c r="K63" s="11"/>
      <c r="L63" s="11"/>
      <c r="M63" s="11"/>
      <c r="N63" s="11"/>
      <c r="O63" s="12"/>
      <c r="P63" s="11"/>
      <c r="Q63" s="13"/>
      <c r="R63" s="14"/>
    </row>
    <row r="64" spans="1:18" ht="15" customHeight="1" x14ac:dyDescent="0.3">
      <c r="A64" s="15" t="s">
        <v>26</v>
      </c>
      <c r="B64" s="15" t="s">
        <v>631</v>
      </c>
      <c r="C64" s="16">
        <v>0.76041666666666663</v>
      </c>
      <c r="D64" s="15" t="s">
        <v>31</v>
      </c>
      <c r="E64" s="15" t="s">
        <v>685</v>
      </c>
      <c r="F64" s="15" t="s">
        <v>259</v>
      </c>
      <c r="G64" s="251"/>
      <c r="H64" s="10"/>
      <c r="I64" s="11"/>
      <c r="J64" s="11"/>
      <c r="K64" s="11"/>
      <c r="L64" s="11"/>
      <c r="M64" s="11"/>
      <c r="N64" s="11"/>
      <c r="O64" s="12"/>
      <c r="P64" s="11"/>
      <c r="Q64" s="13"/>
      <c r="R64" s="14"/>
    </row>
    <row r="65" spans="1:18" ht="15" customHeight="1" x14ac:dyDescent="0.3">
      <c r="A65" s="15" t="s">
        <v>26</v>
      </c>
      <c r="B65" s="15" t="s">
        <v>631</v>
      </c>
      <c r="C65" s="16">
        <v>0.76041666666666663</v>
      </c>
      <c r="D65" s="15" t="s">
        <v>34</v>
      </c>
      <c r="E65" s="15" t="s">
        <v>685</v>
      </c>
      <c r="F65" s="15" t="s">
        <v>260</v>
      </c>
      <c r="G65" s="251"/>
      <c r="H65" s="10"/>
      <c r="I65" s="11"/>
      <c r="J65" s="11"/>
      <c r="K65" s="11"/>
      <c r="L65" s="11"/>
      <c r="M65" s="11"/>
      <c r="N65" s="11"/>
      <c r="O65" s="12"/>
      <c r="P65" s="11"/>
      <c r="Q65" s="13"/>
      <c r="R65" s="14"/>
    </row>
    <row r="66" spans="1:18" ht="15" customHeight="1" x14ac:dyDescent="0.3">
      <c r="A66" s="19" t="s">
        <v>26</v>
      </c>
      <c r="B66" s="19" t="s">
        <v>633</v>
      </c>
      <c r="C66" s="20">
        <v>0.81597222222222221</v>
      </c>
      <c r="D66" s="19" t="s">
        <v>28</v>
      </c>
      <c r="E66" s="19" t="s">
        <v>686</v>
      </c>
      <c r="F66" s="19" t="s">
        <v>628</v>
      </c>
      <c r="G66" s="251"/>
      <c r="H66" s="10"/>
      <c r="I66" s="11"/>
      <c r="J66" s="11"/>
      <c r="K66" s="11"/>
      <c r="L66" s="11"/>
      <c r="M66" s="11"/>
      <c r="N66" s="11"/>
      <c r="O66" s="12"/>
      <c r="P66" s="11"/>
      <c r="Q66" s="13"/>
      <c r="R66" s="14"/>
    </row>
    <row r="67" spans="1:18" ht="15" customHeight="1" x14ac:dyDescent="0.3">
      <c r="A67" s="15" t="s">
        <v>26</v>
      </c>
      <c r="B67" s="15" t="s">
        <v>633</v>
      </c>
      <c r="C67" s="16">
        <v>0.81597222222222221</v>
      </c>
      <c r="D67" s="15" t="s">
        <v>31</v>
      </c>
      <c r="E67" s="15" t="s">
        <v>687</v>
      </c>
      <c r="F67" s="15" t="s">
        <v>259</v>
      </c>
      <c r="G67" s="251"/>
      <c r="H67" s="10"/>
      <c r="I67" s="11"/>
      <c r="J67" s="11"/>
      <c r="K67" s="11"/>
      <c r="L67" s="11"/>
      <c r="M67" s="11"/>
      <c r="N67" s="11"/>
      <c r="O67" s="12"/>
      <c r="P67" s="11"/>
      <c r="Q67" s="13"/>
      <c r="R67" s="14"/>
    </row>
    <row r="68" spans="1:18" ht="15" customHeight="1" x14ac:dyDescent="0.3">
      <c r="A68" s="15" t="s">
        <v>26</v>
      </c>
      <c r="B68" s="15" t="s">
        <v>633</v>
      </c>
      <c r="C68" s="16">
        <v>0.81597222222222221</v>
      </c>
      <c r="D68" s="15" t="s">
        <v>34</v>
      </c>
      <c r="E68" s="15" t="s">
        <v>687</v>
      </c>
      <c r="F68" s="15" t="s">
        <v>629</v>
      </c>
      <c r="G68" s="251"/>
      <c r="H68" s="10"/>
      <c r="I68" s="11"/>
      <c r="J68" s="11"/>
      <c r="K68" s="11"/>
      <c r="L68" s="11"/>
      <c r="M68" s="11"/>
      <c r="N68" s="11"/>
      <c r="O68" s="12"/>
      <c r="P68" s="11"/>
      <c r="Q68" s="13"/>
      <c r="R68" s="14"/>
    </row>
    <row r="69" spans="1:18" ht="15" customHeight="1" x14ac:dyDescent="0.3">
      <c r="A69" s="19" t="s">
        <v>26</v>
      </c>
      <c r="B69" s="19" t="s">
        <v>630</v>
      </c>
      <c r="C69" s="20">
        <v>0.44791666666666669</v>
      </c>
      <c r="D69" s="19" t="s">
        <v>28</v>
      </c>
      <c r="E69" s="19" t="s">
        <v>688</v>
      </c>
      <c r="F69" s="19" t="s">
        <v>689</v>
      </c>
      <c r="G69" s="251"/>
      <c r="H69" s="10"/>
      <c r="I69" s="11"/>
      <c r="J69" s="11"/>
      <c r="K69" s="11"/>
      <c r="L69" s="11"/>
      <c r="M69" s="11"/>
      <c r="N69" s="11"/>
      <c r="O69" s="12"/>
      <c r="P69" s="11"/>
      <c r="Q69" s="13"/>
      <c r="R69" s="14"/>
    </row>
    <row r="70" spans="1:18" ht="15" customHeight="1" x14ac:dyDescent="0.3">
      <c r="A70" s="15" t="s">
        <v>26</v>
      </c>
      <c r="B70" s="15" t="s">
        <v>630</v>
      </c>
      <c r="C70" s="16">
        <v>0.44791666666666669</v>
      </c>
      <c r="D70" s="15" t="s">
        <v>31</v>
      </c>
      <c r="E70" s="15" t="s">
        <v>682</v>
      </c>
      <c r="F70" s="15" t="s">
        <v>44</v>
      </c>
      <c r="G70" s="251"/>
      <c r="H70" s="10"/>
      <c r="I70" s="11"/>
      <c r="J70" s="11"/>
      <c r="K70" s="11"/>
      <c r="L70" s="11"/>
      <c r="M70" s="11"/>
      <c r="N70" s="11"/>
      <c r="O70" s="12"/>
      <c r="P70" s="11"/>
      <c r="Q70" s="13"/>
      <c r="R70" s="14"/>
    </row>
    <row r="71" spans="1:18" ht="15" customHeight="1" x14ac:dyDescent="0.3">
      <c r="A71" s="15" t="s">
        <v>26</v>
      </c>
      <c r="B71" s="15" t="s">
        <v>630</v>
      </c>
      <c r="C71" s="16">
        <v>0.44791666666666669</v>
      </c>
      <c r="D71" s="15" t="s">
        <v>34</v>
      </c>
      <c r="E71" s="15" t="s">
        <v>682</v>
      </c>
      <c r="F71" s="15" t="s">
        <v>629</v>
      </c>
      <c r="G71" s="251"/>
      <c r="H71" s="10"/>
      <c r="I71" s="11"/>
      <c r="J71" s="11"/>
      <c r="K71" s="11"/>
      <c r="L71" s="11"/>
      <c r="M71" s="11"/>
      <c r="N71" s="11"/>
      <c r="O71" s="12"/>
      <c r="P71" s="11"/>
      <c r="Q71" s="13"/>
      <c r="R71" s="14"/>
    </row>
    <row r="72" spans="1:18" ht="15" customHeight="1" x14ac:dyDescent="0.3">
      <c r="A72" s="17" t="s">
        <v>36</v>
      </c>
      <c r="B72" s="17" t="s">
        <v>638</v>
      </c>
      <c r="C72" s="18">
        <v>0.5</v>
      </c>
      <c r="D72" s="17" t="s">
        <v>38</v>
      </c>
      <c r="E72" s="17" t="s">
        <v>276</v>
      </c>
      <c r="F72" s="17" t="s">
        <v>40</v>
      </c>
      <c r="G72" s="251"/>
      <c r="H72" s="10"/>
      <c r="I72" s="11"/>
      <c r="J72" s="11"/>
      <c r="K72" s="11"/>
      <c r="L72" s="11"/>
      <c r="M72" s="11"/>
      <c r="N72" s="11"/>
      <c r="O72" s="12"/>
      <c r="P72" s="11"/>
      <c r="Q72" s="13"/>
      <c r="R72" s="14"/>
    </row>
    <row r="73" spans="1:18" ht="15" customHeight="1" x14ac:dyDescent="0.3">
      <c r="A73" s="15" t="s">
        <v>36</v>
      </c>
      <c r="B73" s="15" t="s">
        <v>638</v>
      </c>
      <c r="C73" s="16">
        <v>0.5</v>
      </c>
      <c r="D73" s="15" t="s">
        <v>41</v>
      </c>
      <c r="E73" s="15" t="s">
        <v>91</v>
      </c>
      <c r="F73" s="15" t="s">
        <v>33</v>
      </c>
      <c r="G73" s="251"/>
      <c r="H73" s="10"/>
      <c r="I73" s="11"/>
      <c r="J73" s="11"/>
      <c r="K73" s="11"/>
      <c r="L73" s="11"/>
      <c r="M73" s="11"/>
      <c r="N73" s="11"/>
      <c r="O73" s="12"/>
      <c r="P73" s="11"/>
      <c r="Q73" s="13"/>
      <c r="R73" s="14"/>
    </row>
    <row r="74" spans="1:18" ht="15" customHeight="1" x14ac:dyDescent="0.3">
      <c r="A74" s="15" t="s">
        <v>36</v>
      </c>
      <c r="B74" s="15" t="s">
        <v>638</v>
      </c>
      <c r="C74" s="16">
        <v>0.5</v>
      </c>
      <c r="D74" s="15" t="s">
        <v>43</v>
      </c>
      <c r="E74" s="15" t="s">
        <v>91</v>
      </c>
      <c r="F74" s="15" t="s">
        <v>44</v>
      </c>
      <c r="G74" s="251"/>
      <c r="H74" s="10"/>
      <c r="I74" s="11"/>
      <c r="J74" s="11"/>
      <c r="K74" s="11"/>
      <c r="L74" s="11"/>
      <c r="M74" s="11"/>
      <c r="N74" s="11"/>
      <c r="O74" s="12"/>
      <c r="P74" s="11"/>
      <c r="Q74" s="13"/>
      <c r="R74" s="14"/>
    </row>
    <row r="75" spans="1:18" ht="15" customHeight="1" x14ac:dyDescent="0.3">
      <c r="A75" s="19" t="s">
        <v>36</v>
      </c>
      <c r="B75" s="19" t="s">
        <v>641</v>
      </c>
      <c r="C75" s="20">
        <v>0.56597222222222221</v>
      </c>
      <c r="D75" s="19" t="s">
        <v>38</v>
      </c>
      <c r="E75" s="19" t="s">
        <v>46</v>
      </c>
      <c r="F75" s="19" t="s">
        <v>639</v>
      </c>
      <c r="G75" s="251"/>
      <c r="H75" s="10"/>
      <c r="I75" s="11"/>
      <c r="J75" s="11"/>
      <c r="K75" s="11"/>
      <c r="L75" s="11"/>
      <c r="M75" s="11"/>
      <c r="N75" s="11"/>
      <c r="O75" s="12"/>
      <c r="P75" s="11"/>
      <c r="Q75" s="13"/>
      <c r="R75" s="14"/>
    </row>
    <row r="76" spans="1:18" ht="15" customHeight="1" x14ac:dyDescent="0.3">
      <c r="A76" s="15" t="s">
        <v>36</v>
      </c>
      <c r="B76" s="15" t="s">
        <v>641</v>
      </c>
      <c r="C76" s="16">
        <v>0.56597222222222221</v>
      </c>
      <c r="D76" s="15" t="s">
        <v>41</v>
      </c>
      <c r="E76" s="15" t="s">
        <v>48</v>
      </c>
      <c r="F76" s="15" t="s">
        <v>640</v>
      </c>
      <c r="G76" s="251"/>
      <c r="H76" s="10"/>
      <c r="I76" s="11"/>
      <c r="J76" s="11"/>
      <c r="K76" s="11"/>
      <c r="L76" s="11"/>
      <c r="M76" s="11"/>
      <c r="N76" s="11"/>
      <c r="O76" s="12"/>
      <c r="P76" s="11"/>
      <c r="Q76" s="13"/>
      <c r="R76" s="14"/>
    </row>
    <row r="77" spans="1:18" ht="15" customHeight="1" x14ac:dyDescent="0.3">
      <c r="A77" s="15" t="s">
        <v>36</v>
      </c>
      <c r="B77" s="15" t="s">
        <v>641</v>
      </c>
      <c r="C77" s="16">
        <v>0.56597222222222221</v>
      </c>
      <c r="D77" s="15" t="s">
        <v>43</v>
      </c>
      <c r="E77" s="15" t="s">
        <v>48</v>
      </c>
      <c r="F77" s="15" t="s">
        <v>533</v>
      </c>
      <c r="G77" s="251"/>
      <c r="H77" s="10"/>
      <c r="I77" s="11"/>
      <c r="J77" s="11"/>
      <c r="K77" s="11"/>
      <c r="L77" s="11"/>
      <c r="M77" s="11"/>
      <c r="N77" s="11"/>
      <c r="O77" s="12"/>
      <c r="P77" s="11"/>
      <c r="Q77" s="13"/>
      <c r="R77" s="14"/>
    </row>
    <row r="78" spans="1:18" ht="15" customHeight="1" x14ac:dyDescent="0.3">
      <c r="A78" s="19" t="s">
        <v>36</v>
      </c>
      <c r="B78" s="19" t="s">
        <v>645</v>
      </c>
      <c r="C78" s="20">
        <v>0.82638888888888884</v>
      </c>
      <c r="D78" s="19" t="s">
        <v>38</v>
      </c>
      <c r="E78" s="19" t="s">
        <v>46</v>
      </c>
      <c r="F78" s="19" t="s">
        <v>372</v>
      </c>
      <c r="G78" s="251"/>
      <c r="H78" s="10"/>
      <c r="I78" s="11"/>
      <c r="J78" s="11"/>
      <c r="K78" s="11"/>
      <c r="L78" s="11"/>
      <c r="M78" s="11"/>
      <c r="N78" s="11"/>
      <c r="O78" s="12"/>
      <c r="P78" s="11"/>
      <c r="Q78" s="13"/>
      <c r="R78" s="14"/>
    </row>
    <row r="79" spans="1:18" ht="15" customHeight="1" x14ac:dyDescent="0.3">
      <c r="A79" s="15" t="s">
        <v>36</v>
      </c>
      <c r="B79" s="15" t="s">
        <v>645</v>
      </c>
      <c r="C79" s="16">
        <v>0.82638888888888884</v>
      </c>
      <c r="D79" s="15" t="s">
        <v>41</v>
      </c>
      <c r="E79" s="15" t="s">
        <v>48</v>
      </c>
      <c r="F79" s="15" t="s">
        <v>251</v>
      </c>
      <c r="G79" s="251"/>
      <c r="H79" s="10"/>
      <c r="I79" s="11"/>
      <c r="J79" s="11"/>
      <c r="K79" s="11"/>
      <c r="L79" s="11"/>
      <c r="M79" s="11"/>
      <c r="N79" s="11"/>
      <c r="O79" s="12"/>
      <c r="P79" s="11"/>
      <c r="Q79" s="13"/>
      <c r="R79" s="14"/>
    </row>
    <row r="80" spans="1:18" ht="15" customHeight="1" x14ac:dyDescent="0.3">
      <c r="A80" s="15" t="s">
        <v>36</v>
      </c>
      <c r="B80" s="15" t="s">
        <v>645</v>
      </c>
      <c r="C80" s="16">
        <v>0.82638888888888884</v>
      </c>
      <c r="D80" s="15" t="s">
        <v>43</v>
      </c>
      <c r="E80" s="15" t="s">
        <v>48</v>
      </c>
      <c r="F80" s="15" t="s">
        <v>246</v>
      </c>
      <c r="G80" s="251"/>
      <c r="H80" s="10"/>
      <c r="I80" s="11"/>
      <c r="J80" s="11"/>
      <c r="K80" s="11"/>
      <c r="L80" s="11"/>
      <c r="M80" s="11"/>
      <c r="N80" s="11"/>
      <c r="O80" s="12"/>
      <c r="P80" s="11"/>
      <c r="Q80" s="13"/>
      <c r="R80" s="14"/>
    </row>
    <row r="81" spans="1:18" ht="15" customHeight="1" x14ac:dyDescent="0.3">
      <c r="A81" s="19" t="s">
        <v>36</v>
      </c>
      <c r="B81" s="19" t="s">
        <v>635</v>
      </c>
      <c r="C81" s="20">
        <v>0.375</v>
      </c>
      <c r="D81" s="19" t="s">
        <v>38</v>
      </c>
      <c r="E81" s="19" t="s">
        <v>46</v>
      </c>
      <c r="F81" s="19" t="s">
        <v>372</v>
      </c>
      <c r="G81" s="251"/>
      <c r="H81" s="10"/>
      <c r="I81" s="11"/>
      <c r="J81" s="11"/>
      <c r="K81" s="11"/>
      <c r="L81" s="11"/>
      <c r="M81" s="11"/>
      <c r="N81" s="11"/>
      <c r="O81" s="12"/>
      <c r="P81" s="11"/>
      <c r="Q81" s="13"/>
      <c r="R81" s="14"/>
    </row>
    <row r="82" spans="1:18" ht="15" customHeight="1" x14ac:dyDescent="0.3">
      <c r="A82" s="15" t="s">
        <v>36</v>
      </c>
      <c r="B82" s="15" t="s">
        <v>635</v>
      </c>
      <c r="C82" s="16">
        <v>0.375</v>
      </c>
      <c r="D82" s="15" t="s">
        <v>41</v>
      </c>
      <c r="E82" s="15" t="s">
        <v>48</v>
      </c>
      <c r="F82" s="15" t="s">
        <v>251</v>
      </c>
      <c r="G82" s="251"/>
      <c r="H82" s="10"/>
      <c r="I82" s="11"/>
      <c r="J82" s="11"/>
      <c r="K82" s="11"/>
      <c r="L82" s="11"/>
      <c r="M82" s="11"/>
      <c r="N82" s="11"/>
      <c r="O82" s="12"/>
      <c r="P82" s="11"/>
      <c r="Q82" s="13"/>
      <c r="R82" s="14"/>
    </row>
    <row r="83" spans="1:18" ht="15" customHeight="1" x14ac:dyDescent="0.3">
      <c r="A83" s="15" t="s">
        <v>36</v>
      </c>
      <c r="B83" s="15" t="s">
        <v>635</v>
      </c>
      <c r="C83" s="16">
        <v>0.375</v>
      </c>
      <c r="D83" s="15" t="s">
        <v>43</v>
      </c>
      <c r="E83" s="15" t="s">
        <v>48</v>
      </c>
      <c r="F83" s="15" t="s">
        <v>246</v>
      </c>
      <c r="G83" s="251"/>
      <c r="H83" s="10"/>
      <c r="I83" s="11"/>
      <c r="J83" s="11"/>
      <c r="K83" s="11"/>
      <c r="L83" s="11"/>
      <c r="M83" s="11"/>
      <c r="N83" s="11"/>
      <c r="O83" s="12"/>
      <c r="P83" s="11"/>
      <c r="Q83" s="13"/>
      <c r="R83" s="14"/>
    </row>
    <row r="84" spans="1:18" ht="15" customHeight="1" x14ac:dyDescent="0.3">
      <c r="A84" s="19" t="s">
        <v>36</v>
      </c>
      <c r="B84" s="19" t="s">
        <v>636</v>
      </c>
      <c r="C84" s="20">
        <v>0.30555555555555552</v>
      </c>
      <c r="D84" s="19" t="s">
        <v>38</v>
      </c>
      <c r="E84" s="19" t="s">
        <v>46</v>
      </c>
      <c r="F84" s="19" t="s">
        <v>372</v>
      </c>
      <c r="G84" s="251"/>
      <c r="H84" s="10"/>
      <c r="I84" s="11"/>
      <c r="J84" s="11"/>
      <c r="K84" s="11"/>
      <c r="L84" s="11"/>
      <c r="M84" s="11"/>
      <c r="N84" s="11"/>
      <c r="O84" s="12"/>
      <c r="P84" s="11"/>
      <c r="Q84" s="13"/>
      <c r="R84" s="14"/>
    </row>
    <row r="85" spans="1:18" ht="15" customHeight="1" x14ac:dyDescent="0.3">
      <c r="A85" s="15" t="s">
        <v>36</v>
      </c>
      <c r="B85" s="15" t="s">
        <v>636</v>
      </c>
      <c r="C85" s="16">
        <v>0.30555555555555552</v>
      </c>
      <c r="D85" s="15" t="s">
        <v>41</v>
      </c>
      <c r="E85" s="15" t="s">
        <v>48</v>
      </c>
      <c r="F85" s="15" t="s">
        <v>251</v>
      </c>
      <c r="G85" s="251"/>
      <c r="H85" s="10"/>
      <c r="I85" s="11"/>
      <c r="J85" s="11"/>
      <c r="K85" s="11"/>
      <c r="L85" s="11"/>
      <c r="M85" s="11"/>
      <c r="N85" s="11"/>
      <c r="O85" s="12"/>
      <c r="P85" s="11"/>
      <c r="Q85" s="13"/>
      <c r="R85" s="14"/>
    </row>
    <row r="86" spans="1:18" ht="15" customHeight="1" x14ac:dyDescent="0.3">
      <c r="A86" s="15" t="s">
        <v>36</v>
      </c>
      <c r="B86" s="15" t="s">
        <v>636</v>
      </c>
      <c r="C86" s="16">
        <v>0.30555555555555552</v>
      </c>
      <c r="D86" s="15" t="s">
        <v>43</v>
      </c>
      <c r="E86" s="15" t="s">
        <v>48</v>
      </c>
      <c r="F86" s="15" t="s">
        <v>246</v>
      </c>
      <c r="G86" s="251"/>
      <c r="H86" s="10"/>
      <c r="I86" s="11"/>
      <c r="J86" s="11"/>
      <c r="K86" s="11"/>
      <c r="L86" s="11"/>
      <c r="M86" s="11"/>
      <c r="N86" s="11"/>
      <c r="O86" s="12"/>
      <c r="P86" s="11"/>
      <c r="Q86" s="13"/>
      <c r="R86" s="14"/>
    </row>
    <row r="87" spans="1:18" ht="15" customHeight="1" x14ac:dyDescent="0.3">
      <c r="A87" s="19" t="s">
        <v>36</v>
      </c>
      <c r="B87" s="19" t="s">
        <v>642</v>
      </c>
      <c r="C87" s="20">
        <v>0.6875</v>
      </c>
      <c r="D87" s="19" t="s">
        <v>38</v>
      </c>
      <c r="E87" s="19" t="s">
        <v>73</v>
      </c>
      <c r="F87" s="19" t="s">
        <v>372</v>
      </c>
      <c r="G87" s="251"/>
      <c r="H87" s="10"/>
      <c r="I87" s="11"/>
      <c r="J87" s="11"/>
      <c r="K87" s="11"/>
      <c r="L87" s="11"/>
      <c r="M87" s="11"/>
      <c r="N87" s="11"/>
      <c r="O87" s="12"/>
      <c r="P87" s="11"/>
      <c r="Q87" s="13"/>
      <c r="R87" s="14"/>
    </row>
    <row r="88" spans="1:18" ht="15" customHeight="1" x14ac:dyDescent="0.3">
      <c r="A88" s="15" t="s">
        <v>36</v>
      </c>
      <c r="B88" s="15" t="s">
        <v>642</v>
      </c>
      <c r="C88" s="16">
        <v>0.6875</v>
      </c>
      <c r="D88" s="15" t="s">
        <v>41</v>
      </c>
      <c r="E88" s="15" t="s">
        <v>93</v>
      </c>
      <c r="F88" s="15" t="s">
        <v>251</v>
      </c>
      <c r="G88" s="251"/>
      <c r="H88" s="10"/>
      <c r="I88" s="11"/>
      <c r="J88" s="11"/>
      <c r="K88" s="11"/>
      <c r="L88" s="11"/>
      <c r="M88" s="11"/>
      <c r="N88" s="11"/>
      <c r="O88" s="12"/>
      <c r="P88" s="11"/>
      <c r="Q88" s="13"/>
      <c r="R88" s="14"/>
    </row>
    <row r="89" spans="1:18" ht="15" customHeight="1" x14ac:dyDescent="0.3">
      <c r="A89" s="15" t="s">
        <v>36</v>
      </c>
      <c r="B89" s="15" t="s">
        <v>642</v>
      </c>
      <c r="C89" s="16">
        <v>0.6875</v>
      </c>
      <c r="D89" s="15" t="s">
        <v>43</v>
      </c>
      <c r="E89" s="15" t="s">
        <v>93</v>
      </c>
      <c r="F89" s="15" t="s">
        <v>246</v>
      </c>
      <c r="G89" s="251"/>
      <c r="H89" s="10"/>
      <c r="I89" s="11"/>
      <c r="J89" s="11"/>
      <c r="K89" s="11"/>
      <c r="L89" s="11"/>
      <c r="M89" s="11"/>
      <c r="N89" s="11"/>
      <c r="O89" s="12"/>
      <c r="P89" s="11"/>
      <c r="Q89" s="13"/>
      <c r="R89" s="14"/>
    </row>
    <row r="90" spans="1:18" ht="15" customHeight="1" x14ac:dyDescent="0.3">
      <c r="A90" s="19" t="s">
        <v>36</v>
      </c>
      <c r="B90" s="19" t="s">
        <v>637</v>
      </c>
      <c r="C90" s="20">
        <v>0.42708333333333331</v>
      </c>
      <c r="D90" s="19" t="s">
        <v>38</v>
      </c>
      <c r="E90" s="19" t="s">
        <v>46</v>
      </c>
      <c r="F90" s="19" t="s">
        <v>372</v>
      </c>
      <c r="G90" s="251"/>
      <c r="H90" s="10"/>
      <c r="I90" s="11"/>
      <c r="J90" s="11"/>
      <c r="K90" s="11"/>
      <c r="L90" s="11"/>
      <c r="M90" s="11"/>
      <c r="N90" s="11"/>
      <c r="O90" s="12"/>
      <c r="P90" s="11"/>
      <c r="Q90" s="13"/>
      <c r="R90" s="14"/>
    </row>
    <row r="91" spans="1:18" ht="15" customHeight="1" x14ac:dyDescent="0.3">
      <c r="A91" s="15" t="s">
        <v>36</v>
      </c>
      <c r="B91" s="15" t="s">
        <v>637</v>
      </c>
      <c r="C91" s="16">
        <v>0.42708333333333331</v>
      </c>
      <c r="D91" s="15" t="s">
        <v>41</v>
      </c>
      <c r="E91" s="15" t="s">
        <v>48</v>
      </c>
      <c r="F91" s="15" t="s">
        <v>251</v>
      </c>
      <c r="G91" s="251"/>
      <c r="H91" s="10"/>
      <c r="I91" s="11"/>
      <c r="J91" s="11"/>
      <c r="K91" s="11"/>
      <c r="L91" s="11"/>
      <c r="M91" s="11"/>
      <c r="N91" s="11"/>
      <c r="O91" s="12"/>
      <c r="P91" s="11"/>
      <c r="Q91" s="13"/>
      <c r="R91" s="14"/>
    </row>
    <row r="92" spans="1:18" ht="15" customHeight="1" x14ac:dyDescent="0.3">
      <c r="A92" s="15" t="s">
        <v>36</v>
      </c>
      <c r="B92" s="15" t="s">
        <v>637</v>
      </c>
      <c r="C92" s="16">
        <v>0.42708333333333331</v>
      </c>
      <c r="D92" s="15" t="s">
        <v>43</v>
      </c>
      <c r="E92" s="15" t="s">
        <v>48</v>
      </c>
      <c r="F92" s="15" t="s">
        <v>246</v>
      </c>
      <c r="G92" s="251"/>
      <c r="H92" s="10"/>
      <c r="I92" s="11"/>
      <c r="J92" s="11"/>
      <c r="K92" s="11"/>
      <c r="L92" s="11"/>
      <c r="M92" s="11"/>
      <c r="N92" s="11"/>
      <c r="O92" s="12"/>
      <c r="P92" s="11"/>
      <c r="Q92" s="13"/>
      <c r="R92" s="14"/>
    </row>
    <row r="93" spans="1:18" ht="15" customHeight="1" x14ac:dyDescent="0.3">
      <c r="A93" s="192" t="s">
        <v>80</v>
      </c>
      <c r="B93" s="192" t="s">
        <v>690</v>
      </c>
      <c r="C93" s="193">
        <v>0.92361111111111116</v>
      </c>
      <c r="D93" s="192" t="s">
        <v>182</v>
      </c>
      <c r="E93" s="192" t="s">
        <v>183</v>
      </c>
      <c r="F93" s="192" t="s">
        <v>691</v>
      </c>
      <c r="G93" s="251"/>
      <c r="H93" s="132" t="s">
        <v>692</v>
      </c>
      <c r="I93" s="194">
        <v>0.75</v>
      </c>
      <c r="J93" s="134">
        <v>126</v>
      </c>
      <c r="K93" s="135" t="s">
        <v>186</v>
      </c>
      <c r="L93" s="134">
        <v>45</v>
      </c>
      <c r="M93" s="134">
        <v>0</v>
      </c>
      <c r="N93" s="134">
        <v>11</v>
      </c>
      <c r="O93" s="136" t="s">
        <v>157</v>
      </c>
      <c r="P93" s="137">
        <v>0.92361111111111116</v>
      </c>
      <c r="Q93" s="134">
        <v>168</v>
      </c>
      <c r="R93" s="138" t="s">
        <v>693</v>
      </c>
    </row>
    <row r="94" spans="1:18" ht="15" customHeight="1" x14ac:dyDescent="0.3">
      <c r="A94" s="128" t="s">
        <v>80</v>
      </c>
      <c r="B94" s="128" t="s">
        <v>654</v>
      </c>
      <c r="C94" s="129">
        <v>0.60416666666666663</v>
      </c>
      <c r="D94" s="128" t="s">
        <v>182</v>
      </c>
      <c r="E94" s="128" t="s">
        <v>57</v>
      </c>
      <c r="F94" s="128" t="s">
        <v>694</v>
      </c>
      <c r="G94" s="251"/>
      <c r="H94" s="82" t="s">
        <v>656</v>
      </c>
      <c r="I94" s="118">
        <v>0.8155</v>
      </c>
      <c r="J94" s="84">
        <v>137</v>
      </c>
      <c r="K94" s="85" t="s">
        <v>284</v>
      </c>
      <c r="L94" s="84">
        <v>35</v>
      </c>
      <c r="M94" s="84">
        <v>1</v>
      </c>
      <c r="N94" s="84">
        <v>6</v>
      </c>
      <c r="O94" s="86" t="s">
        <v>695</v>
      </c>
      <c r="P94" s="87">
        <v>0.60416666666666663</v>
      </c>
      <c r="Q94" s="84">
        <v>168</v>
      </c>
      <c r="R94" s="88" t="s">
        <v>696</v>
      </c>
    </row>
    <row r="95" spans="1:18" ht="15" customHeight="1" x14ac:dyDescent="0.3">
      <c r="A95" s="17" t="s">
        <v>261</v>
      </c>
      <c r="B95" s="17" t="s">
        <v>649</v>
      </c>
      <c r="C95" s="18">
        <v>0.27777777777777779</v>
      </c>
      <c r="D95" s="17" t="s">
        <v>263</v>
      </c>
      <c r="E95" s="17" t="s">
        <v>183</v>
      </c>
      <c r="F95" s="17" t="s">
        <v>651</v>
      </c>
      <c r="G95" s="251"/>
      <c r="H95" s="10"/>
      <c r="I95" s="11"/>
      <c r="J95" s="11"/>
      <c r="K95" s="11"/>
      <c r="L95" s="11"/>
      <c r="M95" s="11"/>
      <c r="N95" s="11"/>
      <c r="O95" s="12"/>
      <c r="P95" s="11"/>
      <c r="Q95" s="13"/>
      <c r="R95" s="14"/>
    </row>
    <row r="96" spans="1:18" ht="15" customHeight="1" x14ac:dyDescent="0.3">
      <c r="A96" s="17" t="s">
        <v>273</v>
      </c>
      <c r="B96" s="17" t="s">
        <v>658</v>
      </c>
      <c r="C96" s="18">
        <v>0.39583333333333331</v>
      </c>
      <c r="D96" s="17" t="s">
        <v>263</v>
      </c>
      <c r="E96" s="17" t="s">
        <v>276</v>
      </c>
      <c r="F96" s="17" t="s">
        <v>662</v>
      </c>
      <c r="G96" s="251"/>
      <c r="H96" s="10"/>
      <c r="I96" s="11"/>
      <c r="J96" s="11"/>
      <c r="K96" s="11"/>
      <c r="L96" s="11"/>
      <c r="M96" s="11"/>
      <c r="N96" s="11"/>
      <c r="O96" s="12"/>
      <c r="P96" s="11"/>
      <c r="Q96" s="13"/>
      <c r="R96" s="14"/>
    </row>
    <row r="97" spans="1:18" ht="15" customHeight="1" x14ac:dyDescent="0.3">
      <c r="A97" s="17" t="s">
        <v>51</v>
      </c>
      <c r="B97" s="17" t="s">
        <v>667</v>
      </c>
      <c r="C97" s="18">
        <v>0.91666666666666663</v>
      </c>
      <c r="D97" s="17" t="s">
        <v>53</v>
      </c>
      <c r="E97" s="17" t="s">
        <v>54</v>
      </c>
      <c r="F97" s="17" t="s">
        <v>697</v>
      </c>
      <c r="G97" s="251"/>
      <c r="H97" s="10"/>
      <c r="I97" s="11"/>
      <c r="J97" s="11"/>
      <c r="K97" s="11"/>
      <c r="L97" s="11"/>
      <c r="M97" s="11"/>
      <c r="N97" s="11"/>
      <c r="O97" s="12"/>
      <c r="P97" s="11"/>
      <c r="Q97" s="13"/>
      <c r="R97" s="14"/>
    </row>
    <row r="98" spans="1:18" ht="15" customHeight="1" x14ac:dyDescent="0.3">
      <c r="A98" s="19" t="s">
        <v>51</v>
      </c>
      <c r="B98" s="19" t="s">
        <v>665</v>
      </c>
      <c r="C98" s="20">
        <v>0.54166666666666663</v>
      </c>
      <c r="D98" s="19" t="s">
        <v>53</v>
      </c>
      <c r="E98" s="19" t="s">
        <v>89</v>
      </c>
      <c r="F98" s="19" t="s">
        <v>664</v>
      </c>
      <c r="G98" s="251"/>
      <c r="H98" s="10"/>
      <c r="I98" s="11"/>
      <c r="J98" s="11"/>
      <c r="K98" s="11"/>
      <c r="L98" s="11"/>
      <c r="M98" s="11"/>
      <c r="N98" s="11"/>
      <c r="O98" s="12"/>
      <c r="P98" s="11"/>
      <c r="Q98" s="13"/>
      <c r="R98" s="14"/>
    </row>
    <row r="99" spans="1:18" ht="15" customHeight="1" x14ac:dyDescent="0.3">
      <c r="A99" s="17" t="s">
        <v>64</v>
      </c>
      <c r="B99" s="17" t="s">
        <v>698</v>
      </c>
      <c r="C99" s="18">
        <v>0.83680555555555547</v>
      </c>
      <c r="D99" s="17" t="s">
        <v>66</v>
      </c>
      <c r="E99" s="17" t="s">
        <v>54</v>
      </c>
      <c r="F99" s="17" t="s">
        <v>63</v>
      </c>
      <c r="G99" s="251"/>
      <c r="H99" s="10"/>
      <c r="I99" s="11"/>
      <c r="J99" s="11"/>
      <c r="K99" s="11"/>
      <c r="L99" s="11"/>
      <c r="M99" s="11"/>
      <c r="N99" s="11"/>
      <c r="O99" s="12"/>
      <c r="P99" s="11"/>
      <c r="Q99" s="13"/>
      <c r="R99" s="14"/>
    </row>
    <row r="100" spans="1:18" ht="15" customHeight="1" x14ac:dyDescent="0.3">
      <c r="A100" s="15" t="s">
        <v>64</v>
      </c>
      <c r="B100" s="15" t="s">
        <v>698</v>
      </c>
      <c r="C100" s="16">
        <v>0.83680555555555547</v>
      </c>
      <c r="D100" s="15" t="s">
        <v>68</v>
      </c>
      <c r="E100" s="15" t="s">
        <v>69</v>
      </c>
      <c r="F100" s="15" t="s">
        <v>699</v>
      </c>
      <c r="G100" s="251"/>
      <c r="H100" s="10"/>
      <c r="I100" s="11"/>
      <c r="J100" s="11"/>
      <c r="K100" s="11"/>
      <c r="L100" s="11"/>
      <c r="M100" s="11"/>
      <c r="N100" s="11"/>
      <c r="O100" s="12"/>
      <c r="P100" s="11"/>
      <c r="Q100" s="13"/>
      <c r="R100" s="14"/>
    </row>
    <row r="101" spans="1:18" ht="15" customHeight="1" x14ac:dyDescent="0.3">
      <c r="A101" s="19" t="s">
        <v>64</v>
      </c>
      <c r="B101" s="19" t="s">
        <v>669</v>
      </c>
      <c r="C101" s="20">
        <v>0.2986111111111111</v>
      </c>
      <c r="D101" s="19" t="s">
        <v>66</v>
      </c>
      <c r="E101" s="19" t="s">
        <v>57</v>
      </c>
      <c r="F101" s="19" t="s">
        <v>63</v>
      </c>
      <c r="G101" s="251"/>
      <c r="H101" s="10"/>
      <c r="I101" s="11"/>
      <c r="J101" s="11"/>
      <c r="K101" s="11"/>
      <c r="L101" s="11"/>
      <c r="M101" s="11"/>
      <c r="N101" s="11"/>
      <c r="O101" s="12"/>
      <c r="P101" s="11"/>
      <c r="Q101" s="13"/>
      <c r="R101" s="14"/>
    </row>
    <row r="102" spans="1:18" ht="15" customHeight="1" x14ac:dyDescent="0.3">
      <c r="A102" s="15" t="s">
        <v>64</v>
      </c>
      <c r="B102" s="15" t="s">
        <v>669</v>
      </c>
      <c r="C102" s="16">
        <v>0.2986111111111111</v>
      </c>
      <c r="D102" s="15" t="s">
        <v>68</v>
      </c>
      <c r="E102" s="15" t="s">
        <v>69</v>
      </c>
      <c r="F102" s="15" t="s">
        <v>699</v>
      </c>
      <c r="G102" s="251"/>
      <c r="H102" s="10"/>
      <c r="I102" s="11"/>
      <c r="J102" s="11"/>
      <c r="K102" s="11"/>
      <c r="L102" s="11"/>
      <c r="M102" s="11"/>
      <c r="N102" s="11"/>
      <c r="O102" s="12"/>
      <c r="P102" s="11"/>
      <c r="Q102" s="13"/>
      <c r="R102" s="14"/>
    </row>
    <row r="103" spans="1:18" ht="15" customHeight="1" x14ac:dyDescent="0.3">
      <c r="A103" s="19" t="s">
        <v>64</v>
      </c>
      <c r="B103" s="19" t="s">
        <v>675</v>
      </c>
      <c r="C103" s="20">
        <v>0.5</v>
      </c>
      <c r="D103" s="19" t="s">
        <v>68</v>
      </c>
      <c r="E103" s="19" t="s">
        <v>73</v>
      </c>
      <c r="F103" s="19" t="s">
        <v>676</v>
      </c>
      <c r="G103" s="251"/>
      <c r="H103" s="10"/>
      <c r="I103" s="11"/>
      <c r="J103" s="11"/>
      <c r="K103" s="11"/>
      <c r="L103" s="11"/>
      <c r="M103" s="11"/>
      <c r="N103" s="11"/>
      <c r="O103" s="12"/>
      <c r="P103" s="11"/>
      <c r="Q103" s="13"/>
      <c r="R103" s="14"/>
    </row>
    <row r="104" spans="1:18" ht="15" customHeight="1" x14ac:dyDescent="0.3">
      <c r="A104" s="19" t="s">
        <v>64</v>
      </c>
      <c r="B104" s="19" t="s">
        <v>700</v>
      </c>
      <c r="C104" s="20">
        <v>0.76041666666666663</v>
      </c>
      <c r="D104" s="19" t="s">
        <v>68</v>
      </c>
      <c r="E104" s="19" t="s">
        <v>73</v>
      </c>
      <c r="F104" s="19" t="s">
        <v>676</v>
      </c>
      <c r="G104" s="251"/>
      <c r="H104" s="10"/>
      <c r="I104" s="11"/>
      <c r="J104" s="11"/>
      <c r="K104" s="11"/>
      <c r="L104" s="11"/>
      <c r="M104" s="11"/>
      <c r="N104" s="11"/>
      <c r="O104" s="12"/>
      <c r="P104" s="11"/>
      <c r="Q104" s="13"/>
      <c r="R104" s="14"/>
    </row>
    <row r="105" spans="1:18" ht="15" customHeight="1" x14ac:dyDescent="0.3">
      <c r="A105" s="19" t="s">
        <v>64</v>
      </c>
      <c r="B105" s="19" t="s">
        <v>701</v>
      </c>
      <c r="C105" s="20">
        <v>0.81597222222222221</v>
      </c>
      <c r="D105" s="19" t="s">
        <v>68</v>
      </c>
      <c r="E105" s="19" t="s">
        <v>73</v>
      </c>
      <c r="F105" s="19" t="s">
        <v>676</v>
      </c>
      <c r="G105" s="251"/>
      <c r="H105" s="10"/>
      <c r="I105" s="11"/>
      <c r="J105" s="11"/>
      <c r="K105" s="11"/>
      <c r="L105" s="11"/>
      <c r="M105" s="11"/>
      <c r="N105" s="11"/>
      <c r="O105" s="12"/>
      <c r="P105" s="11"/>
      <c r="Q105" s="13"/>
      <c r="R105" s="14"/>
    </row>
    <row r="106" spans="1:18" ht="15" customHeight="1" x14ac:dyDescent="0.3">
      <c r="A106" s="19" t="s">
        <v>64</v>
      </c>
      <c r="B106" s="19" t="s">
        <v>677</v>
      </c>
      <c r="C106" s="20">
        <v>0.68402777777777779</v>
      </c>
      <c r="D106" s="19" t="s">
        <v>66</v>
      </c>
      <c r="E106" s="19" t="s">
        <v>57</v>
      </c>
      <c r="F106" s="19" t="s">
        <v>702</v>
      </c>
      <c r="G106" s="251"/>
      <c r="H106" s="10"/>
      <c r="I106" s="11"/>
      <c r="J106" s="11"/>
      <c r="K106" s="11"/>
      <c r="L106" s="11"/>
      <c r="M106" s="11"/>
      <c r="N106" s="11"/>
      <c r="O106" s="12"/>
      <c r="P106" s="11"/>
      <c r="Q106" s="13"/>
      <c r="R106" s="14"/>
    </row>
    <row r="107" spans="1:18" ht="15" customHeight="1" x14ac:dyDescent="0.3">
      <c r="A107" s="15" t="s">
        <v>64</v>
      </c>
      <c r="B107" s="15" t="s">
        <v>677</v>
      </c>
      <c r="C107" s="16">
        <v>0.68402777777777779</v>
      </c>
      <c r="D107" s="15" t="s">
        <v>68</v>
      </c>
      <c r="E107" s="15" t="s">
        <v>69</v>
      </c>
      <c r="F107" s="15" t="s">
        <v>703</v>
      </c>
      <c r="G107" s="251"/>
      <c r="H107" s="10"/>
      <c r="I107" s="11"/>
      <c r="J107" s="11"/>
      <c r="K107" s="11"/>
      <c r="L107" s="11"/>
      <c r="M107" s="11"/>
      <c r="N107" s="11"/>
      <c r="O107" s="12"/>
      <c r="P107" s="11"/>
      <c r="Q107" s="13"/>
      <c r="R107" s="14"/>
    </row>
    <row r="108" spans="1:18" ht="15" customHeight="1" x14ac:dyDescent="0.3">
      <c r="A108" s="19" t="s">
        <v>64</v>
      </c>
      <c r="B108" s="19" t="s">
        <v>672</v>
      </c>
      <c r="C108" s="20">
        <v>0.4826388888888889</v>
      </c>
      <c r="D108" s="19" t="s">
        <v>66</v>
      </c>
      <c r="E108" s="19" t="s">
        <v>57</v>
      </c>
      <c r="F108" s="19" t="s">
        <v>702</v>
      </c>
      <c r="G108" s="251"/>
      <c r="H108" s="10"/>
      <c r="I108" s="11"/>
      <c r="J108" s="11"/>
      <c r="K108" s="11"/>
      <c r="L108" s="11"/>
      <c r="M108" s="11"/>
      <c r="N108" s="11"/>
      <c r="O108" s="12"/>
      <c r="P108" s="11"/>
      <c r="Q108" s="13"/>
      <c r="R108" s="14"/>
    </row>
    <row r="109" spans="1:18" ht="15" customHeight="1" thickBot="1" x14ac:dyDescent="0.35">
      <c r="A109" s="39" t="s">
        <v>64</v>
      </c>
      <c r="B109" s="39" t="s">
        <v>672</v>
      </c>
      <c r="C109" s="40">
        <v>0.4826388888888889</v>
      </c>
      <c r="D109" s="39" t="s">
        <v>68</v>
      </c>
      <c r="E109" s="39" t="s">
        <v>69</v>
      </c>
      <c r="F109" s="39" t="s">
        <v>703</v>
      </c>
      <c r="G109" s="252"/>
      <c r="H109" s="41"/>
      <c r="I109" s="42"/>
      <c r="J109" s="42"/>
      <c r="K109" s="42"/>
      <c r="L109" s="42"/>
      <c r="M109" s="42"/>
      <c r="N109" s="42"/>
      <c r="O109" s="43"/>
      <c r="P109" s="42"/>
      <c r="Q109" s="44"/>
      <c r="R109" s="45"/>
    </row>
    <row r="110" spans="1:18" ht="17.399999999999999" customHeight="1" thickBot="1" x14ac:dyDescent="0.35">
      <c r="A110" s="282"/>
      <c r="B110" s="283"/>
      <c r="C110" s="283"/>
      <c r="D110" s="283"/>
      <c r="E110" s="283"/>
      <c r="F110" s="283"/>
      <c r="G110" s="283"/>
      <c r="H110" s="283"/>
      <c r="I110" s="283"/>
      <c r="J110" s="283"/>
      <c r="K110" s="283"/>
      <c r="L110" s="283"/>
      <c r="M110" s="283"/>
      <c r="N110" s="283"/>
      <c r="O110" s="283"/>
      <c r="P110" s="283"/>
      <c r="Q110" s="283"/>
      <c r="R110" s="284"/>
    </row>
    <row r="111" spans="1:18" ht="22.05" customHeight="1" thickTop="1" thickBot="1" x14ac:dyDescent="0.35">
      <c r="A111" s="261" t="s">
        <v>6</v>
      </c>
      <c r="B111" s="254"/>
      <c r="C111" s="254"/>
      <c r="D111" s="254"/>
      <c r="E111" s="254"/>
      <c r="F111" s="255"/>
      <c r="G111" s="31">
        <v>45983</v>
      </c>
      <c r="H111" s="253" t="s">
        <v>7</v>
      </c>
      <c r="I111" s="254"/>
      <c r="J111" s="254"/>
      <c r="K111" s="254"/>
      <c r="L111" s="254"/>
      <c r="M111" s="254"/>
      <c r="N111" s="254"/>
      <c r="O111" s="254"/>
      <c r="P111" s="254"/>
      <c r="Q111" s="254"/>
      <c r="R111" s="255"/>
    </row>
    <row r="112" spans="1:18" ht="24" customHeight="1" x14ac:dyDescent="0.3">
      <c r="A112" s="32" t="s">
        <v>8</v>
      </c>
      <c r="B112" s="32" t="s">
        <v>9</v>
      </c>
      <c r="C112" s="33" t="s">
        <v>10</v>
      </c>
      <c r="D112" s="32" t="s">
        <v>11</v>
      </c>
      <c r="E112" s="32" t="s">
        <v>12</v>
      </c>
      <c r="F112" s="34" t="s">
        <v>13</v>
      </c>
      <c r="G112" s="35" t="s">
        <v>14</v>
      </c>
      <c r="H112" s="32" t="s">
        <v>15</v>
      </c>
      <c r="I112" s="36" t="s">
        <v>16</v>
      </c>
      <c r="J112" s="37" t="s">
        <v>17</v>
      </c>
      <c r="K112" s="38" t="s">
        <v>18</v>
      </c>
      <c r="L112" s="37" t="s">
        <v>19</v>
      </c>
      <c r="M112" s="37" t="s">
        <v>20</v>
      </c>
      <c r="N112" s="37" t="s">
        <v>21</v>
      </c>
      <c r="O112" s="32" t="s">
        <v>22</v>
      </c>
      <c r="P112" s="33" t="s">
        <v>23</v>
      </c>
      <c r="Q112" s="37" t="s">
        <v>24</v>
      </c>
      <c r="R112" s="32" t="s">
        <v>25</v>
      </c>
    </row>
    <row r="113" spans="1:18" ht="15" customHeight="1" x14ac:dyDescent="0.3">
      <c r="A113" s="8" t="s">
        <v>26</v>
      </c>
      <c r="B113" s="8" t="s">
        <v>627</v>
      </c>
      <c r="C113" s="9">
        <v>0.5</v>
      </c>
      <c r="D113" s="8" t="s">
        <v>704</v>
      </c>
      <c r="E113" s="8" t="s">
        <v>354</v>
      </c>
      <c r="F113" s="8" t="s">
        <v>705</v>
      </c>
      <c r="G113" s="250"/>
      <c r="H113" s="10"/>
      <c r="I113" s="11"/>
      <c r="J113" s="11"/>
      <c r="K113" s="11"/>
      <c r="L113" s="11"/>
      <c r="M113" s="11"/>
      <c r="N113" s="11"/>
      <c r="O113" s="12"/>
      <c r="P113" s="11"/>
      <c r="Q113" s="13"/>
      <c r="R113" s="14"/>
    </row>
    <row r="114" spans="1:18" ht="15" customHeight="1" x14ac:dyDescent="0.3">
      <c r="A114" s="19" t="s">
        <v>26</v>
      </c>
      <c r="B114" s="19" t="s">
        <v>633</v>
      </c>
      <c r="C114" s="20">
        <v>0.81597222222222221</v>
      </c>
      <c r="D114" s="19" t="s">
        <v>704</v>
      </c>
      <c r="E114" s="19" t="s">
        <v>688</v>
      </c>
      <c r="F114" s="19" t="s">
        <v>705</v>
      </c>
      <c r="G114" s="251"/>
      <c r="H114" s="10"/>
      <c r="I114" s="11"/>
      <c r="J114" s="11"/>
      <c r="K114" s="11"/>
      <c r="L114" s="11"/>
      <c r="M114" s="11"/>
      <c r="N114" s="11"/>
      <c r="O114" s="12"/>
      <c r="P114" s="11"/>
      <c r="Q114" s="13"/>
      <c r="R114" s="14"/>
    </row>
    <row r="115" spans="1:18" ht="15" customHeight="1" x14ac:dyDescent="0.3">
      <c r="A115" s="19" t="s">
        <v>26</v>
      </c>
      <c r="B115" s="19" t="s">
        <v>631</v>
      </c>
      <c r="C115" s="20">
        <v>0.76041666666666663</v>
      </c>
      <c r="D115" s="19" t="s">
        <v>704</v>
      </c>
      <c r="E115" s="19" t="s">
        <v>373</v>
      </c>
      <c r="F115" s="19" t="s">
        <v>706</v>
      </c>
      <c r="G115" s="251"/>
      <c r="H115" s="10"/>
      <c r="I115" s="11"/>
      <c r="J115" s="11"/>
      <c r="K115" s="11"/>
      <c r="L115" s="11"/>
      <c r="M115" s="11"/>
      <c r="N115" s="11"/>
      <c r="O115" s="12"/>
      <c r="P115" s="11"/>
      <c r="Q115" s="13"/>
      <c r="R115" s="14"/>
    </row>
    <row r="116" spans="1:18" ht="15" customHeight="1" x14ac:dyDescent="0.3">
      <c r="A116" s="19" t="s">
        <v>26</v>
      </c>
      <c r="B116" s="19" t="s">
        <v>630</v>
      </c>
      <c r="C116" s="20">
        <v>0.44791666666666669</v>
      </c>
      <c r="D116" s="19" t="s">
        <v>704</v>
      </c>
      <c r="E116" s="19" t="s">
        <v>375</v>
      </c>
      <c r="F116" s="19" t="s">
        <v>706</v>
      </c>
      <c r="G116" s="251"/>
      <c r="H116" s="10"/>
      <c r="I116" s="11"/>
      <c r="J116" s="11"/>
      <c r="K116" s="11"/>
      <c r="L116" s="11"/>
      <c r="M116" s="11"/>
      <c r="N116" s="11"/>
      <c r="O116" s="12"/>
      <c r="P116" s="11"/>
      <c r="Q116" s="13"/>
      <c r="R116" s="14"/>
    </row>
    <row r="117" spans="1:18" ht="15" customHeight="1" x14ac:dyDescent="0.3">
      <c r="A117" s="17" t="s">
        <v>261</v>
      </c>
      <c r="B117" s="17" t="s">
        <v>649</v>
      </c>
      <c r="C117" s="18">
        <v>0.27430555555555552</v>
      </c>
      <c r="D117" s="17" t="s">
        <v>263</v>
      </c>
      <c r="E117" s="17" t="s">
        <v>104</v>
      </c>
      <c r="F117" s="17" t="s">
        <v>707</v>
      </c>
      <c r="G117" s="251"/>
      <c r="H117" s="10"/>
      <c r="I117" s="11"/>
      <c r="J117" s="11"/>
      <c r="K117" s="11"/>
      <c r="L117" s="11"/>
      <c r="M117" s="11"/>
      <c r="N117" s="11"/>
      <c r="O117" s="12"/>
      <c r="P117" s="11"/>
      <c r="Q117" s="13"/>
      <c r="R117" s="14"/>
    </row>
    <row r="118" spans="1:18" ht="15" customHeight="1" x14ac:dyDescent="0.3">
      <c r="A118" s="17" t="s">
        <v>273</v>
      </c>
      <c r="B118" s="17" t="s">
        <v>708</v>
      </c>
      <c r="C118" s="18">
        <v>0.66319444444444442</v>
      </c>
      <c r="D118" s="17" t="s">
        <v>263</v>
      </c>
      <c r="E118" s="17" t="s">
        <v>54</v>
      </c>
      <c r="F118" s="17" t="s">
        <v>709</v>
      </c>
      <c r="G118" s="251"/>
      <c r="H118" s="10"/>
      <c r="I118" s="11"/>
      <c r="J118" s="11"/>
      <c r="K118" s="11"/>
      <c r="L118" s="11"/>
      <c r="M118" s="11"/>
      <c r="N118" s="11"/>
      <c r="O118" s="12"/>
      <c r="P118" s="11"/>
      <c r="Q118" s="13"/>
      <c r="R118" s="14"/>
    </row>
    <row r="119" spans="1:18" ht="15" customHeight="1" x14ac:dyDescent="0.3">
      <c r="A119" s="17" t="s">
        <v>36</v>
      </c>
      <c r="B119" s="17" t="s">
        <v>638</v>
      </c>
      <c r="C119" s="18">
        <v>0.5</v>
      </c>
      <c r="D119" s="17" t="s">
        <v>38</v>
      </c>
      <c r="E119" s="17" t="s">
        <v>98</v>
      </c>
      <c r="F119" s="17" t="s">
        <v>710</v>
      </c>
      <c r="G119" s="251"/>
      <c r="H119" s="10"/>
      <c r="I119" s="11"/>
      <c r="J119" s="11"/>
      <c r="K119" s="11"/>
      <c r="L119" s="11"/>
      <c r="M119" s="11"/>
      <c r="N119" s="11"/>
      <c r="O119" s="12"/>
      <c r="P119" s="11"/>
      <c r="Q119" s="13"/>
      <c r="R119" s="14"/>
    </row>
    <row r="120" spans="1:18" ht="15" customHeight="1" x14ac:dyDescent="0.3">
      <c r="A120" s="15" t="s">
        <v>36</v>
      </c>
      <c r="B120" s="15" t="s">
        <v>638</v>
      </c>
      <c r="C120" s="16">
        <v>0.5</v>
      </c>
      <c r="D120" s="15" t="s">
        <v>41</v>
      </c>
      <c r="E120" s="15" t="s">
        <v>100</v>
      </c>
      <c r="F120" s="15" t="s">
        <v>340</v>
      </c>
      <c r="G120" s="251"/>
      <c r="H120" s="10"/>
      <c r="I120" s="11"/>
      <c r="J120" s="11"/>
      <c r="K120" s="11"/>
      <c r="L120" s="11"/>
      <c r="M120" s="11"/>
      <c r="N120" s="11"/>
      <c r="O120" s="12"/>
      <c r="P120" s="11"/>
      <c r="Q120" s="13"/>
      <c r="R120" s="14"/>
    </row>
    <row r="121" spans="1:18" ht="15" customHeight="1" x14ac:dyDescent="0.3">
      <c r="A121" s="15" t="s">
        <v>36</v>
      </c>
      <c r="B121" s="15" t="s">
        <v>638</v>
      </c>
      <c r="C121" s="16">
        <v>0.5</v>
      </c>
      <c r="D121" s="15" t="s">
        <v>43</v>
      </c>
      <c r="E121" s="15" t="s">
        <v>100</v>
      </c>
      <c r="F121" s="15" t="s">
        <v>711</v>
      </c>
      <c r="G121" s="251"/>
      <c r="H121" s="10"/>
      <c r="I121" s="11"/>
      <c r="J121" s="11"/>
      <c r="K121" s="11"/>
      <c r="L121" s="11"/>
      <c r="M121" s="11"/>
      <c r="N121" s="11"/>
      <c r="O121" s="12"/>
      <c r="P121" s="11"/>
      <c r="Q121" s="13"/>
      <c r="R121" s="14"/>
    </row>
    <row r="122" spans="1:18" ht="15" customHeight="1" x14ac:dyDescent="0.3">
      <c r="A122" s="19" t="s">
        <v>36</v>
      </c>
      <c r="B122" s="19" t="s">
        <v>641</v>
      </c>
      <c r="C122" s="20">
        <v>0.56597222222222221</v>
      </c>
      <c r="D122" s="19" t="s">
        <v>38</v>
      </c>
      <c r="E122" s="19" t="s">
        <v>46</v>
      </c>
      <c r="F122" s="19" t="s">
        <v>710</v>
      </c>
      <c r="G122" s="251"/>
      <c r="H122" s="10"/>
      <c r="I122" s="11"/>
      <c r="J122" s="11"/>
      <c r="K122" s="11"/>
      <c r="L122" s="11"/>
      <c r="M122" s="11"/>
      <c r="N122" s="11"/>
      <c r="O122" s="12"/>
      <c r="P122" s="11"/>
      <c r="Q122" s="13"/>
      <c r="R122" s="14"/>
    </row>
    <row r="123" spans="1:18" ht="15" customHeight="1" x14ac:dyDescent="0.3">
      <c r="A123" s="15" t="s">
        <v>36</v>
      </c>
      <c r="B123" s="15" t="s">
        <v>641</v>
      </c>
      <c r="C123" s="16">
        <v>0.56597222222222221</v>
      </c>
      <c r="D123" s="15" t="s">
        <v>41</v>
      </c>
      <c r="E123" s="15" t="s">
        <v>48</v>
      </c>
      <c r="F123" s="15" t="s">
        <v>340</v>
      </c>
      <c r="G123" s="251"/>
      <c r="H123" s="10"/>
      <c r="I123" s="11"/>
      <c r="J123" s="11"/>
      <c r="K123" s="11"/>
      <c r="L123" s="11"/>
      <c r="M123" s="11"/>
      <c r="N123" s="11"/>
      <c r="O123" s="12"/>
      <c r="P123" s="11"/>
      <c r="Q123" s="13"/>
      <c r="R123" s="14"/>
    </row>
    <row r="124" spans="1:18" ht="15" customHeight="1" x14ac:dyDescent="0.3">
      <c r="A124" s="15" t="s">
        <v>36</v>
      </c>
      <c r="B124" s="15" t="s">
        <v>641</v>
      </c>
      <c r="C124" s="16">
        <v>0.56597222222222221</v>
      </c>
      <c r="D124" s="15" t="s">
        <v>43</v>
      </c>
      <c r="E124" s="15" t="s">
        <v>48</v>
      </c>
      <c r="F124" s="15" t="s">
        <v>711</v>
      </c>
      <c r="G124" s="251"/>
      <c r="H124" s="10"/>
      <c r="I124" s="11"/>
      <c r="J124" s="11"/>
      <c r="K124" s="11"/>
      <c r="L124" s="11"/>
      <c r="M124" s="11"/>
      <c r="N124" s="11"/>
      <c r="O124" s="12"/>
      <c r="P124" s="11"/>
      <c r="Q124" s="13"/>
      <c r="R124" s="14"/>
    </row>
    <row r="125" spans="1:18" ht="15" customHeight="1" x14ac:dyDescent="0.3">
      <c r="A125" s="19" t="s">
        <v>36</v>
      </c>
      <c r="B125" s="19" t="s">
        <v>636</v>
      </c>
      <c r="C125" s="20">
        <v>0.30555555555555552</v>
      </c>
      <c r="D125" s="19" t="s">
        <v>38</v>
      </c>
      <c r="E125" s="19" t="s">
        <v>239</v>
      </c>
      <c r="F125" s="19" t="s">
        <v>710</v>
      </c>
      <c r="G125" s="251"/>
      <c r="H125" s="10"/>
      <c r="I125" s="11"/>
      <c r="J125" s="11"/>
      <c r="K125" s="11"/>
      <c r="L125" s="11"/>
      <c r="M125" s="11"/>
      <c r="N125" s="11"/>
      <c r="O125" s="12"/>
      <c r="P125" s="11"/>
      <c r="Q125" s="13"/>
      <c r="R125" s="14"/>
    </row>
    <row r="126" spans="1:18" ht="15" customHeight="1" x14ac:dyDescent="0.3">
      <c r="A126" s="15" t="s">
        <v>36</v>
      </c>
      <c r="B126" s="15" t="s">
        <v>636</v>
      </c>
      <c r="C126" s="16">
        <v>0.30555555555555552</v>
      </c>
      <c r="D126" s="15" t="s">
        <v>41</v>
      </c>
      <c r="E126" s="15" t="s">
        <v>241</v>
      </c>
      <c r="F126" s="15" t="s">
        <v>340</v>
      </c>
      <c r="G126" s="251"/>
      <c r="H126" s="10"/>
      <c r="I126" s="11"/>
      <c r="J126" s="11"/>
      <c r="K126" s="11"/>
      <c r="L126" s="11"/>
      <c r="M126" s="11"/>
      <c r="N126" s="11"/>
      <c r="O126" s="12"/>
      <c r="P126" s="11"/>
      <c r="Q126" s="13"/>
      <c r="R126" s="14"/>
    </row>
    <row r="127" spans="1:18" ht="15" customHeight="1" x14ac:dyDescent="0.3">
      <c r="A127" s="15" t="s">
        <v>36</v>
      </c>
      <c r="B127" s="15" t="s">
        <v>636</v>
      </c>
      <c r="C127" s="16">
        <v>0.30555555555555552</v>
      </c>
      <c r="D127" s="15" t="s">
        <v>43</v>
      </c>
      <c r="E127" s="15" t="s">
        <v>241</v>
      </c>
      <c r="F127" s="15" t="s">
        <v>711</v>
      </c>
      <c r="G127" s="251"/>
      <c r="H127" s="10"/>
      <c r="I127" s="11"/>
      <c r="J127" s="11"/>
      <c r="K127" s="11"/>
      <c r="L127" s="11"/>
      <c r="M127" s="11"/>
      <c r="N127" s="11"/>
      <c r="O127" s="12"/>
      <c r="P127" s="11"/>
      <c r="Q127" s="13"/>
      <c r="R127" s="14"/>
    </row>
    <row r="128" spans="1:18" ht="15" customHeight="1" x14ac:dyDescent="0.3">
      <c r="A128" s="19" t="s">
        <v>36</v>
      </c>
      <c r="B128" s="19" t="s">
        <v>637</v>
      </c>
      <c r="C128" s="20">
        <v>0.42708333333333331</v>
      </c>
      <c r="D128" s="19" t="s">
        <v>38</v>
      </c>
      <c r="E128" s="19" t="s">
        <v>89</v>
      </c>
      <c r="F128" s="19" t="s">
        <v>710</v>
      </c>
      <c r="G128" s="251"/>
      <c r="H128" s="10"/>
      <c r="I128" s="11"/>
      <c r="J128" s="11"/>
      <c r="K128" s="11"/>
      <c r="L128" s="11"/>
      <c r="M128" s="11"/>
      <c r="N128" s="11"/>
      <c r="O128" s="12"/>
      <c r="P128" s="11"/>
      <c r="Q128" s="13"/>
      <c r="R128" s="14"/>
    </row>
    <row r="129" spans="1:18" ht="15" customHeight="1" x14ac:dyDescent="0.3">
      <c r="A129" s="15" t="s">
        <v>36</v>
      </c>
      <c r="B129" s="15" t="s">
        <v>637</v>
      </c>
      <c r="C129" s="16">
        <v>0.42708333333333331</v>
      </c>
      <c r="D129" s="15" t="s">
        <v>41</v>
      </c>
      <c r="E129" s="15" t="s">
        <v>91</v>
      </c>
      <c r="F129" s="15" t="s">
        <v>340</v>
      </c>
      <c r="G129" s="251"/>
      <c r="H129" s="10"/>
      <c r="I129" s="11"/>
      <c r="J129" s="11"/>
      <c r="K129" s="11"/>
      <c r="L129" s="11"/>
      <c r="M129" s="11"/>
      <c r="N129" s="11"/>
      <c r="O129" s="12"/>
      <c r="P129" s="11"/>
      <c r="Q129" s="13"/>
      <c r="R129" s="14"/>
    </row>
    <row r="130" spans="1:18" ht="15" customHeight="1" x14ac:dyDescent="0.3">
      <c r="A130" s="15" t="s">
        <v>36</v>
      </c>
      <c r="B130" s="15" t="s">
        <v>637</v>
      </c>
      <c r="C130" s="16">
        <v>0.42708333333333331</v>
      </c>
      <c r="D130" s="15" t="s">
        <v>43</v>
      </c>
      <c r="E130" s="15" t="s">
        <v>91</v>
      </c>
      <c r="F130" s="15" t="s">
        <v>711</v>
      </c>
      <c r="G130" s="251"/>
      <c r="H130" s="10"/>
      <c r="I130" s="11"/>
      <c r="J130" s="11"/>
      <c r="K130" s="11"/>
      <c r="L130" s="11"/>
      <c r="M130" s="11"/>
      <c r="N130" s="11"/>
      <c r="O130" s="12"/>
      <c r="P130" s="11"/>
      <c r="Q130" s="13"/>
      <c r="R130" s="14"/>
    </row>
    <row r="131" spans="1:18" ht="15" customHeight="1" x14ac:dyDescent="0.3">
      <c r="A131" s="19" t="s">
        <v>36</v>
      </c>
      <c r="B131" s="19" t="s">
        <v>645</v>
      </c>
      <c r="C131" s="20">
        <v>0.82638888888888884</v>
      </c>
      <c r="D131" s="19" t="s">
        <v>38</v>
      </c>
      <c r="E131" s="19" t="s">
        <v>46</v>
      </c>
      <c r="F131" s="19" t="s">
        <v>229</v>
      </c>
      <c r="G131" s="251"/>
      <c r="H131" s="10"/>
      <c r="I131" s="11"/>
      <c r="J131" s="11"/>
      <c r="K131" s="11"/>
      <c r="L131" s="11"/>
      <c r="M131" s="11"/>
      <c r="N131" s="11"/>
      <c r="O131" s="12"/>
      <c r="P131" s="11"/>
      <c r="Q131" s="13"/>
      <c r="R131" s="14"/>
    </row>
    <row r="132" spans="1:18" ht="15" customHeight="1" x14ac:dyDescent="0.3">
      <c r="A132" s="15" t="s">
        <v>36</v>
      </c>
      <c r="B132" s="15" t="s">
        <v>645</v>
      </c>
      <c r="C132" s="16">
        <v>0.82638888888888884</v>
      </c>
      <c r="D132" s="15" t="s">
        <v>41</v>
      </c>
      <c r="E132" s="15" t="s">
        <v>48</v>
      </c>
      <c r="F132" s="15" t="s">
        <v>47</v>
      </c>
      <c r="G132" s="251"/>
      <c r="H132" s="10"/>
      <c r="I132" s="11"/>
      <c r="J132" s="11"/>
      <c r="K132" s="11"/>
      <c r="L132" s="11"/>
      <c r="M132" s="11"/>
      <c r="N132" s="11"/>
      <c r="O132" s="12"/>
      <c r="P132" s="11"/>
      <c r="Q132" s="13"/>
      <c r="R132" s="14"/>
    </row>
    <row r="133" spans="1:18" ht="15" customHeight="1" x14ac:dyDescent="0.3">
      <c r="A133" s="15" t="s">
        <v>36</v>
      </c>
      <c r="B133" s="15" t="s">
        <v>645</v>
      </c>
      <c r="C133" s="16">
        <v>0.82638888888888884</v>
      </c>
      <c r="D133" s="15" t="s">
        <v>43</v>
      </c>
      <c r="E133" s="15" t="s">
        <v>48</v>
      </c>
      <c r="F133" s="15" t="s">
        <v>230</v>
      </c>
      <c r="G133" s="251"/>
      <c r="H133" s="10"/>
      <c r="I133" s="11"/>
      <c r="J133" s="11"/>
      <c r="K133" s="11"/>
      <c r="L133" s="11"/>
      <c r="M133" s="11"/>
      <c r="N133" s="11"/>
      <c r="O133" s="12"/>
      <c r="P133" s="11"/>
      <c r="Q133" s="13"/>
      <c r="R133" s="14"/>
    </row>
    <row r="134" spans="1:18" ht="15" customHeight="1" x14ac:dyDescent="0.3">
      <c r="A134" s="19" t="s">
        <v>36</v>
      </c>
      <c r="B134" s="19" t="s">
        <v>635</v>
      </c>
      <c r="C134" s="20">
        <v>0.375</v>
      </c>
      <c r="D134" s="19" t="s">
        <v>38</v>
      </c>
      <c r="E134" s="19" t="s">
        <v>239</v>
      </c>
      <c r="F134" s="19" t="s">
        <v>229</v>
      </c>
      <c r="G134" s="251"/>
      <c r="H134" s="10"/>
      <c r="I134" s="11"/>
      <c r="J134" s="11"/>
      <c r="K134" s="11"/>
      <c r="L134" s="11"/>
      <c r="M134" s="11"/>
      <c r="N134" s="11"/>
      <c r="O134" s="12"/>
      <c r="P134" s="11"/>
      <c r="Q134" s="13"/>
      <c r="R134" s="14"/>
    </row>
    <row r="135" spans="1:18" ht="15" customHeight="1" x14ac:dyDescent="0.3">
      <c r="A135" s="15" t="s">
        <v>36</v>
      </c>
      <c r="B135" s="15" t="s">
        <v>635</v>
      </c>
      <c r="C135" s="16">
        <v>0.375</v>
      </c>
      <c r="D135" s="15" t="s">
        <v>41</v>
      </c>
      <c r="E135" s="15" t="s">
        <v>241</v>
      </c>
      <c r="F135" s="15" t="s">
        <v>47</v>
      </c>
      <c r="G135" s="251"/>
      <c r="H135" s="10"/>
      <c r="I135" s="11"/>
      <c r="J135" s="11"/>
      <c r="K135" s="11"/>
      <c r="L135" s="11"/>
      <c r="M135" s="11"/>
      <c r="N135" s="11"/>
      <c r="O135" s="12"/>
      <c r="P135" s="11"/>
      <c r="Q135" s="13"/>
      <c r="R135" s="14"/>
    </row>
    <row r="136" spans="1:18" ht="15" customHeight="1" x14ac:dyDescent="0.3">
      <c r="A136" s="15" t="s">
        <v>36</v>
      </c>
      <c r="B136" s="15" t="s">
        <v>635</v>
      </c>
      <c r="C136" s="16">
        <v>0.375</v>
      </c>
      <c r="D136" s="15" t="s">
        <v>43</v>
      </c>
      <c r="E136" s="15" t="s">
        <v>241</v>
      </c>
      <c r="F136" s="15" t="s">
        <v>230</v>
      </c>
      <c r="G136" s="251"/>
      <c r="H136" s="10"/>
      <c r="I136" s="11"/>
      <c r="J136" s="11"/>
      <c r="K136" s="11"/>
      <c r="L136" s="11"/>
      <c r="M136" s="11"/>
      <c r="N136" s="11"/>
      <c r="O136" s="12"/>
      <c r="P136" s="11"/>
      <c r="Q136" s="13"/>
      <c r="R136" s="14"/>
    </row>
    <row r="137" spans="1:18" ht="15" customHeight="1" x14ac:dyDescent="0.3">
      <c r="A137" s="19" t="s">
        <v>36</v>
      </c>
      <c r="B137" s="19" t="s">
        <v>642</v>
      </c>
      <c r="C137" s="20">
        <v>0.6875</v>
      </c>
      <c r="D137" s="19" t="s">
        <v>38</v>
      </c>
      <c r="E137" s="19" t="s">
        <v>46</v>
      </c>
      <c r="F137" s="19" t="s">
        <v>229</v>
      </c>
      <c r="G137" s="251"/>
      <c r="H137" s="10"/>
      <c r="I137" s="11"/>
      <c r="J137" s="11"/>
      <c r="K137" s="11"/>
      <c r="L137" s="11"/>
      <c r="M137" s="11"/>
      <c r="N137" s="11"/>
      <c r="O137" s="12"/>
      <c r="P137" s="11"/>
      <c r="Q137" s="13"/>
      <c r="R137" s="14"/>
    </row>
    <row r="138" spans="1:18" ht="15" customHeight="1" x14ac:dyDescent="0.3">
      <c r="A138" s="15" t="s">
        <v>36</v>
      </c>
      <c r="B138" s="15" t="s">
        <v>642</v>
      </c>
      <c r="C138" s="16">
        <v>0.6875</v>
      </c>
      <c r="D138" s="15" t="s">
        <v>41</v>
      </c>
      <c r="E138" s="15" t="s">
        <v>48</v>
      </c>
      <c r="F138" s="15" t="s">
        <v>47</v>
      </c>
      <c r="G138" s="251"/>
      <c r="H138" s="10"/>
      <c r="I138" s="11"/>
      <c r="J138" s="11"/>
      <c r="K138" s="11"/>
      <c r="L138" s="11"/>
      <c r="M138" s="11"/>
      <c r="N138" s="11"/>
      <c r="O138" s="12"/>
      <c r="P138" s="11"/>
      <c r="Q138" s="13"/>
      <c r="R138" s="14"/>
    </row>
    <row r="139" spans="1:18" ht="15" customHeight="1" x14ac:dyDescent="0.3">
      <c r="A139" s="15" t="s">
        <v>36</v>
      </c>
      <c r="B139" s="15" t="s">
        <v>642</v>
      </c>
      <c r="C139" s="16">
        <v>0.6875</v>
      </c>
      <c r="D139" s="15" t="s">
        <v>43</v>
      </c>
      <c r="E139" s="15" t="s">
        <v>48</v>
      </c>
      <c r="F139" s="15" t="s">
        <v>230</v>
      </c>
      <c r="G139" s="251"/>
      <c r="H139" s="10"/>
      <c r="I139" s="11"/>
      <c r="J139" s="11"/>
      <c r="K139" s="11"/>
      <c r="L139" s="11"/>
      <c r="M139" s="11"/>
      <c r="N139" s="11"/>
      <c r="O139" s="12"/>
      <c r="P139" s="11"/>
      <c r="Q139" s="13"/>
      <c r="R139" s="14"/>
    </row>
    <row r="140" spans="1:18" ht="15" customHeight="1" x14ac:dyDescent="0.3">
      <c r="A140" s="210" t="s">
        <v>80</v>
      </c>
      <c r="B140" s="210" t="s">
        <v>654</v>
      </c>
      <c r="C140" s="211">
        <v>0.61111111111111105</v>
      </c>
      <c r="D140" s="210" t="s">
        <v>182</v>
      </c>
      <c r="E140" s="210" t="s">
        <v>54</v>
      </c>
      <c r="F140" s="210" t="s">
        <v>691</v>
      </c>
      <c r="G140" s="251"/>
      <c r="H140" s="150" t="s">
        <v>656</v>
      </c>
      <c r="I140" s="212">
        <v>0.57140000000000002</v>
      </c>
      <c r="J140" s="152">
        <v>96</v>
      </c>
      <c r="K140" s="153" t="s">
        <v>284</v>
      </c>
      <c r="L140" s="152">
        <v>10</v>
      </c>
      <c r="M140" s="152">
        <v>1</v>
      </c>
      <c r="N140" s="152">
        <v>1</v>
      </c>
      <c r="O140" s="154" t="s">
        <v>147</v>
      </c>
      <c r="P140" s="155">
        <v>0.61111111111111105</v>
      </c>
      <c r="Q140" s="152">
        <v>168</v>
      </c>
      <c r="R140" s="156" t="s">
        <v>712</v>
      </c>
    </row>
    <row r="141" spans="1:18" ht="15" customHeight="1" x14ac:dyDescent="0.3">
      <c r="A141" s="17" t="s">
        <v>51</v>
      </c>
      <c r="B141" s="17" t="s">
        <v>667</v>
      </c>
      <c r="C141" s="18">
        <v>0.92013888888888884</v>
      </c>
      <c r="D141" s="17" t="s">
        <v>53</v>
      </c>
      <c r="E141" s="17" t="s">
        <v>54</v>
      </c>
      <c r="F141" s="17" t="s">
        <v>713</v>
      </c>
      <c r="G141" s="251"/>
      <c r="H141" s="10"/>
      <c r="I141" s="11"/>
      <c r="J141" s="11"/>
      <c r="K141" s="11"/>
      <c r="L141" s="11"/>
      <c r="M141" s="11"/>
      <c r="N141" s="11"/>
      <c r="O141" s="12"/>
      <c r="P141" s="11"/>
      <c r="Q141" s="13"/>
      <c r="R141" s="14"/>
    </row>
    <row r="142" spans="1:18" ht="15" customHeight="1" x14ac:dyDescent="0.3">
      <c r="A142" s="19" t="s">
        <v>51</v>
      </c>
      <c r="B142" s="19" t="s">
        <v>663</v>
      </c>
      <c r="C142" s="20">
        <v>0.16666666666666671</v>
      </c>
      <c r="D142" s="19" t="s">
        <v>53</v>
      </c>
      <c r="E142" s="19" t="s">
        <v>57</v>
      </c>
      <c r="F142" s="19" t="s">
        <v>714</v>
      </c>
      <c r="G142" s="251"/>
      <c r="H142" s="10"/>
      <c r="I142" s="11"/>
      <c r="J142" s="11"/>
      <c r="K142" s="11"/>
      <c r="L142" s="11"/>
      <c r="M142" s="11"/>
      <c r="N142" s="11"/>
      <c r="O142" s="12"/>
      <c r="P142" s="11"/>
      <c r="Q142" s="13"/>
      <c r="R142" s="14"/>
    </row>
    <row r="143" spans="1:18" ht="15" customHeight="1" x14ac:dyDescent="0.3">
      <c r="A143" s="19" t="s">
        <v>51</v>
      </c>
      <c r="B143" s="19" t="s">
        <v>665</v>
      </c>
      <c r="C143" s="20">
        <v>0.54166666666666663</v>
      </c>
      <c r="D143" s="19" t="s">
        <v>53</v>
      </c>
      <c r="E143" s="19" t="s">
        <v>57</v>
      </c>
      <c r="F143" s="19" t="s">
        <v>697</v>
      </c>
      <c r="G143" s="251"/>
      <c r="H143" s="10"/>
      <c r="I143" s="11"/>
      <c r="J143" s="11"/>
      <c r="K143" s="11"/>
      <c r="L143" s="11"/>
      <c r="M143" s="11"/>
      <c r="N143" s="11"/>
      <c r="O143" s="12"/>
      <c r="P143" s="11"/>
      <c r="Q143" s="13"/>
      <c r="R143" s="14"/>
    </row>
    <row r="144" spans="1:18" ht="15" customHeight="1" x14ac:dyDescent="0.3">
      <c r="A144" s="17" t="s">
        <v>64</v>
      </c>
      <c r="B144" s="17" t="s">
        <v>675</v>
      </c>
      <c r="C144" s="18">
        <v>0.5</v>
      </c>
      <c r="D144" s="17" t="s">
        <v>68</v>
      </c>
      <c r="E144" s="17" t="s">
        <v>88</v>
      </c>
      <c r="F144" s="17" t="s">
        <v>715</v>
      </c>
      <c r="G144" s="251"/>
      <c r="H144" s="10"/>
      <c r="I144" s="11"/>
      <c r="J144" s="11"/>
      <c r="K144" s="11"/>
      <c r="L144" s="11"/>
      <c r="M144" s="11"/>
      <c r="N144" s="11"/>
      <c r="O144" s="12"/>
      <c r="P144" s="11"/>
      <c r="Q144" s="13"/>
      <c r="R144" s="14"/>
    </row>
    <row r="145" spans="1:18" ht="15" customHeight="1" x14ac:dyDescent="0.3">
      <c r="A145" s="19" t="s">
        <v>64</v>
      </c>
      <c r="B145" s="19" t="s">
        <v>700</v>
      </c>
      <c r="C145" s="20">
        <v>0.76041666666666663</v>
      </c>
      <c r="D145" s="19" t="s">
        <v>68</v>
      </c>
      <c r="E145" s="19" t="s">
        <v>73</v>
      </c>
      <c r="F145" s="19" t="s">
        <v>715</v>
      </c>
      <c r="G145" s="251"/>
      <c r="H145" s="10"/>
      <c r="I145" s="11"/>
      <c r="J145" s="11"/>
      <c r="K145" s="11"/>
      <c r="L145" s="11"/>
      <c r="M145" s="11"/>
      <c r="N145" s="11"/>
      <c r="O145" s="12"/>
      <c r="P145" s="11"/>
      <c r="Q145" s="13"/>
      <c r="R145" s="14"/>
    </row>
    <row r="146" spans="1:18" ht="15" customHeight="1" x14ac:dyDescent="0.3">
      <c r="A146" s="19" t="s">
        <v>64</v>
      </c>
      <c r="B146" s="19" t="s">
        <v>701</v>
      </c>
      <c r="C146" s="20">
        <v>0.81597222222222221</v>
      </c>
      <c r="D146" s="19" t="s">
        <v>68</v>
      </c>
      <c r="E146" s="19" t="s">
        <v>73</v>
      </c>
      <c r="F146" s="19" t="s">
        <v>715</v>
      </c>
      <c r="G146" s="251"/>
      <c r="H146" s="10"/>
      <c r="I146" s="11"/>
      <c r="J146" s="11"/>
      <c r="K146" s="11"/>
      <c r="L146" s="11"/>
      <c r="M146" s="11"/>
      <c r="N146" s="11"/>
      <c r="O146" s="12"/>
      <c r="P146" s="11"/>
      <c r="Q146" s="13"/>
      <c r="R146" s="14"/>
    </row>
    <row r="147" spans="1:18" ht="15" customHeight="1" x14ac:dyDescent="0.3">
      <c r="A147" s="19" t="s">
        <v>64</v>
      </c>
      <c r="B147" s="19" t="s">
        <v>698</v>
      </c>
      <c r="C147" s="20">
        <v>0.83680555555555547</v>
      </c>
      <c r="D147" s="19" t="s">
        <v>66</v>
      </c>
      <c r="E147" s="19" t="s">
        <v>57</v>
      </c>
      <c r="F147" s="19" t="s">
        <v>63</v>
      </c>
      <c r="G147" s="251"/>
      <c r="H147" s="10"/>
      <c r="I147" s="11"/>
      <c r="J147" s="11"/>
      <c r="K147" s="11"/>
      <c r="L147" s="11"/>
      <c r="M147" s="11"/>
      <c r="N147" s="11"/>
      <c r="O147" s="12"/>
      <c r="P147" s="11"/>
      <c r="Q147" s="13"/>
      <c r="R147" s="14"/>
    </row>
    <row r="148" spans="1:18" ht="15" customHeight="1" x14ac:dyDescent="0.3">
      <c r="A148" s="15" t="s">
        <v>64</v>
      </c>
      <c r="B148" s="15" t="s">
        <v>698</v>
      </c>
      <c r="C148" s="16">
        <v>0.83680555555555547</v>
      </c>
      <c r="D148" s="15" t="s">
        <v>68</v>
      </c>
      <c r="E148" s="15" t="s">
        <v>69</v>
      </c>
      <c r="F148" s="15" t="s">
        <v>699</v>
      </c>
      <c r="G148" s="251"/>
      <c r="H148" s="10"/>
      <c r="I148" s="11"/>
      <c r="J148" s="11"/>
      <c r="K148" s="11"/>
      <c r="L148" s="11"/>
      <c r="M148" s="11"/>
      <c r="N148" s="11"/>
      <c r="O148" s="12"/>
      <c r="P148" s="11"/>
      <c r="Q148" s="13"/>
      <c r="R148" s="14"/>
    </row>
    <row r="149" spans="1:18" ht="15" customHeight="1" x14ac:dyDescent="0.3">
      <c r="A149" s="19" t="s">
        <v>64</v>
      </c>
      <c r="B149" s="19" t="s">
        <v>677</v>
      </c>
      <c r="C149" s="20">
        <v>0.68402777777777779</v>
      </c>
      <c r="D149" s="19" t="s">
        <v>66</v>
      </c>
      <c r="E149" s="19" t="s">
        <v>57</v>
      </c>
      <c r="F149" s="19" t="s">
        <v>63</v>
      </c>
      <c r="G149" s="251"/>
      <c r="H149" s="10"/>
      <c r="I149" s="11"/>
      <c r="J149" s="11"/>
      <c r="K149" s="11"/>
      <c r="L149" s="11"/>
      <c r="M149" s="11"/>
      <c r="N149" s="11"/>
      <c r="O149" s="12"/>
      <c r="P149" s="11"/>
      <c r="Q149" s="13"/>
      <c r="R149" s="14"/>
    </row>
    <row r="150" spans="1:18" ht="15" customHeight="1" x14ac:dyDescent="0.3">
      <c r="A150" s="15" t="s">
        <v>64</v>
      </c>
      <c r="B150" s="15" t="s">
        <v>677</v>
      </c>
      <c r="C150" s="16">
        <v>0.68402777777777779</v>
      </c>
      <c r="D150" s="15" t="s">
        <v>68</v>
      </c>
      <c r="E150" s="15" t="s">
        <v>69</v>
      </c>
      <c r="F150" s="15" t="s">
        <v>699</v>
      </c>
      <c r="G150" s="251"/>
      <c r="H150" s="10"/>
      <c r="I150" s="11"/>
      <c r="J150" s="11"/>
      <c r="K150" s="11"/>
      <c r="L150" s="11"/>
      <c r="M150" s="11"/>
      <c r="N150" s="11"/>
      <c r="O150" s="12"/>
      <c r="P150" s="11"/>
      <c r="Q150" s="13"/>
      <c r="R150" s="14"/>
    </row>
    <row r="151" spans="1:18" ht="15" customHeight="1" x14ac:dyDescent="0.3">
      <c r="A151" s="19" t="s">
        <v>64</v>
      </c>
      <c r="B151" s="19" t="s">
        <v>669</v>
      </c>
      <c r="C151" s="20">
        <v>0.2986111111111111</v>
      </c>
      <c r="D151" s="19" t="s">
        <v>66</v>
      </c>
      <c r="E151" s="19" t="s">
        <v>57</v>
      </c>
      <c r="F151" s="19" t="s">
        <v>63</v>
      </c>
      <c r="G151" s="251"/>
      <c r="H151" s="10"/>
      <c r="I151" s="11"/>
      <c r="J151" s="11"/>
      <c r="K151" s="11"/>
      <c r="L151" s="11"/>
      <c r="M151" s="11"/>
      <c r="N151" s="11"/>
      <c r="O151" s="12"/>
      <c r="P151" s="11"/>
      <c r="Q151" s="13"/>
      <c r="R151" s="14"/>
    </row>
    <row r="152" spans="1:18" ht="15" customHeight="1" x14ac:dyDescent="0.3">
      <c r="A152" s="15" t="s">
        <v>64</v>
      </c>
      <c r="B152" s="15" t="s">
        <v>669</v>
      </c>
      <c r="C152" s="16">
        <v>0.2986111111111111</v>
      </c>
      <c r="D152" s="15" t="s">
        <v>68</v>
      </c>
      <c r="E152" s="15" t="s">
        <v>69</v>
      </c>
      <c r="F152" s="15" t="s">
        <v>699</v>
      </c>
      <c r="G152" s="251"/>
      <c r="H152" s="10"/>
      <c r="I152" s="11"/>
      <c r="J152" s="11"/>
      <c r="K152" s="11"/>
      <c r="L152" s="11"/>
      <c r="M152" s="11"/>
      <c r="N152" s="11"/>
      <c r="O152" s="12"/>
      <c r="P152" s="11"/>
      <c r="Q152" s="13"/>
      <c r="R152" s="14"/>
    </row>
    <row r="153" spans="1:18" ht="15" customHeight="1" x14ac:dyDescent="0.3">
      <c r="A153" s="19" t="s">
        <v>64</v>
      </c>
      <c r="B153" s="19" t="s">
        <v>672</v>
      </c>
      <c r="C153" s="20">
        <v>0.4826388888888889</v>
      </c>
      <c r="D153" s="19" t="s">
        <v>66</v>
      </c>
      <c r="E153" s="19" t="s">
        <v>57</v>
      </c>
      <c r="F153" s="19" t="s">
        <v>63</v>
      </c>
      <c r="G153" s="251"/>
      <c r="H153" s="10"/>
      <c r="I153" s="11"/>
      <c r="J153" s="11"/>
      <c r="K153" s="11"/>
      <c r="L153" s="11"/>
      <c r="M153" s="11"/>
      <c r="N153" s="11"/>
      <c r="O153" s="12"/>
      <c r="P153" s="11"/>
      <c r="Q153" s="13"/>
      <c r="R153" s="14"/>
    </row>
    <row r="154" spans="1:18" ht="15" customHeight="1" x14ac:dyDescent="0.3">
      <c r="A154" s="39" t="s">
        <v>64</v>
      </c>
      <c r="B154" s="39" t="s">
        <v>672</v>
      </c>
      <c r="C154" s="40">
        <v>0.4826388888888889</v>
      </c>
      <c r="D154" s="39" t="s">
        <v>68</v>
      </c>
      <c r="E154" s="39" t="s">
        <v>69</v>
      </c>
      <c r="F154" s="39" t="s">
        <v>699</v>
      </c>
      <c r="G154" s="252"/>
      <c r="H154" s="41"/>
      <c r="I154" s="42"/>
      <c r="J154" s="42"/>
      <c r="K154" s="42"/>
      <c r="L154" s="42"/>
      <c r="M154" s="42"/>
      <c r="N154" s="42"/>
      <c r="O154" s="43"/>
      <c r="P154" s="42"/>
      <c r="Q154" s="44"/>
      <c r="R154" s="45"/>
    </row>
  </sheetData>
  <mergeCells count="18">
    <mergeCell ref="H1:L1"/>
    <mergeCell ref="A1:E1"/>
    <mergeCell ref="G2:J2"/>
    <mergeCell ref="K2:R2"/>
    <mergeCell ref="A4:F4"/>
    <mergeCell ref="H4:R4"/>
    <mergeCell ref="N1:R1"/>
    <mergeCell ref="A2:F2"/>
    <mergeCell ref="A3:R3"/>
    <mergeCell ref="H111:R111"/>
    <mergeCell ref="G113:G154"/>
    <mergeCell ref="A57:R57"/>
    <mergeCell ref="G60:G109"/>
    <mergeCell ref="A111:F111"/>
    <mergeCell ref="G6:G56"/>
    <mergeCell ref="A110:R110"/>
    <mergeCell ref="A58:F58"/>
    <mergeCell ref="H58:R58"/>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J6"/>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8.3320312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3" width="3.88671875" style="269" bestFit="1" customWidth="1"/>
    <col min="24" max="24" width="4.109375" style="269" bestFit="1" customWidth="1"/>
    <col min="25" max="25" width="4.44140625" style="269" bestFit="1" customWidth="1"/>
    <col min="26" max="26" width="4.109375" style="269" bestFit="1" customWidth="1"/>
    <col min="27" max="27" width="5" style="269" bestFit="1" customWidth="1"/>
    <col min="28" max="29" width="4.21875" style="269" bestFit="1" customWidth="1"/>
    <col min="30" max="30" width="3.88671875" style="269" bestFit="1" customWidth="1"/>
    <col min="31"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656</v>
      </c>
      <c r="D2" s="273" t="s">
        <v>716</v>
      </c>
      <c r="E2" s="272" t="s">
        <v>626</v>
      </c>
      <c r="F2" s="272" t="s">
        <v>140</v>
      </c>
      <c r="G2" s="274">
        <v>0.73809999999999998</v>
      </c>
      <c r="H2" s="275">
        <v>168</v>
      </c>
      <c r="I2" s="275">
        <v>124</v>
      </c>
      <c r="J2" s="275">
        <v>0</v>
      </c>
      <c r="K2" s="272" t="s">
        <v>141</v>
      </c>
      <c r="L2" s="276" t="s">
        <v>284</v>
      </c>
      <c r="M2" s="275">
        <v>1</v>
      </c>
      <c r="N2" s="275">
        <v>10</v>
      </c>
      <c r="O2" s="275">
        <v>37</v>
      </c>
      <c r="P2" s="272" t="s">
        <v>146</v>
      </c>
      <c r="Q2" s="268"/>
      <c r="R2" s="268"/>
      <c r="S2" s="268"/>
      <c r="T2" s="268"/>
      <c r="U2" s="275" t="s">
        <v>422</v>
      </c>
      <c r="V2" s="275" t="s">
        <v>423</v>
      </c>
      <c r="W2" s="275" t="s">
        <v>717</v>
      </c>
      <c r="X2" s="275" t="s">
        <v>718</v>
      </c>
      <c r="Y2" s="275" t="s">
        <v>719</v>
      </c>
      <c r="Z2" s="275" t="s">
        <v>720</v>
      </c>
      <c r="AA2" s="275" t="s">
        <v>721</v>
      </c>
      <c r="AB2" s="268"/>
      <c r="AC2" s="275" t="s">
        <v>588</v>
      </c>
      <c r="AD2" s="275" t="s">
        <v>159</v>
      </c>
      <c r="AE2" s="275" t="s">
        <v>722</v>
      </c>
      <c r="AF2" s="275" t="s">
        <v>723</v>
      </c>
      <c r="AG2" s="268"/>
      <c r="AH2" s="268"/>
      <c r="AI2" s="268"/>
      <c r="AJ2" s="275" t="s">
        <v>153</v>
      </c>
    </row>
    <row r="3" spans="1:36" x14ac:dyDescent="0.3">
      <c r="A3" s="270" t="s">
        <v>435</v>
      </c>
      <c r="B3" s="271">
        <v>45982</v>
      </c>
      <c r="C3" s="272" t="s">
        <v>656</v>
      </c>
      <c r="D3" s="273" t="s">
        <v>174</v>
      </c>
      <c r="E3" s="272" t="s">
        <v>626</v>
      </c>
      <c r="F3" s="272" t="s">
        <v>140</v>
      </c>
      <c r="G3" s="274">
        <v>0.8155</v>
      </c>
      <c r="H3" s="275">
        <v>168</v>
      </c>
      <c r="I3" s="275">
        <v>137</v>
      </c>
      <c r="J3" s="275">
        <v>0</v>
      </c>
      <c r="K3" s="272" t="s">
        <v>141</v>
      </c>
      <c r="L3" s="276" t="s">
        <v>284</v>
      </c>
      <c r="M3" s="275">
        <v>1</v>
      </c>
      <c r="N3" s="275">
        <v>6</v>
      </c>
      <c r="O3" s="275">
        <v>35</v>
      </c>
      <c r="P3" s="272" t="s">
        <v>695</v>
      </c>
      <c r="Q3" s="268"/>
      <c r="R3" s="268"/>
      <c r="S3" s="268"/>
      <c r="T3" s="268"/>
      <c r="U3" s="268"/>
      <c r="V3" s="275" t="s">
        <v>430</v>
      </c>
      <c r="W3" s="268"/>
      <c r="X3" s="268"/>
      <c r="Y3" s="275" t="s">
        <v>724</v>
      </c>
      <c r="Z3" s="275" t="s">
        <v>725</v>
      </c>
      <c r="AA3" s="275" t="s">
        <v>726</v>
      </c>
      <c r="AB3" s="275" t="s">
        <v>394</v>
      </c>
      <c r="AC3" s="275" t="s">
        <v>460</v>
      </c>
      <c r="AD3" s="275" t="s">
        <v>159</v>
      </c>
      <c r="AE3" s="275" t="s">
        <v>201</v>
      </c>
      <c r="AF3" s="275" t="s">
        <v>727</v>
      </c>
      <c r="AG3" s="268"/>
      <c r="AH3" s="268"/>
      <c r="AI3" s="268"/>
      <c r="AJ3" s="268"/>
    </row>
    <row r="4" spans="1:36" x14ac:dyDescent="0.3">
      <c r="A4" s="270" t="s">
        <v>435</v>
      </c>
      <c r="B4" s="271">
        <v>45982</v>
      </c>
      <c r="C4" s="272" t="s">
        <v>692</v>
      </c>
      <c r="D4" s="273" t="s">
        <v>728</v>
      </c>
      <c r="E4" s="272" t="s">
        <v>626</v>
      </c>
      <c r="F4" s="272" t="s">
        <v>140</v>
      </c>
      <c r="G4" s="274">
        <v>0.75</v>
      </c>
      <c r="H4" s="275">
        <v>168</v>
      </c>
      <c r="I4" s="275">
        <v>126</v>
      </c>
      <c r="J4" s="275">
        <v>0</v>
      </c>
      <c r="K4" s="272" t="s">
        <v>141</v>
      </c>
      <c r="L4" s="276" t="s">
        <v>186</v>
      </c>
      <c r="M4" s="275">
        <v>0</v>
      </c>
      <c r="N4" s="275">
        <v>11</v>
      </c>
      <c r="O4" s="275">
        <v>45</v>
      </c>
      <c r="P4" s="272" t="s">
        <v>157</v>
      </c>
      <c r="Q4" s="268"/>
      <c r="R4" s="268"/>
      <c r="S4" s="268"/>
      <c r="T4" s="268"/>
      <c r="U4" s="268"/>
      <c r="V4" s="268"/>
      <c r="W4" s="268"/>
      <c r="X4" s="268"/>
      <c r="Y4" s="268"/>
      <c r="Z4" s="275" t="s">
        <v>729</v>
      </c>
      <c r="AA4" s="275" t="s">
        <v>730</v>
      </c>
      <c r="AB4" s="275" t="s">
        <v>731</v>
      </c>
      <c r="AC4" s="275" t="s">
        <v>732</v>
      </c>
      <c r="AD4" s="268"/>
      <c r="AE4" s="268"/>
      <c r="AF4" s="268"/>
      <c r="AG4" s="268"/>
      <c r="AH4" s="268"/>
      <c r="AI4" s="268"/>
      <c r="AJ4" s="268"/>
    </row>
    <row r="5" spans="1:36" x14ac:dyDescent="0.3">
      <c r="A5" s="270" t="s">
        <v>154</v>
      </c>
      <c r="B5" s="271">
        <v>45983</v>
      </c>
      <c r="C5" s="272" t="s">
        <v>656</v>
      </c>
      <c r="D5" s="273" t="s">
        <v>716</v>
      </c>
      <c r="E5" s="272" t="s">
        <v>626</v>
      </c>
      <c r="F5" s="272" t="s">
        <v>140</v>
      </c>
      <c r="G5" s="274">
        <v>0.57140000000000002</v>
      </c>
      <c r="H5" s="275">
        <v>168</v>
      </c>
      <c r="I5" s="275">
        <v>96</v>
      </c>
      <c r="J5" s="275">
        <v>0</v>
      </c>
      <c r="K5" s="272" t="s">
        <v>141</v>
      </c>
      <c r="L5" s="276" t="s">
        <v>284</v>
      </c>
      <c r="M5" s="275">
        <v>1</v>
      </c>
      <c r="N5" s="275">
        <v>1</v>
      </c>
      <c r="O5" s="275">
        <v>10</v>
      </c>
      <c r="P5" s="272" t="s">
        <v>147</v>
      </c>
      <c r="Q5" s="268"/>
      <c r="R5" s="268"/>
      <c r="S5" s="268"/>
      <c r="T5" s="268"/>
      <c r="U5" s="268"/>
      <c r="V5" s="275" t="s">
        <v>195</v>
      </c>
      <c r="W5" s="268"/>
      <c r="X5" s="268"/>
      <c r="Y5" s="268"/>
      <c r="Z5" s="268"/>
      <c r="AA5" s="275" t="s">
        <v>559</v>
      </c>
      <c r="AB5" s="275" t="s">
        <v>733</v>
      </c>
      <c r="AC5" s="275" t="s">
        <v>734</v>
      </c>
      <c r="AD5" s="275" t="s">
        <v>395</v>
      </c>
      <c r="AE5" s="275" t="s">
        <v>735</v>
      </c>
      <c r="AF5" s="275" t="s">
        <v>202</v>
      </c>
      <c r="AG5" s="268"/>
      <c r="AH5" s="268"/>
      <c r="AI5" s="268"/>
      <c r="AJ5" s="268"/>
    </row>
    <row r="6" spans="1:36" ht="21" x14ac:dyDescent="0.3">
      <c r="A6" s="277" t="s">
        <v>913</v>
      </c>
      <c r="B6" s="278"/>
      <c r="C6" s="277">
        <f>SUBTOTAL(103,RUH_CAI_LF_LEGACY[Flt])</f>
        <v>4</v>
      </c>
      <c r="D6" s="277"/>
      <c r="E6" s="277">
        <f>SUBTOTAL(103,RUH_CAI_LF_LEGACY[Brd-Off])</f>
        <v>4</v>
      </c>
      <c r="F6" s="277"/>
      <c r="G6" s="279">
        <f>SUBTOTAL(101,RUH_CAI_LF_LEGACY[LF%])</f>
        <v>0.71875</v>
      </c>
      <c r="H6" s="280">
        <f>SUBTOTAL(109,RUH_CAI_LF_LEGACY[CAP])</f>
        <v>672</v>
      </c>
      <c r="I6" s="280">
        <f>SUBTOTAL(109,RUH_CAI_LF_LEGACY[BKG(Y)])</f>
        <v>483</v>
      </c>
      <c r="J6" s="280">
        <f>SUBTOTAL(109,RUH_CAI_LF_LEGACY[GRP(Y)])</f>
        <v>0</v>
      </c>
      <c r="K6" s="277"/>
      <c r="L6" s="278"/>
      <c r="M6" s="280">
        <f>SUBTOTAL(109,RUH_CAI_LF_LEGACY[TO-DAY])</f>
        <v>3</v>
      </c>
      <c r="N6" s="280">
        <f>SUBTOTAL(109,RUH_CAI_LF_LEGACY[Y-DAY])</f>
        <v>28</v>
      </c>
      <c r="O6" s="280">
        <f>SUBTOTAL(109,RUH_CAI_LF_LEGACY[WEEKLY])</f>
        <v>127</v>
      </c>
      <c r="P6" s="281"/>
      <c r="Q6" s="280">
        <f>SUBTOTAL(109,RUH_CAI_LF_LEGACY[Y])</f>
        <v>0</v>
      </c>
      <c r="R6" s="280">
        <f>SUBTOTAL(109,RUH_CAI_LF_LEGACY[B])</f>
        <v>0</v>
      </c>
      <c r="S6" s="280">
        <f>SUBTOTAL(109,RUH_CAI_LF_LEGACY[M])</f>
        <v>0</v>
      </c>
      <c r="T6" s="280">
        <f>SUBTOTAL(109,RUH_CAI_LF_LEGACY[H])</f>
        <v>0</v>
      </c>
      <c r="U6" s="280">
        <f>SUBTOTAL(109,RUH_CAI_LF_LEGACY[Q])</f>
        <v>0</v>
      </c>
      <c r="V6" s="280">
        <f>SUBTOTAL(109,RUH_CAI_LF_LEGACY[K])</f>
        <v>0</v>
      </c>
      <c r="W6" s="280">
        <f>SUBTOTAL(109,RUH_CAI_LF_LEGACY[V])</f>
        <v>0</v>
      </c>
      <c r="X6" s="280">
        <f>SUBTOTAL(109,RUH_CAI_LF_LEGACY[L])</f>
        <v>0</v>
      </c>
      <c r="Y6" s="280">
        <f>SUBTOTAL(109,RUH_CAI_LF_LEGACY[G])</f>
        <v>0</v>
      </c>
      <c r="Z6" s="280">
        <f>SUBTOTAL(109,RUH_CAI_LF_LEGACY[S])</f>
        <v>0</v>
      </c>
      <c r="AA6" s="280">
        <f>SUBTOTAL(109,RUH_CAI_LF_LEGACY[W])</f>
        <v>0</v>
      </c>
      <c r="AB6" s="280">
        <f>SUBTOTAL(109,RUH_CAI_LF_LEGACY[T])</f>
        <v>0</v>
      </c>
      <c r="AC6" s="280">
        <f>SUBTOTAL(109,RUH_CAI_LF_LEGACY[X])</f>
        <v>0</v>
      </c>
      <c r="AD6" s="280">
        <f>SUBTOTAL(109,RUH_CAI_LF_LEGACY[U])</f>
        <v>0</v>
      </c>
      <c r="AE6" s="280">
        <f>SUBTOTAL(109,RUH_CAI_LF_LEGACY[O])</f>
        <v>0</v>
      </c>
      <c r="AF6" s="280">
        <f>SUBTOTAL(109,RUH_CAI_LF_LEGACY[I])</f>
        <v>0</v>
      </c>
      <c r="AG6" s="280">
        <f>SUBTOTAL(109,RUH_CAI_LF_LEGACY[E])</f>
        <v>0</v>
      </c>
      <c r="AH6" s="280">
        <f>SUBTOTAL(109,RUH_CAI_LF_LEGACY[A])</f>
        <v>0</v>
      </c>
      <c r="AI6" s="280">
        <f>SUBTOTAL(109,RUH_CAI_LF_LEGACY[P])</f>
        <v>0</v>
      </c>
      <c r="AJ6" s="280">
        <f>SUBTOTAL(103,RUH_CAI_LF_LEGACY[N])</f>
        <v>1</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4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4.77734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26</v>
      </c>
      <c r="C2" s="62" t="s">
        <v>627</v>
      </c>
      <c r="D2" s="61" t="s">
        <v>626</v>
      </c>
      <c r="E2" s="61" t="s">
        <v>736</v>
      </c>
      <c r="F2" s="61" t="s">
        <v>28</v>
      </c>
      <c r="G2" s="63">
        <v>5</v>
      </c>
      <c r="H2" s="64">
        <v>599</v>
      </c>
    </row>
    <row r="3" spans="1:8" ht="19.8" customHeight="1" x14ac:dyDescent="0.3">
      <c r="A3" s="60" t="s">
        <v>166</v>
      </c>
      <c r="B3" s="61" t="s">
        <v>26</v>
      </c>
      <c r="C3" s="62" t="s">
        <v>630</v>
      </c>
      <c r="D3" s="61" t="s">
        <v>626</v>
      </c>
      <c r="E3" s="61" t="s">
        <v>737</v>
      </c>
      <c r="F3" s="61" t="s">
        <v>28</v>
      </c>
      <c r="G3" s="63">
        <v>5</v>
      </c>
      <c r="H3" s="64">
        <v>599</v>
      </c>
    </row>
    <row r="4" spans="1:8" ht="19.8" customHeight="1" x14ac:dyDescent="0.3">
      <c r="A4" s="60" t="s">
        <v>166</v>
      </c>
      <c r="B4" s="61" t="s">
        <v>36</v>
      </c>
      <c r="C4" s="62" t="s">
        <v>635</v>
      </c>
      <c r="D4" s="61" t="s">
        <v>626</v>
      </c>
      <c r="E4" s="61" t="s">
        <v>738</v>
      </c>
      <c r="F4" s="61" t="s">
        <v>38</v>
      </c>
      <c r="G4" s="63">
        <v>9</v>
      </c>
      <c r="H4" s="64">
        <v>609</v>
      </c>
    </row>
    <row r="5" spans="1:8" ht="19.8" customHeight="1" x14ac:dyDescent="0.3">
      <c r="A5" s="60" t="s">
        <v>166</v>
      </c>
      <c r="B5" s="61" t="s">
        <v>36</v>
      </c>
      <c r="C5" s="62" t="s">
        <v>636</v>
      </c>
      <c r="D5" s="61" t="s">
        <v>626</v>
      </c>
      <c r="E5" s="61" t="s">
        <v>739</v>
      </c>
      <c r="F5" s="61" t="s">
        <v>38</v>
      </c>
      <c r="G5" s="63">
        <v>8</v>
      </c>
      <c r="H5" s="64">
        <v>609</v>
      </c>
    </row>
    <row r="6" spans="1:8" ht="19.8" customHeight="1" x14ac:dyDescent="0.3">
      <c r="A6" s="60" t="s">
        <v>166</v>
      </c>
      <c r="B6" s="61" t="s">
        <v>36</v>
      </c>
      <c r="C6" s="62" t="s">
        <v>637</v>
      </c>
      <c r="D6" s="61" t="s">
        <v>626</v>
      </c>
      <c r="E6" s="61" t="s">
        <v>740</v>
      </c>
      <c r="F6" s="61" t="s">
        <v>38</v>
      </c>
      <c r="G6" s="63">
        <v>5</v>
      </c>
      <c r="H6" s="64">
        <v>609</v>
      </c>
    </row>
    <row r="7" spans="1:8" ht="19.8" customHeight="1" x14ac:dyDescent="0.3">
      <c r="A7" s="60" t="s">
        <v>166</v>
      </c>
      <c r="B7" s="61" t="s">
        <v>36</v>
      </c>
      <c r="C7" s="62" t="s">
        <v>638</v>
      </c>
      <c r="D7" s="61" t="s">
        <v>626</v>
      </c>
      <c r="E7" s="61" t="s">
        <v>736</v>
      </c>
      <c r="F7" s="61" t="s">
        <v>38</v>
      </c>
      <c r="G7" s="63">
        <v>7</v>
      </c>
      <c r="H7" s="64">
        <v>659</v>
      </c>
    </row>
    <row r="8" spans="1:8" ht="19.8" customHeight="1" x14ac:dyDescent="0.3">
      <c r="A8" s="60" t="s">
        <v>166</v>
      </c>
      <c r="B8" s="61" t="s">
        <v>261</v>
      </c>
      <c r="C8" s="62" t="s">
        <v>649</v>
      </c>
      <c r="D8" s="61" t="s">
        <v>626</v>
      </c>
      <c r="E8" s="61" t="s">
        <v>741</v>
      </c>
      <c r="F8" s="61" t="s">
        <v>263</v>
      </c>
      <c r="G8" s="63">
        <v>2</v>
      </c>
      <c r="H8" s="64">
        <v>695</v>
      </c>
    </row>
    <row r="9" spans="1:8" ht="19.8" customHeight="1" x14ac:dyDescent="0.3">
      <c r="A9" s="60" t="s">
        <v>166</v>
      </c>
      <c r="B9" s="61" t="s">
        <v>36</v>
      </c>
      <c r="C9" s="62" t="s">
        <v>635</v>
      </c>
      <c r="D9" s="61" t="s">
        <v>626</v>
      </c>
      <c r="E9" s="61" t="s">
        <v>738</v>
      </c>
      <c r="F9" s="61" t="s">
        <v>41</v>
      </c>
      <c r="G9" s="63">
        <v>9</v>
      </c>
      <c r="H9" s="64">
        <v>709</v>
      </c>
    </row>
    <row r="10" spans="1:8" ht="19.8" customHeight="1" x14ac:dyDescent="0.3">
      <c r="A10" s="60" t="s">
        <v>166</v>
      </c>
      <c r="B10" s="61" t="s">
        <v>36</v>
      </c>
      <c r="C10" s="62" t="s">
        <v>636</v>
      </c>
      <c r="D10" s="61" t="s">
        <v>626</v>
      </c>
      <c r="E10" s="61" t="s">
        <v>739</v>
      </c>
      <c r="F10" s="61" t="s">
        <v>41</v>
      </c>
      <c r="G10" s="63">
        <v>8</v>
      </c>
      <c r="H10" s="64">
        <v>709</v>
      </c>
    </row>
    <row r="11" spans="1:8" ht="19.8" customHeight="1" x14ac:dyDescent="0.3">
      <c r="A11" s="60" t="s">
        <v>166</v>
      </c>
      <c r="B11" s="61" t="s">
        <v>36</v>
      </c>
      <c r="C11" s="62" t="s">
        <v>637</v>
      </c>
      <c r="D11" s="61" t="s">
        <v>626</v>
      </c>
      <c r="E11" s="61" t="s">
        <v>740</v>
      </c>
      <c r="F11" s="61" t="s">
        <v>41</v>
      </c>
      <c r="G11" s="63">
        <v>5</v>
      </c>
      <c r="H11" s="64">
        <v>709</v>
      </c>
    </row>
    <row r="12" spans="1:8" ht="19.8" customHeight="1" x14ac:dyDescent="0.3">
      <c r="A12" s="60" t="s">
        <v>166</v>
      </c>
      <c r="B12" s="61" t="s">
        <v>269</v>
      </c>
      <c r="C12" s="62" t="s">
        <v>652</v>
      </c>
      <c r="D12" s="61" t="s">
        <v>626</v>
      </c>
      <c r="E12" s="61" t="s">
        <v>742</v>
      </c>
      <c r="F12" s="61" t="s">
        <v>271</v>
      </c>
      <c r="G12" s="63">
        <v>9</v>
      </c>
      <c r="H12" s="64">
        <v>739</v>
      </c>
    </row>
    <row r="13" spans="1:8" ht="19.8" customHeight="1" x14ac:dyDescent="0.3">
      <c r="A13" s="60" t="s">
        <v>166</v>
      </c>
      <c r="B13" s="61" t="s">
        <v>36</v>
      </c>
      <c r="C13" s="62" t="s">
        <v>641</v>
      </c>
      <c r="D13" s="61" t="s">
        <v>626</v>
      </c>
      <c r="E13" s="61" t="s">
        <v>743</v>
      </c>
      <c r="F13" s="61" t="s">
        <v>38</v>
      </c>
      <c r="G13" s="63">
        <v>8</v>
      </c>
      <c r="H13" s="64">
        <v>739</v>
      </c>
    </row>
    <row r="14" spans="1:8" ht="19.8" customHeight="1" x14ac:dyDescent="0.3">
      <c r="A14" s="60" t="s">
        <v>166</v>
      </c>
      <c r="B14" s="61" t="s">
        <v>26</v>
      </c>
      <c r="C14" s="62" t="s">
        <v>627</v>
      </c>
      <c r="D14" s="61" t="s">
        <v>626</v>
      </c>
      <c r="E14" s="61" t="s">
        <v>736</v>
      </c>
      <c r="F14" s="61" t="s">
        <v>31</v>
      </c>
      <c r="G14" s="63">
        <v>5</v>
      </c>
      <c r="H14" s="64">
        <v>749</v>
      </c>
    </row>
    <row r="15" spans="1:8" ht="19.8" customHeight="1" x14ac:dyDescent="0.3">
      <c r="A15" s="60" t="s">
        <v>166</v>
      </c>
      <c r="B15" s="61" t="s">
        <v>26</v>
      </c>
      <c r="C15" s="62" t="s">
        <v>630</v>
      </c>
      <c r="D15" s="61" t="s">
        <v>626</v>
      </c>
      <c r="E15" s="61" t="s">
        <v>737</v>
      </c>
      <c r="F15" s="61" t="s">
        <v>31</v>
      </c>
      <c r="G15" s="63">
        <v>5</v>
      </c>
      <c r="H15" s="64">
        <v>749</v>
      </c>
    </row>
    <row r="16" spans="1:8" ht="19.8" customHeight="1" x14ac:dyDescent="0.3">
      <c r="A16" s="60" t="s">
        <v>166</v>
      </c>
      <c r="B16" s="61" t="s">
        <v>36</v>
      </c>
      <c r="C16" s="62" t="s">
        <v>638</v>
      </c>
      <c r="D16" s="61" t="s">
        <v>626</v>
      </c>
      <c r="E16" s="61" t="s">
        <v>736</v>
      </c>
      <c r="F16" s="61" t="s">
        <v>41</v>
      </c>
      <c r="G16" s="63">
        <v>7</v>
      </c>
      <c r="H16" s="64">
        <v>759</v>
      </c>
    </row>
    <row r="17" spans="1:8" ht="19.8" customHeight="1" x14ac:dyDescent="0.3">
      <c r="A17" s="96" t="s">
        <v>166</v>
      </c>
      <c r="B17" s="97" t="s">
        <v>80</v>
      </c>
      <c r="C17" s="98" t="s">
        <v>654</v>
      </c>
      <c r="D17" s="97" t="s">
        <v>626</v>
      </c>
      <c r="E17" s="97" t="s">
        <v>716</v>
      </c>
      <c r="F17" s="97" t="s">
        <v>182</v>
      </c>
      <c r="G17" s="99">
        <v>8</v>
      </c>
      <c r="H17" s="100">
        <v>794</v>
      </c>
    </row>
    <row r="18" spans="1:8" ht="19.8" customHeight="1" x14ac:dyDescent="0.3">
      <c r="A18" s="70">
        <v>45981</v>
      </c>
      <c r="B18" s="61" t="s">
        <v>36</v>
      </c>
      <c r="C18" s="62" t="s">
        <v>635</v>
      </c>
      <c r="D18" s="61" t="s">
        <v>626</v>
      </c>
      <c r="E18" s="71">
        <v>1.375</v>
      </c>
      <c r="F18" s="61" t="s">
        <v>43</v>
      </c>
      <c r="G18" s="63">
        <v>9</v>
      </c>
      <c r="H18" s="64">
        <v>799</v>
      </c>
    </row>
    <row r="19" spans="1:8" ht="19.8" customHeight="1" x14ac:dyDescent="0.3">
      <c r="A19" s="70">
        <v>45981</v>
      </c>
      <c r="B19" s="61" t="s">
        <v>36</v>
      </c>
      <c r="C19" s="62" t="s">
        <v>636</v>
      </c>
      <c r="D19" s="61" t="s">
        <v>626</v>
      </c>
      <c r="E19" s="71">
        <v>1.305555555555556</v>
      </c>
      <c r="F19" s="61" t="s">
        <v>43</v>
      </c>
      <c r="G19" s="63">
        <v>8</v>
      </c>
      <c r="H19" s="64">
        <v>799</v>
      </c>
    </row>
    <row r="20" spans="1:8" ht="19.8" customHeight="1" x14ac:dyDescent="0.3">
      <c r="A20" s="70">
        <v>45981</v>
      </c>
      <c r="B20" s="61" t="s">
        <v>36</v>
      </c>
      <c r="C20" s="62" t="s">
        <v>637</v>
      </c>
      <c r="D20" s="61" t="s">
        <v>626</v>
      </c>
      <c r="E20" s="71">
        <v>1.427083333333333</v>
      </c>
      <c r="F20" s="61" t="s">
        <v>43</v>
      </c>
      <c r="G20" s="63">
        <v>5</v>
      </c>
      <c r="H20" s="64">
        <v>799</v>
      </c>
    </row>
    <row r="21" spans="1:8" ht="19.8" customHeight="1" x14ac:dyDescent="0.3">
      <c r="A21" s="70">
        <v>45981</v>
      </c>
      <c r="B21" s="61" t="s">
        <v>273</v>
      </c>
      <c r="C21" s="62" t="s">
        <v>658</v>
      </c>
      <c r="D21" s="61" t="s">
        <v>626</v>
      </c>
      <c r="E21" s="71">
        <v>1.354166666666667</v>
      </c>
      <c r="F21" s="61" t="s">
        <v>263</v>
      </c>
      <c r="G21" s="63">
        <v>8</v>
      </c>
      <c r="H21" s="64">
        <v>834</v>
      </c>
    </row>
    <row r="22" spans="1:8" ht="19.8" customHeight="1" x14ac:dyDescent="0.3">
      <c r="A22" s="70">
        <v>45981</v>
      </c>
      <c r="B22" s="61" t="s">
        <v>36</v>
      </c>
      <c r="C22" s="62" t="s">
        <v>641</v>
      </c>
      <c r="D22" s="61" t="s">
        <v>626</v>
      </c>
      <c r="E22" s="71">
        <v>1.5659722222222221</v>
      </c>
      <c r="F22" s="61" t="s">
        <v>41</v>
      </c>
      <c r="G22" s="63">
        <v>8</v>
      </c>
      <c r="H22" s="64">
        <v>839</v>
      </c>
    </row>
    <row r="23" spans="1:8" ht="19.8" customHeight="1" x14ac:dyDescent="0.3">
      <c r="A23" s="70">
        <v>45981</v>
      </c>
      <c r="B23" s="61" t="s">
        <v>36</v>
      </c>
      <c r="C23" s="62" t="s">
        <v>638</v>
      </c>
      <c r="D23" s="61" t="s">
        <v>626</v>
      </c>
      <c r="E23" s="71">
        <v>1.5</v>
      </c>
      <c r="F23" s="61" t="s">
        <v>43</v>
      </c>
      <c r="G23" s="63">
        <v>7</v>
      </c>
      <c r="H23" s="64">
        <v>849</v>
      </c>
    </row>
    <row r="24" spans="1:8" ht="19.8" customHeight="1" x14ac:dyDescent="0.3">
      <c r="A24" s="70">
        <v>45981</v>
      </c>
      <c r="B24" s="61" t="s">
        <v>269</v>
      </c>
      <c r="C24" s="62" t="s">
        <v>652</v>
      </c>
      <c r="D24" s="61" t="s">
        <v>626</v>
      </c>
      <c r="E24" s="71">
        <v>1.6215277777777779</v>
      </c>
      <c r="F24" s="61" t="s">
        <v>34</v>
      </c>
      <c r="G24" s="63">
        <v>9</v>
      </c>
      <c r="H24" s="64">
        <v>863</v>
      </c>
    </row>
    <row r="25" spans="1:8" ht="19.8" customHeight="1" x14ac:dyDescent="0.3">
      <c r="A25" s="70">
        <v>45981</v>
      </c>
      <c r="B25" s="61" t="s">
        <v>26</v>
      </c>
      <c r="C25" s="62" t="s">
        <v>631</v>
      </c>
      <c r="D25" s="61" t="s">
        <v>626</v>
      </c>
      <c r="E25" s="71">
        <v>1.760416666666667</v>
      </c>
      <c r="F25" s="61" t="s">
        <v>28</v>
      </c>
      <c r="G25" s="63">
        <v>15</v>
      </c>
      <c r="H25" s="64">
        <v>869</v>
      </c>
    </row>
    <row r="26" spans="1:8" ht="19.8" customHeight="1" x14ac:dyDescent="0.3">
      <c r="A26" s="70">
        <v>45981</v>
      </c>
      <c r="B26" s="61" t="s">
        <v>26</v>
      </c>
      <c r="C26" s="62" t="s">
        <v>633</v>
      </c>
      <c r="D26" s="61" t="s">
        <v>626</v>
      </c>
      <c r="E26" s="71">
        <v>1.8159722222222221</v>
      </c>
      <c r="F26" s="61" t="s">
        <v>28</v>
      </c>
      <c r="G26" s="63">
        <v>11</v>
      </c>
      <c r="H26" s="64">
        <v>869</v>
      </c>
    </row>
    <row r="27" spans="1:8" ht="19.8" customHeight="1" x14ac:dyDescent="0.3">
      <c r="A27" s="70">
        <v>45981</v>
      </c>
      <c r="B27" s="61" t="s">
        <v>36</v>
      </c>
      <c r="C27" s="62" t="s">
        <v>642</v>
      </c>
      <c r="D27" s="61" t="s">
        <v>626</v>
      </c>
      <c r="E27" s="71">
        <v>1.6875</v>
      </c>
      <c r="F27" s="61" t="s">
        <v>38</v>
      </c>
      <c r="G27" s="63">
        <v>3</v>
      </c>
      <c r="H27" s="64">
        <v>899</v>
      </c>
    </row>
    <row r="28" spans="1:8" ht="19.8" customHeight="1" x14ac:dyDescent="0.3">
      <c r="A28" s="70">
        <v>45981</v>
      </c>
      <c r="B28" s="61" t="s">
        <v>36</v>
      </c>
      <c r="C28" s="62" t="s">
        <v>641</v>
      </c>
      <c r="D28" s="61" t="s">
        <v>626</v>
      </c>
      <c r="E28" s="71">
        <v>1.5659722222222221</v>
      </c>
      <c r="F28" s="61" t="s">
        <v>43</v>
      </c>
      <c r="G28" s="63">
        <v>8</v>
      </c>
      <c r="H28" s="64">
        <v>929</v>
      </c>
    </row>
    <row r="29" spans="1:8" ht="19.8" customHeight="1" x14ac:dyDescent="0.3">
      <c r="A29" s="70">
        <v>45981</v>
      </c>
      <c r="B29" s="61" t="s">
        <v>273</v>
      </c>
      <c r="C29" s="62" t="s">
        <v>659</v>
      </c>
      <c r="D29" s="61" t="s">
        <v>626</v>
      </c>
      <c r="E29" s="71">
        <v>1.9861111111111109</v>
      </c>
      <c r="F29" s="61" t="s">
        <v>263</v>
      </c>
      <c r="G29" s="63">
        <v>6</v>
      </c>
      <c r="H29" s="64">
        <v>933</v>
      </c>
    </row>
    <row r="30" spans="1:8" ht="19.8" customHeight="1" x14ac:dyDescent="0.3">
      <c r="A30" s="70">
        <v>45981</v>
      </c>
      <c r="B30" s="61" t="s">
        <v>261</v>
      </c>
      <c r="C30" s="62" t="s">
        <v>650</v>
      </c>
      <c r="D30" s="61" t="s">
        <v>626</v>
      </c>
      <c r="E30" s="71">
        <v>1.8784722222222221</v>
      </c>
      <c r="F30" s="61" t="s">
        <v>263</v>
      </c>
      <c r="G30" s="63">
        <v>6</v>
      </c>
      <c r="H30" s="64">
        <v>935</v>
      </c>
    </row>
    <row r="31" spans="1:8" ht="19.8" customHeight="1" x14ac:dyDescent="0.3">
      <c r="A31" s="70">
        <v>45981</v>
      </c>
      <c r="B31" s="61" t="s">
        <v>36</v>
      </c>
      <c r="C31" s="62" t="s">
        <v>645</v>
      </c>
      <c r="D31" s="61" t="s">
        <v>626</v>
      </c>
      <c r="E31" s="71">
        <v>1.8263888888888891</v>
      </c>
      <c r="F31" s="61" t="s">
        <v>38</v>
      </c>
      <c r="G31" s="63">
        <v>9</v>
      </c>
      <c r="H31" s="64">
        <v>979</v>
      </c>
    </row>
    <row r="32" spans="1:8" ht="19.8" customHeight="1" x14ac:dyDescent="0.3">
      <c r="A32" s="70">
        <v>45981</v>
      </c>
      <c r="B32" s="61" t="s">
        <v>36</v>
      </c>
      <c r="C32" s="62" t="s">
        <v>642</v>
      </c>
      <c r="D32" s="61" t="s">
        <v>626</v>
      </c>
      <c r="E32" s="71">
        <v>1.6875</v>
      </c>
      <c r="F32" s="61" t="s">
        <v>41</v>
      </c>
      <c r="G32" s="63">
        <v>3</v>
      </c>
      <c r="H32" s="64">
        <v>999</v>
      </c>
    </row>
    <row r="33" spans="1:8" ht="19.8" customHeight="1" x14ac:dyDescent="0.3">
      <c r="A33" s="70">
        <v>45981</v>
      </c>
      <c r="B33" s="61" t="s">
        <v>26</v>
      </c>
      <c r="C33" s="62" t="s">
        <v>631</v>
      </c>
      <c r="D33" s="61" t="s">
        <v>626</v>
      </c>
      <c r="E33" s="71">
        <v>1.760416666666667</v>
      </c>
      <c r="F33" s="61" t="s">
        <v>31</v>
      </c>
      <c r="G33" s="63">
        <v>15</v>
      </c>
      <c r="H33" s="65" t="s">
        <v>247</v>
      </c>
    </row>
    <row r="34" spans="1:8" ht="19.8" customHeight="1" x14ac:dyDescent="0.3">
      <c r="A34" s="70">
        <v>45981</v>
      </c>
      <c r="B34" s="61" t="s">
        <v>26</v>
      </c>
      <c r="C34" s="62" t="s">
        <v>633</v>
      </c>
      <c r="D34" s="61" t="s">
        <v>626</v>
      </c>
      <c r="E34" s="71">
        <v>1.8159722222222221</v>
      </c>
      <c r="F34" s="61" t="s">
        <v>31</v>
      </c>
      <c r="G34" s="63">
        <v>11</v>
      </c>
      <c r="H34" s="65" t="s">
        <v>247</v>
      </c>
    </row>
    <row r="35" spans="1:8" ht="19.8" customHeight="1" x14ac:dyDescent="0.3">
      <c r="A35" s="70">
        <v>45981</v>
      </c>
      <c r="B35" s="61" t="s">
        <v>273</v>
      </c>
      <c r="C35" s="62" t="s">
        <v>661</v>
      </c>
      <c r="D35" s="61" t="s">
        <v>626</v>
      </c>
      <c r="E35" s="71">
        <v>1.802083333333333</v>
      </c>
      <c r="F35" s="61" t="s">
        <v>263</v>
      </c>
      <c r="G35" s="63">
        <v>7</v>
      </c>
      <c r="H35" s="65" t="s">
        <v>662</v>
      </c>
    </row>
    <row r="36" spans="1:8" ht="19.8" customHeight="1" x14ac:dyDescent="0.3">
      <c r="A36" s="70">
        <v>45981</v>
      </c>
      <c r="B36" s="61" t="s">
        <v>36</v>
      </c>
      <c r="C36" s="62" t="s">
        <v>645</v>
      </c>
      <c r="D36" s="61" t="s">
        <v>626</v>
      </c>
      <c r="E36" s="71">
        <v>1.8263888888888891</v>
      </c>
      <c r="F36" s="61" t="s">
        <v>41</v>
      </c>
      <c r="G36" s="63">
        <v>9</v>
      </c>
      <c r="H36" s="65" t="s">
        <v>647</v>
      </c>
    </row>
    <row r="37" spans="1:8" ht="19.8" customHeight="1" x14ac:dyDescent="0.3">
      <c r="A37" s="70">
        <v>45981</v>
      </c>
      <c r="B37" s="61" t="s">
        <v>36</v>
      </c>
      <c r="C37" s="62" t="s">
        <v>642</v>
      </c>
      <c r="D37" s="61" t="s">
        <v>626</v>
      </c>
      <c r="E37" s="71">
        <v>1.6875</v>
      </c>
      <c r="F37" s="61" t="s">
        <v>43</v>
      </c>
      <c r="G37" s="63">
        <v>3</v>
      </c>
      <c r="H37" s="65" t="s">
        <v>644</v>
      </c>
    </row>
    <row r="38" spans="1:8" ht="19.8" customHeight="1" x14ac:dyDescent="0.3">
      <c r="A38" s="70">
        <v>45981</v>
      </c>
      <c r="B38" s="61" t="s">
        <v>36</v>
      </c>
      <c r="C38" s="62" t="s">
        <v>645</v>
      </c>
      <c r="D38" s="61" t="s">
        <v>626</v>
      </c>
      <c r="E38" s="71">
        <v>1.8263888888888891</v>
      </c>
      <c r="F38" s="61" t="s">
        <v>43</v>
      </c>
      <c r="G38" s="63">
        <v>9</v>
      </c>
      <c r="H38" s="65" t="s">
        <v>648</v>
      </c>
    </row>
    <row r="39" spans="1:8" ht="19.8" customHeight="1" x14ac:dyDescent="0.3">
      <c r="A39" s="70">
        <v>45981</v>
      </c>
      <c r="B39" s="61" t="s">
        <v>26</v>
      </c>
      <c r="C39" s="62" t="s">
        <v>627</v>
      </c>
      <c r="D39" s="61" t="s">
        <v>626</v>
      </c>
      <c r="E39" s="71">
        <v>1.5</v>
      </c>
      <c r="F39" s="61" t="s">
        <v>34</v>
      </c>
      <c r="G39" s="63">
        <v>5</v>
      </c>
      <c r="H39" s="65" t="s">
        <v>629</v>
      </c>
    </row>
    <row r="40" spans="1:8" ht="19.8" customHeight="1" x14ac:dyDescent="0.3">
      <c r="A40" s="70">
        <v>45981</v>
      </c>
      <c r="B40" s="61" t="s">
        <v>26</v>
      </c>
      <c r="C40" s="62" t="s">
        <v>630</v>
      </c>
      <c r="D40" s="61" t="s">
        <v>626</v>
      </c>
      <c r="E40" s="71">
        <v>1.447916666666667</v>
      </c>
      <c r="F40" s="61" t="s">
        <v>34</v>
      </c>
      <c r="G40" s="63">
        <v>5</v>
      </c>
      <c r="H40" s="65" t="s">
        <v>629</v>
      </c>
    </row>
    <row r="41" spans="1:8" ht="19.8" customHeight="1" x14ac:dyDescent="0.3">
      <c r="A41" s="70">
        <v>45981</v>
      </c>
      <c r="B41" s="61" t="s">
        <v>51</v>
      </c>
      <c r="C41" s="62" t="s">
        <v>663</v>
      </c>
      <c r="D41" s="61" t="s">
        <v>626</v>
      </c>
      <c r="E41" s="71">
        <v>1.166666666666667</v>
      </c>
      <c r="F41" s="61" t="s">
        <v>53</v>
      </c>
      <c r="G41" s="63">
        <v>8</v>
      </c>
      <c r="H41" s="65" t="s">
        <v>664</v>
      </c>
    </row>
    <row r="42" spans="1:8" ht="19.8" customHeight="1" x14ac:dyDescent="0.3">
      <c r="A42" s="70">
        <v>45981</v>
      </c>
      <c r="B42" s="61" t="s">
        <v>64</v>
      </c>
      <c r="C42" s="62" t="s">
        <v>669</v>
      </c>
      <c r="D42" s="61" t="s">
        <v>626</v>
      </c>
      <c r="E42" s="71">
        <v>1.2986111111111109</v>
      </c>
      <c r="F42" s="61" t="s">
        <v>66</v>
      </c>
      <c r="G42" s="63">
        <v>9</v>
      </c>
      <c r="H42" s="65" t="s">
        <v>670</v>
      </c>
    </row>
    <row r="43" spans="1:8" ht="19.8" customHeight="1" x14ac:dyDescent="0.3">
      <c r="A43" s="70">
        <v>45981</v>
      </c>
      <c r="B43" s="61" t="s">
        <v>26</v>
      </c>
      <c r="C43" s="62" t="s">
        <v>631</v>
      </c>
      <c r="D43" s="61" t="s">
        <v>626</v>
      </c>
      <c r="E43" s="71">
        <v>1.760416666666667</v>
      </c>
      <c r="F43" s="61" t="s">
        <v>34</v>
      </c>
      <c r="G43" s="63">
        <v>15</v>
      </c>
      <c r="H43" s="65" t="s">
        <v>632</v>
      </c>
    </row>
    <row r="44" spans="1:8" ht="19.8" customHeight="1" x14ac:dyDescent="0.3">
      <c r="A44" s="70">
        <v>45981</v>
      </c>
      <c r="B44" s="61" t="s">
        <v>26</v>
      </c>
      <c r="C44" s="62" t="s">
        <v>633</v>
      </c>
      <c r="D44" s="61" t="s">
        <v>626</v>
      </c>
      <c r="E44" s="71">
        <v>1.8159722222222221</v>
      </c>
      <c r="F44" s="61" t="s">
        <v>34</v>
      </c>
      <c r="G44" s="63">
        <v>11</v>
      </c>
      <c r="H44" s="65" t="s">
        <v>632</v>
      </c>
    </row>
    <row r="45" spans="1:8" ht="19.8" customHeight="1" x14ac:dyDescent="0.3">
      <c r="A45" s="70">
        <v>45981</v>
      </c>
      <c r="B45" s="61" t="s">
        <v>64</v>
      </c>
      <c r="C45" s="62" t="s">
        <v>669</v>
      </c>
      <c r="D45" s="61" t="s">
        <v>626</v>
      </c>
      <c r="E45" s="71">
        <v>1.2986111111111109</v>
      </c>
      <c r="F45" s="61" t="s">
        <v>68</v>
      </c>
      <c r="G45" s="63">
        <v>9</v>
      </c>
      <c r="H45" s="65" t="s">
        <v>671</v>
      </c>
    </row>
    <row r="46" spans="1:8" ht="19.8" customHeight="1" x14ac:dyDescent="0.3">
      <c r="A46" s="70">
        <v>45981</v>
      </c>
      <c r="B46" s="61" t="s">
        <v>64</v>
      </c>
      <c r="C46" s="62" t="s">
        <v>672</v>
      </c>
      <c r="D46" s="61" t="s">
        <v>626</v>
      </c>
      <c r="E46" s="71">
        <v>1.4826388888888891</v>
      </c>
      <c r="F46" s="61" t="s">
        <v>66</v>
      </c>
      <c r="G46" s="63">
        <v>9</v>
      </c>
      <c r="H46" s="65" t="s">
        <v>673</v>
      </c>
    </row>
    <row r="47" spans="1:8" ht="19.8" customHeight="1" x14ac:dyDescent="0.3">
      <c r="A47" s="70">
        <v>45981</v>
      </c>
      <c r="B47" s="61" t="s">
        <v>64</v>
      </c>
      <c r="C47" s="62" t="s">
        <v>675</v>
      </c>
      <c r="D47" s="61" t="s">
        <v>626</v>
      </c>
      <c r="E47" s="71">
        <v>1.5</v>
      </c>
      <c r="F47" s="61" t="s">
        <v>68</v>
      </c>
      <c r="G47" s="63">
        <v>4</v>
      </c>
      <c r="H47" s="65" t="s">
        <v>676</v>
      </c>
    </row>
    <row r="48" spans="1:8" ht="19.8" customHeight="1" x14ac:dyDescent="0.3">
      <c r="A48" s="70">
        <v>45981</v>
      </c>
      <c r="B48" s="61" t="s">
        <v>64</v>
      </c>
      <c r="C48" s="62" t="s">
        <v>672</v>
      </c>
      <c r="D48" s="61" t="s">
        <v>626</v>
      </c>
      <c r="E48" s="71">
        <v>1.4826388888888891</v>
      </c>
      <c r="F48" s="61" t="s">
        <v>68</v>
      </c>
      <c r="G48" s="63">
        <v>9</v>
      </c>
      <c r="H48" s="65" t="s">
        <v>674</v>
      </c>
    </row>
    <row r="49" spans="1:8" ht="19.8" customHeight="1" x14ac:dyDescent="0.3">
      <c r="A49" s="70">
        <v>45981</v>
      </c>
      <c r="B49" s="61" t="s">
        <v>51</v>
      </c>
      <c r="C49" s="62" t="s">
        <v>665</v>
      </c>
      <c r="D49" s="61" t="s">
        <v>626</v>
      </c>
      <c r="E49" s="71">
        <v>1.541666666666667</v>
      </c>
      <c r="F49" s="61" t="s">
        <v>53</v>
      </c>
      <c r="G49" s="63">
        <v>1</v>
      </c>
      <c r="H49" s="65" t="s">
        <v>666</v>
      </c>
    </row>
    <row r="50" spans="1:8" ht="19.8" customHeight="1" x14ac:dyDescent="0.3">
      <c r="A50" s="70">
        <v>45981</v>
      </c>
      <c r="B50" s="61" t="s">
        <v>51</v>
      </c>
      <c r="C50" s="62" t="s">
        <v>667</v>
      </c>
      <c r="D50" s="61" t="s">
        <v>626</v>
      </c>
      <c r="E50" s="71">
        <v>1.916666666666667</v>
      </c>
      <c r="F50" s="61" t="s">
        <v>53</v>
      </c>
      <c r="G50" s="63">
        <v>1</v>
      </c>
      <c r="H50" s="65" t="s">
        <v>668</v>
      </c>
    </row>
    <row r="51" spans="1:8" ht="19.8" customHeight="1" x14ac:dyDescent="0.3">
      <c r="A51" s="70">
        <v>45981</v>
      </c>
      <c r="B51" s="61" t="s">
        <v>64</v>
      </c>
      <c r="C51" s="62" t="s">
        <v>677</v>
      </c>
      <c r="D51" s="61" t="s">
        <v>626</v>
      </c>
      <c r="E51" s="71">
        <v>1.6840277777777779</v>
      </c>
      <c r="F51" s="61" t="s">
        <v>66</v>
      </c>
      <c r="G51" s="63">
        <v>5</v>
      </c>
      <c r="H51" s="65" t="s">
        <v>678</v>
      </c>
    </row>
    <row r="52" spans="1:8" ht="19.8" customHeight="1" x14ac:dyDescent="0.3">
      <c r="A52" s="72">
        <v>45981</v>
      </c>
      <c r="B52" s="73" t="s">
        <v>64</v>
      </c>
      <c r="C52" s="74" t="s">
        <v>677</v>
      </c>
      <c r="D52" s="73" t="s">
        <v>626</v>
      </c>
      <c r="E52" s="75">
        <v>1.6840277777777779</v>
      </c>
      <c r="F52" s="73" t="s">
        <v>68</v>
      </c>
      <c r="G52" s="76">
        <v>5</v>
      </c>
      <c r="H52" s="77" t="s">
        <v>679</v>
      </c>
    </row>
    <row r="53" spans="1:8" ht="19.8" customHeight="1" x14ac:dyDescent="0.3">
      <c r="A53" s="70">
        <v>45982</v>
      </c>
      <c r="B53" s="61" t="s">
        <v>26</v>
      </c>
      <c r="C53" s="62" t="s">
        <v>627</v>
      </c>
      <c r="D53" s="61" t="s">
        <v>626</v>
      </c>
      <c r="E53" s="71">
        <v>1.5</v>
      </c>
      <c r="F53" s="61" t="s">
        <v>28</v>
      </c>
      <c r="G53" s="63">
        <v>17</v>
      </c>
      <c r="H53" s="64">
        <v>549</v>
      </c>
    </row>
    <row r="54" spans="1:8" ht="19.8" customHeight="1" x14ac:dyDescent="0.3">
      <c r="A54" s="70">
        <v>45982</v>
      </c>
      <c r="B54" s="61" t="s">
        <v>26</v>
      </c>
      <c r="C54" s="62" t="s">
        <v>631</v>
      </c>
      <c r="D54" s="61" t="s">
        <v>626</v>
      </c>
      <c r="E54" s="71">
        <v>1.760416666666667</v>
      </c>
      <c r="F54" s="61" t="s">
        <v>28</v>
      </c>
      <c r="G54" s="63">
        <v>24</v>
      </c>
      <c r="H54" s="64">
        <v>599</v>
      </c>
    </row>
    <row r="55" spans="1:8" ht="19.8" customHeight="1" x14ac:dyDescent="0.3">
      <c r="A55" s="70">
        <v>45982</v>
      </c>
      <c r="B55" s="61" t="s">
        <v>26</v>
      </c>
      <c r="C55" s="62" t="s">
        <v>633</v>
      </c>
      <c r="D55" s="61" t="s">
        <v>626</v>
      </c>
      <c r="E55" s="71">
        <v>1.8159722222222221</v>
      </c>
      <c r="F55" s="61" t="s">
        <v>28</v>
      </c>
      <c r="G55" s="63">
        <v>26</v>
      </c>
      <c r="H55" s="64">
        <v>599</v>
      </c>
    </row>
    <row r="56" spans="1:8" ht="19.8" customHeight="1" x14ac:dyDescent="0.3">
      <c r="A56" s="70">
        <v>45982</v>
      </c>
      <c r="B56" s="61" t="s">
        <v>36</v>
      </c>
      <c r="C56" s="62" t="s">
        <v>638</v>
      </c>
      <c r="D56" s="61" t="s">
        <v>626</v>
      </c>
      <c r="E56" s="71">
        <v>1.5</v>
      </c>
      <c r="F56" s="61" t="s">
        <v>38</v>
      </c>
      <c r="G56" s="63">
        <v>7</v>
      </c>
      <c r="H56" s="64">
        <v>609</v>
      </c>
    </row>
    <row r="57" spans="1:8" ht="19.8" customHeight="1" x14ac:dyDescent="0.3">
      <c r="A57" s="70">
        <v>45982</v>
      </c>
      <c r="B57" s="61" t="s">
        <v>26</v>
      </c>
      <c r="C57" s="62" t="s">
        <v>630</v>
      </c>
      <c r="D57" s="61" t="s">
        <v>626</v>
      </c>
      <c r="E57" s="71">
        <v>1.447916666666667</v>
      </c>
      <c r="F57" s="61" t="s">
        <v>28</v>
      </c>
      <c r="G57" s="63">
        <v>17</v>
      </c>
      <c r="H57" s="64">
        <v>649</v>
      </c>
    </row>
    <row r="58" spans="1:8" ht="19.8" customHeight="1" x14ac:dyDescent="0.3">
      <c r="A58" s="70">
        <v>45982</v>
      </c>
      <c r="B58" s="61" t="s">
        <v>36</v>
      </c>
      <c r="C58" s="62" t="s">
        <v>641</v>
      </c>
      <c r="D58" s="61" t="s">
        <v>626</v>
      </c>
      <c r="E58" s="71">
        <v>1.5659722222222221</v>
      </c>
      <c r="F58" s="61" t="s">
        <v>38</v>
      </c>
      <c r="G58" s="63">
        <v>9</v>
      </c>
      <c r="H58" s="64">
        <v>659</v>
      </c>
    </row>
    <row r="59" spans="1:8" ht="19.8" customHeight="1" x14ac:dyDescent="0.3">
      <c r="A59" s="70">
        <v>45982</v>
      </c>
      <c r="B59" s="61" t="s">
        <v>26</v>
      </c>
      <c r="C59" s="62" t="s">
        <v>627</v>
      </c>
      <c r="D59" s="61" t="s">
        <v>626</v>
      </c>
      <c r="E59" s="71">
        <v>1.5</v>
      </c>
      <c r="F59" s="61" t="s">
        <v>31</v>
      </c>
      <c r="G59" s="63">
        <v>17</v>
      </c>
      <c r="H59" s="64">
        <v>699</v>
      </c>
    </row>
    <row r="60" spans="1:8" ht="19.8" customHeight="1" x14ac:dyDescent="0.3">
      <c r="A60" s="70">
        <v>45982</v>
      </c>
      <c r="B60" s="61" t="s">
        <v>36</v>
      </c>
      <c r="C60" s="62" t="s">
        <v>638</v>
      </c>
      <c r="D60" s="61" t="s">
        <v>626</v>
      </c>
      <c r="E60" s="71">
        <v>1.5</v>
      </c>
      <c r="F60" s="61" t="s">
        <v>41</v>
      </c>
      <c r="G60" s="63">
        <v>7</v>
      </c>
      <c r="H60" s="64">
        <v>709</v>
      </c>
    </row>
    <row r="61" spans="1:8" ht="19.8" customHeight="1" x14ac:dyDescent="0.3">
      <c r="A61" s="186">
        <v>45982</v>
      </c>
      <c r="B61" s="97" t="s">
        <v>80</v>
      </c>
      <c r="C61" s="98" t="s">
        <v>690</v>
      </c>
      <c r="D61" s="97" t="s">
        <v>626</v>
      </c>
      <c r="E61" s="187">
        <v>1.9236111111111109</v>
      </c>
      <c r="F61" s="97" t="s">
        <v>182</v>
      </c>
      <c r="G61" s="99">
        <v>3</v>
      </c>
      <c r="H61" s="100">
        <v>728</v>
      </c>
    </row>
    <row r="62" spans="1:8" ht="19.8" customHeight="1" x14ac:dyDescent="0.3">
      <c r="A62" s="70">
        <v>45982</v>
      </c>
      <c r="B62" s="61" t="s">
        <v>36</v>
      </c>
      <c r="C62" s="62" t="s">
        <v>645</v>
      </c>
      <c r="D62" s="61" t="s">
        <v>626</v>
      </c>
      <c r="E62" s="71">
        <v>1.8263888888888891</v>
      </c>
      <c r="F62" s="61" t="s">
        <v>38</v>
      </c>
      <c r="G62" s="63">
        <v>9</v>
      </c>
      <c r="H62" s="64">
        <v>739</v>
      </c>
    </row>
    <row r="63" spans="1:8" ht="19.8" customHeight="1" x14ac:dyDescent="0.3">
      <c r="A63" s="70">
        <v>45982</v>
      </c>
      <c r="B63" s="61" t="s">
        <v>36</v>
      </c>
      <c r="C63" s="62" t="s">
        <v>635</v>
      </c>
      <c r="D63" s="61" t="s">
        <v>626</v>
      </c>
      <c r="E63" s="71">
        <v>1.375</v>
      </c>
      <c r="F63" s="61" t="s">
        <v>38</v>
      </c>
      <c r="G63" s="63">
        <v>9</v>
      </c>
      <c r="H63" s="64">
        <v>739</v>
      </c>
    </row>
    <row r="64" spans="1:8" ht="19.8" customHeight="1" x14ac:dyDescent="0.3">
      <c r="A64" s="70">
        <v>45982</v>
      </c>
      <c r="B64" s="61" t="s">
        <v>36</v>
      </c>
      <c r="C64" s="62" t="s">
        <v>636</v>
      </c>
      <c r="D64" s="61" t="s">
        <v>626</v>
      </c>
      <c r="E64" s="71">
        <v>1.305555555555556</v>
      </c>
      <c r="F64" s="61" t="s">
        <v>38</v>
      </c>
      <c r="G64" s="63">
        <v>9</v>
      </c>
      <c r="H64" s="64">
        <v>739</v>
      </c>
    </row>
    <row r="65" spans="1:8" ht="19.8" customHeight="1" x14ac:dyDescent="0.3">
      <c r="A65" s="70">
        <v>45982</v>
      </c>
      <c r="B65" s="61" t="s">
        <v>36</v>
      </c>
      <c r="C65" s="62" t="s">
        <v>642</v>
      </c>
      <c r="D65" s="61" t="s">
        <v>626</v>
      </c>
      <c r="E65" s="71">
        <v>1.6875</v>
      </c>
      <c r="F65" s="61" t="s">
        <v>38</v>
      </c>
      <c r="G65" s="63">
        <v>4</v>
      </c>
      <c r="H65" s="64">
        <v>739</v>
      </c>
    </row>
    <row r="66" spans="1:8" ht="19.8" customHeight="1" x14ac:dyDescent="0.3">
      <c r="A66" s="70">
        <v>45982</v>
      </c>
      <c r="B66" s="61" t="s">
        <v>36</v>
      </c>
      <c r="C66" s="62" t="s">
        <v>637</v>
      </c>
      <c r="D66" s="61" t="s">
        <v>626</v>
      </c>
      <c r="E66" s="71">
        <v>1.427083333333333</v>
      </c>
      <c r="F66" s="61" t="s">
        <v>38</v>
      </c>
      <c r="G66" s="63">
        <v>9</v>
      </c>
      <c r="H66" s="64">
        <v>739</v>
      </c>
    </row>
    <row r="67" spans="1:8" ht="19.8" customHeight="1" x14ac:dyDescent="0.3">
      <c r="A67" s="70">
        <v>45982</v>
      </c>
      <c r="B67" s="61" t="s">
        <v>26</v>
      </c>
      <c r="C67" s="62" t="s">
        <v>631</v>
      </c>
      <c r="D67" s="61" t="s">
        <v>626</v>
      </c>
      <c r="E67" s="71">
        <v>1.760416666666667</v>
      </c>
      <c r="F67" s="61" t="s">
        <v>31</v>
      </c>
      <c r="G67" s="63">
        <v>24</v>
      </c>
      <c r="H67" s="64">
        <v>749</v>
      </c>
    </row>
    <row r="68" spans="1:8" ht="19.8" customHeight="1" x14ac:dyDescent="0.3">
      <c r="A68" s="70">
        <v>45982</v>
      </c>
      <c r="B68" s="61" t="s">
        <v>26</v>
      </c>
      <c r="C68" s="62" t="s">
        <v>633</v>
      </c>
      <c r="D68" s="61" t="s">
        <v>626</v>
      </c>
      <c r="E68" s="71">
        <v>1.8159722222222221</v>
      </c>
      <c r="F68" s="61" t="s">
        <v>31</v>
      </c>
      <c r="G68" s="63">
        <v>26</v>
      </c>
      <c r="H68" s="64">
        <v>749</v>
      </c>
    </row>
    <row r="69" spans="1:8" ht="19.8" customHeight="1" x14ac:dyDescent="0.3">
      <c r="A69" s="70">
        <v>45982</v>
      </c>
      <c r="B69" s="61" t="s">
        <v>36</v>
      </c>
      <c r="C69" s="62" t="s">
        <v>641</v>
      </c>
      <c r="D69" s="61" t="s">
        <v>626</v>
      </c>
      <c r="E69" s="71">
        <v>1.5659722222222221</v>
      </c>
      <c r="F69" s="61" t="s">
        <v>41</v>
      </c>
      <c r="G69" s="63">
        <v>9</v>
      </c>
      <c r="H69" s="64">
        <v>759</v>
      </c>
    </row>
    <row r="70" spans="1:8" ht="19.8" customHeight="1" x14ac:dyDescent="0.3">
      <c r="A70" s="70">
        <v>45982</v>
      </c>
      <c r="B70" s="61" t="s">
        <v>26</v>
      </c>
      <c r="C70" s="62" t="s">
        <v>630</v>
      </c>
      <c r="D70" s="61" t="s">
        <v>626</v>
      </c>
      <c r="E70" s="71">
        <v>1.447916666666667</v>
      </c>
      <c r="F70" s="61" t="s">
        <v>31</v>
      </c>
      <c r="G70" s="63">
        <v>17</v>
      </c>
      <c r="H70" s="64">
        <v>799</v>
      </c>
    </row>
    <row r="71" spans="1:8" ht="19.8" customHeight="1" x14ac:dyDescent="0.3">
      <c r="A71" s="70">
        <v>45982</v>
      </c>
      <c r="B71" s="61" t="s">
        <v>36</v>
      </c>
      <c r="C71" s="62" t="s">
        <v>638</v>
      </c>
      <c r="D71" s="61" t="s">
        <v>626</v>
      </c>
      <c r="E71" s="71">
        <v>1.5</v>
      </c>
      <c r="F71" s="61" t="s">
        <v>43</v>
      </c>
      <c r="G71" s="63">
        <v>7</v>
      </c>
      <c r="H71" s="64">
        <v>799</v>
      </c>
    </row>
    <row r="72" spans="1:8" ht="19.8" customHeight="1" x14ac:dyDescent="0.3">
      <c r="A72" s="70">
        <v>45982</v>
      </c>
      <c r="B72" s="61" t="s">
        <v>36</v>
      </c>
      <c r="C72" s="62" t="s">
        <v>645</v>
      </c>
      <c r="D72" s="61" t="s">
        <v>626</v>
      </c>
      <c r="E72" s="71">
        <v>1.8263888888888891</v>
      </c>
      <c r="F72" s="61" t="s">
        <v>41</v>
      </c>
      <c r="G72" s="63">
        <v>9</v>
      </c>
      <c r="H72" s="64">
        <v>839</v>
      </c>
    </row>
    <row r="73" spans="1:8" ht="19.8" customHeight="1" x14ac:dyDescent="0.3">
      <c r="A73" s="70">
        <v>45982</v>
      </c>
      <c r="B73" s="61" t="s">
        <v>36</v>
      </c>
      <c r="C73" s="62" t="s">
        <v>635</v>
      </c>
      <c r="D73" s="61" t="s">
        <v>626</v>
      </c>
      <c r="E73" s="71">
        <v>1.375</v>
      </c>
      <c r="F73" s="61" t="s">
        <v>41</v>
      </c>
      <c r="G73" s="63">
        <v>9</v>
      </c>
      <c r="H73" s="64">
        <v>839</v>
      </c>
    </row>
    <row r="74" spans="1:8" ht="19.8" customHeight="1" x14ac:dyDescent="0.3">
      <c r="A74" s="70">
        <v>45982</v>
      </c>
      <c r="B74" s="61" t="s">
        <v>36</v>
      </c>
      <c r="C74" s="62" t="s">
        <v>636</v>
      </c>
      <c r="D74" s="61" t="s">
        <v>626</v>
      </c>
      <c r="E74" s="71">
        <v>1.305555555555556</v>
      </c>
      <c r="F74" s="61" t="s">
        <v>41</v>
      </c>
      <c r="G74" s="63">
        <v>9</v>
      </c>
      <c r="H74" s="64">
        <v>839</v>
      </c>
    </row>
    <row r="75" spans="1:8" ht="19.8" customHeight="1" x14ac:dyDescent="0.3">
      <c r="A75" s="70">
        <v>45982</v>
      </c>
      <c r="B75" s="61" t="s">
        <v>36</v>
      </c>
      <c r="C75" s="62" t="s">
        <v>642</v>
      </c>
      <c r="D75" s="61" t="s">
        <v>626</v>
      </c>
      <c r="E75" s="71">
        <v>1.6875</v>
      </c>
      <c r="F75" s="61" t="s">
        <v>41</v>
      </c>
      <c r="G75" s="63">
        <v>4</v>
      </c>
      <c r="H75" s="64">
        <v>839</v>
      </c>
    </row>
    <row r="76" spans="1:8" ht="19.8" customHeight="1" x14ac:dyDescent="0.3">
      <c r="A76" s="70">
        <v>45982</v>
      </c>
      <c r="B76" s="61" t="s">
        <v>36</v>
      </c>
      <c r="C76" s="62" t="s">
        <v>637</v>
      </c>
      <c r="D76" s="61" t="s">
        <v>626</v>
      </c>
      <c r="E76" s="71">
        <v>1.427083333333333</v>
      </c>
      <c r="F76" s="61" t="s">
        <v>41</v>
      </c>
      <c r="G76" s="63">
        <v>9</v>
      </c>
      <c r="H76" s="64">
        <v>839</v>
      </c>
    </row>
    <row r="77" spans="1:8" ht="19.8" customHeight="1" x14ac:dyDescent="0.3">
      <c r="A77" s="70">
        <v>45982</v>
      </c>
      <c r="B77" s="61" t="s">
        <v>36</v>
      </c>
      <c r="C77" s="62" t="s">
        <v>641</v>
      </c>
      <c r="D77" s="61" t="s">
        <v>626</v>
      </c>
      <c r="E77" s="71">
        <v>1.5659722222222221</v>
      </c>
      <c r="F77" s="61" t="s">
        <v>43</v>
      </c>
      <c r="G77" s="63">
        <v>9</v>
      </c>
      <c r="H77" s="64">
        <v>849</v>
      </c>
    </row>
    <row r="78" spans="1:8" ht="19.8" customHeight="1" x14ac:dyDescent="0.3">
      <c r="A78" s="70">
        <v>45982</v>
      </c>
      <c r="B78" s="61" t="s">
        <v>26</v>
      </c>
      <c r="C78" s="62" t="s">
        <v>631</v>
      </c>
      <c r="D78" s="61" t="s">
        <v>626</v>
      </c>
      <c r="E78" s="71">
        <v>1.760416666666667</v>
      </c>
      <c r="F78" s="61" t="s">
        <v>34</v>
      </c>
      <c r="G78" s="63">
        <v>24</v>
      </c>
      <c r="H78" s="64">
        <v>899</v>
      </c>
    </row>
    <row r="79" spans="1:8" ht="19.8" customHeight="1" x14ac:dyDescent="0.3">
      <c r="A79" s="70">
        <v>45982</v>
      </c>
      <c r="B79" s="61" t="s">
        <v>36</v>
      </c>
      <c r="C79" s="62" t="s">
        <v>645</v>
      </c>
      <c r="D79" s="61" t="s">
        <v>626</v>
      </c>
      <c r="E79" s="71">
        <v>1.8263888888888891</v>
      </c>
      <c r="F79" s="61" t="s">
        <v>43</v>
      </c>
      <c r="G79" s="63">
        <v>9</v>
      </c>
      <c r="H79" s="64">
        <v>929</v>
      </c>
    </row>
    <row r="80" spans="1:8" ht="19.8" customHeight="1" x14ac:dyDescent="0.3">
      <c r="A80" s="70">
        <v>45982</v>
      </c>
      <c r="B80" s="61" t="s">
        <v>36</v>
      </c>
      <c r="C80" s="62" t="s">
        <v>635</v>
      </c>
      <c r="D80" s="61" t="s">
        <v>626</v>
      </c>
      <c r="E80" s="71">
        <v>1.375</v>
      </c>
      <c r="F80" s="61" t="s">
        <v>43</v>
      </c>
      <c r="G80" s="63">
        <v>9</v>
      </c>
      <c r="H80" s="64">
        <v>929</v>
      </c>
    </row>
    <row r="81" spans="1:8" ht="19.8" customHeight="1" x14ac:dyDescent="0.3">
      <c r="A81" s="70">
        <v>45982</v>
      </c>
      <c r="B81" s="61" t="s">
        <v>36</v>
      </c>
      <c r="C81" s="62" t="s">
        <v>636</v>
      </c>
      <c r="D81" s="61" t="s">
        <v>626</v>
      </c>
      <c r="E81" s="71">
        <v>1.305555555555556</v>
      </c>
      <c r="F81" s="61" t="s">
        <v>43</v>
      </c>
      <c r="G81" s="63">
        <v>9</v>
      </c>
      <c r="H81" s="64">
        <v>929</v>
      </c>
    </row>
    <row r="82" spans="1:8" ht="19.8" customHeight="1" x14ac:dyDescent="0.3">
      <c r="A82" s="70">
        <v>45982</v>
      </c>
      <c r="B82" s="61" t="s">
        <v>36</v>
      </c>
      <c r="C82" s="62" t="s">
        <v>642</v>
      </c>
      <c r="D82" s="61" t="s">
        <v>626</v>
      </c>
      <c r="E82" s="71">
        <v>1.6875</v>
      </c>
      <c r="F82" s="61" t="s">
        <v>43</v>
      </c>
      <c r="G82" s="63">
        <v>4</v>
      </c>
      <c r="H82" s="64">
        <v>929</v>
      </c>
    </row>
    <row r="83" spans="1:8" ht="19.8" customHeight="1" x14ac:dyDescent="0.3">
      <c r="A83" s="70">
        <v>45982</v>
      </c>
      <c r="B83" s="61" t="s">
        <v>36</v>
      </c>
      <c r="C83" s="62" t="s">
        <v>637</v>
      </c>
      <c r="D83" s="61" t="s">
        <v>626</v>
      </c>
      <c r="E83" s="71">
        <v>1.427083333333333</v>
      </c>
      <c r="F83" s="61" t="s">
        <v>43</v>
      </c>
      <c r="G83" s="63">
        <v>9</v>
      </c>
      <c r="H83" s="64">
        <v>929</v>
      </c>
    </row>
    <row r="84" spans="1:8" ht="19.8" customHeight="1" x14ac:dyDescent="0.3">
      <c r="A84" s="70">
        <v>45982</v>
      </c>
      <c r="B84" s="61" t="s">
        <v>261</v>
      </c>
      <c r="C84" s="62" t="s">
        <v>649</v>
      </c>
      <c r="D84" s="61" t="s">
        <v>626</v>
      </c>
      <c r="E84" s="71">
        <v>1.2777777777777779</v>
      </c>
      <c r="F84" s="61" t="s">
        <v>263</v>
      </c>
      <c r="G84" s="63">
        <v>3</v>
      </c>
      <c r="H84" s="64">
        <v>935</v>
      </c>
    </row>
    <row r="85" spans="1:8" ht="19.8" customHeight="1" x14ac:dyDescent="0.3">
      <c r="A85" s="186">
        <v>45982</v>
      </c>
      <c r="B85" s="97" t="s">
        <v>80</v>
      </c>
      <c r="C85" s="98" t="s">
        <v>654</v>
      </c>
      <c r="D85" s="97" t="s">
        <v>626</v>
      </c>
      <c r="E85" s="187">
        <v>1.604166666666667</v>
      </c>
      <c r="F85" s="97" t="s">
        <v>182</v>
      </c>
      <c r="G85" s="99">
        <v>9</v>
      </c>
      <c r="H85" s="100">
        <v>976</v>
      </c>
    </row>
    <row r="86" spans="1:8" ht="19.8" customHeight="1" x14ac:dyDescent="0.3">
      <c r="A86" s="70">
        <v>45982</v>
      </c>
      <c r="B86" s="61" t="s">
        <v>273</v>
      </c>
      <c r="C86" s="62" t="s">
        <v>658</v>
      </c>
      <c r="D86" s="61" t="s">
        <v>626</v>
      </c>
      <c r="E86" s="71">
        <v>1.395833333333333</v>
      </c>
      <c r="F86" s="61" t="s">
        <v>263</v>
      </c>
      <c r="G86" s="63">
        <v>7</v>
      </c>
      <c r="H86" s="65" t="s">
        <v>662</v>
      </c>
    </row>
    <row r="87" spans="1:8" ht="19.8" customHeight="1" x14ac:dyDescent="0.3">
      <c r="A87" s="70">
        <v>45982</v>
      </c>
      <c r="B87" s="61" t="s">
        <v>51</v>
      </c>
      <c r="C87" s="62" t="s">
        <v>667</v>
      </c>
      <c r="D87" s="61" t="s">
        <v>626</v>
      </c>
      <c r="E87" s="71">
        <v>1.916666666666667</v>
      </c>
      <c r="F87" s="61" t="s">
        <v>53</v>
      </c>
      <c r="G87" s="63">
        <v>9</v>
      </c>
      <c r="H87" s="65" t="s">
        <v>697</v>
      </c>
    </row>
    <row r="88" spans="1:8" ht="19.8" customHeight="1" x14ac:dyDescent="0.3">
      <c r="A88" s="70">
        <v>45982</v>
      </c>
      <c r="B88" s="61" t="s">
        <v>26</v>
      </c>
      <c r="C88" s="62" t="s">
        <v>627</v>
      </c>
      <c r="D88" s="61" t="s">
        <v>626</v>
      </c>
      <c r="E88" s="71">
        <v>1.5</v>
      </c>
      <c r="F88" s="61" t="s">
        <v>34</v>
      </c>
      <c r="G88" s="63">
        <v>17</v>
      </c>
      <c r="H88" s="65" t="s">
        <v>629</v>
      </c>
    </row>
    <row r="89" spans="1:8" ht="19.8" customHeight="1" x14ac:dyDescent="0.3">
      <c r="A89" s="70">
        <v>45982</v>
      </c>
      <c r="B89" s="61" t="s">
        <v>26</v>
      </c>
      <c r="C89" s="62" t="s">
        <v>630</v>
      </c>
      <c r="D89" s="61" t="s">
        <v>626</v>
      </c>
      <c r="E89" s="71">
        <v>1.447916666666667</v>
      </c>
      <c r="F89" s="61" t="s">
        <v>34</v>
      </c>
      <c r="G89" s="63">
        <v>17</v>
      </c>
      <c r="H89" s="65" t="s">
        <v>629</v>
      </c>
    </row>
    <row r="90" spans="1:8" ht="19.8" customHeight="1" x14ac:dyDescent="0.3">
      <c r="A90" s="70">
        <v>45982</v>
      </c>
      <c r="B90" s="61" t="s">
        <v>26</v>
      </c>
      <c r="C90" s="62" t="s">
        <v>633</v>
      </c>
      <c r="D90" s="61" t="s">
        <v>626</v>
      </c>
      <c r="E90" s="71">
        <v>1.8159722222222221</v>
      </c>
      <c r="F90" s="61" t="s">
        <v>34</v>
      </c>
      <c r="G90" s="63">
        <v>26</v>
      </c>
      <c r="H90" s="65" t="s">
        <v>629</v>
      </c>
    </row>
    <row r="91" spans="1:8" ht="19.8" customHeight="1" x14ac:dyDescent="0.3">
      <c r="A91" s="70">
        <v>45982</v>
      </c>
      <c r="B91" s="61" t="s">
        <v>64</v>
      </c>
      <c r="C91" s="62" t="s">
        <v>698</v>
      </c>
      <c r="D91" s="61" t="s">
        <v>626</v>
      </c>
      <c r="E91" s="71">
        <v>1.836805555555556</v>
      </c>
      <c r="F91" s="61" t="s">
        <v>66</v>
      </c>
      <c r="G91" s="63">
        <v>9</v>
      </c>
      <c r="H91" s="65" t="s">
        <v>63</v>
      </c>
    </row>
    <row r="92" spans="1:8" ht="19.8" customHeight="1" x14ac:dyDescent="0.3">
      <c r="A92" s="70">
        <v>45982</v>
      </c>
      <c r="B92" s="61" t="s">
        <v>64</v>
      </c>
      <c r="C92" s="62" t="s">
        <v>669</v>
      </c>
      <c r="D92" s="61" t="s">
        <v>626</v>
      </c>
      <c r="E92" s="71">
        <v>1.2986111111111109</v>
      </c>
      <c r="F92" s="61" t="s">
        <v>66</v>
      </c>
      <c r="G92" s="63">
        <v>9</v>
      </c>
      <c r="H92" s="65" t="s">
        <v>63</v>
      </c>
    </row>
    <row r="93" spans="1:8" ht="19.8" customHeight="1" x14ac:dyDescent="0.3">
      <c r="A93" s="70">
        <v>45982</v>
      </c>
      <c r="B93" s="61" t="s">
        <v>51</v>
      </c>
      <c r="C93" s="62" t="s">
        <v>665</v>
      </c>
      <c r="D93" s="61" t="s">
        <v>626</v>
      </c>
      <c r="E93" s="71">
        <v>1.541666666666667</v>
      </c>
      <c r="F93" s="61" t="s">
        <v>53</v>
      </c>
      <c r="G93" s="63">
        <v>7</v>
      </c>
      <c r="H93" s="65" t="s">
        <v>664</v>
      </c>
    </row>
    <row r="94" spans="1:8" ht="19.8" customHeight="1" x14ac:dyDescent="0.3">
      <c r="A94" s="70">
        <v>45982</v>
      </c>
      <c r="B94" s="61" t="s">
        <v>64</v>
      </c>
      <c r="C94" s="62" t="s">
        <v>698</v>
      </c>
      <c r="D94" s="61" t="s">
        <v>626</v>
      </c>
      <c r="E94" s="71">
        <v>1.836805555555556</v>
      </c>
      <c r="F94" s="61" t="s">
        <v>68</v>
      </c>
      <c r="G94" s="63">
        <v>9</v>
      </c>
      <c r="H94" s="65" t="s">
        <v>699</v>
      </c>
    </row>
    <row r="95" spans="1:8" ht="19.8" customHeight="1" x14ac:dyDescent="0.3">
      <c r="A95" s="70">
        <v>45982</v>
      </c>
      <c r="B95" s="61" t="s">
        <v>64</v>
      </c>
      <c r="C95" s="62" t="s">
        <v>669</v>
      </c>
      <c r="D95" s="61" t="s">
        <v>626</v>
      </c>
      <c r="E95" s="71">
        <v>1.2986111111111109</v>
      </c>
      <c r="F95" s="61" t="s">
        <v>68</v>
      </c>
      <c r="G95" s="63">
        <v>9</v>
      </c>
      <c r="H95" s="65" t="s">
        <v>699</v>
      </c>
    </row>
    <row r="96" spans="1:8" ht="19.8" customHeight="1" x14ac:dyDescent="0.3">
      <c r="A96" s="70">
        <v>45982</v>
      </c>
      <c r="B96" s="61" t="s">
        <v>64</v>
      </c>
      <c r="C96" s="62" t="s">
        <v>675</v>
      </c>
      <c r="D96" s="61" t="s">
        <v>626</v>
      </c>
      <c r="E96" s="71">
        <v>1.5</v>
      </c>
      <c r="F96" s="61" t="s">
        <v>68</v>
      </c>
      <c r="G96" s="63">
        <v>4</v>
      </c>
      <c r="H96" s="65" t="s">
        <v>676</v>
      </c>
    </row>
    <row r="97" spans="1:8" ht="19.8" customHeight="1" x14ac:dyDescent="0.3">
      <c r="A97" s="70">
        <v>45982</v>
      </c>
      <c r="B97" s="61" t="s">
        <v>64</v>
      </c>
      <c r="C97" s="62" t="s">
        <v>700</v>
      </c>
      <c r="D97" s="61" t="s">
        <v>626</v>
      </c>
      <c r="E97" s="71">
        <v>1.760416666666667</v>
      </c>
      <c r="F97" s="61" t="s">
        <v>68</v>
      </c>
      <c r="G97" s="63">
        <v>4</v>
      </c>
      <c r="H97" s="65" t="s">
        <v>676</v>
      </c>
    </row>
    <row r="98" spans="1:8" ht="19.8" customHeight="1" x14ac:dyDescent="0.3">
      <c r="A98" s="70">
        <v>45982</v>
      </c>
      <c r="B98" s="61" t="s">
        <v>64</v>
      </c>
      <c r="C98" s="62" t="s">
        <v>701</v>
      </c>
      <c r="D98" s="61" t="s">
        <v>626</v>
      </c>
      <c r="E98" s="71">
        <v>1.8159722222222221</v>
      </c>
      <c r="F98" s="61" t="s">
        <v>68</v>
      </c>
      <c r="G98" s="63">
        <v>4</v>
      </c>
      <c r="H98" s="65" t="s">
        <v>676</v>
      </c>
    </row>
    <row r="99" spans="1:8" ht="19.8" customHeight="1" x14ac:dyDescent="0.3">
      <c r="A99" s="70">
        <v>45982</v>
      </c>
      <c r="B99" s="61" t="s">
        <v>64</v>
      </c>
      <c r="C99" s="62" t="s">
        <v>677</v>
      </c>
      <c r="D99" s="61" t="s">
        <v>626</v>
      </c>
      <c r="E99" s="71">
        <v>1.6840277777777779</v>
      </c>
      <c r="F99" s="61" t="s">
        <v>66</v>
      </c>
      <c r="G99" s="63">
        <v>9</v>
      </c>
      <c r="H99" s="65" t="s">
        <v>702</v>
      </c>
    </row>
    <row r="100" spans="1:8" ht="19.8" customHeight="1" x14ac:dyDescent="0.3">
      <c r="A100" s="70">
        <v>45982</v>
      </c>
      <c r="B100" s="61" t="s">
        <v>64</v>
      </c>
      <c r="C100" s="62" t="s">
        <v>672</v>
      </c>
      <c r="D100" s="61" t="s">
        <v>626</v>
      </c>
      <c r="E100" s="71">
        <v>1.4826388888888891</v>
      </c>
      <c r="F100" s="61" t="s">
        <v>66</v>
      </c>
      <c r="G100" s="63">
        <v>9</v>
      </c>
      <c r="H100" s="65" t="s">
        <v>702</v>
      </c>
    </row>
    <row r="101" spans="1:8" ht="19.8" customHeight="1" x14ac:dyDescent="0.3">
      <c r="A101" s="70">
        <v>45982</v>
      </c>
      <c r="B101" s="61" t="s">
        <v>64</v>
      </c>
      <c r="C101" s="62" t="s">
        <v>677</v>
      </c>
      <c r="D101" s="61" t="s">
        <v>626</v>
      </c>
      <c r="E101" s="71">
        <v>1.6840277777777779</v>
      </c>
      <c r="F101" s="61" t="s">
        <v>68</v>
      </c>
      <c r="G101" s="63">
        <v>9</v>
      </c>
      <c r="H101" s="65" t="s">
        <v>703</v>
      </c>
    </row>
    <row r="102" spans="1:8" ht="19.8" customHeight="1" x14ac:dyDescent="0.3">
      <c r="A102" s="72">
        <v>45982</v>
      </c>
      <c r="B102" s="73" t="s">
        <v>64</v>
      </c>
      <c r="C102" s="74" t="s">
        <v>672</v>
      </c>
      <c r="D102" s="73" t="s">
        <v>626</v>
      </c>
      <c r="E102" s="75">
        <v>1.4826388888888891</v>
      </c>
      <c r="F102" s="73" t="s">
        <v>68</v>
      </c>
      <c r="G102" s="76">
        <v>9</v>
      </c>
      <c r="H102" s="77" t="s">
        <v>703</v>
      </c>
    </row>
    <row r="103" spans="1:8" ht="19.8" customHeight="1" x14ac:dyDescent="0.3">
      <c r="A103" s="70">
        <v>45983</v>
      </c>
      <c r="B103" s="61" t="s">
        <v>26</v>
      </c>
      <c r="C103" s="62" t="s">
        <v>627</v>
      </c>
      <c r="D103" s="61" t="s">
        <v>626</v>
      </c>
      <c r="E103" s="71">
        <v>1.5</v>
      </c>
      <c r="F103" s="61" t="s">
        <v>704</v>
      </c>
      <c r="G103" s="63">
        <v>5</v>
      </c>
      <c r="H103" s="64">
        <v>469</v>
      </c>
    </row>
    <row r="104" spans="1:8" ht="19.8" customHeight="1" x14ac:dyDescent="0.3">
      <c r="A104" s="70">
        <v>45983</v>
      </c>
      <c r="B104" s="61" t="s">
        <v>26</v>
      </c>
      <c r="C104" s="62" t="s">
        <v>633</v>
      </c>
      <c r="D104" s="61" t="s">
        <v>626</v>
      </c>
      <c r="E104" s="71">
        <v>1.8159722222222221</v>
      </c>
      <c r="F104" s="61" t="s">
        <v>704</v>
      </c>
      <c r="G104" s="63">
        <v>17</v>
      </c>
      <c r="H104" s="64">
        <v>469</v>
      </c>
    </row>
    <row r="105" spans="1:8" ht="19.8" customHeight="1" x14ac:dyDescent="0.3">
      <c r="A105" s="70">
        <v>45983</v>
      </c>
      <c r="B105" s="61" t="s">
        <v>261</v>
      </c>
      <c r="C105" s="62" t="s">
        <v>649</v>
      </c>
      <c r="D105" s="61" t="s">
        <v>626</v>
      </c>
      <c r="E105" s="71">
        <v>1.274305555555556</v>
      </c>
      <c r="F105" s="61" t="s">
        <v>263</v>
      </c>
      <c r="G105" s="63">
        <v>1</v>
      </c>
      <c r="H105" s="64">
        <v>500</v>
      </c>
    </row>
    <row r="106" spans="1:8" ht="19.8" customHeight="1" x14ac:dyDescent="0.3">
      <c r="A106" s="70">
        <v>45983</v>
      </c>
      <c r="B106" s="61" t="s">
        <v>26</v>
      </c>
      <c r="C106" s="62" t="s">
        <v>631</v>
      </c>
      <c r="D106" s="61" t="s">
        <v>626</v>
      </c>
      <c r="E106" s="71">
        <v>1.760416666666667</v>
      </c>
      <c r="F106" s="61" t="s">
        <v>704</v>
      </c>
      <c r="G106" s="63">
        <v>15</v>
      </c>
      <c r="H106" s="64">
        <v>509</v>
      </c>
    </row>
    <row r="107" spans="1:8" ht="19.8" customHeight="1" x14ac:dyDescent="0.3">
      <c r="A107" s="70">
        <v>45983</v>
      </c>
      <c r="B107" s="61" t="s">
        <v>26</v>
      </c>
      <c r="C107" s="62" t="s">
        <v>630</v>
      </c>
      <c r="D107" s="61" t="s">
        <v>626</v>
      </c>
      <c r="E107" s="71">
        <v>1.447916666666667</v>
      </c>
      <c r="F107" s="61" t="s">
        <v>704</v>
      </c>
      <c r="G107" s="63">
        <v>14</v>
      </c>
      <c r="H107" s="64">
        <v>509</v>
      </c>
    </row>
    <row r="108" spans="1:8" ht="19.8" customHeight="1" x14ac:dyDescent="0.3">
      <c r="A108" s="70">
        <v>45983</v>
      </c>
      <c r="B108" s="61" t="s">
        <v>273</v>
      </c>
      <c r="C108" s="62" t="s">
        <v>708</v>
      </c>
      <c r="D108" s="61" t="s">
        <v>626</v>
      </c>
      <c r="E108" s="71">
        <v>1.663194444444444</v>
      </c>
      <c r="F108" s="61" t="s">
        <v>263</v>
      </c>
      <c r="G108" s="63">
        <v>9</v>
      </c>
      <c r="H108" s="64">
        <v>518</v>
      </c>
    </row>
    <row r="109" spans="1:8" ht="19.8" customHeight="1" x14ac:dyDescent="0.3">
      <c r="A109" s="70">
        <v>45983</v>
      </c>
      <c r="B109" s="61" t="s">
        <v>36</v>
      </c>
      <c r="C109" s="62" t="s">
        <v>638</v>
      </c>
      <c r="D109" s="61" t="s">
        <v>626</v>
      </c>
      <c r="E109" s="71">
        <v>1.5</v>
      </c>
      <c r="F109" s="61" t="s">
        <v>38</v>
      </c>
      <c r="G109" s="63">
        <v>8</v>
      </c>
      <c r="H109" s="64">
        <v>539</v>
      </c>
    </row>
    <row r="110" spans="1:8" ht="19.8" customHeight="1" x14ac:dyDescent="0.3">
      <c r="A110" s="70">
        <v>45983</v>
      </c>
      <c r="B110" s="61" t="s">
        <v>36</v>
      </c>
      <c r="C110" s="62" t="s">
        <v>641</v>
      </c>
      <c r="D110" s="61" t="s">
        <v>626</v>
      </c>
      <c r="E110" s="71">
        <v>1.5659722222222221</v>
      </c>
      <c r="F110" s="61" t="s">
        <v>38</v>
      </c>
      <c r="G110" s="63">
        <v>9</v>
      </c>
      <c r="H110" s="64">
        <v>539</v>
      </c>
    </row>
    <row r="111" spans="1:8" ht="19.8" customHeight="1" x14ac:dyDescent="0.3">
      <c r="A111" s="70">
        <v>45983</v>
      </c>
      <c r="B111" s="61" t="s">
        <v>36</v>
      </c>
      <c r="C111" s="62" t="s">
        <v>636</v>
      </c>
      <c r="D111" s="61" t="s">
        <v>626</v>
      </c>
      <c r="E111" s="71">
        <v>1.305555555555556</v>
      </c>
      <c r="F111" s="61" t="s">
        <v>38</v>
      </c>
      <c r="G111" s="63">
        <v>5</v>
      </c>
      <c r="H111" s="64">
        <v>539</v>
      </c>
    </row>
    <row r="112" spans="1:8" ht="19.8" customHeight="1" x14ac:dyDescent="0.3">
      <c r="A112" s="70">
        <v>45983</v>
      </c>
      <c r="B112" s="61" t="s">
        <v>36</v>
      </c>
      <c r="C112" s="62" t="s">
        <v>637</v>
      </c>
      <c r="D112" s="61" t="s">
        <v>626</v>
      </c>
      <c r="E112" s="71">
        <v>1.427083333333333</v>
      </c>
      <c r="F112" s="61" t="s">
        <v>38</v>
      </c>
      <c r="G112" s="63">
        <v>7</v>
      </c>
      <c r="H112" s="64">
        <v>539</v>
      </c>
    </row>
    <row r="113" spans="1:8" ht="19.8" customHeight="1" x14ac:dyDescent="0.3">
      <c r="A113" s="70">
        <v>45983</v>
      </c>
      <c r="B113" s="61" t="s">
        <v>36</v>
      </c>
      <c r="C113" s="62" t="s">
        <v>645</v>
      </c>
      <c r="D113" s="61" t="s">
        <v>626</v>
      </c>
      <c r="E113" s="71">
        <v>1.8263888888888891</v>
      </c>
      <c r="F113" s="61" t="s">
        <v>38</v>
      </c>
      <c r="G113" s="63">
        <v>9</v>
      </c>
      <c r="H113" s="64">
        <v>589</v>
      </c>
    </row>
    <row r="114" spans="1:8" ht="19.8" customHeight="1" x14ac:dyDescent="0.3">
      <c r="A114" s="70">
        <v>45983</v>
      </c>
      <c r="B114" s="61" t="s">
        <v>36</v>
      </c>
      <c r="C114" s="62" t="s">
        <v>635</v>
      </c>
      <c r="D114" s="61" t="s">
        <v>626</v>
      </c>
      <c r="E114" s="71">
        <v>1.375</v>
      </c>
      <c r="F114" s="61" t="s">
        <v>38</v>
      </c>
      <c r="G114" s="63">
        <v>5</v>
      </c>
      <c r="H114" s="64">
        <v>589</v>
      </c>
    </row>
    <row r="115" spans="1:8" ht="19.8" customHeight="1" x14ac:dyDescent="0.3">
      <c r="A115" s="70">
        <v>45983</v>
      </c>
      <c r="B115" s="61" t="s">
        <v>36</v>
      </c>
      <c r="C115" s="62" t="s">
        <v>642</v>
      </c>
      <c r="D115" s="61" t="s">
        <v>626</v>
      </c>
      <c r="E115" s="71">
        <v>1.6875</v>
      </c>
      <c r="F115" s="61" t="s">
        <v>38</v>
      </c>
      <c r="G115" s="63">
        <v>9</v>
      </c>
      <c r="H115" s="64">
        <v>589</v>
      </c>
    </row>
    <row r="116" spans="1:8" ht="19.8" customHeight="1" x14ac:dyDescent="0.3">
      <c r="A116" s="70">
        <v>45983</v>
      </c>
      <c r="B116" s="61" t="s">
        <v>36</v>
      </c>
      <c r="C116" s="62" t="s">
        <v>638</v>
      </c>
      <c r="D116" s="61" t="s">
        <v>626</v>
      </c>
      <c r="E116" s="71">
        <v>1.5</v>
      </c>
      <c r="F116" s="61" t="s">
        <v>41</v>
      </c>
      <c r="G116" s="63">
        <v>8</v>
      </c>
      <c r="H116" s="64">
        <v>639</v>
      </c>
    </row>
    <row r="117" spans="1:8" ht="19.8" customHeight="1" x14ac:dyDescent="0.3">
      <c r="A117" s="70">
        <v>45983</v>
      </c>
      <c r="B117" s="61" t="s">
        <v>36</v>
      </c>
      <c r="C117" s="62" t="s">
        <v>641</v>
      </c>
      <c r="D117" s="61" t="s">
        <v>626</v>
      </c>
      <c r="E117" s="71">
        <v>1.5659722222222221</v>
      </c>
      <c r="F117" s="61" t="s">
        <v>41</v>
      </c>
      <c r="G117" s="63">
        <v>9</v>
      </c>
      <c r="H117" s="64">
        <v>639</v>
      </c>
    </row>
    <row r="118" spans="1:8" ht="19.8" customHeight="1" x14ac:dyDescent="0.3">
      <c r="A118" s="70">
        <v>45983</v>
      </c>
      <c r="B118" s="61" t="s">
        <v>36</v>
      </c>
      <c r="C118" s="62" t="s">
        <v>636</v>
      </c>
      <c r="D118" s="61" t="s">
        <v>626</v>
      </c>
      <c r="E118" s="71">
        <v>1.305555555555556</v>
      </c>
      <c r="F118" s="61" t="s">
        <v>41</v>
      </c>
      <c r="G118" s="63">
        <v>5</v>
      </c>
      <c r="H118" s="64">
        <v>639</v>
      </c>
    </row>
    <row r="119" spans="1:8" ht="19.8" customHeight="1" x14ac:dyDescent="0.3">
      <c r="A119" s="70">
        <v>45983</v>
      </c>
      <c r="B119" s="61" t="s">
        <v>36</v>
      </c>
      <c r="C119" s="62" t="s">
        <v>637</v>
      </c>
      <c r="D119" s="61" t="s">
        <v>626</v>
      </c>
      <c r="E119" s="71">
        <v>1.427083333333333</v>
      </c>
      <c r="F119" s="61" t="s">
        <v>41</v>
      </c>
      <c r="G119" s="63">
        <v>7</v>
      </c>
      <c r="H119" s="64">
        <v>639</v>
      </c>
    </row>
    <row r="120" spans="1:8" ht="19.8" customHeight="1" x14ac:dyDescent="0.3">
      <c r="A120" s="70">
        <v>45983</v>
      </c>
      <c r="B120" s="61" t="s">
        <v>36</v>
      </c>
      <c r="C120" s="62" t="s">
        <v>645</v>
      </c>
      <c r="D120" s="61" t="s">
        <v>626</v>
      </c>
      <c r="E120" s="71">
        <v>1.8263888888888891</v>
      </c>
      <c r="F120" s="61" t="s">
        <v>41</v>
      </c>
      <c r="G120" s="63">
        <v>9</v>
      </c>
      <c r="H120" s="64">
        <v>689</v>
      </c>
    </row>
    <row r="121" spans="1:8" ht="19.8" customHeight="1" x14ac:dyDescent="0.3">
      <c r="A121" s="70">
        <v>45983</v>
      </c>
      <c r="B121" s="61" t="s">
        <v>36</v>
      </c>
      <c r="C121" s="62" t="s">
        <v>635</v>
      </c>
      <c r="D121" s="61" t="s">
        <v>626</v>
      </c>
      <c r="E121" s="71">
        <v>1.375</v>
      </c>
      <c r="F121" s="61" t="s">
        <v>41</v>
      </c>
      <c r="G121" s="63">
        <v>5</v>
      </c>
      <c r="H121" s="64">
        <v>689</v>
      </c>
    </row>
    <row r="122" spans="1:8" ht="19.8" customHeight="1" x14ac:dyDescent="0.3">
      <c r="A122" s="70">
        <v>45983</v>
      </c>
      <c r="B122" s="61" t="s">
        <v>36</v>
      </c>
      <c r="C122" s="62" t="s">
        <v>642</v>
      </c>
      <c r="D122" s="61" t="s">
        <v>626</v>
      </c>
      <c r="E122" s="71">
        <v>1.6875</v>
      </c>
      <c r="F122" s="61" t="s">
        <v>41</v>
      </c>
      <c r="G122" s="63">
        <v>9</v>
      </c>
      <c r="H122" s="64">
        <v>689</v>
      </c>
    </row>
    <row r="123" spans="1:8" ht="19.8" customHeight="1" x14ac:dyDescent="0.3">
      <c r="A123" s="186">
        <v>45983</v>
      </c>
      <c r="B123" s="97" t="s">
        <v>80</v>
      </c>
      <c r="C123" s="98" t="s">
        <v>654</v>
      </c>
      <c r="D123" s="97" t="s">
        <v>626</v>
      </c>
      <c r="E123" s="187">
        <v>1.6111111111111109</v>
      </c>
      <c r="F123" s="97" t="s">
        <v>182</v>
      </c>
      <c r="G123" s="99">
        <v>9</v>
      </c>
      <c r="H123" s="100">
        <v>728</v>
      </c>
    </row>
    <row r="124" spans="1:8" ht="19.8" customHeight="1" x14ac:dyDescent="0.3">
      <c r="A124" s="70">
        <v>45983</v>
      </c>
      <c r="B124" s="61" t="s">
        <v>36</v>
      </c>
      <c r="C124" s="62" t="s">
        <v>638</v>
      </c>
      <c r="D124" s="61" t="s">
        <v>626</v>
      </c>
      <c r="E124" s="71">
        <v>1.5</v>
      </c>
      <c r="F124" s="61" t="s">
        <v>43</v>
      </c>
      <c r="G124" s="63">
        <v>8</v>
      </c>
      <c r="H124" s="64">
        <v>729</v>
      </c>
    </row>
    <row r="125" spans="1:8" ht="19.8" customHeight="1" x14ac:dyDescent="0.3">
      <c r="A125" s="70">
        <v>45983</v>
      </c>
      <c r="B125" s="61" t="s">
        <v>36</v>
      </c>
      <c r="C125" s="62" t="s">
        <v>641</v>
      </c>
      <c r="D125" s="61" t="s">
        <v>626</v>
      </c>
      <c r="E125" s="71">
        <v>1.5659722222222221</v>
      </c>
      <c r="F125" s="61" t="s">
        <v>43</v>
      </c>
      <c r="G125" s="63">
        <v>9</v>
      </c>
      <c r="H125" s="64">
        <v>729</v>
      </c>
    </row>
    <row r="126" spans="1:8" ht="19.8" customHeight="1" x14ac:dyDescent="0.3">
      <c r="A126" s="70">
        <v>45983</v>
      </c>
      <c r="B126" s="61" t="s">
        <v>36</v>
      </c>
      <c r="C126" s="62" t="s">
        <v>636</v>
      </c>
      <c r="D126" s="61" t="s">
        <v>626</v>
      </c>
      <c r="E126" s="71">
        <v>1.305555555555556</v>
      </c>
      <c r="F126" s="61" t="s">
        <v>43</v>
      </c>
      <c r="G126" s="63">
        <v>5</v>
      </c>
      <c r="H126" s="64">
        <v>729</v>
      </c>
    </row>
    <row r="127" spans="1:8" ht="19.8" customHeight="1" x14ac:dyDescent="0.3">
      <c r="A127" s="70">
        <v>45983</v>
      </c>
      <c r="B127" s="61" t="s">
        <v>36</v>
      </c>
      <c r="C127" s="62" t="s">
        <v>637</v>
      </c>
      <c r="D127" s="61" t="s">
        <v>626</v>
      </c>
      <c r="E127" s="71">
        <v>1.427083333333333</v>
      </c>
      <c r="F127" s="61" t="s">
        <v>43</v>
      </c>
      <c r="G127" s="63">
        <v>7</v>
      </c>
      <c r="H127" s="64">
        <v>729</v>
      </c>
    </row>
    <row r="128" spans="1:8" ht="19.8" customHeight="1" x14ac:dyDescent="0.3">
      <c r="A128" s="70">
        <v>45983</v>
      </c>
      <c r="B128" s="61" t="s">
        <v>36</v>
      </c>
      <c r="C128" s="62" t="s">
        <v>645</v>
      </c>
      <c r="D128" s="61" t="s">
        <v>626</v>
      </c>
      <c r="E128" s="71">
        <v>1.8263888888888891</v>
      </c>
      <c r="F128" s="61" t="s">
        <v>43</v>
      </c>
      <c r="G128" s="63">
        <v>9</v>
      </c>
      <c r="H128" s="64">
        <v>779</v>
      </c>
    </row>
    <row r="129" spans="1:8" ht="19.8" customHeight="1" x14ac:dyDescent="0.3">
      <c r="A129" s="70">
        <v>45983</v>
      </c>
      <c r="B129" s="61" t="s">
        <v>36</v>
      </c>
      <c r="C129" s="62" t="s">
        <v>635</v>
      </c>
      <c r="D129" s="61" t="s">
        <v>626</v>
      </c>
      <c r="E129" s="71">
        <v>1.375</v>
      </c>
      <c r="F129" s="61" t="s">
        <v>43</v>
      </c>
      <c r="G129" s="63">
        <v>5</v>
      </c>
      <c r="H129" s="64">
        <v>779</v>
      </c>
    </row>
    <row r="130" spans="1:8" ht="19.8" customHeight="1" x14ac:dyDescent="0.3">
      <c r="A130" s="70">
        <v>45983</v>
      </c>
      <c r="B130" s="61" t="s">
        <v>36</v>
      </c>
      <c r="C130" s="62" t="s">
        <v>642</v>
      </c>
      <c r="D130" s="61" t="s">
        <v>626</v>
      </c>
      <c r="E130" s="71">
        <v>1.6875</v>
      </c>
      <c r="F130" s="61" t="s">
        <v>43</v>
      </c>
      <c r="G130" s="63">
        <v>9</v>
      </c>
      <c r="H130" s="64">
        <v>779</v>
      </c>
    </row>
    <row r="131" spans="1:8" ht="19.8" customHeight="1" x14ac:dyDescent="0.3">
      <c r="A131" s="70">
        <v>45983</v>
      </c>
      <c r="B131" s="61" t="s">
        <v>51</v>
      </c>
      <c r="C131" s="62" t="s">
        <v>667</v>
      </c>
      <c r="D131" s="61" t="s">
        <v>626</v>
      </c>
      <c r="E131" s="71">
        <v>1.9201388888888891</v>
      </c>
      <c r="F131" s="61" t="s">
        <v>53</v>
      </c>
      <c r="G131" s="63">
        <v>9</v>
      </c>
      <c r="H131" s="64">
        <v>991</v>
      </c>
    </row>
    <row r="132" spans="1:8" ht="19.8" customHeight="1" x14ac:dyDescent="0.3">
      <c r="A132" s="70">
        <v>45983</v>
      </c>
      <c r="B132" s="61" t="s">
        <v>51</v>
      </c>
      <c r="C132" s="62" t="s">
        <v>663</v>
      </c>
      <c r="D132" s="61" t="s">
        <v>626</v>
      </c>
      <c r="E132" s="71">
        <v>1.166666666666667</v>
      </c>
      <c r="F132" s="61" t="s">
        <v>53</v>
      </c>
      <c r="G132" s="63">
        <v>9</v>
      </c>
      <c r="H132" s="65" t="s">
        <v>714</v>
      </c>
    </row>
    <row r="133" spans="1:8" ht="19.8" customHeight="1" x14ac:dyDescent="0.3">
      <c r="A133" s="70">
        <v>45983</v>
      </c>
      <c r="B133" s="61" t="s">
        <v>51</v>
      </c>
      <c r="C133" s="62" t="s">
        <v>665</v>
      </c>
      <c r="D133" s="61" t="s">
        <v>626</v>
      </c>
      <c r="E133" s="71">
        <v>1.541666666666667</v>
      </c>
      <c r="F133" s="61" t="s">
        <v>53</v>
      </c>
      <c r="G133" s="63">
        <v>9</v>
      </c>
      <c r="H133" s="65" t="s">
        <v>697</v>
      </c>
    </row>
    <row r="134" spans="1:8" ht="19.8" customHeight="1" x14ac:dyDescent="0.3">
      <c r="A134" s="70">
        <v>45983</v>
      </c>
      <c r="B134" s="61" t="s">
        <v>64</v>
      </c>
      <c r="C134" s="62" t="s">
        <v>675</v>
      </c>
      <c r="D134" s="61" t="s">
        <v>626</v>
      </c>
      <c r="E134" s="71">
        <v>1.5</v>
      </c>
      <c r="F134" s="61" t="s">
        <v>68</v>
      </c>
      <c r="G134" s="63">
        <v>4</v>
      </c>
      <c r="H134" s="65" t="s">
        <v>715</v>
      </c>
    </row>
    <row r="135" spans="1:8" ht="19.8" customHeight="1" x14ac:dyDescent="0.3">
      <c r="A135" s="70">
        <v>45983</v>
      </c>
      <c r="B135" s="61" t="s">
        <v>64</v>
      </c>
      <c r="C135" s="62" t="s">
        <v>700</v>
      </c>
      <c r="D135" s="61" t="s">
        <v>626</v>
      </c>
      <c r="E135" s="71">
        <v>1.760416666666667</v>
      </c>
      <c r="F135" s="61" t="s">
        <v>68</v>
      </c>
      <c r="G135" s="63">
        <v>4</v>
      </c>
      <c r="H135" s="65" t="s">
        <v>715</v>
      </c>
    </row>
    <row r="136" spans="1:8" ht="19.8" customHeight="1" x14ac:dyDescent="0.3">
      <c r="A136" s="70">
        <v>45983</v>
      </c>
      <c r="B136" s="61" t="s">
        <v>64</v>
      </c>
      <c r="C136" s="62" t="s">
        <v>701</v>
      </c>
      <c r="D136" s="61" t="s">
        <v>626</v>
      </c>
      <c r="E136" s="71">
        <v>1.8159722222222221</v>
      </c>
      <c r="F136" s="61" t="s">
        <v>68</v>
      </c>
      <c r="G136" s="63">
        <v>4</v>
      </c>
      <c r="H136" s="65" t="s">
        <v>715</v>
      </c>
    </row>
    <row r="137" spans="1:8" ht="19.8" customHeight="1" x14ac:dyDescent="0.3">
      <c r="A137" s="70">
        <v>45983</v>
      </c>
      <c r="B137" s="61" t="s">
        <v>64</v>
      </c>
      <c r="C137" s="62" t="s">
        <v>698</v>
      </c>
      <c r="D137" s="61" t="s">
        <v>626</v>
      </c>
      <c r="E137" s="71">
        <v>1.836805555555556</v>
      </c>
      <c r="F137" s="61" t="s">
        <v>66</v>
      </c>
      <c r="G137" s="63">
        <v>9</v>
      </c>
      <c r="H137" s="65" t="s">
        <v>63</v>
      </c>
    </row>
    <row r="138" spans="1:8" ht="19.8" customHeight="1" x14ac:dyDescent="0.3">
      <c r="A138" s="70">
        <v>45983</v>
      </c>
      <c r="B138" s="61" t="s">
        <v>64</v>
      </c>
      <c r="C138" s="62" t="s">
        <v>677</v>
      </c>
      <c r="D138" s="61" t="s">
        <v>626</v>
      </c>
      <c r="E138" s="71">
        <v>1.6840277777777779</v>
      </c>
      <c r="F138" s="61" t="s">
        <v>66</v>
      </c>
      <c r="G138" s="63">
        <v>9</v>
      </c>
      <c r="H138" s="65" t="s">
        <v>63</v>
      </c>
    </row>
    <row r="139" spans="1:8" ht="19.8" customHeight="1" x14ac:dyDescent="0.3">
      <c r="A139" s="70">
        <v>45983</v>
      </c>
      <c r="B139" s="61" t="s">
        <v>64</v>
      </c>
      <c r="C139" s="62" t="s">
        <v>669</v>
      </c>
      <c r="D139" s="61" t="s">
        <v>626</v>
      </c>
      <c r="E139" s="71">
        <v>1.2986111111111109</v>
      </c>
      <c r="F139" s="61" t="s">
        <v>66</v>
      </c>
      <c r="G139" s="63">
        <v>9</v>
      </c>
      <c r="H139" s="65" t="s">
        <v>63</v>
      </c>
    </row>
    <row r="140" spans="1:8" ht="19.8" customHeight="1" x14ac:dyDescent="0.3">
      <c r="A140" s="70">
        <v>45983</v>
      </c>
      <c r="B140" s="61" t="s">
        <v>64</v>
      </c>
      <c r="C140" s="62" t="s">
        <v>672</v>
      </c>
      <c r="D140" s="61" t="s">
        <v>626</v>
      </c>
      <c r="E140" s="71">
        <v>1.4826388888888891</v>
      </c>
      <c r="F140" s="61" t="s">
        <v>66</v>
      </c>
      <c r="G140" s="63">
        <v>9</v>
      </c>
      <c r="H140" s="65" t="s">
        <v>63</v>
      </c>
    </row>
    <row r="141" spans="1:8" ht="19.8" customHeight="1" x14ac:dyDescent="0.3">
      <c r="A141" s="70">
        <v>45983</v>
      </c>
      <c r="B141" s="61" t="s">
        <v>64</v>
      </c>
      <c r="C141" s="62" t="s">
        <v>698</v>
      </c>
      <c r="D141" s="61" t="s">
        <v>626</v>
      </c>
      <c r="E141" s="71">
        <v>1.836805555555556</v>
      </c>
      <c r="F141" s="61" t="s">
        <v>68</v>
      </c>
      <c r="G141" s="63">
        <v>9</v>
      </c>
      <c r="H141" s="65" t="s">
        <v>699</v>
      </c>
    </row>
    <row r="142" spans="1:8" ht="19.8" customHeight="1" x14ac:dyDescent="0.3">
      <c r="A142" s="70">
        <v>45983</v>
      </c>
      <c r="B142" s="61" t="s">
        <v>64</v>
      </c>
      <c r="C142" s="62" t="s">
        <v>677</v>
      </c>
      <c r="D142" s="61" t="s">
        <v>626</v>
      </c>
      <c r="E142" s="71">
        <v>1.6840277777777779</v>
      </c>
      <c r="F142" s="61" t="s">
        <v>68</v>
      </c>
      <c r="G142" s="63">
        <v>9</v>
      </c>
      <c r="H142" s="65" t="s">
        <v>699</v>
      </c>
    </row>
    <row r="143" spans="1:8" ht="19.8" customHeight="1" x14ac:dyDescent="0.3">
      <c r="A143" s="70">
        <v>45983</v>
      </c>
      <c r="B143" s="61" t="s">
        <v>64</v>
      </c>
      <c r="C143" s="62" t="s">
        <v>669</v>
      </c>
      <c r="D143" s="61" t="s">
        <v>626</v>
      </c>
      <c r="E143" s="71">
        <v>1.2986111111111109</v>
      </c>
      <c r="F143" s="61" t="s">
        <v>68</v>
      </c>
      <c r="G143" s="63">
        <v>9</v>
      </c>
      <c r="H143" s="65" t="s">
        <v>699</v>
      </c>
    </row>
    <row r="144" spans="1:8" ht="19.8" customHeight="1" x14ac:dyDescent="0.3">
      <c r="A144" s="72">
        <v>45983</v>
      </c>
      <c r="B144" s="73" t="s">
        <v>64</v>
      </c>
      <c r="C144" s="74" t="s">
        <v>672</v>
      </c>
      <c r="D144" s="73" t="s">
        <v>626</v>
      </c>
      <c r="E144" s="75">
        <v>1.4826388888888891</v>
      </c>
      <c r="F144" s="73" t="s">
        <v>68</v>
      </c>
      <c r="G144" s="76">
        <v>9</v>
      </c>
      <c r="H144" s="77" t="s">
        <v>699</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20"/>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204.77734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261</v>
      </c>
      <c r="C2" s="62" t="s">
        <v>649</v>
      </c>
      <c r="D2" s="61" t="s">
        <v>626</v>
      </c>
      <c r="E2" s="61" t="s">
        <v>741</v>
      </c>
      <c r="F2" s="61" t="s">
        <v>263</v>
      </c>
      <c r="G2" s="63">
        <v>2</v>
      </c>
      <c r="H2" s="64">
        <v>695</v>
      </c>
    </row>
    <row r="3" spans="1:8" ht="19.8" customHeight="1" x14ac:dyDescent="0.3">
      <c r="A3" s="60" t="s">
        <v>166</v>
      </c>
      <c r="B3" s="61" t="s">
        <v>36</v>
      </c>
      <c r="C3" s="62" t="s">
        <v>635</v>
      </c>
      <c r="D3" s="61" t="s">
        <v>626</v>
      </c>
      <c r="E3" s="61" t="s">
        <v>738</v>
      </c>
      <c r="F3" s="61" t="s">
        <v>41</v>
      </c>
      <c r="G3" s="63">
        <v>9</v>
      </c>
      <c r="H3" s="64">
        <v>709</v>
      </c>
    </row>
    <row r="4" spans="1:8" ht="19.8" customHeight="1" x14ac:dyDescent="0.3">
      <c r="A4" s="60" t="s">
        <v>166</v>
      </c>
      <c r="B4" s="61" t="s">
        <v>36</v>
      </c>
      <c r="C4" s="62" t="s">
        <v>636</v>
      </c>
      <c r="D4" s="61" t="s">
        <v>626</v>
      </c>
      <c r="E4" s="61" t="s">
        <v>739</v>
      </c>
      <c r="F4" s="61" t="s">
        <v>41</v>
      </c>
      <c r="G4" s="63">
        <v>8</v>
      </c>
      <c r="H4" s="64">
        <v>709</v>
      </c>
    </row>
    <row r="5" spans="1:8" ht="19.8" customHeight="1" x14ac:dyDescent="0.3">
      <c r="A5" s="60" t="s">
        <v>166</v>
      </c>
      <c r="B5" s="61" t="s">
        <v>36</v>
      </c>
      <c r="C5" s="62" t="s">
        <v>637</v>
      </c>
      <c r="D5" s="61" t="s">
        <v>626</v>
      </c>
      <c r="E5" s="61" t="s">
        <v>740</v>
      </c>
      <c r="F5" s="61" t="s">
        <v>41</v>
      </c>
      <c r="G5" s="63">
        <v>5</v>
      </c>
      <c r="H5" s="64">
        <v>709</v>
      </c>
    </row>
    <row r="6" spans="1:8" ht="19.8" customHeight="1" x14ac:dyDescent="0.3">
      <c r="A6" s="60" t="s">
        <v>166</v>
      </c>
      <c r="B6" s="61" t="s">
        <v>269</v>
      </c>
      <c r="C6" s="62" t="s">
        <v>652</v>
      </c>
      <c r="D6" s="61" t="s">
        <v>626</v>
      </c>
      <c r="E6" s="61" t="s">
        <v>742</v>
      </c>
      <c r="F6" s="61" t="s">
        <v>271</v>
      </c>
      <c r="G6" s="63">
        <v>9</v>
      </c>
      <c r="H6" s="64">
        <v>739</v>
      </c>
    </row>
    <row r="7" spans="1:8" ht="19.8" customHeight="1" x14ac:dyDescent="0.3">
      <c r="A7" s="60" t="s">
        <v>166</v>
      </c>
      <c r="B7" s="61" t="s">
        <v>36</v>
      </c>
      <c r="C7" s="62" t="s">
        <v>638</v>
      </c>
      <c r="D7" s="61" t="s">
        <v>626</v>
      </c>
      <c r="E7" s="61" t="s">
        <v>736</v>
      </c>
      <c r="F7" s="61" t="s">
        <v>41</v>
      </c>
      <c r="G7" s="63">
        <v>7</v>
      </c>
      <c r="H7" s="64">
        <v>759</v>
      </c>
    </row>
    <row r="8" spans="1:8" ht="19.8" customHeight="1" x14ac:dyDescent="0.3">
      <c r="A8" s="66" t="s">
        <v>166</v>
      </c>
      <c r="B8" s="67" t="s">
        <v>80</v>
      </c>
      <c r="C8" s="68" t="s">
        <v>654</v>
      </c>
      <c r="D8" s="67" t="s">
        <v>626</v>
      </c>
      <c r="E8" s="67" t="s">
        <v>716</v>
      </c>
      <c r="F8" s="67" t="s">
        <v>182</v>
      </c>
      <c r="G8" s="213">
        <v>8</v>
      </c>
      <c r="H8" s="214">
        <v>794</v>
      </c>
    </row>
    <row r="9" spans="1:8" ht="19.8" customHeight="1" x14ac:dyDescent="0.3">
      <c r="A9" s="70">
        <v>45982</v>
      </c>
      <c r="B9" s="61" t="s">
        <v>36</v>
      </c>
      <c r="C9" s="62" t="s">
        <v>638</v>
      </c>
      <c r="D9" s="61" t="s">
        <v>626</v>
      </c>
      <c r="E9" s="71">
        <v>1.5</v>
      </c>
      <c r="F9" s="61" t="s">
        <v>41</v>
      </c>
      <c r="G9" s="63">
        <v>7</v>
      </c>
      <c r="H9" s="64">
        <v>709</v>
      </c>
    </row>
    <row r="10" spans="1:8" ht="19.8" customHeight="1" x14ac:dyDescent="0.3">
      <c r="A10" s="186">
        <v>45982</v>
      </c>
      <c r="B10" s="97" t="s">
        <v>80</v>
      </c>
      <c r="C10" s="98" t="s">
        <v>690</v>
      </c>
      <c r="D10" s="97" t="s">
        <v>626</v>
      </c>
      <c r="E10" s="187">
        <v>1.9236111111111109</v>
      </c>
      <c r="F10" s="97" t="s">
        <v>182</v>
      </c>
      <c r="G10" s="99">
        <v>3</v>
      </c>
      <c r="H10" s="100">
        <v>728</v>
      </c>
    </row>
    <row r="11" spans="1:8" ht="19.8" customHeight="1" x14ac:dyDescent="0.3">
      <c r="A11" s="70">
        <v>45982</v>
      </c>
      <c r="B11" s="61" t="s">
        <v>261</v>
      </c>
      <c r="C11" s="62" t="s">
        <v>649</v>
      </c>
      <c r="D11" s="61" t="s">
        <v>626</v>
      </c>
      <c r="E11" s="71">
        <v>1.2777777777777779</v>
      </c>
      <c r="F11" s="61" t="s">
        <v>263</v>
      </c>
      <c r="G11" s="63">
        <v>3</v>
      </c>
      <c r="H11" s="64">
        <v>935</v>
      </c>
    </row>
    <row r="12" spans="1:8" ht="19.8" customHeight="1" x14ac:dyDescent="0.3">
      <c r="A12" s="78">
        <v>45982</v>
      </c>
      <c r="B12" s="67" t="s">
        <v>80</v>
      </c>
      <c r="C12" s="68" t="s">
        <v>654</v>
      </c>
      <c r="D12" s="67" t="s">
        <v>626</v>
      </c>
      <c r="E12" s="79">
        <v>1.604166666666667</v>
      </c>
      <c r="F12" s="67" t="s">
        <v>182</v>
      </c>
      <c r="G12" s="213">
        <v>9</v>
      </c>
      <c r="H12" s="214">
        <v>976</v>
      </c>
    </row>
    <row r="13" spans="1:8" ht="19.8" customHeight="1" x14ac:dyDescent="0.3">
      <c r="A13" s="70">
        <v>45983</v>
      </c>
      <c r="B13" s="61" t="s">
        <v>36</v>
      </c>
      <c r="C13" s="62" t="s">
        <v>638</v>
      </c>
      <c r="D13" s="61" t="s">
        <v>626</v>
      </c>
      <c r="E13" s="71">
        <v>1.5</v>
      </c>
      <c r="F13" s="61" t="s">
        <v>41</v>
      </c>
      <c r="G13" s="63">
        <v>8</v>
      </c>
      <c r="H13" s="64">
        <v>639</v>
      </c>
    </row>
    <row r="14" spans="1:8" ht="19.8" customHeight="1" x14ac:dyDescent="0.3">
      <c r="A14" s="70">
        <v>45983</v>
      </c>
      <c r="B14" s="61" t="s">
        <v>36</v>
      </c>
      <c r="C14" s="62" t="s">
        <v>641</v>
      </c>
      <c r="D14" s="61" t="s">
        <v>626</v>
      </c>
      <c r="E14" s="71">
        <v>1.5659722222222221</v>
      </c>
      <c r="F14" s="61" t="s">
        <v>41</v>
      </c>
      <c r="G14" s="63">
        <v>9</v>
      </c>
      <c r="H14" s="64">
        <v>639</v>
      </c>
    </row>
    <row r="15" spans="1:8" ht="19.8" customHeight="1" x14ac:dyDescent="0.3">
      <c r="A15" s="70">
        <v>45983</v>
      </c>
      <c r="B15" s="61" t="s">
        <v>36</v>
      </c>
      <c r="C15" s="62" t="s">
        <v>636</v>
      </c>
      <c r="D15" s="61" t="s">
        <v>626</v>
      </c>
      <c r="E15" s="71">
        <v>1.305555555555556</v>
      </c>
      <c r="F15" s="61" t="s">
        <v>41</v>
      </c>
      <c r="G15" s="63">
        <v>5</v>
      </c>
      <c r="H15" s="64">
        <v>639</v>
      </c>
    </row>
    <row r="16" spans="1:8" ht="19.8" customHeight="1" x14ac:dyDescent="0.3">
      <c r="A16" s="70">
        <v>45983</v>
      </c>
      <c r="B16" s="61" t="s">
        <v>36</v>
      </c>
      <c r="C16" s="62" t="s">
        <v>637</v>
      </c>
      <c r="D16" s="61" t="s">
        <v>626</v>
      </c>
      <c r="E16" s="71">
        <v>1.427083333333333</v>
      </c>
      <c r="F16" s="61" t="s">
        <v>41</v>
      </c>
      <c r="G16" s="63">
        <v>7</v>
      </c>
      <c r="H16" s="64">
        <v>639</v>
      </c>
    </row>
    <row r="17" spans="1:8" ht="19.8" customHeight="1" x14ac:dyDescent="0.3">
      <c r="A17" s="70">
        <v>45983</v>
      </c>
      <c r="B17" s="61" t="s">
        <v>36</v>
      </c>
      <c r="C17" s="62" t="s">
        <v>645</v>
      </c>
      <c r="D17" s="61" t="s">
        <v>626</v>
      </c>
      <c r="E17" s="71">
        <v>1.8263888888888891</v>
      </c>
      <c r="F17" s="61" t="s">
        <v>41</v>
      </c>
      <c r="G17" s="63">
        <v>9</v>
      </c>
      <c r="H17" s="64">
        <v>689</v>
      </c>
    </row>
    <row r="18" spans="1:8" ht="19.8" customHeight="1" x14ac:dyDescent="0.3">
      <c r="A18" s="70">
        <v>45983</v>
      </c>
      <c r="B18" s="61" t="s">
        <v>36</v>
      </c>
      <c r="C18" s="62" t="s">
        <v>635</v>
      </c>
      <c r="D18" s="61" t="s">
        <v>626</v>
      </c>
      <c r="E18" s="71">
        <v>1.375</v>
      </c>
      <c r="F18" s="61" t="s">
        <v>41</v>
      </c>
      <c r="G18" s="63">
        <v>5</v>
      </c>
      <c r="H18" s="64">
        <v>689</v>
      </c>
    </row>
    <row r="19" spans="1:8" ht="19.8" customHeight="1" x14ac:dyDescent="0.3">
      <c r="A19" s="70">
        <v>45983</v>
      </c>
      <c r="B19" s="61" t="s">
        <v>36</v>
      </c>
      <c r="C19" s="62" t="s">
        <v>642</v>
      </c>
      <c r="D19" s="61" t="s">
        <v>626</v>
      </c>
      <c r="E19" s="71">
        <v>1.6875</v>
      </c>
      <c r="F19" s="61" t="s">
        <v>41</v>
      </c>
      <c r="G19" s="63">
        <v>9</v>
      </c>
      <c r="H19" s="64">
        <v>689</v>
      </c>
    </row>
    <row r="20" spans="1:8" ht="19.8" customHeight="1" x14ac:dyDescent="0.3">
      <c r="A20" s="78">
        <v>45983</v>
      </c>
      <c r="B20" s="67" t="s">
        <v>80</v>
      </c>
      <c r="C20" s="68" t="s">
        <v>654</v>
      </c>
      <c r="D20" s="67" t="s">
        <v>626</v>
      </c>
      <c r="E20" s="79">
        <v>1.6111111111111109</v>
      </c>
      <c r="F20" s="67" t="s">
        <v>182</v>
      </c>
      <c r="G20" s="213">
        <v>9</v>
      </c>
      <c r="H20" s="214">
        <v>728</v>
      </c>
    </row>
  </sheetData>
  <pageMargins left="0.75" right="0.75" top="1" bottom="1" header="0.5" footer="0.5"/>
  <legacy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57" t="s">
        <v>0</v>
      </c>
      <c r="B1" s="248"/>
      <c r="C1" s="248"/>
      <c r="D1" s="248"/>
      <c r="E1" s="248"/>
      <c r="F1" s="1" t="s">
        <v>744</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45980.430624536413</v>
      </c>
      <c r="H2" s="248"/>
      <c r="I2" s="248"/>
      <c r="J2" s="248"/>
      <c r="K2" s="259">
        <v>45980.430624536777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1.6" customHeight="1" x14ac:dyDescent="0.5">
      <c r="A4" s="206"/>
      <c r="B4" s="206"/>
      <c r="C4" s="206"/>
      <c r="D4" s="206"/>
      <c r="E4" s="206"/>
      <c r="F4" s="206"/>
      <c r="G4" s="206"/>
      <c r="H4" s="207"/>
      <c r="I4" s="208"/>
      <c r="J4" s="208"/>
      <c r="K4" s="208"/>
      <c r="L4" s="208"/>
      <c r="M4" s="208"/>
      <c r="N4" s="208"/>
      <c r="O4" s="208"/>
      <c r="P4" s="208"/>
      <c r="Q4" s="208"/>
      <c r="R4" s="208"/>
      <c r="CA4" s="3"/>
      <c r="CB4" s="3"/>
      <c r="CC4" s="3"/>
      <c r="CD4" s="3"/>
      <c r="CE4" s="3"/>
      <c r="CF4" s="3"/>
      <c r="CG4" s="3"/>
      <c r="CH4" s="3"/>
      <c r="CI4" s="3"/>
      <c r="CJ4" s="3"/>
      <c r="CK4" s="3"/>
      <c r="CL4" s="3"/>
      <c r="CM4" s="3"/>
      <c r="CN4" s="3"/>
    </row>
    <row r="5" spans="1:92" ht="18.600000000000001" customHeight="1" x14ac:dyDescent="0.3">
      <c r="A5" s="208"/>
      <c r="B5" s="208"/>
      <c r="C5" s="208"/>
      <c r="D5" s="208"/>
      <c r="E5" s="208"/>
      <c r="F5" s="208"/>
      <c r="G5" s="208"/>
      <c r="H5" s="208"/>
      <c r="I5" s="208"/>
      <c r="J5" s="208"/>
      <c r="K5" s="208"/>
      <c r="L5" s="208"/>
      <c r="M5" s="208"/>
      <c r="N5" s="208"/>
      <c r="O5" s="208"/>
      <c r="P5" s="208"/>
      <c r="Q5" s="208"/>
      <c r="R5" s="208"/>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J1"/>
  <sheetViews>
    <sheetView workbookViewId="0"/>
  </sheetViews>
  <sheetFormatPr defaultRowHeight="15.6" outlineLevelCol="1" x14ac:dyDescent="0.3"/>
  <cols>
    <col min="1" max="1" width="4.109375" style="269" bestFit="1" customWidth="1"/>
    <col min="2" max="2" width="5.33203125" style="269" bestFit="1" customWidth="1"/>
    <col min="3" max="3" width="3" style="269" bestFit="1" customWidth="1"/>
    <col min="4" max="4" width="4.21875" style="269" bestFit="1" customWidth="1"/>
    <col min="5" max="5" width="7.109375" style="269" bestFit="1" customWidth="1"/>
    <col min="6" max="6" width="4" style="269" bestFit="1" customWidth="1"/>
    <col min="7" max="8" width="4.21875" style="269" bestFit="1" customWidth="1"/>
    <col min="9" max="10" width="6.44140625" style="269" bestFit="1" customWidth="1"/>
    <col min="11" max="11" width="6.109375" style="269" bestFit="1" customWidth="1"/>
    <col min="12" max="12" width="8.77734375" style="269" bestFit="1" customWidth="1"/>
    <col min="13" max="13" width="7.33203125" style="269" bestFit="1" customWidth="1" outlineLevel="1"/>
    <col min="14" max="14" width="6" style="269" bestFit="1" customWidth="1" outlineLevel="1"/>
    <col min="15" max="15" width="7.6640625" style="269" bestFit="1" customWidth="1" outlineLevel="1"/>
    <col min="16" max="16" width="13.21875" style="269" bestFit="1" customWidth="1"/>
    <col min="17" max="17" width="2" style="269" bestFit="1" customWidth="1"/>
    <col min="18" max="18" width="2.109375" style="269" bestFit="1" customWidth="1"/>
    <col min="19" max="19" width="2.6640625" style="269" bestFit="1" customWidth="1"/>
    <col min="20" max="20" width="2.21875" style="269" bestFit="1" customWidth="1"/>
    <col min="21" max="21" width="2.33203125" style="269" bestFit="1" customWidth="1"/>
    <col min="22" max="22" width="2" style="269" bestFit="1" customWidth="1"/>
    <col min="23" max="23" width="2.109375" style="269" bestFit="1" customWidth="1"/>
    <col min="24" max="24" width="1.88671875" style="269" bestFit="1" customWidth="1"/>
    <col min="25" max="25" width="2.21875" style="269" bestFit="1" customWidth="1"/>
    <col min="26" max="26" width="1.88671875" style="269" bestFit="1" customWidth="1"/>
    <col min="27" max="27" width="2.77734375" style="269" bestFit="1" customWidth="1"/>
    <col min="28" max="29" width="2" style="269" bestFit="1" customWidth="1"/>
    <col min="30" max="31" width="2.33203125" style="269" bestFit="1" customWidth="1"/>
    <col min="32" max="32" width="1.5546875" style="269" bestFit="1" customWidth="1"/>
    <col min="33" max="33" width="2" style="269" bestFit="1" customWidth="1"/>
    <col min="34" max="34" width="2.109375" style="269" bestFit="1" customWidth="1"/>
    <col min="35" max="35" width="2" style="269" bestFit="1" customWidth="1"/>
    <col min="36" max="36" width="2.3320312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4"/>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745</v>
      </c>
      <c r="G2" s="102"/>
      <c r="H2" s="104"/>
    </row>
    <row r="3" spans="1:8" ht="19.8" customHeight="1" x14ac:dyDescent="0.3">
      <c r="A3" s="60" t="s">
        <v>166</v>
      </c>
      <c r="B3" s="61" t="s">
        <v>26</v>
      </c>
      <c r="C3" s="62" t="s">
        <v>627</v>
      </c>
      <c r="D3" s="61" t="s">
        <v>626</v>
      </c>
      <c r="E3" s="61" t="s">
        <v>736</v>
      </c>
      <c r="F3" s="61" t="s">
        <v>28</v>
      </c>
      <c r="G3" s="63">
        <v>5</v>
      </c>
      <c r="H3" s="64">
        <v>599</v>
      </c>
    </row>
    <row r="4" spans="1:8" ht="19.8" customHeight="1" x14ac:dyDescent="0.3">
      <c r="A4" s="60" t="s">
        <v>166</v>
      </c>
      <c r="B4" s="61" t="s">
        <v>26</v>
      </c>
      <c r="C4" s="62" t="s">
        <v>630</v>
      </c>
      <c r="D4" s="61" t="s">
        <v>626</v>
      </c>
      <c r="E4" s="61" t="s">
        <v>737</v>
      </c>
      <c r="F4" s="61" t="s">
        <v>28</v>
      </c>
      <c r="G4" s="63">
        <v>5</v>
      </c>
      <c r="H4" s="64">
        <v>599</v>
      </c>
    </row>
    <row r="5" spans="1:8" ht="19.8" customHeight="1" x14ac:dyDescent="0.3">
      <c r="A5" s="60" t="s">
        <v>166</v>
      </c>
      <c r="B5" s="61" t="s">
        <v>36</v>
      </c>
      <c r="C5" s="62" t="s">
        <v>635</v>
      </c>
      <c r="D5" s="61" t="s">
        <v>626</v>
      </c>
      <c r="E5" s="61" t="s">
        <v>738</v>
      </c>
      <c r="F5" s="61" t="s">
        <v>38</v>
      </c>
      <c r="G5" s="63">
        <v>9</v>
      </c>
      <c r="H5" s="64">
        <v>609</v>
      </c>
    </row>
    <row r="6" spans="1:8" ht="19.8" customHeight="1" x14ac:dyDescent="0.3">
      <c r="A6" s="60" t="s">
        <v>166</v>
      </c>
      <c r="B6" s="61" t="s">
        <v>36</v>
      </c>
      <c r="C6" s="62" t="s">
        <v>636</v>
      </c>
      <c r="D6" s="61" t="s">
        <v>626</v>
      </c>
      <c r="E6" s="61" t="s">
        <v>739</v>
      </c>
      <c r="F6" s="61" t="s">
        <v>38</v>
      </c>
      <c r="G6" s="63">
        <v>8</v>
      </c>
      <c r="H6" s="64">
        <v>609</v>
      </c>
    </row>
    <row r="7" spans="1:8" ht="19.8" customHeight="1" x14ac:dyDescent="0.3">
      <c r="A7" s="60" t="s">
        <v>166</v>
      </c>
      <c r="B7" s="61" t="s">
        <v>36</v>
      </c>
      <c r="C7" s="62" t="s">
        <v>637</v>
      </c>
      <c r="D7" s="61" t="s">
        <v>626</v>
      </c>
      <c r="E7" s="61" t="s">
        <v>740</v>
      </c>
      <c r="F7" s="61" t="s">
        <v>38</v>
      </c>
      <c r="G7" s="63">
        <v>5</v>
      </c>
      <c r="H7" s="64">
        <v>609</v>
      </c>
    </row>
    <row r="8" spans="1:8" ht="19.8" customHeight="1" x14ac:dyDescent="0.3">
      <c r="A8" s="60" t="s">
        <v>166</v>
      </c>
      <c r="B8" s="61" t="s">
        <v>36</v>
      </c>
      <c r="C8" s="62" t="s">
        <v>638</v>
      </c>
      <c r="D8" s="61" t="s">
        <v>626</v>
      </c>
      <c r="E8" s="61" t="s">
        <v>736</v>
      </c>
      <c r="F8" s="61" t="s">
        <v>38</v>
      </c>
      <c r="G8" s="63">
        <v>7</v>
      </c>
      <c r="H8" s="64">
        <v>659</v>
      </c>
    </row>
    <row r="9" spans="1:8" ht="19.8" customHeight="1" x14ac:dyDescent="0.3">
      <c r="A9" s="60" t="s">
        <v>166</v>
      </c>
      <c r="B9" s="61" t="s">
        <v>261</v>
      </c>
      <c r="C9" s="62" t="s">
        <v>649</v>
      </c>
      <c r="D9" s="61" t="s">
        <v>626</v>
      </c>
      <c r="E9" s="61" t="s">
        <v>741</v>
      </c>
      <c r="F9" s="61" t="s">
        <v>263</v>
      </c>
      <c r="G9" s="63">
        <v>2</v>
      </c>
      <c r="H9" s="64">
        <v>695</v>
      </c>
    </row>
    <row r="10" spans="1:8" ht="19.8" customHeight="1" x14ac:dyDescent="0.3">
      <c r="A10" s="60" t="s">
        <v>166</v>
      </c>
      <c r="B10" s="61" t="s">
        <v>36</v>
      </c>
      <c r="C10" s="62" t="s">
        <v>635</v>
      </c>
      <c r="D10" s="61" t="s">
        <v>626</v>
      </c>
      <c r="E10" s="61" t="s">
        <v>738</v>
      </c>
      <c r="F10" s="61" t="s">
        <v>41</v>
      </c>
      <c r="G10" s="63">
        <v>9</v>
      </c>
      <c r="H10" s="64">
        <v>709</v>
      </c>
    </row>
    <row r="11" spans="1:8" ht="19.8" customHeight="1" x14ac:dyDescent="0.3">
      <c r="A11" s="60" t="s">
        <v>166</v>
      </c>
      <c r="B11" s="61" t="s">
        <v>36</v>
      </c>
      <c r="C11" s="62" t="s">
        <v>636</v>
      </c>
      <c r="D11" s="61" t="s">
        <v>626</v>
      </c>
      <c r="E11" s="61" t="s">
        <v>739</v>
      </c>
      <c r="F11" s="61" t="s">
        <v>41</v>
      </c>
      <c r="G11" s="63">
        <v>8</v>
      </c>
      <c r="H11" s="64">
        <v>709</v>
      </c>
    </row>
    <row r="12" spans="1:8" ht="19.8" customHeight="1" x14ac:dyDescent="0.3">
      <c r="A12" s="116" t="s">
        <v>166</v>
      </c>
      <c r="B12" s="73" t="s">
        <v>36</v>
      </c>
      <c r="C12" s="74" t="s">
        <v>637</v>
      </c>
      <c r="D12" s="73" t="s">
        <v>626</v>
      </c>
      <c r="E12" s="73" t="s">
        <v>740</v>
      </c>
      <c r="F12" s="73" t="s">
        <v>41</v>
      </c>
      <c r="G12" s="76">
        <v>5</v>
      </c>
      <c r="H12" s="105">
        <v>709</v>
      </c>
    </row>
    <row r="13" spans="1:8" ht="19.8" customHeight="1" x14ac:dyDescent="0.3">
      <c r="A13" s="101"/>
      <c r="B13" s="102"/>
      <c r="C13" s="102"/>
      <c r="D13" s="102"/>
      <c r="E13" s="102"/>
      <c r="F13" s="103" t="s">
        <v>745</v>
      </c>
      <c r="G13" s="102"/>
      <c r="H13" s="104"/>
    </row>
    <row r="14" spans="1:8" ht="19.8" customHeight="1" x14ac:dyDescent="0.3">
      <c r="A14" s="60" t="s">
        <v>222</v>
      </c>
      <c r="B14" s="61" t="s">
        <v>26</v>
      </c>
      <c r="C14" s="62" t="s">
        <v>627</v>
      </c>
      <c r="D14" s="61" t="s">
        <v>626</v>
      </c>
      <c r="E14" s="61" t="s">
        <v>736</v>
      </c>
      <c r="F14" s="61" t="s">
        <v>28</v>
      </c>
      <c r="G14" s="63">
        <v>17</v>
      </c>
      <c r="H14" s="64">
        <v>549</v>
      </c>
    </row>
    <row r="15" spans="1:8" ht="19.8" customHeight="1" x14ac:dyDescent="0.3">
      <c r="A15" s="60" t="s">
        <v>222</v>
      </c>
      <c r="B15" s="61" t="s">
        <v>26</v>
      </c>
      <c r="C15" s="62" t="s">
        <v>631</v>
      </c>
      <c r="D15" s="61" t="s">
        <v>626</v>
      </c>
      <c r="E15" s="61" t="s">
        <v>746</v>
      </c>
      <c r="F15" s="61" t="s">
        <v>28</v>
      </c>
      <c r="G15" s="63">
        <v>24</v>
      </c>
      <c r="H15" s="64">
        <v>599</v>
      </c>
    </row>
    <row r="16" spans="1:8" ht="19.8" customHeight="1" x14ac:dyDescent="0.3">
      <c r="A16" s="60" t="s">
        <v>222</v>
      </c>
      <c r="B16" s="61" t="s">
        <v>26</v>
      </c>
      <c r="C16" s="62" t="s">
        <v>633</v>
      </c>
      <c r="D16" s="61" t="s">
        <v>626</v>
      </c>
      <c r="E16" s="61" t="s">
        <v>747</v>
      </c>
      <c r="F16" s="61" t="s">
        <v>28</v>
      </c>
      <c r="G16" s="63">
        <v>26</v>
      </c>
      <c r="H16" s="64">
        <v>599</v>
      </c>
    </row>
    <row r="17" spans="1:8" ht="19.8" customHeight="1" x14ac:dyDescent="0.3">
      <c r="A17" s="60" t="s">
        <v>222</v>
      </c>
      <c r="B17" s="61" t="s">
        <v>36</v>
      </c>
      <c r="C17" s="62" t="s">
        <v>638</v>
      </c>
      <c r="D17" s="61" t="s">
        <v>626</v>
      </c>
      <c r="E17" s="61" t="s">
        <v>736</v>
      </c>
      <c r="F17" s="61" t="s">
        <v>38</v>
      </c>
      <c r="G17" s="63">
        <v>7</v>
      </c>
      <c r="H17" s="64">
        <v>609</v>
      </c>
    </row>
    <row r="18" spans="1:8" ht="19.8" customHeight="1" x14ac:dyDescent="0.3">
      <c r="A18" s="60" t="s">
        <v>222</v>
      </c>
      <c r="B18" s="61" t="s">
        <v>26</v>
      </c>
      <c r="C18" s="62" t="s">
        <v>630</v>
      </c>
      <c r="D18" s="61" t="s">
        <v>626</v>
      </c>
      <c r="E18" s="61" t="s">
        <v>737</v>
      </c>
      <c r="F18" s="61" t="s">
        <v>28</v>
      </c>
      <c r="G18" s="63">
        <v>17</v>
      </c>
      <c r="H18" s="64">
        <v>649</v>
      </c>
    </row>
    <row r="19" spans="1:8" ht="19.8" customHeight="1" x14ac:dyDescent="0.3">
      <c r="A19" s="60" t="s">
        <v>222</v>
      </c>
      <c r="B19" s="61" t="s">
        <v>36</v>
      </c>
      <c r="C19" s="62" t="s">
        <v>641</v>
      </c>
      <c r="D19" s="61" t="s">
        <v>626</v>
      </c>
      <c r="E19" s="61" t="s">
        <v>743</v>
      </c>
      <c r="F19" s="61" t="s">
        <v>38</v>
      </c>
      <c r="G19" s="63">
        <v>9</v>
      </c>
      <c r="H19" s="64">
        <v>659</v>
      </c>
    </row>
    <row r="20" spans="1:8" ht="19.8" customHeight="1" x14ac:dyDescent="0.3">
      <c r="A20" s="60" t="s">
        <v>222</v>
      </c>
      <c r="B20" s="61" t="s">
        <v>26</v>
      </c>
      <c r="C20" s="62" t="s">
        <v>627</v>
      </c>
      <c r="D20" s="61" t="s">
        <v>626</v>
      </c>
      <c r="E20" s="61" t="s">
        <v>736</v>
      </c>
      <c r="F20" s="61" t="s">
        <v>31</v>
      </c>
      <c r="G20" s="63">
        <v>17</v>
      </c>
      <c r="H20" s="64">
        <v>699</v>
      </c>
    </row>
    <row r="21" spans="1:8" ht="19.8" customHeight="1" x14ac:dyDescent="0.3">
      <c r="A21" s="60" t="s">
        <v>222</v>
      </c>
      <c r="B21" s="61" t="s">
        <v>36</v>
      </c>
      <c r="C21" s="62" t="s">
        <v>638</v>
      </c>
      <c r="D21" s="61" t="s">
        <v>626</v>
      </c>
      <c r="E21" s="61" t="s">
        <v>736</v>
      </c>
      <c r="F21" s="61" t="s">
        <v>41</v>
      </c>
      <c r="G21" s="63">
        <v>7</v>
      </c>
      <c r="H21" s="64">
        <v>709</v>
      </c>
    </row>
    <row r="22" spans="1:8" ht="19.8" customHeight="1" x14ac:dyDescent="0.3">
      <c r="A22" s="60" t="s">
        <v>222</v>
      </c>
      <c r="B22" s="61" t="s">
        <v>80</v>
      </c>
      <c r="C22" s="62" t="s">
        <v>690</v>
      </c>
      <c r="D22" s="61" t="s">
        <v>626</v>
      </c>
      <c r="E22" s="61" t="s">
        <v>728</v>
      </c>
      <c r="F22" s="61" t="s">
        <v>182</v>
      </c>
      <c r="G22" s="63">
        <v>3</v>
      </c>
      <c r="H22" s="64">
        <v>728</v>
      </c>
    </row>
    <row r="23" spans="1:8" ht="19.8" customHeight="1" x14ac:dyDescent="0.3">
      <c r="A23" s="116" t="s">
        <v>222</v>
      </c>
      <c r="B23" s="73" t="s">
        <v>36</v>
      </c>
      <c r="C23" s="74" t="s">
        <v>645</v>
      </c>
      <c r="D23" s="73" t="s">
        <v>626</v>
      </c>
      <c r="E23" s="73" t="s">
        <v>748</v>
      </c>
      <c r="F23" s="73" t="s">
        <v>38</v>
      </c>
      <c r="G23" s="76">
        <v>9</v>
      </c>
      <c r="H23" s="105">
        <v>739</v>
      </c>
    </row>
    <row r="24" spans="1:8" ht="19.8" customHeight="1" x14ac:dyDescent="0.3">
      <c r="A24" s="101"/>
      <c r="B24" s="102"/>
      <c r="C24" s="102"/>
      <c r="D24" s="102"/>
      <c r="E24" s="102"/>
      <c r="F24" s="103" t="s">
        <v>745</v>
      </c>
      <c r="G24" s="102"/>
      <c r="H24" s="104"/>
    </row>
    <row r="25" spans="1:8" ht="19.8" customHeight="1" x14ac:dyDescent="0.3">
      <c r="A25" s="60" t="s">
        <v>224</v>
      </c>
      <c r="B25" s="61" t="s">
        <v>26</v>
      </c>
      <c r="C25" s="62" t="s">
        <v>627</v>
      </c>
      <c r="D25" s="61" t="s">
        <v>626</v>
      </c>
      <c r="E25" s="61" t="s">
        <v>736</v>
      </c>
      <c r="F25" s="61" t="s">
        <v>704</v>
      </c>
      <c r="G25" s="63">
        <v>5</v>
      </c>
      <c r="H25" s="64">
        <v>469</v>
      </c>
    </row>
    <row r="26" spans="1:8" ht="19.8" customHeight="1" x14ac:dyDescent="0.3">
      <c r="A26" s="60" t="s">
        <v>224</v>
      </c>
      <c r="B26" s="61" t="s">
        <v>26</v>
      </c>
      <c r="C26" s="62" t="s">
        <v>633</v>
      </c>
      <c r="D26" s="61" t="s">
        <v>626</v>
      </c>
      <c r="E26" s="61" t="s">
        <v>747</v>
      </c>
      <c r="F26" s="61" t="s">
        <v>704</v>
      </c>
      <c r="G26" s="63">
        <v>17</v>
      </c>
      <c r="H26" s="64">
        <v>469</v>
      </c>
    </row>
    <row r="27" spans="1:8" ht="19.8" customHeight="1" x14ac:dyDescent="0.3">
      <c r="A27" s="60" t="s">
        <v>224</v>
      </c>
      <c r="B27" s="61" t="s">
        <v>261</v>
      </c>
      <c r="C27" s="62" t="s">
        <v>649</v>
      </c>
      <c r="D27" s="61" t="s">
        <v>626</v>
      </c>
      <c r="E27" s="61" t="s">
        <v>550</v>
      </c>
      <c r="F27" s="61" t="s">
        <v>263</v>
      </c>
      <c r="G27" s="63">
        <v>1</v>
      </c>
      <c r="H27" s="64">
        <v>500</v>
      </c>
    </row>
    <row r="28" spans="1:8" ht="19.8" customHeight="1" x14ac:dyDescent="0.3">
      <c r="A28" s="60" t="s">
        <v>224</v>
      </c>
      <c r="B28" s="61" t="s">
        <v>26</v>
      </c>
      <c r="C28" s="62" t="s">
        <v>631</v>
      </c>
      <c r="D28" s="61" t="s">
        <v>626</v>
      </c>
      <c r="E28" s="61" t="s">
        <v>746</v>
      </c>
      <c r="F28" s="61" t="s">
        <v>704</v>
      </c>
      <c r="G28" s="63">
        <v>15</v>
      </c>
      <c r="H28" s="64">
        <v>509</v>
      </c>
    </row>
    <row r="29" spans="1:8" ht="19.8" customHeight="1" x14ac:dyDescent="0.3">
      <c r="A29" s="60" t="s">
        <v>224</v>
      </c>
      <c r="B29" s="61" t="s">
        <v>26</v>
      </c>
      <c r="C29" s="62" t="s">
        <v>630</v>
      </c>
      <c r="D29" s="61" t="s">
        <v>626</v>
      </c>
      <c r="E29" s="61" t="s">
        <v>737</v>
      </c>
      <c r="F29" s="61" t="s">
        <v>704</v>
      </c>
      <c r="G29" s="63">
        <v>14</v>
      </c>
      <c r="H29" s="64">
        <v>509</v>
      </c>
    </row>
    <row r="30" spans="1:8" ht="19.8" customHeight="1" x14ac:dyDescent="0.3">
      <c r="A30" s="60" t="s">
        <v>224</v>
      </c>
      <c r="B30" s="61" t="s">
        <v>273</v>
      </c>
      <c r="C30" s="62" t="s">
        <v>708</v>
      </c>
      <c r="D30" s="61" t="s">
        <v>626</v>
      </c>
      <c r="E30" s="61" t="s">
        <v>749</v>
      </c>
      <c r="F30" s="61" t="s">
        <v>263</v>
      </c>
      <c r="G30" s="63">
        <v>9</v>
      </c>
      <c r="H30" s="64">
        <v>518</v>
      </c>
    </row>
    <row r="31" spans="1:8" ht="19.8" customHeight="1" x14ac:dyDescent="0.3">
      <c r="A31" s="60" t="s">
        <v>224</v>
      </c>
      <c r="B31" s="61" t="s">
        <v>36</v>
      </c>
      <c r="C31" s="62" t="s">
        <v>638</v>
      </c>
      <c r="D31" s="61" t="s">
        <v>626</v>
      </c>
      <c r="E31" s="61" t="s">
        <v>736</v>
      </c>
      <c r="F31" s="61" t="s">
        <v>38</v>
      </c>
      <c r="G31" s="63">
        <v>8</v>
      </c>
      <c r="H31" s="64">
        <v>539</v>
      </c>
    </row>
    <row r="32" spans="1:8" ht="19.8" customHeight="1" x14ac:dyDescent="0.3">
      <c r="A32" s="60" t="s">
        <v>224</v>
      </c>
      <c r="B32" s="61" t="s">
        <v>36</v>
      </c>
      <c r="C32" s="62" t="s">
        <v>641</v>
      </c>
      <c r="D32" s="61" t="s">
        <v>626</v>
      </c>
      <c r="E32" s="61" t="s">
        <v>743</v>
      </c>
      <c r="F32" s="61" t="s">
        <v>38</v>
      </c>
      <c r="G32" s="63">
        <v>9</v>
      </c>
      <c r="H32" s="64">
        <v>539</v>
      </c>
    </row>
    <row r="33" spans="1:8" ht="19.8" customHeight="1" x14ac:dyDescent="0.3">
      <c r="A33" s="60" t="s">
        <v>224</v>
      </c>
      <c r="B33" s="61" t="s">
        <v>36</v>
      </c>
      <c r="C33" s="62" t="s">
        <v>636</v>
      </c>
      <c r="D33" s="61" t="s">
        <v>626</v>
      </c>
      <c r="E33" s="61" t="s">
        <v>739</v>
      </c>
      <c r="F33" s="61" t="s">
        <v>38</v>
      </c>
      <c r="G33" s="63">
        <v>5</v>
      </c>
      <c r="H33" s="64">
        <v>539</v>
      </c>
    </row>
    <row r="34" spans="1:8" ht="19.8" customHeight="1" x14ac:dyDescent="0.3">
      <c r="A34" s="116" t="s">
        <v>224</v>
      </c>
      <c r="B34" s="73" t="s">
        <v>36</v>
      </c>
      <c r="C34" s="74" t="s">
        <v>637</v>
      </c>
      <c r="D34" s="73" t="s">
        <v>626</v>
      </c>
      <c r="E34" s="73" t="s">
        <v>740</v>
      </c>
      <c r="F34" s="73" t="s">
        <v>38</v>
      </c>
      <c r="G34" s="76">
        <v>7</v>
      </c>
      <c r="H34" s="105">
        <v>539</v>
      </c>
    </row>
  </sheetData>
  <pageMargins left="0.75" right="0.75" top="1" bottom="1" header="0.5" footer="0.5"/>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4"/>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745</v>
      </c>
      <c r="G2" s="102"/>
      <c r="H2" s="104"/>
    </row>
    <row r="3" spans="1:8" ht="19.8" customHeight="1" x14ac:dyDescent="0.3">
      <c r="A3" s="60" t="s">
        <v>166</v>
      </c>
      <c r="B3" s="61" t="s">
        <v>26</v>
      </c>
      <c r="C3" s="62" t="s">
        <v>627</v>
      </c>
      <c r="D3" s="61" t="s">
        <v>626</v>
      </c>
      <c r="E3" s="61" t="s">
        <v>736</v>
      </c>
      <c r="F3" s="61" t="s">
        <v>28</v>
      </c>
      <c r="G3" s="63">
        <v>5</v>
      </c>
      <c r="H3" s="64">
        <v>599</v>
      </c>
    </row>
    <row r="4" spans="1:8" ht="19.8" customHeight="1" x14ac:dyDescent="0.3">
      <c r="A4" s="60" t="s">
        <v>166</v>
      </c>
      <c r="B4" s="61" t="s">
        <v>26</v>
      </c>
      <c r="C4" s="62" t="s">
        <v>630</v>
      </c>
      <c r="D4" s="61" t="s">
        <v>626</v>
      </c>
      <c r="E4" s="61" t="s">
        <v>737</v>
      </c>
      <c r="F4" s="61" t="s">
        <v>28</v>
      </c>
      <c r="G4" s="63">
        <v>5</v>
      </c>
      <c r="H4" s="64">
        <v>599</v>
      </c>
    </row>
    <row r="5" spans="1:8" ht="19.8" customHeight="1" x14ac:dyDescent="0.3">
      <c r="A5" s="60" t="s">
        <v>166</v>
      </c>
      <c r="B5" s="61" t="s">
        <v>36</v>
      </c>
      <c r="C5" s="62" t="s">
        <v>635</v>
      </c>
      <c r="D5" s="61" t="s">
        <v>626</v>
      </c>
      <c r="E5" s="61" t="s">
        <v>738</v>
      </c>
      <c r="F5" s="61" t="s">
        <v>38</v>
      </c>
      <c r="G5" s="63">
        <v>9</v>
      </c>
      <c r="H5" s="64">
        <v>609</v>
      </c>
    </row>
    <row r="6" spans="1:8" ht="19.8" customHeight="1" x14ac:dyDescent="0.3">
      <c r="A6" s="60" t="s">
        <v>166</v>
      </c>
      <c r="B6" s="61" t="s">
        <v>36</v>
      </c>
      <c r="C6" s="62" t="s">
        <v>636</v>
      </c>
      <c r="D6" s="61" t="s">
        <v>626</v>
      </c>
      <c r="E6" s="61" t="s">
        <v>739</v>
      </c>
      <c r="F6" s="61" t="s">
        <v>38</v>
      </c>
      <c r="G6" s="63">
        <v>8</v>
      </c>
      <c r="H6" s="64">
        <v>609</v>
      </c>
    </row>
    <row r="7" spans="1:8" ht="19.8" customHeight="1" x14ac:dyDescent="0.3">
      <c r="A7" s="60" t="s">
        <v>166</v>
      </c>
      <c r="B7" s="61" t="s">
        <v>36</v>
      </c>
      <c r="C7" s="62" t="s">
        <v>637</v>
      </c>
      <c r="D7" s="61" t="s">
        <v>626</v>
      </c>
      <c r="E7" s="61" t="s">
        <v>740</v>
      </c>
      <c r="F7" s="61" t="s">
        <v>38</v>
      </c>
      <c r="G7" s="63">
        <v>5</v>
      </c>
      <c r="H7" s="64">
        <v>609</v>
      </c>
    </row>
    <row r="8" spans="1:8" ht="19.8" customHeight="1" x14ac:dyDescent="0.3">
      <c r="A8" s="60" t="s">
        <v>166</v>
      </c>
      <c r="B8" s="61" t="s">
        <v>36</v>
      </c>
      <c r="C8" s="62" t="s">
        <v>638</v>
      </c>
      <c r="D8" s="61" t="s">
        <v>626</v>
      </c>
      <c r="E8" s="61" t="s">
        <v>736</v>
      </c>
      <c r="F8" s="61" t="s">
        <v>38</v>
      </c>
      <c r="G8" s="63">
        <v>7</v>
      </c>
      <c r="H8" s="64">
        <v>659</v>
      </c>
    </row>
    <row r="9" spans="1:8" ht="19.8" customHeight="1" x14ac:dyDescent="0.3">
      <c r="A9" s="60" t="s">
        <v>166</v>
      </c>
      <c r="B9" s="61" t="s">
        <v>261</v>
      </c>
      <c r="C9" s="62" t="s">
        <v>649</v>
      </c>
      <c r="D9" s="61" t="s">
        <v>626</v>
      </c>
      <c r="E9" s="61" t="s">
        <v>741</v>
      </c>
      <c r="F9" s="61" t="s">
        <v>263</v>
      </c>
      <c r="G9" s="63">
        <v>2</v>
      </c>
      <c r="H9" s="64">
        <v>695</v>
      </c>
    </row>
    <row r="10" spans="1:8" ht="19.8" customHeight="1" x14ac:dyDescent="0.3">
      <c r="A10" s="60" t="s">
        <v>166</v>
      </c>
      <c r="B10" s="61" t="s">
        <v>36</v>
      </c>
      <c r="C10" s="62" t="s">
        <v>635</v>
      </c>
      <c r="D10" s="61" t="s">
        <v>626</v>
      </c>
      <c r="E10" s="61" t="s">
        <v>738</v>
      </c>
      <c r="F10" s="61" t="s">
        <v>41</v>
      </c>
      <c r="G10" s="63">
        <v>9</v>
      </c>
      <c r="H10" s="64">
        <v>709</v>
      </c>
    </row>
    <row r="11" spans="1:8" ht="19.8" customHeight="1" x14ac:dyDescent="0.3">
      <c r="A11" s="60" t="s">
        <v>166</v>
      </c>
      <c r="B11" s="61" t="s">
        <v>36</v>
      </c>
      <c r="C11" s="62" t="s">
        <v>636</v>
      </c>
      <c r="D11" s="61" t="s">
        <v>626</v>
      </c>
      <c r="E11" s="61" t="s">
        <v>739</v>
      </c>
      <c r="F11" s="61" t="s">
        <v>41</v>
      </c>
      <c r="G11" s="63">
        <v>8</v>
      </c>
      <c r="H11" s="64">
        <v>709</v>
      </c>
    </row>
    <row r="12" spans="1:8" ht="19.8" customHeight="1" x14ac:dyDescent="0.3">
      <c r="A12" s="116" t="s">
        <v>166</v>
      </c>
      <c r="B12" s="73" t="s">
        <v>36</v>
      </c>
      <c r="C12" s="74" t="s">
        <v>637</v>
      </c>
      <c r="D12" s="73" t="s">
        <v>626</v>
      </c>
      <c r="E12" s="73" t="s">
        <v>740</v>
      </c>
      <c r="F12" s="73" t="s">
        <v>41</v>
      </c>
      <c r="G12" s="76">
        <v>5</v>
      </c>
      <c r="H12" s="105">
        <v>709</v>
      </c>
    </row>
    <row r="13" spans="1:8" ht="19.8" customHeight="1" x14ac:dyDescent="0.3">
      <c r="A13" s="101"/>
      <c r="B13" s="102"/>
      <c r="C13" s="102"/>
      <c r="D13" s="102"/>
      <c r="E13" s="102"/>
      <c r="F13" s="103" t="s">
        <v>745</v>
      </c>
      <c r="G13" s="102"/>
      <c r="H13" s="104"/>
    </row>
    <row r="14" spans="1:8" ht="19.8" customHeight="1" x14ac:dyDescent="0.3">
      <c r="A14" s="60" t="s">
        <v>222</v>
      </c>
      <c r="B14" s="61" t="s">
        <v>26</v>
      </c>
      <c r="C14" s="62" t="s">
        <v>627</v>
      </c>
      <c r="D14" s="61" t="s">
        <v>626</v>
      </c>
      <c r="E14" s="61" t="s">
        <v>736</v>
      </c>
      <c r="F14" s="61" t="s">
        <v>28</v>
      </c>
      <c r="G14" s="63">
        <v>17</v>
      </c>
      <c r="H14" s="64">
        <v>549</v>
      </c>
    </row>
    <row r="15" spans="1:8" ht="19.8" customHeight="1" x14ac:dyDescent="0.3">
      <c r="A15" s="60" t="s">
        <v>222</v>
      </c>
      <c r="B15" s="61" t="s">
        <v>26</v>
      </c>
      <c r="C15" s="62" t="s">
        <v>631</v>
      </c>
      <c r="D15" s="61" t="s">
        <v>626</v>
      </c>
      <c r="E15" s="61" t="s">
        <v>746</v>
      </c>
      <c r="F15" s="61" t="s">
        <v>28</v>
      </c>
      <c r="G15" s="63">
        <v>24</v>
      </c>
      <c r="H15" s="64">
        <v>599</v>
      </c>
    </row>
    <row r="16" spans="1:8" ht="19.8" customHeight="1" x14ac:dyDescent="0.3">
      <c r="A16" s="60" t="s">
        <v>222</v>
      </c>
      <c r="B16" s="61" t="s">
        <v>26</v>
      </c>
      <c r="C16" s="62" t="s">
        <v>633</v>
      </c>
      <c r="D16" s="61" t="s">
        <v>626</v>
      </c>
      <c r="E16" s="61" t="s">
        <v>747</v>
      </c>
      <c r="F16" s="61" t="s">
        <v>28</v>
      </c>
      <c r="G16" s="63">
        <v>26</v>
      </c>
      <c r="H16" s="64">
        <v>599</v>
      </c>
    </row>
    <row r="17" spans="1:8" ht="19.8" customHeight="1" x14ac:dyDescent="0.3">
      <c r="A17" s="60" t="s">
        <v>222</v>
      </c>
      <c r="B17" s="61" t="s">
        <v>36</v>
      </c>
      <c r="C17" s="62" t="s">
        <v>638</v>
      </c>
      <c r="D17" s="61" t="s">
        <v>626</v>
      </c>
      <c r="E17" s="61" t="s">
        <v>736</v>
      </c>
      <c r="F17" s="61" t="s">
        <v>38</v>
      </c>
      <c r="G17" s="63">
        <v>7</v>
      </c>
      <c r="H17" s="64">
        <v>609</v>
      </c>
    </row>
    <row r="18" spans="1:8" ht="19.8" customHeight="1" x14ac:dyDescent="0.3">
      <c r="A18" s="60" t="s">
        <v>222</v>
      </c>
      <c r="B18" s="61" t="s">
        <v>26</v>
      </c>
      <c r="C18" s="62" t="s">
        <v>630</v>
      </c>
      <c r="D18" s="61" t="s">
        <v>626</v>
      </c>
      <c r="E18" s="61" t="s">
        <v>737</v>
      </c>
      <c r="F18" s="61" t="s">
        <v>28</v>
      </c>
      <c r="G18" s="63">
        <v>17</v>
      </c>
      <c r="H18" s="64">
        <v>649</v>
      </c>
    </row>
    <row r="19" spans="1:8" ht="19.8" customHeight="1" x14ac:dyDescent="0.3">
      <c r="A19" s="60" t="s">
        <v>222</v>
      </c>
      <c r="B19" s="61" t="s">
        <v>36</v>
      </c>
      <c r="C19" s="62" t="s">
        <v>641</v>
      </c>
      <c r="D19" s="61" t="s">
        <v>626</v>
      </c>
      <c r="E19" s="61" t="s">
        <v>743</v>
      </c>
      <c r="F19" s="61" t="s">
        <v>38</v>
      </c>
      <c r="G19" s="63">
        <v>9</v>
      </c>
      <c r="H19" s="64">
        <v>659</v>
      </c>
    </row>
    <row r="20" spans="1:8" ht="19.8" customHeight="1" x14ac:dyDescent="0.3">
      <c r="A20" s="60" t="s">
        <v>222</v>
      </c>
      <c r="B20" s="61" t="s">
        <v>26</v>
      </c>
      <c r="C20" s="62" t="s">
        <v>627</v>
      </c>
      <c r="D20" s="61" t="s">
        <v>626</v>
      </c>
      <c r="E20" s="61" t="s">
        <v>736</v>
      </c>
      <c r="F20" s="61" t="s">
        <v>31</v>
      </c>
      <c r="G20" s="63">
        <v>17</v>
      </c>
      <c r="H20" s="64">
        <v>699</v>
      </c>
    </row>
    <row r="21" spans="1:8" ht="19.8" customHeight="1" x14ac:dyDescent="0.3">
      <c r="A21" s="60" t="s">
        <v>222</v>
      </c>
      <c r="B21" s="61" t="s">
        <v>36</v>
      </c>
      <c r="C21" s="62" t="s">
        <v>638</v>
      </c>
      <c r="D21" s="61" t="s">
        <v>626</v>
      </c>
      <c r="E21" s="61" t="s">
        <v>736</v>
      </c>
      <c r="F21" s="61" t="s">
        <v>41</v>
      </c>
      <c r="G21" s="63">
        <v>7</v>
      </c>
      <c r="H21" s="64">
        <v>709</v>
      </c>
    </row>
    <row r="22" spans="1:8" ht="19.8" customHeight="1" x14ac:dyDescent="0.3">
      <c r="A22" s="60" t="s">
        <v>222</v>
      </c>
      <c r="B22" s="61" t="s">
        <v>80</v>
      </c>
      <c r="C22" s="62" t="s">
        <v>690</v>
      </c>
      <c r="D22" s="61" t="s">
        <v>626</v>
      </c>
      <c r="E22" s="61" t="s">
        <v>728</v>
      </c>
      <c r="F22" s="61" t="s">
        <v>182</v>
      </c>
      <c r="G22" s="63">
        <v>3</v>
      </c>
      <c r="H22" s="64">
        <v>728</v>
      </c>
    </row>
    <row r="23" spans="1:8" ht="19.8" customHeight="1" x14ac:dyDescent="0.3">
      <c r="A23" s="116" t="s">
        <v>222</v>
      </c>
      <c r="B23" s="73" t="s">
        <v>36</v>
      </c>
      <c r="C23" s="74" t="s">
        <v>645</v>
      </c>
      <c r="D23" s="73" t="s">
        <v>626</v>
      </c>
      <c r="E23" s="73" t="s">
        <v>748</v>
      </c>
      <c r="F23" s="73" t="s">
        <v>38</v>
      </c>
      <c r="G23" s="76">
        <v>9</v>
      </c>
      <c r="H23" s="105">
        <v>739</v>
      </c>
    </row>
    <row r="24" spans="1:8" ht="19.8" customHeight="1" x14ac:dyDescent="0.3">
      <c r="A24" s="101"/>
      <c r="B24" s="102"/>
      <c r="C24" s="102"/>
      <c r="D24" s="102"/>
      <c r="E24" s="102"/>
      <c r="F24" s="103" t="s">
        <v>745</v>
      </c>
      <c r="G24" s="102"/>
      <c r="H24" s="104"/>
    </row>
    <row r="25" spans="1:8" ht="19.8" customHeight="1" x14ac:dyDescent="0.3">
      <c r="A25" s="60" t="s">
        <v>224</v>
      </c>
      <c r="B25" s="61" t="s">
        <v>26</v>
      </c>
      <c r="C25" s="62" t="s">
        <v>627</v>
      </c>
      <c r="D25" s="61" t="s">
        <v>626</v>
      </c>
      <c r="E25" s="61" t="s">
        <v>736</v>
      </c>
      <c r="F25" s="61" t="s">
        <v>704</v>
      </c>
      <c r="G25" s="63">
        <v>5</v>
      </c>
      <c r="H25" s="64">
        <v>469</v>
      </c>
    </row>
    <row r="26" spans="1:8" ht="19.8" customHeight="1" x14ac:dyDescent="0.3">
      <c r="A26" s="60" t="s">
        <v>224</v>
      </c>
      <c r="B26" s="61" t="s">
        <v>26</v>
      </c>
      <c r="C26" s="62" t="s">
        <v>633</v>
      </c>
      <c r="D26" s="61" t="s">
        <v>626</v>
      </c>
      <c r="E26" s="61" t="s">
        <v>747</v>
      </c>
      <c r="F26" s="61" t="s">
        <v>704</v>
      </c>
      <c r="G26" s="63">
        <v>17</v>
      </c>
      <c r="H26" s="64">
        <v>469</v>
      </c>
    </row>
    <row r="27" spans="1:8" ht="19.8" customHeight="1" x14ac:dyDescent="0.3">
      <c r="A27" s="60" t="s">
        <v>224</v>
      </c>
      <c r="B27" s="61" t="s">
        <v>261</v>
      </c>
      <c r="C27" s="62" t="s">
        <v>649</v>
      </c>
      <c r="D27" s="61" t="s">
        <v>626</v>
      </c>
      <c r="E27" s="61" t="s">
        <v>550</v>
      </c>
      <c r="F27" s="61" t="s">
        <v>263</v>
      </c>
      <c r="G27" s="63">
        <v>1</v>
      </c>
      <c r="H27" s="64">
        <v>500</v>
      </c>
    </row>
    <row r="28" spans="1:8" ht="19.8" customHeight="1" x14ac:dyDescent="0.3">
      <c r="A28" s="60" t="s">
        <v>224</v>
      </c>
      <c r="B28" s="61" t="s">
        <v>26</v>
      </c>
      <c r="C28" s="62" t="s">
        <v>631</v>
      </c>
      <c r="D28" s="61" t="s">
        <v>626</v>
      </c>
      <c r="E28" s="61" t="s">
        <v>746</v>
      </c>
      <c r="F28" s="61" t="s">
        <v>704</v>
      </c>
      <c r="G28" s="63">
        <v>15</v>
      </c>
      <c r="H28" s="64">
        <v>509</v>
      </c>
    </row>
    <row r="29" spans="1:8" ht="19.8" customHeight="1" x14ac:dyDescent="0.3">
      <c r="A29" s="60" t="s">
        <v>224</v>
      </c>
      <c r="B29" s="61" t="s">
        <v>26</v>
      </c>
      <c r="C29" s="62" t="s">
        <v>630</v>
      </c>
      <c r="D29" s="61" t="s">
        <v>626</v>
      </c>
      <c r="E29" s="61" t="s">
        <v>737</v>
      </c>
      <c r="F29" s="61" t="s">
        <v>704</v>
      </c>
      <c r="G29" s="63">
        <v>14</v>
      </c>
      <c r="H29" s="64">
        <v>509</v>
      </c>
    </row>
    <row r="30" spans="1:8" ht="19.8" customHeight="1" x14ac:dyDescent="0.3">
      <c r="A30" s="60" t="s">
        <v>224</v>
      </c>
      <c r="B30" s="61" t="s">
        <v>273</v>
      </c>
      <c r="C30" s="62" t="s">
        <v>708</v>
      </c>
      <c r="D30" s="61" t="s">
        <v>626</v>
      </c>
      <c r="E30" s="61" t="s">
        <v>749</v>
      </c>
      <c r="F30" s="61" t="s">
        <v>263</v>
      </c>
      <c r="G30" s="63">
        <v>9</v>
      </c>
      <c r="H30" s="64">
        <v>518</v>
      </c>
    </row>
    <row r="31" spans="1:8" ht="19.8" customHeight="1" x14ac:dyDescent="0.3">
      <c r="A31" s="60" t="s">
        <v>224</v>
      </c>
      <c r="B31" s="61" t="s">
        <v>36</v>
      </c>
      <c r="C31" s="62" t="s">
        <v>638</v>
      </c>
      <c r="D31" s="61" t="s">
        <v>626</v>
      </c>
      <c r="E31" s="61" t="s">
        <v>736</v>
      </c>
      <c r="F31" s="61" t="s">
        <v>38</v>
      </c>
      <c r="G31" s="63">
        <v>8</v>
      </c>
      <c r="H31" s="64">
        <v>539</v>
      </c>
    </row>
    <row r="32" spans="1:8" ht="19.8" customHeight="1" x14ac:dyDescent="0.3">
      <c r="A32" s="60" t="s">
        <v>224</v>
      </c>
      <c r="B32" s="61" t="s">
        <v>36</v>
      </c>
      <c r="C32" s="62" t="s">
        <v>641</v>
      </c>
      <c r="D32" s="61" t="s">
        <v>626</v>
      </c>
      <c r="E32" s="61" t="s">
        <v>743</v>
      </c>
      <c r="F32" s="61" t="s">
        <v>38</v>
      </c>
      <c r="G32" s="63">
        <v>9</v>
      </c>
      <c r="H32" s="64">
        <v>539</v>
      </c>
    </row>
    <row r="33" spans="1:8" ht="19.8" customHeight="1" x14ac:dyDescent="0.3">
      <c r="A33" s="60" t="s">
        <v>224</v>
      </c>
      <c r="B33" s="61" t="s">
        <v>36</v>
      </c>
      <c r="C33" s="62" t="s">
        <v>636</v>
      </c>
      <c r="D33" s="61" t="s">
        <v>626</v>
      </c>
      <c r="E33" s="61" t="s">
        <v>739</v>
      </c>
      <c r="F33" s="61" t="s">
        <v>38</v>
      </c>
      <c r="G33" s="63">
        <v>5</v>
      </c>
      <c r="H33" s="64">
        <v>539</v>
      </c>
    </row>
    <row r="34" spans="1:8" ht="19.8" customHeight="1" x14ac:dyDescent="0.3">
      <c r="A34" s="116" t="s">
        <v>224</v>
      </c>
      <c r="B34" s="73" t="s">
        <v>36</v>
      </c>
      <c r="C34" s="74" t="s">
        <v>637</v>
      </c>
      <c r="D34" s="73" t="s">
        <v>626</v>
      </c>
      <c r="E34" s="73" t="s">
        <v>740</v>
      </c>
      <c r="F34" s="73" t="s">
        <v>38</v>
      </c>
      <c r="G34" s="76">
        <v>7</v>
      </c>
      <c r="H34" s="105">
        <v>539</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N5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33203125" bestFit="1" customWidth="1"/>
  </cols>
  <sheetData>
    <row r="1" spans="1:92" ht="28.8" customHeight="1" x14ac:dyDescent="0.3">
      <c r="A1" s="257" t="s">
        <v>0</v>
      </c>
      <c r="B1" s="248"/>
      <c r="C1" s="248"/>
      <c r="D1" s="248"/>
      <c r="E1" s="248"/>
      <c r="F1" s="1" t="s">
        <v>750</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45980.430627948823</v>
      </c>
      <c r="H2" s="248"/>
      <c r="I2" s="248"/>
      <c r="J2" s="248"/>
      <c r="K2" s="259">
        <v>45980.430627949077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751</v>
      </c>
      <c r="C6" s="9">
        <v>0.30555555555555552</v>
      </c>
      <c r="D6" s="8" t="s">
        <v>28</v>
      </c>
      <c r="E6" s="8" t="s">
        <v>752</v>
      </c>
      <c r="F6" s="8" t="s">
        <v>689</v>
      </c>
      <c r="G6" s="267"/>
      <c r="H6" s="10"/>
      <c r="I6" s="11"/>
      <c r="J6" s="11"/>
      <c r="K6" s="11"/>
      <c r="L6" s="11"/>
      <c r="M6" s="11"/>
      <c r="N6" s="11"/>
      <c r="O6" s="12"/>
      <c r="P6" s="11"/>
      <c r="Q6" s="13"/>
      <c r="R6" s="14"/>
    </row>
    <row r="7" spans="1:92" ht="15" customHeight="1" x14ac:dyDescent="0.3">
      <c r="A7" s="15" t="s">
        <v>26</v>
      </c>
      <c r="B7" s="15" t="s">
        <v>751</v>
      </c>
      <c r="C7" s="16">
        <v>0.30555555555555552</v>
      </c>
      <c r="D7" s="15" t="s">
        <v>31</v>
      </c>
      <c r="E7" s="15" t="s">
        <v>753</v>
      </c>
      <c r="F7" s="15" t="s">
        <v>44</v>
      </c>
      <c r="G7" s="251"/>
      <c r="H7" s="10"/>
      <c r="I7" s="11"/>
      <c r="J7" s="11"/>
      <c r="K7" s="11"/>
      <c r="L7" s="11"/>
      <c r="M7" s="11"/>
      <c r="N7" s="11"/>
      <c r="O7" s="12"/>
      <c r="P7" s="11"/>
      <c r="Q7" s="13"/>
      <c r="R7" s="14"/>
    </row>
    <row r="8" spans="1:92" ht="15" customHeight="1" x14ac:dyDescent="0.3">
      <c r="A8" s="15" t="s">
        <v>26</v>
      </c>
      <c r="B8" s="15" t="s">
        <v>751</v>
      </c>
      <c r="C8" s="16">
        <v>0.30555555555555552</v>
      </c>
      <c r="D8" s="15" t="s">
        <v>34</v>
      </c>
      <c r="E8" s="15" t="s">
        <v>753</v>
      </c>
      <c r="F8" s="15" t="s">
        <v>260</v>
      </c>
      <c r="G8" s="251"/>
      <c r="H8" s="10"/>
      <c r="I8" s="11"/>
      <c r="J8" s="11"/>
      <c r="K8" s="11"/>
      <c r="L8" s="11"/>
      <c r="M8" s="11"/>
      <c r="N8" s="11"/>
      <c r="O8" s="12"/>
      <c r="P8" s="11"/>
      <c r="Q8" s="13"/>
      <c r="R8" s="14"/>
    </row>
    <row r="9" spans="1:92" ht="15" customHeight="1" x14ac:dyDescent="0.3">
      <c r="A9" s="17" t="s">
        <v>36</v>
      </c>
      <c r="B9" s="17" t="s">
        <v>754</v>
      </c>
      <c r="C9" s="18">
        <v>0.19791666666666671</v>
      </c>
      <c r="D9" s="17" t="s">
        <v>38</v>
      </c>
      <c r="E9" s="17" t="s">
        <v>228</v>
      </c>
      <c r="F9" s="17" t="s">
        <v>755</v>
      </c>
      <c r="G9" s="251"/>
      <c r="H9" s="10"/>
      <c r="I9" s="11"/>
      <c r="J9" s="11"/>
      <c r="K9" s="11"/>
      <c r="L9" s="11"/>
      <c r="M9" s="11"/>
      <c r="N9" s="11"/>
      <c r="O9" s="12"/>
      <c r="P9" s="11"/>
      <c r="Q9" s="13"/>
      <c r="R9" s="14"/>
    </row>
    <row r="10" spans="1:92" ht="15" customHeight="1" x14ac:dyDescent="0.3">
      <c r="A10" s="15" t="s">
        <v>36</v>
      </c>
      <c r="B10" s="15" t="s">
        <v>754</v>
      </c>
      <c r="C10" s="16">
        <v>0.19791666666666671</v>
      </c>
      <c r="D10" s="15" t="s">
        <v>41</v>
      </c>
      <c r="E10" s="15" t="s">
        <v>48</v>
      </c>
      <c r="F10" s="15" t="s">
        <v>243</v>
      </c>
      <c r="G10" s="251"/>
      <c r="H10" s="10"/>
      <c r="I10" s="11"/>
      <c r="J10" s="11"/>
      <c r="K10" s="11"/>
      <c r="L10" s="11"/>
      <c r="M10" s="11"/>
      <c r="N10" s="11"/>
      <c r="O10" s="12"/>
      <c r="P10" s="11"/>
      <c r="Q10" s="13"/>
      <c r="R10" s="14"/>
    </row>
    <row r="11" spans="1:92" ht="15" customHeight="1" x14ac:dyDescent="0.3">
      <c r="A11" s="15" t="s">
        <v>36</v>
      </c>
      <c r="B11" s="15" t="s">
        <v>754</v>
      </c>
      <c r="C11" s="16">
        <v>0.19791666666666671</v>
      </c>
      <c r="D11" s="15" t="s">
        <v>43</v>
      </c>
      <c r="E11" s="15" t="s">
        <v>48</v>
      </c>
      <c r="F11" s="15" t="s">
        <v>643</v>
      </c>
      <c r="G11" s="251"/>
      <c r="H11" s="10"/>
      <c r="I11" s="11"/>
      <c r="J11" s="11"/>
      <c r="K11" s="11"/>
      <c r="L11" s="11"/>
      <c r="M11" s="11"/>
      <c r="N11" s="11"/>
      <c r="O11" s="12"/>
      <c r="P11" s="11"/>
      <c r="Q11" s="13"/>
      <c r="R11" s="14"/>
    </row>
    <row r="12" spans="1:92" ht="15" customHeight="1" x14ac:dyDescent="0.3">
      <c r="A12" s="19" t="s">
        <v>36</v>
      </c>
      <c r="B12" s="19" t="s">
        <v>756</v>
      </c>
      <c r="C12" s="20">
        <v>0.83333333333333337</v>
      </c>
      <c r="D12" s="19" t="s">
        <v>38</v>
      </c>
      <c r="E12" s="19" t="s">
        <v>73</v>
      </c>
      <c r="F12" s="19" t="s">
        <v>246</v>
      </c>
      <c r="G12" s="251"/>
      <c r="H12" s="10"/>
      <c r="I12" s="11"/>
      <c r="J12" s="11"/>
      <c r="K12" s="11"/>
      <c r="L12" s="11"/>
      <c r="M12" s="11"/>
      <c r="N12" s="11"/>
      <c r="O12" s="12"/>
      <c r="P12" s="11"/>
      <c r="Q12" s="13"/>
      <c r="R12" s="14"/>
    </row>
    <row r="13" spans="1:92" ht="15" customHeight="1" x14ac:dyDescent="0.3">
      <c r="A13" s="15" t="s">
        <v>36</v>
      </c>
      <c r="B13" s="15" t="s">
        <v>756</v>
      </c>
      <c r="C13" s="16">
        <v>0.83333333333333337</v>
      </c>
      <c r="D13" s="15" t="s">
        <v>41</v>
      </c>
      <c r="E13" s="15" t="s">
        <v>93</v>
      </c>
      <c r="F13" s="15" t="s">
        <v>757</v>
      </c>
      <c r="G13" s="251"/>
      <c r="H13" s="10"/>
      <c r="I13" s="11"/>
      <c r="J13" s="11"/>
      <c r="K13" s="11"/>
      <c r="L13" s="11"/>
      <c r="M13" s="11"/>
      <c r="N13" s="11"/>
      <c r="O13" s="12"/>
      <c r="P13" s="11"/>
      <c r="Q13" s="13"/>
      <c r="R13" s="14"/>
    </row>
    <row r="14" spans="1:92" ht="15" customHeight="1" x14ac:dyDescent="0.3">
      <c r="A14" s="15" t="s">
        <v>36</v>
      </c>
      <c r="B14" s="15" t="s">
        <v>756</v>
      </c>
      <c r="C14" s="16">
        <v>0.83333333333333337</v>
      </c>
      <c r="D14" s="15" t="s">
        <v>43</v>
      </c>
      <c r="E14" s="15" t="s">
        <v>93</v>
      </c>
      <c r="F14" s="15" t="s">
        <v>758</v>
      </c>
      <c r="G14" s="251"/>
      <c r="H14" s="10"/>
      <c r="I14" s="11"/>
      <c r="J14" s="11"/>
      <c r="K14" s="11"/>
      <c r="L14" s="11"/>
      <c r="M14" s="11"/>
      <c r="N14" s="11"/>
      <c r="O14" s="12"/>
      <c r="P14" s="11"/>
      <c r="Q14" s="13"/>
      <c r="R14" s="14"/>
    </row>
    <row r="15" spans="1:92" ht="15" customHeight="1" x14ac:dyDescent="0.3">
      <c r="A15" s="17" t="s">
        <v>261</v>
      </c>
      <c r="B15" s="17" t="s">
        <v>759</v>
      </c>
      <c r="C15" s="18">
        <v>0.28472222222222221</v>
      </c>
      <c r="D15" s="17" t="s">
        <v>263</v>
      </c>
      <c r="E15" s="17" t="s">
        <v>354</v>
      </c>
      <c r="F15" s="17" t="s">
        <v>760</v>
      </c>
      <c r="G15" s="251"/>
      <c r="H15" s="10"/>
      <c r="I15" s="11"/>
      <c r="J15" s="11"/>
      <c r="K15" s="11"/>
      <c r="L15" s="11"/>
      <c r="M15" s="11"/>
      <c r="N15" s="11"/>
      <c r="O15" s="12"/>
      <c r="P15" s="11"/>
      <c r="Q15" s="13"/>
      <c r="R15" s="14"/>
    </row>
    <row r="16" spans="1:92" ht="15" customHeight="1" x14ac:dyDescent="0.3">
      <c r="A16" s="19" t="s">
        <v>261</v>
      </c>
      <c r="B16" s="19" t="s">
        <v>761</v>
      </c>
      <c r="C16" s="20">
        <v>0.88888888888888884</v>
      </c>
      <c r="D16" s="19" t="s">
        <v>263</v>
      </c>
      <c r="E16" s="19" t="s">
        <v>239</v>
      </c>
      <c r="F16" s="19" t="s">
        <v>762</v>
      </c>
      <c r="G16" s="251"/>
      <c r="H16" s="10"/>
      <c r="I16" s="11"/>
      <c r="J16" s="11"/>
      <c r="K16" s="11"/>
      <c r="L16" s="11"/>
      <c r="M16" s="11"/>
      <c r="N16" s="11"/>
      <c r="O16" s="12"/>
      <c r="P16" s="11"/>
      <c r="Q16" s="13"/>
      <c r="R16" s="14"/>
    </row>
    <row r="17" spans="1:18" ht="15" customHeight="1" x14ac:dyDescent="0.3">
      <c r="A17" s="17" t="s">
        <v>273</v>
      </c>
      <c r="B17" s="17" t="s">
        <v>763</v>
      </c>
      <c r="C17" s="18">
        <v>0.5625</v>
      </c>
      <c r="D17" s="17" t="s">
        <v>263</v>
      </c>
      <c r="E17" s="17" t="s">
        <v>54</v>
      </c>
      <c r="F17" s="17" t="s">
        <v>764</v>
      </c>
      <c r="G17" s="251"/>
      <c r="H17" s="10"/>
      <c r="I17" s="11"/>
      <c r="J17" s="11"/>
      <c r="K17" s="11"/>
      <c r="L17" s="11"/>
      <c r="M17" s="11"/>
      <c r="N17" s="11"/>
      <c r="O17" s="12"/>
      <c r="P17" s="11"/>
      <c r="Q17" s="13"/>
      <c r="R17" s="14"/>
    </row>
    <row r="18" spans="1:18" ht="15" customHeight="1" x14ac:dyDescent="0.3">
      <c r="A18" s="19" t="s">
        <v>273</v>
      </c>
      <c r="B18" s="19" t="s">
        <v>765</v>
      </c>
      <c r="C18" s="20">
        <v>0.95833333333333337</v>
      </c>
      <c r="D18" s="19" t="s">
        <v>263</v>
      </c>
      <c r="E18" s="19" t="s">
        <v>57</v>
      </c>
      <c r="F18" s="19" t="s">
        <v>764</v>
      </c>
      <c r="G18" s="251"/>
      <c r="H18" s="10"/>
      <c r="I18" s="11"/>
      <c r="J18" s="11"/>
      <c r="K18" s="11"/>
      <c r="L18" s="11"/>
      <c r="M18" s="11"/>
      <c r="N18" s="11"/>
      <c r="O18" s="12"/>
      <c r="P18" s="11"/>
      <c r="Q18" s="13"/>
      <c r="R18" s="14"/>
    </row>
    <row r="19" spans="1:18" ht="15" customHeight="1" x14ac:dyDescent="0.3">
      <c r="A19" s="106" t="s">
        <v>80</v>
      </c>
      <c r="B19" s="106" t="s">
        <v>766</v>
      </c>
      <c r="C19" s="107">
        <v>0.92361111111111116</v>
      </c>
      <c r="D19" s="106" t="s">
        <v>182</v>
      </c>
      <c r="E19" s="106" t="s">
        <v>276</v>
      </c>
      <c r="F19" s="106" t="s">
        <v>767</v>
      </c>
      <c r="G19" s="251"/>
      <c r="H19" s="109" t="s">
        <v>768</v>
      </c>
      <c r="I19" s="205">
        <v>0.58520000000000005</v>
      </c>
      <c r="J19" s="111">
        <v>103</v>
      </c>
      <c r="K19" s="112" t="s">
        <v>284</v>
      </c>
      <c r="L19" s="111">
        <v>23</v>
      </c>
      <c r="M19" s="111">
        <v>1</v>
      </c>
      <c r="N19" s="111">
        <v>5</v>
      </c>
      <c r="O19" s="113" t="s">
        <v>301</v>
      </c>
      <c r="P19" s="114">
        <v>0.92361111111111116</v>
      </c>
      <c r="Q19" s="111">
        <v>176</v>
      </c>
      <c r="R19" s="115" t="s">
        <v>769</v>
      </c>
    </row>
    <row r="20" spans="1:18" ht="15" customHeight="1" x14ac:dyDescent="0.3">
      <c r="A20" s="17" t="s">
        <v>64</v>
      </c>
      <c r="B20" s="17" t="s">
        <v>770</v>
      </c>
      <c r="C20" s="18">
        <v>0.30555555555555552</v>
      </c>
      <c r="D20" s="17" t="s">
        <v>68</v>
      </c>
      <c r="E20" s="17" t="s">
        <v>88</v>
      </c>
      <c r="F20" s="17" t="s">
        <v>771</v>
      </c>
      <c r="G20" s="251"/>
      <c r="H20" s="10"/>
      <c r="I20" s="11"/>
      <c r="J20" s="11"/>
      <c r="K20" s="11"/>
      <c r="L20" s="11"/>
      <c r="M20" s="11"/>
      <c r="N20" s="11"/>
      <c r="O20" s="12"/>
      <c r="P20" s="11"/>
      <c r="Q20" s="13"/>
      <c r="R20" s="14"/>
    </row>
    <row r="21" spans="1:18" ht="15" customHeight="1" x14ac:dyDescent="0.3">
      <c r="A21" s="17" t="s">
        <v>51</v>
      </c>
      <c r="B21" s="17" t="s">
        <v>772</v>
      </c>
      <c r="C21" s="18">
        <v>0.52777777777777779</v>
      </c>
      <c r="D21" s="17" t="s">
        <v>53</v>
      </c>
      <c r="E21" s="17" t="s">
        <v>54</v>
      </c>
      <c r="F21" s="17" t="s">
        <v>773</v>
      </c>
      <c r="G21" s="251"/>
      <c r="H21" s="10"/>
      <c r="I21" s="11"/>
      <c r="J21" s="11"/>
      <c r="K21" s="11"/>
      <c r="L21" s="11"/>
      <c r="M21" s="11"/>
      <c r="N21" s="11"/>
      <c r="O21" s="12"/>
      <c r="P21" s="11"/>
      <c r="Q21" s="13"/>
      <c r="R21" s="14"/>
    </row>
    <row r="22" spans="1:18" ht="15" customHeight="1" thickBot="1" x14ac:dyDescent="0.35">
      <c r="A22" s="91" t="s">
        <v>51</v>
      </c>
      <c r="B22" s="91" t="s">
        <v>774</v>
      </c>
      <c r="C22" s="92">
        <v>0.1701388888888889</v>
      </c>
      <c r="D22" s="91" t="s">
        <v>53</v>
      </c>
      <c r="E22" s="91" t="s">
        <v>57</v>
      </c>
      <c r="F22" s="91" t="s">
        <v>773</v>
      </c>
      <c r="G22" s="252"/>
      <c r="H22" s="41"/>
      <c r="I22" s="42"/>
      <c r="J22" s="42"/>
      <c r="K22" s="42"/>
      <c r="L22" s="42"/>
      <c r="M22" s="42"/>
      <c r="N22" s="42"/>
      <c r="O22" s="43"/>
      <c r="P22" s="42"/>
      <c r="Q22" s="44"/>
      <c r="R22" s="45"/>
    </row>
    <row r="23" spans="1:18" ht="17.399999999999999" customHeight="1" thickBot="1" x14ac:dyDescent="0.35">
      <c r="A23" s="282"/>
      <c r="B23" s="283"/>
      <c r="C23" s="283"/>
      <c r="D23" s="283"/>
      <c r="E23" s="283"/>
      <c r="F23" s="283"/>
      <c r="G23" s="283"/>
      <c r="H23" s="283"/>
      <c r="I23" s="283"/>
      <c r="J23" s="283"/>
      <c r="K23" s="283"/>
      <c r="L23" s="283"/>
      <c r="M23" s="283"/>
      <c r="N23" s="283"/>
      <c r="O23" s="283"/>
      <c r="P23" s="283"/>
      <c r="Q23" s="283"/>
      <c r="R23" s="284"/>
    </row>
    <row r="24" spans="1:18" ht="22.05" customHeight="1" thickTop="1" thickBot="1" x14ac:dyDescent="0.35">
      <c r="A24" s="261" t="s">
        <v>6</v>
      </c>
      <c r="B24" s="254"/>
      <c r="C24" s="254"/>
      <c r="D24" s="254"/>
      <c r="E24" s="254"/>
      <c r="F24" s="255"/>
      <c r="G24" s="31">
        <v>45982</v>
      </c>
      <c r="H24" s="253" t="s">
        <v>7</v>
      </c>
      <c r="I24" s="254"/>
      <c r="J24" s="254"/>
      <c r="K24" s="254"/>
      <c r="L24" s="254"/>
      <c r="M24" s="254"/>
      <c r="N24" s="254"/>
      <c r="O24" s="254"/>
      <c r="P24" s="254"/>
      <c r="Q24" s="254"/>
      <c r="R24" s="255"/>
    </row>
    <row r="25" spans="1:18" ht="24" customHeight="1" x14ac:dyDescent="0.3">
      <c r="A25" s="32" t="s">
        <v>8</v>
      </c>
      <c r="B25" s="32" t="s">
        <v>9</v>
      </c>
      <c r="C25" s="33" t="s">
        <v>10</v>
      </c>
      <c r="D25" s="32" t="s">
        <v>11</v>
      </c>
      <c r="E25" s="32" t="s">
        <v>12</v>
      </c>
      <c r="F25" s="34" t="s">
        <v>13</v>
      </c>
      <c r="G25" s="35" t="s">
        <v>14</v>
      </c>
      <c r="H25" s="32" t="s">
        <v>15</v>
      </c>
      <c r="I25" s="36" t="s">
        <v>16</v>
      </c>
      <c r="J25" s="37" t="s">
        <v>17</v>
      </c>
      <c r="K25" s="38" t="s">
        <v>18</v>
      </c>
      <c r="L25" s="37" t="s">
        <v>19</v>
      </c>
      <c r="M25" s="37" t="s">
        <v>20</v>
      </c>
      <c r="N25" s="37" t="s">
        <v>21</v>
      </c>
      <c r="O25" s="32" t="s">
        <v>22</v>
      </c>
      <c r="P25" s="33" t="s">
        <v>23</v>
      </c>
      <c r="Q25" s="37" t="s">
        <v>24</v>
      </c>
      <c r="R25" s="32" t="s">
        <v>25</v>
      </c>
    </row>
    <row r="26" spans="1:18" ht="15" customHeight="1" x14ac:dyDescent="0.3">
      <c r="A26" s="8" t="s">
        <v>26</v>
      </c>
      <c r="B26" s="8" t="s">
        <v>751</v>
      </c>
      <c r="C26" s="9">
        <v>0.30555555555555552</v>
      </c>
      <c r="D26" s="8" t="s">
        <v>28</v>
      </c>
      <c r="E26" s="8" t="s">
        <v>228</v>
      </c>
      <c r="F26" s="8" t="s">
        <v>259</v>
      </c>
      <c r="G26" s="250"/>
      <c r="H26" s="10"/>
      <c r="I26" s="11"/>
      <c r="J26" s="11"/>
      <c r="K26" s="11"/>
      <c r="L26" s="11"/>
      <c r="M26" s="11"/>
      <c r="N26" s="11"/>
      <c r="O26" s="12"/>
      <c r="P26" s="11"/>
      <c r="Q26" s="13"/>
      <c r="R26" s="14"/>
    </row>
    <row r="27" spans="1:18" ht="15" customHeight="1" x14ac:dyDescent="0.3">
      <c r="A27" s="15" t="s">
        <v>26</v>
      </c>
      <c r="B27" s="15" t="s">
        <v>751</v>
      </c>
      <c r="C27" s="16">
        <v>0.30555555555555552</v>
      </c>
      <c r="D27" s="15" t="s">
        <v>31</v>
      </c>
      <c r="E27" s="15" t="s">
        <v>48</v>
      </c>
      <c r="F27" s="15" t="s">
        <v>260</v>
      </c>
      <c r="G27" s="251"/>
      <c r="H27" s="10"/>
      <c r="I27" s="11"/>
      <c r="J27" s="11"/>
      <c r="K27" s="11"/>
      <c r="L27" s="11"/>
      <c r="M27" s="11"/>
      <c r="N27" s="11"/>
      <c r="O27" s="12"/>
      <c r="P27" s="11"/>
      <c r="Q27" s="13"/>
      <c r="R27" s="14"/>
    </row>
    <row r="28" spans="1:18" ht="15" customHeight="1" x14ac:dyDescent="0.3">
      <c r="A28" s="15" t="s">
        <v>26</v>
      </c>
      <c r="B28" s="15" t="s">
        <v>751</v>
      </c>
      <c r="C28" s="16">
        <v>0.30555555555555552</v>
      </c>
      <c r="D28" s="15" t="s">
        <v>34</v>
      </c>
      <c r="E28" s="15" t="s">
        <v>48</v>
      </c>
      <c r="F28" s="15" t="s">
        <v>775</v>
      </c>
      <c r="G28" s="251"/>
      <c r="H28" s="10"/>
      <c r="I28" s="11"/>
      <c r="J28" s="11"/>
      <c r="K28" s="11"/>
      <c r="L28" s="11"/>
      <c r="M28" s="11"/>
      <c r="N28" s="11"/>
      <c r="O28" s="12"/>
      <c r="P28" s="11"/>
      <c r="Q28" s="13"/>
      <c r="R28" s="14"/>
    </row>
    <row r="29" spans="1:18" ht="15" customHeight="1" x14ac:dyDescent="0.3">
      <c r="A29" s="17" t="s">
        <v>36</v>
      </c>
      <c r="B29" s="17" t="s">
        <v>756</v>
      </c>
      <c r="C29" s="18">
        <v>0.83333333333333337</v>
      </c>
      <c r="D29" s="17" t="s">
        <v>38</v>
      </c>
      <c r="E29" s="17" t="s">
        <v>228</v>
      </c>
      <c r="F29" s="17" t="s">
        <v>755</v>
      </c>
      <c r="G29" s="251"/>
      <c r="H29" s="10"/>
      <c r="I29" s="11"/>
      <c r="J29" s="11"/>
      <c r="K29" s="11"/>
      <c r="L29" s="11"/>
      <c r="M29" s="11"/>
      <c r="N29" s="11"/>
      <c r="O29" s="12"/>
      <c r="P29" s="11"/>
      <c r="Q29" s="13"/>
      <c r="R29" s="14"/>
    </row>
    <row r="30" spans="1:18" ht="15" customHeight="1" x14ac:dyDescent="0.3">
      <c r="A30" s="15" t="s">
        <v>36</v>
      </c>
      <c r="B30" s="15" t="s">
        <v>756</v>
      </c>
      <c r="C30" s="16">
        <v>0.83333333333333337</v>
      </c>
      <c r="D30" s="15" t="s">
        <v>41</v>
      </c>
      <c r="E30" s="15" t="s">
        <v>48</v>
      </c>
      <c r="F30" s="15" t="s">
        <v>243</v>
      </c>
      <c r="G30" s="251"/>
      <c r="H30" s="10"/>
      <c r="I30" s="11"/>
      <c r="J30" s="11"/>
      <c r="K30" s="11"/>
      <c r="L30" s="11"/>
      <c r="M30" s="11"/>
      <c r="N30" s="11"/>
      <c r="O30" s="12"/>
      <c r="P30" s="11"/>
      <c r="Q30" s="13"/>
      <c r="R30" s="14"/>
    </row>
    <row r="31" spans="1:18" ht="15" customHeight="1" x14ac:dyDescent="0.3">
      <c r="A31" s="15" t="s">
        <v>36</v>
      </c>
      <c r="B31" s="15" t="s">
        <v>756</v>
      </c>
      <c r="C31" s="16">
        <v>0.83333333333333337</v>
      </c>
      <c r="D31" s="15" t="s">
        <v>43</v>
      </c>
      <c r="E31" s="15" t="s">
        <v>48</v>
      </c>
      <c r="F31" s="15" t="s">
        <v>643</v>
      </c>
      <c r="G31" s="251"/>
      <c r="H31" s="10"/>
      <c r="I31" s="11"/>
      <c r="J31" s="11"/>
      <c r="K31" s="11"/>
      <c r="L31" s="11"/>
      <c r="M31" s="11"/>
      <c r="N31" s="11"/>
      <c r="O31" s="12"/>
      <c r="P31" s="11"/>
      <c r="Q31" s="13"/>
      <c r="R31" s="14"/>
    </row>
    <row r="32" spans="1:18" ht="15" customHeight="1" x14ac:dyDescent="0.3">
      <c r="A32" s="17" t="s">
        <v>261</v>
      </c>
      <c r="B32" s="17" t="s">
        <v>776</v>
      </c>
      <c r="C32" s="18">
        <v>0.21527777777777779</v>
      </c>
      <c r="D32" s="17" t="s">
        <v>263</v>
      </c>
      <c r="E32" s="17" t="s">
        <v>94</v>
      </c>
      <c r="F32" s="17" t="s">
        <v>777</v>
      </c>
      <c r="G32" s="251"/>
      <c r="H32" s="10"/>
      <c r="I32" s="11"/>
      <c r="J32" s="11"/>
      <c r="K32" s="11"/>
      <c r="L32" s="11"/>
      <c r="M32" s="11"/>
      <c r="N32" s="11"/>
      <c r="O32" s="12"/>
      <c r="P32" s="11"/>
      <c r="Q32" s="13"/>
      <c r="R32" s="14"/>
    </row>
    <row r="33" spans="1:18" ht="15" customHeight="1" x14ac:dyDescent="0.3">
      <c r="A33" s="215" t="s">
        <v>80</v>
      </c>
      <c r="B33" s="215" t="s">
        <v>766</v>
      </c>
      <c r="C33" s="216">
        <v>0.57986111111111105</v>
      </c>
      <c r="D33" s="215" t="s">
        <v>182</v>
      </c>
      <c r="E33" s="215" t="s">
        <v>276</v>
      </c>
      <c r="F33" s="215" t="s">
        <v>778</v>
      </c>
      <c r="G33" s="251"/>
      <c r="H33" s="197" t="s">
        <v>768</v>
      </c>
      <c r="I33" s="198">
        <v>0.58330000000000004</v>
      </c>
      <c r="J33" s="199">
        <v>98</v>
      </c>
      <c r="K33" s="200" t="s">
        <v>279</v>
      </c>
      <c r="L33" s="199">
        <v>14</v>
      </c>
      <c r="M33" s="199">
        <v>0</v>
      </c>
      <c r="N33" s="199">
        <v>0</v>
      </c>
      <c r="O33" s="201" t="s">
        <v>779</v>
      </c>
      <c r="P33" s="202">
        <v>0.57986111111111105</v>
      </c>
      <c r="Q33" s="199">
        <v>168</v>
      </c>
      <c r="R33" s="203" t="s">
        <v>780</v>
      </c>
    </row>
    <row r="34" spans="1:18" ht="15" customHeight="1" x14ac:dyDescent="0.3">
      <c r="A34" s="17" t="s">
        <v>64</v>
      </c>
      <c r="B34" s="17" t="s">
        <v>770</v>
      </c>
      <c r="C34" s="18">
        <v>0.30555555555555552</v>
      </c>
      <c r="D34" s="17" t="s">
        <v>68</v>
      </c>
      <c r="E34" s="17" t="s">
        <v>88</v>
      </c>
      <c r="F34" s="17" t="s">
        <v>781</v>
      </c>
      <c r="G34" s="251"/>
      <c r="H34" s="10"/>
      <c r="I34" s="11"/>
      <c r="J34" s="11"/>
      <c r="K34" s="11"/>
      <c r="L34" s="11"/>
      <c r="M34" s="11"/>
      <c r="N34" s="11"/>
      <c r="O34" s="12"/>
      <c r="P34" s="11"/>
      <c r="Q34" s="13"/>
      <c r="R34" s="14"/>
    </row>
    <row r="35" spans="1:18" ht="15" customHeight="1" x14ac:dyDescent="0.3">
      <c r="A35" s="17" t="s">
        <v>51</v>
      </c>
      <c r="B35" s="17" t="s">
        <v>782</v>
      </c>
      <c r="C35" s="18">
        <v>0.86458333333333337</v>
      </c>
      <c r="D35" s="17" t="s">
        <v>53</v>
      </c>
      <c r="E35" s="17" t="s">
        <v>276</v>
      </c>
      <c r="F35" s="17" t="s">
        <v>773</v>
      </c>
      <c r="G35" s="251"/>
      <c r="H35" s="10"/>
      <c r="I35" s="11"/>
      <c r="J35" s="11"/>
      <c r="K35" s="11"/>
      <c r="L35" s="11"/>
      <c r="M35" s="11"/>
      <c r="N35" s="11"/>
      <c r="O35" s="12"/>
      <c r="P35" s="11"/>
      <c r="Q35" s="13"/>
      <c r="R35" s="14"/>
    </row>
    <row r="36" spans="1:18" ht="15" customHeight="1" x14ac:dyDescent="0.3">
      <c r="A36" s="19" t="s">
        <v>51</v>
      </c>
      <c r="B36" s="19" t="s">
        <v>772</v>
      </c>
      <c r="C36" s="20">
        <v>0.52777777777777779</v>
      </c>
      <c r="D36" s="19" t="s">
        <v>53</v>
      </c>
      <c r="E36" s="19" t="s">
        <v>73</v>
      </c>
      <c r="F36" s="19" t="s">
        <v>773</v>
      </c>
      <c r="G36" s="251"/>
      <c r="H36" s="10"/>
      <c r="I36" s="11"/>
      <c r="J36" s="11"/>
      <c r="K36" s="11"/>
      <c r="L36" s="11"/>
      <c r="M36" s="11"/>
      <c r="N36" s="11"/>
      <c r="O36" s="12"/>
      <c r="P36" s="11"/>
      <c r="Q36" s="13"/>
      <c r="R36" s="14"/>
    </row>
    <row r="37" spans="1:18" ht="15" customHeight="1" thickBot="1" x14ac:dyDescent="0.35">
      <c r="A37" s="91" t="s">
        <v>51</v>
      </c>
      <c r="B37" s="91" t="s">
        <v>774</v>
      </c>
      <c r="C37" s="92">
        <v>0.1701388888888889</v>
      </c>
      <c r="D37" s="91" t="s">
        <v>53</v>
      </c>
      <c r="E37" s="91" t="s">
        <v>96</v>
      </c>
      <c r="F37" s="91" t="s">
        <v>773</v>
      </c>
      <c r="G37" s="252"/>
      <c r="H37" s="41"/>
      <c r="I37" s="42"/>
      <c r="J37" s="42"/>
      <c r="K37" s="42"/>
      <c r="L37" s="42"/>
      <c r="M37" s="42"/>
      <c r="N37" s="42"/>
      <c r="O37" s="43"/>
      <c r="P37" s="42"/>
      <c r="Q37" s="44"/>
      <c r="R37" s="45"/>
    </row>
    <row r="38" spans="1:18" ht="17.399999999999999" customHeight="1" thickBot="1" x14ac:dyDescent="0.35">
      <c r="A38" s="282"/>
      <c r="B38" s="283"/>
      <c r="C38" s="283"/>
      <c r="D38" s="283"/>
      <c r="E38" s="283"/>
      <c r="F38" s="283"/>
      <c r="G38" s="283"/>
      <c r="H38" s="283"/>
      <c r="I38" s="283"/>
      <c r="J38" s="283"/>
      <c r="K38" s="283"/>
      <c r="L38" s="283"/>
      <c r="M38" s="283"/>
      <c r="N38" s="283"/>
      <c r="O38" s="283"/>
      <c r="P38" s="283"/>
      <c r="Q38" s="283"/>
      <c r="R38" s="284"/>
    </row>
    <row r="39" spans="1:18" ht="22.05" customHeight="1" thickTop="1" thickBot="1" x14ac:dyDescent="0.35">
      <c r="A39" s="261" t="s">
        <v>6</v>
      </c>
      <c r="B39" s="254"/>
      <c r="C39" s="254"/>
      <c r="D39" s="254"/>
      <c r="E39" s="254"/>
      <c r="F39" s="255"/>
      <c r="G39" s="31">
        <v>45983</v>
      </c>
      <c r="H39" s="253" t="s">
        <v>7</v>
      </c>
      <c r="I39" s="254"/>
      <c r="J39" s="254"/>
      <c r="K39" s="254"/>
      <c r="L39" s="254"/>
      <c r="M39" s="254"/>
      <c r="N39" s="254"/>
      <c r="O39" s="254"/>
      <c r="P39" s="254"/>
      <c r="Q39" s="254"/>
      <c r="R39" s="255"/>
    </row>
    <row r="40" spans="1:18" ht="24" customHeight="1" x14ac:dyDescent="0.3">
      <c r="A40" s="32" t="s">
        <v>8</v>
      </c>
      <c r="B40" s="32" t="s">
        <v>9</v>
      </c>
      <c r="C40" s="33" t="s">
        <v>10</v>
      </c>
      <c r="D40" s="32" t="s">
        <v>11</v>
      </c>
      <c r="E40" s="32" t="s">
        <v>12</v>
      </c>
      <c r="F40" s="34" t="s">
        <v>13</v>
      </c>
      <c r="G40" s="35" t="s">
        <v>14</v>
      </c>
      <c r="H40" s="32" t="s">
        <v>15</v>
      </c>
      <c r="I40" s="36" t="s">
        <v>16</v>
      </c>
      <c r="J40" s="37" t="s">
        <v>17</v>
      </c>
      <c r="K40" s="38" t="s">
        <v>18</v>
      </c>
      <c r="L40" s="37" t="s">
        <v>19</v>
      </c>
      <c r="M40" s="37" t="s">
        <v>20</v>
      </c>
      <c r="N40" s="37" t="s">
        <v>21</v>
      </c>
      <c r="O40" s="32" t="s">
        <v>22</v>
      </c>
      <c r="P40" s="33" t="s">
        <v>23</v>
      </c>
      <c r="Q40" s="37" t="s">
        <v>24</v>
      </c>
      <c r="R40" s="32" t="s">
        <v>25</v>
      </c>
    </row>
    <row r="41" spans="1:18" ht="15" customHeight="1" x14ac:dyDescent="0.3">
      <c r="A41" s="8" t="s">
        <v>269</v>
      </c>
      <c r="B41" s="8" t="s">
        <v>783</v>
      </c>
      <c r="C41" s="9">
        <v>0.97222222222222221</v>
      </c>
      <c r="D41" s="8" t="s">
        <v>271</v>
      </c>
      <c r="E41" s="8" t="s">
        <v>228</v>
      </c>
      <c r="F41" s="8" t="s">
        <v>784</v>
      </c>
      <c r="G41" s="250"/>
      <c r="H41" s="10"/>
      <c r="I41" s="11"/>
      <c r="J41" s="11"/>
      <c r="K41" s="11"/>
      <c r="L41" s="11"/>
      <c r="M41" s="11"/>
      <c r="N41" s="11"/>
      <c r="O41" s="12"/>
      <c r="P41" s="11"/>
      <c r="Q41" s="13"/>
      <c r="R41" s="14"/>
    </row>
    <row r="42" spans="1:18" ht="15" customHeight="1" x14ac:dyDescent="0.3">
      <c r="A42" s="15" t="s">
        <v>269</v>
      </c>
      <c r="B42" s="15" t="s">
        <v>783</v>
      </c>
      <c r="C42" s="16">
        <v>0.97222222222222221</v>
      </c>
      <c r="D42" s="15" t="s">
        <v>34</v>
      </c>
      <c r="E42" s="15" t="s">
        <v>48</v>
      </c>
      <c r="F42" s="15" t="s">
        <v>785</v>
      </c>
      <c r="G42" s="251"/>
      <c r="H42" s="10"/>
      <c r="I42" s="11"/>
      <c r="J42" s="11"/>
      <c r="K42" s="11"/>
      <c r="L42" s="11"/>
      <c r="M42" s="11"/>
      <c r="N42" s="11"/>
      <c r="O42" s="12"/>
      <c r="P42" s="11"/>
      <c r="Q42" s="13"/>
      <c r="R42" s="14"/>
    </row>
    <row r="43" spans="1:18" ht="15" customHeight="1" x14ac:dyDescent="0.3">
      <c r="A43" s="17" t="s">
        <v>36</v>
      </c>
      <c r="B43" s="17" t="s">
        <v>756</v>
      </c>
      <c r="C43" s="18">
        <v>0.83333333333333337</v>
      </c>
      <c r="D43" s="17" t="s">
        <v>38</v>
      </c>
      <c r="E43" s="17" t="s">
        <v>183</v>
      </c>
      <c r="F43" s="17" t="s">
        <v>786</v>
      </c>
      <c r="G43" s="251"/>
      <c r="H43" s="10"/>
      <c r="I43" s="11"/>
      <c r="J43" s="11"/>
      <c r="K43" s="11"/>
      <c r="L43" s="11"/>
      <c r="M43" s="11"/>
      <c r="N43" s="11"/>
      <c r="O43" s="12"/>
      <c r="P43" s="11"/>
      <c r="Q43" s="13"/>
      <c r="R43" s="14"/>
    </row>
    <row r="44" spans="1:18" ht="15" customHeight="1" x14ac:dyDescent="0.3">
      <c r="A44" s="15" t="s">
        <v>36</v>
      </c>
      <c r="B44" s="15" t="s">
        <v>756</v>
      </c>
      <c r="C44" s="16">
        <v>0.83333333333333337</v>
      </c>
      <c r="D44" s="15" t="s">
        <v>41</v>
      </c>
      <c r="E44" s="15" t="s">
        <v>97</v>
      </c>
      <c r="F44" s="15" t="s">
        <v>711</v>
      </c>
      <c r="G44" s="251"/>
      <c r="H44" s="10"/>
      <c r="I44" s="11"/>
      <c r="J44" s="11"/>
      <c r="K44" s="11"/>
      <c r="L44" s="11"/>
      <c r="M44" s="11"/>
      <c r="N44" s="11"/>
      <c r="O44" s="12"/>
      <c r="P44" s="11"/>
      <c r="Q44" s="13"/>
      <c r="R44" s="14"/>
    </row>
    <row r="45" spans="1:18" ht="15" customHeight="1" x14ac:dyDescent="0.3">
      <c r="A45" s="15" t="s">
        <v>36</v>
      </c>
      <c r="B45" s="15" t="s">
        <v>756</v>
      </c>
      <c r="C45" s="16">
        <v>0.83333333333333337</v>
      </c>
      <c r="D45" s="15" t="s">
        <v>43</v>
      </c>
      <c r="E45" s="15" t="s">
        <v>97</v>
      </c>
      <c r="F45" s="15" t="s">
        <v>242</v>
      </c>
      <c r="G45" s="251"/>
      <c r="H45" s="10"/>
      <c r="I45" s="11"/>
      <c r="J45" s="11"/>
      <c r="K45" s="11"/>
      <c r="L45" s="11"/>
      <c r="M45" s="11"/>
      <c r="N45" s="11"/>
      <c r="O45" s="12"/>
      <c r="P45" s="11"/>
      <c r="Q45" s="13"/>
      <c r="R45" s="14"/>
    </row>
    <row r="46" spans="1:18" ht="15" customHeight="1" x14ac:dyDescent="0.3">
      <c r="A46" s="19" t="s">
        <v>36</v>
      </c>
      <c r="B46" s="19" t="s">
        <v>754</v>
      </c>
      <c r="C46" s="20">
        <v>0.19791666666666671</v>
      </c>
      <c r="D46" s="19" t="s">
        <v>38</v>
      </c>
      <c r="E46" s="19" t="s">
        <v>46</v>
      </c>
      <c r="F46" s="19" t="s">
        <v>33</v>
      </c>
      <c r="G46" s="251"/>
      <c r="H46" s="10"/>
      <c r="I46" s="11"/>
      <c r="J46" s="11"/>
      <c r="K46" s="11"/>
      <c r="L46" s="11"/>
      <c r="M46" s="11"/>
      <c r="N46" s="11"/>
      <c r="O46" s="12"/>
      <c r="P46" s="11"/>
      <c r="Q46" s="13"/>
      <c r="R46" s="14"/>
    </row>
    <row r="47" spans="1:18" ht="15" customHeight="1" x14ac:dyDescent="0.3">
      <c r="A47" s="15" t="s">
        <v>36</v>
      </c>
      <c r="B47" s="15" t="s">
        <v>754</v>
      </c>
      <c r="C47" s="16">
        <v>0.19791666666666671</v>
      </c>
      <c r="D47" s="15" t="s">
        <v>41</v>
      </c>
      <c r="E47" s="15" t="s">
        <v>48</v>
      </c>
      <c r="F47" s="15" t="s">
        <v>755</v>
      </c>
      <c r="G47" s="251"/>
      <c r="H47" s="10"/>
      <c r="I47" s="11"/>
      <c r="J47" s="11"/>
      <c r="K47" s="11"/>
      <c r="L47" s="11"/>
      <c r="M47" s="11"/>
      <c r="N47" s="11"/>
      <c r="O47" s="12"/>
      <c r="P47" s="11"/>
      <c r="Q47" s="13"/>
      <c r="R47" s="14"/>
    </row>
    <row r="48" spans="1:18" ht="15" customHeight="1" x14ac:dyDescent="0.3">
      <c r="A48" s="15" t="s">
        <v>36</v>
      </c>
      <c r="B48" s="15" t="s">
        <v>754</v>
      </c>
      <c r="C48" s="16">
        <v>0.19791666666666671</v>
      </c>
      <c r="D48" s="15" t="s">
        <v>43</v>
      </c>
      <c r="E48" s="15" t="s">
        <v>48</v>
      </c>
      <c r="F48" s="15" t="s">
        <v>260</v>
      </c>
      <c r="G48" s="251"/>
      <c r="H48" s="10"/>
      <c r="I48" s="11"/>
      <c r="J48" s="11"/>
      <c r="K48" s="11"/>
      <c r="L48" s="11"/>
      <c r="M48" s="11"/>
      <c r="N48" s="11"/>
      <c r="O48" s="12"/>
      <c r="P48" s="11"/>
      <c r="Q48" s="13"/>
      <c r="R48" s="14"/>
    </row>
    <row r="49" spans="1:18" ht="15" customHeight="1" x14ac:dyDescent="0.3">
      <c r="A49" s="17" t="s">
        <v>273</v>
      </c>
      <c r="B49" s="17" t="s">
        <v>765</v>
      </c>
      <c r="C49" s="18">
        <v>0.89583333333333337</v>
      </c>
      <c r="D49" s="17" t="s">
        <v>263</v>
      </c>
      <c r="E49" s="17" t="s">
        <v>54</v>
      </c>
      <c r="F49" s="17" t="s">
        <v>786</v>
      </c>
      <c r="G49" s="251"/>
      <c r="H49" s="10"/>
      <c r="I49" s="11"/>
      <c r="J49" s="11"/>
      <c r="K49" s="11"/>
      <c r="L49" s="11"/>
      <c r="M49" s="11"/>
      <c r="N49" s="11"/>
      <c r="O49" s="12"/>
      <c r="P49" s="11"/>
      <c r="Q49" s="13"/>
      <c r="R49" s="14"/>
    </row>
    <row r="50" spans="1:18" ht="15" customHeight="1" x14ac:dyDescent="0.3">
      <c r="A50" s="19" t="s">
        <v>273</v>
      </c>
      <c r="B50" s="19" t="s">
        <v>787</v>
      </c>
      <c r="C50" s="20">
        <v>6.9444444444444441E-3</v>
      </c>
      <c r="D50" s="19" t="s">
        <v>263</v>
      </c>
      <c r="E50" s="19" t="s">
        <v>57</v>
      </c>
      <c r="F50" s="19" t="s">
        <v>786</v>
      </c>
      <c r="G50" s="251"/>
      <c r="H50" s="10"/>
      <c r="I50" s="11"/>
      <c r="J50" s="11"/>
      <c r="K50" s="11"/>
      <c r="L50" s="11"/>
      <c r="M50" s="11"/>
      <c r="N50" s="11"/>
      <c r="O50" s="12"/>
      <c r="P50" s="11"/>
      <c r="Q50" s="13"/>
      <c r="R50" s="14"/>
    </row>
    <row r="51" spans="1:18" ht="15" customHeight="1" x14ac:dyDescent="0.3">
      <c r="A51" s="17" t="s">
        <v>26</v>
      </c>
      <c r="B51" s="17" t="s">
        <v>751</v>
      </c>
      <c r="C51" s="18">
        <v>0.30555555555555552</v>
      </c>
      <c r="D51" s="17" t="s">
        <v>28</v>
      </c>
      <c r="E51" s="17" t="s">
        <v>354</v>
      </c>
      <c r="F51" s="17" t="s">
        <v>689</v>
      </c>
      <c r="G51" s="251"/>
      <c r="H51" s="10"/>
      <c r="I51" s="11"/>
      <c r="J51" s="11"/>
      <c r="K51" s="11"/>
      <c r="L51" s="11"/>
      <c r="M51" s="11"/>
      <c r="N51" s="11"/>
      <c r="O51" s="12"/>
      <c r="P51" s="11"/>
      <c r="Q51" s="13"/>
      <c r="R51" s="14"/>
    </row>
    <row r="52" spans="1:18" ht="15" customHeight="1" x14ac:dyDescent="0.3">
      <c r="A52" s="15" t="s">
        <v>26</v>
      </c>
      <c r="B52" s="15" t="s">
        <v>751</v>
      </c>
      <c r="C52" s="16">
        <v>0.30555555555555552</v>
      </c>
      <c r="D52" s="15" t="s">
        <v>31</v>
      </c>
      <c r="E52" s="15" t="s">
        <v>241</v>
      </c>
      <c r="F52" s="15" t="s">
        <v>44</v>
      </c>
      <c r="G52" s="251"/>
      <c r="H52" s="10"/>
      <c r="I52" s="11"/>
      <c r="J52" s="11"/>
      <c r="K52" s="11"/>
      <c r="L52" s="11"/>
      <c r="M52" s="11"/>
      <c r="N52" s="11"/>
      <c r="O52" s="12"/>
      <c r="P52" s="11"/>
      <c r="Q52" s="13"/>
      <c r="R52" s="14"/>
    </row>
    <row r="53" spans="1:18" ht="15" customHeight="1" x14ac:dyDescent="0.3">
      <c r="A53" s="15" t="s">
        <v>26</v>
      </c>
      <c r="B53" s="15" t="s">
        <v>751</v>
      </c>
      <c r="C53" s="16">
        <v>0.30555555555555552</v>
      </c>
      <c r="D53" s="15" t="s">
        <v>34</v>
      </c>
      <c r="E53" s="15" t="s">
        <v>241</v>
      </c>
      <c r="F53" s="15" t="s">
        <v>260</v>
      </c>
      <c r="G53" s="251"/>
      <c r="H53" s="10"/>
      <c r="I53" s="11"/>
      <c r="J53" s="11"/>
      <c r="K53" s="11"/>
      <c r="L53" s="11"/>
      <c r="M53" s="11"/>
      <c r="N53" s="11"/>
      <c r="O53" s="12"/>
      <c r="P53" s="11"/>
      <c r="Q53" s="13"/>
      <c r="R53" s="14"/>
    </row>
    <row r="54" spans="1:18" ht="15" customHeight="1" x14ac:dyDescent="0.3">
      <c r="A54" s="17" t="s">
        <v>261</v>
      </c>
      <c r="B54" s="17" t="s">
        <v>761</v>
      </c>
      <c r="C54" s="18">
        <v>0.1736111111111111</v>
      </c>
      <c r="D54" s="17" t="s">
        <v>263</v>
      </c>
      <c r="E54" s="17" t="s">
        <v>88</v>
      </c>
      <c r="F54" s="17" t="s">
        <v>788</v>
      </c>
      <c r="G54" s="251"/>
      <c r="H54" s="10"/>
      <c r="I54" s="11"/>
      <c r="J54" s="11"/>
      <c r="K54" s="11"/>
      <c r="L54" s="11"/>
      <c r="M54" s="11"/>
      <c r="N54" s="11"/>
      <c r="O54" s="12"/>
      <c r="P54" s="11"/>
      <c r="Q54" s="13"/>
      <c r="R54" s="14"/>
    </row>
    <row r="55" spans="1:18" ht="15" customHeight="1" x14ac:dyDescent="0.3">
      <c r="A55" s="188" t="s">
        <v>80</v>
      </c>
      <c r="B55" s="188" t="s">
        <v>766</v>
      </c>
      <c r="C55" s="189">
        <v>0.92361111111111116</v>
      </c>
      <c r="D55" s="188" t="s">
        <v>182</v>
      </c>
      <c r="E55" s="188" t="s">
        <v>104</v>
      </c>
      <c r="F55" s="188" t="s">
        <v>789</v>
      </c>
      <c r="G55" s="251"/>
      <c r="H55" s="160" t="s">
        <v>768</v>
      </c>
      <c r="I55" s="161">
        <v>0.48809999999999998</v>
      </c>
      <c r="J55" s="162">
        <v>82</v>
      </c>
      <c r="K55" s="163" t="s">
        <v>279</v>
      </c>
      <c r="L55" s="162">
        <v>7</v>
      </c>
      <c r="M55" s="162">
        <v>0</v>
      </c>
      <c r="N55" s="162">
        <v>0</v>
      </c>
      <c r="O55" s="164" t="s">
        <v>599</v>
      </c>
      <c r="P55" s="165">
        <v>0.92361111111111116</v>
      </c>
      <c r="Q55" s="162">
        <v>168</v>
      </c>
      <c r="R55" s="166" t="s">
        <v>790</v>
      </c>
    </row>
    <row r="56" spans="1:18" ht="15" customHeight="1" x14ac:dyDescent="0.3">
      <c r="A56" s="17" t="s">
        <v>51</v>
      </c>
      <c r="B56" s="17" t="s">
        <v>782</v>
      </c>
      <c r="C56" s="18">
        <v>0.86458333333333337</v>
      </c>
      <c r="D56" s="17" t="s">
        <v>53</v>
      </c>
      <c r="E56" s="17" t="s">
        <v>54</v>
      </c>
      <c r="F56" s="17" t="s">
        <v>791</v>
      </c>
      <c r="G56" s="251"/>
      <c r="H56" s="10"/>
      <c r="I56" s="11"/>
      <c r="J56" s="11"/>
      <c r="K56" s="11"/>
      <c r="L56" s="11"/>
      <c r="M56" s="11"/>
      <c r="N56" s="11"/>
      <c r="O56" s="12"/>
      <c r="P56" s="11"/>
      <c r="Q56" s="13"/>
      <c r="R56" s="14"/>
    </row>
    <row r="57" spans="1:18" ht="15" customHeight="1" x14ac:dyDescent="0.3">
      <c r="A57" s="19" t="s">
        <v>51</v>
      </c>
      <c r="B57" s="19" t="s">
        <v>774</v>
      </c>
      <c r="C57" s="20">
        <v>0.1701388888888889</v>
      </c>
      <c r="D57" s="19" t="s">
        <v>53</v>
      </c>
      <c r="E57" s="19" t="s">
        <v>89</v>
      </c>
      <c r="F57" s="19" t="s">
        <v>791</v>
      </c>
      <c r="G57" s="251"/>
      <c r="H57" s="10"/>
      <c r="I57" s="11"/>
      <c r="J57" s="11"/>
      <c r="K57" s="11"/>
      <c r="L57" s="11"/>
      <c r="M57" s="11"/>
      <c r="N57" s="11"/>
      <c r="O57" s="12"/>
      <c r="P57" s="11"/>
      <c r="Q57" s="13"/>
      <c r="R57" s="14"/>
    </row>
    <row r="58" spans="1:18" ht="15" customHeight="1" x14ac:dyDescent="0.3">
      <c r="A58" s="217" t="s">
        <v>64</v>
      </c>
      <c r="B58" s="217" t="s">
        <v>770</v>
      </c>
      <c r="C58" s="218">
        <v>0.30555555555555552</v>
      </c>
      <c r="D58" s="217" t="s">
        <v>68</v>
      </c>
      <c r="E58" s="217" t="s">
        <v>88</v>
      </c>
      <c r="F58" s="217" t="s">
        <v>771</v>
      </c>
      <c r="G58" s="252"/>
      <c r="H58" s="41"/>
      <c r="I58" s="42"/>
      <c r="J58" s="42"/>
      <c r="K58" s="42"/>
      <c r="L58" s="42"/>
      <c r="M58" s="42"/>
      <c r="N58" s="42"/>
      <c r="O58" s="43"/>
      <c r="P58" s="42"/>
      <c r="Q58" s="44"/>
      <c r="R58" s="45"/>
    </row>
  </sheetData>
  <mergeCells count="18">
    <mergeCell ref="G41:G58"/>
    <mergeCell ref="A39:F39"/>
    <mergeCell ref="H4:R4"/>
    <mergeCell ref="G6:G22"/>
    <mergeCell ref="N1:R1"/>
    <mergeCell ref="H1:L1"/>
    <mergeCell ref="A1:E1"/>
    <mergeCell ref="G2:J2"/>
    <mergeCell ref="K2:R2"/>
    <mergeCell ref="A4:F4"/>
    <mergeCell ref="A24:F24"/>
    <mergeCell ref="A2:F2"/>
    <mergeCell ref="A3:R3"/>
    <mergeCell ref="H39:R39"/>
    <mergeCell ref="A38:R38"/>
    <mergeCell ref="G26:G37"/>
    <mergeCell ref="H24:R24"/>
    <mergeCell ref="A23:R23"/>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5"/>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9.218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1" width="3.88671875" style="269" bestFit="1" customWidth="1"/>
    <col min="22" max="22" width="4.21875" style="269" bestFit="1" customWidth="1"/>
    <col min="23" max="23" width="4.33203125" style="269" bestFit="1" customWidth="1"/>
    <col min="24" max="24" width="4.109375" style="269" bestFit="1" customWidth="1"/>
    <col min="25" max="25" width="4.44140625" style="269" bestFit="1" customWidth="1"/>
    <col min="26" max="26" width="4.109375" style="269" bestFit="1" customWidth="1"/>
    <col min="27" max="27" width="5" style="269" bestFit="1" customWidth="1"/>
    <col min="28"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768</v>
      </c>
      <c r="D2" s="273" t="s">
        <v>728</v>
      </c>
      <c r="E2" s="272" t="s">
        <v>750</v>
      </c>
      <c r="F2" s="272" t="s">
        <v>140</v>
      </c>
      <c r="G2" s="274">
        <v>0.58520000000000005</v>
      </c>
      <c r="H2" s="275">
        <v>176</v>
      </c>
      <c r="I2" s="275">
        <v>103</v>
      </c>
      <c r="J2" s="275">
        <v>0</v>
      </c>
      <c r="K2" s="272" t="s">
        <v>141</v>
      </c>
      <c r="L2" s="276" t="s">
        <v>284</v>
      </c>
      <c r="M2" s="275">
        <v>1</v>
      </c>
      <c r="N2" s="275">
        <v>5</v>
      </c>
      <c r="O2" s="275">
        <v>23</v>
      </c>
      <c r="P2" s="272" t="s">
        <v>301</v>
      </c>
      <c r="Q2" s="268"/>
      <c r="R2" s="268"/>
      <c r="S2" s="268"/>
      <c r="T2" s="268"/>
      <c r="U2" s="268"/>
      <c r="V2" s="275" t="s">
        <v>195</v>
      </c>
      <c r="W2" s="275" t="s">
        <v>792</v>
      </c>
      <c r="X2" s="275" t="s">
        <v>385</v>
      </c>
      <c r="Y2" s="275" t="s">
        <v>793</v>
      </c>
      <c r="Z2" s="275" t="s">
        <v>416</v>
      </c>
      <c r="AA2" s="275" t="s">
        <v>608</v>
      </c>
      <c r="AB2" s="268"/>
      <c r="AC2" s="275" t="s">
        <v>200</v>
      </c>
      <c r="AD2" s="275" t="s">
        <v>395</v>
      </c>
      <c r="AE2" s="275" t="s">
        <v>444</v>
      </c>
      <c r="AF2" s="268"/>
      <c r="AG2" s="268"/>
      <c r="AH2" s="268"/>
      <c r="AI2" s="268"/>
      <c r="AJ2" s="268"/>
    </row>
    <row r="3" spans="1:36" x14ac:dyDescent="0.3">
      <c r="A3" s="270" t="s">
        <v>435</v>
      </c>
      <c r="B3" s="271">
        <v>45982</v>
      </c>
      <c r="C3" s="272" t="s">
        <v>768</v>
      </c>
      <c r="D3" s="273" t="s">
        <v>794</v>
      </c>
      <c r="E3" s="272" t="s">
        <v>750</v>
      </c>
      <c r="F3" s="272" t="s">
        <v>140</v>
      </c>
      <c r="G3" s="274">
        <v>0.58330000000000004</v>
      </c>
      <c r="H3" s="275">
        <v>168</v>
      </c>
      <c r="I3" s="275">
        <v>98</v>
      </c>
      <c r="J3" s="275">
        <v>0</v>
      </c>
      <c r="K3" s="272" t="s">
        <v>141</v>
      </c>
      <c r="L3" s="276" t="s">
        <v>279</v>
      </c>
      <c r="M3" s="275">
        <v>0</v>
      </c>
      <c r="N3" s="275">
        <v>0</v>
      </c>
      <c r="O3" s="275">
        <v>14</v>
      </c>
      <c r="P3" s="272" t="s">
        <v>779</v>
      </c>
      <c r="Q3" s="268"/>
      <c r="R3" s="268"/>
      <c r="S3" s="268"/>
      <c r="T3" s="268"/>
      <c r="U3" s="275" t="s">
        <v>795</v>
      </c>
      <c r="V3" s="275" t="s">
        <v>796</v>
      </c>
      <c r="W3" s="275" t="s">
        <v>797</v>
      </c>
      <c r="X3" s="275" t="s">
        <v>798</v>
      </c>
      <c r="Y3" s="275" t="s">
        <v>799</v>
      </c>
      <c r="Z3" s="275" t="s">
        <v>416</v>
      </c>
      <c r="AA3" s="275" t="s">
        <v>608</v>
      </c>
      <c r="AB3" s="268"/>
      <c r="AC3" s="268"/>
      <c r="AD3" s="268"/>
      <c r="AE3" s="275" t="s">
        <v>800</v>
      </c>
      <c r="AF3" s="268"/>
      <c r="AG3" s="268"/>
      <c r="AH3" s="268"/>
      <c r="AI3" s="268"/>
      <c r="AJ3" s="268"/>
    </row>
    <row r="4" spans="1:36" x14ac:dyDescent="0.3">
      <c r="A4" s="270" t="s">
        <v>154</v>
      </c>
      <c r="B4" s="271">
        <v>45983</v>
      </c>
      <c r="C4" s="272" t="s">
        <v>768</v>
      </c>
      <c r="D4" s="273" t="s">
        <v>728</v>
      </c>
      <c r="E4" s="272" t="s">
        <v>750</v>
      </c>
      <c r="F4" s="272" t="s">
        <v>140</v>
      </c>
      <c r="G4" s="274">
        <v>0.48809999999999998</v>
      </c>
      <c r="H4" s="275">
        <v>168</v>
      </c>
      <c r="I4" s="275">
        <v>82</v>
      </c>
      <c r="J4" s="275">
        <v>0</v>
      </c>
      <c r="K4" s="272" t="s">
        <v>141</v>
      </c>
      <c r="L4" s="276" t="s">
        <v>279</v>
      </c>
      <c r="M4" s="275">
        <v>0</v>
      </c>
      <c r="N4" s="275">
        <v>0</v>
      </c>
      <c r="O4" s="275">
        <v>7</v>
      </c>
      <c r="P4" s="272" t="s">
        <v>599</v>
      </c>
      <c r="Q4" s="268"/>
      <c r="R4" s="268"/>
      <c r="S4" s="268"/>
      <c r="T4" s="268"/>
      <c r="U4" s="268"/>
      <c r="V4" s="268"/>
      <c r="W4" s="268"/>
      <c r="X4" s="268"/>
      <c r="Y4" s="275" t="s">
        <v>458</v>
      </c>
      <c r="Z4" s="275" t="s">
        <v>729</v>
      </c>
      <c r="AA4" s="275" t="s">
        <v>801</v>
      </c>
      <c r="AB4" s="268"/>
      <c r="AC4" s="275" t="s">
        <v>148</v>
      </c>
      <c r="AD4" s="275" t="s">
        <v>149</v>
      </c>
      <c r="AE4" s="275" t="s">
        <v>802</v>
      </c>
      <c r="AF4" s="275" t="s">
        <v>803</v>
      </c>
      <c r="AG4" s="268"/>
      <c r="AH4" s="268"/>
      <c r="AI4" s="268"/>
      <c r="AJ4" s="268"/>
    </row>
    <row r="5" spans="1:36" ht="21" x14ac:dyDescent="0.3">
      <c r="A5" s="277" t="s">
        <v>913</v>
      </c>
      <c r="B5" s="278"/>
      <c r="C5" s="277">
        <f>SUBTOTAL(103,DMM_CAI_LF_LEGACY[Flt])</f>
        <v>3</v>
      </c>
      <c r="D5" s="277"/>
      <c r="E5" s="277">
        <f>SUBTOTAL(103,DMM_CAI_LF_LEGACY[Brd-Off])</f>
        <v>3</v>
      </c>
      <c r="F5" s="277"/>
      <c r="G5" s="279">
        <f>SUBTOTAL(101,DMM_CAI_LF_LEGACY[LF%])</f>
        <v>0.55220000000000002</v>
      </c>
      <c r="H5" s="280">
        <f>SUBTOTAL(109,DMM_CAI_LF_LEGACY[CAP])</f>
        <v>512</v>
      </c>
      <c r="I5" s="280">
        <f>SUBTOTAL(109,DMM_CAI_LF_LEGACY[BKG(Y)])</f>
        <v>283</v>
      </c>
      <c r="J5" s="280">
        <f>SUBTOTAL(109,DMM_CAI_LF_LEGACY[GRP(Y)])</f>
        <v>0</v>
      </c>
      <c r="K5" s="277"/>
      <c r="L5" s="278"/>
      <c r="M5" s="280">
        <f>SUBTOTAL(109,DMM_CAI_LF_LEGACY[TO-DAY])</f>
        <v>1</v>
      </c>
      <c r="N5" s="280">
        <f>SUBTOTAL(109,DMM_CAI_LF_LEGACY[Y-DAY])</f>
        <v>5</v>
      </c>
      <c r="O5" s="280">
        <f>SUBTOTAL(109,DMM_CAI_LF_LEGACY[WEEKLY])</f>
        <v>44</v>
      </c>
      <c r="P5" s="281"/>
      <c r="Q5" s="280">
        <f>SUBTOTAL(109,DMM_CAI_LF_LEGACY[Y])</f>
        <v>0</v>
      </c>
      <c r="R5" s="280">
        <f>SUBTOTAL(109,DMM_CAI_LF_LEGACY[B])</f>
        <v>0</v>
      </c>
      <c r="S5" s="280">
        <f>SUBTOTAL(109,DMM_CAI_LF_LEGACY[M])</f>
        <v>0</v>
      </c>
      <c r="T5" s="280">
        <f>SUBTOTAL(109,DMM_CAI_LF_LEGACY[H])</f>
        <v>0</v>
      </c>
      <c r="U5" s="280">
        <f>SUBTOTAL(109,DMM_CAI_LF_LEGACY[Q])</f>
        <v>0</v>
      </c>
      <c r="V5" s="280">
        <f>SUBTOTAL(109,DMM_CAI_LF_LEGACY[K])</f>
        <v>0</v>
      </c>
      <c r="W5" s="280">
        <f>SUBTOTAL(109,DMM_CAI_LF_LEGACY[V])</f>
        <v>0</v>
      </c>
      <c r="X5" s="280">
        <f>SUBTOTAL(109,DMM_CAI_LF_LEGACY[L])</f>
        <v>0</v>
      </c>
      <c r="Y5" s="280">
        <f>SUBTOTAL(109,DMM_CAI_LF_LEGACY[G])</f>
        <v>0</v>
      </c>
      <c r="Z5" s="280">
        <f>SUBTOTAL(109,DMM_CAI_LF_LEGACY[S])</f>
        <v>0</v>
      </c>
      <c r="AA5" s="280">
        <f>SUBTOTAL(109,DMM_CAI_LF_LEGACY[W])</f>
        <v>0</v>
      </c>
      <c r="AB5" s="280">
        <f>SUBTOTAL(109,DMM_CAI_LF_LEGACY[T])</f>
        <v>0</v>
      </c>
      <c r="AC5" s="280">
        <f>SUBTOTAL(109,DMM_CAI_LF_LEGACY[X])</f>
        <v>0</v>
      </c>
      <c r="AD5" s="280">
        <f>SUBTOTAL(109,DMM_CAI_LF_LEGACY[U])</f>
        <v>0</v>
      </c>
      <c r="AE5" s="280">
        <f>SUBTOTAL(109,DMM_CAI_LF_LEGACY[O])</f>
        <v>0</v>
      </c>
      <c r="AF5" s="280">
        <f>SUBTOTAL(109,DMM_CAI_LF_LEGACY[I])</f>
        <v>0</v>
      </c>
      <c r="AG5" s="280">
        <f>SUBTOTAL(109,DMM_CAI_LF_LEGACY[E])</f>
        <v>0</v>
      </c>
      <c r="AH5" s="280">
        <f>SUBTOTAL(109,DMM_CAI_LF_LEGACY[A])</f>
        <v>0</v>
      </c>
      <c r="AI5" s="280">
        <f>SUBTOTAL(109,DMM_CAI_LF_LEGACY[P])</f>
        <v>0</v>
      </c>
      <c r="AJ5" s="280">
        <f>SUBTOTAL(103,DMM_CAI_LF_LEGACY[N])</f>
        <v>0</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4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9.8867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26</v>
      </c>
      <c r="C2" s="62" t="s">
        <v>751</v>
      </c>
      <c r="D2" s="61" t="s">
        <v>750</v>
      </c>
      <c r="E2" s="61" t="s">
        <v>739</v>
      </c>
      <c r="F2" s="61" t="s">
        <v>28</v>
      </c>
      <c r="G2" s="63">
        <v>10</v>
      </c>
      <c r="H2" s="64">
        <v>649</v>
      </c>
    </row>
    <row r="3" spans="1:8" ht="19.8" customHeight="1" x14ac:dyDescent="0.3">
      <c r="A3" s="60" t="s">
        <v>166</v>
      </c>
      <c r="B3" s="61" t="s">
        <v>26</v>
      </c>
      <c r="C3" s="62" t="s">
        <v>751</v>
      </c>
      <c r="D3" s="61" t="s">
        <v>750</v>
      </c>
      <c r="E3" s="61" t="s">
        <v>739</v>
      </c>
      <c r="F3" s="61" t="s">
        <v>31</v>
      </c>
      <c r="G3" s="63">
        <v>10</v>
      </c>
      <c r="H3" s="64">
        <v>799</v>
      </c>
    </row>
    <row r="4" spans="1:8" ht="19.8" customHeight="1" x14ac:dyDescent="0.3">
      <c r="A4" s="60" t="s">
        <v>166</v>
      </c>
      <c r="B4" s="61" t="s">
        <v>36</v>
      </c>
      <c r="C4" s="62" t="s">
        <v>754</v>
      </c>
      <c r="D4" s="61" t="s">
        <v>750</v>
      </c>
      <c r="E4" s="61" t="s">
        <v>804</v>
      </c>
      <c r="F4" s="61" t="s">
        <v>38</v>
      </c>
      <c r="G4" s="63">
        <v>9</v>
      </c>
      <c r="H4" s="64">
        <v>809</v>
      </c>
    </row>
    <row r="5" spans="1:8" ht="19.8" customHeight="1" x14ac:dyDescent="0.3">
      <c r="A5" s="60" t="s">
        <v>166</v>
      </c>
      <c r="B5" s="61" t="s">
        <v>26</v>
      </c>
      <c r="C5" s="62" t="s">
        <v>751</v>
      </c>
      <c r="D5" s="61" t="s">
        <v>750</v>
      </c>
      <c r="E5" s="61" t="s">
        <v>739</v>
      </c>
      <c r="F5" s="61" t="s">
        <v>34</v>
      </c>
      <c r="G5" s="63">
        <v>10</v>
      </c>
      <c r="H5" s="64">
        <v>899</v>
      </c>
    </row>
    <row r="6" spans="1:8" ht="19.8" customHeight="1" x14ac:dyDescent="0.3">
      <c r="A6" s="60" t="s">
        <v>166</v>
      </c>
      <c r="B6" s="61" t="s">
        <v>36</v>
      </c>
      <c r="C6" s="62" t="s">
        <v>754</v>
      </c>
      <c r="D6" s="61" t="s">
        <v>750</v>
      </c>
      <c r="E6" s="61" t="s">
        <v>804</v>
      </c>
      <c r="F6" s="61" t="s">
        <v>41</v>
      </c>
      <c r="G6" s="63">
        <v>9</v>
      </c>
      <c r="H6" s="64">
        <v>909</v>
      </c>
    </row>
    <row r="7" spans="1:8" ht="19.8" customHeight="1" x14ac:dyDescent="0.3">
      <c r="A7" s="60" t="s">
        <v>166</v>
      </c>
      <c r="B7" s="61" t="s">
        <v>261</v>
      </c>
      <c r="C7" s="62" t="s">
        <v>759</v>
      </c>
      <c r="D7" s="61" t="s">
        <v>750</v>
      </c>
      <c r="E7" s="61" t="s">
        <v>805</v>
      </c>
      <c r="F7" s="61" t="s">
        <v>263</v>
      </c>
      <c r="G7" s="63">
        <v>5</v>
      </c>
      <c r="H7" s="64">
        <v>916</v>
      </c>
    </row>
    <row r="8" spans="1:8" ht="19.8" customHeight="1" x14ac:dyDescent="0.3">
      <c r="A8" s="60" t="s">
        <v>166</v>
      </c>
      <c r="B8" s="61" t="s">
        <v>36</v>
      </c>
      <c r="C8" s="62" t="s">
        <v>756</v>
      </c>
      <c r="D8" s="61" t="s">
        <v>750</v>
      </c>
      <c r="E8" s="61" t="s">
        <v>806</v>
      </c>
      <c r="F8" s="61" t="s">
        <v>38</v>
      </c>
      <c r="G8" s="63">
        <v>4</v>
      </c>
      <c r="H8" s="64">
        <v>929</v>
      </c>
    </row>
    <row r="9" spans="1:8" ht="19.8" customHeight="1" x14ac:dyDescent="0.3">
      <c r="A9" s="60" t="s">
        <v>166</v>
      </c>
      <c r="B9" s="61" t="s">
        <v>36</v>
      </c>
      <c r="C9" s="62" t="s">
        <v>754</v>
      </c>
      <c r="D9" s="61" t="s">
        <v>750</v>
      </c>
      <c r="E9" s="61" t="s">
        <v>804</v>
      </c>
      <c r="F9" s="61" t="s">
        <v>43</v>
      </c>
      <c r="G9" s="63">
        <v>9</v>
      </c>
      <c r="H9" s="64">
        <v>999</v>
      </c>
    </row>
    <row r="10" spans="1:8" ht="19.8" customHeight="1" x14ac:dyDescent="0.3">
      <c r="A10" s="60" t="s">
        <v>166</v>
      </c>
      <c r="B10" s="61" t="s">
        <v>273</v>
      </c>
      <c r="C10" s="62" t="s">
        <v>763</v>
      </c>
      <c r="D10" s="61" t="s">
        <v>750</v>
      </c>
      <c r="E10" s="61" t="s">
        <v>807</v>
      </c>
      <c r="F10" s="61" t="s">
        <v>263</v>
      </c>
      <c r="G10" s="63">
        <v>9</v>
      </c>
      <c r="H10" s="65" t="s">
        <v>764</v>
      </c>
    </row>
    <row r="11" spans="1:8" ht="19.8" customHeight="1" x14ac:dyDescent="0.3">
      <c r="A11" s="60" t="s">
        <v>166</v>
      </c>
      <c r="B11" s="61" t="s">
        <v>273</v>
      </c>
      <c r="C11" s="62" t="s">
        <v>765</v>
      </c>
      <c r="D11" s="61" t="s">
        <v>750</v>
      </c>
      <c r="E11" s="61" t="s">
        <v>808</v>
      </c>
      <c r="F11" s="61" t="s">
        <v>263</v>
      </c>
      <c r="G11" s="63">
        <v>9</v>
      </c>
      <c r="H11" s="65" t="s">
        <v>764</v>
      </c>
    </row>
    <row r="12" spans="1:8" ht="19.8" customHeight="1" x14ac:dyDescent="0.3">
      <c r="A12" s="60" t="s">
        <v>166</v>
      </c>
      <c r="B12" s="61" t="s">
        <v>261</v>
      </c>
      <c r="C12" s="62" t="s">
        <v>761</v>
      </c>
      <c r="D12" s="61" t="s">
        <v>750</v>
      </c>
      <c r="E12" s="61" t="s">
        <v>486</v>
      </c>
      <c r="F12" s="61" t="s">
        <v>263</v>
      </c>
      <c r="G12" s="63">
        <v>5</v>
      </c>
      <c r="H12" s="65" t="s">
        <v>762</v>
      </c>
    </row>
    <row r="13" spans="1:8" ht="19.8" customHeight="1" x14ac:dyDescent="0.3">
      <c r="A13" s="60" t="s">
        <v>166</v>
      </c>
      <c r="B13" s="61" t="s">
        <v>36</v>
      </c>
      <c r="C13" s="62" t="s">
        <v>756</v>
      </c>
      <c r="D13" s="61" t="s">
        <v>750</v>
      </c>
      <c r="E13" s="61" t="s">
        <v>806</v>
      </c>
      <c r="F13" s="61" t="s">
        <v>41</v>
      </c>
      <c r="G13" s="63">
        <v>4</v>
      </c>
      <c r="H13" s="65" t="s">
        <v>757</v>
      </c>
    </row>
    <row r="14" spans="1:8" ht="19.8" customHeight="1" x14ac:dyDescent="0.3">
      <c r="A14" s="60" t="s">
        <v>166</v>
      </c>
      <c r="B14" s="61" t="s">
        <v>36</v>
      </c>
      <c r="C14" s="62" t="s">
        <v>756</v>
      </c>
      <c r="D14" s="61" t="s">
        <v>750</v>
      </c>
      <c r="E14" s="61" t="s">
        <v>806</v>
      </c>
      <c r="F14" s="61" t="s">
        <v>43</v>
      </c>
      <c r="G14" s="63">
        <v>4</v>
      </c>
      <c r="H14" s="65" t="s">
        <v>758</v>
      </c>
    </row>
    <row r="15" spans="1:8" ht="19.8" customHeight="1" x14ac:dyDescent="0.3">
      <c r="A15" s="96" t="s">
        <v>166</v>
      </c>
      <c r="B15" s="97" t="s">
        <v>80</v>
      </c>
      <c r="C15" s="98" t="s">
        <v>766</v>
      </c>
      <c r="D15" s="97" t="s">
        <v>750</v>
      </c>
      <c r="E15" s="97" t="s">
        <v>728</v>
      </c>
      <c r="F15" s="97" t="s">
        <v>182</v>
      </c>
      <c r="G15" s="99">
        <v>7</v>
      </c>
      <c r="H15" s="117" t="s">
        <v>767</v>
      </c>
    </row>
    <row r="16" spans="1:8" ht="19.8" customHeight="1" x14ac:dyDescent="0.3">
      <c r="A16" s="70">
        <v>45981</v>
      </c>
      <c r="B16" s="61" t="s">
        <v>64</v>
      </c>
      <c r="C16" s="62" t="s">
        <v>770</v>
      </c>
      <c r="D16" s="61" t="s">
        <v>750</v>
      </c>
      <c r="E16" s="71">
        <v>1.305555555555556</v>
      </c>
      <c r="F16" s="61" t="s">
        <v>68</v>
      </c>
      <c r="G16" s="63">
        <v>4</v>
      </c>
      <c r="H16" s="65" t="s">
        <v>771</v>
      </c>
    </row>
    <row r="17" spans="1:8" ht="19.8" customHeight="1" x14ac:dyDescent="0.3">
      <c r="A17" s="70">
        <v>45981</v>
      </c>
      <c r="B17" s="61" t="s">
        <v>51</v>
      </c>
      <c r="C17" s="62" t="s">
        <v>772</v>
      </c>
      <c r="D17" s="61" t="s">
        <v>750</v>
      </c>
      <c r="E17" s="71">
        <v>1.5277777777777779</v>
      </c>
      <c r="F17" s="61" t="s">
        <v>53</v>
      </c>
      <c r="G17" s="63">
        <v>9</v>
      </c>
      <c r="H17" s="65" t="s">
        <v>773</v>
      </c>
    </row>
    <row r="18" spans="1:8" ht="19.8" customHeight="1" x14ac:dyDescent="0.3">
      <c r="A18" s="72">
        <v>45981</v>
      </c>
      <c r="B18" s="73" t="s">
        <v>51</v>
      </c>
      <c r="C18" s="74" t="s">
        <v>774</v>
      </c>
      <c r="D18" s="73" t="s">
        <v>750</v>
      </c>
      <c r="E18" s="75">
        <v>1.1701388888888891</v>
      </c>
      <c r="F18" s="73" t="s">
        <v>53</v>
      </c>
      <c r="G18" s="76">
        <v>9</v>
      </c>
      <c r="H18" s="77" t="s">
        <v>773</v>
      </c>
    </row>
    <row r="19" spans="1:8" ht="19.8" customHeight="1" x14ac:dyDescent="0.3">
      <c r="A19" s="70">
        <v>45982</v>
      </c>
      <c r="B19" s="61" t="s">
        <v>26</v>
      </c>
      <c r="C19" s="62" t="s">
        <v>751</v>
      </c>
      <c r="D19" s="61" t="s">
        <v>750</v>
      </c>
      <c r="E19" s="71">
        <v>1.305555555555556</v>
      </c>
      <c r="F19" s="61" t="s">
        <v>28</v>
      </c>
      <c r="G19" s="63">
        <v>9</v>
      </c>
      <c r="H19" s="64">
        <v>749</v>
      </c>
    </row>
    <row r="20" spans="1:8" ht="19.8" customHeight="1" x14ac:dyDescent="0.3">
      <c r="A20" s="70">
        <v>45982</v>
      </c>
      <c r="B20" s="61" t="s">
        <v>36</v>
      </c>
      <c r="C20" s="62" t="s">
        <v>756</v>
      </c>
      <c r="D20" s="61" t="s">
        <v>750</v>
      </c>
      <c r="E20" s="71">
        <v>1.833333333333333</v>
      </c>
      <c r="F20" s="61" t="s">
        <v>38</v>
      </c>
      <c r="G20" s="63">
        <v>9</v>
      </c>
      <c r="H20" s="64">
        <v>809</v>
      </c>
    </row>
    <row r="21" spans="1:8" ht="19.8" customHeight="1" x14ac:dyDescent="0.3">
      <c r="A21" s="70">
        <v>45982</v>
      </c>
      <c r="B21" s="61" t="s">
        <v>261</v>
      </c>
      <c r="C21" s="62" t="s">
        <v>776</v>
      </c>
      <c r="D21" s="61" t="s">
        <v>750</v>
      </c>
      <c r="E21" s="71">
        <v>1.2152777777777779</v>
      </c>
      <c r="F21" s="61" t="s">
        <v>263</v>
      </c>
      <c r="G21" s="63">
        <v>2</v>
      </c>
      <c r="H21" s="64">
        <v>813</v>
      </c>
    </row>
    <row r="22" spans="1:8" ht="19.8" customHeight="1" x14ac:dyDescent="0.3">
      <c r="A22" s="70">
        <v>45982</v>
      </c>
      <c r="B22" s="61" t="s">
        <v>26</v>
      </c>
      <c r="C22" s="62" t="s">
        <v>751</v>
      </c>
      <c r="D22" s="61" t="s">
        <v>750</v>
      </c>
      <c r="E22" s="71">
        <v>1.305555555555556</v>
      </c>
      <c r="F22" s="61" t="s">
        <v>31</v>
      </c>
      <c r="G22" s="63">
        <v>9</v>
      </c>
      <c r="H22" s="64">
        <v>899</v>
      </c>
    </row>
    <row r="23" spans="1:8" ht="19.8" customHeight="1" x14ac:dyDescent="0.3">
      <c r="A23" s="70">
        <v>45982</v>
      </c>
      <c r="B23" s="61" t="s">
        <v>36</v>
      </c>
      <c r="C23" s="62" t="s">
        <v>756</v>
      </c>
      <c r="D23" s="61" t="s">
        <v>750</v>
      </c>
      <c r="E23" s="71">
        <v>1.833333333333333</v>
      </c>
      <c r="F23" s="61" t="s">
        <v>41</v>
      </c>
      <c r="G23" s="63">
        <v>9</v>
      </c>
      <c r="H23" s="64">
        <v>909</v>
      </c>
    </row>
    <row r="24" spans="1:8" ht="19.8" customHeight="1" x14ac:dyDescent="0.3">
      <c r="A24" s="70">
        <v>45982</v>
      </c>
      <c r="B24" s="61" t="s">
        <v>36</v>
      </c>
      <c r="C24" s="62" t="s">
        <v>756</v>
      </c>
      <c r="D24" s="61" t="s">
        <v>750</v>
      </c>
      <c r="E24" s="71">
        <v>1.833333333333333</v>
      </c>
      <c r="F24" s="61" t="s">
        <v>43</v>
      </c>
      <c r="G24" s="63">
        <v>9</v>
      </c>
      <c r="H24" s="64">
        <v>999</v>
      </c>
    </row>
    <row r="25" spans="1:8" ht="19.8" customHeight="1" x14ac:dyDescent="0.3">
      <c r="A25" s="70">
        <v>45982</v>
      </c>
      <c r="B25" s="61" t="s">
        <v>26</v>
      </c>
      <c r="C25" s="62" t="s">
        <v>751</v>
      </c>
      <c r="D25" s="61" t="s">
        <v>750</v>
      </c>
      <c r="E25" s="71">
        <v>1.305555555555556</v>
      </c>
      <c r="F25" s="61" t="s">
        <v>34</v>
      </c>
      <c r="G25" s="63">
        <v>9</v>
      </c>
      <c r="H25" s="65" t="s">
        <v>775</v>
      </c>
    </row>
    <row r="26" spans="1:8" ht="19.8" customHeight="1" x14ac:dyDescent="0.3">
      <c r="A26" s="186">
        <v>45982</v>
      </c>
      <c r="B26" s="97" t="s">
        <v>80</v>
      </c>
      <c r="C26" s="98" t="s">
        <v>766</v>
      </c>
      <c r="D26" s="97" t="s">
        <v>750</v>
      </c>
      <c r="E26" s="187">
        <v>1.5798611111111109</v>
      </c>
      <c r="F26" s="97" t="s">
        <v>182</v>
      </c>
      <c r="G26" s="99">
        <v>7</v>
      </c>
      <c r="H26" s="117" t="s">
        <v>778</v>
      </c>
    </row>
    <row r="27" spans="1:8" ht="19.8" customHeight="1" x14ac:dyDescent="0.3">
      <c r="A27" s="70">
        <v>45982</v>
      </c>
      <c r="B27" s="61" t="s">
        <v>64</v>
      </c>
      <c r="C27" s="62" t="s">
        <v>770</v>
      </c>
      <c r="D27" s="61" t="s">
        <v>750</v>
      </c>
      <c r="E27" s="71">
        <v>1.305555555555556</v>
      </c>
      <c r="F27" s="61" t="s">
        <v>68</v>
      </c>
      <c r="G27" s="63">
        <v>4</v>
      </c>
      <c r="H27" s="65" t="s">
        <v>781</v>
      </c>
    </row>
    <row r="28" spans="1:8" ht="19.8" customHeight="1" x14ac:dyDescent="0.3">
      <c r="A28" s="70">
        <v>45982</v>
      </c>
      <c r="B28" s="61" t="s">
        <v>51</v>
      </c>
      <c r="C28" s="62" t="s">
        <v>782</v>
      </c>
      <c r="D28" s="61" t="s">
        <v>750</v>
      </c>
      <c r="E28" s="71">
        <v>1.864583333333333</v>
      </c>
      <c r="F28" s="61" t="s">
        <v>53</v>
      </c>
      <c r="G28" s="63">
        <v>7</v>
      </c>
      <c r="H28" s="65" t="s">
        <v>773</v>
      </c>
    </row>
    <row r="29" spans="1:8" ht="19.8" customHeight="1" x14ac:dyDescent="0.3">
      <c r="A29" s="70">
        <v>45982</v>
      </c>
      <c r="B29" s="61" t="s">
        <v>51</v>
      </c>
      <c r="C29" s="62" t="s">
        <v>772</v>
      </c>
      <c r="D29" s="61" t="s">
        <v>750</v>
      </c>
      <c r="E29" s="71">
        <v>1.5277777777777779</v>
      </c>
      <c r="F29" s="61" t="s">
        <v>53</v>
      </c>
      <c r="G29" s="63">
        <v>4</v>
      </c>
      <c r="H29" s="65" t="s">
        <v>773</v>
      </c>
    </row>
    <row r="30" spans="1:8" ht="19.8" customHeight="1" x14ac:dyDescent="0.3">
      <c r="A30" s="72">
        <v>45982</v>
      </c>
      <c r="B30" s="73" t="s">
        <v>51</v>
      </c>
      <c r="C30" s="74" t="s">
        <v>774</v>
      </c>
      <c r="D30" s="73" t="s">
        <v>750</v>
      </c>
      <c r="E30" s="75">
        <v>1.1701388888888891</v>
      </c>
      <c r="F30" s="73" t="s">
        <v>53</v>
      </c>
      <c r="G30" s="76">
        <v>3</v>
      </c>
      <c r="H30" s="77" t="s">
        <v>773</v>
      </c>
    </row>
    <row r="31" spans="1:8" ht="19.8" customHeight="1" x14ac:dyDescent="0.3">
      <c r="A31" s="70">
        <v>45983</v>
      </c>
      <c r="B31" s="61" t="s">
        <v>269</v>
      </c>
      <c r="C31" s="62" t="s">
        <v>783</v>
      </c>
      <c r="D31" s="61" t="s">
        <v>750</v>
      </c>
      <c r="E31" s="71">
        <v>1.9722222222222221</v>
      </c>
      <c r="F31" s="61" t="s">
        <v>271</v>
      </c>
      <c r="G31" s="63">
        <v>9</v>
      </c>
      <c r="H31" s="64">
        <v>544</v>
      </c>
    </row>
    <row r="32" spans="1:8" ht="19.8" customHeight="1" x14ac:dyDescent="0.3">
      <c r="A32" s="70">
        <v>45983</v>
      </c>
      <c r="B32" s="61" t="s">
        <v>36</v>
      </c>
      <c r="C32" s="62" t="s">
        <v>756</v>
      </c>
      <c r="D32" s="61" t="s">
        <v>750</v>
      </c>
      <c r="E32" s="71">
        <v>1.833333333333333</v>
      </c>
      <c r="F32" s="61" t="s">
        <v>38</v>
      </c>
      <c r="G32" s="63">
        <v>3</v>
      </c>
      <c r="H32" s="64">
        <v>629</v>
      </c>
    </row>
    <row r="33" spans="1:8" ht="19.8" customHeight="1" x14ac:dyDescent="0.3">
      <c r="A33" s="70">
        <v>45983</v>
      </c>
      <c r="B33" s="61" t="s">
        <v>273</v>
      </c>
      <c r="C33" s="62" t="s">
        <v>765</v>
      </c>
      <c r="D33" s="61" t="s">
        <v>750</v>
      </c>
      <c r="E33" s="71">
        <v>1.895833333333333</v>
      </c>
      <c r="F33" s="61" t="s">
        <v>263</v>
      </c>
      <c r="G33" s="63">
        <v>9</v>
      </c>
      <c r="H33" s="64">
        <v>629</v>
      </c>
    </row>
    <row r="34" spans="1:8" ht="19.8" customHeight="1" x14ac:dyDescent="0.3">
      <c r="A34" s="70">
        <v>45983</v>
      </c>
      <c r="B34" s="61" t="s">
        <v>273</v>
      </c>
      <c r="C34" s="62" t="s">
        <v>787</v>
      </c>
      <c r="D34" s="61" t="s">
        <v>750</v>
      </c>
      <c r="E34" s="71">
        <v>1.006944444444444</v>
      </c>
      <c r="F34" s="61" t="s">
        <v>263</v>
      </c>
      <c r="G34" s="63">
        <v>9</v>
      </c>
      <c r="H34" s="64">
        <v>629</v>
      </c>
    </row>
    <row r="35" spans="1:8" ht="19.8" customHeight="1" x14ac:dyDescent="0.3">
      <c r="A35" s="70">
        <v>45983</v>
      </c>
      <c r="B35" s="61" t="s">
        <v>26</v>
      </c>
      <c r="C35" s="62" t="s">
        <v>751</v>
      </c>
      <c r="D35" s="61" t="s">
        <v>750</v>
      </c>
      <c r="E35" s="71">
        <v>1.305555555555556</v>
      </c>
      <c r="F35" s="61" t="s">
        <v>28</v>
      </c>
      <c r="G35" s="63">
        <v>5</v>
      </c>
      <c r="H35" s="64">
        <v>649</v>
      </c>
    </row>
    <row r="36" spans="1:8" ht="19.8" customHeight="1" x14ac:dyDescent="0.3">
      <c r="A36" s="70">
        <v>45983</v>
      </c>
      <c r="B36" s="61" t="s">
        <v>261</v>
      </c>
      <c r="C36" s="62" t="s">
        <v>761</v>
      </c>
      <c r="D36" s="61" t="s">
        <v>750</v>
      </c>
      <c r="E36" s="71">
        <v>1.1736111111111109</v>
      </c>
      <c r="F36" s="61" t="s">
        <v>263</v>
      </c>
      <c r="G36" s="63">
        <v>4</v>
      </c>
      <c r="H36" s="64">
        <v>656</v>
      </c>
    </row>
    <row r="37" spans="1:8" ht="19.8" customHeight="1" x14ac:dyDescent="0.3">
      <c r="A37" s="70">
        <v>45983</v>
      </c>
      <c r="B37" s="61" t="s">
        <v>36</v>
      </c>
      <c r="C37" s="62" t="s">
        <v>754</v>
      </c>
      <c r="D37" s="61" t="s">
        <v>750</v>
      </c>
      <c r="E37" s="71">
        <v>1.197916666666667</v>
      </c>
      <c r="F37" s="61" t="s">
        <v>38</v>
      </c>
      <c r="G37" s="63">
        <v>9</v>
      </c>
      <c r="H37" s="64">
        <v>709</v>
      </c>
    </row>
    <row r="38" spans="1:8" ht="19.8" customHeight="1" x14ac:dyDescent="0.3">
      <c r="A38" s="70">
        <v>45983</v>
      </c>
      <c r="B38" s="61" t="s">
        <v>36</v>
      </c>
      <c r="C38" s="62" t="s">
        <v>756</v>
      </c>
      <c r="D38" s="61" t="s">
        <v>750</v>
      </c>
      <c r="E38" s="71">
        <v>1.833333333333333</v>
      </c>
      <c r="F38" s="61" t="s">
        <v>41</v>
      </c>
      <c r="G38" s="63">
        <v>3</v>
      </c>
      <c r="H38" s="64">
        <v>729</v>
      </c>
    </row>
    <row r="39" spans="1:8" ht="19.8" customHeight="1" x14ac:dyDescent="0.3">
      <c r="A39" s="70">
        <v>45983</v>
      </c>
      <c r="B39" s="61" t="s">
        <v>269</v>
      </c>
      <c r="C39" s="62" t="s">
        <v>783</v>
      </c>
      <c r="D39" s="61" t="s">
        <v>750</v>
      </c>
      <c r="E39" s="71">
        <v>1.9722222222222221</v>
      </c>
      <c r="F39" s="61" t="s">
        <v>34</v>
      </c>
      <c r="G39" s="63">
        <v>9</v>
      </c>
      <c r="H39" s="64">
        <v>771</v>
      </c>
    </row>
    <row r="40" spans="1:8" ht="19.8" customHeight="1" x14ac:dyDescent="0.3">
      <c r="A40" s="70">
        <v>45983</v>
      </c>
      <c r="B40" s="61" t="s">
        <v>26</v>
      </c>
      <c r="C40" s="62" t="s">
        <v>751</v>
      </c>
      <c r="D40" s="61" t="s">
        <v>750</v>
      </c>
      <c r="E40" s="71">
        <v>1.305555555555556</v>
      </c>
      <c r="F40" s="61" t="s">
        <v>31</v>
      </c>
      <c r="G40" s="63">
        <v>5</v>
      </c>
      <c r="H40" s="64">
        <v>799</v>
      </c>
    </row>
    <row r="41" spans="1:8" ht="19.8" customHeight="1" x14ac:dyDescent="0.3">
      <c r="A41" s="186">
        <v>45983</v>
      </c>
      <c r="B41" s="97" t="s">
        <v>80</v>
      </c>
      <c r="C41" s="98" t="s">
        <v>766</v>
      </c>
      <c r="D41" s="97" t="s">
        <v>750</v>
      </c>
      <c r="E41" s="187">
        <v>1.9236111111111109</v>
      </c>
      <c r="F41" s="97" t="s">
        <v>182</v>
      </c>
      <c r="G41" s="99">
        <v>1</v>
      </c>
      <c r="H41" s="100">
        <v>806</v>
      </c>
    </row>
    <row r="42" spans="1:8" ht="19.8" customHeight="1" x14ac:dyDescent="0.3">
      <c r="A42" s="70">
        <v>45983</v>
      </c>
      <c r="B42" s="61" t="s">
        <v>36</v>
      </c>
      <c r="C42" s="62" t="s">
        <v>754</v>
      </c>
      <c r="D42" s="61" t="s">
        <v>750</v>
      </c>
      <c r="E42" s="71">
        <v>1.197916666666667</v>
      </c>
      <c r="F42" s="61" t="s">
        <v>41</v>
      </c>
      <c r="G42" s="63">
        <v>9</v>
      </c>
      <c r="H42" s="64">
        <v>809</v>
      </c>
    </row>
    <row r="43" spans="1:8" ht="19.8" customHeight="1" x14ac:dyDescent="0.3">
      <c r="A43" s="70">
        <v>45983</v>
      </c>
      <c r="B43" s="61" t="s">
        <v>36</v>
      </c>
      <c r="C43" s="62" t="s">
        <v>756</v>
      </c>
      <c r="D43" s="61" t="s">
        <v>750</v>
      </c>
      <c r="E43" s="71">
        <v>1.833333333333333</v>
      </c>
      <c r="F43" s="61" t="s">
        <v>43</v>
      </c>
      <c r="G43" s="63">
        <v>3</v>
      </c>
      <c r="H43" s="64">
        <v>819</v>
      </c>
    </row>
    <row r="44" spans="1:8" ht="19.8" customHeight="1" x14ac:dyDescent="0.3">
      <c r="A44" s="70">
        <v>45983</v>
      </c>
      <c r="B44" s="61" t="s">
        <v>26</v>
      </c>
      <c r="C44" s="62" t="s">
        <v>751</v>
      </c>
      <c r="D44" s="61" t="s">
        <v>750</v>
      </c>
      <c r="E44" s="71">
        <v>1.305555555555556</v>
      </c>
      <c r="F44" s="61" t="s">
        <v>34</v>
      </c>
      <c r="G44" s="63">
        <v>5</v>
      </c>
      <c r="H44" s="64">
        <v>899</v>
      </c>
    </row>
    <row r="45" spans="1:8" ht="19.8" customHeight="1" x14ac:dyDescent="0.3">
      <c r="A45" s="70">
        <v>45983</v>
      </c>
      <c r="B45" s="61" t="s">
        <v>36</v>
      </c>
      <c r="C45" s="62" t="s">
        <v>754</v>
      </c>
      <c r="D45" s="61" t="s">
        <v>750</v>
      </c>
      <c r="E45" s="71">
        <v>1.197916666666667</v>
      </c>
      <c r="F45" s="61" t="s">
        <v>43</v>
      </c>
      <c r="G45" s="63">
        <v>9</v>
      </c>
      <c r="H45" s="64">
        <v>899</v>
      </c>
    </row>
    <row r="46" spans="1:8" ht="19.8" customHeight="1" x14ac:dyDescent="0.3">
      <c r="A46" s="70">
        <v>45983</v>
      </c>
      <c r="B46" s="61" t="s">
        <v>51</v>
      </c>
      <c r="C46" s="62" t="s">
        <v>782</v>
      </c>
      <c r="D46" s="61" t="s">
        <v>750</v>
      </c>
      <c r="E46" s="71">
        <v>1.864583333333333</v>
      </c>
      <c r="F46" s="61" t="s">
        <v>53</v>
      </c>
      <c r="G46" s="63">
        <v>9</v>
      </c>
      <c r="H46" s="65" t="s">
        <v>791</v>
      </c>
    </row>
    <row r="47" spans="1:8" ht="19.8" customHeight="1" x14ac:dyDescent="0.3">
      <c r="A47" s="70">
        <v>45983</v>
      </c>
      <c r="B47" s="61" t="s">
        <v>51</v>
      </c>
      <c r="C47" s="62" t="s">
        <v>774</v>
      </c>
      <c r="D47" s="61" t="s">
        <v>750</v>
      </c>
      <c r="E47" s="71">
        <v>1.1701388888888891</v>
      </c>
      <c r="F47" s="61" t="s">
        <v>53</v>
      </c>
      <c r="G47" s="63">
        <v>7</v>
      </c>
      <c r="H47" s="65" t="s">
        <v>791</v>
      </c>
    </row>
    <row r="48" spans="1:8" ht="19.8" customHeight="1" x14ac:dyDescent="0.3">
      <c r="A48" s="72">
        <v>45983</v>
      </c>
      <c r="B48" s="73" t="s">
        <v>64</v>
      </c>
      <c r="C48" s="74" t="s">
        <v>770</v>
      </c>
      <c r="D48" s="73" t="s">
        <v>750</v>
      </c>
      <c r="E48" s="75">
        <v>1.305555555555556</v>
      </c>
      <c r="F48" s="73" t="s">
        <v>68</v>
      </c>
      <c r="G48" s="76">
        <v>4</v>
      </c>
      <c r="H48" s="77" t="s">
        <v>771</v>
      </c>
    </row>
  </sheetData>
  <pageMargins left="0.75" right="0.75" top="1" bottom="1" header="0.5" footer="0.5"/>
  <legacyDrawing r:id="rId1"/>
  <tableParts count="1">
    <tablePart r:id="rId2"/>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9.8867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6" t="s">
        <v>166</v>
      </c>
      <c r="B2" s="67" t="s">
        <v>80</v>
      </c>
      <c r="C2" s="68" t="s">
        <v>766</v>
      </c>
      <c r="D2" s="67" t="s">
        <v>750</v>
      </c>
      <c r="E2" s="67" t="s">
        <v>728</v>
      </c>
      <c r="F2" s="67" t="s">
        <v>182</v>
      </c>
      <c r="G2" s="213">
        <v>7</v>
      </c>
      <c r="H2" s="69" t="s">
        <v>767</v>
      </c>
    </row>
    <row r="3" spans="1:8" ht="19.8" customHeight="1" x14ac:dyDescent="0.3">
      <c r="A3" s="78">
        <v>45982</v>
      </c>
      <c r="B3" s="67" t="s">
        <v>80</v>
      </c>
      <c r="C3" s="68" t="s">
        <v>766</v>
      </c>
      <c r="D3" s="67" t="s">
        <v>750</v>
      </c>
      <c r="E3" s="79">
        <v>1.5798611111111109</v>
      </c>
      <c r="F3" s="67" t="s">
        <v>182</v>
      </c>
      <c r="G3" s="213">
        <v>7</v>
      </c>
      <c r="H3" s="69" t="s">
        <v>778</v>
      </c>
    </row>
    <row r="4" spans="1:8" ht="19.8" customHeight="1" x14ac:dyDescent="0.3">
      <c r="A4" s="70">
        <v>45983</v>
      </c>
      <c r="B4" s="61" t="s">
        <v>36</v>
      </c>
      <c r="C4" s="62" t="s">
        <v>756</v>
      </c>
      <c r="D4" s="61" t="s">
        <v>750</v>
      </c>
      <c r="E4" s="71">
        <v>1.833333333333333</v>
      </c>
      <c r="F4" s="61" t="s">
        <v>41</v>
      </c>
      <c r="G4" s="63">
        <v>3</v>
      </c>
      <c r="H4" s="64">
        <v>729</v>
      </c>
    </row>
    <row r="5" spans="1:8" ht="19.8" customHeight="1" x14ac:dyDescent="0.3">
      <c r="A5" s="78">
        <v>45983</v>
      </c>
      <c r="B5" s="67" t="s">
        <v>80</v>
      </c>
      <c r="C5" s="68" t="s">
        <v>766</v>
      </c>
      <c r="D5" s="67" t="s">
        <v>750</v>
      </c>
      <c r="E5" s="79">
        <v>1.9236111111111109</v>
      </c>
      <c r="F5" s="67" t="s">
        <v>182</v>
      </c>
      <c r="G5" s="213">
        <v>1</v>
      </c>
      <c r="H5" s="214">
        <v>806</v>
      </c>
    </row>
  </sheetData>
  <pageMargins left="0.75" right="0.75" top="1" bottom="1" header="0.5" footer="0.5"/>
  <legacyDrawing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47.109375" bestFit="1" customWidth="1"/>
  </cols>
  <sheetData>
    <row r="1" spans="1:92" ht="28.8" customHeight="1" x14ac:dyDescent="0.3">
      <c r="A1" s="257" t="s">
        <v>0</v>
      </c>
      <c r="B1" s="248"/>
      <c r="C1" s="248"/>
      <c r="D1" s="248"/>
      <c r="E1" s="248"/>
      <c r="F1" s="1" t="s">
        <v>809</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45980.430636346573</v>
      </c>
      <c r="H2" s="248"/>
      <c r="I2" s="248"/>
      <c r="J2" s="248"/>
      <c r="K2" s="259">
        <v>45980.430636347053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45982</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2" t="s">
        <v>80</v>
      </c>
      <c r="B6" s="172" t="s">
        <v>810</v>
      </c>
      <c r="C6" s="173">
        <v>0.29166666666666669</v>
      </c>
      <c r="D6" s="172" t="s">
        <v>182</v>
      </c>
      <c r="E6" s="172" t="s">
        <v>88</v>
      </c>
      <c r="F6" s="172" t="s">
        <v>811</v>
      </c>
      <c r="G6" s="250"/>
      <c r="H6" s="121" t="s">
        <v>812</v>
      </c>
      <c r="I6" s="122">
        <v>0.8095</v>
      </c>
      <c r="J6" s="123">
        <v>136</v>
      </c>
      <c r="K6" s="124" t="s">
        <v>284</v>
      </c>
      <c r="L6" s="123">
        <v>61</v>
      </c>
      <c r="M6" s="123">
        <v>3</v>
      </c>
      <c r="N6" s="123">
        <v>16</v>
      </c>
      <c r="O6" s="125" t="s">
        <v>216</v>
      </c>
      <c r="P6" s="126">
        <v>0.29166666666666669</v>
      </c>
      <c r="Q6" s="123">
        <v>168</v>
      </c>
      <c r="R6" s="127" t="s">
        <v>813</v>
      </c>
    </row>
    <row r="7" spans="1:92" ht="18" x14ac:dyDescent="0.3">
      <c r="A7" s="264" t="s">
        <v>814</v>
      </c>
      <c r="B7" s="265"/>
      <c r="C7" s="265"/>
      <c r="D7" s="265"/>
      <c r="E7" s="265"/>
      <c r="F7" s="266"/>
      <c r="G7" s="251"/>
      <c r="H7" s="89"/>
      <c r="I7" s="89"/>
      <c r="J7" s="89"/>
      <c r="K7" s="89"/>
      <c r="L7" s="89"/>
      <c r="M7" s="89"/>
      <c r="N7" s="89"/>
      <c r="O7" s="90"/>
      <c r="P7" s="89"/>
      <c r="Q7" s="56"/>
      <c r="R7" s="56"/>
    </row>
    <row r="8" spans="1:92" ht="15" customHeight="1" x14ac:dyDescent="0.3">
      <c r="A8" s="19" t="s">
        <v>26</v>
      </c>
      <c r="B8" s="19" t="s">
        <v>751</v>
      </c>
      <c r="C8" s="20" t="s">
        <v>739</v>
      </c>
      <c r="D8" s="19" t="s">
        <v>28</v>
      </c>
      <c r="E8" s="19" t="s">
        <v>192</v>
      </c>
      <c r="F8" s="19" t="s">
        <v>259</v>
      </c>
      <c r="G8" s="251"/>
      <c r="H8" s="89"/>
      <c r="I8" s="89"/>
      <c r="J8" s="89"/>
      <c r="K8" s="89"/>
      <c r="L8" s="89"/>
      <c r="M8" s="89"/>
      <c r="N8" s="89"/>
      <c r="O8" s="90"/>
      <c r="P8" s="89"/>
      <c r="Q8" s="56"/>
      <c r="R8" s="56"/>
    </row>
    <row r="9" spans="1:92" ht="15" customHeight="1" x14ac:dyDescent="0.3">
      <c r="A9" s="19" t="s">
        <v>36</v>
      </c>
      <c r="B9" s="19" t="s">
        <v>756</v>
      </c>
      <c r="C9" s="20" t="s">
        <v>806</v>
      </c>
      <c r="D9" s="19" t="s">
        <v>38</v>
      </c>
      <c r="E9" s="19" t="s">
        <v>192</v>
      </c>
      <c r="F9" s="19" t="s">
        <v>755</v>
      </c>
      <c r="G9" s="251"/>
      <c r="H9" s="89"/>
      <c r="I9" s="89"/>
      <c r="J9" s="89"/>
      <c r="K9" s="89"/>
      <c r="L9" s="89"/>
      <c r="M9" s="89"/>
      <c r="N9" s="89"/>
      <c r="O9" s="90"/>
      <c r="P9" s="89"/>
      <c r="Q9" s="56"/>
      <c r="R9" s="56"/>
    </row>
    <row r="10" spans="1:92" ht="15" customHeight="1" x14ac:dyDescent="0.3">
      <c r="A10" s="19" t="s">
        <v>261</v>
      </c>
      <c r="B10" s="19" t="s">
        <v>776</v>
      </c>
      <c r="C10" s="20" t="s">
        <v>815</v>
      </c>
      <c r="D10" s="19" t="s">
        <v>263</v>
      </c>
      <c r="E10" s="19" t="s">
        <v>211</v>
      </c>
      <c r="F10" s="19" t="s">
        <v>777</v>
      </c>
      <c r="G10" s="251"/>
      <c r="H10" s="89"/>
      <c r="I10" s="89"/>
      <c r="J10" s="89"/>
      <c r="K10" s="89"/>
      <c r="L10" s="89"/>
      <c r="M10" s="89"/>
      <c r="N10" s="89"/>
      <c r="O10" s="90"/>
      <c r="P10" s="89"/>
      <c r="Q10" s="56"/>
      <c r="R10" s="56"/>
    </row>
    <row r="11" spans="1:92" ht="15" customHeight="1" x14ac:dyDescent="0.3">
      <c r="A11" s="19" t="s">
        <v>26</v>
      </c>
      <c r="B11" s="19" t="s">
        <v>751</v>
      </c>
      <c r="C11" s="20" t="s">
        <v>739</v>
      </c>
      <c r="D11" s="19" t="s">
        <v>31</v>
      </c>
      <c r="E11" s="19" t="s">
        <v>192</v>
      </c>
      <c r="F11" s="19" t="s">
        <v>260</v>
      </c>
      <c r="G11" s="251"/>
      <c r="H11" s="89"/>
      <c r="I11" s="89"/>
      <c r="J11" s="89"/>
      <c r="K11" s="89"/>
      <c r="L11" s="89"/>
      <c r="M11" s="89"/>
      <c r="N11" s="89"/>
      <c r="O11" s="90"/>
      <c r="P11" s="89"/>
      <c r="Q11" s="56"/>
      <c r="R11" s="56"/>
    </row>
    <row r="12" spans="1:92" ht="15" customHeight="1" x14ac:dyDescent="0.3">
      <c r="A12" s="19" t="s">
        <v>36</v>
      </c>
      <c r="B12" s="19" t="s">
        <v>756</v>
      </c>
      <c r="C12" s="20" t="s">
        <v>806</v>
      </c>
      <c r="D12" s="19" t="s">
        <v>41</v>
      </c>
      <c r="E12" s="19" t="s">
        <v>192</v>
      </c>
      <c r="F12" s="19" t="s">
        <v>243</v>
      </c>
      <c r="G12" s="251"/>
      <c r="H12" s="89"/>
      <c r="I12" s="89"/>
      <c r="J12" s="89"/>
      <c r="K12" s="89"/>
      <c r="L12" s="89"/>
      <c r="M12" s="89"/>
      <c r="N12" s="89"/>
      <c r="O12" s="90"/>
      <c r="P12" s="89"/>
      <c r="Q12" s="56"/>
      <c r="R12" s="56"/>
    </row>
    <row r="13" spans="1:92" ht="15" customHeight="1" x14ac:dyDescent="0.3">
      <c r="A13" s="19" t="s">
        <v>36</v>
      </c>
      <c r="B13" s="19" t="s">
        <v>756</v>
      </c>
      <c r="C13" s="20" t="s">
        <v>806</v>
      </c>
      <c r="D13" s="19" t="s">
        <v>43</v>
      </c>
      <c r="E13" s="19" t="s">
        <v>192</v>
      </c>
      <c r="F13" s="19" t="s">
        <v>643</v>
      </c>
      <c r="G13" s="251"/>
      <c r="H13" s="89"/>
      <c r="I13" s="89"/>
      <c r="J13" s="89"/>
      <c r="K13" s="89"/>
      <c r="L13" s="89"/>
      <c r="M13" s="89"/>
      <c r="N13" s="89"/>
      <c r="O13" s="90"/>
      <c r="P13" s="89"/>
      <c r="Q13" s="56"/>
      <c r="R13" s="56"/>
    </row>
    <row r="14" spans="1:92" ht="15" customHeight="1" x14ac:dyDescent="0.3">
      <c r="A14" s="19" t="s">
        <v>26</v>
      </c>
      <c r="B14" s="19" t="s">
        <v>751</v>
      </c>
      <c r="C14" s="20" t="s">
        <v>739</v>
      </c>
      <c r="D14" s="19" t="s">
        <v>34</v>
      </c>
      <c r="E14" s="19" t="s">
        <v>192</v>
      </c>
      <c r="F14" s="19" t="s">
        <v>775</v>
      </c>
      <c r="G14" s="251"/>
      <c r="H14" s="89"/>
      <c r="I14" s="89"/>
      <c r="J14" s="89"/>
      <c r="K14" s="89"/>
      <c r="L14" s="89"/>
      <c r="M14" s="89"/>
      <c r="N14" s="89"/>
      <c r="O14" s="90"/>
      <c r="P14" s="89"/>
      <c r="Q14" s="56"/>
      <c r="R14" s="56"/>
    </row>
    <row r="15" spans="1:92" ht="15" customHeight="1" x14ac:dyDescent="0.3">
      <c r="A15" s="19" t="s">
        <v>80</v>
      </c>
      <c r="B15" s="19" t="s">
        <v>766</v>
      </c>
      <c r="C15" s="20" t="s">
        <v>794</v>
      </c>
      <c r="D15" s="19" t="s">
        <v>182</v>
      </c>
      <c r="E15" s="19" t="s">
        <v>514</v>
      </c>
      <c r="F15" s="19" t="s">
        <v>778</v>
      </c>
      <c r="G15" s="251"/>
      <c r="H15" s="89"/>
      <c r="I15" s="89"/>
      <c r="J15" s="89"/>
      <c r="K15" s="89"/>
      <c r="L15" s="89"/>
      <c r="M15" s="89"/>
      <c r="N15" s="89"/>
      <c r="O15" s="90"/>
      <c r="P15" s="89"/>
      <c r="Q15" s="56"/>
      <c r="R15" s="56"/>
    </row>
    <row r="16" spans="1:92" ht="15" customHeight="1" x14ac:dyDescent="0.3">
      <c r="A16" s="19" t="s">
        <v>64</v>
      </c>
      <c r="B16" s="19" t="s">
        <v>770</v>
      </c>
      <c r="C16" s="20" t="s">
        <v>739</v>
      </c>
      <c r="D16" s="19" t="s">
        <v>68</v>
      </c>
      <c r="E16" s="19" t="s">
        <v>530</v>
      </c>
      <c r="F16" s="19" t="s">
        <v>781</v>
      </c>
      <c r="G16" s="251"/>
      <c r="H16" s="89"/>
      <c r="I16" s="89"/>
      <c r="J16" s="89"/>
      <c r="K16" s="89"/>
      <c r="L16" s="89"/>
      <c r="M16" s="89"/>
      <c r="N16" s="89"/>
      <c r="O16" s="90"/>
      <c r="P16" s="89"/>
      <c r="Q16" s="56"/>
      <c r="R16" s="56"/>
    </row>
    <row r="17" spans="1:18" ht="15" customHeight="1" thickBot="1" x14ac:dyDescent="0.35">
      <c r="A17" s="91" t="s">
        <v>51</v>
      </c>
      <c r="B17" s="91" t="s">
        <v>782</v>
      </c>
      <c r="C17" s="92" t="s">
        <v>816</v>
      </c>
      <c r="D17" s="91" t="s">
        <v>53</v>
      </c>
      <c r="E17" s="91" t="s">
        <v>514</v>
      </c>
      <c r="F17" s="91" t="s">
        <v>773</v>
      </c>
      <c r="G17" s="252"/>
      <c r="H17" s="93"/>
      <c r="I17" s="93"/>
      <c r="J17" s="93"/>
      <c r="K17" s="93"/>
      <c r="L17" s="93"/>
      <c r="M17" s="93"/>
      <c r="N17" s="93"/>
      <c r="O17" s="94"/>
      <c r="P17" s="93"/>
      <c r="Q17" s="95"/>
      <c r="R17" s="95"/>
    </row>
    <row r="18" spans="1:18" ht="17.399999999999999" customHeight="1" thickBot="1" x14ac:dyDescent="0.35">
      <c r="A18" s="282"/>
      <c r="B18" s="283"/>
      <c r="C18" s="283"/>
      <c r="D18" s="283"/>
      <c r="E18" s="283"/>
      <c r="F18" s="283"/>
      <c r="G18" s="283"/>
      <c r="H18" s="283"/>
      <c r="I18" s="283"/>
      <c r="J18" s="283"/>
      <c r="K18" s="283"/>
      <c r="L18" s="283"/>
      <c r="M18" s="283"/>
      <c r="N18" s="283"/>
      <c r="O18" s="283"/>
      <c r="P18" s="283"/>
      <c r="Q18" s="283"/>
      <c r="R18" s="284"/>
    </row>
    <row r="19" spans="1:18" ht="15" thickTop="1" x14ac:dyDescent="0.3"/>
  </sheetData>
  <mergeCells count="12">
    <mergeCell ref="A18:R18"/>
    <mergeCell ref="N1:R1"/>
    <mergeCell ref="A2:F2"/>
    <mergeCell ref="A3:R3"/>
    <mergeCell ref="G6:G17"/>
    <mergeCell ref="H1:L1"/>
    <mergeCell ref="A1:E1"/>
    <mergeCell ref="G2:J2"/>
    <mergeCell ref="K2:R2"/>
    <mergeCell ref="A4:F4"/>
    <mergeCell ref="H4:R4"/>
    <mergeCell ref="A7:F7"/>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J3"/>
  <sheetViews>
    <sheetView workbookViewId="0"/>
  </sheetViews>
  <sheetFormatPr defaultRowHeight="15.6" outlineLevelCol="1" x14ac:dyDescent="0.3"/>
  <cols>
    <col min="1" max="1" width="6.88671875" style="269" bestFit="1" customWidth="1"/>
    <col min="2" max="2" width="10.44140625" style="269" bestFit="1" customWidth="1"/>
    <col min="3" max="3" width="6.77734375" style="269" bestFit="1" customWidth="1"/>
    <col min="4" max="4" width="5.5546875" style="269" bestFit="1" customWidth="1"/>
    <col min="5" max="5" width="9.4414062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5" width="3.88671875" style="269" bestFit="1" customWidth="1"/>
    <col min="26" max="26" width="4.109375" style="269" bestFit="1" customWidth="1"/>
    <col min="27" max="27" width="5" style="269" bestFit="1" customWidth="1"/>
    <col min="28" max="29" width="4.21875" style="269" bestFit="1" customWidth="1"/>
    <col min="30"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435</v>
      </c>
      <c r="B2" s="271">
        <v>45982</v>
      </c>
      <c r="C2" s="272" t="s">
        <v>812</v>
      </c>
      <c r="D2" s="273" t="s">
        <v>491</v>
      </c>
      <c r="E2" s="272" t="s">
        <v>809</v>
      </c>
      <c r="F2" s="272" t="s">
        <v>140</v>
      </c>
      <c r="G2" s="274">
        <v>0.8095</v>
      </c>
      <c r="H2" s="275">
        <v>168</v>
      </c>
      <c r="I2" s="275">
        <v>136</v>
      </c>
      <c r="J2" s="275">
        <v>0</v>
      </c>
      <c r="K2" s="272" t="s">
        <v>141</v>
      </c>
      <c r="L2" s="276" t="s">
        <v>284</v>
      </c>
      <c r="M2" s="275">
        <v>3</v>
      </c>
      <c r="N2" s="275">
        <v>16</v>
      </c>
      <c r="O2" s="275">
        <v>61</v>
      </c>
      <c r="P2" s="272" t="s">
        <v>216</v>
      </c>
      <c r="Q2" s="268"/>
      <c r="R2" s="268"/>
      <c r="S2" s="268"/>
      <c r="T2" s="268"/>
      <c r="U2" s="268"/>
      <c r="V2" s="268"/>
      <c r="W2" s="268"/>
      <c r="X2" s="268"/>
      <c r="Y2" s="268"/>
      <c r="Z2" s="275" t="s">
        <v>409</v>
      </c>
      <c r="AA2" s="275" t="s">
        <v>817</v>
      </c>
      <c r="AB2" s="275" t="s">
        <v>818</v>
      </c>
      <c r="AC2" s="275" t="s">
        <v>819</v>
      </c>
      <c r="AD2" s="275" t="s">
        <v>218</v>
      </c>
      <c r="AE2" s="275" t="s">
        <v>219</v>
      </c>
      <c r="AF2" s="275" t="s">
        <v>220</v>
      </c>
      <c r="AG2" s="268"/>
      <c r="AH2" s="268"/>
      <c r="AI2" s="268"/>
      <c r="AJ2" s="268"/>
    </row>
    <row r="3" spans="1:36" ht="21" x14ac:dyDescent="0.3">
      <c r="A3" s="277" t="s">
        <v>913</v>
      </c>
      <c r="B3" s="278"/>
      <c r="C3" s="277">
        <f>SUBTOTAL(103,DMM_ATZ_LF_LEGACY[Flt])</f>
        <v>1</v>
      </c>
      <c r="D3" s="277"/>
      <c r="E3" s="277">
        <f>SUBTOTAL(103,DMM_ATZ_LF_LEGACY[Brd-Off])</f>
        <v>1</v>
      </c>
      <c r="F3" s="277"/>
      <c r="G3" s="279">
        <f>SUBTOTAL(101,DMM_ATZ_LF_LEGACY[LF%])</f>
        <v>0.8095</v>
      </c>
      <c r="H3" s="280">
        <f>SUBTOTAL(109,DMM_ATZ_LF_LEGACY[CAP])</f>
        <v>168</v>
      </c>
      <c r="I3" s="280">
        <f>SUBTOTAL(109,DMM_ATZ_LF_LEGACY[BKG(Y)])</f>
        <v>136</v>
      </c>
      <c r="J3" s="280">
        <f>SUBTOTAL(109,DMM_ATZ_LF_LEGACY[GRP(Y)])</f>
        <v>0</v>
      </c>
      <c r="K3" s="277"/>
      <c r="L3" s="278"/>
      <c r="M3" s="280">
        <f>SUBTOTAL(109,DMM_ATZ_LF_LEGACY[TO-DAY])</f>
        <v>3</v>
      </c>
      <c r="N3" s="280">
        <f>SUBTOTAL(109,DMM_ATZ_LF_LEGACY[Y-DAY])</f>
        <v>16</v>
      </c>
      <c r="O3" s="280">
        <f>SUBTOTAL(109,DMM_ATZ_LF_LEGACY[WEEKLY])</f>
        <v>61</v>
      </c>
      <c r="P3" s="281"/>
      <c r="Q3" s="280">
        <f>SUBTOTAL(109,DMM_ATZ_LF_LEGACY[Y])</f>
        <v>0</v>
      </c>
      <c r="R3" s="280">
        <f>SUBTOTAL(109,DMM_ATZ_LF_LEGACY[B])</f>
        <v>0</v>
      </c>
      <c r="S3" s="280">
        <f>SUBTOTAL(109,DMM_ATZ_LF_LEGACY[M])</f>
        <v>0</v>
      </c>
      <c r="T3" s="280">
        <f>SUBTOTAL(109,DMM_ATZ_LF_LEGACY[H])</f>
        <v>0</v>
      </c>
      <c r="U3" s="280">
        <f>SUBTOTAL(109,DMM_ATZ_LF_LEGACY[Q])</f>
        <v>0</v>
      </c>
      <c r="V3" s="280">
        <f>SUBTOTAL(109,DMM_ATZ_LF_LEGACY[K])</f>
        <v>0</v>
      </c>
      <c r="W3" s="280">
        <f>SUBTOTAL(109,DMM_ATZ_LF_LEGACY[V])</f>
        <v>0</v>
      </c>
      <c r="X3" s="280">
        <f>SUBTOTAL(109,DMM_ATZ_LF_LEGACY[L])</f>
        <v>0</v>
      </c>
      <c r="Y3" s="280">
        <f>SUBTOTAL(109,DMM_ATZ_LF_LEGACY[G])</f>
        <v>0</v>
      </c>
      <c r="Z3" s="280">
        <f>SUBTOTAL(109,DMM_ATZ_LF_LEGACY[S])</f>
        <v>0</v>
      </c>
      <c r="AA3" s="280">
        <f>SUBTOTAL(109,DMM_ATZ_LF_LEGACY[W])</f>
        <v>0</v>
      </c>
      <c r="AB3" s="280">
        <f>SUBTOTAL(109,DMM_ATZ_LF_LEGACY[T])</f>
        <v>0</v>
      </c>
      <c r="AC3" s="280">
        <f>SUBTOTAL(109,DMM_ATZ_LF_LEGACY[X])</f>
        <v>0</v>
      </c>
      <c r="AD3" s="280">
        <f>SUBTOTAL(109,DMM_ATZ_LF_LEGACY[U])</f>
        <v>0</v>
      </c>
      <c r="AE3" s="280">
        <f>SUBTOTAL(109,DMM_ATZ_LF_LEGACY[O])</f>
        <v>0</v>
      </c>
      <c r="AF3" s="280">
        <f>SUBTOTAL(109,DMM_ATZ_LF_LEGACY[I])</f>
        <v>0</v>
      </c>
      <c r="AG3" s="280">
        <f>SUBTOTAL(109,DMM_ATZ_LF_LEGACY[E])</f>
        <v>0</v>
      </c>
      <c r="AH3" s="280">
        <f>SUBTOTAL(109,DMM_ATZ_LF_LEGACY[A])</f>
        <v>0</v>
      </c>
      <c r="AI3" s="280">
        <f>SUBTOTAL(109,DMM_ATZ_LF_LEGACY[P])</f>
        <v>0</v>
      </c>
      <c r="AJ3" s="280">
        <f>SUBTOTAL(103,DMM_ATZ_LF_LEGACY[N])</f>
        <v>0</v>
      </c>
    </row>
  </sheetData>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84.332031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820</v>
      </c>
      <c r="G2" s="102"/>
      <c r="H2" s="104"/>
    </row>
    <row r="3" spans="1:8" ht="19.8" customHeight="1" x14ac:dyDescent="0.3">
      <c r="A3" s="60" t="s">
        <v>166</v>
      </c>
      <c r="B3" s="61" t="s">
        <v>26</v>
      </c>
      <c r="C3" s="62" t="s">
        <v>751</v>
      </c>
      <c r="D3" s="61" t="s">
        <v>750</v>
      </c>
      <c r="E3" s="61" t="s">
        <v>739</v>
      </c>
      <c r="F3" s="61" t="s">
        <v>28</v>
      </c>
      <c r="G3" s="63">
        <v>10</v>
      </c>
      <c r="H3" s="64">
        <v>649</v>
      </c>
    </row>
    <row r="4" spans="1:8" ht="19.8" customHeight="1" x14ac:dyDescent="0.3">
      <c r="A4" s="60" t="s">
        <v>166</v>
      </c>
      <c r="B4" s="61" t="s">
        <v>26</v>
      </c>
      <c r="C4" s="62" t="s">
        <v>751</v>
      </c>
      <c r="D4" s="61" t="s">
        <v>750</v>
      </c>
      <c r="E4" s="61" t="s">
        <v>739</v>
      </c>
      <c r="F4" s="61" t="s">
        <v>31</v>
      </c>
      <c r="G4" s="63">
        <v>10</v>
      </c>
      <c r="H4" s="64">
        <v>799</v>
      </c>
    </row>
    <row r="5" spans="1:8" ht="19.8" customHeight="1" x14ac:dyDescent="0.3">
      <c r="A5" s="60" t="s">
        <v>166</v>
      </c>
      <c r="B5" s="61" t="s">
        <v>36</v>
      </c>
      <c r="C5" s="62" t="s">
        <v>754</v>
      </c>
      <c r="D5" s="61" t="s">
        <v>750</v>
      </c>
      <c r="E5" s="61" t="s">
        <v>804</v>
      </c>
      <c r="F5" s="61" t="s">
        <v>38</v>
      </c>
      <c r="G5" s="63">
        <v>9</v>
      </c>
      <c r="H5" s="64">
        <v>809</v>
      </c>
    </row>
    <row r="6" spans="1:8" ht="19.8" customHeight="1" x14ac:dyDescent="0.3">
      <c r="A6" s="60" t="s">
        <v>166</v>
      </c>
      <c r="B6" s="61" t="s">
        <v>26</v>
      </c>
      <c r="C6" s="62" t="s">
        <v>751</v>
      </c>
      <c r="D6" s="61" t="s">
        <v>750</v>
      </c>
      <c r="E6" s="61" t="s">
        <v>739</v>
      </c>
      <c r="F6" s="61" t="s">
        <v>34</v>
      </c>
      <c r="G6" s="63">
        <v>10</v>
      </c>
      <c r="H6" s="64">
        <v>899</v>
      </c>
    </row>
    <row r="7" spans="1:8" ht="19.8" customHeight="1" x14ac:dyDescent="0.3">
      <c r="A7" s="60" t="s">
        <v>166</v>
      </c>
      <c r="B7" s="61" t="s">
        <v>36</v>
      </c>
      <c r="C7" s="62" t="s">
        <v>754</v>
      </c>
      <c r="D7" s="61" t="s">
        <v>750</v>
      </c>
      <c r="E7" s="61" t="s">
        <v>804</v>
      </c>
      <c r="F7" s="61" t="s">
        <v>41</v>
      </c>
      <c r="G7" s="63">
        <v>9</v>
      </c>
      <c r="H7" s="64">
        <v>909</v>
      </c>
    </row>
    <row r="8" spans="1:8" ht="19.8" customHeight="1" x14ac:dyDescent="0.3">
      <c r="A8" s="60" t="s">
        <v>166</v>
      </c>
      <c r="B8" s="61" t="s">
        <v>261</v>
      </c>
      <c r="C8" s="62" t="s">
        <v>759</v>
      </c>
      <c r="D8" s="61" t="s">
        <v>750</v>
      </c>
      <c r="E8" s="61" t="s">
        <v>805</v>
      </c>
      <c r="F8" s="61" t="s">
        <v>263</v>
      </c>
      <c r="G8" s="63">
        <v>5</v>
      </c>
      <c r="H8" s="64">
        <v>916</v>
      </c>
    </row>
    <row r="9" spans="1:8" ht="19.8" customHeight="1" x14ac:dyDescent="0.3">
      <c r="A9" s="60" t="s">
        <v>166</v>
      </c>
      <c r="B9" s="61" t="s">
        <v>36</v>
      </c>
      <c r="C9" s="62" t="s">
        <v>756</v>
      </c>
      <c r="D9" s="61" t="s">
        <v>750</v>
      </c>
      <c r="E9" s="61" t="s">
        <v>806</v>
      </c>
      <c r="F9" s="61" t="s">
        <v>38</v>
      </c>
      <c r="G9" s="63">
        <v>4</v>
      </c>
      <c r="H9" s="64">
        <v>929</v>
      </c>
    </row>
    <row r="10" spans="1:8" ht="19.8" customHeight="1" x14ac:dyDescent="0.3">
      <c r="A10" s="60" t="s">
        <v>166</v>
      </c>
      <c r="B10" s="61" t="s">
        <v>36</v>
      </c>
      <c r="C10" s="62" t="s">
        <v>754</v>
      </c>
      <c r="D10" s="61" t="s">
        <v>750</v>
      </c>
      <c r="E10" s="61" t="s">
        <v>804</v>
      </c>
      <c r="F10" s="61" t="s">
        <v>43</v>
      </c>
      <c r="G10" s="63">
        <v>9</v>
      </c>
      <c r="H10" s="64">
        <v>999</v>
      </c>
    </row>
    <row r="11" spans="1:8" ht="19.8" customHeight="1" x14ac:dyDescent="0.3">
      <c r="A11" s="60" t="s">
        <v>166</v>
      </c>
      <c r="B11" s="61" t="s">
        <v>273</v>
      </c>
      <c r="C11" s="62" t="s">
        <v>763</v>
      </c>
      <c r="D11" s="61" t="s">
        <v>750</v>
      </c>
      <c r="E11" s="61" t="s">
        <v>807</v>
      </c>
      <c r="F11" s="61" t="s">
        <v>263</v>
      </c>
      <c r="G11" s="63">
        <v>9</v>
      </c>
      <c r="H11" s="65" t="s">
        <v>764</v>
      </c>
    </row>
    <row r="12" spans="1:8" ht="19.8" customHeight="1" x14ac:dyDescent="0.3">
      <c r="A12" s="116" t="s">
        <v>166</v>
      </c>
      <c r="B12" s="73" t="s">
        <v>273</v>
      </c>
      <c r="C12" s="74" t="s">
        <v>765</v>
      </c>
      <c r="D12" s="73" t="s">
        <v>750</v>
      </c>
      <c r="E12" s="73" t="s">
        <v>808</v>
      </c>
      <c r="F12" s="73" t="s">
        <v>263</v>
      </c>
      <c r="G12" s="76">
        <v>9</v>
      </c>
      <c r="H12" s="77" t="s">
        <v>764</v>
      </c>
    </row>
    <row r="13" spans="1:8" ht="19.8" customHeight="1" x14ac:dyDescent="0.3">
      <c r="A13" s="96" t="s">
        <v>222</v>
      </c>
      <c r="B13" s="97" t="s">
        <v>80</v>
      </c>
      <c r="C13" s="98" t="s">
        <v>810</v>
      </c>
      <c r="D13" s="97" t="s">
        <v>809</v>
      </c>
      <c r="E13" s="97" t="s">
        <v>491</v>
      </c>
      <c r="F13" s="97" t="s">
        <v>182</v>
      </c>
      <c r="G13" s="99">
        <v>4</v>
      </c>
      <c r="H13" s="100">
        <v>741</v>
      </c>
    </row>
    <row r="14" spans="1:8" ht="19.8" customHeight="1" x14ac:dyDescent="0.3">
      <c r="A14" s="101"/>
      <c r="B14" s="102"/>
      <c r="C14" s="102"/>
      <c r="D14" s="102"/>
      <c r="E14" s="102"/>
      <c r="F14" s="103" t="s">
        <v>820</v>
      </c>
      <c r="G14" s="102"/>
      <c r="H14" s="104"/>
    </row>
    <row r="15" spans="1:8" ht="19.8" customHeight="1" x14ac:dyDescent="0.3">
      <c r="A15" s="70">
        <v>45982</v>
      </c>
      <c r="B15" s="61" t="s">
        <v>26</v>
      </c>
      <c r="C15" s="62" t="s">
        <v>751</v>
      </c>
      <c r="D15" s="61" t="s">
        <v>750</v>
      </c>
      <c r="E15" s="71">
        <v>1.305555555555556</v>
      </c>
      <c r="F15" s="61" t="s">
        <v>28</v>
      </c>
      <c r="G15" s="63">
        <v>9</v>
      </c>
      <c r="H15" s="64">
        <v>749</v>
      </c>
    </row>
    <row r="16" spans="1:8" ht="19.8" customHeight="1" x14ac:dyDescent="0.3">
      <c r="A16" s="70">
        <v>45982</v>
      </c>
      <c r="B16" s="61" t="s">
        <v>36</v>
      </c>
      <c r="C16" s="62" t="s">
        <v>756</v>
      </c>
      <c r="D16" s="61" t="s">
        <v>750</v>
      </c>
      <c r="E16" s="71">
        <v>1.833333333333333</v>
      </c>
      <c r="F16" s="61" t="s">
        <v>38</v>
      </c>
      <c r="G16" s="63">
        <v>9</v>
      </c>
      <c r="H16" s="64">
        <v>809</v>
      </c>
    </row>
    <row r="17" spans="1:8" ht="19.8" customHeight="1" x14ac:dyDescent="0.3">
      <c r="A17" s="70">
        <v>45982</v>
      </c>
      <c r="B17" s="61" t="s">
        <v>261</v>
      </c>
      <c r="C17" s="62" t="s">
        <v>776</v>
      </c>
      <c r="D17" s="61" t="s">
        <v>750</v>
      </c>
      <c r="E17" s="71">
        <v>1.2152777777777779</v>
      </c>
      <c r="F17" s="61" t="s">
        <v>263</v>
      </c>
      <c r="G17" s="63">
        <v>2</v>
      </c>
      <c r="H17" s="64">
        <v>813</v>
      </c>
    </row>
    <row r="18" spans="1:8" ht="19.8" customHeight="1" x14ac:dyDescent="0.3">
      <c r="A18" s="70">
        <v>45982</v>
      </c>
      <c r="B18" s="61" t="s">
        <v>26</v>
      </c>
      <c r="C18" s="62" t="s">
        <v>751</v>
      </c>
      <c r="D18" s="61" t="s">
        <v>750</v>
      </c>
      <c r="E18" s="71">
        <v>1.305555555555556</v>
      </c>
      <c r="F18" s="61" t="s">
        <v>31</v>
      </c>
      <c r="G18" s="63">
        <v>9</v>
      </c>
      <c r="H18" s="64">
        <v>899</v>
      </c>
    </row>
    <row r="19" spans="1:8" ht="19.8" customHeight="1" x14ac:dyDescent="0.3">
      <c r="A19" s="70">
        <v>45982</v>
      </c>
      <c r="B19" s="61" t="s">
        <v>36</v>
      </c>
      <c r="C19" s="62" t="s">
        <v>756</v>
      </c>
      <c r="D19" s="61" t="s">
        <v>750</v>
      </c>
      <c r="E19" s="71">
        <v>1.833333333333333</v>
      </c>
      <c r="F19" s="61" t="s">
        <v>41</v>
      </c>
      <c r="G19" s="63">
        <v>9</v>
      </c>
      <c r="H19" s="64">
        <v>909</v>
      </c>
    </row>
    <row r="20" spans="1:8" ht="19.8" customHeight="1" x14ac:dyDescent="0.3">
      <c r="A20" s="70">
        <v>45982</v>
      </c>
      <c r="B20" s="61" t="s">
        <v>36</v>
      </c>
      <c r="C20" s="62" t="s">
        <v>756</v>
      </c>
      <c r="D20" s="61" t="s">
        <v>750</v>
      </c>
      <c r="E20" s="71">
        <v>1.833333333333333</v>
      </c>
      <c r="F20" s="61" t="s">
        <v>43</v>
      </c>
      <c r="G20" s="63">
        <v>9</v>
      </c>
      <c r="H20" s="64">
        <v>999</v>
      </c>
    </row>
    <row r="21" spans="1:8" ht="19.8" customHeight="1" x14ac:dyDescent="0.3">
      <c r="A21" s="70">
        <v>45982</v>
      </c>
      <c r="B21" s="61" t="s">
        <v>26</v>
      </c>
      <c r="C21" s="62" t="s">
        <v>751</v>
      </c>
      <c r="D21" s="61" t="s">
        <v>750</v>
      </c>
      <c r="E21" s="71">
        <v>1.305555555555556</v>
      </c>
      <c r="F21" s="61" t="s">
        <v>34</v>
      </c>
      <c r="G21" s="63">
        <v>9</v>
      </c>
      <c r="H21" s="65" t="s">
        <v>775</v>
      </c>
    </row>
    <row r="22" spans="1:8" ht="19.8" customHeight="1" x14ac:dyDescent="0.3">
      <c r="A22" s="70">
        <v>45982</v>
      </c>
      <c r="B22" s="61" t="s">
        <v>80</v>
      </c>
      <c r="C22" s="62" t="s">
        <v>766</v>
      </c>
      <c r="D22" s="61" t="s">
        <v>750</v>
      </c>
      <c r="E22" s="71">
        <v>1.5798611111111109</v>
      </c>
      <c r="F22" s="61" t="s">
        <v>182</v>
      </c>
      <c r="G22" s="63">
        <v>7</v>
      </c>
      <c r="H22" s="65" t="s">
        <v>778</v>
      </c>
    </row>
    <row r="23" spans="1:8" ht="19.8" customHeight="1" x14ac:dyDescent="0.3">
      <c r="A23" s="70">
        <v>45982</v>
      </c>
      <c r="B23" s="61" t="s">
        <v>64</v>
      </c>
      <c r="C23" s="62" t="s">
        <v>770</v>
      </c>
      <c r="D23" s="61" t="s">
        <v>750</v>
      </c>
      <c r="E23" s="71">
        <v>1.305555555555556</v>
      </c>
      <c r="F23" s="61" t="s">
        <v>68</v>
      </c>
      <c r="G23" s="63">
        <v>4</v>
      </c>
      <c r="H23" s="65" t="s">
        <v>781</v>
      </c>
    </row>
    <row r="24" spans="1:8" ht="19.8" customHeight="1" x14ac:dyDescent="0.3">
      <c r="A24" s="72">
        <v>45982</v>
      </c>
      <c r="B24" s="73" t="s">
        <v>51</v>
      </c>
      <c r="C24" s="74" t="s">
        <v>782</v>
      </c>
      <c r="D24" s="73" t="s">
        <v>750</v>
      </c>
      <c r="E24" s="75">
        <v>1.864583333333333</v>
      </c>
      <c r="F24" s="73" t="s">
        <v>53</v>
      </c>
      <c r="G24" s="76">
        <v>7</v>
      </c>
      <c r="H24" s="77" t="s">
        <v>773</v>
      </c>
    </row>
    <row r="25" spans="1:8" ht="19.8" customHeight="1" x14ac:dyDescent="0.3">
      <c r="A25" s="101"/>
      <c r="B25" s="102"/>
      <c r="C25" s="102"/>
      <c r="D25" s="102"/>
      <c r="E25" s="102"/>
      <c r="F25" s="103" t="s">
        <v>820</v>
      </c>
      <c r="G25" s="102"/>
      <c r="H25" s="104"/>
    </row>
    <row r="26" spans="1:8" ht="19.8" customHeight="1" x14ac:dyDescent="0.3">
      <c r="A26" s="70">
        <v>45983</v>
      </c>
      <c r="B26" s="61" t="s">
        <v>269</v>
      </c>
      <c r="C26" s="62" t="s">
        <v>783</v>
      </c>
      <c r="D26" s="61" t="s">
        <v>750</v>
      </c>
      <c r="E26" s="71">
        <v>1.9722222222222221</v>
      </c>
      <c r="F26" s="61" t="s">
        <v>271</v>
      </c>
      <c r="G26" s="63">
        <v>9</v>
      </c>
      <c r="H26" s="64">
        <v>544</v>
      </c>
    </row>
    <row r="27" spans="1:8" ht="19.8" customHeight="1" x14ac:dyDescent="0.3">
      <c r="A27" s="70">
        <v>45983</v>
      </c>
      <c r="B27" s="61" t="s">
        <v>36</v>
      </c>
      <c r="C27" s="62" t="s">
        <v>756</v>
      </c>
      <c r="D27" s="61" t="s">
        <v>750</v>
      </c>
      <c r="E27" s="71">
        <v>1.833333333333333</v>
      </c>
      <c r="F27" s="61" t="s">
        <v>38</v>
      </c>
      <c r="G27" s="63">
        <v>3</v>
      </c>
      <c r="H27" s="64">
        <v>629</v>
      </c>
    </row>
    <row r="28" spans="1:8" ht="19.8" customHeight="1" x14ac:dyDescent="0.3">
      <c r="A28" s="70">
        <v>45983</v>
      </c>
      <c r="B28" s="61" t="s">
        <v>273</v>
      </c>
      <c r="C28" s="62" t="s">
        <v>765</v>
      </c>
      <c r="D28" s="61" t="s">
        <v>750</v>
      </c>
      <c r="E28" s="71">
        <v>1.895833333333333</v>
      </c>
      <c r="F28" s="61" t="s">
        <v>263</v>
      </c>
      <c r="G28" s="63">
        <v>9</v>
      </c>
      <c r="H28" s="64">
        <v>629</v>
      </c>
    </row>
    <row r="29" spans="1:8" ht="19.8" customHeight="1" x14ac:dyDescent="0.3">
      <c r="A29" s="70">
        <v>45983</v>
      </c>
      <c r="B29" s="61" t="s">
        <v>273</v>
      </c>
      <c r="C29" s="62" t="s">
        <v>787</v>
      </c>
      <c r="D29" s="61" t="s">
        <v>750</v>
      </c>
      <c r="E29" s="71">
        <v>1.006944444444444</v>
      </c>
      <c r="F29" s="61" t="s">
        <v>263</v>
      </c>
      <c r="G29" s="63">
        <v>9</v>
      </c>
      <c r="H29" s="64">
        <v>629</v>
      </c>
    </row>
    <row r="30" spans="1:8" ht="19.8" customHeight="1" x14ac:dyDescent="0.3">
      <c r="A30" s="70">
        <v>45983</v>
      </c>
      <c r="B30" s="61" t="s">
        <v>26</v>
      </c>
      <c r="C30" s="62" t="s">
        <v>751</v>
      </c>
      <c r="D30" s="61" t="s">
        <v>750</v>
      </c>
      <c r="E30" s="71">
        <v>1.305555555555556</v>
      </c>
      <c r="F30" s="61" t="s">
        <v>28</v>
      </c>
      <c r="G30" s="63">
        <v>5</v>
      </c>
      <c r="H30" s="64">
        <v>649</v>
      </c>
    </row>
    <row r="31" spans="1:8" ht="19.8" customHeight="1" x14ac:dyDescent="0.3">
      <c r="A31" s="70">
        <v>45983</v>
      </c>
      <c r="B31" s="61" t="s">
        <v>261</v>
      </c>
      <c r="C31" s="62" t="s">
        <v>761</v>
      </c>
      <c r="D31" s="61" t="s">
        <v>750</v>
      </c>
      <c r="E31" s="71">
        <v>1.1736111111111109</v>
      </c>
      <c r="F31" s="61" t="s">
        <v>263</v>
      </c>
      <c r="G31" s="63">
        <v>4</v>
      </c>
      <c r="H31" s="64">
        <v>656</v>
      </c>
    </row>
    <row r="32" spans="1:8" ht="19.8" customHeight="1" x14ac:dyDescent="0.3">
      <c r="A32" s="70">
        <v>45983</v>
      </c>
      <c r="B32" s="61" t="s">
        <v>36</v>
      </c>
      <c r="C32" s="62" t="s">
        <v>754</v>
      </c>
      <c r="D32" s="61" t="s">
        <v>750</v>
      </c>
      <c r="E32" s="71">
        <v>1.197916666666667</v>
      </c>
      <c r="F32" s="61" t="s">
        <v>38</v>
      </c>
      <c r="G32" s="63">
        <v>9</v>
      </c>
      <c r="H32" s="64">
        <v>709</v>
      </c>
    </row>
    <row r="33" spans="1:8" ht="19.8" customHeight="1" x14ac:dyDescent="0.3">
      <c r="A33" s="70">
        <v>45983</v>
      </c>
      <c r="B33" s="61" t="s">
        <v>36</v>
      </c>
      <c r="C33" s="62" t="s">
        <v>756</v>
      </c>
      <c r="D33" s="61" t="s">
        <v>750</v>
      </c>
      <c r="E33" s="71">
        <v>1.833333333333333</v>
      </c>
      <c r="F33" s="61" t="s">
        <v>41</v>
      </c>
      <c r="G33" s="63">
        <v>3</v>
      </c>
      <c r="H33" s="64">
        <v>729</v>
      </c>
    </row>
    <row r="34" spans="1:8" ht="19.8" customHeight="1" x14ac:dyDescent="0.3">
      <c r="A34" s="70">
        <v>45983</v>
      </c>
      <c r="B34" s="61" t="s">
        <v>269</v>
      </c>
      <c r="C34" s="62" t="s">
        <v>783</v>
      </c>
      <c r="D34" s="61" t="s">
        <v>750</v>
      </c>
      <c r="E34" s="71">
        <v>1.9722222222222221</v>
      </c>
      <c r="F34" s="61" t="s">
        <v>34</v>
      </c>
      <c r="G34" s="63">
        <v>9</v>
      </c>
      <c r="H34" s="64">
        <v>771</v>
      </c>
    </row>
    <row r="35" spans="1:8" ht="19.8" customHeight="1" x14ac:dyDescent="0.3">
      <c r="A35" s="72">
        <v>45983</v>
      </c>
      <c r="B35" s="73" t="s">
        <v>26</v>
      </c>
      <c r="C35" s="74" t="s">
        <v>751</v>
      </c>
      <c r="D35" s="73" t="s">
        <v>750</v>
      </c>
      <c r="E35" s="75">
        <v>1.305555555555556</v>
      </c>
      <c r="F35" s="73" t="s">
        <v>31</v>
      </c>
      <c r="G35" s="76">
        <v>5</v>
      </c>
      <c r="H35" s="105">
        <v>799</v>
      </c>
    </row>
  </sheetData>
  <pageMargins left="0.75" right="0.75" top="1" bottom="1" header="0.5" footer="0.5"/>
  <legacyDrawing r:id="rId1"/>
  <tableParts count="1">
    <tablePart r:id="rId2"/>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184.332031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820</v>
      </c>
      <c r="G2" s="102"/>
      <c r="H2" s="104"/>
    </row>
    <row r="3" spans="1:8" ht="19.8" customHeight="1" x14ac:dyDescent="0.3">
      <c r="A3" s="60" t="s">
        <v>166</v>
      </c>
      <c r="B3" s="61" t="s">
        <v>26</v>
      </c>
      <c r="C3" s="62" t="s">
        <v>751</v>
      </c>
      <c r="D3" s="61" t="s">
        <v>750</v>
      </c>
      <c r="E3" s="61" t="s">
        <v>739</v>
      </c>
      <c r="F3" s="61" t="s">
        <v>28</v>
      </c>
      <c r="G3" s="63">
        <v>10</v>
      </c>
      <c r="H3" s="64">
        <v>649</v>
      </c>
    </row>
    <row r="4" spans="1:8" ht="19.8" customHeight="1" x14ac:dyDescent="0.3">
      <c r="A4" s="60" t="s">
        <v>166</v>
      </c>
      <c r="B4" s="61" t="s">
        <v>26</v>
      </c>
      <c r="C4" s="62" t="s">
        <v>751</v>
      </c>
      <c r="D4" s="61" t="s">
        <v>750</v>
      </c>
      <c r="E4" s="61" t="s">
        <v>739</v>
      </c>
      <c r="F4" s="61" t="s">
        <v>31</v>
      </c>
      <c r="G4" s="63">
        <v>10</v>
      </c>
      <c r="H4" s="64">
        <v>799</v>
      </c>
    </row>
    <row r="5" spans="1:8" ht="19.8" customHeight="1" x14ac:dyDescent="0.3">
      <c r="A5" s="60" t="s">
        <v>166</v>
      </c>
      <c r="B5" s="61" t="s">
        <v>36</v>
      </c>
      <c r="C5" s="62" t="s">
        <v>754</v>
      </c>
      <c r="D5" s="61" t="s">
        <v>750</v>
      </c>
      <c r="E5" s="61" t="s">
        <v>804</v>
      </c>
      <c r="F5" s="61" t="s">
        <v>38</v>
      </c>
      <c r="G5" s="63">
        <v>9</v>
      </c>
      <c r="H5" s="64">
        <v>809</v>
      </c>
    </row>
    <row r="6" spans="1:8" ht="19.8" customHeight="1" x14ac:dyDescent="0.3">
      <c r="A6" s="60" t="s">
        <v>166</v>
      </c>
      <c r="B6" s="61" t="s">
        <v>26</v>
      </c>
      <c r="C6" s="62" t="s">
        <v>751</v>
      </c>
      <c r="D6" s="61" t="s">
        <v>750</v>
      </c>
      <c r="E6" s="61" t="s">
        <v>739</v>
      </c>
      <c r="F6" s="61" t="s">
        <v>34</v>
      </c>
      <c r="G6" s="63">
        <v>10</v>
      </c>
      <c r="H6" s="64">
        <v>899</v>
      </c>
    </row>
    <row r="7" spans="1:8" ht="19.8" customHeight="1" x14ac:dyDescent="0.3">
      <c r="A7" s="60" t="s">
        <v>166</v>
      </c>
      <c r="B7" s="61" t="s">
        <v>36</v>
      </c>
      <c r="C7" s="62" t="s">
        <v>754</v>
      </c>
      <c r="D7" s="61" t="s">
        <v>750</v>
      </c>
      <c r="E7" s="61" t="s">
        <v>804</v>
      </c>
      <c r="F7" s="61" t="s">
        <v>41</v>
      </c>
      <c r="G7" s="63">
        <v>9</v>
      </c>
      <c r="H7" s="64">
        <v>909</v>
      </c>
    </row>
    <row r="8" spans="1:8" ht="19.8" customHeight="1" x14ac:dyDescent="0.3">
      <c r="A8" s="60" t="s">
        <v>166</v>
      </c>
      <c r="B8" s="61" t="s">
        <v>261</v>
      </c>
      <c r="C8" s="62" t="s">
        <v>759</v>
      </c>
      <c r="D8" s="61" t="s">
        <v>750</v>
      </c>
      <c r="E8" s="61" t="s">
        <v>805</v>
      </c>
      <c r="F8" s="61" t="s">
        <v>263</v>
      </c>
      <c r="G8" s="63">
        <v>5</v>
      </c>
      <c r="H8" s="64">
        <v>916</v>
      </c>
    </row>
    <row r="9" spans="1:8" ht="19.8" customHeight="1" x14ac:dyDescent="0.3">
      <c r="A9" s="60" t="s">
        <v>166</v>
      </c>
      <c r="B9" s="61" t="s">
        <v>36</v>
      </c>
      <c r="C9" s="62" t="s">
        <v>756</v>
      </c>
      <c r="D9" s="61" t="s">
        <v>750</v>
      </c>
      <c r="E9" s="61" t="s">
        <v>806</v>
      </c>
      <c r="F9" s="61" t="s">
        <v>38</v>
      </c>
      <c r="G9" s="63">
        <v>4</v>
      </c>
      <c r="H9" s="64">
        <v>929</v>
      </c>
    </row>
    <row r="10" spans="1:8" ht="19.8" customHeight="1" x14ac:dyDescent="0.3">
      <c r="A10" s="60" t="s">
        <v>166</v>
      </c>
      <c r="B10" s="61" t="s">
        <v>36</v>
      </c>
      <c r="C10" s="62" t="s">
        <v>754</v>
      </c>
      <c r="D10" s="61" t="s">
        <v>750</v>
      </c>
      <c r="E10" s="61" t="s">
        <v>804</v>
      </c>
      <c r="F10" s="61" t="s">
        <v>43</v>
      </c>
      <c r="G10" s="63">
        <v>9</v>
      </c>
      <c r="H10" s="64">
        <v>999</v>
      </c>
    </row>
    <row r="11" spans="1:8" ht="19.8" customHeight="1" x14ac:dyDescent="0.3">
      <c r="A11" s="60" t="s">
        <v>166</v>
      </c>
      <c r="B11" s="61" t="s">
        <v>273</v>
      </c>
      <c r="C11" s="62" t="s">
        <v>763</v>
      </c>
      <c r="D11" s="61" t="s">
        <v>750</v>
      </c>
      <c r="E11" s="61" t="s">
        <v>807</v>
      </c>
      <c r="F11" s="61" t="s">
        <v>263</v>
      </c>
      <c r="G11" s="63">
        <v>9</v>
      </c>
      <c r="H11" s="65" t="s">
        <v>764</v>
      </c>
    </row>
    <row r="12" spans="1:8" ht="19.8" customHeight="1" x14ac:dyDescent="0.3">
      <c r="A12" s="116" t="s">
        <v>166</v>
      </c>
      <c r="B12" s="73" t="s">
        <v>273</v>
      </c>
      <c r="C12" s="74" t="s">
        <v>765</v>
      </c>
      <c r="D12" s="73" t="s">
        <v>750</v>
      </c>
      <c r="E12" s="73" t="s">
        <v>808</v>
      </c>
      <c r="F12" s="73" t="s">
        <v>263</v>
      </c>
      <c r="G12" s="76">
        <v>9</v>
      </c>
      <c r="H12" s="77" t="s">
        <v>764</v>
      </c>
    </row>
    <row r="13" spans="1:8" ht="19.8" customHeight="1" x14ac:dyDescent="0.3">
      <c r="A13" s="96" t="s">
        <v>222</v>
      </c>
      <c r="B13" s="97" t="s">
        <v>80</v>
      </c>
      <c r="C13" s="98" t="s">
        <v>810</v>
      </c>
      <c r="D13" s="97" t="s">
        <v>809</v>
      </c>
      <c r="E13" s="97" t="s">
        <v>491</v>
      </c>
      <c r="F13" s="97" t="s">
        <v>182</v>
      </c>
      <c r="G13" s="99">
        <v>4</v>
      </c>
      <c r="H13" s="100">
        <v>741</v>
      </c>
    </row>
    <row r="14" spans="1:8" ht="19.8" customHeight="1" x14ac:dyDescent="0.3">
      <c r="A14" s="101"/>
      <c r="B14" s="102"/>
      <c r="C14" s="102"/>
      <c r="D14" s="102"/>
      <c r="E14" s="102"/>
      <c r="F14" s="103" t="s">
        <v>820</v>
      </c>
      <c r="G14" s="102"/>
      <c r="H14" s="104"/>
    </row>
    <row r="15" spans="1:8" ht="19.8" customHeight="1" x14ac:dyDescent="0.3">
      <c r="A15" s="70">
        <v>45982</v>
      </c>
      <c r="B15" s="61" t="s">
        <v>26</v>
      </c>
      <c r="C15" s="62" t="s">
        <v>751</v>
      </c>
      <c r="D15" s="61" t="s">
        <v>750</v>
      </c>
      <c r="E15" s="71">
        <v>1.305555555555556</v>
      </c>
      <c r="F15" s="61" t="s">
        <v>28</v>
      </c>
      <c r="G15" s="63">
        <v>9</v>
      </c>
      <c r="H15" s="64">
        <v>749</v>
      </c>
    </row>
    <row r="16" spans="1:8" ht="19.8" customHeight="1" x14ac:dyDescent="0.3">
      <c r="A16" s="70">
        <v>45982</v>
      </c>
      <c r="B16" s="61" t="s">
        <v>36</v>
      </c>
      <c r="C16" s="62" t="s">
        <v>756</v>
      </c>
      <c r="D16" s="61" t="s">
        <v>750</v>
      </c>
      <c r="E16" s="71">
        <v>1.833333333333333</v>
      </c>
      <c r="F16" s="61" t="s">
        <v>38</v>
      </c>
      <c r="G16" s="63">
        <v>9</v>
      </c>
      <c r="H16" s="64">
        <v>809</v>
      </c>
    </row>
    <row r="17" spans="1:8" ht="19.8" customHeight="1" x14ac:dyDescent="0.3">
      <c r="A17" s="70">
        <v>45982</v>
      </c>
      <c r="B17" s="61" t="s">
        <v>261</v>
      </c>
      <c r="C17" s="62" t="s">
        <v>776</v>
      </c>
      <c r="D17" s="61" t="s">
        <v>750</v>
      </c>
      <c r="E17" s="71">
        <v>1.2152777777777779</v>
      </c>
      <c r="F17" s="61" t="s">
        <v>263</v>
      </c>
      <c r="G17" s="63">
        <v>2</v>
      </c>
      <c r="H17" s="64">
        <v>813</v>
      </c>
    </row>
    <row r="18" spans="1:8" ht="19.8" customHeight="1" x14ac:dyDescent="0.3">
      <c r="A18" s="70">
        <v>45982</v>
      </c>
      <c r="B18" s="61" t="s">
        <v>26</v>
      </c>
      <c r="C18" s="62" t="s">
        <v>751</v>
      </c>
      <c r="D18" s="61" t="s">
        <v>750</v>
      </c>
      <c r="E18" s="71">
        <v>1.305555555555556</v>
      </c>
      <c r="F18" s="61" t="s">
        <v>31</v>
      </c>
      <c r="G18" s="63">
        <v>9</v>
      </c>
      <c r="H18" s="64">
        <v>899</v>
      </c>
    </row>
    <row r="19" spans="1:8" ht="19.8" customHeight="1" x14ac:dyDescent="0.3">
      <c r="A19" s="70">
        <v>45982</v>
      </c>
      <c r="B19" s="61" t="s">
        <v>36</v>
      </c>
      <c r="C19" s="62" t="s">
        <v>756</v>
      </c>
      <c r="D19" s="61" t="s">
        <v>750</v>
      </c>
      <c r="E19" s="71">
        <v>1.833333333333333</v>
      </c>
      <c r="F19" s="61" t="s">
        <v>41</v>
      </c>
      <c r="G19" s="63">
        <v>9</v>
      </c>
      <c r="H19" s="64">
        <v>909</v>
      </c>
    </row>
    <row r="20" spans="1:8" ht="19.8" customHeight="1" x14ac:dyDescent="0.3">
      <c r="A20" s="70">
        <v>45982</v>
      </c>
      <c r="B20" s="61" t="s">
        <v>36</v>
      </c>
      <c r="C20" s="62" t="s">
        <v>756</v>
      </c>
      <c r="D20" s="61" t="s">
        <v>750</v>
      </c>
      <c r="E20" s="71">
        <v>1.833333333333333</v>
      </c>
      <c r="F20" s="61" t="s">
        <v>43</v>
      </c>
      <c r="G20" s="63">
        <v>9</v>
      </c>
      <c r="H20" s="64">
        <v>999</v>
      </c>
    </row>
    <row r="21" spans="1:8" ht="19.8" customHeight="1" x14ac:dyDescent="0.3">
      <c r="A21" s="70">
        <v>45982</v>
      </c>
      <c r="B21" s="61" t="s">
        <v>26</v>
      </c>
      <c r="C21" s="62" t="s">
        <v>751</v>
      </c>
      <c r="D21" s="61" t="s">
        <v>750</v>
      </c>
      <c r="E21" s="71">
        <v>1.305555555555556</v>
      </c>
      <c r="F21" s="61" t="s">
        <v>34</v>
      </c>
      <c r="G21" s="63">
        <v>9</v>
      </c>
      <c r="H21" s="65" t="s">
        <v>775</v>
      </c>
    </row>
    <row r="22" spans="1:8" ht="19.8" customHeight="1" x14ac:dyDescent="0.3">
      <c r="A22" s="70">
        <v>45982</v>
      </c>
      <c r="B22" s="61" t="s">
        <v>80</v>
      </c>
      <c r="C22" s="62" t="s">
        <v>766</v>
      </c>
      <c r="D22" s="61" t="s">
        <v>750</v>
      </c>
      <c r="E22" s="71">
        <v>1.5798611111111109</v>
      </c>
      <c r="F22" s="61" t="s">
        <v>182</v>
      </c>
      <c r="G22" s="63">
        <v>7</v>
      </c>
      <c r="H22" s="65" t="s">
        <v>778</v>
      </c>
    </row>
    <row r="23" spans="1:8" ht="19.8" customHeight="1" x14ac:dyDescent="0.3">
      <c r="A23" s="70">
        <v>45982</v>
      </c>
      <c r="B23" s="61" t="s">
        <v>64</v>
      </c>
      <c r="C23" s="62" t="s">
        <v>770</v>
      </c>
      <c r="D23" s="61" t="s">
        <v>750</v>
      </c>
      <c r="E23" s="71">
        <v>1.305555555555556</v>
      </c>
      <c r="F23" s="61" t="s">
        <v>68</v>
      </c>
      <c r="G23" s="63">
        <v>4</v>
      </c>
      <c r="H23" s="65" t="s">
        <v>781</v>
      </c>
    </row>
    <row r="24" spans="1:8" ht="19.8" customHeight="1" x14ac:dyDescent="0.3">
      <c r="A24" s="72">
        <v>45982</v>
      </c>
      <c r="B24" s="73" t="s">
        <v>51</v>
      </c>
      <c r="C24" s="74" t="s">
        <v>782</v>
      </c>
      <c r="D24" s="73" t="s">
        <v>750</v>
      </c>
      <c r="E24" s="75">
        <v>1.864583333333333</v>
      </c>
      <c r="F24" s="73" t="s">
        <v>53</v>
      </c>
      <c r="G24" s="76">
        <v>7</v>
      </c>
      <c r="H24" s="77" t="s">
        <v>773</v>
      </c>
    </row>
    <row r="25" spans="1:8" ht="19.8" customHeight="1" x14ac:dyDescent="0.3">
      <c r="A25" s="101"/>
      <c r="B25" s="102"/>
      <c r="C25" s="102"/>
      <c r="D25" s="102"/>
      <c r="E25" s="102"/>
      <c r="F25" s="103" t="s">
        <v>820</v>
      </c>
      <c r="G25" s="102"/>
      <c r="H25" s="104"/>
    </row>
    <row r="26" spans="1:8" ht="19.8" customHeight="1" x14ac:dyDescent="0.3">
      <c r="A26" s="70">
        <v>45983</v>
      </c>
      <c r="B26" s="61" t="s">
        <v>269</v>
      </c>
      <c r="C26" s="62" t="s">
        <v>783</v>
      </c>
      <c r="D26" s="61" t="s">
        <v>750</v>
      </c>
      <c r="E26" s="71">
        <v>1.9722222222222221</v>
      </c>
      <c r="F26" s="61" t="s">
        <v>271</v>
      </c>
      <c r="G26" s="63">
        <v>9</v>
      </c>
      <c r="H26" s="64">
        <v>544</v>
      </c>
    </row>
    <row r="27" spans="1:8" ht="19.8" customHeight="1" x14ac:dyDescent="0.3">
      <c r="A27" s="70">
        <v>45983</v>
      </c>
      <c r="B27" s="61" t="s">
        <v>36</v>
      </c>
      <c r="C27" s="62" t="s">
        <v>756</v>
      </c>
      <c r="D27" s="61" t="s">
        <v>750</v>
      </c>
      <c r="E27" s="71">
        <v>1.833333333333333</v>
      </c>
      <c r="F27" s="61" t="s">
        <v>38</v>
      </c>
      <c r="G27" s="63">
        <v>3</v>
      </c>
      <c r="H27" s="64">
        <v>629</v>
      </c>
    </row>
    <row r="28" spans="1:8" ht="19.8" customHeight="1" x14ac:dyDescent="0.3">
      <c r="A28" s="70">
        <v>45983</v>
      </c>
      <c r="B28" s="61" t="s">
        <v>273</v>
      </c>
      <c r="C28" s="62" t="s">
        <v>765</v>
      </c>
      <c r="D28" s="61" t="s">
        <v>750</v>
      </c>
      <c r="E28" s="71">
        <v>1.895833333333333</v>
      </c>
      <c r="F28" s="61" t="s">
        <v>263</v>
      </c>
      <c r="G28" s="63">
        <v>9</v>
      </c>
      <c r="H28" s="64">
        <v>629</v>
      </c>
    </row>
    <row r="29" spans="1:8" ht="19.8" customHeight="1" x14ac:dyDescent="0.3">
      <c r="A29" s="70">
        <v>45983</v>
      </c>
      <c r="B29" s="61" t="s">
        <v>273</v>
      </c>
      <c r="C29" s="62" t="s">
        <v>787</v>
      </c>
      <c r="D29" s="61" t="s">
        <v>750</v>
      </c>
      <c r="E29" s="71">
        <v>1.006944444444444</v>
      </c>
      <c r="F29" s="61" t="s">
        <v>263</v>
      </c>
      <c r="G29" s="63">
        <v>9</v>
      </c>
      <c r="H29" s="64">
        <v>629</v>
      </c>
    </row>
    <row r="30" spans="1:8" ht="19.8" customHeight="1" x14ac:dyDescent="0.3">
      <c r="A30" s="70">
        <v>45983</v>
      </c>
      <c r="B30" s="61" t="s">
        <v>26</v>
      </c>
      <c r="C30" s="62" t="s">
        <v>751</v>
      </c>
      <c r="D30" s="61" t="s">
        <v>750</v>
      </c>
      <c r="E30" s="71">
        <v>1.305555555555556</v>
      </c>
      <c r="F30" s="61" t="s">
        <v>28</v>
      </c>
      <c r="G30" s="63">
        <v>5</v>
      </c>
      <c r="H30" s="64">
        <v>649</v>
      </c>
    </row>
    <row r="31" spans="1:8" ht="19.8" customHeight="1" x14ac:dyDescent="0.3">
      <c r="A31" s="70">
        <v>45983</v>
      </c>
      <c r="B31" s="61" t="s">
        <v>261</v>
      </c>
      <c r="C31" s="62" t="s">
        <v>761</v>
      </c>
      <c r="D31" s="61" t="s">
        <v>750</v>
      </c>
      <c r="E31" s="71">
        <v>1.1736111111111109</v>
      </c>
      <c r="F31" s="61" t="s">
        <v>263</v>
      </c>
      <c r="G31" s="63">
        <v>4</v>
      </c>
      <c r="H31" s="64">
        <v>656</v>
      </c>
    </row>
    <row r="32" spans="1:8" ht="19.8" customHeight="1" x14ac:dyDescent="0.3">
      <c r="A32" s="70">
        <v>45983</v>
      </c>
      <c r="B32" s="61" t="s">
        <v>36</v>
      </c>
      <c r="C32" s="62" t="s">
        <v>754</v>
      </c>
      <c r="D32" s="61" t="s">
        <v>750</v>
      </c>
      <c r="E32" s="71">
        <v>1.197916666666667</v>
      </c>
      <c r="F32" s="61" t="s">
        <v>38</v>
      </c>
      <c r="G32" s="63">
        <v>9</v>
      </c>
      <c r="H32" s="64">
        <v>709</v>
      </c>
    </row>
    <row r="33" spans="1:8" ht="19.8" customHeight="1" x14ac:dyDescent="0.3">
      <c r="A33" s="70">
        <v>45983</v>
      </c>
      <c r="B33" s="61" t="s">
        <v>36</v>
      </c>
      <c r="C33" s="62" t="s">
        <v>756</v>
      </c>
      <c r="D33" s="61" t="s">
        <v>750</v>
      </c>
      <c r="E33" s="71">
        <v>1.833333333333333</v>
      </c>
      <c r="F33" s="61" t="s">
        <v>41</v>
      </c>
      <c r="G33" s="63">
        <v>3</v>
      </c>
      <c r="H33" s="64">
        <v>729</v>
      </c>
    </row>
    <row r="34" spans="1:8" ht="19.8" customHeight="1" x14ac:dyDescent="0.3">
      <c r="A34" s="70">
        <v>45983</v>
      </c>
      <c r="B34" s="61" t="s">
        <v>269</v>
      </c>
      <c r="C34" s="62" t="s">
        <v>783</v>
      </c>
      <c r="D34" s="61" t="s">
        <v>750</v>
      </c>
      <c r="E34" s="71">
        <v>1.9722222222222221</v>
      </c>
      <c r="F34" s="61" t="s">
        <v>34</v>
      </c>
      <c r="G34" s="63">
        <v>9</v>
      </c>
      <c r="H34" s="64">
        <v>771</v>
      </c>
    </row>
    <row r="35" spans="1:8" ht="19.8" customHeight="1" x14ac:dyDescent="0.3">
      <c r="A35" s="72">
        <v>45983</v>
      </c>
      <c r="B35" s="73" t="s">
        <v>26</v>
      </c>
      <c r="C35" s="74" t="s">
        <v>751</v>
      </c>
      <c r="D35" s="73" t="s">
        <v>750</v>
      </c>
      <c r="E35" s="75">
        <v>1.305555555555556</v>
      </c>
      <c r="F35" s="73" t="s">
        <v>31</v>
      </c>
      <c r="G35" s="76">
        <v>5</v>
      </c>
      <c r="H35" s="105">
        <v>799</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0.6640625" bestFit="1" customWidth="1"/>
  </cols>
  <sheetData>
    <row r="1" spans="1:92" ht="28.8" customHeight="1" x14ac:dyDescent="0.3">
      <c r="A1" s="257" t="s">
        <v>0</v>
      </c>
      <c r="B1" s="248"/>
      <c r="C1" s="248"/>
      <c r="D1" s="248"/>
      <c r="E1" s="248"/>
      <c r="F1" s="1" t="s">
        <v>821</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45980.430641749292</v>
      </c>
      <c r="H2" s="248"/>
      <c r="I2" s="248"/>
      <c r="J2" s="248"/>
      <c r="K2" s="259">
        <v>45980.430641749597</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88" t="s">
        <v>80</v>
      </c>
      <c r="B6" s="188" t="s">
        <v>822</v>
      </c>
      <c r="C6" s="189">
        <v>0.86458333333333337</v>
      </c>
      <c r="D6" s="188" t="s">
        <v>182</v>
      </c>
      <c r="E6" s="188" t="s">
        <v>354</v>
      </c>
      <c r="F6" s="188" t="s">
        <v>823</v>
      </c>
      <c r="G6" s="267"/>
      <c r="H6" s="160" t="s">
        <v>824</v>
      </c>
      <c r="I6" s="191">
        <v>0.86899999999999999</v>
      </c>
      <c r="J6" s="162">
        <v>146</v>
      </c>
      <c r="K6" s="163" t="s">
        <v>284</v>
      </c>
      <c r="L6" s="162">
        <v>29</v>
      </c>
      <c r="M6" s="162">
        <v>7</v>
      </c>
      <c r="N6" s="162">
        <v>16</v>
      </c>
      <c r="O6" s="164" t="s">
        <v>196</v>
      </c>
      <c r="P6" s="165">
        <v>0.86458333333333337</v>
      </c>
      <c r="Q6" s="162">
        <v>168</v>
      </c>
      <c r="R6" s="166" t="s">
        <v>825</v>
      </c>
    </row>
    <row r="7" spans="1:92" ht="49.95" customHeight="1" x14ac:dyDescent="0.3">
      <c r="A7" s="17" t="s">
        <v>273</v>
      </c>
      <c r="B7" s="17" t="s">
        <v>826</v>
      </c>
      <c r="C7" s="18">
        <v>0.90625</v>
      </c>
      <c r="D7" s="17" t="s">
        <v>263</v>
      </c>
      <c r="E7" s="17" t="s">
        <v>104</v>
      </c>
      <c r="F7" s="17" t="s">
        <v>827</v>
      </c>
      <c r="G7" s="251"/>
      <c r="H7" s="10"/>
      <c r="I7" s="11"/>
      <c r="J7" s="11"/>
      <c r="K7" s="11"/>
      <c r="L7" s="11"/>
      <c r="M7" s="11"/>
      <c r="N7" s="11"/>
      <c r="O7" s="12"/>
      <c r="P7" s="11"/>
      <c r="Q7" s="13"/>
      <c r="R7" s="14"/>
    </row>
    <row r="8" spans="1:92" ht="49.95" customHeight="1" thickBot="1" x14ac:dyDescent="0.35">
      <c r="A8" s="217" t="s">
        <v>51</v>
      </c>
      <c r="B8" s="217" t="s">
        <v>828</v>
      </c>
      <c r="C8" s="218">
        <v>0.12847222222222221</v>
      </c>
      <c r="D8" s="217" t="s">
        <v>53</v>
      </c>
      <c r="E8" s="217" t="s">
        <v>104</v>
      </c>
      <c r="F8" s="217" t="s">
        <v>829</v>
      </c>
      <c r="G8" s="252"/>
      <c r="H8" s="41"/>
      <c r="I8" s="42"/>
      <c r="J8" s="42"/>
      <c r="K8" s="42"/>
      <c r="L8" s="42"/>
      <c r="M8" s="42"/>
      <c r="N8" s="42"/>
      <c r="O8" s="43"/>
      <c r="P8" s="42"/>
      <c r="Q8" s="44"/>
      <c r="R8" s="45"/>
    </row>
    <row r="9" spans="1:92" ht="17.399999999999999" customHeight="1" thickBot="1" x14ac:dyDescent="0.35">
      <c r="A9" s="282"/>
      <c r="B9" s="283"/>
      <c r="C9" s="283"/>
      <c r="D9" s="283"/>
      <c r="E9" s="283"/>
      <c r="F9" s="283"/>
      <c r="G9" s="283"/>
      <c r="H9" s="283"/>
      <c r="I9" s="283"/>
      <c r="J9" s="283"/>
      <c r="K9" s="283"/>
      <c r="L9" s="283"/>
      <c r="M9" s="283"/>
      <c r="N9" s="283"/>
      <c r="O9" s="283"/>
      <c r="P9" s="283"/>
      <c r="Q9" s="283"/>
      <c r="R9" s="284"/>
    </row>
    <row r="10" spans="1:92" ht="22.05" customHeight="1" thickTop="1" thickBot="1" x14ac:dyDescent="0.35">
      <c r="A10" s="261" t="s">
        <v>6</v>
      </c>
      <c r="B10" s="254"/>
      <c r="C10" s="254"/>
      <c r="D10" s="254"/>
      <c r="E10" s="254"/>
      <c r="F10" s="255"/>
      <c r="G10" s="31">
        <v>45982</v>
      </c>
      <c r="H10" s="253" t="s">
        <v>7</v>
      </c>
      <c r="I10" s="254"/>
      <c r="J10" s="254"/>
      <c r="K10" s="254"/>
      <c r="L10" s="254"/>
      <c r="M10" s="254"/>
      <c r="N10" s="254"/>
      <c r="O10" s="254"/>
      <c r="P10" s="254"/>
      <c r="Q10" s="254"/>
      <c r="R10" s="255"/>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269</v>
      </c>
      <c r="B12" s="8" t="s">
        <v>830</v>
      </c>
      <c r="C12" s="9">
        <v>0.63541666666666663</v>
      </c>
      <c r="D12" s="8" t="s">
        <v>831</v>
      </c>
      <c r="E12" s="8" t="s">
        <v>228</v>
      </c>
      <c r="F12" s="8" t="s">
        <v>832</v>
      </c>
      <c r="G12" s="250"/>
      <c r="H12" s="10"/>
      <c r="I12" s="11"/>
      <c r="J12" s="11"/>
      <c r="K12" s="11"/>
      <c r="L12" s="11"/>
      <c r="M12" s="11"/>
      <c r="N12" s="11"/>
      <c r="O12" s="12"/>
      <c r="P12" s="11"/>
      <c r="Q12" s="13"/>
      <c r="R12" s="14"/>
    </row>
    <row r="13" spans="1:92" ht="49.95" customHeight="1" x14ac:dyDescent="0.3">
      <c r="A13" s="17" t="s">
        <v>273</v>
      </c>
      <c r="B13" s="17" t="s">
        <v>833</v>
      </c>
      <c r="C13" s="18">
        <v>0.90625</v>
      </c>
      <c r="D13" s="17" t="s">
        <v>263</v>
      </c>
      <c r="E13" s="17" t="s">
        <v>88</v>
      </c>
      <c r="F13" s="17" t="s">
        <v>834</v>
      </c>
      <c r="G13" s="251"/>
      <c r="H13" s="10"/>
      <c r="I13" s="11"/>
      <c r="J13" s="11"/>
      <c r="K13" s="11"/>
      <c r="L13" s="11"/>
      <c r="M13" s="11"/>
      <c r="N13" s="11"/>
      <c r="O13" s="12"/>
      <c r="P13" s="11"/>
      <c r="Q13" s="13"/>
      <c r="R13" s="14"/>
    </row>
    <row r="14" spans="1:92" ht="49.95" customHeight="1" thickBot="1" x14ac:dyDescent="0.35">
      <c r="A14" s="217" t="s">
        <v>51</v>
      </c>
      <c r="B14" s="217" t="s">
        <v>828</v>
      </c>
      <c r="C14" s="218">
        <v>0.12847222222222221</v>
      </c>
      <c r="D14" s="217" t="s">
        <v>53</v>
      </c>
      <c r="E14" s="217" t="s">
        <v>54</v>
      </c>
      <c r="F14" s="217" t="s">
        <v>835</v>
      </c>
      <c r="G14" s="252"/>
      <c r="H14" s="41"/>
      <c r="I14" s="42"/>
      <c r="J14" s="42"/>
      <c r="K14" s="42"/>
      <c r="L14" s="42"/>
      <c r="M14" s="42"/>
      <c r="N14" s="42"/>
      <c r="O14" s="43"/>
      <c r="P14" s="42"/>
      <c r="Q14" s="44"/>
      <c r="R14" s="45"/>
    </row>
    <row r="15" spans="1:92" ht="17.399999999999999" customHeight="1" thickBot="1" x14ac:dyDescent="0.35">
      <c r="A15" s="282"/>
      <c r="B15" s="283"/>
      <c r="C15" s="283"/>
      <c r="D15" s="283"/>
      <c r="E15" s="283"/>
      <c r="F15" s="283"/>
      <c r="G15" s="283"/>
      <c r="H15" s="283"/>
      <c r="I15" s="283"/>
      <c r="J15" s="283"/>
      <c r="K15" s="283"/>
      <c r="L15" s="283"/>
      <c r="M15" s="283"/>
      <c r="N15" s="283"/>
      <c r="O15" s="283"/>
      <c r="P15" s="283"/>
      <c r="Q15" s="283"/>
      <c r="R15" s="284"/>
    </row>
    <row r="16" spans="1:92" ht="22.05" customHeight="1" thickTop="1" thickBot="1" x14ac:dyDescent="0.35">
      <c r="A16" s="261" t="s">
        <v>6</v>
      </c>
      <c r="B16" s="254"/>
      <c r="C16" s="254"/>
      <c r="D16" s="254"/>
      <c r="E16" s="254"/>
      <c r="F16" s="255"/>
      <c r="G16" s="31">
        <v>45983</v>
      </c>
      <c r="H16" s="253" t="s">
        <v>7</v>
      </c>
      <c r="I16" s="254"/>
      <c r="J16" s="254"/>
      <c r="K16" s="254"/>
      <c r="L16" s="254"/>
      <c r="M16" s="254"/>
      <c r="N16" s="254"/>
      <c r="O16" s="254"/>
      <c r="P16" s="254"/>
      <c r="Q16" s="254"/>
      <c r="R16" s="255"/>
    </row>
    <row r="17" spans="1:18" ht="24" customHeight="1" x14ac:dyDescent="0.3">
      <c r="A17" s="32" t="s">
        <v>8</v>
      </c>
      <c r="B17" s="32" t="s">
        <v>9</v>
      </c>
      <c r="C17" s="33" t="s">
        <v>10</v>
      </c>
      <c r="D17" s="32" t="s">
        <v>11</v>
      </c>
      <c r="E17" s="32" t="s">
        <v>12</v>
      </c>
      <c r="F17" s="34" t="s">
        <v>13</v>
      </c>
      <c r="G17" s="35" t="s">
        <v>14</v>
      </c>
      <c r="H17" s="32" t="s">
        <v>15</v>
      </c>
      <c r="I17" s="36" t="s">
        <v>16</v>
      </c>
      <c r="J17" s="37" t="s">
        <v>17</v>
      </c>
      <c r="K17" s="38" t="s">
        <v>18</v>
      </c>
      <c r="L17" s="37" t="s">
        <v>19</v>
      </c>
      <c r="M17" s="37" t="s">
        <v>20</v>
      </c>
      <c r="N17" s="37" t="s">
        <v>21</v>
      </c>
      <c r="O17" s="32" t="s">
        <v>22</v>
      </c>
      <c r="P17" s="33" t="s">
        <v>23</v>
      </c>
      <c r="Q17" s="37" t="s">
        <v>24</v>
      </c>
      <c r="R17" s="32" t="s">
        <v>25</v>
      </c>
    </row>
    <row r="18" spans="1:18" ht="49.95" customHeight="1" x14ac:dyDescent="0.3">
      <c r="A18" s="8" t="s">
        <v>261</v>
      </c>
      <c r="B18" s="8" t="s">
        <v>836</v>
      </c>
      <c r="C18" s="9">
        <v>0.13541666666666671</v>
      </c>
      <c r="D18" s="8" t="s">
        <v>182</v>
      </c>
      <c r="E18" s="8" t="s">
        <v>98</v>
      </c>
      <c r="F18" s="8" t="s">
        <v>837</v>
      </c>
      <c r="G18" s="250"/>
      <c r="H18" s="10"/>
      <c r="I18" s="11"/>
      <c r="J18" s="11"/>
      <c r="K18" s="11"/>
      <c r="L18" s="11"/>
      <c r="M18" s="11"/>
      <c r="N18" s="11"/>
      <c r="O18" s="12"/>
      <c r="P18" s="11"/>
      <c r="Q18" s="13"/>
      <c r="R18" s="14"/>
    </row>
    <row r="19" spans="1:18" ht="49.95" customHeight="1" x14ac:dyDescent="0.3">
      <c r="A19" s="188" t="s">
        <v>80</v>
      </c>
      <c r="B19" s="188" t="s">
        <v>822</v>
      </c>
      <c r="C19" s="189">
        <v>0.98958333333333337</v>
      </c>
      <c r="D19" s="188" t="s">
        <v>182</v>
      </c>
      <c r="E19" s="188" t="s">
        <v>54</v>
      </c>
      <c r="F19" s="188" t="s">
        <v>838</v>
      </c>
      <c r="G19" s="251"/>
      <c r="H19" s="160" t="s">
        <v>824</v>
      </c>
      <c r="I19" s="168">
        <v>0.69069999999999998</v>
      </c>
      <c r="J19" s="162">
        <v>67</v>
      </c>
      <c r="K19" s="163" t="s">
        <v>186</v>
      </c>
      <c r="L19" s="162">
        <v>20</v>
      </c>
      <c r="M19" s="162">
        <v>0</v>
      </c>
      <c r="N19" s="162">
        <v>7</v>
      </c>
      <c r="O19" s="164" t="s">
        <v>150</v>
      </c>
      <c r="P19" s="165">
        <v>0.98958333333333337</v>
      </c>
      <c r="Q19" s="162">
        <v>97</v>
      </c>
      <c r="R19" s="166" t="s">
        <v>839</v>
      </c>
    </row>
    <row r="20" spans="1:18" ht="49.95" customHeight="1" x14ac:dyDescent="0.3">
      <c r="A20" s="17" t="s">
        <v>51</v>
      </c>
      <c r="B20" s="17" t="s">
        <v>828</v>
      </c>
      <c r="C20" s="18">
        <v>0.12847222222222221</v>
      </c>
      <c r="D20" s="17" t="s">
        <v>53</v>
      </c>
      <c r="E20" s="17" t="s">
        <v>54</v>
      </c>
      <c r="F20" s="17" t="s">
        <v>840</v>
      </c>
      <c r="G20" s="251"/>
      <c r="H20" s="10"/>
      <c r="I20" s="11"/>
      <c r="J20" s="11"/>
      <c r="K20" s="11"/>
      <c r="L20" s="11"/>
      <c r="M20" s="11"/>
      <c r="N20" s="11"/>
      <c r="O20" s="12"/>
      <c r="P20" s="11"/>
      <c r="Q20" s="13"/>
      <c r="R20" s="14"/>
    </row>
    <row r="21" spans="1:18" ht="49.95" customHeight="1" x14ac:dyDescent="0.3">
      <c r="A21" s="217" t="s">
        <v>273</v>
      </c>
      <c r="B21" s="217" t="s">
        <v>826</v>
      </c>
      <c r="C21" s="218">
        <v>0.90625</v>
      </c>
      <c r="D21" s="217" t="s">
        <v>263</v>
      </c>
      <c r="E21" s="217" t="s">
        <v>354</v>
      </c>
      <c r="F21" s="217" t="s">
        <v>834</v>
      </c>
      <c r="G21" s="252"/>
      <c r="H21" s="41"/>
      <c r="I21" s="42"/>
      <c r="J21" s="42"/>
      <c r="K21" s="42"/>
      <c r="L21" s="42"/>
      <c r="M21" s="42"/>
      <c r="N21" s="42"/>
      <c r="O21" s="43"/>
      <c r="P21" s="42"/>
      <c r="Q21" s="44"/>
      <c r="R21" s="45"/>
    </row>
  </sheetData>
  <mergeCells count="18">
    <mergeCell ref="A16:F16"/>
    <mergeCell ref="A9:R9"/>
    <mergeCell ref="G18:G21"/>
    <mergeCell ref="H16:R16"/>
    <mergeCell ref="H1:L1"/>
    <mergeCell ref="A1:E1"/>
    <mergeCell ref="G2:J2"/>
    <mergeCell ref="K2:R2"/>
    <mergeCell ref="A4:F4"/>
    <mergeCell ref="H10:R10"/>
    <mergeCell ref="G6:G8"/>
    <mergeCell ref="H4:R4"/>
    <mergeCell ref="N1:R1"/>
    <mergeCell ref="A2:F2"/>
    <mergeCell ref="G12:G14"/>
    <mergeCell ref="A3:R3"/>
    <mergeCell ref="A10:F10"/>
    <mergeCell ref="A15:R15"/>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J4"/>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8.3320312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3" width="3.88671875" style="269" bestFit="1" customWidth="1"/>
    <col min="24" max="24" width="4.109375" style="269" bestFit="1" customWidth="1"/>
    <col min="25" max="25" width="4.44140625" style="269" bestFit="1" customWidth="1"/>
    <col min="26" max="26" width="4.109375" style="269" bestFit="1" customWidth="1"/>
    <col min="27" max="27" width="5" style="269" bestFit="1" customWidth="1"/>
    <col min="28" max="28" width="4.21875" style="269" bestFit="1" customWidth="1"/>
    <col min="29" max="29" width="3.88671875" style="269" bestFit="1" customWidth="1"/>
    <col min="30"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824</v>
      </c>
      <c r="D2" s="273" t="s">
        <v>816</v>
      </c>
      <c r="E2" s="272" t="s">
        <v>821</v>
      </c>
      <c r="F2" s="272" t="s">
        <v>140</v>
      </c>
      <c r="G2" s="274">
        <v>0.86899999999999999</v>
      </c>
      <c r="H2" s="275">
        <v>168</v>
      </c>
      <c r="I2" s="275">
        <v>146</v>
      </c>
      <c r="J2" s="275">
        <v>0</v>
      </c>
      <c r="K2" s="272" t="s">
        <v>141</v>
      </c>
      <c r="L2" s="276" t="s">
        <v>284</v>
      </c>
      <c r="M2" s="275">
        <v>7</v>
      </c>
      <c r="N2" s="275">
        <v>16</v>
      </c>
      <c r="O2" s="275">
        <v>29</v>
      </c>
      <c r="P2" s="272" t="s">
        <v>196</v>
      </c>
      <c r="Q2" s="268"/>
      <c r="R2" s="268"/>
      <c r="S2" s="268"/>
      <c r="T2" s="268"/>
      <c r="U2" s="268"/>
      <c r="V2" s="275" t="s">
        <v>523</v>
      </c>
      <c r="W2" s="275" t="s">
        <v>196</v>
      </c>
      <c r="X2" s="275" t="s">
        <v>437</v>
      </c>
      <c r="Y2" s="275" t="s">
        <v>455</v>
      </c>
      <c r="Z2" s="275" t="s">
        <v>725</v>
      </c>
      <c r="AA2" s="275" t="s">
        <v>417</v>
      </c>
      <c r="AB2" s="275" t="s">
        <v>605</v>
      </c>
      <c r="AC2" s="275" t="s">
        <v>841</v>
      </c>
      <c r="AD2" s="275" t="s">
        <v>461</v>
      </c>
      <c r="AE2" s="275" t="s">
        <v>467</v>
      </c>
      <c r="AF2" s="275" t="s">
        <v>842</v>
      </c>
      <c r="AG2" s="268"/>
      <c r="AH2" s="268"/>
      <c r="AI2" s="268"/>
      <c r="AJ2" s="268"/>
    </row>
    <row r="3" spans="1:36" x14ac:dyDescent="0.3">
      <c r="A3" s="270" t="s">
        <v>154</v>
      </c>
      <c r="B3" s="271">
        <v>45983</v>
      </c>
      <c r="C3" s="272" t="s">
        <v>824</v>
      </c>
      <c r="D3" s="273" t="s">
        <v>843</v>
      </c>
      <c r="E3" s="272" t="s">
        <v>821</v>
      </c>
      <c r="F3" s="272" t="s">
        <v>844</v>
      </c>
      <c r="G3" s="274">
        <v>0.69069999999999998</v>
      </c>
      <c r="H3" s="275">
        <v>97</v>
      </c>
      <c r="I3" s="275">
        <v>67</v>
      </c>
      <c r="J3" s="275">
        <v>0</v>
      </c>
      <c r="K3" s="272" t="s">
        <v>141</v>
      </c>
      <c r="L3" s="276" t="s">
        <v>186</v>
      </c>
      <c r="M3" s="275">
        <v>0</v>
      </c>
      <c r="N3" s="275">
        <v>7</v>
      </c>
      <c r="O3" s="275">
        <v>20</v>
      </c>
      <c r="P3" s="272" t="s">
        <v>150</v>
      </c>
      <c r="Q3" s="268"/>
      <c r="R3" s="268"/>
      <c r="S3" s="268"/>
      <c r="T3" s="268"/>
      <c r="U3" s="268"/>
      <c r="V3" s="268"/>
      <c r="W3" s="268"/>
      <c r="X3" s="268"/>
      <c r="Y3" s="268"/>
      <c r="Z3" s="268"/>
      <c r="AA3" s="268"/>
      <c r="AB3" s="268"/>
      <c r="AC3" s="268"/>
      <c r="AD3" s="275" t="s">
        <v>845</v>
      </c>
      <c r="AE3" s="275" t="s">
        <v>846</v>
      </c>
      <c r="AF3" s="275" t="s">
        <v>842</v>
      </c>
      <c r="AG3" s="268"/>
      <c r="AH3" s="268"/>
      <c r="AI3" s="268"/>
      <c r="AJ3" s="268"/>
    </row>
    <row r="4" spans="1:36" ht="21" x14ac:dyDescent="0.3">
      <c r="A4" s="277" t="s">
        <v>913</v>
      </c>
      <c r="B4" s="278"/>
      <c r="C4" s="277">
        <f>SUBTOTAL(103,TUU_CAI_LF_LEGACY[Flt])</f>
        <v>2</v>
      </c>
      <c r="D4" s="277"/>
      <c r="E4" s="277">
        <f>SUBTOTAL(103,TUU_CAI_LF_LEGACY[Brd-Off])</f>
        <v>2</v>
      </c>
      <c r="F4" s="277"/>
      <c r="G4" s="279">
        <f>SUBTOTAL(101,TUU_CAI_LF_LEGACY[LF%])</f>
        <v>0.77984999999999993</v>
      </c>
      <c r="H4" s="280">
        <f>SUBTOTAL(109,TUU_CAI_LF_LEGACY[CAP])</f>
        <v>265</v>
      </c>
      <c r="I4" s="280">
        <f>SUBTOTAL(109,TUU_CAI_LF_LEGACY[BKG(Y)])</f>
        <v>213</v>
      </c>
      <c r="J4" s="280">
        <f>SUBTOTAL(109,TUU_CAI_LF_LEGACY[GRP(Y)])</f>
        <v>0</v>
      </c>
      <c r="K4" s="277"/>
      <c r="L4" s="278"/>
      <c r="M4" s="280">
        <f>SUBTOTAL(109,TUU_CAI_LF_LEGACY[TO-DAY])</f>
        <v>7</v>
      </c>
      <c r="N4" s="280">
        <f>SUBTOTAL(109,TUU_CAI_LF_LEGACY[Y-DAY])</f>
        <v>23</v>
      </c>
      <c r="O4" s="280">
        <f>SUBTOTAL(109,TUU_CAI_LF_LEGACY[WEEKLY])</f>
        <v>49</v>
      </c>
      <c r="P4" s="281"/>
      <c r="Q4" s="280">
        <f>SUBTOTAL(109,TUU_CAI_LF_LEGACY[Y])</f>
        <v>0</v>
      </c>
      <c r="R4" s="280">
        <f>SUBTOTAL(109,TUU_CAI_LF_LEGACY[B])</f>
        <v>0</v>
      </c>
      <c r="S4" s="280">
        <f>SUBTOTAL(109,TUU_CAI_LF_LEGACY[M])</f>
        <v>0</v>
      </c>
      <c r="T4" s="280">
        <f>SUBTOTAL(109,TUU_CAI_LF_LEGACY[H])</f>
        <v>0</v>
      </c>
      <c r="U4" s="280">
        <f>SUBTOTAL(109,TUU_CAI_LF_LEGACY[Q])</f>
        <v>0</v>
      </c>
      <c r="V4" s="280">
        <f>SUBTOTAL(109,TUU_CAI_LF_LEGACY[K])</f>
        <v>0</v>
      </c>
      <c r="W4" s="280">
        <f>SUBTOTAL(109,TUU_CAI_LF_LEGACY[V])</f>
        <v>0</v>
      </c>
      <c r="X4" s="280">
        <f>SUBTOTAL(109,TUU_CAI_LF_LEGACY[L])</f>
        <v>0</v>
      </c>
      <c r="Y4" s="280">
        <f>SUBTOTAL(109,TUU_CAI_LF_LEGACY[G])</f>
        <v>0</v>
      </c>
      <c r="Z4" s="280">
        <f>SUBTOTAL(109,TUU_CAI_LF_LEGACY[S])</f>
        <v>0</v>
      </c>
      <c r="AA4" s="280">
        <f>SUBTOTAL(109,TUU_CAI_LF_LEGACY[W])</f>
        <v>0</v>
      </c>
      <c r="AB4" s="280">
        <f>SUBTOTAL(109,TUU_CAI_LF_LEGACY[T])</f>
        <v>0</v>
      </c>
      <c r="AC4" s="280">
        <f>SUBTOTAL(109,TUU_CAI_LF_LEGACY[X])</f>
        <v>0</v>
      </c>
      <c r="AD4" s="280">
        <f>SUBTOTAL(109,TUU_CAI_LF_LEGACY[U])</f>
        <v>0</v>
      </c>
      <c r="AE4" s="280">
        <f>SUBTOTAL(109,TUU_CAI_LF_LEGACY[O])</f>
        <v>0</v>
      </c>
      <c r="AF4" s="280">
        <f>SUBTOTAL(109,TUU_CAI_LF_LEGACY[I])</f>
        <v>0</v>
      </c>
      <c r="AG4" s="280">
        <f>SUBTOTAL(109,TUU_CAI_LF_LEGACY[E])</f>
        <v>0</v>
      </c>
      <c r="AH4" s="280">
        <f>SUBTOTAL(109,TUU_CAI_LF_LEGACY[A])</f>
        <v>0</v>
      </c>
      <c r="AI4" s="280">
        <f>SUBTOTAL(109,TUU_CAI_LF_LEGACY[P])</f>
        <v>0</v>
      </c>
      <c r="AJ4" s="280">
        <f>SUBTOTAL(103,TUU_CAI_LF_LEGACY[N])</f>
        <v>0</v>
      </c>
    </row>
  </sheetData>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03.2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96" t="s">
        <v>166</v>
      </c>
      <c r="B2" s="97" t="s">
        <v>80</v>
      </c>
      <c r="C2" s="98" t="s">
        <v>822</v>
      </c>
      <c r="D2" s="97" t="s">
        <v>821</v>
      </c>
      <c r="E2" s="97" t="s">
        <v>816</v>
      </c>
      <c r="F2" s="97" t="s">
        <v>182</v>
      </c>
      <c r="G2" s="99">
        <v>5</v>
      </c>
      <c r="H2" s="100">
        <v>850</v>
      </c>
    </row>
    <row r="3" spans="1:8" ht="19.8" customHeight="1" x14ac:dyDescent="0.3">
      <c r="A3" s="70">
        <v>45981</v>
      </c>
      <c r="B3" s="61" t="s">
        <v>273</v>
      </c>
      <c r="C3" s="62" t="s">
        <v>826</v>
      </c>
      <c r="D3" s="61" t="s">
        <v>821</v>
      </c>
      <c r="E3" s="71">
        <v>1.90625</v>
      </c>
      <c r="F3" s="61" t="s">
        <v>263</v>
      </c>
      <c r="G3" s="63">
        <v>1</v>
      </c>
      <c r="H3" s="65" t="s">
        <v>827</v>
      </c>
    </row>
    <row r="4" spans="1:8" ht="19.8" customHeight="1" x14ac:dyDescent="0.3">
      <c r="A4" s="72">
        <v>45981</v>
      </c>
      <c r="B4" s="73" t="s">
        <v>51</v>
      </c>
      <c r="C4" s="74" t="s">
        <v>828</v>
      </c>
      <c r="D4" s="73" t="s">
        <v>821</v>
      </c>
      <c r="E4" s="75">
        <v>1.1284722222222221</v>
      </c>
      <c r="F4" s="73" t="s">
        <v>53</v>
      </c>
      <c r="G4" s="76">
        <v>1</v>
      </c>
      <c r="H4" s="77" t="s">
        <v>829</v>
      </c>
    </row>
    <row r="5" spans="1:8" ht="19.8" customHeight="1" x14ac:dyDescent="0.3">
      <c r="A5" s="70">
        <v>45982</v>
      </c>
      <c r="B5" s="61" t="s">
        <v>269</v>
      </c>
      <c r="C5" s="62" t="s">
        <v>830</v>
      </c>
      <c r="D5" s="61" t="s">
        <v>821</v>
      </c>
      <c r="E5" s="71">
        <v>1.635416666666667</v>
      </c>
      <c r="F5" s="61" t="s">
        <v>831</v>
      </c>
      <c r="G5" s="63">
        <v>9</v>
      </c>
      <c r="H5" s="64">
        <v>467</v>
      </c>
    </row>
    <row r="6" spans="1:8" ht="19.8" customHeight="1" x14ac:dyDescent="0.3">
      <c r="A6" s="70">
        <v>45982</v>
      </c>
      <c r="B6" s="61" t="s">
        <v>273</v>
      </c>
      <c r="C6" s="62" t="s">
        <v>833</v>
      </c>
      <c r="D6" s="61" t="s">
        <v>821</v>
      </c>
      <c r="E6" s="71">
        <v>1.90625</v>
      </c>
      <c r="F6" s="61" t="s">
        <v>263</v>
      </c>
      <c r="G6" s="63">
        <v>4</v>
      </c>
      <c r="H6" s="64">
        <v>521</v>
      </c>
    </row>
    <row r="7" spans="1:8" ht="19.8" customHeight="1" x14ac:dyDescent="0.3">
      <c r="A7" s="72">
        <v>45982</v>
      </c>
      <c r="B7" s="73" t="s">
        <v>51</v>
      </c>
      <c r="C7" s="74" t="s">
        <v>828</v>
      </c>
      <c r="D7" s="73" t="s">
        <v>821</v>
      </c>
      <c r="E7" s="75">
        <v>1.1284722222222221</v>
      </c>
      <c r="F7" s="73" t="s">
        <v>53</v>
      </c>
      <c r="G7" s="76">
        <v>9</v>
      </c>
      <c r="H7" s="105">
        <v>701</v>
      </c>
    </row>
    <row r="8" spans="1:8" ht="19.8" customHeight="1" x14ac:dyDescent="0.3">
      <c r="A8" s="70">
        <v>45983</v>
      </c>
      <c r="B8" s="61" t="s">
        <v>261</v>
      </c>
      <c r="C8" s="62" t="s">
        <v>836</v>
      </c>
      <c r="D8" s="61" t="s">
        <v>821</v>
      </c>
      <c r="E8" s="71">
        <v>1.135416666666667</v>
      </c>
      <c r="F8" s="61" t="s">
        <v>182</v>
      </c>
      <c r="G8" s="63">
        <v>8</v>
      </c>
      <c r="H8" s="64">
        <v>355</v>
      </c>
    </row>
    <row r="9" spans="1:8" ht="19.8" customHeight="1" x14ac:dyDescent="0.3">
      <c r="A9" s="186">
        <v>45983</v>
      </c>
      <c r="B9" s="97" t="s">
        <v>80</v>
      </c>
      <c r="C9" s="98" t="s">
        <v>822</v>
      </c>
      <c r="D9" s="97" t="s">
        <v>821</v>
      </c>
      <c r="E9" s="187">
        <v>1.989583333333333</v>
      </c>
      <c r="F9" s="97" t="s">
        <v>182</v>
      </c>
      <c r="G9" s="99">
        <v>9</v>
      </c>
      <c r="H9" s="100">
        <v>400</v>
      </c>
    </row>
    <row r="10" spans="1:8" ht="19.8" customHeight="1" x14ac:dyDescent="0.3">
      <c r="A10" s="70">
        <v>45983</v>
      </c>
      <c r="B10" s="61" t="s">
        <v>51</v>
      </c>
      <c r="C10" s="62" t="s">
        <v>828</v>
      </c>
      <c r="D10" s="61" t="s">
        <v>821</v>
      </c>
      <c r="E10" s="71">
        <v>1.1284722222222221</v>
      </c>
      <c r="F10" s="61" t="s">
        <v>53</v>
      </c>
      <c r="G10" s="63">
        <v>9</v>
      </c>
      <c r="H10" s="64">
        <v>420</v>
      </c>
    </row>
    <row r="11" spans="1:8" ht="19.8" customHeight="1" x14ac:dyDescent="0.3">
      <c r="A11" s="72">
        <v>45983</v>
      </c>
      <c r="B11" s="73" t="s">
        <v>273</v>
      </c>
      <c r="C11" s="74" t="s">
        <v>826</v>
      </c>
      <c r="D11" s="73" t="s">
        <v>821</v>
      </c>
      <c r="E11" s="75">
        <v>1.90625</v>
      </c>
      <c r="F11" s="73" t="s">
        <v>263</v>
      </c>
      <c r="G11" s="76">
        <v>5</v>
      </c>
      <c r="H11" s="105">
        <v>521</v>
      </c>
    </row>
  </sheetData>
  <pageMargins left="0.75" right="0.75" top="1" bottom="1" header="0.5" footer="0.5"/>
  <legacyDrawing r:id="rId1"/>
  <tableParts count="1">
    <tablePart r:id="rId2"/>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03.2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6" t="s">
        <v>166</v>
      </c>
      <c r="B2" s="67" t="s">
        <v>80</v>
      </c>
      <c r="C2" s="68" t="s">
        <v>822</v>
      </c>
      <c r="D2" s="67" t="s">
        <v>821</v>
      </c>
      <c r="E2" s="67" t="s">
        <v>816</v>
      </c>
      <c r="F2" s="67" t="s">
        <v>182</v>
      </c>
      <c r="G2" s="213">
        <v>5</v>
      </c>
      <c r="H2" s="214">
        <v>850</v>
      </c>
    </row>
    <row r="3" spans="1:8" ht="19.8" customHeight="1" x14ac:dyDescent="0.3">
      <c r="A3" s="70">
        <v>45982</v>
      </c>
      <c r="B3" s="61" t="s">
        <v>269</v>
      </c>
      <c r="C3" s="62" t="s">
        <v>830</v>
      </c>
      <c r="D3" s="61" t="s">
        <v>821</v>
      </c>
      <c r="E3" s="71">
        <v>1.635416666666667</v>
      </c>
      <c r="F3" s="61" t="s">
        <v>831</v>
      </c>
      <c r="G3" s="63">
        <v>9</v>
      </c>
      <c r="H3" s="64">
        <v>467</v>
      </c>
    </row>
    <row r="4" spans="1:8" ht="19.8" customHeight="1" x14ac:dyDescent="0.3">
      <c r="A4" s="70">
        <v>45982</v>
      </c>
      <c r="B4" s="61" t="s">
        <v>273</v>
      </c>
      <c r="C4" s="62" t="s">
        <v>833</v>
      </c>
      <c r="D4" s="61" t="s">
        <v>821</v>
      </c>
      <c r="E4" s="71">
        <v>1.90625</v>
      </c>
      <c r="F4" s="61" t="s">
        <v>263</v>
      </c>
      <c r="G4" s="63">
        <v>4</v>
      </c>
      <c r="H4" s="64">
        <v>521</v>
      </c>
    </row>
    <row r="5" spans="1:8" ht="19.8" customHeight="1" x14ac:dyDescent="0.3">
      <c r="A5" s="72">
        <v>45982</v>
      </c>
      <c r="B5" s="73" t="s">
        <v>51</v>
      </c>
      <c r="C5" s="74" t="s">
        <v>828</v>
      </c>
      <c r="D5" s="73" t="s">
        <v>821</v>
      </c>
      <c r="E5" s="75">
        <v>1.1284722222222221</v>
      </c>
      <c r="F5" s="73" t="s">
        <v>53</v>
      </c>
      <c r="G5" s="76">
        <v>9</v>
      </c>
      <c r="H5" s="105">
        <v>701</v>
      </c>
    </row>
    <row r="6" spans="1:8" ht="19.8" customHeight="1" x14ac:dyDescent="0.3">
      <c r="A6" s="70">
        <v>45983</v>
      </c>
      <c r="B6" s="61" t="s">
        <v>261</v>
      </c>
      <c r="C6" s="62" t="s">
        <v>836</v>
      </c>
      <c r="D6" s="61" t="s">
        <v>821</v>
      </c>
      <c r="E6" s="71">
        <v>1.135416666666667</v>
      </c>
      <c r="F6" s="61" t="s">
        <v>182</v>
      </c>
      <c r="G6" s="63">
        <v>8</v>
      </c>
      <c r="H6" s="64">
        <v>355</v>
      </c>
    </row>
    <row r="7" spans="1:8" ht="19.8" customHeight="1" x14ac:dyDescent="0.3">
      <c r="A7" s="186">
        <v>45983</v>
      </c>
      <c r="B7" s="97" t="s">
        <v>80</v>
      </c>
      <c r="C7" s="98" t="s">
        <v>822</v>
      </c>
      <c r="D7" s="97" t="s">
        <v>821</v>
      </c>
      <c r="E7" s="187">
        <v>1.989583333333333</v>
      </c>
      <c r="F7" s="97" t="s">
        <v>182</v>
      </c>
      <c r="G7" s="99">
        <v>9</v>
      </c>
      <c r="H7" s="100">
        <v>400</v>
      </c>
    </row>
    <row r="8" spans="1:8" ht="19.8" customHeight="1" x14ac:dyDescent="0.3">
      <c r="A8" s="72">
        <v>45983</v>
      </c>
      <c r="B8" s="73" t="s">
        <v>51</v>
      </c>
      <c r="C8" s="74" t="s">
        <v>828</v>
      </c>
      <c r="D8" s="73" t="s">
        <v>821</v>
      </c>
      <c r="E8" s="75">
        <v>1.1284722222222221</v>
      </c>
      <c r="F8" s="73" t="s">
        <v>53</v>
      </c>
      <c r="G8" s="76">
        <v>9</v>
      </c>
      <c r="H8" s="105">
        <v>420</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2"/>
  <sheetViews>
    <sheetView workbookViewId="0"/>
  </sheetViews>
  <sheetFormatPr defaultRowHeight="14.4" x14ac:dyDescent="0.3"/>
  <cols>
    <col min="1" max="1" width="17.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57" t="s">
        <v>0</v>
      </c>
      <c r="B1" s="248"/>
      <c r="C1" s="248"/>
      <c r="D1" s="248"/>
      <c r="E1" s="248"/>
      <c r="F1" s="1" t="s">
        <v>847</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45980.430645527849</v>
      </c>
      <c r="H2" s="248"/>
      <c r="I2" s="248"/>
      <c r="J2" s="248"/>
      <c r="K2" s="259">
        <v>45980.430645528133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45982</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88" t="s">
        <v>80</v>
      </c>
      <c r="B6" s="188" t="s">
        <v>848</v>
      </c>
      <c r="C6" s="189">
        <v>0.51736111111111105</v>
      </c>
      <c r="D6" s="188" t="s">
        <v>182</v>
      </c>
      <c r="E6" s="188" t="s">
        <v>94</v>
      </c>
      <c r="F6" s="188" t="s">
        <v>849</v>
      </c>
      <c r="G6" s="250"/>
      <c r="H6" s="160" t="s">
        <v>850</v>
      </c>
      <c r="I6" s="161">
        <v>0.38100000000000001</v>
      </c>
      <c r="J6" s="162">
        <v>64</v>
      </c>
      <c r="K6" s="163" t="s">
        <v>284</v>
      </c>
      <c r="L6" s="162">
        <v>31</v>
      </c>
      <c r="M6" s="162">
        <v>6</v>
      </c>
      <c r="N6" s="162">
        <v>5</v>
      </c>
      <c r="O6" s="164" t="s">
        <v>551</v>
      </c>
      <c r="P6" s="165">
        <v>0.51736111111111105</v>
      </c>
      <c r="Q6" s="162">
        <v>168</v>
      </c>
      <c r="R6" s="166" t="s">
        <v>851</v>
      </c>
    </row>
    <row r="7" spans="1:92" ht="18" x14ac:dyDescent="0.3">
      <c r="A7" s="264" t="s">
        <v>852</v>
      </c>
      <c r="B7" s="265"/>
      <c r="C7" s="265"/>
      <c r="D7" s="265"/>
      <c r="E7" s="265"/>
      <c r="F7" s="266"/>
      <c r="G7" s="251"/>
      <c r="H7" s="89"/>
      <c r="I7" s="89"/>
      <c r="J7" s="89"/>
      <c r="K7" s="89"/>
      <c r="L7" s="89"/>
      <c r="M7" s="89"/>
      <c r="N7" s="89"/>
      <c r="O7" s="90"/>
      <c r="P7" s="89"/>
      <c r="Q7" s="56"/>
      <c r="R7" s="56"/>
    </row>
    <row r="8" spans="1:92" ht="49.95" customHeight="1" x14ac:dyDescent="0.3">
      <c r="A8" s="19" t="s">
        <v>269</v>
      </c>
      <c r="B8" s="19" t="s">
        <v>830</v>
      </c>
      <c r="C8" s="20" t="s">
        <v>853</v>
      </c>
      <c r="D8" s="19" t="s">
        <v>831</v>
      </c>
      <c r="E8" s="19" t="s">
        <v>192</v>
      </c>
      <c r="F8" s="19" t="s">
        <v>832</v>
      </c>
      <c r="G8" s="251"/>
      <c r="H8" s="89"/>
      <c r="I8" s="89"/>
      <c r="J8" s="89"/>
      <c r="K8" s="89"/>
      <c r="L8" s="89"/>
      <c r="M8" s="89"/>
      <c r="N8" s="89"/>
      <c r="O8" s="90"/>
      <c r="P8" s="89"/>
      <c r="Q8" s="56"/>
      <c r="R8" s="56"/>
    </row>
    <row r="9" spans="1:92" ht="49.95" customHeight="1" x14ac:dyDescent="0.3">
      <c r="A9" s="19" t="s">
        <v>273</v>
      </c>
      <c r="B9" s="19" t="s">
        <v>833</v>
      </c>
      <c r="C9" s="20" t="s">
        <v>854</v>
      </c>
      <c r="D9" s="19" t="s">
        <v>263</v>
      </c>
      <c r="E9" s="19" t="s">
        <v>530</v>
      </c>
      <c r="F9" s="19" t="s">
        <v>834</v>
      </c>
      <c r="G9" s="251"/>
      <c r="H9" s="89"/>
      <c r="I9" s="89"/>
      <c r="J9" s="89"/>
      <c r="K9" s="89"/>
      <c r="L9" s="89"/>
      <c r="M9" s="89"/>
      <c r="N9" s="89"/>
      <c r="O9" s="90"/>
      <c r="P9" s="89"/>
      <c r="Q9" s="56"/>
      <c r="R9" s="56"/>
    </row>
    <row r="10" spans="1:92" ht="49.95" customHeight="1" thickBot="1" x14ac:dyDescent="0.35">
      <c r="A10" s="91" t="s">
        <v>51</v>
      </c>
      <c r="B10" s="91" t="s">
        <v>828</v>
      </c>
      <c r="C10" s="92" t="s">
        <v>492</v>
      </c>
      <c r="D10" s="91" t="s">
        <v>53</v>
      </c>
      <c r="E10" s="91" t="s">
        <v>193</v>
      </c>
      <c r="F10" s="91" t="s">
        <v>835</v>
      </c>
      <c r="G10" s="252"/>
      <c r="H10" s="93"/>
      <c r="I10" s="93"/>
      <c r="J10" s="93"/>
      <c r="K10" s="93"/>
      <c r="L10" s="93"/>
      <c r="M10" s="93"/>
      <c r="N10" s="93"/>
      <c r="O10" s="94"/>
      <c r="P10" s="93"/>
      <c r="Q10" s="95"/>
      <c r="R10" s="95"/>
    </row>
    <row r="11" spans="1:92" ht="17.399999999999999" customHeight="1" thickBot="1" x14ac:dyDescent="0.35">
      <c r="A11" s="282"/>
      <c r="B11" s="283"/>
      <c r="C11" s="283"/>
      <c r="D11" s="283"/>
      <c r="E11" s="283"/>
      <c r="F11" s="283"/>
      <c r="G11" s="283"/>
      <c r="H11" s="283"/>
      <c r="I11" s="283"/>
      <c r="J11" s="283"/>
      <c r="K11" s="283"/>
      <c r="L11" s="283"/>
      <c r="M11" s="283"/>
      <c r="N11" s="283"/>
      <c r="O11" s="283"/>
      <c r="P11" s="283"/>
      <c r="Q11" s="283"/>
      <c r="R11" s="284"/>
    </row>
    <row r="12" spans="1:92" ht="15" thickTop="1" x14ac:dyDescent="0.3"/>
  </sheetData>
  <mergeCells count="12">
    <mergeCell ref="A2:F2"/>
    <mergeCell ref="A3:R3"/>
    <mergeCell ref="A11:R11"/>
    <mergeCell ref="H1:L1"/>
    <mergeCell ref="A1:E1"/>
    <mergeCell ref="G2:J2"/>
    <mergeCell ref="K2:R2"/>
    <mergeCell ref="A4:F4"/>
    <mergeCell ref="G6:G10"/>
    <mergeCell ref="H4:R4"/>
    <mergeCell ref="A7:F7"/>
    <mergeCell ref="N1:R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
  <sheetViews>
    <sheetView workbookViewId="0"/>
  </sheetViews>
  <sheetFormatPr defaultRowHeight="15.6" outlineLevelCol="1" x14ac:dyDescent="0.3"/>
  <cols>
    <col min="1" max="1" width="6.88671875" style="269" bestFit="1" customWidth="1"/>
    <col min="2" max="2" width="10.44140625" style="269" bestFit="1" customWidth="1"/>
    <col min="3" max="3" width="6.77734375" style="269" bestFit="1" customWidth="1"/>
    <col min="4" max="4" width="5.5546875" style="269" bestFit="1" customWidth="1"/>
    <col min="5" max="5" width="8.55468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6" width="3.88671875" style="269" bestFit="1" customWidth="1"/>
    <col min="27" max="27" width="4" style="269" bestFit="1" customWidth="1"/>
    <col min="28" max="29" width="3.88671875" style="269" bestFit="1" customWidth="1"/>
    <col min="30"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435</v>
      </c>
      <c r="B2" s="271">
        <v>45982</v>
      </c>
      <c r="C2" s="272" t="s">
        <v>850</v>
      </c>
      <c r="D2" s="273" t="s">
        <v>529</v>
      </c>
      <c r="E2" s="272" t="s">
        <v>847</v>
      </c>
      <c r="F2" s="272" t="s">
        <v>140</v>
      </c>
      <c r="G2" s="274">
        <v>0.38100000000000001</v>
      </c>
      <c r="H2" s="275">
        <v>168</v>
      </c>
      <c r="I2" s="275">
        <v>64</v>
      </c>
      <c r="J2" s="275">
        <v>0</v>
      </c>
      <c r="K2" s="272" t="s">
        <v>141</v>
      </c>
      <c r="L2" s="276" t="s">
        <v>284</v>
      </c>
      <c r="M2" s="275">
        <v>6</v>
      </c>
      <c r="N2" s="275">
        <v>5</v>
      </c>
      <c r="O2" s="275">
        <v>31</v>
      </c>
      <c r="P2" s="272" t="s">
        <v>551</v>
      </c>
      <c r="Q2" s="268"/>
      <c r="R2" s="268"/>
      <c r="S2" s="268"/>
      <c r="T2" s="268"/>
      <c r="U2" s="268"/>
      <c r="V2" s="268"/>
      <c r="W2" s="268"/>
      <c r="X2" s="268"/>
      <c r="Y2" s="268"/>
      <c r="Z2" s="275" t="s">
        <v>599</v>
      </c>
      <c r="AA2" s="275" t="s">
        <v>616</v>
      </c>
      <c r="AB2" s="275" t="s">
        <v>855</v>
      </c>
      <c r="AC2" s="275" t="s">
        <v>148</v>
      </c>
      <c r="AD2" s="275" t="s">
        <v>461</v>
      </c>
      <c r="AE2" s="275" t="s">
        <v>856</v>
      </c>
      <c r="AF2" s="275" t="s">
        <v>857</v>
      </c>
      <c r="AG2" s="268"/>
      <c r="AH2" s="268"/>
      <c r="AI2" s="268"/>
      <c r="AJ2" s="268"/>
    </row>
    <row r="3" spans="1:36" ht="21" x14ac:dyDescent="0.3">
      <c r="A3" s="277" t="s">
        <v>913</v>
      </c>
      <c r="B3" s="278"/>
      <c r="C3" s="277">
        <f>SUBTOTAL(103,TUU_ATZ_LF_LEGACY[Flt])</f>
        <v>1</v>
      </c>
      <c r="D3" s="277"/>
      <c r="E3" s="277">
        <f>SUBTOTAL(103,TUU_ATZ_LF_LEGACY[Brd-Off])</f>
        <v>1</v>
      </c>
      <c r="F3" s="277"/>
      <c r="G3" s="279">
        <f>SUBTOTAL(101,TUU_ATZ_LF_LEGACY[LF%])</f>
        <v>0.38100000000000001</v>
      </c>
      <c r="H3" s="280">
        <f>SUBTOTAL(109,TUU_ATZ_LF_LEGACY[CAP])</f>
        <v>168</v>
      </c>
      <c r="I3" s="280">
        <f>SUBTOTAL(109,TUU_ATZ_LF_LEGACY[BKG(Y)])</f>
        <v>64</v>
      </c>
      <c r="J3" s="280">
        <f>SUBTOTAL(109,TUU_ATZ_LF_LEGACY[GRP(Y)])</f>
        <v>0</v>
      </c>
      <c r="K3" s="277"/>
      <c r="L3" s="278"/>
      <c r="M3" s="280">
        <f>SUBTOTAL(109,TUU_ATZ_LF_LEGACY[TO-DAY])</f>
        <v>6</v>
      </c>
      <c r="N3" s="280">
        <f>SUBTOTAL(109,TUU_ATZ_LF_LEGACY[Y-DAY])</f>
        <v>5</v>
      </c>
      <c r="O3" s="280">
        <f>SUBTOTAL(109,TUU_ATZ_LF_LEGACY[WEEKLY])</f>
        <v>31</v>
      </c>
      <c r="P3" s="281"/>
      <c r="Q3" s="280">
        <f>SUBTOTAL(109,TUU_ATZ_LF_LEGACY[Y])</f>
        <v>0</v>
      </c>
      <c r="R3" s="280">
        <f>SUBTOTAL(109,TUU_ATZ_LF_LEGACY[B])</f>
        <v>0</v>
      </c>
      <c r="S3" s="280">
        <f>SUBTOTAL(109,TUU_ATZ_LF_LEGACY[M])</f>
        <v>0</v>
      </c>
      <c r="T3" s="280">
        <f>SUBTOTAL(109,TUU_ATZ_LF_LEGACY[H])</f>
        <v>0</v>
      </c>
      <c r="U3" s="280">
        <f>SUBTOTAL(109,TUU_ATZ_LF_LEGACY[Q])</f>
        <v>0</v>
      </c>
      <c r="V3" s="280">
        <f>SUBTOTAL(109,TUU_ATZ_LF_LEGACY[K])</f>
        <v>0</v>
      </c>
      <c r="W3" s="280">
        <f>SUBTOTAL(109,TUU_ATZ_LF_LEGACY[V])</f>
        <v>0</v>
      </c>
      <c r="X3" s="280">
        <f>SUBTOTAL(109,TUU_ATZ_LF_LEGACY[L])</f>
        <v>0</v>
      </c>
      <c r="Y3" s="280">
        <f>SUBTOTAL(109,TUU_ATZ_LF_LEGACY[G])</f>
        <v>0</v>
      </c>
      <c r="Z3" s="280">
        <f>SUBTOTAL(109,TUU_ATZ_LF_LEGACY[S])</f>
        <v>0</v>
      </c>
      <c r="AA3" s="280">
        <f>SUBTOTAL(109,TUU_ATZ_LF_LEGACY[W])</f>
        <v>0</v>
      </c>
      <c r="AB3" s="280">
        <f>SUBTOTAL(109,TUU_ATZ_LF_LEGACY[T])</f>
        <v>0</v>
      </c>
      <c r="AC3" s="280">
        <f>SUBTOTAL(109,TUU_ATZ_LF_LEGACY[X])</f>
        <v>0</v>
      </c>
      <c r="AD3" s="280">
        <f>SUBTOTAL(109,TUU_ATZ_LF_LEGACY[U])</f>
        <v>0</v>
      </c>
      <c r="AE3" s="280">
        <f>SUBTOTAL(109,TUU_ATZ_LF_LEGACY[O])</f>
        <v>0</v>
      </c>
      <c r="AF3" s="280">
        <f>SUBTOTAL(109,TUU_ATZ_LF_LEGACY[I])</f>
        <v>0</v>
      </c>
      <c r="AG3" s="280">
        <f>SUBTOTAL(109,TUU_ATZ_LF_LEGACY[E])</f>
        <v>0</v>
      </c>
      <c r="AH3" s="280">
        <f>SUBTOTAL(109,TUU_ATZ_LF_LEGACY[A])</f>
        <v>0</v>
      </c>
      <c r="AI3" s="280">
        <f>SUBTOTAL(109,TUU_ATZ_LF_LEGACY[P])</f>
        <v>0</v>
      </c>
      <c r="AJ3" s="280">
        <f>SUBTOTAL(103,TUU_ATZ_LF_LEGACY[N])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78.332031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858</v>
      </c>
      <c r="G2" s="102"/>
      <c r="H2" s="104"/>
    </row>
    <row r="3" spans="1:8" ht="19.8" customHeight="1" x14ac:dyDescent="0.3">
      <c r="A3" s="60" t="s">
        <v>166</v>
      </c>
      <c r="B3" s="61" t="s">
        <v>80</v>
      </c>
      <c r="C3" s="62" t="s">
        <v>822</v>
      </c>
      <c r="D3" s="61" t="s">
        <v>821</v>
      </c>
      <c r="E3" s="61" t="s">
        <v>816</v>
      </c>
      <c r="F3" s="61" t="s">
        <v>182</v>
      </c>
      <c r="G3" s="63">
        <v>5</v>
      </c>
      <c r="H3" s="64">
        <v>850</v>
      </c>
    </row>
    <row r="4" spans="1:8" ht="19.8" customHeight="1" x14ac:dyDescent="0.3">
      <c r="A4" s="60" t="s">
        <v>166</v>
      </c>
      <c r="B4" s="61" t="s">
        <v>273</v>
      </c>
      <c r="C4" s="62" t="s">
        <v>826</v>
      </c>
      <c r="D4" s="61" t="s">
        <v>821</v>
      </c>
      <c r="E4" s="61" t="s">
        <v>854</v>
      </c>
      <c r="F4" s="61" t="s">
        <v>263</v>
      </c>
      <c r="G4" s="63">
        <v>1</v>
      </c>
      <c r="H4" s="65" t="s">
        <v>827</v>
      </c>
    </row>
    <row r="5" spans="1:8" ht="19.8" customHeight="1" x14ac:dyDescent="0.3">
      <c r="A5" s="116" t="s">
        <v>166</v>
      </c>
      <c r="B5" s="73" t="s">
        <v>51</v>
      </c>
      <c r="C5" s="74" t="s">
        <v>828</v>
      </c>
      <c r="D5" s="73" t="s">
        <v>821</v>
      </c>
      <c r="E5" s="73" t="s">
        <v>492</v>
      </c>
      <c r="F5" s="73" t="s">
        <v>53</v>
      </c>
      <c r="G5" s="76">
        <v>1</v>
      </c>
      <c r="H5" s="77" t="s">
        <v>829</v>
      </c>
    </row>
    <row r="6" spans="1:8" ht="19.8" customHeight="1" x14ac:dyDescent="0.3">
      <c r="A6" s="96" t="s">
        <v>222</v>
      </c>
      <c r="B6" s="97" t="s">
        <v>80</v>
      </c>
      <c r="C6" s="98" t="s">
        <v>848</v>
      </c>
      <c r="D6" s="97" t="s">
        <v>847</v>
      </c>
      <c r="E6" s="97" t="s">
        <v>529</v>
      </c>
      <c r="F6" s="97" t="s">
        <v>182</v>
      </c>
      <c r="G6" s="99">
        <v>2</v>
      </c>
      <c r="H6" s="100">
        <v>536</v>
      </c>
    </row>
    <row r="7" spans="1:8" ht="19.8" customHeight="1" x14ac:dyDescent="0.3">
      <c r="A7" s="101"/>
      <c r="B7" s="102"/>
      <c r="C7" s="102"/>
      <c r="D7" s="102"/>
      <c r="E7" s="102"/>
      <c r="F7" s="103" t="s">
        <v>858</v>
      </c>
      <c r="G7" s="102"/>
      <c r="H7" s="104"/>
    </row>
    <row r="8" spans="1:8" ht="19.8" customHeight="1" x14ac:dyDescent="0.3">
      <c r="A8" s="70">
        <v>45982</v>
      </c>
      <c r="B8" s="61" t="s">
        <v>269</v>
      </c>
      <c r="C8" s="62" t="s">
        <v>830</v>
      </c>
      <c r="D8" s="61" t="s">
        <v>821</v>
      </c>
      <c r="E8" s="71">
        <v>1.635416666666667</v>
      </c>
      <c r="F8" s="61" t="s">
        <v>831</v>
      </c>
      <c r="G8" s="63">
        <v>9</v>
      </c>
      <c r="H8" s="64">
        <v>467</v>
      </c>
    </row>
    <row r="9" spans="1:8" ht="19.8" customHeight="1" x14ac:dyDescent="0.3">
      <c r="A9" s="70">
        <v>45982</v>
      </c>
      <c r="B9" s="61" t="s">
        <v>273</v>
      </c>
      <c r="C9" s="62" t="s">
        <v>833</v>
      </c>
      <c r="D9" s="61" t="s">
        <v>821</v>
      </c>
      <c r="E9" s="71">
        <v>1.90625</v>
      </c>
      <c r="F9" s="61" t="s">
        <v>263</v>
      </c>
      <c r="G9" s="63">
        <v>4</v>
      </c>
      <c r="H9" s="64">
        <v>521</v>
      </c>
    </row>
    <row r="10" spans="1:8" ht="19.8" customHeight="1" x14ac:dyDescent="0.3">
      <c r="A10" s="72">
        <v>45982</v>
      </c>
      <c r="B10" s="73" t="s">
        <v>51</v>
      </c>
      <c r="C10" s="74" t="s">
        <v>828</v>
      </c>
      <c r="D10" s="73" t="s">
        <v>821</v>
      </c>
      <c r="E10" s="75">
        <v>1.1284722222222221</v>
      </c>
      <c r="F10" s="73" t="s">
        <v>53</v>
      </c>
      <c r="G10" s="76">
        <v>9</v>
      </c>
      <c r="H10" s="105">
        <v>701</v>
      </c>
    </row>
    <row r="11" spans="1:8" ht="19.8" customHeight="1" x14ac:dyDescent="0.3">
      <c r="A11" s="101"/>
      <c r="B11" s="102"/>
      <c r="C11" s="102"/>
      <c r="D11" s="102"/>
      <c r="E11" s="102"/>
      <c r="F11" s="103" t="s">
        <v>858</v>
      </c>
      <c r="G11" s="102"/>
      <c r="H11" s="104"/>
    </row>
    <row r="12" spans="1:8" ht="19.8" customHeight="1" x14ac:dyDescent="0.3">
      <c r="A12" s="70">
        <v>45983</v>
      </c>
      <c r="B12" s="61" t="s">
        <v>261</v>
      </c>
      <c r="C12" s="62" t="s">
        <v>836</v>
      </c>
      <c r="D12" s="61" t="s">
        <v>821</v>
      </c>
      <c r="E12" s="71">
        <v>1.135416666666667</v>
      </c>
      <c r="F12" s="61" t="s">
        <v>182</v>
      </c>
      <c r="G12" s="63">
        <v>8</v>
      </c>
      <c r="H12" s="64">
        <v>355</v>
      </c>
    </row>
    <row r="13" spans="1:8" ht="19.8" customHeight="1" x14ac:dyDescent="0.3">
      <c r="A13" s="70">
        <v>45983</v>
      </c>
      <c r="B13" s="61" t="s">
        <v>80</v>
      </c>
      <c r="C13" s="62" t="s">
        <v>822</v>
      </c>
      <c r="D13" s="61" t="s">
        <v>821</v>
      </c>
      <c r="E13" s="71">
        <v>1.989583333333333</v>
      </c>
      <c r="F13" s="61" t="s">
        <v>182</v>
      </c>
      <c r="G13" s="63">
        <v>9</v>
      </c>
      <c r="H13" s="64">
        <v>400</v>
      </c>
    </row>
    <row r="14" spans="1:8" ht="19.8" customHeight="1" x14ac:dyDescent="0.3">
      <c r="A14" s="70">
        <v>45983</v>
      </c>
      <c r="B14" s="61" t="s">
        <v>51</v>
      </c>
      <c r="C14" s="62" t="s">
        <v>828</v>
      </c>
      <c r="D14" s="61" t="s">
        <v>821</v>
      </c>
      <c r="E14" s="71">
        <v>1.1284722222222221</v>
      </c>
      <c r="F14" s="61" t="s">
        <v>53</v>
      </c>
      <c r="G14" s="63">
        <v>9</v>
      </c>
      <c r="H14" s="64">
        <v>420</v>
      </c>
    </row>
    <row r="15" spans="1:8" ht="19.8" customHeight="1" x14ac:dyDescent="0.3">
      <c r="A15" s="72">
        <v>45983</v>
      </c>
      <c r="B15" s="73" t="s">
        <v>273</v>
      </c>
      <c r="C15" s="74" t="s">
        <v>826</v>
      </c>
      <c r="D15" s="73" t="s">
        <v>821</v>
      </c>
      <c r="E15" s="75">
        <v>1.90625</v>
      </c>
      <c r="F15" s="73" t="s">
        <v>263</v>
      </c>
      <c r="G15" s="76">
        <v>5</v>
      </c>
      <c r="H15" s="105">
        <v>521</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78.332031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858</v>
      </c>
      <c r="G2" s="102"/>
      <c r="H2" s="104"/>
    </row>
    <row r="3" spans="1:8" ht="19.8" customHeight="1" x14ac:dyDescent="0.3">
      <c r="A3" s="60" t="s">
        <v>166</v>
      </c>
      <c r="B3" s="61" t="s">
        <v>80</v>
      </c>
      <c r="C3" s="62" t="s">
        <v>822</v>
      </c>
      <c r="D3" s="61" t="s">
        <v>821</v>
      </c>
      <c r="E3" s="61" t="s">
        <v>816</v>
      </c>
      <c r="F3" s="61" t="s">
        <v>182</v>
      </c>
      <c r="G3" s="63">
        <v>5</v>
      </c>
      <c r="H3" s="64">
        <v>850</v>
      </c>
    </row>
    <row r="4" spans="1:8" ht="19.8" customHeight="1" x14ac:dyDescent="0.3">
      <c r="A4" s="60" t="s">
        <v>166</v>
      </c>
      <c r="B4" s="61" t="s">
        <v>273</v>
      </c>
      <c r="C4" s="62" t="s">
        <v>826</v>
      </c>
      <c r="D4" s="61" t="s">
        <v>821</v>
      </c>
      <c r="E4" s="61" t="s">
        <v>854</v>
      </c>
      <c r="F4" s="61" t="s">
        <v>263</v>
      </c>
      <c r="G4" s="63">
        <v>1</v>
      </c>
      <c r="H4" s="65" t="s">
        <v>827</v>
      </c>
    </row>
    <row r="5" spans="1:8" ht="19.8" customHeight="1" x14ac:dyDescent="0.3">
      <c r="A5" s="116" t="s">
        <v>166</v>
      </c>
      <c r="B5" s="73" t="s">
        <v>51</v>
      </c>
      <c r="C5" s="74" t="s">
        <v>828</v>
      </c>
      <c r="D5" s="73" t="s">
        <v>821</v>
      </c>
      <c r="E5" s="73" t="s">
        <v>492</v>
      </c>
      <c r="F5" s="73" t="s">
        <v>53</v>
      </c>
      <c r="G5" s="76">
        <v>1</v>
      </c>
      <c r="H5" s="77" t="s">
        <v>829</v>
      </c>
    </row>
    <row r="6" spans="1:8" ht="19.8" customHeight="1" x14ac:dyDescent="0.3">
      <c r="A6" s="96" t="s">
        <v>222</v>
      </c>
      <c r="B6" s="97" t="s">
        <v>80</v>
      </c>
      <c r="C6" s="98" t="s">
        <v>848</v>
      </c>
      <c r="D6" s="97" t="s">
        <v>847</v>
      </c>
      <c r="E6" s="97" t="s">
        <v>529</v>
      </c>
      <c r="F6" s="97" t="s">
        <v>182</v>
      </c>
      <c r="G6" s="99">
        <v>2</v>
      </c>
      <c r="H6" s="100">
        <v>536</v>
      </c>
    </row>
    <row r="7" spans="1:8" ht="19.8" customHeight="1" x14ac:dyDescent="0.3">
      <c r="A7" s="101"/>
      <c r="B7" s="102"/>
      <c r="C7" s="102"/>
      <c r="D7" s="102"/>
      <c r="E7" s="102"/>
      <c r="F7" s="103" t="s">
        <v>858</v>
      </c>
      <c r="G7" s="102"/>
      <c r="H7" s="104"/>
    </row>
    <row r="8" spans="1:8" ht="19.8" customHeight="1" x14ac:dyDescent="0.3">
      <c r="A8" s="70">
        <v>45982</v>
      </c>
      <c r="B8" s="61" t="s">
        <v>269</v>
      </c>
      <c r="C8" s="62" t="s">
        <v>830</v>
      </c>
      <c r="D8" s="61" t="s">
        <v>821</v>
      </c>
      <c r="E8" s="71">
        <v>1.635416666666667</v>
      </c>
      <c r="F8" s="61" t="s">
        <v>831</v>
      </c>
      <c r="G8" s="63">
        <v>9</v>
      </c>
      <c r="H8" s="64">
        <v>467</v>
      </c>
    </row>
    <row r="9" spans="1:8" ht="19.8" customHeight="1" x14ac:dyDescent="0.3">
      <c r="A9" s="70">
        <v>45982</v>
      </c>
      <c r="B9" s="61" t="s">
        <v>273</v>
      </c>
      <c r="C9" s="62" t="s">
        <v>833</v>
      </c>
      <c r="D9" s="61" t="s">
        <v>821</v>
      </c>
      <c r="E9" s="71">
        <v>1.90625</v>
      </c>
      <c r="F9" s="61" t="s">
        <v>263</v>
      </c>
      <c r="G9" s="63">
        <v>4</v>
      </c>
      <c r="H9" s="64">
        <v>521</v>
      </c>
    </row>
    <row r="10" spans="1:8" ht="19.8" customHeight="1" x14ac:dyDescent="0.3">
      <c r="A10" s="72">
        <v>45982</v>
      </c>
      <c r="B10" s="73" t="s">
        <v>51</v>
      </c>
      <c r="C10" s="74" t="s">
        <v>828</v>
      </c>
      <c r="D10" s="73" t="s">
        <v>821</v>
      </c>
      <c r="E10" s="75">
        <v>1.1284722222222221</v>
      </c>
      <c r="F10" s="73" t="s">
        <v>53</v>
      </c>
      <c r="G10" s="76">
        <v>9</v>
      </c>
      <c r="H10" s="105">
        <v>701</v>
      </c>
    </row>
    <row r="11" spans="1:8" ht="19.8" customHeight="1" x14ac:dyDescent="0.3">
      <c r="A11" s="101"/>
      <c r="B11" s="102"/>
      <c r="C11" s="102"/>
      <c r="D11" s="102"/>
      <c r="E11" s="102"/>
      <c r="F11" s="103" t="s">
        <v>858</v>
      </c>
      <c r="G11" s="102"/>
      <c r="H11" s="104"/>
    </row>
    <row r="12" spans="1:8" ht="19.8" customHeight="1" x14ac:dyDescent="0.3">
      <c r="A12" s="70">
        <v>45983</v>
      </c>
      <c r="B12" s="61" t="s">
        <v>261</v>
      </c>
      <c r="C12" s="62" t="s">
        <v>836</v>
      </c>
      <c r="D12" s="61" t="s">
        <v>821</v>
      </c>
      <c r="E12" s="71">
        <v>1.135416666666667</v>
      </c>
      <c r="F12" s="61" t="s">
        <v>182</v>
      </c>
      <c r="G12" s="63">
        <v>8</v>
      </c>
      <c r="H12" s="64">
        <v>355</v>
      </c>
    </row>
    <row r="13" spans="1:8" ht="19.8" customHeight="1" x14ac:dyDescent="0.3">
      <c r="A13" s="70">
        <v>45983</v>
      </c>
      <c r="B13" s="61" t="s">
        <v>80</v>
      </c>
      <c r="C13" s="62" t="s">
        <v>822</v>
      </c>
      <c r="D13" s="61" t="s">
        <v>821</v>
      </c>
      <c r="E13" s="71">
        <v>1.989583333333333</v>
      </c>
      <c r="F13" s="61" t="s">
        <v>182</v>
      </c>
      <c r="G13" s="63">
        <v>9</v>
      </c>
      <c r="H13" s="64">
        <v>400</v>
      </c>
    </row>
    <row r="14" spans="1:8" ht="19.8" customHeight="1" x14ac:dyDescent="0.3">
      <c r="A14" s="70">
        <v>45983</v>
      </c>
      <c r="B14" s="61" t="s">
        <v>51</v>
      </c>
      <c r="C14" s="62" t="s">
        <v>828</v>
      </c>
      <c r="D14" s="61" t="s">
        <v>821</v>
      </c>
      <c r="E14" s="71">
        <v>1.1284722222222221</v>
      </c>
      <c r="F14" s="61" t="s">
        <v>53</v>
      </c>
      <c r="G14" s="63">
        <v>9</v>
      </c>
      <c r="H14" s="64">
        <v>420</v>
      </c>
    </row>
    <row r="15" spans="1:8" ht="19.8" customHeight="1" x14ac:dyDescent="0.3">
      <c r="A15" s="72">
        <v>45983</v>
      </c>
      <c r="B15" s="73" t="s">
        <v>273</v>
      </c>
      <c r="C15" s="74" t="s">
        <v>826</v>
      </c>
      <c r="D15" s="73" t="s">
        <v>821</v>
      </c>
      <c r="E15" s="75">
        <v>1.90625</v>
      </c>
      <c r="F15" s="73" t="s">
        <v>263</v>
      </c>
      <c r="G15" s="76">
        <v>5</v>
      </c>
      <c r="H15" s="105">
        <v>521</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5.44140625" bestFit="1" customWidth="1"/>
  </cols>
  <sheetData>
    <row r="1" spans="1:92" ht="28.8" customHeight="1" x14ac:dyDescent="0.3">
      <c r="A1" s="257" t="s">
        <v>0</v>
      </c>
      <c r="B1" s="248"/>
      <c r="C1" s="248"/>
      <c r="D1" s="248"/>
      <c r="E1" s="248"/>
      <c r="F1" s="1" t="s">
        <v>859</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45980.430648309317</v>
      </c>
      <c r="H2" s="248"/>
      <c r="I2" s="248"/>
      <c r="J2" s="248"/>
      <c r="K2" s="259">
        <v>45980.430648309622</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219" t="s">
        <v>80</v>
      </c>
      <c r="B6" s="219" t="s">
        <v>860</v>
      </c>
      <c r="C6" s="220">
        <v>0.91319444444444453</v>
      </c>
      <c r="D6" s="219" t="s">
        <v>182</v>
      </c>
      <c r="E6" s="219" t="s">
        <v>94</v>
      </c>
      <c r="F6" s="219" t="s">
        <v>691</v>
      </c>
      <c r="G6" s="250"/>
      <c r="H6" s="141" t="s">
        <v>861</v>
      </c>
      <c r="I6" s="142">
        <v>0.91669999999999996</v>
      </c>
      <c r="J6" s="143">
        <v>154</v>
      </c>
      <c r="K6" s="144" t="s">
        <v>186</v>
      </c>
      <c r="L6" s="143">
        <v>41</v>
      </c>
      <c r="M6" s="143">
        <v>0</v>
      </c>
      <c r="N6" s="143">
        <v>15</v>
      </c>
      <c r="O6" s="145" t="s">
        <v>615</v>
      </c>
      <c r="P6" s="146">
        <v>0.91319444444444453</v>
      </c>
      <c r="Q6" s="143">
        <v>168</v>
      </c>
      <c r="R6" s="147" t="s">
        <v>862</v>
      </c>
    </row>
    <row r="7" spans="1:92" ht="49.95" customHeight="1" thickBot="1" x14ac:dyDescent="0.35">
      <c r="A7" s="217" t="s">
        <v>273</v>
      </c>
      <c r="B7" s="217" t="s">
        <v>863</v>
      </c>
      <c r="C7" s="218">
        <v>0.85069444444444453</v>
      </c>
      <c r="D7" s="217" t="s">
        <v>263</v>
      </c>
      <c r="E7" s="217" t="s">
        <v>54</v>
      </c>
      <c r="F7" s="217" t="s">
        <v>266</v>
      </c>
      <c r="G7" s="252"/>
      <c r="H7" s="41"/>
      <c r="I7" s="42"/>
      <c r="J7" s="42"/>
      <c r="K7" s="42"/>
      <c r="L7" s="42"/>
      <c r="M7" s="42"/>
      <c r="N7" s="42"/>
      <c r="O7" s="43"/>
      <c r="P7" s="42"/>
      <c r="Q7" s="44"/>
      <c r="R7" s="45"/>
    </row>
    <row r="8" spans="1:92" ht="17.399999999999999" customHeight="1" thickBot="1" x14ac:dyDescent="0.35">
      <c r="A8" s="282"/>
      <c r="B8" s="283"/>
      <c r="C8" s="283"/>
      <c r="D8" s="283"/>
      <c r="E8" s="283"/>
      <c r="F8" s="283"/>
      <c r="G8" s="283"/>
      <c r="H8" s="283"/>
      <c r="I8" s="283"/>
      <c r="J8" s="283"/>
      <c r="K8" s="283"/>
      <c r="L8" s="283"/>
      <c r="M8" s="283"/>
      <c r="N8" s="283"/>
      <c r="O8" s="283"/>
      <c r="P8" s="283"/>
      <c r="Q8" s="283"/>
      <c r="R8" s="284"/>
    </row>
    <row r="9" spans="1:92" ht="22.05" customHeight="1" thickTop="1" thickBot="1" x14ac:dyDescent="0.35">
      <c r="A9" s="261" t="s">
        <v>6</v>
      </c>
      <c r="B9" s="254"/>
      <c r="C9" s="254"/>
      <c r="D9" s="254"/>
      <c r="E9" s="254"/>
      <c r="F9" s="255"/>
      <c r="G9" s="31">
        <v>45983</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92" t="s">
        <v>80</v>
      </c>
      <c r="B11" s="192" t="s">
        <v>860</v>
      </c>
      <c r="C11" s="193">
        <v>0.86458333333333337</v>
      </c>
      <c r="D11" s="192" t="s">
        <v>182</v>
      </c>
      <c r="E11" s="192" t="s">
        <v>54</v>
      </c>
      <c r="F11" s="192" t="s">
        <v>864</v>
      </c>
      <c r="G11" s="250"/>
      <c r="H11" s="49" t="s">
        <v>861</v>
      </c>
      <c r="I11" s="221">
        <v>0.74399999999999999</v>
      </c>
      <c r="J11" s="51">
        <v>125</v>
      </c>
      <c r="K11" s="52" t="s">
        <v>284</v>
      </c>
      <c r="L11" s="51">
        <v>77</v>
      </c>
      <c r="M11" s="51">
        <v>4</v>
      </c>
      <c r="N11" s="51">
        <v>12</v>
      </c>
      <c r="O11" s="53" t="s">
        <v>147</v>
      </c>
      <c r="P11" s="54">
        <v>0.86458333333333337</v>
      </c>
      <c r="Q11" s="51">
        <v>168</v>
      </c>
      <c r="R11" s="55" t="s">
        <v>865</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7.4414062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2" width="3.88671875" style="269" bestFit="1" customWidth="1"/>
    <col min="23" max="23" width="4.33203125" style="269" bestFit="1" customWidth="1"/>
    <col min="24" max="24" width="3.88671875" style="269" bestFit="1" customWidth="1"/>
    <col min="25" max="25" width="4.44140625" style="269" bestFit="1" customWidth="1"/>
    <col min="26" max="26" width="4.109375" style="269" bestFit="1" customWidth="1"/>
    <col min="27" max="27" width="4" style="269" bestFit="1" customWidth="1"/>
    <col min="28" max="28" width="4.21875" style="269" bestFit="1" customWidth="1"/>
    <col min="29" max="29" width="3.88671875" style="269" bestFit="1" customWidth="1"/>
    <col min="30"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861</v>
      </c>
      <c r="D2" s="273" t="s">
        <v>866</v>
      </c>
      <c r="E2" s="272" t="s">
        <v>859</v>
      </c>
      <c r="F2" s="272" t="s">
        <v>140</v>
      </c>
      <c r="G2" s="274">
        <v>0.91669999999999996</v>
      </c>
      <c r="H2" s="275">
        <v>168</v>
      </c>
      <c r="I2" s="275">
        <v>154</v>
      </c>
      <c r="J2" s="275">
        <v>0</v>
      </c>
      <c r="K2" s="272" t="s">
        <v>141</v>
      </c>
      <c r="L2" s="276" t="s">
        <v>186</v>
      </c>
      <c r="M2" s="275">
        <v>0</v>
      </c>
      <c r="N2" s="275">
        <v>15</v>
      </c>
      <c r="O2" s="275">
        <v>41</v>
      </c>
      <c r="P2" s="272" t="s">
        <v>615</v>
      </c>
      <c r="Q2" s="268"/>
      <c r="R2" s="268"/>
      <c r="S2" s="268"/>
      <c r="T2" s="268"/>
      <c r="U2" s="275" t="s">
        <v>422</v>
      </c>
      <c r="V2" s="275" t="s">
        <v>187</v>
      </c>
      <c r="W2" s="275" t="s">
        <v>867</v>
      </c>
      <c r="X2" s="275" t="s">
        <v>868</v>
      </c>
      <c r="Y2" s="275" t="s">
        <v>869</v>
      </c>
      <c r="Z2" s="275" t="s">
        <v>870</v>
      </c>
      <c r="AA2" s="275" t="s">
        <v>425</v>
      </c>
      <c r="AB2" s="275" t="s">
        <v>560</v>
      </c>
      <c r="AC2" s="275" t="s">
        <v>588</v>
      </c>
      <c r="AD2" s="275" t="s">
        <v>871</v>
      </c>
      <c r="AE2" s="275" t="s">
        <v>872</v>
      </c>
      <c r="AF2" s="275" t="s">
        <v>220</v>
      </c>
      <c r="AG2" s="268"/>
      <c r="AH2" s="268"/>
      <c r="AI2" s="268"/>
      <c r="AJ2" s="268"/>
    </row>
    <row r="3" spans="1:36" x14ac:dyDescent="0.3">
      <c r="A3" s="270" t="s">
        <v>154</v>
      </c>
      <c r="B3" s="271">
        <v>45983</v>
      </c>
      <c r="C3" s="272" t="s">
        <v>861</v>
      </c>
      <c r="D3" s="273" t="s">
        <v>816</v>
      </c>
      <c r="E3" s="272" t="s">
        <v>859</v>
      </c>
      <c r="F3" s="272" t="s">
        <v>140</v>
      </c>
      <c r="G3" s="274">
        <v>0.74399999999999999</v>
      </c>
      <c r="H3" s="275">
        <v>168</v>
      </c>
      <c r="I3" s="275">
        <v>125</v>
      </c>
      <c r="J3" s="275">
        <v>0</v>
      </c>
      <c r="K3" s="272" t="s">
        <v>141</v>
      </c>
      <c r="L3" s="276" t="s">
        <v>284</v>
      </c>
      <c r="M3" s="275">
        <v>4</v>
      </c>
      <c r="N3" s="275">
        <v>12</v>
      </c>
      <c r="O3" s="275">
        <v>77</v>
      </c>
      <c r="P3" s="272" t="s">
        <v>147</v>
      </c>
      <c r="Q3" s="268"/>
      <c r="R3" s="268"/>
      <c r="S3" s="268"/>
      <c r="T3" s="268"/>
      <c r="U3" s="268"/>
      <c r="V3" s="268"/>
      <c r="W3" s="268"/>
      <c r="X3" s="268"/>
      <c r="Y3" s="268"/>
      <c r="Z3" s="268"/>
      <c r="AA3" s="268"/>
      <c r="AB3" s="275" t="s">
        <v>873</v>
      </c>
      <c r="AC3" s="275" t="s">
        <v>200</v>
      </c>
      <c r="AD3" s="275" t="s">
        <v>218</v>
      </c>
      <c r="AE3" s="275" t="s">
        <v>874</v>
      </c>
      <c r="AF3" s="275" t="s">
        <v>433</v>
      </c>
      <c r="AG3" s="268"/>
      <c r="AH3" s="268"/>
      <c r="AI3" s="268"/>
      <c r="AJ3" s="268"/>
    </row>
    <row r="4" spans="1:36" ht="21" x14ac:dyDescent="0.3">
      <c r="A4" s="277" t="s">
        <v>913</v>
      </c>
      <c r="B4" s="278"/>
      <c r="C4" s="277">
        <f>SUBTOTAL(103,AJF_CAI_LF_LEGACY[Flt])</f>
        <v>2</v>
      </c>
      <c r="D4" s="277"/>
      <c r="E4" s="277">
        <f>SUBTOTAL(103,AJF_CAI_LF_LEGACY[Brd-Off])</f>
        <v>2</v>
      </c>
      <c r="F4" s="277"/>
      <c r="G4" s="279">
        <f>SUBTOTAL(101,AJF_CAI_LF_LEGACY[LF%])</f>
        <v>0.83034999999999992</v>
      </c>
      <c r="H4" s="280">
        <f>SUBTOTAL(109,AJF_CAI_LF_LEGACY[CAP])</f>
        <v>336</v>
      </c>
      <c r="I4" s="280">
        <f>SUBTOTAL(109,AJF_CAI_LF_LEGACY[BKG(Y)])</f>
        <v>279</v>
      </c>
      <c r="J4" s="280">
        <f>SUBTOTAL(109,AJF_CAI_LF_LEGACY[GRP(Y)])</f>
        <v>0</v>
      </c>
      <c r="K4" s="277"/>
      <c r="L4" s="278"/>
      <c r="M4" s="280">
        <f>SUBTOTAL(109,AJF_CAI_LF_LEGACY[TO-DAY])</f>
        <v>4</v>
      </c>
      <c r="N4" s="280">
        <f>SUBTOTAL(109,AJF_CAI_LF_LEGACY[Y-DAY])</f>
        <v>27</v>
      </c>
      <c r="O4" s="280">
        <f>SUBTOTAL(109,AJF_CAI_LF_LEGACY[WEEKLY])</f>
        <v>118</v>
      </c>
      <c r="P4" s="281"/>
      <c r="Q4" s="280">
        <f>SUBTOTAL(109,AJF_CAI_LF_LEGACY[Y])</f>
        <v>0</v>
      </c>
      <c r="R4" s="280">
        <f>SUBTOTAL(109,AJF_CAI_LF_LEGACY[B])</f>
        <v>0</v>
      </c>
      <c r="S4" s="280">
        <f>SUBTOTAL(109,AJF_CAI_LF_LEGACY[M])</f>
        <v>0</v>
      </c>
      <c r="T4" s="280">
        <f>SUBTOTAL(109,AJF_CAI_LF_LEGACY[H])</f>
        <v>0</v>
      </c>
      <c r="U4" s="280">
        <f>SUBTOTAL(109,AJF_CAI_LF_LEGACY[Q])</f>
        <v>0</v>
      </c>
      <c r="V4" s="280">
        <f>SUBTOTAL(109,AJF_CAI_LF_LEGACY[K])</f>
        <v>0</v>
      </c>
      <c r="W4" s="280">
        <f>SUBTOTAL(109,AJF_CAI_LF_LEGACY[V])</f>
        <v>0</v>
      </c>
      <c r="X4" s="280">
        <f>SUBTOTAL(109,AJF_CAI_LF_LEGACY[L])</f>
        <v>0</v>
      </c>
      <c r="Y4" s="280">
        <f>SUBTOTAL(109,AJF_CAI_LF_LEGACY[G])</f>
        <v>0</v>
      </c>
      <c r="Z4" s="280">
        <f>SUBTOTAL(109,AJF_CAI_LF_LEGACY[S])</f>
        <v>0</v>
      </c>
      <c r="AA4" s="280">
        <f>SUBTOTAL(109,AJF_CAI_LF_LEGACY[W])</f>
        <v>0</v>
      </c>
      <c r="AB4" s="280">
        <f>SUBTOTAL(109,AJF_CAI_LF_LEGACY[T])</f>
        <v>0</v>
      </c>
      <c r="AC4" s="280">
        <f>SUBTOTAL(109,AJF_CAI_LF_LEGACY[X])</f>
        <v>0</v>
      </c>
      <c r="AD4" s="280">
        <f>SUBTOTAL(109,AJF_CAI_LF_LEGACY[U])</f>
        <v>0</v>
      </c>
      <c r="AE4" s="280">
        <f>SUBTOTAL(109,AJF_CAI_LF_LEGACY[O])</f>
        <v>0</v>
      </c>
      <c r="AF4" s="280">
        <f>SUBTOTAL(109,AJF_CAI_LF_LEGACY[I])</f>
        <v>0</v>
      </c>
      <c r="AG4" s="280">
        <f>SUBTOTAL(109,AJF_CAI_LF_LEGACY[E])</f>
        <v>0</v>
      </c>
      <c r="AH4" s="280">
        <f>SUBTOTAL(109,AJF_CAI_LF_LEGACY[A])</f>
        <v>0</v>
      </c>
      <c r="AI4" s="280">
        <f>SUBTOTAL(109,AJF_CAI_LF_LEGACY[P])</f>
        <v>0</v>
      </c>
      <c r="AJ4" s="280">
        <f>SUBTOTAL(103,AJF_CAI_LF_LEGACY[N])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96" t="s">
        <v>166</v>
      </c>
      <c r="B2" s="97" t="s">
        <v>80</v>
      </c>
      <c r="C2" s="98" t="s">
        <v>860</v>
      </c>
      <c r="D2" s="97" t="s">
        <v>859</v>
      </c>
      <c r="E2" s="97" t="s">
        <v>866</v>
      </c>
      <c r="F2" s="97" t="s">
        <v>182</v>
      </c>
      <c r="G2" s="99">
        <v>2</v>
      </c>
      <c r="H2" s="100">
        <v>728</v>
      </c>
    </row>
    <row r="3" spans="1:8" ht="19.8" customHeight="1" x14ac:dyDescent="0.3">
      <c r="A3" s="72">
        <v>45981</v>
      </c>
      <c r="B3" s="73" t="s">
        <v>273</v>
      </c>
      <c r="C3" s="74" t="s">
        <v>863</v>
      </c>
      <c r="D3" s="73" t="s">
        <v>859</v>
      </c>
      <c r="E3" s="75">
        <v>1.850694444444444</v>
      </c>
      <c r="F3" s="73" t="s">
        <v>263</v>
      </c>
      <c r="G3" s="76">
        <v>9</v>
      </c>
      <c r="H3" s="105">
        <v>745</v>
      </c>
    </row>
    <row r="4" spans="1:8" ht="19.8" customHeight="1" x14ac:dyDescent="0.3">
      <c r="A4" s="78">
        <v>45983</v>
      </c>
      <c r="B4" s="67" t="s">
        <v>80</v>
      </c>
      <c r="C4" s="68" t="s">
        <v>860</v>
      </c>
      <c r="D4" s="67" t="s">
        <v>859</v>
      </c>
      <c r="E4" s="79">
        <v>1.864583333333333</v>
      </c>
      <c r="F4" s="67" t="s">
        <v>182</v>
      </c>
      <c r="G4" s="213">
        <v>9</v>
      </c>
      <c r="H4" s="214">
        <v>573</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04.886718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6" t="s">
        <v>166</v>
      </c>
      <c r="B2" s="67" t="s">
        <v>80</v>
      </c>
      <c r="C2" s="68" t="s">
        <v>860</v>
      </c>
      <c r="D2" s="67" t="s">
        <v>859</v>
      </c>
      <c r="E2" s="67" t="s">
        <v>866</v>
      </c>
      <c r="F2" s="67" t="s">
        <v>182</v>
      </c>
      <c r="G2" s="213">
        <v>2</v>
      </c>
      <c r="H2" s="214">
        <v>728</v>
      </c>
    </row>
    <row r="3" spans="1:8" ht="19.8" customHeight="1" x14ac:dyDescent="0.3">
      <c r="A3" s="78">
        <v>45983</v>
      </c>
      <c r="B3" s="67" t="s">
        <v>80</v>
      </c>
      <c r="C3" s="68" t="s">
        <v>860</v>
      </c>
      <c r="D3" s="67" t="s">
        <v>859</v>
      </c>
      <c r="E3" s="79">
        <v>1.864583333333333</v>
      </c>
      <c r="F3" s="67" t="s">
        <v>182</v>
      </c>
      <c r="G3" s="213">
        <v>9</v>
      </c>
      <c r="H3" s="214">
        <v>573</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109375" bestFit="1" customWidth="1"/>
  </cols>
  <sheetData>
    <row r="1" spans="1:92" ht="28.8" customHeight="1" x14ac:dyDescent="0.3">
      <c r="A1" s="257" t="s">
        <v>0</v>
      </c>
      <c r="B1" s="248"/>
      <c r="C1" s="248"/>
      <c r="D1" s="248"/>
      <c r="E1" s="248"/>
      <c r="F1" s="1" t="s">
        <v>875</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45980.430650630951</v>
      </c>
      <c r="H2" s="248"/>
      <c r="I2" s="248"/>
      <c r="J2" s="248"/>
      <c r="K2" s="259">
        <v>45980.430650631213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45982</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72" t="s">
        <v>80</v>
      </c>
      <c r="B6" s="172" t="s">
        <v>876</v>
      </c>
      <c r="C6" s="173">
        <v>0.63541666666666663</v>
      </c>
      <c r="D6" s="172" t="s">
        <v>182</v>
      </c>
      <c r="E6" s="172" t="s">
        <v>183</v>
      </c>
      <c r="F6" s="172" t="s">
        <v>877</v>
      </c>
      <c r="G6" s="250"/>
      <c r="H6" s="222" t="s">
        <v>878</v>
      </c>
      <c r="I6" s="223">
        <v>0.85119999999999996</v>
      </c>
      <c r="J6" s="224">
        <v>143</v>
      </c>
      <c r="K6" s="225" t="s">
        <v>284</v>
      </c>
      <c r="L6" s="224">
        <v>80</v>
      </c>
      <c r="M6" s="224">
        <v>1</v>
      </c>
      <c r="N6" s="224">
        <v>14</v>
      </c>
      <c r="O6" s="226" t="s">
        <v>879</v>
      </c>
      <c r="P6" s="227">
        <v>0.63541666666666663</v>
      </c>
      <c r="Q6" s="224">
        <v>168</v>
      </c>
      <c r="R6" s="228" t="s">
        <v>880</v>
      </c>
    </row>
    <row r="7" spans="1:92" ht="17.399999999999999" customHeight="1" thickBot="1" x14ac:dyDescent="0.35">
      <c r="A7" s="282"/>
      <c r="B7" s="283"/>
      <c r="C7" s="283"/>
      <c r="D7" s="283"/>
      <c r="E7" s="283"/>
      <c r="F7" s="283"/>
      <c r="G7" s="283"/>
      <c r="H7" s="283"/>
      <c r="I7" s="283"/>
      <c r="J7" s="283"/>
      <c r="K7" s="283"/>
      <c r="L7" s="283"/>
      <c r="M7" s="283"/>
      <c r="N7" s="283"/>
      <c r="O7" s="283"/>
      <c r="P7" s="283"/>
      <c r="Q7" s="283"/>
      <c r="R7" s="284"/>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69" bestFit="1" customWidth="1"/>
    <col min="2" max="2" width="10.44140625" style="269" bestFit="1" customWidth="1"/>
    <col min="3" max="3" width="6.77734375" style="269" bestFit="1" customWidth="1"/>
    <col min="4" max="4" width="5.5546875" style="269" bestFit="1" customWidth="1"/>
    <col min="5" max="5" width="7.55468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5" width="3.88671875" style="269" bestFit="1" customWidth="1"/>
    <col min="26" max="26" width="4.109375" style="269" bestFit="1" customWidth="1"/>
    <col min="27" max="27" width="4" style="269" bestFit="1" customWidth="1"/>
    <col min="28" max="28" width="3.88671875" style="269" bestFit="1" customWidth="1"/>
    <col min="29" max="29" width="4.21875" style="269" bestFit="1" customWidth="1"/>
    <col min="30" max="31" width="4.5546875" style="269" bestFit="1" customWidth="1"/>
    <col min="32"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435</v>
      </c>
      <c r="B2" s="271">
        <v>45982</v>
      </c>
      <c r="C2" s="272" t="s">
        <v>878</v>
      </c>
      <c r="D2" s="273" t="s">
        <v>853</v>
      </c>
      <c r="E2" s="272" t="s">
        <v>875</v>
      </c>
      <c r="F2" s="272" t="s">
        <v>140</v>
      </c>
      <c r="G2" s="274">
        <v>0.85119999999999996</v>
      </c>
      <c r="H2" s="275">
        <v>168</v>
      </c>
      <c r="I2" s="275">
        <v>143</v>
      </c>
      <c r="J2" s="275">
        <v>0</v>
      </c>
      <c r="K2" s="272" t="s">
        <v>141</v>
      </c>
      <c r="L2" s="276" t="s">
        <v>284</v>
      </c>
      <c r="M2" s="275">
        <v>1</v>
      </c>
      <c r="N2" s="275">
        <v>14</v>
      </c>
      <c r="O2" s="275">
        <v>80</v>
      </c>
      <c r="P2" s="272" t="s">
        <v>879</v>
      </c>
      <c r="Q2" s="268"/>
      <c r="R2" s="268"/>
      <c r="S2" s="268"/>
      <c r="T2" s="268"/>
      <c r="U2" s="268"/>
      <c r="V2" s="268"/>
      <c r="W2" s="275" t="s">
        <v>413</v>
      </c>
      <c r="X2" s="275" t="s">
        <v>881</v>
      </c>
      <c r="Y2" s="275" t="s">
        <v>695</v>
      </c>
      <c r="Z2" s="275" t="s">
        <v>452</v>
      </c>
      <c r="AA2" s="275" t="s">
        <v>608</v>
      </c>
      <c r="AB2" s="275" t="s">
        <v>882</v>
      </c>
      <c r="AC2" s="275" t="s">
        <v>883</v>
      </c>
      <c r="AD2" s="275" t="s">
        <v>884</v>
      </c>
      <c r="AE2" s="275" t="s">
        <v>885</v>
      </c>
      <c r="AF2" s="275" t="s">
        <v>886</v>
      </c>
      <c r="AG2" s="268"/>
      <c r="AH2" s="268"/>
      <c r="AI2" s="268"/>
      <c r="AJ2" s="268"/>
    </row>
    <row r="3" spans="1:36" ht="21" x14ac:dyDescent="0.3">
      <c r="A3" s="277" t="s">
        <v>913</v>
      </c>
      <c r="B3" s="278"/>
      <c r="C3" s="277">
        <f>SUBTOTAL(103,AJF_ATZ_LF_LEGACY[Flt])</f>
        <v>1</v>
      </c>
      <c r="D3" s="277"/>
      <c r="E3" s="277">
        <f>SUBTOTAL(103,AJF_ATZ_LF_LEGACY[Brd-Off])</f>
        <v>1</v>
      </c>
      <c r="F3" s="277"/>
      <c r="G3" s="279">
        <f>SUBTOTAL(101,AJF_ATZ_LF_LEGACY[LF%])</f>
        <v>0.85119999999999996</v>
      </c>
      <c r="H3" s="280">
        <f>SUBTOTAL(109,AJF_ATZ_LF_LEGACY[CAP])</f>
        <v>168</v>
      </c>
      <c r="I3" s="280">
        <f>SUBTOTAL(109,AJF_ATZ_LF_LEGACY[BKG(Y)])</f>
        <v>143</v>
      </c>
      <c r="J3" s="280">
        <f>SUBTOTAL(109,AJF_ATZ_LF_LEGACY[GRP(Y)])</f>
        <v>0</v>
      </c>
      <c r="K3" s="277"/>
      <c r="L3" s="278"/>
      <c r="M3" s="280">
        <f>SUBTOTAL(109,AJF_ATZ_LF_LEGACY[TO-DAY])</f>
        <v>1</v>
      </c>
      <c r="N3" s="280">
        <f>SUBTOTAL(109,AJF_ATZ_LF_LEGACY[Y-DAY])</f>
        <v>14</v>
      </c>
      <c r="O3" s="280">
        <f>SUBTOTAL(109,AJF_ATZ_LF_LEGACY[WEEKLY])</f>
        <v>80</v>
      </c>
      <c r="P3" s="281"/>
      <c r="Q3" s="280">
        <f>SUBTOTAL(109,AJF_ATZ_LF_LEGACY[Y])</f>
        <v>0</v>
      </c>
      <c r="R3" s="280">
        <f>SUBTOTAL(109,AJF_ATZ_LF_LEGACY[B])</f>
        <v>0</v>
      </c>
      <c r="S3" s="280">
        <f>SUBTOTAL(109,AJF_ATZ_LF_LEGACY[M])</f>
        <v>0</v>
      </c>
      <c r="T3" s="280">
        <f>SUBTOTAL(109,AJF_ATZ_LF_LEGACY[H])</f>
        <v>0</v>
      </c>
      <c r="U3" s="280">
        <f>SUBTOTAL(109,AJF_ATZ_LF_LEGACY[Q])</f>
        <v>0</v>
      </c>
      <c r="V3" s="280">
        <f>SUBTOTAL(109,AJF_ATZ_LF_LEGACY[K])</f>
        <v>0</v>
      </c>
      <c r="W3" s="280">
        <f>SUBTOTAL(109,AJF_ATZ_LF_LEGACY[V])</f>
        <v>0</v>
      </c>
      <c r="X3" s="280">
        <f>SUBTOTAL(109,AJF_ATZ_LF_LEGACY[L])</f>
        <v>0</v>
      </c>
      <c r="Y3" s="280">
        <f>SUBTOTAL(109,AJF_ATZ_LF_LEGACY[G])</f>
        <v>0</v>
      </c>
      <c r="Z3" s="280">
        <f>SUBTOTAL(109,AJF_ATZ_LF_LEGACY[S])</f>
        <v>0</v>
      </c>
      <c r="AA3" s="280">
        <f>SUBTOTAL(109,AJF_ATZ_LF_LEGACY[W])</f>
        <v>0</v>
      </c>
      <c r="AB3" s="280">
        <f>SUBTOTAL(109,AJF_ATZ_LF_LEGACY[T])</f>
        <v>0</v>
      </c>
      <c r="AC3" s="280">
        <f>SUBTOTAL(109,AJF_ATZ_LF_LEGACY[X])</f>
        <v>0</v>
      </c>
      <c r="AD3" s="280">
        <f>SUBTOTAL(109,AJF_ATZ_LF_LEGACY[U])</f>
        <v>0</v>
      </c>
      <c r="AE3" s="280">
        <f>SUBTOTAL(109,AJF_ATZ_LF_LEGACY[O])</f>
        <v>0</v>
      </c>
      <c r="AF3" s="280">
        <f>SUBTOTAL(109,AJF_ATZ_LF_LEGACY[I])</f>
        <v>0</v>
      </c>
      <c r="AG3" s="280">
        <f>SUBTOTAL(109,AJF_ATZ_LF_LEGACY[E])</f>
        <v>0</v>
      </c>
      <c r="AH3" s="280">
        <f>SUBTOTAL(109,AJF_ATZ_LF_LEGACY[A])</f>
        <v>0</v>
      </c>
      <c r="AI3" s="280">
        <f>SUBTOTAL(109,AJF_ATZ_LF_LEGACY[P])</f>
        <v>0</v>
      </c>
      <c r="AJ3" s="280">
        <f>SUBTOTAL(103,AJF_ATZ_LF_LEGACY[N])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94.66406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887</v>
      </c>
      <c r="G2" s="102"/>
      <c r="H2" s="104"/>
    </row>
    <row r="3" spans="1:8" ht="19.8" customHeight="1" x14ac:dyDescent="0.3">
      <c r="A3" s="60" t="s">
        <v>166</v>
      </c>
      <c r="B3" s="61" t="s">
        <v>80</v>
      </c>
      <c r="C3" s="62" t="s">
        <v>860</v>
      </c>
      <c r="D3" s="61" t="s">
        <v>859</v>
      </c>
      <c r="E3" s="61" t="s">
        <v>866</v>
      </c>
      <c r="F3" s="61" t="s">
        <v>182</v>
      </c>
      <c r="G3" s="63">
        <v>2</v>
      </c>
      <c r="H3" s="64">
        <v>728</v>
      </c>
    </row>
    <row r="4" spans="1:8" ht="19.8" customHeight="1" x14ac:dyDescent="0.3">
      <c r="A4" s="116" t="s">
        <v>166</v>
      </c>
      <c r="B4" s="73" t="s">
        <v>273</v>
      </c>
      <c r="C4" s="74" t="s">
        <v>863</v>
      </c>
      <c r="D4" s="73" t="s">
        <v>859</v>
      </c>
      <c r="E4" s="73" t="s">
        <v>888</v>
      </c>
      <c r="F4" s="73" t="s">
        <v>263</v>
      </c>
      <c r="G4" s="76">
        <v>9</v>
      </c>
      <c r="H4" s="105">
        <v>745</v>
      </c>
    </row>
    <row r="5" spans="1:8" ht="19.8" customHeight="1" x14ac:dyDescent="0.3">
      <c r="A5" s="66" t="s">
        <v>222</v>
      </c>
      <c r="B5" s="67" t="s">
        <v>80</v>
      </c>
      <c r="C5" s="68" t="s">
        <v>876</v>
      </c>
      <c r="D5" s="67" t="s">
        <v>875</v>
      </c>
      <c r="E5" s="67" t="s">
        <v>853</v>
      </c>
      <c r="F5" s="67" t="s">
        <v>182</v>
      </c>
      <c r="G5" s="213">
        <v>3</v>
      </c>
      <c r="H5" s="214">
        <v>538</v>
      </c>
    </row>
    <row r="6" spans="1:8" ht="19.8" customHeight="1" x14ac:dyDescent="0.3">
      <c r="A6" s="101"/>
      <c r="B6" s="102"/>
      <c r="C6" s="102"/>
      <c r="D6" s="102"/>
      <c r="E6" s="102"/>
      <c r="F6" s="103" t="s">
        <v>887</v>
      </c>
      <c r="G6" s="102"/>
      <c r="H6" s="104"/>
    </row>
    <row r="7" spans="1:8" ht="19.8" customHeight="1" x14ac:dyDescent="0.3">
      <c r="A7" s="72">
        <v>45983</v>
      </c>
      <c r="B7" s="73" t="s">
        <v>80</v>
      </c>
      <c r="C7" s="74" t="s">
        <v>860</v>
      </c>
      <c r="D7" s="73" t="s">
        <v>859</v>
      </c>
      <c r="E7" s="75">
        <v>1.864583333333333</v>
      </c>
      <c r="F7" s="73" t="s">
        <v>182</v>
      </c>
      <c r="G7" s="76">
        <v>9</v>
      </c>
      <c r="H7" s="105">
        <v>573</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94.664062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101"/>
      <c r="B2" s="102"/>
      <c r="C2" s="102"/>
      <c r="D2" s="102"/>
      <c r="E2" s="102"/>
      <c r="F2" s="103" t="s">
        <v>887</v>
      </c>
      <c r="G2" s="102"/>
      <c r="H2" s="104"/>
    </row>
    <row r="3" spans="1:8" ht="19.8" customHeight="1" x14ac:dyDescent="0.3">
      <c r="A3" s="60" t="s">
        <v>166</v>
      </c>
      <c r="B3" s="61" t="s">
        <v>80</v>
      </c>
      <c r="C3" s="62" t="s">
        <v>860</v>
      </c>
      <c r="D3" s="61" t="s">
        <v>859</v>
      </c>
      <c r="E3" s="61" t="s">
        <v>866</v>
      </c>
      <c r="F3" s="61" t="s">
        <v>182</v>
      </c>
      <c r="G3" s="63">
        <v>2</v>
      </c>
      <c r="H3" s="64">
        <v>728</v>
      </c>
    </row>
    <row r="4" spans="1:8" ht="19.8" customHeight="1" x14ac:dyDescent="0.3">
      <c r="A4" s="116" t="s">
        <v>166</v>
      </c>
      <c r="B4" s="73" t="s">
        <v>273</v>
      </c>
      <c r="C4" s="74" t="s">
        <v>863</v>
      </c>
      <c r="D4" s="73" t="s">
        <v>859</v>
      </c>
      <c r="E4" s="73" t="s">
        <v>888</v>
      </c>
      <c r="F4" s="73" t="s">
        <v>263</v>
      </c>
      <c r="G4" s="76">
        <v>9</v>
      </c>
      <c r="H4" s="105">
        <v>745</v>
      </c>
    </row>
    <row r="5" spans="1:8" ht="19.8" customHeight="1" x14ac:dyDescent="0.3">
      <c r="A5" s="66" t="s">
        <v>222</v>
      </c>
      <c r="B5" s="67" t="s">
        <v>80</v>
      </c>
      <c r="C5" s="68" t="s">
        <v>876</v>
      </c>
      <c r="D5" s="67" t="s">
        <v>875</v>
      </c>
      <c r="E5" s="67" t="s">
        <v>853</v>
      </c>
      <c r="F5" s="67" t="s">
        <v>182</v>
      </c>
      <c r="G5" s="213">
        <v>3</v>
      </c>
      <c r="H5" s="214">
        <v>538</v>
      </c>
    </row>
    <row r="6" spans="1:8" ht="19.8" customHeight="1" x14ac:dyDescent="0.3">
      <c r="A6" s="101"/>
      <c r="B6" s="102"/>
      <c r="C6" s="102"/>
      <c r="D6" s="102"/>
      <c r="E6" s="102"/>
      <c r="F6" s="103" t="s">
        <v>887</v>
      </c>
      <c r="G6" s="102"/>
      <c r="H6" s="104"/>
    </row>
    <row r="7" spans="1:8" ht="19.8" customHeight="1" x14ac:dyDescent="0.3">
      <c r="A7" s="72">
        <v>45983</v>
      </c>
      <c r="B7" s="73" t="s">
        <v>80</v>
      </c>
      <c r="C7" s="74" t="s">
        <v>860</v>
      </c>
      <c r="D7" s="73" t="s">
        <v>859</v>
      </c>
      <c r="E7" s="75">
        <v>1.864583333333333</v>
      </c>
      <c r="F7" s="73" t="s">
        <v>182</v>
      </c>
      <c r="G7" s="76">
        <v>9</v>
      </c>
      <c r="H7" s="105">
        <v>573</v>
      </c>
    </row>
  </sheetData>
  <pageMargins left="0.75" right="0.75" top="1" bottom="1" header="0.5" footer="0.5"/>
  <legacyDrawing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N1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9.88671875" bestFit="1" customWidth="1"/>
  </cols>
  <sheetData>
    <row r="1" spans="1:92" ht="28.8" customHeight="1" x14ac:dyDescent="0.3">
      <c r="A1" s="257" t="s">
        <v>0</v>
      </c>
      <c r="B1" s="248"/>
      <c r="C1" s="248"/>
      <c r="D1" s="248"/>
      <c r="E1" s="248"/>
      <c r="F1" s="1" t="s">
        <v>889</v>
      </c>
      <c r="G1" s="2" t="s">
        <v>2</v>
      </c>
      <c r="H1" s="256">
        <v>45981</v>
      </c>
      <c r="I1" s="248"/>
      <c r="J1" s="248"/>
      <c r="K1" s="248"/>
      <c r="L1" s="248"/>
      <c r="M1" s="1" t="s">
        <v>3</v>
      </c>
      <c r="N1" s="263">
        <v>45983</v>
      </c>
      <c r="O1" s="248"/>
      <c r="P1" s="248"/>
      <c r="Q1" s="248"/>
      <c r="R1" s="248"/>
      <c r="CA1" s="3"/>
      <c r="CB1" s="3"/>
      <c r="CC1" s="3"/>
      <c r="CD1" s="3"/>
      <c r="CE1" s="3"/>
      <c r="CF1" s="3"/>
      <c r="CG1" s="3"/>
      <c r="CH1" s="3"/>
      <c r="CI1" s="3"/>
      <c r="CJ1" s="3"/>
      <c r="CK1" s="3"/>
      <c r="CL1" s="3"/>
      <c r="CM1" s="3"/>
      <c r="CN1" s="3"/>
    </row>
    <row r="2" spans="1:92" ht="23.4" customHeight="1" x14ac:dyDescent="0.3">
      <c r="A2" s="247" t="s">
        <v>4</v>
      </c>
      <c r="B2" s="248"/>
      <c r="C2" s="248"/>
      <c r="D2" s="248"/>
      <c r="E2" s="248"/>
      <c r="F2" s="248"/>
      <c r="G2" s="258">
        <v>45980.430652615883</v>
      </c>
      <c r="H2" s="248"/>
      <c r="I2" s="248"/>
      <c r="J2" s="248"/>
      <c r="K2" s="259">
        <v>45980.430652616153</v>
      </c>
      <c r="L2" s="248"/>
      <c r="M2" s="248"/>
      <c r="N2" s="248"/>
      <c r="O2" s="248"/>
      <c r="P2" s="248"/>
      <c r="Q2" s="248"/>
      <c r="R2" s="248"/>
      <c r="CA2" s="3"/>
      <c r="CB2" s="3"/>
      <c r="CC2" s="3"/>
      <c r="CD2" s="3"/>
      <c r="CE2" s="3"/>
      <c r="CF2" s="3"/>
      <c r="CG2" s="3"/>
      <c r="CH2" s="3"/>
      <c r="CI2" s="3"/>
      <c r="CJ2" s="3"/>
      <c r="CK2" s="3"/>
      <c r="CL2" s="3"/>
      <c r="CM2" s="3"/>
      <c r="CN2" s="3"/>
    </row>
    <row r="3" spans="1:92" ht="24" customHeight="1" x14ac:dyDescent="0.3">
      <c r="A3" s="249" t="s">
        <v>5</v>
      </c>
      <c r="B3" s="248"/>
      <c r="C3" s="248"/>
      <c r="D3" s="248"/>
      <c r="E3" s="248"/>
      <c r="F3" s="248"/>
      <c r="G3" s="248"/>
      <c r="H3" s="248"/>
      <c r="I3" s="248"/>
      <c r="J3" s="248"/>
      <c r="K3" s="248"/>
      <c r="L3" s="248"/>
      <c r="M3" s="248"/>
      <c r="N3" s="248"/>
      <c r="O3" s="248"/>
      <c r="P3" s="248"/>
      <c r="Q3" s="248"/>
      <c r="R3" s="248"/>
      <c r="CA3" s="3"/>
      <c r="CB3" s="3"/>
      <c r="CC3" s="3"/>
      <c r="CD3" s="3"/>
      <c r="CE3" s="3"/>
      <c r="CF3" s="3"/>
      <c r="CG3" s="3"/>
      <c r="CH3" s="3"/>
      <c r="CI3" s="3"/>
      <c r="CJ3" s="3"/>
      <c r="CK3" s="3"/>
      <c r="CL3" s="3"/>
      <c r="CM3" s="3"/>
      <c r="CN3" s="3"/>
    </row>
    <row r="4" spans="1:92" ht="22.05" customHeight="1" x14ac:dyDescent="0.3">
      <c r="A4" s="260" t="s">
        <v>6</v>
      </c>
      <c r="B4" s="254"/>
      <c r="C4" s="254"/>
      <c r="D4" s="254"/>
      <c r="E4" s="254"/>
      <c r="F4" s="255"/>
      <c r="G4" s="4">
        <v>45981</v>
      </c>
      <c r="H4" s="262"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273</v>
      </c>
      <c r="B6" s="8" t="s">
        <v>890</v>
      </c>
      <c r="C6" s="9">
        <v>0.17708333333333329</v>
      </c>
      <c r="D6" s="8" t="s">
        <v>263</v>
      </c>
      <c r="E6" s="8" t="s">
        <v>183</v>
      </c>
      <c r="F6" s="8" t="s">
        <v>891</v>
      </c>
      <c r="G6" s="250"/>
      <c r="H6" s="10"/>
      <c r="I6" s="11"/>
      <c r="J6" s="11"/>
      <c r="K6" s="11"/>
      <c r="L6" s="11"/>
      <c r="M6" s="11"/>
      <c r="N6" s="11"/>
      <c r="O6" s="12"/>
      <c r="P6" s="11"/>
      <c r="Q6" s="13"/>
      <c r="R6" s="14"/>
    </row>
    <row r="7" spans="1:92" ht="49.95" customHeight="1" x14ac:dyDescent="0.3">
      <c r="A7" s="17" t="s">
        <v>261</v>
      </c>
      <c r="B7" s="17" t="s">
        <v>892</v>
      </c>
      <c r="C7" s="18">
        <v>0.47569444444444442</v>
      </c>
      <c r="D7" s="17" t="s">
        <v>263</v>
      </c>
      <c r="E7" s="17" t="s">
        <v>104</v>
      </c>
      <c r="F7" s="17" t="s">
        <v>266</v>
      </c>
      <c r="G7" s="251"/>
      <c r="H7" s="10"/>
      <c r="I7" s="11"/>
      <c r="J7" s="11"/>
      <c r="K7" s="11"/>
      <c r="L7" s="11"/>
      <c r="M7" s="11"/>
      <c r="N7" s="11"/>
      <c r="O7" s="12"/>
      <c r="P7" s="11"/>
      <c r="Q7" s="13"/>
      <c r="R7" s="14"/>
    </row>
    <row r="8" spans="1:92" ht="49.95" customHeight="1" thickBot="1" x14ac:dyDescent="0.35">
      <c r="A8" s="229" t="s">
        <v>80</v>
      </c>
      <c r="B8" s="229" t="s">
        <v>893</v>
      </c>
      <c r="C8" s="230">
        <v>0.59722222222222221</v>
      </c>
      <c r="D8" s="229" t="s">
        <v>182</v>
      </c>
      <c r="E8" s="229" t="s">
        <v>88</v>
      </c>
      <c r="F8" s="229" t="s">
        <v>894</v>
      </c>
      <c r="G8" s="252"/>
      <c r="H8" s="179" t="s">
        <v>895</v>
      </c>
      <c r="I8" s="180">
        <v>0.97770000000000001</v>
      </c>
      <c r="J8" s="181">
        <v>175</v>
      </c>
      <c r="K8" s="182" t="s">
        <v>279</v>
      </c>
      <c r="L8" s="181">
        <v>32</v>
      </c>
      <c r="M8" s="181">
        <v>0</v>
      </c>
      <c r="N8" s="181">
        <v>0</v>
      </c>
      <c r="O8" s="183" t="s">
        <v>198</v>
      </c>
      <c r="P8" s="184">
        <v>0.59722222222222221</v>
      </c>
      <c r="Q8" s="181">
        <v>179</v>
      </c>
      <c r="R8" s="185" t="s">
        <v>896</v>
      </c>
    </row>
    <row r="9" spans="1:92" ht="17.399999999999999" customHeight="1" thickBot="1" x14ac:dyDescent="0.35">
      <c r="A9" s="282"/>
      <c r="B9" s="283"/>
      <c r="C9" s="283"/>
      <c r="D9" s="283"/>
      <c r="E9" s="283"/>
      <c r="F9" s="283"/>
      <c r="G9" s="283"/>
      <c r="H9" s="283"/>
      <c r="I9" s="283"/>
      <c r="J9" s="283"/>
      <c r="K9" s="283"/>
      <c r="L9" s="283"/>
      <c r="M9" s="283"/>
      <c r="N9" s="283"/>
      <c r="O9" s="283"/>
      <c r="P9" s="283"/>
      <c r="Q9" s="283"/>
      <c r="R9" s="284"/>
    </row>
    <row r="10" spans="1:92" ht="22.05" customHeight="1" thickTop="1" thickBot="1" x14ac:dyDescent="0.35">
      <c r="A10" s="261" t="s">
        <v>6</v>
      </c>
      <c r="B10" s="254"/>
      <c r="C10" s="254"/>
      <c r="D10" s="254"/>
      <c r="E10" s="254"/>
      <c r="F10" s="255"/>
      <c r="G10" s="31">
        <v>45982</v>
      </c>
      <c r="H10" s="253" t="s">
        <v>7</v>
      </c>
      <c r="I10" s="254"/>
      <c r="J10" s="254"/>
      <c r="K10" s="254"/>
      <c r="L10" s="254"/>
      <c r="M10" s="254"/>
      <c r="N10" s="254"/>
      <c r="O10" s="254"/>
      <c r="P10" s="254"/>
      <c r="Q10" s="254"/>
      <c r="R10" s="255"/>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thickTop="1" thickBot="1" x14ac:dyDescent="0.5">
      <c r="A12" s="215" t="s">
        <v>80</v>
      </c>
      <c r="B12" s="215" t="s">
        <v>893</v>
      </c>
      <c r="C12" s="216">
        <v>0.3263888888888889</v>
      </c>
      <c r="D12" s="215" t="s">
        <v>182</v>
      </c>
      <c r="E12" s="215" t="s">
        <v>183</v>
      </c>
      <c r="F12" s="215" t="s">
        <v>897</v>
      </c>
      <c r="G12" s="250"/>
      <c r="H12" s="231" t="s">
        <v>895</v>
      </c>
      <c r="I12" s="232">
        <v>0.9274</v>
      </c>
      <c r="J12" s="233">
        <v>166</v>
      </c>
      <c r="K12" s="234" t="s">
        <v>186</v>
      </c>
      <c r="L12" s="233">
        <v>29</v>
      </c>
      <c r="M12" s="233">
        <v>0</v>
      </c>
      <c r="N12" s="233">
        <v>1</v>
      </c>
      <c r="O12" s="235" t="s">
        <v>475</v>
      </c>
      <c r="P12" s="236">
        <v>0.3263888888888889</v>
      </c>
      <c r="Q12" s="233">
        <v>179</v>
      </c>
      <c r="R12" s="237" t="s">
        <v>898</v>
      </c>
    </row>
    <row r="13" spans="1:92" ht="17.399999999999999" customHeight="1" thickBot="1" x14ac:dyDescent="0.35">
      <c r="A13" s="282"/>
      <c r="B13" s="283"/>
      <c r="C13" s="283"/>
      <c r="D13" s="283"/>
      <c r="E13" s="283"/>
      <c r="F13" s="283"/>
      <c r="G13" s="283"/>
      <c r="H13" s="283"/>
      <c r="I13" s="283"/>
      <c r="J13" s="283"/>
      <c r="K13" s="283"/>
      <c r="L13" s="283"/>
      <c r="M13" s="283"/>
      <c r="N13" s="283"/>
      <c r="O13" s="283"/>
      <c r="P13" s="283"/>
      <c r="Q13" s="283"/>
      <c r="R13" s="284"/>
    </row>
    <row r="14" spans="1:92" ht="22.05" customHeight="1" thickTop="1" thickBot="1" x14ac:dyDescent="0.35">
      <c r="A14" s="261" t="s">
        <v>6</v>
      </c>
      <c r="B14" s="254"/>
      <c r="C14" s="254"/>
      <c r="D14" s="254"/>
      <c r="E14" s="254"/>
      <c r="F14" s="255"/>
      <c r="G14" s="31">
        <v>45983</v>
      </c>
      <c r="H14" s="253" t="s">
        <v>7</v>
      </c>
      <c r="I14" s="254"/>
      <c r="J14" s="254"/>
      <c r="K14" s="254"/>
      <c r="L14" s="254"/>
      <c r="M14" s="254"/>
      <c r="N14" s="254"/>
      <c r="O14" s="254"/>
      <c r="P14" s="254"/>
      <c r="Q14" s="254"/>
      <c r="R14" s="255"/>
    </row>
    <row r="15" spans="1:92" ht="24" customHeight="1" x14ac:dyDescent="0.3">
      <c r="A15" s="32" t="s">
        <v>8</v>
      </c>
      <c r="B15" s="32" t="s">
        <v>9</v>
      </c>
      <c r="C15" s="33" t="s">
        <v>10</v>
      </c>
      <c r="D15" s="32" t="s">
        <v>11</v>
      </c>
      <c r="E15" s="32" t="s">
        <v>12</v>
      </c>
      <c r="F15" s="34" t="s">
        <v>13</v>
      </c>
      <c r="G15" s="35" t="s">
        <v>14</v>
      </c>
      <c r="H15" s="32" t="s">
        <v>15</v>
      </c>
      <c r="I15" s="36" t="s">
        <v>16</v>
      </c>
      <c r="J15" s="37" t="s">
        <v>17</v>
      </c>
      <c r="K15" s="38" t="s">
        <v>18</v>
      </c>
      <c r="L15" s="37" t="s">
        <v>19</v>
      </c>
      <c r="M15" s="37" t="s">
        <v>20</v>
      </c>
      <c r="N15" s="37" t="s">
        <v>21</v>
      </c>
      <c r="O15" s="32" t="s">
        <v>22</v>
      </c>
      <c r="P15" s="33" t="s">
        <v>23</v>
      </c>
      <c r="Q15" s="37" t="s">
        <v>24</v>
      </c>
      <c r="R15" s="32" t="s">
        <v>25</v>
      </c>
    </row>
    <row r="16" spans="1:92" ht="49.95" customHeight="1" x14ac:dyDescent="0.45">
      <c r="A16" s="80" t="s">
        <v>80</v>
      </c>
      <c r="B16" s="80" t="s">
        <v>895</v>
      </c>
      <c r="C16" s="81">
        <v>0.28472222222222221</v>
      </c>
      <c r="D16" s="80" t="s">
        <v>82</v>
      </c>
      <c r="E16" s="238"/>
      <c r="F16" s="80" t="s">
        <v>83</v>
      </c>
      <c r="G16" s="250"/>
      <c r="H16" s="239" t="s">
        <v>895</v>
      </c>
      <c r="I16" s="240">
        <v>0.9385</v>
      </c>
      <c r="J16" s="241">
        <v>168</v>
      </c>
      <c r="K16" s="242" t="s">
        <v>186</v>
      </c>
      <c r="L16" s="241">
        <v>32</v>
      </c>
      <c r="M16" s="241">
        <v>0</v>
      </c>
      <c r="N16" s="241">
        <v>5</v>
      </c>
      <c r="O16" s="243" t="s">
        <v>85</v>
      </c>
      <c r="P16" s="244">
        <v>0.28472222222222221</v>
      </c>
      <c r="Q16" s="241">
        <v>179</v>
      </c>
      <c r="R16" s="245" t="s">
        <v>899</v>
      </c>
    </row>
  </sheetData>
  <mergeCells count="18">
    <mergeCell ref="G16"/>
    <mergeCell ref="H4:R4"/>
    <mergeCell ref="H14:R14"/>
    <mergeCell ref="N1:R1"/>
    <mergeCell ref="H1:L1"/>
    <mergeCell ref="A1:E1"/>
    <mergeCell ref="G2:J2"/>
    <mergeCell ref="K2:R2"/>
    <mergeCell ref="A4:F4"/>
    <mergeCell ref="A2:F2"/>
    <mergeCell ref="A3:R3"/>
    <mergeCell ref="A10:F10"/>
    <mergeCell ref="A9:R9"/>
    <mergeCell ref="A14:F14"/>
    <mergeCell ref="G12"/>
    <mergeCell ref="A13:R13"/>
    <mergeCell ref="H10:R10"/>
    <mergeCell ref="G6:G8"/>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J5"/>
  <sheetViews>
    <sheetView workbookViewId="0"/>
  </sheetViews>
  <sheetFormatPr defaultRowHeight="15.6" outlineLevelCol="1" x14ac:dyDescent="0.3"/>
  <cols>
    <col min="1" max="1" width="9.88671875" style="269" bestFit="1" customWidth="1"/>
    <col min="2" max="2" width="10.44140625" style="269" bestFit="1" customWidth="1"/>
    <col min="3" max="3" width="6.77734375" style="269" bestFit="1" customWidth="1"/>
    <col min="4" max="4" width="5.5546875" style="269" bestFit="1" customWidth="1"/>
    <col min="5" max="5" width="8.109375" style="269" bestFit="1" customWidth="1"/>
    <col min="6" max="6" width="4.21875" style="269" bestFit="1" customWidth="1"/>
    <col min="7" max="7" width="10" style="269" bestFit="1" customWidth="1"/>
    <col min="8" max="10" width="7" style="269" bestFit="1" customWidth="1"/>
    <col min="11" max="11" width="10.5546875" style="269" bestFit="1" customWidth="1"/>
    <col min="12" max="12" width="18.6640625" style="269" bestFit="1" customWidth="1"/>
    <col min="13" max="13" width="7.6640625" style="269" bestFit="1" customWidth="1" outlineLevel="1"/>
    <col min="14" max="14" width="6.33203125" style="269" bestFit="1" customWidth="1" outlineLevel="1"/>
    <col min="15" max="15" width="8" style="269" bestFit="1" customWidth="1" outlineLevel="1"/>
    <col min="16" max="16" width="13.6640625" style="269" bestFit="1" customWidth="1"/>
    <col min="17" max="24" width="3.88671875" style="269" bestFit="1" customWidth="1"/>
    <col min="25" max="25" width="4.44140625" style="269" bestFit="1" customWidth="1"/>
    <col min="26" max="26" width="4.109375" style="269" bestFit="1" customWidth="1"/>
    <col min="27" max="27" width="5" style="269" bestFit="1" customWidth="1"/>
    <col min="28" max="29" width="4.21875" style="269" bestFit="1" customWidth="1"/>
    <col min="30" max="31" width="4.5546875" style="269" bestFit="1" customWidth="1"/>
    <col min="32" max="34" width="3.88671875" style="269" bestFit="1" customWidth="1"/>
    <col min="35" max="35" width="4.21875" style="269" bestFit="1" customWidth="1"/>
    <col min="36" max="36" width="3.88671875" style="269" bestFit="1" customWidth="1"/>
    <col min="37" max="16384" width="8.88671875" style="269"/>
  </cols>
  <sheetData>
    <row r="1" spans="1:36" x14ac:dyDescent="0.3">
      <c r="A1" s="268" t="s">
        <v>109</v>
      </c>
      <c r="B1" s="268" t="s">
        <v>110</v>
      </c>
      <c r="C1" s="268" t="s">
        <v>111</v>
      </c>
      <c r="D1" s="268" t="s">
        <v>23</v>
      </c>
      <c r="E1" s="268" t="s">
        <v>112</v>
      </c>
      <c r="F1" s="268" t="s">
        <v>113</v>
      </c>
      <c r="G1" s="268" t="s">
        <v>16</v>
      </c>
      <c r="H1" s="268" t="s">
        <v>114</v>
      </c>
      <c r="I1" s="268" t="s">
        <v>115</v>
      </c>
      <c r="J1" s="268" t="s">
        <v>116</v>
      </c>
      <c r="K1" s="268" t="s">
        <v>117</v>
      </c>
      <c r="L1" s="268" t="s">
        <v>18</v>
      </c>
      <c r="M1" s="268" t="s">
        <v>20</v>
      </c>
      <c r="N1" s="268" t="s">
        <v>21</v>
      </c>
      <c r="O1" s="268" t="s">
        <v>19</v>
      </c>
      <c r="P1" s="268" t="s">
        <v>22</v>
      </c>
      <c r="Q1" s="268" t="s">
        <v>118</v>
      </c>
      <c r="R1" s="268" t="s">
        <v>119</v>
      </c>
      <c r="S1" s="268" t="s">
        <v>120</v>
      </c>
      <c r="T1" s="268" t="s">
        <v>121</v>
      </c>
      <c r="U1" s="268" t="s">
        <v>122</v>
      </c>
      <c r="V1" s="268" t="s">
        <v>123</v>
      </c>
      <c r="W1" s="268" t="s">
        <v>124</v>
      </c>
      <c r="X1" s="268" t="s">
        <v>125</v>
      </c>
      <c r="Y1" s="268" t="s">
        <v>126</v>
      </c>
      <c r="Z1" s="268" t="s">
        <v>127</v>
      </c>
      <c r="AA1" s="268" t="s">
        <v>128</v>
      </c>
      <c r="AB1" s="268" t="s">
        <v>129</v>
      </c>
      <c r="AC1" s="268" t="s">
        <v>130</v>
      </c>
      <c r="AD1" s="268" t="s">
        <v>131</v>
      </c>
      <c r="AE1" s="268" t="s">
        <v>132</v>
      </c>
      <c r="AF1" s="268" t="s">
        <v>133</v>
      </c>
      <c r="AG1" s="268" t="s">
        <v>134</v>
      </c>
      <c r="AH1" s="268" t="s">
        <v>135</v>
      </c>
      <c r="AI1" s="268" t="s">
        <v>136</v>
      </c>
      <c r="AJ1" s="268" t="s">
        <v>137</v>
      </c>
    </row>
    <row r="2" spans="1:36" x14ac:dyDescent="0.3">
      <c r="A2" s="270" t="s">
        <v>138</v>
      </c>
      <c r="B2" s="271">
        <v>45981</v>
      </c>
      <c r="C2" s="272" t="s">
        <v>895</v>
      </c>
      <c r="D2" s="273" t="s">
        <v>900</v>
      </c>
      <c r="E2" s="272" t="s">
        <v>889</v>
      </c>
      <c r="F2" s="272" t="s">
        <v>140</v>
      </c>
      <c r="G2" s="274">
        <v>0.97770000000000001</v>
      </c>
      <c r="H2" s="275">
        <v>179</v>
      </c>
      <c r="I2" s="275">
        <v>175</v>
      </c>
      <c r="J2" s="275">
        <v>0</v>
      </c>
      <c r="K2" s="272" t="s">
        <v>141</v>
      </c>
      <c r="L2" s="276" t="s">
        <v>279</v>
      </c>
      <c r="M2" s="275">
        <v>0</v>
      </c>
      <c r="N2" s="275">
        <v>0</v>
      </c>
      <c r="O2" s="275">
        <v>32</v>
      </c>
      <c r="P2" s="272" t="s">
        <v>198</v>
      </c>
      <c r="Q2" s="268"/>
      <c r="R2" s="268"/>
      <c r="S2" s="268"/>
      <c r="T2" s="268"/>
      <c r="U2" s="268"/>
      <c r="V2" s="268"/>
      <c r="W2" s="275" t="s">
        <v>399</v>
      </c>
      <c r="X2" s="268"/>
      <c r="Y2" s="275" t="s">
        <v>901</v>
      </c>
      <c r="Z2" s="275" t="s">
        <v>409</v>
      </c>
      <c r="AA2" s="275" t="s">
        <v>902</v>
      </c>
      <c r="AB2" s="275" t="s">
        <v>903</v>
      </c>
      <c r="AC2" s="275" t="s">
        <v>732</v>
      </c>
      <c r="AD2" s="275" t="s">
        <v>461</v>
      </c>
      <c r="AE2" s="275" t="s">
        <v>201</v>
      </c>
      <c r="AF2" s="275" t="s">
        <v>220</v>
      </c>
      <c r="AG2" s="268"/>
      <c r="AH2" s="268"/>
      <c r="AI2" s="268"/>
      <c r="AJ2" s="268"/>
    </row>
    <row r="3" spans="1:36" x14ac:dyDescent="0.3">
      <c r="A3" s="270" t="s">
        <v>435</v>
      </c>
      <c r="B3" s="271">
        <v>45982</v>
      </c>
      <c r="C3" s="272" t="s">
        <v>895</v>
      </c>
      <c r="D3" s="273" t="s">
        <v>904</v>
      </c>
      <c r="E3" s="272" t="s">
        <v>889</v>
      </c>
      <c r="F3" s="272" t="s">
        <v>140</v>
      </c>
      <c r="G3" s="274">
        <v>0.9274</v>
      </c>
      <c r="H3" s="275">
        <v>179</v>
      </c>
      <c r="I3" s="275">
        <v>166</v>
      </c>
      <c r="J3" s="275">
        <v>0</v>
      </c>
      <c r="K3" s="272" t="s">
        <v>141</v>
      </c>
      <c r="L3" s="276" t="s">
        <v>186</v>
      </c>
      <c r="M3" s="275">
        <v>0</v>
      </c>
      <c r="N3" s="275">
        <v>1</v>
      </c>
      <c r="O3" s="275">
        <v>29</v>
      </c>
      <c r="P3" s="272" t="s">
        <v>475</v>
      </c>
      <c r="Q3" s="268"/>
      <c r="R3" s="268"/>
      <c r="S3" s="268"/>
      <c r="T3" s="268"/>
      <c r="U3" s="268"/>
      <c r="V3" s="268"/>
      <c r="W3" s="268"/>
      <c r="X3" s="268"/>
      <c r="Y3" s="275" t="s">
        <v>144</v>
      </c>
      <c r="Z3" s="275" t="s">
        <v>905</v>
      </c>
      <c r="AA3" s="275" t="s">
        <v>906</v>
      </c>
      <c r="AB3" s="275" t="s">
        <v>147</v>
      </c>
      <c r="AC3" s="275" t="s">
        <v>907</v>
      </c>
      <c r="AD3" s="275" t="s">
        <v>884</v>
      </c>
      <c r="AE3" s="275" t="s">
        <v>201</v>
      </c>
      <c r="AF3" s="275" t="s">
        <v>202</v>
      </c>
      <c r="AG3" s="268"/>
      <c r="AH3" s="268"/>
      <c r="AI3" s="268"/>
      <c r="AJ3" s="268"/>
    </row>
    <row r="4" spans="1:36" x14ac:dyDescent="0.3">
      <c r="A4" s="270" t="s">
        <v>154</v>
      </c>
      <c r="B4" s="271">
        <v>45983</v>
      </c>
      <c r="C4" s="272" t="s">
        <v>895</v>
      </c>
      <c r="D4" s="273" t="s">
        <v>805</v>
      </c>
      <c r="E4" s="272" t="s">
        <v>889</v>
      </c>
      <c r="F4" s="272" t="s">
        <v>140</v>
      </c>
      <c r="G4" s="274">
        <v>0.9385</v>
      </c>
      <c r="H4" s="275">
        <v>179</v>
      </c>
      <c r="I4" s="275">
        <v>168</v>
      </c>
      <c r="J4" s="275">
        <v>72</v>
      </c>
      <c r="K4" s="272" t="s">
        <v>141</v>
      </c>
      <c r="L4" s="276" t="s">
        <v>186</v>
      </c>
      <c r="M4" s="275">
        <v>0</v>
      </c>
      <c r="N4" s="275">
        <v>5</v>
      </c>
      <c r="O4" s="275">
        <v>32</v>
      </c>
      <c r="P4" s="272" t="s">
        <v>85</v>
      </c>
      <c r="Q4" s="268"/>
      <c r="R4" s="268"/>
      <c r="S4" s="268"/>
      <c r="T4" s="268"/>
      <c r="U4" s="268"/>
      <c r="V4" s="268"/>
      <c r="W4" s="268"/>
      <c r="X4" s="268"/>
      <c r="Y4" s="275" t="s">
        <v>724</v>
      </c>
      <c r="Z4" s="275" t="s">
        <v>908</v>
      </c>
      <c r="AA4" s="275" t="s">
        <v>909</v>
      </c>
      <c r="AB4" s="275" t="s">
        <v>147</v>
      </c>
      <c r="AC4" s="275" t="s">
        <v>460</v>
      </c>
      <c r="AD4" s="275" t="s">
        <v>610</v>
      </c>
      <c r="AE4" s="268"/>
      <c r="AF4" s="268"/>
      <c r="AG4" s="268"/>
      <c r="AH4" s="268"/>
      <c r="AI4" s="275" t="s">
        <v>910</v>
      </c>
      <c r="AJ4" s="268"/>
    </row>
    <row r="5" spans="1:36" ht="21" x14ac:dyDescent="0.3">
      <c r="A5" s="277" t="s">
        <v>913</v>
      </c>
      <c r="B5" s="278"/>
      <c r="C5" s="277">
        <f>SUBTOTAL(103,YNB_CAI_LF_LEGACY[Flt])</f>
        <v>3</v>
      </c>
      <c r="D5" s="277"/>
      <c r="E5" s="277">
        <f>SUBTOTAL(103,YNB_CAI_LF_LEGACY[Brd-Off])</f>
        <v>3</v>
      </c>
      <c r="F5" s="277"/>
      <c r="G5" s="279">
        <f>SUBTOTAL(101,YNB_CAI_LF_LEGACY[LF%])</f>
        <v>0.94786666666666664</v>
      </c>
      <c r="H5" s="280">
        <f>SUBTOTAL(109,YNB_CAI_LF_LEGACY[CAP])</f>
        <v>537</v>
      </c>
      <c r="I5" s="280">
        <f>SUBTOTAL(109,YNB_CAI_LF_LEGACY[BKG(Y)])</f>
        <v>509</v>
      </c>
      <c r="J5" s="280">
        <f>SUBTOTAL(109,YNB_CAI_LF_LEGACY[GRP(Y)])</f>
        <v>72</v>
      </c>
      <c r="K5" s="277"/>
      <c r="L5" s="278"/>
      <c r="M5" s="280">
        <f>SUBTOTAL(109,YNB_CAI_LF_LEGACY[TO-DAY])</f>
        <v>0</v>
      </c>
      <c r="N5" s="280">
        <f>SUBTOTAL(109,YNB_CAI_LF_LEGACY[Y-DAY])</f>
        <v>6</v>
      </c>
      <c r="O5" s="280">
        <f>SUBTOTAL(109,YNB_CAI_LF_LEGACY[WEEKLY])</f>
        <v>93</v>
      </c>
      <c r="P5" s="281"/>
      <c r="Q5" s="280">
        <f>SUBTOTAL(109,YNB_CAI_LF_LEGACY[Y])</f>
        <v>0</v>
      </c>
      <c r="R5" s="280">
        <f>SUBTOTAL(109,YNB_CAI_LF_LEGACY[B])</f>
        <v>0</v>
      </c>
      <c r="S5" s="280">
        <f>SUBTOTAL(109,YNB_CAI_LF_LEGACY[M])</f>
        <v>0</v>
      </c>
      <c r="T5" s="280">
        <f>SUBTOTAL(109,YNB_CAI_LF_LEGACY[H])</f>
        <v>0</v>
      </c>
      <c r="U5" s="280">
        <f>SUBTOTAL(109,YNB_CAI_LF_LEGACY[Q])</f>
        <v>0</v>
      </c>
      <c r="V5" s="280">
        <f>SUBTOTAL(109,YNB_CAI_LF_LEGACY[K])</f>
        <v>0</v>
      </c>
      <c r="W5" s="280">
        <f>SUBTOTAL(109,YNB_CAI_LF_LEGACY[V])</f>
        <v>0</v>
      </c>
      <c r="X5" s="280">
        <f>SUBTOTAL(109,YNB_CAI_LF_LEGACY[L])</f>
        <v>0</v>
      </c>
      <c r="Y5" s="280">
        <f>SUBTOTAL(109,YNB_CAI_LF_LEGACY[G])</f>
        <v>0</v>
      </c>
      <c r="Z5" s="280">
        <f>SUBTOTAL(109,YNB_CAI_LF_LEGACY[S])</f>
        <v>0</v>
      </c>
      <c r="AA5" s="280">
        <f>SUBTOTAL(109,YNB_CAI_LF_LEGACY[W])</f>
        <v>0</v>
      </c>
      <c r="AB5" s="280">
        <f>SUBTOTAL(109,YNB_CAI_LF_LEGACY[T])</f>
        <v>0</v>
      </c>
      <c r="AC5" s="280">
        <f>SUBTOTAL(109,YNB_CAI_LF_LEGACY[X])</f>
        <v>0</v>
      </c>
      <c r="AD5" s="280">
        <f>SUBTOTAL(109,YNB_CAI_LF_LEGACY[U])</f>
        <v>0</v>
      </c>
      <c r="AE5" s="280">
        <f>SUBTOTAL(109,YNB_CAI_LF_LEGACY[O])</f>
        <v>0</v>
      </c>
      <c r="AF5" s="280">
        <f>SUBTOTAL(109,YNB_CAI_LF_LEGACY[I])</f>
        <v>0</v>
      </c>
      <c r="AG5" s="280">
        <f>SUBTOTAL(109,YNB_CAI_LF_LEGACY[E])</f>
        <v>0</v>
      </c>
      <c r="AH5" s="280">
        <f>SUBTOTAL(109,YNB_CAI_LF_LEGACY[A])</f>
        <v>0</v>
      </c>
      <c r="AI5" s="280">
        <f>SUBTOTAL(109,YNB_CAI_LF_LEGACY[P])</f>
        <v>0</v>
      </c>
      <c r="AJ5" s="280">
        <f>SUBTOTAL(103,YNB_CAI_LF_LEGACY[N])</f>
        <v>0</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6"/>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3.77734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0" t="s">
        <v>166</v>
      </c>
      <c r="B2" s="61" t="s">
        <v>273</v>
      </c>
      <c r="C2" s="62" t="s">
        <v>890</v>
      </c>
      <c r="D2" s="61" t="s">
        <v>889</v>
      </c>
      <c r="E2" s="61" t="s">
        <v>911</v>
      </c>
      <c r="F2" s="61" t="s">
        <v>263</v>
      </c>
      <c r="G2" s="63">
        <v>3</v>
      </c>
      <c r="H2" s="64">
        <v>571</v>
      </c>
    </row>
    <row r="3" spans="1:8" ht="19.8" customHeight="1" x14ac:dyDescent="0.3">
      <c r="A3" s="60" t="s">
        <v>166</v>
      </c>
      <c r="B3" s="61" t="s">
        <v>261</v>
      </c>
      <c r="C3" s="62" t="s">
        <v>892</v>
      </c>
      <c r="D3" s="61" t="s">
        <v>889</v>
      </c>
      <c r="E3" s="61" t="s">
        <v>912</v>
      </c>
      <c r="F3" s="61" t="s">
        <v>263</v>
      </c>
      <c r="G3" s="63">
        <v>1</v>
      </c>
      <c r="H3" s="64">
        <v>745</v>
      </c>
    </row>
    <row r="4" spans="1:8" ht="19.8" customHeight="1" x14ac:dyDescent="0.3">
      <c r="A4" s="66" t="s">
        <v>166</v>
      </c>
      <c r="B4" s="67" t="s">
        <v>80</v>
      </c>
      <c r="C4" s="68" t="s">
        <v>893</v>
      </c>
      <c r="D4" s="67" t="s">
        <v>889</v>
      </c>
      <c r="E4" s="67" t="s">
        <v>900</v>
      </c>
      <c r="F4" s="67" t="s">
        <v>182</v>
      </c>
      <c r="G4" s="213">
        <v>4</v>
      </c>
      <c r="H4" s="214">
        <v>868</v>
      </c>
    </row>
    <row r="5" spans="1:8" ht="19.8" customHeight="1" x14ac:dyDescent="0.3">
      <c r="A5" s="78">
        <v>45982</v>
      </c>
      <c r="B5" s="67" t="s">
        <v>80</v>
      </c>
      <c r="C5" s="68" t="s">
        <v>893</v>
      </c>
      <c r="D5" s="67" t="s">
        <v>889</v>
      </c>
      <c r="E5" s="79">
        <v>1.3263888888888891</v>
      </c>
      <c r="F5" s="67" t="s">
        <v>182</v>
      </c>
      <c r="G5" s="213">
        <v>3</v>
      </c>
      <c r="H5" s="214">
        <v>748</v>
      </c>
    </row>
    <row r="6" spans="1:8" ht="19.8" customHeight="1" x14ac:dyDescent="0.3">
      <c r="A6" s="78">
        <v>45983</v>
      </c>
      <c r="B6" s="67" t="s">
        <v>80</v>
      </c>
      <c r="C6" s="68" t="s">
        <v>893</v>
      </c>
      <c r="D6" s="67" t="s">
        <v>889</v>
      </c>
      <c r="E6" s="79">
        <v>1.2847222222222221</v>
      </c>
      <c r="F6" s="67"/>
      <c r="G6" s="67"/>
      <c r="H6" s="69" t="s">
        <v>83</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3.77734375" hidden="1" customWidth="1"/>
  </cols>
  <sheetData>
    <row r="1" spans="1:8" ht="18" x14ac:dyDescent="0.3">
      <c r="A1" s="57" t="s">
        <v>164</v>
      </c>
      <c r="B1" s="58" t="s">
        <v>8</v>
      </c>
      <c r="C1" s="58" t="s">
        <v>9</v>
      </c>
      <c r="D1" s="58" t="s">
        <v>165</v>
      </c>
      <c r="E1" s="58" t="s">
        <v>10</v>
      </c>
      <c r="F1" s="58" t="s">
        <v>11</v>
      </c>
      <c r="G1" s="58" t="s">
        <v>12</v>
      </c>
      <c r="H1" s="59" t="s">
        <v>13</v>
      </c>
    </row>
    <row r="2" spans="1:8" ht="19.8" customHeight="1" x14ac:dyDescent="0.3">
      <c r="A2" s="66" t="s">
        <v>166</v>
      </c>
      <c r="B2" s="67" t="s">
        <v>80</v>
      </c>
      <c r="C2" s="68" t="s">
        <v>893</v>
      </c>
      <c r="D2" s="67" t="s">
        <v>889</v>
      </c>
      <c r="E2" s="67" t="s">
        <v>900</v>
      </c>
      <c r="F2" s="67" t="s">
        <v>182</v>
      </c>
      <c r="G2" s="213">
        <v>4</v>
      </c>
      <c r="H2" s="214">
        <v>868</v>
      </c>
    </row>
    <row r="3" spans="1:8" ht="19.8" customHeight="1" x14ac:dyDescent="0.3">
      <c r="A3" s="78">
        <v>45982</v>
      </c>
      <c r="B3" s="67" t="s">
        <v>80</v>
      </c>
      <c r="C3" s="68" t="s">
        <v>893</v>
      </c>
      <c r="D3" s="67" t="s">
        <v>889</v>
      </c>
      <c r="E3" s="79">
        <v>1.3263888888888891</v>
      </c>
      <c r="F3" s="67" t="s">
        <v>182</v>
      </c>
      <c r="G3" s="213">
        <v>3</v>
      </c>
      <c r="H3" s="214">
        <v>748</v>
      </c>
    </row>
    <row r="4" spans="1:8" ht="19.8" customHeight="1" x14ac:dyDescent="0.3">
      <c r="A4" s="78">
        <v>45983</v>
      </c>
      <c r="B4" s="67" t="s">
        <v>80</v>
      </c>
      <c r="C4" s="68" t="s">
        <v>893</v>
      </c>
      <c r="D4" s="67" t="s">
        <v>889</v>
      </c>
      <c r="E4" s="79">
        <v>1.2847222222222221</v>
      </c>
      <c r="F4" s="67"/>
      <c r="G4" s="67"/>
      <c r="H4" s="69" t="s">
        <v>83</v>
      </c>
    </row>
  </sheetData>
  <pageMargins left="0.75" right="0.75" top="1" bottom="1" header="0.5" footer="0.5"/>
  <legacy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48"/>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20" width="2.21875" bestFit="1" customWidth="1"/>
    <col min="21" max="33" width="3" bestFit="1" customWidth="1"/>
    <col min="34" max="34" width="2.21875" bestFit="1" customWidth="1"/>
    <col min="35" max="35" width="4" bestFit="1" customWidth="1"/>
    <col min="36" max="36" width="2.33203125" bestFit="1" customWidth="1"/>
  </cols>
  <sheetData>
    <row r="1" spans="1:36" x14ac:dyDescent="0.3">
      <c r="A1" s="56" t="s">
        <v>109</v>
      </c>
      <c r="B1" s="56" t="s">
        <v>110</v>
      </c>
      <c r="C1" s="56" t="s">
        <v>111</v>
      </c>
      <c r="D1" s="56" t="s">
        <v>23</v>
      </c>
      <c r="E1" s="56" t="s">
        <v>112</v>
      </c>
      <c r="F1" s="56" t="s">
        <v>113</v>
      </c>
      <c r="G1" s="56" t="s">
        <v>16</v>
      </c>
      <c r="H1" s="56" t="s">
        <v>114</v>
      </c>
      <c r="I1" s="56" t="s">
        <v>115</v>
      </c>
      <c r="J1" s="56" t="s">
        <v>116</v>
      </c>
      <c r="K1" s="56" t="s">
        <v>117</v>
      </c>
      <c r="L1" s="56" t="s">
        <v>18</v>
      </c>
      <c r="M1" s="56" t="s">
        <v>20</v>
      </c>
      <c r="N1" s="56" t="s">
        <v>21</v>
      </c>
      <c r="O1" s="56" t="s">
        <v>19</v>
      </c>
      <c r="P1" s="56" t="s">
        <v>22</v>
      </c>
      <c r="Q1" s="56" t="s">
        <v>118</v>
      </c>
      <c r="R1" s="56" t="s">
        <v>119</v>
      </c>
      <c r="S1" s="56" t="s">
        <v>120</v>
      </c>
      <c r="T1" s="56" t="s">
        <v>121</v>
      </c>
      <c r="U1" s="56" t="s">
        <v>122</v>
      </c>
      <c r="V1" s="56" t="s">
        <v>123</v>
      </c>
      <c r="W1" s="56" t="s">
        <v>124</v>
      </c>
      <c r="X1" s="56" t="s">
        <v>125</v>
      </c>
      <c r="Y1" s="56" t="s">
        <v>126</v>
      </c>
      <c r="Z1" s="56" t="s">
        <v>127</v>
      </c>
      <c r="AA1" s="56" t="s">
        <v>128</v>
      </c>
      <c r="AB1" s="56" t="s">
        <v>129</v>
      </c>
      <c r="AC1" s="56" t="s">
        <v>130</v>
      </c>
      <c r="AD1" s="56" t="s">
        <v>131</v>
      </c>
      <c r="AE1" s="56" t="s">
        <v>132</v>
      </c>
      <c r="AF1" s="56" t="s">
        <v>133</v>
      </c>
      <c r="AG1" s="56" t="s">
        <v>134</v>
      </c>
      <c r="AH1" s="56" t="s">
        <v>135</v>
      </c>
      <c r="AI1" s="56" t="s">
        <v>136</v>
      </c>
      <c r="AJ1" s="56" t="s">
        <v>137</v>
      </c>
    </row>
    <row r="2" spans="1:36" x14ac:dyDescent="0.3">
      <c r="A2" t="s">
        <v>138</v>
      </c>
      <c r="B2" s="246">
        <v>45981</v>
      </c>
      <c r="C2" t="s">
        <v>861</v>
      </c>
      <c r="D2" t="s">
        <v>866</v>
      </c>
      <c r="E2" t="s">
        <v>859</v>
      </c>
      <c r="F2" t="s">
        <v>140</v>
      </c>
      <c r="G2">
        <v>0.91669999999999996</v>
      </c>
      <c r="H2">
        <v>168</v>
      </c>
      <c r="I2">
        <v>154</v>
      </c>
      <c r="J2">
        <v>0</v>
      </c>
      <c r="K2" t="s">
        <v>141</v>
      </c>
      <c r="L2" t="s">
        <v>186</v>
      </c>
      <c r="M2">
        <v>0</v>
      </c>
      <c r="N2">
        <v>15</v>
      </c>
      <c r="O2">
        <v>41</v>
      </c>
      <c r="P2" t="s">
        <v>615</v>
      </c>
      <c r="Q2">
        <v>0</v>
      </c>
      <c r="R2">
        <v>0</v>
      </c>
      <c r="S2">
        <v>0</v>
      </c>
      <c r="T2">
        <v>0</v>
      </c>
      <c r="U2">
        <v>1</v>
      </c>
      <c r="V2">
        <v>3</v>
      </c>
      <c r="W2">
        <v>42</v>
      </c>
      <c r="X2">
        <v>2</v>
      </c>
      <c r="Y2">
        <v>14</v>
      </c>
      <c r="Z2">
        <v>18</v>
      </c>
      <c r="AA2">
        <v>4</v>
      </c>
      <c r="AB2">
        <v>15</v>
      </c>
      <c r="AC2">
        <v>1</v>
      </c>
      <c r="AD2">
        <v>11</v>
      </c>
      <c r="AE2">
        <v>23</v>
      </c>
      <c r="AF2">
        <v>20</v>
      </c>
      <c r="AG2">
        <v>0</v>
      </c>
      <c r="AH2">
        <v>0</v>
      </c>
      <c r="AI2">
        <v>0</v>
      </c>
      <c r="AJ2">
        <v>0</v>
      </c>
    </row>
    <row r="3" spans="1:36" x14ac:dyDescent="0.3">
      <c r="A3" t="s">
        <v>138</v>
      </c>
      <c r="B3" s="246">
        <v>45981</v>
      </c>
      <c r="C3" t="s">
        <v>768</v>
      </c>
      <c r="D3" t="s">
        <v>728</v>
      </c>
      <c r="E3" t="s">
        <v>750</v>
      </c>
      <c r="F3" t="s">
        <v>140</v>
      </c>
      <c r="G3">
        <v>0.58520000000000005</v>
      </c>
      <c r="H3">
        <v>176</v>
      </c>
      <c r="I3">
        <v>103</v>
      </c>
      <c r="J3">
        <v>0</v>
      </c>
      <c r="K3" t="s">
        <v>141</v>
      </c>
      <c r="L3" t="s">
        <v>284</v>
      </c>
      <c r="M3">
        <v>1</v>
      </c>
      <c r="N3">
        <v>5</v>
      </c>
      <c r="O3">
        <v>23</v>
      </c>
      <c r="P3" t="s">
        <v>301</v>
      </c>
      <c r="Q3">
        <v>0</v>
      </c>
      <c r="R3">
        <v>0</v>
      </c>
      <c r="S3">
        <v>0</v>
      </c>
      <c r="T3">
        <v>0</v>
      </c>
      <c r="U3">
        <v>0</v>
      </c>
      <c r="V3">
        <v>2</v>
      </c>
      <c r="W3">
        <v>46</v>
      </c>
      <c r="X3">
        <v>16</v>
      </c>
      <c r="Y3">
        <v>13</v>
      </c>
      <c r="Z3">
        <v>10</v>
      </c>
      <c r="AA3">
        <v>3</v>
      </c>
      <c r="AB3">
        <v>0</v>
      </c>
      <c r="AC3">
        <v>4</v>
      </c>
      <c r="AD3">
        <v>5</v>
      </c>
      <c r="AE3">
        <v>4</v>
      </c>
      <c r="AF3">
        <v>0</v>
      </c>
      <c r="AG3">
        <v>0</v>
      </c>
      <c r="AH3">
        <v>0</v>
      </c>
      <c r="AI3">
        <v>0</v>
      </c>
      <c r="AJ3">
        <v>0</v>
      </c>
    </row>
    <row r="4" spans="1:36" x14ac:dyDescent="0.3">
      <c r="A4" t="s">
        <v>138</v>
      </c>
      <c r="B4" s="246">
        <v>45981</v>
      </c>
      <c r="C4" t="s">
        <v>573</v>
      </c>
      <c r="D4" t="s">
        <v>594</v>
      </c>
      <c r="E4" t="s">
        <v>570</v>
      </c>
      <c r="F4" t="s">
        <v>140</v>
      </c>
      <c r="G4">
        <v>0.55359999999999998</v>
      </c>
      <c r="H4">
        <v>168</v>
      </c>
      <c r="I4">
        <v>93</v>
      </c>
      <c r="J4">
        <v>0</v>
      </c>
      <c r="K4" t="s">
        <v>141</v>
      </c>
      <c r="L4" t="s">
        <v>284</v>
      </c>
      <c r="M4">
        <v>1</v>
      </c>
      <c r="N4">
        <v>22</v>
      </c>
      <c r="O4">
        <v>55</v>
      </c>
      <c r="P4" t="s">
        <v>574</v>
      </c>
      <c r="Q4">
        <v>0</v>
      </c>
      <c r="R4">
        <v>0</v>
      </c>
      <c r="S4">
        <v>0</v>
      </c>
      <c r="T4">
        <v>0</v>
      </c>
      <c r="U4">
        <v>0</v>
      </c>
      <c r="V4">
        <v>0</v>
      </c>
      <c r="W4">
        <v>0</v>
      </c>
      <c r="X4">
        <v>0</v>
      </c>
      <c r="Y4">
        <v>0</v>
      </c>
      <c r="Z4">
        <v>0</v>
      </c>
      <c r="AA4">
        <v>0</v>
      </c>
      <c r="AB4">
        <v>0</v>
      </c>
      <c r="AC4">
        <v>1</v>
      </c>
      <c r="AD4">
        <v>16</v>
      </c>
      <c r="AE4">
        <v>24</v>
      </c>
      <c r="AF4">
        <v>51</v>
      </c>
      <c r="AG4">
        <v>0</v>
      </c>
      <c r="AH4">
        <v>0</v>
      </c>
      <c r="AI4">
        <v>1</v>
      </c>
      <c r="AJ4">
        <v>0</v>
      </c>
    </row>
    <row r="5" spans="1:36" x14ac:dyDescent="0.3">
      <c r="A5" t="s">
        <v>138</v>
      </c>
      <c r="B5" s="246">
        <v>45981</v>
      </c>
      <c r="C5" t="s">
        <v>583</v>
      </c>
      <c r="D5" t="s">
        <v>598</v>
      </c>
      <c r="E5" t="s">
        <v>570</v>
      </c>
      <c r="F5" t="s">
        <v>140</v>
      </c>
      <c r="G5">
        <v>0.74399999999999999</v>
      </c>
      <c r="H5">
        <v>168</v>
      </c>
      <c r="I5">
        <v>125</v>
      </c>
      <c r="J5">
        <v>92</v>
      </c>
      <c r="K5" t="s">
        <v>141</v>
      </c>
      <c r="L5" t="s">
        <v>300</v>
      </c>
      <c r="M5">
        <v>0</v>
      </c>
      <c r="N5">
        <v>0</v>
      </c>
      <c r="O5">
        <v>10</v>
      </c>
      <c r="P5" t="s">
        <v>147</v>
      </c>
      <c r="Q5">
        <v>0</v>
      </c>
      <c r="R5">
        <v>0</v>
      </c>
      <c r="S5">
        <v>0</v>
      </c>
      <c r="T5">
        <v>0</v>
      </c>
      <c r="U5">
        <v>0</v>
      </c>
      <c r="V5">
        <v>0</v>
      </c>
      <c r="W5">
        <v>0</v>
      </c>
      <c r="X5">
        <v>0</v>
      </c>
      <c r="Y5">
        <v>0</v>
      </c>
      <c r="Z5">
        <v>1</v>
      </c>
      <c r="AA5">
        <v>6</v>
      </c>
      <c r="AB5">
        <v>17</v>
      </c>
      <c r="AC5">
        <v>0</v>
      </c>
      <c r="AD5">
        <v>2</v>
      </c>
      <c r="AE5">
        <v>2</v>
      </c>
      <c r="AF5">
        <v>5</v>
      </c>
      <c r="AG5">
        <v>1</v>
      </c>
      <c r="AH5">
        <v>0</v>
      </c>
      <c r="AI5">
        <v>91</v>
      </c>
      <c r="AJ5">
        <v>0</v>
      </c>
    </row>
    <row r="6" spans="1:36" x14ac:dyDescent="0.3">
      <c r="A6" t="s">
        <v>138</v>
      </c>
      <c r="B6" s="246">
        <v>45981</v>
      </c>
      <c r="C6" t="s">
        <v>578</v>
      </c>
      <c r="D6" t="s">
        <v>603</v>
      </c>
      <c r="E6" t="s">
        <v>570</v>
      </c>
      <c r="F6" t="s">
        <v>140</v>
      </c>
      <c r="G6">
        <v>0.6905</v>
      </c>
      <c r="H6">
        <v>168</v>
      </c>
      <c r="I6">
        <v>116</v>
      </c>
      <c r="J6">
        <v>39</v>
      </c>
      <c r="K6" t="s">
        <v>141</v>
      </c>
      <c r="L6" t="s">
        <v>284</v>
      </c>
      <c r="M6">
        <v>1</v>
      </c>
      <c r="N6">
        <v>13</v>
      </c>
      <c r="O6">
        <v>56</v>
      </c>
      <c r="P6" t="s">
        <v>579</v>
      </c>
      <c r="Q6">
        <v>0</v>
      </c>
      <c r="R6">
        <v>0</v>
      </c>
      <c r="S6">
        <v>0</v>
      </c>
      <c r="T6">
        <v>0</v>
      </c>
      <c r="U6">
        <v>0</v>
      </c>
      <c r="V6">
        <v>0</v>
      </c>
      <c r="W6">
        <v>0</v>
      </c>
      <c r="X6">
        <v>0</v>
      </c>
      <c r="Y6">
        <v>0</v>
      </c>
      <c r="Z6">
        <v>3</v>
      </c>
      <c r="AA6">
        <v>17</v>
      </c>
      <c r="AB6">
        <v>16</v>
      </c>
      <c r="AC6">
        <v>4</v>
      </c>
      <c r="AD6">
        <v>16</v>
      </c>
      <c r="AE6">
        <v>16</v>
      </c>
      <c r="AF6">
        <v>5</v>
      </c>
      <c r="AG6">
        <v>0</v>
      </c>
      <c r="AH6">
        <v>0</v>
      </c>
      <c r="AI6">
        <v>39</v>
      </c>
      <c r="AJ6">
        <v>0</v>
      </c>
    </row>
    <row r="7" spans="1:36" x14ac:dyDescent="0.3">
      <c r="A7" t="s">
        <v>138</v>
      </c>
      <c r="B7" s="246">
        <v>45981</v>
      </c>
      <c r="C7" t="s">
        <v>294</v>
      </c>
      <c r="D7" t="s">
        <v>384</v>
      </c>
      <c r="E7" t="s">
        <v>226</v>
      </c>
      <c r="F7" t="s">
        <v>140</v>
      </c>
      <c r="G7">
        <v>0.76539999999999997</v>
      </c>
      <c r="H7">
        <v>179</v>
      </c>
      <c r="I7">
        <v>137</v>
      </c>
      <c r="J7">
        <v>28</v>
      </c>
      <c r="K7" t="s">
        <v>141</v>
      </c>
      <c r="L7" t="s">
        <v>284</v>
      </c>
      <c r="M7">
        <v>1</v>
      </c>
      <c r="N7">
        <v>9</v>
      </c>
      <c r="O7">
        <v>36</v>
      </c>
      <c r="P7" t="s">
        <v>295</v>
      </c>
      <c r="Q7">
        <v>0</v>
      </c>
      <c r="R7">
        <v>0</v>
      </c>
      <c r="S7">
        <v>0</v>
      </c>
      <c r="T7">
        <v>0</v>
      </c>
      <c r="U7">
        <v>0</v>
      </c>
      <c r="V7">
        <v>0</v>
      </c>
      <c r="W7">
        <v>0</v>
      </c>
      <c r="X7">
        <v>16</v>
      </c>
      <c r="Y7">
        <v>28</v>
      </c>
      <c r="Z7">
        <v>36</v>
      </c>
      <c r="AA7">
        <v>29</v>
      </c>
      <c r="AB7">
        <v>0</v>
      </c>
      <c r="AC7">
        <v>0</v>
      </c>
      <c r="AD7">
        <v>0</v>
      </c>
      <c r="AE7">
        <v>0</v>
      </c>
      <c r="AF7">
        <v>0</v>
      </c>
      <c r="AG7">
        <v>0</v>
      </c>
      <c r="AH7">
        <v>0</v>
      </c>
      <c r="AI7">
        <v>28</v>
      </c>
      <c r="AJ7">
        <v>0</v>
      </c>
    </row>
    <row r="8" spans="1:36" x14ac:dyDescent="0.3">
      <c r="A8" t="s">
        <v>138</v>
      </c>
      <c r="B8" s="246">
        <v>45981</v>
      </c>
      <c r="C8" t="s">
        <v>278</v>
      </c>
      <c r="D8" t="s">
        <v>412</v>
      </c>
      <c r="E8" t="s">
        <v>226</v>
      </c>
      <c r="F8" t="s">
        <v>140</v>
      </c>
      <c r="G8">
        <v>0.56979999999999997</v>
      </c>
      <c r="H8">
        <v>179</v>
      </c>
      <c r="I8">
        <v>102</v>
      </c>
      <c r="J8">
        <v>2</v>
      </c>
      <c r="K8" t="s">
        <v>141</v>
      </c>
      <c r="L8" t="s">
        <v>279</v>
      </c>
      <c r="M8">
        <v>0</v>
      </c>
      <c r="N8">
        <v>0</v>
      </c>
      <c r="O8">
        <v>16</v>
      </c>
      <c r="P8" t="s">
        <v>280</v>
      </c>
      <c r="Q8">
        <v>0</v>
      </c>
      <c r="R8">
        <v>0</v>
      </c>
      <c r="S8">
        <v>0</v>
      </c>
      <c r="T8">
        <v>0</v>
      </c>
      <c r="U8">
        <v>0</v>
      </c>
      <c r="V8">
        <v>0</v>
      </c>
      <c r="W8">
        <v>4</v>
      </c>
      <c r="X8">
        <v>28</v>
      </c>
      <c r="Y8">
        <v>19</v>
      </c>
      <c r="Z8">
        <v>10</v>
      </c>
      <c r="AA8">
        <v>10</v>
      </c>
      <c r="AB8">
        <v>9</v>
      </c>
      <c r="AC8">
        <v>6</v>
      </c>
      <c r="AD8">
        <v>1</v>
      </c>
      <c r="AE8">
        <v>5</v>
      </c>
      <c r="AF8">
        <v>6</v>
      </c>
      <c r="AG8">
        <v>0</v>
      </c>
      <c r="AH8">
        <v>0</v>
      </c>
      <c r="AI8">
        <v>2</v>
      </c>
      <c r="AJ8">
        <v>2</v>
      </c>
    </row>
    <row r="9" spans="1:36" x14ac:dyDescent="0.3">
      <c r="A9" t="s">
        <v>138</v>
      </c>
      <c r="B9" s="246">
        <v>45981</v>
      </c>
      <c r="C9" t="s">
        <v>287</v>
      </c>
      <c r="D9" t="s">
        <v>398</v>
      </c>
      <c r="E9" t="s">
        <v>226</v>
      </c>
      <c r="F9" t="s">
        <v>140</v>
      </c>
      <c r="G9">
        <v>0.88829999999999998</v>
      </c>
      <c r="H9">
        <v>179</v>
      </c>
      <c r="I9">
        <v>159</v>
      </c>
      <c r="J9">
        <v>72</v>
      </c>
      <c r="K9" t="s">
        <v>141</v>
      </c>
      <c r="L9" t="s">
        <v>284</v>
      </c>
      <c r="M9">
        <v>4</v>
      </c>
      <c r="N9">
        <v>5</v>
      </c>
      <c r="O9">
        <v>15</v>
      </c>
      <c r="P9" t="s">
        <v>280</v>
      </c>
      <c r="Q9">
        <v>0</v>
      </c>
      <c r="R9">
        <v>0</v>
      </c>
      <c r="S9">
        <v>0</v>
      </c>
      <c r="T9">
        <v>0</v>
      </c>
      <c r="U9">
        <v>0</v>
      </c>
      <c r="V9">
        <v>0</v>
      </c>
      <c r="W9">
        <v>1</v>
      </c>
      <c r="X9">
        <v>11</v>
      </c>
      <c r="Y9">
        <v>21</v>
      </c>
      <c r="Z9">
        <v>23</v>
      </c>
      <c r="AA9">
        <v>31</v>
      </c>
      <c r="AB9">
        <v>0</v>
      </c>
      <c r="AC9">
        <v>0</v>
      </c>
      <c r="AD9">
        <v>0</v>
      </c>
      <c r="AE9">
        <v>0</v>
      </c>
      <c r="AF9">
        <v>0</v>
      </c>
      <c r="AG9">
        <v>69</v>
      </c>
      <c r="AH9">
        <v>0</v>
      </c>
      <c r="AI9">
        <v>1</v>
      </c>
      <c r="AJ9">
        <v>2</v>
      </c>
    </row>
    <row r="10" spans="1:36" x14ac:dyDescent="0.3">
      <c r="A10" t="s">
        <v>138</v>
      </c>
      <c r="B10" s="246">
        <v>45981</v>
      </c>
      <c r="C10" t="s">
        <v>290</v>
      </c>
      <c r="D10" t="s">
        <v>390</v>
      </c>
      <c r="E10" t="s">
        <v>226</v>
      </c>
      <c r="F10" t="s">
        <v>140</v>
      </c>
      <c r="G10">
        <v>0.92510000000000003</v>
      </c>
      <c r="H10">
        <v>187</v>
      </c>
      <c r="I10">
        <v>173</v>
      </c>
      <c r="J10">
        <v>60</v>
      </c>
      <c r="K10" t="s">
        <v>141</v>
      </c>
      <c r="L10" t="s">
        <v>186</v>
      </c>
      <c r="M10">
        <v>0</v>
      </c>
      <c r="N10">
        <v>4</v>
      </c>
      <c r="O10">
        <v>15</v>
      </c>
      <c r="P10" t="s">
        <v>144</v>
      </c>
      <c r="Q10">
        <v>0</v>
      </c>
      <c r="R10">
        <v>0</v>
      </c>
      <c r="S10">
        <v>0</v>
      </c>
      <c r="T10">
        <v>0</v>
      </c>
      <c r="U10">
        <v>0</v>
      </c>
      <c r="V10">
        <v>0</v>
      </c>
      <c r="W10">
        <v>0</v>
      </c>
      <c r="X10">
        <v>13</v>
      </c>
      <c r="Y10">
        <v>42</v>
      </c>
      <c r="Z10">
        <v>15</v>
      </c>
      <c r="AA10">
        <v>13</v>
      </c>
      <c r="AB10">
        <v>10</v>
      </c>
      <c r="AC10">
        <v>5</v>
      </c>
      <c r="AD10">
        <v>5</v>
      </c>
      <c r="AE10">
        <v>5</v>
      </c>
      <c r="AF10">
        <v>5</v>
      </c>
      <c r="AG10">
        <v>0</v>
      </c>
      <c r="AH10">
        <v>0</v>
      </c>
      <c r="AI10">
        <v>60</v>
      </c>
      <c r="AJ10">
        <v>0</v>
      </c>
    </row>
    <row r="11" spans="1:36" x14ac:dyDescent="0.3">
      <c r="A11" t="s">
        <v>138</v>
      </c>
      <c r="B11" s="246">
        <v>45981</v>
      </c>
      <c r="C11" t="s">
        <v>283</v>
      </c>
      <c r="D11" t="s">
        <v>406</v>
      </c>
      <c r="E11" t="s">
        <v>226</v>
      </c>
      <c r="F11" t="s">
        <v>140</v>
      </c>
      <c r="G11">
        <v>0.82120000000000004</v>
      </c>
      <c r="H11">
        <v>179</v>
      </c>
      <c r="I11">
        <v>147</v>
      </c>
      <c r="J11">
        <v>104</v>
      </c>
      <c r="K11" t="s">
        <v>141</v>
      </c>
      <c r="L11" t="s">
        <v>284</v>
      </c>
      <c r="M11">
        <v>3</v>
      </c>
      <c r="N11">
        <v>5</v>
      </c>
      <c r="O11">
        <v>16</v>
      </c>
      <c r="P11" t="s">
        <v>198</v>
      </c>
      <c r="Q11">
        <v>0</v>
      </c>
      <c r="R11">
        <v>0</v>
      </c>
      <c r="S11">
        <v>0</v>
      </c>
      <c r="T11">
        <v>0</v>
      </c>
      <c r="U11">
        <v>0</v>
      </c>
      <c r="V11">
        <v>0</v>
      </c>
      <c r="W11">
        <v>1</v>
      </c>
      <c r="X11">
        <v>10</v>
      </c>
      <c r="Y11">
        <v>11</v>
      </c>
      <c r="Z11">
        <v>16</v>
      </c>
      <c r="AA11">
        <v>5</v>
      </c>
      <c r="AB11">
        <v>0</v>
      </c>
      <c r="AC11">
        <v>0</v>
      </c>
      <c r="AD11">
        <v>0</v>
      </c>
      <c r="AE11">
        <v>0</v>
      </c>
      <c r="AF11">
        <v>0</v>
      </c>
      <c r="AG11">
        <v>0</v>
      </c>
      <c r="AH11">
        <v>0</v>
      </c>
      <c r="AI11">
        <v>104</v>
      </c>
      <c r="AJ11">
        <v>0</v>
      </c>
    </row>
    <row r="12" spans="1:36" x14ac:dyDescent="0.3">
      <c r="A12" t="s">
        <v>138</v>
      </c>
      <c r="B12" s="246">
        <v>45981</v>
      </c>
      <c r="C12" t="s">
        <v>299</v>
      </c>
      <c r="D12" t="s">
        <v>421</v>
      </c>
      <c r="E12" t="s">
        <v>226</v>
      </c>
      <c r="F12" t="s">
        <v>140</v>
      </c>
      <c r="G12">
        <v>0.96089999999999998</v>
      </c>
      <c r="H12">
        <v>179</v>
      </c>
      <c r="I12">
        <v>172</v>
      </c>
      <c r="J12">
        <v>98</v>
      </c>
      <c r="K12" t="s">
        <v>141</v>
      </c>
      <c r="L12" t="s">
        <v>300</v>
      </c>
      <c r="M12">
        <v>0</v>
      </c>
      <c r="N12">
        <v>0</v>
      </c>
      <c r="O12">
        <v>9</v>
      </c>
      <c r="P12" t="s">
        <v>301</v>
      </c>
      <c r="Q12">
        <v>0</v>
      </c>
      <c r="R12">
        <v>0</v>
      </c>
      <c r="S12">
        <v>0</v>
      </c>
      <c r="T12">
        <v>0</v>
      </c>
      <c r="U12">
        <v>1</v>
      </c>
      <c r="V12">
        <v>6</v>
      </c>
      <c r="W12">
        <v>5</v>
      </c>
      <c r="X12">
        <v>16</v>
      </c>
      <c r="Y12">
        <v>26</v>
      </c>
      <c r="Z12">
        <v>16</v>
      </c>
      <c r="AA12">
        <v>4</v>
      </c>
      <c r="AB12">
        <v>0</v>
      </c>
      <c r="AC12">
        <v>0</v>
      </c>
      <c r="AD12">
        <v>0</v>
      </c>
      <c r="AE12">
        <v>0</v>
      </c>
      <c r="AF12">
        <v>0</v>
      </c>
      <c r="AG12">
        <v>1</v>
      </c>
      <c r="AH12">
        <v>0</v>
      </c>
      <c r="AI12">
        <v>97</v>
      </c>
      <c r="AJ12">
        <v>0</v>
      </c>
    </row>
    <row r="13" spans="1:36" x14ac:dyDescent="0.3">
      <c r="A13" t="s">
        <v>138</v>
      </c>
      <c r="B13" s="246">
        <v>45981</v>
      </c>
      <c r="C13" t="s">
        <v>305</v>
      </c>
      <c r="D13" t="s">
        <v>428</v>
      </c>
      <c r="E13" t="s">
        <v>226</v>
      </c>
      <c r="F13" t="s">
        <v>140</v>
      </c>
      <c r="G13">
        <v>0.96650000000000003</v>
      </c>
      <c r="H13">
        <v>179</v>
      </c>
      <c r="I13">
        <v>173</v>
      </c>
      <c r="J13">
        <v>90</v>
      </c>
      <c r="K13" t="s">
        <v>141</v>
      </c>
      <c r="L13" t="s">
        <v>279</v>
      </c>
      <c r="M13">
        <v>0</v>
      </c>
      <c r="N13">
        <v>0</v>
      </c>
      <c r="O13">
        <v>3</v>
      </c>
      <c r="P13" t="s">
        <v>306</v>
      </c>
      <c r="Q13">
        <v>0</v>
      </c>
      <c r="R13">
        <v>0</v>
      </c>
      <c r="S13">
        <v>6</v>
      </c>
      <c r="T13">
        <v>0</v>
      </c>
      <c r="U13">
        <v>4</v>
      </c>
      <c r="V13">
        <v>4</v>
      </c>
      <c r="W13">
        <v>14</v>
      </c>
      <c r="X13">
        <v>16</v>
      </c>
      <c r="Y13">
        <v>16</v>
      </c>
      <c r="Z13">
        <v>16</v>
      </c>
      <c r="AA13">
        <v>5</v>
      </c>
      <c r="AB13">
        <v>0</v>
      </c>
      <c r="AC13">
        <v>0</v>
      </c>
      <c r="AD13">
        <v>0</v>
      </c>
      <c r="AE13">
        <v>0</v>
      </c>
      <c r="AF13">
        <v>2</v>
      </c>
      <c r="AG13">
        <v>0</v>
      </c>
      <c r="AH13">
        <v>0</v>
      </c>
      <c r="AI13">
        <v>90</v>
      </c>
      <c r="AJ13">
        <v>0</v>
      </c>
    </row>
    <row r="14" spans="1:36" x14ac:dyDescent="0.3">
      <c r="A14" t="s">
        <v>138</v>
      </c>
      <c r="B14" s="246">
        <v>45981</v>
      </c>
      <c r="C14" t="s">
        <v>511</v>
      </c>
      <c r="D14" t="s">
        <v>550</v>
      </c>
      <c r="E14" t="s">
        <v>494</v>
      </c>
      <c r="F14" t="s">
        <v>140</v>
      </c>
      <c r="G14">
        <v>1</v>
      </c>
      <c r="H14">
        <v>179</v>
      </c>
      <c r="I14">
        <v>179</v>
      </c>
      <c r="J14">
        <v>134</v>
      </c>
      <c r="K14" t="s">
        <v>141</v>
      </c>
      <c r="L14" t="s">
        <v>186</v>
      </c>
      <c r="M14">
        <v>0</v>
      </c>
      <c r="N14">
        <v>1</v>
      </c>
      <c r="O14">
        <v>7</v>
      </c>
      <c r="P14" t="s">
        <v>85</v>
      </c>
      <c r="Q14">
        <v>0</v>
      </c>
      <c r="R14">
        <v>0</v>
      </c>
      <c r="S14">
        <v>0</v>
      </c>
      <c r="T14">
        <v>0</v>
      </c>
      <c r="U14">
        <v>0</v>
      </c>
      <c r="V14">
        <v>1</v>
      </c>
      <c r="W14">
        <v>5</v>
      </c>
      <c r="X14">
        <v>15</v>
      </c>
      <c r="Y14">
        <v>3</v>
      </c>
      <c r="Z14">
        <v>4</v>
      </c>
      <c r="AA14">
        <v>0</v>
      </c>
      <c r="AB14">
        <v>0</v>
      </c>
      <c r="AC14">
        <v>2</v>
      </c>
      <c r="AD14">
        <v>5</v>
      </c>
      <c r="AE14">
        <v>5</v>
      </c>
      <c r="AF14">
        <v>5</v>
      </c>
      <c r="AG14">
        <v>0</v>
      </c>
      <c r="AH14">
        <v>0</v>
      </c>
      <c r="AI14">
        <v>134</v>
      </c>
      <c r="AJ14">
        <v>0</v>
      </c>
    </row>
    <row r="15" spans="1:36" x14ac:dyDescent="0.3">
      <c r="A15" t="s">
        <v>138</v>
      </c>
      <c r="B15" s="246">
        <v>45981</v>
      </c>
      <c r="C15" t="s">
        <v>81</v>
      </c>
      <c r="D15" t="s">
        <v>139</v>
      </c>
      <c r="E15" t="s">
        <v>1</v>
      </c>
      <c r="F15" t="s">
        <v>140</v>
      </c>
      <c r="G15">
        <v>1.0169999999999999</v>
      </c>
      <c r="H15">
        <v>176</v>
      </c>
      <c r="I15">
        <v>179</v>
      </c>
      <c r="J15">
        <v>92</v>
      </c>
      <c r="K15" t="s">
        <v>141</v>
      </c>
      <c r="L15" t="s">
        <v>84</v>
      </c>
      <c r="M15">
        <v>0</v>
      </c>
      <c r="N15">
        <v>0</v>
      </c>
      <c r="O15">
        <v>6</v>
      </c>
      <c r="P15" t="s">
        <v>85</v>
      </c>
      <c r="Q15">
        <v>0</v>
      </c>
      <c r="R15">
        <v>0</v>
      </c>
      <c r="S15">
        <v>0</v>
      </c>
      <c r="T15">
        <v>0</v>
      </c>
      <c r="U15">
        <v>11</v>
      </c>
      <c r="V15">
        <v>0</v>
      </c>
      <c r="W15">
        <v>0</v>
      </c>
      <c r="X15">
        <v>4</v>
      </c>
      <c r="Y15">
        <v>6</v>
      </c>
      <c r="Z15">
        <v>6</v>
      </c>
      <c r="AA15">
        <v>8</v>
      </c>
      <c r="AB15">
        <v>9</v>
      </c>
      <c r="AC15">
        <v>8</v>
      </c>
      <c r="AD15">
        <v>8</v>
      </c>
      <c r="AE15">
        <v>9</v>
      </c>
      <c r="AF15">
        <v>16</v>
      </c>
      <c r="AG15">
        <v>0</v>
      </c>
      <c r="AH15">
        <v>0</v>
      </c>
      <c r="AI15">
        <v>92</v>
      </c>
      <c r="AJ15">
        <v>2</v>
      </c>
    </row>
    <row r="16" spans="1:36" x14ac:dyDescent="0.3">
      <c r="A16" t="s">
        <v>138</v>
      </c>
      <c r="B16" s="246">
        <v>45981</v>
      </c>
      <c r="C16" t="s">
        <v>185</v>
      </c>
      <c r="D16" t="s">
        <v>194</v>
      </c>
      <c r="E16" t="s">
        <v>178</v>
      </c>
      <c r="F16" t="s">
        <v>140</v>
      </c>
      <c r="G16">
        <v>0.93300000000000005</v>
      </c>
      <c r="H16">
        <v>179</v>
      </c>
      <c r="I16">
        <v>167</v>
      </c>
      <c r="J16">
        <v>110</v>
      </c>
      <c r="K16" t="s">
        <v>141</v>
      </c>
      <c r="L16" t="s">
        <v>186</v>
      </c>
      <c r="M16">
        <v>0</v>
      </c>
      <c r="N16">
        <v>1</v>
      </c>
      <c r="O16">
        <v>12</v>
      </c>
      <c r="P16" t="s">
        <v>187</v>
      </c>
      <c r="Q16">
        <v>0</v>
      </c>
      <c r="R16">
        <v>0</v>
      </c>
      <c r="S16">
        <v>0</v>
      </c>
      <c r="T16">
        <v>0</v>
      </c>
      <c r="U16">
        <v>0</v>
      </c>
      <c r="V16">
        <v>2</v>
      </c>
      <c r="W16">
        <v>5</v>
      </c>
      <c r="X16">
        <v>13</v>
      </c>
      <c r="Y16">
        <v>4</v>
      </c>
      <c r="Z16">
        <v>5</v>
      </c>
      <c r="AA16">
        <v>0</v>
      </c>
      <c r="AB16">
        <v>0</v>
      </c>
      <c r="AC16">
        <v>4</v>
      </c>
      <c r="AD16">
        <v>9</v>
      </c>
      <c r="AE16">
        <v>10</v>
      </c>
      <c r="AF16">
        <v>5</v>
      </c>
      <c r="AG16">
        <v>0</v>
      </c>
      <c r="AH16">
        <v>0</v>
      </c>
      <c r="AI16">
        <v>110</v>
      </c>
      <c r="AJ16">
        <v>0</v>
      </c>
    </row>
    <row r="17" spans="1:36" x14ac:dyDescent="0.3">
      <c r="A17" t="s">
        <v>138</v>
      </c>
      <c r="B17" s="246">
        <v>45981</v>
      </c>
      <c r="C17" t="s">
        <v>656</v>
      </c>
      <c r="D17" t="s">
        <v>716</v>
      </c>
      <c r="E17" t="s">
        <v>626</v>
      </c>
      <c r="F17" t="s">
        <v>140</v>
      </c>
      <c r="G17">
        <v>0.73809999999999998</v>
      </c>
      <c r="H17">
        <v>168</v>
      </c>
      <c r="I17">
        <v>124</v>
      </c>
      <c r="J17">
        <v>0</v>
      </c>
      <c r="K17" t="s">
        <v>141</v>
      </c>
      <c r="L17" t="s">
        <v>284</v>
      </c>
      <c r="M17">
        <v>1</v>
      </c>
      <c r="N17">
        <v>10</v>
      </c>
      <c r="O17">
        <v>37</v>
      </c>
      <c r="P17" t="s">
        <v>146</v>
      </c>
      <c r="Q17">
        <v>0</v>
      </c>
      <c r="R17">
        <v>0</v>
      </c>
      <c r="S17">
        <v>0</v>
      </c>
      <c r="T17">
        <v>0</v>
      </c>
      <c r="U17">
        <v>1</v>
      </c>
      <c r="V17">
        <v>6</v>
      </c>
      <c r="W17">
        <v>6</v>
      </c>
      <c r="X17">
        <v>37</v>
      </c>
      <c r="Y17">
        <v>12</v>
      </c>
      <c r="Z17">
        <v>8</v>
      </c>
      <c r="AA17">
        <v>21</v>
      </c>
      <c r="AB17">
        <v>0</v>
      </c>
      <c r="AC17">
        <v>1</v>
      </c>
      <c r="AD17">
        <v>9</v>
      </c>
      <c r="AE17">
        <v>18</v>
      </c>
      <c r="AF17">
        <v>3</v>
      </c>
      <c r="AG17">
        <v>0</v>
      </c>
      <c r="AH17">
        <v>0</v>
      </c>
      <c r="AI17">
        <v>0</v>
      </c>
      <c r="AJ17">
        <v>2</v>
      </c>
    </row>
    <row r="18" spans="1:36" x14ac:dyDescent="0.3">
      <c r="A18" t="s">
        <v>138</v>
      </c>
      <c r="B18" s="246">
        <v>45981</v>
      </c>
      <c r="C18" t="s">
        <v>824</v>
      </c>
      <c r="D18" t="s">
        <v>816</v>
      </c>
      <c r="E18" t="s">
        <v>821</v>
      </c>
      <c r="F18" t="s">
        <v>140</v>
      </c>
      <c r="G18">
        <v>0.86899999999999999</v>
      </c>
      <c r="H18">
        <v>168</v>
      </c>
      <c r="I18">
        <v>146</v>
      </c>
      <c r="J18">
        <v>0</v>
      </c>
      <c r="K18" t="s">
        <v>141</v>
      </c>
      <c r="L18" t="s">
        <v>284</v>
      </c>
      <c r="M18">
        <v>7</v>
      </c>
      <c r="N18">
        <v>16</v>
      </c>
      <c r="O18">
        <v>29</v>
      </c>
      <c r="P18" t="s">
        <v>196</v>
      </c>
      <c r="Q18">
        <v>0</v>
      </c>
      <c r="R18">
        <v>0</v>
      </c>
      <c r="S18">
        <v>0</v>
      </c>
      <c r="T18">
        <v>0</v>
      </c>
      <c r="U18">
        <v>0</v>
      </c>
      <c r="V18">
        <v>1</v>
      </c>
      <c r="W18">
        <v>5</v>
      </c>
      <c r="X18">
        <v>20</v>
      </c>
      <c r="Y18">
        <v>22</v>
      </c>
      <c r="Z18">
        <v>20</v>
      </c>
      <c r="AA18">
        <v>10</v>
      </c>
      <c r="AB18">
        <v>16</v>
      </c>
      <c r="AC18">
        <v>7</v>
      </c>
      <c r="AD18">
        <v>10</v>
      </c>
      <c r="AE18">
        <v>17</v>
      </c>
      <c r="AF18">
        <v>18</v>
      </c>
      <c r="AG18">
        <v>0</v>
      </c>
      <c r="AH18">
        <v>0</v>
      </c>
      <c r="AI18">
        <v>0</v>
      </c>
      <c r="AJ18">
        <v>0</v>
      </c>
    </row>
    <row r="19" spans="1:36" x14ac:dyDescent="0.3">
      <c r="A19" t="s">
        <v>138</v>
      </c>
      <c r="B19" s="246">
        <v>45981</v>
      </c>
      <c r="C19" t="s">
        <v>895</v>
      </c>
      <c r="D19" t="s">
        <v>900</v>
      </c>
      <c r="E19" t="s">
        <v>889</v>
      </c>
      <c r="F19" t="s">
        <v>140</v>
      </c>
      <c r="G19">
        <v>0.97770000000000001</v>
      </c>
      <c r="H19">
        <v>179</v>
      </c>
      <c r="I19">
        <v>175</v>
      </c>
      <c r="J19">
        <v>0</v>
      </c>
      <c r="K19" t="s">
        <v>141</v>
      </c>
      <c r="L19" t="s">
        <v>279</v>
      </c>
      <c r="M19">
        <v>0</v>
      </c>
      <c r="N19">
        <v>0</v>
      </c>
      <c r="O19">
        <v>32</v>
      </c>
      <c r="P19" t="s">
        <v>198</v>
      </c>
      <c r="Q19">
        <v>0</v>
      </c>
      <c r="R19">
        <v>0</v>
      </c>
      <c r="S19">
        <v>0</v>
      </c>
      <c r="T19">
        <v>0</v>
      </c>
      <c r="U19">
        <v>0</v>
      </c>
      <c r="V19">
        <v>0</v>
      </c>
      <c r="W19">
        <v>1</v>
      </c>
      <c r="X19">
        <v>0</v>
      </c>
      <c r="Y19">
        <v>10</v>
      </c>
      <c r="Z19">
        <v>16</v>
      </c>
      <c r="AA19">
        <v>30</v>
      </c>
      <c r="AB19">
        <v>43</v>
      </c>
      <c r="AC19">
        <v>35</v>
      </c>
      <c r="AD19">
        <v>10</v>
      </c>
      <c r="AE19">
        <v>10</v>
      </c>
      <c r="AF19">
        <v>20</v>
      </c>
      <c r="AG19">
        <v>0</v>
      </c>
      <c r="AH19">
        <v>0</v>
      </c>
      <c r="AI19">
        <v>0</v>
      </c>
      <c r="AJ19">
        <v>0</v>
      </c>
    </row>
    <row r="20" spans="1:36" x14ac:dyDescent="0.3">
      <c r="A20" t="s">
        <v>435</v>
      </c>
      <c r="B20" s="246">
        <v>45982</v>
      </c>
      <c r="C20" t="s">
        <v>878</v>
      </c>
      <c r="D20" t="s">
        <v>853</v>
      </c>
      <c r="E20" t="s">
        <v>875</v>
      </c>
      <c r="F20" t="s">
        <v>140</v>
      </c>
      <c r="G20">
        <v>0.85119999999999996</v>
      </c>
      <c r="H20">
        <v>168</v>
      </c>
      <c r="I20">
        <v>143</v>
      </c>
      <c r="J20">
        <v>0</v>
      </c>
      <c r="K20" t="s">
        <v>141</v>
      </c>
      <c r="L20" t="s">
        <v>284</v>
      </c>
      <c r="M20">
        <v>1</v>
      </c>
      <c r="N20">
        <v>14</v>
      </c>
      <c r="O20">
        <v>80</v>
      </c>
      <c r="P20" t="s">
        <v>879</v>
      </c>
      <c r="Q20">
        <v>0</v>
      </c>
      <c r="R20">
        <v>0</v>
      </c>
      <c r="S20">
        <v>0</v>
      </c>
      <c r="T20">
        <v>0</v>
      </c>
      <c r="U20">
        <v>0</v>
      </c>
      <c r="V20">
        <v>0</v>
      </c>
      <c r="W20">
        <v>4</v>
      </c>
      <c r="X20">
        <v>9</v>
      </c>
      <c r="Y20">
        <v>9</v>
      </c>
      <c r="Z20">
        <v>13</v>
      </c>
      <c r="AA20">
        <v>3</v>
      </c>
      <c r="AB20">
        <v>8</v>
      </c>
      <c r="AC20">
        <v>22</v>
      </c>
      <c r="AD20">
        <v>15</v>
      </c>
      <c r="AE20">
        <v>52</v>
      </c>
      <c r="AF20">
        <v>8</v>
      </c>
      <c r="AG20">
        <v>0</v>
      </c>
      <c r="AH20">
        <v>0</v>
      </c>
      <c r="AI20">
        <v>0</v>
      </c>
      <c r="AJ20">
        <v>0</v>
      </c>
    </row>
    <row r="21" spans="1:36" x14ac:dyDescent="0.3">
      <c r="A21" t="s">
        <v>435</v>
      </c>
      <c r="B21" s="246">
        <v>45982</v>
      </c>
      <c r="C21" t="s">
        <v>812</v>
      </c>
      <c r="D21" t="s">
        <v>491</v>
      </c>
      <c r="E21" t="s">
        <v>809</v>
      </c>
      <c r="F21" t="s">
        <v>140</v>
      </c>
      <c r="G21">
        <v>0.8095</v>
      </c>
      <c r="H21">
        <v>168</v>
      </c>
      <c r="I21">
        <v>136</v>
      </c>
      <c r="J21">
        <v>0</v>
      </c>
      <c r="K21" t="s">
        <v>141</v>
      </c>
      <c r="L21" t="s">
        <v>284</v>
      </c>
      <c r="M21">
        <v>3</v>
      </c>
      <c r="N21">
        <v>16</v>
      </c>
      <c r="O21">
        <v>61</v>
      </c>
      <c r="P21" t="s">
        <v>216</v>
      </c>
      <c r="Q21">
        <v>0</v>
      </c>
      <c r="R21">
        <v>0</v>
      </c>
      <c r="S21">
        <v>0</v>
      </c>
      <c r="T21">
        <v>0</v>
      </c>
      <c r="U21">
        <v>0</v>
      </c>
      <c r="V21">
        <v>0</v>
      </c>
      <c r="W21">
        <v>0</v>
      </c>
      <c r="X21">
        <v>0</v>
      </c>
      <c r="Y21">
        <v>0</v>
      </c>
      <c r="Z21">
        <v>16</v>
      </c>
      <c r="AA21">
        <v>20</v>
      </c>
      <c r="AB21">
        <v>20</v>
      </c>
      <c r="AC21">
        <v>20</v>
      </c>
      <c r="AD21">
        <v>20</v>
      </c>
      <c r="AE21">
        <v>20</v>
      </c>
      <c r="AF21">
        <v>20</v>
      </c>
      <c r="AG21">
        <v>0</v>
      </c>
      <c r="AH21">
        <v>0</v>
      </c>
      <c r="AI21">
        <v>0</v>
      </c>
      <c r="AJ21">
        <v>0</v>
      </c>
    </row>
    <row r="22" spans="1:36" x14ac:dyDescent="0.3">
      <c r="A22" t="s">
        <v>435</v>
      </c>
      <c r="B22" s="246">
        <v>45982</v>
      </c>
      <c r="C22" t="s">
        <v>768</v>
      </c>
      <c r="D22" t="s">
        <v>794</v>
      </c>
      <c r="E22" t="s">
        <v>750</v>
      </c>
      <c r="F22" t="s">
        <v>140</v>
      </c>
      <c r="G22">
        <v>0.58330000000000004</v>
      </c>
      <c r="H22">
        <v>168</v>
      </c>
      <c r="I22">
        <v>98</v>
      </c>
      <c r="J22">
        <v>0</v>
      </c>
      <c r="K22" t="s">
        <v>141</v>
      </c>
      <c r="L22" t="s">
        <v>279</v>
      </c>
      <c r="M22">
        <v>0</v>
      </c>
      <c r="N22">
        <v>0</v>
      </c>
      <c r="O22">
        <v>14</v>
      </c>
      <c r="P22" t="s">
        <v>779</v>
      </c>
      <c r="Q22">
        <v>0</v>
      </c>
      <c r="R22">
        <v>0</v>
      </c>
      <c r="S22">
        <v>0</v>
      </c>
      <c r="T22">
        <v>0</v>
      </c>
      <c r="U22">
        <v>3</v>
      </c>
      <c r="V22">
        <v>19</v>
      </c>
      <c r="W22">
        <v>10</v>
      </c>
      <c r="X22">
        <v>17</v>
      </c>
      <c r="Y22">
        <v>35</v>
      </c>
      <c r="Z22">
        <v>10</v>
      </c>
      <c r="AA22">
        <v>3</v>
      </c>
      <c r="AB22">
        <v>0</v>
      </c>
      <c r="AC22">
        <v>0</v>
      </c>
      <c r="AD22">
        <v>0</v>
      </c>
      <c r="AE22">
        <v>1</v>
      </c>
      <c r="AF22">
        <v>0</v>
      </c>
      <c r="AG22">
        <v>0</v>
      </c>
      <c r="AH22">
        <v>0</v>
      </c>
      <c r="AI22">
        <v>0</v>
      </c>
      <c r="AJ22">
        <v>0</v>
      </c>
    </row>
    <row r="23" spans="1:36" x14ac:dyDescent="0.3">
      <c r="A23" t="s">
        <v>435</v>
      </c>
      <c r="B23" s="246">
        <v>45982</v>
      </c>
      <c r="C23" t="s">
        <v>586</v>
      </c>
      <c r="D23" t="s">
        <v>491</v>
      </c>
      <c r="E23" t="s">
        <v>570</v>
      </c>
      <c r="F23" t="s">
        <v>140</v>
      </c>
      <c r="G23">
        <v>0.6905</v>
      </c>
      <c r="H23">
        <v>168</v>
      </c>
      <c r="I23">
        <v>116</v>
      </c>
      <c r="J23">
        <v>3</v>
      </c>
      <c r="K23" t="s">
        <v>141</v>
      </c>
      <c r="L23" t="s">
        <v>284</v>
      </c>
      <c r="M23">
        <v>1</v>
      </c>
      <c r="N23">
        <v>12</v>
      </c>
      <c r="O23">
        <v>75</v>
      </c>
      <c r="P23" t="s">
        <v>588</v>
      </c>
      <c r="Q23">
        <v>0</v>
      </c>
      <c r="R23">
        <v>0</v>
      </c>
      <c r="S23">
        <v>0</v>
      </c>
      <c r="T23">
        <v>0</v>
      </c>
      <c r="U23">
        <v>0</v>
      </c>
      <c r="V23">
        <v>0</v>
      </c>
      <c r="W23">
        <v>0</v>
      </c>
      <c r="X23">
        <v>0</v>
      </c>
      <c r="Y23">
        <v>0</v>
      </c>
      <c r="Z23">
        <v>5</v>
      </c>
      <c r="AA23">
        <v>3</v>
      </c>
      <c r="AB23">
        <v>4</v>
      </c>
      <c r="AC23">
        <v>17</v>
      </c>
      <c r="AD23">
        <v>18</v>
      </c>
      <c r="AE23">
        <v>38</v>
      </c>
      <c r="AF23">
        <v>28</v>
      </c>
      <c r="AG23">
        <v>0</v>
      </c>
      <c r="AH23">
        <v>0</v>
      </c>
      <c r="AI23">
        <v>3</v>
      </c>
      <c r="AJ23">
        <v>0</v>
      </c>
    </row>
    <row r="24" spans="1:36" x14ac:dyDescent="0.3">
      <c r="A24" t="s">
        <v>435</v>
      </c>
      <c r="B24" s="246">
        <v>45982</v>
      </c>
      <c r="C24" t="s">
        <v>294</v>
      </c>
      <c r="D24" t="s">
        <v>390</v>
      </c>
      <c r="E24" t="s">
        <v>226</v>
      </c>
      <c r="F24" t="s">
        <v>140</v>
      </c>
      <c r="G24">
        <v>0.50839999999999996</v>
      </c>
      <c r="H24">
        <v>179</v>
      </c>
      <c r="I24">
        <v>91</v>
      </c>
      <c r="J24">
        <v>0</v>
      </c>
      <c r="K24" t="s">
        <v>141</v>
      </c>
      <c r="L24" t="s">
        <v>284</v>
      </c>
      <c r="M24">
        <v>1</v>
      </c>
      <c r="N24">
        <v>7</v>
      </c>
      <c r="O24">
        <v>24</v>
      </c>
      <c r="P24" t="s">
        <v>358</v>
      </c>
      <c r="Q24">
        <v>0</v>
      </c>
      <c r="R24">
        <v>0</v>
      </c>
      <c r="S24">
        <v>0</v>
      </c>
      <c r="T24">
        <v>0</v>
      </c>
      <c r="U24">
        <v>0</v>
      </c>
      <c r="V24">
        <v>3</v>
      </c>
      <c r="W24">
        <v>30</v>
      </c>
      <c r="X24">
        <v>20</v>
      </c>
      <c r="Y24">
        <v>17</v>
      </c>
      <c r="Z24">
        <v>16</v>
      </c>
      <c r="AA24">
        <v>5</v>
      </c>
      <c r="AB24">
        <v>0</v>
      </c>
      <c r="AC24">
        <v>0</v>
      </c>
      <c r="AD24">
        <v>0</v>
      </c>
      <c r="AE24">
        <v>0</v>
      </c>
      <c r="AF24">
        <v>0</v>
      </c>
      <c r="AG24">
        <v>0</v>
      </c>
      <c r="AH24">
        <v>0</v>
      </c>
      <c r="AI24">
        <v>0</v>
      </c>
      <c r="AJ24">
        <v>0</v>
      </c>
    </row>
    <row r="25" spans="1:36" x14ac:dyDescent="0.3">
      <c r="A25" t="s">
        <v>435</v>
      </c>
      <c r="B25" s="246">
        <v>45982</v>
      </c>
      <c r="C25" t="s">
        <v>365</v>
      </c>
      <c r="D25" t="s">
        <v>457</v>
      </c>
      <c r="E25" t="s">
        <v>226</v>
      </c>
      <c r="F25" t="s">
        <v>140</v>
      </c>
      <c r="G25">
        <v>1.0172000000000001</v>
      </c>
      <c r="H25">
        <v>174</v>
      </c>
      <c r="I25">
        <v>177</v>
      </c>
      <c r="J25">
        <v>92</v>
      </c>
      <c r="K25" t="s">
        <v>141</v>
      </c>
      <c r="L25" t="s">
        <v>186</v>
      </c>
      <c r="M25">
        <v>0</v>
      </c>
      <c r="N25">
        <v>1</v>
      </c>
      <c r="O25">
        <v>7</v>
      </c>
      <c r="P25" t="s">
        <v>85</v>
      </c>
      <c r="Q25">
        <v>0</v>
      </c>
      <c r="R25">
        <v>0</v>
      </c>
      <c r="S25">
        <v>0</v>
      </c>
      <c r="T25">
        <v>0</v>
      </c>
      <c r="U25">
        <v>0</v>
      </c>
      <c r="V25">
        <v>0</v>
      </c>
      <c r="W25">
        <v>7</v>
      </c>
      <c r="X25">
        <v>0</v>
      </c>
      <c r="Y25">
        <v>1</v>
      </c>
      <c r="Z25">
        <v>17</v>
      </c>
      <c r="AA25">
        <v>10</v>
      </c>
      <c r="AB25">
        <v>10</v>
      </c>
      <c r="AC25">
        <v>10</v>
      </c>
      <c r="AD25">
        <v>10</v>
      </c>
      <c r="AE25">
        <v>10</v>
      </c>
      <c r="AF25">
        <v>10</v>
      </c>
      <c r="AG25">
        <v>0</v>
      </c>
      <c r="AH25">
        <v>0</v>
      </c>
      <c r="AI25">
        <v>92</v>
      </c>
      <c r="AJ25">
        <v>0</v>
      </c>
    </row>
    <row r="26" spans="1:36" x14ac:dyDescent="0.3">
      <c r="A26" t="s">
        <v>435</v>
      </c>
      <c r="B26" s="246">
        <v>45982</v>
      </c>
      <c r="C26" t="s">
        <v>290</v>
      </c>
      <c r="D26" t="s">
        <v>453</v>
      </c>
      <c r="E26" t="s">
        <v>226</v>
      </c>
      <c r="F26" t="s">
        <v>140</v>
      </c>
      <c r="G26">
        <v>0.5363</v>
      </c>
      <c r="H26">
        <v>179</v>
      </c>
      <c r="I26">
        <v>96</v>
      </c>
      <c r="J26">
        <v>0</v>
      </c>
      <c r="K26" t="s">
        <v>141</v>
      </c>
      <c r="L26" t="s">
        <v>186</v>
      </c>
      <c r="M26">
        <v>0</v>
      </c>
      <c r="N26">
        <v>3</v>
      </c>
      <c r="O26">
        <v>15</v>
      </c>
      <c r="P26" t="s">
        <v>356</v>
      </c>
      <c r="Q26">
        <v>0</v>
      </c>
      <c r="R26">
        <v>0</v>
      </c>
      <c r="S26">
        <v>0</v>
      </c>
      <c r="T26">
        <v>0</v>
      </c>
      <c r="U26">
        <v>0</v>
      </c>
      <c r="V26">
        <v>0</v>
      </c>
      <c r="W26">
        <v>22</v>
      </c>
      <c r="X26">
        <v>16</v>
      </c>
      <c r="Y26">
        <v>22</v>
      </c>
      <c r="Z26">
        <v>31</v>
      </c>
      <c r="AA26">
        <v>5</v>
      </c>
      <c r="AB26">
        <v>0</v>
      </c>
      <c r="AC26">
        <v>0</v>
      </c>
      <c r="AD26">
        <v>0</v>
      </c>
      <c r="AE26">
        <v>0</v>
      </c>
      <c r="AF26">
        <v>0</v>
      </c>
      <c r="AG26">
        <v>0</v>
      </c>
      <c r="AH26">
        <v>0</v>
      </c>
      <c r="AI26">
        <v>0</v>
      </c>
      <c r="AJ26">
        <v>0</v>
      </c>
    </row>
    <row r="27" spans="1:36" x14ac:dyDescent="0.3">
      <c r="A27" t="s">
        <v>435</v>
      </c>
      <c r="B27" s="246">
        <v>45982</v>
      </c>
      <c r="C27" t="s">
        <v>283</v>
      </c>
      <c r="D27" t="s">
        <v>439</v>
      </c>
      <c r="E27" t="s">
        <v>226</v>
      </c>
      <c r="F27" t="s">
        <v>140</v>
      </c>
      <c r="G27">
        <v>0.5978</v>
      </c>
      <c r="H27">
        <v>179</v>
      </c>
      <c r="I27">
        <v>107</v>
      </c>
      <c r="J27">
        <v>1</v>
      </c>
      <c r="K27" t="s">
        <v>141</v>
      </c>
      <c r="L27" t="s">
        <v>279</v>
      </c>
      <c r="M27">
        <v>0</v>
      </c>
      <c r="N27">
        <v>0</v>
      </c>
      <c r="O27">
        <v>21</v>
      </c>
      <c r="P27" t="s">
        <v>301</v>
      </c>
      <c r="Q27">
        <v>0</v>
      </c>
      <c r="R27">
        <v>0</v>
      </c>
      <c r="S27">
        <v>0</v>
      </c>
      <c r="T27">
        <v>0</v>
      </c>
      <c r="U27">
        <v>0</v>
      </c>
      <c r="V27">
        <v>6</v>
      </c>
      <c r="W27">
        <v>30</v>
      </c>
      <c r="X27">
        <v>15</v>
      </c>
      <c r="Y27">
        <v>17</v>
      </c>
      <c r="Z27">
        <v>11</v>
      </c>
      <c r="AA27">
        <v>5</v>
      </c>
      <c r="AB27">
        <v>2</v>
      </c>
      <c r="AC27">
        <v>5</v>
      </c>
      <c r="AD27">
        <v>6</v>
      </c>
      <c r="AE27">
        <v>4</v>
      </c>
      <c r="AF27">
        <v>5</v>
      </c>
      <c r="AG27">
        <v>0</v>
      </c>
      <c r="AH27">
        <v>0</v>
      </c>
      <c r="AI27">
        <v>1</v>
      </c>
      <c r="AJ27">
        <v>0</v>
      </c>
    </row>
    <row r="28" spans="1:36" x14ac:dyDescent="0.3">
      <c r="A28" t="s">
        <v>435</v>
      </c>
      <c r="B28" s="246">
        <v>45982</v>
      </c>
      <c r="C28" t="s">
        <v>299</v>
      </c>
      <c r="D28" t="s">
        <v>445</v>
      </c>
      <c r="E28" t="s">
        <v>226</v>
      </c>
      <c r="F28" t="s">
        <v>140</v>
      </c>
      <c r="G28">
        <v>0.54190000000000005</v>
      </c>
      <c r="H28">
        <v>179</v>
      </c>
      <c r="I28">
        <v>97</v>
      </c>
      <c r="J28">
        <v>0</v>
      </c>
      <c r="K28" t="s">
        <v>141</v>
      </c>
      <c r="L28" t="s">
        <v>84</v>
      </c>
      <c r="M28">
        <v>0</v>
      </c>
      <c r="N28">
        <v>0</v>
      </c>
      <c r="O28">
        <v>7</v>
      </c>
      <c r="P28" t="s">
        <v>362</v>
      </c>
      <c r="Q28">
        <v>0</v>
      </c>
      <c r="R28">
        <v>0</v>
      </c>
      <c r="S28">
        <v>0</v>
      </c>
      <c r="T28">
        <v>0</v>
      </c>
      <c r="U28">
        <v>0</v>
      </c>
      <c r="V28">
        <v>0</v>
      </c>
      <c r="W28">
        <v>20</v>
      </c>
      <c r="X28">
        <v>16</v>
      </c>
      <c r="Y28">
        <v>24</v>
      </c>
      <c r="Z28">
        <v>32</v>
      </c>
      <c r="AA28">
        <v>5</v>
      </c>
      <c r="AB28">
        <v>0</v>
      </c>
      <c r="AC28">
        <v>0</v>
      </c>
      <c r="AD28">
        <v>0</v>
      </c>
      <c r="AE28">
        <v>0</v>
      </c>
      <c r="AF28">
        <v>0</v>
      </c>
      <c r="AG28">
        <v>0</v>
      </c>
      <c r="AH28">
        <v>0</v>
      </c>
      <c r="AI28">
        <v>0</v>
      </c>
      <c r="AJ28">
        <v>0</v>
      </c>
    </row>
    <row r="29" spans="1:36" x14ac:dyDescent="0.3">
      <c r="A29" t="s">
        <v>435</v>
      </c>
      <c r="B29" s="246">
        <v>45982</v>
      </c>
      <c r="C29" t="s">
        <v>305</v>
      </c>
      <c r="D29" t="s">
        <v>449</v>
      </c>
      <c r="E29" t="s">
        <v>226</v>
      </c>
      <c r="F29" t="s">
        <v>140</v>
      </c>
      <c r="G29">
        <v>0.53069999999999995</v>
      </c>
      <c r="H29">
        <v>179</v>
      </c>
      <c r="I29">
        <v>95</v>
      </c>
      <c r="J29">
        <v>0</v>
      </c>
      <c r="K29" t="s">
        <v>141</v>
      </c>
      <c r="L29" t="s">
        <v>186</v>
      </c>
      <c r="M29">
        <v>0</v>
      </c>
      <c r="N29">
        <v>1</v>
      </c>
      <c r="O29">
        <v>19</v>
      </c>
      <c r="P29" t="s">
        <v>360</v>
      </c>
      <c r="Q29">
        <v>0</v>
      </c>
      <c r="R29">
        <v>0</v>
      </c>
      <c r="S29">
        <v>0</v>
      </c>
      <c r="T29">
        <v>0</v>
      </c>
      <c r="U29">
        <v>0</v>
      </c>
      <c r="V29">
        <v>0</v>
      </c>
      <c r="W29">
        <v>16</v>
      </c>
      <c r="X29">
        <v>44</v>
      </c>
      <c r="Y29">
        <v>17</v>
      </c>
      <c r="Z29">
        <v>13</v>
      </c>
      <c r="AA29">
        <v>5</v>
      </c>
      <c r="AB29">
        <v>0</v>
      </c>
      <c r="AC29">
        <v>0</v>
      </c>
      <c r="AD29">
        <v>0</v>
      </c>
      <c r="AE29">
        <v>0</v>
      </c>
      <c r="AF29">
        <v>0</v>
      </c>
      <c r="AG29">
        <v>0</v>
      </c>
      <c r="AH29">
        <v>0</v>
      </c>
      <c r="AI29">
        <v>0</v>
      </c>
      <c r="AJ29">
        <v>0</v>
      </c>
    </row>
    <row r="30" spans="1:36" x14ac:dyDescent="0.3">
      <c r="A30" t="s">
        <v>435</v>
      </c>
      <c r="B30" s="246">
        <v>45982</v>
      </c>
      <c r="C30" t="s">
        <v>511</v>
      </c>
      <c r="D30" t="s">
        <v>553</v>
      </c>
      <c r="E30" t="s">
        <v>494</v>
      </c>
      <c r="F30" t="s">
        <v>140</v>
      </c>
      <c r="G30">
        <v>0.98880000000000001</v>
      </c>
      <c r="H30">
        <v>179</v>
      </c>
      <c r="I30">
        <v>177</v>
      </c>
      <c r="J30">
        <v>83</v>
      </c>
      <c r="K30" t="s">
        <v>141</v>
      </c>
      <c r="L30" t="s">
        <v>186</v>
      </c>
      <c r="M30">
        <v>0</v>
      </c>
      <c r="N30">
        <v>3</v>
      </c>
      <c r="O30">
        <v>10</v>
      </c>
      <c r="P30" t="s">
        <v>523</v>
      </c>
      <c r="Q30">
        <v>0</v>
      </c>
      <c r="R30">
        <v>0</v>
      </c>
      <c r="S30">
        <v>0</v>
      </c>
      <c r="T30">
        <v>0</v>
      </c>
      <c r="U30">
        <v>5</v>
      </c>
      <c r="V30">
        <v>6</v>
      </c>
      <c r="W30">
        <v>0</v>
      </c>
      <c r="X30">
        <v>3</v>
      </c>
      <c r="Y30">
        <v>18</v>
      </c>
      <c r="Z30">
        <v>13</v>
      </c>
      <c r="AA30">
        <v>14</v>
      </c>
      <c r="AB30">
        <v>17</v>
      </c>
      <c r="AC30">
        <v>17</v>
      </c>
      <c r="AD30">
        <v>0</v>
      </c>
      <c r="AE30">
        <v>0</v>
      </c>
      <c r="AF30">
        <v>0</v>
      </c>
      <c r="AG30">
        <v>0</v>
      </c>
      <c r="AH30">
        <v>0</v>
      </c>
      <c r="AI30">
        <v>84</v>
      </c>
      <c r="AJ30">
        <v>0</v>
      </c>
    </row>
    <row r="31" spans="1:36" x14ac:dyDescent="0.3">
      <c r="A31" t="s">
        <v>435</v>
      </c>
      <c r="B31" s="246">
        <v>45982</v>
      </c>
      <c r="C31" t="s">
        <v>656</v>
      </c>
      <c r="D31" t="s">
        <v>174</v>
      </c>
      <c r="E31" t="s">
        <v>626</v>
      </c>
      <c r="F31" t="s">
        <v>140</v>
      </c>
      <c r="G31">
        <v>0.8155</v>
      </c>
      <c r="H31">
        <v>168</v>
      </c>
      <c r="I31">
        <v>137</v>
      </c>
      <c r="J31">
        <v>0</v>
      </c>
      <c r="K31" t="s">
        <v>141</v>
      </c>
      <c r="L31" t="s">
        <v>284</v>
      </c>
      <c r="M31">
        <v>1</v>
      </c>
      <c r="N31">
        <v>6</v>
      </c>
      <c r="O31">
        <v>35</v>
      </c>
      <c r="P31" t="s">
        <v>695</v>
      </c>
      <c r="Q31">
        <v>0</v>
      </c>
      <c r="R31">
        <v>0</v>
      </c>
      <c r="S31">
        <v>0</v>
      </c>
      <c r="T31">
        <v>0</v>
      </c>
      <c r="U31">
        <v>0</v>
      </c>
      <c r="V31">
        <v>4</v>
      </c>
      <c r="W31">
        <v>0</v>
      </c>
      <c r="X31">
        <v>0</v>
      </c>
      <c r="Y31">
        <v>5</v>
      </c>
      <c r="Z31">
        <v>20</v>
      </c>
      <c r="AA31">
        <v>39</v>
      </c>
      <c r="AB31">
        <v>10</v>
      </c>
      <c r="AC31">
        <v>10</v>
      </c>
      <c r="AD31">
        <v>9</v>
      </c>
      <c r="AE31">
        <v>10</v>
      </c>
      <c r="AF31">
        <v>30</v>
      </c>
      <c r="AG31">
        <v>0</v>
      </c>
      <c r="AH31">
        <v>0</v>
      </c>
      <c r="AI31">
        <v>0</v>
      </c>
      <c r="AJ31">
        <v>0</v>
      </c>
    </row>
    <row r="32" spans="1:36" x14ac:dyDescent="0.3">
      <c r="A32" t="s">
        <v>435</v>
      </c>
      <c r="B32" s="246">
        <v>45982</v>
      </c>
      <c r="C32" t="s">
        <v>692</v>
      </c>
      <c r="D32" t="s">
        <v>728</v>
      </c>
      <c r="E32" t="s">
        <v>626</v>
      </c>
      <c r="F32" t="s">
        <v>140</v>
      </c>
      <c r="G32">
        <v>0.75</v>
      </c>
      <c r="H32">
        <v>168</v>
      </c>
      <c r="I32">
        <v>126</v>
      </c>
      <c r="J32">
        <v>0</v>
      </c>
      <c r="K32" t="s">
        <v>141</v>
      </c>
      <c r="L32" t="s">
        <v>186</v>
      </c>
      <c r="M32">
        <v>0</v>
      </c>
      <c r="N32">
        <v>11</v>
      </c>
      <c r="O32">
        <v>45</v>
      </c>
      <c r="P32" t="s">
        <v>157</v>
      </c>
      <c r="Q32">
        <v>0</v>
      </c>
      <c r="R32">
        <v>0</v>
      </c>
      <c r="S32">
        <v>0</v>
      </c>
      <c r="T32">
        <v>0</v>
      </c>
      <c r="U32">
        <v>0</v>
      </c>
      <c r="V32">
        <v>0</v>
      </c>
      <c r="W32">
        <v>0</v>
      </c>
      <c r="X32">
        <v>0</v>
      </c>
      <c r="Y32">
        <v>0</v>
      </c>
      <c r="Z32">
        <v>19</v>
      </c>
      <c r="AA32">
        <v>15</v>
      </c>
      <c r="AB32">
        <v>57</v>
      </c>
      <c r="AC32">
        <v>35</v>
      </c>
      <c r="AD32">
        <v>0</v>
      </c>
      <c r="AE32">
        <v>0</v>
      </c>
      <c r="AF32">
        <v>0</v>
      </c>
      <c r="AG32">
        <v>0</v>
      </c>
      <c r="AH32">
        <v>0</v>
      </c>
      <c r="AI32">
        <v>0</v>
      </c>
      <c r="AJ32">
        <v>0</v>
      </c>
    </row>
    <row r="33" spans="1:36" x14ac:dyDescent="0.3">
      <c r="A33" t="s">
        <v>435</v>
      </c>
      <c r="B33" s="246">
        <v>45982</v>
      </c>
      <c r="C33" t="s">
        <v>850</v>
      </c>
      <c r="D33" t="s">
        <v>529</v>
      </c>
      <c r="E33" t="s">
        <v>847</v>
      </c>
      <c r="F33" t="s">
        <v>140</v>
      </c>
      <c r="G33">
        <v>0.38100000000000001</v>
      </c>
      <c r="H33">
        <v>168</v>
      </c>
      <c r="I33">
        <v>64</v>
      </c>
      <c r="J33">
        <v>0</v>
      </c>
      <c r="K33" t="s">
        <v>141</v>
      </c>
      <c r="L33" t="s">
        <v>284</v>
      </c>
      <c r="M33">
        <v>6</v>
      </c>
      <c r="N33">
        <v>5</v>
      </c>
      <c r="O33">
        <v>31</v>
      </c>
      <c r="P33" t="s">
        <v>551</v>
      </c>
      <c r="Q33">
        <v>0</v>
      </c>
      <c r="R33">
        <v>0</v>
      </c>
      <c r="S33">
        <v>0</v>
      </c>
      <c r="T33">
        <v>0</v>
      </c>
      <c r="U33">
        <v>0</v>
      </c>
      <c r="V33">
        <v>0</v>
      </c>
      <c r="W33">
        <v>0</v>
      </c>
      <c r="X33">
        <v>0</v>
      </c>
      <c r="Y33">
        <v>0</v>
      </c>
      <c r="Z33">
        <v>1</v>
      </c>
      <c r="AA33">
        <v>1</v>
      </c>
      <c r="AB33">
        <v>6</v>
      </c>
      <c r="AC33">
        <v>8</v>
      </c>
      <c r="AD33">
        <v>10</v>
      </c>
      <c r="AE33">
        <v>11</v>
      </c>
      <c r="AF33">
        <v>27</v>
      </c>
      <c r="AG33">
        <v>0</v>
      </c>
      <c r="AH33">
        <v>0</v>
      </c>
      <c r="AI33">
        <v>0</v>
      </c>
      <c r="AJ33">
        <v>0</v>
      </c>
    </row>
    <row r="34" spans="1:36" x14ac:dyDescent="0.3">
      <c r="A34" t="s">
        <v>435</v>
      </c>
      <c r="B34" s="246">
        <v>45982</v>
      </c>
      <c r="C34" t="s">
        <v>895</v>
      </c>
      <c r="D34" t="s">
        <v>904</v>
      </c>
      <c r="E34" t="s">
        <v>889</v>
      </c>
      <c r="F34" t="s">
        <v>140</v>
      </c>
      <c r="G34">
        <v>0.9274</v>
      </c>
      <c r="H34">
        <v>179</v>
      </c>
      <c r="I34">
        <v>166</v>
      </c>
      <c r="J34">
        <v>0</v>
      </c>
      <c r="K34" t="s">
        <v>141</v>
      </c>
      <c r="L34" t="s">
        <v>186</v>
      </c>
      <c r="M34">
        <v>0</v>
      </c>
      <c r="N34">
        <v>1</v>
      </c>
      <c r="O34">
        <v>29</v>
      </c>
      <c r="P34" t="s">
        <v>475</v>
      </c>
      <c r="Q34">
        <v>0</v>
      </c>
      <c r="R34">
        <v>0</v>
      </c>
      <c r="S34">
        <v>0</v>
      </c>
      <c r="T34">
        <v>0</v>
      </c>
      <c r="U34">
        <v>0</v>
      </c>
      <c r="V34">
        <v>0</v>
      </c>
      <c r="W34">
        <v>0</v>
      </c>
      <c r="X34">
        <v>0</v>
      </c>
      <c r="Y34">
        <v>6</v>
      </c>
      <c r="Z34">
        <v>56</v>
      </c>
      <c r="AA34">
        <v>47</v>
      </c>
      <c r="AB34">
        <v>9</v>
      </c>
      <c r="AC34">
        <v>18</v>
      </c>
      <c r="AD34">
        <v>15</v>
      </c>
      <c r="AE34">
        <v>10</v>
      </c>
      <c r="AF34">
        <v>5</v>
      </c>
      <c r="AG34">
        <v>0</v>
      </c>
      <c r="AH34">
        <v>0</v>
      </c>
      <c r="AI34">
        <v>0</v>
      </c>
      <c r="AJ34">
        <v>0</v>
      </c>
    </row>
    <row r="35" spans="1:36" x14ac:dyDescent="0.3">
      <c r="A35" t="s">
        <v>154</v>
      </c>
      <c r="B35" s="246">
        <v>45983</v>
      </c>
      <c r="C35" t="s">
        <v>861</v>
      </c>
      <c r="D35" t="s">
        <v>816</v>
      </c>
      <c r="E35" t="s">
        <v>859</v>
      </c>
      <c r="F35" t="s">
        <v>140</v>
      </c>
      <c r="G35">
        <v>0.74399999999999999</v>
      </c>
      <c r="H35">
        <v>168</v>
      </c>
      <c r="I35">
        <v>125</v>
      </c>
      <c r="J35">
        <v>0</v>
      </c>
      <c r="K35" t="s">
        <v>141</v>
      </c>
      <c r="L35" t="s">
        <v>284</v>
      </c>
      <c r="M35">
        <v>4</v>
      </c>
      <c r="N35">
        <v>12</v>
      </c>
      <c r="O35">
        <v>77</v>
      </c>
      <c r="P35" t="s">
        <v>147</v>
      </c>
      <c r="Q35">
        <v>0</v>
      </c>
      <c r="R35">
        <v>0</v>
      </c>
      <c r="S35">
        <v>0</v>
      </c>
      <c r="T35">
        <v>0</v>
      </c>
      <c r="U35">
        <v>0</v>
      </c>
      <c r="V35">
        <v>0</v>
      </c>
      <c r="W35">
        <v>0</v>
      </c>
      <c r="X35">
        <v>0</v>
      </c>
      <c r="Y35">
        <v>0</v>
      </c>
      <c r="Z35">
        <v>0</v>
      </c>
      <c r="AA35">
        <v>0</v>
      </c>
      <c r="AB35">
        <v>22</v>
      </c>
      <c r="AC35">
        <v>4</v>
      </c>
      <c r="AD35">
        <v>20</v>
      </c>
      <c r="AE35">
        <v>77</v>
      </c>
      <c r="AF35">
        <v>2</v>
      </c>
      <c r="AG35">
        <v>0</v>
      </c>
      <c r="AH35">
        <v>0</v>
      </c>
      <c r="AI35">
        <v>0</v>
      </c>
      <c r="AJ35">
        <v>0</v>
      </c>
    </row>
    <row r="36" spans="1:36" x14ac:dyDescent="0.3">
      <c r="A36" t="s">
        <v>154</v>
      </c>
      <c r="B36" s="246">
        <v>45983</v>
      </c>
      <c r="C36" t="s">
        <v>768</v>
      </c>
      <c r="D36" t="s">
        <v>728</v>
      </c>
      <c r="E36" t="s">
        <v>750</v>
      </c>
      <c r="F36" t="s">
        <v>140</v>
      </c>
      <c r="G36">
        <v>0.48809999999999998</v>
      </c>
      <c r="H36">
        <v>168</v>
      </c>
      <c r="I36">
        <v>82</v>
      </c>
      <c r="J36">
        <v>0</v>
      </c>
      <c r="K36" t="s">
        <v>141</v>
      </c>
      <c r="L36" t="s">
        <v>279</v>
      </c>
      <c r="M36">
        <v>0</v>
      </c>
      <c r="N36">
        <v>0</v>
      </c>
      <c r="O36">
        <v>7</v>
      </c>
      <c r="P36" t="s">
        <v>599</v>
      </c>
      <c r="Q36">
        <v>0</v>
      </c>
      <c r="R36">
        <v>0</v>
      </c>
      <c r="S36">
        <v>0</v>
      </c>
      <c r="T36">
        <v>0</v>
      </c>
      <c r="U36">
        <v>0</v>
      </c>
      <c r="V36">
        <v>0</v>
      </c>
      <c r="W36">
        <v>0</v>
      </c>
      <c r="X36">
        <v>0</v>
      </c>
      <c r="Y36">
        <v>1</v>
      </c>
      <c r="Z36">
        <v>19</v>
      </c>
      <c r="AA36">
        <v>12</v>
      </c>
      <c r="AB36">
        <v>0</v>
      </c>
      <c r="AC36">
        <v>8</v>
      </c>
      <c r="AD36">
        <v>8</v>
      </c>
      <c r="AE36">
        <v>8</v>
      </c>
      <c r="AF36">
        <v>26</v>
      </c>
      <c r="AG36">
        <v>0</v>
      </c>
      <c r="AH36">
        <v>0</v>
      </c>
      <c r="AI36">
        <v>0</v>
      </c>
      <c r="AJ36">
        <v>0</v>
      </c>
    </row>
    <row r="37" spans="1:36" x14ac:dyDescent="0.3">
      <c r="A37" t="s">
        <v>154</v>
      </c>
      <c r="B37" s="246">
        <v>45983</v>
      </c>
      <c r="C37" t="s">
        <v>583</v>
      </c>
      <c r="D37" t="s">
        <v>614</v>
      </c>
      <c r="E37" t="s">
        <v>570</v>
      </c>
      <c r="F37" t="s">
        <v>140</v>
      </c>
      <c r="G37">
        <v>0.73209999999999997</v>
      </c>
      <c r="H37">
        <v>168</v>
      </c>
      <c r="I37">
        <v>123</v>
      </c>
      <c r="J37">
        <v>34</v>
      </c>
      <c r="K37" t="s">
        <v>141</v>
      </c>
      <c r="L37" t="s">
        <v>186</v>
      </c>
      <c r="M37">
        <v>0</v>
      </c>
      <c r="N37">
        <v>7</v>
      </c>
      <c r="O37">
        <v>47</v>
      </c>
      <c r="P37" t="s">
        <v>592</v>
      </c>
      <c r="Q37">
        <v>0</v>
      </c>
      <c r="R37">
        <v>0</v>
      </c>
      <c r="S37">
        <v>0</v>
      </c>
      <c r="T37">
        <v>0</v>
      </c>
      <c r="U37">
        <v>0</v>
      </c>
      <c r="V37">
        <v>0</v>
      </c>
      <c r="W37">
        <v>0</v>
      </c>
      <c r="X37">
        <v>0</v>
      </c>
      <c r="Y37">
        <v>0</v>
      </c>
      <c r="Z37">
        <v>2</v>
      </c>
      <c r="AA37">
        <v>1</v>
      </c>
      <c r="AB37">
        <v>0</v>
      </c>
      <c r="AC37">
        <v>6</v>
      </c>
      <c r="AD37">
        <v>20</v>
      </c>
      <c r="AE37">
        <v>40</v>
      </c>
      <c r="AF37">
        <v>20</v>
      </c>
      <c r="AG37">
        <v>0</v>
      </c>
      <c r="AH37">
        <v>0</v>
      </c>
      <c r="AI37">
        <v>34</v>
      </c>
      <c r="AJ37">
        <v>0</v>
      </c>
    </row>
    <row r="38" spans="1:36" x14ac:dyDescent="0.3">
      <c r="A38" t="s">
        <v>154</v>
      </c>
      <c r="B38" s="246">
        <v>45983</v>
      </c>
      <c r="C38" t="s">
        <v>578</v>
      </c>
      <c r="D38" t="s">
        <v>619</v>
      </c>
      <c r="E38" t="s">
        <v>570</v>
      </c>
      <c r="F38" t="s">
        <v>140</v>
      </c>
      <c r="G38">
        <v>0.70830000000000004</v>
      </c>
      <c r="H38">
        <v>168</v>
      </c>
      <c r="I38">
        <v>119</v>
      </c>
      <c r="J38">
        <v>89</v>
      </c>
      <c r="K38" t="s">
        <v>141</v>
      </c>
      <c r="L38" t="s">
        <v>284</v>
      </c>
      <c r="M38">
        <v>1</v>
      </c>
      <c r="N38">
        <v>4</v>
      </c>
      <c r="O38">
        <v>8</v>
      </c>
      <c r="P38" t="s">
        <v>551</v>
      </c>
      <c r="Q38">
        <v>0</v>
      </c>
      <c r="R38">
        <v>0</v>
      </c>
      <c r="S38">
        <v>0</v>
      </c>
      <c r="T38">
        <v>0</v>
      </c>
      <c r="U38">
        <v>0</v>
      </c>
      <c r="V38">
        <v>0</v>
      </c>
      <c r="W38">
        <v>0</v>
      </c>
      <c r="X38">
        <v>0</v>
      </c>
      <c r="Y38">
        <v>1</v>
      </c>
      <c r="Z38">
        <v>2</v>
      </c>
      <c r="AA38">
        <v>0</v>
      </c>
      <c r="AB38">
        <v>0</v>
      </c>
      <c r="AC38">
        <v>6</v>
      </c>
      <c r="AD38">
        <v>19</v>
      </c>
      <c r="AE38">
        <v>0</v>
      </c>
      <c r="AF38">
        <v>0</v>
      </c>
      <c r="AG38">
        <v>0</v>
      </c>
      <c r="AH38">
        <v>0</v>
      </c>
      <c r="AI38">
        <v>91</v>
      </c>
      <c r="AJ38">
        <v>0</v>
      </c>
    </row>
    <row r="39" spans="1:36" x14ac:dyDescent="0.3">
      <c r="A39" t="s">
        <v>154</v>
      </c>
      <c r="B39" s="246">
        <v>45983</v>
      </c>
      <c r="C39" t="s">
        <v>287</v>
      </c>
      <c r="D39" t="s">
        <v>463</v>
      </c>
      <c r="E39" t="s">
        <v>226</v>
      </c>
      <c r="F39" t="s">
        <v>140</v>
      </c>
      <c r="G39">
        <v>1</v>
      </c>
      <c r="H39">
        <v>179</v>
      </c>
      <c r="I39">
        <v>179</v>
      </c>
      <c r="J39">
        <v>50</v>
      </c>
      <c r="K39" t="s">
        <v>141</v>
      </c>
      <c r="L39" t="s">
        <v>380</v>
      </c>
      <c r="M39">
        <v>0</v>
      </c>
      <c r="N39">
        <v>0</v>
      </c>
      <c r="O39">
        <v>0</v>
      </c>
      <c r="P39" t="s">
        <v>85</v>
      </c>
      <c r="Q39">
        <v>0</v>
      </c>
      <c r="R39">
        <v>0</v>
      </c>
      <c r="S39">
        <v>0</v>
      </c>
      <c r="T39">
        <v>0</v>
      </c>
      <c r="U39">
        <v>0</v>
      </c>
      <c r="V39">
        <v>0</v>
      </c>
      <c r="W39">
        <v>3</v>
      </c>
      <c r="X39">
        <v>0</v>
      </c>
      <c r="Y39">
        <v>16</v>
      </c>
      <c r="Z39">
        <v>17</v>
      </c>
      <c r="AA39">
        <v>22</v>
      </c>
      <c r="AB39">
        <v>10</v>
      </c>
      <c r="AC39">
        <v>10</v>
      </c>
      <c r="AD39">
        <v>17</v>
      </c>
      <c r="AE39">
        <v>17</v>
      </c>
      <c r="AF39">
        <v>17</v>
      </c>
      <c r="AG39">
        <v>0</v>
      </c>
      <c r="AH39">
        <v>0</v>
      </c>
      <c r="AI39">
        <v>50</v>
      </c>
      <c r="AJ39">
        <v>0</v>
      </c>
    </row>
    <row r="40" spans="1:36" x14ac:dyDescent="0.3">
      <c r="A40" t="s">
        <v>154</v>
      </c>
      <c r="B40" s="246">
        <v>45983</v>
      </c>
      <c r="C40" t="s">
        <v>283</v>
      </c>
      <c r="D40" t="s">
        <v>406</v>
      </c>
      <c r="E40" t="s">
        <v>226</v>
      </c>
      <c r="F40" t="s">
        <v>140</v>
      </c>
      <c r="G40">
        <v>1</v>
      </c>
      <c r="H40">
        <v>179</v>
      </c>
      <c r="I40">
        <v>179</v>
      </c>
      <c r="J40">
        <v>134</v>
      </c>
      <c r="K40" t="s">
        <v>141</v>
      </c>
      <c r="L40" t="s">
        <v>186</v>
      </c>
      <c r="M40">
        <v>0</v>
      </c>
      <c r="N40">
        <v>4</v>
      </c>
      <c r="O40">
        <v>6</v>
      </c>
      <c r="P40" t="s">
        <v>85</v>
      </c>
      <c r="Q40">
        <v>0</v>
      </c>
      <c r="R40">
        <v>0</v>
      </c>
      <c r="S40">
        <v>0</v>
      </c>
      <c r="T40">
        <v>0</v>
      </c>
      <c r="U40">
        <v>0</v>
      </c>
      <c r="V40">
        <v>5</v>
      </c>
      <c r="W40">
        <v>0</v>
      </c>
      <c r="X40">
        <v>6</v>
      </c>
      <c r="Y40">
        <v>0</v>
      </c>
      <c r="Z40">
        <v>24</v>
      </c>
      <c r="AA40">
        <v>5</v>
      </c>
      <c r="AB40">
        <v>0</v>
      </c>
      <c r="AC40">
        <v>0</v>
      </c>
      <c r="AD40">
        <v>0</v>
      </c>
      <c r="AE40">
        <v>0</v>
      </c>
      <c r="AF40">
        <v>0</v>
      </c>
      <c r="AG40">
        <v>0</v>
      </c>
      <c r="AH40">
        <v>0</v>
      </c>
      <c r="AI40">
        <v>135</v>
      </c>
      <c r="AJ40">
        <v>4</v>
      </c>
    </row>
    <row r="41" spans="1:36" x14ac:dyDescent="0.3">
      <c r="A41" t="s">
        <v>154</v>
      </c>
      <c r="B41" s="246">
        <v>45983</v>
      </c>
      <c r="C41" t="s">
        <v>299</v>
      </c>
      <c r="D41" t="s">
        <v>472</v>
      </c>
      <c r="E41" t="s">
        <v>226</v>
      </c>
      <c r="F41" t="s">
        <v>140</v>
      </c>
      <c r="G41">
        <v>1</v>
      </c>
      <c r="H41">
        <v>179</v>
      </c>
      <c r="I41">
        <v>179</v>
      </c>
      <c r="J41">
        <v>127</v>
      </c>
      <c r="K41" t="s">
        <v>141</v>
      </c>
      <c r="L41" t="s">
        <v>284</v>
      </c>
      <c r="M41">
        <v>1</v>
      </c>
      <c r="N41">
        <v>0</v>
      </c>
      <c r="O41">
        <v>4</v>
      </c>
      <c r="P41" t="s">
        <v>85</v>
      </c>
      <c r="Q41">
        <v>0</v>
      </c>
      <c r="R41">
        <v>0</v>
      </c>
      <c r="S41">
        <v>0</v>
      </c>
      <c r="T41">
        <v>0</v>
      </c>
      <c r="U41">
        <v>0</v>
      </c>
      <c r="V41">
        <v>3</v>
      </c>
      <c r="W41">
        <v>0</v>
      </c>
      <c r="X41">
        <v>1</v>
      </c>
      <c r="Y41">
        <v>3</v>
      </c>
      <c r="Z41">
        <v>3</v>
      </c>
      <c r="AA41">
        <v>4</v>
      </c>
      <c r="AB41">
        <v>10</v>
      </c>
      <c r="AC41">
        <v>12</v>
      </c>
      <c r="AD41">
        <v>5</v>
      </c>
      <c r="AE41">
        <v>6</v>
      </c>
      <c r="AF41">
        <v>4</v>
      </c>
      <c r="AG41">
        <v>45</v>
      </c>
      <c r="AH41">
        <v>0</v>
      </c>
      <c r="AI41">
        <v>82</v>
      </c>
      <c r="AJ41">
        <v>1</v>
      </c>
    </row>
    <row r="42" spans="1:36" x14ac:dyDescent="0.3">
      <c r="A42" t="s">
        <v>154</v>
      </c>
      <c r="B42" s="246">
        <v>45983</v>
      </c>
      <c r="C42" t="s">
        <v>511</v>
      </c>
      <c r="D42" t="s">
        <v>562</v>
      </c>
      <c r="E42" t="s">
        <v>494</v>
      </c>
      <c r="F42" t="s">
        <v>140</v>
      </c>
      <c r="G42">
        <v>0.98880000000000001</v>
      </c>
      <c r="H42">
        <v>179</v>
      </c>
      <c r="I42">
        <v>177</v>
      </c>
      <c r="J42">
        <v>136</v>
      </c>
      <c r="K42" t="s">
        <v>141</v>
      </c>
      <c r="L42" t="s">
        <v>186</v>
      </c>
      <c r="M42">
        <v>0</v>
      </c>
      <c r="N42">
        <v>3</v>
      </c>
      <c r="O42">
        <v>6</v>
      </c>
      <c r="P42" t="s">
        <v>399</v>
      </c>
      <c r="Q42">
        <v>0</v>
      </c>
      <c r="R42">
        <v>0</v>
      </c>
      <c r="S42">
        <v>0</v>
      </c>
      <c r="T42">
        <v>0</v>
      </c>
      <c r="U42">
        <v>0</v>
      </c>
      <c r="V42">
        <v>2</v>
      </c>
      <c r="W42">
        <v>4</v>
      </c>
      <c r="X42">
        <v>14</v>
      </c>
      <c r="Y42">
        <v>0</v>
      </c>
      <c r="Z42">
        <v>7</v>
      </c>
      <c r="AA42">
        <v>0</v>
      </c>
      <c r="AB42">
        <v>0</v>
      </c>
      <c r="AC42">
        <v>14</v>
      </c>
      <c r="AD42">
        <v>0</v>
      </c>
      <c r="AE42">
        <v>0</v>
      </c>
      <c r="AF42">
        <v>0</v>
      </c>
      <c r="AG42">
        <v>0</v>
      </c>
      <c r="AH42">
        <v>0</v>
      </c>
      <c r="AI42">
        <v>136</v>
      </c>
      <c r="AJ42">
        <v>0</v>
      </c>
    </row>
    <row r="43" spans="1:36" x14ac:dyDescent="0.3">
      <c r="A43" t="s">
        <v>154</v>
      </c>
      <c r="B43" s="246">
        <v>45983</v>
      </c>
      <c r="C43" t="s">
        <v>538</v>
      </c>
      <c r="D43" t="s">
        <v>445</v>
      </c>
      <c r="E43" t="s">
        <v>494</v>
      </c>
      <c r="F43" t="s">
        <v>140</v>
      </c>
      <c r="G43">
        <v>0.99439999999999995</v>
      </c>
      <c r="H43">
        <v>179</v>
      </c>
      <c r="I43">
        <v>178</v>
      </c>
      <c r="J43">
        <v>118</v>
      </c>
      <c r="K43" t="s">
        <v>141</v>
      </c>
      <c r="L43" t="s">
        <v>279</v>
      </c>
      <c r="M43">
        <v>0</v>
      </c>
      <c r="N43">
        <v>0</v>
      </c>
      <c r="O43">
        <v>10</v>
      </c>
      <c r="P43" t="s">
        <v>473</v>
      </c>
      <c r="Q43">
        <v>0</v>
      </c>
      <c r="R43">
        <v>0</v>
      </c>
      <c r="S43">
        <v>0</v>
      </c>
      <c r="T43">
        <v>0</v>
      </c>
      <c r="U43">
        <v>0</v>
      </c>
      <c r="V43">
        <v>0</v>
      </c>
      <c r="W43">
        <v>0</v>
      </c>
      <c r="X43">
        <v>10</v>
      </c>
      <c r="Y43">
        <v>0</v>
      </c>
      <c r="Z43">
        <v>16</v>
      </c>
      <c r="AA43">
        <v>2</v>
      </c>
      <c r="AB43">
        <v>15</v>
      </c>
      <c r="AC43">
        <v>17</v>
      </c>
      <c r="AD43">
        <v>0</v>
      </c>
      <c r="AE43">
        <v>0</v>
      </c>
      <c r="AF43">
        <v>0</v>
      </c>
      <c r="AG43">
        <v>0</v>
      </c>
      <c r="AH43">
        <v>0</v>
      </c>
      <c r="AI43">
        <v>118</v>
      </c>
      <c r="AJ43">
        <v>0</v>
      </c>
    </row>
    <row r="44" spans="1:36" x14ac:dyDescent="0.3">
      <c r="A44" t="s">
        <v>154</v>
      </c>
      <c r="B44" s="246">
        <v>45983</v>
      </c>
      <c r="C44" t="s">
        <v>207</v>
      </c>
      <c r="D44" t="s">
        <v>215</v>
      </c>
      <c r="E44" t="s">
        <v>206</v>
      </c>
      <c r="F44" t="s">
        <v>140</v>
      </c>
      <c r="G44">
        <v>0.96430000000000005</v>
      </c>
      <c r="H44">
        <v>168</v>
      </c>
      <c r="I44">
        <v>162</v>
      </c>
      <c r="J44">
        <v>84</v>
      </c>
      <c r="K44" t="s">
        <v>141</v>
      </c>
      <c r="L44" t="s">
        <v>186</v>
      </c>
      <c r="M44">
        <v>0</v>
      </c>
      <c r="N44">
        <v>7</v>
      </c>
      <c r="O44">
        <v>50</v>
      </c>
      <c r="P44" t="s">
        <v>209</v>
      </c>
      <c r="Q44">
        <v>0</v>
      </c>
      <c r="R44">
        <v>0</v>
      </c>
      <c r="S44">
        <v>0</v>
      </c>
      <c r="T44">
        <v>0</v>
      </c>
      <c r="U44">
        <v>0</v>
      </c>
      <c r="V44">
        <v>0</v>
      </c>
      <c r="W44">
        <v>0</v>
      </c>
      <c r="X44">
        <v>0</v>
      </c>
      <c r="Y44">
        <v>0</v>
      </c>
      <c r="Z44">
        <v>4</v>
      </c>
      <c r="AA44">
        <v>0</v>
      </c>
      <c r="AB44">
        <v>0</v>
      </c>
      <c r="AC44">
        <v>14</v>
      </c>
      <c r="AD44">
        <v>20</v>
      </c>
      <c r="AE44">
        <v>20</v>
      </c>
      <c r="AF44">
        <v>20</v>
      </c>
      <c r="AG44">
        <v>0</v>
      </c>
      <c r="AH44">
        <v>0</v>
      </c>
      <c r="AI44">
        <v>84</v>
      </c>
      <c r="AJ44">
        <v>0</v>
      </c>
    </row>
    <row r="45" spans="1:36" x14ac:dyDescent="0.3">
      <c r="A45" t="s">
        <v>154</v>
      </c>
      <c r="B45" s="246">
        <v>45983</v>
      </c>
      <c r="C45" t="s">
        <v>81</v>
      </c>
      <c r="D45" t="s">
        <v>155</v>
      </c>
      <c r="E45" t="s">
        <v>1</v>
      </c>
      <c r="F45" t="s">
        <v>140</v>
      </c>
      <c r="G45">
        <v>1</v>
      </c>
      <c r="H45">
        <v>179</v>
      </c>
      <c r="I45">
        <v>179</v>
      </c>
      <c r="J45">
        <v>130</v>
      </c>
      <c r="K45" t="s">
        <v>141</v>
      </c>
      <c r="L45" t="s">
        <v>107</v>
      </c>
      <c r="M45">
        <v>0</v>
      </c>
      <c r="N45">
        <v>0</v>
      </c>
      <c r="O45">
        <v>1</v>
      </c>
      <c r="P45" t="s">
        <v>85</v>
      </c>
      <c r="Q45">
        <v>0</v>
      </c>
      <c r="R45">
        <v>0</v>
      </c>
      <c r="S45">
        <v>0</v>
      </c>
      <c r="T45">
        <v>0</v>
      </c>
      <c r="U45">
        <v>4</v>
      </c>
      <c r="V45">
        <v>0</v>
      </c>
      <c r="W45">
        <v>0</v>
      </c>
      <c r="X45">
        <v>0</v>
      </c>
      <c r="Y45">
        <v>0</v>
      </c>
      <c r="Z45">
        <v>0</v>
      </c>
      <c r="AA45">
        <v>0</v>
      </c>
      <c r="AB45">
        <v>3</v>
      </c>
      <c r="AC45">
        <v>5</v>
      </c>
      <c r="AD45">
        <v>9</v>
      </c>
      <c r="AE45">
        <v>7</v>
      </c>
      <c r="AF45">
        <v>17</v>
      </c>
      <c r="AG45">
        <v>0</v>
      </c>
      <c r="AH45">
        <v>0</v>
      </c>
      <c r="AI45">
        <v>130</v>
      </c>
      <c r="AJ45">
        <v>4</v>
      </c>
    </row>
    <row r="46" spans="1:36" x14ac:dyDescent="0.3">
      <c r="A46" t="s">
        <v>154</v>
      </c>
      <c r="B46" s="246">
        <v>45983</v>
      </c>
      <c r="C46" t="s">
        <v>656</v>
      </c>
      <c r="D46" t="s">
        <v>716</v>
      </c>
      <c r="E46" t="s">
        <v>626</v>
      </c>
      <c r="F46" t="s">
        <v>140</v>
      </c>
      <c r="G46">
        <v>0.57140000000000002</v>
      </c>
      <c r="H46">
        <v>168</v>
      </c>
      <c r="I46">
        <v>96</v>
      </c>
      <c r="J46">
        <v>0</v>
      </c>
      <c r="K46" t="s">
        <v>141</v>
      </c>
      <c r="L46" t="s">
        <v>284</v>
      </c>
      <c r="M46">
        <v>1</v>
      </c>
      <c r="N46">
        <v>1</v>
      </c>
      <c r="O46">
        <v>10</v>
      </c>
      <c r="P46" t="s">
        <v>147</v>
      </c>
      <c r="Q46">
        <v>0</v>
      </c>
      <c r="R46">
        <v>0</v>
      </c>
      <c r="S46">
        <v>0</v>
      </c>
      <c r="T46">
        <v>0</v>
      </c>
      <c r="U46">
        <v>0</v>
      </c>
      <c r="V46">
        <v>2</v>
      </c>
      <c r="W46">
        <v>0</v>
      </c>
      <c r="X46">
        <v>0</v>
      </c>
      <c r="Y46">
        <v>0</v>
      </c>
      <c r="Z46">
        <v>0</v>
      </c>
      <c r="AA46">
        <v>2</v>
      </c>
      <c r="AB46">
        <v>12</v>
      </c>
      <c r="AC46">
        <v>45</v>
      </c>
      <c r="AD46">
        <v>5</v>
      </c>
      <c r="AE46">
        <v>25</v>
      </c>
      <c r="AF46">
        <v>5</v>
      </c>
      <c r="AG46">
        <v>0</v>
      </c>
      <c r="AH46">
        <v>0</v>
      </c>
      <c r="AI46">
        <v>0</v>
      </c>
      <c r="AJ46">
        <v>0</v>
      </c>
    </row>
    <row r="47" spans="1:36" x14ac:dyDescent="0.3">
      <c r="A47" t="s">
        <v>154</v>
      </c>
      <c r="B47" s="246">
        <v>45983</v>
      </c>
      <c r="C47" t="s">
        <v>824</v>
      </c>
      <c r="D47" t="s">
        <v>843</v>
      </c>
      <c r="E47" t="s">
        <v>821</v>
      </c>
      <c r="F47" t="s">
        <v>844</v>
      </c>
      <c r="G47">
        <v>0.69069999999999998</v>
      </c>
      <c r="H47">
        <v>97</v>
      </c>
      <c r="I47">
        <v>67</v>
      </c>
      <c r="J47">
        <v>0</v>
      </c>
      <c r="K47" t="s">
        <v>141</v>
      </c>
      <c r="L47" t="s">
        <v>186</v>
      </c>
      <c r="M47">
        <v>0</v>
      </c>
      <c r="N47">
        <v>7</v>
      </c>
      <c r="O47">
        <v>20</v>
      </c>
      <c r="P47" t="s">
        <v>150</v>
      </c>
      <c r="Q47">
        <v>0</v>
      </c>
      <c r="R47">
        <v>0</v>
      </c>
      <c r="S47">
        <v>0</v>
      </c>
      <c r="T47">
        <v>0</v>
      </c>
      <c r="U47">
        <v>0</v>
      </c>
      <c r="V47">
        <v>0</v>
      </c>
      <c r="W47">
        <v>0</v>
      </c>
      <c r="X47">
        <v>0</v>
      </c>
      <c r="Y47">
        <v>0</v>
      </c>
      <c r="Z47">
        <v>0</v>
      </c>
      <c r="AA47">
        <v>0</v>
      </c>
      <c r="AB47">
        <v>0</v>
      </c>
      <c r="AC47">
        <v>0</v>
      </c>
      <c r="AD47">
        <v>3</v>
      </c>
      <c r="AE47">
        <v>46</v>
      </c>
      <c r="AF47">
        <v>18</v>
      </c>
      <c r="AG47">
        <v>0</v>
      </c>
      <c r="AH47">
        <v>0</v>
      </c>
      <c r="AI47">
        <v>0</v>
      </c>
      <c r="AJ47">
        <v>0</v>
      </c>
    </row>
    <row r="48" spans="1:36" x14ac:dyDescent="0.3">
      <c r="A48" t="s">
        <v>154</v>
      </c>
      <c r="B48" s="246">
        <v>45983</v>
      </c>
      <c r="C48" t="s">
        <v>895</v>
      </c>
      <c r="D48" t="s">
        <v>805</v>
      </c>
      <c r="E48" t="s">
        <v>889</v>
      </c>
      <c r="F48" t="s">
        <v>140</v>
      </c>
      <c r="G48">
        <v>0.9385</v>
      </c>
      <c r="H48">
        <v>179</v>
      </c>
      <c r="I48">
        <v>168</v>
      </c>
      <c r="J48">
        <v>72</v>
      </c>
      <c r="K48" t="s">
        <v>141</v>
      </c>
      <c r="L48" t="s">
        <v>186</v>
      </c>
      <c r="M48">
        <v>0</v>
      </c>
      <c r="N48">
        <v>5</v>
      </c>
      <c r="O48">
        <v>32</v>
      </c>
      <c r="P48" t="s">
        <v>85</v>
      </c>
      <c r="Q48">
        <v>0</v>
      </c>
      <c r="R48">
        <v>0</v>
      </c>
      <c r="S48">
        <v>0</v>
      </c>
      <c r="T48">
        <v>0</v>
      </c>
      <c r="U48">
        <v>0</v>
      </c>
      <c r="V48">
        <v>0</v>
      </c>
      <c r="W48">
        <v>0</v>
      </c>
      <c r="X48">
        <v>0</v>
      </c>
      <c r="Y48">
        <v>5</v>
      </c>
      <c r="Z48">
        <v>21</v>
      </c>
      <c r="AA48">
        <v>32</v>
      </c>
      <c r="AB48">
        <v>9</v>
      </c>
      <c r="AC48">
        <v>10</v>
      </c>
      <c r="AD48">
        <v>18</v>
      </c>
      <c r="AE48">
        <v>0</v>
      </c>
      <c r="AF48">
        <v>0</v>
      </c>
      <c r="AG48">
        <v>0</v>
      </c>
      <c r="AH48">
        <v>0</v>
      </c>
      <c r="AI48">
        <v>73</v>
      </c>
      <c r="AJ48">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77</vt:i4>
      </vt:variant>
    </vt:vector>
  </HeadingPairs>
  <TitlesOfParts>
    <vt:vector size="77" baseType="lpstr">
      <vt:lpstr>MED-CAI</vt:lpstr>
      <vt:lpstr>MED-CAI LF LEGACY</vt:lpstr>
      <vt:lpstr>MED-CAI - FOCUS MODE</vt:lpstr>
      <vt:lpstr>MED-CAI - OAL Threats Alert</vt:lpstr>
      <vt:lpstr>MED-HBE</vt:lpstr>
      <vt:lpstr>MED-HBE LF LEGACY</vt:lpstr>
      <vt:lpstr>MED-HBE - FOCUS MODE</vt:lpstr>
      <vt:lpstr>MED-HBE - OAL Threats Alert</vt:lpstr>
      <vt:lpstr>MED-ATZ</vt:lpstr>
      <vt:lpstr>MED-ATZ LF LEGACY</vt:lpstr>
      <vt:lpstr>MED-ATZ - FOCUS MODE</vt:lpstr>
      <vt:lpstr>MED-ATZ - OAL Threats Alert</vt:lpstr>
      <vt:lpstr>JED-CAI</vt:lpstr>
      <vt:lpstr>JED-CAI LF LEGACY</vt:lpstr>
      <vt:lpstr>JED-CAI - FOCUS MODE</vt:lpstr>
      <vt:lpstr>JED-CAI - OAL Threats Alert</vt:lpstr>
      <vt:lpstr>JED-HBE</vt:lpstr>
      <vt:lpstr>JED-HBE LF LEGACY</vt:lpstr>
      <vt:lpstr>JED-HBE - FOCUS MODE</vt:lpstr>
      <vt:lpstr>JED-HBE - OAL Threats Alert</vt:lpstr>
      <vt:lpstr>JED-ATZ</vt:lpstr>
      <vt:lpstr>JED-ATZ LF LEGACY</vt:lpstr>
      <vt:lpstr>JED-ATZ - FOCUS MODE</vt:lpstr>
      <vt:lpstr>JED-ATZ - OAL Threats Alert</vt:lpstr>
      <vt:lpstr>JED-LXR</vt:lpstr>
      <vt:lpstr>JED-LXR LF LEGACY</vt:lpstr>
      <vt:lpstr>JED-LXR - FOCUS MODE</vt:lpstr>
      <vt:lpstr>JED-LXR - OAL Threats Alert</vt:lpstr>
      <vt:lpstr>JED-ASW</vt:lpstr>
      <vt:lpstr>JED-ASW LF LEGACY</vt:lpstr>
      <vt:lpstr>JED-ASW - FOCUS MODE</vt:lpstr>
      <vt:lpstr>JED-ASW - OAL Threats Alert</vt:lpstr>
      <vt:lpstr>JED-SSH</vt:lpstr>
      <vt:lpstr>JED-SSH LF LEGACY</vt:lpstr>
      <vt:lpstr>JED-SSH - FOCUS MODE</vt:lpstr>
      <vt:lpstr>JED-SSH - OAL Threats Alert</vt:lpstr>
      <vt:lpstr>JED-HRG</vt:lpstr>
      <vt:lpstr>JED-HRG LF LEGACY</vt:lpstr>
      <vt:lpstr>JED-HRG - FOCUS MODE</vt:lpstr>
      <vt:lpstr>JED-HRG - OAL Threats Alert</vt:lpstr>
      <vt:lpstr>RUH-CAI</vt:lpstr>
      <vt:lpstr>RUH-CAI LF LEGACY</vt:lpstr>
      <vt:lpstr>RUH-CAI - FOCUS MODE</vt:lpstr>
      <vt:lpstr>RUH-CAI - OAL Threats Alert</vt:lpstr>
      <vt:lpstr>RUH-ATZ</vt:lpstr>
      <vt:lpstr>RUH-ATZ LF LEGACY</vt:lpstr>
      <vt:lpstr>RUH-ATZ - FOCUS MODE</vt:lpstr>
      <vt:lpstr>RUH-ATZ - OAL Threats Alert</vt:lpstr>
      <vt:lpstr>DMM-CAI</vt:lpstr>
      <vt:lpstr>DMM-CAI LF LEGACY</vt:lpstr>
      <vt:lpstr>DMM-CAI - FOCUS MODE</vt:lpstr>
      <vt:lpstr>DMM-CAI - OAL Threats Alert</vt:lpstr>
      <vt:lpstr>DMM-ATZ</vt:lpstr>
      <vt:lpstr>DMM-ATZ LF LEGACY</vt:lpstr>
      <vt:lpstr>DMM-ATZ - FOCUS MODE</vt:lpstr>
      <vt:lpstr>DMM-ATZ - OAL Threats Alert</vt:lpstr>
      <vt:lpstr>TUU-CAI</vt:lpstr>
      <vt:lpstr>TUU-CAI LF LEGACY</vt:lpstr>
      <vt:lpstr>TUU-CAI - FOCUS MODE</vt:lpstr>
      <vt:lpstr>TUU-CAI - OAL Threats Alert</vt:lpstr>
      <vt:lpstr>TUU-ATZ</vt:lpstr>
      <vt:lpstr>TUU-ATZ LF LEGACY</vt:lpstr>
      <vt:lpstr>TUU-ATZ - FOCUS MODE</vt:lpstr>
      <vt:lpstr>TUU-ATZ - OAL Threats Alert</vt:lpstr>
      <vt:lpstr>AJF-CAI</vt:lpstr>
      <vt:lpstr>AJF-CAI LF LEGACY</vt:lpstr>
      <vt:lpstr>AJF-CAI - FOCUS MODE</vt:lpstr>
      <vt:lpstr>AJF-CAI - OAL Threats Alert</vt:lpstr>
      <vt:lpstr>AJF-ATZ</vt:lpstr>
      <vt:lpstr>AJF-ATZ LF LEGACY</vt:lpstr>
      <vt:lpstr>AJF-ATZ - FOCUS MODE</vt:lpstr>
      <vt:lpstr>AJF-ATZ - OAL Threats Alert</vt:lpstr>
      <vt:lpstr>YNB-CAI</vt:lpstr>
      <vt:lpstr>YNB-CAI LF LEGACY</vt:lpstr>
      <vt:lpstr>YNB-CAI - FOCUS MODE</vt:lpstr>
      <vt:lpstr>YNB-CAI - OAL Threats Alert</vt:lpstr>
      <vt:lpstr>KSA_TO_EGY_ALL_ROUTES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2025-11-19T07:20:08Z</dcterms:created>
  <dcterms:modified xsi:type="dcterms:W3CDTF">2025-11-19T07:22:28Z</dcterms:modified>
</cp:coreProperties>
</file>