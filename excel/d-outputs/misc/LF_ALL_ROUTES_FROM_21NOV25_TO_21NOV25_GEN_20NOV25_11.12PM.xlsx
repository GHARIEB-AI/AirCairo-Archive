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25DEC50-BF84-4DC0-8A54-85AD6000EA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E9" i="1"/>
  <c r="C9" i="1"/>
  <c r="AJ9" i="1"/>
</calcChain>
</file>

<file path=xl/sharedStrings.xml><?xml version="1.0" encoding="utf-8"?>
<sst xmlns="http://schemas.openxmlformats.org/spreadsheetml/2006/main" count="86" uniqueCount="60">
  <si>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</si>
  <si>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</si>
  <si>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</si>
  <si>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</si>
  <si>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</si>
  <si>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</si>
  <si>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</si>
  <si>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</si>
  <si>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</si>
  <si>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</si>
  <si>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</si>
  <si>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</si>
  <si>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</si>
  <si>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</si>
  <si>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</si>
  <si>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</si>
  <si>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</si>
  <si>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</si>
  <si>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</si>
  <si>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</si>
  <si>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</si>
  <si>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</si>
  <si>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</si>
  <si>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</si>
  <si>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</si>
  <si>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</si>
  <si>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</si>
  <si>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</si>
  <si>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</si>
  <si>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</si>
  <si>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</si>
  <si>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</si>
  <si>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</si>
  <si>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</si>
  <si>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</si>
  <si>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</si>
  <si>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</si>
  <si>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SM424</t>
  </si>
  <si>
    <t>02:45</t>
  </si>
  <si>
    <t>JED-CAI</t>
  </si>
  <si>
    <t>320</t>
  </si>
  <si>
    <t>UPCOMING</t>
  </si>
  <si>
    <t>G4</t>
  </si>
  <si>
    <t>SM452</t>
  </si>
  <si>
    <t>10:00</t>
  </si>
  <si>
    <t>JED-HBE</t>
  </si>
  <si>
    <t>CLOSED</t>
  </si>
  <si>
    <t>SM460</t>
  </si>
  <si>
    <t>22:30</t>
  </si>
  <si>
    <t>SM472</t>
  </si>
  <si>
    <t>17:40</t>
  </si>
  <si>
    <t>S9</t>
  </si>
  <si>
    <t>SM476</t>
  </si>
  <si>
    <t>07:40</t>
  </si>
  <si>
    <t>S7</t>
  </si>
  <si>
    <t>SM478</t>
  </si>
  <si>
    <t>11:00</t>
  </si>
  <si>
    <t>SM480</t>
  </si>
  <si>
    <t>14:45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</si>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</sst>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F359B-C712-4EC2-8FDA-5D88A52EB897}" name="LF_ALL_ROUTES" displayName="LF_ALL_ROUTES" ref="A1:AJ9" totalsRowCount="1" headerRowDxfId="37" totalsRowDxfId="0">
  <autoFilter ref="A1:AJ8" xr:uid="{26EF359B-C712-4EC2-8FDA-5D88A52EB897}"/>
  <tableColumns count="36">
    <tableColumn id="1" xr3:uid="{25F5AC96-9814-40C6-B6FB-763B954FD546}" name="Day" totalsRowLabel="TOTAL" totalsRowDxfId="36"/>
    <tableColumn id="2" xr3:uid="{9C76B874-565E-45F7-B6C0-58F4B912904E}" name="Flt Dt" dataDxfId="39" totalsRowDxfId="35"/>
    <tableColumn id="3" xr3:uid="{C362325E-5FF5-4DF4-96F2-8F5EB6D6E7BA}" name="Flt" totalsRowFunction="count" totalsRowDxfId="34"/>
    <tableColumn id="4" xr3:uid="{D956F7BE-4173-4CB0-AE80-581C087696C4}" name="DEP" totalsRowDxfId="33"/>
    <tableColumn id="5" xr3:uid="{E0030442-C499-45B7-A443-A5139F5F9D7C}" name="Brd-Off" totalsRowFunction="count" totalsRowDxfId="32"/>
    <tableColumn id="6" xr3:uid="{92335D02-7E0E-44D5-B3D9-F8E4AD3C7C7E}" name="Eqp" totalsRowDxfId="31"/>
    <tableColumn id="7" xr3:uid="{55B90248-77C6-4144-9122-1BAD11C9A759}" name="LF%" totalsRowFunction="average" totalsRowDxfId="30"/>
    <tableColumn id="8" xr3:uid="{F80B8AEA-8927-48D9-88E7-1A0B96C167D6}" name="CAP" totalsRowDxfId="29"/>
    <tableColumn id="9" xr3:uid="{4BB6C140-01D5-47DB-9167-718BFCC5B1DC}" name="BKG(Y)" totalsRowDxfId="28"/>
    <tableColumn id="10" xr3:uid="{941508EE-0BE5-4F21-8878-96C5D8C732AB}" name="GRP(Y)" totalsRowDxfId="27"/>
    <tableColumn id="11" xr3:uid="{D9D4A0AE-506C-4EE1-B9FD-9DA1DF913183}" name="FLT ST" totalsRowDxfId="26"/>
    <tableColumn id="12" xr3:uid="{70E763FB-D9BF-4A5D-869B-9F770926B4D3}" name="LST-SOLD" dataDxfId="38" totalsRowDxfId="25"/>
    <tableColumn id="13" xr3:uid="{C6B5D38D-70F4-4CDB-914C-98A524DE1BEB}" name="TO-DAY" totalsRowDxfId="24"/>
    <tableColumn id="14" xr3:uid="{174FE9BF-19EB-47E2-A984-4EBA408F325E}" name="Y-DAY" totalsRowDxfId="23"/>
    <tableColumn id="15" xr3:uid="{C6F86732-CFE7-452B-8871-C2576C2C6DAE}" name="WEEKLY" totalsRowDxfId="22"/>
    <tableColumn id="16" xr3:uid="{0F0CAC92-7FA2-4C57-A93D-F1A9D7296AEB}" name="LOWEST AVAIL" totalsRowDxfId="21"/>
    <tableColumn id="17" xr3:uid="{49818C3B-B3C2-4AE8-BADB-E80EBFF8F2CD}" name="Y" totalsRowDxfId="20"/>
    <tableColumn id="18" xr3:uid="{72896A5D-FD95-4F11-B326-946E09E58D43}" name="B" totalsRowDxfId="19"/>
    <tableColumn id="19" xr3:uid="{9D49BD6A-BEA0-4B78-8A66-010F030DC0C7}" name="M" totalsRowDxfId="18"/>
    <tableColumn id="20" xr3:uid="{D4979A6E-C7EF-4105-93C2-EAD84D280480}" name="H" totalsRowDxfId="17"/>
    <tableColumn id="21" xr3:uid="{6C7AFAC8-81F9-46F0-97E2-3E05CC5A3AE8}" name="Q" totalsRowDxfId="16"/>
    <tableColumn id="22" xr3:uid="{E956E90C-CE3F-42DE-98FD-E82AE1ED5104}" name="K" totalsRowDxfId="15"/>
    <tableColumn id="23" xr3:uid="{E177DFC1-F48E-4039-8D81-4D891CBCEAEC}" name="V" totalsRowDxfId="14"/>
    <tableColumn id="24" xr3:uid="{1C8B7986-8E39-430D-8A44-7D4195E9519C}" name="L" totalsRowDxfId="13"/>
    <tableColumn id="25" xr3:uid="{C6B3536A-0C69-4834-BDA3-FEBC401E301D}" name="G" totalsRowDxfId="12"/>
    <tableColumn id="26" xr3:uid="{049336DC-0214-4534-9DF8-A0F80D5FF117}" name="S" totalsRowDxfId="11"/>
    <tableColumn id="27" xr3:uid="{535BDBD0-6F7C-48D3-91B4-89664C30B63E}" name="W" totalsRowDxfId="10"/>
    <tableColumn id="28" xr3:uid="{C3C99ACD-CEE4-4CAA-8E7E-50A6CBA104C7}" name="T" totalsRowDxfId="9"/>
    <tableColumn id="29" xr3:uid="{A0774076-10DE-4CDC-B0C5-5D45BBAFB2CD}" name="X" totalsRowDxfId="8"/>
    <tableColumn id="30" xr3:uid="{DA4686BE-6AC7-4F1C-BD2A-7DF170F134D8}" name="U" totalsRowDxfId="7"/>
    <tableColumn id="31" xr3:uid="{2269F869-676F-4B72-B0D0-1775FA697D5B}" name="O" totalsRowDxfId="6"/>
    <tableColumn id="32" xr3:uid="{801BF18E-F493-4333-A9A8-6D346838F2A4}" name="I" totalsRowDxfId="5"/>
    <tableColumn id="33" xr3:uid="{D4AA78E3-4046-4A88-A670-A9712142E2DE}" name="E" totalsRowDxfId="4"/>
    <tableColumn id="34" xr3:uid="{DC61B645-4A7B-446E-AF26-0252D2320372}" name="A" totalsRowDxfId="3"/>
    <tableColumn id="35" xr3:uid="{3FAA940B-83AC-44FB-A17C-E7DEDE195824}" name="P" totalsRowDxfId="2"/>
    <tableColumn id="36" xr3:uid="{28DA202B-D205-4280-8A86-C5986FFBC775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"/>
  <sheetViews>
    <sheetView tabSelected="1" workbookViewId="0"/>
  </sheetViews>
  <sheetFormatPr defaultRowHeight="14.4" outlineLevelCol="1" x14ac:dyDescent="0.3"/>
  <cols>
    <col min="1" max="1" width="8.664062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45982</v>
      </c>
      <c r="C2" t="s">
        <v>37</v>
      </c>
      <c r="D2" t="s">
        <v>38</v>
      </c>
      <c r="E2" t="s">
        <v>39</v>
      </c>
      <c r="F2" t="s">
        <v>40</v>
      </c>
      <c r="G2">
        <v>0.73180000000000001</v>
      </c>
      <c r="H2">
        <v>179</v>
      </c>
      <c r="I2">
        <v>131</v>
      </c>
      <c r="J2">
        <v>0</v>
      </c>
      <c r="K2" t="s">
        <v>41</v>
      </c>
      <c r="L2" s="2">
        <v>45981</v>
      </c>
      <c r="M2">
        <v>38</v>
      </c>
      <c r="N2">
        <v>4</v>
      </c>
      <c r="O2">
        <v>61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3</v>
      </c>
      <c r="W2">
        <v>30</v>
      </c>
      <c r="X2">
        <v>22</v>
      </c>
      <c r="Y2">
        <v>25</v>
      </c>
      <c r="Z2">
        <v>44</v>
      </c>
      <c r="AA2">
        <v>5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45982</v>
      </c>
      <c r="C3" t="s">
        <v>43</v>
      </c>
      <c r="D3" t="s">
        <v>44</v>
      </c>
      <c r="E3" t="s">
        <v>45</v>
      </c>
      <c r="F3" t="s">
        <v>40</v>
      </c>
      <c r="G3">
        <v>1.0654999999999999</v>
      </c>
      <c r="H3">
        <v>168</v>
      </c>
      <c r="I3">
        <v>179</v>
      </c>
      <c r="J3">
        <v>83</v>
      </c>
      <c r="K3" t="s">
        <v>41</v>
      </c>
      <c r="L3" s="2">
        <v>45981</v>
      </c>
      <c r="M3">
        <v>1</v>
      </c>
      <c r="N3">
        <v>1</v>
      </c>
      <c r="O3">
        <v>8</v>
      </c>
      <c r="P3" t="s">
        <v>46</v>
      </c>
      <c r="Q3">
        <v>0</v>
      </c>
      <c r="R3">
        <v>0</v>
      </c>
      <c r="S3">
        <v>1</v>
      </c>
      <c r="T3">
        <v>0</v>
      </c>
      <c r="U3">
        <v>5</v>
      </c>
      <c r="V3">
        <v>7</v>
      </c>
      <c r="W3">
        <v>0</v>
      </c>
      <c r="X3">
        <v>3</v>
      </c>
      <c r="Y3">
        <v>18</v>
      </c>
      <c r="Z3">
        <v>13</v>
      </c>
      <c r="AA3">
        <v>14</v>
      </c>
      <c r="AB3">
        <v>17</v>
      </c>
      <c r="AC3">
        <v>17</v>
      </c>
      <c r="AD3">
        <v>0</v>
      </c>
      <c r="AE3">
        <v>0</v>
      </c>
      <c r="AF3">
        <v>0</v>
      </c>
      <c r="AG3">
        <v>0</v>
      </c>
      <c r="AH3">
        <v>0</v>
      </c>
      <c r="AI3">
        <v>84</v>
      </c>
      <c r="AJ3">
        <v>0</v>
      </c>
    </row>
    <row r="4" spans="1:36" x14ac:dyDescent="0.3">
      <c r="A4" t="s">
        <v>36</v>
      </c>
      <c r="B4" s="2">
        <v>45982</v>
      </c>
      <c r="C4" t="s">
        <v>47</v>
      </c>
      <c r="D4" t="s">
        <v>48</v>
      </c>
      <c r="E4" t="s">
        <v>39</v>
      </c>
      <c r="F4" t="s">
        <v>40</v>
      </c>
      <c r="G4">
        <v>1.0057</v>
      </c>
      <c r="H4">
        <v>174</v>
      </c>
      <c r="I4">
        <v>175</v>
      </c>
      <c r="J4">
        <v>91</v>
      </c>
      <c r="K4" t="s">
        <v>41</v>
      </c>
      <c r="L4" s="2">
        <v>45979</v>
      </c>
      <c r="M4">
        <v>0</v>
      </c>
      <c r="N4">
        <v>0</v>
      </c>
      <c r="O4">
        <v>6</v>
      </c>
      <c r="P4" t="s">
        <v>46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7</v>
      </c>
      <c r="X4">
        <v>0</v>
      </c>
      <c r="Y4">
        <v>1</v>
      </c>
      <c r="Z4">
        <v>16</v>
      </c>
      <c r="AA4">
        <v>10</v>
      </c>
      <c r="AB4">
        <v>10</v>
      </c>
      <c r="AC4">
        <v>10</v>
      </c>
      <c r="AD4">
        <v>10</v>
      </c>
      <c r="AE4">
        <v>10</v>
      </c>
      <c r="AF4">
        <v>10</v>
      </c>
      <c r="AG4">
        <v>0</v>
      </c>
      <c r="AH4">
        <v>0</v>
      </c>
      <c r="AI4">
        <v>91</v>
      </c>
      <c r="AJ4">
        <v>0</v>
      </c>
    </row>
    <row r="5" spans="1:36" x14ac:dyDescent="0.3">
      <c r="A5" t="s">
        <v>36</v>
      </c>
      <c r="B5" s="2">
        <v>45982</v>
      </c>
      <c r="C5" t="s">
        <v>49</v>
      </c>
      <c r="D5" t="s">
        <v>50</v>
      </c>
      <c r="E5" t="s">
        <v>39</v>
      </c>
      <c r="F5" t="s">
        <v>40</v>
      </c>
      <c r="G5">
        <v>0.58379999999999999</v>
      </c>
      <c r="H5">
        <v>185</v>
      </c>
      <c r="I5">
        <v>108</v>
      </c>
      <c r="J5">
        <v>0</v>
      </c>
      <c r="K5" t="s">
        <v>41</v>
      </c>
      <c r="L5" s="2">
        <v>45981</v>
      </c>
      <c r="M5">
        <v>12</v>
      </c>
      <c r="N5">
        <v>1</v>
      </c>
      <c r="O5">
        <v>26</v>
      </c>
      <c r="P5" t="s">
        <v>51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21</v>
      </c>
      <c r="X5">
        <v>17</v>
      </c>
      <c r="Y5">
        <v>22</v>
      </c>
      <c r="Z5">
        <v>43</v>
      </c>
      <c r="AA5">
        <v>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45982</v>
      </c>
      <c r="C6" t="s">
        <v>52</v>
      </c>
      <c r="D6" t="s">
        <v>53</v>
      </c>
      <c r="E6" t="s">
        <v>39</v>
      </c>
      <c r="F6" t="s">
        <v>40</v>
      </c>
      <c r="G6">
        <v>0.78649999999999998</v>
      </c>
      <c r="H6">
        <v>178</v>
      </c>
      <c r="I6">
        <v>140</v>
      </c>
      <c r="J6">
        <v>1</v>
      </c>
      <c r="K6" t="s">
        <v>41</v>
      </c>
      <c r="L6" s="2">
        <v>45981</v>
      </c>
      <c r="M6">
        <v>33</v>
      </c>
      <c r="N6">
        <v>0</v>
      </c>
      <c r="O6">
        <v>45</v>
      </c>
      <c r="P6" t="s">
        <v>54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30</v>
      </c>
      <c r="X6">
        <v>15</v>
      </c>
      <c r="Y6">
        <v>17</v>
      </c>
      <c r="Z6">
        <v>23</v>
      </c>
      <c r="AA6">
        <v>26</v>
      </c>
      <c r="AB6">
        <v>2</v>
      </c>
      <c r="AC6">
        <v>5</v>
      </c>
      <c r="AD6">
        <v>6</v>
      </c>
      <c r="AE6">
        <v>4</v>
      </c>
      <c r="AF6">
        <v>5</v>
      </c>
      <c r="AG6">
        <v>0</v>
      </c>
      <c r="AH6">
        <v>0</v>
      </c>
      <c r="AI6">
        <v>1</v>
      </c>
      <c r="AJ6">
        <v>0</v>
      </c>
    </row>
    <row r="7" spans="1:36" x14ac:dyDescent="0.3">
      <c r="A7" t="s">
        <v>36</v>
      </c>
      <c r="B7" s="2">
        <v>45982</v>
      </c>
      <c r="C7" t="s">
        <v>55</v>
      </c>
      <c r="D7" t="s">
        <v>56</v>
      </c>
      <c r="E7" t="s">
        <v>39</v>
      </c>
      <c r="F7" t="s">
        <v>40</v>
      </c>
      <c r="G7">
        <v>0.71889999999999998</v>
      </c>
      <c r="H7">
        <v>185</v>
      </c>
      <c r="I7">
        <v>133</v>
      </c>
      <c r="J7">
        <v>2</v>
      </c>
      <c r="K7" t="s">
        <v>41</v>
      </c>
      <c r="L7" s="2">
        <v>45981</v>
      </c>
      <c r="M7">
        <v>29</v>
      </c>
      <c r="N7">
        <v>7</v>
      </c>
      <c r="O7">
        <v>41</v>
      </c>
      <c r="P7" t="s">
        <v>51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20</v>
      </c>
      <c r="X7">
        <v>23</v>
      </c>
      <c r="Y7">
        <v>24</v>
      </c>
      <c r="Z7">
        <v>52</v>
      </c>
      <c r="AA7">
        <v>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</v>
      </c>
      <c r="AJ7">
        <v>0</v>
      </c>
    </row>
    <row r="8" spans="1:36" x14ac:dyDescent="0.3">
      <c r="A8" t="s">
        <v>36</v>
      </c>
      <c r="B8" s="2">
        <v>45982</v>
      </c>
      <c r="C8" t="s">
        <v>57</v>
      </c>
      <c r="D8" t="s">
        <v>58</v>
      </c>
      <c r="E8" t="s">
        <v>39</v>
      </c>
      <c r="F8" t="s">
        <v>40</v>
      </c>
      <c r="G8">
        <v>0.66479999999999995</v>
      </c>
      <c r="H8">
        <v>179</v>
      </c>
      <c r="I8">
        <v>119</v>
      </c>
      <c r="J8">
        <v>0</v>
      </c>
      <c r="K8" t="s">
        <v>41</v>
      </c>
      <c r="L8" s="2">
        <v>45981</v>
      </c>
      <c r="M8">
        <v>22</v>
      </c>
      <c r="N8">
        <v>1</v>
      </c>
      <c r="O8">
        <v>42</v>
      </c>
      <c r="P8" t="s">
        <v>51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16</v>
      </c>
      <c r="X8">
        <v>45</v>
      </c>
      <c r="Y8">
        <v>17</v>
      </c>
      <c r="Z8">
        <v>21</v>
      </c>
      <c r="AA8">
        <v>20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ht="18" x14ac:dyDescent="0.35">
      <c r="A9" s="3" t="s">
        <v>59</v>
      </c>
      <c r="B9" s="4"/>
      <c r="C9" s="3">
        <f>SUBTOTAL(103,LF_ALL_ROUTES[Flt])</f>
        <v>7</v>
      </c>
      <c r="D9" s="3"/>
      <c r="E9" s="3">
        <f>SUBTOTAL(103,LF_ALL_ROUTES[Brd-Off])</f>
        <v>7</v>
      </c>
      <c r="F9" s="3"/>
      <c r="G9" s="5">
        <f>SUBTOTAL(101,LF_ALL_ROUTES[LF%])</f>
        <v>0.79385714285714282</v>
      </c>
      <c r="H9" s="3"/>
      <c r="I9" s="3"/>
      <c r="J9" s="3"/>
      <c r="K9" s="3"/>
      <c r="L9" s="4"/>
      <c r="M9" s="3"/>
      <c r="N9" s="3"/>
      <c r="O9" s="3"/>
      <c r="P9" s="3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2025-11-20T20:12:02Z</dcterms:created>
  <dcterms:modified xsi:type="dcterms:W3CDTF">2025-11-20T20:12:02Z</dcterms:modified>
</cp:coreProperties>
</file>