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3CCBA73-FFB8-4123-954A-128A431BA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" l="1"/>
  <c r="E25" i="1"/>
  <c r="C25" i="1"/>
  <c r="AJ25" i="1"/>
</calcChain>
</file>

<file path=xl/sharedStrings.xml><?xml version="1.0" encoding="utf-8"?>
<sst xmlns="http://schemas.openxmlformats.org/spreadsheetml/2006/main" count="198" uniqueCount="89">
  <si>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</si>
  <si>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</si>
  <si>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</si>
  <si>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</si>
  <si>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</si>
  <si>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</si>
  <si>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</si>
  <si>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</si>
  <si>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</si>
  <si>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</si>
  <si>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</si>
  <si>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</si>
  <si>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</si>
  <si>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</si>
  <si>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</si>
  <si>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</si>
  <si>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</si>
  <si>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</si>
  <si>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</si>
  <si>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</si>
  <si>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</si>
  <si>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</si>
  <si>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</si>
  <si>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</si>
  <si>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</si>
  <si>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</si>
  <si>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</si>
  <si>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</si>
  <si>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</si>
  <si>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</si>
  <si>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</si>
  <si>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</si>
  <si>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</si>
  <si>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</si>
  <si>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</si>
  <si>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</si>
  <si>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</si>
  <si>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</si>
  <si>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</si>
  <si>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</si>
  <si>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</si>
  <si>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UPCOMING</t>
  </si>
  <si>
    <t>V3</t>
  </si>
  <si>
    <t>SM476</t>
  </si>
  <si>
    <t>08:00</t>
  </si>
  <si>
    <t>CLOSED</t>
  </si>
  <si>
    <t>SM478</t>
  </si>
  <si>
    <t>16:20</t>
  </si>
  <si>
    <t>K1</t>
  </si>
  <si>
    <t>SM494</t>
  </si>
  <si>
    <t>09:30</t>
  </si>
  <si>
    <t>MED-CAI</t>
  </si>
  <si>
    <t>SUNDAY</t>
  </si>
  <si>
    <t>SM424</t>
  </si>
  <si>
    <t>02:00</t>
  </si>
  <si>
    <t>W9</t>
  </si>
  <si>
    <t>SM432</t>
  </si>
  <si>
    <t>SM460</t>
  </si>
  <si>
    <t>12:15</t>
  </si>
  <si>
    <t>G7</t>
  </si>
  <si>
    <t>07:40</t>
  </si>
  <si>
    <t>15:10</t>
  </si>
  <si>
    <t>21:40</t>
  </si>
  <si>
    <t>MONDAY</t>
  </si>
  <si>
    <t>23:30</t>
  </si>
  <si>
    <t>T3</t>
  </si>
  <si>
    <t>10:10</t>
  </si>
  <si>
    <t>14:45</t>
  </si>
  <si>
    <t>X6</t>
  </si>
  <si>
    <t>SM480</t>
  </si>
  <si>
    <t>00:10</t>
  </si>
  <si>
    <t>X9</t>
  </si>
  <si>
    <t>TUESDAY</t>
  </si>
  <si>
    <t>22:25</t>
  </si>
  <si>
    <t>O9</t>
  </si>
  <si>
    <t>17:30</t>
  </si>
  <si>
    <t>U1</t>
  </si>
  <si>
    <t>SM472</t>
  </si>
  <si>
    <t>05:30</t>
  </si>
  <si>
    <t>23:15</t>
  </si>
  <si>
    <t>O7</t>
  </si>
  <si>
    <t>13:25</t>
  </si>
  <si>
    <t>SM488</t>
  </si>
  <si>
    <t>06:40</t>
  </si>
  <si>
    <t>G9</t>
  </si>
  <si>
    <t>SM496</t>
  </si>
  <si>
    <t>01:10</t>
  </si>
  <si>
    <t>V8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</si>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</sst>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EB791-3AE8-4C95-8051-225F419D5964}" name="LF_ALL_ROUTES" displayName="LF_ALL_ROUTES" ref="A1:AJ25" totalsRowCount="1" headerRowDxfId="37" totalsRowDxfId="0">
  <autoFilter ref="A1:AJ24" xr:uid="{529EB791-3AE8-4C95-8051-225F419D5964}"/>
  <tableColumns count="36">
    <tableColumn id="1" xr3:uid="{E1F16515-2BD1-4E4E-A465-CD24F007878B}" name="Day" totalsRowLabel="TOTAL" totalsRowDxfId="36"/>
    <tableColumn id="2" xr3:uid="{461D5E40-9370-45DE-ADB2-7C2240BC98E4}" name="Flt Dt" dataDxfId="39" totalsRowDxfId="35"/>
    <tableColumn id="3" xr3:uid="{865A9B40-384A-4B75-9B71-D559AD50AEF0}" name="Flt" totalsRowFunction="count" totalsRowDxfId="34"/>
    <tableColumn id="4" xr3:uid="{FC7034E7-FA04-40DF-A45E-51AFC47F1A32}" name="DEP" totalsRowDxfId="33"/>
    <tableColumn id="5" xr3:uid="{4203FDF2-8BD6-46C7-AEAB-3373064A1015}" name="Brd-Off" totalsRowFunction="count" totalsRowDxfId="32"/>
    <tableColumn id="6" xr3:uid="{A254122F-BA20-4FC2-8938-CDEC239359CB}" name="Eqp" totalsRowDxfId="31"/>
    <tableColumn id="7" xr3:uid="{F9FF99A6-EFFA-48AA-9742-BBFF8496EBF2}" name="LF%" totalsRowFunction="average" totalsRowDxfId="30"/>
    <tableColumn id="8" xr3:uid="{96F149BC-0DCE-4A14-BE3A-C190ED2B3CA7}" name="CAP" totalsRowDxfId="29"/>
    <tableColumn id="9" xr3:uid="{106DB6AE-C43F-41E1-A4CE-83F36F03C17F}" name="BKG(Y)" totalsRowDxfId="28"/>
    <tableColumn id="10" xr3:uid="{22ED273C-8E07-4BFC-B2AE-BCDE563B214C}" name="GRP(Y)" totalsRowDxfId="27"/>
    <tableColumn id="11" xr3:uid="{E2BC75D3-79F4-4DA1-B528-1352ABCF5EF0}" name="FLT ST" totalsRowDxfId="26"/>
    <tableColumn id="12" xr3:uid="{E02E14AD-28B1-48A2-9A56-3EF3834236B3}" name="LST-SOLD" dataDxfId="38" totalsRowDxfId="25"/>
    <tableColumn id="13" xr3:uid="{69C03FDB-A8A2-4B3E-A3EB-4215C69047C5}" name="TO-DAY" totalsRowDxfId="24"/>
    <tableColumn id="14" xr3:uid="{B7B8860D-FE92-40B0-BC74-A45ED26D7CEF}" name="Y-DAY" totalsRowDxfId="23"/>
    <tableColumn id="15" xr3:uid="{BE65FE93-05B0-4303-8154-64A0CD7A55CB}" name="WEEKLY" totalsRowDxfId="22"/>
    <tableColumn id="16" xr3:uid="{944334DE-CE4C-40F9-8864-BBA880526F63}" name="LOWEST AVAIL" totalsRowDxfId="21"/>
    <tableColumn id="17" xr3:uid="{11A18F59-36F6-4ACB-8EB3-12E0097C37AF}" name="Y" totalsRowDxfId="20"/>
    <tableColumn id="18" xr3:uid="{7F4B30CC-2A29-4CE7-8BE7-DA0ED2EBE690}" name="B" totalsRowDxfId="19"/>
    <tableColumn id="19" xr3:uid="{D0F88687-A34F-42EE-93D8-A3D9E9EBF635}" name="M" totalsRowDxfId="18"/>
    <tableColumn id="20" xr3:uid="{3BE1A7C9-F07B-4106-BB3F-90B0DB79A367}" name="H" totalsRowDxfId="17"/>
    <tableColumn id="21" xr3:uid="{7B78AC24-11DA-4E83-B13E-ECFFA467B7F0}" name="Q" totalsRowDxfId="16"/>
    <tableColumn id="22" xr3:uid="{3B735459-06AF-4300-A7EF-EFF8E88E1503}" name="K" totalsRowDxfId="15"/>
    <tableColumn id="23" xr3:uid="{631DCA7E-0296-4E73-80FB-EAD7BB75ACDC}" name="V" totalsRowDxfId="14"/>
    <tableColumn id="24" xr3:uid="{7E4C2BE6-FD29-41A9-B91D-B711F3A6FBE6}" name="L" totalsRowDxfId="13"/>
    <tableColumn id="25" xr3:uid="{2225CD18-17AA-43AE-9422-6A483108AEB5}" name="G" totalsRowDxfId="12"/>
    <tableColumn id="26" xr3:uid="{CA11A434-059F-4A45-97E3-66B5D25DFB45}" name="S" totalsRowDxfId="11"/>
    <tableColumn id="27" xr3:uid="{795D9907-BDF3-463C-A3D3-E3200A66882B}" name="W" totalsRowDxfId="10"/>
    <tableColumn id="28" xr3:uid="{627A9D8F-C816-42B5-8526-275714E623E4}" name="T" totalsRowDxfId="9"/>
    <tableColumn id="29" xr3:uid="{2A27C485-1A07-4634-8AC1-60074C0BAFB1}" name="X" totalsRowDxfId="8"/>
    <tableColumn id="30" xr3:uid="{6A18742B-BE76-42D8-ACE6-329FD4F0D81E}" name="U" totalsRowDxfId="7"/>
    <tableColumn id="31" xr3:uid="{4E20CB6B-B574-44D3-BF54-89BCB9540D67}" name="O" totalsRowDxfId="6"/>
    <tableColumn id="32" xr3:uid="{269906B6-1C69-4D6C-A833-B843EA4D1A86}" name="I" totalsRowDxfId="5"/>
    <tableColumn id="33" xr3:uid="{2287DED8-C707-4A2F-B69C-14A0F0EFCF95}" name="E" totalsRowDxfId="4"/>
    <tableColumn id="34" xr3:uid="{1C937CBB-EF8D-4332-A9E1-483CEAF1152C}" name="A" totalsRowDxfId="3"/>
    <tableColumn id="35" xr3:uid="{DFFF8779-081C-4078-B7A4-EFE3B2CB783A}" name="P" totalsRowDxfId="2"/>
    <tableColumn id="36" xr3:uid="{5B71697C-1E76-4311-A482-D32D2F956C7C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0.98319999999999996</v>
      </c>
      <c r="H2">
        <v>179</v>
      </c>
      <c r="I2">
        <v>176</v>
      </c>
      <c r="J2">
        <v>50</v>
      </c>
      <c r="K2" t="s">
        <v>41</v>
      </c>
      <c r="L2" s="2">
        <v>45981</v>
      </c>
      <c r="M2">
        <v>6</v>
      </c>
      <c r="N2">
        <v>0</v>
      </c>
      <c r="O2">
        <v>6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</v>
      </c>
      <c r="X2">
        <v>0</v>
      </c>
      <c r="Y2">
        <v>16</v>
      </c>
      <c r="Z2">
        <v>17</v>
      </c>
      <c r="AA2">
        <v>21</v>
      </c>
      <c r="AB2">
        <v>10</v>
      </c>
      <c r="AC2">
        <v>9</v>
      </c>
      <c r="AD2">
        <v>17</v>
      </c>
      <c r="AE2">
        <v>16</v>
      </c>
      <c r="AF2">
        <v>16</v>
      </c>
      <c r="AG2">
        <v>0</v>
      </c>
      <c r="AH2">
        <v>0</v>
      </c>
      <c r="AI2">
        <v>50</v>
      </c>
      <c r="AJ2">
        <v>0</v>
      </c>
    </row>
    <row r="3" spans="1:36" x14ac:dyDescent="0.3">
      <c r="A3" t="s">
        <v>36</v>
      </c>
      <c r="B3" s="2">
        <v>45983</v>
      </c>
      <c r="C3" t="s">
        <v>43</v>
      </c>
      <c r="D3" t="s">
        <v>44</v>
      </c>
      <c r="E3" t="s">
        <v>39</v>
      </c>
      <c r="F3" t="s">
        <v>40</v>
      </c>
      <c r="G3">
        <v>1</v>
      </c>
      <c r="H3">
        <v>179</v>
      </c>
      <c r="I3">
        <v>179</v>
      </c>
      <c r="J3">
        <v>134</v>
      </c>
      <c r="K3" t="s">
        <v>41</v>
      </c>
      <c r="L3" s="2">
        <v>45979</v>
      </c>
      <c r="M3">
        <v>0</v>
      </c>
      <c r="N3">
        <v>0</v>
      </c>
      <c r="O3">
        <v>4</v>
      </c>
      <c r="P3" t="s">
        <v>45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0</v>
      </c>
      <c r="X3">
        <v>6</v>
      </c>
      <c r="Y3">
        <v>0</v>
      </c>
      <c r="Z3">
        <v>24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135</v>
      </c>
      <c r="AJ3">
        <v>4</v>
      </c>
    </row>
    <row r="4" spans="1:36" x14ac:dyDescent="0.3">
      <c r="A4" t="s">
        <v>36</v>
      </c>
      <c r="B4" s="2">
        <v>45983</v>
      </c>
      <c r="C4" t="s">
        <v>46</v>
      </c>
      <c r="D4" t="s">
        <v>47</v>
      </c>
      <c r="E4" t="s">
        <v>39</v>
      </c>
      <c r="F4" t="s">
        <v>40</v>
      </c>
      <c r="G4">
        <v>0.99439999999999995</v>
      </c>
      <c r="H4">
        <v>179</v>
      </c>
      <c r="I4">
        <v>178</v>
      </c>
      <c r="J4">
        <v>127</v>
      </c>
      <c r="K4" t="s">
        <v>41</v>
      </c>
      <c r="L4" s="2">
        <v>45981</v>
      </c>
      <c r="M4">
        <v>3</v>
      </c>
      <c r="N4">
        <v>0</v>
      </c>
      <c r="O4">
        <v>6</v>
      </c>
      <c r="P4" t="s">
        <v>48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0</v>
      </c>
      <c r="X4">
        <v>0</v>
      </c>
      <c r="Y4">
        <v>3</v>
      </c>
      <c r="Z4">
        <v>3</v>
      </c>
      <c r="AA4">
        <v>4</v>
      </c>
      <c r="AB4">
        <v>10</v>
      </c>
      <c r="AC4">
        <v>12</v>
      </c>
      <c r="AD4">
        <v>5</v>
      </c>
      <c r="AE4">
        <v>6</v>
      </c>
      <c r="AF4">
        <v>4</v>
      </c>
      <c r="AG4">
        <v>45</v>
      </c>
      <c r="AH4">
        <v>0</v>
      </c>
      <c r="AI4">
        <v>82</v>
      </c>
      <c r="AJ4">
        <v>1</v>
      </c>
    </row>
    <row r="5" spans="1:36" x14ac:dyDescent="0.3">
      <c r="A5" t="s">
        <v>36</v>
      </c>
      <c r="B5" s="2">
        <v>45983</v>
      </c>
      <c r="C5" t="s">
        <v>49</v>
      </c>
      <c r="D5" t="s">
        <v>50</v>
      </c>
      <c r="E5" t="s">
        <v>51</v>
      </c>
      <c r="F5" t="s">
        <v>40</v>
      </c>
      <c r="G5">
        <v>1</v>
      </c>
      <c r="H5">
        <v>179</v>
      </c>
      <c r="I5">
        <v>179</v>
      </c>
      <c r="J5">
        <v>130</v>
      </c>
      <c r="K5" t="s">
        <v>41</v>
      </c>
      <c r="L5" s="2">
        <v>45974</v>
      </c>
      <c r="M5">
        <v>0</v>
      </c>
      <c r="N5">
        <v>0</v>
      </c>
      <c r="O5">
        <v>1</v>
      </c>
      <c r="P5" t="s">
        <v>45</v>
      </c>
      <c r="Q5">
        <v>0</v>
      </c>
      <c r="R5">
        <v>0</v>
      </c>
      <c r="S5">
        <v>0</v>
      </c>
      <c r="T5">
        <v>0</v>
      </c>
      <c r="U5">
        <v>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5</v>
      </c>
      <c r="AD5">
        <v>9</v>
      </c>
      <c r="AE5">
        <v>7</v>
      </c>
      <c r="AF5">
        <v>17</v>
      </c>
      <c r="AG5">
        <v>0</v>
      </c>
      <c r="AH5">
        <v>0</v>
      </c>
      <c r="AI5">
        <v>130</v>
      </c>
      <c r="AJ5">
        <v>4</v>
      </c>
    </row>
    <row r="6" spans="1:36" x14ac:dyDescent="0.3">
      <c r="A6" t="s">
        <v>52</v>
      </c>
      <c r="B6" s="2">
        <v>45984</v>
      </c>
      <c r="C6" t="s">
        <v>53</v>
      </c>
      <c r="D6" t="s">
        <v>54</v>
      </c>
      <c r="E6" t="s">
        <v>39</v>
      </c>
      <c r="F6" t="s">
        <v>40</v>
      </c>
      <c r="G6">
        <v>0.64800000000000002</v>
      </c>
      <c r="H6">
        <v>179</v>
      </c>
      <c r="I6">
        <v>116</v>
      </c>
      <c r="J6">
        <v>28</v>
      </c>
      <c r="K6" t="s">
        <v>41</v>
      </c>
      <c r="L6" s="2">
        <v>45981</v>
      </c>
      <c r="M6">
        <v>5</v>
      </c>
      <c r="N6">
        <v>7</v>
      </c>
      <c r="O6">
        <v>55</v>
      </c>
      <c r="P6" t="s">
        <v>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19</v>
      </c>
      <c r="AA6">
        <v>17</v>
      </c>
      <c r="AB6">
        <v>33</v>
      </c>
      <c r="AC6">
        <v>4</v>
      </c>
      <c r="AD6">
        <v>5</v>
      </c>
      <c r="AE6">
        <v>4</v>
      </c>
      <c r="AF6">
        <v>4</v>
      </c>
      <c r="AG6">
        <v>0</v>
      </c>
      <c r="AH6">
        <v>0</v>
      </c>
      <c r="AI6">
        <v>28</v>
      </c>
      <c r="AJ6">
        <v>2</v>
      </c>
    </row>
    <row r="7" spans="1:36" x14ac:dyDescent="0.3">
      <c r="A7" t="s">
        <v>52</v>
      </c>
      <c r="B7" s="2">
        <v>45984</v>
      </c>
      <c r="C7" t="s">
        <v>56</v>
      </c>
      <c r="D7" t="s">
        <v>44</v>
      </c>
      <c r="E7" t="s">
        <v>39</v>
      </c>
      <c r="F7" t="s">
        <v>40</v>
      </c>
      <c r="G7">
        <v>0.90480000000000005</v>
      </c>
      <c r="H7">
        <v>168</v>
      </c>
      <c r="I7">
        <v>152</v>
      </c>
      <c r="J7">
        <v>62</v>
      </c>
      <c r="K7" t="s">
        <v>41</v>
      </c>
      <c r="L7" s="2">
        <v>45981</v>
      </c>
      <c r="M7">
        <v>9</v>
      </c>
      <c r="N7">
        <v>4</v>
      </c>
      <c r="O7">
        <v>37</v>
      </c>
      <c r="P7" t="s">
        <v>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10</v>
      </c>
      <c r="AA7">
        <v>23</v>
      </c>
      <c r="AB7">
        <v>18</v>
      </c>
      <c r="AC7">
        <v>9</v>
      </c>
      <c r="AD7">
        <v>20</v>
      </c>
      <c r="AE7">
        <v>4</v>
      </c>
      <c r="AF7">
        <v>5</v>
      </c>
      <c r="AG7">
        <v>0</v>
      </c>
      <c r="AH7">
        <v>0</v>
      </c>
      <c r="AI7">
        <v>62</v>
      </c>
      <c r="AJ7">
        <v>0</v>
      </c>
    </row>
    <row r="8" spans="1:36" x14ac:dyDescent="0.3">
      <c r="A8" t="s">
        <v>52</v>
      </c>
      <c r="B8" s="2">
        <v>45984</v>
      </c>
      <c r="C8" t="s">
        <v>57</v>
      </c>
      <c r="D8" t="s">
        <v>58</v>
      </c>
      <c r="E8" t="s">
        <v>39</v>
      </c>
      <c r="F8" t="s">
        <v>40</v>
      </c>
      <c r="G8">
        <v>0.91620000000000001</v>
      </c>
      <c r="H8">
        <v>179</v>
      </c>
      <c r="I8">
        <v>164</v>
      </c>
      <c r="J8">
        <v>128</v>
      </c>
      <c r="K8" t="s">
        <v>41</v>
      </c>
      <c r="L8" s="2">
        <v>45981</v>
      </c>
      <c r="M8">
        <v>1</v>
      </c>
      <c r="N8">
        <v>1</v>
      </c>
      <c r="O8">
        <v>7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</v>
      </c>
      <c r="Y8">
        <v>1</v>
      </c>
      <c r="Z8">
        <v>13</v>
      </c>
      <c r="AA8">
        <v>0</v>
      </c>
      <c r="AB8">
        <v>0</v>
      </c>
      <c r="AC8">
        <v>0</v>
      </c>
      <c r="AD8">
        <v>3</v>
      </c>
      <c r="AE8">
        <v>5</v>
      </c>
      <c r="AF8">
        <v>7</v>
      </c>
      <c r="AG8">
        <v>0</v>
      </c>
      <c r="AH8">
        <v>0</v>
      </c>
      <c r="AI8">
        <v>129</v>
      </c>
      <c r="AJ8">
        <v>0</v>
      </c>
    </row>
    <row r="9" spans="1:36" x14ac:dyDescent="0.3">
      <c r="A9" t="s">
        <v>52</v>
      </c>
      <c r="B9" s="2">
        <v>45984</v>
      </c>
      <c r="C9" t="s">
        <v>43</v>
      </c>
      <c r="D9" t="s">
        <v>60</v>
      </c>
      <c r="E9" t="s">
        <v>39</v>
      </c>
      <c r="F9" t="s">
        <v>40</v>
      </c>
      <c r="G9">
        <v>0.56420000000000003</v>
      </c>
      <c r="H9">
        <v>179</v>
      </c>
      <c r="I9">
        <v>101</v>
      </c>
      <c r="J9">
        <v>0</v>
      </c>
      <c r="K9" t="s">
        <v>41</v>
      </c>
      <c r="L9" s="2">
        <v>45981</v>
      </c>
      <c r="M9">
        <v>4</v>
      </c>
      <c r="N9">
        <v>0</v>
      </c>
      <c r="O9">
        <v>38</v>
      </c>
      <c r="P9" t="s">
        <v>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</v>
      </c>
      <c r="Z9">
        <v>32</v>
      </c>
      <c r="AA9">
        <v>24</v>
      </c>
      <c r="AB9">
        <v>16</v>
      </c>
      <c r="AC9">
        <v>9</v>
      </c>
      <c r="AD9">
        <v>5</v>
      </c>
      <c r="AE9">
        <v>5</v>
      </c>
      <c r="AF9">
        <v>5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52</v>
      </c>
      <c r="B10" s="2">
        <v>45984</v>
      </c>
      <c r="C10" t="s">
        <v>46</v>
      </c>
      <c r="D10" t="s">
        <v>61</v>
      </c>
      <c r="E10" t="s">
        <v>39</v>
      </c>
      <c r="F10" t="s">
        <v>40</v>
      </c>
      <c r="G10">
        <v>1.0112000000000001</v>
      </c>
      <c r="H10">
        <v>179</v>
      </c>
      <c r="I10">
        <v>181</v>
      </c>
      <c r="J10">
        <v>128</v>
      </c>
      <c r="K10" t="s">
        <v>41</v>
      </c>
      <c r="L10" s="2">
        <v>45980</v>
      </c>
      <c r="M10">
        <v>0</v>
      </c>
      <c r="N10">
        <v>3</v>
      </c>
      <c r="O10">
        <v>12</v>
      </c>
      <c r="P10" t="s">
        <v>45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4</v>
      </c>
      <c r="Z10">
        <v>11</v>
      </c>
      <c r="AA10">
        <v>0</v>
      </c>
      <c r="AB10">
        <v>7</v>
      </c>
      <c r="AC10">
        <v>12</v>
      </c>
      <c r="AD10">
        <v>5</v>
      </c>
      <c r="AE10">
        <v>5</v>
      </c>
      <c r="AF10">
        <v>7</v>
      </c>
      <c r="AG10">
        <v>0</v>
      </c>
      <c r="AH10">
        <v>0</v>
      </c>
      <c r="AI10">
        <v>129</v>
      </c>
      <c r="AJ10">
        <v>0</v>
      </c>
    </row>
    <row r="11" spans="1:36" x14ac:dyDescent="0.3">
      <c r="A11" t="s">
        <v>52</v>
      </c>
      <c r="B11" s="2">
        <v>45984</v>
      </c>
      <c r="C11" t="s">
        <v>49</v>
      </c>
      <c r="D11" t="s">
        <v>62</v>
      </c>
      <c r="E11" t="s">
        <v>51</v>
      </c>
      <c r="F11" t="s">
        <v>40</v>
      </c>
      <c r="G11">
        <v>1</v>
      </c>
      <c r="H11">
        <v>179</v>
      </c>
      <c r="I11">
        <v>179</v>
      </c>
      <c r="J11">
        <v>86</v>
      </c>
      <c r="K11" t="s">
        <v>41</v>
      </c>
      <c r="L11" s="2">
        <v>45977</v>
      </c>
      <c r="M11">
        <v>0</v>
      </c>
      <c r="N11">
        <v>0</v>
      </c>
      <c r="O11">
        <v>2</v>
      </c>
      <c r="P11" t="s">
        <v>45</v>
      </c>
      <c r="Q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  <c r="X11">
        <v>0</v>
      </c>
      <c r="Y11">
        <v>10</v>
      </c>
      <c r="Z11">
        <v>21</v>
      </c>
      <c r="AA11">
        <v>0</v>
      </c>
      <c r="AB11">
        <v>5</v>
      </c>
      <c r="AC11">
        <v>11</v>
      </c>
      <c r="AD11">
        <v>8</v>
      </c>
      <c r="AE11">
        <v>9</v>
      </c>
      <c r="AF11">
        <v>17</v>
      </c>
      <c r="AG11">
        <v>0</v>
      </c>
      <c r="AH11">
        <v>0</v>
      </c>
      <c r="AI11">
        <v>86</v>
      </c>
      <c r="AJ11">
        <v>6</v>
      </c>
    </row>
    <row r="12" spans="1:36" x14ac:dyDescent="0.3">
      <c r="A12" t="s">
        <v>63</v>
      </c>
      <c r="B12" s="2">
        <v>45985</v>
      </c>
      <c r="C12" t="s">
        <v>57</v>
      </c>
      <c r="D12" t="s">
        <v>64</v>
      </c>
      <c r="E12" t="s">
        <v>39</v>
      </c>
      <c r="F12" t="s">
        <v>40</v>
      </c>
      <c r="G12">
        <v>0.92179999999999995</v>
      </c>
      <c r="H12">
        <v>179</v>
      </c>
      <c r="I12">
        <v>165</v>
      </c>
      <c r="J12">
        <v>108</v>
      </c>
      <c r="K12" t="s">
        <v>41</v>
      </c>
      <c r="L12" s="2">
        <v>45981</v>
      </c>
      <c r="M12">
        <v>1</v>
      </c>
      <c r="N12">
        <v>8</v>
      </c>
      <c r="O12">
        <v>24</v>
      </c>
      <c r="P12" t="s">
        <v>65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4</v>
      </c>
      <c r="AC12">
        <v>17</v>
      </c>
      <c r="AD12">
        <v>10</v>
      </c>
      <c r="AE12">
        <v>10</v>
      </c>
      <c r="AF12">
        <v>15</v>
      </c>
      <c r="AG12">
        <v>0</v>
      </c>
      <c r="AH12">
        <v>0</v>
      </c>
      <c r="AI12">
        <v>108</v>
      </c>
      <c r="AJ12">
        <v>0</v>
      </c>
    </row>
    <row r="13" spans="1:36" x14ac:dyDescent="0.3">
      <c r="A13" t="s">
        <v>63</v>
      </c>
      <c r="B13" s="2">
        <v>45985</v>
      </c>
      <c r="C13" t="s">
        <v>43</v>
      </c>
      <c r="D13" t="s">
        <v>66</v>
      </c>
      <c r="E13" t="s">
        <v>39</v>
      </c>
      <c r="F13" t="s">
        <v>40</v>
      </c>
      <c r="G13">
        <v>0.9385</v>
      </c>
      <c r="H13">
        <v>179</v>
      </c>
      <c r="I13">
        <v>168</v>
      </c>
      <c r="J13">
        <v>84</v>
      </c>
      <c r="K13" t="s">
        <v>41</v>
      </c>
      <c r="L13" s="2">
        <v>45981</v>
      </c>
      <c r="M13">
        <v>18</v>
      </c>
      <c r="N13">
        <v>6</v>
      </c>
      <c r="O13">
        <v>47</v>
      </c>
      <c r="P13" t="s">
        <v>45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9</v>
      </c>
      <c r="AC13">
        <v>10</v>
      </c>
      <c r="AD13">
        <v>17</v>
      </c>
      <c r="AE13">
        <v>30</v>
      </c>
      <c r="AF13">
        <v>11</v>
      </c>
      <c r="AG13">
        <v>0</v>
      </c>
      <c r="AH13">
        <v>0</v>
      </c>
      <c r="AI13">
        <v>84</v>
      </c>
      <c r="AJ13">
        <v>4</v>
      </c>
    </row>
    <row r="14" spans="1:36" x14ac:dyDescent="0.3">
      <c r="A14" t="s">
        <v>63</v>
      </c>
      <c r="B14" s="2">
        <v>45985</v>
      </c>
      <c r="C14" t="s">
        <v>46</v>
      </c>
      <c r="D14" t="s">
        <v>67</v>
      </c>
      <c r="E14" t="s">
        <v>39</v>
      </c>
      <c r="F14" t="s">
        <v>40</v>
      </c>
      <c r="G14">
        <v>0.90500000000000003</v>
      </c>
      <c r="H14">
        <v>179</v>
      </c>
      <c r="I14">
        <v>162</v>
      </c>
      <c r="J14">
        <v>93</v>
      </c>
      <c r="K14" t="s">
        <v>41</v>
      </c>
      <c r="L14" s="2">
        <v>45981</v>
      </c>
      <c r="M14">
        <v>14</v>
      </c>
      <c r="N14">
        <v>7</v>
      </c>
      <c r="O14">
        <v>44</v>
      </c>
      <c r="P14" t="s">
        <v>68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5</v>
      </c>
      <c r="AA14">
        <v>1</v>
      </c>
      <c r="AB14">
        <v>3</v>
      </c>
      <c r="AC14">
        <v>34</v>
      </c>
      <c r="AD14">
        <v>10</v>
      </c>
      <c r="AE14">
        <v>10</v>
      </c>
      <c r="AF14">
        <v>5</v>
      </c>
      <c r="AG14">
        <v>0</v>
      </c>
      <c r="AH14">
        <v>0</v>
      </c>
      <c r="AI14">
        <v>93</v>
      </c>
      <c r="AJ14">
        <v>0</v>
      </c>
    </row>
    <row r="15" spans="1:36" x14ac:dyDescent="0.3">
      <c r="A15" t="s">
        <v>63</v>
      </c>
      <c r="B15" s="2">
        <v>45985</v>
      </c>
      <c r="C15" t="s">
        <v>69</v>
      </c>
      <c r="D15" t="s">
        <v>70</v>
      </c>
      <c r="E15" t="s">
        <v>39</v>
      </c>
      <c r="F15" t="s">
        <v>40</v>
      </c>
      <c r="G15">
        <v>0.43020000000000003</v>
      </c>
      <c r="H15">
        <v>179</v>
      </c>
      <c r="I15">
        <v>77</v>
      </c>
      <c r="J15">
        <v>0</v>
      </c>
      <c r="K15" t="s">
        <v>41</v>
      </c>
      <c r="L15" s="2">
        <v>45981</v>
      </c>
      <c r="M15">
        <v>8</v>
      </c>
      <c r="N15">
        <v>6</v>
      </c>
      <c r="O15">
        <v>50</v>
      </c>
      <c r="P15" t="s">
        <v>71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</v>
      </c>
      <c r="AA15">
        <v>0</v>
      </c>
      <c r="AB15">
        <v>5</v>
      </c>
      <c r="AC15">
        <v>24</v>
      </c>
      <c r="AD15">
        <v>25</v>
      </c>
      <c r="AE15">
        <v>10</v>
      </c>
      <c r="AF15">
        <v>10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72</v>
      </c>
      <c r="B16" s="2">
        <v>45986</v>
      </c>
      <c r="C16" t="s">
        <v>53</v>
      </c>
      <c r="D16" t="s">
        <v>73</v>
      </c>
      <c r="E16" t="s">
        <v>39</v>
      </c>
      <c r="F16" t="s">
        <v>40</v>
      </c>
      <c r="G16">
        <v>0.68159999999999998</v>
      </c>
      <c r="H16">
        <v>179</v>
      </c>
      <c r="I16">
        <v>122</v>
      </c>
      <c r="J16">
        <v>86</v>
      </c>
      <c r="K16" t="s">
        <v>41</v>
      </c>
      <c r="L16" s="2">
        <v>45981</v>
      </c>
      <c r="M16">
        <v>2</v>
      </c>
      <c r="N16">
        <v>2</v>
      </c>
      <c r="O16">
        <v>26</v>
      </c>
      <c r="P16" t="s">
        <v>74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4</v>
      </c>
      <c r="AD16">
        <v>5</v>
      </c>
      <c r="AE16">
        <v>10</v>
      </c>
      <c r="AF16">
        <v>15</v>
      </c>
      <c r="AG16">
        <v>0</v>
      </c>
      <c r="AH16">
        <v>0</v>
      </c>
      <c r="AI16">
        <v>86</v>
      </c>
      <c r="AJ16">
        <v>0</v>
      </c>
    </row>
    <row r="17" spans="1:36" x14ac:dyDescent="0.3">
      <c r="A17" t="s">
        <v>72</v>
      </c>
      <c r="B17" s="2">
        <v>45986</v>
      </c>
      <c r="C17" t="s">
        <v>57</v>
      </c>
      <c r="D17" t="s">
        <v>75</v>
      </c>
      <c r="E17" t="s">
        <v>39</v>
      </c>
      <c r="F17" t="s">
        <v>40</v>
      </c>
      <c r="G17">
        <v>0.91059999999999997</v>
      </c>
      <c r="H17">
        <v>179</v>
      </c>
      <c r="I17">
        <v>163</v>
      </c>
      <c r="J17">
        <v>116</v>
      </c>
      <c r="K17" t="s">
        <v>41</v>
      </c>
      <c r="L17" s="2">
        <v>45980</v>
      </c>
      <c r="M17">
        <v>0</v>
      </c>
      <c r="N17">
        <v>3</v>
      </c>
      <c r="O17">
        <v>23</v>
      </c>
      <c r="P17" t="s">
        <v>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2</v>
      </c>
      <c r="AB17">
        <v>0</v>
      </c>
      <c r="AC17">
        <v>4</v>
      </c>
      <c r="AD17">
        <v>16</v>
      </c>
      <c r="AE17">
        <v>15</v>
      </c>
      <c r="AF17">
        <v>9</v>
      </c>
      <c r="AG17">
        <v>0</v>
      </c>
      <c r="AH17">
        <v>0</v>
      </c>
      <c r="AI17">
        <v>116</v>
      </c>
      <c r="AJ17">
        <v>0</v>
      </c>
    </row>
    <row r="18" spans="1:36" x14ac:dyDescent="0.3">
      <c r="A18" t="s">
        <v>72</v>
      </c>
      <c r="B18" s="2">
        <v>45986</v>
      </c>
      <c r="C18" t="s">
        <v>77</v>
      </c>
      <c r="D18" t="s">
        <v>78</v>
      </c>
      <c r="E18" t="s">
        <v>39</v>
      </c>
      <c r="F18" t="s">
        <v>40</v>
      </c>
      <c r="G18">
        <v>0.35749999999999998</v>
      </c>
      <c r="H18">
        <v>179</v>
      </c>
      <c r="I18">
        <v>64</v>
      </c>
      <c r="J18">
        <v>0</v>
      </c>
      <c r="K18" t="s">
        <v>41</v>
      </c>
      <c r="L18" s="2">
        <v>45981</v>
      </c>
      <c r="M18">
        <v>9</v>
      </c>
      <c r="N18">
        <v>1</v>
      </c>
      <c r="O18">
        <v>47</v>
      </c>
      <c r="P18" t="s">
        <v>74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</v>
      </c>
      <c r="AA18">
        <v>0</v>
      </c>
      <c r="AB18">
        <v>0</v>
      </c>
      <c r="AC18">
        <v>3</v>
      </c>
      <c r="AD18">
        <v>10</v>
      </c>
      <c r="AE18">
        <v>13</v>
      </c>
      <c r="AF18">
        <v>30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72</v>
      </c>
      <c r="B19" s="2">
        <v>45986</v>
      </c>
      <c r="C19" t="s">
        <v>43</v>
      </c>
      <c r="D19" t="s">
        <v>79</v>
      </c>
      <c r="E19" t="s">
        <v>39</v>
      </c>
      <c r="F19" t="s">
        <v>40</v>
      </c>
      <c r="G19">
        <v>0.58660000000000001</v>
      </c>
      <c r="H19">
        <v>179</v>
      </c>
      <c r="I19">
        <v>105</v>
      </c>
      <c r="J19">
        <v>46</v>
      </c>
      <c r="K19" t="s">
        <v>41</v>
      </c>
      <c r="L19" s="2">
        <v>45981</v>
      </c>
      <c r="M19">
        <v>5</v>
      </c>
      <c r="N19">
        <v>7</v>
      </c>
      <c r="O19">
        <v>36</v>
      </c>
      <c r="P19" t="s">
        <v>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10</v>
      </c>
      <c r="AE19">
        <v>18</v>
      </c>
      <c r="AF19">
        <v>30</v>
      </c>
      <c r="AG19">
        <v>0</v>
      </c>
      <c r="AH19">
        <v>0</v>
      </c>
      <c r="AI19">
        <v>46</v>
      </c>
      <c r="AJ19">
        <v>0</v>
      </c>
    </row>
    <row r="20" spans="1:36" x14ac:dyDescent="0.3">
      <c r="A20" t="s">
        <v>72</v>
      </c>
      <c r="B20" s="2">
        <v>45986</v>
      </c>
      <c r="C20" t="s">
        <v>46</v>
      </c>
      <c r="D20" t="s">
        <v>67</v>
      </c>
      <c r="E20" t="s">
        <v>39</v>
      </c>
      <c r="F20" t="s">
        <v>40</v>
      </c>
      <c r="G20">
        <v>0.83799999999999997</v>
      </c>
      <c r="H20">
        <v>179</v>
      </c>
      <c r="I20">
        <v>150</v>
      </c>
      <c r="J20">
        <v>82</v>
      </c>
      <c r="K20" t="s">
        <v>41</v>
      </c>
      <c r="L20" s="2">
        <v>45981</v>
      </c>
      <c r="M20">
        <v>14</v>
      </c>
      <c r="N20">
        <v>3</v>
      </c>
      <c r="O20">
        <v>39</v>
      </c>
      <c r="P20" t="s">
        <v>80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5</v>
      </c>
      <c r="AA20">
        <v>0</v>
      </c>
      <c r="AB20">
        <v>0</v>
      </c>
      <c r="AC20">
        <v>7</v>
      </c>
      <c r="AD20">
        <v>13</v>
      </c>
      <c r="AE20">
        <v>28</v>
      </c>
      <c r="AF20">
        <v>15</v>
      </c>
      <c r="AG20">
        <v>0</v>
      </c>
      <c r="AH20">
        <v>0</v>
      </c>
      <c r="AI20">
        <v>82</v>
      </c>
      <c r="AJ20">
        <v>0</v>
      </c>
    </row>
    <row r="21" spans="1:36" x14ac:dyDescent="0.3">
      <c r="A21" t="s">
        <v>72</v>
      </c>
      <c r="B21" s="2">
        <v>45986</v>
      </c>
      <c r="C21" t="s">
        <v>69</v>
      </c>
      <c r="D21" t="s">
        <v>81</v>
      </c>
      <c r="E21" t="s">
        <v>39</v>
      </c>
      <c r="F21" t="s">
        <v>40</v>
      </c>
      <c r="G21">
        <v>0.9385</v>
      </c>
      <c r="H21">
        <v>179</v>
      </c>
      <c r="I21">
        <v>168</v>
      </c>
      <c r="J21">
        <v>117</v>
      </c>
      <c r="K21" t="s">
        <v>41</v>
      </c>
      <c r="L21" s="2">
        <v>45979</v>
      </c>
      <c r="M21">
        <v>0</v>
      </c>
      <c r="N21">
        <v>0</v>
      </c>
      <c r="O21">
        <v>27</v>
      </c>
      <c r="P21" t="s">
        <v>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1</v>
      </c>
      <c r="AD21">
        <v>15</v>
      </c>
      <c r="AE21">
        <v>15</v>
      </c>
      <c r="AF21">
        <v>15</v>
      </c>
      <c r="AG21">
        <v>0</v>
      </c>
      <c r="AH21">
        <v>0</v>
      </c>
      <c r="AI21">
        <v>117</v>
      </c>
      <c r="AJ21">
        <v>3</v>
      </c>
    </row>
    <row r="22" spans="1:36" x14ac:dyDescent="0.3">
      <c r="A22" t="s">
        <v>72</v>
      </c>
      <c r="B22" s="2">
        <v>45986</v>
      </c>
      <c r="C22" t="s">
        <v>82</v>
      </c>
      <c r="D22" t="s">
        <v>83</v>
      </c>
      <c r="E22" t="s">
        <v>51</v>
      </c>
      <c r="F22" t="s">
        <v>40</v>
      </c>
      <c r="G22">
        <v>0.53569999999999995</v>
      </c>
      <c r="H22">
        <v>168</v>
      </c>
      <c r="I22">
        <v>90</v>
      </c>
      <c r="J22">
        <v>0</v>
      </c>
      <c r="K22" t="s">
        <v>41</v>
      </c>
      <c r="L22" s="2">
        <v>45981</v>
      </c>
      <c r="M22">
        <v>5</v>
      </c>
      <c r="N22">
        <v>0</v>
      </c>
      <c r="O22">
        <v>29</v>
      </c>
      <c r="P22" t="s">
        <v>84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15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72</v>
      </c>
      <c r="B23" s="2">
        <v>45986</v>
      </c>
      <c r="C23" t="s">
        <v>49</v>
      </c>
      <c r="D23" t="s">
        <v>64</v>
      </c>
      <c r="E23" t="s">
        <v>51</v>
      </c>
      <c r="F23" t="s">
        <v>40</v>
      </c>
      <c r="G23">
        <v>1</v>
      </c>
      <c r="H23">
        <v>179</v>
      </c>
      <c r="I23">
        <v>179</v>
      </c>
      <c r="J23">
        <v>123</v>
      </c>
      <c r="K23" t="s">
        <v>41</v>
      </c>
      <c r="L23" s="2">
        <v>45980</v>
      </c>
      <c r="M23">
        <v>0</v>
      </c>
      <c r="N23">
        <v>1</v>
      </c>
      <c r="O23">
        <v>9</v>
      </c>
      <c r="P23" t="s">
        <v>45</v>
      </c>
      <c r="Q23">
        <v>0</v>
      </c>
      <c r="R23">
        <v>0</v>
      </c>
      <c r="S23">
        <v>0</v>
      </c>
      <c r="T23">
        <v>0</v>
      </c>
      <c r="U23">
        <v>2</v>
      </c>
      <c r="V23">
        <v>5</v>
      </c>
      <c r="W23">
        <v>4</v>
      </c>
      <c r="X23">
        <v>0</v>
      </c>
      <c r="Y23">
        <v>0</v>
      </c>
      <c r="Z23">
        <v>11</v>
      </c>
      <c r="AA23">
        <v>0</v>
      </c>
      <c r="AB23">
        <v>0</v>
      </c>
      <c r="AC23">
        <v>3</v>
      </c>
      <c r="AD23">
        <v>5</v>
      </c>
      <c r="AE23">
        <v>9</v>
      </c>
      <c r="AF23">
        <v>17</v>
      </c>
      <c r="AG23">
        <v>0</v>
      </c>
      <c r="AH23">
        <v>0</v>
      </c>
      <c r="AI23">
        <v>123</v>
      </c>
      <c r="AJ23">
        <v>0</v>
      </c>
    </row>
    <row r="24" spans="1:36" x14ac:dyDescent="0.3">
      <c r="A24" t="s">
        <v>72</v>
      </c>
      <c r="B24" s="2">
        <v>45986</v>
      </c>
      <c r="C24" t="s">
        <v>85</v>
      </c>
      <c r="D24" t="s">
        <v>86</v>
      </c>
      <c r="E24" t="s">
        <v>51</v>
      </c>
      <c r="F24" t="s">
        <v>40</v>
      </c>
      <c r="G24">
        <v>0.91059999999999997</v>
      </c>
      <c r="H24">
        <v>179</v>
      </c>
      <c r="I24">
        <v>163</v>
      </c>
      <c r="J24">
        <v>158</v>
      </c>
      <c r="K24" t="s">
        <v>41</v>
      </c>
      <c r="L24" s="2">
        <v>45965</v>
      </c>
      <c r="M24">
        <v>0</v>
      </c>
      <c r="N24">
        <v>0</v>
      </c>
      <c r="O24">
        <v>0</v>
      </c>
      <c r="P24" t="s">
        <v>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</v>
      </c>
      <c r="AG24">
        <v>44</v>
      </c>
      <c r="AH24">
        <v>0</v>
      </c>
      <c r="AI24">
        <v>114</v>
      </c>
      <c r="AJ24">
        <v>0</v>
      </c>
    </row>
    <row r="25" spans="1:36" ht="18" x14ac:dyDescent="0.35">
      <c r="A25" s="3" t="s">
        <v>88</v>
      </c>
      <c r="B25" s="4"/>
      <c r="C25" s="3">
        <f>SUBTOTAL(103,LF_ALL_ROUTES[Flt])</f>
        <v>23</v>
      </c>
      <c r="D25" s="3"/>
      <c r="E25" s="3">
        <f>SUBTOTAL(103,LF_ALL_ROUTES[Brd-Off])</f>
        <v>23</v>
      </c>
      <c r="F25" s="3"/>
      <c r="G25" s="5">
        <f>SUBTOTAL(101,LF_ALL_ROUTES[LF%])</f>
        <v>0.82506956521739105</v>
      </c>
      <c r="H25" s="3"/>
      <c r="I25" s="3"/>
      <c r="J25" s="3"/>
      <c r="K25" s="3"/>
      <c r="L25" s="4"/>
      <c r="M25" s="3"/>
      <c r="N25" s="3"/>
      <c r="O25" s="3"/>
      <c r="P25" s="3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f>SUBTOTAL(109,LF_ALL_ROUTES[N])</f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2025-11-20T20:41:57Z</dcterms:created>
  <dcterms:modified xsi:type="dcterms:W3CDTF">2025-11-20T20:41:58Z</dcterms:modified>
</cp:coreProperties>
</file>