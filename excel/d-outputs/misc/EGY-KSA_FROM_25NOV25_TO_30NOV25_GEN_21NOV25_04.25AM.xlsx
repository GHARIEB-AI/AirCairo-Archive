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6D231F0D-8AC1-4C98-AEC4-EEF3BDA359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JED" sheetId="1" r:id="rId1"/>
    <sheet name="CAI-JED LF LEGACY" sheetId="2" r:id="rId2"/>
    <sheet name="CAI-JED - FOCUS MODE" sheetId="3" r:id="rId3"/>
    <sheet name="CAI-JED - OAL Threats Alert" sheetId="4" r:id="rId4"/>
    <sheet name="HBE-JED" sheetId="5" r:id="rId5"/>
    <sheet name="HBE-JED LF LEGACY" sheetId="6" r:id="rId6"/>
    <sheet name="HBE-JED - FOCUS MODE" sheetId="7" r:id="rId7"/>
    <sheet name="ATZ-JED" sheetId="8" r:id="rId8"/>
    <sheet name="ATZ-JED LF LEGACY" sheetId="9" r:id="rId9"/>
    <sheet name="ATZ-JED - FOCUS MOD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9" l="1"/>
  <c r="E14" i="9"/>
  <c r="G14" i="9"/>
  <c r="H14" i="9"/>
  <c r="I14" i="9"/>
  <c r="J14" i="9"/>
  <c r="M14" i="9"/>
  <c r="N14" i="9"/>
  <c r="O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C12" i="6"/>
  <c r="E12" i="6"/>
  <c r="G12" i="6"/>
  <c r="H12" i="6"/>
  <c r="I12" i="6"/>
  <c r="J12" i="6"/>
  <c r="M12" i="6"/>
  <c r="N12" i="6"/>
  <c r="O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C33" i="2"/>
  <c r="E33" i="2"/>
  <c r="G33" i="2"/>
  <c r="H33" i="2"/>
  <c r="I33" i="2"/>
  <c r="J33" i="2"/>
  <c r="M33" i="2"/>
  <c r="N33" i="2"/>
  <c r="O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23C6DC2D-F6EB-46C4-A2AE-48635C352A2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SM477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S7 &amp; W11 &amp; T12 &amp; X10 &amp; U12 &amp; O22 &amp; I10 &amp; P95</t>
        </r>
      </text>
    </comment>
    <comment ref="F5" authorId="0" shapeId="0" xr:uid="{E5DFAEAA-489C-41F5-AD2A-751B15D1FAE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SM471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10]_x000D_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G9 &amp; S10 &amp; W12 &amp; T9 &amp; X28 &amp; U12 &amp; O11 &amp; I21 &amp; P45</t>
        </r>
      </text>
    </comment>
    <comment ref="F6" authorId="0" shapeId="0" xr:uid="{8BF65361-3F5C-4008-8C59-FCC4C773BAE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SM475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G9 &amp; S27 &amp; W12 &amp; T19 &amp; X21 &amp; U29 &amp; O11 &amp; I10 &amp; P2 &amp; N1</t>
        </r>
      </text>
    </comment>
    <comment ref="F82" authorId="0" shapeId="0" xr:uid="{2E36B2F2-B9A4-4738-8F16-689F18B7EF5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SM479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T1 &amp; X9 &amp; U10 &amp; O10 &amp; I5 &amp; P139 &amp; N3</t>
        </r>
      </text>
    </comment>
    <comment ref="F83" authorId="0" shapeId="0" xr:uid="{455A3F71-7623-45A4-8D35-391A4338F87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SM459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S11 &amp; U14 &amp; O22 &amp; I10 &amp; E40 &amp; P80</t>
        </r>
      </text>
    </comment>
    <comment ref="F84" authorId="0" shapeId="0" xr:uid="{A2F2C6BE-1B71-4150-AF3E-DE2CF125749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W2 &amp; T11 &amp; X11 &amp; U17 &amp; O23 &amp; I20 &amp; P90</t>
        </r>
      </text>
    </comment>
    <comment ref="F85" authorId="0" shapeId="0" xr:uid="{DC991C8B-C817-4466-903D-FA841E460A1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SM475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G2 &amp; S17 &amp; W18 &amp; T18 &amp; X18 &amp; U18 &amp; O18 &amp; I18 &amp; P51</t>
        </r>
      </text>
    </comment>
    <comment ref="F96" authorId="0" shapeId="0" xr:uid="{C91E8812-5A8D-4AC2-A532-F384D030945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SM471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L2 &amp; G28 &amp; S33 &amp; W18 &amp; T24 &amp; X10 &amp; U11 &amp; O9 &amp; I10</t>
        </r>
      </text>
    </comment>
    <comment ref="F162" authorId="0" shapeId="0" xr:uid="{216BB52D-C643-4ACD-AFB7-4F6F71F2FA6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W3 &amp; T11 &amp; X19 &amp; U17 &amp; O18 &amp; I18 &amp; P90</t>
        </r>
      </text>
    </comment>
    <comment ref="F163" authorId="0" shapeId="0" xr:uid="{EAD00B92-3720-40FE-818E-DB3586206B6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SM459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T12 &amp; X21 &amp; U18 &amp; O18 &amp; I18 &amp; P90 &amp; N3</t>
        </r>
      </text>
    </comment>
    <comment ref="F164" authorId="0" shapeId="0" xr:uid="{086A77DF-5D19-4601-A475-31FFE2CBE65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SM477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W6 &amp; T10 &amp; X12 &amp; U12 &amp; O11 &amp; I11 &amp; P114</t>
        </r>
      </text>
    </comment>
    <comment ref="F165" authorId="0" shapeId="0" xr:uid="{C3DEBCC1-98B2-4844-8FFE-EC600BFFA10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SM449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G14 &amp; S28 &amp; W22 &amp; T20 &amp; X19 &amp; U12 &amp; O11 &amp; I21</t>
        </r>
      </text>
    </comment>
    <comment ref="F169" authorId="0" shapeId="0" xr:uid="{EAF3B310-25D4-409B-98B0-2725020C6F1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SM431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G13 &amp; S46 &amp; W9 &amp; T20 &amp; X5 &amp; U5 &amp; O5 &amp; I5 &amp; P45</t>
        </r>
      </text>
    </comment>
    <comment ref="F177" authorId="0" shapeId="0" xr:uid="{01102143-5AE6-45BF-ABD3-FCD059DE0FE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L9]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K6 &amp; V21 &amp; L9 &amp; G11 &amp; S22 &amp; W12 &amp; T9 &amp; X12 &amp; U21 &amp; O11 &amp; I10 &amp; N4</t>
        </r>
      </text>
    </comment>
    <comment ref="F223" authorId="0" shapeId="0" xr:uid="{5ED1ED33-A1B6-4821-8CB2-7B94D6DBDE9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SM475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10]_x000D_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L3 &amp; G11 &amp; S21 &amp; W9 &amp; T9 &amp; X23 &amp; U12 &amp; O5 &amp; I21 &amp; P65</t>
        </r>
      </text>
    </comment>
    <comment ref="F224" authorId="0" shapeId="0" xr:uid="{664C392C-D797-48EE-9362-71EEEF83000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SM477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30-OCT]_x000D_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 &amp; U12 &amp; O11 &amp; I21 &amp; P135</t>
        </r>
      </text>
    </comment>
    <comment ref="F225" authorId="0" shapeId="0" xr:uid="{7FD4D6D9-4362-4198-9A42-B9289EBA134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SM479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14-NOV]_x000D_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K3 &amp; L5 &amp; S3 &amp; W2 &amp; T3 &amp; X13 &amp; U6 &amp; O4 &amp; I5 &amp; P135</t>
        </r>
      </text>
    </comment>
    <comment ref="F230" authorId="0" shapeId="0" xr:uid="{E7F46BC0-D6E7-4DE4-A38C-8306C34BCF6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SM471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18]_x000D_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L1]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K7 &amp; V15 &amp; L36 &amp; G11 &amp; S11 &amp; W11 &amp; T10 &amp; X22 &amp; U11 &amp; O11 &amp; I10</t>
        </r>
      </text>
    </comment>
    <comment ref="F231" authorId="0" shapeId="0" xr:uid="{E7394C19-6E2E-4096-AE5F-2EABCC41A42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SM477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20]_x000D_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L9]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V4 &amp; L24 &amp; G37 &amp; S11 &amp; W11 &amp; T11 &amp; X11 &amp; U12 &amp; O22 &amp; I10</t>
        </r>
      </text>
    </comment>
    <comment ref="F232" authorId="0" shapeId="0" xr:uid="{C7B762F5-3151-473F-BD17-1A48A88DC33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SM479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L2]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K3 &amp; V16 &amp; L30 &amp; G8 &amp; S9 &amp; W9 &amp; T9 &amp; X9 &amp; U8 &amp; O8 &amp; I17 &amp; P45</t>
        </r>
      </text>
    </comment>
    <comment ref="F242" authorId="0" shapeId="0" xr:uid="{CA8911FD-76CB-4EA2-B189-E5B11DF7AEB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SM459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K2]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K24 &amp; V29 &amp; L26 &amp; G10 &amp; S12 &amp; W21 &amp; T13 &amp; X9 &amp; U12 &amp; O11 &amp; I10</t>
        </r>
      </text>
    </comment>
    <comment ref="F305" authorId="0" shapeId="0" xr:uid="{2A3A6DE1-D7FA-46EA-B624-D28534EAD61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SM475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K9 &amp; V11 &amp; L24 &amp; G11 &amp; S14 &amp; W11 &amp; T9 &amp; X11 &amp; U23 &amp; O11 &amp; I10 &amp; P35 &amp; N1</t>
        </r>
      </text>
    </comment>
    <comment ref="F362" authorId="0" shapeId="0" xr:uid="{639F0CD7-ECFB-4C72-894F-034A59B9046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10]_x000D_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M1]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H4 &amp; Q10 &amp; K13 &amp; V20 &amp; L18 &amp; G16 &amp; S21 &amp; W12 &amp; T11 &amp; X11 &amp; U12 &amp; O11 &amp; I10 &amp; N3</t>
        </r>
      </text>
    </comment>
    <comment ref="F386" authorId="0" shapeId="0" xr:uid="{AA7A0320-A5C6-4B03-AA70-D0EB7564BF8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SM449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V1 &amp; G15 &amp; S21 &amp; W20 &amp; T42 &amp; X9 &amp; U12 &amp; O11 &amp; I10 &amp; P45</t>
        </r>
      </text>
    </comment>
    <comment ref="F387" authorId="0" shapeId="0" xr:uid="{F42E3229-9E49-4F6E-9FBD-BF55092C1EE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SM475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G5 &amp; X7 &amp; U11 &amp; O11 &amp; I10 &amp; P135 &amp; N1</t>
        </r>
      </text>
    </comment>
    <comment ref="F388" authorId="0" shapeId="0" xr:uid="{054CB95D-5753-43CC-8403-AEB36FB2906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SM477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Y3 &amp; K8 &amp; V9 &amp; L15 &amp; G9 &amp; S10 &amp; W18 &amp; T9 &amp; X9 &amp; P90</t>
        </r>
      </text>
    </comment>
    <comment ref="F401" authorId="0" shapeId="0" xr:uid="{4ABFE490-6832-46CE-B2A9-F8DFAC3D646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SM431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V5 &amp; L9 &amp; G28 &amp; S12 &amp; W9 &amp; T10 &amp; X4 &amp; U5 &amp; O5 &amp; I5 &amp; E40 &amp; P46</t>
        </r>
      </text>
    </comment>
    <comment ref="F402" authorId="0" shapeId="0" xr:uid="{82CCABAF-AF9D-41BE-A0B5-B954234B1F6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SM479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8]_x000D_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V5 &amp; L10 &amp; G17 &amp; S11 &amp; W7 &amp; T9 &amp; X9 &amp; U5 &amp; O5 &amp; I5 &amp; P90</t>
        </r>
      </text>
    </comment>
    <comment ref="F451" authorId="0" shapeId="0" xr:uid="{E8A5C51D-5DA7-4A4E-BED7-9928E1E27AE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SM475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05-NOV]_x000D_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G2 &amp; S10 &amp; W12 &amp; T11 &amp; X11 &amp; U23 &amp; O11 &amp; I10 &amp; P90</t>
        </r>
      </text>
    </comment>
    <comment ref="F452" authorId="0" shapeId="0" xr:uid="{10864AE1-2B1D-45CE-AB2D-42319870E2C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SM459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G7 &amp; S10 &amp; W11 &amp; T10 &amp; X10 &amp; U12 &amp; O22 &amp; I10 &amp; P89</t>
        </r>
      </text>
    </comment>
    <comment ref="F453" authorId="0" shapeId="0" xr:uid="{465E946D-56F7-4335-BDE7-BB24A438A80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SM477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L9 &amp; G21 &amp; S19 &amp; W10 &amp; T10 &amp; X20 &amp; P90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11" authorId="0" shapeId="0" xr:uid="{F371A92E-3F68-4AEB-B175-6171ACEC3A3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SM451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31-OCT]_x000D_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X5 &amp; U4 &amp; O5 &amp; I5 &amp; P161</t>
        </r>
      </text>
    </comment>
    <comment ref="F23" authorId="0" shapeId="0" xr:uid="{983140F6-F99C-45DF-9501-13BDE4F38ED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SM451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K1 &amp; S3 &amp; W9 &amp; T19 &amp; X17 &amp; P130</t>
        </r>
      </text>
    </comment>
    <comment ref="F24" authorId="0" shapeId="0" xr:uid="{EA24F1C9-655E-42F9-B82F-2062C8BC65E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SM457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T9 &amp; X9 &amp; U9 &amp; O9 &amp; I9 &amp; P135</t>
        </r>
      </text>
    </comment>
    <comment ref="F25" authorId="0" shapeId="0" xr:uid="{925DEFF9-9E47-460D-A746-48C59F82DF2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T4 &amp; X9 &amp; P166</t>
        </r>
      </text>
    </comment>
    <comment ref="F44" authorId="0" shapeId="0" xr:uid="{90EC97B9-1DC4-4316-B8F5-80EFB5F0282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SM451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S13 &amp; W10 &amp; T5 &amp; X5 &amp; U5 &amp; O5 &amp; I5 &amp; P126 &amp; N5</t>
        </r>
      </text>
    </comment>
    <comment ref="F57" authorId="0" shapeId="0" xr:uid="{D8E09D16-90FF-496A-96BA-F8CED173712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SM451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19]_x000D_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G5 &amp; S28 &amp; W28 &amp; T33 &amp; X18 &amp; N2</t>
        </r>
      </text>
    </comment>
    <comment ref="F76" authorId="0" shapeId="0" xr:uid="{FCD873F4-9F2F-45A9-9142-F33E23FB1DB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SM451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8]_x000D_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K2]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K2 &amp; V9 &amp; L11 &amp; G7 &amp; S18 &amp; W18 &amp; T9 &amp; X9 &amp; P95</t>
        </r>
      </text>
    </comment>
    <comment ref="F82" authorId="0" shapeId="0" xr:uid="{F60384D8-3F9E-4563-852F-C942705013C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SM457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15-NOV]_x000D_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L2 &amp; S8 &amp; W17 &amp; T9 &amp; X9 &amp; P135</t>
        </r>
      </text>
    </comment>
    <comment ref="F98" authorId="0" shapeId="0" xr:uid="{2CB03AA6-474C-4341-B0F3-B0DB48C7A8D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SM451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G5 &amp; S11 &amp; W4 &amp; T5 &amp; X5 &amp; U5 &amp; O5 &amp; I4 &amp; P135</t>
        </r>
      </text>
    </comment>
    <comment ref="F99" authorId="0" shapeId="0" xr:uid="{AF5F767E-2986-440B-B518-A3E9DCC37D1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SM457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G6 &amp; S3 &amp; W1 &amp; T18 &amp; X17 &amp;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3E84658F-373F-4325-98A4-CE4000D0147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W11 &amp; T4 &amp; X10 &amp; U17 &amp; O30 &amp; I10 &amp; P45</t>
        </r>
      </text>
    </comment>
    <comment ref="F3" authorId="0" shapeId="0" xr:uid="{B0F2FDD7-6EFE-4A55-A873-CC528527D08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SM455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G2 &amp; S10 &amp; W12 &amp; T10 &amp; X11 &amp; U41 &amp; O10 &amp; I2 &amp; P50</t>
        </r>
      </text>
    </comment>
    <comment ref="F19" authorId="0" shapeId="0" xr:uid="{3B67E33D-1160-4B90-89B3-72105CD2CCF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SM491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G4 &amp; X3 &amp; U15 &amp; O10 &amp; I12 &amp; P134</t>
        </r>
      </text>
    </comment>
    <comment ref="F22" authorId="0" shapeId="0" xr:uid="{DC2DC372-B85E-4DFC-826F-0E6DBBE6C8F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05-SEP]_x000D_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E45 &amp; P135</t>
        </r>
      </text>
    </comment>
    <comment ref="F23" authorId="0" shapeId="0" xr:uid="{6BCE85AF-F59D-4437-9DBA-4F724C9609F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SM421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W2 &amp; X12 &amp; U21 &amp; O18 &amp; I16 &amp; P109</t>
        </r>
      </text>
    </comment>
    <comment ref="F35" authorId="0" shapeId="0" xr:uid="{67C0D11E-7485-43CA-A834-45704840F54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SM453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W1 &amp; T9 &amp; X19 &amp; U5 &amp; O3 &amp; I2 &amp; P135</t>
        </r>
      </text>
    </comment>
    <comment ref="F36" authorId="0" shapeId="0" xr:uid="{27708787-800E-4416-B419-E444941F099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SM455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10]_x000D_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W15 &amp; T15 &amp; X25 &amp; O2 &amp; I1 &amp; P95</t>
        </r>
      </text>
    </comment>
    <comment ref="F49" authorId="0" shapeId="0" xr:uid="{7329D319-012A-489B-9287-902C711F7A8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SM491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S6 &amp; W9 &amp; T12 &amp; X46 &amp; U1 &amp; O1</t>
        </r>
      </text>
    </comment>
    <comment ref="F61" authorId="0" shapeId="0" xr:uid="{CF3ABCC3-1829-4917-B0FF-841B20712E0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SM491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Y1 &amp; S15 &amp; W11 &amp; T5 &amp; X4 &amp; P85</t>
        </r>
      </text>
    </comment>
    <comment ref="F62" authorId="0" shapeId="0" xr:uid="{2E622762-3E41-4CD1-A248-76A1A22FF4F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SM455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Y2 &amp; G17 &amp; S19 &amp; W25 &amp; T2 &amp; X11 &amp; P90</t>
        </r>
      </text>
    </comment>
    <comment ref="F77" authorId="0" shapeId="0" xr:uid="{27946F76-4C07-45A8-A643-FE9DFD6DFA9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SM455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18]_x000D_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Y1 &amp; W11 &amp; T16 &amp; X14 &amp; U20 &amp; P45</t>
        </r>
      </text>
    </comment>
    <comment ref="F78" authorId="0" shapeId="0" xr:uid="{0A690DD1-281B-496D-AE3C-3F002DEB75E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SM491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180]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W2 &amp; T27 &amp; X19 &amp; U22 &amp; O3 &amp; I2 &amp; E37 &amp; P45</t>
        </r>
      </text>
    </comment>
  </commentList>
</comments>
</file>

<file path=xl/sharedStrings.xml><?xml version="1.0" encoding="utf-8"?>
<sst xmlns="http://schemas.openxmlformats.org/spreadsheetml/2006/main" count="10096" uniqueCount="757">
  <si>
    <t>COMPREHENSIVE REPORT</t>
  </si>
  <si>
    <t>CAI-JED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</si>
  <si>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</si>
  <si>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</si>
  <si>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</si>
  <si>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</si>
  <si>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</si>
  <si>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</si>
  <si>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</si>
  <si>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</si>
  <si>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</si>
  <si>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</si>
  <si>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</si>
  <si>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</si>
  <si>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</si>
  <si>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</si>
  <si>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</si>
  <si>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</si>
  <si>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</si>
  <si>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</si>
  <si>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</si>
  <si>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</si>
  <si>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</si>
  <si>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</si>
  <si>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</si>
  <si>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</si>
  <si>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</si>
  <si>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SM-477</t>
  </si>
  <si>
    <t>Cabin: 7 KG | Check-in: 30 KG</t>
  </si>
  <si>
    <r>
      <rPr>
        <b/>
        <i/>
        <sz val="13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</si>
  <si>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8,170 EGP</t>
  </si>
  <si>
    <t>SM477</t>
  </si>
  <si>
    <t>W1</t>
  </si>
  <si>
    <t>S7 &amp; W11 &amp; T12 &amp; X10 &amp; U12 &amp; O22 &amp; I10 &amp; P95</t>
  </si>
  <si>
    <t>SM-471</t>
  </si>
  <si>
    <r>
      <rPr>
        <b/>
        <i/>
        <sz val="13"/>
        <rFont val="Calibri"/>
      </rPr>
      <t>1</t>
    </r>
    <r>
      <rPr>
        <b/>
        <i/>
        <sz val="10"/>
        <rFont val="Calibri"/>
      </rPr>
      <t xml:space="preserve"> FOR SAME CLASS</t>
    </r>
  </si>
  <si>
    <t>8,951 EGP</t>
  </si>
  <si>
    <t>SM471</t>
  </si>
  <si>
    <t>S1</t>
  </si>
  <si>
    <t>G9 &amp; S10 &amp; W12 &amp; T9 &amp; X28 &amp; U12 &amp; O11 &amp; I21 &amp; P45</t>
  </si>
  <si>
    <t>SM-475</t>
  </si>
  <si>
    <t>SM475</t>
  </si>
  <si>
    <t>G9 &amp; S27 &amp; W12 &amp; T19 &amp; X21 &amp; U29 &amp; O11 &amp; I10 &amp; P2 &amp; N1</t>
  </si>
  <si>
    <t>SM479</t>
  </si>
  <si>
    <t>30KG + 7KG CABIN</t>
  </si>
  <si>
    <t>FULLY BOOKED</t>
  </si>
  <si>
    <t>CLOSED</t>
  </si>
  <si>
    <t>S4 &amp; T1 &amp; X9 &amp; U10 &amp; O10 &amp; I5 &amp; P139 &amp; N3</t>
  </si>
  <si>
    <t>SM459</t>
  </si>
  <si>
    <t>S11 &amp; U14 &amp; O22 &amp; I10 &amp; E40 &amp; P80</t>
  </si>
  <si>
    <t>SM423</t>
  </si>
  <si>
    <t>S5 &amp; W2 &amp; T11 &amp; X11 &amp; U17 &amp; O23 &amp; I20 &amp; P90</t>
  </si>
  <si>
    <t>flyadeal</t>
  </si>
  <si>
    <t>F3-754</t>
  </si>
  <si>
    <t>Cabin: 0 KG | Check-in: 15 KG</t>
  </si>
  <si>
    <t>8,310 EGP</t>
  </si>
  <si>
    <t>Check-in: 15 KG</t>
  </si>
  <si>
    <r>
      <rPr>
        <i/>
        <sz val="13"/>
        <rFont val="Calibri"/>
      </rPr>
      <t>1</t>
    </r>
    <r>
      <rPr>
        <i/>
        <sz val="10"/>
        <rFont val="Calibri"/>
      </rPr>
      <t xml:space="preserve"> FOR SAME CLASS</t>
    </r>
  </si>
  <si>
    <t>Cabin: 10 KG / Check-in: 25 KG</t>
  </si>
  <si>
    <t>10,231 EGP</t>
  </si>
  <si>
    <t>Cabin: 10 KG / Check-in: 2 x 40 KG</t>
  </si>
  <si>
    <t>10,872 EGP</t>
  </si>
  <si>
    <t>F3-756</t>
  </si>
  <si>
    <r>
      <rPr>
        <b/>
        <i/>
        <sz val="13"/>
        <rFont val="Calibri"/>
      </rPr>
      <t>4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</si>
  <si>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4</t>
    </r>
    <r>
      <rPr>
        <i/>
        <sz val="10"/>
        <rFont val="Calibri"/>
      </rPr>
      <t xml:space="preserve"> FOR SAME CLASS</t>
    </r>
  </si>
  <si>
    <t>15,354 EGP</t>
  </si>
  <si>
    <t>F3-762</t>
  </si>
  <si>
    <r>
      <rPr>
        <b/>
        <i/>
        <sz val="13"/>
        <rFont val="Calibri"/>
      </rPr>
      <t>2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</si>
  <si>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2</t>
    </r>
    <r>
      <rPr>
        <i/>
        <sz val="10"/>
        <rFont val="Calibri"/>
      </rPr>
      <t xml:space="preserve"> FOR SAME CLASS</t>
    </r>
  </si>
  <si>
    <t>F3-764</t>
  </si>
  <si>
    <r>
      <rPr>
        <b/>
        <i/>
        <sz val="13"/>
        <rFont val="Calibri"/>
      </rPr>
      <t>9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</si>
  <si>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9</t>
    </r>
    <r>
      <rPr>
        <i/>
        <sz val="10"/>
        <rFont val="Calibri"/>
      </rPr>
      <t xml:space="preserve"> FOR SAME CLASS</t>
    </r>
  </si>
  <si>
    <t>Nile Air</t>
  </si>
  <si>
    <t>NP-227</t>
  </si>
  <si>
    <r>
      <rPr>
        <b/>
        <i/>
        <sz val="13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</si>
  <si>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9,002 EGP</t>
  </si>
  <si>
    <t>NP-127</t>
  </si>
  <si>
    <r>
      <rPr>
        <b/>
        <i/>
        <sz val="13"/>
        <rFont val="Calibri"/>
      </rPr>
      <t>+9</t>
    </r>
    <r>
      <rPr>
        <b/>
        <i/>
        <sz val="10"/>
        <rFont val="Calibri"/>
      </rPr>
      <t xml:space="preserve"> FOR SAME CLASS</t>
    </r>
  </si>
  <si>
    <t>9,809 EGP</t>
  </si>
  <si>
    <t>flynas</t>
  </si>
  <si>
    <t>XY-568</t>
  </si>
  <si>
    <t>Cabin: 7 KG | Check-in: 20 KG</t>
  </si>
  <si>
    <r>
      <rPr>
        <b/>
        <i/>
        <sz val="13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</si>
  <si>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9,079 EGP</t>
  </si>
  <si>
    <t>Cabin: 7 KG / Check-in: 20 KG</t>
  </si>
  <si>
    <r>
      <rPr>
        <i/>
        <sz val="13"/>
        <rFont val="Calibri"/>
      </rPr>
      <t>6</t>
    </r>
    <r>
      <rPr>
        <i/>
        <sz val="10"/>
        <rFont val="Calibri"/>
      </rPr>
      <t xml:space="preserve"> FOR SAME CLASS</t>
    </r>
  </si>
  <si>
    <t>Cabin: 7 KG / Check-in: 30 KG</t>
  </si>
  <si>
    <t>10,359 EGP</t>
  </si>
  <si>
    <t>Cabin: 7 KG / Check-in: 2 x 40 KG</t>
  </si>
  <si>
    <t>11,512 EGP</t>
  </si>
  <si>
    <t>XY-574</t>
  </si>
  <si>
    <r>
      <rPr>
        <b/>
        <i/>
        <sz val="13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</si>
  <si>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8</t>
    </r>
    <r>
      <rPr>
        <i/>
        <sz val="10"/>
        <rFont val="Calibri"/>
      </rPr>
      <t xml:space="preserve"> FOR SAME CLASS</t>
    </r>
  </si>
  <si>
    <t>XY-578</t>
  </si>
  <si>
    <t>XY-584</t>
  </si>
  <si>
    <r>
      <rPr>
        <b/>
        <i/>
        <sz val="13"/>
        <rFont val="Calibri"/>
      </rPr>
      <t>5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</si>
  <si>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5</t>
    </r>
    <r>
      <rPr>
        <i/>
        <sz val="10"/>
        <rFont val="Calibri"/>
      </rPr>
      <t xml:space="preserve"> FOR SAME CLASS</t>
    </r>
  </si>
  <si>
    <t>XY-566</t>
  </si>
  <si>
    <t>12,664 EGP</t>
  </si>
  <si>
    <t>XY-570</t>
  </si>
  <si>
    <t>XY-572</t>
  </si>
  <si>
    <t>XY-590</t>
  </si>
  <si>
    <t>Nesma Airlines</t>
  </si>
  <si>
    <t>NE-170</t>
  </si>
  <si>
    <r>
      <rPr>
        <b/>
        <i/>
        <sz val="13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</si>
  <si>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9,168 EGP</t>
  </si>
  <si>
    <t>NE-172</t>
  </si>
  <si>
    <t>10,308 EGP</t>
  </si>
  <si>
    <t>Air Arabia Egypt</t>
  </si>
  <si>
    <t>E5-361</t>
  </si>
  <si>
    <t>Cabin: 10 KG | Check-in: 30 KG</t>
  </si>
  <si>
    <r>
      <rPr>
        <b/>
        <i/>
        <sz val="13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</si>
  <si>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9,657 EGP</t>
  </si>
  <si>
    <t>Cabin: 10 KG / Check-in: 30 KG</t>
  </si>
  <si>
    <t>11,294 EGP</t>
  </si>
  <si>
    <t>Saudia</t>
  </si>
  <si>
    <t>SV-300</t>
  </si>
  <si>
    <t>Cabin: 7 KG / Check-in: 2 x 46 KG</t>
  </si>
  <si>
    <t>14,176 EGP</t>
  </si>
  <si>
    <t>SV-386</t>
  </si>
  <si>
    <r>
      <rPr>
        <b/>
        <i/>
        <sz val="13"/>
        <rFont val="Calibri"/>
      </rPr>
      <t>7</t>
    </r>
    <r>
      <rPr>
        <b/>
        <i/>
        <sz val="10"/>
        <rFont val="Calibri"/>
      </rPr>
      <t xml:space="preserve"> FOR SAME CLASS</t>
    </r>
  </si>
  <si>
    <t>SV-302</t>
  </si>
  <si>
    <t>Cabin: 7 KG | Check-in: 2 PIECE</t>
  </si>
  <si>
    <t>15,277 EGP</t>
  </si>
  <si>
    <r>
      <rPr>
        <i/>
        <sz val="13"/>
        <rFont val="Calibri"/>
      </rPr>
      <t>+9</t>
    </r>
    <r>
      <rPr>
        <i/>
        <sz val="10"/>
        <rFont val="Calibri"/>
      </rPr>
      <t xml:space="preserve"> FOR SAME CLASS</t>
    </r>
  </si>
  <si>
    <t>SV-6665</t>
  </si>
  <si>
    <t>18,120 EGP</t>
  </si>
  <si>
    <t>SV-6892</t>
  </si>
  <si>
    <t>SV-6894</t>
  </si>
  <si>
    <t>19,989 EGP</t>
  </si>
  <si>
    <t>SV-6896</t>
  </si>
  <si>
    <t>SV-308</t>
  </si>
  <si>
    <t>20,578 EGP</t>
  </si>
  <si>
    <t>SV-382</t>
  </si>
  <si>
    <r>
      <rPr>
        <b/>
        <i/>
        <sz val="13"/>
        <rFont val="Calibri"/>
      </rPr>
      <t>6</t>
    </r>
    <r>
      <rPr>
        <b/>
        <i/>
        <sz val="10"/>
        <rFont val="Calibri"/>
      </rPr>
      <t xml:space="preserve"> FOR SAME CLASS</t>
    </r>
  </si>
  <si>
    <t>SV-388</t>
  </si>
  <si>
    <r>
      <rPr>
        <i/>
        <sz val="13"/>
        <rFont val="Calibri"/>
      </rPr>
      <t>7</t>
    </r>
    <r>
      <rPr>
        <i/>
        <sz val="10"/>
        <rFont val="Calibri"/>
      </rPr>
      <t xml:space="preserve"> FOR SAME CLASS</t>
    </r>
  </si>
  <si>
    <t>SV-304</t>
  </si>
  <si>
    <t>23,844 EGP</t>
  </si>
  <si>
    <t>SV-330</t>
  </si>
  <si>
    <t>EgyptAir</t>
  </si>
  <si>
    <t>MS-663</t>
  </si>
  <si>
    <t>17,236 EGP</t>
  </si>
  <si>
    <t>MS-643</t>
  </si>
  <si>
    <t>20,745 EGP</t>
  </si>
  <si>
    <t>MS-669</t>
  </si>
  <si>
    <t>MS-673</t>
  </si>
  <si>
    <t>G2 &amp; S17 &amp; W18 &amp; T18 &amp; X18 &amp; U18 &amp; O18 &amp; I18 &amp; P51</t>
  </si>
  <si>
    <t>9,732 EGP</t>
  </si>
  <si>
    <t>G5</t>
  </si>
  <si>
    <t>L2 &amp; G28 &amp; S33 &amp; W18 &amp; T24 &amp; X10 &amp; U11 &amp; O9 &amp; I10</t>
  </si>
  <si>
    <t>S4 &amp; W3 &amp; T11 &amp; X19 &amp; U17 &amp; O18 &amp; I18 &amp; P90</t>
  </si>
  <si>
    <t>T12 &amp; X21 &amp; U18 &amp; O18 &amp; I18 &amp; P90 &amp; N3</t>
  </si>
  <si>
    <t>S3 &amp; W6 &amp; T10 &amp; X12 &amp; U12 &amp; O11 &amp; I11 &amp; P114</t>
  </si>
  <si>
    <r>
      <rPr>
        <b/>
        <i/>
        <sz val="13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</si>
  <si>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E5-327</t>
  </si>
  <si>
    <r>
      <rPr>
        <b/>
        <i/>
        <sz val="13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</si>
  <si>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9,932 EGP</t>
  </si>
  <si>
    <t>11,569 EGP</t>
  </si>
  <si>
    <t>13,023 EGP</t>
  </si>
  <si>
    <r>
      <rPr>
        <b/>
        <i/>
        <sz val="13"/>
        <rFont val="Calibri"/>
      </rPr>
      <t>3</t>
    </r>
    <r>
      <rPr>
        <b/>
        <i/>
        <sz val="10"/>
        <rFont val="Calibri"/>
      </rPr>
      <t xml:space="preserve"> FOR SAME CLASS</t>
    </r>
  </si>
  <si>
    <t>SM-449</t>
  </si>
  <si>
    <r>
      <rPr>
        <b/>
        <i/>
        <sz val="13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</si>
  <si>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SM449</t>
  </si>
  <si>
    <t>S2</t>
  </si>
  <si>
    <t>L1 &amp; G14 &amp; S28 &amp; W22 &amp; T20 &amp; X19 &amp; U12 &amp; O11 &amp; I21</t>
  </si>
  <si>
    <t>SM-431</t>
  </si>
  <si>
    <t>SM431</t>
  </si>
  <si>
    <t>G9</t>
  </si>
  <si>
    <t>G13 &amp; S46 &amp; W9 &amp; T20 &amp; X5 &amp; U5 &amp; O5 &amp; I5 &amp; P45</t>
  </si>
  <si>
    <t>SM-423</t>
  </si>
  <si>
    <t>10,513 EGP</t>
  </si>
  <si>
    <t>L9</t>
  </si>
  <si>
    <t>K6 &amp; V21 &amp; L9 &amp; G11 &amp; S22 &amp; W12 &amp; T9 &amp; X12 &amp; U21 &amp; O11 &amp; I10 &amp; N4</t>
  </si>
  <si>
    <t>L3 &amp; G11 &amp; S21 &amp; W9 &amp; T9 &amp; X23 &amp; U12 &amp; O5 &amp; I21 &amp; P65</t>
  </si>
  <si>
    <t>X1 &amp; U12 &amp; O11 &amp; I21 &amp; P135</t>
  </si>
  <si>
    <t>K3 &amp; L5 &amp; S3 &amp; W2 &amp; T3 &amp; X13 &amp; U6 &amp; O4 &amp; I5 &amp; P135</t>
  </si>
  <si>
    <t>9,591 EGP</t>
  </si>
  <si>
    <r>
      <rPr>
        <b/>
        <i/>
        <sz val="13"/>
        <rFont val="Calibri"/>
      </rPr>
      <t>10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</si>
  <si>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10</t>
    </r>
    <r>
      <rPr>
        <i/>
        <sz val="10"/>
        <rFont val="Calibri"/>
      </rPr>
      <t xml:space="preserve"> FOR SAME CLASS</t>
    </r>
  </si>
  <si>
    <t>11,230 EGP</t>
  </si>
  <si>
    <t>12,152 EGP</t>
  </si>
  <si>
    <t>10,219 EGP</t>
  </si>
  <si>
    <t>12,792 EGP</t>
  </si>
  <si>
    <t>13,945 EGP</t>
  </si>
  <si>
    <t>14,073 EGP</t>
  </si>
  <si>
    <t>16,122 EGP</t>
  </si>
  <si>
    <t>13,612 EGP</t>
  </si>
  <si>
    <t>MS-661</t>
  </si>
  <si>
    <t>MS-667</t>
  </si>
  <si>
    <t>10,199 EGP</t>
  </si>
  <si>
    <t>10,200 EGP</t>
  </si>
  <si>
    <t>11,837 EGP</t>
  </si>
  <si>
    <t>E5-321</t>
  </si>
  <si>
    <t>10,489 EGP</t>
  </si>
  <si>
    <t>12,126 EGP</t>
  </si>
  <si>
    <t>L1</t>
  </si>
  <si>
    <t>K7 &amp; V15 &amp; L36 &amp; G11 &amp; S11 &amp; W11 &amp; T10 &amp; X22 &amp; U11 &amp; O11 &amp; I10</t>
  </si>
  <si>
    <t>V4 &amp; L24 &amp; G37 &amp; S11 &amp; W11 &amp; T11 &amp; X11 &amp; U12 &amp; O22 &amp; I10</t>
  </si>
  <si>
    <t>SM-479</t>
  </si>
  <si>
    <t>L2</t>
  </si>
  <si>
    <t>K3 &amp; V16 &amp; L30 &amp; G8 &amp; S9 &amp; W9 &amp; T9 &amp; X9 &amp; U8 &amp; O8 &amp; I17 &amp; P45</t>
  </si>
  <si>
    <t>SM-459</t>
  </si>
  <si>
    <t>K2</t>
  </si>
  <si>
    <t>K24 &amp; V29 &amp; L26 &amp; G10 &amp; S12 &amp; W21 &amp; T13 &amp; X9 &amp; U12 &amp; O11 &amp; I10</t>
  </si>
  <si>
    <t>K9 &amp; V11 &amp; L24 &amp; G11 &amp; S14 &amp; W11 &amp; T9 &amp; X11 &amp; U23 &amp; O11 &amp; I10 &amp; P35 &amp; N1</t>
  </si>
  <si>
    <t>13,433 EGP</t>
  </si>
  <si>
    <t>23,037 EGP</t>
  </si>
  <si>
    <t>12,114 EGP</t>
  </si>
  <si>
    <t>14,585 EGP</t>
  </si>
  <si>
    <t>14,713 EGP</t>
  </si>
  <si>
    <t>15,994 EGP</t>
  </si>
  <si>
    <t>17,146 EGP</t>
  </si>
  <si>
    <t>13,087 EGP</t>
  </si>
  <si>
    <t>14,355 EGP</t>
  </si>
  <si>
    <t>MS-665</t>
  </si>
  <si>
    <t>MS-671</t>
  </si>
  <si>
    <t>17,287 EGP</t>
  </si>
  <si>
    <t>22,154 EGP</t>
  </si>
  <si>
    <t>10,192 EGP</t>
  </si>
  <si>
    <t>11,829 EGP</t>
  </si>
  <si>
    <t>10,695 EGP</t>
  </si>
  <si>
    <t>12,332 EGP</t>
  </si>
  <si>
    <r>
      <rPr>
        <b/>
        <i/>
        <sz val="13"/>
        <rFont val="Calibri"/>
      </rPr>
      <t>14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</si>
  <si>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14</t>
    </r>
    <r>
      <rPr>
        <i/>
        <sz val="10"/>
        <rFont val="Calibri"/>
      </rPr>
      <t xml:space="preserve"> FOR SAME CLASS</t>
    </r>
  </si>
  <si>
    <t>14,406 EGP</t>
  </si>
  <si>
    <t>15,392 EGP</t>
  </si>
  <si>
    <t>16,967 EGP</t>
  </si>
  <si>
    <t>22,256 EGP</t>
  </si>
  <si>
    <t>32,603 EGP</t>
  </si>
  <si>
    <t>17,326 EGP</t>
  </si>
  <si>
    <t>M1</t>
  </si>
  <si>
    <t>H4 &amp; Q10 &amp; K13 &amp; V20 &amp; L18 &amp; G16 &amp; S21 &amp; W12 &amp; T11 &amp; X11 &amp; U12 &amp; O11 &amp; I10 &amp; N3</t>
  </si>
  <si>
    <t>V1 &amp; G15 &amp; S21 &amp; W20 &amp; T42 &amp; X9 &amp; U12 &amp; O11 &amp; I10 &amp; P45</t>
  </si>
  <si>
    <t>G5 &amp; X7 &amp; U11 &amp; O11 &amp; I10 &amp; P135 &amp; N1</t>
  </si>
  <si>
    <t>Y3 &amp; K8 &amp; V9 &amp; L15 &amp; G9 &amp; S10 &amp; W18 &amp; T9 &amp; X9 &amp; P90</t>
  </si>
  <si>
    <r>
      <rPr>
        <b/>
        <i/>
        <sz val="13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</si>
  <si>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3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</si>
  <si>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9,017 EGP</t>
  </si>
  <si>
    <t>10,654 EGP</t>
  </si>
  <si>
    <t>9,719 EGP</t>
  </si>
  <si>
    <t>11,000 EGP</t>
  </si>
  <si>
    <r>
      <rPr>
        <i/>
        <sz val="13"/>
        <rFont val="Calibri"/>
      </rPr>
      <t>3</t>
    </r>
    <r>
      <rPr>
        <i/>
        <sz val="10"/>
        <rFont val="Calibri"/>
      </rPr>
      <t xml:space="preserve"> FOR SAME CLASS</t>
    </r>
  </si>
  <si>
    <t>13,305 EGP</t>
  </si>
  <si>
    <t>G2</t>
  </si>
  <si>
    <t>V5 &amp; L9 &amp; G28 &amp; S12 &amp; W9 &amp; T10 &amp; X4 &amp; U5 &amp; O5 &amp; I5 &amp; E40 &amp; P46</t>
  </si>
  <si>
    <t>G6</t>
  </si>
  <si>
    <t>V5 &amp; L10 &amp; G17 &amp; S11 &amp; W7 &amp; T9 &amp; X9 &amp; U5 &amp; O5 &amp; I5 &amp; P90</t>
  </si>
  <si>
    <t>G2 &amp; S10 &amp; W12 &amp; T11 &amp; X11 &amp; U23 &amp; O11 &amp; I10 &amp; P90</t>
  </si>
  <si>
    <t>G7 &amp; S10 &amp; W11 &amp; T10 &amp; X10 &amp; U12 &amp; O22 &amp; I10 &amp; P89</t>
  </si>
  <si>
    <t>L9 &amp; G21 &amp; S19 &amp; W10 &amp; T10 &amp; X20 &amp; P90</t>
  </si>
  <si>
    <t>11,960 EGP</t>
  </si>
  <si>
    <t>NE-176</t>
  </si>
  <si>
    <t>16,288 EGP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</si>
  <si>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</si>
  <si>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</si>
  <si>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</si>
  <si>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</si>
  <si>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</si>
  <si>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</si>
  <si>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</si>
  <si>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</si>
  <si>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</si>
  <si>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</si>
  <si>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</si>
  <si>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</si>
  <si>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</si>
  <si>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</si>
  <si>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</si>
  <si>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</si>
  <si>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</si>
  <si>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</si>
  <si>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</si>
  <si>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</si>
  <si>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</si>
  <si>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</si>
  <si>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</si>
  <si>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</si>
  <si>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</si>
  <si>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</si>
  <si>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</si>
  <si>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</si>
  <si>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</si>
  <si>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</si>
  <si>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01:15</t>
  </si>
  <si>
    <t>320</t>
  </si>
  <si>
    <t>UPCOMING</t>
  </si>
  <si>
    <t>S10</t>
  </si>
  <si>
    <t>W12</t>
  </si>
  <si>
    <t>T9</t>
  </si>
  <si>
    <t>X28</t>
  </si>
  <si>
    <t>U12</t>
  </si>
  <si>
    <t>O11</t>
  </si>
  <si>
    <t>I21</t>
  </si>
  <si>
    <t>P45</t>
  </si>
  <si>
    <t>09:10</t>
  </si>
  <si>
    <t>S4</t>
  </si>
  <si>
    <t>T1</t>
  </si>
  <si>
    <t>X9</t>
  </si>
  <si>
    <t>U10</t>
  </si>
  <si>
    <t>O10</t>
  </si>
  <si>
    <t>I5</t>
  </si>
  <si>
    <t>P139</t>
  </si>
  <si>
    <t>N3</t>
  </si>
  <si>
    <t>10:30</t>
  </si>
  <si>
    <t>S7</t>
  </si>
  <si>
    <t>W11</t>
  </si>
  <si>
    <t>T12</t>
  </si>
  <si>
    <t>X10</t>
  </si>
  <si>
    <t>O22</t>
  </si>
  <si>
    <t>I10</t>
  </si>
  <si>
    <t>P95</t>
  </si>
  <si>
    <t>13:15</t>
  </si>
  <si>
    <t>S11</t>
  </si>
  <si>
    <t>U14</t>
  </si>
  <si>
    <t>E40</t>
  </si>
  <si>
    <t>P80</t>
  </si>
  <si>
    <t>18:10</t>
  </si>
  <si>
    <t>S5</t>
  </si>
  <si>
    <t>W2</t>
  </si>
  <si>
    <t>T11</t>
  </si>
  <si>
    <t>X11</t>
  </si>
  <si>
    <t>U17</t>
  </si>
  <si>
    <t>O23</t>
  </si>
  <si>
    <t>I20</t>
  </si>
  <si>
    <t>P90</t>
  </si>
  <si>
    <t>19:00</t>
  </si>
  <si>
    <t>S27</t>
  </si>
  <si>
    <t>T19</t>
  </si>
  <si>
    <t>X21</t>
  </si>
  <si>
    <t>U29</t>
  </si>
  <si>
    <t>P2</t>
  </si>
  <si>
    <t>N1</t>
  </si>
  <si>
    <t>WEDNESDAY</t>
  </si>
  <si>
    <t>05:35</t>
  </si>
  <si>
    <t>W3</t>
  </si>
  <si>
    <t>X19</t>
  </si>
  <si>
    <t>O18</t>
  </si>
  <si>
    <t>I18</t>
  </si>
  <si>
    <t>08:10</t>
  </si>
  <si>
    <t>S17</t>
  </si>
  <si>
    <t>W18</t>
  </si>
  <si>
    <t>T18</t>
  </si>
  <si>
    <t>X18</t>
  </si>
  <si>
    <t>U18</t>
  </si>
  <si>
    <t>P51</t>
  </si>
  <si>
    <t>08:15</t>
  </si>
  <si>
    <t>S3</t>
  </si>
  <si>
    <t>W6</t>
  </si>
  <si>
    <t>T10</t>
  </si>
  <si>
    <t>X12</t>
  </si>
  <si>
    <t>I11</t>
  </si>
  <si>
    <t>P114</t>
  </si>
  <si>
    <t>22:30</t>
  </si>
  <si>
    <t>G28</t>
  </si>
  <si>
    <t>S33</t>
  </si>
  <si>
    <t>T24</t>
  </si>
  <si>
    <t>U11</t>
  </si>
  <si>
    <t>O9</t>
  </si>
  <si>
    <t>THURSDAY</t>
  </si>
  <si>
    <t>01:35</t>
  </si>
  <si>
    <t>G14</t>
  </si>
  <si>
    <t>S28</t>
  </si>
  <si>
    <t>W22</t>
  </si>
  <si>
    <t>T20</t>
  </si>
  <si>
    <t>03:45</t>
  </si>
  <si>
    <t>L3</t>
  </si>
  <si>
    <t>G11</t>
  </si>
  <si>
    <t>S21</t>
  </si>
  <si>
    <t>W9</t>
  </si>
  <si>
    <t>X23</t>
  </si>
  <si>
    <t>O5</t>
  </si>
  <si>
    <t>P65</t>
  </si>
  <si>
    <t>04:30</t>
  </si>
  <si>
    <t>G13</t>
  </si>
  <si>
    <t>S46</t>
  </si>
  <si>
    <t>X5</t>
  </si>
  <si>
    <t>U5</t>
  </si>
  <si>
    <t>09:45</t>
  </si>
  <si>
    <t>X1</t>
  </si>
  <si>
    <t>P135</t>
  </si>
  <si>
    <t>13:30</t>
  </si>
  <si>
    <t>K3</t>
  </si>
  <si>
    <t>L5</t>
  </si>
  <si>
    <t>T3</t>
  </si>
  <si>
    <t>X13</t>
  </si>
  <si>
    <t>U6</t>
  </si>
  <si>
    <t>O4</t>
  </si>
  <si>
    <t>K6</t>
  </si>
  <si>
    <t>V21</t>
  </si>
  <si>
    <t>S22</t>
  </si>
  <si>
    <t>U21</t>
  </si>
  <si>
    <t>N4</t>
  </si>
  <si>
    <t>FRIDAY</t>
  </si>
  <si>
    <t>03:25</t>
  </si>
  <si>
    <t>K9</t>
  </si>
  <si>
    <t>V11</t>
  </si>
  <si>
    <t>L24</t>
  </si>
  <si>
    <t>S14</t>
  </si>
  <si>
    <t>U23</t>
  </si>
  <si>
    <t>P35</t>
  </si>
  <si>
    <t>06:45</t>
  </si>
  <si>
    <t>V4</t>
  </si>
  <si>
    <t>G37</t>
  </si>
  <si>
    <t>V16</t>
  </si>
  <si>
    <t>L30</t>
  </si>
  <si>
    <t>G8</t>
  </si>
  <si>
    <t>S9</t>
  </si>
  <si>
    <t>U8</t>
  </si>
  <si>
    <t>O8</t>
  </si>
  <si>
    <t>I17</t>
  </si>
  <si>
    <t>13:25</t>
  </si>
  <si>
    <t>K7</t>
  </si>
  <si>
    <t>V15</t>
  </si>
  <si>
    <t>L36</t>
  </si>
  <si>
    <t>X22</t>
  </si>
  <si>
    <t>18:15</t>
  </si>
  <si>
    <t>K24</t>
  </si>
  <si>
    <t>V29</t>
  </si>
  <si>
    <t>L26</t>
  </si>
  <si>
    <t>G10</t>
  </si>
  <si>
    <t>S12</t>
  </si>
  <si>
    <t>W21</t>
  </si>
  <si>
    <t>T13</t>
  </si>
  <si>
    <t>SATURDAY</t>
  </si>
  <si>
    <t>01:10</t>
  </si>
  <si>
    <t>V1</t>
  </si>
  <si>
    <t>G15</t>
  </si>
  <si>
    <t>W20</t>
  </si>
  <si>
    <t>T42</t>
  </si>
  <si>
    <t>X7</t>
  </si>
  <si>
    <t>12:05</t>
  </si>
  <si>
    <t>Y3</t>
  </si>
  <si>
    <t>K8</t>
  </si>
  <si>
    <t>V9</t>
  </si>
  <si>
    <t>L15</t>
  </si>
  <si>
    <t>21:45</t>
  </si>
  <si>
    <t>H4</t>
  </si>
  <si>
    <t>Q10</t>
  </si>
  <si>
    <t>K13</t>
  </si>
  <si>
    <t>V20</t>
  </si>
  <si>
    <t>L18</t>
  </si>
  <si>
    <t>G16</t>
  </si>
  <si>
    <t>SUNDAY</t>
  </si>
  <si>
    <t>V5</t>
  </si>
  <si>
    <t>X4</t>
  </si>
  <si>
    <t>P46</t>
  </si>
  <si>
    <t>08:00</t>
  </si>
  <si>
    <t>G7</t>
  </si>
  <si>
    <t>P89</t>
  </si>
  <si>
    <t>10:55</t>
  </si>
  <si>
    <t>G21</t>
  </si>
  <si>
    <t>S19</t>
  </si>
  <si>
    <t>W10</t>
  </si>
  <si>
    <t>X20</t>
  </si>
  <si>
    <t>19:55</t>
  </si>
  <si>
    <t>L10</t>
  </si>
  <si>
    <t>G17</t>
  </si>
  <si>
    <t>W7</t>
  </si>
  <si>
    <t>DATE</t>
  </si>
  <si>
    <t>ROUTE</t>
  </si>
  <si>
    <t>2025-11-25</t>
  </si>
  <si>
    <t>THREAT STATUS</t>
  </si>
  <si>
    <t>1 FOR SAME CLASS</t>
  </si>
  <si>
    <t>REF</t>
  </si>
  <si>
    <t>+9 FOR SAME CLASS</t>
  </si>
  <si>
    <t>CLOSE (-0.0)</t>
  </si>
  <si>
    <t>02:25</t>
  </si>
  <si>
    <t>5 FOR SAME CLASS</t>
  </si>
  <si>
    <t>CLOSE (-0.2)</t>
  </si>
  <si>
    <t>01:20</t>
  </si>
  <si>
    <t>8 FOR SAME CLASS</t>
  </si>
  <si>
    <t>CLOSE (-0.6)</t>
  </si>
  <si>
    <t>09:35</t>
  </si>
  <si>
    <t>THREAT (+5.2)</t>
  </si>
  <si>
    <t>23:45</t>
  </si>
  <si>
    <t>9 FOR SAME CLASS</t>
  </si>
  <si>
    <t>THREAT (+5.9)</t>
  </si>
  <si>
    <t>THREAT (+5.5)</t>
  </si>
  <si>
    <t>23:50</t>
  </si>
  <si>
    <t>6 FOR SAME CLASS</t>
  </si>
  <si>
    <t>THREAT (+5.4)</t>
  </si>
  <si>
    <t>22:40</t>
  </si>
  <si>
    <t>11:40</t>
  </si>
  <si>
    <t>THREAT (+4.7)</t>
  </si>
  <si>
    <t>09:25</t>
  </si>
  <si>
    <t>08:20</t>
  </si>
  <si>
    <t>THREAT (+3.8)</t>
  </si>
  <si>
    <t>17:40</t>
  </si>
  <si>
    <t>THREAT (+4.4)</t>
  </si>
  <si>
    <t>20:05</t>
  </si>
  <si>
    <t>21:20</t>
  </si>
  <si>
    <t>11:45</t>
  </si>
  <si>
    <t>THREAT (+4.3)</t>
  </si>
  <si>
    <t>01:00</t>
  </si>
  <si>
    <t>7 FOR SAME CLASS</t>
  </si>
  <si>
    <t>THREAT (+4.9)</t>
  </si>
  <si>
    <t>THREAT (+4.0)</t>
  </si>
  <si>
    <t>4 FOR SAME CLASS</t>
  </si>
  <si>
    <t>THREAT (+1.5)</t>
  </si>
  <si>
    <t>2 FOR SAME CLASS</t>
  </si>
  <si>
    <t>THREAT (+2.2)</t>
  </si>
  <si>
    <t>THREAT (+1.7)</t>
  </si>
  <si>
    <t>THREAT (+1.0)</t>
  </si>
  <si>
    <t>CLOSE (-0.5)</t>
  </si>
  <si>
    <t>AHEAD (+0.1)</t>
  </si>
  <si>
    <t>02:50</t>
  </si>
  <si>
    <t>CLOSE (-0.4)</t>
  </si>
  <si>
    <t>22:35</t>
  </si>
  <si>
    <t>2025-11-26</t>
  </si>
  <si>
    <t>11:50</t>
  </si>
  <si>
    <t>04:40</t>
  </si>
  <si>
    <t>CLOSE (-1.0)</t>
  </si>
  <si>
    <t>05:25</t>
  </si>
  <si>
    <t>CLOSE (-0.8)</t>
  </si>
  <si>
    <t>THREAT (+6.5)</t>
  </si>
  <si>
    <t>THREAT (+6.0)</t>
  </si>
  <si>
    <t>THREAT (+5.3)</t>
  </si>
  <si>
    <t>THREAT (+5.1)</t>
  </si>
  <si>
    <t>CLOSE (-0.3)</t>
  </si>
  <si>
    <t>THREAT (+6.6)</t>
  </si>
  <si>
    <t>17:20</t>
  </si>
  <si>
    <t>16:50</t>
  </si>
  <si>
    <t>THREAT (+2.3)</t>
  </si>
  <si>
    <t>06:05</t>
  </si>
  <si>
    <t>2025-11-27</t>
  </si>
  <si>
    <t>10:05</t>
  </si>
  <si>
    <t>10 FOR SAME CLASS</t>
  </si>
  <si>
    <t>THREAT (+6.9)</t>
  </si>
  <si>
    <t>THREAT (+5.7)</t>
  </si>
  <si>
    <t>THREAT (+4.6)</t>
  </si>
  <si>
    <t>16:55</t>
  </si>
  <si>
    <t>THREAT (+2.8)</t>
  </si>
  <si>
    <t>THREAT (+3.5)</t>
  </si>
  <si>
    <t>18:00</t>
  </si>
  <si>
    <t>THREAT (+3.0)</t>
  </si>
  <si>
    <t>THREAT (+1.4)</t>
  </si>
  <si>
    <t>AHEAD (+0.3)</t>
  </si>
  <si>
    <t>2025-11-28</t>
  </si>
  <si>
    <t>19:25</t>
  </si>
  <si>
    <t>THREAT (+6.4)</t>
  </si>
  <si>
    <t>THREAT (+7.5)</t>
  </si>
  <si>
    <t>07:10</t>
  </si>
  <si>
    <t>23:20</t>
  </si>
  <si>
    <t>AHEAD (+0.6)</t>
  </si>
  <si>
    <t>02:30</t>
  </si>
  <si>
    <t>THREAT (+4.1)</t>
  </si>
  <si>
    <t>THREAT (+6.7)</t>
  </si>
  <si>
    <t>THREAT (+4.8)</t>
  </si>
  <si>
    <t>THREAT (+3.3)</t>
  </si>
  <si>
    <t>AHEAD (+1.0)</t>
  </si>
  <si>
    <t>2025-11-29</t>
  </si>
  <si>
    <t>04:05</t>
  </si>
  <si>
    <t>THREAT (+1.6)</t>
  </si>
  <si>
    <t>THREAT (+1.2)</t>
  </si>
  <si>
    <t>THREAT (+2.6)</t>
  </si>
  <si>
    <t>THREAT (+7.8)</t>
  </si>
  <si>
    <t>THREAT (+2.1)</t>
  </si>
  <si>
    <t>14 FOR SAME CLASS</t>
  </si>
  <si>
    <t>THREAT (+7.3)</t>
  </si>
  <si>
    <t>THREAT (+2.5)</t>
  </si>
  <si>
    <t>THREAT (+3.2)</t>
  </si>
  <si>
    <t>THREAT (+2.0)</t>
  </si>
  <si>
    <t>02:35</t>
  </si>
  <si>
    <t>AHEAD (+0.5)</t>
  </si>
  <si>
    <t>THREAT (+9.8)</t>
  </si>
  <si>
    <t>AHEAD (+0.7)</t>
  </si>
  <si>
    <t>THREAT (+1.1)</t>
  </si>
  <si>
    <t>THREAT (+2.7)</t>
  </si>
  <si>
    <t>THREAT (+9.6)</t>
  </si>
  <si>
    <t>THREAT (+7.6)</t>
  </si>
  <si>
    <t>18:50</t>
  </si>
  <si>
    <t>THREAT (+2.4)</t>
  </si>
  <si>
    <t>14:25</t>
  </si>
  <si>
    <t>THREAT (+3.9)</t>
  </si>
  <si>
    <t>2025-11-30</t>
  </si>
  <si>
    <t>04:55</t>
  </si>
  <si>
    <t>3 FOR SAME CLASS</t>
  </si>
  <si>
    <t>05:30</t>
  </si>
  <si>
    <t>CLOSE (-0.1)</t>
  </si>
  <si>
    <t>THREAT (+4.5)</t>
  </si>
  <si>
    <t>THREAT (+5.6)</t>
  </si>
  <si>
    <t>HBE-JED</t>
  </si>
  <si>
    <t>F3-774</t>
  </si>
  <si>
    <t>Hand baggage only</t>
  </si>
  <si>
    <t>8,823 EGP</t>
  </si>
  <si>
    <t>Cabin: 10 KG</t>
  </si>
  <si>
    <t>9,578 EGP</t>
  </si>
  <si>
    <t>Cabin: 10 KG / Check-in: 20 KG</t>
  </si>
  <si>
    <t>9,886 EGP</t>
  </si>
  <si>
    <t>Cabin: 10 KG / Check-in: 32 KG</t>
  </si>
  <si>
    <t>12,024 EGP</t>
  </si>
  <si>
    <t>E5-325</t>
  </si>
  <si>
    <t>9,365 EGP</t>
  </si>
  <si>
    <t>10,398 EGP</t>
  </si>
  <si>
    <t>11,088 EGP</t>
  </si>
  <si>
    <t>SV-332</t>
  </si>
  <si>
    <r>
      <rPr>
        <b/>
        <i/>
        <sz val="13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</si>
  <si>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19,183 EGP</t>
  </si>
  <si>
    <t>SV-410</t>
  </si>
  <si>
    <t>SM451</t>
  </si>
  <si>
    <t>X5 &amp; U4 &amp; O5 &amp; I5 &amp; P161</t>
  </si>
  <si>
    <t>Indirect competition route CAI – JED - diversion ratio &amp; passenger leakage</t>
  </si>
  <si>
    <t>K1 &amp; S3 &amp; W9 &amp; T19 &amp; X17 &amp; P130</t>
  </si>
  <si>
    <t>SM457</t>
  </si>
  <si>
    <t>T9 &amp; X9 &amp; U9 &amp; O9 &amp; I9 &amp; P135</t>
  </si>
  <si>
    <t>SM473</t>
  </si>
  <si>
    <t>S1 &amp; T4 &amp; X9 &amp; P166</t>
  </si>
  <si>
    <t>E5-393</t>
  </si>
  <si>
    <t>8,512 EGP</t>
  </si>
  <si>
    <t>9,546 EGP</t>
  </si>
  <si>
    <t>10,236 EGP</t>
  </si>
  <si>
    <t>9,238 EGP</t>
  </si>
  <si>
    <t>10,272 EGP</t>
  </si>
  <si>
    <t>10,961 EGP</t>
  </si>
  <si>
    <t>S13 &amp; W10 &amp; T5 &amp; X5 &amp; U5 &amp; O5 &amp; I5 &amp; P126 &amp; N5</t>
  </si>
  <si>
    <t>E5-391</t>
  </si>
  <si>
    <t>8,876 EGP</t>
  </si>
  <si>
    <t>9,910 EGP</t>
  </si>
  <si>
    <t>10,599 EGP</t>
  </si>
  <si>
    <t>SM-451</t>
  </si>
  <si>
    <t>G5 &amp; S28 &amp; W28 &amp; T33 &amp; X18 &amp; N2</t>
  </si>
  <si>
    <t>16,634 EGP</t>
  </si>
  <si>
    <t>10,475 EGP</t>
  </si>
  <si>
    <t>10,782 EGP</t>
  </si>
  <si>
    <t>12,921 EGP</t>
  </si>
  <si>
    <t>11,801 EGP</t>
  </si>
  <si>
    <t>12,950 EGP</t>
  </si>
  <si>
    <t>13,668 EGP</t>
  </si>
  <si>
    <t>K2 &amp; V9 &amp; L11 &amp; G7 &amp; S18 &amp; W18 &amp; T9 &amp; X9 &amp; P95</t>
  </si>
  <si>
    <t>L2 &amp; S8 &amp; W17 &amp; T9 &amp; X9 &amp; P135</t>
  </si>
  <si>
    <t>20,719 EGP</t>
  </si>
  <si>
    <t>10,047 EGP</t>
  </si>
  <si>
    <t>11,138 EGP</t>
  </si>
  <si>
    <t>11,828 EGP</t>
  </si>
  <si>
    <t>12,165 EGP</t>
  </si>
  <si>
    <t>G5 &amp; S11 &amp; W4 &amp; T5 &amp; X5 &amp; U5 &amp; O5 &amp; I4 &amp; P135</t>
  </si>
  <si>
    <t>G6 &amp; S3 &amp; W1 &amp; T18 &amp; X17 &amp; P135</t>
  </si>
  <si>
    <t>12:30</t>
  </si>
  <si>
    <t>U4</t>
  </si>
  <si>
    <t>P161</t>
  </si>
  <si>
    <t>03:30</t>
  </si>
  <si>
    <t>K1</t>
  </si>
  <si>
    <t>X17</t>
  </si>
  <si>
    <t>P130</t>
  </si>
  <si>
    <t>12:45</t>
  </si>
  <si>
    <t>U9</t>
  </si>
  <si>
    <t>I9</t>
  </si>
  <si>
    <t>20:40</t>
  </si>
  <si>
    <t>T4</t>
  </si>
  <si>
    <t>P166</t>
  </si>
  <si>
    <t>02:05</t>
  </si>
  <si>
    <t>S13</t>
  </si>
  <si>
    <t>T5</t>
  </si>
  <si>
    <t>P126</t>
  </si>
  <si>
    <t>N5</t>
  </si>
  <si>
    <t>W28</t>
  </si>
  <si>
    <t>T33</t>
  </si>
  <si>
    <t>N2</t>
  </si>
  <si>
    <t>06:30</t>
  </si>
  <si>
    <t>S8</t>
  </si>
  <si>
    <t>W17</t>
  </si>
  <si>
    <t>14:30</t>
  </si>
  <si>
    <t>L11</t>
  </si>
  <si>
    <t>S18</t>
  </si>
  <si>
    <t>11:55</t>
  </si>
  <si>
    <t>W4</t>
  </si>
  <si>
    <t>I4</t>
  </si>
  <si>
    <t>13:55</t>
  </si>
  <si>
    <t>08:40</t>
  </si>
  <si>
    <t>10:50</t>
  </si>
  <si>
    <t>19:40</t>
  </si>
  <si>
    <t>CAI-JED AS ALTERNATIVE ROUTE</t>
  </si>
  <si>
    <t>SM-457</t>
  </si>
  <si>
    <t>SM-473</t>
  </si>
  <si>
    <t>ATZ-JED</t>
  </si>
  <si>
    <t>SM-453</t>
  </si>
  <si>
    <t>7,132 EGP</t>
  </si>
  <si>
    <t>SM453</t>
  </si>
  <si>
    <t>S3 &amp; W11 &amp; T4 &amp; X10 &amp; U17 &amp; O30 &amp; I10 &amp; P45</t>
  </si>
  <si>
    <t>SM-455</t>
  </si>
  <si>
    <t>7,619 EGP</t>
  </si>
  <si>
    <t>SM455</t>
  </si>
  <si>
    <t>G2 &amp; S10 &amp; W12 &amp; T10 &amp; X11 &amp; U41 &amp; O10 &amp; I2 &amp; P50</t>
  </si>
  <si>
    <t>MS-8223</t>
  </si>
  <si>
    <t>9,258 EGP</t>
  </si>
  <si>
    <t>F3-778</t>
  </si>
  <si>
    <t>5,749 EGP</t>
  </si>
  <si>
    <t>6,505 EGP</t>
  </si>
  <si>
    <t>6,812 EGP</t>
  </si>
  <si>
    <t>SM-491</t>
  </si>
  <si>
    <t>8,298 EGP</t>
  </si>
  <si>
    <t>SM491</t>
  </si>
  <si>
    <t>G1</t>
  </si>
  <si>
    <t>G4 &amp; X3 &amp; U15 &amp; O10 &amp; I12 &amp; P134</t>
  </si>
  <si>
    <t>E45 &amp; P135</t>
  </si>
  <si>
    <t>SM421</t>
  </si>
  <si>
    <t>S1 &amp; W2 &amp; X12 &amp; U21 &amp; O18 &amp; I16 &amp; P109</t>
  </si>
  <si>
    <t>MS-8261</t>
  </si>
  <si>
    <t>Cabin: 7 KG | Check-in: 1 PIECE</t>
  </si>
  <si>
    <t>6,159 EGP</t>
  </si>
  <si>
    <t>S2 &amp; W1 &amp; T9 &amp; X19 &amp; U5 &amp; O3 &amp; I2 &amp; P135</t>
  </si>
  <si>
    <t>S2 &amp; W15 &amp; T15 &amp; X25 &amp; O2 &amp; I1 &amp; P95</t>
  </si>
  <si>
    <t>6,646 EGP</t>
  </si>
  <si>
    <t>S6 &amp; W9 &amp; T12 &amp; X46 &amp; U1 &amp; O1</t>
  </si>
  <si>
    <t>Y1 &amp; S15 &amp; W11 &amp; T5 &amp; X4 &amp; P85</t>
  </si>
  <si>
    <t>Y2 &amp; G17 &amp; S19 &amp; W25 &amp; T2 &amp; X11 &amp; P90</t>
  </si>
  <si>
    <r>
      <rPr>
        <b/>
        <i/>
        <sz val="13"/>
        <color rgb="FFBC0000"/>
        <rFont val="Calibri"/>
      </rPr>
      <t>23</t>
    </r>
    <r>
      <rPr>
        <b/>
        <i/>
        <sz val="10"/>
        <color rgb="FFBC0000"/>
        <rFont val="Calibri"/>
      </rPr>
      <t xml:space="preserve"> FOR SAME CLASS</t>
    </r>
  </si>
  <si>
    <t>5,109 EGP</t>
  </si>
  <si>
    <r>
      <rPr>
        <i/>
        <sz val="13"/>
        <rFont val="Calibri"/>
      </rPr>
      <t>23</t>
    </r>
    <r>
      <rPr>
        <i/>
        <sz val="10"/>
        <rFont val="Calibri"/>
      </rPr>
      <t xml:space="preserve"> FOR SAME CLASS</t>
    </r>
  </si>
  <si>
    <t>5,865 EGP</t>
  </si>
  <si>
    <t>6,172 EGP</t>
  </si>
  <si>
    <t>Y1 &amp; W11 &amp; T16 &amp; X14 &amp; U20 &amp; P45</t>
  </si>
  <si>
    <t>T2</t>
  </si>
  <si>
    <t>W2 &amp; T27 &amp; X19 &amp; U22 &amp; O3 &amp; I2 &amp; E37 &amp; P45</t>
  </si>
  <si>
    <t>04:00</t>
  </si>
  <si>
    <t>O30</t>
  </si>
  <si>
    <t>12:40</t>
  </si>
  <si>
    <t>U41</t>
  </si>
  <si>
    <t>I2</t>
  </si>
  <si>
    <t>P50</t>
  </si>
  <si>
    <t>E45</t>
  </si>
  <si>
    <t>12:00</t>
  </si>
  <si>
    <t>G4</t>
  </si>
  <si>
    <t>X3</t>
  </si>
  <si>
    <t>U15</t>
  </si>
  <si>
    <t>I12</t>
  </si>
  <si>
    <t>P134</t>
  </si>
  <si>
    <t>22:10</t>
  </si>
  <si>
    <t>I16</t>
  </si>
  <si>
    <t>P109</t>
  </si>
  <si>
    <t>07:55</t>
  </si>
  <si>
    <t>O3</t>
  </si>
  <si>
    <t>13:10</t>
  </si>
  <si>
    <t>W15</t>
  </si>
  <si>
    <t>T15</t>
  </si>
  <si>
    <t>X25</t>
  </si>
  <si>
    <t>O2</t>
  </si>
  <si>
    <t>I1</t>
  </si>
  <si>
    <t>03:15</t>
  </si>
  <si>
    <t>S6</t>
  </si>
  <si>
    <t>X46</t>
  </si>
  <si>
    <t>U1</t>
  </si>
  <si>
    <t>O1</t>
  </si>
  <si>
    <t>Y1</t>
  </si>
  <si>
    <t>S15</t>
  </si>
  <si>
    <t>P85</t>
  </si>
  <si>
    <t>Y2</t>
  </si>
  <si>
    <t>W25</t>
  </si>
  <si>
    <t>T27</t>
  </si>
  <si>
    <t>U22</t>
  </si>
  <si>
    <t>E37</t>
  </si>
  <si>
    <t>16:35</t>
  </si>
  <si>
    <t>T16</t>
  </si>
  <si>
    <t>X14</t>
  </si>
  <si>
    <t>U20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</si>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</sst>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[$-F800]dddd\,\ mmmm\ dd\,\ yyyy"/>
    <numFmt numFmtId="167" formatCode="dddd\,\ mmmm\ dd\,\ yyyy"/>
    <numFmt numFmtId="168" formatCode="h:mm;@"/>
    <numFmt numFmtId="169" formatCode="0.0%"/>
    <numFmt numFmtId="170" formatCode="[$-409]dddd"/>
    <numFmt numFmtId="171" formatCode="dd\-mmm\-yy"/>
    <numFmt numFmtId="172" formatCode="hh:mm"/>
  </numFmts>
  <fonts count="42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sz val="12"/>
      <color theme="1"/>
      <name val="Calibri"/>
    </font>
    <font>
      <b/>
      <i/>
      <sz val="18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2"/>
      <color rgb="FFFF0000"/>
      <name val="Calibri"/>
    </font>
    <font>
      <b/>
      <sz val="11"/>
      <color rgb="FFFF6600"/>
      <name val="Calibri"/>
    </font>
    <font>
      <b/>
      <i/>
      <sz val="12"/>
      <color rgb="FF0070C0"/>
      <name val="Calibri"/>
    </font>
    <font>
      <b/>
      <i/>
      <sz val="13"/>
      <color rgb="FF9C0006"/>
      <name val="Calibri"/>
    </font>
    <font>
      <b/>
      <i/>
      <sz val="13"/>
      <color rgb="FFBC0000"/>
      <name val="Calibri"/>
    </font>
    <font>
      <b/>
      <i/>
      <sz val="10"/>
      <color rgb="FFBC0000"/>
      <name val="Calibri"/>
    </font>
    <font>
      <b/>
      <i/>
      <sz val="10"/>
      <name val="Calibri"/>
    </font>
    <font>
      <i/>
      <sz val="1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E6D5E6"/>
      </patternFill>
    </fill>
    <fill>
      <patternFill patternType="solid">
        <fgColor rgb="FFCCCCCC"/>
        <bgColor rgb="FFCCCCCC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FFEEEE"/>
        <bgColor rgb="FFFFEEEE"/>
      </patternFill>
    </fill>
    <fill>
      <patternFill patternType="solid">
        <fgColor rgb="FFFFF5EE"/>
        <bgColor rgb="FFFFF5EE"/>
      </patternFill>
    </fill>
    <fill>
      <patternFill patternType="solid">
        <fgColor rgb="FF365492"/>
        <bgColor indexed="64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7" fontId="6" fillId="5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49" fontId="10" fillId="8" borderId="2" xfId="0" applyNumberFormat="1" applyFont="1" applyFill="1" applyBorder="1" applyAlignment="1">
      <alignment horizontal="center" vertical="center"/>
    </xf>
    <xf numFmtId="168" fontId="10" fillId="8" borderId="2" xfId="0" applyNumberFormat="1" applyFont="1" applyFill="1" applyBorder="1" applyAlignment="1">
      <alignment horizontal="center" vertical="center"/>
    </xf>
    <xf numFmtId="49" fontId="11" fillId="8" borderId="7" xfId="0" applyNumberFormat="1" applyFont="1" applyFill="1" applyBorder="1" applyAlignment="1">
      <alignment horizontal="center" vertical="center"/>
    </xf>
    <xf numFmtId="169" fontId="12" fillId="8" borderId="8" xfId="0" applyNumberFormat="1" applyFont="1" applyFill="1" applyBorder="1" applyAlignment="1">
      <alignment horizontal="center" vertical="center"/>
    </xf>
    <xf numFmtId="1" fontId="11" fillId="8" borderId="8" xfId="0" applyNumberFormat="1" applyFont="1" applyFill="1" applyBorder="1" applyAlignment="1">
      <alignment horizontal="center" vertical="center"/>
    </xf>
    <xf numFmtId="16" fontId="11" fillId="8" borderId="8" xfId="0" applyNumberFormat="1" applyFont="1" applyFill="1" applyBorder="1" applyAlignment="1">
      <alignment horizontal="center" vertical="center"/>
    </xf>
    <xf numFmtId="49" fontId="13" fillId="8" borderId="8" xfId="0" applyNumberFormat="1" applyFont="1" applyFill="1" applyBorder="1" applyAlignment="1">
      <alignment horizontal="center" vertical="center"/>
    </xf>
    <xf numFmtId="168" fontId="11" fillId="8" borderId="8" xfId="0" applyNumberFormat="1" applyFont="1" applyFill="1" applyBorder="1" applyAlignment="1">
      <alignment horizontal="center" vertical="center"/>
    </xf>
    <xf numFmtId="49" fontId="11" fillId="8" borderId="9" xfId="0" applyNumberFormat="1" applyFont="1" applyFill="1" applyBorder="1" applyAlignment="1">
      <alignment horizontal="center" vertical="center"/>
    </xf>
    <xf numFmtId="49" fontId="14" fillId="9" borderId="2" xfId="0" applyNumberFormat="1" applyFont="1" applyFill="1" applyBorder="1" applyAlignment="1">
      <alignment horizontal="center" vertical="center"/>
    </xf>
    <xf numFmtId="168" fontId="14" fillId="9" borderId="2" xfId="0" applyNumberFormat="1" applyFont="1" applyFill="1" applyBorder="1" applyAlignment="1">
      <alignment horizontal="center" vertical="center"/>
    </xf>
    <xf numFmtId="49" fontId="11" fillId="9" borderId="7" xfId="0" applyNumberFormat="1" applyFont="1" applyFill="1" applyBorder="1" applyAlignment="1">
      <alignment horizontal="center" vertical="center"/>
    </xf>
    <xf numFmtId="169" fontId="12" fillId="9" borderId="8" xfId="0" applyNumberFormat="1" applyFont="1" applyFill="1" applyBorder="1" applyAlignment="1">
      <alignment horizontal="center" vertical="center"/>
    </xf>
    <xf numFmtId="1" fontId="11" fillId="9" borderId="8" xfId="0" applyNumberFormat="1" applyFont="1" applyFill="1" applyBorder="1" applyAlignment="1">
      <alignment horizontal="center" vertical="center"/>
    </xf>
    <xf numFmtId="16" fontId="11" fillId="9" borderId="8" xfId="0" applyNumberFormat="1" applyFont="1" applyFill="1" applyBorder="1" applyAlignment="1">
      <alignment horizontal="center" vertical="center"/>
    </xf>
    <xf numFmtId="49" fontId="13" fillId="9" borderId="8" xfId="0" applyNumberFormat="1" applyFont="1" applyFill="1" applyBorder="1" applyAlignment="1">
      <alignment horizontal="center" vertical="center"/>
    </xf>
    <xf numFmtId="168" fontId="11" fillId="9" borderId="8" xfId="0" applyNumberFormat="1" applyFont="1" applyFill="1" applyBorder="1" applyAlignment="1">
      <alignment horizontal="center" vertical="center"/>
    </xf>
    <xf numFmtId="49" fontId="11" fillId="9" borderId="9" xfId="0" applyNumberFormat="1" applyFont="1" applyFill="1" applyBorder="1" applyAlignment="1">
      <alignment horizontal="center" vertical="center"/>
    </xf>
    <xf numFmtId="49" fontId="14" fillId="8" borderId="2" xfId="0" applyNumberFormat="1" applyFont="1" applyFill="1" applyBorder="1" applyAlignment="1">
      <alignment horizontal="center" vertical="center"/>
    </xf>
    <xf numFmtId="168" fontId="14" fillId="8" borderId="2" xfId="0" applyNumberFormat="1" applyFont="1" applyFill="1" applyBorder="1" applyAlignment="1">
      <alignment horizontal="center" vertical="center"/>
    </xf>
    <xf numFmtId="169" fontId="11" fillId="8" borderId="8" xfId="0" applyNumberFormat="1" applyFont="1" applyFill="1" applyBorder="1" applyAlignment="1">
      <alignment horizontal="center" vertical="center"/>
    </xf>
    <xf numFmtId="49" fontId="14" fillId="10" borderId="2" xfId="0" applyNumberFormat="1" applyFont="1" applyFill="1" applyBorder="1" applyAlignment="1">
      <alignment horizontal="center" vertical="center"/>
    </xf>
    <xf numFmtId="168" fontId="14" fillId="10" borderId="2" xfId="0" applyNumberFormat="1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49" fontId="11" fillId="10" borderId="7" xfId="0" applyNumberFormat="1" applyFont="1" applyFill="1" applyBorder="1" applyAlignment="1">
      <alignment horizontal="center" vertical="center"/>
    </xf>
    <xf numFmtId="169" fontId="12" fillId="10" borderId="8" xfId="0" applyNumberFormat="1" applyFont="1" applyFill="1" applyBorder="1" applyAlignment="1">
      <alignment horizontal="center" vertical="center"/>
    </xf>
    <xf numFmtId="1" fontId="11" fillId="10" borderId="8" xfId="0" applyNumberFormat="1" applyFont="1" applyFill="1" applyBorder="1" applyAlignment="1">
      <alignment horizontal="center" vertical="center"/>
    </xf>
    <xf numFmtId="16" fontId="11" fillId="10" borderId="8" xfId="0" applyNumberFormat="1" applyFont="1" applyFill="1" applyBorder="1" applyAlignment="1">
      <alignment horizontal="center" vertical="center"/>
    </xf>
    <xf numFmtId="49" fontId="13" fillId="10" borderId="8" xfId="0" applyNumberFormat="1" applyFont="1" applyFill="1" applyBorder="1" applyAlignment="1">
      <alignment horizontal="center" vertical="center"/>
    </xf>
    <xf numFmtId="168" fontId="11" fillId="10" borderId="8" xfId="0" applyNumberFormat="1" applyFont="1" applyFill="1" applyBorder="1" applyAlignment="1">
      <alignment horizontal="center" vertical="center"/>
    </xf>
    <xf numFmtId="49" fontId="11" fillId="10" borderId="9" xfId="0" applyNumberFormat="1" applyFont="1" applyFill="1" applyBorder="1" applyAlignment="1">
      <alignment horizontal="center" vertical="center"/>
    </xf>
    <xf numFmtId="49" fontId="14" fillId="11" borderId="2" xfId="0" applyNumberFormat="1" applyFont="1" applyFill="1" applyBorder="1" applyAlignment="1">
      <alignment horizontal="center" vertical="center"/>
    </xf>
    <xf numFmtId="168" fontId="14" fillId="11" borderId="2" xfId="0" applyNumberFormat="1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49" fontId="11" fillId="11" borderId="7" xfId="0" applyNumberFormat="1" applyFont="1" applyFill="1" applyBorder="1" applyAlignment="1">
      <alignment horizontal="center" vertical="center"/>
    </xf>
    <xf numFmtId="169" fontId="12" fillId="11" borderId="8" xfId="0" applyNumberFormat="1" applyFont="1" applyFill="1" applyBorder="1" applyAlignment="1">
      <alignment horizontal="center" vertical="center"/>
    </xf>
    <xf numFmtId="1" fontId="11" fillId="11" borderId="8" xfId="0" applyNumberFormat="1" applyFont="1" applyFill="1" applyBorder="1" applyAlignment="1">
      <alignment horizontal="center" vertical="center"/>
    </xf>
    <xf numFmtId="16" fontId="11" fillId="11" borderId="8" xfId="0" applyNumberFormat="1" applyFont="1" applyFill="1" applyBorder="1" applyAlignment="1">
      <alignment horizontal="center" vertical="center"/>
    </xf>
    <xf numFmtId="49" fontId="13" fillId="11" borderId="8" xfId="0" applyNumberFormat="1" applyFont="1" applyFill="1" applyBorder="1" applyAlignment="1">
      <alignment horizontal="center" vertical="center"/>
    </xf>
    <xf numFmtId="168" fontId="11" fillId="11" borderId="8" xfId="0" applyNumberFormat="1" applyFont="1" applyFill="1" applyBorder="1" applyAlignment="1">
      <alignment horizontal="center" vertical="center"/>
    </xf>
    <xf numFmtId="49" fontId="11" fillId="11" borderId="9" xfId="0" applyNumberFormat="1" applyFont="1" applyFill="1" applyBorder="1" applyAlignment="1">
      <alignment horizontal="center" vertical="center"/>
    </xf>
    <xf numFmtId="49" fontId="14" fillId="12" borderId="2" xfId="0" applyNumberFormat="1" applyFont="1" applyFill="1" applyBorder="1" applyAlignment="1">
      <alignment horizontal="center" vertical="center"/>
    </xf>
    <xf numFmtId="168" fontId="14" fillId="12" borderId="2" xfId="0" applyNumberFormat="1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49" fontId="11" fillId="12" borderId="7" xfId="0" applyNumberFormat="1" applyFont="1" applyFill="1" applyBorder="1" applyAlignment="1">
      <alignment horizontal="center" vertical="center"/>
    </xf>
    <xf numFmtId="169" fontId="12" fillId="12" borderId="8" xfId="0" applyNumberFormat="1" applyFont="1" applyFill="1" applyBorder="1" applyAlignment="1">
      <alignment horizontal="center" vertical="center"/>
    </xf>
    <xf numFmtId="1" fontId="11" fillId="12" borderId="8" xfId="0" applyNumberFormat="1" applyFont="1" applyFill="1" applyBorder="1" applyAlignment="1">
      <alignment horizontal="center" vertical="center"/>
    </xf>
    <xf numFmtId="16" fontId="11" fillId="12" borderId="8" xfId="0" applyNumberFormat="1" applyFont="1" applyFill="1" applyBorder="1" applyAlignment="1">
      <alignment horizontal="center" vertical="center"/>
    </xf>
    <xf numFmtId="49" fontId="13" fillId="12" borderId="8" xfId="0" applyNumberFormat="1" applyFont="1" applyFill="1" applyBorder="1" applyAlignment="1">
      <alignment horizontal="center" vertical="center"/>
    </xf>
    <xf numFmtId="168" fontId="11" fillId="12" borderId="8" xfId="0" applyNumberFormat="1" applyFont="1" applyFill="1" applyBorder="1" applyAlignment="1">
      <alignment horizontal="center" vertical="center"/>
    </xf>
    <xf numFmtId="49" fontId="11" fillId="12" borderId="9" xfId="0" applyNumberFormat="1" applyFont="1" applyFill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168" fontId="10" fillId="0" borderId="11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17" fillId="0" borderId="11" xfId="0" applyNumberFormat="1" applyFont="1" applyBorder="1" applyAlignment="1">
      <alignment horizontal="center" vertical="center"/>
    </xf>
    <xf numFmtId="168" fontId="17" fillId="0" borderId="11" xfId="0" applyNumberFormat="1" applyFont="1" applyBorder="1" applyAlignment="1">
      <alignment horizontal="center" vertical="center"/>
    </xf>
    <xf numFmtId="49" fontId="14" fillId="0" borderId="11" xfId="0" applyNumberFormat="1" applyFont="1" applyBorder="1" applyAlignment="1">
      <alignment horizontal="center" vertical="center"/>
    </xf>
    <xf numFmtId="168" fontId="14" fillId="0" borderId="11" xfId="0" applyNumberFormat="1" applyFont="1" applyBorder="1" applyAlignment="1">
      <alignment horizontal="center" vertical="center"/>
    </xf>
    <xf numFmtId="49" fontId="14" fillId="0" borderId="15" xfId="0" applyNumberFormat="1" applyFont="1" applyBorder="1" applyAlignment="1">
      <alignment horizontal="center" vertical="center"/>
    </xf>
    <xf numFmtId="168" fontId="14" fillId="0" borderId="15" xfId="0" applyNumberFormat="1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7" fontId="19" fillId="5" borderId="2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 vertical="center"/>
    </xf>
    <xf numFmtId="168" fontId="8" fillId="6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9" fillId="7" borderId="5" xfId="0" applyNumberFormat="1" applyFont="1" applyFill="1" applyBorder="1" applyAlignment="1">
      <alignment horizontal="center" vertical="center"/>
    </xf>
    <xf numFmtId="169" fontId="8" fillId="6" borderId="2" xfId="0" applyNumberFormat="1" applyFont="1" applyFill="1" applyBorder="1" applyAlignment="1">
      <alignment horizontal="center" vertical="center"/>
    </xf>
    <xf numFmtId="1" fontId="8" fillId="6" borderId="2" xfId="0" applyNumberFormat="1" applyFont="1" applyFill="1" applyBorder="1" applyAlignment="1">
      <alignment horizontal="center" vertical="center"/>
    </xf>
    <xf numFmtId="16" fontId="8" fillId="6" borderId="2" xfId="0" applyNumberFormat="1" applyFont="1" applyFill="1" applyBorder="1" applyAlignment="1">
      <alignment horizontal="center" vertical="center"/>
    </xf>
    <xf numFmtId="49" fontId="10" fillId="14" borderId="2" xfId="0" applyNumberFormat="1" applyFont="1" applyFill="1" applyBorder="1" applyAlignment="1">
      <alignment horizontal="center" vertical="center"/>
    </xf>
    <xf numFmtId="168" fontId="10" fillId="14" borderId="2" xfId="0" applyNumberFormat="1" applyFont="1" applyFill="1" applyBorder="1" applyAlignment="1">
      <alignment horizontal="center" vertical="center"/>
    </xf>
    <xf numFmtId="49" fontId="11" fillId="14" borderId="7" xfId="0" applyNumberFormat="1" applyFont="1" applyFill="1" applyBorder="1" applyAlignment="1">
      <alignment horizontal="center" vertical="center"/>
    </xf>
    <xf numFmtId="169" fontId="12" fillId="14" borderId="8" xfId="0" applyNumberFormat="1" applyFont="1" applyFill="1" applyBorder="1" applyAlignment="1">
      <alignment horizontal="center" vertical="center"/>
    </xf>
    <xf numFmtId="1" fontId="11" fillId="14" borderId="8" xfId="0" applyNumberFormat="1" applyFont="1" applyFill="1" applyBorder="1" applyAlignment="1">
      <alignment horizontal="center" vertical="center"/>
    </xf>
    <xf numFmtId="16" fontId="11" fillId="14" borderId="8" xfId="0" applyNumberFormat="1" applyFont="1" applyFill="1" applyBorder="1" applyAlignment="1">
      <alignment horizontal="center" vertical="center"/>
    </xf>
    <xf numFmtId="49" fontId="13" fillId="14" borderId="8" xfId="0" applyNumberFormat="1" applyFont="1" applyFill="1" applyBorder="1" applyAlignment="1">
      <alignment horizontal="center" vertical="center"/>
    </xf>
    <xf numFmtId="168" fontId="11" fillId="14" borderId="8" xfId="0" applyNumberFormat="1" applyFont="1" applyFill="1" applyBorder="1" applyAlignment="1">
      <alignment horizontal="center" vertical="center"/>
    </xf>
    <xf numFmtId="49" fontId="11" fillId="14" borderId="9" xfId="0" applyNumberFormat="1" applyFont="1" applyFill="1" applyBorder="1" applyAlignment="1">
      <alignment horizontal="center" vertical="center"/>
    </xf>
    <xf numFmtId="169" fontId="11" fillId="10" borderId="8" xfId="0" applyNumberFormat="1" applyFont="1" applyFill="1" applyBorder="1" applyAlignment="1">
      <alignment horizontal="center" vertical="center"/>
    </xf>
    <xf numFmtId="49" fontId="14" fillId="15" borderId="2" xfId="0" applyNumberFormat="1" applyFont="1" applyFill="1" applyBorder="1" applyAlignment="1">
      <alignment horizontal="center" vertical="center"/>
    </xf>
    <xf numFmtId="168" fontId="14" fillId="15" borderId="2" xfId="0" applyNumberFormat="1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49" fontId="11" fillId="15" borderId="7" xfId="0" applyNumberFormat="1" applyFont="1" applyFill="1" applyBorder="1" applyAlignment="1">
      <alignment horizontal="center" vertical="center"/>
    </xf>
    <xf numFmtId="169" fontId="12" fillId="15" borderId="8" xfId="0" applyNumberFormat="1" applyFont="1" applyFill="1" applyBorder="1" applyAlignment="1">
      <alignment horizontal="center" vertical="center"/>
    </xf>
    <xf numFmtId="1" fontId="11" fillId="15" borderId="8" xfId="0" applyNumberFormat="1" applyFont="1" applyFill="1" applyBorder="1" applyAlignment="1">
      <alignment horizontal="center" vertical="center"/>
    </xf>
    <xf numFmtId="16" fontId="11" fillId="15" borderId="8" xfId="0" applyNumberFormat="1" applyFont="1" applyFill="1" applyBorder="1" applyAlignment="1">
      <alignment horizontal="center" vertical="center"/>
    </xf>
    <xf numFmtId="49" fontId="13" fillId="15" borderId="8" xfId="0" applyNumberFormat="1" applyFont="1" applyFill="1" applyBorder="1" applyAlignment="1">
      <alignment horizontal="center" vertical="center"/>
    </xf>
    <xf numFmtId="168" fontId="11" fillId="15" borderId="8" xfId="0" applyNumberFormat="1" applyFont="1" applyFill="1" applyBorder="1" applyAlignment="1">
      <alignment horizontal="center" vertical="center"/>
    </xf>
    <xf numFmtId="49" fontId="11" fillId="15" borderId="9" xfId="0" applyNumberFormat="1" applyFont="1" applyFill="1" applyBorder="1" applyAlignment="1">
      <alignment horizontal="center" vertical="center"/>
    </xf>
    <xf numFmtId="169" fontId="11" fillId="9" borderId="8" xfId="0" applyNumberFormat="1" applyFont="1" applyFill="1" applyBorder="1" applyAlignment="1">
      <alignment horizontal="center" vertical="center"/>
    </xf>
    <xf numFmtId="49" fontId="14" fillId="16" borderId="2" xfId="0" applyNumberFormat="1" applyFont="1" applyFill="1" applyBorder="1" applyAlignment="1">
      <alignment horizontal="center" vertical="center"/>
    </xf>
    <xf numFmtId="168" fontId="14" fillId="16" borderId="2" xfId="0" applyNumberFormat="1" applyFont="1" applyFill="1" applyBorder="1" applyAlignment="1">
      <alignment horizontal="center" vertical="center"/>
    </xf>
    <xf numFmtId="49" fontId="11" fillId="16" borderId="7" xfId="0" applyNumberFormat="1" applyFont="1" applyFill="1" applyBorder="1" applyAlignment="1">
      <alignment horizontal="center" vertical="center"/>
    </xf>
    <xf numFmtId="169" fontId="11" fillId="16" borderId="8" xfId="0" applyNumberFormat="1" applyFont="1" applyFill="1" applyBorder="1" applyAlignment="1">
      <alignment horizontal="center" vertical="center"/>
    </xf>
    <xf numFmtId="1" fontId="11" fillId="16" borderId="8" xfId="0" applyNumberFormat="1" applyFont="1" applyFill="1" applyBorder="1" applyAlignment="1">
      <alignment horizontal="center" vertical="center"/>
    </xf>
    <xf numFmtId="16" fontId="11" fillId="16" borderId="8" xfId="0" applyNumberFormat="1" applyFont="1" applyFill="1" applyBorder="1" applyAlignment="1">
      <alignment horizontal="center" vertical="center"/>
    </xf>
    <xf numFmtId="49" fontId="13" fillId="16" borderId="8" xfId="0" applyNumberFormat="1" applyFont="1" applyFill="1" applyBorder="1" applyAlignment="1">
      <alignment horizontal="center" vertical="center"/>
    </xf>
    <xf numFmtId="168" fontId="11" fillId="16" borderId="8" xfId="0" applyNumberFormat="1" applyFont="1" applyFill="1" applyBorder="1" applyAlignment="1">
      <alignment horizontal="center" vertical="center"/>
    </xf>
    <xf numFmtId="49" fontId="11" fillId="16" borderId="9" xfId="0" applyNumberFormat="1" applyFont="1" applyFill="1" applyBorder="1" applyAlignment="1">
      <alignment horizontal="center" vertical="center"/>
    </xf>
    <xf numFmtId="49" fontId="14" fillId="14" borderId="2" xfId="0" applyNumberFormat="1" applyFont="1" applyFill="1" applyBorder="1" applyAlignment="1">
      <alignment horizontal="center" vertical="center"/>
    </xf>
    <xf numFmtId="168" fontId="14" fillId="14" borderId="2" xfId="0" applyNumberFormat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4" fillId="16" borderId="2" xfId="0" applyFont="1" applyFill="1" applyBorder="1" applyAlignment="1">
      <alignment horizontal="center" vertical="center"/>
    </xf>
    <xf numFmtId="169" fontId="12" fillId="16" borderId="8" xfId="0" applyNumberFormat="1" applyFont="1" applyFill="1" applyBorder="1" applyAlignment="1">
      <alignment horizontal="center" vertical="center"/>
    </xf>
    <xf numFmtId="49" fontId="10" fillId="0" borderId="20" xfId="0" applyNumberFormat="1" applyFont="1" applyBorder="1" applyAlignment="1">
      <alignment horizontal="center" vertical="center"/>
    </xf>
    <xf numFmtId="168" fontId="10" fillId="0" borderId="20" xfId="0" applyNumberFormat="1" applyFont="1" applyBorder="1" applyAlignment="1">
      <alignment horizontal="center" vertical="center"/>
    </xf>
    <xf numFmtId="49" fontId="10" fillId="12" borderId="2" xfId="0" applyNumberFormat="1" applyFont="1" applyFill="1" applyBorder="1" applyAlignment="1">
      <alignment horizontal="center" vertical="center"/>
    </xf>
    <xf numFmtId="168" fontId="10" fillId="12" borderId="2" xfId="0" applyNumberFormat="1" applyFont="1" applyFill="1" applyBorder="1" applyAlignment="1">
      <alignment horizontal="center" vertical="center"/>
    </xf>
    <xf numFmtId="169" fontId="11" fillId="11" borderId="8" xfId="0" applyNumberFormat="1" applyFont="1" applyFill="1" applyBorder="1" applyAlignment="1">
      <alignment horizontal="center" vertical="center"/>
    </xf>
    <xf numFmtId="49" fontId="17" fillId="0" borderId="15" xfId="0" applyNumberFormat="1" applyFont="1" applyBorder="1" applyAlignment="1">
      <alignment horizontal="center" vertical="center"/>
    </xf>
    <xf numFmtId="168" fontId="17" fillId="0" borderId="15" xfId="0" applyNumberFormat="1" applyFont="1" applyBorder="1" applyAlignment="1">
      <alignment horizontal="center" vertical="center"/>
    </xf>
    <xf numFmtId="49" fontId="14" fillId="10" borderId="15" xfId="0" applyNumberFormat="1" applyFont="1" applyFill="1" applyBorder="1" applyAlignment="1">
      <alignment horizontal="center" vertical="center"/>
    </xf>
    <xf numFmtId="168" fontId="14" fillId="10" borderId="15" xfId="0" applyNumberFormat="1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49" fontId="11" fillId="10" borderId="21" xfId="0" applyNumberFormat="1" applyFont="1" applyFill="1" applyBorder="1" applyAlignment="1">
      <alignment horizontal="center" vertical="center"/>
    </xf>
    <xf numFmtId="169" fontId="12" fillId="10" borderId="22" xfId="0" applyNumberFormat="1" applyFont="1" applyFill="1" applyBorder="1" applyAlignment="1">
      <alignment horizontal="center" vertical="center"/>
    </xf>
    <xf numFmtId="1" fontId="11" fillId="10" borderId="22" xfId="0" applyNumberFormat="1" applyFont="1" applyFill="1" applyBorder="1" applyAlignment="1">
      <alignment horizontal="center" vertical="center"/>
    </xf>
    <xf numFmtId="16" fontId="11" fillId="10" borderId="22" xfId="0" applyNumberFormat="1" applyFont="1" applyFill="1" applyBorder="1" applyAlignment="1">
      <alignment horizontal="center" vertical="center"/>
    </xf>
    <xf numFmtId="49" fontId="13" fillId="10" borderId="22" xfId="0" applyNumberFormat="1" applyFont="1" applyFill="1" applyBorder="1" applyAlignment="1">
      <alignment horizontal="center" vertical="center"/>
    </xf>
    <xf numFmtId="168" fontId="11" fillId="10" borderId="22" xfId="0" applyNumberFormat="1" applyFont="1" applyFill="1" applyBorder="1" applyAlignment="1">
      <alignment horizontal="center" vertical="center"/>
    </xf>
    <xf numFmtId="49" fontId="11" fillId="10" borderId="23" xfId="0" applyNumberFormat="1" applyFont="1" applyFill="1" applyBorder="1" applyAlignment="1">
      <alignment horizontal="center" vertical="center"/>
    </xf>
    <xf numFmtId="49" fontId="10" fillId="9" borderId="2" xfId="0" applyNumberFormat="1" applyFont="1" applyFill="1" applyBorder="1" applyAlignment="1">
      <alignment horizontal="center" vertical="center"/>
    </xf>
    <xf numFmtId="168" fontId="10" fillId="9" borderId="2" xfId="0" applyNumberFormat="1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17" borderId="24" xfId="0" applyFont="1" applyFill="1" applyBorder="1" applyAlignment="1">
      <alignment horizontal="center" vertical="center"/>
    </xf>
    <xf numFmtId="0" fontId="21" fillId="17" borderId="25" xfId="0" applyFont="1" applyFill="1" applyBorder="1" applyAlignment="1">
      <alignment horizontal="center" vertical="center"/>
    </xf>
    <xf numFmtId="0" fontId="21" fillId="17" borderId="26" xfId="0" applyFont="1" applyFill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49" fontId="22" fillId="0" borderId="28" xfId="0" applyNumberFormat="1" applyFont="1" applyBorder="1" applyAlignment="1">
      <alignment horizontal="center" vertical="center"/>
    </xf>
    <xf numFmtId="1" fontId="22" fillId="0" borderId="28" xfId="0" applyNumberFormat="1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171" fontId="23" fillId="0" borderId="27" xfId="0" applyNumberFormat="1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72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171" fontId="22" fillId="0" borderId="27" xfId="0" applyNumberFormat="1" applyFont="1" applyBorder="1" applyAlignment="1">
      <alignment horizontal="center" vertical="center"/>
    </xf>
    <xf numFmtId="172" fontId="22" fillId="0" borderId="28" xfId="0" applyNumberFormat="1" applyFont="1" applyBorder="1" applyAlignment="1">
      <alignment horizontal="center" vertical="center"/>
    </xf>
    <xf numFmtId="171" fontId="22" fillId="0" borderId="30" xfId="0" applyNumberFormat="1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49" fontId="22" fillId="0" borderId="31" xfId="0" applyNumberFormat="1" applyFont="1" applyBorder="1" applyAlignment="1">
      <alignment horizontal="center" vertical="center"/>
    </xf>
    <xf numFmtId="172" fontId="22" fillId="0" borderId="31" xfId="0" applyNumberFormat="1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18" borderId="0" xfId="0" applyFont="1" applyFill="1"/>
    <xf numFmtId="0" fontId="30" fillId="19" borderId="0" xfId="0" applyFont="1" applyFill="1"/>
    <xf numFmtId="49" fontId="10" fillId="15" borderId="2" xfId="0" applyNumberFormat="1" applyFont="1" applyFill="1" applyBorder="1" applyAlignment="1">
      <alignment horizontal="center" vertical="center"/>
    </xf>
    <xf numFmtId="168" fontId="10" fillId="15" borderId="2" xfId="0" applyNumberFormat="1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49" fontId="10" fillId="11" borderId="2" xfId="0" applyNumberFormat="1" applyFont="1" applyFill="1" applyBorder="1" applyAlignment="1">
      <alignment horizontal="center" vertical="center"/>
    </xf>
    <xf numFmtId="168" fontId="10" fillId="11" borderId="2" xfId="0" applyNumberFormat="1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31" fillId="0" borderId="28" xfId="0" applyFont="1" applyBorder="1" applyAlignment="1">
      <alignment horizontal="center" vertical="center"/>
    </xf>
    <xf numFmtId="0" fontId="0" fillId="0" borderId="29" xfId="0" applyBorder="1"/>
    <xf numFmtId="171" fontId="23" fillId="0" borderId="30" xfId="0" applyNumberFormat="1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49" fontId="23" fillId="0" borderId="31" xfId="0" applyNumberFormat="1" applyFont="1" applyBorder="1" applyAlignment="1">
      <alignment horizontal="center" vertical="center"/>
    </xf>
    <xf numFmtId="172" fontId="23" fillId="0" borderId="31" xfId="0" applyNumberFormat="1" applyFont="1" applyBorder="1" applyAlignment="1">
      <alignment horizontal="center" vertical="center"/>
    </xf>
    <xf numFmtId="1" fontId="23" fillId="0" borderId="31" xfId="0" applyNumberFormat="1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49" fontId="10" fillId="16" borderId="2" xfId="0" applyNumberFormat="1" applyFont="1" applyFill="1" applyBorder="1" applyAlignment="1">
      <alignment horizontal="center" vertical="center"/>
    </xf>
    <xf numFmtId="168" fontId="10" fillId="16" borderId="2" xfId="0" applyNumberFormat="1" applyFont="1" applyFill="1" applyBorder="1" applyAlignment="1">
      <alignment horizontal="center" vertical="center"/>
    </xf>
    <xf numFmtId="49" fontId="10" fillId="10" borderId="2" xfId="0" applyNumberFormat="1" applyFont="1" applyFill="1" applyBorder="1" applyAlignment="1">
      <alignment horizontal="center" vertical="center"/>
    </xf>
    <xf numFmtId="168" fontId="10" fillId="10" borderId="2" xfId="0" applyNumberFormat="1" applyFont="1" applyFill="1" applyBorder="1" applyAlignment="1">
      <alignment horizontal="center" vertical="center"/>
    </xf>
    <xf numFmtId="169" fontId="32" fillId="10" borderId="8" xfId="0" applyNumberFormat="1" applyFont="1" applyFill="1" applyBorder="1" applyAlignment="1">
      <alignment horizontal="center" vertical="center"/>
    </xf>
    <xf numFmtId="169" fontId="11" fillId="15" borderId="8" xfId="0" applyNumberFormat="1" applyFont="1" applyFill="1" applyBorder="1" applyAlignment="1">
      <alignment horizontal="center" vertical="center"/>
    </xf>
    <xf numFmtId="169" fontId="11" fillId="14" borderId="8" xfId="0" applyNumberFormat="1" applyFont="1" applyFill="1" applyBorder="1" applyAlignment="1">
      <alignment horizontal="center" vertical="center"/>
    </xf>
    <xf numFmtId="0" fontId="20" fillId="0" borderId="6" xfId="0" applyFont="1" applyBorder="1"/>
    <xf numFmtId="0" fontId="0" fillId="0" borderId="10" xfId="0" applyBorder="1"/>
    <xf numFmtId="0" fontId="0" fillId="0" borderId="16" xfId="0" applyBorder="1"/>
    <xf numFmtId="49" fontId="5" fillId="4" borderId="2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165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49" fontId="7" fillId="4" borderId="2" xfId="0" applyNumberFormat="1" applyFont="1" applyFill="1" applyBorder="1" applyAlignment="1">
      <alignment horizontal="center" vertical="center"/>
    </xf>
    <xf numFmtId="167" fontId="3" fillId="3" borderId="0" xfId="0" applyNumberFormat="1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0" fillId="0" borderId="6" xfId="0" applyBorder="1"/>
    <xf numFmtId="165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49" fontId="31" fillId="0" borderId="33" xfId="0" applyNumberFormat="1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37" fillId="0" borderId="0" xfId="0" applyFont="1" applyAlignment="1">
      <alignment horizontal="center" vertical="center"/>
    </xf>
    <xf numFmtId="0" fontId="37" fillId="0" borderId="0" xfId="0" applyFont="1"/>
    <xf numFmtId="170" fontId="37" fillId="0" borderId="0" xfId="0" applyNumberFormat="1" applyFont="1" applyAlignment="1">
      <alignment horizontal="center" vertical="center"/>
    </xf>
    <xf numFmtId="15" fontId="37" fillId="0" borderId="0" xfId="0" applyNumberFormat="1" applyFont="1" applyAlignment="1">
      <alignment horizontal="center" vertical="center"/>
    </xf>
    <xf numFmtId="49" fontId="37" fillId="0" borderId="0" xfId="0" applyNumberFormat="1" applyFont="1" applyAlignment="1">
      <alignment horizontal="center" vertical="center"/>
    </xf>
    <xf numFmtId="168" fontId="37" fillId="0" borderId="0" xfId="0" applyNumberFormat="1" applyFont="1" applyAlignment="1">
      <alignment horizontal="center" vertical="center"/>
    </xf>
    <xf numFmtId="169" fontId="37" fillId="0" borderId="0" xfId="0" applyNumberFormat="1" applyFont="1" applyAlignment="1">
      <alignment horizontal="center" vertical="center"/>
    </xf>
    <xf numFmtId="1" fontId="37" fillId="0" borderId="0" xfId="0" applyNumberFormat="1" applyFont="1" applyAlignment="1">
      <alignment horizontal="center" vertical="center"/>
    </xf>
    <xf numFmtId="16" fontId="37" fillId="0" borderId="0" xfId="0" applyNumberFormat="1" applyFont="1" applyAlignment="1">
      <alignment horizontal="center" vertical="center"/>
    </xf>
    <xf numFmtId="0" fontId="38" fillId="20" borderId="0" xfId="0" applyFont="1" applyFill="1" applyAlignment="1">
      <alignment horizontal="center" vertical="center"/>
    </xf>
    <xf numFmtId="15" fontId="38" fillId="20" borderId="0" xfId="0" applyNumberFormat="1" applyFont="1" applyFill="1" applyAlignment="1">
      <alignment horizontal="center" vertical="center"/>
    </xf>
    <xf numFmtId="169" fontId="38" fillId="20" borderId="0" xfId="0" applyNumberFormat="1" applyFont="1" applyFill="1" applyAlignment="1">
      <alignment horizontal="center" vertical="center"/>
    </xf>
    <xf numFmtId="1" fontId="38" fillId="20" borderId="0" xfId="0" applyNumberFormat="1" applyFont="1" applyFill="1" applyAlignment="1">
      <alignment horizontal="center" vertical="center"/>
    </xf>
    <xf numFmtId="0" fontId="38" fillId="20" borderId="0" xfId="0" applyNumberFormat="1" applyFont="1" applyFill="1" applyAlignment="1">
      <alignment horizontal="center" vertical="center"/>
    </xf>
    <xf numFmtId="0" fontId="18" fillId="13" borderId="36" xfId="0" applyFont="1" applyFill="1" applyBorder="1" applyAlignment="1">
      <alignment horizontal="center" vertical="center"/>
    </xf>
    <xf numFmtId="0" fontId="18" fillId="13" borderId="37" xfId="0" applyFont="1" applyFill="1" applyBorder="1" applyAlignment="1">
      <alignment horizontal="center" vertical="center"/>
    </xf>
    <xf numFmtId="0" fontId="18" fillId="13" borderId="38" xfId="0" applyFont="1" applyFill="1" applyBorder="1" applyAlignment="1">
      <alignment horizontal="center" vertical="center"/>
    </xf>
  </cellXfs>
  <cellStyles count="1">
    <cellStyle name="Normal" xfId="0" builtinId="0"/>
  </cellStyles>
  <dxfs count="22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I_JED_LF_LEGACY" displayName="CAI_JED_LF_LEGACY" ref="A1:AJ33" totalsRowCount="1" headerRowDxfId="224" dataDxfId="187" totalsRowDxfId="150">
  <tableColumns count="36">
    <tableColumn id="1" xr3:uid="{00000000-0010-0000-0000-000001000000}" name="Day" totalsRowLabel="TOTAL" dataDxfId="223" totalsRowDxfId="186"/>
    <tableColumn id="2" xr3:uid="{00000000-0010-0000-0000-000002000000}" name="Flt Dt" dataDxfId="222" totalsRowDxfId="185"/>
    <tableColumn id="3" xr3:uid="{00000000-0010-0000-0000-000003000000}" name="Flt" totalsRowFunction="count" dataDxfId="221" totalsRowDxfId="184"/>
    <tableColumn id="4" xr3:uid="{00000000-0010-0000-0000-000004000000}" name="DEP" dataDxfId="220" totalsRowDxfId="183"/>
    <tableColumn id="5" xr3:uid="{00000000-0010-0000-0000-000005000000}" name="Brd-Off" totalsRowFunction="count" dataDxfId="219" totalsRowDxfId="182"/>
    <tableColumn id="6" xr3:uid="{00000000-0010-0000-0000-000006000000}" name="Eqp" dataDxfId="218" totalsRowDxfId="181"/>
    <tableColumn id="7" xr3:uid="{00000000-0010-0000-0000-000007000000}" name="LF%" totalsRowFunction="average" dataDxfId="217" totalsRowDxfId="180"/>
    <tableColumn id="8" xr3:uid="{00000000-0010-0000-0000-000008000000}" name="CAP" totalsRowFunction="sum" dataDxfId="216" totalsRowDxfId="179"/>
    <tableColumn id="9" xr3:uid="{00000000-0010-0000-0000-000009000000}" name="BKG(Y)" totalsRowFunction="sum" dataDxfId="215" totalsRowDxfId="178"/>
    <tableColumn id="10" xr3:uid="{00000000-0010-0000-0000-00000A000000}" name="GRP(Y)" totalsRowFunction="sum" dataDxfId="214" totalsRowDxfId="177"/>
    <tableColumn id="11" xr3:uid="{00000000-0010-0000-0000-00000B000000}" name="FLT ST" dataDxfId="213" totalsRowDxfId="176"/>
    <tableColumn id="12" xr3:uid="{00000000-0010-0000-0000-00000C000000}" name="LST-SOLD" dataDxfId="212" totalsRowDxfId="175"/>
    <tableColumn id="13" xr3:uid="{00000000-0010-0000-0000-00000D000000}" name="TO-DAY" totalsRowFunction="sum" dataDxfId="211" totalsRowDxfId="174"/>
    <tableColumn id="14" xr3:uid="{00000000-0010-0000-0000-00000E000000}" name="Y-DAY" totalsRowFunction="sum" dataDxfId="210" totalsRowDxfId="173"/>
    <tableColumn id="15" xr3:uid="{00000000-0010-0000-0000-00000F000000}" name="WEEKLY" totalsRowFunction="sum" dataDxfId="209" totalsRowDxfId="172"/>
    <tableColumn id="16" xr3:uid="{00000000-0010-0000-0000-000010000000}" name="LOWEST AVAIL" dataDxfId="208" totalsRowDxfId="171"/>
    <tableColumn id="17" xr3:uid="{00000000-0010-0000-0000-000011000000}" name="Y" totalsRowFunction="sum" dataDxfId="207" totalsRowDxfId="170"/>
    <tableColumn id="18" xr3:uid="{00000000-0010-0000-0000-000012000000}" name="B" totalsRowFunction="sum" dataDxfId="206" totalsRowDxfId="169"/>
    <tableColumn id="19" xr3:uid="{00000000-0010-0000-0000-000013000000}" name="M" totalsRowFunction="sum" dataDxfId="205" totalsRowDxfId="168"/>
    <tableColumn id="20" xr3:uid="{00000000-0010-0000-0000-000014000000}" name="H" totalsRowFunction="sum" dataDxfId="204" totalsRowDxfId="167"/>
    <tableColumn id="21" xr3:uid="{00000000-0010-0000-0000-000015000000}" name="Q" totalsRowFunction="sum" dataDxfId="203" totalsRowDxfId="166"/>
    <tableColumn id="22" xr3:uid="{00000000-0010-0000-0000-000016000000}" name="K" totalsRowFunction="sum" dataDxfId="202" totalsRowDxfId="165"/>
    <tableColumn id="23" xr3:uid="{00000000-0010-0000-0000-000017000000}" name="V" totalsRowFunction="sum" dataDxfId="201" totalsRowDxfId="164"/>
    <tableColumn id="24" xr3:uid="{00000000-0010-0000-0000-000018000000}" name="L" totalsRowFunction="sum" dataDxfId="200" totalsRowDxfId="163"/>
    <tableColumn id="25" xr3:uid="{00000000-0010-0000-0000-000019000000}" name="G" totalsRowFunction="sum" dataDxfId="199" totalsRowDxfId="162"/>
    <tableColumn id="26" xr3:uid="{00000000-0010-0000-0000-00001A000000}" name="S" totalsRowFunction="sum" dataDxfId="198" totalsRowDxfId="161"/>
    <tableColumn id="27" xr3:uid="{00000000-0010-0000-0000-00001B000000}" name="W" totalsRowFunction="sum" dataDxfId="197" totalsRowDxfId="160"/>
    <tableColumn id="28" xr3:uid="{00000000-0010-0000-0000-00001C000000}" name="T" totalsRowFunction="sum" dataDxfId="196" totalsRowDxfId="159"/>
    <tableColumn id="29" xr3:uid="{00000000-0010-0000-0000-00001D000000}" name="X" totalsRowFunction="sum" dataDxfId="195" totalsRowDxfId="158"/>
    <tableColumn id="30" xr3:uid="{00000000-0010-0000-0000-00001E000000}" name="U" totalsRowFunction="sum" dataDxfId="194" totalsRowDxfId="157"/>
    <tableColumn id="31" xr3:uid="{00000000-0010-0000-0000-00001F000000}" name="O" totalsRowFunction="sum" dataDxfId="193" totalsRowDxfId="156"/>
    <tableColumn id="32" xr3:uid="{00000000-0010-0000-0000-000020000000}" name="I" totalsRowFunction="sum" dataDxfId="192" totalsRowDxfId="155"/>
    <tableColumn id="33" xr3:uid="{00000000-0010-0000-0000-000021000000}" name="E" totalsRowFunction="sum" dataDxfId="191" totalsRowDxfId="154"/>
    <tableColumn id="34" xr3:uid="{00000000-0010-0000-0000-000022000000}" name="A" totalsRowFunction="sum" dataDxfId="190" totalsRowDxfId="153"/>
    <tableColumn id="35" xr3:uid="{00000000-0010-0000-0000-000023000000}" name="P" totalsRowFunction="sum" dataDxfId="189" totalsRowDxfId="152"/>
    <tableColumn id="36" xr3:uid="{00000000-0010-0000-0000-000024000000}" name="N" totalsRowFunction="count" dataDxfId="188" totalsRowDxfId="1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CAI_JED" displayName="FocusMode_CAI_JED" ref="A1:H453" totalsRowShown="0">
  <autoFilter ref="A1:H45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CAI_JED" displayName="ThreatsAlert_CAI_JED" ref="A1:I233">
  <autoFilter ref="A1:I233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HBE_JED_LF_LEGACY" displayName="HBE_JED_LF_LEGACY" ref="A1:AJ12" totalsRowCount="1" headerRowDxfId="149" dataDxfId="112" totalsRowDxfId="75">
  <tableColumns count="36">
    <tableColumn id="1" xr3:uid="{00000000-0010-0000-0300-000001000000}" name="Day" totalsRowLabel="TOTAL" dataDxfId="148" totalsRowDxfId="111"/>
    <tableColumn id="2" xr3:uid="{00000000-0010-0000-0300-000002000000}" name="Flt Dt" dataDxfId="147" totalsRowDxfId="110"/>
    <tableColumn id="3" xr3:uid="{00000000-0010-0000-0300-000003000000}" name="Flt" totalsRowFunction="count" dataDxfId="146" totalsRowDxfId="109"/>
    <tableColumn id="4" xr3:uid="{00000000-0010-0000-0300-000004000000}" name="DEP" dataDxfId="145" totalsRowDxfId="108"/>
    <tableColumn id="5" xr3:uid="{00000000-0010-0000-0300-000005000000}" name="Brd-Off" totalsRowFunction="count" dataDxfId="144" totalsRowDxfId="107"/>
    <tableColumn id="6" xr3:uid="{00000000-0010-0000-0300-000006000000}" name="Eqp" dataDxfId="143" totalsRowDxfId="106"/>
    <tableColumn id="7" xr3:uid="{00000000-0010-0000-0300-000007000000}" name="LF%" totalsRowFunction="average" dataDxfId="142" totalsRowDxfId="105"/>
    <tableColumn id="8" xr3:uid="{00000000-0010-0000-0300-000008000000}" name="CAP" totalsRowFunction="sum" dataDxfId="141" totalsRowDxfId="104"/>
    <tableColumn id="9" xr3:uid="{00000000-0010-0000-0300-000009000000}" name="BKG(Y)" totalsRowFunction="sum" dataDxfId="140" totalsRowDxfId="103"/>
    <tableColumn id="10" xr3:uid="{00000000-0010-0000-0300-00000A000000}" name="GRP(Y)" totalsRowFunction="sum" dataDxfId="139" totalsRowDxfId="102"/>
    <tableColumn id="11" xr3:uid="{00000000-0010-0000-0300-00000B000000}" name="FLT ST" dataDxfId="138" totalsRowDxfId="101"/>
    <tableColumn id="12" xr3:uid="{00000000-0010-0000-0300-00000C000000}" name="LST-SOLD" dataDxfId="137" totalsRowDxfId="100"/>
    <tableColumn id="13" xr3:uid="{00000000-0010-0000-0300-00000D000000}" name="TO-DAY" totalsRowFunction="sum" dataDxfId="136" totalsRowDxfId="99"/>
    <tableColumn id="14" xr3:uid="{00000000-0010-0000-0300-00000E000000}" name="Y-DAY" totalsRowFunction="sum" dataDxfId="135" totalsRowDxfId="98"/>
    <tableColumn id="15" xr3:uid="{00000000-0010-0000-0300-00000F000000}" name="WEEKLY" totalsRowFunction="sum" dataDxfId="134" totalsRowDxfId="97"/>
    <tableColumn id="16" xr3:uid="{00000000-0010-0000-0300-000010000000}" name="LOWEST AVAIL" dataDxfId="133" totalsRowDxfId="96"/>
    <tableColumn id="17" xr3:uid="{00000000-0010-0000-0300-000011000000}" name="Y" totalsRowFunction="sum" dataDxfId="132" totalsRowDxfId="95"/>
    <tableColumn id="18" xr3:uid="{00000000-0010-0000-0300-000012000000}" name="B" totalsRowFunction="sum" dataDxfId="131" totalsRowDxfId="94"/>
    <tableColumn id="19" xr3:uid="{00000000-0010-0000-0300-000013000000}" name="M" totalsRowFunction="sum" dataDxfId="130" totalsRowDxfId="93"/>
    <tableColumn id="20" xr3:uid="{00000000-0010-0000-0300-000014000000}" name="H" totalsRowFunction="sum" dataDxfId="129" totalsRowDxfId="92"/>
    <tableColumn id="21" xr3:uid="{00000000-0010-0000-0300-000015000000}" name="Q" totalsRowFunction="sum" dataDxfId="128" totalsRowDxfId="91"/>
    <tableColumn id="22" xr3:uid="{00000000-0010-0000-0300-000016000000}" name="K" totalsRowFunction="sum" dataDxfId="127" totalsRowDxfId="90"/>
    <tableColumn id="23" xr3:uid="{00000000-0010-0000-0300-000017000000}" name="V" totalsRowFunction="sum" dataDxfId="126" totalsRowDxfId="89"/>
    <tableColumn id="24" xr3:uid="{00000000-0010-0000-0300-000018000000}" name="L" totalsRowFunction="sum" dataDxfId="125" totalsRowDxfId="88"/>
    <tableColumn id="25" xr3:uid="{00000000-0010-0000-0300-000019000000}" name="G" totalsRowFunction="sum" dataDxfId="124" totalsRowDxfId="87"/>
    <tableColumn id="26" xr3:uid="{00000000-0010-0000-0300-00001A000000}" name="S" totalsRowFunction="sum" dataDxfId="123" totalsRowDxfId="86"/>
    <tableColumn id="27" xr3:uid="{00000000-0010-0000-0300-00001B000000}" name="W" totalsRowFunction="sum" dataDxfId="122" totalsRowDxfId="85"/>
    <tableColumn id="28" xr3:uid="{00000000-0010-0000-0300-00001C000000}" name="T" totalsRowFunction="sum" dataDxfId="121" totalsRowDxfId="84"/>
    <tableColumn id="29" xr3:uid="{00000000-0010-0000-0300-00001D000000}" name="X" totalsRowFunction="sum" dataDxfId="120" totalsRowDxfId="83"/>
    <tableColumn id="30" xr3:uid="{00000000-0010-0000-0300-00001E000000}" name="U" totalsRowFunction="sum" dataDxfId="119" totalsRowDxfId="82"/>
    <tableColumn id="31" xr3:uid="{00000000-0010-0000-0300-00001F000000}" name="O" totalsRowFunction="sum" dataDxfId="118" totalsRowDxfId="81"/>
    <tableColumn id="32" xr3:uid="{00000000-0010-0000-0300-000020000000}" name="I" totalsRowFunction="sum" dataDxfId="117" totalsRowDxfId="80"/>
    <tableColumn id="33" xr3:uid="{00000000-0010-0000-0300-000021000000}" name="E" totalsRowFunction="sum" dataDxfId="116" totalsRowDxfId="79"/>
    <tableColumn id="34" xr3:uid="{00000000-0010-0000-0300-000022000000}" name="A" totalsRowFunction="sum" dataDxfId="115" totalsRowDxfId="78"/>
    <tableColumn id="35" xr3:uid="{00000000-0010-0000-0300-000023000000}" name="P" totalsRowFunction="sum" dataDxfId="114" totalsRowDxfId="77"/>
    <tableColumn id="36" xr3:uid="{00000000-0010-0000-0300-000024000000}" name="N" totalsRowFunction="count" dataDxfId="113" totalsRowDxfId="7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110" totalsRowShown="0">
  <autoFilter ref="A1:H110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TZ_JED_LF_LEGACY" displayName="ATZ_JED_LF_LEGACY" ref="A1:AJ14" totalsRowCount="1" headerRowDxfId="74" dataDxfId="37" totalsRowDxfId="0">
  <tableColumns count="36">
    <tableColumn id="1" xr3:uid="{00000000-0010-0000-0500-000001000000}" name="Day" totalsRowLabel="TOTAL" dataDxfId="73" totalsRowDxfId="36"/>
    <tableColumn id="2" xr3:uid="{00000000-0010-0000-0500-000002000000}" name="Flt Dt" dataDxfId="72" totalsRowDxfId="35"/>
    <tableColumn id="3" xr3:uid="{00000000-0010-0000-0500-000003000000}" name="Flt" totalsRowFunction="count" dataDxfId="71" totalsRowDxfId="34"/>
    <tableColumn id="4" xr3:uid="{00000000-0010-0000-0500-000004000000}" name="DEP" dataDxfId="70" totalsRowDxfId="33"/>
    <tableColumn id="5" xr3:uid="{00000000-0010-0000-0500-000005000000}" name="Brd-Off" totalsRowFunction="count" dataDxfId="69" totalsRowDxfId="32"/>
    <tableColumn id="6" xr3:uid="{00000000-0010-0000-0500-000006000000}" name="Eqp" dataDxfId="68" totalsRowDxfId="31"/>
    <tableColumn id="7" xr3:uid="{00000000-0010-0000-0500-000007000000}" name="LF%" totalsRowFunction="average" dataDxfId="67" totalsRowDxfId="30"/>
    <tableColumn id="8" xr3:uid="{00000000-0010-0000-0500-000008000000}" name="CAP" totalsRowFunction="sum" dataDxfId="66" totalsRowDxfId="29"/>
    <tableColumn id="9" xr3:uid="{00000000-0010-0000-0500-000009000000}" name="BKG(Y)" totalsRowFunction="sum" dataDxfId="65" totalsRowDxfId="28"/>
    <tableColumn id="10" xr3:uid="{00000000-0010-0000-0500-00000A000000}" name="GRP(Y)" totalsRowFunction="sum" dataDxfId="64" totalsRowDxfId="27"/>
    <tableColumn id="11" xr3:uid="{00000000-0010-0000-0500-00000B000000}" name="FLT ST" dataDxfId="63" totalsRowDxfId="26"/>
    <tableColumn id="12" xr3:uid="{00000000-0010-0000-0500-00000C000000}" name="LST-SOLD" dataDxfId="62" totalsRowDxfId="25"/>
    <tableColumn id="13" xr3:uid="{00000000-0010-0000-0500-00000D000000}" name="TO-DAY" totalsRowFunction="sum" dataDxfId="61" totalsRowDxfId="24"/>
    <tableColumn id="14" xr3:uid="{00000000-0010-0000-0500-00000E000000}" name="Y-DAY" totalsRowFunction="sum" dataDxfId="60" totalsRowDxfId="23"/>
    <tableColumn id="15" xr3:uid="{00000000-0010-0000-0500-00000F000000}" name="WEEKLY" totalsRowFunction="sum" dataDxfId="59" totalsRowDxfId="22"/>
    <tableColumn id="16" xr3:uid="{00000000-0010-0000-0500-000010000000}" name="LOWEST AVAIL" dataDxfId="58" totalsRowDxfId="21"/>
    <tableColumn id="17" xr3:uid="{00000000-0010-0000-0500-000011000000}" name="Y" totalsRowFunction="sum" dataDxfId="57" totalsRowDxfId="20"/>
    <tableColumn id="18" xr3:uid="{00000000-0010-0000-0500-000012000000}" name="B" totalsRowFunction="sum" dataDxfId="56" totalsRowDxfId="19"/>
    <tableColumn id="19" xr3:uid="{00000000-0010-0000-0500-000013000000}" name="M" totalsRowFunction="sum" dataDxfId="55" totalsRowDxfId="18"/>
    <tableColumn id="20" xr3:uid="{00000000-0010-0000-0500-000014000000}" name="H" totalsRowFunction="sum" dataDxfId="54" totalsRowDxfId="17"/>
    <tableColumn id="21" xr3:uid="{00000000-0010-0000-0500-000015000000}" name="Q" totalsRowFunction="sum" dataDxfId="53" totalsRowDxfId="16"/>
    <tableColumn id="22" xr3:uid="{00000000-0010-0000-0500-000016000000}" name="K" totalsRowFunction="sum" dataDxfId="52" totalsRowDxfId="15"/>
    <tableColumn id="23" xr3:uid="{00000000-0010-0000-0500-000017000000}" name="V" totalsRowFunction="sum" dataDxfId="51" totalsRowDxfId="14"/>
    <tableColumn id="24" xr3:uid="{00000000-0010-0000-0500-000018000000}" name="L" totalsRowFunction="sum" dataDxfId="50" totalsRowDxfId="13"/>
    <tableColumn id="25" xr3:uid="{00000000-0010-0000-0500-000019000000}" name="G" totalsRowFunction="sum" dataDxfId="49" totalsRowDxfId="12"/>
    <tableColumn id="26" xr3:uid="{00000000-0010-0000-0500-00001A000000}" name="S" totalsRowFunction="sum" dataDxfId="48" totalsRowDxfId="11"/>
    <tableColumn id="27" xr3:uid="{00000000-0010-0000-0500-00001B000000}" name="W" totalsRowFunction="sum" dataDxfId="47" totalsRowDxfId="10"/>
    <tableColumn id="28" xr3:uid="{00000000-0010-0000-0500-00001C000000}" name="T" totalsRowFunction="sum" dataDxfId="46" totalsRowDxfId="9"/>
    <tableColumn id="29" xr3:uid="{00000000-0010-0000-0500-00001D000000}" name="X" totalsRowFunction="sum" dataDxfId="45" totalsRowDxfId="8"/>
    <tableColumn id="30" xr3:uid="{00000000-0010-0000-0500-00001E000000}" name="U" totalsRowFunction="sum" dataDxfId="44" totalsRowDxfId="7"/>
    <tableColumn id="31" xr3:uid="{00000000-0010-0000-0500-00001F000000}" name="O" totalsRowFunction="sum" dataDxfId="43" totalsRowDxfId="6"/>
    <tableColumn id="32" xr3:uid="{00000000-0010-0000-0500-000020000000}" name="I" totalsRowFunction="sum" dataDxfId="42" totalsRowDxfId="5"/>
    <tableColumn id="33" xr3:uid="{00000000-0010-0000-0500-000021000000}" name="E" totalsRowFunction="sum" dataDxfId="41" totalsRowDxfId="4"/>
    <tableColumn id="34" xr3:uid="{00000000-0010-0000-0500-000022000000}" name="A" totalsRowFunction="sum" dataDxfId="40" totalsRowDxfId="3"/>
    <tableColumn id="35" xr3:uid="{00000000-0010-0000-0500-000023000000}" name="P" totalsRowFunction="sum" dataDxfId="39" totalsRowDxfId="2"/>
    <tableColumn id="36" xr3:uid="{00000000-0010-0000-0500-000024000000}" name="N" totalsRowFunction="count" dataDxfId="38" totalsRowDxfId="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ATZ_JED" displayName="FocusMode_ATZ_JED" ref="A1:H90" totalsRowShown="0">
  <autoFilter ref="A1:H90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72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18.554687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93.33203125" bestFit="1" customWidth="1"/>
  </cols>
  <sheetData>
    <row r="1" spans="1:92" ht="28.8" customHeight="1" x14ac:dyDescent="0.3">
      <c r="A1" s="208" t="s">
        <v>0</v>
      </c>
      <c r="B1" s="207"/>
      <c r="C1" s="207"/>
      <c r="D1" s="207"/>
      <c r="E1" s="207"/>
      <c r="F1" s="1" t="s">
        <v>1</v>
      </c>
      <c r="G1" s="2" t="s">
        <v>2</v>
      </c>
      <c r="H1" s="206">
        <v>45986</v>
      </c>
      <c r="I1" s="207"/>
      <c r="J1" s="207"/>
      <c r="K1" s="207"/>
      <c r="L1" s="207"/>
      <c r="M1" s="1" t="s">
        <v>3</v>
      </c>
      <c r="N1" s="216">
        <v>45991</v>
      </c>
      <c r="O1" s="207"/>
      <c r="P1" s="207"/>
      <c r="Q1" s="207"/>
      <c r="R1" s="207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10" t="s">
        <v>4</v>
      </c>
      <c r="B2" s="207"/>
      <c r="C2" s="207"/>
      <c r="D2" s="207"/>
      <c r="E2" s="207"/>
      <c r="F2" s="207"/>
      <c r="G2" s="213">
        <v>45982.183647164893</v>
      </c>
      <c r="H2" s="207"/>
      <c r="I2" s="207"/>
      <c r="J2" s="207"/>
      <c r="K2" s="217">
        <v>45982.183647165177</v>
      </c>
      <c r="L2" s="207"/>
      <c r="M2" s="207"/>
      <c r="N2" s="207"/>
      <c r="O2" s="207"/>
      <c r="P2" s="207"/>
      <c r="Q2" s="207"/>
      <c r="R2" s="20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1" t="s">
        <v>5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4" t="s">
        <v>6</v>
      </c>
      <c r="B4" s="204"/>
      <c r="C4" s="204"/>
      <c r="D4" s="204"/>
      <c r="E4" s="204"/>
      <c r="F4" s="205"/>
      <c r="G4" s="4">
        <v>45986</v>
      </c>
      <c r="H4" s="209" t="s">
        <v>7</v>
      </c>
      <c r="I4" s="204"/>
      <c r="J4" s="204"/>
      <c r="K4" s="204"/>
      <c r="L4" s="204"/>
      <c r="M4" s="204"/>
      <c r="N4" s="204"/>
      <c r="O4" s="204"/>
      <c r="P4" s="204"/>
      <c r="Q4" s="204"/>
      <c r="R4" s="20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26</v>
      </c>
      <c r="B6" s="8" t="s">
        <v>27</v>
      </c>
      <c r="C6" s="9">
        <v>0.4375</v>
      </c>
      <c r="D6" s="8" t="s">
        <v>28</v>
      </c>
      <c r="E6" s="8" t="s">
        <v>29</v>
      </c>
      <c r="F6" s="8" t="s">
        <v>30</v>
      </c>
      <c r="G6" s="215"/>
      <c r="H6" s="10" t="s">
        <v>31</v>
      </c>
      <c r="I6" s="11">
        <v>0.99439999999999995</v>
      </c>
      <c r="J6" s="12">
        <v>179</v>
      </c>
      <c r="K6" s="13">
        <v>45981</v>
      </c>
      <c r="L6" s="12">
        <v>35</v>
      </c>
      <c r="M6" s="12">
        <v>0</v>
      </c>
      <c r="N6" s="12">
        <v>1</v>
      </c>
      <c r="O6" s="14" t="s">
        <v>32</v>
      </c>
      <c r="P6" s="15">
        <v>0.4375</v>
      </c>
      <c r="Q6" s="12">
        <v>180</v>
      </c>
      <c r="R6" s="16" t="s">
        <v>33</v>
      </c>
    </row>
    <row r="7" spans="1:92" ht="15" customHeight="1" x14ac:dyDescent="0.3">
      <c r="A7" s="17" t="s">
        <v>26</v>
      </c>
      <c r="B7" s="17" t="s">
        <v>34</v>
      </c>
      <c r="C7" s="18">
        <v>5.2083333333333343E-2</v>
      </c>
      <c r="D7" s="17" t="s">
        <v>28</v>
      </c>
      <c r="E7" s="17" t="s">
        <v>35</v>
      </c>
      <c r="F7" s="17" t="s">
        <v>36</v>
      </c>
      <c r="G7" s="201"/>
      <c r="H7" s="19" t="s">
        <v>37</v>
      </c>
      <c r="I7" s="20">
        <v>0.87219999999999998</v>
      </c>
      <c r="J7" s="21">
        <v>157</v>
      </c>
      <c r="K7" s="22">
        <v>45981</v>
      </c>
      <c r="L7" s="21">
        <v>67</v>
      </c>
      <c r="M7" s="21">
        <v>0</v>
      </c>
      <c r="N7" s="21">
        <v>10</v>
      </c>
      <c r="O7" s="23" t="s">
        <v>38</v>
      </c>
      <c r="P7" s="24">
        <v>5.2083333333333343E-2</v>
      </c>
      <c r="Q7" s="21">
        <v>180</v>
      </c>
      <c r="R7" s="25" t="s">
        <v>39</v>
      </c>
    </row>
    <row r="8" spans="1:92" ht="15" customHeight="1" x14ac:dyDescent="0.3">
      <c r="A8" s="26" t="s">
        <v>26</v>
      </c>
      <c r="B8" s="26" t="s">
        <v>40</v>
      </c>
      <c r="C8" s="27">
        <v>0.79166666666666663</v>
      </c>
      <c r="D8" s="26" t="s">
        <v>28</v>
      </c>
      <c r="E8" s="26" t="s">
        <v>35</v>
      </c>
      <c r="F8" s="26" t="s">
        <v>36</v>
      </c>
      <c r="G8" s="201"/>
      <c r="H8" s="10" t="s">
        <v>41</v>
      </c>
      <c r="I8" s="28">
        <v>0.7833</v>
      </c>
      <c r="J8" s="12">
        <v>141</v>
      </c>
      <c r="K8" s="13">
        <v>45981</v>
      </c>
      <c r="L8" s="12">
        <v>79</v>
      </c>
      <c r="M8" s="12">
        <v>0</v>
      </c>
      <c r="N8" s="12">
        <v>25</v>
      </c>
      <c r="O8" s="14" t="s">
        <v>38</v>
      </c>
      <c r="P8" s="15">
        <v>0.79166666666666663</v>
      </c>
      <c r="Q8" s="12">
        <v>180</v>
      </c>
      <c r="R8" s="16" t="s">
        <v>42</v>
      </c>
    </row>
    <row r="9" spans="1:92" ht="15" customHeight="1" x14ac:dyDescent="0.3">
      <c r="A9" s="29" t="s">
        <v>26</v>
      </c>
      <c r="B9" s="29" t="s">
        <v>43</v>
      </c>
      <c r="C9" s="30">
        <v>0.38194444444444442</v>
      </c>
      <c r="D9" s="29" t="s">
        <v>44</v>
      </c>
      <c r="E9" s="31"/>
      <c r="F9" s="29" t="s">
        <v>45</v>
      </c>
      <c r="G9" s="201"/>
      <c r="H9" s="32" t="s">
        <v>43</v>
      </c>
      <c r="I9" s="33">
        <v>1.0056</v>
      </c>
      <c r="J9" s="34">
        <v>181</v>
      </c>
      <c r="K9" s="35">
        <v>45981</v>
      </c>
      <c r="L9" s="34">
        <v>14</v>
      </c>
      <c r="M9" s="34">
        <v>0</v>
      </c>
      <c r="N9" s="34">
        <v>3</v>
      </c>
      <c r="O9" s="36" t="s">
        <v>46</v>
      </c>
      <c r="P9" s="37">
        <v>0.38194444444444442</v>
      </c>
      <c r="Q9" s="34">
        <v>180</v>
      </c>
      <c r="R9" s="38" t="s">
        <v>47</v>
      </c>
    </row>
    <row r="10" spans="1:92" ht="15" customHeight="1" x14ac:dyDescent="0.3">
      <c r="A10" s="39" t="s">
        <v>26</v>
      </c>
      <c r="B10" s="39" t="s">
        <v>48</v>
      </c>
      <c r="C10" s="40">
        <v>0.55208333333333337</v>
      </c>
      <c r="D10" s="39" t="s">
        <v>44</v>
      </c>
      <c r="E10" s="41"/>
      <c r="F10" s="39" t="s">
        <v>45</v>
      </c>
      <c r="G10" s="201"/>
      <c r="H10" s="42" t="s">
        <v>48</v>
      </c>
      <c r="I10" s="43">
        <v>0.98329999999999995</v>
      </c>
      <c r="J10" s="44">
        <v>177</v>
      </c>
      <c r="K10" s="45">
        <v>45980</v>
      </c>
      <c r="L10" s="44">
        <v>41</v>
      </c>
      <c r="M10" s="44">
        <v>0</v>
      </c>
      <c r="N10" s="44">
        <v>0</v>
      </c>
      <c r="O10" s="46" t="s">
        <v>46</v>
      </c>
      <c r="P10" s="47">
        <v>0.55208333333333337</v>
      </c>
      <c r="Q10" s="44">
        <v>180</v>
      </c>
      <c r="R10" s="48" t="s">
        <v>49</v>
      </c>
    </row>
    <row r="11" spans="1:92" ht="15" customHeight="1" x14ac:dyDescent="0.3">
      <c r="A11" s="49" t="s">
        <v>26</v>
      </c>
      <c r="B11" s="49" t="s">
        <v>50</v>
      </c>
      <c r="C11" s="50">
        <v>0.75694444444444453</v>
      </c>
      <c r="D11" s="49" t="s">
        <v>44</v>
      </c>
      <c r="E11" s="51"/>
      <c r="F11" s="49" t="s">
        <v>45</v>
      </c>
      <c r="G11" s="201"/>
      <c r="H11" s="52" t="s">
        <v>50</v>
      </c>
      <c r="I11" s="53">
        <v>0.99439999999999995</v>
      </c>
      <c r="J11" s="54">
        <v>179</v>
      </c>
      <c r="K11" s="55">
        <v>45979</v>
      </c>
      <c r="L11" s="54">
        <v>22</v>
      </c>
      <c r="M11" s="54">
        <v>0</v>
      </c>
      <c r="N11" s="54">
        <v>0</v>
      </c>
      <c r="O11" s="56" t="s">
        <v>46</v>
      </c>
      <c r="P11" s="57">
        <v>0.75694444444444453</v>
      </c>
      <c r="Q11" s="54">
        <v>180</v>
      </c>
      <c r="R11" s="58" t="s">
        <v>51</v>
      </c>
    </row>
    <row r="12" spans="1:92" ht="15" customHeight="1" x14ac:dyDescent="0.3">
      <c r="A12" s="59" t="s">
        <v>52</v>
      </c>
      <c r="B12" s="59" t="s">
        <v>53</v>
      </c>
      <c r="C12" s="60">
        <v>0.39930555555555558</v>
      </c>
      <c r="D12" s="59" t="s">
        <v>54</v>
      </c>
      <c r="E12" s="59" t="s">
        <v>29</v>
      </c>
      <c r="F12" s="59" t="s">
        <v>55</v>
      </c>
      <c r="G12" s="201"/>
      <c r="H12" s="61"/>
      <c r="I12" s="62"/>
      <c r="J12" s="62"/>
      <c r="K12" s="62"/>
      <c r="L12" s="62"/>
      <c r="M12" s="62"/>
      <c r="N12" s="62"/>
      <c r="O12" s="63"/>
      <c r="P12" s="62"/>
      <c r="Q12" s="64"/>
      <c r="R12" s="65"/>
    </row>
    <row r="13" spans="1:92" ht="15" customHeight="1" x14ac:dyDescent="0.3">
      <c r="A13" s="66" t="s">
        <v>52</v>
      </c>
      <c r="B13" s="66" t="s">
        <v>53</v>
      </c>
      <c r="C13" s="67">
        <v>0.39930555555555558</v>
      </c>
      <c r="D13" s="66" t="s">
        <v>56</v>
      </c>
      <c r="E13" s="66" t="s">
        <v>57</v>
      </c>
      <c r="F13" s="66" t="s">
        <v>55</v>
      </c>
      <c r="G13" s="201"/>
      <c r="H13" s="61"/>
      <c r="I13" s="62"/>
      <c r="J13" s="62"/>
      <c r="K13" s="62"/>
      <c r="L13" s="62"/>
      <c r="M13" s="62"/>
      <c r="N13" s="62"/>
      <c r="O13" s="63"/>
      <c r="P13" s="62"/>
      <c r="Q13" s="64"/>
      <c r="R13" s="65"/>
    </row>
    <row r="14" spans="1:92" ht="15" customHeight="1" x14ac:dyDescent="0.3">
      <c r="A14" s="66" t="s">
        <v>52</v>
      </c>
      <c r="B14" s="66" t="s">
        <v>53</v>
      </c>
      <c r="C14" s="67">
        <v>0.39930555555555558</v>
      </c>
      <c r="D14" s="66" t="s">
        <v>58</v>
      </c>
      <c r="E14" s="66" t="s">
        <v>57</v>
      </c>
      <c r="F14" s="66" t="s">
        <v>59</v>
      </c>
      <c r="G14" s="201"/>
      <c r="H14" s="61"/>
      <c r="I14" s="62"/>
      <c r="J14" s="62"/>
      <c r="K14" s="62"/>
      <c r="L14" s="62"/>
      <c r="M14" s="62"/>
      <c r="N14" s="62"/>
      <c r="O14" s="63"/>
      <c r="P14" s="62"/>
      <c r="Q14" s="64"/>
      <c r="R14" s="65"/>
    </row>
    <row r="15" spans="1:92" ht="15" customHeight="1" x14ac:dyDescent="0.3">
      <c r="A15" s="66" t="s">
        <v>52</v>
      </c>
      <c r="B15" s="66" t="s">
        <v>53</v>
      </c>
      <c r="C15" s="67">
        <v>0.39930555555555558</v>
      </c>
      <c r="D15" s="66" t="s">
        <v>60</v>
      </c>
      <c r="E15" s="66" t="s">
        <v>57</v>
      </c>
      <c r="F15" s="66" t="s">
        <v>61</v>
      </c>
      <c r="G15" s="201"/>
      <c r="H15" s="61"/>
      <c r="I15" s="62"/>
      <c r="J15" s="62"/>
      <c r="K15" s="62"/>
      <c r="L15" s="62"/>
      <c r="M15" s="62"/>
      <c r="N15" s="62"/>
      <c r="O15" s="63"/>
      <c r="P15" s="62"/>
      <c r="Q15" s="64"/>
      <c r="R15" s="65"/>
    </row>
    <row r="16" spans="1:92" ht="15" customHeight="1" x14ac:dyDescent="0.3">
      <c r="A16" s="68" t="s">
        <v>52</v>
      </c>
      <c r="B16" s="68" t="s">
        <v>62</v>
      </c>
      <c r="C16" s="69">
        <v>0.48958333333333331</v>
      </c>
      <c r="D16" s="68" t="s">
        <v>54</v>
      </c>
      <c r="E16" s="68" t="s">
        <v>63</v>
      </c>
      <c r="F16" s="68" t="s">
        <v>36</v>
      </c>
      <c r="G16" s="201"/>
      <c r="H16" s="61"/>
      <c r="I16" s="62"/>
      <c r="J16" s="62"/>
      <c r="K16" s="62"/>
      <c r="L16" s="62"/>
      <c r="M16" s="62"/>
      <c r="N16" s="62"/>
      <c r="O16" s="63"/>
      <c r="P16" s="62"/>
      <c r="Q16" s="64"/>
      <c r="R16" s="65"/>
    </row>
    <row r="17" spans="1:18" ht="15" customHeight="1" x14ac:dyDescent="0.3">
      <c r="A17" s="66" t="s">
        <v>52</v>
      </c>
      <c r="B17" s="66" t="s">
        <v>62</v>
      </c>
      <c r="C17" s="67">
        <v>0.48958333333333331</v>
      </c>
      <c r="D17" s="66" t="s">
        <v>56</v>
      </c>
      <c r="E17" s="66" t="s">
        <v>64</v>
      </c>
      <c r="F17" s="66" t="s">
        <v>36</v>
      </c>
      <c r="G17" s="201"/>
      <c r="H17" s="61"/>
      <c r="I17" s="62"/>
      <c r="J17" s="62"/>
      <c r="K17" s="62"/>
      <c r="L17" s="62"/>
      <c r="M17" s="62"/>
      <c r="N17" s="62"/>
      <c r="O17" s="63"/>
      <c r="P17" s="62"/>
      <c r="Q17" s="64"/>
      <c r="R17" s="65"/>
    </row>
    <row r="18" spans="1:18" ht="15" customHeight="1" x14ac:dyDescent="0.3">
      <c r="A18" s="66" t="s">
        <v>52</v>
      </c>
      <c r="B18" s="66" t="s">
        <v>62</v>
      </c>
      <c r="C18" s="67">
        <v>0.48958333333333331</v>
      </c>
      <c r="D18" s="66" t="s">
        <v>58</v>
      </c>
      <c r="E18" s="66" t="s">
        <v>64</v>
      </c>
      <c r="F18" s="66" t="s">
        <v>61</v>
      </c>
      <c r="G18" s="201"/>
      <c r="H18" s="61"/>
      <c r="I18" s="62"/>
      <c r="J18" s="62"/>
      <c r="K18" s="62"/>
      <c r="L18" s="62"/>
      <c r="M18" s="62"/>
      <c r="N18" s="62"/>
      <c r="O18" s="63"/>
      <c r="P18" s="62"/>
      <c r="Q18" s="64"/>
      <c r="R18" s="65"/>
    </row>
    <row r="19" spans="1:18" ht="15" customHeight="1" x14ac:dyDescent="0.3">
      <c r="A19" s="66" t="s">
        <v>52</v>
      </c>
      <c r="B19" s="66" t="s">
        <v>62</v>
      </c>
      <c r="C19" s="67">
        <v>0.48958333333333331</v>
      </c>
      <c r="D19" s="66" t="s">
        <v>60</v>
      </c>
      <c r="E19" s="66" t="s">
        <v>64</v>
      </c>
      <c r="F19" s="66" t="s">
        <v>65</v>
      </c>
      <c r="G19" s="201"/>
      <c r="H19" s="61"/>
      <c r="I19" s="62"/>
      <c r="J19" s="62"/>
      <c r="K19" s="62"/>
      <c r="L19" s="62"/>
      <c r="M19" s="62"/>
      <c r="N19" s="62"/>
      <c r="O19" s="63"/>
      <c r="P19" s="62"/>
      <c r="Q19" s="64"/>
      <c r="R19" s="65"/>
    </row>
    <row r="20" spans="1:18" ht="15" customHeight="1" x14ac:dyDescent="0.3">
      <c r="A20" s="68" t="s">
        <v>52</v>
      </c>
      <c r="B20" s="68" t="s">
        <v>66</v>
      </c>
      <c r="C20" s="69">
        <v>0.88888888888888884</v>
      </c>
      <c r="D20" s="68" t="s">
        <v>54</v>
      </c>
      <c r="E20" s="68" t="s">
        <v>67</v>
      </c>
      <c r="F20" s="68" t="s">
        <v>36</v>
      </c>
      <c r="G20" s="201"/>
      <c r="H20" s="61"/>
      <c r="I20" s="62"/>
      <c r="J20" s="62"/>
      <c r="K20" s="62"/>
      <c r="L20" s="62"/>
      <c r="M20" s="62"/>
      <c r="N20" s="62"/>
      <c r="O20" s="63"/>
      <c r="P20" s="62"/>
      <c r="Q20" s="64"/>
      <c r="R20" s="65"/>
    </row>
    <row r="21" spans="1:18" ht="15" customHeight="1" x14ac:dyDescent="0.3">
      <c r="A21" s="66" t="s">
        <v>52</v>
      </c>
      <c r="B21" s="66" t="s">
        <v>66</v>
      </c>
      <c r="C21" s="67">
        <v>0.88888888888888884</v>
      </c>
      <c r="D21" s="66" t="s">
        <v>56</v>
      </c>
      <c r="E21" s="66" t="s">
        <v>68</v>
      </c>
      <c r="F21" s="66" t="s">
        <v>36</v>
      </c>
      <c r="G21" s="201"/>
      <c r="H21" s="61"/>
      <c r="I21" s="62"/>
      <c r="J21" s="62"/>
      <c r="K21" s="62"/>
      <c r="L21" s="62"/>
      <c r="M21" s="62"/>
      <c r="N21" s="62"/>
      <c r="O21" s="63"/>
      <c r="P21" s="62"/>
      <c r="Q21" s="64"/>
      <c r="R21" s="65"/>
    </row>
    <row r="22" spans="1:18" ht="15" customHeight="1" x14ac:dyDescent="0.3">
      <c r="A22" s="66" t="s">
        <v>52</v>
      </c>
      <c r="B22" s="66" t="s">
        <v>66</v>
      </c>
      <c r="C22" s="67">
        <v>0.88888888888888884</v>
      </c>
      <c r="D22" s="66" t="s">
        <v>58</v>
      </c>
      <c r="E22" s="66" t="s">
        <v>68</v>
      </c>
      <c r="F22" s="66" t="s">
        <v>61</v>
      </c>
      <c r="G22" s="201"/>
      <c r="H22" s="61"/>
      <c r="I22" s="62"/>
      <c r="J22" s="62"/>
      <c r="K22" s="62"/>
      <c r="L22" s="62"/>
      <c r="M22" s="62"/>
      <c r="N22" s="62"/>
      <c r="O22" s="63"/>
      <c r="P22" s="62"/>
      <c r="Q22" s="64"/>
      <c r="R22" s="65"/>
    </row>
    <row r="23" spans="1:18" ht="15" customHeight="1" x14ac:dyDescent="0.3">
      <c r="A23" s="66" t="s">
        <v>52</v>
      </c>
      <c r="B23" s="66" t="s">
        <v>66</v>
      </c>
      <c r="C23" s="67">
        <v>0.88888888888888884</v>
      </c>
      <c r="D23" s="66" t="s">
        <v>60</v>
      </c>
      <c r="E23" s="66" t="s">
        <v>68</v>
      </c>
      <c r="F23" s="66" t="s">
        <v>65</v>
      </c>
      <c r="G23" s="201"/>
      <c r="H23" s="61"/>
      <c r="I23" s="62"/>
      <c r="J23" s="62"/>
      <c r="K23" s="62"/>
      <c r="L23" s="62"/>
      <c r="M23" s="62"/>
      <c r="N23" s="62"/>
      <c r="O23" s="63"/>
      <c r="P23" s="62"/>
      <c r="Q23" s="64"/>
      <c r="R23" s="65"/>
    </row>
    <row r="24" spans="1:18" ht="15" customHeight="1" x14ac:dyDescent="0.3">
      <c r="A24" s="68" t="s">
        <v>52</v>
      </c>
      <c r="B24" s="68" t="s">
        <v>69</v>
      </c>
      <c r="C24" s="69">
        <v>0.98958333333333337</v>
      </c>
      <c r="D24" s="68" t="s">
        <v>54</v>
      </c>
      <c r="E24" s="68" t="s">
        <v>70</v>
      </c>
      <c r="F24" s="68" t="s">
        <v>36</v>
      </c>
      <c r="G24" s="201"/>
      <c r="H24" s="61"/>
      <c r="I24" s="62"/>
      <c r="J24" s="62"/>
      <c r="K24" s="62"/>
      <c r="L24" s="62"/>
      <c r="M24" s="62"/>
      <c r="N24" s="62"/>
      <c r="O24" s="63"/>
      <c r="P24" s="62"/>
      <c r="Q24" s="64"/>
      <c r="R24" s="65"/>
    </row>
    <row r="25" spans="1:18" ht="15" customHeight="1" x14ac:dyDescent="0.3">
      <c r="A25" s="66" t="s">
        <v>52</v>
      </c>
      <c r="B25" s="66" t="s">
        <v>69</v>
      </c>
      <c r="C25" s="67">
        <v>0.98958333333333337</v>
      </c>
      <c r="D25" s="66" t="s">
        <v>56</v>
      </c>
      <c r="E25" s="66" t="s">
        <v>71</v>
      </c>
      <c r="F25" s="66" t="s">
        <v>36</v>
      </c>
      <c r="G25" s="201"/>
      <c r="H25" s="61"/>
      <c r="I25" s="62"/>
      <c r="J25" s="62"/>
      <c r="K25" s="62"/>
      <c r="L25" s="62"/>
      <c r="M25" s="62"/>
      <c r="N25" s="62"/>
      <c r="O25" s="63"/>
      <c r="P25" s="62"/>
      <c r="Q25" s="64"/>
      <c r="R25" s="65"/>
    </row>
    <row r="26" spans="1:18" ht="15" customHeight="1" x14ac:dyDescent="0.3">
      <c r="A26" s="66" t="s">
        <v>52</v>
      </c>
      <c r="B26" s="66" t="s">
        <v>69</v>
      </c>
      <c r="C26" s="67">
        <v>0.98958333333333337</v>
      </c>
      <c r="D26" s="66" t="s">
        <v>58</v>
      </c>
      <c r="E26" s="66" t="s">
        <v>71</v>
      </c>
      <c r="F26" s="66" t="s">
        <v>61</v>
      </c>
      <c r="G26" s="201"/>
      <c r="H26" s="61"/>
      <c r="I26" s="62"/>
      <c r="J26" s="62"/>
      <c r="K26" s="62"/>
      <c r="L26" s="62"/>
      <c r="M26" s="62"/>
      <c r="N26" s="62"/>
      <c r="O26" s="63"/>
      <c r="P26" s="62"/>
      <c r="Q26" s="64"/>
      <c r="R26" s="65"/>
    </row>
    <row r="27" spans="1:18" ht="15" customHeight="1" x14ac:dyDescent="0.3">
      <c r="A27" s="66" t="s">
        <v>52</v>
      </c>
      <c r="B27" s="66" t="s">
        <v>69</v>
      </c>
      <c r="C27" s="67">
        <v>0.98958333333333337</v>
      </c>
      <c r="D27" s="66" t="s">
        <v>60</v>
      </c>
      <c r="E27" s="66" t="s">
        <v>71</v>
      </c>
      <c r="F27" s="66" t="s">
        <v>61</v>
      </c>
      <c r="G27" s="201"/>
      <c r="H27" s="61"/>
      <c r="I27" s="62"/>
      <c r="J27" s="62"/>
      <c r="K27" s="62"/>
      <c r="L27" s="62"/>
      <c r="M27" s="62"/>
      <c r="N27" s="62"/>
      <c r="O27" s="63"/>
      <c r="P27" s="62"/>
      <c r="Q27" s="64"/>
      <c r="R27" s="65"/>
    </row>
    <row r="28" spans="1:18" ht="15" customHeight="1" x14ac:dyDescent="0.3">
      <c r="A28" s="59" t="s">
        <v>72</v>
      </c>
      <c r="B28" s="59" t="s">
        <v>73</v>
      </c>
      <c r="C28" s="60">
        <v>0.1875</v>
      </c>
      <c r="D28" s="59" t="s">
        <v>28</v>
      </c>
      <c r="E28" s="59" t="s">
        <v>74</v>
      </c>
      <c r="F28" s="59" t="s">
        <v>75</v>
      </c>
      <c r="G28" s="201"/>
      <c r="H28" s="61"/>
      <c r="I28" s="62"/>
      <c r="J28" s="62"/>
      <c r="K28" s="62"/>
      <c r="L28" s="62"/>
      <c r="M28" s="62"/>
      <c r="N28" s="62"/>
      <c r="O28" s="63"/>
      <c r="P28" s="62"/>
      <c r="Q28" s="64"/>
      <c r="R28" s="65"/>
    </row>
    <row r="29" spans="1:18" ht="15" customHeight="1" x14ac:dyDescent="0.3">
      <c r="A29" s="68" t="s">
        <v>72</v>
      </c>
      <c r="B29" s="68" t="s">
        <v>76</v>
      </c>
      <c r="C29" s="69">
        <v>0.49305555555555558</v>
      </c>
      <c r="D29" s="68" t="s">
        <v>28</v>
      </c>
      <c r="E29" s="68" t="s">
        <v>77</v>
      </c>
      <c r="F29" s="68" t="s">
        <v>78</v>
      </c>
      <c r="G29" s="201"/>
      <c r="H29" s="61"/>
      <c r="I29" s="62"/>
      <c r="J29" s="62"/>
      <c r="K29" s="62"/>
      <c r="L29" s="62"/>
      <c r="M29" s="62"/>
      <c r="N29" s="62"/>
      <c r="O29" s="63"/>
      <c r="P29" s="62"/>
      <c r="Q29" s="64"/>
      <c r="R29" s="65"/>
    </row>
    <row r="30" spans="1:18" ht="15" customHeight="1" x14ac:dyDescent="0.3">
      <c r="A30" s="59" t="s">
        <v>79</v>
      </c>
      <c r="B30" s="59" t="s">
        <v>80</v>
      </c>
      <c r="C30" s="60">
        <v>0.99305555555555547</v>
      </c>
      <c r="D30" s="59" t="s">
        <v>81</v>
      </c>
      <c r="E30" s="59" t="s">
        <v>82</v>
      </c>
      <c r="F30" s="59" t="s">
        <v>83</v>
      </c>
      <c r="G30" s="201"/>
      <c r="H30" s="61"/>
      <c r="I30" s="62"/>
      <c r="J30" s="62"/>
      <c r="K30" s="62"/>
      <c r="L30" s="62"/>
      <c r="M30" s="62"/>
      <c r="N30" s="62"/>
      <c r="O30" s="63"/>
      <c r="P30" s="62"/>
      <c r="Q30" s="64"/>
      <c r="R30" s="65"/>
    </row>
    <row r="31" spans="1:18" ht="15" customHeight="1" x14ac:dyDescent="0.3">
      <c r="A31" s="66" t="s">
        <v>79</v>
      </c>
      <c r="B31" s="66" t="s">
        <v>80</v>
      </c>
      <c r="C31" s="67">
        <v>0.99305555555555547</v>
      </c>
      <c r="D31" s="66" t="s">
        <v>84</v>
      </c>
      <c r="E31" s="66" t="s">
        <v>85</v>
      </c>
      <c r="F31" s="66" t="s">
        <v>83</v>
      </c>
      <c r="G31" s="201"/>
      <c r="H31" s="61"/>
      <c r="I31" s="62"/>
      <c r="J31" s="62"/>
      <c r="K31" s="62"/>
      <c r="L31" s="62"/>
      <c r="M31" s="62"/>
      <c r="N31" s="62"/>
      <c r="O31" s="63"/>
      <c r="P31" s="62"/>
      <c r="Q31" s="64"/>
      <c r="R31" s="65"/>
    </row>
    <row r="32" spans="1:18" ht="15" customHeight="1" x14ac:dyDescent="0.3">
      <c r="A32" s="66" t="s">
        <v>79</v>
      </c>
      <c r="B32" s="66" t="s">
        <v>80</v>
      </c>
      <c r="C32" s="67">
        <v>0.99305555555555547</v>
      </c>
      <c r="D32" s="66" t="s">
        <v>86</v>
      </c>
      <c r="E32" s="66" t="s">
        <v>85</v>
      </c>
      <c r="F32" s="66" t="s">
        <v>87</v>
      </c>
      <c r="G32" s="201"/>
      <c r="H32" s="61"/>
      <c r="I32" s="62"/>
      <c r="J32" s="62"/>
      <c r="K32" s="62"/>
      <c r="L32" s="62"/>
      <c r="M32" s="62"/>
      <c r="N32" s="62"/>
      <c r="O32" s="63"/>
      <c r="P32" s="62"/>
      <c r="Q32" s="64"/>
      <c r="R32" s="65"/>
    </row>
    <row r="33" spans="1:18" ht="15" customHeight="1" x14ac:dyDescent="0.3">
      <c r="A33" s="66" t="s">
        <v>79</v>
      </c>
      <c r="B33" s="66" t="s">
        <v>80</v>
      </c>
      <c r="C33" s="67">
        <v>0.99305555555555547</v>
      </c>
      <c r="D33" s="66" t="s">
        <v>88</v>
      </c>
      <c r="E33" s="66" t="s">
        <v>85</v>
      </c>
      <c r="F33" s="66" t="s">
        <v>89</v>
      </c>
      <c r="G33" s="201"/>
      <c r="H33" s="61"/>
      <c r="I33" s="62"/>
      <c r="J33" s="62"/>
      <c r="K33" s="62"/>
      <c r="L33" s="62"/>
      <c r="M33" s="62"/>
      <c r="N33" s="62"/>
      <c r="O33" s="63"/>
      <c r="P33" s="62"/>
      <c r="Q33" s="64"/>
      <c r="R33" s="65"/>
    </row>
    <row r="34" spans="1:18" ht="15" customHeight="1" x14ac:dyDescent="0.3">
      <c r="A34" s="68" t="s">
        <v>79</v>
      </c>
      <c r="B34" s="68" t="s">
        <v>90</v>
      </c>
      <c r="C34" s="69">
        <v>0.94444444444444453</v>
      </c>
      <c r="D34" s="68" t="s">
        <v>81</v>
      </c>
      <c r="E34" s="68" t="s">
        <v>91</v>
      </c>
      <c r="F34" s="68" t="s">
        <v>83</v>
      </c>
      <c r="G34" s="201"/>
      <c r="H34" s="61"/>
      <c r="I34" s="62"/>
      <c r="J34" s="62"/>
      <c r="K34" s="62"/>
      <c r="L34" s="62"/>
      <c r="M34" s="62"/>
      <c r="N34" s="62"/>
      <c r="O34" s="63"/>
      <c r="P34" s="62"/>
      <c r="Q34" s="64"/>
      <c r="R34" s="65"/>
    </row>
    <row r="35" spans="1:18" ht="15" customHeight="1" x14ac:dyDescent="0.3">
      <c r="A35" s="66" t="s">
        <v>79</v>
      </c>
      <c r="B35" s="66" t="s">
        <v>90</v>
      </c>
      <c r="C35" s="67">
        <v>0.94444444444444453</v>
      </c>
      <c r="D35" s="66" t="s">
        <v>84</v>
      </c>
      <c r="E35" s="66" t="s">
        <v>92</v>
      </c>
      <c r="F35" s="66" t="s">
        <v>83</v>
      </c>
      <c r="G35" s="201"/>
      <c r="H35" s="61"/>
      <c r="I35" s="62"/>
      <c r="J35" s="62"/>
      <c r="K35" s="62"/>
      <c r="L35" s="62"/>
      <c r="M35" s="62"/>
      <c r="N35" s="62"/>
      <c r="O35" s="63"/>
      <c r="P35" s="62"/>
      <c r="Q35" s="64"/>
      <c r="R35" s="65"/>
    </row>
    <row r="36" spans="1:18" ht="15" customHeight="1" x14ac:dyDescent="0.3">
      <c r="A36" s="66" t="s">
        <v>79</v>
      </c>
      <c r="B36" s="66" t="s">
        <v>90</v>
      </c>
      <c r="C36" s="67">
        <v>0.94444444444444453</v>
      </c>
      <c r="D36" s="66" t="s">
        <v>86</v>
      </c>
      <c r="E36" s="66" t="s">
        <v>92</v>
      </c>
      <c r="F36" s="66" t="s">
        <v>87</v>
      </c>
      <c r="G36" s="201"/>
      <c r="H36" s="61"/>
      <c r="I36" s="62"/>
      <c r="J36" s="62"/>
      <c r="K36" s="62"/>
      <c r="L36" s="62"/>
      <c r="M36" s="62"/>
      <c r="N36" s="62"/>
      <c r="O36" s="63"/>
      <c r="P36" s="62"/>
      <c r="Q36" s="64"/>
      <c r="R36" s="65"/>
    </row>
    <row r="37" spans="1:18" ht="15" customHeight="1" x14ac:dyDescent="0.3">
      <c r="A37" s="66" t="s">
        <v>79</v>
      </c>
      <c r="B37" s="66" t="s">
        <v>90</v>
      </c>
      <c r="C37" s="67">
        <v>0.94444444444444453</v>
      </c>
      <c r="D37" s="66" t="s">
        <v>88</v>
      </c>
      <c r="E37" s="66" t="s">
        <v>92</v>
      </c>
      <c r="F37" s="66" t="s">
        <v>89</v>
      </c>
      <c r="G37" s="201"/>
      <c r="H37" s="61"/>
      <c r="I37" s="62"/>
      <c r="J37" s="62"/>
      <c r="K37" s="62"/>
      <c r="L37" s="62"/>
      <c r="M37" s="62"/>
      <c r="N37" s="62"/>
      <c r="O37" s="63"/>
      <c r="P37" s="62"/>
      <c r="Q37" s="64"/>
      <c r="R37" s="65"/>
    </row>
    <row r="38" spans="1:18" ht="15" customHeight="1" x14ac:dyDescent="0.3">
      <c r="A38" s="68" t="s">
        <v>79</v>
      </c>
      <c r="B38" s="68" t="s">
        <v>93</v>
      </c>
      <c r="C38" s="69">
        <v>0.4861111111111111</v>
      </c>
      <c r="D38" s="68" t="s">
        <v>81</v>
      </c>
      <c r="E38" s="68" t="s">
        <v>35</v>
      </c>
      <c r="F38" s="68" t="s">
        <v>83</v>
      </c>
      <c r="G38" s="201"/>
      <c r="H38" s="61"/>
      <c r="I38" s="62"/>
      <c r="J38" s="62"/>
      <c r="K38" s="62"/>
      <c r="L38" s="62"/>
      <c r="M38" s="62"/>
      <c r="N38" s="62"/>
      <c r="O38" s="63"/>
      <c r="P38" s="62"/>
      <c r="Q38" s="64"/>
      <c r="R38" s="65"/>
    </row>
    <row r="39" spans="1:18" ht="15" customHeight="1" x14ac:dyDescent="0.3">
      <c r="A39" s="66" t="s">
        <v>79</v>
      </c>
      <c r="B39" s="66" t="s">
        <v>93</v>
      </c>
      <c r="C39" s="67">
        <v>0.4861111111111111</v>
      </c>
      <c r="D39" s="66" t="s">
        <v>84</v>
      </c>
      <c r="E39" s="66" t="s">
        <v>57</v>
      </c>
      <c r="F39" s="66" t="s">
        <v>83</v>
      </c>
      <c r="G39" s="201"/>
      <c r="H39" s="61"/>
      <c r="I39" s="62"/>
      <c r="J39" s="62"/>
      <c r="K39" s="62"/>
      <c r="L39" s="62"/>
      <c r="M39" s="62"/>
      <c r="N39" s="62"/>
      <c r="O39" s="63"/>
      <c r="P39" s="62"/>
      <c r="Q39" s="64"/>
      <c r="R39" s="65"/>
    </row>
    <row r="40" spans="1:18" ht="15" customHeight="1" x14ac:dyDescent="0.3">
      <c r="A40" s="66" t="s">
        <v>79</v>
      </c>
      <c r="B40" s="66" t="s">
        <v>93</v>
      </c>
      <c r="C40" s="67">
        <v>0.4861111111111111</v>
      </c>
      <c r="D40" s="66" t="s">
        <v>86</v>
      </c>
      <c r="E40" s="66" t="s">
        <v>57</v>
      </c>
      <c r="F40" s="66" t="s">
        <v>87</v>
      </c>
      <c r="G40" s="201"/>
      <c r="H40" s="61"/>
      <c r="I40" s="62"/>
      <c r="J40" s="62"/>
      <c r="K40" s="62"/>
      <c r="L40" s="62"/>
      <c r="M40" s="62"/>
      <c r="N40" s="62"/>
      <c r="O40" s="63"/>
      <c r="P40" s="62"/>
      <c r="Q40" s="64"/>
      <c r="R40" s="65"/>
    </row>
    <row r="41" spans="1:18" ht="15" customHeight="1" x14ac:dyDescent="0.3">
      <c r="A41" s="66" t="s">
        <v>79</v>
      </c>
      <c r="B41" s="66" t="s">
        <v>93</v>
      </c>
      <c r="C41" s="67">
        <v>0.4861111111111111</v>
      </c>
      <c r="D41" s="66" t="s">
        <v>88</v>
      </c>
      <c r="E41" s="66" t="s">
        <v>57</v>
      </c>
      <c r="F41" s="66" t="s">
        <v>89</v>
      </c>
      <c r="G41" s="201"/>
      <c r="H41" s="61"/>
      <c r="I41" s="62"/>
      <c r="J41" s="62"/>
      <c r="K41" s="62"/>
      <c r="L41" s="62"/>
      <c r="M41" s="62"/>
      <c r="N41" s="62"/>
      <c r="O41" s="63"/>
      <c r="P41" s="62"/>
      <c r="Q41" s="64"/>
      <c r="R41" s="65"/>
    </row>
    <row r="42" spans="1:18" ht="15" customHeight="1" x14ac:dyDescent="0.3">
      <c r="A42" s="68" t="s">
        <v>79</v>
      </c>
      <c r="B42" s="68" t="s">
        <v>94</v>
      </c>
      <c r="C42" s="69">
        <v>0.3923611111111111</v>
      </c>
      <c r="D42" s="68" t="s">
        <v>81</v>
      </c>
      <c r="E42" s="68" t="s">
        <v>95</v>
      </c>
      <c r="F42" s="68" t="s">
        <v>83</v>
      </c>
      <c r="G42" s="201"/>
      <c r="H42" s="61"/>
      <c r="I42" s="62"/>
      <c r="J42" s="62"/>
      <c r="K42" s="62"/>
      <c r="L42" s="62"/>
      <c r="M42" s="62"/>
      <c r="N42" s="62"/>
      <c r="O42" s="63"/>
      <c r="P42" s="62"/>
      <c r="Q42" s="64"/>
      <c r="R42" s="65"/>
    </row>
    <row r="43" spans="1:18" ht="15" customHeight="1" x14ac:dyDescent="0.3">
      <c r="A43" s="66" t="s">
        <v>79</v>
      </c>
      <c r="B43" s="66" t="s">
        <v>94</v>
      </c>
      <c r="C43" s="67">
        <v>0.3923611111111111</v>
      </c>
      <c r="D43" s="66" t="s">
        <v>84</v>
      </c>
      <c r="E43" s="66" t="s">
        <v>96</v>
      </c>
      <c r="F43" s="66" t="s">
        <v>83</v>
      </c>
      <c r="G43" s="201"/>
      <c r="H43" s="61"/>
      <c r="I43" s="62"/>
      <c r="J43" s="62"/>
      <c r="K43" s="62"/>
      <c r="L43" s="62"/>
      <c r="M43" s="62"/>
      <c r="N43" s="62"/>
      <c r="O43" s="63"/>
      <c r="P43" s="62"/>
      <c r="Q43" s="64"/>
      <c r="R43" s="65"/>
    </row>
    <row r="44" spans="1:18" ht="15" customHeight="1" x14ac:dyDescent="0.3">
      <c r="A44" s="66" t="s">
        <v>79</v>
      </c>
      <c r="B44" s="66" t="s">
        <v>94</v>
      </c>
      <c r="C44" s="67">
        <v>0.3923611111111111</v>
      </c>
      <c r="D44" s="66" t="s">
        <v>86</v>
      </c>
      <c r="E44" s="66" t="s">
        <v>96</v>
      </c>
      <c r="F44" s="66" t="s">
        <v>87</v>
      </c>
      <c r="G44" s="201"/>
      <c r="H44" s="61"/>
      <c r="I44" s="62"/>
      <c r="J44" s="62"/>
      <c r="K44" s="62"/>
      <c r="L44" s="62"/>
      <c r="M44" s="62"/>
      <c r="N44" s="62"/>
      <c r="O44" s="63"/>
      <c r="P44" s="62"/>
      <c r="Q44" s="64"/>
      <c r="R44" s="65"/>
    </row>
    <row r="45" spans="1:18" ht="15" customHeight="1" x14ac:dyDescent="0.3">
      <c r="A45" s="66" t="s">
        <v>79</v>
      </c>
      <c r="B45" s="66" t="s">
        <v>94</v>
      </c>
      <c r="C45" s="67">
        <v>0.3923611111111111</v>
      </c>
      <c r="D45" s="66" t="s">
        <v>88</v>
      </c>
      <c r="E45" s="66" t="s">
        <v>96</v>
      </c>
      <c r="F45" s="66" t="s">
        <v>89</v>
      </c>
      <c r="G45" s="201"/>
      <c r="H45" s="61"/>
      <c r="I45" s="62"/>
      <c r="J45" s="62"/>
      <c r="K45" s="62"/>
      <c r="L45" s="62"/>
      <c r="M45" s="62"/>
      <c r="N45" s="62"/>
      <c r="O45" s="63"/>
      <c r="P45" s="62"/>
      <c r="Q45" s="64"/>
      <c r="R45" s="65"/>
    </row>
    <row r="46" spans="1:18" ht="15" customHeight="1" x14ac:dyDescent="0.3">
      <c r="A46" s="68" t="s">
        <v>79</v>
      </c>
      <c r="B46" s="68" t="s">
        <v>97</v>
      </c>
      <c r="C46" s="69">
        <v>0.34722222222222232</v>
      </c>
      <c r="D46" s="68" t="s">
        <v>81</v>
      </c>
      <c r="E46" s="68" t="s">
        <v>95</v>
      </c>
      <c r="F46" s="68" t="s">
        <v>59</v>
      </c>
      <c r="G46" s="201"/>
      <c r="H46" s="61"/>
      <c r="I46" s="62"/>
      <c r="J46" s="62"/>
      <c r="K46" s="62"/>
      <c r="L46" s="62"/>
      <c r="M46" s="62"/>
      <c r="N46" s="62"/>
      <c r="O46" s="63"/>
      <c r="P46" s="62"/>
      <c r="Q46" s="64"/>
      <c r="R46" s="65"/>
    </row>
    <row r="47" spans="1:18" ht="15" customHeight="1" x14ac:dyDescent="0.3">
      <c r="A47" s="66" t="s">
        <v>79</v>
      </c>
      <c r="B47" s="66" t="s">
        <v>97</v>
      </c>
      <c r="C47" s="67">
        <v>0.34722222222222232</v>
      </c>
      <c r="D47" s="66" t="s">
        <v>84</v>
      </c>
      <c r="E47" s="66" t="s">
        <v>96</v>
      </c>
      <c r="F47" s="66" t="s">
        <v>59</v>
      </c>
      <c r="G47" s="201"/>
      <c r="H47" s="61"/>
      <c r="I47" s="62"/>
      <c r="J47" s="62"/>
      <c r="K47" s="62"/>
      <c r="L47" s="62"/>
      <c r="M47" s="62"/>
      <c r="N47" s="62"/>
      <c r="O47" s="63"/>
      <c r="P47" s="62"/>
      <c r="Q47" s="64"/>
      <c r="R47" s="65"/>
    </row>
    <row r="48" spans="1:18" ht="15" customHeight="1" x14ac:dyDescent="0.3">
      <c r="A48" s="66" t="s">
        <v>79</v>
      </c>
      <c r="B48" s="66" t="s">
        <v>97</v>
      </c>
      <c r="C48" s="67">
        <v>0.34722222222222232</v>
      </c>
      <c r="D48" s="66" t="s">
        <v>86</v>
      </c>
      <c r="E48" s="66" t="s">
        <v>96</v>
      </c>
      <c r="F48" s="66" t="s">
        <v>89</v>
      </c>
      <c r="G48" s="201"/>
      <c r="H48" s="61"/>
      <c r="I48" s="62"/>
      <c r="J48" s="62"/>
      <c r="K48" s="62"/>
      <c r="L48" s="62"/>
      <c r="M48" s="62"/>
      <c r="N48" s="62"/>
      <c r="O48" s="63"/>
      <c r="P48" s="62"/>
      <c r="Q48" s="64"/>
      <c r="R48" s="65"/>
    </row>
    <row r="49" spans="1:18" ht="15" customHeight="1" x14ac:dyDescent="0.3">
      <c r="A49" s="66" t="s">
        <v>79</v>
      </c>
      <c r="B49" s="66" t="s">
        <v>97</v>
      </c>
      <c r="C49" s="67">
        <v>0.34722222222222232</v>
      </c>
      <c r="D49" s="66" t="s">
        <v>88</v>
      </c>
      <c r="E49" s="66" t="s">
        <v>96</v>
      </c>
      <c r="F49" s="66" t="s">
        <v>98</v>
      </c>
      <c r="G49" s="201"/>
      <c r="H49" s="61"/>
      <c r="I49" s="62"/>
      <c r="J49" s="62"/>
      <c r="K49" s="62"/>
      <c r="L49" s="62"/>
      <c r="M49" s="62"/>
      <c r="N49" s="62"/>
      <c r="O49" s="63"/>
      <c r="P49" s="62"/>
      <c r="Q49" s="64"/>
      <c r="R49" s="65"/>
    </row>
    <row r="50" spans="1:18" ht="15" customHeight="1" x14ac:dyDescent="0.3">
      <c r="A50" s="68" t="s">
        <v>79</v>
      </c>
      <c r="B50" s="68" t="s">
        <v>99</v>
      </c>
      <c r="C50" s="69">
        <v>0.73611111111111116</v>
      </c>
      <c r="D50" s="68" t="s">
        <v>81</v>
      </c>
      <c r="E50" s="68" t="s">
        <v>70</v>
      </c>
      <c r="F50" s="68" t="s">
        <v>59</v>
      </c>
      <c r="G50" s="201"/>
      <c r="H50" s="61"/>
      <c r="I50" s="62"/>
      <c r="J50" s="62"/>
      <c r="K50" s="62"/>
      <c r="L50" s="62"/>
      <c r="M50" s="62"/>
      <c r="N50" s="62"/>
      <c r="O50" s="63"/>
      <c r="P50" s="62"/>
      <c r="Q50" s="64"/>
      <c r="R50" s="65"/>
    </row>
    <row r="51" spans="1:18" ht="15" customHeight="1" x14ac:dyDescent="0.3">
      <c r="A51" s="66" t="s">
        <v>79</v>
      </c>
      <c r="B51" s="66" t="s">
        <v>99</v>
      </c>
      <c r="C51" s="67">
        <v>0.73611111111111116</v>
      </c>
      <c r="D51" s="66" t="s">
        <v>84</v>
      </c>
      <c r="E51" s="66" t="s">
        <v>71</v>
      </c>
      <c r="F51" s="66" t="s">
        <v>59</v>
      </c>
      <c r="G51" s="201"/>
      <c r="H51" s="61"/>
      <c r="I51" s="62"/>
      <c r="J51" s="62"/>
      <c r="K51" s="62"/>
      <c r="L51" s="62"/>
      <c r="M51" s="62"/>
      <c r="N51" s="62"/>
      <c r="O51" s="63"/>
      <c r="P51" s="62"/>
      <c r="Q51" s="64"/>
      <c r="R51" s="65"/>
    </row>
    <row r="52" spans="1:18" ht="15" customHeight="1" x14ac:dyDescent="0.3">
      <c r="A52" s="66" t="s">
        <v>79</v>
      </c>
      <c r="B52" s="66" t="s">
        <v>99</v>
      </c>
      <c r="C52" s="67">
        <v>0.73611111111111116</v>
      </c>
      <c r="D52" s="66" t="s">
        <v>86</v>
      </c>
      <c r="E52" s="66" t="s">
        <v>71</v>
      </c>
      <c r="F52" s="66" t="s">
        <v>89</v>
      </c>
      <c r="G52" s="201"/>
      <c r="H52" s="61"/>
      <c r="I52" s="62"/>
      <c r="J52" s="62"/>
      <c r="K52" s="62"/>
      <c r="L52" s="62"/>
      <c r="M52" s="62"/>
      <c r="N52" s="62"/>
      <c r="O52" s="63"/>
      <c r="P52" s="62"/>
      <c r="Q52" s="64"/>
      <c r="R52" s="65"/>
    </row>
    <row r="53" spans="1:18" ht="15" customHeight="1" x14ac:dyDescent="0.3">
      <c r="A53" s="66" t="s">
        <v>79</v>
      </c>
      <c r="B53" s="66" t="s">
        <v>99</v>
      </c>
      <c r="C53" s="67">
        <v>0.73611111111111116</v>
      </c>
      <c r="D53" s="66" t="s">
        <v>88</v>
      </c>
      <c r="E53" s="66" t="s">
        <v>71</v>
      </c>
      <c r="F53" s="66" t="s">
        <v>98</v>
      </c>
      <c r="G53" s="201"/>
      <c r="H53" s="61"/>
      <c r="I53" s="62"/>
      <c r="J53" s="62"/>
      <c r="K53" s="62"/>
      <c r="L53" s="62"/>
      <c r="M53" s="62"/>
      <c r="N53" s="62"/>
      <c r="O53" s="63"/>
      <c r="P53" s="62"/>
      <c r="Q53" s="64"/>
      <c r="R53" s="65"/>
    </row>
    <row r="54" spans="1:18" ht="15" customHeight="1" x14ac:dyDescent="0.3">
      <c r="A54" s="68" t="s">
        <v>79</v>
      </c>
      <c r="B54" s="68" t="s">
        <v>100</v>
      </c>
      <c r="C54" s="69">
        <v>0.83680555555555547</v>
      </c>
      <c r="D54" s="68" t="s">
        <v>81</v>
      </c>
      <c r="E54" s="68" t="s">
        <v>70</v>
      </c>
      <c r="F54" s="68" t="s">
        <v>59</v>
      </c>
      <c r="G54" s="201"/>
      <c r="H54" s="61"/>
      <c r="I54" s="62"/>
      <c r="J54" s="62"/>
      <c r="K54" s="62"/>
      <c r="L54" s="62"/>
      <c r="M54" s="62"/>
      <c r="N54" s="62"/>
      <c r="O54" s="63"/>
      <c r="P54" s="62"/>
      <c r="Q54" s="64"/>
      <c r="R54" s="65"/>
    </row>
    <row r="55" spans="1:18" ht="15" customHeight="1" x14ac:dyDescent="0.3">
      <c r="A55" s="66" t="s">
        <v>79</v>
      </c>
      <c r="B55" s="66" t="s">
        <v>100</v>
      </c>
      <c r="C55" s="67">
        <v>0.83680555555555547</v>
      </c>
      <c r="D55" s="66" t="s">
        <v>84</v>
      </c>
      <c r="E55" s="66" t="s">
        <v>71</v>
      </c>
      <c r="F55" s="66" t="s">
        <v>59</v>
      </c>
      <c r="G55" s="201"/>
      <c r="H55" s="61"/>
      <c r="I55" s="62"/>
      <c r="J55" s="62"/>
      <c r="K55" s="62"/>
      <c r="L55" s="62"/>
      <c r="M55" s="62"/>
      <c r="N55" s="62"/>
      <c r="O55" s="63"/>
      <c r="P55" s="62"/>
      <c r="Q55" s="64"/>
      <c r="R55" s="65"/>
    </row>
    <row r="56" spans="1:18" ht="15" customHeight="1" x14ac:dyDescent="0.3">
      <c r="A56" s="66" t="s">
        <v>79</v>
      </c>
      <c r="B56" s="66" t="s">
        <v>100</v>
      </c>
      <c r="C56" s="67">
        <v>0.83680555555555547</v>
      </c>
      <c r="D56" s="66" t="s">
        <v>86</v>
      </c>
      <c r="E56" s="66" t="s">
        <v>71</v>
      </c>
      <c r="F56" s="66" t="s">
        <v>89</v>
      </c>
      <c r="G56" s="201"/>
      <c r="H56" s="61"/>
      <c r="I56" s="62"/>
      <c r="J56" s="62"/>
      <c r="K56" s="62"/>
      <c r="L56" s="62"/>
      <c r="M56" s="62"/>
      <c r="N56" s="62"/>
      <c r="O56" s="63"/>
      <c r="P56" s="62"/>
      <c r="Q56" s="64"/>
      <c r="R56" s="65"/>
    </row>
    <row r="57" spans="1:18" ht="15" customHeight="1" x14ac:dyDescent="0.3">
      <c r="A57" s="66" t="s">
        <v>79</v>
      </c>
      <c r="B57" s="66" t="s">
        <v>100</v>
      </c>
      <c r="C57" s="67">
        <v>0.83680555555555547</v>
      </c>
      <c r="D57" s="66" t="s">
        <v>88</v>
      </c>
      <c r="E57" s="66" t="s">
        <v>71</v>
      </c>
      <c r="F57" s="66" t="s">
        <v>98</v>
      </c>
      <c r="G57" s="201"/>
      <c r="H57" s="61"/>
      <c r="I57" s="62"/>
      <c r="J57" s="62"/>
      <c r="K57" s="62"/>
      <c r="L57" s="62"/>
      <c r="M57" s="62"/>
      <c r="N57" s="62"/>
      <c r="O57" s="63"/>
      <c r="P57" s="62"/>
      <c r="Q57" s="64"/>
      <c r="R57" s="65"/>
    </row>
    <row r="58" spans="1:18" ht="15" customHeight="1" x14ac:dyDescent="0.3">
      <c r="A58" s="68" t="s">
        <v>79</v>
      </c>
      <c r="B58" s="68" t="s">
        <v>101</v>
      </c>
      <c r="C58" s="69">
        <v>0.88888888888888884</v>
      </c>
      <c r="D58" s="68" t="s">
        <v>81</v>
      </c>
      <c r="E58" s="68" t="s">
        <v>70</v>
      </c>
      <c r="F58" s="68" t="s">
        <v>59</v>
      </c>
      <c r="G58" s="201"/>
      <c r="H58" s="61"/>
      <c r="I58" s="62"/>
      <c r="J58" s="62"/>
      <c r="K58" s="62"/>
      <c r="L58" s="62"/>
      <c r="M58" s="62"/>
      <c r="N58" s="62"/>
      <c r="O58" s="63"/>
      <c r="P58" s="62"/>
      <c r="Q58" s="64"/>
      <c r="R58" s="65"/>
    </row>
    <row r="59" spans="1:18" ht="15" customHeight="1" x14ac:dyDescent="0.3">
      <c r="A59" s="66" t="s">
        <v>79</v>
      </c>
      <c r="B59" s="66" t="s">
        <v>101</v>
      </c>
      <c r="C59" s="67">
        <v>0.88888888888888884</v>
      </c>
      <c r="D59" s="66" t="s">
        <v>84</v>
      </c>
      <c r="E59" s="66" t="s">
        <v>71</v>
      </c>
      <c r="F59" s="66" t="s">
        <v>59</v>
      </c>
      <c r="G59" s="201"/>
      <c r="H59" s="61"/>
      <c r="I59" s="62"/>
      <c r="J59" s="62"/>
      <c r="K59" s="62"/>
      <c r="L59" s="62"/>
      <c r="M59" s="62"/>
      <c r="N59" s="62"/>
      <c r="O59" s="63"/>
      <c r="P59" s="62"/>
      <c r="Q59" s="64"/>
      <c r="R59" s="65"/>
    </row>
    <row r="60" spans="1:18" ht="15" customHeight="1" x14ac:dyDescent="0.3">
      <c r="A60" s="66" t="s">
        <v>79</v>
      </c>
      <c r="B60" s="66" t="s">
        <v>101</v>
      </c>
      <c r="C60" s="67">
        <v>0.88888888888888884</v>
      </c>
      <c r="D60" s="66" t="s">
        <v>86</v>
      </c>
      <c r="E60" s="66" t="s">
        <v>71</v>
      </c>
      <c r="F60" s="66" t="s">
        <v>89</v>
      </c>
      <c r="G60" s="201"/>
      <c r="H60" s="61"/>
      <c r="I60" s="62"/>
      <c r="J60" s="62"/>
      <c r="K60" s="62"/>
      <c r="L60" s="62"/>
      <c r="M60" s="62"/>
      <c r="N60" s="62"/>
      <c r="O60" s="63"/>
      <c r="P60" s="62"/>
      <c r="Q60" s="64"/>
      <c r="R60" s="65"/>
    </row>
    <row r="61" spans="1:18" ht="15" customHeight="1" x14ac:dyDescent="0.3">
      <c r="A61" s="66" t="s">
        <v>79</v>
      </c>
      <c r="B61" s="66" t="s">
        <v>101</v>
      </c>
      <c r="C61" s="67">
        <v>0.88888888888888884</v>
      </c>
      <c r="D61" s="66" t="s">
        <v>88</v>
      </c>
      <c r="E61" s="66" t="s">
        <v>71</v>
      </c>
      <c r="F61" s="66" t="s">
        <v>98</v>
      </c>
      <c r="G61" s="201"/>
      <c r="H61" s="61"/>
      <c r="I61" s="62"/>
      <c r="J61" s="62"/>
      <c r="K61" s="62"/>
      <c r="L61" s="62"/>
      <c r="M61" s="62"/>
      <c r="N61" s="62"/>
      <c r="O61" s="63"/>
      <c r="P61" s="62"/>
      <c r="Q61" s="64"/>
      <c r="R61" s="65"/>
    </row>
    <row r="62" spans="1:18" ht="15" customHeight="1" x14ac:dyDescent="0.3">
      <c r="A62" s="59" t="s">
        <v>102</v>
      </c>
      <c r="B62" s="59" t="s">
        <v>103</v>
      </c>
      <c r="C62" s="60">
        <v>0.10069444444444441</v>
      </c>
      <c r="D62" s="59" t="s">
        <v>28</v>
      </c>
      <c r="E62" s="59" t="s">
        <v>104</v>
      </c>
      <c r="F62" s="59" t="s">
        <v>105</v>
      </c>
      <c r="G62" s="201"/>
      <c r="H62" s="61"/>
      <c r="I62" s="62"/>
      <c r="J62" s="62"/>
      <c r="K62" s="62"/>
      <c r="L62" s="62"/>
      <c r="M62" s="62"/>
      <c r="N62" s="62"/>
      <c r="O62" s="63"/>
      <c r="P62" s="62"/>
      <c r="Q62" s="64"/>
      <c r="R62" s="65"/>
    </row>
    <row r="63" spans="1:18" ht="15" customHeight="1" x14ac:dyDescent="0.3">
      <c r="A63" s="68" t="s">
        <v>102</v>
      </c>
      <c r="B63" s="68" t="s">
        <v>106</v>
      </c>
      <c r="C63" s="69">
        <v>0.27083333333333331</v>
      </c>
      <c r="D63" s="68" t="s">
        <v>28</v>
      </c>
      <c r="E63" s="68" t="s">
        <v>95</v>
      </c>
      <c r="F63" s="68" t="s">
        <v>107</v>
      </c>
      <c r="G63" s="201"/>
      <c r="H63" s="61"/>
      <c r="I63" s="62"/>
      <c r="J63" s="62"/>
      <c r="K63" s="62"/>
      <c r="L63" s="62"/>
      <c r="M63" s="62"/>
      <c r="N63" s="62"/>
      <c r="O63" s="63"/>
      <c r="P63" s="62"/>
      <c r="Q63" s="64"/>
      <c r="R63" s="65"/>
    </row>
    <row r="64" spans="1:18" ht="15" customHeight="1" x14ac:dyDescent="0.3">
      <c r="A64" s="59" t="s">
        <v>108</v>
      </c>
      <c r="B64" s="59" t="s">
        <v>109</v>
      </c>
      <c r="C64" s="60">
        <v>5.5555555555555552E-2</v>
      </c>
      <c r="D64" s="59" t="s">
        <v>110</v>
      </c>
      <c r="E64" s="59" t="s">
        <v>111</v>
      </c>
      <c r="F64" s="59" t="s">
        <v>112</v>
      </c>
      <c r="G64" s="201"/>
      <c r="H64" s="61"/>
      <c r="I64" s="62"/>
      <c r="J64" s="62"/>
      <c r="K64" s="62"/>
      <c r="L64" s="62"/>
      <c r="M64" s="62"/>
      <c r="N64" s="62"/>
      <c r="O64" s="63"/>
      <c r="P64" s="62"/>
      <c r="Q64" s="64"/>
      <c r="R64" s="65"/>
    </row>
    <row r="65" spans="1:18" ht="15" customHeight="1" x14ac:dyDescent="0.3">
      <c r="A65" s="66" t="s">
        <v>108</v>
      </c>
      <c r="B65" s="66" t="s">
        <v>109</v>
      </c>
      <c r="C65" s="67">
        <v>5.5555555555555552E-2</v>
      </c>
      <c r="D65" s="66" t="s">
        <v>113</v>
      </c>
      <c r="E65" s="66" t="s">
        <v>92</v>
      </c>
      <c r="F65" s="66" t="s">
        <v>112</v>
      </c>
      <c r="G65" s="201"/>
      <c r="H65" s="61"/>
      <c r="I65" s="62"/>
      <c r="J65" s="62"/>
      <c r="K65" s="62"/>
      <c r="L65" s="62"/>
      <c r="M65" s="62"/>
      <c r="N65" s="62"/>
      <c r="O65" s="63"/>
      <c r="P65" s="62"/>
      <c r="Q65" s="64"/>
      <c r="R65" s="65"/>
    </row>
    <row r="66" spans="1:18" ht="15" customHeight="1" x14ac:dyDescent="0.3">
      <c r="A66" s="66" t="s">
        <v>108</v>
      </c>
      <c r="B66" s="66" t="s">
        <v>109</v>
      </c>
      <c r="C66" s="67">
        <v>5.5555555555555552E-2</v>
      </c>
      <c r="D66" s="66" t="s">
        <v>60</v>
      </c>
      <c r="E66" s="66" t="s">
        <v>92</v>
      </c>
      <c r="F66" s="66" t="s">
        <v>114</v>
      </c>
      <c r="G66" s="201"/>
      <c r="H66" s="61"/>
      <c r="I66" s="62"/>
      <c r="J66" s="62"/>
      <c r="K66" s="62"/>
      <c r="L66" s="62"/>
      <c r="M66" s="62"/>
      <c r="N66" s="62"/>
      <c r="O66" s="63"/>
      <c r="P66" s="62"/>
      <c r="Q66" s="64"/>
      <c r="R66" s="65"/>
    </row>
    <row r="67" spans="1:18" ht="15" customHeight="1" x14ac:dyDescent="0.3">
      <c r="A67" s="59" t="s">
        <v>115</v>
      </c>
      <c r="B67" s="59" t="s">
        <v>116</v>
      </c>
      <c r="C67" s="60">
        <v>0.48958333333333331</v>
      </c>
      <c r="D67" s="59" t="s">
        <v>117</v>
      </c>
      <c r="E67" s="59" t="s">
        <v>74</v>
      </c>
      <c r="F67" s="59" t="s">
        <v>118</v>
      </c>
      <c r="G67" s="201"/>
      <c r="H67" s="61"/>
      <c r="I67" s="62"/>
      <c r="J67" s="62"/>
      <c r="K67" s="62"/>
      <c r="L67" s="62"/>
      <c r="M67" s="62"/>
      <c r="N67" s="62"/>
      <c r="O67" s="63"/>
      <c r="P67" s="62"/>
      <c r="Q67" s="64"/>
      <c r="R67" s="65"/>
    </row>
    <row r="68" spans="1:18" ht="15" customHeight="1" x14ac:dyDescent="0.3">
      <c r="A68" s="68" t="s">
        <v>115</v>
      </c>
      <c r="B68" s="68" t="s">
        <v>119</v>
      </c>
      <c r="C68" s="69">
        <v>4.1666666666666657E-2</v>
      </c>
      <c r="D68" s="68" t="s">
        <v>117</v>
      </c>
      <c r="E68" s="68" t="s">
        <v>120</v>
      </c>
      <c r="F68" s="68" t="s">
        <v>118</v>
      </c>
      <c r="G68" s="201"/>
      <c r="H68" s="61"/>
      <c r="I68" s="62"/>
      <c r="J68" s="62"/>
      <c r="K68" s="62"/>
      <c r="L68" s="62"/>
      <c r="M68" s="62"/>
      <c r="N68" s="62"/>
      <c r="O68" s="63"/>
      <c r="P68" s="62"/>
      <c r="Q68" s="64"/>
      <c r="R68" s="65"/>
    </row>
    <row r="69" spans="1:18" ht="15" customHeight="1" x14ac:dyDescent="0.3">
      <c r="A69" s="68" t="s">
        <v>115</v>
      </c>
      <c r="B69" s="68" t="s">
        <v>121</v>
      </c>
      <c r="C69" s="69">
        <v>0.82986111111111116</v>
      </c>
      <c r="D69" s="68" t="s">
        <v>122</v>
      </c>
      <c r="E69" s="68" t="s">
        <v>77</v>
      </c>
      <c r="F69" s="68" t="s">
        <v>123</v>
      </c>
      <c r="G69" s="201"/>
      <c r="H69" s="61"/>
      <c r="I69" s="62"/>
      <c r="J69" s="62"/>
      <c r="K69" s="62"/>
      <c r="L69" s="62"/>
      <c r="M69" s="62"/>
      <c r="N69" s="62"/>
      <c r="O69" s="63"/>
      <c r="P69" s="62"/>
      <c r="Q69" s="64"/>
      <c r="R69" s="65"/>
    </row>
    <row r="70" spans="1:18" ht="15" customHeight="1" x14ac:dyDescent="0.3">
      <c r="A70" s="66" t="s">
        <v>115</v>
      </c>
      <c r="B70" s="66" t="s">
        <v>121</v>
      </c>
      <c r="C70" s="67">
        <v>0.82986111111111116</v>
      </c>
      <c r="D70" s="66" t="s">
        <v>117</v>
      </c>
      <c r="E70" s="66" t="s">
        <v>124</v>
      </c>
      <c r="F70" s="66" t="s">
        <v>123</v>
      </c>
      <c r="G70" s="201"/>
      <c r="H70" s="61"/>
      <c r="I70" s="62"/>
      <c r="J70" s="62"/>
      <c r="K70" s="62"/>
      <c r="L70" s="62"/>
      <c r="M70" s="62"/>
      <c r="N70" s="62"/>
      <c r="O70" s="63"/>
      <c r="P70" s="62"/>
      <c r="Q70" s="64"/>
      <c r="R70" s="65"/>
    </row>
    <row r="71" spans="1:18" ht="15" customHeight="1" x14ac:dyDescent="0.3">
      <c r="A71" s="68" t="s">
        <v>115</v>
      </c>
      <c r="B71" s="68" t="s">
        <v>125</v>
      </c>
      <c r="C71" s="69">
        <v>0.98958333333333337</v>
      </c>
      <c r="D71" s="68" t="s">
        <v>122</v>
      </c>
      <c r="E71" s="68" t="s">
        <v>63</v>
      </c>
      <c r="F71" s="68" t="s">
        <v>126</v>
      </c>
      <c r="G71" s="201"/>
      <c r="H71" s="61"/>
      <c r="I71" s="62"/>
      <c r="J71" s="62"/>
      <c r="K71" s="62"/>
      <c r="L71" s="62"/>
      <c r="M71" s="62"/>
      <c r="N71" s="62"/>
      <c r="O71" s="63"/>
      <c r="P71" s="62"/>
      <c r="Q71" s="64"/>
      <c r="R71" s="65"/>
    </row>
    <row r="72" spans="1:18" ht="15" customHeight="1" x14ac:dyDescent="0.3">
      <c r="A72" s="66" t="s">
        <v>115</v>
      </c>
      <c r="B72" s="66" t="s">
        <v>125</v>
      </c>
      <c r="C72" s="67">
        <v>0.98958333333333337</v>
      </c>
      <c r="D72" s="66" t="s">
        <v>117</v>
      </c>
      <c r="E72" s="66" t="s">
        <v>64</v>
      </c>
      <c r="F72" s="66" t="s">
        <v>126</v>
      </c>
      <c r="G72" s="201"/>
      <c r="H72" s="61"/>
      <c r="I72" s="62"/>
      <c r="J72" s="62"/>
      <c r="K72" s="62"/>
      <c r="L72" s="62"/>
      <c r="M72" s="62"/>
      <c r="N72" s="62"/>
      <c r="O72" s="63"/>
      <c r="P72" s="62"/>
      <c r="Q72" s="64"/>
      <c r="R72" s="65"/>
    </row>
    <row r="73" spans="1:18" ht="15" customHeight="1" x14ac:dyDescent="0.3">
      <c r="A73" s="68" t="s">
        <v>115</v>
      </c>
      <c r="B73" s="68" t="s">
        <v>127</v>
      </c>
      <c r="C73" s="69">
        <v>0.39930555555555558</v>
      </c>
      <c r="D73" s="68" t="s">
        <v>117</v>
      </c>
      <c r="E73" s="68" t="s">
        <v>63</v>
      </c>
      <c r="F73" s="68" t="s">
        <v>126</v>
      </c>
      <c r="G73" s="201"/>
      <c r="H73" s="61"/>
      <c r="I73" s="62"/>
      <c r="J73" s="62"/>
      <c r="K73" s="62"/>
      <c r="L73" s="62"/>
      <c r="M73" s="62"/>
      <c r="N73" s="62"/>
      <c r="O73" s="63"/>
      <c r="P73" s="62"/>
      <c r="Q73" s="64"/>
      <c r="R73" s="65"/>
    </row>
    <row r="74" spans="1:18" ht="15" customHeight="1" x14ac:dyDescent="0.3">
      <c r="A74" s="68" t="s">
        <v>115</v>
      </c>
      <c r="B74" s="68" t="s">
        <v>128</v>
      </c>
      <c r="C74" s="69">
        <v>0.48958333333333331</v>
      </c>
      <c r="D74" s="68" t="s">
        <v>117</v>
      </c>
      <c r="E74" s="68" t="s">
        <v>63</v>
      </c>
      <c r="F74" s="68" t="s">
        <v>129</v>
      </c>
      <c r="G74" s="201"/>
      <c r="H74" s="61"/>
      <c r="I74" s="62"/>
      <c r="J74" s="62"/>
      <c r="K74" s="62"/>
      <c r="L74" s="62"/>
      <c r="M74" s="62"/>
      <c r="N74" s="62"/>
      <c r="O74" s="63"/>
      <c r="P74" s="62"/>
      <c r="Q74" s="64"/>
      <c r="R74" s="65"/>
    </row>
    <row r="75" spans="1:18" ht="15" customHeight="1" x14ac:dyDescent="0.3">
      <c r="A75" s="68" t="s">
        <v>115</v>
      </c>
      <c r="B75" s="68" t="s">
        <v>130</v>
      </c>
      <c r="C75" s="69">
        <v>0.88888888888888884</v>
      </c>
      <c r="D75" s="68" t="s">
        <v>122</v>
      </c>
      <c r="E75" s="68" t="s">
        <v>63</v>
      </c>
      <c r="F75" s="68" t="s">
        <v>129</v>
      </c>
      <c r="G75" s="201"/>
      <c r="H75" s="61"/>
      <c r="I75" s="62"/>
      <c r="J75" s="62"/>
      <c r="K75" s="62"/>
      <c r="L75" s="62"/>
      <c r="M75" s="62"/>
      <c r="N75" s="62"/>
      <c r="O75" s="63"/>
      <c r="P75" s="62"/>
      <c r="Q75" s="64"/>
      <c r="R75" s="65"/>
    </row>
    <row r="76" spans="1:18" ht="15" customHeight="1" x14ac:dyDescent="0.3">
      <c r="A76" s="66" t="s">
        <v>115</v>
      </c>
      <c r="B76" s="66" t="s">
        <v>130</v>
      </c>
      <c r="C76" s="67">
        <v>0.88888888888888884</v>
      </c>
      <c r="D76" s="66" t="s">
        <v>117</v>
      </c>
      <c r="E76" s="66" t="s">
        <v>64</v>
      </c>
      <c r="F76" s="66" t="s">
        <v>129</v>
      </c>
      <c r="G76" s="201"/>
      <c r="H76" s="61"/>
      <c r="I76" s="62"/>
      <c r="J76" s="62"/>
      <c r="K76" s="62"/>
      <c r="L76" s="62"/>
      <c r="M76" s="62"/>
      <c r="N76" s="62"/>
      <c r="O76" s="63"/>
      <c r="P76" s="62"/>
      <c r="Q76" s="64"/>
      <c r="R76" s="65"/>
    </row>
    <row r="77" spans="1:18" ht="15" customHeight="1" x14ac:dyDescent="0.3">
      <c r="A77" s="68" t="s">
        <v>115</v>
      </c>
      <c r="B77" s="68" t="s">
        <v>131</v>
      </c>
      <c r="C77" s="69">
        <v>0.11805555555555559</v>
      </c>
      <c r="D77" s="68" t="s">
        <v>122</v>
      </c>
      <c r="E77" s="68" t="s">
        <v>67</v>
      </c>
      <c r="F77" s="68" t="s">
        <v>132</v>
      </c>
      <c r="G77" s="201"/>
      <c r="H77" s="61"/>
      <c r="I77" s="62"/>
      <c r="J77" s="62"/>
      <c r="K77" s="62"/>
      <c r="L77" s="62"/>
      <c r="M77" s="62"/>
      <c r="N77" s="62"/>
      <c r="O77" s="63"/>
      <c r="P77" s="62"/>
      <c r="Q77" s="64"/>
      <c r="R77" s="65"/>
    </row>
    <row r="78" spans="1:18" ht="15" customHeight="1" x14ac:dyDescent="0.3">
      <c r="A78" s="66" t="s">
        <v>115</v>
      </c>
      <c r="B78" s="66" t="s">
        <v>131</v>
      </c>
      <c r="C78" s="67">
        <v>0.11805555555555559</v>
      </c>
      <c r="D78" s="66" t="s">
        <v>117</v>
      </c>
      <c r="E78" s="66" t="s">
        <v>68</v>
      </c>
      <c r="F78" s="66" t="s">
        <v>132</v>
      </c>
      <c r="G78" s="201"/>
      <c r="H78" s="61"/>
      <c r="I78" s="62"/>
      <c r="J78" s="62"/>
      <c r="K78" s="62"/>
      <c r="L78" s="62"/>
      <c r="M78" s="62"/>
      <c r="N78" s="62"/>
      <c r="O78" s="63"/>
      <c r="P78" s="62"/>
      <c r="Q78" s="64"/>
      <c r="R78" s="65"/>
    </row>
    <row r="79" spans="1:18" ht="15" customHeight="1" x14ac:dyDescent="0.3">
      <c r="A79" s="68" t="s">
        <v>115</v>
      </c>
      <c r="B79" s="68" t="s">
        <v>133</v>
      </c>
      <c r="C79" s="69">
        <v>0.25347222222222221</v>
      </c>
      <c r="D79" s="68" t="s">
        <v>122</v>
      </c>
      <c r="E79" s="68" t="s">
        <v>134</v>
      </c>
      <c r="F79" s="68" t="s">
        <v>132</v>
      </c>
      <c r="G79" s="201"/>
      <c r="H79" s="61"/>
      <c r="I79" s="62"/>
      <c r="J79" s="62"/>
      <c r="K79" s="62"/>
      <c r="L79" s="62"/>
      <c r="M79" s="62"/>
      <c r="N79" s="62"/>
      <c r="O79" s="63"/>
      <c r="P79" s="62"/>
      <c r="Q79" s="64"/>
      <c r="R79" s="65"/>
    </row>
    <row r="80" spans="1:18" ht="15" customHeight="1" x14ac:dyDescent="0.3">
      <c r="A80" s="66" t="s">
        <v>115</v>
      </c>
      <c r="B80" s="66" t="s">
        <v>133</v>
      </c>
      <c r="C80" s="67">
        <v>0.25347222222222221</v>
      </c>
      <c r="D80" s="66" t="s">
        <v>117</v>
      </c>
      <c r="E80" s="66" t="s">
        <v>85</v>
      </c>
      <c r="F80" s="66" t="s">
        <v>132</v>
      </c>
      <c r="G80" s="201"/>
      <c r="H80" s="61"/>
      <c r="I80" s="62"/>
      <c r="J80" s="62"/>
      <c r="K80" s="62"/>
      <c r="L80" s="62"/>
      <c r="M80" s="62"/>
      <c r="N80" s="62"/>
      <c r="O80" s="63"/>
      <c r="P80" s="62"/>
      <c r="Q80" s="64"/>
      <c r="R80" s="65"/>
    </row>
    <row r="81" spans="1:18" ht="15" customHeight="1" x14ac:dyDescent="0.3">
      <c r="A81" s="68" t="s">
        <v>115</v>
      </c>
      <c r="B81" s="68" t="s">
        <v>135</v>
      </c>
      <c r="C81" s="69">
        <v>0.94097222222222221</v>
      </c>
      <c r="D81" s="68" t="s">
        <v>122</v>
      </c>
      <c r="E81" s="68" t="s">
        <v>120</v>
      </c>
      <c r="F81" s="68" t="s">
        <v>132</v>
      </c>
      <c r="G81" s="201"/>
      <c r="H81" s="61"/>
      <c r="I81" s="62"/>
      <c r="J81" s="62"/>
      <c r="K81" s="62"/>
      <c r="L81" s="62"/>
      <c r="M81" s="62"/>
      <c r="N81" s="62"/>
      <c r="O81" s="63"/>
      <c r="P81" s="62"/>
      <c r="Q81" s="64"/>
      <c r="R81" s="65"/>
    </row>
    <row r="82" spans="1:18" ht="15" customHeight="1" x14ac:dyDescent="0.3">
      <c r="A82" s="66" t="s">
        <v>115</v>
      </c>
      <c r="B82" s="66" t="s">
        <v>135</v>
      </c>
      <c r="C82" s="67">
        <v>0.94097222222222221</v>
      </c>
      <c r="D82" s="66" t="s">
        <v>117</v>
      </c>
      <c r="E82" s="66" t="s">
        <v>136</v>
      </c>
      <c r="F82" s="66" t="s">
        <v>132</v>
      </c>
      <c r="G82" s="201"/>
      <c r="H82" s="61"/>
      <c r="I82" s="62"/>
      <c r="J82" s="62"/>
      <c r="K82" s="62"/>
      <c r="L82" s="62"/>
      <c r="M82" s="62"/>
      <c r="N82" s="62"/>
      <c r="O82" s="63"/>
      <c r="P82" s="62"/>
      <c r="Q82" s="64"/>
      <c r="R82" s="65"/>
    </row>
    <row r="83" spans="1:18" ht="15" customHeight="1" x14ac:dyDescent="0.3">
      <c r="A83" s="68" t="s">
        <v>115</v>
      </c>
      <c r="B83" s="68" t="s">
        <v>137</v>
      </c>
      <c r="C83" s="69">
        <v>0.72222222222222221</v>
      </c>
      <c r="D83" s="68" t="s">
        <v>117</v>
      </c>
      <c r="E83" s="68" t="s">
        <v>134</v>
      </c>
      <c r="F83" s="68" t="s">
        <v>138</v>
      </c>
      <c r="G83" s="201"/>
      <c r="H83" s="61"/>
      <c r="I83" s="62"/>
      <c r="J83" s="62"/>
      <c r="K83" s="62"/>
      <c r="L83" s="62"/>
      <c r="M83" s="62"/>
      <c r="N83" s="62"/>
      <c r="O83" s="63"/>
      <c r="P83" s="62"/>
      <c r="Q83" s="64"/>
      <c r="R83" s="65"/>
    </row>
    <row r="84" spans="1:18" ht="15" customHeight="1" x14ac:dyDescent="0.3">
      <c r="A84" s="68" t="s">
        <v>115</v>
      </c>
      <c r="B84" s="68" t="s">
        <v>139</v>
      </c>
      <c r="C84" s="69">
        <v>0.70138888888888884</v>
      </c>
      <c r="D84" s="68" t="s">
        <v>117</v>
      </c>
      <c r="E84" s="68" t="s">
        <v>35</v>
      </c>
      <c r="F84" s="68" t="s">
        <v>138</v>
      </c>
      <c r="G84" s="201"/>
      <c r="H84" s="61"/>
      <c r="I84" s="62"/>
      <c r="J84" s="62"/>
      <c r="K84" s="62"/>
      <c r="L84" s="62"/>
      <c r="M84" s="62"/>
      <c r="N84" s="62"/>
      <c r="O84" s="63"/>
      <c r="P84" s="62"/>
      <c r="Q84" s="64"/>
      <c r="R84" s="65"/>
    </row>
    <row r="85" spans="1:18" ht="15" customHeight="1" x14ac:dyDescent="0.3">
      <c r="A85" s="59" t="s">
        <v>140</v>
      </c>
      <c r="B85" s="59" t="s">
        <v>141</v>
      </c>
      <c r="C85" s="60">
        <v>0.97222222222222221</v>
      </c>
      <c r="D85" s="59" t="s">
        <v>122</v>
      </c>
      <c r="E85" s="59" t="s">
        <v>74</v>
      </c>
      <c r="F85" s="59" t="s">
        <v>142</v>
      </c>
      <c r="G85" s="201"/>
      <c r="H85" s="61"/>
      <c r="I85" s="62"/>
      <c r="J85" s="62"/>
      <c r="K85" s="62"/>
      <c r="L85" s="62"/>
      <c r="M85" s="62"/>
      <c r="N85" s="62"/>
      <c r="O85" s="63"/>
      <c r="P85" s="62"/>
      <c r="Q85" s="64"/>
      <c r="R85" s="65"/>
    </row>
    <row r="86" spans="1:18" ht="15" customHeight="1" x14ac:dyDescent="0.3">
      <c r="A86" s="68" t="s">
        <v>140</v>
      </c>
      <c r="B86" s="68" t="s">
        <v>143</v>
      </c>
      <c r="C86" s="69">
        <v>0.83680555555555547</v>
      </c>
      <c r="D86" s="68" t="s">
        <v>122</v>
      </c>
      <c r="E86" s="68" t="s">
        <v>77</v>
      </c>
      <c r="F86" s="68" t="s">
        <v>144</v>
      </c>
      <c r="G86" s="201"/>
      <c r="H86" s="61"/>
      <c r="I86" s="62"/>
      <c r="J86" s="62"/>
      <c r="K86" s="62"/>
      <c r="L86" s="62"/>
      <c r="M86" s="62"/>
      <c r="N86" s="62"/>
      <c r="O86" s="63"/>
      <c r="P86" s="62"/>
      <c r="Q86" s="64"/>
      <c r="R86" s="65"/>
    </row>
    <row r="87" spans="1:18" ht="15" customHeight="1" x14ac:dyDescent="0.3">
      <c r="A87" s="68" t="s">
        <v>140</v>
      </c>
      <c r="B87" s="68" t="s">
        <v>145</v>
      </c>
      <c r="C87" s="69">
        <v>0.78472222222222221</v>
      </c>
      <c r="D87" s="68" t="s">
        <v>122</v>
      </c>
      <c r="E87" s="68" t="s">
        <v>77</v>
      </c>
      <c r="F87" s="68" t="s">
        <v>144</v>
      </c>
      <c r="G87" s="201"/>
      <c r="H87" s="61"/>
      <c r="I87" s="62"/>
      <c r="J87" s="62"/>
      <c r="K87" s="62"/>
      <c r="L87" s="62"/>
      <c r="M87" s="62"/>
      <c r="N87" s="62"/>
      <c r="O87" s="63"/>
      <c r="P87" s="62"/>
      <c r="Q87" s="64"/>
      <c r="R87" s="65"/>
    </row>
    <row r="88" spans="1:18" ht="15" customHeight="1" thickBot="1" x14ac:dyDescent="0.35">
      <c r="A88" s="70" t="s">
        <v>140</v>
      </c>
      <c r="B88" s="70" t="s">
        <v>146</v>
      </c>
      <c r="C88" s="71">
        <v>4.8611111111111112E-2</v>
      </c>
      <c r="D88" s="70" t="s">
        <v>122</v>
      </c>
      <c r="E88" s="70" t="s">
        <v>35</v>
      </c>
      <c r="F88" s="70" t="s">
        <v>144</v>
      </c>
      <c r="G88" s="202"/>
      <c r="H88" s="72"/>
      <c r="I88" s="73"/>
      <c r="J88" s="73"/>
      <c r="K88" s="73"/>
      <c r="L88" s="73"/>
      <c r="M88" s="73"/>
      <c r="N88" s="73"/>
      <c r="O88" s="74"/>
      <c r="P88" s="73"/>
      <c r="Q88" s="75"/>
      <c r="R88" s="76"/>
    </row>
    <row r="89" spans="1:18" ht="17.399999999999999" customHeight="1" thickBot="1" x14ac:dyDescent="0.35">
      <c r="A89" s="235"/>
      <c r="B89" s="236"/>
      <c r="C89" s="236"/>
      <c r="D89" s="236"/>
      <c r="E89" s="236"/>
      <c r="F89" s="236"/>
      <c r="G89" s="236"/>
      <c r="H89" s="236"/>
      <c r="I89" s="236"/>
      <c r="J89" s="236"/>
      <c r="K89" s="236"/>
      <c r="L89" s="236"/>
      <c r="M89" s="236"/>
      <c r="N89" s="236"/>
      <c r="O89" s="236"/>
      <c r="P89" s="236"/>
      <c r="Q89" s="236"/>
      <c r="R89" s="237"/>
    </row>
    <row r="90" spans="1:18" ht="22.05" customHeight="1" thickTop="1" thickBot="1" x14ac:dyDescent="0.35">
      <c r="A90" s="203" t="s">
        <v>6</v>
      </c>
      <c r="B90" s="204"/>
      <c r="C90" s="204"/>
      <c r="D90" s="204"/>
      <c r="E90" s="204"/>
      <c r="F90" s="205"/>
      <c r="G90" s="77">
        <v>45987</v>
      </c>
      <c r="H90" s="212" t="s">
        <v>7</v>
      </c>
      <c r="I90" s="204"/>
      <c r="J90" s="204"/>
      <c r="K90" s="204"/>
      <c r="L90" s="204"/>
      <c r="M90" s="204"/>
      <c r="N90" s="204"/>
      <c r="O90" s="204"/>
      <c r="P90" s="204"/>
      <c r="Q90" s="204"/>
      <c r="R90" s="205"/>
    </row>
    <row r="91" spans="1:18" ht="24" customHeight="1" x14ac:dyDescent="0.3">
      <c r="A91" s="78" t="s">
        <v>8</v>
      </c>
      <c r="B91" s="78" t="s">
        <v>9</v>
      </c>
      <c r="C91" s="79" t="s">
        <v>10</v>
      </c>
      <c r="D91" s="78" t="s">
        <v>11</v>
      </c>
      <c r="E91" s="78" t="s">
        <v>12</v>
      </c>
      <c r="F91" s="80" t="s">
        <v>13</v>
      </c>
      <c r="G91" s="81" t="s">
        <v>14</v>
      </c>
      <c r="H91" s="78" t="s">
        <v>15</v>
      </c>
      <c r="I91" s="82" t="s">
        <v>16</v>
      </c>
      <c r="J91" s="83" t="s">
        <v>17</v>
      </c>
      <c r="K91" s="84" t="s">
        <v>18</v>
      </c>
      <c r="L91" s="83" t="s">
        <v>19</v>
      </c>
      <c r="M91" s="83" t="s">
        <v>20</v>
      </c>
      <c r="N91" s="83" t="s">
        <v>21</v>
      </c>
      <c r="O91" s="78" t="s">
        <v>22</v>
      </c>
      <c r="P91" s="79" t="s">
        <v>23</v>
      </c>
      <c r="Q91" s="83" t="s">
        <v>24</v>
      </c>
      <c r="R91" s="78" t="s">
        <v>25</v>
      </c>
    </row>
    <row r="92" spans="1:18" ht="15" customHeight="1" x14ac:dyDescent="0.3">
      <c r="A92" s="85" t="s">
        <v>26</v>
      </c>
      <c r="B92" s="85" t="s">
        <v>40</v>
      </c>
      <c r="C92" s="86">
        <v>0.34027777777777768</v>
      </c>
      <c r="D92" s="85" t="s">
        <v>28</v>
      </c>
      <c r="E92" s="85" t="s">
        <v>29</v>
      </c>
      <c r="F92" s="85" t="s">
        <v>36</v>
      </c>
      <c r="G92" s="200"/>
      <c r="H92" s="87" t="s">
        <v>41</v>
      </c>
      <c r="I92" s="88">
        <v>0.9889</v>
      </c>
      <c r="J92" s="89">
        <v>178</v>
      </c>
      <c r="K92" s="90">
        <v>45981</v>
      </c>
      <c r="L92" s="89">
        <v>69</v>
      </c>
      <c r="M92" s="89">
        <v>0</v>
      </c>
      <c r="N92" s="89">
        <v>4</v>
      </c>
      <c r="O92" s="91" t="s">
        <v>38</v>
      </c>
      <c r="P92" s="92">
        <v>0.34027777777777768</v>
      </c>
      <c r="Q92" s="89">
        <v>180</v>
      </c>
      <c r="R92" s="93" t="s">
        <v>147</v>
      </c>
    </row>
    <row r="93" spans="1:18" ht="15" customHeight="1" x14ac:dyDescent="0.3">
      <c r="A93" s="29" t="s">
        <v>26</v>
      </c>
      <c r="B93" s="29" t="s">
        <v>34</v>
      </c>
      <c r="C93" s="30">
        <v>0.9375</v>
      </c>
      <c r="D93" s="29" t="s">
        <v>28</v>
      </c>
      <c r="E93" s="29" t="s">
        <v>95</v>
      </c>
      <c r="F93" s="29" t="s">
        <v>148</v>
      </c>
      <c r="G93" s="201"/>
      <c r="H93" s="32" t="s">
        <v>37</v>
      </c>
      <c r="I93" s="94">
        <v>0.80559999999999998</v>
      </c>
      <c r="J93" s="34">
        <v>145</v>
      </c>
      <c r="K93" s="35">
        <v>45981</v>
      </c>
      <c r="L93" s="34">
        <v>77</v>
      </c>
      <c r="M93" s="34">
        <v>0</v>
      </c>
      <c r="N93" s="34">
        <v>35</v>
      </c>
      <c r="O93" s="36" t="s">
        <v>149</v>
      </c>
      <c r="P93" s="37">
        <v>0.9375</v>
      </c>
      <c r="Q93" s="34">
        <v>180</v>
      </c>
      <c r="R93" s="38" t="s">
        <v>150</v>
      </c>
    </row>
    <row r="94" spans="1:18" ht="15" customHeight="1" x14ac:dyDescent="0.3">
      <c r="A94" s="95" t="s">
        <v>26</v>
      </c>
      <c r="B94" s="95" t="s">
        <v>50</v>
      </c>
      <c r="C94" s="96">
        <v>0.2326388888888889</v>
      </c>
      <c r="D94" s="95" t="s">
        <v>44</v>
      </c>
      <c r="E94" s="97"/>
      <c r="F94" s="95" t="s">
        <v>45</v>
      </c>
      <c r="G94" s="201"/>
      <c r="H94" s="98" t="s">
        <v>50</v>
      </c>
      <c r="I94" s="99">
        <v>1</v>
      </c>
      <c r="J94" s="100">
        <v>180</v>
      </c>
      <c r="K94" s="101">
        <v>45980</v>
      </c>
      <c r="L94" s="100">
        <v>25</v>
      </c>
      <c r="M94" s="100">
        <v>0</v>
      </c>
      <c r="N94" s="100">
        <v>0</v>
      </c>
      <c r="O94" s="102" t="s">
        <v>46</v>
      </c>
      <c r="P94" s="103">
        <v>0.2326388888888889</v>
      </c>
      <c r="Q94" s="100">
        <v>180</v>
      </c>
      <c r="R94" s="104" t="s">
        <v>151</v>
      </c>
    </row>
    <row r="95" spans="1:18" ht="15" customHeight="1" x14ac:dyDescent="0.3">
      <c r="A95" s="39" t="s">
        <v>26</v>
      </c>
      <c r="B95" s="39" t="s">
        <v>48</v>
      </c>
      <c r="C95" s="40">
        <v>0.34375</v>
      </c>
      <c r="D95" s="39" t="s">
        <v>44</v>
      </c>
      <c r="E95" s="41"/>
      <c r="F95" s="39" t="s">
        <v>45</v>
      </c>
      <c r="G95" s="201"/>
      <c r="H95" s="42" t="s">
        <v>48</v>
      </c>
      <c r="I95" s="43">
        <v>1</v>
      </c>
      <c r="J95" s="44">
        <v>180</v>
      </c>
      <c r="K95" s="45">
        <v>45980</v>
      </c>
      <c r="L95" s="44">
        <v>26</v>
      </c>
      <c r="M95" s="44">
        <v>0</v>
      </c>
      <c r="N95" s="44">
        <v>0</v>
      </c>
      <c r="O95" s="46" t="s">
        <v>46</v>
      </c>
      <c r="P95" s="47">
        <v>0.34375</v>
      </c>
      <c r="Q95" s="44">
        <v>180</v>
      </c>
      <c r="R95" s="48" t="s">
        <v>152</v>
      </c>
    </row>
    <row r="96" spans="1:18" ht="15" customHeight="1" x14ac:dyDescent="0.3">
      <c r="A96" s="95" t="s">
        <v>26</v>
      </c>
      <c r="B96" s="95" t="s">
        <v>31</v>
      </c>
      <c r="C96" s="96">
        <v>0.4375</v>
      </c>
      <c r="D96" s="95" t="s">
        <v>44</v>
      </c>
      <c r="E96" s="97"/>
      <c r="F96" s="95" t="s">
        <v>45</v>
      </c>
      <c r="G96" s="201"/>
      <c r="H96" s="98" t="s">
        <v>31</v>
      </c>
      <c r="I96" s="99">
        <v>0.99439999999999995</v>
      </c>
      <c r="J96" s="100">
        <v>179</v>
      </c>
      <c r="K96" s="101">
        <v>45981</v>
      </c>
      <c r="L96" s="100">
        <v>17</v>
      </c>
      <c r="M96" s="100">
        <v>0</v>
      </c>
      <c r="N96" s="100">
        <v>1</v>
      </c>
      <c r="O96" s="102" t="s">
        <v>46</v>
      </c>
      <c r="P96" s="103">
        <v>0.4375</v>
      </c>
      <c r="Q96" s="100">
        <v>180</v>
      </c>
      <c r="R96" s="104" t="s">
        <v>153</v>
      </c>
    </row>
    <row r="97" spans="1:18" ht="15" customHeight="1" x14ac:dyDescent="0.3">
      <c r="A97" s="59" t="s">
        <v>52</v>
      </c>
      <c r="B97" s="59" t="s">
        <v>53</v>
      </c>
      <c r="C97" s="60">
        <v>0.39930555555555558</v>
      </c>
      <c r="D97" s="59" t="s">
        <v>56</v>
      </c>
      <c r="E97" s="59" t="s">
        <v>154</v>
      </c>
      <c r="F97" s="59" t="s">
        <v>36</v>
      </c>
      <c r="G97" s="201"/>
      <c r="H97" s="61"/>
      <c r="I97" s="62"/>
      <c r="J97" s="62"/>
      <c r="K97" s="62"/>
      <c r="L97" s="62"/>
      <c r="M97" s="62"/>
      <c r="N97" s="62"/>
      <c r="O97" s="63"/>
      <c r="P97" s="62"/>
      <c r="Q97" s="64"/>
      <c r="R97" s="65"/>
    </row>
    <row r="98" spans="1:18" ht="15" customHeight="1" x14ac:dyDescent="0.3">
      <c r="A98" s="66" t="s">
        <v>52</v>
      </c>
      <c r="B98" s="66" t="s">
        <v>53</v>
      </c>
      <c r="C98" s="67">
        <v>0.39930555555555558</v>
      </c>
      <c r="D98" s="66" t="s">
        <v>58</v>
      </c>
      <c r="E98" s="66" t="s">
        <v>64</v>
      </c>
      <c r="F98" s="66" t="s">
        <v>61</v>
      </c>
      <c r="G98" s="201"/>
      <c r="H98" s="61"/>
      <c r="I98" s="62"/>
      <c r="J98" s="62"/>
      <c r="K98" s="62"/>
      <c r="L98" s="62"/>
      <c r="M98" s="62"/>
      <c r="N98" s="62"/>
      <c r="O98" s="63"/>
      <c r="P98" s="62"/>
      <c r="Q98" s="64"/>
      <c r="R98" s="65"/>
    </row>
    <row r="99" spans="1:18" ht="15" customHeight="1" x14ac:dyDescent="0.3">
      <c r="A99" s="66" t="s">
        <v>52</v>
      </c>
      <c r="B99" s="66" t="s">
        <v>53</v>
      </c>
      <c r="C99" s="67">
        <v>0.39930555555555558</v>
      </c>
      <c r="D99" s="66" t="s">
        <v>60</v>
      </c>
      <c r="E99" s="66" t="s">
        <v>64</v>
      </c>
      <c r="F99" s="66" t="s">
        <v>61</v>
      </c>
      <c r="G99" s="201"/>
      <c r="H99" s="61"/>
      <c r="I99" s="62"/>
      <c r="J99" s="62"/>
      <c r="K99" s="62"/>
      <c r="L99" s="62"/>
      <c r="M99" s="62"/>
      <c r="N99" s="62"/>
      <c r="O99" s="63"/>
      <c r="P99" s="62"/>
      <c r="Q99" s="64"/>
      <c r="R99" s="65"/>
    </row>
    <row r="100" spans="1:18" ht="15" customHeight="1" x14ac:dyDescent="0.3">
      <c r="A100" s="68" t="s">
        <v>52</v>
      </c>
      <c r="B100" s="68" t="s">
        <v>62</v>
      </c>
      <c r="C100" s="69">
        <v>0.48958333333333331</v>
      </c>
      <c r="D100" s="68" t="s">
        <v>56</v>
      </c>
      <c r="E100" s="68" t="s">
        <v>35</v>
      </c>
      <c r="F100" s="68" t="s">
        <v>36</v>
      </c>
      <c r="G100" s="201"/>
      <c r="H100" s="61"/>
      <c r="I100" s="62"/>
      <c r="J100" s="62"/>
      <c r="K100" s="62"/>
      <c r="L100" s="62"/>
      <c r="M100" s="62"/>
      <c r="N100" s="62"/>
      <c r="O100" s="63"/>
      <c r="P100" s="62"/>
      <c r="Q100" s="64"/>
      <c r="R100" s="65"/>
    </row>
    <row r="101" spans="1:18" ht="15" customHeight="1" x14ac:dyDescent="0.3">
      <c r="A101" s="66" t="s">
        <v>52</v>
      </c>
      <c r="B101" s="66" t="s">
        <v>62</v>
      </c>
      <c r="C101" s="67">
        <v>0.48958333333333331</v>
      </c>
      <c r="D101" s="66" t="s">
        <v>58</v>
      </c>
      <c r="E101" s="66" t="s">
        <v>57</v>
      </c>
      <c r="F101" s="66" t="s">
        <v>61</v>
      </c>
      <c r="G101" s="201"/>
      <c r="H101" s="61"/>
      <c r="I101" s="62"/>
      <c r="J101" s="62"/>
      <c r="K101" s="62"/>
      <c r="L101" s="62"/>
      <c r="M101" s="62"/>
      <c r="N101" s="62"/>
      <c r="O101" s="63"/>
      <c r="P101" s="62"/>
      <c r="Q101" s="64"/>
      <c r="R101" s="65"/>
    </row>
    <row r="102" spans="1:18" ht="15" customHeight="1" x14ac:dyDescent="0.3">
      <c r="A102" s="66" t="s">
        <v>52</v>
      </c>
      <c r="B102" s="66" t="s">
        <v>62</v>
      </c>
      <c r="C102" s="67">
        <v>0.48958333333333331</v>
      </c>
      <c r="D102" s="66" t="s">
        <v>60</v>
      </c>
      <c r="E102" s="66" t="s">
        <v>57</v>
      </c>
      <c r="F102" s="66" t="s">
        <v>61</v>
      </c>
      <c r="G102" s="201"/>
      <c r="H102" s="61"/>
      <c r="I102" s="62"/>
      <c r="J102" s="62"/>
      <c r="K102" s="62"/>
      <c r="L102" s="62"/>
      <c r="M102" s="62"/>
      <c r="N102" s="62"/>
      <c r="O102" s="63"/>
      <c r="P102" s="62"/>
      <c r="Q102" s="64"/>
      <c r="R102" s="65"/>
    </row>
    <row r="103" spans="1:18" ht="15" customHeight="1" x14ac:dyDescent="0.3">
      <c r="A103" s="68" t="s">
        <v>52</v>
      </c>
      <c r="B103" s="68" t="s">
        <v>66</v>
      </c>
      <c r="C103" s="69">
        <v>0.88888888888888884</v>
      </c>
      <c r="D103" s="68" t="s">
        <v>54</v>
      </c>
      <c r="E103" s="68" t="s">
        <v>63</v>
      </c>
      <c r="F103" s="68" t="s">
        <v>36</v>
      </c>
      <c r="G103" s="201"/>
      <c r="H103" s="61"/>
      <c r="I103" s="62"/>
      <c r="J103" s="62"/>
      <c r="K103" s="62"/>
      <c r="L103" s="62"/>
      <c r="M103" s="62"/>
      <c r="N103" s="62"/>
      <c r="O103" s="63"/>
      <c r="P103" s="62"/>
      <c r="Q103" s="64"/>
      <c r="R103" s="65"/>
    </row>
    <row r="104" spans="1:18" ht="15" customHeight="1" x14ac:dyDescent="0.3">
      <c r="A104" s="66" t="s">
        <v>52</v>
      </c>
      <c r="B104" s="66" t="s">
        <v>66</v>
      </c>
      <c r="C104" s="67">
        <v>0.88888888888888884</v>
      </c>
      <c r="D104" s="66" t="s">
        <v>56</v>
      </c>
      <c r="E104" s="66" t="s">
        <v>64</v>
      </c>
      <c r="F104" s="66" t="s">
        <v>36</v>
      </c>
      <c r="G104" s="201"/>
      <c r="H104" s="61"/>
      <c r="I104" s="62"/>
      <c r="J104" s="62"/>
      <c r="K104" s="62"/>
      <c r="L104" s="62"/>
      <c r="M104" s="62"/>
      <c r="N104" s="62"/>
      <c r="O104" s="63"/>
      <c r="P104" s="62"/>
      <c r="Q104" s="64"/>
      <c r="R104" s="65"/>
    </row>
    <row r="105" spans="1:18" ht="15" customHeight="1" x14ac:dyDescent="0.3">
      <c r="A105" s="66" t="s">
        <v>52</v>
      </c>
      <c r="B105" s="66" t="s">
        <v>66</v>
      </c>
      <c r="C105" s="67">
        <v>0.88888888888888884</v>
      </c>
      <c r="D105" s="66" t="s">
        <v>58</v>
      </c>
      <c r="E105" s="66" t="s">
        <v>64</v>
      </c>
      <c r="F105" s="66" t="s">
        <v>61</v>
      </c>
      <c r="G105" s="201"/>
      <c r="H105" s="61"/>
      <c r="I105" s="62"/>
      <c r="J105" s="62"/>
      <c r="K105" s="62"/>
      <c r="L105" s="62"/>
      <c r="M105" s="62"/>
      <c r="N105" s="62"/>
      <c r="O105" s="63"/>
      <c r="P105" s="62"/>
      <c r="Q105" s="64"/>
      <c r="R105" s="65"/>
    </row>
    <row r="106" spans="1:18" ht="15" customHeight="1" x14ac:dyDescent="0.3">
      <c r="A106" s="66" t="s">
        <v>52</v>
      </c>
      <c r="B106" s="66" t="s">
        <v>66</v>
      </c>
      <c r="C106" s="67">
        <v>0.88888888888888884</v>
      </c>
      <c r="D106" s="66" t="s">
        <v>60</v>
      </c>
      <c r="E106" s="66" t="s">
        <v>64</v>
      </c>
      <c r="F106" s="66" t="s">
        <v>61</v>
      </c>
      <c r="G106" s="201"/>
      <c r="H106" s="61"/>
      <c r="I106" s="62"/>
      <c r="J106" s="62"/>
      <c r="K106" s="62"/>
      <c r="L106" s="62"/>
      <c r="M106" s="62"/>
      <c r="N106" s="62"/>
      <c r="O106" s="63"/>
      <c r="P106" s="62"/>
      <c r="Q106" s="64"/>
      <c r="R106" s="65"/>
    </row>
    <row r="107" spans="1:18" ht="15" customHeight="1" x14ac:dyDescent="0.3">
      <c r="A107" s="68" t="s">
        <v>52</v>
      </c>
      <c r="B107" s="68" t="s">
        <v>69</v>
      </c>
      <c r="C107" s="69">
        <v>0.98958333333333337</v>
      </c>
      <c r="D107" s="68" t="s">
        <v>54</v>
      </c>
      <c r="E107" s="68" t="s">
        <v>63</v>
      </c>
      <c r="F107" s="68" t="s">
        <v>36</v>
      </c>
      <c r="G107" s="201"/>
      <c r="H107" s="61"/>
      <c r="I107" s="62"/>
      <c r="J107" s="62"/>
      <c r="K107" s="62"/>
      <c r="L107" s="62"/>
      <c r="M107" s="62"/>
      <c r="N107" s="62"/>
      <c r="O107" s="63"/>
      <c r="P107" s="62"/>
      <c r="Q107" s="64"/>
      <c r="R107" s="65"/>
    </row>
    <row r="108" spans="1:18" ht="15" customHeight="1" x14ac:dyDescent="0.3">
      <c r="A108" s="66" t="s">
        <v>52</v>
      </c>
      <c r="B108" s="66" t="s">
        <v>69</v>
      </c>
      <c r="C108" s="67">
        <v>0.98958333333333337</v>
      </c>
      <c r="D108" s="66" t="s">
        <v>56</v>
      </c>
      <c r="E108" s="66" t="s">
        <v>64</v>
      </c>
      <c r="F108" s="66" t="s">
        <v>36</v>
      </c>
      <c r="G108" s="201"/>
      <c r="H108" s="61"/>
      <c r="I108" s="62"/>
      <c r="J108" s="62"/>
      <c r="K108" s="62"/>
      <c r="L108" s="62"/>
      <c r="M108" s="62"/>
      <c r="N108" s="62"/>
      <c r="O108" s="63"/>
      <c r="P108" s="62"/>
      <c r="Q108" s="64"/>
      <c r="R108" s="65"/>
    </row>
    <row r="109" spans="1:18" ht="15" customHeight="1" x14ac:dyDescent="0.3">
      <c r="A109" s="66" t="s">
        <v>52</v>
      </c>
      <c r="B109" s="66" t="s">
        <v>69</v>
      </c>
      <c r="C109" s="67">
        <v>0.98958333333333337</v>
      </c>
      <c r="D109" s="66" t="s">
        <v>58</v>
      </c>
      <c r="E109" s="66" t="s">
        <v>64</v>
      </c>
      <c r="F109" s="66" t="s">
        <v>61</v>
      </c>
      <c r="G109" s="201"/>
      <c r="H109" s="61"/>
      <c r="I109" s="62"/>
      <c r="J109" s="62"/>
      <c r="K109" s="62"/>
      <c r="L109" s="62"/>
      <c r="M109" s="62"/>
      <c r="N109" s="62"/>
      <c r="O109" s="63"/>
      <c r="P109" s="62"/>
      <c r="Q109" s="64"/>
      <c r="R109" s="65"/>
    </row>
    <row r="110" spans="1:18" ht="15" customHeight="1" x14ac:dyDescent="0.3">
      <c r="A110" s="66" t="s">
        <v>52</v>
      </c>
      <c r="B110" s="66" t="s">
        <v>69</v>
      </c>
      <c r="C110" s="67">
        <v>0.98958333333333337</v>
      </c>
      <c r="D110" s="66" t="s">
        <v>60</v>
      </c>
      <c r="E110" s="66" t="s">
        <v>64</v>
      </c>
      <c r="F110" s="66" t="s">
        <v>61</v>
      </c>
      <c r="G110" s="201"/>
      <c r="H110" s="61"/>
      <c r="I110" s="62"/>
      <c r="J110" s="62"/>
      <c r="K110" s="62"/>
      <c r="L110" s="62"/>
      <c r="M110" s="62"/>
      <c r="N110" s="62"/>
      <c r="O110" s="63"/>
      <c r="P110" s="62"/>
      <c r="Q110" s="64"/>
      <c r="R110" s="65"/>
    </row>
    <row r="111" spans="1:18" ht="15" customHeight="1" x14ac:dyDescent="0.3">
      <c r="A111" s="59" t="s">
        <v>72</v>
      </c>
      <c r="B111" s="59" t="s">
        <v>76</v>
      </c>
      <c r="C111" s="60">
        <v>0.49305555555555558</v>
      </c>
      <c r="D111" s="59" t="s">
        <v>28</v>
      </c>
      <c r="E111" s="59" t="s">
        <v>29</v>
      </c>
      <c r="F111" s="59" t="s">
        <v>75</v>
      </c>
      <c r="G111" s="201"/>
      <c r="H111" s="61"/>
      <c r="I111" s="62"/>
      <c r="J111" s="62"/>
      <c r="K111" s="62"/>
      <c r="L111" s="62"/>
      <c r="M111" s="62"/>
      <c r="N111" s="62"/>
      <c r="O111" s="63"/>
      <c r="P111" s="62"/>
      <c r="Q111" s="64"/>
      <c r="R111" s="65"/>
    </row>
    <row r="112" spans="1:18" ht="15" customHeight="1" x14ac:dyDescent="0.3">
      <c r="A112" s="68" t="s">
        <v>72</v>
      </c>
      <c r="B112" s="68" t="s">
        <v>73</v>
      </c>
      <c r="C112" s="69">
        <v>0.19444444444444439</v>
      </c>
      <c r="D112" s="68" t="s">
        <v>28</v>
      </c>
      <c r="E112" s="68" t="s">
        <v>95</v>
      </c>
      <c r="F112" s="68" t="s">
        <v>75</v>
      </c>
      <c r="G112" s="201"/>
      <c r="H112" s="61"/>
      <c r="I112" s="62"/>
      <c r="J112" s="62"/>
      <c r="K112" s="62"/>
      <c r="L112" s="62"/>
      <c r="M112" s="62"/>
      <c r="N112" s="62"/>
      <c r="O112" s="63"/>
      <c r="P112" s="62"/>
      <c r="Q112" s="64"/>
      <c r="R112" s="65"/>
    </row>
    <row r="113" spans="1:18" ht="15" customHeight="1" x14ac:dyDescent="0.3">
      <c r="A113" s="59" t="s">
        <v>79</v>
      </c>
      <c r="B113" s="59" t="s">
        <v>101</v>
      </c>
      <c r="C113" s="60">
        <v>0.88888888888888884</v>
      </c>
      <c r="D113" s="59" t="s">
        <v>81</v>
      </c>
      <c r="E113" s="59" t="s">
        <v>29</v>
      </c>
      <c r="F113" s="59" t="s">
        <v>83</v>
      </c>
      <c r="G113" s="201"/>
      <c r="H113" s="61"/>
      <c r="I113" s="62"/>
      <c r="J113" s="62"/>
      <c r="K113" s="62"/>
      <c r="L113" s="62"/>
      <c r="M113" s="62"/>
      <c r="N113" s="62"/>
      <c r="O113" s="63"/>
      <c r="P113" s="62"/>
      <c r="Q113" s="64"/>
      <c r="R113" s="65"/>
    </row>
    <row r="114" spans="1:18" ht="15" customHeight="1" x14ac:dyDescent="0.3">
      <c r="A114" s="66" t="s">
        <v>79</v>
      </c>
      <c r="B114" s="66" t="s">
        <v>101</v>
      </c>
      <c r="C114" s="67">
        <v>0.88888888888888884</v>
      </c>
      <c r="D114" s="66" t="s">
        <v>84</v>
      </c>
      <c r="E114" s="66" t="s">
        <v>57</v>
      </c>
      <c r="F114" s="66" t="s">
        <v>83</v>
      </c>
      <c r="G114" s="201"/>
      <c r="H114" s="61"/>
      <c r="I114" s="62"/>
      <c r="J114" s="62"/>
      <c r="K114" s="62"/>
      <c r="L114" s="62"/>
      <c r="M114" s="62"/>
      <c r="N114" s="62"/>
      <c r="O114" s="63"/>
      <c r="P114" s="62"/>
      <c r="Q114" s="64"/>
      <c r="R114" s="65"/>
    </row>
    <row r="115" spans="1:18" ht="15" customHeight="1" x14ac:dyDescent="0.3">
      <c r="A115" s="66" t="s">
        <v>79</v>
      </c>
      <c r="B115" s="66" t="s">
        <v>101</v>
      </c>
      <c r="C115" s="67">
        <v>0.88888888888888884</v>
      </c>
      <c r="D115" s="66" t="s">
        <v>86</v>
      </c>
      <c r="E115" s="66" t="s">
        <v>57</v>
      </c>
      <c r="F115" s="66" t="s">
        <v>87</v>
      </c>
      <c r="G115" s="201"/>
      <c r="H115" s="61"/>
      <c r="I115" s="62"/>
      <c r="J115" s="62"/>
      <c r="K115" s="62"/>
      <c r="L115" s="62"/>
      <c r="M115" s="62"/>
      <c r="N115" s="62"/>
      <c r="O115" s="63"/>
      <c r="P115" s="62"/>
      <c r="Q115" s="64"/>
      <c r="R115" s="65"/>
    </row>
    <row r="116" spans="1:18" ht="15" customHeight="1" x14ac:dyDescent="0.3">
      <c r="A116" s="66" t="s">
        <v>79</v>
      </c>
      <c r="B116" s="66" t="s">
        <v>101</v>
      </c>
      <c r="C116" s="67">
        <v>0.88888888888888884</v>
      </c>
      <c r="D116" s="66" t="s">
        <v>88</v>
      </c>
      <c r="E116" s="66" t="s">
        <v>57</v>
      </c>
      <c r="F116" s="66" t="s">
        <v>89</v>
      </c>
      <c r="G116" s="201"/>
      <c r="H116" s="61"/>
      <c r="I116" s="62"/>
      <c r="J116" s="62"/>
      <c r="K116" s="62"/>
      <c r="L116" s="62"/>
      <c r="M116" s="62"/>
      <c r="N116" s="62"/>
      <c r="O116" s="63"/>
      <c r="P116" s="62"/>
      <c r="Q116" s="64"/>
      <c r="R116" s="65"/>
    </row>
    <row r="117" spans="1:18" ht="15" customHeight="1" x14ac:dyDescent="0.3">
      <c r="A117" s="68" t="s">
        <v>79</v>
      </c>
      <c r="B117" s="68" t="s">
        <v>97</v>
      </c>
      <c r="C117" s="69">
        <v>0.34722222222222232</v>
      </c>
      <c r="D117" s="68" t="s">
        <v>81</v>
      </c>
      <c r="E117" s="68" t="s">
        <v>70</v>
      </c>
      <c r="F117" s="68" t="s">
        <v>59</v>
      </c>
      <c r="G117" s="201"/>
      <c r="H117" s="61"/>
      <c r="I117" s="62"/>
      <c r="J117" s="62"/>
      <c r="K117" s="62"/>
      <c r="L117" s="62"/>
      <c r="M117" s="62"/>
      <c r="N117" s="62"/>
      <c r="O117" s="63"/>
      <c r="P117" s="62"/>
      <c r="Q117" s="64"/>
      <c r="R117" s="65"/>
    </row>
    <row r="118" spans="1:18" ht="15" customHeight="1" x14ac:dyDescent="0.3">
      <c r="A118" s="66" t="s">
        <v>79</v>
      </c>
      <c r="B118" s="66" t="s">
        <v>97</v>
      </c>
      <c r="C118" s="67">
        <v>0.34722222222222232</v>
      </c>
      <c r="D118" s="66" t="s">
        <v>84</v>
      </c>
      <c r="E118" s="66" t="s">
        <v>71</v>
      </c>
      <c r="F118" s="66" t="s">
        <v>59</v>
      </c>
      <c r="G118" s="201"/>
      <c r="H118" s="61"/>
      <c r="I118" s="62"/>
      <c r="J118" s="62"/>
      <c r="K118" s="62"/>
      <c r="L118" s="62"/>
      <c r="M118" s="62"/>
      <c r="N118" s="62"/>
      <c r="O118" s="63"/>
      <c r="P118" s="62"/>
      <c r="Q118" s="64"/>
      <c r="R118" s="65"/>
    </row>
    <row r="119" spans="1:18" ht="15" customHeight="1" x14ac:dyDescent="0.3">
      <c r="A119" s="66" t="s">
        <v>79</v>
      </c>
      <c r="B119" s="66" t="s">
        <v>97</v>
      </c>
      <c r="C119" s="67">
        <v>0.34722222222222232</v>
      </c>
      <c r="D119" s="66" t="s">
        <v>86</v>
      </c>
      <c r="E119" s="66" t="s">
        <v>71</v>
      </c>
      <c r="F119" s="66" t="s">
        <v>89</v>
      </c>
      <c r="G119" s="201"/>
      <c r="H119" s="61"/>
      <c r="I119" s="62"/>
      <c r="J119" s="62"/>
      <c r="K119" s="62"/>
      <c r="L119" s="62"/>
      <c r="M119" s="62"/>
      <c r="N119" s="62"/>
      <c r="O119" s="63"/>
      <c r="P119" s="62"/>
      <c r="Q119" s="64"/>
      <c r="R119" s="65"/>
    </row>
    <row r="120" spans="1:18" ht="15" customHeight="1" x14ac:dyDescent="0.3">
      <c r="A120" s="66" t="s">
        <v>79</v>
      </c>
      <c r="B120" s="66" t="s">
        <v>97</v>
      </c>
      <c r="C120" s="67">
        <v>0.34722222222222232</v>
      </c>
      <c r="D120" s="66" t="s">
        <v>88</v>
      </c>
      <c r="E120" s="66" t="s">
        <v>71</v>
      </c>
      <c r="F120" s="66" t="s">
        <v>98</v>
      </c>
      <c r="G120" s="201"/>
      <c r="H120" s="61"/>
      <c r="I120" s="62"/>
      <c r="J120" s="62"/>
      <c r="K120" s="62"/>
      <c r="L120" s="62"/>
      <c r="M120" s="62"/>
      <c r="N120" s="62"/>
      <c r="O120" s="63"/>
      <c r="P120" s="62"/>
      <c r="Q120" s="64"/>
      <c r="R120" s="65"/>
    </row>
    <row r="121" spans="1:18" ht="15" customHeight="1" x14ac:dyDescent="0.3">
      <c r="A121" s="68" t="s">
        <v>79</v>
      </c>
      <c r="B121" s="68" t="s">
        <v>80</v>
      </c>
      <c r="C121" s="69">
        <v>0.99305555555555547</v>
      </c>
      <c r="D121" s="68" t="s">
        <v>81</v>
      </c>
      <c r="E121" s="68" t="s">
        <v>63</v>
      </c>
      <c r="F121" s="68" t="s">
        <v>59</v>
      </c>
      <c r="G121" s="201"/>
      <c r="H121" s="61"/>
      <c r="I121" s="62"/>
      <c r="J121" s="62"/>
      <c r="K121" s="62"/>
      <c r="L121" s="62"/>
      <c r="M121" s="62"/>
      <c r="N121" s="62"/>
      <c r="O121" s="63"/>
      <c r="P121" s="62"/>
      <c r="Q121" s="64"/>
      <c r="R121" s="65"/>
    </row>
    <row r="122" spans="1:18" ht="15" customHeight="1" x14ac:dyDescent="0.3">
      <c r="A122" s="66" t="s">
        <v>79</v>
      </c>
      <c r="B122" s="66" t="s">
        <v>80</v>
      </c>
      <c r="C122" s="67">
        <v>0.99305555555555547</v>
      </c>
      <c r="D122" s="66" t="s">
        <v>84</v>
      </c>
      <c r="E122" s="66" t="s">
        <v>64</v>
      </c>
      <c r="F122" s="66" t="s">
        <v>59</v>
      </c>
      <c r="G122" s="201"/>
      <c r="H122" s="61"/>
      <c r="I122" s="62"/>
      <c r="J122" s="62"/>
      <c r="K122" s="62"/>
      <c r="L122" s="62"/>
      <c r="M122" s="62"/>
      <c r="N122" s="62"/>
      <c r="O122" s="63"/>
      <c r="P122" s="62"/>
      <c r="Q122" s="64"/>
      <c r="R122" s="65"/>
    </row>
    <row r="123" spans="1:18" ht="15" customHeight="1" x14ac:dyDescent="0.3">
      <c r="A123" s="66" t="s">
        <v>79</v>
      </c>
      <c r="B123" s="66" t="s">
        <v>80</v>
      </c>
      <c r="C123" s="67">
        <v>0.99305555555555547</v>
      </c>
      <c r="D123" s="66" t="s">
        <v>86</v>
      </c>
      <c r="E123" s="66" t="s">
        <v>64</v>
      </c>
      <c r="F123" s="66" t="s">
        <v>89</v>
      </c>
      <c r="G123" s="201"/>
      <c r="H123" s="61"/>
      <c r="I123" s="62"/>
      <c r="J123" s="62"/>
      <c r="K123" s="62"/>
      <c r="L123" s="62"/>
      <c r="M123" s="62"/>
      <c r="N123" s="62"/>
      <c r="O123" s="63"/>
      <c r="P123" s="62"/>
      <c r="Q123" s="64"/>
      <c r="R123" s="65"/>
    </row>
    <row r="124" spans="1:18" ht="15" customHeight="1" x14ac:dyDescent="0.3">
      <c r="A124" s="66" t="s">
        <v>79</v>
      </c>
      <c r="B124" s="66" t="s">
        <v>80</v>
      </c>
      <c r="C124" s="67">
        <v>0.99305555555555547</v>
      </c>
      <c r="D124" s="66" t="s">
        <v>88</v>
      </c>
      <c r="E124" s="66" t="s">
        <v>64</v>
      </c>
      <c r="F124" s="66" t="s">
        <v>98</v>
      </c>
      <c r="G124" s="201"/>
      <c r="H124" s="61"/>
      <c r="I124" s="62"/>
      <c r="J124" s="62"/>
      <c r="K124" s="62"/>
      <c r="L124" s="62"/>
      <c r="M124" s="62"/>
      <c r="N124" s="62"/>
      <c r="O124" s="63"/>
      <c r="P124" s="62"/>
      <c r="Q124" s="64"/>
      <c r="R124" s="65"/>
    </row>
    <row r="125" spans="1:18" ht="15" customHeight="1" x14ac:dyDescent="0.3">
      <c r="A125" s="68" t="s">
        <v>79</v>
      </c>
      <c r="B125" s="68" t="s">
        <v>99</v>
      </c>
      <c r="C125" s="69">
        <v>0.73611111111111116</v>
      </c>
      <c r="D125" s="68" t="s">
        <v>81</v>
      </c>
      <c r="E125" s="68" t="s">
        <v>95</v>
      </c>
      <c r="F125" s="68" t="s">
        <v>59</v>
      </c>
      <c r="G125" s="201"/>
      <c r="H125" s="61"/>
      <c r="I125" s="62"/>
      <c r="J125" s="62"/>
      <c r="K125" s="62"/>
      <c r="L125" s="62"/>
      <c r="M125" s="62"/>
      <c r="N125" s="62"/>
      <c r="O125" s="63"/>
      <c r="P125" s="62"/>
      <c r="Q125" s="64"/>
      <c r="R125" s="65"/>
    </row>
    <row r="126" spans="1:18" ht="15" customHeight="1" x14ac:dyDescent="0.3">
      <c r="A126" s="66" t="s">
        <v>79</v>
      </c>
      <c r="B126" s="66" t="s">
        <v>99</v>
      </c>
      <c r="C126" s="67">
        <v>0.73611111111111116</v>
      </c>
      <c r="D126" s="66" t="s">
        <v>84</v>
      </c>
      <c r="E126" s="66" t="s">
        <v>96</v>
      </c>
      <c r="F126" s="66" t="s">
        <v>59</v>
      </c>
      <c r="G126" s="201"/>
      <c r="H126" s="61"/>
      <c r="I126" s="62"/>
      <c r="J126" s="62"/>
      <c r="K126" s="62"/>
      <c r="L126" s="62"/>
      <c r="M126" s="62"/>
      <c r="N126" s="62"/>
      <c r="O126" s="63"/>
      <c r="P126" s="62"/>
      <c r="Q126" s="64"/>
      <c r="R126" s="65"/>
    </row>
    <row r="127" spans="1:18" ht="15" customHeight="1" x14ac:dyDescent="0.3">
      <c r="A127" s="66" t="s">
        <v>79</v>
      </c>
      <c r="B127" s="66" t="s">
        <v>99</v>
      </c>
      <c r="C127" s="67">
        <v>0.73611111111111116</v>
      </c>
      <c r="D127" s="66" t="s">
        <v>86</v>
      </c>
      <c r="E127" s="66" t="s">
        <v>96</v>
      </c>
      <c r="F127" s="66" t="s">
        <v>89</v>
      </c>
      <c r="G127" s="201"/>
      <c r="H127" s="61"/>
      <c r="I127" s="62"/>
      <c r="J127" s="62"/>
      <c r="K127" s="62"/>
      <c r="L127" s="62"/>
      <c r="M127" s="62"/>
      <c r="N127" s="62"/>
      <c r="O127" s="63"/>
      <c r="P127" s="62"/>
      <c r="Q127" s="64"/>
      <c r="R127" s="65"/>
    </row>
    <row r="128" spans="1:18" ht="15" customHeight="1" x14ac:dyDescent="0.3">
      <c r="A128" s="66" t="s">
        <v>79</v>
      </c>
      <c r="B128" s="66" t="s">
        <v>99</v>
      </c>
      <c r="C128" s="67">
        <v>0.73611111111111116</v>
      </c>
      <c r="D128" s="66" t="s">
        <v>88</v>
      </c>
      <c r="E128" s="66" t="s">
        <v>96</v>
      </c>
      <c r="F128" s="66" t="s">
        <v>98</v>
      </c>
      <c r="G128" s="201"/>
      <c r="H128" s="61"/>
      <c r="I128" s="62"/>
      <c r="J128" s="62"/>
      <c r="K128" s="62"/>
      <c r="L128" s="62"/>
      <c r="M128" s="62"/>
      <c r="N128" s="62"/>
      <c r="O128" s="63"/>
      <c r="P128" s="62"/>
      <c r="Q128" s="64"/>
      <c r="R128" s="65"/>
    </row>
    <row r="129" spans="1:18" ht="15" customHeight="1" x14ac:dyDescent="0.3">
      <c r="A129" s="68" t="s">
        <v>79</v>
      </c>
      <c r="B129" s="68" t="s">
        <v>100</v>
      </c>
      <c r="C129" s="69">
        <v>0.83680555555555547</v>
      </c>
      <c r="D129" s="68" t="s">
        <v>81</v>
      </c>
      <c r="E129" s="68" t="s">
        <v>70</v>
      </c>
      <c r="F129" s="68" t="s">
        <v>59</v>
      </c>
      <c r="G129" s="201"/>
      <c r="H129" s="61"/>
      <c r="I129" s="62"/>
      <c r="J129" s="62"/>
      <c r="K129" s="62"/>
      <c r="L129" s="62"/>
      <c r="M129" s="62"/>
      <c r="N129" s="62"/>
      <c r="O129" s="63"/>
      <c r="P129" s="62"/>
      <c r="Q129" s="64"/>
      <c r="R129" s="65"/>
    </row>
    <row r="130" spans="1:18" ht="15" customHeight="1" x14ac:dyDescent="0.3">
      <c r="A130" s="66" t="s">
        <v>79</v>
      </c>
      <c r="B130" s="66" t="s">
        <v>100</v>
      </c>
      <c r="C130" s="67">
        <v>0.83680555555555547</v>
      </c>
      <c r="D130" s="66" t="s">
        <v>84</v>
      </c>
      <c r="E130" s="66" t="s">
        <v>71</v>
      </c>
      <c r="F130" s="66" t="s">
        <v>59</v>
      </c>
      <c r="G130" s="201"/>
      <c r="H130" s="61"/>
      <c r="I130" s="62"/>
      <c r="J130" s="62"/>
      <c r="K130" s="62"/>
      <c r="L130" s="62"/>
      <c r="M130" s="62"/>
      <c r="N130" s="62"/>
      <c r="O130" s="63"/>
      <c r="P130" s="62"/>
      <c r="Q130" s="64"/>
      <c r="R130" s="65"/>
    </row>
    <row r="131" spans="1:18" ht="15" customHeight="1" x14ac:dyDescent="0.3">
      <c r="A131" s="66" t="s">
        <v>79</v>
      </c>
      <c r="B131" s="66" t="s">
        <v>100</v>
      </c>
      <c r="C131" s="67">
        <v>0.83680555555555547</v>
      </c>
      <c r="D131" s="66" t="s">
        <v>86</v>
      </c>
      <c r="E131" s="66" t="s">
        <v>71</v>
      </c>
      <c r="F131" s="66" t="s">
        <v>89</v>
      </c>
      <c r="G131" s="201"/>
      <c r="H131" s="61"/>
      <c r="I131" s="62"/>
      <c r="J131" s="62"/>
      <c r="K131" s="62"/>
      <c r="L131" s="62"/>
      <c r="M131" s="62"/>
      <c r="N131" s="62"/>
      <c r="O131" s="63"/>
      <c r="P131" s="62"/>
      <c r="Q131" s="64"/>
      <c r="R131" s="65"/>
    </row>
    <row r="132" spans="1:18" ht="15" customHeight="1" x14ac:dyDescent="0.3">
      <c r="A132" s="66" t="s">
        <v>79</v>
      </c>
      <c r="B132" s="66" t="s">
        <v>100</v>
      </c>
      <c r="C132" s="67">
        <v>0.83680555555555547</v>
      </c>
      <c r="D132" s="66" t="s">
        <v>88</v>
      </c>
      <c r="E132" s="66" t="s">
        <v>71</v>
      </c>
      <c r="F132" s="66" t="s">
        <v>98</v>
      </c>
      <c r="G132" s="201"/>
      <c r="H132" s="61"/>
      <c r="I132" s="62"/>
      <c r="J132" s="62"/>
      <c r="K132" s="62"/>
      <c r="L132" s="62"/>
      <c r="M132" s="62"/>
      <c r="N132" s="62"/>
      <c r="O132" s="63"/>
      <c r="P132" s="62"/>
      <c r="Q132" s="64"/>
      <c r="R132" s="65"/>
    </row>
    <row r="133" spans="1:18" ht="15" customHeight="1" x14ac:dyDescent="0.3">
      <c r="A133" s="68" t="s">
        <v>79</v>
      </c>
      <c r="B133" s="68" t="s">
        <v>90</v>
      </c>
      <c r="C133" s="69">
        <v>0.94444444444444453</v>
      </c>
      <c r="D133" s="68" t="s">
        <v>81</v>
      </c>
      <c r="E133" s="68" t="s">
        <v>134</v>
      </c>
      <c r="F133" s="68" t="s">
        <v>59</v>
      </c>
      <c r="G133" s="201"/>
      <c r="H133" s="61"/>
      <c r="I133" s="62"/>
      <c r="J133" s="62"/>
      <c r="K133" s="62"/>
      <c r="L133" s="62"/>
      <c r="M133" s="62"/>
      <c r="N133" s="62"/>
      <c r="O133" s="63"/>
      <c r="P133" s="62"/>
      <c r="Q133" s="64"/>
      <c r="R133" s="65"/>
    </row>
    <row r="134" spans="1:18" ht="15" customHeight="1" x14ac:dyDescent="0.3">
      <c r="A134" s="66" t="s">
        <v>79</v>
      </c>
      <c r="B134" s="66" t="s">
        <v>90</v>
      </c>
      <c r="C134" s="67">
        <v>0.94444444444444453</v>
      </c>
      <c r="D134" s="66" t="s">
        <v>84</v>
      </c>
      <c r="E134" s="66" t="s">
        <v>85</v>
      </c>
      <c r="F134" s="66" t="s">
        <v>59</v>
      </c>
      <c r="G134" s="201"/>
      <c r="H134" s="61"/>
      <c r="I134" s="62"/>
      <c r="J134" s="62"/>
      <c r="K134" s="62"/>
      <c r="L134" s="62"/>
      <c r="M134" s="62"/>
      <c r="N134" s="62"/>
      <c r="O134" s="63"/>
      <c r="P134" s="62"/>
      <c r="Q134" s="64"/>
      <c r="R134" s="65"/>
    </row>
    <row r="135" spans="1:18" ht="15" customHeight="1" x14ac:dyDescent="0.3">
      <c r="A135" s="66" t="s">
        <v>79</v>
      </c>
      <c r="B135" s="66" t="s">
        <v>90</v>
      </c>
      <c r="C135" s="67">
        <v>0.94444444444444453</v>
      </c>
      <c r="D135" s="66" t="s">
        <v>86</v>
      </c>
      <c r="E135" s="66" t="s">
        <v>85</v>
      </c>
      <c r="F135" s="66" t="s">
        <v>89</v>
      </c>
      <c r="G135" s="201"/>
      <c r="H135" s="61"/>
      <c r="I135" s="62"/>
      <c r="J135" s="62"/>
      <c r="K135" s="62"/>
      <c r="L135" s="62"/>
      <c r="M135" s="62"/>
      <c r="N135" s="62"/>
      <c r="O135" s="63"/>
      <c r="P135" s="62"/>
      <c r="Q135" s="64"/>
      <c r="R135" s="65"/>
    </row>
    <row r="136" spans="1:18" ht="15" customHeight="1" x14ac:dyDescent="0.3">
      <c r="A136" s="66" t="s">
        <v>79</v>
      </c>
      <c r="B136" s="66" t="s">
        <v>90</v>
      </c>
      <c r="C136" s="67">
        <v>0.94444444444444453</v>
      </c>
      <c r="D136" s="66" t="s">
        <v>88</v>
      </c>
      <c r="E136" s="66" t="s">
        <v>85</v>
      </c>
      <c r="F136" s="66" t="s">
        <v>98</v>
      </c>
      <c r="G136" s="201"/>
      <c r="H136" s="61"/>
      <c r="I136" s="62"/>
      <c r="J136" s="62"/>
      <c r="K136" s="62"/>
      <c r="L136" s="62"/>
      <c r="M136" s="62"/>
      <c r="N136" s="62"/>
      <c r="O136" s="63"/>
      <c r="P136" s="62"/>
      <c r="Q136" s="64"/>
      <c r="R136" s="65"/>
    </row>
    <row r="137" spans="1:18" ht="15" customHeight="1" x14ac:dyDescent="0.3">
      <c r="A137" s="68" t="s">
        <v>79</v>
      </c>
      <c r="B137" s="68" t="s">
        <v>93</v>
      </c>
      <c r="C137" s="69">
        <v>0.4861111111111111</v>
      </c>
      <c r="D137" s="68" t="s">
        <v>81</v>
      </c>
      <c r="E137" s="68" t="s">
        <v>70</v>
      </c>
      <c r="F137" s="68" t="s">
        <v>59</v>
      </c>
      <c r="G137" s="201"/>
      <c r="H137" s="61"/>
      <c r="I137" s="62"/>
      <c r="J137" s="62"/>
      <c r="K137" s="62"/>
      <c r="L137" s="62"/>
      <c r="M137" s="62"/>
      <c r="N137" s="62"/>
      <c r="O137" s="63"/>
      <c r="P137" s="62"/>
      <c r="Q137" s="64"/>
      <c r="R137" s="65"/>
    </row>
    <row r="138" spans="1:18" ht="15" customHeight="1" x14ac:dyDescent="0.3">
      <c r="A138" s="66" t="s">
        <v>79</v>
      </c>
      <c r="B138" s="66" t="s">
        <v>93</v>
      </c>
      <c r="C138" s="67">
        <v>0.4861111111111111</v>
      </c>
      <c r="D138" s="66" t="s">
        <v>84</v>
      </c>
      <c r="E138" s="66" t="s">
        <v>71</v>
      </c>
      <c r="F138" s="66" t="s">
        <v>59</v>
      </c>
      <c r="G138" s="201"/>
      <c r="H138" s="61"/>
      <c r="I138" s="62"/>
      <c r="J138" s="62"/>
      <c r="K138" s="62"/>
      <c r="L138" s="62"/>
      <c r="M138" s="62"/>
      <c r="N138" s="62"/>
      <c r="O138" s="63"/>
      <c r="P138" s="62"/>
      <c r="Q138" s="64"/>
      <c r="R138" s="65"/>
    </row>
    <row r="139" spans="1:18" ht="15" customHeight="1" x14ac:dyDescent="0.3">
      <c r="A139" s="66" t="s">
        <v>79</v>
      </c>
      <c r="B139" s="66" t="s">
        <v>93</v>
      </c>
      <c r="C139" s="67">
        <v>0.4861111111111111</v>
      </c>
      <c r="D139" s="66" t="s">
        <v>86</v>
      </c>
      <c r="E139" s="66" t="s">
        <v>71</v>
      </c>
      <c r="F139" s="66" t="s">
        <v>89</v>
      </c>
      <c r="G139" s="201"/>
      <c r="H139" s="61"/>
      <c r="I139" s="62"/>
      <c r="J139" s="62"/>
      <c r="K139" s="62"/>
      <c r="L139" s="62"/>
      <c r="M139" s="62"/>
      <c r="N139" s="62"/>
      <c r="O139" s="63"/>
      <c r="P139" s="62"/>
      <c r="Q139" s="64"/>
      <c r="R139" s="65"/>
    </row>
    <row r="140" spans="1:18" ht="15" customHeight="1" x14ac:dyDescent="0.3">
      <c r="A140" s="66" t="s">
        <v>79</v>
      </c>
      <c r="B140" s="66" t="s">
        <v>93</v>
      </c>
      <c r="C140" s="67">
        <v>0.4861111111111111</v>
      </c>
      <c r="D140" s="66" t="s">
        <v>88</v>
      </c>
      <c r="E140" s="66" t="s">
        <v>71</v>
      </c>
      <c r="F140" s="66" t="s">
        <v>98</v>
      </c>
      <c r="G140" s="201"/>
      <c r="H140" s="61"/>
      <c r="I140" s="62"/>
      <c r="J140" s="62"/>
      <c r="K140" s="62"/>
      <c r="L140" s="62"/>
      <c r="M140" s="62"/>
      <c r="N140" s="62"/>
      <c r="O140" s="63"/>
      <c r="P140" s="62"/>
      <c r="Q140" s="64"/>
      <c r="R140" s="65"/>
    </row>
    <row r="141" spans="1:18" ht="15" customHeight="1" x14ac:dyDescent="0.3">
      <c r="A141" s="68" t="s">
        <v>79</v>
      </c>
      <c r="B141" s="68" t="s">
        <v>94</v>
      </c>
      <c r="C141" s="69">
        <v>0.3923611111111111</v>
      </c>
      <c r="D141" s="68" t="s">
        <v>81</v>
      </c>
      <c r="E141" s="68" t="s">
        <v>70</v>
      </c>
      <c r="F141" s="68" t="s">
        <v>59</v>
      </c>
      <c r="G141" s="201"/>
      <c r="H141" s="61"/>
      <c r="I141" s="62"/>
      <c r="J141" s="62"/>
      <c r="K141" s="62"/>
      <c r="L141" s="62"/>
      <c r="M141" s="62"/>
      <c r="N141" s="62"/>
      <c r="O141" s="63"/>
      <c r="P141" s="62"/>
      <c r="Q141" s="64"/>
      <c r="R141" s="65"/>
    </row>
    <row r="142" spans="1:18" ht="15" customHeight="1" x14ac:dyDescent="0.3">
      <c r="A142" s="66" t="s">
        <v>79</v>
      </c>
      <c r="B142" s="66" t="s">
        <v>94</v>
      </c>
      <c r="C142" s="67">
        <v>0.3923611111111111</v>
      </c>
      <c r="D142" s="66" t="s">
        <v>84</v>
      </c>
      <c r="E142" s="66" t="s">
        <v>71</v>
      </c>
      <c r="F142" s="66" t="s">
        <v>59</v>
      </c>
      <c r="G142" s="201"/>
      <c r="H142" s="61"/>
      <c r="I142" s="62"/>
      <c r="J142" s="62"/>
      <c r="K142" s="62"/>
      <c r="L142" s="62"/>
      <c r="M142" s="62"/>
      <c r="N142" s="62"/>
      <c r="O142" s="63"/>
      <c r="P142" s="62"/>
      <c r="Q142" s="64"/>
      <c r="R142" s="65"/>
    </row>
    <row r="143" spans="1:18" ht="15" customHeight="1" x14ac:dyDescent="0.3">
      <c r="A143" s="66" t="s">
        <v>79</v>
      </c>
      <c r="B143" s="66" t="s">
        <v>94</v>
      </c>
      <c r="C143" s="67">
        <v>0.3923611111111111</v>
      </c>
      <c r="D143" s="66" t="s">
        <v>86</v>
      </c>
      <c r="E143" s="66" t="s">
        <v>71</v>
      </c>
      <c r="F143" s="66" t="s">
        <v>89</v>
      </c>
      <c r="G143" s="201"/>
      <c r="H143" s="61"/>
      <c r="I143" s="62"/>
      <c r="J143" s="62"/>
      <c r="K143" s="62"/>
      <c r="L143" s="62"/>
      <c r="M143" s="62"/>
      <c r="N143" s="62"/>
      <c r="O143" s="63"/>
      <c r="P143" s="62"/>
      <c r="Q143" s="64"/>
      <c r="R143" s="65"/>
    </row>
    <row r="144" spans="1:18" ht="15" customHeight="1" x14ac:dyDescent="0.3">
      <c r="A144" s="66" t="s">
        <v>79</v>
      </c>
      <c r="B144" s="66" t="s">
        <v>94</v>
      </c>
      <c r="C144" s="67">
        <v>0.3923611111111111</v>
      </c>
      <c r="D144" s="66" t="s">
        <v>88</v>
      </c>
      <c r="E144" s="66" t="s">
        <v>71</v>
      </c>
      <c r="F144" s="66" t="s">
        <v>98</v>
      </c>
      <c r="G144" s="201"/>
      <c r="H144" s="61"/>
      <c r="I144" s="62"/>
      <c r="J144" s="62"/>
      <c r="K144" s="62"/>
      <c r="L144" s="62"/>
      <c r="M144" s="62"/>
      <c r="N144" s="62"/>
      <c r="O144" s="63"/>
      <c r="P144" s="62"/>
      <c r="Q144" s="64"/>
      <c r="R144" s="65"/>
    </row>
    <row r="145" spans="1:18" ht="15" customHeight="1" x14ac:dyDescent="0.3">
      <c r="A145" s="59" t="s">
        <v>108</v>
      </c>
      <c r="B145" s="59" t="s">
        <v>155</v>
      </c>
      <c r="C145" s="60">
        <v>0.22569444444444439</v>
      </c>
      <c r="D145" s="59" t="s">
        <v>110</v>
      </c>
      <c r="E145" s="59" t="s">
        <v>156</v>
      </c>
      <c r="F145" s="59" t="s">
        <v>157</v>
      </c>
      <c r="G145" s="201"/>
      <c r="H145" s="61"/>
      <c r="I145" s="62"/>
      <c r="J145" s="62"/>
      <c r="K145" s="62"/>
      <c r="L145" s="62"/>
      <c r="M145" s="62"/>
      <c r="N145" s="62"/>
      <c r="O145" s="63"/>
      <c r="P145" s="62"/>
      <c r="Q145" s="64"/>
      <c r="R145" s="65"/>
    </row>
    <row r="146" spans="1:18" ht="15" customHeight="1" x14ac:dyDescent="0.3">
      <c r="A146" s="66" t="s">
        <v>108</v>
      </c>
      <c r="B146" s="66" t="s">
        <v>155</v>
      </c>
      <c r="C146" s="67">
        <v>0.22569444444444439</v>
      </c>
      <c r="D146" s="66" t="s">
        <v>113</v>
      </c>
      <c r="E146" s="66" t="s">
        <v>71</v>
      </c>
      <c r="F146" s="66" t="s">
        <v>157</v>
      </c>
      <c r="G146" s="201"/>
      <c r="H146" s="61"/>
      <c r="I146" s="62"/>
      <c r="J146" s="62"/>
      <c r="K146" s="62"/>
      <c r="L146" s="62"/>
      <c r="M146" s="62"/>
      <c r="N146" s="62"/>
      <c r="O146" s="63"/>
      <c r="P146" s="62"/>
      <c r="Q146" s="64"/>
      <c r="R146" s="65"/>
    </row>
    <row r="147" spans="1:18" ht="15" customHeight="1" x14ac:dyDescent="0.3">
      <c r="A147" s="66" t="s">
        <v>108</v>
      </c>
      <c r="B147" s="66" t="s">
        <v>155</v>
      </c>
      <c r="C147" s="67">
        <v>0.22569444444444439</v>
      </c>
      <c r="D147" s="66" t="s">
        <v>60</v>
      </c>
      <c r="E147" s="66" t="s">
        <v>71</v>
      </c>
      <c r="F147" s="66" t="s">
        <v>158</v>
      </c>
      <c r="G147" s="201"/>
      <c r="H147" s="61"/>
      <c r="I147" s="62"/>
      <c r="J147" s="62"/>
      <c r="K147" s="62"/>
      <c r="L147" s="62"/>
      <c r="M147" s="62"/>
      <c r="N147" s="62"/>
      <c r="O147" s="63"/>
      <c r="P147" s="62"/>
      <c r="Q147" s="64"/>
      <c r="R147" s="65"/>
    </row>
    <row r="148" spans="1:18" ht="15" customHeight="1" x14ac:dyDescent="0.3">
      <c r="A148" s="59" t="s">
        <v>102</v>
      </c>
      <c r="B148" s="59" t="s">
        <v>106</v>
      </c>
      <c r="C148" s="60">
        <v>0.46180555555555558</v>
      </c>
      <c r="D148" s="59" t="s">
        <v>28</v>
      </c>
      <c r="E148" s="59" t="s">
        <v>104</v>
      </c>
      <c r="F148" s="59" t="s">
        <v>107</v>
      </c>
      <c r="G148" s="201"/>
      <c r="H148" s="61"/>
      <c r="I148" s="62"/>
      <c r="J148" s="62"/>
      <c r="K148" s="62"/>
      <c r="L148" s="62"/>
      <c r="M148" s="62"/>
      <c r="N148" s="62"/>
      <c r="O148" s="63"/>
      <c r="P148" s="62"/>
      <c r="Q148" s="64"/>
      <c r="R148" s="65"/>
    </row>
    <row r="149" spans="1:18" ht="15" customHeight="1" x14ac:dyDescent="0.3">
      <c r="A149" s="59" t="s">
        <v>115</v>
      </c>
      <c r="B149" s="59" t="s">
        <v>121</v>
      </c>
      <c r="C149" s="60">
        <v>0.82986111111111116</v>
      </c>
      <c r="D149" s="59" t="s">
        <v>122</v>
      </c>
      <c r="E149" s="59" t="s">
        <v>74</v>
      </c>
      <c r="F149" s="59" t="s">
        <v>159</v>
      </c>
      <c r="G149" s="201"/>
      <c r="H149" s="61"/>
      <c r="I149" s="62"/>
      <c r="J149" s="62"/>
      <c r="K149" s="62"/>
      <c r="L149" s="62"/>
      <c r="M149" s="62"/>
      <c r="N149" s="62"/>
      <c r="O149" s="63"/>
      <c r="P149" s="62"/>
      <c r="Q149" s="64"/>
      <c r="R149" s="65"/>
    </row>
    <row r="150" spans="1:18" ht="15" customHeight="1" x14ac:dyDescent="0.3">
      <c r="A150" s="66" t="s">
        <v>115</v>
      </c>
      <c r="B150" s="66" t="s">
        <v>121</v>
      </c>
      <c r="C150" s="67">
        <v>0.82986111111111116</v>
      </c>
      <c r="D150" s="66" t="s">
        <v>117</v>
      </c>
      <c r="E150" s="66" t="s">
        <v>124</v>
      </c>
      <c r="F150" s="66" t="s">
        <v>159</v>
      </c>
      <c r="G150" s="201"/>
      <c r="H150" s="61"/>
      <c r="I150" s="62"/>
      <c r="J150" s="62"/>
      <c r="K150" s="62"/>
      <c r="L150" s="62"/>
      <c r="M150" s="62"/>
      <c r="N150" s="62"/>
      <c r="O150" s="63"/>
      <c r="P150" s="62"/>
      <c r="Q150" s="64"/>
      <c r="R150" s="65"/>
    </row>
    <row r="151" spans="1:18" ht="15" customHeight="1" x14ac:dyDescent="0.3">
      <c r="A151" s="68" t="s">
        <v>115</v>
      </c>
      <c r="B151" s="68" t="s">
        <v>137</v>
      </c>
      <c r="C151" s="69">
        <v>0.72222222222222221</v>
      </c>
      <c r="D151" s="68" t="s">
        <v>122</v>
      </c>
      <c r="E151" s="68" t="s">
        <v>77</v>
      </c>
      <c r="F151" s="68" t="s">
        <v>159</v>
      </c>
      <c r="G151" s="201"/>
      <c r="H151" s="61"/>
      <c r="I151" s="62"/>
      <c r="J151" s="62"/>
      <c r="K151" s="62"/>
      <c r="L151" s="62"/>
      <c r="M151" s="62"/>
      <c r="N151" s="62"/>
      <c r="O151" s="63"/>
      <c r="P151" s="62"/>
      <c r="Q151" s="64"/>
      <c r="R151" s="65"/>
    </row>
    <row r="152" spans="1:18" ht="15" customHeight="1" x14ac:dyDescent="0.3">
      <c r="A152" s="66" t="s">
        <v>115</v>
      </c>
      <c r="B152" s="66" t="s">
        <v>137</v>
      </c>
      <c r="C152" s="67">
        <v>0.72222222222222221</v>
      </c>
      <c r="D152" s="66" t="s">
        <v>117</v>
      </c>
      <c r="E152" s="66" t="s">
        <v>124</v>
      </c>
      <c r="F152" s="66" t="s">
        <v>159</v>
      </c>
      <c r="G152" s="201"/>
      <c r="H152" s="61"/>
      <c r="I152" s="62"/>
      <c r="J152" s="62"/>
      <c r="K152" s="62"/>
      <c r="L152" s="62"/>
      <c r="M152" s="62"/>
      <c r="N152" s="62"/>
      <c r="O152" s="63"/>
      <c r="P152" s="62"/>
      <c r="Q152" s="64"/>
      <c r="R152" s="65"/>
    </row>
    <row r="153" spans="1:18" ht="15" customHeight="1" x14ac:dyDescent="0.3">
      <c r="A153" s="68" t="s">
        <v>115</v>
      </c>
      <c r="B153" s="68" t="s">
        <v>131</v>
      </c>
      <c r="C153" s="69">
        <v>0.11805555555555559</v>
      </c>
      <c r="D153" s="68" t="s">
        <v>122</v>
      </c>
      <c r="E153" s="68" t="s">
        <v>77</v>
      </c>
      <c r="F153" s="68" t="s">
        <v>123</v>
      </c>
      <c r="G153" s="201"/>
      <c r="H153" s="61"/>
      <c r="I153" s="62"/>
      <c r="J153" s="62"/>
      <c r="K153" s="62"/>
      <c r="L153" s="62"/>
      <c r="M153" s="62"/>
      <c r="N153" s="62"/>
      <c r="O153" s="63"/>
      <c r="P153" s="62"/>
      <c r="Q153" s="64"/>
      <c r="R153" s="65"/>
    </row>
    <row r="154" spans="1:18" ht="15" customHeight="1" x14ac:dyDescent="0.3">
      <c r="A154" s="66" t="s">
        <v>115</v>
      </c>
      <c r="B154" s="66" t="s">
        <v>131</v>
      </c>
      <c r="C154" s="67">
        <v>0.11805555555555559</v>
      </c>
      <c r="D154" s="66" t="s">
        <v>117</v>
      </c>
      <c r="E154" s="66" t="s">
        <v>124</v>
      </c>
      <c r="F154" s="66" t="s">
        <v>123</v>
      </c>
      <c r="G154" s="201"/>
      <c r="H154" s="61"/>
      <c r="I154" s="62"/>
      <c r="J154" s="62"/>
      <c r="K154" s="62"/>
      <c r="L154" s="62"/>
      <c r="M154" s="62"/>
      <c r="N154" s="62"/>
      <c r="O154" s="63"/>
      <c r="P154" s="62"/>
      <c r="Q154" s="64"/>
      <c r="R154" s="65"/>
    </row>
    <row r="155" spans="1:18" ht="15" customHeight="1" x14ac:dyDescent="0.3">
      <c r="A155" s="68" t="s">
        <v>115</v>
      </c>
      <c r="B155" s="68" t="s">
        <v>139</v>
      </c>
      <c r="C155" s="69">
        <v>0.70138888888888884</v>
      </c>
      <c r="D155" s="68" t="s">
        <v>117</v>
      </c>
      <c r="E155" s="68" t="s">
        <v>77</v>
      </c>
      <c r="F155" s="68" t="s">
        <v>123</v>
      </c>
      <c r="G155" s="201"/>
      <c r="H155" s="61"/>
      <c r="I155" s="62"/>
      <c r="J155" s="62"/>
      <c r="K155" s="62"/>
      <c r="L155" s="62"/>
      <c r="M155" s="62"/>
      <c r="N155" s="62"/>
      <c r="O155" s="63"/>
      <c r="P155" s="62"/>
      <c r="Q155" s="64"/>
      <c r="R155" s="65"/>
    </row>
    <row r="156" spans="1:18" ht="15" customHeight="1" x14ac:dyDescent="0.3">
      <c r="A156" s="68" t="s">
        <v>115</v>
      </c>
      <c r="B156" s="68" t="s">
        <v>135</v>
      </c>
      <c r="C156" s="69">
        <v>0.94097222222222221</v>
      </c>
      <c r="D156" s="68" t="s">
        <v>117</v>
      </c>
      <c r="E156" s="68" t="s">
        <v>77</v>
      </c>
      <c r="F156" s="68" t="s">
        <v>123</v>
      </c>
      <c r="G156" s="201"/>
      <c r="H156" s="61"/>
      <c r="I156" s="62"/>
      <c r="J156" s="62"/>
      <c r="K156" s="62"/>
      <c r="L156" s="62"/>
      <c r="M156" s="62"/>
      <c r="N156" s="62"/>
      <c r="O156" s="63"/>
      <c r="P156" s="62"/>
      <c r="Q156" s="64"/>
      <c r="R156" s="65"/>
    </row>
    <row r="157" spans="1:18" ht="15" customHeight="1" x14ac:dyDescent="0.3">
      <c r="A157" s="68" t="s">
        <v>115</v>
      </c>
      <c r="B157" s="68" t="s">
        <v>125</v>
      </c>
      <c r="C157" s="69">
        <v>0.98958333333333337</v>
      </c>
      <c r="D157" s="68" t="s">
        <v>122</v>
      </c>
      <c r="E157" s="68" t="s">
        <v>63</v>
      </c>
      <c r="F157" s="68" t="s">
        <v>126</v>
      </c>
      <c r="G157" s="201"/>
      <c r="H157" s="61"/>
      <c r="I157" s="62"/>
      <c r="J157" s="62"/>
      <c r="K157" s="62"/>
      <c r="L157" s="62"/>
      <c r="M157" s="62"/>
      <c r="N157" s="62"/>
      <c r="O157" s="63"/>
      <c r="P157" s="62"/>
      <c r="Q157" s="64"/>
      <c r="R157" s="65"/>
    </row>
    <row r="158" spans="1:18" ht="15" customHeight="1" x14ac:dyDescent="0.3">
      <c r="A158" s="66" t="s">
        <v>115</v>
      </c>
      <c r="B158" s="66" t="s">
        <v>125</v>
      </c>
      <c r="C158" s="67">
        <v>0.98958333333333337</v>
      </c>
      <c r="D158" s="66" t="s">
        <v>117</v>
      </c>
      <c r="E158" s="66" t="s">
        <v>64</v>
      </c>
      <c r="F158" s="66" t="s">
        <v>126</v>
      </c>
      <c r="G158" s="201"/>
      <c r="H158" s="61"/>
      <c r="I158" s="62"/>
      <c r="J158" s="62"/>
      <c r="K158" s="62"/>
      <c r="L158" s="62"/>
      <c r="M158" s="62"/>
      <c r="N158" s="62"/>
      <c r="O158" s="63"/>
      <c r="P158" s="62"/>
      <c r="Q158" s="64"/>
      <c r="R158" s="65"/>
    </row>
    <row r="159" spans="1:18" ht="15" customHeight="1" x14ac:dyDescent="0.3">
      <c r="A159" s="68" t="s">
        <v>115</v>
      </c>
      <c r="B159" s="68" t="s">
        <v>127</v>
      </c>
      <c r="C159" s="69">
        <v>0.39930555555555558</v>
      </c>
      <c r="D159" s="68" t="s">
        <v>117</v>
      </c>
      <c r="E159" s="68" t="s">
        <v>63</v>
      </c>
      <c r="F159" s="68" t="s">
        <v>126</v>
      </c>
      <c r="G159" s="201"/>
      <c r="H159" s="61"/>
      <c r="I159" s="62"/>
      <c r="J159" s="62"/>
      <c r="K159" s="62"/>
      <c r="L159" s="62"/>
      <c r="M159" s="62"/>
      <c r="N159" s="62"/>
      <c r="O159" s="63"/>
      <c r="P159" s="62"/>
      <c r="Q159" s="64"/>
      <c r="R159" s="65"/>
    </row>
    <row r="160" spans="1:18" ht="15" customHeight="1" x14ac:dyDescent="0.3">
      <c r="A160" s="68" t="s">
        <v>115</v>
      </c>
      <c r="B160" s="68" t="s">
        <v>128</v>
      </c>
      <c r="C160" s="69">
        <v>0.48958333333333331</v>
      </c>
      <c r="D160" s="68" t="s">
        <v>117</v>
      </c>
      <c r="E160" s="68" t="s">
        <v>63</v>
      </c>
      <c r="F160" s="68" t="s">
        <v>126</v>
      </c>
      <c r="G160" s="201"/>
      <c r="H160" s="61"/>
      <c r="I160" s="62"/>
      <c r="J160" s="62"/>
      <c r="K160" s="62"/>
      <c r="L160" s="62"/>
      <c r="M160" s="62"/>
      <c r="N160" s="62"/>
      <c r="O160" s="63"/>
      <c r="P160" s="62"/>
      <c r="Q160" s="64"/>
      <c r="R160" s="65"/>
    </row>
    <row r="161" spans="1:18" ht="15" customHeight="1" x14ac:dyDescent="0.3">
      <c r="A161" s="68" t="s">
        <v>115</v>
      </c>
      <c r="B161" s="68" t="s">
        <v>130</v>
      </c>
      <c r="C161" s="69">
        <v>0.88888888888888884</v>
      </c>
      <c r="D161" s="68" t="s">
        <v>122</v>
      </c>
      <c r="E161" s="68" t="s">
        <v>63</v>
      </c>
      <c r="F161" s="68" t="s">
        <v>126</v>
      </c>
      <c r="G161" s="201"/>
      <c r="H161" s="61"/>
      <c r="I161" s="62"/>
      <c r="J161" s="62"/>
      <c r="K161" s="62"/>
      <c r="L161" s="62"/>
      <c r="M161" s="62"/>
      <c r="N161" s="62"/>
      <c r="O161" s="63"/>
      <c r="P161" s="62"/>
      <c r="Q161" s="64"/>
      <c r="R161" s="65"/>
    </row>
    <row r="162" spans="1:18" ht="15" customHeight="1" x14ac:dyDescent="0.3">
      <c r="A162" s="66" t="s">
        <v>115</v>
      </c>
      <c r="B162" s="66" t="s">
        <v>130</v>
      </c>
      <c r="C162" s="67">
        <v>0.88888888888888884</v>
      </c>
      <c r="D162" s="66" t="s">
        <v>117</v>
      </c>
      <c r="E162" s="66" t="s">
        <v>64</v>
      </c>
      <c r="F162" s="66" t="s">
        <v>126</v>
      </c>
      <c r="G162" s="201"/>
      <c r="H162" s="61"/>
      <c r="I162" s="62"/>
      <c r="J162" s="62"/>
      <c r="K162" s="62"/>
      <c r="L162" s="62"/>
      <c r="M162" s="62"/>
      <c r="N162" s="62"/>
      <c r="O162" s="63"/>
      <c r="P162" s="62"/>
      <c r="Q162" s="64"/>
      <c r="R162" s="65"/>
    </row>
    <row r="163" spans="1:18" ht="15" customHeight="1" x14ac:dyDescent="0.3">
      <c r="A163" s="68" t="s">
        <v>115</v>
      </c>
      <c r="B163" s="68" t="s">
        <v>116</v>
      </c>
      <c r="C163" s="69">
        <v>0.48958333333333331</v>
      </c>
      <c r="D163" s="68" t="s">
        <v>122</v>
      </c>
      <c r="E163" s="68" t="s">
        <v>77</v>
      </c>
      <c r="F163" s="68" t="s">
        <v>132</v>
      </c>
      <c r="G163" s="201"/>
      <c r="H163" s="61"/>
      <c r="I163" s="62"/>
      <c r="J163" s="62"/>
      <c r="K163" s="62"/>
      <c r="L163" s="62"/>
      <c r="M163" s="62"/>
      <c r="N163" s="62"/>
      <c r="O163" s="63"/>
      <c r="P163" s="62"/>
      <c r="Q163" s="64"/>
      <c r="R163" s="65"/>
    </row>
    <row r="164" spans="1:18" ht="15" customHeight="1" x14ac:dyDescent="0.3">
      <c r="A164" s="66" t="s">
        <v>115</v>
      </c>
      <c r="B164" s="66" t="s">
        <v>116</v>
      </c>
      <c r="C164" s="67">
        <v>0.48958333333333331</v>
      </c>
      <c r="D164" s="66" t="s">
        <v>117</v>
      </c>
      <c r="E164" s="66" t="s">
        <v>124</v>
      </c>
      <c r="F164" s="66" t="s">
        <v>132</v>
      </c>
      <c r="G164" s="201"/>
      <c r="H164" s="61"/>
      <c r="I164" s="62"/>
      <c r="J164" s="62"/>
      <c r="K164" s="62"/>
      <c r="L164" s="62"/>
      <c r="M164" s="62"/>
      <c r="N164" s="62"/>
      <c r="O164" s="63"/>
      <c r="P164" s="62"/>
      <c r="Q164" s="64"/>
      <c r="R164" s="65"/>
    </row>
    <row r="165" spans="1:18" ht="15" customHeight="1" x14ac:dyDescent="0.3">
      <c r="A165" s="68" t="s">
        <v>115</v>
      </c>
      <c r="B165" s="68" t="s">
        <v>133</v>
      </c>
      <c r="C165" s="69">
        <v>0.25347222222222221</v>
      </c>
      <c r="D165" s="68" t="s">
        <v>122</v>
      </c>
      <c r="E165" s="68" t="s">
        <v>77</v>
      </c>
      <c r="F165" s="68" t="s">
        <v>132</v>
      </c>
      <c r="G165" s="201"/>
      <c r="H165" s="61"/>
      <c r="I165" s="62"/>
      <c r="J165" s="62"/>
      <c r="K165" s="62"/>
      <c r="L165" s="62"/>
      <c r="M165" s="62"/>
      <c r="N165" s="62"/>
      <c r="O165" s="63"/>
      <c r="P165" s="62"/>
      <c r="Q165" s="64"/>
      <c r="R165" s="65"/>
    </row>
    <row r="166" spans="1:18" ht="15" customHeight="1" x14ac:dyDescent="0.3">
      <c r="A166" s="66" t="s">
        <v>115</v>
      </c>
      <c r="B166" s="66" t="s">
        <v>133</v>
      </c>
      <c r="C166" s="67">
        <v>0.25347222222222221</v>
      </c>
      <c r="D166" s="66" t="s">
        <v>117</v>
      </c>
      <c r="E166" s="66" t="s">
        <v>124</v>
      </c>
      <c r="F166" s="66" t="s">
        <v>132</v>
      </c>
      <c r="G166" s="201"/>
      <c r="H166" s="61"/>
      <c r="I166" s="62"/>
      <c r="J166" s="62"/>
      <c r="K166" s="62"/>
      <c r="L166" s="62"/>
      <c r="M166" s="62"/>
      <c r="N166" s="62"/>
      <c r="O166" s="63"/>
      <c r="P166" s="62"/>
      <c r="Q166" s="64"/>
      <c r="R166" s="65"/>
    </row>
    <row r="167" spans="1:18" ht="15" customHeight="1" x14ac:dyDescent="0.3">
      <c r="A167" s="68" t="s">
        <v>115</v>
      </c>
      <c r="B167" s="68" t="s">
        <v>119</v>
      </c>
      <c r="C167" s="69">
        <v>4.1666666666666657E-2</v>
      </c>
      <c r="D167" s="68" t="s">
        <v>122</v>
      </c>
      <c r="E167" s="68" t="s">
        <v>77</v>
      </c>
      <c r="F167" s="68" t="s">
        <v>132</v>
      </c>
      <c r="G167" s="201"/>
      <c r="H167" s="61"/>
      <c r="I167" s="62"/>
      <c r="J167" s="62"/>
      <c r="K167" s="62"/>
      <c r="L167" s="62"/>
      <c r="M167" s="62"/>
      <c r="N167" s="62"/>
      <c r="O167" s="63"/>
      <c r="P167" s="62"/>
      <c r="Q167" s="64"/>
      <c r="R167" s="65"/>
    </row>
    <row r="168" spans="1:18" ht="15" customHeight="1" x14ac:dyDescent="0.3">
      <c r="A168" s="66" t="s">
        <v>115</v>
      </c>
      <c r="B168" s="66" t="s">
        <v>119</v>
      </c>
      <c r="C168" s="67">
        <v>4.1666666666666657E-2</v>
      </c>
      <c r="D168" s="66" t="s">
        <v>117</v>
      </c>
      <c r="E168" s="66" t="s">
        <v>124</v>
      </c>
      <c r="F168" s="66" t="s">
        <v>132</v>
      </c>
      <c r="G168" s="201"/>
      <c r="H168" s="61"/>
      <c r="I168" s="62"/>
      <c r="J168" s="62"/>
      <c r="K168" s="62"/>
      <c r="L168" s="62"/>
      <c r="M168" s="62"/>
      <c r="N168" s="62"/>
      <c r="O168" s="63"/>
      <c r="P168" s="62"/>
      <c r="Q168" s="64"/>
      <c r="R168" s="65"/>
    </row>
    <row r="169" spans="1:18" ht="15" customHeight="1" x14ac:dyDescent="0.3">
      <c r="A169" s="59" t="s">
        <v>140</v>
      </c>
      <c r="B169" s="59" t="s">
        <v>141</v>
      </c>
      <c r="C169" s="60">
        <v>0.97222222222222221</v>
      </c>
      <c r="D169" s="59" t="s">
        <v>122</v>
      </c>
      <c r="E169" s="59" t="s">
        <v>74</v>
      </c>
      <c r="F169" s="59" t="s">
        <v>144</v>
      </c>
      <c r="G169" s="201"/>
      <c r="H169" s="61"/>
      <c r="I169" s="62"/>
      <c r="J169" s="62"/>
      <c r="K169" s="62"/>
      <c r="L169" s="62"/>
      <c r="M169" s="62"/>
      <c r="N169" s="62"/>
      <c r="O169" s="63"/>
      <c r="P169" s="62"/>
      <c r="Q169" s="64"/>
      <c r="R169" s="65"/>
    </row>
    <row r="170" spans="1:18" ht="15" customHeight="1" x14ac:dyDescent="0.3">
      <c r="A170" s="68" t="s">
        <v>140</v>
      </c>
      <c r="B170" s="68" t="s">
        <v>145</v>
      </c>
      <c r="C170" s="69">
        <v>0.78472222222222221</v>
      </c>
      <c r="D170" s="68" t="s">
        <v>122</v>
      </c>
      <c r="E170" s="68" t="s">
        <v>160</v>
      </c>
      <c r="F170" s="68" t="s">
        <v>144</v>
      </c>
      <c r="G170" s="201"/>
      <c r="H170" s="61"/>
      <c r="I170" s="62"/>
      <c r="J170" s="62"/>
      <c r="K170" s="62"/>
      <c r="L170" s="62"/>
      <c r="M170" s="62"/>
      <c r="N170" s="62"/>
      <c r="O170" s="63"/>
      <c r="P170" s="62"/>
      <c r="Q170" s="64"/>
      <c r="R170" s="65"/>
    </row>
    <row r="171" spans="1:18" ht="15" customHeight="1" thickBot="1" x14ac:dyDescent="0.35">
      <c r="A171" s="70" t="s">
        <v>140</v>
      </c>
      <c r="B171" s="70" t="s">
        <v>146</v>
      </c>
      <c r="C171" s="71">
        <v>4.8611111111111112E-2</v>
      </c>
      <c r="D171" s="70" t="s">
        <v>122</v>
      </c>
      <c r="E171" s="70" t="s">
        <v>77</v>
      </c>
      <c r="F171" s="70" t="s">
        <v>144</v>
      </c>
      <c r="G171" s="202"/>
      <c r="H171" s="72"/>
      <c r="I171" s="73"/>
      <c r="J171" s="73"/>
      <c r="K171" s="73"/>
      <c r="L171" s="73"/>
      <c r="M171" s="73"/>
      <c r="N171" s="73"/>
      <c r="O171" s="74"/>
      <c r="P171" s="73"/>
      <c r="Q171" s="75"/>
      <c r="R171" s="76"/>
    </row>
    <row r="172" spans="1:18" ht="17.399999999999999" customHeight="1" thickBot="1" x14ac:dyDescent="0.35">
      <c r="A172" s="235"/>
      <c r="B172" s="236"/>
      <c r="C172" s="236"/>
      <c r="D172" s="236"/>
      <c r="E172" s="236"/>
      <c r="F172" s="236"/>
      <c r="G172" s="236"/>
      <c r="H172" s="236"/>
      <c r="I172" s="236"/>
      <c r="J172" s="236"/>
      <c r="K172" s="236"/>
      <c r="L172" s="236"/>
      <c r="M172" s="236"/>
      <c r="N172" s="236"/>
      <c r="O172" s="236"/>
      <c r="P172" s="236"/>
      <c r="Q172" s="236"/>
      <c r="R172" s="237"/>
    </row>
    <row r="173" spans="1:18" ht="22.05" customHeight="1" thickTop="1" thickBot="1" x14ac:dyDescent="0.35">
      <c r="A173" s="203" t="s">
        <v>6</v>
      </c>
      <c r="B173" s="204"/>
      <c r="C173" s="204"/>
      <c r="D173" s="204"/>
      <c r="E173" s="204"/>
      <c r="F173" s="205"/>
      <c r="G173" s="77">
        <v>45988</v>
      </c>
      <c r="H173" s="212" t="s">
        <v>7</v>
      </c>
      <c r="I173" s="204"/>
      <c r="J173" s="204"/>
      <c r="K173" s="204"/>
      <c r="L173" s="204"/>
      <c r="M173" s="204"/>
      <c r="N173" s="204"/>
      <c r="O173" s="204"/>
      <c r="P173" s="204"/>
      <c r="Q173" s="204"/>
      <c r="R173" s="205"/>
    </row>
    <row r="174" spans="1:18" ht="24" customHeight="1" x14ac:dyDescent="0.3">
      <c r="A174" s="78" t="s">
        <v>8</v>
      </c>
      <c r="B174" s="78" t="s">
        <v>9</v>
      </c>
      <c r="C174" s="79" t="s">
        <v>10</v>
      </c>
      <c r="D174" s="78" t="s">
        <v>11</v>
      </c>
      <c r="E174" s="78" t="s">
        <v>12</v>
      </c>
      <c r="F174" s="80" t="s">
        <v>13</v>
      </c>
      <c r="G174" s="81" t="s">
        <v>14</v>
      </c>
      <c r="H174" s="78" t="s">
        <v>15</v>
      </c>
      <c r="I174" s="82" t="s">
        <v>16</v>
      </c>
      <c r="J174" s="83" t="s">
        <v>17</v>
      </c>
      <c r="K174" s="84" t="s">
        <v>18</v>
      </c>
      <c r="L174" s="83" t="s">
        <v>19</v>
      </c>
      <c r="M174" s="83" t="s">
        <v>20</v>
      </c>
      <c r="N174" s="83" t="s">
        <v>21</v>
      </c>
      <c r="O174" s="78" t="s">
        <v>22</v>
      </c>
      <c r="P174" s="79" t="s">
        <v>23</v>
      </c>
      <c r="Q174" s="83" t="s">
        <v>24</v>
      </c>
      <c r="R174" s="78" t="s">
        <v>25</v>
      </c>
    </row>
    <row r="175" spans="1:18" ht="15" customHeight="1" x14ac:dyDescent="0.3">
      <c r="A175" s="8" t="s">
        <v>26</v>
      </c>
      <c r="B175" s="8" t="s">
        <v>161</v>
      </c>
      <c r="C175" s="9">
        <v>6.5972222222222224E-2</v>
      </c>
      <c r="D175" s="8" t="s">
        <v>28</v>
      </c>
      <c r="E175" s="8" t="s">
        <v>162</v>
      </c>
      <c r="F175" s="8" t="s">
        <v>36</v>
      </c>
      <c r="G175" s="200"/>
      <c r="H175" s="10" t="s">
        <v>163</v>
      </c>
      <c r="I175" s="28">
        <v>0.82220000000000004</v>
      </c>
      <c r="J175" s="12">
        <v>148</v>
      </c>
      <c r="K175" s="13">
        <v>45981</v>
      </c>
      <c r="L175" s="12">
        <v>36</v>
      </c>
      <c r="M175" s="12">
        <v>0</v>
      </c>
      <c r="N175" s="12">
        <v>23</v>
      </c>
      <c r="O175" s="14" t="s">
        <v>164</v>
      </c>
      <c r="P175" s="15">
        <v>6.5972222222222224E-2</v>
      </c>
      <c r="Q175" s="12">
        <v>180</v>
      </c>
      <c r="R175" s="16" t="s">
        <v>165</v>
      </c>
    </row>
    <row r="176" spans="1:18" ht="15" customHeight="1" x14ac:dyDescent="0.3">
      <c r="A176" s="17" t="s">
        <v>26</v>
      </c>
      <c r="B176" s="17" t="s">
        <v>166</v>
      </c>
      <c r="C176" s="18">
        <v>0.1875</v>
      </c>
      <c r="D176" s="17" t="s">
        <v>28</v>
      </c>
      <c r="E176" s="17" t="s">
        <v>77</v>
      </c>
      <c r="F176" s="17" t="s">
        <v>148</v>
      </c>
      <c r="G176" s="201"/>
      <c r="H176" s="19" t="s">
        <v>167</v>
      </c>
      <c r="I176" s="105">
        <v>0.85</v>
      </c>
      <c r="J176" s="21">
        <v>153</v>
      </c>
      <c r="K176" s="22">
        <v>45981</v>
      </c>
      <c r="L176" s="21">
        <v>51</v>
      </c>
      <c r="M176" s="21">
        <v>0</v>
      </c>
      <c r="N176" s="21">
        <v>21</v>
      </c>
      <c r="O176" s="23" t="s">
        <v>168</v>
      </c>
      <c r="P176" s="24">
        <v>0.1875</v>
      </c>
      <c r="Q176" s="21">
        <v>180</v>
      </c>
      <c r="R176" s="25" t="s">
        <v>169</v>
      </c>
    </row>
    <row r="177" spans="1:18" ht="15" customHeight="1" x14ac:dyDescent="0.3">
      <c r="A177" s="106" t="s">
        <v>26</v>
      </c>
      <c r="B177" s="106" t="s">
        <v>170</v>
      </c>
      <c r="C177" s="107">
        <v>0.9375</v>
      </c>
      <c r="D177" s="106" t="s">
        <v>28</v>
      </c>
      <c r="E177" s="106" t="s">
        <v>77</v>
      </c>
      <c r="F177" s="106" t="s">
        <v>171</v>
      </c>
      <c r="G177" s="201"/>
      <c r="H177" s="108" t="s">
        <v>50</v>
      </c>
      <c r="I177" s="109">
        <v>0.82220000000000004</v>
      </c>
      <c r="J177" s="110">
        <v>148</v>
      </c>
      <c r="K177" s="111">
        <v>45981</v>
      </c>
      <c r="L177" s="110">
        <v>19</v>
      </c>
      <c r="M177" s="110">
        <v>0</v>
      </c>
      <c r="N177" s="110">
        <v>2</v>
      </c>
      <c r="O177" s="112" t="s">
        <v>172</v>
      </c>
      <c r="P177" s="113">
        <v>0.9375</v>
      </c>
      <c r="Q177" s="110">
        <v>180</v>
      </c>
      <c r="R177" s="114" t="s">
        <v>173</v>
      </c>
    </row>
    <row r="178" spans="1:18" ht="15" customHeight="1" x14ac:dyDescent="0.3">
      <c r="A178" s="115" t="s">
        <v>26</v>
      </c>
      <c r="B178" s="115" t="s">
        <v>41</v>
      </c>
      <c r="C178" s="116">
        <v>0.15625</v>
      </c>
      <c r="D178" s="115" t="s">
        <v>44</v>
      </c>
      <c r="E178" s="117"/>
      <c r="F178" s="115" t="s">
        <v>45</v>
      </c>
      <c r="G178" s="201"/>
      <c r="H178" s="87" t="s">
        <v>41</v>
      </c>
      <c r="I178" s="88">
        <v>0.99439999999999995</v>
      </c>
      <c r="J178" s="89">
        <v>179</v>
      </c>
      <c r="K178" s="90">
        <v>45981</v>
      </c>
      <c r="L178" s="89">
        <v>27</v>
      </c>
      <c r="M178" s="89">
        <v>0</v>
      </c>
      <c r="N178" s="89">
        <v>10</v>
      </c>
      <c r="O178" s="91" t="s">
        <v>46</v>
      </c>
      <c r="P178" s="92">
        <v>0.15625</v>
      </c>
      <c r="Q178" s="89">
        <v>180</v>
      </c>
      <c r="R178" s="93" t="s">
        <v>174</v>
      </c>
    </row>
    <row r="179" spans="1:18" ht="15" customHeight="1" x14ac:dyDescent="0.3">
      <c r="A179" s="106" t="s">
        <v>26</v>
      </c>
      <c r="B179" s="106" t="s">
        <v>31</v>
      </c>
      <c r="C179" s="107">
        <v>0.40625</v>
      </c>
      <c r="D179" s="106" t="s">
        <v>44</v>
      </c>
      <c r="E179" s="118"/>
      <c r="F179" s="106" t="s">
        <v>45</v>
      </c>
      <c r="G179" s="201"/>
      <c r="H179" s="108" t="s">
        <v>31</v>
      </c>
      <c r="I179" s="119">
        <v>1</v>
      </c>
      <c r="J179" s="110">
        <v>180</v>
      </c>
      <c r="K179" s="111">
        <v>45960</v>
      </c>
      <c r="L179" s="110">
        <v>0</v>
      </c>
      <c r="M179" s="110">
        <v>0</v>
      </c>
      <c r="N179" s="110">
        <v>0</v>
      </c>
      <c r="O179" s="112" t="s">
        <v>46</v>
      </c>
      <c r="P179" s="113">
        <v>0.40625</v>
      </c>
      <c r="Q179" s="110">
        <v>180</v>
      </c>
      <c r="R179" s="114" t="s">
        <v>175</v>
      </c>
    </row>
    <row r="180" spans="1:18" ht="15" customHeight="1" x14ac:dyDescent="0.3">
      <c r="A180" s="95" t="s">
        <v>26</v>
      </c>
      <c r="B180" s="95" t="s">
        <v>43</v>
      </c>
      <c r="C180" s="96">
        <v>0.5625</v>
      </c>
      <c r="D180" s="95" t="s">
        <v>44</v>
      </c>
      <c r="E180" s="97"/>
      <c r="F180" s="95" t="s">
        <v>45</v>
      </c>
      <c r="G180" s="201"/>
      <c r="H180" s="98" t="s">
        <v>43</v>
      </c>
      <c r="I180" s="99">
        <v>0.99439999999999995</v>
      </c>
      <c r="J180" s="100">
        <v>179</v>
      </c>
      <c r="K180" s="101">
        <v>45975</v>
      </c>
      <c r="L180" s="100">
        <v>3</v>
      </c>
      <c r="M180" s="100">
        <v>0</v>
      </c>
      <c r="N180" s="100">
        <v>0</v>
      </c>
      <c r="O180" s="102" t="s">
        <v>46</v>
      </c>
      <c r="P180" s="103">
        <v>0.5625</v>
      </c>
      <c r="Q180" s="100">
        <v>180</v>
      </c>
      <c r="R180" s="104" t="s">
        <v>176</v>
      </c>
    </row>
    <row r="181" spans="1:18" ht="15" customHeight="1" x14ac:dyDescent="0.3">
      <c r="A181" s="59" t="s">
        <v>52</v>
      </c>
      <c r="B181" s="59" t="s">
        <v>53</v>
      </c>
      <c r="C181" s="60">
        <v>0.39930555555555558</v>
      </c>
      <c r="D181" s="59" t="s">
        <v>56</v>
      </c>
      <c r="E181" s="59" t="s">
        <v>104</v>
      </c>
      <c r="F181" s="59" t="s">
        <v>177</v>
      </c>
      <c r="G181" s="201"/>
      <c r="H181" s="61"/>
      <c r="I181" s="62"/>
      <c r="J181" s="62"/>
      <c r="K181" s="62"/>
      <c r="L181" s="62"/>
      <c r="M181" s="62"/>
      <c r="N181" s="62"/>
      <c r="O181" s="63"/>
      <c r="P181" s="62"/>
      <c r="Q181" s="64"/>
      <c r="R181" s="65"/>
    </row>
    <row r="182" spans="1:18" ht="15" customHeight="1" x14ac:dyDescent="0.3">
      <c r="A182" s="66" t="s">
        <v>52</v>
      </c>
      <c r="B182" s="66" t="s">
        <v>53</v>
      </c>
      <c r="C182" s="67">
        <v>0.39930555555555558</v>
      </c>
      <c r="D182" s="66" t="s">
        <v>58</v>
      </c>
      <c r="E182" s="66" t="s">
        <v>96</v>
      </c>
      <c r="F182" s="66" t="s">
        <v>89</v>
      </c>
      <c r="G182" s="201"/>
      <c r="H182" s="61"/>
      <c r="I182" s="62"/>
      <c r="J182" s="62"/>
      <c r="K182" s="62"/>
      <c r="L182" s="62"/>
      <c r="M182" s="62"/>
      <c r="N182" s="62"/>
      <c r="O182" s="63"/>
      <c r="P182" s="62"/>
      <c r="Q182" s="64"/>
      <c r="R182" s="65"/>
    </row>
    <row r="183" spans="1:18" ht="15" customHeight="1" x14ac:dyDescent="0.3">
      <c r="A183" s="66" t="s">
        <v>52</v>
      </c>
      <c r="B183" s="66" t="s">
        <v>53</v>
      </c>
      <c r="C183" s="67">
        <v>0.39930555555555558</v>
      </c>
      <c r="D183" s="66" t="s">
        <v>60</v>
      </c>
      <c r="E183" s="66" t="s">
        <v>96</v>
      </c>
      <c r="F183" s="66" t="s">
        <v>65</v>
      </c>
      <c r="G183" s="201"/>
      <c r="H183" s="61"/>
      <c r="I183" s="62"/>
      <c r="J183" s="62"/>
      <c r="K183" s="62"/>
      <c r="L183" s="62"/>
      <c r="M183" s="62"/>
      <c r="N183" s="62"/>
      <c r="O183" s="63"/>
      <c r="P183" s="62"/>
      <c r="Q183" s="64"/>
      <c r="R183" s="65"/>
    </row>
    <row r="184" spans="1:18" ht="15" customHeight="1" x14ac:dyDescent="0.3">
      <c r="A184" s="68" t="s">
        <v>52</v>
      </c>
      <c r="B184" s="68" t="s">
        <v>62</v>
      </c>
      <c r="C184" s="69">
        <v>0.48958333333333331</v>
      </c>
      <c r="D184" s="68" t="s">
        <v>56</v>
      </c>
      <c r="E184" s="68" t="s">
        <v>178</v>
      </c>
      <c r="F184" s="68" t="s">
        <v>177</v>
      </c>
      <c r="G184" s="201"/>
      <c r="H184" s="61"/>
      <c r="I184" s="62"/>
      <c r="J184" s="62"/>
      <c r="K184" s="62"/>
      <c r="L184" s="62"/>
      <c r="M184" s="62"/>
      <c r="N184" s="62"/>
      <c r="O184" s="63"/>
      <c r="P184" s="62"/>
      <c r="Q184" s="64"/>
      <c r="R184" s="65"/>
    </row>
    <row r="185" spans="1:18" ht="15" customHeight="1" x14ac:dyDescent="0.3">
      <c r="A185" s="66" t="s">
        <v>52</v>
      </c>
      <c r="B185" s="66" t="s">
        <v>62</v>
      </c>
      <c r="C185" s="67">
        <v>0.48958333333333331</v>
      </c>
      <c r="D185" s="66" t="s">
        <v>58</v>
      </c>
      <c r="E185" s="66" t="s">
        <v>179</v>
      </c>
      <c r="F185" s="66" t="s">
        <v>89</v>
      </c>
      <c r="G185" s="201"/>
      <c r="H185" s="61"/>
      <c r="I185" s="62"/>
      <c r="J185" s="62"/>
      <c r="K185" s="62"/>
      <c r="L185" s="62"/>
      <c r="M185" s="62"/>
      <c r="N185" s="62"/>
      <c r="O185" s="63"/>
      <c r="P185" s="62"/>
      <c r="Q185" s="64"/>
      <c r="R185" s="65"/>
    </row>
    <row r="186" spans="1:18" ht="15" customHeight="1" x14ac:dyDescent="0.3">
      <c r="A186" s="66" t="s">
        <v>52</v>
      </c>
      <c r="B186" s="66" t="s">
        <v>62</v>
      </c>
      <c r="C186" s="67">
        <v>0.48958333333333331</v>
      </c>
      <c r="D186" s="66" t="s">
        <v>60</v>
      </c>
      <c r="E186" s="66" t="s">
        <v>179</v>
      </c>
      <c r="F186" s="66" t="s">
        <v>65</v>
      </c>
      <c r="G186" s="201"/>
      <c r="H186" s="61"/>
      <c r="I186" s="62"/>
      <c r="J186" s="62"/>
      <c r="K186" s="62"/>
      <c r="L186" s="62"/>
      <c r="M186" s="62"/>
      <c r="N186" s="62"/>
      <c r="O186" s="63"/>
      <c r="P186" s="62"/>
      <c r="Q186" s="64"/>
      <c r="R186" s="65"/>
    </row>
    <row r="187" spans="1:18" ht="15" customHeight="1" x14ac:dyDescent="0.3">
      <c r="A187" s="68" t="s">
        <v>52</v>
      </c>
      <c r="B187" s="68" t="s">
        <v>69</v>
      </c>
      <c r="C187" s="69">
        <v>0.98958333333333337</v>
      </c>
      <c r="D187" s="68" t="s">
        <v>56</v>
      </c>
      <c r="E187" s="68" t="s">
        <v>70</v>
      </c>
      <c r="F187" s="68" t="s">
        <v>177</v>
      </c>
      <c r="G187" s="201"/>
      <c r="H187" s="61"/>
      <c r="I187" s="62"/>
      <c r="J187" s="62"/>
      <c r="K187" s="62"/>
      <c r="L187" s="62"/>
      <c r="M187" s="62"/>
      <c r="N187" s="62"/>
      <c r="O187" s="63"/>
      <c r="P187" s="62"/>
      <c r="Q187" s="64"/>
      <c r="R187" s="65"/>
    </row>
    <row r="188" spans="1:18" ht="15" customHeight="1" x14ac:dyDescent="0.3">
      <c r="A188" s="66" t="s">
        <v>52</v>
      </c>
      <c r="B188" s="66" t="s">
        <v>69</v>
      </c>
      <c r="C188" s="67">
        <v>0.98958333333333337</v>
      </c>
      <c r="D188" s="66" t="s">
        <v>58</v>
      </c>
      <c r="E188" s="66" t="s">
        <v>71</v>
      </c>
      <c r="F188" s="66" t="s">
        <v>89</v>
      </c>
      <c r="G188" s="201"/>
      <c r="H188" s="61"/>
      <c r="I188" s="62"/>
      <c r="J188" s="62"/>
      <c r="K188" s="62"/>
      <c r="L188" s="62"/>
      <c r="M188" s="62"/>
      <c r="N188" s="62"/>
      <c r="O188" s="63"/>
      <c r="P188" s="62"/>
      <c r="Q188" s="64"/>
      <c r="R188" s="65"/>
    </row>
    <row r="189" spans="1:18" ht="15" customHeight="1" x14ac:dyDescent="0.3">
      <c r="A189" s="66" t="s">
        <v>52</v>
      </c>
      <c r="B189" s="66" t="s">
        <v>69</v>
      </c>
      <c r="C189" s="67">
        <v>0.98958333333333337</v>
      </c>
      <c r="D189" s="66" t="s">
        <v>60</v>
      </c>
      <c r="E189" s="66" t="s">
        <v>71</v>
      </c>
      <c r="F189" s="66" t="s">
        <v>65</v>
      </c>
      <c r="G189" s="201"/>
      <c r="H189" s="61"/>
      <c r="I189" s="62"/>
      <c r="J189" s="62"/>
      <c r="K189" s="62"/>
      <c r="L189" s="62"/>
      <c r="M189" s="62"/>
      <c r="N189" s="62"/>
      <c r="O189" s="63"/>
      <c r="P189" s="62"/>
      <c r="Q189" s="64"/>
      <c r="R189" s="65"/>
    </row>
    <row r="190" spans="1:18" ht="15" customHeight="1" x14ac:dyDescent="0.3">
      <c r="A190" s="68" t="s">
        <v>52</v>
      </c>
      <c r="B190" s="68" t="s">
        <v>66</v>
      </c>
      <c r="C190" s="69">
        <v>0.88888888888888884</v>
      </c>
      <c r="D190" s="68" t="s">
        <v>56</v>
      </c>
      <c r="E190" s="68" t="s">
        <v>178</v>
      </c>
      <c r="F190" s="68" t="s">
        <v>59</v>
      </c>
      <c r="G190" s="201"/>
      <c r="H190" s="61"/>
      <c r="I190" s="62"/>
      <c r="J190" s="62"/>
      <c r="K190" s="62"/>
      <c r="L190" s="62"/>
      <c r="M190" s="62"/>
      <c r="N190" s="62"/>
      <c r="O190" s="63"/>
      <c r="P190" s="62"/>
      <c r="Q190" s="64"/>
      <c r="R190" s="65"/>
    </row>
    <row r="191" spans="1:18" ht="15" customHeight="1" x14ac:dyDescent="0.3">
      <c r="A191" s="66" t="s">
        <v>52</v>
      </c>
      <c r="B191" s="66" t="s">
        <v>66</v>
      </c>
      <c r="C191" s="67">
        <v>0.88888888888888884</v>
      </c>
      <c r="D191" s="66" t="s">
        <v>60</v>
      </c>
      <c r="E191" s="66" t="s">
        <v>179</v>
      </c>
      <c r="F191" s="66" t="s">
        <v>180</v>
      </c>
      <c r="G191" s="201"/>
      <c r="H191" s="61"/>
      <c r="I191" s="62"/>
      <c r="J191" s="62"/>
      <c r="K191" s="62"/>
      <c r="L191" s="62"/>
      <c r="M191" s="62"/>
      <c r="N191" s="62"/>
      <c r="O191" s="63"/>
      <c r="P191" s="62"/>
      <c r="Q191" s="64"/>
      <c r="R191" s="65"/>
    </row>
    <row r="192" spans="1:18" ht="15" customHeight="1" x14ac:dyDescent="0.3">
      <c r="A192" s="66" t="s">
        <v>52</v>
      </c>
      <c r="B192" s="66" t="s">
        <v>66</v>
      </c>
      <c r="C192" s="67">
        <v>0.88888888888888884</v>
      </c>
      <c r="D192" s="66" t="s">
        <v>58</v>
      </c>
      <c r="E192" s="66" t="s">
        <v>179</v>
      </c>
      <c r="F192" s="66" t="s">
        <v>181</v>
      </c>
      <c r="G192" s="201"/>
      <c r="H192" s="61"/>
      <c r="I192" s="62"/>
      <c r="J192" s="62"/>
      <c r="K192" s="62"/>
      <c r="L192" s="62"/>
      <c r="M192" s="62"/>
      <c r="N192" s="62"/>
      <c r="O192" s="63"/>
      <c r="P192" s="62"/>
      <c r="Q192" s="64"/>
      <c r="R192" s="65"/>
    </row>
    <row r="193" spans="1:18" ht="15" customHeight="1" x14ac:dyDescent="0.3">
      <c r="A193" s="59" t="s">
        <v>72</v>
      </c>
      <c r="B193" s="59" t="s">
        <v>76</v>
      </c>
      <c r="C193" s="60">
        <v>0.49305555555555558</v>
      </c>
      <c r="D193" s="59" t="s">
        <v>28</v>
      </c>
      <c r="E193" s="59" t="s">
        <v>74</v>
      </c>
      <c r="F193" s="59" t="s">
        <v>182</v>
      </c>
      <c r="G193" s="201"/>
      <c r="H193" s="61"/>
      <c r="I193" s="62"/>
      <c r="J193" s="62"/>
      <c r="K193" s="62"/>
      <c r="L193" s="62"/>
      <c r="M193" s="62"/>
      <c r="N193" s="62"/>
      <c r="O193" s="63"/>
      <c r="P193" s="62"/>
      <c r="Q193" s="64"/>
      <c r="R193" s="65"/>
    </row>
    <row r="194" spans="1:18" ht="15" customHeight="1" x14ac:dyDescent="0.3">
      <c r="A194" s="59" t="s">
        <v>79</v>
      </c>
      <c r="B194" s="59" t="s">
        <v>97</v>
      </c>
      <c r="C194" s="60">
        <v>0.34722222222222232</v>
      </c>
      <c r="D194" s="59" t="s">
        <v>84</v>
      </c>
      <c r="E194" s="59" t="s">
        <v>156</v>
      </c>
      <c r="F194" s="59" t="s">
        <v>59</v>
      </c>
      <c r="G194" s="201"/>
      <c r="H194" s="61"/>
      <c r="I194" s="62"/>
      <c r="J194" s="62"/>
      <c r="K194" s="62"/>
      <c r="L194" s="62"/>
      <c r="M194" s="62"/>
      <c r="N194" s="62"/>
      <c r="O194" s="63"/>
      <c r="P194" s="62"/>
      <c r="Q194" s="64"/>
      <c r="R194" s="65"/>
    </row>
    <row r="195" spans="1:18" ht="15" customHeight="1" x14ac:dyDescent="0.3">
      <c r="A195" s="66" t="s">
        <v>79</v>
      </c>
      <c r="B195" s="66" t="s">
        <v>97</v>
      </c>
      <c r="C195" s="67">
        <v>0.34722222222222232</v>
      </c>
      <c r="D195" s="66" t="s">
        <v>86</v>
      </c>
      <c r="E195" s="66" t="s">
        <v>71</v>
      </c>
      <c r="F195" s="66" t="s">
        <v>89</v>
      </c>
      <c r="G195" s="201"/>
      <c r="H195" s="61"/>
      <c r="I195" s="62"/>
      <c r="J195" s="62"/>
      <c r="K195" s="62"/>
      <c r="L195" s="62"/>
      <c r="M195" s="62"/>
      <c r="N195" s="62"/>
      <c r="O195" s="63"/>
      <c r="P195" s="62"/>
      <c r="Q195" s="64"/>
      <c r="R195" s="65"/>
    </row>
    <row r="196" spans="1:18" ht="15" customHeight="1" x14ac:dyDescent="0.3">
      <c r="A196" s="66" t="s">
        <v>79</v>
      </c>
      <c r="B196" s="66" t="s">
        <v>97</v>
      </c>
      <c r="C196" s="67">
        <v>0.34722222222222232</v>
      </c>
      <c r="D196" s="66" t="s">
        <v>88</v>
      </c>
      <c r="E196" s="66" t="s">
        <v>71</v>
      </c>
      <c r="F196" s="66" t="s">
        <v>98</v>
      </c>
      <c r="G196" s="201"/>
      <c r="H196" s="61"/>
      <c r="I196" s="62"/>
      <c r="J196" s="62"/>
      <c r="K196" s="62"/>
      <c r="L196" s="62"/>
      <c r="M196" s="62"/>
      <c r="N196" s="62"/>
      <c r="O196" s="63"/>
      <c r="P196" s="62"/>
      <c r="Q196" s="64"/>
      <c r="R196" s="65"/>
    </row>
    <row r="197" spans="1:18" ht="15" customHeight="1" x14ac:dyDescent="0.3">
      <c r="A197" s="68" t="s">
        <v>79</v>
      </c>
      <c r="B197" s="68" t="s">
        <v>80</v>
      </c>
      <c r="C197" s="69">
        <v>0.99305555555555547</v>
      </c>
      <c r="D197" s="68" t="s">
        <v>84</v>
      </c>
      <c r="E197" s="68" t="s">
        <v>67</v>
      </c>
      <c r="F197" s="68" t="s">
        <v>59</v>
      </c>
      <c r="G197" s="201"/>
      <c r="H197" s="61"/>
      <c r="I197" s="62"/>
      <c r="J197" s="62"/>
      <c r="K197" s="62"/>
      <c r="L197" s="62"/>
      <c r="M197" s="62"/>
      <c r="N197" s="62"/>
      <c r="O197" s="63"/>
      <c r="P197" s="62"/>
      <c r="Q197" s="64"/>
      <c r="R197" s="65"/>
    </row>
    <row r="198" spans="1:18" ht="15" customHeight="1" x14ac:dyDescent="0.3">
      <c r="A198" s="66" t="s">
        <v>79</v>
      </c>
      <c r="B198" s="66" t="s">
        <v>80</v>
      </c>
      <c r="C198" s="67">
        <v>0.99305555555555547</v>
      </c>
      <c r="D198" s="66" t="s">
        <v>86</v>
      </c>
      <c r="E198" s="66" t="s">
        <v>68</v>
      </c>
      <c r="F198" s="66" t="s">
        <v>89</v>
      </c>
      <c r="G198" s="201"/>
      <c r="H198" s="61"/>
      <c r="I198" s="62"/>
      <c r="J198" s="62"/>
      <c r="K198" s="62"/>
      <c r="L198" s="62"/>
      <c r="M198" s="62"/>
      <c r="N198" s="62"/>
      <c r="O198" s="63"/>
      <c r="P198" s="62"/>
      <c r="Q198" s="64"/>
      <c r="R198" s="65"/>
    </row>
    <row r="199" spans="1:18" ht="15" customHeight="1" x14ac:dyDescent="0.3">
      <c r="A199" s="66" t="s">
        <v>79</v>
      </c>
      <c r="B199" s="66" t="s">
        <v>80</v>
      </c>
      <c r="C199" s="67">
        <v>0.99305555555555547</v>
      </c>
      <c r="D199" s="66" t="s">
        <v>88</v>
      </c>
      <c r="E199" s="66" t="s">
        <v>68</v>
      </c>
      <c r="F199" s="66" t="s">
        <v>98</v>
      </c>
      <c r="G199" s="201"/>
      <c r="H199" s="61"/>
      <c r="I199" s="62"/>
      <c r="J199" s="62"/>
      <c r="K199" s="62"/>
      <c r="L199" s="62"/>
      <c r="M199" s="62"/>
      <c r="N199" s="62"/>
      <c r="O199" s="63"/>
      <c r="P199" s="62"/>
      <c r="Q199" s="64"/>
      <c r="R199" s="65"/>
    </row>
    <row r="200" spans="1:18" ht="15" customHeight="1" x14ac:dyDescent="0.3">
      <c r="A200" s="68" t="s">
        <v>79</v>
      </c>
      <c r="B200" s="68" t="s">
        <v>93</v>
      </c>
      <c r="C200" s="69">
        <v>0.4861111111111111</v>
      </c>
      <c r="D200" s="68" t="s">
        <v>84</v>
      </c>
      <c r="E200" s="68" t="s">
        <v>63</v>
      </c>
      <c r="F200" s="68" t="s">
        <v>59</v>
      </c>
      <c r="G200" s="201"/>
      <c r="H200" s="61"/>
      <c r="I200" s="62"/>
      <c r="J200" s="62"/>
      <c r="K200" s="62"/>
      <c r="L200" s="62"/>
      <c r="M200" s="62"/>
      <c r="N200" s="62"/>
      <c r="O200" s="63"/>
      <c r="P200" s="62"/>
      <c r="Q200" s="64"/>
      <c r="R200" s="65"/>
    </row>
    <row r="201" spans="1:18" ht="15" customHeight="1" x14ac:dyDescent="0.3">
      <c r="A201" s="66" t="s">
        <v>79</v>
      </c>
      <c r="B201" s="66" t="s">
        <v>93</v>
      </c>
      <c r="C201" s="67">
        <v>0.4861111111111111</v>
      </c>
      <c r="D201" s="66" t="s">
        <v>86</v>
      </c>
      <c r="E201" s="66" t="s">
        <v>64</v>
      </c>
      <c r="F201" s="66" t="s">
        <v>89</v>
      </c>
      <c r="G201" s="201"/>
      <c r="H201" s="61"/>
      <c r="I201" s="62"/>
      <c r="J201" s="62"/>
      <c r="K201" s="62"/>
      <c r="L201" s="62"/>
      <c r="M201" s="62"/>
      <c r="N201" s="62"/>
      <c r="O201" s="63"/>
      <c r="P201" s="62"/>
      <c r="Q201" s="64"/>
      <c r="R201" s="65"/>
    </row>
    <row r="202" spans="1:18" ht="15" customHeight="1" x14ac:dyDescent="0.3">
      <c r="A202" s="66" t="s">
        <v>79</v>
      </c>
      <c r="B202" s="66" t="s">
        <v>93</v>
      </c>
      <c r="C202" s="67">
        <v>0.4861111111111111</v>
      </c>
      <c r="D202" s="66" t="s">
        <v>88</v>
      </c>
      <c r="E202" s="66" t="s">
        <v>64</v>
      </c>
      <c r="F202" s="66" t="s">
        <v>98</v>
      </c>
      <c r="G202" s="201"/>
      <c r="H202" s="61"/>
      <c r="I202" s="62"/>
      <c r="J202" s="62"/>
      <c r="K202" s="62"/>
      <c r="L202" s="62"/>
      <c r="M202" s="62"/>
      <c r="N202" s="62"/>
      <c r="O202" s="63"/>
      <c r="P202" s="62"/>
      <c r="Q202" s="64"/>
      <c r="R202" s="65"/>
    </row>
    <row r="203" spans="1:18" ht="15" customHeight="1" x14ac:dyDescent="0.3">
      <c r="A203" s="68" t="s">
        <v>79</v>
      </c>
      <c r="B203" s="68" t="s">
        <v>94</v>
      </c>
      <c r="C203" s="69">
        <v>0.3923611111111111</v>
      </c>
      <c r="D203" s="68" t="s">
        <v>84</v>
      </c>
      <c r="E203" s="68" t="s">
        <v>134</v>
      </c>
      <c r="F203" s="68" t="s">
        <v>59</v>
      </c>
      <c r="G203" s="201"/>
      <c r="H203" s="61"/>
      <c r="I203" s="62"/>
      <c r="J203" s="62"/>
      <c r="K203" s="62"/>
      <c r="L203" s="62"/>
      <c r="M203" s="62"/>
      <c r="N203" s="62"/>
      <c r="O203" s="63"/>
      <c r="P203" s="62"/>
      <c r="Q203" s="64"/>
      <c r="R203" s="65"/>
    </row>
    <row r="204" spans="1:18" ht="15" customHeight="1" x14ac:dyDescent="0.3">
      <c r="A204" s="66" t="s">
        <v>79</v>
      </c>
      <c r="B204" s="66" t="s">
        <v>94</v>
      </c>
      <c r="C204" s="67">
        <v>0.3923611111111111</v>
      </c>
      <c r="D204" s="66" t="s">
        <v>86</v>
      </c>
      <c r="E204" s="66" t="s">
        <v>85</v>
      </c>
      <c r="F204" s="66" t="s">
        <v>89</v>
      </c>
      <c r="G204" s="201"/>
      <c r="H204" s="61"/>
      <c r="I204" s="62"/>
      <c r="J204" s="62"/>
      <c r="K204" s="62"/>
      <c r="L204" s="62"/>
      <c r="M204" s="62"/>
      <c r="N204" s="62"/>
      <c r="O204" s="63"/>
      <c r="P204" s="62"/>
      <c r="Q204" s="64"/>
      <c r="R204" s="65"/>
    </row>
    <row r="205" spans="1:18" ht="15" customHeight="1" x14ac:dyDescent="0.3">
      <c r="A205" s="66" t="s">
        <v>79</v>
      </c>
      <c r="B205" s="66" t="s">
        <v>94</v>
      </c>
      <c r="C205" s="67">
        <v>0.3923611111111111</v>
      </c>
      <c r="D205" s="66" t="s">
        <v>88</v>
      </c>
      <c r="E205" s="66" t="s">
        <v>85</v>
      </c>
      <c r="F205" s="66" t="s">
        <v>98</v>
      </c>
      <c r="G205" s="201"/>
      <c r="H205" s="61"/>
      <c r="I205" s="62"/>
      <c r="J205" s="62"/>
      <c r="K205" s="62"/>
      <c r="L205" s="62"/>
      <c r="M205" s="62"/>
      <c r="N205" s="62"/>
      <c r="O205" s="63"/>
      <c r="P205" s="62"/>
      <c r="Q205" s="64"/>
      <c r="R205" s="65"/>
    </row>
    <row r="206" spans="1:18" ht="15" customHeight="1" x14ac:dyDescent="0.3">
      <c r="A206" s="68" t="s">
        <v>79</v>
      </c>
      <c r="B206" s="68" t="s">
        <v>100</v>
      </c>
      <c r="C206" s="69">
        <v>0.83680555555555547</v>
      </c>
      <c r="D206" s="68" t="s">
        <v>84</v>
      </c>
      <c r="E206" s="68" t="s">
        <v>70</v>
      </c>
      <c r="F206" s="68" t="s">
        <v>89</v>
      </c>
      <c r="G206" s="201"/>
      <c r="H206" s="61"/>
      <c r="I206" s="62"/>
      <c r="J206" s="62"/>
      <c r="K206" s="62"/>
      <c r="L206" s="62"/>
      <c r="M206" s="62"/>
      <c r="N206" s="62"/>
      <c r="O206" s="63"/>
      <c r="P206" s="62"/>
      <c r="Q206" s="64"/>
      <c r="R206" s="65"/>
    </row>
    <row r="207" spans="1:18" ht="15" customHeight="1" x14ac:dyDescent="0.3">
      <c r="A207" s="66" t="s">
        <v>79</v>
      </c>
      <c r="B207" s="66" t="s">
        <v>100</v>
      </c>
      <c r="C207" s="67">
        <v>0.83680555555555547</v>
      </c>
      <c r="D207" s="66" t="s">
        <v>86</v>
      </c>
      <c r="E207" s="66" t="s">
        <v>71</v>
      </c>
      <c r="F207" s="66" t="s">
        <v>183</v>
      </c>
      <c r="G207" s="201"/>
      <c r="H207" s="61"/>
      <c r="I207" s="62"/>
      <c r="J207" s="62"/>
      <c r="K207" s="62"/>
      <c r="L207" s="62"/>
      <c r="M207" s="62"/>
      <c r="N207" s="62"/>
      <c r="O207" s="63"/>
      <c r="P207" s="62"/>
      <c r="Q207" s="64"/>
      <c r="R207" s="65"/>
    </row>
    <row r="208" spans="1:18" ht="15" customHeight="1" x14ac:dyDescent="0.3">
      <c r="A208" s="66" t="s">
        <v>79</v>
      </c>
      <c r="B208" s="66" t="s">
        <v>100</v>
      </c>
      <c r="C208" s="67">
        <v>0.83680555555555547</v>
      </c>
      <c r="D208" s="66" t="s">
        <v>88</v>
      </c>
      <c r="E208" s="66" t="s">
        <v>71</v>
      </c>
      <c r="F208" s="66" t="s">
        <v>184</v>
      </c>
      <c r="G208" s="201"/>
      <c r="H208" s="61"/>
      <c r="I208" s="62"/>
      <c r="J208" s="62"/>
      <c r="K208" s="62"/>
      <c r="L208" s="62"/>
      <c r="M208" s="62"/>
      <c r="N208" s="62"/>
      <c r="O208" s="63"/>
      <c r="P208" s="62"/>
      <c r="Q208" s="64"/>
      <c r="R208" s="65"/>
    </row>
    <row r="209" spans="1:18" ht="15" customHeight="1" x14ac:dyDescent="0.3">
      <c r="A209" s="68" t="s">
        <v>79</v>
      </c>
      <c r="B209" s="68" t="s">
        <v>90</v>
      </c>
      <c r="C209" s="69">
        <v>0.94444444444444453</v>
      </c>
      <c r="D209" s="68" t="s">
        <v>84</v>
      </c>
      <c r="E209" s="68" t="s">
        <v>70</v>
      </c>
      <c r="F209" s="68" t="s">
        <v>89</v>
      </c>
      <c r="G209" s="201"/>
      <c r="H209" s="61"/>
      <c r="I209" s="62"/>
      <c r="J209" s="62"/>
      <c r="K209" s="62"/>
      <c r="L209" s="62"/>
      <c r="M209" s="62"/>
      <c r="N209" s="62"/>
      <c r="O209" s="63"/>
      <c r="P209" s="62"/>
      <c r="Q209" s="64"/>
      <c r="R209" s="65"/>
    </row>
    <row r="210" spans="1:18" ht="15" customHeight="1" x14ac:dyDescent="0.3">
      <c r="A210" s="66" t="s">
        <v>79</v>
      </c>
      <c r="B210" s="66" t="s">
        <v>90</v>
      </c>
      <c r="C210" s="67">
        <v>0.94444444444444453</v>
      </c>
      <c r="D210" s="66" t="s">
        <v>86</v>
      </c>
      <c r="E210" s="66" t="s">
        <v>71</v>
      </c>
      <c r="F210" s="66" t="s">
        <v>183</v>
      </c>
      <c r="G210" s="201"/>
      <c r="H210" s="61"/>
      <c r="I210" s="62"/>
      <c r="J210" s="62"/>
      <c r="K210" s="62"/>
      <c r="L210" s="62"/>
      <c r="M210" s="62"/>
      <c r="N210" s="62"/>
      <c r="O210" s="63"/>
      <c r="P210" s="62"/>
      <c r="Q210" s="64"/>
      <c r="R210" s="65"/>
    </row>
    <row r="211" spans="1:18" ht="15" customHeight="1" x14ac:dyDescent="0.3">
      <c r="A211" s="66" t="s">
        <v>79</v>
      </c>
      <c r="B211" s="66" t="s">
        <v>90</v>
      </c>
      <c r="C211" s="67">
        <v>0.94444444444444453</v>
      </c>
      <c r="D211" s="66" t="s">
        <v>88</v>
      </c>
      <c r="E211" s="66" t="s">
        <v>71</v>
      </c>
      <c r="F211" s="66" t="s">
        <v>184</v>
      </c>
      <c r="G211" s="201"/>
      <c r="H211" s="61"/>
      <c r="I211" s="62"/>
      <c r="J211" s="62"/>
      <c r="K211" s="62"/>
      <c r="L211" s="62"/>
      <c r="M211" s="62"/>
      <c r="N211" s="62"/>
      <c r="O211" s="63"/>
      <c r="P211" s="62"/>
      <c r="Q211" s="64"/>
      <c r="R211" s="65"/>
    </row>
    <row r="212" spans="1:18" ht="15" customHeight="1" x14ac:dyDescent="0.3">
      <c r="A212" s="68" t="s">
        <v>79</v>
      </c>
      <c r="B212" s="68" t="s">
        <v>101</v>
      </c>
      <c r="C212" s="69">
        <v>0.88888888888888884</v>
      </c>
      <c r="D212" s="68" t="s">
        <v>84</v>
      </c>
      <c r="E212" s="68" t="s">
        <v>120</v>
      </c>
      <c r="F212" s="68" t="s">
        <v>89</v>
      </c>
      <c r="G212" s="201"/>
      <c r="H212" s="61"/>
      <c r="I212" s="62"/>
      <c r="J212" s="62"/>
      <c r="K212" s="62"/>
      <c r="L212" s="62"/>
      <c r="M212" s="62"/>
      <c r="N212" s="62"/>
      <c r="O212" s="63"/>
      <c r="P212" s="62"/>
      <c r="Q212" s="64"/>
      <c r="R212" s="65"/>
    </row>
    <row r="213" spans="1:18" ht="15" customHeight="1" x14ac:dyDescent="0.3">
      <c r="A213" s="66" t="s">
        <v>79</v>
      </c>
      <c r="B213" s="66" t="s">
        <v>101</v>
      </c>
      <c r="C213" s="67">
        <v>0.88888888888888884</v>
      </c>
      <c r="D213" s="66" t="s">
        <v>86</v>
      </c>
      <c r="E213" s="66" t="s">
        <v>136</v>
      </c>
      <c r="F213" s="66" t="s">
        <v>183</v>
      </c>
      <c r="G213" s="201"/>
      <c r="H213" s="61"/>
      <c r="I213" s="62"/>
      <c r="J213" s="62"/>
      <c r="K213" s="62"/>
      <c r="L213" s="62"/>
      <c r="M213" s="62"/>
      <c r="N213" s="62"/>
      <c r="O213" s="63"/>
      <c r="P213" s="62"/>
      <c r="Q213" s="64"/>
      <c r="R213" s="65"/>
    </row>
    <row r="214" spans="1:18" ht="15" customHeight="1" x14ac:dyDescent="0.3">
      <c r="A214" s="66" t="s">
        <v>79</v>
      </c>
      <c r="B214" s="66" t="s">
        <v>101</v>
      </c>
      <c r="C214" s="67">
        <v>0.88888888888888884</v>
      </c>
      <c r="D214" s="66" t="s">
        <v>88</v>
      </c>
      <c r="E214" s="66" t="s">
        <v>136</v>
      </c>
      <c r="F214" s="66" t="s">
        <v>184</v>
      </c>
      <c r="G214" s="201"/>
      <c r="H214" s="61"/>
      <c r="I214" s="62"/>
      <c r="J214" s="62"/>
      <c r="K214" s="62"/>
      <c r="L214" s="62"/>
      <c r="M214" s="62"/>
      <c r="N214" s="62"/>
      <c r="O214" s="63"/>
      <c r="P214" s="62"/>
      <c r="Q214" s="64"/>
      <c r="R214" s="65"/>
    </row>
    <row r="215" spans="1:18" ht="15" customHeight="1" x14ac:dyDescent="0.3">
      <c r="A215" s="68" t="s">
        <v>79</v>
      </c>
      <c r="B215" s="68" t="s">
        <v>99</v>
      </c>
      <c r="C215" s="69">
        <v>0.75</v>
      </c>
      <c r="D215" s="68" t="s">
        <v>84</v>
      </c>
      <c r="E215" s="68" t="s">
        <v>91</v>
      </c>
      <c r="F215" s="68" t="s">
        <v>185</v>
      </c>
      <c r="G215" s="201"/>
      <c r="H215" s="61"/>
      <c r="I215" s="62"/>
      <c r="J215" s="62"/>
      <c r="K215" s="62"/>
      <c r="L215" s="62"/>
      <c r="M215" s="62"/>
      <c r="N215" s="62"/>
      <c r="O215" s="63"/>
      <c r="P215" s="62"/>
      <c r="Q215" s="64"/>
      <c r="R215" s="65"/>
    </row>
    <row r="216" spans="1:18" ht="15" customHeight="1" x14ac:dyDescent="0.3">
      <c r="A216" s="66" t="s">
        <v>79</v>
      </c>
      <c r="B216" s="66" t="s">
        <v>99</v>
      </c>
      <c r="C216" s="67">
        <v>0.75</v>
      </c>
      <c r="D216" s="66" t="s">
        <v>86</v>
      </c>
      <c r="E216" s="66" t="s">
        <v>92</v>
      </c>
      <c r="F216" s="66" t="s">
        <v>65</v>
      </c>
      <c r="G216" s="201"/>
      <c r="H216" s="61"/>
      <c r="I216" s="62"/>
      <c r="J216" s="62"/>
      <c r="K216" s="62"/>
      <c r="L216" s="62"/>
      <c r="M216" s="62"/>
      <c r="N216" s="62"/>
      <c r="O216" s="63"/>
      <c r="P216" s="62"/>
      <c r="Q216" s="64"/>
      <c r="R216" s="65"/>
    </row>
    <row r="217" spans="1:18" ht="15" customHeight="1" x14ac:dyDescent="0.3">
      <c r="A217" s="66" t="s">
        <v>79</v>
      </c>
      <c r="B217" s="66" t="s">
        <v>99</v>
      </c>
      <c r="C217" s="67">
        <v>0.75</v>
      </c>
      <c r="D217" s="66" t="s">
        <v>88</v>
      </c>
      <c r="E217" s="66" t="s">
        <v>92</v>
      </c>
      <c r="F217" s="66" t="s">
        <v>186</v>
      </c>
      <c r="G217" s="201"/>
      <c r="H217" s="61"/>
      <c r="I217" s="62"/>
      <c r="J217" s="62"/>
      <c r="K217" s="62"/>
      <c r="L217" s="62"/>
      <c r="M217" s="62"/>
      <c r="N217" s="62"/>
      <c r="O217" s="63"/>
      <c r="P217" s="62"/>
      <c r="Q217" s="64"/>
      <c r="R217" s="65"/>
    </row>
    <row r="218" spans="1:18" ht="15" customHeight="1" x14ac:dyDescent="0.3">
      <c r="A218" s="59" t="s">
        <v>102</v>
      </c>
      <c r="B218" s="59" t="s">
        <v>106</v>
      </c>
      <c r="C218" s="60">
        <v>0.4201388888888889</v>
      </c>
      <c r="D218" s="59" t="s">
        <v>28</v>
      </c>
      <c r="E218" s="59" t="s">
        <v>104</v>
      </c>
      <c r="F218" s="59" t="s">
        <v>107</v>
      </c>
      <c r="G218" s="201"/>
      <c r="H218" s="61"/>
      <c r="I218" s="62"/>
      <c r="J218" s="62"/>
      <c r="K218" s="62"/>
      <c r="L218" s="62"/>
      <c r="M218" s="62"/>
      <c r="N218" s="62"/>
      <c r="O218" s="63"/>
      <c r="P218" s="62"/>
      <c r="Q218" s="64"/>
      <c r="R218" s="65"/>
    </row>
    <row r="219" spans="1:18" ht="15" customHeight="1" x14ac:dyDescent="0.3">
      <c r="A219" s="68" t="s">
        <v>102</v>
      </c>
      <c r="B219" s="68" t="s">
        <v>103</v>
      </c>
      <c r="C219" s="69">
        <v>0.11805555555555559</v>
      </c>
      <c r="D219" s="68" t="s">
        <v>28</v>
      </c>
      <c r="E219" s="68" t="s">
        <v>95</v>
      </c>
      <c r="F219" s="68" t="s">
        <v>187</v>
      </c>
      <c r="G219" s="201"/>
      <c r="H219" s="61"/>
      <c r="I219" s="62"/>
      <c r="J219" s="62"/>
      <c r="K219" s="62"/>
      <c r="L219" s="62"/>
      <c r="M219" s="62"/>
      <c r="N219" s="62"/>
      <c r="O219" s="63"/>
      <c r="P219" s="62"/>
      <c r="Q219" s="64"/>
      <c r="R219" s="65"/>
    </row>
    <row r="220" spans="1:18" ht="15" customHeight="1" x14ac:dyDescent="0.3">
      <c r="A220" s="59" t="s">
        <v>115</v>
      </c>
      <c r="B220" s="59" t="s">
        <v>121</v>
      </c>
      <c r="C220" s="60">
        <v>0.82986111111111116</v>
      </c>
      <c r="D220" s="59" t="s">
        <v>117</v>
      </c>
      <c r="E220" s="59" t="s">
        <v>74</v>
      </c>
      <c r="F220" s="59" t="s">
        <v>123</v>
      </c>
      <c r="G220" s="201"/>
      <c r="H220" s="61"/>
      <c r="I220" s="62"/>
      <c r="J220" s="62"/>
      <c r="K220" s="62"/>
      <c r="L220" s="62"/>
      <c r="M220" s="62"/>
      <c r="N220" s="62"/>
      <c r="O220" s="63"/>
      <c r="P220" s="62"/>
      <c r="Q220" s="64"/>
      <c r="R220" s="65"/>
    </row>
    <row r="221" spans="1:18" ht="15" customHeight="1" x14ac:dyDescent="0.3">
      <c r="A221" s="68" t="s">
        <v>115</v>
      </c>
      <c r="B221" s="68" t="s">
        <v>137</v>
      </c>
      <c r="C221" s="69">
        <v>0.72222222222222221</v>
      </c>
      <c r="D221" s="68" t="s">
        <v>117</v>
      </c>
      <c r="E221" s="68" t="s">
        <v>77</v>
      </c>
      <c r="F221" s="68" t="s">
        <v>123</v>
      </c>
      <c r="G221" s="201"/>
      <c r="H221" s="61"/>
      <c r="I221" s="62"/>
      <c r="J221" s="62"/>
      <c r="K221" s="62"/>
      <c r="L221" s="62"/>
      <c r="M221" s="62"/>
      <c r="N221" s="62"/>
      <c r="O221" s="63"/>
      <c r="P221" s="62"/>
      <c r="Q221" s="64"/>
      <c r="R221" s="65"/>
    </row>
    <row r="222" spans="1:18" ht="15" customHeight="1" x14ac:dyDescent="0.3">
      <c r="A222" s="68" t="s">
        <v>115</v>
      </c>
      <c r="B222" s="68" t="s">
        <v>131</v>
      </c>
      <c r="C222" s="69">
        <v>0.11805555555555559</v>
      </c>
      <c r="D222" s="68" t="s">
        <v>117</v>
      </c>
      <c r="E222" s="68" t="s">
        <v>77</v>
      </c>
      <c r="F222" s="68" t="s">
        <v>123</v>
      </c>
      <c r="G222" s="201"/>
      <c r="H222" s="61"/>
      <c r="I222" s="62"/>
      <c r="J222" s="62"/>
      <c r="K222" s="62"/>
      <c r="L222" s="62"/>
      <c r="M222" s="62"/>
      <c r="N222" s="62"/>
      <c r="O222" s="63"/>
      <c r="P222" s="62"/>
      <c r="Q222" s="64"/>
      <c r="R222" s="65"/>
    </row>
    <row r="223" spans="1:18" ht="15" customHeight="1" x14ac:dyDescent="0.3">
      <c r="A223" s="68" t="s">
        <v>115</v>
      </c>
      <c r="B223" s="68" t="s">
        <v>139</v>
      </c>
      <c r="C223" s="69">
        <v>0.70486111111111116</v>
      </c>
      <c r="D223" s="68" t="s">
        <v>117</v>
      </c>
      <c r="E223" s="68" t="s">
        <v>77</v>
      </c>
      <c r="F223" s="68" t="s">
        <v>123</v>
      </c>
      <c r="G223" s="201"/>
      <c r="H223" s="61"/>
      <c r="I223" s="62"/>
      <c r="J223" s="62"/>
      <c r="K223" s="62"/>
      <c r="L223" s="62"/>
      <c r="M223" s="62"/>
      <c r="N223" s="62"/>
      <c r="O223" s="63"/>
      <c r="P223" s="62"/>
      <c r="Q223" s="64"/>
      <c r="R223" s="65"/>
    </row>
    <row r="224" spans="1:18" ht="15" customHeight="1" x14ac:dyDescent="0.3">
      <c r="A224" s="68" t="s">
        <v>115</v>
      </c>
      <c r="B224" s="68" t="s">
        <v>133</v>
      </c>
      <c r="C224" s="69">
        <v>0.25347222222222221</v>
      </c>
      <c r="D224" s="68" t="s">
        <v>117</v>
      </c>
      <c r="E224" s="68" t="s">
        <v>77</v>
      </c>
      <c r="F224" s="68" t="s">
        <v>123</v>
      </c>
      <c r="G224" s="201"/>
      <c r="H224" s="61"/>
      <c r="I224" s="62"/>
      <c r="J224" s="62"/>
      <c r="K224" s="62"/>
      <c r="L224" s="62"/>
      <c r="M224" s="62"/>
      <c r="N224" s="62"/>
      <c r="O224" s="63"/>
      <c r="P224" s="62"/>
      <c r="Q224" s="64"/>
      <c r="R224" s="65"/>
    </row>
    <row r="225" spans="1:18" ht="15" customHeight="1" x14ac:dyDescent="0.3">
      <c r="A225" s="68" t="s">
        <v>115</v>
      </c>
      <c r="B225" s="68" t="s">
        <v>125</v>
      </c>
      <c r="C225" s="69">
        <v>0.98958333333333337</v>
      </c>
      <c r="D225" s="68" t="s">
        <v>117</v>
      </c>
      <c r="E225" s="68" t="s">
        <v>63</v>
      </c>
      <c r="F225" s="68" t="s">
        <v>126</v>
      </c>
      <c r="G225" s="201"/>
      <c r="H225" s="61"/>
      <c r="I225" s="62"/>
      <c r="J225" s="62"/>
      <c r="K225" s="62"/>
      <c r="L225" s="62"/>
      <c r="M225" s="62"/>
      <c r="N225" s="62"/>
      <c r="O225" s="63"/>
      <c r="P225" s="62"/>
      <c r="Q225" s="64"/>
      <c r="R225" s="65"/>
    </row>
    <row r="226" spans="1:18" ht="15" customHeight="1" x14ac:dyDescent="0.3">
      <c r="A226" s="68" t="s">
        <v>115</v>
      </c>
      <c r="B226" s="68" t="s">
        <v>127</v>
      </c>
      <c r="C226" s="69">
        <v>0.39930555555555558</v>
      </c>
      <c r="D226" s="68" t="s">
        <v>117</v>
      </c>
      <c r="E226" s="68" t="s">
        <v>63</v>
      </c>
      <c r="F226" s="68" t="s">
        <v>126</v>
      </c>
      <c r="G226" s="201"/>
      <c r="H226" s="61"/>
      <c r="I226" s="62"/>
      <c r="J226" s="62"/>
      <c r="K226" s="62"/>
      <c r="L226" s="62"/>
      <c r="M226" s="62"/>
      <c r="N226" s="62"/>
      <c r="O226" s="63"/>
      <c r="P226" s="62"/>
      <c r="Q226" s="64"/>
      <c r="R226" s="65"/>
    </row>
    <row r="227" spans="1:18" ht="15" customHeight="1" x14ac:dyDescent="0.3">
      <c r="A227" s="68" t="s">
        <v>115</v>
      </c>
      <c r="B227" s="68" t="s">
        <v>128</v>
      </c>
      <c r="C227" s="69">
        <v>0.48958333333333331</v>
      </c>
      <c r="D227" s="68" t="s">
        <v>117</v>
      </c>
      <c r="E227" s="68" t="s">
        <v>63</v>
      </c>
      <c r="F227" s="68" t="s">
        <v>126</v>
      </c>
      <c r="G227" s="201"/>
      <c r="H227" s="61"/>
      <c r="I227" s="62"/>
      <c r="J227" s="62"/>
      <c r="K227" s="62"/>
      <c r="L227" s="62"/>
      <c r="M227" s="62"/>
      <c r="N227" s="62"/>
      <c r="O227" s="63"/>
      <c r="P227" s="62"/>
      <c r="Q227" s="64"/>
      <c r="R227" s="65"/>
    </row>
    <row r="228" spans="1:18" ht="15" customHeight="1" x14ac:dyDescent="0.3">
      <c r="A228" s="68" t="s">
        <v>115</v>
      </c>
      <c r="B228" s="68" t="s">
        <v>130</v>
      </c>
      <c r="C228" s="69">
        <v>0.88888888888888884</v>
      </c>
      <c r="D228" s="68" t="s">
        <v>117</v>
      </c>
      <c r="E228" s="68" t="s">
        <v>63</v>
      </c>
      <c r="F228" s="68" t="s">
        <v>129</v>
      </c>
      <c r="G228" s="201"/>
      <c r="H228" s="61"/>
      <c r="I228" s="62"/>
      <c r="J228" s="62"/>
      <c r="K228" s="62"/>
      <c r="L228" s="62"/>
      <c r="M228" s="62"/>
      <c r="N228" s="62"/>
      <c r="O228" s="63"/>
      <c r="P228" s="62"/>
      <c r="Q228" s="64"/>
      <c r="R228" s="65"/>
    </row>
    <row r="229" spans="1:18" ht="15" customHeight="1" x14ac:dyDescent="0.3">
      <c r="A229" s="68" t="s">
        <v>115</v>
      </c>
      <c r="B229" s="68" t="s">
        <v>116</v>
      </c>
      <c r="C229" s="69">
        <v>0.48958333333333331</v>
      </c>
      <c r="D229" s="68" t="s">
        <v>117</v>
      </c>
      <c r="E229" s="68" t="s">
        <v>77</v>
      </c>
      <c r="F229" s="68" t="s">
        <v>132</v>
      </c>
      <c r="G229" s="201"/>
      <c r="H229" s="61"/>
      <c r="I229" s="62"/>
      <c r="J229" s="62"/>
      <c r="K229" s="62"/>
      <c r="L229" s="62"/>
      <c r="M229" s="62"/>
      <c r="N229" s="62"/>
      <c r="O229" s="63"/>
      <c r="P229" s="62"/>
      <c r="Q229" s="64"/>
      <c r="R229" s="65"/>
    </row>
    <row r="230" spans="1:18" ht="15" customHeight="1" x14ac:dyDescent="0.3">
      <c r="A230" s="68" t="s">
        <v>115</v>
      </c>
      <c r="B230" s="68" t="s">
        <v>119</v>
      </c>
      <c r="C230" s="69">
        <v>4.1666666666666657E-2</v>
      </c>
      <c r="D230" s="68" t="s">
        <v>117</v>
      </c>
      <c r="E230" s="68" t="s">
        <v>77</v>
      </c>
      <c r="F230" s="68" t="s">
        <v>132</v>
      </c>
      <c r="G230" s="201"/>
      <c r="H230" s="61"/>
      <c r="I230" s="62"/>
      <c r="J230" s="62"/>
      <c r="K230" s="62"/>
      <c r="L230" s="62"/>
      <c r="M230" s="62"/>
      <c r="N230" s="62"/>
      <c r="O230" s="63"/>
      <c r="P230" s="62"/>
      <c r="Q230" s="64"/>
      <c r="R230" s="65"/>
    </row>
    <row r="231" spans="1:18" ht="15" customHeight="1" x14ac:dyDescent="0.3">
      <c r="A231" s="68" t="s">
        <v>115</v>
      </c>
      <c r="B231" s="68" t="s">
        <v>135</v>
      </c>
      <c r="C231" s="69">
        <v>0.94097222222222221</v>
      </c>
      <c r="D231" s="68" t="s">
        <v>117</v>
      </c>
      <c r="E231" s="68" t="s">
        <v>77</v>
      </c>
      <c r="F231" s="68" t="s">
        <v>138</v>
      </c>
      <c r="G231" s="201"/>
      <c r="H231" s="61"/>
      <c r="I231" s="62"/>
      <c r="J231" s="62"/>
      <c r="K231" s="62"/>
      <c r="L231" s="62"/>
      <c r="M231" s="62"/>
      <c r="N231" s="62"/>
      <c r="O231" s="63"/>
      <c r="P231" s="62"/>
      <c r="Q231" s="64"/>
      <c r="R231" s="65"/>
    </row>
    <row r="232" spans="1:18" ht="15" customHeight="1" x14ac:dyDescent="0.3">
      <c r="A232" s="59" t="s">
        <v>140</v>
      </c>
      <c r="B232" s="59" t="s">
        <v>143</v>
      </c>
      <c r="C232" s="60">
        <v>0.83680555555555547</v>
      </c>
      <c r="D232" s="59" t="s">
        <v>122</v>
      </c>
      <c r="E232" s="59" t="s">
        <v>162</v>
      </c>
      <c r="F232" s="59" t="s">
        <v>144</v>
      </c>
      <c r="G232" s="201"/>
      <c r="H232" s="61"/>
      <c r="I232" s="62"/>
      <c r="J232" s="62"/>
      <c r="K232" s="62"/>
      <c r="L232" s="62"/>
      <c r="M232" s="62"/>
      <c r="N232" s="62"/>
      <c r="O232" s="63"/>
      <c r="P232" s="62"/>
      <c r="Q232" s="64"/>
      <c r="R232" s="65"/>
    </row>
    <row r="233" spans="1:18" ht="15" customHeight="1" x14ac:dyDescent="0.3">
      <c r="A233" s="68" t="s">
        <v>140</v>
      </c>
      <c r="B233" s="68" t="s">
        <v>188</v>
      </c>
      <c r="C233" s="69">
        <v>0.3125</v>
      </c>
      <c r="D233" s="68" t="s">
        <v>122</v>
      </c>
      <c r="E233" s="68" t="s">
        <v>67</v>
      </c>
      <c r="F233" s="68" t="s">
        <v>144</v>
      </c>
      <c r="G233" s="201"/>
      <c r="H233" s="61"/>
      <c r="I233" s="62"/>
      <c r="J233" s="62"/>
      <c r="K233" s="62"/>
      <c r="L233" s="62"/>
      <c r="M233" s="62"/>
      <c r="N233" s="62"/>
      <c r="O233" s="63"/>
      <c r="P233" s="62"/>
      <c r="Q233" s="64"/>
      <c r="R233" s="65"/>
    </row>
    <row r="234" spans="1:18" ht="15" customHeight="1" x14ac:dyDescent="0.3">
      <c r="A234" s="68" t="s">
        <v>140</v>
      </c>
      <c r="B234" s="68" t="s">
        <v>189</v>
      </c>
      <c r="C234" s="69">
        <v>0.34027777777777768</v>
      </c>
      <c r="D234" s="68" t="s">
        <v>122</v>
      </c>
      <c r="E234" s="68" t="s">
        <v>35</v>
      </c>
      <c r="F234" s="68" t="s">
        <v>144</v>
      </c>
      <c r="G234" s="201"/>
      <c r="H234" s="61"/>
      <c r="I234" s="62"/>
      <c r="J234" s="62"/>
      <c r="K234" s="62"/>
      <c r="L234" s="62"/>
      <c r="M234" s="62"/>
      <c r="N234" s="62"/>
      <c r="O234" s="63"/>
      <c r="P234" s="62"/>
      <c r="Q234" s="64"/>
      <c r="R234" s="65"/>
    </row>
    <row r="235" spans="1:18" ht="15" customHeight="1" thickBot="1" x14ac:dyDescent="0.35">
      <c r="A235" s="70" t="s">
        <v>140</v>
      </c>
      <c r="B235" s="70" t="s">
        <v>146</v>
      </c>
      <c r="C235" s="71">
        <v>4.8611111111111112E-2</v>
      </c>
      <c r="D235" s="70" t="s">
        <v>122</v>
      </c>
      <c r="E235" s="70" t="s">
        <v>120</v>
      </c>
      <c r="F235" s="70" t="s">
        <v>144</v>
      </c>
      <c r="G235" s="202"/>
      <c r="H235" s="72"/>
      <c r="I235" s="73"/>
      <c r="J235" s="73"/>
      <c r="K235" s="73"/>
      <c r="L235" s="73"/>
      <c r="M235" s="73"/>
      <c r="N235" s="73"/>
      <c r="O235" s="74"/>
      <c r="P235" s="73"/>
      <c r="Q235" s="75"/>
      <c r="R235" s="76"/>
    </row>
    <row r="236" spans="1:18" ht="17.399999999999999" customHeight="1" thickBot="1" x14ac:dyDescent="0.35">
      <c r="A236" s="235"/>
      <c r="B236" s="236"/>
      <c r="C236" s="236"/>
      <c r="D236" s="236"/>
      <c r="E236" s="236"/>
      <c r="F236" s="236"/>
      <c r="G236" s="236"/>
      <c r="H236" s="236"/>
      <c r="I236" s="236"/>
      <c r="J236" s="236"/>
      <c r="K236" s="236"/>
      <c r="L236" s="236"/>
      <c r="M236" s="236"/>
      <c r="N236" s="236"/>
      <c r="O236" s="236"/>
      <c r="P236" s="236"/>
      <c r="Q236" s="236"/>
      <c r="R236" s="237"/>
    </row>
    <row r="237" spans="1:18" ht="22.05" customHeight="1" thickTop="1" thickBot="1" x14ac:dyDescent="0.35">
      <c r="A237" s="203" t="s">
        <v>6</v>
      </c>
      <c r="B237" s="204"/>
      <c r="C237" s="204"/>
      <c r="D237" s="204"/>
      <c r="E237" s="204"/>
      <c r="F237" s="205"/>
      <c r="G237" s="77">
        <v>45989</v>
      </c>
      <c r="H237" s="212" t="s">
        <v>7</v>
      </c>
      <c r="I237" s="204"/>
      <c r="J237" s="204"/>
      <c r="K237" s="204"/>
      <c r="L237" s="204"/>
      <c r="M237" s="204"/>
      <c r="N237" s="204"/>
      <c r="O237" s="204"/>
      <c r="P237" s="204"/>
      <c r="Q237" s="204"/>
      <c r="R237" s="205"/>
    </row>
    <row r="238" spans="1:18" ht="24" customHeight="1" x14ac:dyDescent="0.3">
      <c r="A238" s="78" t="s">
        <v>8</v>
      </c>
      <c r="B238" s="78" t="s">
        <v>9</v>
      </c>
      <c r="C238" s="79" t="s">
        <v>10</v>
      </c>
      <c r="D238" s="78" t="s">
        <v>11</v>
      </c>
      <c r="E238" s="78" t="s">
        <v>12</v>
      </c>
      <c r="F238" s="80" t="s">
        <v>13</v>
      </c>
      <c r="G238" s="81" t="s">
        <v>14</v>
      </c>
      <c r="H238" s="78" t="s">
        <v>15</v>
      </c>
      <c r="I238" s="82" t="s">
        <v>16</v>
      </c>
      <c r="J238" s="83" t="s">
        <v>17</v>
      </c>
      <c r="K238" s="84" t="s">
        <v>18</v>
      </c>
      <c r="L238" s="83" t="s">
        <v>19</v>
      </c>
      <c r="M238" s="83" t="s">
        <v>20</v>
      </c>
      <c r="N238" s="83" t="s">
        <v>21</v>
      </c>
      <c r="O238" s="78" t="s">
        <v>22</v>
      </c>
      <c r="P238" s="79" t="s">
        <v>23</v>
      </c>
      <c r="Q238" s="83" t="s">
        <v>24</v>
      </c>
      <c r="R238" s="78" t="s">
        <v>25</v>
      </c>
    </row>
    <row r="239" spans="1:18" ht="15" customHeight="1" x14ac:dyDescent="0.3">
      <c r="A239" s="120" t="s">
        <v>108</v>
      </c>
      <c r="B239" s="120" t="s">
        <v>155</v>
      </c>
      <c r="C239" s="121">
        <v>0.22569444444444439</v>
      </c>
      <c r="D239" s="120" t="s">
        <v>110</v>
      </c>
      <c r="E239" s="120" t="s">
        <v>156</v>
      </c>
      <c r="F239" s="120" t="s">
        <v>190</v>
      </c>
      <c r="G239" s="215"/>
      <c r="H239" s="61"/>
      <c r="I239" s="62"/>
      <c r="J239" s="62"/>
      <c r="K239" s="62"/>
      <c r="L239" s="62"/>
      <c r="M239" s="62"/>
      <c r="N239" s="62"/>
      <c r="O239" s="63"/>
      <c r="P239" s="62"/>
      <c r="Q239" s="64"/>
      <c r="R239" s="65"/>
    </row>
    <row r="240" spans="1:18" ht="15" customHeight="1" x14ac:dyDescent="0.3">
      <c r="A240" s="66" t="s">
        <v>108</v>
      </c>
      <c r="B240" s="66" t="s">
        <v>155</v>
      </c>
      <c r="C240" s="67">
        <v>0.22569444444444439</v>
      </c>
      <c r="D240" s="66" t="s">
        <v>113</v>
      </c>
      <c r="E240" s="66" t="s">
        <v>71</v>
      </c>
      <c r="F240" s="66" t="s">
        <v>191</v>
      </c>
      <c r="G240" s="201"/>
      <c r="H240" s="61"/>
      <c r="I240" s="62"/>
      <c r="J240" s="62"/>
      <c r="K240" s="62"/>
      <c r="L240" s="62"/>
      <c r="M240" s="62"/>
      <c r="N240" s="62"/>
      <c r="O240" s="63"/>
      <c r="P240" s="62"/>
      <c r="Q240" s="64"/>
      <c r="R240" s="65"/>
    </row>
    <row r="241" spans="1:18" ht="15" customHeight="1" x14ac:dyDescent="0.3">
      <c r="A241" s="66" t="s">
        <v>108</v>
      </c>
      <c r="B241" s="66" t="s">
        <v>155</v>
      </c>
      <c r="C241" s="67">
        <v>0.22569444444444439</v>
      </c>
      <c r="D241" s="66" t="s">
        <v>60</v>
      </c>
      <c r="E241" s="66" t="s">
        <v>71</v>
      </c>
      <c r="F241" s="66" t="s">
        <v>192</v>
      </c>
      <c r="G241" s="201"/>
      <c r="H241" s="61"/>
      <c r="I241" s="62"/>
      <c r="J241" s="62"/>
      <c r="K241" s="62"/>
      <c r="L241" s="62"/>
      <c r="M241" s="62"/>
      <c r="N241" s="62"/>
      <c r="O241" s="63"/>
      <c r="P241" s="62"/>
      <c r="Q241" s="64"/>
      <c r="R241" s="65"/>
    </row>
    <row r="242" spans="1:18" ht="15" customHeight="1" x14ac:dyDescent="0.3">
      <c r="A242" s="68" t="s">
        <v>108</v>
      </c>
      <c r="B242" s="68" t="s">
        <v>193</v>
      </c>
      <c r="C242" s="69">
        <v>0.80902777777777779</v>
      </c>
      <c r="D242" s="68" t="s">
        <v>110</v>
      </c>
      <c r="E242" s="68" t="s">
        <v>70</v>
      </c>
      <c r="F242" s="68" t="s">
        <v>194</v>
      </c>
      <c r="G242" s="201"/>
      <c r="H242" s="61"/>
      <c r="I242" s="62"/>
      <c r="J242" s="62"/>
      <c r="K242" s="62"/>
      <c r="L242" s="62"/>
      <c r="M242" s="62"/>
      <c r="N242" s="62"/>
      <c r="O242" s="63"/>
      <c r="P242" s="62"/>
      <c r="Q242" s="64"/>
      <c r="R242" s="65"/>
    </row>
    <row r="243" spans="1:18" ht="15" customHeight="1" x14ac:dyDescent="0.3">
      <c r="A243" s="66" t="s">
        <v>108</v>
      </c>
      <c r="B243" s="66" t="s">
        <v>193</v>
      </c>
      <c r="C243" s="67">
        <v>0.80902777777777779</v>
      </c>
      <c r="D243" s="66" t="s">
        <v>113</v>
      </c>
      <c r="E243" s="66" t="s">
        <v>71</v>
      </c>
      <c r="F243" s="66" t="s">
        <v>194</v>
      </c>
      <c r="G243" s="201"/>
      <c r="H243" s="61"/>
      <c r="I243" s="62"/>
      <c r="J243" s="62"/>
      <c r="K243" s="62"/>
      <c r="L243" s="62"/>
      <c r="M243" s="62"/>
      <c r="N243" s="62"/>
      <c r="O243" s="63"/>
      <c r="P243" s="62"/>
      <c r="Q243" s="64"/>
      <c r="R243" s="65"/>
    </row>
    <row r="244" spans="1:18" ht="15" customHeight="1" x14ac:dyDescent="0.3">
      <c r="A244" s="66" t="s">
        <v>108</v>
      </c>
      <c r="B244" s="66" t="s">
        <v>193</v>
      </c>
      <c r="C244" s="67">
        <v>0.80902777777777779</v>
      </c>
      <c r="D244" s="66" t="s">
        <v>60</v>
      </c>
      <c r="E244" s="66" t="s">
        <v>71</v>
      </c>
      <c r="F244" s="66" t="s">
        <v>195</v>
      </c>
      <c r="G244" s="201"/>
      <c r="H244" s="61"/>
      <c r="I244" s="62"/>
      <c r="J244" s="62"/>
      <c r="K244" s="62"/>
      <c r="L244" s="62"/>
      <c r="M244" s="62"/>
      <c r="N244" s="62"/>
      <c r="O244" s="63"/>
      <c r="P244" s="62"/>
      <c r="Q244" s="64"/>
      <c r="R244" s="65"/>
    </row>
    <row r="245" spans="1:18" ht="15" customHeight="1" x14ac:dyDescent="0.3">
      <c r="A245" s="122" t="s">
        <v>26</v>
      </c>
      <c r="B245" s="122" t="s">
        <v>34</v>
      </c>
      <c r="C245" s="123">
        <v>0.55902777777777779</v>
      </c>
      <c r="D245" s="122" t="s">
        <v>28</v>
      </c>
      <c r="E245" s="122" t="s">
        <v>29</v>
      </c>
      <c r="F245" s="122" t="s">
        <v>171</v>
      </c>
      <c r="G245" s="201"/>
      <c r="H245" s="52" t="s">
        <v>37</v>
      </c>
      <c r="I245" s="53">
        <v>0.86109999999999998</v>
      </c>
      <c r="J245" s="54">
        <v>155</v>
      </c>
      <c r="K245" s="55">
        <v>45981</v>
      </c>
      <c r="L245" s="54">
        <v>25</v>
      </c>
      <c r="M245" s="54">
        <v>0</v>
      </c>
      <c r="N245" s="54">
        <v>18</v>
      </c>
      <c r="O245" s="56" t="s">
        <v>196</v>
      </c>
      <c r="P245" s="57">
        <v>0.55902777777777779</v>
      </c>
      <c r="Q245" s="54">
        <v>180</v>
      </c>
      <c r="R245" s="58" t="s">
        <v>197</v>
      </c>
    </row>
    <row r="246" spans="1:18" ht="15" customHeight="1" x14ac:dyDescent="0.3">
      <c r="A246" s="39" t="s">
        <v>26</v>
      </c>
      <c r="B246" s="39" t="s">
        <v>27</v>
      </c>
      <c r="C246" s="40">
        <v>0.28125</v>
      </c>
      <c r="D246" s="39" t="s">
        <v>28</v>
      </c>
      <c r="E246" s="39" t="s">
        <v>77</v>
      </c>
      <c r="F246" s="39" t="s">
        <v>171</v>
      </c>
      <c r="G246" s="201"/>
      <c r="H246" s="42" t="s">
        <v>31</v>
      </c>
      <c r="I246" s="124">
        <v>0.85</v>
      </c>
      <c r="J246" s="44">
        <v>153</v>
      </c>
      <c r="K246" s="45">
        <v>45981</v>
      </c>
      <c r="L246" s="44">
        <v>36</v>
      </c>
      <c r="M246" s="44">
        <v>0</v>
      </c>
      <c r="N246" s="44">
        <v>20</v>
      </c>
      <c r="O246" s="46" t="s">
        <v>172</v>
      </c>
      <c r="P246" s="47">
        <v>0.28125</v>
      </c>
      <c r="Q246" s="44">
        <v>180</v>
      </c>
      <c r="R246" s="48" t="s">
        <v>198</v>
      </c>
    </row>
    <row r="247" spans="1:18" ht="15" customHeight="1" x14ac:dyDescent="0.3">
      <c r="A247" s="115" t="s">
        <v>26</v>
      </c>
      <c r="B247" s="115" t="s">
        <v>199</v>
      </c>
      <c r="C247" s="116">
        <v>0.4375</v>
      </c>
      <c r="D247" s="115" t="s">
        <v>28</v>
      </c>
      <c r="E247" s="115" t="s">
        <v>67</v>
      </c>
      <c r="F247" s="115" t="s">
        <v>171</v>
      </c>
      <c r="G247" s="201"/>
      <c r="H247" s="87" t="s">
        <v>43</v>
      </c>
      <c r="I247" s="88">
        <v>0.95</v>
      </c>
      <c r="J247" s="89">
        <v>171</v>
      </c>
      <c r="K247" s="90">
        <v>45981</v>
      </c>
      <c r="L247" s="89">
        <v>33</v>
      </c>
      <c r="M247" s="89">
        <v>0</v>
      </c>
      <c r="N247" s="89">
        <v>14</v>
      </c>
      <c r="O247" s="91" t="s">
        <v>200</v>
      </c>
      <c r="P247" s="92">
        <v>0.4375</v>
      </c>
      <c r="Q247" s="89">
        <v>180</v>
      </c>
      <c r="R247" s="93" t="s">
        <v>201</v>
      </c>
    </row>
    <row r="248" spans="1:18" ht="15" customHeight="1" x14ac:dyDescent="0.3">
      <c r="A248" s="39" t="s">
        <v>26</v>
      </c>
      <c r="B248" s="39" t="s">
        <v>202</v>
      </c>
      <c r="C248" s="40">
        <v>0.76041666666666663</v>
      </c>
      <c r="D248" s="39" t="s">
        <v>28</v>
      </c>
      <c r="E248" s="39" t="s">
        <v>67</v>
      </c>
      <c r="F248" s="39" t="s">
        <v>181</v>
      </c>
      <c r="G248" s="201"/>
      <c r="H248" s="42" t="s">
        <v>48</v>
      </c>
      <c r="I248" s="43">
        <v>0.98329999999999995</v>
      </c>
      <c r="J248" s="44">
        <v>177</v>
      </c>
      <c r="K248" s="45">
        <v>45982</v>
      </c>
      <c r="L248" s="44">
        <v>24</v>
      </c>
      <c r="M248" s="44">
        <v>2</v>
      </c>
      <c r="N248" s="44">
        <v>2</v>
      </c>
      <c r="O248" s="46" t="s">
        <v>203</v>
      </c>
      <c r="P248" s="47">
        <v>0.76041666666666663</v>
      </c>
      <c r="Q248" s="44">
        <v>180</v>
      </c>
      <c r="R248" s="48" t="s">
        <v>204</v>
      </c>
    </row>
    <row r="249" spans="1:18" ht="15" customHeight="1" x14ac:dyDescent="0.3">
      <c r="A249" s="49" t="s">
        <v>26</v>
      </c>
      <c r="B249" s="49" t="s">
        <v>41</v>
      </c>
      <c r="C249" s="50">
        <v>0.1423611111111111</v>
      </c>
      <c r="D249" s="49" t="s">
        <v>44</v>
      </c>
      <c r="E249" s="51"/>
      <c r="F249" s="49" t="s">
        <v>45</v>
      </c>
      <c r="G249" s="201"/>
      <c r="H249" s="52" t="s">
        <v>41</v>
      </c>
      <c r="I249" s="53">
        <v>1</v>
      </c>
      <c r="J249" s="54">
        <v>180</v>
      </c>
      <c r="K249" s="55">
        <v>45980</v>
      </c>
      <c r="L249" s="54">
        <v>29</v>
      </c>
      <c r="M249" s="54">
        <v>0</v>
      </c>
      <c r="N249" s="54">
        <v>0</v>
      </c>
      <c r="O249" s="56" t="s">
        <v>46</v>
      </c>
      <c r="P249" s="57">
        <v>0.1423611111111111</v>
      </c>
      <c r="Q249" s="54">
        <v>180</v>
      </c>
      <c r="R249" s="58" t="s">
        <v>205</v>
      </c>
    </row>
    <row r="250" spans="1:18" ht="15" customHeight="1" x14ac:dyDescent="0.3">
      <c r="A250" s="59" t="s">
        <v>52</v>
      </c>
      <c r="B250" s="59" t="s">
        <v>53</v>
      </c>
      <c r="C250" s="60">
        <v>0.39930555555555558</v>
      </c>
      <c r="D250" s="59" t="s">
        <v>56</v>
      </c>
      <c r="E250" s="59" t="s">
        <v>29</v>
      </c>
      <c r="F250" s="59" t="s">
        <v>61</v>
      </c>
      <c r="G250" s="201"/>
      <c r="H250" s="61"/>
      <c r="I250" s="62"/>
      <c r="J250" s="62"/>
      <c r="K250" s="62"/>
      <c r="L250" s="62"/>
      <c r="M250" s="62"/>
      <c r="N250" s="62"/>
      <c r="O250" s="63"/>
      <c r="P250" s="62"/>
      <c r="Q250" s="64"/>
      <c r="R250" s="65"/>
    </row>
    <row r="251" spans="1:18" ht="15" customHeight="1" x14ac:dyDescent="0.3">
      <c r="A251" s="66" t="s">
        <v>52</v>
      </c>
      <c r="B251" s="66" t="s">
        <v>53</v>
      </c>
      <c r="C251" s="67">
        <v>0.39930555555555558</v>
      </c>
      <c r="D251" s="66" t="s">
        <v>58</v>
      </c>
      <c r="E251" s="66" t="s">
        <v>57</v>
      </c>
      <c r="F251" s="66" t="s">
        <v>183</v>
      </c>
      <c r="G251" s="201"/>
      <c r="H251" s="61"/>
      <c r="I251" s="62"/>
      <c r="J251" s="62"/>
      <c r="K251" s="62"/>
      <c r="L251" s="62"/>
      <c r="M251" s="62"/>
      <c r="N251" s="62"/>
      <c r="O251" s="63"/>
      <c r="P251" s="62"/>
      <c r="Q251" s="64"/>
      <c r="R251" s="65"/>
    </row>
    <row r="252" spans="1:18" ht="15" customHeight="1" x14ac:dyDescent="0.3">
      <c r="A252" s="66" t="s">
        <v>52</v>
      </c>
      <c r="B252" s="66" t="s">
        <v>53</v>
      </c>
      <c r="C252" s="67">
        <v>0.39930555555555558</v>
      </c>
      <c r="D252" s="66" t="s">
        <v>60</v>
      </c>
      <c r="E252" s="66" t="s">
        <v>57</v>
      </c>
      <c r="F252" s="66" t="s">
        <v>65</v>
      </c>
      <c r="G252" s="201"/>
      <c r="H252" s="61"/>
      <c r="I252" s="62"/>
      <c r="J252" s="62"/>
      <c r="K252" s="62"/>
      <c r="L252" s="62"/>
      <c r="M252" s="62"/>
      <c r="N252" s="62"/>
      <c r="O252" s="63"/>
      <c r="P252" s="62"/>
      <c r="Q252" s="64"/>
      <c r="R252" s="65"/>
    </row>
    <row r="253" spans="1:18" ht="15" customHeight="1" x14ac:dyDescent="0.3">
      <c r="A253" s="68" t="s">
        <v>52</v>
      </c>
      <c r="B253" s="68" t="s">
        <v>62</v>
      </c>
      <c r="C253" s="69">
        <v>0.48958333333333331</v>
      </c>
      <c r="D253" s="68" t="s">
        <v>56</v>
      </c>
      <c r="E253" s="68" t="s">
        <v>35</v>
      </c>
      <c r="F253" s="68" t="s">
        <v>61</v>
      </c>
      <c r="G253" s="201"/>
      <c r="H253" s="61"/>
      <c r="I253" s="62"/>
      <c r="J253" s="62"/>
      <c r="K253" s="62"/>
      <c r="L253" s="62"/>
      <c r="M253" s="62"/>
      <c r="N253" s="62"/>
      <c r="O253" s="63"/>
      <c r="P253" s="62"/>
      <c r="Q253" s="64"/>
      <c r="R253" s="65"/>
    </row>
    <row r="254" spans="1:18" ht="15" customHeight="1" x14ac:dyDescent="0.3">
      <c r="A254" s="66" t="s">
        <v>52</v>
      </c>
      <c r="B254" s="66" t="s">
        <v>62</v>
      </c>
      <c r="C254" s="67">
        <v>0.48958333333333331</v>
      </c>
      <c r="D254" s="66" t="s">
        <v>58</v>
      </c>
      <c r="E254" s="66" t="s">
        <v>57</v>
      </c>
      <c r="F254" s="66" t="s">
        <v>183</v>
      </c>
      <c r="G254" s="201"/>
      <c r="H254" s="61"/>
      <c r="I254" s="62"/>
      <c r="J254" s="62"/>
      <c r="K254" s="62"/>
      <c r="L254" s="62"/>
      <c r="M254" s="62"/>
      <c r="N254" s="62"/>
      <c r="O254" s="63"/>
      <c r="P254" s="62"/>
      <c r="Q254" s="64"/>
      <c r="R254" s="65"/>
    </row>
    <row r="255" spans="1:18" ht="15" customHeight="1" x14ac:dyDescent="0.3">
      <c r="A255" s="66" t="s">
        <v>52</v>
      </c>
      <c r="B255" s="66" t="s">
        <v>62</v>
      </c>
      <c r="C255" s="67">
        <v>0.48958333333333331</v>
      </c>
      <c r="D255" s="66" t="s">
        <v>60</v>
      </c>
      <c r="E255" s="66" t="s">
        <v>57</v>
      </c>
      <c r="F255" s="66" t="s">
        <v>65</v>
      </c>
      <c r="G255" s="201"/>
      <c r="H255" s="61"/>
      <c r="I255" s="62"/>
      <c r="J255" s="62"/>
      <c r="K255" s="62"/>
      <c r="L255" s="62"/>
      <c r="M255" s="62"/>
      <c r="N255" s="62"/>
      <c r="O255" s="63"/>
      <c r="P255" s="62"/>
      <c r="Q255" s="64"/>
      <c r="R255" s="65"/>
    </row>
    <row r="256" spans="1:18" ht="15" customHeight="1" x14ac:dyDescent="0.3">
      <c r="A256" s="68" t="s">
        <v>52</v>
      </c>
      <c r="B256" s="68" t="s">
        <v>66</v>
      </c>
      <c r="C256" s="69">
        <v>0.88888888888888884</v>
      </c>
      <c r="D256" s="68" t="s">
        <v>54</v>
      </c>
      <c r="E256" s="68" t="s">
        <v>67</v>
      </c>
      <c r="F256" s="68" t="s">
        <v>89</v>
      </c>
      <c r="G256" s="201"/>
      <c r="H256" s="61"/>
      <c r="I256" s="62"/>
      <c r="J256" s="62"/>
      <c r="K256" s="62"/>
      <c r="L256" s="62"/>
      <c r="M256" s="62"/>
      <c r="N256" s="62"/>
      <c r="O256" s="63"/>
      <c r="P256" s="62"/>
      <c r="Q256" s="64"/>
      <c r="R256" s="65"/>
    </row>
    <row r="257" spans="1:18" ht="15" customHeight="1" x14ac:dyDescent="0.3">
      <c r="A257" s="66" t="s">
        <v>52</v>
      </c>
      <c r="B257" s="66" t="s">
        <v>66</v>
      </c>
      <c r="C257" s="67">
        <v>0.88888888888888884</v>
      </c>
      <c r="D257" s="66" t="s">
        <v>56</v>
      </c>
      <c r="E257" s="66" t="s">
        <v>68</v>
      </c>
      <c r="F257" s="66" t="s">
        <v>89</v>
      </c>
      <c r="G257" s="201"/>
      <c r="H257" s="61"/>
      <c r="I257" s="62"/>
      <c r="J257" s="62"/>
      <c r="K257" s="62"/>
      <c r="L257" s="62"/>
      <c r="M257" s="62"/>
      <c r="N257" s="62"/>
      <c r="O257" s="63"/>
      <c r="P257" s="62"/>
      <c r="Q257" s="64"/>
      <c r="R257" s="65"/>
    </row>
    <row r="258" spans="1:18" ht="15" customHeight="1" x14ac:dyDescent="0.3">
      <c r="A258" s="66" t="s">
        <v>52</v>
      </c>
      <c r="B258" s="66" t="s">
        <v>66</v>
      </c>
      <c r="C258" s="67">
        <v>0.88888888888888884</v>
      </c>
      <c r="D258" s="66" t="s">
        <v>58</v>
      </c>
      <c r="E258" s="66" t="s">
        <v>68</v>
      </c>
      <c r="F258" s="66" t="s">
        <v>206</v>
      </c>
      <c r="G258" s="201"/>
      <c r="H258" s="61"/>
      <c r="I258" s="62"/>
      <c r="J258" s="62"/>
      <c r="K258" s="62"/>
      <c r="L258" s="62"/>
      <c r="M258" s="62"/>
      <c r="N258" s="62"/>
      <c r="O258" s="63"/>
      <c r="P258" s="62"/>
      <c r="Q258" s="64"/>
      <c r="R258" s="65"/>
    </row>
    <row r="259" spans="1:18" ht="15" customHeight="1" x14ac:dyDescent="0.3">
      <c r="A259" s="66" t="s">
        <v>52</v>
      </c>
      <c r="B259" s="66" t="s">
        <v>66</v>
      </c>
      <c r="C259" s="67">
        <v>0.88888888888888884</v>
      </c>
      <c r="D259" s="66" t="s">
        <v>60</v>
      </c>
      <c r="E259" s="66" t="s">
        <v>68</v>
      </c>
      <c r="F259" s="66" t="s">
        <v>207</v>
      </c>
      <c r="G259" s="201"/>
      <c r="H259" s="61"/>
      <c r="I259" s="62"/>
      <c r="J259" s="62"/>
      <c r="K259" s="62"/>
      <c r="L259" s="62"/>
      <c r="M259" s="62"/>
      <c r="N259" s="62"/>
      <c r="O259" s="63"/>
      <c r="P259" s="62"/>
      <c r="Q259" s="64"/>
      <c r="R259" s="65"/>
    </row>
    <row r="260" spans="1:18" ht="15" customHeight="1" x14ac:dyDescent="0.3">
      <c r="A260" s="68" t="s">
        <v>52</v>
      </c>
      <c r="B260" s="68" t="s">
        <v>69</v>
      </c>
      <c r="C260" s="69">
        <v>0.98958333333333337</v>
      </c>
      <c r="D260" s="68" t="s">
        <v>54</v>
      </c>
      <c r="E260" s="68" t="s">
        <v>134</v>
      </c>
      <c r="F260" s="68" t="s">
        <v>89</v>
      </c>
      <c r="G260" s="201"/>
      <c r="H260" s="61"/>
      <c r="I260" s="62"/>
      <c r="J260" s="62"/>
      <c r="K260" s="62"/>
      <c r="L260" s="62"/>
      <c r="M260" s="62"/>
      <c r="N260" s="62"/>
      <c r="O260" s="63"/>
      <c r="P260" s="62"/>
      <c r="Q260" s="64"/>
      <c r="R260" s="65"/>
    </row>
    <row r="261" spans="1:18" ht="15" customHeight="1" x14ac:dyDescent="0.3">
      <c r="A261" s="66" t="s">
        <v>52</v>
      </c>
      <c r="B261" s="66" t="s">
        <v>69</v>
      </c>
      <c r="C261" s="67">
        <v>0.98958333333333337</v>
      </c>
      <c r="D261" s="66" t="s">
        <v>56</v>
      </c>
      <c r="E261" s="66" t="s">
        <v>85</v>
      </c>
      <c r="F261" s="66" t="s">
        <v>89</v>
      </c>
      <c r="G261" s="201"/>
      <c r="H261" s="61"/>
      <c r="I261" s="62"/>
      <c r="J261" s="62"/>
      <c r="K261" s="62"/>
      <c r="L261" s="62"/>
      <c r="M261" s="62"/>
      <c r="N261" s="62"/>
      <c r="O261" s="63"/>
      <c r="P261" s="62"/>
      <c r="Q261" s="64"/>
      <c r="R261" s="65"/>
    </row>
    <row r="262" spans="1:18" ht="15" customHeight="1" x14ac:dyDescent="0.3">
      <c r="A262" s="66" t="s">
        <v>52</v>
      </c>
      <c r="B262" s="66" t="s">
        <v>69</v>
      </c>
      <c r="C262" s="67">
        <v>0.98958333333333337</v>
      </c>
      <c r="D262" s="66" t="s">
        <v>58</v>
      </c>
      <c r="E262" s="66" t="s">
        <v>85</v>
      </c>
      <c r="F262" s="66" t="s">
        <v>206</v>
      </c>
      <c r="G262" s="201"/>
      <c r="H262" s="61"/>
      <c r="I262" s="62"/>
      <c r="J262" s="62"/>
      <c r="K262" s="62"/>
      <c r="L262" s="62"/>
      <c r="M262" s="62"/>
      <c r="N262" s="62"/>
      <c r="O262" s="63"/>
      <c r="P262" s="62"/>
      <c r="Q262" s="64"/>
      <c r="R262" s="65"/>
    </row>
    <row r="263" spans="1:18" ht="15" customHeight="1" x14ac:dyDescent="0.3">
      <c r="A263" s="66" t="s">
        <v>52</v>
      </c>
      <c r="B263" s="66" t="s">
        <v>69</v>
      </c>
      <c r="C263" s="67">
        <v>0.98958333333333337</v>
      </c>
      <c r="D263" s="66" t="s">
        <v>60</v>
      </c>
      <c r="E263" s="66" t="s">
        <v>85</v>
      </c>
      <c r="F263" s="66" t="s">
        <v>65</v>
      </c>
      <c r="G263" s="201"/>
      <c r="H263" s="61"/>
      <c r="I263" s="62"/>
      <c r="J263" s="62"/>
      <c r="K263" s="62"/>
      <c r="L263" s="62"/>
      <c r="M263" s="62"/>
      <c r="N263" s="62"/>
      <c r="O263" s="63"/>
      <c r="P263" s="62"/>
      <c r="Q263" s="64"/>
      <c r="R263" s="65"/>
    </row>
    <row r="264" spans="1:18" ht="15" customHeight="1" x14ac:dyDescent="0.3">
      <c r="A264" s="59" t="s">
        <v>72</v>
      </c>
      <c r="B264" s="59" t="s">
        <v>76</v>
      </c>
      <c r="C264" s="60">
        <v>0.49305555555555558</v>
      </c>
      <c r="D264" s="59" t="s">
        <v>28</v>
      </c>
      <c r="E264" s="59" t="s">
        <v>74</v>
      </c>
      <c r="F264" s="59" t="s">
        <v>208</v>
      </c>
      <c r="G264" s="201"/>
      <c r="H264" s="61"/>
      <c r="I264" s="62"/>
      <c r="J264" s="62"/>
      <c r="K264" s="62"/>
      <c r="L264" s="62"/>
      <c r="M264" s="62"/>
      <c r="N264" s="62"/>
      <c r="O264" s="63"/>
      <c r="P264" s="62"/>
      <c r="Q264" s="64"/>
      <c r="R264" s="65"/>
    </row>
    <row r="265" spans="1:18" ht="15" customHeight="1" x14ac:dyDescent="0.3">
      <c r="A265" s="59" t="s">
        <v>79</v>
      </c>
      <c r="B265" s="59" t="s">
        <v>97</v>
      </c>
      <c r="C265" s="60">
        <v>0.34722222222222232</v>
      </c>
      <c r="D265" s="59" t="s">
        <v>81</v>
      </c>
      <c r="E265" s="59" t="s">
        <v>111</v>
      </c>
      <c r="F265" s="59" t="s">
        <v>181</v>
      </c>
      <c r="G265" s="201"/>
      <c r="H265" s="61"/>
      <c r="I265" s="62"/>
      <c r="J265" s="62"/>
      <c r="K265" s="62"/>
      <c r="L265" s="62"/>
      <c r="M265" s="62"/>
      <c r="N265" s="62"/>
      <c r="O265" s="63"/>
      <c r="P265" s="62"/>
      <c r="Q265" s="64"/>
      <c r="R265" s="65"/>
    </row>
    <row r="266" spans="1:18" ht="15" customHeight="1" x14ac:dyDescent="0.3">
      <c r="A266" s="66" t="s">
        <v>79</v>
      </c>
      <c r="B266" s="66" t="s">
        <v>97</v>
      </c>
      <c r="C266" s="67">
        <v>0.34722222222222232</v>
      </c>
      <c r="D266" s="66" t="s">
        <v>84</v>
      </c>
      <c r="E266" s="66" t="s">
        <v>92</v>
      </c>
      <c r="F266" s="66" t="s">
        <v>181</v>
      </c>
      <c r="G266" s="201"/>
      <c r="H266" s="61"/>
      <c r="I266" s="62"/>
      <c r="J266" s="62"/>
      <c r="K266" s="62"/>
      <c r="L266" s="62"/>
      <c r="M266" s="62"/>
      <c r="N266" s="62"/>
      <c r="O266" s="63"/>
      <c r="P266" s="62"/>
      <c r="Q266" s="64"/>
      <c r="R266" s="65"/>
    </row>
    <row r="267" spans="1:18" ht="15" customHeight="1" x14ac:dyDescent="0.3">
      <c r="A267" s="66" t="s">
        <v>79</v>
      </c>
      <c r="B267" s="66" t="s">
        <v>97</v>
      </c>
      <c r="C267" s="67">
        <v>0.34722222222222232</v>
      </c>
      <c r="D267" s="66" t="s">
        <v>86</v>
      </c>
      <c r="E267" s="66" t="s">
        <v>92</v>
      </c>
      <c r="F267" s="66" t="s">
        <v>206</v>
      </c>
      <c r="G267" s="201"/>
      <c r="H267" s="61"/>
      <c r="I267" s="62"/>
      <c r="J267" s="62"/>
      <c r="K267" s="62"/>
      <c r="L267" s="62"/>
      <c r="M267" s="62"/>
      <c r="N267" s="62"/>
      <c r="O267" s="63"/>
      <c r="P267" s="62"/>
      <c r="Q267" s="64"/>
      <c r="R267" s="65"/>
    </row>
    <row r="268" spans="1:18" ht="15" customHeight="1" x14ac:dyDescent="0.3">
      <c r="A268" s="66" t="s">
        <v>79</v>
      </c>
      <c r="B268" s="66" t="s">
        <v>97</v>
      </c>
      <c r="C268" s="67">
        <v>0.34722222222222232</v>
      </c>
      <c r="D268" s="66" t="s">
        <v>88</v>
      </c>
      <c r="E268" s="66" t="s">
        <v>92</v>
      </c>
      <c r="F268" s="66" t="s">
        <v>209</v>
      </c>
      <c r="G268" s="201"/>
      <c r="H268" s="61"/>
      <c r="I268" s="62"/>
      <c r="J268" s="62"/>
      <c r="K268" s="62"/>
      <c r="L268" s="62"/>
      <c r="M268" s="62"/>
      <c r="N268" s="62"/>
      <c r="O268" s="63"/>
      <c r="P268" s="62"/>
      <c r="Q268" s="64"/>
      <c r="R268" s="65"/>
    </row>
    <row r="269" spans="1:18" ht="15" customHeight="1" x14ac:dyDescent="0.3">
      <c r="A269" s="68" t="s">
        <v>79</v>
      </c>
      <c r="B269" s="68" t="s">
        <v>80</v>
      </c>
      <c r="C269" s="69">
        <v>0.99305555555555547</v>
      </c>
      <c r="D269" s="68" t="s">
        <v>81</v>
      </c>
      <c r="E269" s="68" t="s">
        <v>120</v>
      </c>
      <c r="F269" s="68" t="s">
        <v>181</v>
      </c>
      <c r="G269" s="201"/>
      <c r="H269" s="61"/>
      <c r="I269" s="62"/>
      <c r="J269" s="62"/>
      <c r="K269" s="62"/>
      <c r="L269" s="62"/>
      <c r="M269" s="62"/>
      <c r="N269" s="62"/>
      <c r="O269" s="63"/>
      <c r="P269" s="62"/>
      <c r="Q269" s="64"/>
      <c r="R269" s="65"/>
    </row>
    <row r="270" spans="1:18" ht="15" customHeight="1" x14ac:dyDescent="0.3">
      <c r="A270" s="66" t="s">
        <v>79</v>
      </c>
      <c r="B270" s="66" t="s">
        <v>80</v>
      </c>
      <c r="C270" s="67">
        <v>0.99305555555555547</v>
      </c>
      <c r="D270" s="66" t="s">
        <v>84</v>
      </c>
      <c r="E270" s="66" t="s">
        <v>136</v>
      </c>
      <c r="F270" s="66" t="s">
        <v>181</v>
      </c>
      <c r="G270" s="201"/>
      <c r="H270" s="61"/>
      <c r="I270" s="62"/>
      <c r="J270" s="62"/>
      <c r="K270" s="62"/>
      <c r="L270" s="62"/>
      <c r="M270" s="62"/>
      <c r="N270" s="62"/>
      <c r="O270" s="63"/>
      <c r="P270" s="62"/>
      <c r="Q270" s="64"/>
      <c r="R270" s="65"/>
    </row>
    <row r="271" spans="1:18" ht="15" customHeight="1" x14ac:dyDescent="0.3">
      <c r="A271" s="66" t="s">
        <v>79</v>
      </c>
      <c r="B271" s="66" t="s">
        <v>80</v>
      </c>
      <c r="C271" s="67">
        <v>0.99305555555555547</v>
      </c>
      <c r="D271" s="66" t="s">
        <v>86</v>
      </c>
      <c r="E271" s="66" t="s">
        <v>136</v>
      </c>
      <c r="F271" s="66" t="s">
        <v>206</v>
      </c>
      <c r="G271" s="201"/>
      <c r="H271" s="61"/>
      <c r="I271" s="62"/>
      <c r="J271" s="62"/>
      <c r="K271" s="62"/>
      <c r="L271" s="62"/>
      <c r="M271" s="62"/>
      <c r="N271" s="62"/>
      <c r="O271" s="63"/>
      <c r="P271" s="62"/>
      <c r="Q271" s="64"/>
      <c r="R271" s="65"/>
    </row>
    <row r="272" spans="1:18" ht="15" customHeight="1" x14ac:dyDescent="0.3">
      <c r="A272" s="66" t="s">
        <v>79</v>
      </c>
      <c r="B272" s="66" t="s">
        <v>80</v>
      </c>
      <c r="C272" s="67">
        <v>0.99305555555555547</v>
      </c>
      <c r="D272" s="66" t="s">
        <v>88</v>
      </c>
      <c r="E272" s="66" t="s">
        <v>136</v>
      </c>
      <c r="F272" s="66" t="s">
        <v>209</v>
      </c>
      <c r="G272" s="201"/>
      <c r="H272" s="61"/>
      <c r="I272" s="62"/>
      <c r="J272" s="62"/>
      <c r="K272" s="62"/>
      <c r="L272" s="62"/>
      <c r="M272" s="62"/>
      <c r="N272" s="62"/>
      <c r="O272" s="63"/>
      <c r="P272" s="62"/>
      <c r="Q272" s="64"/>
      <c r="R272" s="65"/>
    </row>
    <row r="273" spans="1:18" ht="15" customHeight="1" x14ac:dyDescent="0.3">
      <c r="A273" s="68" t="s">
        <v>79</v>
      </c>
      <c r="B273" s="68" t="s">
        <v>99</v>
      </c>
      <c r="C273" s="69">
        <v>0.73611111111111116</v>
      </c>
      <c r="D273" s="68" t="s">
        <v>81</v>
      </c>
      <c r="E273" s="68" t="s">
        <v>35</v>
      </c>
      <c r="F273" s="68" t="s">
        <v>181</v>
      </c>
      <c r="G273" s="201"/>
      <c r="H273" s="61"/>
      <c r="I273" s="62"/>
      <c r="J273" s="62"/>
      <c r="K273" s="62"/>
      <c r="L273" s="62"/>
      <c r="M273" s="62"/>
      <c r="N273" s="62"/>
      <c r="O273" s="63"/>
      <c r="P273" s="62"/>
      <c r="Q273" s="64"/>
      <c r="R273" s="65"/>
    </row>
    <row r="274" spans="1:18" ht="15" customHeight="1" x14ac:dyDescent="0.3">
      <c r="A274" s="66" t="s">
        <v>79</v>
      </c>
      <c r="B274" s="66" t="s">
        <v>99</v>
      </c>
      <c r="C274" s="67">
        <v>0.73611111111111116</v>
      </c>
      <c r="D274" s="66" t="s">
        <v>84</v>
      </c>
      <c r="E274" s="66" t="s">
        <v>57</v>
      </c>
      <c r="F274" s="66" t="s">
        <v>181</v>
      </c>
      <c r="G274" s="201"/>
      <c r="H274" s="61"/>
      <c r="I274" s="62"/>
      <c r="J274" s="62"/>
      <c r="K274" s="62"/>
      <c r="L274" s="62"/>
      <c r="M274" s="62"/>
      <c r="N274" s="62"/>
      <c r="O274" s="63"/>
      <c r="P274" s="62"/>
      <c r="Q274" s="64"/>
      <c r="R274" s="65"/>
    </row>
    <row r="275" spans="1:18" ht="15" customHeight="1" x14ac:dyDescent="0.3">
      <c r="A275" s="66" t="s">
        <v>79</v>
      </c>
      <c r="B275" s="66" t="s">
        <v>99</v>
      </c>
      <c r="C275" s="67">
        <v>0.73611111111111116</v>
      </c>
      <c r="D275" s="66" t="s">
        <v>86</v>
      </c>
      <c r="E275" s="66" t="s">
        <v>57</v>
      </c>
      <c r="F275" s="66" t="s">
        <v>206</v>
      </c>
      <c r="G275" s="201"/>
      <c r="H275" s="61"/>
      <c r="I275" s="62"/>
      <c r="J275" s="62"/>
      <c r="K275" s="62"/>
      <c r="L275" s="62"/>
      <c r="M275" s="62"/>
      <c r="N275" s="62"/>
      <c r="O275" s="63"/>
      <c r="P275" s="62"/>
      <c r="Q275" s="64"/>
      <c r="R275" s="65"/>
    </row>
    <row r="276" spans="1:18" ht="15" customHeight="1" x14ac:dyDescent="0.3">
      <c r="A276" s="66" t="s">
        <v>79</v>
      </c>
      <c r="B276" s="66" t="s">
        <v>99</v>
      </c>
      <c r="C276" s="67">
        <v>0.73611111111111116</v>
      </c>
      <c r="D276" s="66" t="s">
        <v>88</v>
      </c>
      <c r="E276" s="66" t="s">
        <v>57</v>
      </c>
      <c r="F276" s="66" t="s">
        <v>209</v>
      </c>
      <c r="G276" s="201"/>
      <c r="H276" s="61"/>
      <c r="I276" s="62"/>
      <c r="J276" s="62"/>
      <c r="K276" s="62"/>
      <c r="L276" s="62"/>
      <c r="M276" s="62"/>
      <c r="N276" s="62"/>
      <c r="O276" s="63"/>
      <c r="P276" s="62"/>
      <c r="Q276" s="64"/>
      <c r="R276" s="65"/>
    </row>
    <row r="277" spans="1:18" ht="15" customHeight="1" x14ac:dyDescent="0.3">
      <c r="A277" s="68" t="s">
        <v>79</v>
      </c>
      <c r="B277" s="68" t="s">
        <v>90</v>
      </c>
      <c r="C277" s="69">
        <v>0.94444444444444453</v>
      </c>
      <c r="D277" s="68" t="s">
        <v>81</v>
      </c>
      <c r="E277" s="68" t="s">
        <v>63</v>
      </c>
      <c r="F277" s="68" t="s">
        <v>181</v>
      </c>
      <c r="G277" s="201"/>
      <c r="H277" s="61"/>
      <c r="I277" s="62"/>
      <c r="J277" s="62"/>
      <c r="K277" s="62"/>
      <c r="L277" s="62"/>
      <c r="M277" s="62"/>
      <c r="N277" s="62"/>
      <c r="O277" s="63"/>
      <c r="P277" s="62"/>
      <c r="Q277" s="64"/>
      <c r="R277" s="65"/>
    </row>
    <row r="278" spans="1:18" ht="15" customHeight="1" x14ac:dyDescent="0.3">
      <c r="A278" s="66" t="s">
        <v>79</v>
      </c>
      <c r="B278" s="66" t="s">
        <v>90</v>
      </c>
      <c r="C278" s="67">
        <v>0.94444444444444453</v>
      </c>
      <c r="D278" s="66" t="s">
        <v>84</v>
      </c>
      <c r="E278" s="66" t="s">
        <v>64</v>
      </c>
      <c r="F278" s="66" t="s">
        <v>181</v>
      </c>
      <c r="G278" s="201"/>
      <c r="H278" s="61"/>
      <c r="I278" s="62"/>
      <c r="J278" s="62"/>
      <c r="K278" s="62"/>
      <c r="L278" s="62"/>
      <c r="M278" s="62"/>
      <c r="N278" s="62"/>
      <c r="O278" s="63"/>
      <c r="P278" s="62"/>
      <c r="Q278" s="64"/>
      <c r="R278" s="65"/>
    </row>
    <row r="279" spans="1:18" ht="15" customHeight="1" x14ac:dyDescent="0.3">
      <c r="A279" s="66" t="s">
        <v>79</v>
      </c>
      <c r="B279" s="66" t="s">
        <v>90</v>
      </c>
      <c r="C279" s="67">
        <v>0.94444444444444453</v>
      </c>
      <c r="D279" s="66" t="s">
        <v>86</v>
      </c>
      <c r="E279" s="66" t="s">
        <v>64</v>
      </c>
      <c r="F279" s="66" t="s">
        <v>206</v>
      </c>
      <c r="G279" s="201"/>
      <c r="H279" s="61"/>
      <c r="I279" s="62"/>
      <c r="J279" s="62"/>
      <c r="K279" s="62"/>
      <c r="L279" s="62"/>
      <c r="M279" s="62"/>
      <c r="N279" s="62"/>
      <c r="O279" s="63"/>
      <c r="P279" s="62"/>
      <c r="Q279" s="64"/>
      <c r="R279" s="65"/>
    </row>
    <row r="280" spans="1:18" ht="15" customHeight="1" x14ac:dyDescent="0.3">
      <c r="A280" s="66" t="s">
        <v>79</v>
      </c>
      <c r="B280" s="66" t="s">
        <v>90</v>
      </c>
      <c r="C280" s="67">
        <v>0.94444444444444453</v>
      </c>
      <c r="D280" s="66" t="s">
        <v>88</v>
      </c>
      <c r="E280" s="66" t="s">
        <v>64</v>
      </c>
      <c r="F280" s="66" t="s">
        <v>209</v>
      </c>
      <c r="G280" s="201"/>
      <c r="H280" s="61"/>
      <c r="I280" s="62"/>
      <c r="J280" s="62"/>
      <c r="K280" s="62"/>
      <c r="L280" s="62"/>
      <c r="M280" s="62"/>
      <c r="N280" s="62"/>
      <c r="O280" s="63"/>
      <c r="P280" s="62"/>
      <c r="Q280" s="64"/>
      <c r="R280" s="65"/>
    </row>
    <row r="281" spans="1:18" ht="15" customHeight="1" x14ac:dyDescent="0.3">
      <c r="A281" s="68" t="s">
        <v>79</v>
      </c>
      <c r="B281" s="68" t="s">
        <v>93</v>
      </c>
      <c r="C281" s="69">
        <v>0.4861111111111111</v>
      </c>
      <c r="D281" s="68" t="s">
        <v>81</v>
      </c>
      <c r="E281" s="68" t="s">
        <v>134</v>
      </c>
      <c r="F281" s="68" t="s">
        <v>181</v>
      </c>
      <c r="G281" s="201"/>
      <c r="H281" s="61"/>
      <c r="I281" s="62"/>
      <c r="J281" s="62"/>
      <c r="K281" s="62"/>
      <c r="L281" s="62"/>
      <c r="M281" s="62"/>
      <c r="N281" s="62"/>
      <c r="O281" s="63"/>
      <c r="P281" s="62"/>
      <c r="Q281" s="64"/>
      <c r="R281" s="65"/>
    </row>
    <row r="282" spans="1:18" ht="15" customHeight="1" x14ac:dyDescent="0.3">
      <c r="A282" s="66" t="s">
        <v>79</v>
      </c>
      <c r="B282" s="66" t="s">
        <v>93</v>
      </c>
      <c r="C282" s="67">
        <v>0.4861111111111111</v>
      </c>
      <c r="D282" s="66" t="s">
        <v>84</v>
      </c>
      <c r="E282" s="66" t="s">
        <v>85</v>
      </c>
      <c r="F282" s="66" t="s">
        <v>181</v>
      </c>
      <c r="G282" s="201"/>
      <c r="H282" s="61"/>
      <c r="I282" s="62"/>
      <c r="J282" s="62"/>
      <c r="K282" s="62"/>
      <c r="L282" s="62"/>
      <c r="M282" s="62"/>
      <c r="N282" s="62"/>
      <c r="O282" s="63"/>
      <c r="P282" s="62"/>
      <c r="Q282" s="64"/>
      <c r="R282" s="65"/>
    </row>
    <row r="283" spans="1:18" ht="15" customHeight="1" x14ac:dyDescent="0.3">
      <c r="A283" s="66" t="s">
        <v>79</v>
      </c>
      <c r="B283" s="66" t="s">
        <v>93</v>
      </c>
      <c r="C283" s="67">
        <v>0.4861111111111111</v>
      </c>
      <c r="D283" s="66" t="s">
        <v>86</v>
      </c>
      <c r="E283" s="66" t="s">
        <v>85</v>
      </c>
      <c r="F283" s="66" t="s">
        <v>206</v>
      </c>
      <c r="G283" s="201"/>
      <c r="H283" s="61"/>
      <c r="I283" s="62"/>
      <c r="J283" s="62"/>
      <c r="K283" s="62"/>
      <c r="L283" s="62"/>
      <c r="M283" s="62"/>
      <c r="N283" s="62"/>
      <c r="O283" s="63"/>
      <c r="P283" s="62"/>
      <c r="Q283" s="64"/>
      <c r="R283" s="65"/>
    </row>
    <row r="284" spans="1:18" ht="15" customHeight="1" x14ac:dyDescent="0.3">
      <c r="A284" s="66" t="s">
        <v>79</v>
      </c>
      <c r="B284" s="66" t="s">
        <v>93</v>
      </c>
      <c r="C284" s="67">
        <v>0.4861111111111111</v>
      </c>
      <c r="D284" s="66" t="s">
        <v>88</v>
      </c>
      <c r="E284" s="66" t="s">
        <v>85</v>
      </c>
      <c r="F284" s="66" t="s">
        <v>209</v>
      </c>
      <c r="G284" s="201"/>
      <c r="H284" s="61"/>
      <c r="I284" s="62"/>
      <c r="J284" s="62"/>
      <c r="K284" s="62"/>
      <c r="L284" s="62"/>
      <c r="M284" s="62"/>
      <c r="N284" s="62"/>
      <c r="O284" s="63"/>
      <c r="P284" s="62"/>
      <c r="Q284" s="64"/>
      <c r="R284" s="65"/>
    </row>
    <row r="285" spans="1:18" ht="15" customHeight="1" x14ac:dyDescent="0.3">
      <c r="A285" s="68" t="s">
        <v>79</v>
      </c>
      <c r="B285" s="68" t="s">
        <v>100</v>
      </c>
      <c r="C285" s="69">
        <v>0.83680555555555547</v>
      </c>
      <c r="D285" s="68" t="s">
        <v>81</v>
      </c>
      <c r="E285" s="68" t="s">
        <v>120</v>
      </c>
      <c r="F285" s="68" t="s">
        <v>210</v>
      </c>
      <c r="G285" s="201"/>
      <c r="H285" s="61"/>
      <c r="I285" s="62"/>
      <c r="J285" s="62"/>
      <c r="K285" s="62"/>
      <c r="L285" s="62"/>
      <c r="M285" s="62"/>
      <c r="N285" s="62"/>
      <c r="O285" s="63"/>
      <c r="P285" s="62"/>
      <c r="Q285" s="64"/>
      <c r="R285" s="65"/>
    </row>
    <row r="286" spans="1:18" ht="15" customHeight="1" x14ac:dyDescent="0.3">
      <c r="A286" s="66" t="s">
        <v>79</v>
      </c>
      <c r="B286" s="66" t="s">
        <v>100</v>
      </c>
      <c r="C286" s="67">
        <v>0.83680555555555547</v>
      </c>
      <c r="D286" s="66" t="s">
        <v>84</v>
      </c>
      <c r="E286" s="66" t="s">
        <v>136</v>
      </c>
      <c r="F286" s="66" t="s">
        <v>210</v>
      </c>
      <c r="G286" s="201"/>
      <c r="H286" s="61"/>
      <c r="I286" s="62"/>
      <c r="J286" s="62"/>
      <c r="K286" s="62"/>
      <c r="L286" s="62"/>
      <c r="M286" s="62"/>
      <c r="N286" s="62"/>
      <c r="O286" s="63"/>
      <c r="P286" s="62"/>
      <c r="Q286" s="64"/>
      <c r="R286" s="65"/>
    </row>
    <row r="287" spans="1:18" ht="15" customHeight="1" x14ac:dyDescent="0.3">
      <c r="A287" s="66" t="s">
        <v>79</v>
      </c>
      <c r="B287" s="66" t="s">
        <v>100</v>
      </c>
      <c r="C287" s="67">
        <v>0.83680555555555547</v>
      </c>
      <c r="D287" s="66" t="s">
        <v>86</v>
      </c>
      <c r="E287" s="66" t="s">
        <v>136</v>
      </c>
      <c r="F287" s="66" t="s">
        <v>211</v>
      </c>
      <c r="G287" s="201"/>
      <c r="H287" s="61"/>
      <c r="I287" s="62"/>
      <c r="J287" s="62"/>
      <c r="K287" s="62"/>
      <c r="L287" s="62"/>
      <c r="M287" s="62"/>
      <c r="N287" s="62"/>
      <c r="O287" s="63"/>
      <c r="P287" s="62"/>
      <c r="Q287" s="64"/>
      <c r="R287" s="65"/>
    </row>
    <row r="288" spans="1:18" ht="15" customHeight="1" x14ac:dyDescent="0.3">
      <c r="A288" s="66" t="s">
        <v>79</v>
      </c>
      <c r="B288" s="66" t="s">
        <v>100</v>
      </c>
      <c r="C288" s="67">
        <v>0.83680555555555547</v>
      </c>
      <c r="D288" s="66" t="s">
        <v>88</v>
      </c>
      <c r="E288" s="66" t="s">
        <v>136</v>
      </c>
      <c r="F288" s="66" t="s">
        <v>212</v>
      </c>
      <c r="G288" s="201"/>
      <c r="H288" s="61"/>
      <c r="I288" s="62"/>
      <c r="J288" s="62"/>
      <c r="K288" s="62"/>
      <c r="L288" s="62"/>
      <c r="M288" s="62"/>
      <c r="N288" s="62"/>
      <c r="O288" s="63"/>
      <c r="P288" s="62"/>
      <c r="Q288" s="64"/>
      <c r="R288" s="65"/>
    </row>
    <row r="289" spans="1:18" ht="15" customHeight="1" x14ac:dyDescent="0.3">
      <c r="A289" s="68" t="s">
        <v>79</v>
      </c>
      <c r="B289" s="68" t="s">
        <v>101</v>
      </c>
      <c r="C289" s="69">
        <v>0.88888888888888884</v>
      </c>
      <c r="D289" s="68" t="s">
        <v>81</v>
      </c>
      <c r="E289" s="68" t="s">
        <v>70</v>
      </c>
      <c r="F289" s="68" t="s">
        <v>210</v>
      </c>
      <c r="G289" s="201"/>
      <c r="H289" s="61"/>
      <c r="I289" s="62"/>
      <c r="J289" s="62"/>
      <c r="K289" s="62"/>
      <c r="L289" s="62"/>
      <c r="M289" s="62"/>
      <c r="N289" s="62"/>
      <c r="O289" s="63"/>
      <c r="P289" s="62"/>
      <c r="Q289" s="64"/>
      <c r="R289" s="65"/>
    </row>
    <row r="290" spans="1:18" ht="15" customHeight="1" x14ac:dyDescent="0.3">
      <c r="A290" s="66" t="s">
        <v>79</v>
      </c>
      <c r="B290" s="66" t="s">
        <v>101</v>
      </c>
      <c r="C290" s="67">
        <v>0.88888888888888884</v>
      </c>
      <c r="D290" s="66" t="s">
        <v>84</v>
      </c>
      <c r="E290" s="66" t="s">
        <v>71</v>
      </c>
      <c r="F290" s="66" t="s">
        <v>210</v>
      </c>
      <c r="G290" s="201"/>
      <c r="H290" s="61"/>
      <c r="I290" s="62"/>
      <c r="J290" s="62"/>
      <c r="K290" s="62"/>
      <c r="L290" s="62"/>
      <c r="M290" s="62"/>
      <c r="N290" s="62"/>
      <c r="O290" s="63"/>
      <c r="P290" s="62"/>
      <c r="Q290" s="64"/>
      <c r="R290" s="65"/>
    </row>
    <row r="291" spans="1:18" ht="15" customHeight="1" x14ac:dyDescent="0.3">
      <c r="A291" s="66" t="s">
        <v>79</v>
      </c>
      <c r="B291" s="66" t="s">
        <v>101</v>
      </c>
      <c r="C291" s="67">
        <v>0.88888888888888884</v>
      </c>
      <c r="D291" s="66" t="s">
        <v>86</v>
      </c>
      <c r="E291" s="66" t="s">
        <v>71</v>
      </c>
      <c r="F291" s="66" t="s">
        <v>211</v>
      </c>
      <c r="G291" s="201"/>
      <c r="H291" s="61"/>
      <c r="I291" s="62"/>
      <c r="J291" s="62"/>
      <c r="K291" s="62"/>
      <c r="L291" s="62"/>
      <c r="M291" s="62"/>
      <c r="N291" s="62"/>
      <c r="O291" s="63"/>
      <c r="P291" s="62"/>
      <c r="Q291" s="64"/>
      <c r="R291" s="65"/>
    </row>
    <row r="292" spans="1:18" ht="15" customHeight="1" x14ac:dyDescent="0.3">
      <c r="A292" s="66" t="s">
        <v>79</v>
      </c>
      <c r="B292" s="66" t="s">
        <v>101</v>
      </c>
      <c r="C292" s="67">
        <v>0.88888888888888884</v>
      </c>
      <c r="D292" s="66" t="s">
        <v>88</v>
      </c>
      <c r="E292" s="66" t="s">
        <v>71</v>
      </c>
      <c r="F292" s="66" t="s">
        <v>212</v>
      </c>
      <c r="G292" s="201"/>
      <c r="H292" s="61"/>
      <c r="I292" s="62"/>
      <c r="J292" s="62"/>
      <c r="K292" s="62"/>
      <c r="L292" s="62"/>
      <c r="M292" s="62"/>
      <c r="N292" s="62"/>
      <c r="O292" s="63"/>
      <c r="P292" s="62"/>
      <c r="Q292" s="64"/>
      <c r="R292" s="65"/>
    </row>
    <row r="293" spans="1:18" ht="15" customHeight="1" x14ac:dyDescent="0.3">
      <c r="A293" s="59" t="s">
        <v>140</v>
      </c>
      <c r="B293" s="59" t="s">
        <v>188</v>
      </c>
      <c r="C293" s="60">
        <v>0.2986111111111111</v>
      </c>
      <c r="D293" s="59" t="s">
        <v>122</v>
      </c>
      <c r="E293" s="59" t="s">
        <v>74</v>
      </c>
      <c r="F293" s="59" t="s">
        <v>213</v>
      </c>
      <c r="G293" s="201"/>
      <c r="H293" s="61"/>
      <c r="I293" s="62"/>
      <c r="J293" s="62"/>
      <c r="K293" s="62"/>
      <c r="L293" s="62"/>
      <c r="M293" s="62"/>
      <c r="N293" s="62"/>
      <c r="O293" s="63"/>
      <c r="P293" s="62"/>
      <c r="Q293" s="64"/>
      <c r="R293" s="65"/>
    </row>
    <row r="294" spans="1:18" ht="15" customHeight="1" x14ac:dyDescent="0.3">
      <c r="A294" s="68" t="s">
        <v>140</v>
      </c>
      <c r="B294" s="68" t="s">
        <v>146</v>
      </c>
      <c r="C294" s="69">
        <v>4.8611111111111112E-2</v>
      </c>
      <c r="D294" s="68" t="s">
        <v>122</v>
      </c>
      <c r="E294" s="68" t="s">
        <v>77</v>
      </c>
      <c r="F294" s="68" t="s">
        <v>213</v>
      </c>
      <c r="G294" s="201"/>
      <c r="H294" s="61"/>
      <c r="I294" s="62"/>
      <c r="J294" s="62"/>
      <c r="K294" s="62"/>
      <c r="L294" s="62"/>
      <c r="M294" s="62"/>
      <c r="N294" s="62"/>
      <c r="O294" s="63"/>
      <c r="P294" s="62"/>
      <c r="Q294" s="64"/>
      <c r="R294" s="65"/>
    </row>
    <row r="295" spans="1:18" ht="15" customHeight="1" x14ac:dyDescent="0.3">
      <c r="A295" s="68" t="s">
        <v>140</v>
      </c>
      <c r="B295" s="68" t="s">
        <v>141</v>
      </c>
      <c r="C295" s="69">
        <v>0.97222222222222221</v>
      </c>
      <c r="D295" s="68" t="s">
        <v>122</v>
      </c>
      <c r="E295" s="68" t="s">
        <v>77</v>
      </c>
      <c r="F295" s="68" t="s">
        <v>214</v>
      </c>
      <c r="G295" s="201"/>
      <c r="H295" s="61"/>
      <c r="I295" s="62"/>
      <c r="J295" s="62"/>
      <c r="K295" s="62"/>
      <c r="L295" s="62"/>
      <c r="M295" s="62"/>
      <c r="N295" s="62"/>
      <c r="O295" s="63"/>
      <c r="P295" s="62"/>
      <c r="Q295" s="64"/>
      <c r="R295" s="65"/>
    </row>
    <row r="296" spans="1:18" ht="15" customHeight="1" x14ac:dyDescent="0.3">
      <c r="A296" s="68" t="s">
        <v>140</v>
      </c>
      <c r="B296" s="68" t="s">
        <v>215</v>
      </c>
      <c r="C296" s="69">
        <v>0.1041666666666667</v>
      </c>
      <c r="D296" s="68" t="s">
        <v>122</v>
      </c>
      <c r="E296" s="68" t="s">
        <v>77</v>
      </c>
      <c r="F296" s="68" t="s">
        <v>214</v>
      </c>
      <c r="G296" s="201"/>
      <c r="H296" s="61"/>
      <c r="I296" s="62"/>
      <c r="J296" s="62"/>
      <c r="K296" s="62"/>
      <c r="L296" s="62"/>
      <c r="M296" s="62"/>
      <c r="N296" s="62"/>
      <c r="O296" s="63"/>
      <c r="P296" s="62"/>
      <c r="Q296" s="64"/>
      <c r="R296" s="65"/>
    </row>
    <row r="297" spans="1:18" ht="15" customHeight="1" x14ac:dyDescent="0.3">
      <c r="A297" s="68" t="s">
        <v>140</v>
      </c>
      <c r="B297" s="68" t="s">
        <v>145</v>
      </c>
      <c r="C297" s="69">
        <v>0.78472222222222221</v>
      </c>
      <c r="D297" s="68" t="s">
        <v>122</v>
      </c>
      <c r="E297" s="68" t="s">
        <v>77</v>
      </c>
      <c r="F297" s="68" t="s">
        <v>142</v>
      </c>
      <c r="G297" s="201"/>
      <c r="H297" s="61"/>
      <c r="I297" s="62"/>
      <c r="J297" s="62"/>
      <c r="K297" s="62"/>
      <c r="L297" s="62"/>
      <c r="M297" s="62"/>
      <c r="N297" s="62"/>
      <c r="O297" s="63"/>
      <c r="P297" s="62"/>
      <c r="Q297" s="64"/>
      <c r="R297" s="65"/>
    </row>
    <row r="298" spans="1:18" ht="15" customHeight="1" x14ac:dyDescent="0.3">
      <c r="A298" s="68" t="s">
        <v>140</v>
      </c>
      <c r="B298" s="68" t="s">
        <v>216</v>
      </c>
      <c r="C298" s="69">
        <v>0.59722222222222221</v>
      </c>
      <c r="D298" s="68" t="s">
        <v>122</v>
      </c>
      <c r="E298" s="68" t="s">
        <v>77</v>
      </c>
      <c r="F298" s="68" t="s">
        <v>142</v>
      </c>
      <c r="G298" s="201"/>
      <c r="H298" s="61"/>
      <c r="I298" s="62"/>
      <c r="J298" s="62"/>
      <c r="K298" s="62"/>
      <c r="L298" s="62"/>
      <c r="M298" s="62"/>
      <c r="N298" s="62"/>
      <c r="O298" s="63"/>
      <c r="P298" s="62"/>
      <c r="Q298" s="64"/>
      <c r="R298" s="65"/>
    </row>
    <row r="299" spans="1:18" ht="15" customHeight="1" x14ac:dyDescent="0.3">
      <c r="A299" s="68" t="s">
        <v>140</v>
      </c>
      <c r="B299" s="68" t="s">
        <v>143</v>
      </c>
      <c r="C299" s="69">
        <v>0.83680555555555547</v>
      </c>
      <c r="D299" s="68" t="s">
        <v>122</v>
      </c>
      <c r="E299" s="68" t="s">
        <v>77</v>
      </c>
      <c r="F299" s="68" t="s">
        <v>217</v>
      </c>
      <c r="G299" s="201"/>
      <c r="H299" s="61"/>
      <c r="I299" s="62"/>
      <c r="J299" s="62"/>
      <c r="K299" s="62"/>
      <c r="L299" s="62"/>
      <c r="M299" s="62"/>
      <c r="N299" s="62"/>
      <c r="O299" s="63"/>
      <c r="P299" s="62"/>
      <c r="Q299" s="64"/>
      <c r="R299" s="65"/>
    </row>
    <row r="300" spans="1:18" ht="15" customHeight="1" x14ac:dyDescent="0.3">
      <c r="A300" s="59" t="s">
        <v>115</v>
      </c>
      <c r="B300" s="59" t="s">
        <v>116</v>
      </c>
      <c r="C300" s="60">
        <v>0.48958333333333331</v>
      </c>
      <c r="D300" s="59" t="s">
        <v>117</v>
      </c>
      <c r="E300" s="59" t="s">
        <v>74</v>
      </c>
      <c r="F300" s="59" t="s">
        <v>123</v>
      </c>
      <c r="G300" s="201"/>
      <c r="H300" s="61"/>
      <c r="I300" s="62"/>
      <c r="J300" s="62"/>
      <c r="K300" s="62"/>
      <c r="L300" s="62"/>
      <c r="M300" s="62"/>
      <c r="N300" s="62"/>
      <c r="O300" s="63"/>
      <c r="P300" s="62"/>
      <c r="Q300" s="64"/>
      <c r="R300" s="65"/>
    </row>
    <row r="301" spans="1:18" ht="15" customHeight="1" x14ac:dyDescent="0.3">
      <c r="A301" s="68" t="s">
        <v>115</v>
      </c>
      <c r="B301" s="68" t="s">
        <v>121</v>
      </c>
      <c r="C301" s="69">
        <v>0.82986111111111116</v>
      </c>
      <c r="D301" s="68" t="s">
        <v>122</v>
      </c>
      <c r="E301" s="68" t="s">
        <v>77</v>
      </c>
      <c r="F301" s="68" t="s">
        <v>123</v>
      </c>
      <c r="G301" s="201"/>
      <c r="H301" s="61"/>
      <c r="I301" s="62"/>
      <c r="J301" s="62"/>
      <c r="K301" s="62"/>
      <c r="L301" s="62"/>
      <c r="M301" s="62"/>
      <c r="N301" s="62"/>
      <c r="O301" s="63"/>
      <c r="P301" s="62"/>
      <c r="Q301" s="64"/>
      <c r="R301" s="65"/>
    </row>
    <row r="302" spans="1:18" ht="15" customHeight="1" x14ac:dyDescent="0.3">
      <c r="A302" s="66" t="s">
        <v>115</v>
      </c>
      <c r="B302" s="66" t="s">
        <v>121</v>
      </c>
      <c r="C302" s="67">
        <v>0.82986111111111116</v>
      </c>
      <c r="D302" s="66" t="s">
        <v>117</v>
      </c>
      <c r="E302" s="66" t="s">
        <v>124</v>
      </c>
      <c r="F302" s="66" t="s">
        <v>123</v>
      </c>
      <c r="G302" s="201"/>
      <c r="H302" s="61"/>
      <c r="I302" s="62"/>
      <c r="J302" s="62"/>
      <c r="K302" s="62"/>
      <c r="L302" s="62"/>
      <c r="M302" s="62"/>
      <c r="N302" s="62"/>
      <c r="O302" s="63"/>
      <c r="P302" s="62"/>
      <c r="Q302" s="64"/>
      <c r="R302" s="65"/>
    </row>
    <row r="303" spans="1:18" ht="15" customHeight="1" x14ac:dyDescent="0.3">
      <c r="A303" s="68" t="s">
        <v>115</v>
      </c>
      <c r="B303" s="68" t="s">
        <v>137</v>
      </c>
      <c r="C303" s="69">
        <v>0.72222222222222221</v>
      </c>
      <c r="D303" s="68" t="s">
        <v>117</v>
      </c>
      <c r="E303" s="68" t="s">
        <v>77</v>
      </c>
      <c r="F303" s="68" t="s">
        <v>123</v>
      </c>
      <c r="G303" s="201"/>
      <c r="H303" s="61"/>
      <c r="I303" s="62"/>
      <c r="J303" s="62"/>
      <c r="K303" s="62"/>
      <c r="L303" s="62"/>
      <c r="M303" s="62"/>
      <c r="N303" s="62"/>
      <c r="O303" s="63"/>
      <c r="P303" s="62"/>
      <c r="Q303" s="64"/>
      <c r="R303" s="65"/>
    </row>
    <row r="304" spans="1:18" ht="15" customHeight="1" x14ac:dyDescent="0.3">
      <c r="A304" s="68" t="s">
        <v>115</v>
      </c>
      <c r="B304" s="68" t="s">
        <v>131</v>
      </c>
      <c r="C304" s="69">
        <v>0.11805555555555559</v>
      </c>
      <c r="D304" s="68" t="s">
        <v>122</v>
      </c>
      <c r="E304" s="68" t="s">
        <v>77</v>
      </c>
      <c r="F304" s="68" t="s">
        <v>123</v>
      </c>
      <c r="G304" s="201"/>
      <c r="H304" s="61"/>
      <c r="I304" s="62"/>
      <c r="J304" s="62"/>
      <c r="K304" s="62"/>
      <c r="L304" s="62"/>
      <c r="M304" s="62"/>
      <c r="N304" s="62"/>
      <c r="O304" s="63"/>
      <c r="P304" s="62"/>
      <c r="Q304" s="64"/>
      <c r="R304" s="65"/>
    </row>
    <row r="305" spans="1:18" ht="15" customHeight="1" x14ac:dyDescent="0.3">
      <c r="A305" s="66" t="s">
        <v>115</v>
      </c>
      <c r="B305" s="66" t="s">
        <v>131</v>
      </c>
      <c r="C305" s="67">
        <v>0.11805555555555559</v>
      </c>
      <c r="D305" s="66" t="s">
        <v>117</v>
      </c>
      <c r="E305" s="66" t="s">
        <v>124</v>
      </c>
      <c r="F305" s="66" t="s">
        <v>123</v>
      </c>
      <c r="G305" s="201"/>
      <c r="H305" s="61"/>
      <c r="I305" s="62"/>
      <c r="J305" s="62"/>
      <c r="K305" s="62"/>
      <c r="L305" s="62"/>
      <c r="M305" s="62"/>
      <c r="N305" s="62"/>
      <c r="O305" s="63"/>
      <c r="P305" s="62"/>
      <c r="Q305" s="64"/>
      <c r="R305" s="65"/>
    </row>
    <row r="306" spans="1:18" ht="15" customHeight="1" x14ac:dyDescent="0.3">
      <c r="A306" s="68" t="s">
        <v>115</v>
      </c>
      <c r="B306" s="68" t="s">
        <v>133</v>
      </c>
      <c r="C306" s="69">
        <v>0.25347222222222221</v>
      </c>
      <c r="D306" s="68" t="s">
        <v>122</v>
      </c>
      <c r="E306" s="68" t="s">
        <v>77</v>
      </c>
      <c r="F306" s="68" t="s">
        <v>123</v>
      </c>
      <c r="G306" s="201"/>
      <c r="H306" s="61"/>
      <c r="I306" s="62"/>
      <c r="J306" s="62"/>
      <c r="K306" s="62"/>
      <c r="L306" s="62"/>
      <c r="M306" s="62"/>
      <c r="N306" s="62"/>
      <c r="O306" s="63"/>
      <c r="P306" s="62"/>
      <c r="Q306" s="64"/>
      <c r="R306" s="65"/>
    </row>
    <row r="307" spans="1:18" ht="15" customHeight="1" x14ac:dyDescent="0.3">
      <c r="A307" s="66" t="s">
        <v>115</v>
      </c>
      <c r="B307" s="66" t="s">
        <v>133</v>
      </c>
      <c r="C307" s="67">
        <v>0.25347222222222221</v>
      </c>
      <c r="D307" s="66" t="s">
        <v>117</v>
      </c>
      <c r="E307" s="66" t="s">
        <v>124</v>
      </c>
      <c r="F307" s="66" t="s">
        <v>123</v>
      </c>
      <c r="G307" s="201"/>
      <c r="H307" s="61"/>
      <c r="I307" s="62"/>
      <c r="J307" s="62"/>
      <c r="K307" s="62"/>
      <c r="L307" s="62"/>
      <c r="M307" s="62"/>
      <c r="N307" s="62"/>
      <c r="O307" s="63"/>
      <c r="P307" s="62"/>
      <c r="Q307" s="64"/>
      <c r="R307" s="65"/>
    </row>
    <row r="308" spans="1:18" ht="15" customHeight="1" x14ac:dyDescent="0.3">
      <c r="A308" s="68" t="s">
        <v>115</v>
      </c>
      <c r="B308" s="68" t="s">
        <v>119</v>
      </c>
      <c r="C308" s="69">
        <v>4.1666666666666657E-2</v>
      </c>
      <c r="D308" s="68" t="s">
        <v>122</v>
      </c>
      <c r="E308" s="68" t="s">
        <v>77</v>
      </c>
      <c r="F308" s="68" t="s">
        <v>123</v>
      </c>
      <c r="G308" s="201"/>
      <c r="H308" s="61"/>
      <c r="I308" s="62"/>
      <c r="J308" s="62"/>
      <c r="K308" s="62"/>
      <c r="L308" s="62"/>
      <c r="M308" s="62"/>
      <c r="N308" s="62"/>
      <c r="O308" s="63"/>
      <c r="P308" s="62"/>
      <c r="Q308" s="64"/>
      <c r="R308" s="65"/>
    </row>
    <row r="309" spans="1:18" ht="15" customHeight="1" x14ac:dyDescent="0.3">
      <c r="A309" s="66" t="s">
        <v>115</v>
      </c>
      <c r="B309" s="66" t="s">
        <v>119</v>
      </c>
      <c r="C309" s="67">
        <v>4.1666666666666657E-2</v>
      </c>
      <c r="D309" s="66" t="s">
        <v>117</v>
      </c>
      <c r="E309" s="66" t="s">
        <v>124</v>
      </c>
      <c r="F309" s="66" t="s">
        <v>123</v>
      </c>
      <c r="G309" s="201"/>
      <c r="H309" s="61"/>
      <c r="I309" s="62"/>
      <c r="J309" s="62"/>
      <c r="K309" s="62"/>
      <c r="L309" s="62"/>
      <c r="M309" s="62"/>
      <c r="N309" s="62"/>
      <c r="O309" s="63"/>
      <c r="P309" s="62"/>
      <c r="Q309" s="64"/>
      <c r="R309" s="65"/>
    </row>
    <row r="310" spans="1:18" ht="15" customHeight="1" x14ac:dyDescent="0.3">
      <c r="A310" s="68" t="s">
        <v>115</v>
      </c>
      <c r="B310" s="68" t="s">
        <v>135</v>
      </c>
      <c r="C310" s="69">
        <v>0.94097222222222221</v>
      </c>
      <c r="D310" s="68" t="s">
        <v>122</v>
      </c>
      <c r="E310" s="68" t="s">
        <v>77</v>
      </c>
      <c r="F310" s="68" t="s">
        <v>123</v>
      </c>
      <c r="G310" s="201"/>
      <c r="H310" s="61"/>
      <c r="I310" s="62"/>
      <c r="J310" s="62"/>
      <c r="K310" s="62"/>
      <c r="L310" s="62"/>
      <c r="M310" s="62"/>
      <c r="N310" s="62"/>
      <c r="O310" s="63"/>
      <c r="P310" s="62"/>
      <c r="Q310" s="64"/>
      <c r="R310" s="65"/>
    </row>
    <row r="311" spans="1:18" ht="15" customHeight="1" x14ac:dyDescent="0.3">
      <c r="A311" s="66" t="s">
        <v>115</v>
      </c>
      <c r="B311" s="66" t="s">
        <v>135</v>
      </c>
      <c r="C311" s="67">
        <v>0.94097222222222221</v>
      </c>
      <c r="D311" s="66" t="s">
        <v>117</v>
      </c>
      <c r="E311" s="66" t="s">
        <v>124</v>
      </c>
      <c r="F311" s="66" t="s">
        <v>123</v>
      </c>
      <c r="G311" s="201"/>
      <c r="H311" s="61"/>
      <c r="I311" s="62"/>
      <c r="J311" s="62"/>
      <c r="K311" s="62"/>
      <c r="L311" s="62"/>
      <c r="M311" s="62"/>
      <c r="N311" s="62"/>
      <c r="O311" s="63"/>
      <c r="P311" s="62"/>
      <c r="Q311" s="64"/>
      <c r="R311" s="65"/>
    </row>
    <row r="312" spans="1:18" ht="15" customHeight="1" x14ac:dyDescent="0.3">
      <c r="A312" s="68" t="s">
        <v>115</v>
      </c>
      <c r="B312" s="68" t="s">
        <v>139</v>
      </c>
      <c r="C312" s="69">
        <v>0.70138888888888884</v>
      </c>
      <c r="D312" s="68" t="s">
        <v>117</v>
      </c>
      <c r="E312" s="68" t="s">
        <v>77</v>
      </c>
      <c r="F312" s="68" t="s">
        <v>132</v>
      </c>
      <c r="G312" s="201"/>
      <c r="H312" s="61"/>
      <c r="I312" s="62"/>
      <c r="J312" s="62"/>
      <c r="K312" s="62"/>
      <c r="L312" s="62"/>
      <c r="M312" s="62"/>
      <c r="N312" s="62"/>
      <c r="O312" s="63"/>
      <c r="P312" s="62"/>
      <c r="Q312" s="64"/>
      <c r="R312" s="65"/>
    </row>
    <row r="313" spans="1:18" ht="15" customHeight="1" x14ac:dyDescent="0.3">
      <c r="A313" s="68" t="s">
        <v>115</v>
      </c>
      <c r="B313" s="68" t="s">
        <v>125</v>
      </c>
      <c r="C313" s="69">
        <v>0.98958333333333337</v>
      </c>
      <c r="D313" s="68" t="s">
        <v>122</v>
      </c>
      <c r="E313" s="68" t="s">
        <v>63</v>
      </c>
      <c r="F313" s="68" t="s">
        <v>218</v>
      </c>
      <c r="G313" s="201"/>
      <c r="H313" s="61"/>
      <c r="I313" s="62"/>
      <c r="J313" s="62"/>
      <c r="K313" s="62"/>
      <c r="L313" s="62"/>
      <c r="M313" s="62"/>
      <c r="N313" s="62"/>
      <c r="O313" s="63"/>
      <c r="P313" s="62"/>
      <c r="Q313" s="64"/>
      <c r="R313" s="65"/>
    </row>
    <row r="314" spans="1:18" ht="15" customHeight="1" x14ac:dyDescent="0.3">
      <c r="A314" s="66" t="s">
        <v>115</v>
      </c>
      <c r="B314" s="66" t="s">
        <v>125</v>
      </c>
      <c r="C314" s="67">
        <v>0.98958333333333337</v>
      </c>
      <c r="D314" s="66" t="s">
        <v>117</v>
      </c>
      <c r="E314" s="66" t="s">
        <v>64</v>
      </c>
      <c r="F314" s="66" t="s">
        <v>218</v>
      </c>
      <c r="G314" s="201"/>
      <c r="H314" s="61"/>
      <c r="I314" s="62"/>
      <c r="J314" s="62"/>
      <c r="K314" s="62"/>
      <c r="L314" s="62"/>
      <c r="M314" s="62"/>
      <c r="N314" s="62"/>
      <c r="O314" s="63"/>
      <c r="P314" s="62"/>
      <c r="Q314" s="64"/>
      <c r="R314" s="65"/>
    </row>
    <row r="315" spans="1:18" ht="15" customHeight="1" x14ac:dyDescent="0.3">
      <c r="A315" s="68" t="s">
        <v>115</v>
      </c>
      <c r="B315" s="68" t="s">
        <v>127</v>
      </c>
      <c r="C315" s="69">
        <v>0.39930555555555558</v>
      </c>
      <c r="D315" s="68" t="s">
        <v>117</v>
      </c>
      <c r="E315" s="68" t="s">
        <v>63</v>
      </c>
      <c r="F315" s="68" t="s">
        <v>218</v>
      </c>
      <c r="G315" s="201"/>
      <c r="H315" s="61"/>
      <c r="I315" s="62"/>
      <c r="J315" s="62"/>
      <c r="K315" s="62"/>
      <c r="L315" s="62"/>
      <c r="M315" s="62"/>
      <c r="N315" s="62"/>
      <c r="O315" s="63"/>
      <c r="P315" s="62"/>
      <c r="Q315" s="64"/>
      <c r="R315" s="65"/>
    </row>
    <row r="316" spans="1:18" ht="15" customHeight="1" x14ac:dyDescent="0.3">
      <c r="A316" s="68" t="s">
        <v>115</v>
      </c>
      <c r="B316" s="68" t="s">
        <v>128</v>
      </c>
      <c r="C316" s="69">
        <v>0.48958333333333331</v>
      </c>
      <c r="D316" s="68" t="s">
        <v>117</v>
      </c>
      <c r="E316" s="68" t="s">
        <v>63</v>
      </c>
      <c r="F316" s="68" t="s">
        <v>218</v>
      </c>
      <c r="G316" s="201"/>
      <c r="H316" s="61"/>
      <c r="I316" s="62"/>
      <c r="J316" s="62"/>
      <c r="K316" s="62"/>
      <c r="L316" s="62"/>
      <c r="M316" s="62"/>
      <c r="N316" s="62"/>
      <c r="O316" s="63"/>
      <c r="P316" s="62"/>
      <c r="Q316" s="64"/>
      <c r="R316" s="65"/>
    </row>
    <row r="317" spans="1:18" ht="15" customHeight="1" x14ac:dyDescent="0.3">
      <c r="A317" s="68" t="s">
        <v>115</v>
      </c>
      <c r="B317" s="68" t="s">
        <v>130</v>
      </c>
      <c r="C317" s="69">
        <v>0.88888888888888884</v>
      </c>
      <c r="D317" s="68" t="s">
        <v>122</v>
      </c>
      <c r="E317" s="68" t="s">
        <v>63</v>
      </c>
      <c r="F317" s="68" t="s">
        <v>218</v>
      </c>
      <c r="G317" s="201"/>
      <c r="H317" s="61"/>
      <c r="I317" s="62"/>
      <c r="J317" s="62"/>
      <c r="K317" s="62"/>
      <c r="L317" s="62"/>
      <c r="M317" s="62"/>
      <c r="N317" s="62"/>
      <c r="O317" s="63"/>
      <c r="P317" s="62"/>
      <c r="Q317" s="64"/>
      <c r="R317" s="65"/>
    </row>
    <row r="318" spans="1:18" ht="15" customHeight="1" thickBot="1" x14ac:dyDescent="0.35">
      <c r="A318" s="125" t="s">
        <v>115</v>
      </c>
      <c r="B318" s="125" t="s">
        <v>130</v>
      </c>
      <c r="C318" s="126">
        <v>0.88888888888888884</v>
      </c>
      <c r="D318" s="125" t="s">
        <v>117</v>
      </c>
      <c r="E318" s="125" t="s">
        <v>64</v>
      </c>
      <c r="F318" s="125" t="s">
        <v>218</v>
      </c>
      <c r="G318" s="202"/>
      <c r="H318" s="72"/>
      <c r="I318" s="73"/>
      <c r="J318" s="73"/>
      <c r="K318" s="73"/>
      <c r="L318" s="73"/>
      <c r="M318" s="73"/>
      <c r="N318" s="73"/>
      <c r="O318" s="74"/>
      <c r="P318" s="73"/>
      <c r="Q318" s="75"/>
      <c r="R318" s="76"/>
    </row>
    <row r="319" spans="1:18" ht="17.399999999999999" customHeight="1" thickBot="1" x14ac:dyDescent="0.35">
      <c r="A319" s="235"/>
      <c r="B319" s="236"/>
      <c r="C319" s="236"/>
      <c r="D319" s="236"/>
      <c r="E319" s="236"/>
      <c r="F319" s="236"/>
      <c r="G319" s="236"/>
      <c r="H319" s="236"/>
      <c r="I319" s="236"/>
      <c r="J319" s="236"/>
      <c r="K319" s="236"/>
      <c r="L319" s="236"/>
      <c r="M319" s="236"/>
      <c r="N319" s="236"/>
      <c r="O319" s="236"/>
      <c r="P319" s="236"/>
      <c r="Q319" s="236"/>
      <c r="R319" s="237"/>
    </row>
    <row r="320" spans="1:18" ht="22.05" customHeight="1" thickTop="1" thickBot="1" x14ac:dyDescent="0.35">
      <c r="A320" s="203" t="s">
        <v>6</v>
      </c>
      <c r="B320" s="204"/>
      <c r="C320" s="204"/>
      <c r="D320" s="204"/>
      <c r="E320" s="204"/>
      <c r="F320" s="205"/>
      <c r="G320" s="77">
        <v>45990</v>
      </c>
      <c r="H320" s="212" t="s">
        <v>7</v>
      </c>
      <c r="I320" s="204"/>
      <c r="J320" s="204"/>
      <c r="K320" s="204"/>
      <c r="L320" s="204"/>
      <c r="M320" s="204"/>
      <c r="N320" s="204"/>
      <c r="O320" s="204"/>
      <c r="P320" s="204"/>
      <c r="Q320" s="204"/>
      <c r="R320" s="205"/>
    </row>
    <row r="321" spans="1:18" ht="24" customHeight="1" x14ac:dyDescent="0.3">
      <c r="A321" s="78" t="s">
        <v>8</v>
      </c>
      <c r="B321" s="78" t="s">
        <v>9</v>
      </c>
      <c r="C321" s="79" t="s">
        <v>10</v>
      </c>
      <c r="D321" s="78" t="s">
        <v>11</v>
      </c>
      <c r="E321" s="78" t="s">
        <v>12</v>
      </c>
      <c r="F321" s="80" t="s">
        <v>13</v>
      </c>
      <c r="G321" s="81" t="s">
        <v>14</v>
      </c>
      <c r="H321" s="78" t="s">
        <v>15</v>
      </c>
      <c r="I321" s="82" t="s">
        <v>16</v>
      </c>
      <c r="J321" s="83" t="s">
        <v>17</v>
      </c>
      <c r="K321" s="84" t="s">
        <v>18</v>
      </c>
      <c r="L321" s="83" t="s">
        <v>19</v>
      </c>
      <c r="M321" s="83" t="s">
        <v>20</v>
      </c>
      <c r="N321" s="83" t="s">
        <v>21</v>
      </c>
      <c r="O321" s="78" t="s">
        <v>22</v>
      </c>
      <c r="P321" s="79" t="s">
        <v>23</v>
      </c>
      <c r="Q321" s="83" t="s">
        <v>24</v>
      </c>
      <c r="R321" s="78" t="s">
        <v>25</v>
      </c>
    </row>
    <row r="322" spans="1:18" ht="15" customHeight="1" x14ac:dyDescent="0.3">
      <c r="A322" s="120" t="s">
        <v>108</v>
      </c>
      <c r="B322" s="120" t="s">
        <v>155</v>
      </c>
      <c r="C322" s="121">
        <v>0.1701388888888889</v>
      </c>
      <c r="D322" s="120" t="s">
        <v>110</v>
      </c>
      <c r="E322" s="120" t="s">
        <v>156</v>
      </c>
      <c r="F322" s="120" t="s">
        <v>219</v>
      </c>
      <c r="G322" s="200"/>
      <c r="H322" s="61"/>
      <c r="I322" s="62"/>
      <c r="J322" s="62"/>
      <c r="K322" s="62"/>
      <c r="L322" s="62"/>
      <c r="M322" s="62"/>
      <c r="N322" s="62"/>
      <c r="O322" s="63"/>
      <c r="P322" s="62"/>
      <c r="Q322" s="64"/>
      <c r="R322" s="65"/>
    </row>
    <row r="323" spans="1:18" ht="15" customHeight="1" x14ac:dyDescent="0.3">
      <c r="A323" s="66" t="s">
        <v>108</v>
      </c>
      <c r="B323" s="66" t="s">
        <v>155</v>
      </c>
      <c r="C323" s="67">
        <v>0.1701388888888889</v>
      </c>
      <c r="D323" s="66" t="s">
        <v>113</v>
      </c>
      <c r="E323" s="66" t="s">
        <v>71</v>
      </c>
      <c r="F323" s="66" t="s">
        <v>219</v>
      </c>
      <c r="G323" s="201"/>
      <c r="H323" s="61"/>
      <c r="I323" s="62"/>
      <c r="J323" s="62"/>
      <c r="K323" s="62"/>
      <c r="L323" s="62"/>
      <c r="M323" s="62"/>
      <c r="N323" s="62"/>
      <c r="O323" s="63"/>
      <c r="P323" s="62"/>
      <c r="Q323" s="64"/>
      <c r="R323" s="65"/>
    </row>
    <row r="324" spans="1:18" ht="15" customHeight="1" x14ac:dyDescent="0.3">
      <c r="A324" s="66" t="s">
        <v>108</v>
      </c>
      <c r="B324" s="66" t="s">
        <v>155</v>
      </c>
      <c r="C324" s="67">
        <v>0.1701388888888889</v>
      </c>
      <c r="D324" s="66" t="s">
        <v>60</v>
      </c>
      <c r="E324" s="66" t="s">
        <v>71</v>
      </c>
      <c r="F324" s="66" t="s">
        <v>220</v>
      </c>
      <c r="G324" s="201"/>
      <c r="H324" s="61"/>
      <c r="I324" s="62"/>
      <c r="J324" s="62"/>
      <c r="K324" s="62"/>
      <c r="L324" s="62"/>
      <c r="M324" s="62"/>
      <c r="N324" s="62"/>
      <c r="O324" s="63"/>
      <c r="P324" s="62"/>
      <c r="Q324" s="64"/>
      <c r="R324" s="65"/>
    </row>
    <row r="325" spans="1:18" ht="15" customHeight="1" x14ac:dyDescent="0.3">
      <c r="A325" s="68" t="s">
        <v>108</v>
      </c>
      <c r="B325" s="68" t="s">
        <v>109</v>
      </c>
      <c r="C325" s="69">
        <v>5.5555555555555552E-2</v>
      </c>
      <c r="D325" s="68" t="s">
        <v>113</v>
      </c>
      <c r="E325" s="68" t="s">
        <v>70</v>
      </c>
      <c r="F325" s="68" t="s">
        <v>221</v>
      </c>
      <c r="G325" s="201"/>
      <c r="H325" s="61"/>
      <c r="I325" s="62"/>
      <c r="J325" s="62"/>
      <c r="K325" s="62"/>
      <c r="L325" s="62"/>
      <c r="M325" s="62"/>
      <c r="N325" s="62"/>
      <c r="O325" s="63"/>
      <c r="P325" s="62"/>
      <c r="Q325" s="64"/>
      <c r="R325" s="65"/>
    </row>
    <row r="326" spans="1:18" ht="15" customHeight="1" x14ac:dyDescent="0.3">
      <c r="A326" s="66" t="s">
        <v>108</v>
      </c>
      <c r="B326" s="66" t="s">
        <v>109</v>
      </c>
      <c r="C326" s="67">
        <v>5.5555555555555552E-2</v>
      </c>
      <c r="D326" s="66" t="s">
        <v>60</v>
      </c>
      <c r="E326" s="66" t="s">
        <v>71</v>
      </c>
      <c r="F326" s="66" t="s">
        <v>222</v>
      </c>
      <c r="G326" s="201"/>
      <c r="H326" s="61"/>
      <c r="I326" s="62"/>
      <c r="J326" s="62"/>
      <c r="K326" s="62"/>
      <c r="L326" s="62"/>
      <c r="M326" s="62"/>
      <c r="N326" s="62"/>
      <c r="O326" s="63"/>
      <c r="P326" s="62"/>
      <c r="Q326" s="64"/>
      <c r="R326" s="65"/>
    </row>
    <row r="327" spans="1:18" ht="15" customHeight="1" x14ac:dyDescent="0.3">
      <c r="A327" s="59" t="s">
        <v>72</v>
      </c>
      <c r="B327" s="59" t="s">
        <v>73</v>
      </c>
      <c r="C327" s="60">
        <v>4.1666666666666657E-2</v>
      </c>
      <c r="D327" s="59" t="s">
        <v>28</v>
      </c>
      <c r="E327" s="59" t="s">
        <v>82</v>
      </c>
      <c r="F327" s="59" t="s">
        <v>182</v>
      </c>
      <c r="G327" s="201"/>
      <c r="H327" s="61"/>
      <c r="I327" s="62"/>
      <c r="J327" s="62"/>
      <c r="K327" s="62"/>
      <c r="L327" s="62"/>
      <c r="M327" s="62"/>
      <c r="N327" s="62"/>
      <c r="O327" s="63"/>
      <c r="P327" s="62"/>
      <c r="Q327" s="64"/>
      <c r="R327" s="65"/>
    </row>
    <row r="328" spans="1:18" ht="15" customHeight="1" x14ac:dyDescent="0.3">
      <c r="A328" s="68" t="s">
        <v>72</v>
      </c>
      <c r="B328" s="68" t="s">
        <v>76</v>
      </c>
      <c r="C328" s="69">
        <v>0.49305555555555558</v>
      </c>
      <c r="D328" s="68" t="s">
        <v>28</v>
      </c>
      <c r="E328" s="68" t="s">
        <v>77</v>
      </c>
      <c r="F328" s="68" t="s">
        <v>208</v>
      </c>
      <c r="G328" s="201"/>
      <c r="H328" s="61"/>
      <c r="I328" s="62"/>
      <c r="J328" s="62"/>
      <c r="K328" s="62"/>
      <c r="L328" s="62"/>
      <c r="M328" s="62"/>
      <c r="N328" s="62"/>
      <c r="O328" s="63"/>
      <c r="P328" s="62"/>
      <c r="Q328" s="64"/>
      <c r="R328" s="65"/>
    </row>
    <row r="329" spans="1:18" ht="15" customHeight="1" x14ac:dyDescent="0.3">
      <c r="A329" s="59" t="s">
        <v>52</v>
      </c>
      <c r="B329" s="59" t="s">
        <v>53</v>
      </c>
      <c r="C329" s="60">
        <v>0.39930555555555558</v>
      </c>
      <c r="D329" s="59" t="s">
        <v>54</v>
      </c>
      <c r="E329" s="59" t="s">
        <v>111</v>
      </c>
      <c r="F329" s="59" t="s">
        <v>89</v>
      </c>
      <c r="G329" s="201"/>
      <c r="H329" s="61"/>
      <c r="I329" s="62"/>
      <c r="J329" s="62"/>
      <c r="K329" s="62"/>
      <c r="L329" s="62"/>
      <c r="M329" s="62"/>
      <c r="N329" s="62"/>
      <c r="O329" s="63"/>
      <c r="P329" s="62"/>
      <c r="Q329" s="64"/>
      <c r="R329" s="65"/>
    </row>
    <row r="330" spans="1:18" ht="15" customHeight="1" x14ac:dyDescent="0.3">
      <c r="A330" s="66" t="s">
        <v>52</v>
      </c>
      <c r="B330" s="66" t="s">
        <v>53</v>
      </c>
      <c r="C330" s="67">
        <v>0.39930555555555558</v>
      </c>
      <c r="D330" s="66" t="s">
        <v>56</v>
      </c>
      <c r="E330" s="66" t="s">
        <v>92</v>
      </c>
      <c r="F330" s="66" t="s">
        <v>89</v>
      </c>
      <c r="G330" s="201"/>
      <c r="H330" s="61"/>
      <c r="I330" s="62"/>
      <c r="J330" s="62"/>
      <c r="K330" s="62"/>
      <c r="L330" s="62"/>
      <c r="M330" s="62"/>
      <c r="N330" s="62"/>
      <c r="O330" s="63"/>
      <c r="P330" s="62"/>
      <c r="Q330" s="64"/>
      <c r="R330" s="65"/>
    </row>
    <row r="331" spans="1:18" ht="15" customHeight="1" x14ac:dyDescent="0.3">
      <c r="A331" s="66" t="s">
        <v>52</v>
      </c>
      <c r="B331" s="66" t="s">
        <v>53</v>
      </c>
      <c r="C331" s="67">
        <v>0.39930555555555558</v>
      </c>
      <c r="D331" s="66" t="s">
        <v>58</v>
      </c>
      <c r="E331" s="66" t="s">
        <v>92</v>
      </c>
      <c r="F331" s="66" t="s">
        <v>206</v>
      </c>
      <c r="G331" s="201"/>
      <c r="H331" s="61"/>
      <c r="I331" s="62"/>
      <c r="J331" s="62"/>
      <c r="K331" s="62"/>
      <c r="L331" s="62"/>
      <c r="M331" s="62"/>
      <c r="N331" s="62"/>
      <c r="O331" s="63"/>
      <c r="P331" s="62"/>
      <c r="Q331" s="64"/>
      <c r="R331" s="65"/>
    </row>
    <row r="332" spans="1:18" ht="15" customHeight="1" x14ac:dyDescent="0.3">
      <c r="A332" s="66" t="s">
        <v>52</v>
      </c>
      <c r="B332" s="66" t="s">
        <v>53</v>
      </c>
      <c r="C332" s="67">
        <v>0.39930555555555558</v>
      </c>
      <c r="D332" s="66" t="s">
        <v>60</v>
      </c>
      <c r="E332" s="66" t="s">
        <v>92</v>
      </c>
      <c r="F332" s="66" t="s">
        <v>207</v>
      </c>
      <c r="G332" s="201"/>
      <c r="H332" s="61"/>
      <c r="I332" s="62"/>
      <c r="J332" s="62"/>
      <c r="K332" s="62"/>
      <c r="L332" s="62"/>
      <c r="M332" s="62"/>
      <c r="N332" s="62"/>
      <c r="O332" s="63"/>
      <c r="P332" s="62"/>
      <c r="Q332" s="64"/>
      <c r="R332" s="65"/>
    </row>
    <row r="333" spans="1:18" ht="15" customHeight="1" x14ac:dyDescent="0.3">
      <c r="A333" s="68" t="s">
        <v>52</v>
      </c>
      <c r="B333" s="68" t="s">
        <v>69</v>
      </c>
      <c r="C333" s="69">
        <v>0.98958333333333337</v>
      </c>
      <c r="D333" s="68" t="s">
        <v>54</v>
      </c>
      <c r="E333" s="68" t="s">
        <v>120</v>
      </c>
      <c r="F333" s="68" t="s">
        <v>89</v>
      </c>
      <c r="G333" s="201"/>
      <c r="H333" s="61"/>
      <c r="I333" s="62"/>
      <c r="J333" s="62"/>
      <c r="K333" s="62"/>
      <c r="L333" s="62"/>
      <c r="M333" s="62"/>
      <c r="N333" s="62"/>
      <c r="O333" s="63"/>
      <c r="P333" s="62"/>
      <c r="Q333" s="64"/>
      <c r="R333" s="65"/>
    </row>
    <row r="334" spans="1:18" ht="15" customHeight="1" x14ac:dyDescent="0.3">
      <c r="A334" s="66" t="s">
        <v>52</v>
      </c>
      <c r="B334" s="66" t="s">
        <v>69</v>
      </c>
      <c r="C334" s="67">
        <v>0.98958333333333337</v>
      </c>
      <c r="D334" s="66" t="s">
        <v>56</v>
      </c>
      <c r="E334" s="66" t="s">
        <v>136</v>
      </c>
      <c r="F334" s="66" t="s">
        <v>89</v>
      </c>
      <c r="G334" s="201"/>
      <c r="H334" s="61"/>
      <c r="I334" s="62"/>
      <c r="J334" s="62"/>
      <c r="K334" s="62"/>
      <c r="L334" s="62"/>
      <c r="M334" s="62"/>
      <c r="N334" s="62"/>
      <c r="O334" s="63"/>
      <c r="P334" s="62"/>
      <c r="Q334" s="64"/>
      <c r="R334" s="65"/>
    </row>
    <row r="335" spans="1:18" ht="15" customHeight="1" x14ac:dyDescent="0.3">
      <c r="A335" s="66" t="s">
        <v>52</v>
      </c>
      <c r="B335" s="66" t="s">
        <v>69</v>
      </c>
      <c r="C335" s="67">
        <v>0.98958333333333337</v>
      </c>
      <c r="D335" s="66" t="s">
        <v>58</v>
      </c>
      <c r="E335" s="66" t="s">
        <v>136</v>
      </c>
      <c r="F335" s="66" t="s">
        <v>206</v>
      </c>
      <c r="G335" s="201"/>
      <c r="H335" s="61"/>
      <c r="I335" s="62"/>
      <c r="J335" s="62"/>
      <c r="K335" s="62"/>
      <c r="L335" s="62"/>
      <c r="M335" s="62"/>
      <c r="N335" s="62"/>
      <c r="O335" s="63"/>
      <c r="P335" s="62"/>
      <c r="Q335" s="64"/>
      <c r="R335" s="65"/>
    </row>
    <row r="336" spans="1:18" ht="15" customHeight="1" x14ac:dyDescent="0.3">
      <c r="A336" s="66" t="s">
        <v>52</v>
      </c>
      <c r="B336" s="66" t="s">
        <v>69</v>
      </c>
      <c r="C336" s="67">
        <v>0.98958333333333337</v>
      </c>
      <c r="D336" s="66" t="s">
        <v>60</v>
      </c>
      <c r="E336" s="66" t="s">
        <v>136</v>
      </c>
      <c r="F336" s="66" t="s">
        <v>207</v>
      </c>
      <c r="G336" s="201"/>
      <c r="H336" s="61"/>
      <c r="I336" s="62"/>
      <c r="J336" s="62"/>
      <c r="K336" s="62"/>
      <c r="L336" s="62"/>
      <c r="M336" s="62"/>
      <c r="N336" s="62"/>
      <c r="O336" s="63"/>
      <c r="P336" s="62"/>
      <c r="Q336" s="64"/>
      <c r="R336" s="65"/>
    </row>
    <row r="337" spans="1:18" ht="15" customHeight="1" x14ac:dyDescent="0.3">
      <c r="A337" s="68" t="s">
        <v>52</v>
      </c>
      <c r="B337" s="68" t="s">
        <v>62</v>
      </c>
      <c r="C337" s="69">
        <v>0.48958333333333331</v>
      </c>
      <c r="D337" s="68" t="s">
        <v>54</v>
      </c>
      <c r="E337" s="68" t="s">
        <v>70</v>
      </c>
      <c r="F337" s="68" t="s">
        <v>181</v>
      </c>
      <c r="G337" s="201"/>
      <c r="H337" s="61"/>
      <c r="I337" s="62"/>
      <c r="J337" s="62"/>
      <c r="K337" s="62"/>
      <c r="L337" s="62"/>
      <c r="M337" s="62"/>
      <c r="N337" s="62"/>
      <c r="O337" s="63"/>
      <c r="P337" s="62"/>
      <c r="Q337" s="64"/>
      <c r="R337" s="65"/>
    </row>
    <row r="338" spans="1:18" ht="15" customHeight="1" x14ac:dyDescent="0.3">
      <c r="A338" s="66" t="s">
        <v>52</v>
      </c>
      <c r="B338" s="66" t="s">
        <v>62</v>
      </c>
      <c r="C338" s="67">
        <v>0.48958333333333331</v>
      </c>
      <c r="D338" s="66" t="s">
        <v>56</v>
      </c>
      <c r="E338" s="66" t="s">
        <v>71</v>
      </c>
      <c r="F338" s="66" t="s">
        <v>181</v>
      </c>
      <c r="G338" s="201"/>
      <c r="H338" s="61"/>
      <c r="I338" s="62"/>
      <c r="J338" s="62"/>
      <c r="K338" s="62"/>
      <c r="L338" s="62"/>
      <c r="M338" s="62"/>
      <c r="N338" s="62"/>
      <c r="O338" s="63"/>
      <c r="P338" s="62"/>
      <c r="Q338" s="64"/>
      <c r="R338" s="65"/>
    </row>
    <row r="339" spans="1:18" ht="15" customHeight="1" x14ac:dyDescent="0.3">
      <c r="A339" s="66" t="s">
        <v>52</v>
      </c>
      <c r="B339" s="66" t="s">
        <v>62</v>
      </c>
      <c r="C339" s="67">
        <v>0.48958333333333331</v>
      </c>
      <c r="D339" s="66" t="s">
        <v>58</v>
      </c>
      <c r="E339" s="66" t="s">
        <v>71</v>
      </c>
      <c r="F339" s="66" t="s">
        <v>185</v>
      </c>
      <c r="G339" s="201"/>
      <c r="H339" s="61"/>
      <c r="I339" s="62"/>
      <c r="J339" s="62"/>
      <c r="K339" s="62"/>
      <c r="L339" s="62"/>
      <c r="M339" s="62"/>
      <c r="N339" s="62"/>
      <c r="O339" s="63"/>
      <c r="P339" s="62"/>
      <c r="Q339" s="64"/>
      <c r="R339" s="65"/>
    </row>
    <row r="340" spans="1:18" ht="15" customHeight="1" x14ac:dyDescent="0.3">
      <c r="A340" s="66" t="s">
        <v>52</v>
      </c>
      <c r="B340" s="66" t="s">
        <v>62</v>
      </c>
      <c r="C340" s="67">
        <v>0.48958333333333331</v>
      </c>
      <c r="D340" s="66" t="s">
        <v>60</v>
      </c>
      <c r="E340" s="66" t="s">
        <v>71</v>
      </c>
      <c r="F340" s="66" t="s">
        <v>207</v>
      </c>
      <c r="G340" s="201"/>
      <c r="H340" s="61"/>
      <c r="I340" s="62"/>
      <c r="J340" s="62"/>
      <c r="K340" s="62"/>
      <c r="L340" s="62"/>
      <c r="M340" s="62"/>
      <c r="N340" s="62"/>
      <c r="O340" s="63"/>
      <c r="P340" s="62"/>
      <c r="Q340" s="64"/>
      <c r="R340" s="65"/>
    </row>
    <row r="341" spans="1:18" ht="15" customHeight="1" x14ac:dyDescent="0.3">
      <c r="A341" s="68" t="s">
        <v>52</v>
      </c>
      <c r="B341" s="68" t="s">
        <v>66</v>
      </c>
      <c r="C341" s="69">
        <v>0.88888888888888884</v>
      </c>
      <c r="D341" s="68" t="s">
        <v>54</v>
      </c>
      <c r="E341" s="68" t="s">
        <v>223</v>
      </c>
      <c r="F341" s="68" t="s">
        <v>181</v>
      </c>
      <c r="G341" s="201"/>
      <c r="H341" s="61"/>
      <c r="I341" s="62"/>
      <c r="J341" s="62"/>
      <c r="K341" s="62"/>
      <c r="L341" s="62"/>
      <c r="M341" s="62"/>
      <c r="N341" s="62"/>
      <c r="O341" s="63"/>
      <c r="P341" s="62"/>
      <c r="Q341" s="64"/>
      <c r="R341" s="65"/>
    </row>
    <row r="342" spans="1:18" ht="15" customHeight="1" x14ac:dyDescent="0.3">
      <c r="A342" s="66" t="s">
        <v>52</v>
      </c>
      <c r="B342" s="66" t="s">
        <v>66</v>
      </c>
      <c r="C342" s="67">
        <v>0.88888888888888884</v>
      </c>
      <c r="D342" s="66" t="s">
        <v>56</v>
      </c>
      <c r="E342" s="66" t="s">
        <v>224</v>
      </c>
      <c r="F342" s="66" t="s">
        <v>181</v>
      </c>
      <c r="G342" s="201"/>
      <c r="H342" s="61"/>
      <c r="I342" s="62"/>
      <c r="J342" s="62"/>
      <c r="K342" s="62"/>
      <c r="L342" s="62"/>
      <c r="M342" s="62"/>
      <c r="N342" s="62"/>
      <c r="O342" s="63"/>
      <c r="P342" s="62"/>
      <c r="Q342" s="64"/>
      <c r="R342" s="65"/>
    </row>
    <row r="343" spans="1:18" ht="15" customHeight="1" x14ac:dyDescent="0.3">
      <c r="A343" s="66" t="s">
        <v>52</v>
      </c>
      <c r="B343" s="66" t="s">
        <v>66</v>
      </c>
      <c r="C343" s="67">
        <v>0.88888888888888884</v>
      </c>
      <c r="D343" s="66" t="s">
        <v>58</v>
      </c>
      <c r="E343" s="66" t="s">
        <v>224</v>
      </c>
      <c r="F343" s="66" t="s">
        <v>185</v>
      </c>
      <c r="G343" s="201"/>
      <c r="H343" s="61"/>
      <c r="I343" s="62"/>
      <c r="J343" s="62"/>
      <c r="K343" s="62"/>
      <c r="L343" s="62"/>
      <c r="M343" s="62"/>
      <c r="N343" s="62"/>
      <c r="O343" s="63"/>
      <c r="P343" s="62"/>
      <c r="Q343" s="64"/>
      <c r="R343" s="65"/>
    </row>
    <row r="344" spans="1:18" ht="15" customHeight="1" x14ac:dyDescent="0.3">
      <c r="A344" s="66" t="s">
        <v>52</v>
      </c>
      <c r="B344" s="66" t="s">
        <v>66</v>
      </c>
      <c r="C344" s="67">
        <v>0.88888888888888884</v>
      </c>
      <c r="D344" s="66" t="s">
        <v>60</v>
      </c>
      <c r="E344" s="66" t="s">
        <v>224</v>
      </c>
      <c r="F344" s="66" t="s">
        <v>207</v>
      </c>
      <c r="G344" s="201"/>
      <c r="H344" s="61"/>
      <c r="I344" s="62"/>
      <c r="J344" s="62"/>
      <c r="K344" s="62"/>
      <c r="L344" s="62"/>
      <c r="M344" s="62"/>
      <c r="N344" s="62"/>
      <c r="O344" s="63"/>
      <c r="P344" s="62"/>
      <c r="Q344" s="64"/>
      <c r="R344" s="65"/>
    </row>
    <row r="345" spans="1:18" ht="15" customHeight="1" x14ac:dyDescent="0.3">
      <c r="A345" s="59" t="s">
        <v>79</v>
      </c>
      <c r="B345" s="59" t="s">
        <v>97</v>
      </c>
      <c r="C345" s="60">
        <v>0.34722222222222232</v>
      </c>
      <c r="D345" s="59" t="s">
        <v>81</v>
      </c>
      <c r="E345" s="59" t="s">
        <v>156</v>
      </c>
      <c r="F345" s="59" t="s">
        <v>181</v>
      </c>
      <c r="G345" s="201"/>
      <c r="H345" s="61"/>
      <c r="I345" s="62"/>
      <c r="J345" s="62"/>
      <c r="K345" s="62"/>
      <c r="L345" s="62"/>
      <c r="M345" s="62"/>
      <c r="N345" s="62"/>
      <c r="O345" s="63"/>
      <c r="P345" s="62"/>
      <c r="Q345" s="64"/>
      <c r="R345" s="65"/>
    </row>
    <row r="346" spans="1:18" ht="15" customHeight="1" x14ac:dyDescent="0.3">
      <c r="A346" s="66" t="s">
        <v>79</v>
      </c>
      <c r="B346" s="66" t="s">
        <v>97</v>
      </c>
      <c r="C346" s="67">
        <v>0.34722222222222232</v>
      </c>
      <c r="D346" s="66" t="s">
        <v>84</v>
      </c>
      <c r="E346" s="66" t="s">
        <v>71</v>
      </c>
      <c r="F346" s="66" t="s">
        <v>181</v>
      </c>
      <c r="G346" s="201"/>
      <c r="H346" s="61"/>
      <c r="I346" s="62"/>
      <c r="J346" s="62"/>
      <c r="K346" s="62"/>
      <c r="L346" s="62"/>
      <c r="M346" s="62"/>
      <c r="N346" s="62"/>
      <c r="O346" s="63"/>
      <c r="P346" s="62"/>
      <c r="Q346" s="64"/>
      <c r="R346" s="65"/>
    </row>
    <row r="347" spans="1:18" ht="15" customHeight="1" x14ac:dyDescent="0.3">
      <c r="A347" s="66" t="s">
        <v>79</v>
      </c>
      <c r="B347" s="66" t="s">
        <v>97</v>
      </c>
      <c r="C347" s="67">
        <v>0.34722222222222232</v>
      </c>
      <c r="D347" s="66" t="s">
        <v>86</v>
      </c>
      <c r="E347" s="66" t="s">
        <v>71</v>
      </c>
      <c r="F347" s="66" t="s">
        <v>206</v>
      </c>
      <c r="G347" s="201"/>
      <c r="H347" s="61"/>
      <c r="I347" s="62"/>
      <c r="J347" s="62"/>
      <c r="K347" s="62"/>
      <c r="L347" s="62"/>
      <c r="M347" s="62"/>
      <c r="N347" s="62"/>
      <c r="O347" s="63"/>
      <c r="P347" s="62"/>
      <c r="Q347" s="64"/>
      <c r="R347" s="65"/>
    </row>
    <row r="348" spans="1:18" ht="15" customHeight="1" x14ac:dyDescent="0.3">
      <c r="A348" s="66" t="s">
        <v>79</v>
      </c>
      <c r="B348" s="66" t="s">
        <v>97</v>
      </c>
      <c r="C348" s="67">
        <v>0.34722222222222232</v>
      </c>
      <c r="D348" s="66" t="s">
        <v>88</v>
      </c>
      <c r="E348" s="66" t="s">
        <v>71</v>
      </c>
      <c r="F348" s="66" t="s">
        <v>209</v>
      </c>
      <c r="G348" s="201"/>
      <c r="H348" s="61"/>
      <c r="I348" s="62"/>
      <c r="J348" s="62"/>
      <c r="K348" s="62"/>
      <c r="L348" s="62"/>
      <c r="M348" s="62"/>
      <c r="N348" s="62"/>
      <c r="O348" s="63"/>
      <c r="P348" s="62"/>
      <c r="Q348" s="64"/>
      <c r="R348" s="65"/>
    </row>
    <row r="349" spans="1:18" ht="15" customHeight="1" x14ac:dyDescent="0.3">
      <c r="A349" s="68" t="s">
        <v>79</v>
      </c>
      <c r="B349" s="68" t="s">
        <v>80</v>
      </c>
      <c r="C349" s="69">
        <v>0.99305555555555547</v>
      </c>
      <c r="D349" s="68" t="s">
        <v>81</v>
      </c>
      <c r="E349" s="68" t="s">
        <v>95</v>
      </c>
      <c r="F349" s="68" t="s">
        <v>181</v>
      </c>
      <c r="G349" s="201"/>
      <c r="H349" s="61"/>
      <c r="I349" s="62"/>
      <c r="J349" s="62"/>
      <c r="K349" s="62"/>
      <c r="L349" s="62"/>
      <c r="M349" s="62"/>
      <c r="N349" s="62"/>
      <c r="O349" s="63"/>
      <c r="P349" s="62"/>
      <c r="Q349" s="64"/>
      <c r="R349" s="65"/>
    </row>
    <row r="350" spans="1:18" ht="15" customHeight="1" x14ac:dyDescent="0.3">
      <c r="A350" s="66" t="s">
        <v>79</v>
      </c>
      <c r="B350" s="66" t="s">
        <v>80</v>
      </c>
      <c r="C350" s="67">
        <v>0.99305555555555547</v>
      </c>
      <c r="D350" s="66" t="s">
        <v>84</v>
      </c>
      <c r="E350" s="66" t="s">
        <v>96</v>
      </c>
      <c r="F350" s="66" t="s">
        <v>181</v>
      </c>
      <c r="G350" s="201"/>
      <c r="H350" s="61"/>
      <c r="I350" s="62"/>
      <c r="J350" s="62"/>
      <c r="K350" s="62"/>
      <c r="L350" s="62"/>
      <c r="M350" s="62"/>
      <c r="N350" s="62"/>
      <c r="O350" s="63"/>
      <c r="P350" s="62"/>
      <c r="Q350" s="64"/>
      <c r="R350" s="65"/>
    </row>
    <row r="351" spans="1:18" ht="15" customHeight="1" x14ac:dyDescent="0.3">
      <c r="A351" s="66" t="s">
        <v>79</v>
      </c>
      <c r="B351" s="66" t="s">
        <v>80</v>
      </c>
      <c r="C351" s="67">
        <v>0.99305555555555547</v>
      </c>
      <c r="D351" s="66" t="s">
        <v>86</v>
      </c>
      <c r="E351" s="66" t="s">
        <v>96</v>
      </c>
      <c r="F351" s="66" t="s">
        <v>206</v>
      </c>
      <c r="G351" s="201"/>
      <c r="H351" s="61"/>
      <c r="I351" s="62"/>
      <c r="J351" s="62"/>
      <c r="K351" s="62"/>
      <c r="L351" s="62"/>
      <c r="M351" s="62"/>
      <c r="N351" s="62"/>
      <c r="O351" s="63"/>
      <c r="P351" s="62"/>
      <c r="Q351" s="64"/>
      <c r="R351" s="65"/>
    </row>
    <row r="352" spans="1:18" ht="15" customHeight="1" x14ac:dyDescent="0.3">
      <c r="A352" s="66" t="s">
        <v>79</v>
      </c>
      <c r="B352" s="66" t="s">
        <v>80</v>
      </c>
      <c r="C352" s="67">
        <v>0.99305555555555547</v>
      </c>
      <c r="D352" s="66" t="s">
        <v>88</v>
      </c>
      <c r="E352" s="66" t="s">
        <v>96</v>
      </c>
      <c r="F352" s="66" t="s">
        <v>209</v>
      </c>
      <c r="G352" s="201"/>
      <c r="H352" s="61"/>
      <c r="I352" s="62"/>
      <c r="J352" s="62"/>
      <c r="K352" s="62"/>
      <c r="L352" s="62"/>
      <c r="M352" s="62"/>
      <c r="N352" s="62"/>
      <c r="O352" s="63"/>
      <c r="P352" s="62"/>
      <c r="Q352" s="64"/>
      <c r="R352" s="65"/>
    </row>
    <row r="353" spans="1:18" ht="15" customHeight="1" x14ac:dyDescent="0.3">
      <c r="A353" s="68" t="s">
        <v>79</v>
      </c>
      <c r="B353" s="68" t="s">
        <v>93</v>
      </c>
      <c r="C353" s="69">
        <v>0.4861111111111111</v>
      </c>
      <c r="D353" s="68" t="s">
        <v>81</v>
      </c>
      <c r="E353" s="68" t="s">
        <v>35</v>
      </c>
      <c r="F353" s="68" t="s">
        <v>181</v>
      </c>
      <c r="G353" s="201"/>
      <c r="H353" s="61"/>
      <c r="I353" s="62"/>
      <c r="J353" s="62"/>
      <c r="K353" s="62"/>
      <c r="L353" s="62"/>
      <c r="M353" s="62"/>
      <c r="N353" s="62"/>
      <c r="O353" s="63"/>
      <c r="P353" s="62"/>
      <c r="Q353" s="64"/>
      <c r="R353" s="65"/>
    </row>
    <row r="354" spans="1:18" ht="15" customHeight="1" x14ac:dyDescent="0.3">
      <c r="A354" s="66" t="s">
        <v>79</v>
      </c>
      <c r="B354" s="66" t="s">
        <v>93</v>
      </c>
      <c r="C354" s="67">
        <v>0.4861111111111111</v>
      </c>
      <c r="D354" s="66" t="s">
        <v>84</v>
      </c>
      <c r="E354" s="66" t="s">
        <v>57</v>
      </c>
      <c r="F354" s="66" t="s">
        <v>181</v>
      </c>
      <c r="G354" s="201"/>
      <c r="H354" s="61"/>
      <c r="I354" s="62"/>
      <c r="J354" s="62"/>
      <c r="K354" s="62"/>
      <c r="L354" s="62"/>
      <c r="M354" s="62"/>
      <c r="N354" s="62"/>
      <c r="O354" s="63"/>
      <c r="P354" s="62"/>
      <c r="Q354" s="64"/>
      <c r="R354" s="65"/>
    </row>
    <row r="355" spans="1:18" ht="15" customHeight="1" x14ac:dyDescent="0.3">
      <c r="A355" s="66" t="s">
        <v>79</v>
      </c>
      <c r="B355" s="66" t="s">
        <v>93</v>
      </c>
      <c r="C355" s="67">
        <v>0.4861111111111111</v>
      </c>
      <c r="D355" s="66" t="s">
        <v>86</v>
      </c>
      <c r="E355" s="66" t="s">
        <v>57</v>
      </c>
      <c r="F355" s="66" t="s">
        <v>206</v>
      </c>
      <c r="G355" s="201"/>
      <c r="H355" s="61"/>
      <c r="I355" s="62"/>
      <c r="J355" s="62"/>
      <c r="K355" s="62"/>
      <c r="L355" s="62"/>
      <c r="M355" s="62"/>
      <c r="N355" s="62"/>
      <c r="O355" s="63"/>
      <c r="P355" s="62"/>
      <c r="Q355" s="64"/>
      <c r="R355" s="65"/>
    </row>
    <row r="356" spans="1:18" ht="15" customHeight="1" x14ac:dyDescent="0.3">
      <c r="A356" s="66" t="s">
        <v>79</v>
      </c>
      <c r="B356" s="66" t="s">
        <v>93</v>
      </c>
      <c r="C356" s="67">
        <v>0.4861111111111111</v>
      </c>
      <c r="D356" s="66" t="s">
        <v>88</v>
      </c>
      <c r="E356" s="66" t="s">
        <v>57</v>
      </c>
      <c r="F356" s="66" t="s">
        <v>209</v>
      </c>
      <c r="G356" s="201"/>
      <c r="H356" s="61"/>
      <c r="I356" s="62"/>
      <c r="J356" s="62"/>
      <c r="K356" s="62"/>
      <c r="L356" s="62"/>
      <c r="M356" s="62"/>
      <c r="N356" s="62"/>
      <c r="O356" s="63"/>
      <c r="P356" s="62"/>
      <c r="Q356" s="64"/>
      <c r="R356" s="65"/>
    </row>
    <row r="357" spans="1:18" ht="15" customHeight="1" x14ac:dyDescent="0.3">
      <c r="A357" s="68" t="s">
        <v>79</v>
      </c>
      <c r="B357" s="68" t="s">
        <v>99</v>
      </c>
      <c r="C357" s="69">
        <v>0.75</v>
      </c>
      <c r="D357" s="68" t="s">
        <v>81</v>
      </c>
      <c r="E357" s="68" t="s">
        <v>70</v>
      </c>
      <c r="F357" s="68" t="s">
        <v>210</v>
      </c>
      <c r="G357" s="201"/>
      <c r="H357" s="61"/>
      <c r="I357" s="62"/>
      <c r="J357" s="62"/>
      <c r="K357" s="62"/>
      <c r="L357" s="62"/>
      <c r="M357" s="62"/>
      <c r="N357" s="62"/>
      <c r="O357" s="63"/>
      <c r="P357" s="62"/>
      <c r="Q357" s="64"/>
      <c r="R357" s="65"/>
    </row>
    <row r="358" spans="1:18" ht="15" customHeight="1" x14ac:dyDescent="0.3">
      <c r="A358" s="66" t="s">
        <v>79</v>
      </c>
      <c r="B358" s="66" t="s">
        <v>99</v>
      </c>
      <c r="C358" s="67">
        <v>0.75</v>
      </c>
      <c r="D358" s="66" t="s">
        <v>84</v>
      </c>
      <c r="E358" s="66" t="s">
        <v>71</v>
      </c>
      <c r="F358" s="66" t="s">
        <v>210</v>
      </c>
      <c r="G358" s="201"/>
      <c r="H358" s="61"/>
      <c r="I358" s="62"/>
      <c r="J358" s="62"/>
      <c r="K358" s="62"/>
      <c r="L358" s="62"/>
      <c r="M358" s="62"/>
      <c r="N358" s="62"/>
      <c r="O358" s="63"/>
      <c r="P358" s="62"/>
      <c r="Q358" s="64"/>
      <c r="R358" s="65"/>
    </row>
    <row r="359" spans="1:18" ht="15" customHeight="1" x14ac:dyDescent="0.3">
      <c r="A359" s="66" t="s">
        <v>79</v>
      </c>
      <c r="B359" s="66" t="s">
        <v>99</v>
      </c>
      <c r="C359" s="67">
        <v>0.75</v>
      </c>
      <c r="D359" s="66" t="s">
        <v>86</v>
      </c>
      <c r="E359" s="66" t="s">
        <v>71</v>
      </c>
      <c r="F359" s="66" t="s">
        <v>211</v>
      </c>
      <c r="G359" s="201"/>
      <c r="H359" s="61"/>
      <c r="I359" s="62"/>
      <c r="J359" s="62"/>
      <c r="K359" s="62"/>
      <c r="L359" s="62"/>
      <c r="M359" s="62"/>
      <c r="N359" s="62"/>
      <c r="O359" s="63"/>
      <c r="P359" s="62"/>
      <c r="Q359" s="64"/>
      <c r="R359" s="65"/>
    </row>
    <row r="360" spans="1:18" ht="15" customHeight="1" x14ac:dyDescent="0.3">
      <c r="A360" s="66" t="s">
        <v>79</v>
      </c>
      <c r="B360" s="66" t="s">
        <v>99</v>
      </c>
      <c r="C360" s="67">
        <v>0.75</v>
      </c>
      <c r="D360" s="66" t="s">
        <v>88</v>
      </c>
      <c r="E360" s="66" t="s">
        <v>71</v>
      </c>
      <c r="F360" s="66" t="s">
        <v>212</v>
      </c>
      <c r="G360" s="201"/>
      <c r="H360" s="61"/>
      <c r="I360" s="62"/>
      <c r="J360" s="62"/>
      <c r="K360" s="62"/>
      <c r="L360" s="62"/>
      <c r="M360" s="62"/>
      <c r="N360" s="62"/>
      <c r="O360" s="63"/>
      <c r="P360" s="62"/>
      <c r="Q360" s="64"/>
      <c r="R360" s="65"/>
    </row>
    <row r="361" spans="1:18" ht="15" customHeight="1" x14ac:dyDescent="0.3">
      <c r="A361" s="68" t="s">
        <v>79</v>
      </c>
      <c r="B361" s="68" t="s">
        <v>100</v>
      </c>
      <c r="C361" s="69">
        <v>0.83680555555555547</v>
      </c>
      <c r="D361" s="68" t="s">
        <v>81</v>
      </c>
      <c r="E361" s="68" t="s">
        <v>70</v>
      </c>
      <c r="F361" s="68" t="s">
        <v>210</v>
      </c>
      <c r="G361" s="201"/>
      <c r="H361" s="61"/>
      <c r="I361" s="62"/>
      <c r="J361" s="62"/>
      <c r="K361" s="62"/>
      <c r="L361" s="62"/>
      <c r="M361" s="62"/>
      <c r="N361" s="62"/>
      <c r="O361" s="63"/>
      <c r="P361" s="62"/>
      <c r="Q361" s="64"/>
      <c r="R361" s="65"/>
    </row>
    <row r="362" spans="1:18" ht="15" customHeight="1" x14ac:dyDescent="0.3">
      <c r="A362" s="66" t="s">
        <v>79</v>
      </c>
      <c r="B362" s="66" t="s">
        <v>100</v>
      </c>
      <c r="C362" s="67">
        <v>0.83680555555555547</v>
      </c>
      <c r="D362" s="66" t="s">
        <v>84</v>
      </c>
      <c r="E362" s="66" t="s">
        <v>71</v>
      </c>
      <c r="F362" s="66" t="s">
        <v>210</v>
      </c>
      <c r="G362" s="201"/>
      <c r="H362" s="61"/>
      <c r="I362" s="62"/>
      <c r="J362" s="62"/>
      <c r="K362" s="62"/>
      <c r="L362" s="62"/>
      <c r="M362" s="62"/>
      <c r="N362" s="62"/>
      <c r="O362" s="63"/>
      <c r="P362" s="62"/>
      <c r="Q362" s="64"/>
      <c r="R362" s="65"/>
    </row>
    <row r="363" spans="1:18" ht="15" customHeight="1" x14ac:dyDescent="0.3">
      <c r="A363" s="66" t="s">
        <v>79</v>
      </c>
      <c r="B363" s="66" t="s">
        <v>100</v>
      </c>
      <c r="C363" s="67">
        <v>0.83680555555555547</v>
      </c>
      <c r="D363" s="66" t="s">
        <v>86</v>
      </c>
      <c r="E363" s="66" t="s">
        <v>71</v>
      </c>
      <c r="F363" s="66" t="s">
        <v>211</v>
      </c>
      <c r="G363" s="201"/>
      <c r="H363" s="61"/>
      <c r="I363" s="62"/>
      <c r="J363" s="62"/>
      <c r="K363" s="62"/>
      <c r="L363" s="62"/>
      <c r="M363" s="62"/>
      <c r="N363" s="62"/>
      <c r="O363" s="63"/>
      <c r="P363" s="62"/>
      <c r="Q363" s="64"/>
      <c r="R363" s="65"/>
    </row>
    <row r="364" spans="1:18" ht="15" customHeight="1" x14ac:dyDescent="0.3">
      <c r="A364" s="66" t="s">
        <v>79</v>
      </c>
      <c r="B364" s="66" t="s">
        <v>100</v>
      </c>
      <c r="C364" s="67">
        <v>0.83680555555555547</v>
      </c>
      <c r="D364" s="66" t="s">
        <v>88</v>
      </c>
      <c r="E364" s="66" t="s">
        <v>71</v>
      </c>
      <c r="F364" s="66" t="s">
        <v>212</v>
      </c>
      <c r="G364" s="201"/>
      <c r="H364" s="61"/>
      <c r="I364" s="62"/>
      <c r="J364" s="62"/>
      <c r="K364" s="62"/>
      <c r="L364" s="62"/>
      <c r="M364" s="62"/>
      <c r="N364" s="62"/>
      <c r="O364" s="63"/>
      <c r="P364" s="62"/>
      <c r="Q364" s="64"/>
      <c r="R364" s="65"/>
    </row>
    <row r="365" spans="1:18" ht="15" customHeight="1" x14ac:dyDescent="0.3">
      <c r="A365" s="68" t="s">
        <v>79</v>
      </c>
      <c r="B365" s="68" t="s">
        <v>90</v>
      </c>
      <c r="C365" s="69">
        <v>0.94444444444444453</v>
      </c>
      <c r="D365" s="68" t="s">
        <v>81</v>
      </c>
      <c r="E365" s="68" t="s">
        <v>70</v>
      </c>
      <c r="F365" s="68" t="s">
        <v>210</v>
      </c>
      <c r="G365" s="201"/>
      <c r="H365" s="61"/>
      <c r="I365" s="62"/>
      <c r="J365" s="62"/>
      <c r="K365" s="62"/>
      <c r="L365" s="62"/>
      <c r="M365" s="62"/>
      <c r="N365" s="62"/>
      <c r="O365" s="63"/>
      <c r="P365" s="62"/>
      <c r="Q365" s="64"/>
      <c r="R365" s="65"/>
    </row>
    <row r="366" spans="1:18" ht="15" customHeight="1" x14ac:dyDescent="0.3">
      <c r="A366" s="66" t="s">
        <v>79</v>
      </c>
      <c r="B366" s="66" t="s">
        <v>90</v>
      </c>
      <c r="C366" s="67">
        <v>0.94444444444444453</v>
      </c>
      <c r="D366" s="66" t="s">
        <v>84</v>
      </c>
      <c r="E366" s="66" t="s">
        <v>71</v>
      </c>
      <c r="F366" s="66" t="s">
        <v>210</v>
      </c>
      <c r="G366" s="201"/>
      <c r="H366" s="61"/>
      <c r="I366" s="62"/>
      <c r="J366" s="62"/>
      <c r="K366" s="62"/>
      <c r="L366" s="62"/>
      <c r="M366" s="62"/>
      <c r="N366" s="62"/>
      <c r="O366" s="63"/>
      <c r="P366" s="62"/>
      <c r="Q366" s="64"/>
      <c r="R366" s="65"/>
    </row>
    <row r="367" spans="1:18" ht="15" customHeight="1" x14ac:dyDescent="0.3">
      <c r="A367" s="66" t="s">
        <v>79</v>
      </c>
      <c r="B367" s="66" t="s">
        <v>90</v>
      </c>
      <c r="C367" s="67">
        <v>0.94444444444444453</v>
      </c>
      <c r="D367" s="66" t="s">
        <v>86</v>
      </c>
      <c r="E367" s="66" t="s">
        <v>71</v>
      </c>
      <c r="F367" s="66" t="s">
        <v>211</v>
      </c>
      <c r="G367" s="201"/>
      <c r="H367" s="61"/>
      <c r="I367" s="62"/>
      <c r="J367" s="62"/>
      <c r="K367" s="62"/>
      <c r="L367" s="62"/>
      <c r="M367" s="62"/>
      <c r="N367" s="62"/>
      <c r="O367" s="63"/>
      <c r="P367" s="62"/>
      <c r="Q367" s="64"/>
      <c r="R367" s="65"/>
    </row>
    <row r="368" spans="1:18" ht="15" customHeight="1" x14ac:dyDescent="0.3">
      <c r="A368" s="66" t="s">
        <v>79</v>
      </c>
      <c r="B368" s="66" t="s">
        <v>90</v>
      </c>
      <c r="C368" s="67">
        <v>0.94444444444444453</v>
      </c>
      <c r="D368" s="66" t="s">
        <v>88</v>
      </c>
      <c r="E368" s="66" t="s">
        <v>71</v>
      </c>
      <c r="F368" s="66" t="s">
        <v>212</v>
      </c>
      <c r="G368" s="201"/>
      <c r="H368" s="61"/>
      <c r="I368" s="62"/>
      <c r="J368" s="62"/>
      <c r="K368" s="62"/>
      <c r="L368" s="62"/>
      <c r="M368" s="62"/>
      <c r="N368" s="62"/>
      <c r="O368" s="63"/>
      <c r="P368" s="62"/>
      <c r="Q368" s="64"/>
      <c r="R368" s="65"/>
    </row>
    <row r="369" spans="1:18" ht="15" customHeight="1" x14ac:dyDescent="0.3">
      <c r="A369" s="68" t="s">
        <v>79</v>
      </c>
      <c r="B369" s="68" t="s">
        <v>101</v>
      </c>
      <c r="C369" s="69">
        <v>0.88888888888888884</v>
      </c>
      <c r="D369" s="68" t="s">
        <v>81</v>
      </c>
      <c r="E369" s="68" t="s">
        <v>70</v>
      </c>
      <c r="F369" s="68" t="s">
        <v>210</v>
      </c>
      <c r="G369" s="201"/>
      <c r="H369" s="61"/>
      <c r="I369" s="62"/>
      <c r="J369" s="62"/>
      <c r="K369" s="62"/>
      <c r="L369" s="62"/>
      <c r="M369" s="62"/>
      <c r="N369" s="62"/>
      <c r="O369" s="63"/>
      <c r="P369" s="62"/>
      <c r="Q369" s="64"/>
      <c r="R369" s="65"/>
    </row>
    <row r="370" spans="1:18" ht="15" customHeight="1" x14ac:dyDescent="0.3">
      <c r="A370" s="66" t="s">
        <v>79</v>
      </c>
      <c r="B370" s="66" t="s">
        <v>101</v>
      </c>
      <c r="C370" s="67">
        <v>0.88888888888888884</v>
      </c>
      <c r="D370" s="66" t="s">
        <v>84</v>
      </c>
      <c r="E370" s="66" t="s">
        <v>71</v>
      </c>
      <c r="F370" s="66" t="s">
        <v>210</v>
      </c>
      <c r="G370" s="201"/>
      <c r="H370" s="61"/>
      <c r="I370" s="62"/>
      <c r="J370" s="62"/>
      <c r="K370" s="62"/>
      <c r="L370" s="62"/>
      <c r="M370" s="62"/>
      <c r="N370" s="62"/>
      <c r="O370" s="63"/>
      <c r="P370" s="62"/>
      <c r="Q370" s="64"/>
      <c r="R370" s="65"/>
    </row>
    <row r="371" spans="1:18" ht="15" customHeight="1" x14ac:dyDescent="0.3">
      <c r="A371" s="66" t="s">
        <v>79</v>
      </c>
      <c r="B371" s="66" t="s">
        <v>101</v>
      </c>
      <c r="C371" s="67">
        <v>0.88888888888888884</v>
      </c>
      <c r="D371" s="66" t="s">
        <v>86</v>
      </c>
      <c r="E371" s="66" t="s">
        <v>71</v>
      </c>
      <c r="F371" s="66" t="s">
        <v>211</v>
      </c>
      <c r="G371" s="201"/>
      <c r="H371" s="61"/>
      <c r="I371" s="62"/>
      <c r="J371" s="62"/>
      <c r="K371" s="62"/>
      <c r="L371" s="62"/>
      <c r="M371" s="62"/>
      <c r="N371" s="62"/>
      <c r="O371" s="63"/>
      <c r="P371" s="62"/>
      <c r="Q371" s="64"/>
      <c r="R371" s="65"/>
    </row>
    <row r="372" spans="1:18" ht="15" customHeight="1" x14ac:dyDescent="0.3">
      <c r="A372" s="66" t="s">
        <v>79</v>
      </c>
      <c r="B372" s="66" t="s">
        <v>101</v>
      </c>
      <c r="C372" s="67">
        <v>0.88888888888888884</v>
      </c>
      <c r="D372" s="66" t="s">
        <v>88</v>
      </c>
      <c r="E372" s="66" t="s">
        <v>71</v>
      </c>
      <c r="F372" s="66" t="s">
        <v>212</v>
      </c>
      <c r="G372" s="201"/>
      <c r="H372" s="61"/>
      <c r="I372" s="62"/>
      <c r="J372" s="62"/>
      <c r="K372" s="62"/>
      <c r="L372" s="62"/>
      <c r="M372" s="62"/>
      <c r="N372" s="62"/>
      <c r="O372" s="63"/>
      <c r="P372" s="62"/>
      <c r="Q372" s="64"/>
      <c r="R372" s="65"/>
    </row>
    <row r="373" spans="1:18" ht="15" customHeight="1" x14ac:dyDescent="0.3">
      <c r="A373" s="59" t="s">
        <v>140</v>
      </c>
      <c r="B373" s="59" t="s">
        <v>141</v>
      </c>
      <c r="C373" s="60">
        <v>0.97222222222222221</v>
      </c>
      <c r="D373" s="59" t="s">
        <v>122</v>
      </c>
      <c r="E373" s="59" t="s">
        <v>74</v>
      </c>
      <c r="F373" s="59" t="s">
        <v>214</v>
      </c>
      <c r="G373" s="201"/>
      <c r="H373" s="61"/>
      <c r="I373" s="62"/>
      <c r="J373" s="62"/>
      <c r="K373" s="62"/>
      <c r="L373" s="62"/>
      <c r="M373" s="62"/>
      <c r="N373" s="62"/>
      <c r="O373" s="63"/>
      <c r="P373" s="62"/>
      <c r="Q373" s="64"/>
      <c r="R373" s="65"/>
    </row>
    <row r="374" spans="1:18" ht="15" customHeight="1" x14ac:dyDescent="0.3">
      <c r="A374" s="68" t="s">
        <v>140</v>
      </c>
      <c r="B374" s="68" t="s">
        <v>215</v>
      </c>
      <c r="C374" s="69">
        <v>0.1076388888888889</v>
      </c>
      <c r="D374" s="68" t="s">
        <v>122</v>
      </c>
      <c r="E374" s="68" t="s">
        <v>77</v>
      </c>
      <c r="F374" s="68" t="s">
        <v>225</v>
      </c>
      <c r="G374" s="201"/>
      <c r="H374" s="61"/>
      <c r="I374" s="62"/>
      <c r="J374" s="62"/>
      <c r="K374" s="62"/>
      <c r="L374" s="62"/>
      <c r="M374" s="62"/>
      <c r="N374" s="62"/>
      <c r="O374" s="63"/>
      <c r="P374" s="62"/>
      <c r="Q374" s="64"/>
      <c r="R374" s="65"/>
    </row>
    <row r="375" spans="1:18" ht="15" customHeight="1" x14ac:dyDescent="0.3">
      <c r="A375" s="68" t="s">
        <v>140</v>
      </c>
      <c r="B375" s="68" t="s">
        <v>188</v>
      </c>
      <c r="C375" s="69">
        <v>0.3125</v>
      </c>
      <c r="D375" s="68" t="s">
        <v>122</v>
      </c>
      <c r="E375" s="68" t="s">
        <v>77</v>
      </c>
      <c r="F375" s="68" t="s">
        <v>142</v>
      </c>
      <c r="G375" s="201"/>
      <c r="H375" s="61"/>
      <c r="I375" s="62"/>
      <c r="J375" s="62"/>
      <c r="K375" s="62"/>
      <c r="L375" s="62"/>
      <c r="M375" s="62"/>
      <c r="N375" s="62"/>
      <c r="O375" s="63"/>
      <c r="P375" s="62"/>
      <c r="Q375" s="64"/>
      <c r="R375" s="65"/>
    </row>
    <row r="376" spans="1:18" ht="15" customHeight="1" x14ac:dyDescent="0.3">
      <c r="A376" s="68" t="s">
        <v>140</v>
      </c>
      <c r="B376" s="68" t="s">
        <v>145</v>
      </c>
      <c r="C376" s="69">
        <v>0.78472222222222221</v>
      </c>
      <c r="D376" s="68" t="s">
        <v>122</v>
      </c>
      <c r="E376" s="68" t="s">
        <v>77</v>
      </c>
      <c r="F376" s="68" t="s">
        <v>142</v>
      </c>
      <c r="G376" s="201"/>
      <c r="H376" s="61"/>
      <c r="I376" s="62"/>
      <c r="J376" s="62"/>
      <c r="K376" s="62"/>
      <c r="L376" s="62"/>
      <c r="M376" s="62"/>
      <c r="N376" s="62"/>
      <c r="O376" s="63"/>
      <c r="P376" s="62"/>
      <c r="Q376" s="64"/>
      <c r="R376" s="65"/>
    </row>
    <row r="377" spans="1:18" ht="15" customHeight="1" x14ac:dyDescent="0.3">
      <c r="A377" s="68" t="s">
        <v>140</v>
      </c>
      <c r="B377" s="68" t="s">
        <v>143</v>
      </c>
      <c r="C377" s="69">
        <v>0.83680555555555547</v>
      </c>
      <c r="D377" s="68" t="s">
        <v>122</v>
      </c>
      <c r="E377" s="68" t="s">
        <v>77</v>
      </c>
      <c r="F377" s="68" t="s">
        <v>217</v>
      </c>
      <c r="G377" s="201"/>
      <c r="H377" s="61"/>
      <c r="I377" s="62"/>
      <c r="J377" s="62"/>
      <c r="K377" s="62"/>
      <c r="L377" s="62"/>
      <c r="M377" s="62"/>
      <c r="N377" s="62"/>
      <c r="O377" s="63"/>
      <c r="P377" s="62"/>
      <c r="Q377" s="64"/>
      <c r="R377" s="65"/>
    </row>
    <row r="378" spans="1:18" ht="15" customHeight="1" x14ac:dyDescent="0.3">
      <c r="A378" s="68" t="s">
        <v>140</v>
      </c>
      <c r="B378" s="68" t="s">
        <v>146</v>
      </c>
      <c r="C378" s="69">
        <v>4.8611111111111112E-2</v>
      </c>
      <c r="D378" s="68" t="s">
        <v>122</v>
      </c>
      <c r="E378" s="68" t="s">
        <v>77</v>
      </c>
      <c r="F378" s="68" t="s">
        <v>217</v>
      </c>
      <c r="G378" s="201"/>
      <c r="H378" s="61"/>
      <c r="I378" s="62"/>
      <c r="J378" s="62"/>
      <c r="K378" s="62"/>
      <c r="L378" s="62"/>
      <c r="M378" s="62"/>
      <c r="N378" s="62"/>
      <c r="O378" s="63"/>
      <c r="P378" s="62"/>
      <c r="Q378" s="64"/>
      <c r="R378" s="65"/>
    </row>
    <row r="379" spans="1:18" ht="15" customHeight="1" x14ac:dyDescent="0.3">
      <c r="A379" s="68" t="s">
        <v>140</v>
      </c>
      <c r="B379" s="68" t="s">
        <v>189</v>
      </c>
      <c r="C379" s="69">
        <v>0.34027777777777768</v>
      </c>
      <c r="D379" s="68" t="s">
        <v>122</v>
      </c>
      <c r="E379" s="68" t="s">
        <v>77</v>
      </c>
      <c r="F379" s="68" t="s">
        <v>144</v>
      </c>
      <c r="G379" s="201"/>
      <c r="H379" s="61"/>
      <c r="I379" s="62"/>
      <c r="J379" s="62"/>
      <c r="K379" s="62"/>
      <c r="L379" s="62"/>
      <c r="M379" s="62"/>
      <c r="N379" s="62"/>
      <c r="O379" s="63"/>
      <c r="P379" s="62"/>
      <c r="Q379" s="64"/>
      <c r="R379" s="65"/>
    </row>
    <row r="380" spans="1:18" ht="15" customHeight="1" x14ac:dyDescent="0.3">
      <c r="A380" s="68" t="s">
        <v>140</v>
      </c>
      <c r="B380" s="68" t="s">
        <v>216</v>
      </c>
      <c r="C380" s="69">
        <v>0.60069444444444442</v>
      </c>
      <c r="D380" s="68" t="s">
        <v>122</v>
      </c>
      <c r="E380" s="68" t="s">
        <v>120</v>
      </c>
      <c r="F380" s="68" t="s">
        <v>144</v>
      </c>
      <c r="G380" s="201"/>
      <c r="H380" s="61"/>
      <c r="I380" s="62"/>
      <c r="J380" s="62"/>
      <c r="K380" s="62"/>
      <c r="L380" s="62"/>
      <c r="M380" s="62"/>
      <c r="N380" s="62"/>
      <c r="O380" s="63"/>
      <c r="P380" s="62"/>
      <c r="Q380" s="64"/>
      <c r="R380" s="65"/>
    </row>
    <row r="381" spans="1:18" ht="15" customHeight="1" x14ac:dyDescent="0.3">
      <c r="A381" s="59" t="s">
        <v>102</v>
      </c>
      <c r="B381" s="59" t="s">
        <v>103</v>
      </c>
      <c r="C381" s="60">
        <v>9.7222222222222224E-2</v>
      </c>
      <c r="D381" s="59" t="s">
        <v>28</v>
      </c>
      <c r="E381" s="59" t="s">
        <v>154</v>
      </c>
      <c r="F381" s="59" t="s">
        <v>226</v>
      </c>
      <c r="G381" s="201"/>
      <c r="H381" s="61"/>
      <c r="I381" s="62"/>
      <c r="J381" s="62"/>
      <c r="K381" s="62"/>
      <c r="L381" s="62"/>
      <c r="M381" s="62"/>
      <c r="N381" s="62"/>
      <c r="O381" s="63"/>
      <c r="P381" s="62"/>
      <c r="Q381" s="64"/>
      <c r="R381" s="65"/>
    </row>
    <row r="382" spans="1:18" ht="15" customHeight="1" x14ac:dyDescent="0.3">
      <c r="A382" s="59" t="s">
        <v>115</v>
      </c>
      <c r="B382" s="59" t="s">
        <v>121</v>
      </c>
      <c r="C382" s="60">
        <v>0.82986111111111116</v>
      </c>
      <c r="D382" s="59" t="s">
        <v>122</v>
      </c>
      <c r="E382" s="59" t="s">
        <v>74</v>
      </c>
      <c r="F382" s="59" t="s">
        <v>227</v>
      </c>
      <c r="G382" s="201"/>
      <c r="H382" s="61"/>
      <c r="I382" s="62"/>
      <c r="J382" s="62"/>
      <c r="K382" s="62"/>
      <c r="L382" s="62"/>
      <c r="M382" s="62"/>
      <c r="N382" s="62"/>
      <c r="O382" s="63"/>
      <c r="P382" s="62"/>
      <c r="Q382" s="64"/>
      <c r="R382" s="65"/>
    </row>
    <row r="383" spans="1:18" ht="15" customHeight="1" x14ac:dyDescent="0.3">
      <c r="A383" s="66" t="s">
        <v>115</v>
      </c>
      <c r="B383" s="66" t="s">
        <v>121</v>
      </c>
      <c r="C383" s="67">
        <v>0.82986111111111116</v>
      </c>
      <c r="D383" s="66" t="s">
        <v>117</v>
      </c>
      <c r="E383" s="66" t="s">
        <v>124</v>
      </c>
      <c r="F383" s="66" t="s">
        <v>227</v>
      </c>
      <c r="G383" s="201"/>
      <c r="H383" s="61"/>
      <c r="I383" s="62"/>
      <c r="J383" s="62"/>
      <c r="K383" s="62"/>
      <c r="L383" s="62"/>
      <c r="M383" s="62"/>
      <c r="N383" s="62"/>
      <c r="O383" s="63"/>
      <c r="P383" s="62"/>
      <c r="Q383" s="64"/>
      <c r="R383" s="65"/>
    </row>
    <row r="384" spans="1:18" ht="15" customHeight="1" x14ac:dyDescent="0.3">
      <c r="A384" s="68" t="s">
        <v>115</v>
      </c>
      <c r="B384" s="68" t="s">
        <v>131</v>
      </c>
      <c r="C384" s="69">
        <v>0.11805555555555559</v>
      </c>
      <c r="D384" s="68" t="s">
        <v>122</v>
      </c>
      <c r="E384" s="68" t="s">
        <v>77</v>
      </c>
      <c r="F384" s="68" t="s">
        <v>132</v>
      </c>
      <c r="G384" s="201"/>
      <c r="H384" s="61"/>
      <c r="I384" s="62"/>
      <c r="J384" s="62"/>
      <c r="K384" s="62"/>
      <c r="L384" s="62"/>
      <c r="M384" s="62"/>
      <c r="N384" s="62"/>
      <c r="O384" s="63"/>
      <c r="P384" s="62"/>
      <c r="Q384" s="64"/>
      <c r="R384" s="65"/>
    </row>
    <row r="385" spans="1:18" ht="15" customHeight="1" x14ac:dyDescent="0.3">
      <c r="A385" s="66" t="s">
        <v>115</v>
      </c>
      <c r="B385" s="66" t="s">
        <v>131</v>
      </c>
      <c r="C385" s="67">
        <v>0.11805555555555559</v>
      </c>
      <c r="D385" s="66" t="s">
        <v>117</v>
      </c>
      <c r="E385" s="66" t="s">
        <v>124</v>
      </c>
      <c r="F385" s="66" t="s">
        <v>132</v>
      </c>
      <c r="G385" s="201"/>
      <c r="H385" s="61"/>
      <c r="I385" s="62"/>
      <c r="J385" s="62"/>
      <c r="K385" s="62"/>
      <c r="L385" s="62"/>
      <c r="M385" s="62"/>
      <c r="N385" s="62"/>
      <c r="O385" s="63"/>
      <c r="P385" s="62"/>
      <c r="Q385" s="64"/>
      <c r="R385" s="65"/>
    </row>
    <row r="386" spans="1:18" ht="15" customHeight="1" x14ac:dyDescent="0.3">
      <c r="A386" s="68" t="s">
        <v>115</v>
      </c>
      <c r="B386" s="68" t="s">
        <v>139</v>
      </c>
      <c r="C386" s="69">
        <v>0.70486111111111116</v>
      </c>
      <c r="D386" s="68" t="s">
        <v>117</v>
      </c>
      <c r="E386" s="68" t="s">
        <v>77</v>
      </c>
      <c r="F386" s="68" t="s">
        <v>132</v>
      </c>
      <c r="G386" s="201"/>
      <c r="H386" s="61"/>
      <c r="I386" s="62"/>
      <c r="J386" s="62"/>
      <c r="K386" s="62"/>
      <c r="L386" s="62"/>
      <c r="M386" s="62"/>
      <c r="N386" s="62"/>
      <c r="O386" s="63"/>
      <c r="P386" s="62"/>
      <c r="Q386" s="64"/>
      <c r="R386" s="65"/>
    </row>
    <row r="387" spans="1:18" ht="15" customHeight="1" x14ac:dyDescent="0.3">
      <c r="A387" s="68" t="s">
        <v>115</v>
      </c>
      <c r="B387" s="68" t="s">
        <v>133</v>
      </c>
      <c r="C387" s="69">
        <v>0.25347222222222221</v>
      </c>
      <c r="D387" s="68" t="s">
        <v>122</v>
      </c>
      <c r="E387" s="68" t="s">
        <v>77</v>
      </c>
      <c r="F387" s="68" t="s">
        <v>132</v>
      </c>
      <c r="G387" s="201"/>
      <c r="H387" s="61"/>
      <c r="I387" s="62"/>
      <c r="J387" s="62"/>
      <c r="K387" s="62"/>
      <c r="L387" s="62"/>
      <c r="M387" s="62"/>
      <c r="N387" s="62"/>
      <c r="O387" s="63"/>
      <c r="P387" s="62"/>
      <c r="Q387" s="64"/>
      <c r="R387" s="65"/>
    </row>
    <row r="388" spans="1:18" ht="15" customHeight="1" x14ac:dyDescent="0.3">
      <c r="A388" s="66" t="s">
        <v>115</v>
      </c>
      <c r="B388" s="66" t="s">
        <v>133</v>
      </c>
      <c r="C388" s="67">
        <v>0.25347222222222221</v>
      </c>
      <c r="D388" s="66" t="s">
        <v>117</v>
      </c>
      <c r="E388" s="66" t="s">
        <v>124</v>
      </c>
      <c r="F388" s="66" t="s">
        <v>132</v>
      </c>
      <c r="G388" s="201"/>
      <c r="H388" s="61"/>
      <c r="I388" s="62"/>
      <c r="J388" s="62"/>
      <c r="K388" s="62"/>
      <c r="L388" s="62"/>
      <c r="M388" s="62"/>
      <c r="N388" s="62"/>
      <c r="O388" s="63"/>
      <c r="P388" s="62"/>
      <c r="Q388" s="64"/>
      <c r="R388" s="65"/>
    </row>
    <row r="389" spans="1:18" ht="15" customHeight="1" x14ac:dyDescent="0.3">
      <c r="A389" s="68" t="s">
        <v>115</v>
      </c>
      <c r="B389" s="68" t="s">
        <v>119</v>
      </c>
      <c r="C389" s="69">
        <v>4.1666666666666657E-2</v>
      </c>
      <c r="D389" s="68" t="s">
        <v>122</v>
      </c>
      <c r="E389" s="68" t="s">
        <v>77</v>
      </c>
      <c r="F389" s="68" t="s">
        <v>132</v>
      </c>
      <c r="G389" s="201"/>
      <c r="H389" s="61"/>
      <c r="I389" s="62"/>
      <c r="J389" s="62"/>
      <c r="K389" s="62"/>
      <c r="L389" s="62"/>
      <c r="M389" s="62"/>
      <c r="N389" s="62"/>
      <c r="O389" s="63"/>
      <c r="P389" s="62"/>
      <c r="Q389" s="64"/>
      <c r="R389" s="65"/>
    </row>
    <row r="390" spans="1:18" ht="15" customHeight="1" x14ac:dyDescent="0.3">
      <c r="A390" s="66" t="s">
        <v>115</v>
      </c>
      <c r="B390" s="66" t="s">
        <v>119</v>
      </c>
      <c r="C390" s="67">
        <v>4.1666666666666657E-2</v>
      </c>
      <c r="D390" s="66" t="s">
        <v>117</v>
      </c>
      <c r="E390" s="66" t="s">
        <v>124</v>
      </c>
      <c r="F390" s="66" t="s">
        <v>132</v>
      </c>
      <c r="G390" s="201"/>
      <c r="H390" s="61"/>
      <c r="I390" s="62"/>
      <c r="J390" s="62"/>
      <c r="K390" s="62"/>
      <c r="L390" s="62"/>
      <c r="M390" s="62"/>
      <c r="N390" s="62"/>
      <c r="O390" s="63"/>
      <c r="P390" s="62"/>
      <c r="Q390" s="64"/>
      <c r="R390" s="65"/>
    </row>
    <row r="391" spans="1:18" ht="15" customHeight="1" x14ac:dyDescent="0.3">
      <c r="A391" s="68" t="s">
        <v>115</v>
      </c>
      <c r="B391" s="68" t="s">
        <v>135</v>
      </c>
      <c r="C391" s="69">
        <v>0.94097222222222221</v>
      </c>
      <c r="D391" s="68" t="s">
        <v>117</v>
      </c>
      <c r="E391" s="68" t="s">
        <v>77</v>
      </c>
      <c r="F391" s="68" t="s">
        <v>132</v>
      </c>
      <c r="G391" s="201"/>
      <c r="H391" s="61"/>
      <c r="I391" s="62"/>
      <c r="J391" s="62"/>
      <c r="K391" s="62"/>
      <c r="L391" s="62"/>
      <c r="M391" s="62"/>
      <c r="N391" s="62"/>
      <c r="O391" s="63"/>
      <c r="P391" s="62"/>
      <c r="Q391" s="64"/>
      <c r="R391" s="65"/>
    </row>
    <row r="392" spans="1:18" ht="15" customHeight="1" x14ac:dyDescent="0.3">
      <c r="A392" s="68" t="s">
        <v>115</v>
      </c>
      <c r="B392" s="68" t="s">
        <v>125</v>
      </c>
      <c r="C392" s="69">
        <v>0.98958333333333337</v>
      </c>
      <c r="D392" s="68" t="s">
        <v>122</v>
      </c>
      <c r="E392" s="68" t="s">
        <v>63</v>
      </c>
      <c r="F392" s="68" t="s">
        <v>218</v>
      </c>
      <c r="G392" s="201"/>
      <c r="H392" s="61"/>
      <c r="I392" s="62"/>
      <c r="J392" s="62"/>
      <c r="K392" s="62"/>
      <c r="L392" s="62"/>
      <c r="M392" s="62"/>
      <c r="N392" s="62"/>
      <c r="O392" s="63"/>
      <c r="P392" s="62"/>
      <c r="Q392" s="64"/>
      <c r="R392" s="65"/>
    </row>
    <row r="393" spans="1:18" ht="15" customHeight="1" x14ac:dyDescent="0.3">
      <c r="A393" s="66" t="s">
        <v>115</v>
      </c>
      <c r="B393" s="66" t="s">
        <v>125</v>
      </c>
      <c r="C393" s="67">
        <v>0.98958333333333337</v>
      </c>
      <c r="D393" s="66" t="s">
        <v>117</v>
      </c>
      <c r="E393" s="66" t="s">
        <v>64</v>
      </c>
      <c r="F393" s="66" t="s">
        <v>218</v>
      </c>
      <c r="G393" s="201"/>
      <c r="H393" s="61"/>
      <c r="I393" s="62"/>
      <c r="J393" s="62"/>
      <c r="K393" s="62"/>
      <c r="L393" s="62"/>
      <c r="M393" s="62"/>
      <c r="N393" s="62"/>
      <c r="O393" s="63"/>
      <c r="P393" s="62"/>
      <c r="Q393" s="64"/>
      <c r="R393" s="65"/>
    </row>
    <row r="394" spans="1:18" ht="15" customHeight="1" x14ac:dyDescent="0.3">
      <c r="A394" s="68" t="s">
        <v>115</v>
      </c>
      <c r="B394" s="68" t="s">
        <v>127</v>
      </c>
      <c r="C394" s="69">
        <v>0.39930555555555558</v>
      </c>
      <c r="D394" s="68" t="s">
        <v>117</v>
      </c>
      <c r="E394" s="68" t="s">
        <v>63</v>
      </c>
      <c r="F394" s="68" t="s">
        <v>218</v>
      </c>
      <c r="G394" s="201"/>
      <c r="H394" s="61"/>
      <c r="I394" s="62"/>
      <c r="J394" s="62"/>
      <c r="K394" s="62"/>
      <c r="L394" s="62"/>
      <c r="M394" s="62"/>
      <c r="N394" s="62"/>
      <c r="O394" s="63"/>
      <c r="P394" s="62"/>
      <c r="Q394" s="64"/>
      <c r="R394" s="65"/>
    </row>
    <row r="395" spans="1:18" ht="15" customHeight="1" x14ac:dyDescent="0.3">
      <c r="A395" s="68" t="s">
        <v>115</v>
      </c>
      <c r="B395" s="68" t="s">
        <v>130</v>
      </c>
      <c r="C395" s="69">
        <v>0.88888888888888884</v>
      </c>
      <c r="D395" s="68" t="s">
        <v>122</v>
      </c>
      <c r="E395" s="68" t="s">
        <v>63</v>
      </c>
      <c r="F395" s="68" t="s">
        <v>218</v>
      </c>
      <c r="G395" s="201"/>
      <c r="H395" s="61"/>
      <c r="I395" s="62"/>
      <c r="J395" s="62"/>
      <c r="K395" s="62"/>
      <c r="L395" s="62"/>
      <c r="M395" s="62"/>
      <c r="N395" s="62"/>
      <c r="O395" s="63"/>
      <c r="P395" s="62"/>
      <c r="Q395" s="64"/>
      <c r="R395" s="65"/>
    </row>
    <row r="396" spans="1:18" ht="15" customHeight="1" x14ac:dyDescent="0.3">
      <c r="A396" s="66" t="s">
        <v>115</v>
      </c>
      <c r="B396" s="66" t="s">
        <v>130</v>
      </c>
      <c r="C396" s="67">
        <v>0.88888888888888884</v>
      </c>
      <c r="D396" s="66" t="s">
        <v>117</v>
      </c>
      <c r="E396" s="66" t="s">
        <v>64</v>
      </c>
      <c r="F396" s="66" t="s">
        <v>218</v>
      </c>
      <c r="G396" s="201"/>
      <c r="H396" s="61"/>
      <c r="I396" s="62"/>
      <c r="J396" s="62"/>
      <c r="K396" s="62"/>
      <c r="L396" s="62"/>
      <c r="M396" s="62"/>
      <c r="N396" s="62"/>
      <c r="O396" s="63"/>
      <c r="P396" s="62"/>
      <c r="Q396" s="64"/>
      <c r="R396" s="65"/>
    </row>
    <row r="397" spans="1:18" ht="15" customHeight="1" x14ac:dyDescent="0.3">
      <c r="A397" s="68" t="s">
        <v>115</v>
      </c>
      <c r="B397" s="68" t="s">
        <v>137</v>
      </c>
      <c r="C397" s="69">
        <v>0.72222222222222221</v>
      </c>
      <c r="D397" s="68" t="s">
        <v>117</v>
      </c>
      <c r="E397" s="68" t="s">
        <v>77</v>
      </c>
      <c r="F397" s="68" t="s">
        <v>228</v>
      </c>
      <c r="G397" s="201"/>
      <c r="H397" s="61"/>
      <c r="I397" s="62"/>
      <c r="J397" s="62"/>
      <c r="K397" s="62"/>
      <c r="L397" s="62"/>
      <c r="M397" s="62"/>
      <c r="N397" s="62"/>
      <c r="O397" s="63"/>
      <c r="P397" s="62"/>
      <c r="Q397" s="64"/>
      <c r="R397" s="65"/>
    </row>
    <row r="398" spans="1:18" ht="15" customHeight="1" x14ac:dyDescent="0.3">
      <c r="A398" s="68" t="s">
        <v>115</v>
      </c>
      <c r="B398" s="68" t="s">
        <v>116</v>
      </c>
      <c r="C398" s="69">
        <v>0.48958333333333331</v>
      </c>
      <c r="D398" s="68" t="s">
        <v>122</v>
      </c>
      <c r="E398" s="68" t="s">
        <v>77</v>
      </c>
      <c r="F398" s="68" t="s">
        <v>138</v>
      </c>
      <c r="G398" s="201"/>
      <c r="H398" s="61"/>
      <c r="I398" s="62"/>
      <c r="J398" s="62"/>
      <c r="K398" s="62"/>
      <c r="L398" s="62"/>
      <c r="M398" s="62"/>
      <c r="N398" s="62"/>
      <c r="O398" s="63"/>
      <c r="P398" s="62"/>
      <c r="Q398" s="64"/>
      <c r="R398" s="65"/>
    </row>
    <row r="399" spans="1:18" ht="15" customHeight="1" x14ac:dyDescent="0.3">
      <c r="A399" s="66" t="s">
        <v>115</v>
      </c>
      <c r="B399" s="66" t="s">
        <v>116</v>
      </c>
      <c r="C399" s="67">
        <v>0.48958333333333331</v>
      </c>
      <c r="D399" s="66" t="s">
        <v>117</v>
      </c>
      <c r="E399" s="66" t="s">
        <v>124</v>
      </c>
      <c r="F399" s="66" t="s">
        <v>138</v>
      </c>
      <c r="G399" s="201"/>
      <c r="H399" s="61"/>
      <c r="I399" s="62"/>
      <c r="J399" s="62"/>
      <c r="K399" s="62"/>
      <c r="L399" s="62"/>
      <c r="M399" s="62"/>
      <c r="N399" s="62"/>
      <c r="O399" s="63"/>
      <c r="P399" s="62"/>
      <c r="Q399" s="64"/>
      <c r="R399" s="65"/>
    </row>
    <row r="400" spans="1:18" ht="15" customHeight="1" x14ac:dyDescent="0.3">
      <c r="A400" s="68" t="s">
        <v>115</v>
      </c>
      <c r="B400" s="68" t="s">
        <v>128</v>
      </c>
      <c r="C400" s="69">
        <v>0.48958333333333331</v>
      </c>
      <c r="D400" s="68" t="s">
        <v>117</v>
      </c>
      <c r="E400" s="68" t="s">
        <v>63</v>
      </c>
      <c r="F400" s="68" t="s">
        <v>229</v>
      </c>
      <c r="G400" s="201"/>
      <c r="H400" s="61"/>
      <c r="I400" s="62"/>
      <c r="J400" s="62"/>
      <c r="K400" s="62"/>
      <c r="L400" s="62"/>
      <c r="M400" s="62"/>
      <c r="N400" s="62"/>
      <c r="O400" s="63"/>
      <c r="P400" s="62"/>
      <c r="Q400" s="64"/>
      <c r="R400" s="65"/>
    </row>
    <row r="401" spans="1:18" ht="15" customHeight="1" x14ac:dyDescent="0.3">
      <c r="A401" s="122" t="s">
        <v>26</v>
      </c>
      <c r="B401" s="122" t="s">
        <v>170</v>
      </c>
      <c r="C401" s="123">
        <v>0.90625</v>
      </c>
      <c r="D401" s="122" t="s">
        <v>28</v>
      </c>
      <c r="E401" s="122" t="s">
        <v>29</v>
      </c>
      <c r="F401" s="122" t="s">
        <v>230</v>
      </c>
      <c r="G401" s="201"/>
      <c r="H401" s="52" t="s">
        <v>50</v>
      </c>
      <c r="I401" s="53">
        <v>0.9556</v>
      </c>
      <c r="J401" s="54">
        <v>172</v>
      </c>
      <c r="K401" s="55">
        <v>45981</v>
      </c>
      <c r="L401" s="54">
        <v>31</v>
      </c>
      <c r="M401" s="54">
        <v>0</v>
      </c>
      <c r="N401" s="54">
        <v>10</v>
      </c>
      <c r="O401" s="56" t="s">
        <v>231</v>
      </c>
      <c r="P401" s="57">
        <v>0.90625</v>
      </c>
      <c r="Q401" s="54">
        <v>180</v>
      </c>
      <c r="R401" s="58" t="s">
        <v>232</v>
      </c>
    </row>
    <row r="402" spans="1:18" ht="15" customHeight="1" x14ac:dyDescent="0.3">
      <c r="A402" s="106" t="s">
        <v>26</v>
      </c>
      <c r="B402" s="106" t="s">
        <v>163</v>
      </c>
      <c r="C402" s="107">
        <v>4.8611111111111112E-2</v>
      </c>
      <c r="D402" s="106" t="s">
        <v>44</v>
      </c>
      <c r="E402" s="118"/>
      <c r="F402" s="106" t="s">
        <v>45</v>
      </c>
      <c r="G402" s="201"/>
      <c r="H402" s="108" t="s">
        <v>163</v>
      </c>
      <c r="I402" s="119">
        <v>1.0333000000000001</v>
      </c>
      <c r="J402" s="110">
        <v>186</v>
      </c>
      <c r="K402" s="111">
        <v>45974</v>
      </c>
      <c r="L402" s="110">
        <v>0</v>
      </c>
      <c r="M402" s="110">
        <v>0</v>
      </c>
      <c r="N402" s="110">
        <v>0</v>
      </c>
      <c r="O402" s="112" t="s">
        <v>46</v>
      </c>
      <c r="P402" s="113">
        <v>4.8611111111111112E-2</v>
      </c>
      <c r="Q402" s="110">
        <v>180</v>
      </c>
      <c r="R402" s="114" t="s">
        <v>233</v>
      </c>
    </row>
    <row r="403" spans="1:18" ht="15" customHeight="1" x14ac:dyDescent="0.3">
      <c r="A403" s="115" t="s">
        <v>26</v>
      </c>
      <c r="B403" s="115" t="s">
        <v>41</v>
      </c>
      <c r="C403" s="116">
        <v>0.15625</v>
      </c>
      <c r="D403" s="115" t="s">
        <v>44</v>
      </c>
      <c r="E403" s="117"/>
      <c r="F403" s="115" t="s">
        <v>45</v>
      </c>
      <c r="G403" s="201"/>
      <c r="H403" s="87" t="s">
        <v>41</v>
      </c>
      <c r="I403" s="88">
        <v>1</v>
      </c>
      <c r="J403" s="89">
        <v>180</v>
      </c>
      <c r="K403" s="90">
        <v>45981</v>
      </c>
      <c r="L403" s="89">
        <v>5</v>
      </c>
      <c r="M403" s="89">
        <v>0</v>
      </c>
      <c r="N403" s="89">
        <v>5</v>
      </c>
      <c r="O403" s="91" t="s">
        <v>46</v>
      </c>
      <c r="P403" s="92">
        <v>0.15625</v>
      </c>
      <c r="Q403" s="89">
        <v>180</v>
      </c>
      <c r="R403" s="93" t="s">
        <v>234</v>
      </c>
    </row>
    <row r="404" spans="1:18" ht="15" customHeight="1" thickBot="1" x14ac:dyDescent="0.35">
      <c r="A404" s="127" t="s">
        <v>26</v>
      </c>
      <c r="B404" s="127" t="s">
        <v>31</v>
      </c>
      <c r="C404" s="128">
        <v>0.50347222222222221</v>
      </c>
      <c r="D404" s="127" t="s">
        <v>44</v>
      </c>
      <c r="E404" s="129"/>
      <c r="F404" s="127" t="s">
        <v>45</v>
      </c>
      <c r="G404" s="202"/>
      <c r="H404" s="130" t="s">
        <v>31</v>
      </c>
      <c r="I404" s="131">
        <v>1</v>
      </c>
      <c r="J404" s="132">
        <v>180</v>
      </c>
      <c r="K404" s="133">
        <v>45973</v>
      </c>
      <c r="L404" s="132">
        <v>0</v>
      </c>
      <c r="M404" s="132">
        <v>0</v>
      </c>
      <c r="N404" s="132">
        <v>0</v>
      </c>
      <c r="O404" s="134" t="s">
        <v>46</v>
      </c>
      <c r="P404" s="135">
        <v>0.50347222222222221</v>
      </c>
      <c r="Q404" s="132">
        <v>180</v>
      </c>
      <c r="R404" s="136" t="s">
        <v>235</v>
      </c>
    </row>
    <row r="405" spans="1:18" ht="17.399999999999999" customHeight="1" thickBot="1" x14ac:dyDescent="0.35">
      <c r="A405" s="235"/>
      <c r="B405" s="236"/>
      <c r="C405" s="236"/>
      <c r="D405" s="236"/>
      <c r="E405" s="236"/>
      <c r="F405" s="236"/>
      <c r="G405" s="236"/>
      <c r="H405" s="236"/>
      <c r="I405" s="236"/>
      <c r="J405" s="236"/>
      <c r="K405" s="236"/>
      <c r="L405" s="236"/>
      <c r="M405" s="236"/>
      <c r="N405" s="236"/>
      <c r="O405" s="236"/>
      <c r="P405" s="236"/>
      <c r="Q405" s="236"/>
      <c r="R405" s="237"/>
    </row>
    <row r="406" spans="1:18" ht="22.05" customHeight="1" thickTop="1" thickBot="1" x14ac:dyDescent="0.35">
      <c r="A406" s="203" t="s">
        <v>6</v>
      </c>
      <c r="B406" s="204"/>
      <c r="C406" s="204"/>
      <c r="D406" s="204"/>
      <c r="E406" s="204"/>
      <c r="F406" s="205"/>
      <c r="G406" s="77">
        <v>45991</v>
      </c>
      <c r="H406" s="212" t="s">
        <v>7</v>
      </c>
      <c r="I406" s="204"/>
      <c r="J406" s="204"/>
      <c r="K406" s="204"/>
      <c r="L406" s="204"/>
      <c r="M406" s="204"/>
      <c r="N406" s="204"/>
      <c r="O406" s="204"/>
      <c r="P406" s="204"/>
      <c r="Q406" s="204"/>
      <c r="R406" s="205"/>
    </row>
    <row r="407" spans="1:18" ht="24" customHeight="1" x14ac:dyDescent="0.3">
      <c r="A407" s="78" t="s">
        <v>8</v>
      </c>
      <c r="B407" s="78" t="s">
        <v>9</v>
      </c>
      <c r="C407" s="79" t="s">
        <v>10</v>
      </c>
      <c r="D407" s="78" t="s">
        <v>11</v>
      </c>
      <c r="E407" s="78" t="s">
        <v>12</v>
      </c>
      <c r="F407" s="80" t="s">
        <v>13</v>
      </c>
      <c r="G407" s="81" t="s">
        <v>14</v>
      </c>
      <c r="H407" s="78" t="s">
        <v>15</v>
      </c>
      <c r="I407" s="82" t="s">
        <v>16</v>
      </c>
      <c r="J407" s="83" t="s">
        <v>17</v>
      </c>
      <c r="K407" s="84" t="s">
        <v>18</v>
      </c>
      <c r="L407" s="83" t="s">
        <v>19</v>
      </c>
      <c r="M407" s="83" t="s">
        <v>20</v>
      </c>
      <c r="N407" s="83" t="s">
        <v>21</v>
      </c>
      <c r="O407" s="78" t="s">
        <v>22</v>
      </c>
      <c r="P407" s="79" t="s">
        <v>23</v>
      </c>
      <c r="Q407" s="83" t="s">
        <v>24</v>
      </c>
      <c r="R407" s="78" t="s">
        <v>25</v>
      </c>
    </row>
    <row r="408" spans="1:18" ht="15" customHeight="1" x14ac:dyDescent="0.3">
      <c r="A408" s="120" t="s">
        <v>52</v>
      </c>
      <c r="B408" s="120" t="s">
        <v>53</v>
      </c>
      <c r="C408" s="121">
        <v>0.39930555555555558</v>
      </c>
      <c r="D408" s="120" t="s">
        <v>56</v>
      </c>
      <c r="E408" s="120" t="s">
        <v>236</v>
      </c>
      <c r="F408" s="120" t="s">
        <v>55</v>
      </c>
      <c r="G408" s="200"/>
      <c r="H408" s="61"/>
      <c r="I408" s="62"/>
      <c r="J408" s="62"/>
      <c r="K408" s="62"/>
      <c r="L408" s="62"/>
      <c r="M408" s="62"/>
      <c r="N408" s="62"/>
      <c r="O408" s="63"/>
      <c r="P408" s="62"/>
      <c r="Q408" s="64"/>
      <c r="R408" s="65"/>
    </row>
    <row r="409" spans="1:18" ht="15" customHeight="1" x14ac:dyDescent="0.3">
      <c r="A409" s="66" t="s">
        <v>52</v>
      </c>
      <c r="B409" s="66" t="s">
        <v>53</v>
      </c>
      <c r="C409" s="67">
        <v>0.39930555555555558</v>
      </c>
      <c r="D409" s="66" t="s">
        <v>58</v>
      </c>
      <c r="E409" s="66" t="s">
        <v>179</v>
      </c>
      <c r="F409" s="66" t="s">
        <v>59</v>
      </c>
      <c r="G409" s="201"/>
      <c r="H409" s="61"/>
      <c r="I409" s="62"/>
      <c r="J409" s="62"/>
      <c r="K409" s="62"/>
      <c r="L409" s="62"/>
      <c r="M409" s="62"/>
      <c r="N409" s="62"/>
      <c r="O409" s="63"/>
      <c r="P409" s="62"/>
      <c r="Q409" s="64"/>
      <c r="R409" s="65"/>
    </row>
    <row r="410" spans="1:18" ht="15" customHeight="1" x14ac:dyDescent="0.3">
      <c r="A410" s="66" t="s">
        <v>52</v>
      </c>
      <c r="B410" s="66" t="s">
        <v>53</v>
      </c>
      <c r="C410" s="67">
        <v>0.39930555555555558</v>
      </c>
      <c r="D410" s="66" t="s">
        <v>60</v>
      </c>
      <c r="E410" s="66" t="s">
        <v>179</v>
      </c>
      <c r="F410" s="66" t="s">
        <v>65</v>
      </c>
      <c r="G410" s="201"/>
      <c r="H410" s="61"/>
      <c r="I410" s="62"/>
      <c r="J410" s="62"/>
      <c r="K410" s="62"/>
      <c r="L410" s="62"/>
      <c r="M410" s="62"/>
      <c r="N410" s="62"/>
      <c r="O410" s="63"/>
      <c r="P410" s="62"/>
      <c r="Q410" s="64"/>
      <c r="R410" s="65"/>
    </row>
    <row r="411" spans="1:18" ht="15" customHeight="1" x14ac:dyDescent="0.3">
      <c r="A411" s="68" t="s">
        <v>52</v>
      </c>
      <c r="B411" s="68" t="s">
        <v>62</v>
      </c>
      <c r="C411" s="69">
        <v>0.48958333333333331</v>
      </c>
      <c r="D411" s="68" t="s">
        <v>56</v>
      </c>
      <c r="E411" s="68" t="s">
        <v>35</v>
      </c>
      <c r="F411" s="68" t="s">
        <v>55</v>
      </c>
      <c r="G411" s="201"/>
      <c r="H411" s="61"/>
      <c r="I411" s="62"/>
      <c r="J411" s="62"/>
      <c r="K411" s="62"/>
      <c r="L411" s="62"/>
      <c r="M411" s="62"/>
      <c r="N411" s="62"/>
      <c r="O411" s="63"/>
      <c r="P411" s="62"/>
      <c r="Q411" s="64"/>
      <c r="R411" s="65"/>
    </row>
    <row r="412" spans="1:18" ht="15" customHeight="1" x14ac:dyDescent="0.3">
      <c r="A412" s="66" t="s">
        <v>52</v>
      </c>
      <c r="B412" s="66" t="s">
        <v>62</v>
      </c>
      <c r="C412" s="67">
        <v>0.48958333333333331</v>
      </c>
      <c r="D412" s="66" t="s">
        <v>58</v>
      </c>
      <c r="E412" s="66" t="s">
        <v>57</v>
      </c>
      <c r="F412" s="66" t="s">
        <v>59</v>
      </c>
      <c r="G412" s="201"/>
      <c r="H412" s="61"/>
      <c r="I412" s="62"/>
      <c r="J412" s="62"/>
      <c r="K412" s="62"/>
      <c r="L412" s="62"/>
      <c r="M412" s="62"/>
      <c r="N412" s="62"/>
      <c r="O412" s="63"/>
      <c r="P412" s="62"/>
      <c r="Q412" s="64"/>
      <c r="R412" s="65"/>
    </row>
    <row r="413" spans="1:18" ht="15" customHeight="1" x14ac:dyDescent="0.3">
      <c r="A413" s="66" t="s">
        <v>52</v>
      </c>
      <c r="B413" s="66" t="s">
        <v>62</v>
      </c>
      <c r="C413" s="67">
        <v>0.48958333333333331</v>
      </c>
      <c r="D413" s="66" t="s">
        <v>60</v>
      </c>
      <c r="E413" s="66" t="s">
        <v>57</v>
      </c>
      <c r="F413" s="66" t="s">
        <v>61</v>
      </c>
      <c r="G413" s="201"/>
      <c r="H413" s="61"/>
      <c r="I413" s="62"/>
      <c r="J413" s="62"/>
      <c r="K413" s="62"/>
      <c r="L413" s="62"/>
      <c r="M413" s="62"/>
      <c r="N413" s="62"/>
      <c r="O413" s="63"/>
      <c r="P413" s="62"/>
      <c r="Q413" s="64"/>
      <c r="R413" s="65"/>
    </row>
    <row r="414" spans="1:18" ht="15" customHeight="1" x14ac:dyDescent="0.3">
      <c r="A414" s="68" t="s">
        <v>52</v>
      </c>
      <c r="B414" s="68" t="s">
        <v>66</v>
      </c>
      <c r="C414" s="69">
        <v>0.88888888888888884</v>
      </c>
      <c r="D414" s="68" t="s">
        <v>56</v>
      </c>
      <c r="E414" s="68" t="s">
        <v>63</v>
      </c>
      <c r="F414" s="68" t="s">
        <v>36</v>
      </c>
      <c r="G414" s="201"/>
      <c r="H414" s="61"/>
      <c r="I414" s="62"/>
      <c r="J414" s="62"/>
      <c r="K414" s="62"/>
      <c r="L414" s="62"/>
      <c r="M414" s="62"/>
      <c r="N414" s="62"/>
      <c r="O414" s="63"/>
      <c r="P414" s="62"/>
      <c r="Q414" s="64"/>
      <c r="R414" s="65"/>
    </row>
    <row r="415" spans="1:18" ht="15" customHeight="1" x14ac:dyDescent="0.3">
      <c r="A415" s="66" t="s">
        <v>52</v>
      </c>
      <c r="B415" s="66" t="s">
        <v>66</v>
      </c>
      <c r="C415" s="67">
        <v>0.88888888888888884</v>
      </c>
      <c r="D415" s="66" t="s">
        <v>58</v>
      </c>
      <c r="E415" s="66" t="s">
        <v>64</v>
      </c>
      <c r="F415" s="66" t="s">
        <v>61</v>
      </c>
      <c r="G415" s="201"/>
      <c r="H415" s="61"/>
      <c r="I415" s="62"/>
      <c r="J415" s="62"/>
      <c r="K415" s="62"/>
      <c r="L415" s="62"/>
      <c r="M415" s="62"/>
      <c r="N415" s="62"/>
      <c r="O415" s="63"/>
      <c r="P415" s="62"/>
      <c r="Q415" s="64"/>
      <c r="R415" s="65"/>
    </row>
    <row r="416" spans="1:18" ht="15" customHeight="1" x14ac:dyDescent="0.3">
      <c r="A416" s="66" t="s">
        <v>52</v>
      </c>
      <c r="B416" s="66" t="s">
        <v>66</v>
      </c>
      <c r="C416" s="67">
        <v>0.88888888888888884</v>
      </c>
      <c r="D416" s="66" t="s">
        <v>60</v>
      </c>
      <c r="E416" s="66" t="s">
        <v>64</v>
      </c>
      <c r="F416" s="66" t="s">
        <v>65</v>
      </c>
      <c r="G416" s="201"/>
      <c r="H416" s="61"/>
      <c r="I416" s="62"/>
      <c r="J416" s="62"/>
      <c r="K416" s="62"/>
      <c r="L416" s="62"/>
      <c r="M416" s="62"/>
      <c r="N416" s="62"/>
      <c r="O416" s="63"/>
      <c r="P416" s="62"/>
      <c r="Q416" s="64"/>
      <c r="R416" s="65"/>
    </row>
    <row r="417" spans="1:18" ht="15" customHeight="1" x14ac:dyDescent="0.3">
      <c r="A417" s="68" t="s">
        <v>52</v>
      </c>
      <c r="B417" s="68" t="s">
        <v>69</v>
      </c>
      <c r="C417" s="69">
        <v>0.98958333333333337</v>
      </c>
      <c r="D417" s="68" t="s">
        <v>56</v>
      </c>
      <c r="E417" s="68" t="s">
        <v>134</v>
      </c>
      <c r="F417" s="68" t="s">
        <v>36</v>
      </c>
      <c r="G417" s="201"/>
      <c r="H417" s="61"/>
      <c r="I417" s="62"/>
      <c r="J417" s="62"/>
      <c r="K417" s="62"/>
      <c r="L417" s="62"/>
      <c r="M417" s="62"/>
      <c r="N417" s="62"/>
      <c r="O417" s="63"/>
      <c r="P417" s="62"/>
      <c r="Q417" s="64"/>
      <c r="R417" s="65"/>
    </row>
    <row r="418" spans="1:18" ht="15" customHeight="1" x14ac:dyDescent="0.3">
      <c r="A418" s="66" t="s">
        <v>52</v>
      </c>
      <c r="B418" s="66" t="s">
        <v>69</v>
      </c>
      <c r="C418" s="67">
        <v>0.98958333333333337</v>
      </c>
      <c r="D418" s="66" t="s">
        <v>58</v>
      </c>
      <c r="E418" s="66" t="s">
        <v>85</v>
      </c>
      <c r="F418" s="66" t="s">
        <v>61</v>
      </c>
      <c r="G418" s="201"/>
      <c r="H418" s="61"/>
      <c r="I418" s="62"/>
      <c r="J418" s="62"/>
      <c r="K418" s="62"/>
      <c r="L418" s="62"/>
      <c r="M418" s="62"/>
      <c r="N418" s="62"/>
      <c r="O418" s="63"/>
      <c r="P418" s="62"/>
      <c r="Q418" s="64"/>
      <c r="R418" s="65"/>
    </row>
    <row r="419" spans="1:18" ht="15" customHeight="1" x14ac:dyDescent="0.3">
      <c r="A419" s="66" t="s">
        <v>52</v>
      </c>
      <c r="B419" s="66" t="s">
        <v>69</v>
      </c>
      <c r="C419" s="67">
        <v>0.98958333333333337</v>
      </c>
      <c r="D419" s="66" t="s">
        <v>60</v>
      </c>
      <c r="E419" s="66" t="s">
        <v>85</v>
      </c>
      <c r="F419" s="66" t="s">
        <v>61</v>
      </c>
      <c r="G419" s="201"/>
      <c r="H419" s="61"/>
      <c r="I419" s="62"/>
      <c r="J419" s="62"/>
      <c r="K419" s="62"/>
      <c r="L419" s="62"/>
      <c r="M419" s="62"/>
      <c r="N419" s="62"/>
      <c r="O419" s="63"/>
      <c r="P419" s="62"/>
      <c r="Q419" s="64"/>
      <c r="R419" s="65"/>
    </row>
    <row r="420" spans="1:18" ht="15" customHeight="1" x14ac:dyDescent="0.3">
      <c r="A420" s="59" t="s">
        <v>72</v>
      </c>
      <c r="B420" s="59" t="s">
        <v>73</v>
      </c>
      <c r="C420" s="60">
        <v>0.2048611111111111</v>
      </c>
      <c r="D420" s="59" t="s">
        <v>28</v>
      </c>
      <c r="E420" s="59" t="s">
        <v>237</v>
      </c>
      <c r="F420" s="59" t="s">
        <v>75</v>
      </c>
      <c r="G420" s="201"/>
      <c r="H420" s="61"/>
      <c r="I420" s="62"/>
      <c r="J420" s="62"/>
      <c r="K420" s="62"/>
      <c r="L420" s="62"/>
      <c r="M420" s="62"/>
      <c r="N420" s="62"/>
      <c r="O420" s="63"/>
      <c r="P420" s="62"/>
      <c r="Q420" s="64"/>
      <c r="R420" s="65"/>
    </row>
    <row r="421" spans="1:18" ht="15" customHeight="1" x14ac:dyDescent="0.3">
      <c r="A421" s="68" t="s">
        <v>72</v>
      </c>
      <c r="B421" s="68" t="s">
        <v>76</v>
      </c>
      <c r="C421" s="69">
        <v>0.49305555555555558</v>
      </c>
      <c r="D421" s="68" t="s">
        <v>28</v>
      </c>
      <c r="E421" s="68" t="s">
        <v>77</v>
      </c>
      <c r="F421" s="68" t="s">
        <v>78</v>
      </c>
      <c r="G421" s="201"/>
      <c r="H421" s="61"/>
      <c r="I421" s="62"/>
      <c r="J421" s="62"/>
      <c r="K421" s="62"/>
      <c r="L421" s="62"/>
      <c r="M421" s="62"/>
      <c r="N421" s="62"/>
      <c r="O421" s="63"/>
      <c r="P421" s="62"/>
      <c r="Q421" s="64"/>
      <c r="R421" s="65"/>
    </row>
    <row r="422" spans="1:18" ht="15" customHeight="1" x14ac:dyDescent="0.3">
      <c r="A422" s="59" t="s">
        <v>108</v>
      </c>
      <c r="B422" s="59" t="s">
        <v>155</v>
      </c>
      <c r="C422" s="60">
        <v>0.22916666666666671</v>
      </c>
      <c r="D422" s="59" t="s">
        <v>113</v>
      </c>
      <c r="E422" s="59" t="s">
        <v>156</v>
      </c>
      <c r="F422" s="59" t="s">
        <v>238</v>
      </c>
      <c r="G422" s="201"/>
      <c r="H422" s="61"/>
      <c r="I422" s="62"/>
      <c r="J422" s="62"/>
      <c r="K422" s="62"/>
      <c r="L422" s="62"/>
      <c r="M422" s="62"/>
      <c r="N422" s="62"/>
      <c r="O422" s="63"/>
      <c r="P422" s="62"/>
      <c r="Q422" s="64"/>
      <c r="R422" s="65"/>
    </row>
    <row r="423" spans="1:18" ht="15" customHeight="1" x14ac:dyDescent="0.3">
      <c r="A423" s="66" t="s">
        <v>108</v>
      </c>
      <c r="B423" s="66" t="s">
        <v>155</v>
      </c>
      <c r="C423" s="67">
        <v>0.22916666666666671</v>
      </c>
      <c r="D423" s="66" t="s">
        <v>60</v>
      </c>
      <c r="E423" s="66" t="s">
        <v>71</v>
      </c>
      <c r="F423" s="66" t="s">
        <v>239</v>
      </c>
      <c r="G423" s="201"/>
      <c r="H423" s="61"/>
      <c r="I423" s="62"/>
      <c r="J423" s="62"/>
      <c r="K423" s="62"/>
      <c r="L423" s="62"/>
      <c r="M423" s="62"/>
      <c r="N423" s="62"/>
      <c r="O423" s="63"/>
      <c r="P423" s="62"/>
      <c r="Q423" s="64"/>
      <c r="R423" s="65"/>
    </row>
    <row r="424" spans="1:18" ht="15" customHeight="1" x14ac:dyDescent="0.3">
      <c r="A424" s="59" t="s">
        <v>79</v>
      </c>
      <c r="B424" s="59" t="s">
        <v>97</v>
      </c>
      <c r="C424" s="60">
        <v>0.34722222222222232</v>
      </c>
      <c r="D424" s="59" t="s">
        <v>84</v>
      </c>
      <c r="E424" s="59" t="s">
        <v>111</v>
      </c>
      <c r="F424" s="59" t="s">
        <v>240</v>
      </c>
      <c r="G424" s="201"/>
      <c r="H424" s="61"/>
      <c r="I424" s="62"/>
      <c r="J424" s="62"/>
      <c r="K424" s="62"/>
      <c r="L424" s="62"/>
      <c r="M424" s="62"/>
      <c r="N424" s="62"/>
      <c r="O424" s="63"/>
      <c r="P424" s="62"/>
      <c r="Q424" s="64"/>
      <c r="R424" s="65"/>
    </row>
    <row r="425" spans="1:18" ht="15" customHeight="1" x14ac:dyDescent="0.3">
      <c r="A425" s="66" t="s">
        <v>79</v>
      </c>
      <c r="B425" s="66" t="s">
        <v>97</v>
      </c>
      <c r="C425" s="67">
        <v>0.34722222222222232</v>
      </c>
      <c r="D425" s="66" t="s">
        <v>86</v>
      </c>
      <c r="E425" s="66" t="s">
        <v>92</v>
      </c>
      <c r="F425" s="66" t="s">
        <v>241</v>
      </c>
      <c r="G425" s="201"/>
      <c r="H425" s="61"/>
      <c r="I425" s="62"/>
      <c r="J425" s="62"/>
      <c r="K425" s="62"/>
      <c r="L425" s="62"/>
      <c r="M425" s="62"/>
      <c r="N425" s="62"/>
      <c r="O425" s="63"/>
      <c r="P425" s="62"/>
      <c r="Q425" s="64"/>
      <c r="R425" s="65"/>
    </row>
    <row r="426" spans="1:18" ht="15" customHeight="1" x14ac:dyDescent="0.3">
      <c r="A426" s="66" t="s">
        <v>79</v>
      </c>
      <c r="B426" s="66" t="s">
        <v>97</v>
      </c>
      <c r="C426" s="67">
        <v>0.34722222222222232</v>
      </c>
      <c r="D426" s="66" t="s">
        <v>88</v>
      </c>
      <c r="E426" s="66" t="s">
        <v>92</v>
      </c>
      <c r="F426" s="66" t="s">
        <v>181</v>
      </c>
      <c r="G426" s="201"/>
      <c r="H426" s="61"/>
      <c r="I426" s="62"/>
      <c r="J426" s="62"/>
      <c r="K426" s="62"/>
      <c r="L426" s="62"/>
      <c r="M426" s="62"/>
      <c r="N426" s="62"/>
      <c r="O426" s="63"/>
      <c r="P426" s="62"/>
      <c r="Q426" s="64"/>
      <c r="R426" s="65"/>
    </row>
    <row r="427" spans="1:18" ht="15" customHeight="1" x14ac:dyDescent="0.3">
      <c r="A427" s="68" t="s">
        <v>79</v>
      </c>
      <c r="B427" s="68" t="s">
        <v>100</v>
      </c>
      <c r="C427" s="69">
        <v>0.83680555555555547</v>
      </c>
      <c r="D427" s="68" t="s">
        <v>84</v>
      </c>
      <c r="E427" s="68" t="s">
        <v>70</v>
      </c>
      <c r="F427" s="68" t="s">
        <v>240</v>
      </c>
      <c r="G427" s="201"/>
      <c r="H427" s="61"/>
      <c r="I427" s="62"/>
      <c r="J427" s="62"/>
      <c r="K427" s="62"/>
      <c r="L427" s="62"/>
      <c r="M427" s="62"/>
      <c r="N427" s="62"/>
      <c r="O427" s="63"/>
      <c r="P427" s="62"/>
      <c r="Q427" s="64"/>
      <c r="R427" s="65"/>
    </row>
    <row r="428" spans="1:18" ht="15" customHeight="1" x14ac:dyDescent="0.3">
      <c r="A428" s="66" t="s">
        <v>79</v>
      </c>
      <c r="B428" s="66" t="s">
        <v>100</v>
      </c>
      <c r="C428" s="67">
        <v>0.83680555555555547</v>
      </c>
      <c r="D428" s="66" t="s">
        <v>86</v>
      </c>
      <c r="E428" s="66" t="s">
        <v>71</v>
      </c>
      <c r="F428" s="66" t="s">
        <v>241</v>
      </c>
      <c r="G428" s="201"/>
      <c r="H428" s="61"/>
      <c r="I428" s="62"/>
      <c r="J428" s="62"/>
      <c r="K428" s="62"/>
      <c r="L428" s="62"/>
      <c r="M428" s="62"/>
      <c r="N428" s="62"/>
      <c r="O428" s="63"/>
      <c r="P428" s="62"/>
      <c r="Q428" s="64"/>
      <c r="R428" s="65"/>
    </row>
    <row r="429" spans="1:18" ht="15" customHeight="1" x14ac:dyDescent="0.3">
      <c r="A429" s="66" t="s">
        <v>79</v>
      </c>
      <c r="B429" s="66" t="s">
        <v>100</v>
      </c>
      <c r="C429" s="67">
        <v>0.83680555555555547</v>
      </c>
      <c r="D429" s="66" t="s">
        <v>88</v>
      </c>
      <c r="E429" s="66" t="s">
        <v>71</v>
      </c>
      <c r="F429" s="66" t="s">
        <v>181</v>
      </c>
      <c r="G429" s="201"/>
      <c r="H429" s="61"/>
      <c r="I429" s="62"/>
      <c r="J429" s="62"/>
      <c r="K429" s="62"/>
      <c r="L429" s="62"/>
      <c r="M429" s="62"/>
      <c r="N429" s="62"/>
      <c r="O429" s="63"/>
      <c r="P429" s="62"/>
      <c r="Q429" s="64"/>
      <c r="R429" s="65"/>
    </row>
    <row r="430" spans="1:18" ht="15" customHeight="1" x14ac:dyDescent="0.3">
      <c r="A430" s="68" t="s">
        <v>79</v>
      </c>
      <c r="B430" s="68" t="s">
        <v>90</v>
      </c>
      <c r="C430" s="69">
        <v>0.94444444444444453</v>
      </c>
      <c r="D430" s="68" t="s">
        <v>84</v>
      </c>
      <c r="E430" s="68" t="s">
        <v>160</v>
      </c>
      <c r="F430" s="68" t="s">
        <v>240</v>
      </c>
      <c r="G430" s="201"/>
      <c r="H430" s="61"/>
      <c r="I430" s="62"/>
      <c r="J430" s="62"/>
      <c r="K430" s="62"/>
      <c r="L430" s="62"/>
      <c r="M430" s="62"/>
      <c r="N430" s="62"/>
      <c r="O430" s="63"/>
      <c r="P430" s="62"/>
      <c r="Q430" s="64"/>
      <c r="R430" s="65"/>
    </row>
    <row r="431" spans="1:18" ht="15" customHeight="1" x14ac:dyDescent="0.3">
      <c r="A431" s="66" t="s">
        <v>79</v>
      </c>
      <c r="B431" s="66" t="s">
        <v>90</v>
      </c>
      <c r="C431" s="67">
        <v>0.94444444444444453</v>
      </c>
      <c r="D431" s="66" t="s">
        <v>86</v>
      </c>
      <c r="E431" s="66" t="s">
        <v>242</v>
      </c>
      <c r="F431" s="66" t="s">
        <v>241</v>
      </c>
      <c r="G431" s="201"/>
      <c r="H431" s="61"/>
      <c r="I431" s="62"/>
      <c r="J431" s="62"/>
      <c r="K431" s="62"/>
      <c r="L431" s="62"/>
      <c r="M431" s="62"/>
      <c r="N431" s="62"/>
      <c r="O431" s="63"/>
      <c r="P431" s="62"/>
      <c r="Q431" s="64"/>
      <c r="R431" s="65"/>
    </row>
    <row r="432" spans="1:18" ht="15" customHeight="1" x14ac:dyDescent="0.3">
      <c r="A432" s="66" t="s">
        <v>79</v>
      </c>
      <c r="B432" s="66" t="s">
        <v>90</v>
      </c>
      <c r="C432" s="67">
        <v>0.94444444444444453</v>
      </c>
      <c r="D432" s="66" t="s">
        <v>88</v>
      </c>
      <c r="E432" s="66" t="s">
        <v>242</v>
      </c>
      <c r="F432" s="66" t="s">
        <v>181</v>
      </c>
      <c r="G432" s="201"/>
      <c r="H432" s="61"/>
      <c r="I432" s="62"/>
      <c r="J432" s="62"/>
      <c r="K432" s="62"/>
      <c r="L432" s="62"/>
      <c r="M432" s="62"/>
      <c r="N432" s="62"/>
      <c r="O432" s="63"/>
      <c r="P432" s="62"/>
      <c r="Q432" s="64"/>
      <c r="R432" s="65"/>
    </row>
    <row r="433" spans="1:18" ht="15" customHeight="1" x14ac:dyDescent="0.3">
      <c r="A433" s="68" t="s">
        <v>79</v>
      </c>
      <c r="B433" s="68" t="s">
        <v>93</v>
      </c>
      <c r="C433" s="69">
        <v>0.4861111111111111</v>
      </c>
      <c r="D433" s="68" t="s">
        <v>84</v>
      </c>
      <c r="E433" s="68" t="s">
        <v>95</v>
      </c>
      <c r="F433" s="68" t="s">
        <v>240</v>
      </c>
      <c r="G433" s="201"/>
      <c r="H433" s="61"/>
      <c r="I433" s="62"/>
      <c r="J433" s="62"/>
      <c r="K433" s="62"/>
      <c r="L433" s="62"/>
      <c r="M433" s="62"/>
      <c r="N433" s="62"/>
      <c r="O433" s="63"/>
      <c r="P433" s="62"/>
      <c r="Q433" s="64"/>
      <c r="R433" s="65"/>
    </row>
    <row r="434" spans="1:18" ht="15" customHeight="1" x14ac:dyDescent="0.3">
      <c r="A434" s="66" t="s">
        <v>79</v>
      </c>
      <c r="B434" s="66" t="s">
        <v>93</v>
      </c>
      <c r="C434" s="67">
        <v>0.4861111111111111</v>
      </c>
      <c r="D434" s="66" t="s">
        <v>86</v>
      </c>
      <c r="E434" s="66" t="s">
        <v>96</v>
      </c>
      <c r="F434" s="66" t="s">
        <v>241</v>
      </c>
      <c r="G434" s="201"/>
      <c r="H434" s="61"/>
      <c r="I434" s="62"/>
      <c r="J434" s="62"/>
      <c r="K434" s="62"/>
      <c r="L434" s="62"/>
      <c r="M434" s="62"/>
      <c r="N434" s="62"/>
      <c r="O434" s="63"/>
      <c r="P434" s="62"/>
      <c r="Q434" s="64"/>
      <c r="R434" s="65"/>
    </row>
    <row r="435" spans="1:18" ht="15" customHeight="1" x14ac:dyDescent="0.3">
      <c r="A435" s="66" t="s">
        <v>79</v>
      </c>
      <c r="B435" s="66" t="s">
        <v>93</v>
      </c>
      <c r="C435" s="67">
        <v>0.4861111111111111</v>
      </c>
      <c r="D435" s="66" t="s">
        <v>88</v>
      </c>
      <c r="E435" s="66" t="s">
        <v>96</v>
      </c>
      <c r="F435" s="66" t="s">
        <v>181</v>
      </c>
      <c r="G435" s="201"/>
      <c r="H435" s="61"/>
      <c r="I435" s="62"/>
      <c r="J435" s="62"/>
      <c r="K435" s="62"/>
      <c r="L435" s="62"/>
      <c r="M435" s="62"/>
      <c r="N435" s="62"/>
      <c r="O435" s="63"/>
      <c r="P435" s="62"/>
      <c r="Q435" s="64"/>
      <c r="R435" s="65"/>
    </row>
    <row r="436" spans="1:18" ht="15" customHeight="1" x14ac:dyDescent="0.3">
      <c r="A436" s="68" t="s">
        <v>79</v>
      </c>
      <c r="B436" s="68" t="s">
        <v>94</v>
      </c>
      <c r="C436" s="69">
        <v>0.3923611111111111</v>
      </c>
      <c r="D436" s="68" t="s">
        <v>84</v>
      </c>
      <c r="E436" s="68" t="s">
        <v>91</v>
      </c>
      <c r="F436" s="68" t="s">
        <v>240</v>
      </c>
      <c r="G436" s="201"/>
      <c r="H436" s="61"/>
      <c r="I436" s="62"/>
      <c r="J436" s="62"/>
      <c r="K436" s="62"/>
      <c r="L436" s="62"/>
      <c r="M436" s="62"/>
      <c r="N436" s="62"/>
      <c r="O436" s="63"/>
      <c r="P436" s="62"/>
      <c r="Q436" s="64"/>
      <c r="R436" s="65"/>
    </row>
    <row r="437" spans="1:18" ht="15" customHeight="1" x14ac:dyDescent="0.3">
      <c r="A437" s="66" t="s">
        <v>79</v>
      </c>
      <c r="B437" s="66" t="s">
        <v>94</v>
      </c>
      <c r="C437" s="67">
        <v>0.3923611111111111</v>
      </c>
      <c r="D437" s="66" t="s">
        <v>86</v>
      </c>
      <c r="E437" s="66" t="s">
        <v>92</v>
      </c>
      <c r="F437" s="66" t="s">
        <v>241</v>
      </c>
      <c r="G437" s="201"/>
      <c r="H437" s="61"/>
      <c r="I437" s="62"/>
      <c r="J437" s="62"/>
      <c r="K437" s="62"/>
      <c r="L437" s="62"/>
      <c r="M437" s="62"/>
      <c r="N437" s="62"/>
      <c r="O437" s="63"/>
      <c r="P437" s="62"/>
      <c r="Q437" s="64"/>
      <c r="R437" s="65"/>
    </row>
    <row r="438" spans="1:18" ht="15" customHeight="1" x14ac:dyDescent="0.3">
      <c r="A438" s="66" t="s">
        <v>79</v>
      </c>
      <c r="B438" s="66" t="s">
        <v>94</v>
      </c>
      <c r="C438" s="67">
        <v>0.3923611111111111</v>
      </c>
      <c r="D438" s="66" t="s">
        <v>88</v>
      </c>
      <c r="E438" s="66" t="s">
        <v>92</v>
      </c>
      <c r="F438" s="66" t="s">
        <v>181</v>
      </c>
      <c r="G438" s="201"/>
      <c r="H438" s="61"/>
      <c r="I438" s="62"/>
      <c r="J438" s="62"/>
      <c r="K438" s="62"/>
      <c r="L438" s="62"/>
      <c r="M438" s="62"/>
      <c r="N438" s="62"/>
      <c r="O438" s="63"/>
      <c r="P438" s="62"/>
      <c r="Q438" s="64"/>
      <c r="R438" s="65"/>
    </row>
    <row r="439" spans="1:18" ht="15" customHeight="1" x14ac:dyDescent="0.3">
      <c r="A439" s="68" t="s">
        <v>79</v>
      </c>
      <c r="B439" s="68" t="s">
        <v>101</v>
      </c>
      <c r="C439" s="69">
        <v>0.88888888888888884</v>
      </c>
      <c r="D439" s="68" t="s">
        <v>84</v>
      </c>
      <c r="E439" s="68" t="s">
        <v>120</v>
      </c>
      <c r="F439" s="68" t="s">
        <v>240</v>
      </c>
      <c r="G439" s="201"/>
      <c r="H439" s="61"/>
      <c r="I439" s="62"/>
      <c r="J439" s="62"/>
      <c r="K439" s="62"/>
      <c r="L439" s="62"/>
      <c r="M439" s="62"/>
      <c r="N439" s="62"/>
      <c r="O439" s="63"/>
      <c r="P439" s="62"/>
      <c r="Q439" s="64"/>
      <c r="R439" s="65"/>
    </row>
    <row r="440" spans="1:18" ht="15" customHeight="1" x14ac:dyDescent="0.3">
      <c r="A440" s="66" t="s">
        <v>79</v>
      </c>
      <c r="B440" s="66" t="s">
        <v>101</v>
      </c>
      <c r="C440" s="67">
        <v>0.88888888888888884</v>
      </c>
      <c r="D440" s="66" t="s">
        <v>86</v>
      </c>
      <c r="E440" s="66" t="s">
        <v>136</v>
      </c>
      <c r="F440" s="66" t="s">
        <v>241</v>
      </c>
      <c r="G440" s="201"/>
      <c r="H440" s="61"/>
      <c r="I440" s="62"/>
      <c r="J440" s="62"/>
      <c r="K440" s="62"/>
      <c r="L440" s="62"/>
      <c r="M440" s="62"/>
      <c r="N440" s="62"/>
      <c r="O440" s="63"/>
      <c r="P440" s="62"/>
      <c r="Q440" s="64"/>
      <c r="R440" s="65"/>
    </row>
    <row r="441" spans="1:18" ht="15" customHeight="1" x14ac:dyDescent="0.3">
      <c r="A441" s="66" t="s">
        <v>79</v>
      </c>
      <c r="B441" s="66" t="s">
        <v>101</v>
      </c>
      <c r="C441" s="67">
        <v>0.88888888888888884</v>
      </c>
      <c r="D441" s="66" t="s">
        <v>88</v>
      </c>
      <c r="E441" s="66" t="s">
        <v>136</v>
      </c>
      <c r="F441" s="66" t="s">
        <v>181</v>
      </c>
      <c r="G441" s="201"/>
      <c r="H441" s="61"/>
      <c r="I441" s="62"/>
      <c r="J441" s="62"/>
      <c r="K441" s="62"/>
      <c r="L441" s="62"/>
      <c r="M441" s="62"/>
      <c r="N441" s="62"/>
      <c r="O441" s="63"/>
      <c r="P441" s="62"/>
      <c r="Q441" s="64"/>
      <c r="R441" s="65"/>
    </row>
    <row r="442" spans="1:18" ht="15" customHeight="1" x14ac:dyDescent="0.3">
      <c r="A442" s="68" t="s">
        <v>79</v>
      </c>
      <c r="B442" s="68" t="s">
        <v>80</v>
      </c>
      <c r="C442" s="69">
        <v>0.99305555555555547</v>
      </c>
      <c r="D442" s="68" t="s">
        <v>84</v>
      </c>
      <c r="E442" s="68" t="s">
        <v>70</v>
      </c>
      <c r="F442" s="68" t="s">
        <v>61</v>
      </c>
      <c r="G442" s="201"/>
      <c r="H442" s="61"/>
      <c r="I442" s="62"/>
      <c r="J442" s="62"/>
      <c r="K442" s="62"/>
      <c r="L442" s="62"/>
      <c r="M442" s="62"/>
      <c r="N442" s="62"/>
      <c r="O442" s="63"/>
      <c r="P442" s="62"/>
      <c r="Q442" s="64"/>
      <c r="R442" s="65"/>
    </row>
    <row r="443" spans="1:18" ht="15" customHeight="1" x14ac:dyDescent="0.3">
      <c r="A443" s="66" t="s">
        <v>79</v>
      </c>
      <c r="B443" s="66" t="s">
        <v>80</v>
      </c>
      <c r="C443" s="67">
        <v>0.99305555555555547</v>
      </c>
      <c r="D443" s="66" t="s">
        <v>86</v>
      </c>
      <c r="E443" s="66" t="s">
        <v>71</v>
      </c>
      <c r="F443" s="66" t="s">
        <v>181</v>
      </c>
      <c r="G443" s="201"/>
      <c r="H443" s="61"/>
      <c r="I443" s="62"/>
      <c r="J443" s="62"/>
      <c r="K443" s="62"/>
      <c r="L443" s="62"/>
      <c r="M443" s="62"/>
      <c r="N443" s="62"/>
      <c r="O443" s="63"/>
      <c r="P443" s="62"/>
      <c r="Q443" s="64"/>
      <c r="R443" s="65"/>
    </row>
    <row r="444" spans="1:18" ht="15" customHeight="1" x14ac:dyDescent="0.3">
      <c r="A444" s="66" t="s">
        <v>79</v>
      </c>
      <c r="B444" s="66" t="s">
        <v>80</v>
      </c>
      <c r="C444" s="67">
        <v>0.99305555555555547</v>
      </c>
      <c r="D444" s="66" t="s">
        <v>88</v>
      </c>
      <c r="E444" s="66" t="s">
        <v>71</v>
      </c>
      <c r="F444" s="66" t="s">
        <v>243</v>
      </c>
      <c r="G444" s="201"/>
      <c r="H444" s="61"/>
      <c r="I444" s="62"/>
      <c r="J444" s="62"/>
      <c r="K444" s="62"/>
      <c r="L444" s="62"/>
      <c r="M444" s="62"/>
      <c r="N444" s="62"/>
      <c r="O444" s="63"/>
      <c r="P444" s="62"/>
      <c r="Q444" s="64"/>
      <c r="R444" s="65"/>
    </row>
    <row r="445" spans="1:18" ht="15" customHeight="1" x14ac:dyDescent="0.3">
      <c r="A445" s="68" t="s">
        <v>79</v>
      </c>
      <c r="B445" s="68" t="s">
        <v>99</v>
      </c>
      <c r="C445" s="69">
        <v>0.73611111111111116</v>
      </c>
      <c r="D445" s="68" t="s">
        <v>84</v>
      </c>
      <c r="E445" s="68" t="s">
        <v>120</v>
      </c>
      <c r="F445" s="68" t="s">
        <v>61</v>
      </c>
      <c r="G445" s="201"/>
      <c r="H445" s="61"/>
      <c r="I445" s="62"/>
      <c r="J445" s="62"/>
      <c r="K445" s="62"/>
      <c r="L445" s="62"/>
      <c r="M445" s="62"/>
      <c r="N445" s="62"/>
      <c r="O445" s="63"/>
      <c r="P445" s="62"/>
      <c r="Q445" s="64"/>
      <c r="R445" s="65"/>
    </row>
    <row r="446" spans="1:18" ht="15" customHeight="1" x14ac:dyDescent="0.3">
      <c r="A446" s="66" t="s">
        <v>79</v>
      </c>
      <c r="B446" s="66" t="s">
        <v>99</v>
      </c>
      <c r="C446" s="67">
        <v>0.73611111111111116</v>
      </c>
      <c r="D446" s="66" t="s">
        <v>86</v>
      </c>
      <c r="E446" s="66" t="s">
        <v>136</v>
      </c>
      <c r="F446" s="66" t="s">
        <v>181</v>
      </c>
      <c r="G446" s="201"/>
      <c r="H446" s="61"/>
      <c r="I446" s="62"/>
      <c r="J446" s="62"/>
      <c r="K446" s="62"/>
      <c r="L446" s="62"/>
      <c r="M446" s="62"/>
      <c r="N446" s="62"/>
      <c r="O446" s="63"/>
      <c r="P446" s="62"/>
      <c r="Q446" s="64"/>
      <c r="R446" s="65"/>
    </row>
    <row r="447" spans="1:18" ht="15" customHeight="1" x14ac:dyDescent="0.3">
      <c r="A447" s="66" t="s">
        <v>79</v>
      </c>
      <c r="B447" s="66" t="s">
        <v>99</v>
      </c>
      <c r="C447" s="67">
        <v>0.73611111111111116</v>
      </c>
      <c r="D447" s="66" t="s">
        <v>88</v>
      </c>
      <c r="E447" s="66" t="s">
        <v>136</v>
      </c>
      <c r="F447" s="66" t="s">
        <v>243</v>
      </c>
      <c r="G447" s="201"/>
      <c r="H447" s="61"/>
      <c r="I447" s="62"/>
      <c r="J447" s="62"/>
      <c r="K447" s="62"/>
      <c r="L447" s="62"/>
      <c r="M447" s="62"/>
      <c r="N447" s="62"/>
      <c r="O447" s="63"/>
      <c r="P447" s="62"/>
      <c r="Q447" s="64"/>
      <c r="R447" s="65"/>
    </row>
    <row r="448" spans="1:18" ht="15" customHeight="1" x14ac:dyDescent="0.3">
      <c r="A448" s="137" t="s">
        <v>26</v>
      </c>
      <c r="B448" s="137" t="s">
        <v>166</v>
      </c>
      <c r="C448" s="138">
        <v>0.15625</v>
      </c>
      <c r="D448" s="137" t="s">
        <v>28</v>
      </c>
      <c r="E448" s="137" t="s">
        <v>162</v>
      </c>
      <c r="F448" s="137" t="s">
        <v>148</v>
      </c>
      <c r="G448" s="201"/>
      <c r="H448" s="19" t="s">
        <v>167</v>
      </c>
      <c r="I448" s="20">
        <v>0.9889</v>
      </c>
      <c r="J448" s="21">
        <v>178</v>
      </c>
      <c r="K448" s="22">
        <v>45981</v>
      </c>
      <c r="L448" s="21">
        <v>21</v>
      </c>
      <c r="M448" s="21">
        <v>0</v>
      </c>
      <c r="N448" s="21">
        <v>15</v>
      </c>
      <c r="O448" s="23" t="s">
        <v>244</v>
      </c>
      <c r="P448" s="24">
        <v>0.15625</v>
      </c>
      <c r="Q448" s="21">
        <v>180</v>
      </c>
      <c r="R448" s="25" t="s">
        <v>245</v>
      </c>
    </row>
    <row r="449" spans="1:18" ht="15" customHeight="1" x14ac:dyDescent="0.3">
      <c r="A449" s="29" t="s">
        <v>26</v>
      </c>
      <c r="B449" s="29" t="s">
        <v>199</v>
      </c>
      <c r="C449" s="30">
        <v>0.82986111111111116</v>
      </c>
      <c r="D449" s="29" t="s">
        <v>28</v>
      </c>
      <c r="E449" s="29" t="s">
        <v>134</v>
      </c>
      <c r="F449" s="29" t="s">
        <v>148</v>
      </c>
      <c r="G449" s="201"/>
      <c r="H449" s="32" t="s">
        <v>43</v>
      </c>
      <c r="I449" s="33">
        <v>0.96109999999999995</v>
      </c>
      <c r="J449" s="34">
        <v>173</v>
      </c>
      <c r="K449" s="35">
        <v>45981</v>
      </c>
      <c r="L449" s="34">
        <v>10</v>
      </c>
      <c r="M449" s="34">
        <v>0</v>
      </c>
      <c r="N449" s="34">
        <v>8</v>
      </c>
      <c r="O449" s="36" t="s">
        <v>246</v>
      </c>
      <c r="P449" s="37">
        <v>0.82986111111111116</v>
      </c>
      <c r="Q449" s="34">
        <v>180</v>
      </c>
      <c r="R449" s="38" t="s">
        <v>247</v>
      </c>
    </row>
    <row r="450" spans="1:18" ht="15" customHeight="1" x14ac:dyDescent="0.3">
      <c r="A450" s="26" t="s">
        <v>26</v>
      </c>
      <c r="B450" s="26" t="s">
        <v>41</v>
      </c>
      <c r="C450" s="27">
        <v>0.1423611111111111</v>
      </c>
      <c r="D450" s="26" t="s">
        <v>44</v>
      </c>
      <c r="E450" s="139"/>
      <c r="F450" s="26" t="s">
        <v>45</v>
      </c>
      <c r="G450" s="201"/>
      <c r="H450" s="10" t="s">
        <v>41</v>
      </c>
      <c r="I450" s="11">
        <v>1</v>
      </c>
      <c r="J450" s="12">
        <v>180</v>
      </c>
      <c r="K450" s="13">
        <v>45966</v>
      </c>
      <c r="L450" s="12">
        <v>0</v>
      </c>
      <c r="M450" s="12">
        <v>0</v>
      </c>
      <c r="N450" s="12">
        <v>0</v>
      </c>
      <c r="O450" s="14" t="s">
        <v>46</v>
      </c>
      <c r="P450" s="15">
        <v>0.1423611111111111</v>
      </c>
      <c r="Q450" s="12">
        <v>180</v>
      </c>
      <c r="R450" s="16" t="s">
        <v>248</v>
      </c>
    </row>
    <row r="451" spans="1:18" ht="15" customHeight="1" x14ac:dyDescent="0.3">
      <c r="A451" s="95" t="s">
        <v>26</v>
      </c>
      <c r="B451" s="95" t="s">
        <v>48</v>
      </c>
      <c r="C451" s="96">
        <v>0.33333333333333331</v>
      </c>
      <c r="D451" s="95" t="s">
        <v>44</v>
      </c>
      <c r="E451" s="97"/>
      <c r="F451" s="95" t="s">
        <v>45</v>
      </c>
      <c r="G451" s="201"/>
      <c r="H451" s="98" t="s">
        <v>48</v>
      </c>
      <c r="I451" s="99">
        <v>1.0056</v>
      </c>
      <c r="J451" s="100">
        <v>181</v>
      </c>
      <c r="K451" s="101">
        <v>45981</v>
      </c>
      <c r="L451" s="100">
        <v>6</v>
      </c>
      <c r="M451" s="100">
        <v>0</v>
      </c>
      <c r="N451" s="100">
        <v>2</v>
      </c>
      <c r="O451" s="102" t="s">
        <v>46</v>
      </c>
      <c r="P451" s="103">
        <v>0.33333333333333331</v>
      </c>
      <c r="Q451" s="100">
        <v>180</v>
      </c>
      <c r="R451" s="104" t="s">
        <v>249</v>
      </c>
    </row>
    <row r="452" spans="1:18" ht="15" customHeight="1" x14ac:dyDescent="0.3">
      <c r="A452" s="26" t="s">
        <v>26</v>
      </c>
      <c r="B452" s="26" t="s">
        <v>31</v>
      </c>
      <c r="C452" s="27">
        <v>0.4548611111111111</v>
      </c>
      <c r="D452" s="26" t="s">
        <v>44</v>
      </c>
      <c r="E452" s="139"/>
      <c r="F452" s="26" t="s">
        <v>45</v>
      </c>
      <c r="G452" s="201"/>
      <c r="H452" s="10" t="s">
        <v>31</v>
      </c>
      <c r="I452" s="11">
        <v>0.99439999999999995</v>
      </c>
      <c r="J452" s="12">
        <v>179</v>
      </c>
      <c r="K452" s="13">
        <v>45982</v>
      </c>
      <c r="L452" s="12">
        <v>29</v>
      </c>
      <c r="M452" s="12">
        <v>1</v>
      </c>
      <c r="N452" s="12">
        <v>11</v>
      </c>
      <c r="O452" s="14" t="s">
        <v>46</v>
      </c>
      <c r="P452" s="15">
        <v>0.4548611111111111</v>
      </c>
      <c r="Q452" s="12">
        <v>180</v>
      </c>
      <c r="R452" s="16" t="s">
        <v>250</v>
      </c>
    </row>
    <row r="453" spans="1:18" ht="15" customHeight="1" x14ac:dyDescent="0.3">
      <c r="A453" s="59" t="s">
        <v>140</v>
      </c>
      <c r="B453" s="59" t="s">
        <v>146</v>
      </c>
      <c r="C453" s="60">
        <v>4.8611111111111112E-2</v>
      </c>
      <c r="D453" s="59" t="s">
        <v>122</v>
      </c>
      <c r="E453" s="59" t="s">
        <v>74</v>
      </c>
      <c r="F453" s="59" t="s">
        <v>251</v>
      </c>
      <c r="G453" s="201"/>
      <c r="H453" s="61"/>
      <c r="I453" s="62"/>
      <c r="J453" s="62"/>
      <c r="K453" s="62"/>
      <c r="L453" s="62"/>
      <c r="M453" s="62"/>
      <c r="N453" s="62"/>
      <c r="O453" s="63"/>
      <c r="P453" s="62"/>
      <c r="Q453" s="64"/>
      <c r="R453" s="65"/>
    </row>
    <row r="454" spans="1:18" ht="15" customHeight="1" x14ac:dyDescent="0.3">
      <c r="A454" s="68" t="s">
        <v>140</v>
      </c>
      <c r="B454" s="68" t="s">
        <v>215</v>
      </c>
      <c r="C454" s="69">
        <v>0.1041666666666667</v>
      </c>
      <c r="D454" s="68" t="s">
        <v>122</v>
      </c>
      <c r="E454" s="68" t="s">
        <v>77</v>
      </c>
      <c r="F454" s="68" t="s">
        <v>213</v>
      </c>
      <c r="G454" s="201"/>
      <c r="H454" s="61"/>
      <c r="I454" s="62"/>
      <c r="J454" s="62"/>
      <c r="K454" s="62"/>
      <c r="L454" s="62"/>
      <c r="M454" s="62"/>
      <c r="N454" s="62"/>
      <c r="O454" s="63"/>
      <c r="P454" s="62"/>
      <c r="Q454" s="64"/>
      <c r="R454" s="65"/>
    </row>
    <row r="455" spans="1:18" ht="15" customHeight="1" x14ac:dyDescent="0.3">
      <c r="A455" s="68" t="s">
        <v>140</v>
      </c>
      <c r="B455" s="68" t="s">
        <v>145</v>
      </c>
      <c r="C455" s="69">
        <v>0.78472222222222221</v>
      </c>
      <c r="D455" s="68" t="s">
        <v>122</v>
      </c>
      <c r="E455" s="68" t="s">
        <v>77</v>
      </c>
      <c r="F455" s="68" t="s">
        <v>142</v>
      </c>
      <c r="G455" s="201"/>
      <c r="H455" s="61"/>
      <c r="I455" s="62"/>
      <c r="J455" s="62"/>
      <c r="K455" s="62"/>
      <c r="L455" s="62"/>
      <c r="M455" s="62"/>
      <c r="N455" s="62"/>
      <c r="O455" s="63"/>
      <c r="P455" s="62"/>
      <c r="Q455" s="64"/>
      <c r="R455" s="65"/>
    </row>
    <row r="456" spans="1:18" ht="15" customHeight="1" x14ac:dyDescent="0.3">
      <c r="A456" s="68" t="s">
        <v>140</v>
      </c>
      <c r="B456" s="68" t="s">
        <v>188</v>
      </c>
      <c r="C456" s="69">
        <v>0.3125</v>
      </c>
      <c r="D456" s="68" t="s">
        <v>122</v>
      </c>
      <c r="E456" s="68" t="s">
        <v>63</v>
      </c>
      <c r="F456" s="68" t="s">
        <v>144</v>
      </c>
      <c r="G456" s="201"/>
      <c r="H456" s="61"/>
      <c r="I456" s="62"/>
      <c r="J456" s="62"/>
      <c r="K456" s="62"/>
      <c r="L456" s="62"/>
      <c r="M456" s="62"/>
      <c r="N456" s="62"/>
      <c r="O456" s="63"/>
      <c r="P456" s="62"/>
      <c r="Q456" s="64"/>
      <c r="R456" s="65"/>
    </row>
    <row r="457" spans="1:18" ht="15" customHeight="1" x14ac:dyDescent="0.3">
      <c r="A457" s="68" t="s">
        <v>140</v>
      </c>
      <c r="B457" s="68" t="s">
        <v>141</v>
      </c>
      <c r="C457" s="69">
        <v>0.97222222222222221</v>
      </c>
      <c r="D457" s="68" t="s">
        <v>122</v>
      </c>
      <c r="E457" s="68" t="s">
        <v>35</v>
      </c>
      <c r="F457" s="68" t="s">
        <v>144</v>
      </c>
      <c r="G457" s="201"/>
      <c r="H457" s="61"/>
      <c r="I457" s="62"/>
      <c r="J457" s="62"/>
      <c r="K457" s="62"/>
      <c r="L457" s="62"/>
      <c r="M457" s="62"/>
      <c r="N457" s="62"/>
      <c r="O457" s="63"/>
      <c r="P457" s="62"/>
      <c r="Q457" s="64"/>
      <c r="R457" s="65"/>
    </row>
    <row r="458" spans="1:18" ht="15" customHeight="1" x14ac:dyDescent="0.3">
      <c r="A458" s="68" t="s">
        <v>140</v>
      </c>
      <c r="B458" s="68" t="s">
        <v>216</v>
      </c>
      <c r="C458" s="69">
        <v>0.60069444444444442</v>
      </c>
      <c r="D458" s="68" t="s">
        <v>122</v>
      </c>
      <c r="E458" s="68" t="s">
        <v>77</v>
      </c>
      <c r="F458" s="68" t="s">
        <v>144</v>
      </c>
      <c r="G458" s="201"/>
      <c r="H458" s="61"/>
      <c r="I458" s="62"/>
      <c r="J458" s="62"/>
      <c r="K458" s="62"/>
      <c r="L458" s="62"/>
      <c r="M458" s="62"/>
      <c r="N458" s="62"/>
      <c r="O458" s="63"/>
      <c r="P458" s="62"/>
      <c r="Q458" s="64"/>
      <c r="R458" s="65"/>
    </row>
    <row r="459" spans="1:18" ht="15" customHeight="1" x14ac:dyDescent="0.3">
      <c r="A459" s="59" t="s">
        <v>102</v>
      </c>
      <c r="B459" s="59" t="s">
        <v>103</v>
      </c>
      <c r="C459" s="60">
        <v>0.10069444444444441</v>
      </c>
      <c r="D459" s="59" t="s">
        <v>28</v>
      </c>
      <c r="E459" s="59" t="s">
        <v>104</v>
      </c>
      <c r="F459" s="59" t="s">
        <v>187</v>
      </c>
      <c r="G459" s="201"/>
      <c r="H459" s="61"/>
      <c r="I459" s="62"/>
      <c r="J459" s="62"/>
      <c r="K459" s="62"/>
      <c r="L459" s="62"/>
      <c r="M459" s="62"/>
      <c r="N459" s="62"/>
      <c r="O459" s="63"/>
      <c r="P459" s="62"/>
      <c r="Q459" s="64"/>
      <c r="R459" s="65"/>
    </row>
    <row r="460" spans="1:18" ht="15" customHeight="1" x14ac:dyDescent="0.3">
      <c r="A460" s="68" t="s">
        <v>102</v>
      </c>
      <c r="B460" s="68" t="s">
        <v>252</v>
      </c>
      <c r="C460" s="69">
        <v>0.1736111111111111</v>
      </c>
      <c r="D460" s="68" t="s">
        <v>28</v>
      </c>
      <c r="E460" s="68" t="s">
        <v>95</v>
      </c>
      <c r="F460" s="68" t="s">
        <v>226</v>
      </c>
      <c r="G460" s="201"/>
      <c r="H460" s="61"/>
      <c r="I460" s="62"/>
      <c r="J460" s="62"/>
      <c r="K460" s="62"/>
      <c r="L460" s="62"/>
      <c r="M460" s="62"/>
      <c r="N460" s="62"/>
      <c r="O460" s="63"/>
      <c r="P460" s="62"/>
      <c r="Q460" s="64"/>
      <c r="R460" s="65"/>
    </row>
    <row r="461" spans="1:18" ht="15" customHeight="1" x14ac:dyDescent="0.3">
      <c r="A461" s="59" t="s">
        <v>115</v>
      </c>
      <c r="B461" s="59" t="s">
        <v>121</v>
      </c>
      <c r="C461" s="60">
        <v>0.82986111111111116</v>
      </c>
      <c r="D461" s="59" t="s">
        <v>117</v>
      </c>
      <c r="E461" s="59" t="s">
        <v>74</v>
      </c>
      <c r="F461" s="59" t="s">
        <v>118</v>
      </c>
      <c r="G461" s="201"/>
      <c r="H461" s="61"/>
      <c r="I461" s="62"/>
      <c r="J461" s="62"/>
      <c r="K461" s="62"/>
      <c r="L461" s="62"/>
      <c r="M461" s="62"/>
      <c r="N461" s="62"/>
      <c r="O461" s="63"/>
      <c r="P461" s="62"/>
      <c r="Q461" s="64"/>
      <c r="R461" s="65"/>
    </row>
    <row r="462" spans="1:18" ht="15" customHeight="1" x14ac:dyDescent="0.3">
      <c r="A462" s="68" t="s">
        <v>115</v>
      </c>
      <c r="B462" s="68" t="s">
        <v>135</v>
      </c>
      <c r="C462" s="69">
        <v>0.94097222222222221</v>
      </c>
      <c r="D462" s="68" t="s">
        <v>117</v>
      </c>
      <c r="E462" s="68" t="s">
        <v>77</v>
      </c>
      <c r="F462" s="68" t="s">
        <v>123</v>
      </c>
      <c r="G462" s="201"/>
      <c r="H462" s="61"/>
      <c r="I462" s="62"/>
      <c r="J462" s="62"/>
      <c r="K462" s="62"/>
      <c r="L462" s="62"/>
      <c r="M462" s="62"/>
      <c r="N462" s="62"/>
      <c r="O462" s="63"/>
      <c r="P462" s="62"/>
      <c r="Q462" s="64"/>
      <c r="R462" s="65"/>
    </row>
    <row r="463" spans="1:18" ht="15" customHeight="1" x14ac:dyDescent="0.3">
      <c r="A463" s="68" t="s">
        <v>115</v>
      </c>
      <c r="B463" s="68" t="s">
        <v>127</v>
      </c>
      <c r="C463" s="69">
        <v>0.39930555555555558</v>
      </c>
      <c r="D463" s="68" t="s">
        <v>117</v>
      </c>
      <c r="E463" s="68" t="s">
        <v>63</v>
      </c>
      <c r="F463" s="68" t="s">
        <v>253</v>
      </c>
      <c r="G463" s="201"/>
      <c r="H463" s="61"/>
      <c r="I463" s="62"/>
      <c r="J463" s="62"/>
      <c r="K463" s="62"/>
      <c r="L463" s="62"/>
      <c r="M463" s="62"/>
      <c r="N463" s="62"/>
      <c r="O463" s="63"/>
      <c r="P463" s="62"/>
      <c r="Q463" s="64"/>
      <c r="R463" s="65"/>
    </row>
    <row r="464" spans="1:18" ht="15" customHeight="1" x14ac:dyDescent="0.3">
      <c r="A464" s="68" t="s">
        <v>115</v>
      </c>
      <c r="B464" s="68" t="s">
        <v>125</v>
      </c>
      <c r="C464" s="69">
        <v>0.98958333333333337</v>
      </c>
      <c r="D464" s="68" t="s">
        <v>117</v>
      </c>
      <c r="E464" s="68" t="s">
        <v>63</v>
      </c>
      <c r="F464" s="68" t="s">
        <v>126</v>
      </c>
      <c r="G464" s="201"/>
      <c r="H464" s="61"/>
      <c r="I464" s="62"/>
      <c r="J464" s="62"/>
      <c r="K464" s="62"/>
      <c r="L464" s="62"/>
      <c r="M464" s="62"/>
      <c r="N464" s="62"/>
      <c r="O464" s="63"/>
      <c r="P464" s="62"/>
      <c r="Q464" s="64"/>
      <c r="R464" s="65"/>
    </row>
    <row r="465" spans="1:18" ht="15" customHeight="1" x14ac:dyDescent="0.3">
      <c r="A465" s="68" t="s">
        <v>115</v>
      </c>
      <c r="B465" s="68" t="s">
        <v>128</v>
      </c>
      <c r="C465" s="69">
        <v>0.48958333333333331</v>
      </c>
      <c r="D465" s="68" t="s">
        <v>117</v>
      </c>
      <c r="E465" s="68" t="s">
        <v>63</v>
      </c>
      <c r="F465" s="68" t="s">
        <v>126</v>
      </c>
      <c r="G465" s="201"/>
      <c r="H465" s="61"/>
      <c r="I465" s="62"/>
      <c r="J465" s="62"/>
      <c r="K465" s="62"/>
      <c r="L465" s="62"/>
      <c r="M465" s="62"/>
      <c r="N465" s="62"/>
      <c r="O465" s="63"/>
      <c r="P465" s="62"/>
      <c r="Q465" s="64"/>
      <c r="R465" s="65"/>
    </row>
    <row r="466" spans="1:18" ht="15" customHeight="1" x14ac:dyDescent="0.3">
      <c r="A466" s="68" t="s">
        <v>115</v>
      </c>
      <c r="B466" s="68" t="s">
        <v>130</v>
      </c>
      <c r="C466" s="69">
        <v>0.88888888888888884</v>
      </c>
      <c r="D466" s="68" t="s">
        <v>117</v>
      </c>
      <c r="E466" s="68" t="s">
        <v>63</v>
      </c>
      <c r="F466" s="68" t="s">
        <v>126</v>
      </c>
      <c r="G466" s="201"/>
      <c r="H466" s="61"/>
      <c r="I466" s="62"/>
      <c r="J466" s="62"/>
      <c r="K466" s="62"/>
      <c r="L466" s="62"/>
      <c r="M466" s="62"/>
      <c r="N466" s="62"/>
      <c r="O466" s="63"/>
      <c r="P466" s="62"/>
      <c r="Q466" s="64"/>
      <c r="R466" s="65"/>
    </row>
    <row r="467" spans="1:18" ht="15" customHeight="1" x14ac:dyDescent="0.3">
      <c r="A467" s="68" t="s">
        <v>115</v>
      </c>
      <c r="B467" s="68" t="s">
        <v>116</v>
      </c>
      <c r="C467" s="69">
        <v>0.48958333333333331</v>
      </c>
      <c r="D467" s="68" t="s">
        <v>117</v>
      </c>
      <c r="E467" s="68" t="s">
        <v>77</v>
      </c>
      <c r="F467" s="68" t="s">
        <v>132</v>
      </c>
      <c r="G467" s="201"/>
      <c r="H467" s="61"/>
      <c r="I467" s="62"/>
      <c r="J467" s="62"/>
      <c r="K467" s="62"/>
      <c r="L467" s="62"/>
      <c r="M467" s="62"/>
      <c r="N467" s="62"/>
      <c r="O467" s="63"/>
      <c r="P467" s="62"/>
      <c r="Q467" s="64"/>
      <c r="R467" s="65"/>
    </row>
    <row r="468" spans="1:18" ht="15" customHeight="1" x14ac:dyDescent="0.3">
      <c r="A468" s="68" t="s">
        <v>115</v>
      </c>
      <c r="B468" s="68" t="s">
        <v>137</v>
      </c>
      <c r="C468" s="69">
        <v>0.72222222222222221</v>
      </c>
      <c r="D468" s="68" t="s">
        <v>117</v>
      </c>
      <c r="E468" s="68" t="s">
        <v>77</v>
      </c>
      <c r="F468" s="68" t="s">
        <v>132</v>
      </c>
      <c r="G468" s="201"/>
      <c r="H468" s="61"/>
      <c r="I468" s="62"/>
      <c r="J468" s="62"/>
      <c r="K468" s="62"/>
      <c r="L468" s="62"/>
      <c r="M468" s="62"/>
      <c r="N468" s="62"/>
      <c r="O468" s="63"/>
      <c r="P468" s="62"/>
      <c r="Q468" s="64"/>
      <c r="R468" s="65"/>
    </row>
    <row r="469" spans="1:18" ht="15" customHeight="1" x14ac:dyDescent="0.3">
      <c r="A469" s="68" t="s">
        <v>115</v>
      </c>
      <c r="B469" s="68" t="s">
        <v>139</v>
      </c>
      <c r="C469" s="69">
        <v>0.70138888888888884</v>
      </c>
      <c r="D469" s="68" t="s">
        <v>117</v>
      </c>
      <c r="E469" s="68" t="s">
        <v>67</v>
      </c>
      <c r="F469" s="68" t="s">
        <v>132</v>
      </c>
      <c r="G469" s="201"/>
      <c r="H469" s="61"/>
      <c r="I469" s="62"/>
      <c r="J469" s="62"/>
      <c r="K469" s="62"/>
      <c r="L469" s="62"/>
      <c r="M469" s="62"/>
      <c r="N469" s="62"/>
      <c r="O469" s="63"/>
      <c r="P469" s="62"/>
      <c r="Q469" s="64"/>
      <c r="R469" s="65"/>
    </row>
    <row r="470" spans="1:18" ht="15" customHeight="1" x14ac:dyDescent="0.3">
      <c r="A470" s="68" t="s">
        <v>115</v>
      </c>
      <c r="B470" s="68" t="s">
        <v>133</v>
      </c>
      <c r="C470" s="69">
        <v>0.25347222222222221</v>
      </c>
      <c r="D470" s="68" t="s">
        <v>117</v>
      </c>
      <c r="E470" s="68" t="s">
        <v>77</v>
      </c>
      <c r="F470" s="68" t="s">
        <v>132</v>
      </c>
      <c r="G470" s="201"/>
      <c r="H470" s="61"/>
      <c r="I470" s="62"/>
      <c r="J470" s="62"/>
      <c r="K470" s="62"/>
      <c r="L470" s="62"/>
      <c r="M470" s="62"/>
      <c r="N470" s="62"/>
      <c r="O470" s="63"/>
      <c r="P470" s="62"/>
      <c r="Q470" s="64"/>
      <c r="R470" s="65"/>
    </row>
    <row r="471" spans="1:18" ht="15" customHeight="1" x14ac:dyDescent="0.3">
      <c r="A471" s="68" t="s">
        <v>115</v>
      </c>
      <c r="B471" s="68" t="s">
        <v>131</v>
      </c>
      <c r="C471" s="69">
        <v>0.11805555555555559</v>
      </c>
      <c r="D471" s="68" t="s">
        <v>117</v>
      </c>
      <c r="E471" s="68" t="s">
        <v>120</v>
      </c>
      <c r="F471" s="68" t="s">
        <v>138</v>
      </c>
      <c r="G471" s="201"/>
      <c r="H471" s="61"/>
      <c r="I471" s="62"/>
      <c r="J471" s="62"/>
      <c r="K471" s="62"/>
      <c r="L471" s="62"/>
      <c r="M471" s="62"/>
      <c r="N471" s="62"/>
      <c r="O471" s="63"/>
      <c r="P471" s="62"/>
      <c r="Q471" s="64"/>
      <c r="R471" s="65"/>
    </row>
    <row r="472" spans="1:18" ht="15" customHeight="1" x14ac:dyDescent="0.3">
      <c r="A472" s="70" t="s">
        <v>115</v>
      </c>
      <c r="B472" s="70" t="s">
        <v>119</v>
      </c>
      <c r="C472" s="71">
        <v>4.1666666666666657E-2</v>
      </c>
      <c r="D472" s="70" t="s">
        <v>117</v>
      </c>
      <c r="E472" s="70" t="s">
        <v>120</v>
      </c>
      <c r="F472" s="70" t="s">
        <v>138</v>
      </c>
      <c r="G472" s="202"/>
      <c r="H472" s="72"/>
      <c r="I472" s="73"/>
      <c r="J472" s="73"/>
      <c r="K472" s="73"/>
      <c r="L472" s="73"/>
      <c r="M472" s="73"/>
      <c r="N472" s="73"/>
      <c r="O472" s="74"/>
      <c r="P472" s="73"/>
      <c r="Q472" s="75"/>
      <c r="R472" s="76"/>
    </row>
  </sheetData>
  <mergeCells count="30">
    <mergeCell ref="H406:R406"/>
    <mergeCell ref="A237:F237"/>
    <mergeCell ref="G2:J2"/>
    <mergeCell ref="A4:F4"/>
    <mergeCell ref="G6:G88"/>
    <mergeCell ref="N1:R1"/>
    <mergeCell ref="G322:G404"/>
    <mergeCell ref="A173:F173"/>
    <mergeCell ref="A320:F320"/>
    <mergeCell ref="K2:R2"/>
    <mergeCell ref="H90:R90"/>
    <mergeCell ref="H237:R237"/>
    <mergeCell ref="A319:R319"/>
    <mergeCell ref="G239:G318"/>
    <mergeCell ref="G408:G472"/>
    <mergeCell ref="G92:G171"/>
    <mergeCell ref="A90:F90"/>
    <mergeCell ref="A172:R172"/>
    <mergeCell ref="H1:L1"/>
    <mergeCell ref="A1:E1"/>
    <mergeCell ref="A89:R89"/>
    <mergeCell ref="A236:R236"/>
    <mergeCell ref="H4:R4"/>
    <mergeCell ref="A406:F406"/>
    <mergeCell ref="A2:F2"/>
    <mergeCell ref="A3:R3"/>
    <mergeCell ref="H320:R320"/>
    <mergeCell ref="G175:G235"/>
    <mergeCell ref="H173:R173"/>
    <mergeCell ref="A405:R4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3"/>
  <sheetViews>
    <sheetView workbookViewId="0"/>
  </sheetViews>
  <sheetFormatPr defaultRowHeight="15.6" outlineLevelCol="1" x14ac:dyDescent="0.3"/>
  <cols>
    <col min="1" max="1" width="11.5546875" style="222" bestFit="1" customWidth="1"/>
    <col min="2" max="2" width="10.44140625" style="222" bestFit="1" customWidth="1"/>
    <col min="3" max="3" width="6.77734375" style="222" bestFit="1" customWidth="1"/>
    <col min="4" max="4" width="5.5546875" style="222" bestFit="1" customWidth="1"/>
    <col min="5" max="5" width="7.5546875" style="222" bestFit="1" customWidth="1"/>
    <col min="6" max="6" width="4.21875" style="222" bestFit="1" customWidth="1"/>
    <col min="7" max="7" width="10" style="222" bestFit="1" customWidth="1"/>
    <col min="8" max="10" width="8.5546875" style="222" bestFit="1" customWidth="1"/>
    <col min="11" max="11" width="10.5546875" style="222" bestFit="1" customWidth="1"/>
    <col min="12" max="12" width="9.109375" style="222" bestFit="1" customWidth="1"/>
    <col min="13" max="13" width="7.6640625" style="222" bestFit="1" customWidth="1" outlineLevel="1"/>
    <col min="14" max="14" width="7" style="222" bestFit="1" customWidth="1" outlineLevel="1"/>
    <col min="15" max="15" width="8" style="222" bestFit="1" customWidth="1" outlineLevel="1"/>
    <col min="16" max="16" width="13.6640625" style="222" bestFit="1" customWidth="1"/>
    <col min="17" max="20" width="3.88671875" style="222" bestFit="1" customWidth="1"/>
    <col min="21" max="21" width="4.5546875" style="222" bestFit="1" customWidth="1"/>
    <col min="22" max="22" width="4.21875" style="222" bestFit="1" customWidth="1"/>
    <col min="23" max="23" width="4.33203125" style="222" bestFit="1" customWidth="1"/>
    <col min="24" max="24" width="4.109375" style="222" bestFit="1" customWidth="1"/>
    <col min="25" max="25" width="4.44140625" style="222" bestFit="1" customWidth="1"/>
    <col min="26" max="26" width="4.109375" style="222" bestFit="1" customWidth="1"/>
    <col min="27" max="27" width="5" style="222" bestFit="1" customWidth="1"/>
    <col min="28" max="29" width="4.21875" style="222" bestFit="1" customWidth="1"/>
    <col min="30" max="31" width="4.5546875" style="222" bestFit="1" customWidth="1"/>
    <col min="32" max="32" width="3.88671875" style="222" bestFit="1" customWidth="1"/>
    <col min="33" max="33" width="4.21875" style="222" bestFit="1" customWidth="1"/>
    <col min="34" max="34" width="3.88671875" style="222" bestFit="1" customWidth="1"/>
    <col min="35" max="35" width="5.21875" style="222" bestFit="1" customWidth="1"/>
    <col min="36" max="36" width="3.88671875" style="222" bestFit="1" customWidth="1"/>
    <col min="37" max="16384" width="8.88671875" style="222"/>
  </cols>
  <sheetData>
    <row r="1" spans="1:36" x14ac:dyDescent="0.3">
      <c r="A1" s="221" t="s">
        <v>254</v>
      </c>
      <c r="B1" s="221" t="s">
        <v>255</v>
      </c>
      <c r="C1" s="221" t="s">
        <v>256</v>
      </c>
      <c r="D1" s="221" t="s">
        <v>23</v>
      </c>
      <c r="E1" s="221" t="s">
        <v>257</v>
      </c>
      <c r="F1" s="221" t="s">
        <v>258</v>
      </c>
      <c r="G1" s="221" t="s">
        <v>16</v>
      </c>
      <c r="H1" s="221" t="s">
        <v>259</v>
      </c>
      <c r="I1" s="221" t="s">
        <v>260</v>
      </c>
      <c r="J1" s="221" t="s">
        <v>261</v>
      </c>
      <c r="K1" s="221" t="s">
        <v>262</v>
      </c>
      <c r="L1" s="221" t="s">
        <v>18</v>
      </c>
      <c r="M1" s="221" t="s">
        <v>20</v>
      </c>
      <c r="N1" s="221" t="s">
        <v>21</v>
      </c>
      <c r="O1" s="221" t="s">
        <v>19</v>
      </c>
      <c r="P1" s="221" t="s">
        <v>22</v>
      </c>
      <c r="Q1" s="221" t="s">
        <v>263</v>
      </c>
      <c r="R1" s="221" t="s">
        <v>264</v>
      </c>
      <c r="S1" s="221" t="s">
        <v>265</v>
      </c>
      <c r="T1" s="221" t="s">
        <v>266</v>
      </c>
      <c r="U1" s="221" t="s">
        <v>267</v>
      </c>
      <c r="V1" s="221" t="s">
        <v>268</v>
      </c>
      <c r="W1" s="221" t="s">
        <v>269</v>
      </c>
      <c r="X1" s="221" t="s">
        <v>270</v>
      </c>
      <c r="Y1" s="221" t="s">
        <v>271</v>
      </c>
      <c r="Z1" s="221" t="s">
        <v>272</v>
      </c>
      <c r="AA1" s="221" t="s">
        <v>273</v>
      </c>
      <c r="AB1" s="221" t="s">
        <v>274</v>
      </c>
      <c r="AC1" s="221" t="s">
        <v>275</v>
      </c>
      <c r="AD1" s="221" t="s">
        <v>276</v>
      </c>
      <c r="AE1" s="221" t="s">
        <v>277</v>
      </c>
      <c r="AF1" s="221" t="s">
        <v>278</v>
      </c>
      <c r="AG1" s="221" t="s">
        <v>279</v>
      </c>
      <c r="AH1" s="221" t="s">
        <v>280</v>
      </c>
      <c r="AI1" s="221" t="s">
        <v>281</v>
      </c>
      <c r="AJ1" s="221" t="s">
        <v>282</v>
      </c>
    </row>
    <row r="2" spans="1:36" x14ac:dyDescent="0.3">
      <c r="A2" s="223" t="s">
        <v>283</v>
      </c>
      <c r="B2" s="224">
        <v>45986</v>
      </c>
      <c r="C2" s="225" t="s">
        <v>37</v>
      </c>
      <c r="D2" s="226" t="s">
        <v>284</v>
      </c>
      <c r="E2" s="225" t="s">
        <v>1</v>
      </c>
      <c r="F2" s="225" t="s">
        <v>285</v>
      </c>
      <c r="G2" s="227">
        <v>0.87219999999999998</v>
      </c>
      <c r="H2" s="228">
        <v>180</v>
      </c>
      <c r="I2" s="228">
        <v>157</v>
      </c>
      <c r="J2" s="228">
        <v>45</v>
      </c>
      <c r="K2" s="225" t="s">
        <v>286</v>
      </c>
      <c r="L2" s="229">
        <v>45981</v>
      </c>
      <c r="M2" s="228">
        <v>0</v>
      </c>
      <c r="N2" s="228">
        <v>10</v>
      </c>
      <c r="O2" s="228">
        <v>67</v>
      </c>
      <c r="P2" s="225" t="s">
        <v>38</v>
      </c>
      <c r="Q2" s="221"/>
      <c r="R2" s="221"/>
      <c r="S2" s="221"/>
      <c r="T2" s="221"/>
      <c r="U2" s="221"/>
      <c r="V2" s="221"/>
      <c r="W2" s="221"/>
      <c r="X2" s="221"/>
      <c r="Y2" s="228" t="s">
        <v>168</v>
      </c>
      <c r="Z2" s="228" t="s">
        <v>287</v>
      </c>
      <c r="AA2" s="228" t="s">
        <v>288</v>
      </c>
      <c r="AB2" s="228" t="s">
        <v>289</v>
      </c>
      <c r="AC2" s="228" t="s">
        <v>290</v>
      </c>
      <c r="AD2" s="228" t="s">
        <v>291</v>
      </c>
      <c r="AE2" s="228" t="s">
        <v>292</v>
      </c>
      <c r="AF2" s="228" t="s">
        <v>293</v>
      </c>
      <c r="AG2" s="221"/>
      <c r="AH2" s="221"/>
      <c r="AI2" s="228" t="s">
        <v>294</v>
      </c>
      <c r="AJ2" s="221"/>
    </row>
    <row r="3" spans="1:36" x14ac:dyDescent="0.3">
      <c r="A3" s="223" t="s">
        <v>283</v>
      </c>
      <c r="B3" s="224">
        <v>45986</v>
      </c>
      <c r="C3" s="225" t="s">
        <v>43</v>
      </c>
      <c r="D3" s="226" t="s">
        <v>295</v>
      </c>
      <c r="E3" s="225" t="s">
        <v>1</v>
      </c>
      <c r="F3" s="225" t="s">
        <v>285</v>
      </c>
      <c r="G3" s="227">
        <v>1.0056</v>
      </c>
      <c r="H3" s="228">
        <v>180</v>
      </c>
      <c r="I3" s="228">
        <v>181</v>
      </c>
      <c r="J3" s="228">
        <v>139</v>
      </c>
      <c r="K3" s="225" t="s">
        <v>286</v>
      </c>
      <c r="L3" s="229">
        <v>45981</v>
      </c>
      <c r="M3" s="228">
        <v>0</v>
      </c>
      <c r="N3" s="228">
        <v>3</v>
      </c>
      <c r="O3" s="228">
        <v>14</v>
      </c>
      <c r="P3" s="225" t="s">
        <v>46</v>
      </c>
      <c r="Q3" s="221"/>
      <c r="R3" s="221"/>
      <c r="S3" s="221"/>
      <c r="T3" s="221"/>
      <c r="U3" s="221"/>
      <c r="V3" s="221"/>
      <c r="W3" s="221"/>
      <c r="X3" s="221"/>
      <c r="Y3" s="221"/>
      <c r="Z3" s="228" t="s">
        <v>296</v>
      </c>
      <c r="AA3" s="221"/>
      <c r="AB3" s="228" t="s">
        <v>297</v>
      </c>
      <c r="AC3" s="228" t="s">
        <v>298</v>
      </c>
      <c r="AD3" s="228" t="s">
        <v>299</v>
      </c>
      <c r="AE3" s="228" t="s">
        <v>300</v>
      </c>
      <c r="AF3" s="228" t="s">
        <v>301</v>
      </c>
      <c r="AG3" s="221"/>
      <c r="AH3" s="221"/>
      <c r="AI3" s="228" t="s">
        <v>302</v>
      </c>
      <c r="AJ3" s="228" t="s">
        <v>303</v>
      </c>
    </row>
    <row r="4" spans="1:36" x14ac:dyDescent="0.3">
      <c r="A4" s="223" t="s">
        <v>283</v>
      </c>
      <c r="B4" s="224">
        <v>45986</v>
      </c>
      <c r="C4" s="225" t="s">
        <v>31</v>
      </c>
      <c r="D4" s="226" t="s">
        <v>304</v>
      </c>
      <c r="E4" s="225" t="s">
        <v>1</v>
      </c>
      <c r="F4" s="225" t="s">
        <v>285</v>
      </c>
      <c r="G4" s="227">
        <v>0.99439999999999995</v>
      </c>
      <c r="H4" s="228">
        <v>180</v>
      </c>
      <c r="I4" s="228">
        <v>179</v>
      </c>
      <c r="J4" s="228">
        <v>95</v>
      </c>
      <c r="K4" s="225" t="s">
        <v>286</v>
      </c>
      <c r="L4" s="229">
        <v>45981</v>
      </c>
      <c r="M4" s="228">
        <v>0</v>
      </c>
      <c r="N4" s="228">
        <v>1</v>
      </c>
      <c r="O4" s="228">
        <v>35</v>
      </c>
      <c r="P4" s="225" t="s">
        <v>32</v>
      </c>
      <c r="Q4" s="221"/>
      <c r="R4" s="221"/>
      <c r="S4" s="221"/>
      <c r="T4" s="221"/>
      <c r="U4" s="221"/>
      <c r="V4" s="221"/>
      <c r="W4" s="221"/>
      <c r="X4" s="221"/>
      <c r="Y4" s="221"/>
      <c r="Z4" s="228" t="s">
        <v>305</v>
      </c>
      <c r="AA4" s="228" t="s">
        <v>306</v>
      </c>
      <c r="AB4" s="228" t="s">
        <v>307</v>
      </c>
      <c r="AC4" s="228" t="s">
        <v>308</v>
      </c>
      <c r="AD4" s="228" t="s">
        <v>291</v>
      </c>
      <c r="AE4" s="228" t="s">
        <v>309</v>
      </c>
      <c r="AF4" s="228" t="s">
        <v>310</v>
      </c>
      <c r="AG4" s="221"/>
      <c r="AH4" s="221"/>
      <c r="AI4" s="228" t="s">
        <v>311</v>
      </c>
      <c r="AJ4" s="221"/>
    </row>
    <row r="5" spans="1:36" x14ac:dyDescent="0.3">
      <c r="A5" s="223" t="s">
        <v>283</v>
      </c>
      <c r="B5" s="224">
        <v>45986</v>
      </c>
      <c r="C5" s="225" t="s">
        <v>48</v>
      </c>
      <c r="D5" s="226" t="s">
        <v>312</v>
      </c>
      <c r="E5" s="225" t="s">
        <v>1</v>
      </c>
      <c r="F5" s="225" t="s">
        <v>285</v>
      </c>
      <c r="G5" s="227">
        <v>0.98329999999999995</v>
      </c>
      <c r="H5" s="228">
        <v>180</v>
      </c>
      <c r="I5" s="228">
        <v>177</v>
      </c>
      <c r="J5" s="228">
        <v>120</v>
      </c>
      <c r="K5" s="225" t="s">
        <v>286</v>
      </c>
      <c r="L5" s="229">
        <v>45980</v>
      </c>
      <c r="M5" s="228">
        <v>0</v>
      </c>
      <c r="N5" s="228">
        <v>0</v>
      </c>
      <c r="O5" s="228">
        <v>41</v>
      </c>
      <c r="P5" s="225" t="s">
        <v>46</v>
      </c>
      <c r="Q5" s="221"/>
      <c r="R5" s="221"/>
      <c r="S5" s="221"/>
      <c r="T5" s="221"/>
      <c r="U5" s="221"/>
      <c r="V5" s="221"/>
      <c r="W5" s="221"/>
      <c r="X5" s="221"/>
      <c r="Y5" s="221"/>
      <c r="Z5" s="228" t="s">
        <v>313</v>
      </c>
      <c r="AA5" s="221"/>
      <c r="AB5" s="221"/>
      <c r="AC5" s="221"/>
      <c r="AD5" s="228" t="s">
        <v>314</v>
      </c>
      <c r="AE5" s="228" t="s">
        <v>309</v>
      </c>
      <c r="AF5" s="228" t="s">
        <v>310</v>
      </c>
      <c r="AG5" s="228" t="s">
        <v>315</v>
      </c>
      <c r="AH5" s="221"/>
      <c r="AI5" s="228" t="s">
        <v>316</v>
      </c>
      <c r="AJ5" s="221"/>
    </row>
    <row r="6" spans="1:36" x14ac:dyDescent="0.3">
      <c r="A6" s="223" t="s">
        <v>283</v>
      </c>
      <c r="B6" s="224">
        <v>45986</v>
      </c>
      <c r="C6" s="225" t="s">
        <v>50</v>
      </c>
      <c r="D6" s="226" t="s">
        <v>317</v>
      </c>
      <c r="E6" s="225" t="s">
        <v>1</v>
      </c>
      <c r="F6" s="225" t="s">
        <v>285</v>
      </c>
      <c r="G6" s="227">
        <v>0.99439999999999995</v>
      </c>
      <c r="H6" s="228">
        <v>180</v>
      </c>
      <c r="I6" s="228">
        <v>179</v>
      </c>
      <c r="J6" s="228">
        <v>90</v>
      </c>
      <c r="K6" s="225" t="s">
        <v>286</v>
      </c>
      <c r="L6" s="229">
        <v>45979</v>
      </c>
      <c r="M6" s="228">
        <v>0</v>
      </c>
      <c r="N6" s="228">
        <v>0</v>
      </c>
      <c r="O6" s="228">
        <v>22</v>
      </c>
      <c r="P6" s="225" t="s">
        <v>46</v>
      </c>
      <c r="Q6" s="221"/>
      <c r="R6" s="221"/>
      <c r="S6" s="221"/>
      <c r="T6" s="221"/>
      <c r="U6" s="221"/>
      <c r="V6" s="221"/>
      <c r="W6" s="221"/>
      <c r="X6" s="221"/>
      <c r="Y6" s="221"/>
      <c r="Z6" s="228" t="s">
        <v>318</v>
      </c>
      <c r="AA6" s="228" t="s">
        <v>319</v>
      </c>
      <c r="AB6" s="228" t="s">
        <v>320</v>
      </c>
      <c r="AC6" s="228" t="s">
        <v>321</v>
      </c>
      <c r="AD6" s="228" t="s">
        <v>322</v>
      </c>
      <c r="AE6" s="228" t="s">
        <v>323</v>
      </c>
      <c r="AF6" s="228" t="s">
        <v>324</v>
      </c>
      <c r="AG6" s="221"/>
      <c r="AH6" s="221"/>
      <c r="AI6" s="228" t="s">
        <v>325</v>
      </c>
      <c r="AJ6" s="221"/>
    </row>
    <row r="7" spans="1:36" x14ac:dyDescent="0.3">
      <c r="A7" s="223" t="s">
        <v>283</v>
      </c>
      <c r="B7" s="224">
        <v>45986</v>
      </c>
      <c r="C7" s="225" t="s">
        <v>41</v>
      </c>
      <c r="D7" s="226" t="s">
        <v>326</v>
      </c>
      <c r="E7" s="225" t="s">
        <v>1</v>
      </c>
      <c r="F7" s="225" t="s">
        <v>285</v>
      </c>
      <c r="G7" s="227">
        <v>0.7833</v>
      </c>
      <c r="H7" s="228">
        <v>180</v>
      </c>
      <c r="I7" s="228">
        <v>141</v>
      </c>
      <c r="J7" s="228">
        <v>2</v>
      </c>
      <c r="K7" s="225" t="s">
        <v>286</v>
      </c>
      <c r="L7" s="229">
        <v>45981</v>
      </c>
      <c r="M7" s="228">
        <v>0</v>
      </c>
      <c r="N7" s="228">
        <v>25</v>
      </c>
      <c r="O7" s="228">
        <v>79</v>
      </c>
      <c r="P7" s="225" t="s">
        <v>38</v>
      </c>
      <c r="Q7" s="221"/>
      <c r="R7" s="221"/>
      <c r="S7" s="221"/>
      <c r="T7" s="221"/>
      <c r="U7" s="221"/>
      <c r="V7" s="221"/>
      <c r="W7" s="221"/>
      <c r="X7" s="221"/>
      <c r="Y7" s="228" t="s">
        <v>168</v>
      </c>
      <c r="Z7" s="228" t="s">
        <v>327</v>
      </c>
      <c r="AA7" s="228" t="s">
        <v>288</v>
      </c>
      <c r="AB7" s="228" t="s">
        <v>328</v>
      </c>
      <c r="AC7" s="228" t="s">
        <v>329</v>
      </c>
      <c r="AD7" s="228" t="s">
        <v>330</v>
      </c>
      <c r="AE7" s="228" t="s">
        <v>292</v>
      </c>
      <c r="AF7" s="228" t="s">
        <v>310</v>
      </c>
      <c r="AG7" s="221"/>
      <c r="AH7" s="221"/>
      <c r="AI7" s="228" t="s">
        <v>331</v>
      </c>
      <c r="AJ7" s="228" t="s">
        <v>332</v>
      </c>
    </row>
    <row r="8" spans="1:36" x14ac:dyDescent="0.3">
      <c r="A8" s="223" t="s">
        <v>333</v>
      </c>
      <c r="B8" s="224">
        <v>45987</v>
      </c>
      <c r="C8" s="225" t="s">
        <v>50</v>
      </c>
      <c r="D8" s="226" t="s">
        <v>334</v>
      </c>
      <c r="E8" s="225" t="s">
        <v>1</v>
      </c>
      <c r="F8" s="225" t="s">
        <v>285</v>
      </c>
      <c r="G8" s="227">
        <v>1</v>
      </c>
      <c r="H8" s="228">
        <v>180</v>
      </c>
      <c r="I8" s="228">
        <v>180</v>
      </c>
      <c r="J8" s="228">
        <v>90</v>
      </c>
      <c r="K8" s="225" t="s">
        <v>286</v>
      </c>
      <c r="L8" s="229">
        <v>45980</v>
      </c>
      <c r="M8" s="228">
        <v>0</v>
      </c>
      <c r="N8" s="228">
        <v>0</v>
      </c>
      <c r="O8" s="228">
        <v>25</v>
      </c>
      <c r="P8" s="225" t="s">
        <v>46</v>
      </c>
      <c r="Q8" s="221"/>
      <c r="R8" s="221"/>
      <c r="S8" s="221"/>
      <c r="T8" s="221"/>
      <c r="U8" s="221"/>
      <c r="V8" s="221"/>
      <c r="W8" s="221"/>
      <c r="X8" s="221"/>
      <c r="Y8" s="221"/>
      <c r="Z8" s="228" t="s">
        <v>296</v>
      </c>
      <c r="AA8" s="228" t="s">
        <v>335</v>
      </c>
      <c r="AB8" s="228" t="s">
        <v>320</v>
      </c>
      <c r="AC8" s="228" t="s">
        <v>336</v>
      </c>
      <c r="AD8" s="228" t="s">
        <v>322</v>
      </c>
      <c r="AE8" s="228" t="s">
        <v>337</v>
      </c>
      <c r="AF8" s="228" t="s">
        <v>338</v>
      </c>
      <c r="AG8" s="221"/>
      <c r="AH8" s="221"/>
      <c r="AI8" s="228" t="s">
        <v>325</v>
      </c>
      <c r="AJ8" s="221"/>
    </row>
    <row r="9" spans="1:36" x14ac:dyDescent="0.3">
      <c r="A9" s="223" t="s">
        <v>333</v>
      </c>
      <c r="B9" s="224">
        <v>45987</v>
      </c>
      <c r="C9" s="225" t="s">
        <v>41</v>
      </c>
      <c r="D9" s="226" t="s">
        <v>339</v>
      </c>
      <c r="E9" s="225" t="s">
        <v>1</v>
      </c>
      <c r="F9" s="225" t="s">
        <v>285</v>
      </c>
      <c r="G9" s="227">
        <v>0.9889</v>
      </c>
      <c r="H9" s="228">
        <v>180</v>
      </c>
      <c r="I9" s="228">
        <v>178</v>
      </c>
      <c r="J9" s="228">
        <v>51</v>
      </c>
      <c r="K9" s="225" t="s">
        <v>286</v>
      </c>
      <c r="L9" s="229">
        <v>45981</v>
      </c>
      <c r="M9" s="228">
        <v>0</v>
      </c>
      <c r="N9" s="228">
        <v>4</v>
      </c>
      <c r="O9" s="228">
        <v>69</v>
      </c>
      <c r="P9" s="225" t="s">
        <v>38</v>
      </c>
      <c r="Q9" s="221"/>
      <c r="R9" s="221"/>
      <c r="S9" s="221"/>
      <c r="T9" s="221"/>
      <c r="U9" s="221"/>
      <c r="V9" s="221"/>
      <c r="W9" s="221"/>
      <c r="X9" s="221"/>
      <c r="Y9" s="228" t="s">
        <v>244</v>
      </c>
      <c r="Z9" s="228" t="s">
        <v>340</v>
      </c>
      <c r="AA9" s="228" t="s">
        <v>341</v>
      </c>
      <c r="AB9" s="228" t="s">
        <v>342</v>
      </c>
      <c r="AC9" s="228" t="s">
        <v>343</v>
      </c>
      <c r="AD9" s="228" t="s">
        <v>344</v>
      </c>
      <c r="AE9" s="228" t="s">
        <v>337</v>
      </c>
      <c r="AF9" s="228" t="s">
        <v>338</v>
      </c>
      <c r="AG9" s="221"/>
      <c r="AH9" s="221"/>
      <c r="AI9" s="228" t="s">
        <v>345</v>
      </c>
      <c r="AJ9" s="221"/>
    </row>
    <row r="10" spans="1:36" x14ac:dyDescent="0.3">
      <c r="A10" s="223" t="s">
        <v>333</v>
      </c>
      <c r="B10" s="224">
        <v>45987</v>
      </c>
      <c r="C10" s="225" t="s">
        <v>48</v>
      </c>
      <c r="D10" s="226" t="s">
        <v>346</v>
      </c>
      <c r="E10" s="225" t="s">
        <v>1</v>
      </c>
      <c r="F10" s="225" t="s">
        <v>285</v>
      </c>
      <c r="G10" s="227">
        <v>1</v>
      </c>
      <c r="H10" s="228">
        <v>180</v>
      </c>
      <c r="I10" s="228">
        <v>180</v>
      </c>
      <c r="J10" s="228">
        <v>90</v>
      </c>
      <c r="K10" s="225" t="s">
        <v>286</v>
      </c>
      <c r="L10" s="229">
        <v>45980</v>
      </c>
      <c r="M10" s="228">
        <v>0</v>
      </c>
      <c r="N10" s="228">
        <v>0</v>
      </c>
      <c r="O10" s="228">
        <v>26</v>
      </c>
      <c r="P10" s="225" t="s">
        <v>46</v>
      </c>
      <c r="Q10" s="221"/>
      <c r="R10" s="221"/>
      <c r="S10" s="221"/>
      <c r="T10" s="221"/>
      <c r="U10" s="221"/>
      <c r="V10" s="221"/>
      <c r="W10" s="221"/>
      <c r="X10" s="221"/>
      <c r="Y10" s="221"/>
      <c r="Z10" s="221"/>
      <c r="AA10" s="221"/>
      <c r="AB10" s="228" t="s">
        <v>307</v>
      </c>
      <c r="AC10" s="228" t="s">
        <v>329</v>
      </c>
      <c r="AD10" s="228" t="s">
        <v>344</v>
      </c>
      <c r="AE10" s="228" t="s">
        <v>337</v>
      </c>
      <c r="AF10" s="228" t="s">
        <v>338</v>
      </c>
      <c r="AG10" s="221"/>
      <c r="AH10" s="221"/>
      <c r="AI10" s="228" t="s">
        <v>325</v>
      </c>
      <c r="AJ10" s="228" t="s">
        <v>303</v>
      </c>
    </row>
    <row r="11" spans="1:36" x14ac:dyDescent="0.3">
      <c r="A11" s="223" t="s">
        <v>333</v>
      </c>
      <c r="B11" s="224">
        <v>45987</v>
      </c>
      <c r="C11" s="225" t="s">
        <v>31</v>
      </c>
      <c r="D11" s="226" t="s">
        <v>304</v>
      </c>
      <c r="E11" s="225" t="s">
        <v>1</v>
      </c>
      <c r="F11" s="225" t="s">
        <v>285</v>
      </c>
      <c r="G11" s="227">
        <v>0.99439999999999995</v>
      </c>
      <c r="H11" s="228">
        <v>180</v>
      </c>
      <c r="I11" s="228">
        <v>179</v>
      </c>
      <c r="J11" s="228">
        <v>114</v>
      </c>
      <c r="K11" s="225" t="s">
        <v>286</v>
      </c>
      <c r="L11" s="229">
        <v>45981</v>
      </c>
      <c r="M11" s="228">
        <v>0</v>
      </c>
      <c r="N11" s="228">
        <v>1</v>
      </c>
      <c r="O11" s="228">
        <v>17</v>
      </c>
      <c r="P11" s="225" t="s">
        <v>46</v>
      </c>
      <c r="Q11" s="221"/>
      <c r="R11" s="221"/>
      <c r="S11" s="221"/>
      <c r="T11" s="221"/>
      <c r="U11" s="221"/>
      <c r="V11" s="221"/>
      <c r="W11" s="221"/>
      <c r="X11" s="221"/>
      <c r="Y11" s="221"/>
      <c r="Z11" s="228" t="s">
        <v>347</v>
      </c>
      <c r="AA11" s="228" t="s">
        <v>348</v>
      </c>
      <c r="AB11" s="228" t="s">
        <v>349</v>
      </c>
      <c r="AC11" s="228" t="s">
        <v>350</v>
      </c>
      <c r="AD11" s="228" t="s">
        <v>291</v>
      </c>
      <c r="AE11" s="228" t="s">
        <v>292</v>
      </c>
      <c r="AF11" s="228" t="s">
        <v>351</v>
      </c>
      <c r="AG11" s="221"/>
      <c r="AH11" s="221"/>
      <c r="AI11" s="228" t="s">
        <v>352</v>
      </c>
      <c r="AJ11" s="221"/>
    </row>
    <row r="12" spans="1:36" x14ac:dyDescent="0.3">
      <c r="A12" s="223" t="s">
        <v>333</v>
      </c>
      <c r="B12" s="224">
        <v>45987</v>
      </c>
      <c r="C12" s="225" t="s">
        <v>37</v>
      </c>
      <c r="D12" s="226" t="s">
        <v>353</v>
      </c>
      <c r="E12" s="225" t="s">
        <v>1</v>
      </c>
      <c r="F12" s="225" t="s">
        <v>285</v>
      </c>
      <c r="G12" s="227">
        <v>0.80559999999999998</v>
      </c>
      <c r="H12" s="228">
        <v>180</v>
      </c>
      <c r="I12" s="228">
        <v>145</v>
      </c>
      <c r="J12" s="228">
        <v>0</v>
      </c>
      <c r="K12" s="225" t="s">
        <v>286</v>
      </c>
      <c r="L12" s="229">
        <v>45981</v>
      </c>
      <c r="M12" s="228">
        <v>0</v>
      </c>
      <c r="N12" s="228">
        <v>35</v>
      </c>
      <c r="O12" s="228">
        <v>77</v>
      </c>
      <c r="P12" s="225" t="s">
        <v>149</v>
      </c>
      <c r="Q12" s="221"/>
      <c r="R12" s="221"/>
      <c r="S12" s="221"/>
      <c r="T12" s="221"/>
      <c r="U12" s="221"/>
      <c r="V12" s="221"/>
      <c r="W12" s="221"/>
      <c r="X12" s="228" t="s">
        <v>200</v>
      </c>
      <c r="Y12" s="228" t="s">
        <v>354</v>
      </c>
      <c r="Z12" s="228" t="s">
        <v>355</v>
      </c>
      <c r="AA12" s="228" t="s">
        <v>341</v>
      </c>
      <c r="AB12" s="228" t="s">
        <v>356</v>
      </c>
      <c r="AC12" s="228" t="s">
        <v>308</v>
      </c>
      <c r="AD12" s="228" t="s">
        <v>357</v>
      </c>
      <c r="AE12" s="228" t="s">
        <v>358</v>
      </c>
      <c r="AF12" s="228" t="s">
        <v>310</v>
      </c>
      <c r="AG12" s="221"/>
      <c r="AH12" s="221"/>
      <c r="AI12" s="221"/>
      <c r="AJ12" s="221"/>
    </row>
    <row r="13" spans="1:36" x14ac:dyDescent="0.3">
      <c r="A13" s="223" t="s">
        <v>359</v>
      </c>
      <c r="B13" s="224">
        <v>45988</v>
      </c>
      <c r="C13" s="225" t="s">
        <v>163</v>
      </c>
      <c r="D13" s="226" t="s">
        <v>360</v>
      </c>
      <c r="E13" s="225" t="s">
        <v>1</v>
      </c>
      <c r="F13" s="225" t="s">
        <v>285</v>
      </c>
      <c r="G13" s="227">
        <v>0.82220000000000004</v>
      </c>
      <c r="H13" s="228">
        <v>180</v>
      </c>
      <c r="I13" s="228">
        <v>148</v>
      </c>
      <c r="J13" s="228">
        <v>0</v>
      </c>
      <c r="K13" s="225" t="s">
        <v>286</v>
      </c>
      <c r="L13" s="229">
        <v>45981</v>
      </c>
      <c r="M13" s="228">
        <v>0</v>
      </c>
      <c r="N13" s="228">
        <v>23</v>
      </c>
      <c r="O13" s="228">
        <v>36</v>
      </c>
      <c r="P13" s="225" t="s">
        <v>164</v>
      </c>
      <c r="Q13" s="221"/>
      <c r="R13" s="221"/>
      <c r="S13" s="221"/>
      <c r="T13" s="221"/>
      <c r="U13" s="221"/>
      <c r="V13" s="221"/>
      <c r="W13" s="221"/>
      <c r="X13" s="228" t="s">
        <v>196</v>
      </c>
      <c r="Y13" s="228" t="s">
        <v>361</v>
      </c>
      <c r="Z13" s="228" t="s">
        <v>362</v>
      </c>
      <c r="AA13" s="228" t="s">
        <v>363</v>
      </c>
      <c r="AB13" s="228" t="s">
        <v>364</v>
      </c>
      <c r="AC13" s="228" t="s">
        <v>336</v>
      </c>
      <c r="AD13" s="228" t="s">
        <v>291</v>
      </c>
      <c r="AE13" s="228" t="s">
        <v>292</v>
      </c>
      <c r="AF13" s="228" t="s">
        <v>293</v>
      </c>
      <c r="AG13" s="221"/>
      <c r="AH13" s="221"/>
      <c r="AI13" s="221"/>
      <c r="AJ13" s="221"/>
    </row>
    <row r="14" spans="1:36" x14ac:dyDescent="0.3">
      <c r="A14" s="223" t="s">
        <v>359</v>
      </c>
      <c r="B14" s="224">
        <v>45988</v>
      </c>
      <c r="C14" s="225" t="s">
        <v>41</v>
      </c>
      <c r="D14" s="226" t="s">
        <v>365</v>
      </c>
      <c r="E14" s="225" t="s">
        <v>1</v>
      </c>
      <c r="F14" s="225" t="s">
        <v>285</v>
      </c>
      <c r="G14" s="227">
        <v>0.99439999999999995</v>
      </c>
      <c r="H14" s="228">
        <v>180</v>
      </c>
      <c r="I14" s="228">
        <v>179</v>
      </c>
      <c r="J14" s="228">
        <v>65</v>
      </c>
      <c r="K14" s="225" t="s">
        <v>286</v>
      </c>
      <c r="L14" s="229">
        <v>45981</v>
      </c>
      <c r="M14" s="228">
        <v>0</v>
      </c>
      <c r="N14" s="228">
        <v>10</v>
      </c>
      <c r="O14" s="228">
        <v>27</v>
      </c>
      <c r="P14" s="225" t="s">
        <v>46</v>
      </c>
      <c r="Q14" s="221"/>
      <c r="R14" s="221"/>
      <c r="S14" s="221"/>
      <c r="T14" s="221"/>
      <c r="U14" s="221"/>
      <c r="V14" s="221"/>
      <c r="W14" s="221"/>
      <c r="X14" s="228" t="s">
        <v>366</v>
      </c>
      <c r="Y14" s="228" t="s">
        <v>367</v>
      </c>
      <c r="Z14" s="228" t="s">
        <v>368</v>
      </c>
      <c r="AA14" s="228" t="s">
        <v>369</v>
      </c>
      <c r="AB14" s="228" t="s">
        <v>289</v>
      </c>
      <c r="AC14" s="228" t="s">
        <v>370</v>
      </c>
      <c r="AD14" s="228" t="s">
        <v>291</v>
      </c>
      <c r="AE14" s="228" t="s">
        <v>371</v>
      </c>
      <c r="AF14" s="228" t="s">
        <v>293</v>
      </c>
      <c r="AG14" s="221"/>
      <c r="AH14" s="221"/>
      <c r="AI14" s="228" t="s">
        <v>372</v>
      </c>
      <c r="AJ14" s="221"/>
    </row>
    <row r="15" spans="1:36" x14ac:dyDescent="0.3">
      <c r="A15" s="223" t="s">
        <v>359</v>
      </c>
      <c r="B15" s="224">
        <v>45988</v>
      </c>
      <c r="C15" s="225" t="s">
        <v>167</v>
      </c>
      <c r="D15" s="226" t="s">
        <v>373</v>
      </c>
      <c r="E15" s="225" t="s">
        <v>1</v>
      </c>
      <c r="F15" s="225" t="s">
        <v>285</v>
      </c>
      <c r="G15" s="227">
        <v>0.85</v>
      </c>
      <c r="H15" s="228">
        <v>180</v>
      </c>
      <c r="I15" s="228">
        <v>153</v>
      </c>
      <c r="J15" s="228">
        <v>45</v>
      </c>
      <c r="K15" s="225" t="s">
        <v>286</v>
      </c>
      <c r="L15" s="229">
        <v>45981</v>
      </c>
      <c r="M15" s="228">
        <v>0</v>
      </c>
      <c r="N15" s="228">
        <v>21</v>
      </c>
      <c r="O15" s="228">
        <v>51</v>
      </c>
      <c r="P15" s="225" t="s">
        <v>168</v>
      </c>
      <c r="Q15" s="221"/>
      <c r="R15" s="221"/>
      <c r="S15" s="221"/>
      <c r="T15" s="221"/>
      <c r="U15" s="221"/>
      <c r="V15" s="221"/>
      <c r="W15" s="221"/>
      <c r="X15" s="221"/>
      <c r="Y15" s="228" t="s">
        <v>374</v>
      </c>
      <c r="Z15" s="228" t="s">
        <v>375</v>
      </c>
      <c r="AA15" s="228" t="s">
        <v>369</v>
      </c>
      <c r="AB15" s="228" t="s">
        <v>364</v>
      </c>
      <c r="AC15" s="228" t="s">
        <v>376</v>
      </c>
      <c r="AD15" s="228" t="s">
        <v>377</v>
      </c>
      <c r="AE15" s="228" t="s">
        <v>371</v>
      </c>
      <c r="AF15" s="228" t="s">
        <v>301</v>
      </c>
      <c r="AG15" s="221"/>
      <c r="AH15" s="221"/>
      <c r="AI15" s="228" t="s">
        <v>294</v>
      </c>
      <c r="AJ15" s="221"/>
    </row>
    <row r="16" spans="1:36" x14ac:dyDescent="0.3">
      <c r="A16" s="223" t="s">
        <v>359</v>
      </c>
      <c r="B16" s="224">
        <v>45988</v>
      </c>
      <c r="C16" s="225" t="s">
        <v>31</v>
      </c>
      <c r="D16" s="226" t="s">
        <v>378</v>
      </c>
      <c r="E16" s="225" t="s">
        <v>1</v>
      </c>
      <c r="F16" s="225" t="s">
        <v>285</v>
      </c>
      <c r="G16" s="227">
        <v>1</v>
      </c>
      <c r="H16" s="228">
        <v>180</v>
      </c>
      <c r="I16" s="228">
        <v>180</v>
      </c>
      <c r="J16" s="228">
        <v>135</v>
      </c>
      <c r="K16" s="225" t="s">
        <v>286</v>
      </c>
      <c r="L16" s="229">
        <v>45960</v>
      </c>
      <c r="M16" s="228">
        <v>0</v>
      </c>
      <c r="N16" s="228">
        <v>0</v>
      </c>
      <c r="O16" s="228">
        <v>0</v>
      </c>
      <c r="P16" s="225" t="s">
        <v>46</v>
      </c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8" t="s">
        <v>379</v>
      </c>
      <c r="AD16" s="228" t="s">
        <v>291</v>
      </c>
      <c r="AE16" s="228" t="s">
        <v>292</v>
      </c>
      <c r="AF16" s="228" t="s">
        <v>293</v>
      </c>
      <c r="AG16" s="221"/>
      <c r="AH16" s="221"/>
      <c r="AI16" s="228" t="s">
        <v>380</v>
      </c>
      <c r="AJ16" s="221"/>
    </row>
    <row r="17" spans="1:36" x14ac:dyDescent="0.3">
      <c r="A17" s="223" t="s">
        <v>359</v>
      </c>
      <c r="B17" s="224">
        <v>45988</v>
      </c>
      <c r="C17" s="225" t="s">
        <v>43</v>
      </c>
      <c r="D17" s="226" t="s">
        <v>381</v>
      </c>
      <c r="E17" s="225" t="s">
        <v>1</v>
      </c>
      <c r="F17" s="225" t="s">
        <v>285</v>
      </c>
      <c r="G17" s="227">
        <v>0.99439999999999995</v>
      </c>
      <c r="H17" s="228">
        <v>180</v>
      </c>
      <c r="I17" s="228">
        <v>179</v>
      </c>
      <c r="J17" s="228">
        <v>135</v>
      </c>
      <c r="K17" s="225" t="s">
        <v>286</v>
      </c>
      <c r="L17" s="229">
        <v>45975</v>
      </c>
      <c r="M17" s="228">
        <v>0</v>
      </c>
      <c r="N17" s="228">
        <v>0</v>
      </c>
      <c r="O17" s="228">
        <v>3</v>
      </c>
      <c r="P17" s="225" t="s">
        <v>46</v>
      </c>
      <c r="Q17" s="221"/>
      <c r="R17" s="221"/>
      <c r="S17" s="221"/>
      <c r="T17" s="221"/>
      <c r="U17" s="221"/>
      <c r="V17" s="228" t="s">
        <v>382</v>
      </c>
      <c r="W17" s="221"/>
      <c r="X17" s="228" t="s">
        <v>383</v>
      </c>
      <c r="Y17" s="221"/>
      <c r="Z17" s="228" t="s">
        <v>347</v>
      </c>
      <c r="AA17" s="228" t="s">
        <v>319</v>
      </c>
      <c r="AB17" s="228" t="s">
        <v>384</v>
      </c>
      <c r="AC17" s="228" t="s">
        <v>385</v>
      </c>
      <c r="AD17" s="228" t="s">
        <v>386</v>
      </c>
      <c r="AE17" s="228" t="s">
        <v>387</v>
      </c>
      <c r="AF17" s="228" t="s">
        <v>301</v>
      </c>
      <c r="AG17" s="221"/>
      <c r="AH17" s="221"/>
      <c r="AI17" s="228" t="s">
        <v>380</v>
      </c>
      <c r="AJ17" s="221"/>
    </row>
    <row r="18" spans="1:36" x14ac:dyDescent="0.3">
      <c r="A18" s="223" t="s">
        <v>359</v>
      </c>
      <c r="B18" s="224">
        <v>45988</v>
      </c>
      <c r="C18" s="225" t="s">
        <v>50</v>
      </c>
      <c r="D18" s="226" t="s">
        <v>353</v>
      </c>
      <c r="E18" s="225" t="s">
        <v>1</v>
      </c>
      <c r="F18" s="225" t="s">
        <v>285</v>
      </c>
      <c r="G18" s="227">
        <v>0.82220000000000004</v>
      </c>
      <c r="H18" s="228">
        <v>180</v>
      </c>
      <c r="I18" s="228">
        <v>148</v>
      </c>
      <c r="J18" s="228">
        <v>0</v>
      </c>
      <c r="K18" s="225" t="s">
        <v>286</v>
      </c>
      <c r="L18" s="229">
        <v>45981</v>
      </c>
      <c r="M18" s="228">
        <v>0</v>
      </c>
      <c r="N18" s="228">
        <v>2</v>
      </c>
      <c r="O18" s="228">
        <v>19</v>
      </c>
      <c r="P18" s="225" t="s">
        <v>172</v>
      </c>
      <c r="Q18" s="221"/>
      <c r="R18" s="221"/>
      <c r="S18" s="221"/>
      <c r="T18" s="221"/>
      <c r="U18" s="221"/>
      <c r="V18" s="228" t="s">
        <v>388</v>
      </c>
      <c r="W18" s="228" t="s">
        <v>389</v>
      </c>
      <c r="X18" s="228" t="s">
        <v>172</v>
      </c>
      <c r="Y18" s="228" t="s">
        <v>367</v>
      </c>
      <c r="Z18" s="228" t="s">
        <v>390</v>
      </c>
      <c r="AA18" s="228" t="s">
        <v>288</v>
      </c>
      <c r="AB18" s="228" t="s">
        <v>289</v>
      </c>
      <c r="AC18" s="228" t="s">
        <v>350</v>
      </c>
      <c r="AD18" s="228" t="s">
        <v>391</v>
      </c>
      <c r="AE18" s="228" t="s">
        <v>292</v>
      </c>
      <c r="AF18" s="228" t="s">
        <v>310</v>
      </c>
      <c r="AG18" s="221"/>
      <c r="AH18" s="221"/>
      <c r="AI18" s="221"/>
      <c r="AJ18" s="228" t="s">
        <v>392</v>
      </c>
    </row>
    <row r="19" spans="1:36" x14ac:dyDescent="0.3">
      <c r="A19" s="223" t="s">
        <v>393</v>
      </c>
      <c r="B19" s="224">
        <v>45989</v>
      </c>
      <c r="C19" s="225" t="s">
        <v>41</v>
      </c>
      <c r="D19" s="226" t="s">
        <v>394</v>
      </c>
      <c r="E19" s="225" t="s">
        <v>1</v>
      </c>
      <c r="F19" s="225" t="s">
        <v>285</v>
      </c>
      <c r="G19" s="227">
        <v>1</v>
      </c>
      <c r="H19" s="228">
        <v>180</v>
      </c>
      <c r="I19" s="228">
        <v>180</v>
      </c>
      <c r="J19" s="228">
        <v>35</v>
      </c>
      <c r="K19" s="225" t="s">
        <v>286</v>
      </c>
      <c r="L19" s="229">
        <v>45980</v>
      </c>
      <c r="M19" s="228">
        <v>0</v>
      </c>
      <c r="N19" s="228">
        <v>0</v>
      </c>
      <c r="O19" s="228">
        <v>29</v>
      </c>
      <c r="P19" s="225" t="s">
        <v>46</v>
      </c>
      <c r="Q19" s="221"/>
      <c r="R19" s="221"/>
      <c r="S19" s="221"/>
      <c r="T19" s="221"/>
      <c r="U19" s="221"/>
      <c r="V19" s="228" t="s">
        <v>395</v>
      </c>
      <c r="W19" s="228" t="s">
        <v>396</v>
      </c>
      <c r="X19" s="228" t="s">
        <v>397</v>
      </c>
      <c r="Y19" s="228" t="s">
        <v>367</v>
      </c>
      <c r="Z19" s="228" t="s">
        <v>398</v>
      </c>
      <c r="AA19" s="228" t="s">
        <v>306</v>
      </c>
      <c r="AB19" s="228" t="s">
        <v>289</v>
      </c>
      <c r="AC19" s="228" t="s">
        <v>321</v>
      </c>
      <c r="AD19" s="228" t="s">
        <v>399</v>
      </c>
      <c r="AE19" s="228" t="s">
        <v>292</v>
      </c>
      <c r="AF19" s="228" t="s">
        <v>310</v>
      </c>
      <c r="AG19" s="221"/>
      <c r="AH19" s="221"/>
      <c r="AI19" s="228" t="s">
        <v>400</v>
      </c>
      <c r="AJ19" s="228" t="s">
        <v>332</v>
      </c>
    </row>
    <row r="20" spans="1:36" x14ac:dyDescent="0.3">
      <c r="A20" s="223" t="s">
        <v>393</v>
      </c>
      <c r="B20" s="224">
        <v>45989</v>
      </c>
      <c r="C20" s="225" t="s">
        <v>31</v>
      </c>
      <c r="D20" s="226" t="s">
        <v>401</v>
      </c>
      <c r="E20" s="225" t="s">
        <v>1</v>
      </c>
      <c r="F20" s="225" t="s">
        <v>285</v>
      </c>
      <c r="G20" s="227">
        <v>0.85</v>
      </c>
      <c r="H20" s="228">
        <v>180</v>
      </c>
      <c r="I20" s="228">
        <v>153</v>
      </c>
      <c r="J20" s="228">
        <v>0</v>
      </c>
      <c r="K20" s="225" t="s">
        <v>286</v>
      </c>
      <c r="L20" s="229">
        <v>45981</v>
      </c>
      <c r="M20" s="228">
        <v>0</v>
      </c>
      <c r="N20" s="228">
        <v>20</v>
      </c>
      <c r="O20" s="228">
        <v>36</v>
      </c>
      <c r="P20" s="225" t="s">
        <v>172</v>
      </c>
      <c r="Q20" s="221"/>
      <c r="R20" s="221"/>
      <c r="S20" s="221"/>
      <c r="T20" s="221"/>
      <c r="U20" s="221"/>
      <c r="V20" s="221"/>
      <c r="W20" s="228" t="s">
        <v>402</v>
      </c>
      <c r="X20" s="228" t="s">
        <v>397</v>
      </c>
      <c r="Y20" s="228" t="s">
        <v>403</v>
      </c>
      <c r="Z20" s="228" t="s">
        <v>313</v>
      </c>
      <c r="AA20" s="228" t="s">
        <v>306</v>
      </c>
      <c r="AB20" s="228" t="s">
        <v>320</v>
      </c>
      <c r="AC20" s="228" t="s">
        <v>321</v>
      </c>
      <c r="AD20" s="228" t="s">
        <v>291</v>
      </c>
      <c r="AE20" s="228" t="s">
        <v>309</v>
      </c>
      <c r="AF20" s="228" t="s">
        <v>310</v>
      </c>
      <c r="AG20" s="221"/>
      <c r="AH20" s="221"/>
      <c r="AI20" s="221"/>
      <c r="AJ20" s="221"/>
    </row>
    <row r="21" spans="1:36" x14ac:dyDescent="0.3">
      <c r="A21" s="223" t="s">
        <v>393</v>
      </c>
      <c r="B21" s="224">
        <v>45989</v>
      </c>
      <c r="C21" s="225" t="s">
        <v>43</v>
      </c>
      <c r="D21" s="226" t="s">
        <v>304</v>
      </c>
      <c r="E21" s="225" t="s">
        <v>1</v>
      </c>
      <c r="F21" s="225" t="s">
        <v>285</v>
      </c>
      <c r="G21" s="227">
        <v>0.95</v>
      </c>
      <c r="H21" s="228">
        <v>180</v>
      </c>
      <c r="I21" s="228">
        <v>171</v>
      </c>
      <c r="J21" s="228">
        <v>45</v>
      </c>
      <c r="K21" s="225" t="s">
        <v>286</v>
      </c>
      <c r="L21" s="229">
        <v>45981</v>
      </c>
      <c r="M21" s="228">
        <v>0</v>
      </c>
      <c r="N21" s="228">
        <v>14</v>
      </c>
      <c r="O21" s="228">
        <v>33</v>
      </c>
      <c r="P21" s="225" t="s">
        <v>200</v>
      </c>
      <c r="Q21" s="221"/>
      <c r="R21" s="221"/>
      <c r="S21" s="221"/>
      <c r="T21" s="221"/>
      <c r="U21" s="221"/>
      <c r="V21" s="228" t="s">
        <v>382</v>
      </c>
      <c r="W21" s="228" t="s">
        <v>404</v>
      </c>
      <c r="X21" s="228" t="s">
        <v>405</v>
      </c>
      <c r="Y21" s="228" t="s">
        <v>406</v>
      </c>
      <c r="Z21" s="228" t="s">
        <v>407</v>
      </c>
      <c r="AA21" s="228" t="s">
        <v>369</v>
      </c>
      <c r="AB21" s="228" t="s">
        <v>289</v>
      </c>
      <c r="AC21" s="228" t="s">
        <v>298</v>
      </c>
      <c r="AD21" s="228" t="s">
        <v>408</v>
      </c>
      <c r="AE21" s="228" t="s">
        <v>409</v>
      </c>
      <c r="AF21" s="228" t="s">
        <v>410</v>
      </c>
      <c r="AG21" s="221"/>
      <c r="AH21" s="221"/>
      <c r="AI21" s="228" t="s">
        <v>294</v>
      </c>
      <c r="AJ21" s="221"/>
    </row>
    <row r="22" spans="1:36" x14ac:dyDescent="0.3">
      <c r="A22" s="223" t="s">
        <v>393</v>
      </c>
      <c r="B22" s="224">
        <v>45989</v>
      </c>
      <c r="C22" s="225" t="s">
        <v>37</v>
      </c>
      <c r="D22" s="226" t="s">
        <v>411</v>
      </c>
      <c r="E22" s="225" t="s">
        <v>1</v>
      </c>
      <c r="F22" s="225" t="s">
        <v>285</v>
      </c>
      <c r="G22" s="227">
        <v>0.86109999999999998</v>
      </c>
      <c r="H22" s="228">
        <v>180</v>
      </c>
      <c r="I22" s="228">
        <v>155</v>
      </c>
      <c r="J22" s="228">
        <v>0</v>
      </c>
      <c r="K22" s="225" t="s">
        <v>286</v>
      </c>
      <c r="L22" s="229">
        <v>45981</v>
      </c>
      <c r="M22" s="228">
        <v>0</v>
      </c>
      <c r="N22" s="228">
        <v>18</v>
      </c>
      <c r="O22" s="228">
        <v>25</v>
      </c>
      <c r="P22" s="225" t="s">
        <v>196</v>
      </c>
      <c r="Q22" s="221"/>
      <c r="R22" s="221"/>
      <c r="S22" s="221"/>
      <c r="T22" s="221"/>
      <c r="U22" s="221"/>
      <c r="V22" s="228" t="s">
        <v>412</v>
      </c>
      <c r="W22" s="228" t="s">
        <v>413</v>
      </c>
      <c r="X22" s="228" t="s">
        <v>414</v>
      </c>
      <c r="Y22" s="228" t="s">
        <v>367</v>
      </c>
      <c r="Z22" s="228" t="s">
        <v>313</v>
      </c>
      <c r="AA22" s="228" t="s">
        <v>306</v>
      </c>
      <c r="AB22" s="228" t="s">
        <v>349</v>
      </c>
      <c r="AC22" s="228" t="s">
        <v>415</v>
      </c>
      <c r="AD22" s="228" t="s">
        <v>357</v>
      </c>
      <c r="AE22" s="228" t="s">
        <v>292</v>
      </c>
      <c r="AF22" s="228" t="s">
        <v>310</v>
      </c>
      <c r="AG22" s="221"/>
      <c r="AH22" s="221"/>
      <c r="AI22" s="221"/>
      <c r="AJ22" s="221"/>
    </row>
    <row r="23" spans="1:36" x14ac:dyDescent="0.3">
      <c r="A23" s="223" t="s">
        <v>393</v>
      </c>
      <c r="B23" s="224">
        <v>45989</v>
      </c>
      <c r="C23" s="225" t="s">
        <v>48</v>
      </c>
      <c r="D23" s="226" t="s">
        <v>416</v>
      </c>
      <c r="E23" s="225" t="s">
        <v>1</v>
      </c>
      <c r="F23" s="225" t="s">
        <v>285</v>
      </c>
      <c r="G23" s="227">
        <v>0.98329999999999995</v>
      </c>
      <c r="H23" s="228">
        <v>180</v>
      </c>
      <c r="I23" s="228">
        <v>177</v>
      </c>
      <c r="J23" s="228">
        <v>0</v>
      </c>
      <c r="K23" s="225" t="s">
        <v>286</v>
      </c>
      <c r="L23" s="229">
        <v>45982</v>
      </c>
      <c r="M23" s="228">
        <v>2</v>
      </c>
      <c r="N23" s="228">
        <v>2</v>
      </c>
      <c r="O23" s="228">
        <v>24</v>
      </c>
      <c r="P23" s="225" t="s">
        <v>203</v>
      </c>
      <c r="Q23" s="221"/>
      <c r="R23" s="221"/>
      <c r="S23" s="221"/>
      <c r="T23" s="221"/>
      <c r="U23" s="221"/>
      <c r="V23" s="228" t="s">
        <v>417</v>
      </c>
      <c r="W23" s="228" t="s">
        <v>418</v>
      </c>
      <c r="X23" s="228" t="s">
        <v>419</v>
      </c>
      <c r="Y23" s="228" t="s">
        <v>420</v>
      </c>
      <c r="Z23" s="228" t="s">
        <v>421</v>
      </c>
      <c r="AA23" s="228" t="s">
        <v>422</v>
      </c>
      <c r="AB23" s="228" t="s">
        <v>423</v>
      </c>
      <c r="AC23" s="228" t="s">
        <v>298</v>
      </c>
      <c r="AD23" s="228" t="s">
        <v>291</v>
      </c>
      <c r="AE23" s="228" t="s">
        <v>292</v>
      </c>
      <c r="AF23" s="228" t="s">
        <v>310</v>
      </c>
      <c r="AG23" s="221"/>
      <c r="AH23" s="221"/>
      <c r="AI23" s="221"/>
      <c r="AJ23" s="221"/>
    </row>
    <row r="24" spans="1:36" x14ac:dyDescent="0.3">
      <c r="A24" s="223" t="s">
        <v>424</v>
      </c>
      <c r="B24" s="224">
        <v>45990</v>
      </c>
      <c r="C24" s="225" t="s">
        <v>163</v>
      </c>
      <c r="D24" s="226" t="s">
        <v>425</v>
      </c>
      <c r="E24" s="225" t="s">
        <v>1</v>
      </c>
      <c r="F24" s="225" t="s">
        <v>285</v>
      </c>
      <c r="G24" s="227">
        <v>1.0333000000000001</v>
      </c>
      <c r="H24" s="228">
        <v>180</v>
      </c>
      <c r="I24" s="228">
        <v>186</v>
      </c>
      <c r="J24" s="228">
        <v>45</v>
      </c>
      <c r="K24" s="225" t="s">
        <v>286</v>
      </c>
      <c r="L24" s="229">
        <v>45974</v>
      </c>
      <c r="M24" s="228">
        <v>0</v>
      </c>
      <c r="N24" s="228">
        <v>0</v>
      </c>
      <c r="O24" s="228">
        <v>0</v>
      </c>
      <c r="P24" s="225" t="s">
        <v>46</v>
      </c>
      <c r="Q24" s="221"/>
      <c r="R24" s="221"/>
      <c r="S24" s="221"/>
      <c r="T24" s="221"/>
      <c r="U24" s="221"/>
      <c r="V24" s="221"/>
      <c r="W24" s="228" t="s">
        <v>426</v>
      </c>
      <c r="X24" s="221"/>
      <c r="Y24" s="228" t="s">
        <v>427</v>
      </c>
      <c r="Z24" s="228" t="s">
        <v>368</v>
      </c>
      <c r="AA24" s="228" t="s">
        <v>428</v>
      </c>
      <c r="AB24" s="228" t="s">
        <v>429</v>
      </c>
      <c r="AC24" s="228" t="s">
        <v>298</v>
      </c>
      <c r="AD24" s="228" t="s">
        <v>291</v>
      </c>
      <c r="AE24" s="228" t="s">
        <v>292</v>
      </c>
      <c r="AF24" s="228" t="s">
        <v>310</v>
      </c>
      <c r="AG24" s="221"/>
      <c r="AH24" s="221"/>
      <c r="AI24" s="228" t="s">
        <v>294</v>
      </c>
      <c r="AJ24" s="221"/>
    </row>
    <row r="25" spans="1:36" x14ac:dyDescent="0.3">
      <c r="A25" s="223" t="s">
        <v>424</v>
      </c>
      <c r="B25" s="224">
        <v>45990</v>
      </c>
      <c r="C25" s="225" t="s">
        <v>41</v>
      </c>
      <c r="D25" s="226" t="s">
        <v>365</v>
      </c>
      <c r="E25" s="225" t="s">
        <v>1</v>
      </c>
      <c r="F25" s="225" t="s">
        <v>285</v>
      </c>
      <c r="G25" s="227">
        <v>1</v>
      </c>
      <c r="H25" s="228">
        <v>180</v>
      </c>
      <c r="I25" s="228">
        <v>180</v>
      </c>
      <c r="J25" s="228">
        <v>135</v>
      </c>
      <c r="K25" s="225" t="s">
        <v>286</v>
      </c>
      <c r="L25" s="229">
        <v>45981</v>
      </c>
      <c r="M25" s="228">
        <v>0</v>
      </c>
      <c r="N25" s="228">
        <v>5</v>
      </c>
      <c r="O25" s="228">
        <v>5</v>
      </c>
      <c r="P25" s="225" t="s">
        <v>46</v>
      </c>
      <c r="Q25" s="221"/>
      <c r="R25" s="221"/>
      <c r="S25" s="221"/>
      <c r="T25" s="221"/>
      <c r="U25" s="221"/>
      <c r="V25" s="221"/>
      <c r="W25" s="221"/>
      <c r="X25" s="221"/>
      <c r="Y25" s="228" t="s">
        <v>149</v>
      </c>
      <c r="Z25" s="221"/>
      <c r="AA25" s="221"/>
      <c r="AB25" s="221"/>
      <c r="AC25" s="228" t="s">
        <v>430</v>
      </c>
      <c r="AD25" s="228" t="s">
        <v>357</v>
      </c>
      <c r="AE25" s="228" t="s">
        <v>292</v>
      </c>
      <c r="AF25" s="228" t="s">
        <v>310</v>
      </c>
      <c r="AG25" s="221"/>
      <c r="AH25" s="221"/>
      <c r="AI25" s="228" t="s">
        <v>380</v>
      </c>
      <c r="AJ25" s="228" t="s">
        <v>332</v>
      </c>
    </row>
    <row r="26" spans="1:36" x14ac:dyDescent="0.3">
      <c r="A26" s="223" t="s">
        <v>424</v>
      </c>
      <c r="B26" s="224">
        <v>45990</v>
      </c>
      <c r="C26" s="225" t="s">
        <v>31</v>
      </c>
      <c r="D26" s="226" t="s">
        <v>431</v>
      </c>
      <c r="E26" s="225" t="s">
        <v>1</v>
      </c>
      <c r="F26" s="225" t="s">
        <v>285</v>
      </c>
      <c r="G26" s="227">
        <v>1</v>
      </c>
      <c r="H26" s="228">
        <v>180</v>
      </c>
      <c r="I26" s="228">
        <v>180</v>
      </c>
      <c r="J26" s="228">
        <v>90</v>
      </c>
      <c r="K26" s="225" t="s">
        <v>286</v>
      </c>
      <c r="L26" s="229">
        <v>45973</v>
      </c>
      <c r="M26" s="228">
        <v>0</v>
      </c>
      <c r="N26" s="228">
        <v>0</v>
      </c>
      <c r="O26" s="228">
        <v>0</v>
      </c>
      <c r="P26" s="225" t="s">
        <v>46</v>
      </c>
      <c r="Q26" s="228" t="s">
        <v>432</v>
      </c>
      <c r="R26" s="221"/>
      <c r="S26" s="221"/>
      <c r="T26" s="221"/>
      <c r="U26" s="221"/>
      <c r="V26" s="228" t="s">
        <v>433</v>
      </c>
      <c r="W26" s="228" t="s">
        <v>434</v>
      </c>
      <c r="X26" s="228" t="s">
        <v>435</v>
      </c>
      <c r="Y26" s="228" t="s">
        <v>168</v>
      </c>
      <c r="Z26" s="228" t="s">
        <v>287</v>
      </c>
      <c r="AA26" s="228" t="s">
        <v>341</v>
      </c>
      <c r="AB26" s="228" t="s">
        <v>289</v>
      </c>
      <c r="AC26" s="228" t="s">
        <v>298</v>
      </c>
      <c r="AD26" s="221"/>
      <c r="AE26" s="221"/>
      <c r="AF26" s="221"/>
      <c r="AG26" s="221"/>
      <c r="AH26" s="221"/>
      <c r="AI26" s="228" t="s">
        <v>325</v>
      </c>
      <c r="AJ26" s="221"/>
    </row>
    <row r="27" spans="1:36" x14ac:dyDescent="0.3">
      <c r="A27" s="223" t="s">
        <v>424</v>
      </c>
      <c r="B27" s="224">
        <v>45990</v>
      </c>
      <c r="C27" s="225" t="s">
        <v>50</v>
      </c>
      <c r="D27" s="226" t="s">
        <v>436</v>
      </c>
      <c r="E27" s="225" t="s">
        <v>1</v>
      </c>
      <c r="F27" s="225" t="s">
        <v>285</v>
      </c>
      <c r="G27" s="227">
        <v>0.9556</v>
      </c>
      <c r="H27" s="228">
        <v>180</v>
      </c>
      <c r="I27" s="228">
        <v>172</v>
      </c>
      <c r="J27" s="228">
        <v>0</v>
      </c>
      <c r="K27" s="225" t="s">
        <v>286</v>
      </c>
      <c r="L27" s="229">
        <v>45981</v>
      </c>
      <c r="M27" s="228">
        <v>0</v>
      </c>
      <c r="N27" s="228">
        <v>10</v>
      </c>
      <c r="O27" s="228">
        <v>31</v>
      </c>
      <c r="P27" s="225" t="s">
        <v>231</v>
      </c>
      <c r="Q27" s="221"/>
      <c r="R27" s="221"/>
      <c r="S27" s="221"/>
      <c r="T27" s="228" t="s">
        <v>437</v>
      </c>
      <c r="U27" s="228" t="s">
        <v>438</v>
      </c>
      <c r="V27" s="228" t="s">
        <v>439</v>
      </c>
      <c r="W27" s="228" t="s">
        <v>440</v>
      </c>
      <c r="X27" s="228" t="s">
        <v>441</v>
      </c>
      <c r="Y27" s="228" t="s">
        <v>442</v>
      </c>
      <c r="Z27" s="228" t="s">
        <v>368</v>
      </c>
      <c r="AA27" s="228" t="s">
        <v>288</v>
      </c>
      <c r="AB27" s="228" t="s">
        <v>320</v>
      </c>
      <c r="AC27" s="228" t="s">
        <v>321</v>
      </c>
      <c r="AD27" s="228" t="s">
        <v>291</v>
      </c>
      <c r="AE27" s="228" t="s">
        <v>292</v>
      </c>
      <c r="AF27" s="228" t="s">
        <v>310</v>
      </c>
      <c r="AG27" s="221"/>
      <c r="AH27" s="221"/>
      <c r="AI27" s="221"/>
      <c r="AJ27" s="228" t="s">
        <v>303</v>
      </c>
    </row>
    <row r="28" spans="1:36" x14ac:dyDescent="0.3">
      <c r="A28" s="223" t="s">
        <v>443</v>
      </c>
      <c r="B28" s="224">
        <v>45991</v>
      </c>
      <c r="C28" s="225" t="s">
        <v>41</v>
      </c>
      <c r="D28" s="226" t="s">
        <v>394</v>
      </c>
      <c r="E28" s="225" t="s">
        <v>1</v>
      </c>
      <c r="F28" s="225" t="s">
        <v>285</v>
      </c>
      <c r="G28" s="227">
        <v>1</v>
      </c>
      <c r="H28" s="228">
        <v>180</v>
      </c>
      <c r="I28" s="228">
        <v>180</v>
      </c>
      <c r="J28" s="228">
        <v>90</v>
      </c>
      <c r="K28" s="225" t="s">
        <v>286</v>
      </c>
      <c r="L28" s="229">
        <v>45966</v>
      </c>
      <c r="M28" s="228">
        <v>0</v>
      </c>
      <c r="N28" s="228">
        <v>0</v>
      </c>
      <c r="O28" s="228">
        <v>0</v>
      </c>
      <c r="P28" s="225" t="s">
        <v>46</v>
      </c>
      <c r="Q28" s="221"/>
      <c r="R28" s="221"/>
      <c r="S28" s="221"/>
      <c r="T28" s="221"/>
      <c r="U28" s="221"/>
      <c r="V28" s="221"/>
      <c r="W28" s="221"/>
      <c r="X28" s="221"/>
      <c r="Y28" s="228" t="s">
        <v>244</v>
      </c>
      <c r="Z28" s="228" t="s">
        <v>287</v>
      </c>
      <c r="AA28" s="228" t="s">
        <v>288</v>
      </c>
      <c r="AB28" s="228" t="s">
        <v>320</v>
      </c>
      <c r="AC28" s="228" t="s">
        <v>321</v>
      </c>
      <c r="AD28" s="228" t="s">
        <v>399</v>
      </c>
      <c r="AE28" s="228" t="s">
        <v>292</v>
      </c>
      <c r="AF28" s="228" t="s">
        <v>310</v>
      </c>
      <c r="AG28" s="221"/>
      <c r="AH28" s="221"/>
      <c r="AI28" s="228" t="s">
        <v>325</v>
      </c>
      <c r="AJ28" s="221"/>
    </row>
    <row r="29" spans="1:36" x14ac:dyDescent="0.3">
      <c r="A29" s="223" t="s">
        <v>443</v>
      </c>
      <c r="B29" s="224">
        <v>45991</v>
      </c>
      <c r="C29" s="225" t="s">
        <v>167</v>
      </c>
      <c r="D29" s="226" t="s">
        <v>365</v>
      </c>
      <c r="E29" s="225" t="s">
        <v>1</v>
      </c>
      <c r="F29" s="225" t="s">
        <v>285</v>
      </c>
      <c r="G29" s="227">
        <v>0.9889</v>
      </c>
      <c r="H29" s="228">
        <v>180</v>
      </c>
      <c r="I29" s="228">
        <v>178</v>
      </c>
      <c r="J29" s="228">
        <v>86</v>
      </c>
      <c r="K29" s="225" t="s">
        <v>286</v>
      </c>
      <c r="L29" s="229">
        <v>45981</v>
      </c>
      <c r="M29" s="228">
        <v>0</v>
      </c>
      <c r="N29" s="228">
        <v>15</v>
      </c>
      <c r="O29" s="228">
        <v>21</v>
      </c>
      <c r="P29" s="225" t="s">
        <v>244</v>
      </c>
      <c r="Q29" s="221"/>
      <c r="R29" s="221"/>
      <c r="S29" s="221"/>
      <c r="T29" s="221"/>
      <c r="U29" s="221"/>
      <c r="V29" s="221"/>
      <c r="W29" s="228" t="s">
        <v>444</v>
      </c>
      <c r="X29" s="228" t="s">
        <v>172</v>
      </c>
      <c r="Y29" s="228" t="s">
        <v>354</v>
      </c>
      <c r="Z29" s="228" t="s">
        <v>421</v>
      </c>
      <c r="AA29" s="228" t="s">
        <v>369</v>
      </c>
      <c r="AB29" s="228" t="s">
        <v>349</v>
      </c>
      <c r="AC29" s="228" t="s">
        <v>445</v>
      </c>
      <c r="AD29" s="228" t="s">
        <v>377</v>
      </c>
      <c r="AE29" s="228" t="s">
        <v>371</v>
      </c>
      <c r="AF29" s="228" t="s">
        <v>301</v>
      </c>
      <c r="AG29" s="228" t="s">
        <v>315</v>
      </c>
      <c r="AH29" s="221"/>
      <c r="AI29" s="228" t="s">
        <v>446</v>
      </c>
      <c r="AJ29" s="221"/>
    </row>
    <row r="30" spans="1:36" x14ac:dyDescent="0.3">
      <c r="A30" s="223" t="s">
        <v>443</v>
      </c>
      <c r="B30" s="224">
        <v>45991</v>
      </c>
      <c r="C30" s="225" t="s">
        <v>48</v>
      </c>
      <c r="D30" s="226" t="s">
        <v>447</v>
      </c>
      <c r="E30" s="225" t="s">
        <v>1</v>
      </c>
      <c r="F30" s="225" t="s">
        <v>285</v>
      </c>
      <c r="G30" s="227">
        <v>1.0056</v>
      </c>
      <c r="H30" s="228">
        <v>180</v>
      </c>
      <c r="I30" s="228">
        <v>181</v>
      </c>
      <c r="J30" s="228">
        <v>89</v>
      </c>
      <c r="K30" s="225" t="s">
        <v>286</v>
      </c>
      <c r="L30" s="229">
        <v>45981</v>
      </c>
      <c r="M30" s="228">
        <v>0</v>
      </c>
      <c r="N30" s="228">
        <v>2</v>
      </c>
      <c r="O30" s="228">
        <v>6</v>
      </c>
      <c r="P30" s="225" t="s">
        <v>46</v>
      </c>
      <c r="Q30" s="221"/>
      <c r="R30" s="221"/>
      <c r="S30" s="221"/>
      <c r="T30" s="221"/>
      <c r="U30" s="221"/>
      <c r="V30" s="221"/>
      <c r="W30" s="221"/>
      <c r="X30" s="221"/>
      <c r="Y30" s="228" t="s">
        <v>448</v>
      </c>
      <c r="Z30" s="228" t="s">
        <v>287</v>
      </c>
      <c r="AA30" s="228" t="s">
        <v>306</v>
      </c>
      <c r="AB30" s="228" t="s">
        <v>349</v>
      </c>
      <c r="AC30" s="228" t="s">
        <v>308</v>
      </c>
      <c r="AD30" s="228" t="s">
        <v>291</v>
      </c>
      <c r="AE30" s="228" t="s">
        <v>309</v>
      </c>
      <c r="AF30" s="228" t="s">
        <v>310</v>
      </c>
      <c r="AG30" s="221"/>
      <c r="AH30" s="221"/>
      <c r="AI30" s="228" t="s">
        <v>449</v>
      </c>
      <c r="AJ30" s="221"/>
    </row>
    <row r="31" spans="1:36" x14ac:dyDescent="0.3">
      <c r="A31" s="223" t="s">
        <v>443</v>
      </c>
      <c r="B31" s="224">
        <v>45991</v>
      </c>
      <c r="C31" s="225" t="s">
        <v>31</v>
      </c>
      <c r="D31" s="226" t="s">
        <v>450</v>
      </c>
      <c r="E31" s="225" t="s">
        <v>1</v>
      </c>
      <c r="F31" s="225" t="s">
        <v>285</v>
      </c>
      <c r="G31" s="227">
        <v>0.99439999999999995</v>
      </c>
      <c r="H31" s="228">
        <v>180</v>
      </c>
      <c r="I31" s="228">
        <v>179</v>
      </c>
      <c r="J31" s="228">
        <v>90</v>
      </c>
      <c r="K31" s="225" t="s">
        <v>286</v>
      </c>
      <c r="L31" s="229">
        <v>45982</v>
      </c>
      <c r="M31" s="228">
        <v>1</v>
      </c>
      <c r="N31" s="228">
        <v>11</v>
      </c>
      <c r="O31" s="228">
        <v>29</v>
      </c>
      <c r="P31" s="225" t="s">
        <v>46</v>
      </c>
      <c r="Q31" s="221"/>
      <c r="R31" s="221"/>
      <c r="S31" s="221"/>
      <c r="T31" s="221"/>
      <c r="U31" s="221"/>
      <c r="V31" s="221"/>
      <c r="W31" s="221"/>
      <c r="X31" s="228" t="s">
        <v>172</v>
      </c>
      <c r="Y31" s="228" t="s">
        <v>451</v>
      </c>
      <c r="Z31" s="228" t="s">
        <v>452</v>
      </c>
      <c r="AA31" s="228" t="s">
        <v>453</v>
      </c>
      <c r="AB31" s="228" t="s">
        <v>349</v>
      </c>
      <c r="AC31" s="228" t="s">
        <v>454</v>
      </c>
      <c r="AD31" s="221"/>
      <c r="AE31" s="221"/>
      <c r="AF31" s="221"/>
      <c r="AG31" s="221"/>
      <c r="AH31" s="221"/>
      <c r="AI31" s="228" t="s">
        <v>325</v>
      </c>
      <c r="AJ31" s="221"/>
    </row>
    <row r="32" spans="1:36" x14ac:dyDescent="0.3">
      <c r="A32" s="223" t="s">
        <v>443</v>
      </c>
      <c r="B32" s="224">
        <v>45991</v>
      </c>
      <c r="C32" s="225" t="s">
        <v>43</v>
      </c>
      <c r="D32" s="226" t="s">
        <v>455</v>
      </c>
      <c r="E32" s="225" t="s">
        <v>1</v>
      </c>
      <c r="F32" s="225" t="s">
        <v>285</v>
      </c>
      <c r="G32" s="227">
        <v>0.96109999999999995</v>
      </c>
      <c r="H32" s="228">
        <v>180</v>
      </c>
      <c r="I32" s="228">
        <v>173</v>
      </c>
      <c r="J32" s="228">
        <v>90</v>
      </c>
      <c r="K32" s="225" t="s">
        <v>286</v>
      </c>
      <c r="L32" s="229">
        <v>45981</v>
      </c>
      <c r="M32" s="228">
        <v>0</v>
      </c>
      <c r="N32" s="228">
        <v>8</v>
      </c>
      <c r="O32" s="228">
        <v>10</v>
      </c>
      <c r="P32" s="225" t="s">
        <v>246</v>
      </c>
      <c r="Q32" s="221"/>
      <c r="R32" s="221"/>
      <c r="S32" s="221"/>
      <c r="T32" s="221"/>
      <c r="U32" s="221"/>
      <c r="V32" s="221"/>
      <c r="W32" s="228" t="s">
        <v>444</v>
      </c>
      <c r="X32" s="228" t="s">
        <v>456</v>
      </c>
      <c r="Y32" s="228" t="s">
        <v>457</v>
      </c>
      <c r="Z32" s="228" t="s">
        <v>313</v>
      </c>
      <c r="AA32" s="228" t="s">
        <v>458</v>
      </c>
      <c r="AB32" s="228" t="s">
        <v>289</v>
      </c>
      <c r="AC32" s="228" t="s">
        <v>298</v>
      </c>
      <c r="AD32" s="228" t="s">
        <v>377</v>
      </c>
      <c r="AE32" s="228" t="s">
        <v>371</v>
      </c>
      <c r="AF32" s="228" t="s">
        <v>301</v>
      </c>
      <c r="AG32" s="221"/>
      <c r="AH32" s="221"/>
      <c r="AI32" s="228" t="s">
        <v>325</v>
      </c>
      <c r="AJ32" s="221"/>
    </row>
    <row r="33" spans="1:36" ht="21" x14ac:dyDescent="0.3">
      <c r="A33" s="230" t="s">
        <v>756</v>
      </c>
      <c r="B33" s="231"/>
      <c r="C33" s="230">
        <f>SUBTOTAL(103,CAI_JED_LF_LEGACY[Flt])</f>
        <v>31</v>
      </c>
      <c r="D33" s="230"/>
      <c r="E33" s="230">
        <f>SUBTOTAL(103,CAI_JED_LF_LEGACY[Brd-Off])</f>
        <v>31</v>
      </c>
      <c r="F33" s="230"/>
      <c r="G33" s="232">
        <f>SUBTOTAL(101,CAI_JED_LF_LEGACY[LF%])</f>
        <v>0.95124516129032277</v>
      </c>
      <c r="H33" s="233">
        <f>SUBTOTAL(109,CAI_JED_LF_LEGACY[CAP])</f>
        <v>5580</v>
      </c>
      <c r="I33" s="233">
        <f>SUBTOTAL(109,CAI_JED_LF_LEGACY[BKG(Y)])</f>
        <v>5308</v>
      </c>
      <c r="J33" s="233">
        <f>SUBTOTAL(109,CAI_JED_LF_LEGACY[GRP(Y)])</f>
        <v>2011</v>
      </c>
      <c r="K33" s="230"/>
      <c r="L33" s="231"/>
      <c r="M33" s="233">
        <f>SUBTOTAL(109,CAI_JED_LF_LEGACY[TO-DAY])</f>
        <v>3</v>
      </c>
      <c r="N33" s="233">
        <f>SUBTOTAL(109,CAI_JED_LF_LEGACY[Y-DAY])</f>
        <v>240</v>
      </c>
      <c r="O33" s="233">
        <f>SUBTOTAL(109,CAI_JED_LF_LEGACY[WEEKLY])</f>
        <v>857</v>
      </c>
      <c r="P33" s="234"/>
      <c r="Q33" s="233">
        <f>SUBTOTAL(109,CAI_JED_LF_LEGACY[Y])</f>
        <v>0</v>
      </c>
      <c r="R33" s="233">
        <f>SUBTOTAL(109,CAI_JED_LF_LEGACY[B])</f>
        <v>0</v>
      </c>
      <c r="S33" s="233">
        <f>SUBTOTAL(109,CAI_JED_LF_LEGACY[M])</f>
        <v>0</v>
      </c>
      <c r="T33" s="233">
        <f>SUBTOTAL(109,CAI_JED_LF_LEGACY[H])</f>
        <v>0</v>
      </c>
      <c r="U33" s="233">
        <f>SUBTOTAL(109,CAI_JED_LF_LEGACY[Q])</f>
        <v>0</v>
      </c>
      <c r="V33" s="233">
        <f>SUBTOTAL(109,CAI_JED_LF_LEGACY[K])</f>
        <v>0</v>
      </c>
      <c r="W33" s="233">
        <f>SUBTOTAL(109,CAI_JED_LF_LEGACY[V])</f>
        <v>0</v>
      </c>
      <c r="X33" s="233">
        <f>SUBTOTAL(109,CAI_JED_LF_LEGACY[L])</f>
        <v>0</v>
      </c>
      <c r="Y33" s="233">
        <f>SUBTOTAL(109,CAI_JED_LF_LEGACY[G])</f>
        <v>0</v>
      </c>
      <c r="Z33" s="233">
        <f>SUBTOTAL(109,CAI_JED_LF_LEGACY[S])</f>
        <v>0</v>
      </c>
      <c r="AA33" s="233">
        <f>SUBTOTAL(109,CAI_JED_LF_LEGACY[W])</f>
        <v>0</v>
      </c>
      <c r="AB33" s="233">
        <f>SUBTOTAL(109,CAI_JED_LF_LEGACY[T])</f>
        <v>0</v>
      </c>
      <c r="AC33" s="233">
        <f>SUBTOTAL(109,CAI_JED_LF_LEGACY[X])</f>
        <v>0</v>
      </c>
      <c r="AD33" s="233">
        <f>SUBTOTAL(109,CAI_JED_LF_LEGACY[U])</f>
        <v>0</v>
      </c>
      <c r="AE33" s="233">
        <f>SUBTOTAL(109,CAI_JED_LF_LEGACY[O])</f>
        <v>0</v>
      </c>
      <c r="AF33" s="233">
        <f>SUBTOTAL(109,CAI_JED_LF_LEGACY[I])</f>
        <v>0</v>
      </c>
      <c r="AG33" s="233">
        <f>SUBTOTAL(109,CAI_JED_LF_LEGACY[E])</f>
        <v>0</v>
      </c>
      <c r="AH33" s="233">
        <f>SUBTOTAL(109,CAI_JED_LF_LEGACY[A])</f>
        <v>0</v>
      </c>
      <c r="AI33" s="233">
        <f>SUBTOTAL(109,CAI_JED_LF_LEGACY[P])</f>
        <v>0</v>
      </c>
      <c r="AJ33" s="233">
        <f>SUBTOTAL(103,CAI_JED_LF_LEGACY[N])</f>
        <v>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3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221.88671875" hidden="1" customWidth="1"/>
  </cols>
  <sheetData>
    <row r="1" spans="1:8" ht="18" x14ac:dyDescent="0.3">
      <c r="A1" s="141" t="s">
        <v>459</v>
      </c>
      <c r="B1" s="142" t="s">
        <v>8</v>
      </c>
      <c r="C1" s="142" t="s">
        <v>9</v>
      </c>
      <c r="D1" s="142" t="s">
        <v>460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44" t="s">
        <v>461</v>
      </c>
      <c r="B2" s="145" t="s">
        <v>26</v>
      </c>
      <c r="C2" s="146" t="s">
        <v>27</v>
      </c>
      <c r="D2" s="145" t="s">
        <v>1</v>
      </c>
      <c r="E2" s="145" t="s">
        <v>304</v>
      </c>
      <c r="F2" s="145" t="s">
        <v>28</v>
      </c>
      <c r="G2" s="147">
        <v>1</v>
      </c>
      <c r="H2" s="148" t="s">
        <v>30</v>
      </c>
    </row>
    <row r="3" spans="1:8" ht="19.8" customHeight="1" x14ac:dyDescent="0.3">
      <c r="A3" s="149">
        <v>45986</v>
      </c>
      <c r="B3" s="150" t="s">
        <v>52</v>
      </c>
      <c r="C3" s="151" t="s">
        <v>53</v>
      </c>
      <c r="D3" s="150" t="s">
        <v>1</v>
      </c>
      <c r="E3" s="152">
        <v>1.399305555555556</v>
      </c>
      <c r="F3" s="150" t="s">
        <v>54</v>
      </c>
      <c r="G3" s="153">
        <v>1</v>
      </c>
      <c r="H3" s="154" t="s">
        <v>55</v>
      </c>
    </row>
    <row r="4" spans="1:8" ht="19.8" customHeight="1" x14ac:dyDescent="0.3">
      <c r="A4" s="149">
        <v>45986</v>
      </c>
      <c r="B4" s="150" t="s">
        <v>52</v>
      </c>
      <c r="C4" s="151" t="s">
        <v>53</v>
      </c>
      <c r="D4" s="150" t="s">
        <v>1</v>
      </c>
      <c r="E4" s="152">
        <v>1.399305555555556</v>
      </c>
      <c r="F4" s="150" t="s">
        <v>56</v>
      </c>
      <c r="G4" s="153">
        <v>1</v>
      </c>
      <c r="H4" s="154" t="s">
        <v>55</v>
      </c>
    </row>
    <row r="5" spans="1:8" ht="19.8" customHeight="1" x14ac:dyDescent="0.3">
      <c r="A5" s="155">
        <v>45986</v>
      </c>
      <c r="B5" s="145" t="s">
        <v>26</v>
      </c>
      <c r="C5" s="146" t="s">
        <v>34</v>
      </c>
      <c r="D5" s="145" t="s">
        <v>1</v>
      </c>
      <c r="E5" s="156">
        <v>1.052083333333333</v>
      </c>
      <c r="F5" s="145" t="s">
        <v>28</v>
      </c>
      <c r="G5" s="147">
        <v>1</v>
      </c>
      <c r="H5" s="148" t="s">
        <v>36</v>
      </c>
    </row>
    <row r="6" spans="1:8" ht="19.8" customHeight="1" x14ac:dyDescent="0.3">
      <c r="A6" s="155">
        <v>45986</v>
      </c>
      <c r="B6" s="145" t="s">
        <v>26</v>
      </c>
      <c r="C6" s="146" t="s">
        <v>40</v>
      </c>
      <c r="D6" s="145" t="s">
        <v>1</v>
      </c>
      <c r="E6" s="156">
        <v>1.791666666666667</v>
      </c>
      <c r="F6" s="145" t="s">
        <v>28</v>
      </c>
      <c r="G6" s="147">
        <v>1</v>
      </c>
      <c r="H6" s="148" t="s">
        <v>36</v>
      </c>
    </row>
    <row r="7" spans="1:8" ht="19.8" customHeight="1" x14ac:dyDescent="0.3">
      <c r="A7" s="149">
        <v>45986</v>
      </c>
      <c r="B7" s="150" t="s">
        <v>52</v>
      </c>
      <c r="C7" s="151" t="s">
        <v>62</v>
      </c>
      <c r="D7" s="150" t="s">
        <v>1</v>
      </c>
      <c r="E7" s="152">
        <v>1.489583333333333</v>
      </c>
      <c r="F7" s="150" t="s">
        <v>54</v>
      </c>
      <c r="G7" s="153">
        <v>4</v>
      </c>
      <c r="H7" s="154" t="s">
        <v>36</v>
      </c>
    </row>
    <row r="8" spans="1:8" ht="19.8" customHeight="1" x14ac:dyDescent="0.3">
      <c r="A8" s="149">
        <v>45986</v>
      </c>
      <c r="B8" s="150" t="s">
        <v>52</v>
      </c>
      <c r="C8" s="151" t="s">
        <v>62</v>
      </c>
      <c r="D8" s="150" t="s">
        <v>1</v>
      </c>
      <c r="E8" s="152">
        <v>1.489583333333333</v>
      </c>
      <c r="F8" s="150" t="s">
        <v>56</v>
      </c>
      <c r="G8" s="153">
        <v>4</v>
      </c>
      <c r="H8" s="154" t="s">
        <v>36</v>
      </c>
    </row>
    <row r="9" spans="1:8" ht="19.8" customHeight="1" x14ac:dyDescent="0.3">
      <c r="A9" s="149">
        <v>45986</v>
      </c>
      <c r="B9" s="150" t="s">
        <v>52</v>
      </c>
      <c r="C9" s="151" t="s">
        <v>66</v>
      </c>
      <c r="D9" s="150" t="s">
        <v>1</v>
      </c>
      <c r="E9" s="152">
        <v>1.8888888888888891</v>
      </c>
      <c r="F9" s="150" t="s">
        <v>54</v>
      </c>
      <c r="G9" s="153">
        <v>2</v>
      </c>
      <c r="H9" s="154" t="s">
        <v>36</v>
      </c>
    </row>
    <row r="10" spans="1:8" ht="19.8" customHeight="1" x14ac:dyDescent="0.3">
      <c r="A10" s="149">
        <v>45986</v>
      </c>
      <c r="B10" s="150" t="s">
        <v>52</v>
      </c>
      <c r="C10" s="151" t="s">
        <v>66</v>
      </c>
      <c r="D10" s="150" t="s">
        <v>1</v>
      </c>
      <c r="E10" s="152">
        <v>1.8888888888888891</v>
      </c>
      <c r="F10" s="150" t="s">
        <v>56</v>
      </c>
      <c r="G10" s="153">
        <v>2</v>
      </c>
      <c r="H10" s="154" t="s">
        <v>36</v>
      </c>
    </row>
    <row r="11" spans="1:8" ht="19.8" customHeight="1" x14ac:dyDescent="0.3">
      <c r="A11" s="149">
        <v>45986</v>
      </c>
      <c r="B11" s="150" t="s">
        <v>52</v>
      </c>
      <c r="C11" s="151" t="s">
        <v>69</v>
      </c>
      <c r="D11" s="150" t="s">
        <v>1</v>
      </c>
      <c r="E11" s="152">
        <v>1.989583333333333</v>
      </c>
      <c r="F11" s="150" t="s">
        <v>54</v>
      </c>
      <c r="G11" s="153">
        <v>9</v>
      </c>
      <c r="H11" s="154" t="s">
        <v>36</v>
      </c>
    </row>
    <row r="12" spans="1:8" ht="19.8" customHeight="1" x14ac:dyDescent="0.3">
      <c r="A12" s="149">
        <v>45986</v>
      </c>
      <c r="B12" s="150" t="s">
        <v>52</v>
      </c>
      <c r="C12" s="151" t="s">
        <v>69</v>
      </c>
      <c r="D12" s="150" t="s">
        <v>1</v>
      </c>
      <c r="E12" s="152">
        <v>1.989583333333333</v>
      </c>
      <c r="F12" s="150" t="s">
        <v>56</v>
      </c>
      <c r="G12" s="153">
        <v>9</v>
      </c>
      <c r="H12" s="154" t="s">
        <v>36</v>
      </c>
    </row>
    <row r="13" spans="1:8" ht="19.8" customHeight="1" x14ac:dyDescent="0.3">
      <c r="A13" s="149">
        <v>45986</v>
      </c>
      <c r="B13" s="150" t="s">
        <v>72</v>
      </c>
      <c r="C13" s="151" t="s">
        <v>73</v>
      </c>
      <c r="D13" s="150" t="s">
        <v>1</v>
      </c>
      <c r="E13" s="152">
        <v>1.1875</v>
      </c>
      <c r="F13" s="150" t="s">
        <v>28</v>
      </c>
      <c r="G13" s="153">
        <v>9</v>
      </c>
      <c r="H13" s="154" t="s">
        <v>75</v>
      </c>
    </row>
    <row r="14" spans="1:8" ht="19.8" customHeight="1" x14ac:dyDescent="0.3">
      <c r="A14" s="149">
        <v>45986</v>
      </c>
      <c r="B14" s="150" t="s">
        <v>79</v>
      </c>
      <c r="C14" s="151" t="s">
        <v>80</v>
      </c>
      <c r="D14" s="150" t="s">
        <v>1</v>
      </c>
      <c r="E14" s="152">
        <v>1.993055555555556</v>
      </c>
      <c r="F14" s="150" t="s">
        <v>81</v>
      </c>
      <c r="G14" s="153">
        <v>6</v>
      </c>
      <c r="H14" s="154" t="s">
        <v>83</v>
      </c>
    </row>
    <row r="15" spans="1:8" ht="19.8" customHeight="1" x14ac:dyDescent="0.3">
      <c r="A15" s="149">
        <v>45986</v>
      </c>
      <c r="B15" s="150" t="s">
        <v>79</v>
      </c>
      <c r="C15" s="151" t="s">
        <v>80</v>
      </c>
      <c r="D15" s="150" t="s">
        <v>1</v>
      </c>
      <c r="E15" s="152">
        <v>1.993055555555556</v>
      </c>
      <c r="F15" s="150" t="s">
        <v>84</v>
      </c>
      <c r="G15" s="153">
        <v>6</v>
      </c>
      <c r="H15" s="154" t="s">
        <v>83</v>
      </c>
    </row>
    <row r="16" spans="1:8" ht="19.8" customHeight="1" x14ac:dyDescent="0.3">
      <c r="A16" s="149">
        <v>45986</v>
      </c>
      <c r="B16" s="150" t="s">
        <v>79</v>
      </c>
      <c r="C16" s="151" t="s">
        <v>90</v>
      </c>
      <c r="D16" s="150" t="s">
        <v>1</v>
      </c>
      <c r="E16" s="152">
        <v>1.944444444444444</v>
      </c>
      <c r="F16" s="150" t="s">
        <v>81</v>
      </c>
      <c r="G16" s="153">
        <v>8</v>
      </c>
      <c r="H16" s="154" t="s">
        <v>83</v>
      </c>
    </row>
    <row r="17" spans="1:8" ht="19.8" customHeight="1" x14ac:dyDescent="0.3">
      <c r="A17" s="149">
        <v>45986</v>
      </c>
      <c r="B17" s="150" t="s">
        <v>79</v>
      </c>
      <c r="C17" s="151" t="s">
        <v>90</v>
      </c>
      <c r="D17" s="150" t="s">
        <v>1</v>
      </c>
      <c r="E17" s="152">
        <v>1.944444444444444</v>
      </c>
      <c r="F17" s="150" t="s">
        <v>84</v>
      </c>
      <c r="G17" s="153">
        <v>8</v>
      </c>
      <c r="H17" s="154" t="s">
        <v>83</v>
      </c>
    </row>
    <row r="18" spans="1:8" ht="19.8" customHeight="1" x14ac:dyDescent="0.3">
      <c r="A18" s="149">
        <v>45986</v>
      </c>
      <c r="B18" s="150" t="s">
        <v>79</v>
      </c>
      <c r="C18" s="151" t="s">
        <v>93</v>
      </c>
      <c r="D18" s="150" t="s">
        <v>1</v>
      </c>
      <c r="E18" s="152">
        <v>1.4861111111111109</v>
      </c>
      <c r="F18" s="150" t="s">
        <v>81</v>
      </c>
      <c r="G18" s="153">
        <v>1</v>
      </c>
      <c r="H18" s="154" t="s">
        <v>83</v>
      </c>
    </row>
    <row r="19" spans="1:8" ht="19.8" customHeight="1" x14ac:dyDescent="0.3">
      <c r="A19" s="149">
        <v>45986</v>
      </c>
      <c r="B19" s="150" t="s">
        <v>79</v>
      </c>
      <c r="C19" s="151" t="s">
        <v>93</v>
      </c>
      <c r="D19" s="150" t="s">
        <v>1</v>
      </c>
      <c r="E19" s="152">
        <v>1.4861111111111109</v>
      </c>
      <c r="F19" s="150" t="s">
        <v>84</v>
      </c>
      <c r="G19" s="153">
        <v>1</v>
      </c>
      <c r="H19" s="154" t="s">
        <v>83</v>
      </c>
    </row>
    <row r="20" spans="1:8" ht="19.8" customHeight="1" x14ac:dyDescent="0.3">
      <c r="A20" s="149">
        <v>45986</v>
      </c>
      <c r="B20" s="150" t="s">
        <v>79</v>
      </c>
      <c r="C20" s="151" t="s">
        <v>94</v>
      </c>
      <c r="D20" s="150" t="s">
        <v>1</v>
      </c>
      <c r="E20" s="152">
        <v>1.3923611111111109</v>
      </c>
      <c r="F20" s="150" t="s">
        <v>81</v>
      </c>
      <c r="G20" s="153">
        <v>5</v>
      </c>
      <c r="H20" s="154" t="s">
        <v>83</v>
      </c>
    </row>
    <row r="21" spans="1:8" ht="19.8" customHeight="1" x14ac:dyDescent="0.3">
      <c r="A21" s="149">
        <v>45986</v>
      </c>
      <c r="B21" s="150" t="s">
        <v>79</v>
      </c>
      <c r="C21" s="151" t="s">
        <v>94</v>
      </c>
      <c r="D21" s="150" t="s">
        <v>1</v>
      </c>
      <c r="E21" s="152">
        <v>1.3923611111111109</v>
      </c>
      <c r="F21" s="150" t="s">
        <v>84</v>
      </c>
      <c r="G21" s="153">
        <v>5</v>
      </c>
      <c r="H21" s="154" t="s">
        <v>83</v>
      </c>
    </row>
    <row r="22" spans="1:8" ht="19.8" customHeight="1" x14ac:dyDescent="0.3">
      <c r="A22" s="149">
        <v>45986</v>
      </c>
      <c r="B22" s="150" t="s">
        <v>102</v>
      </c>
      <c r="C22" s="151" t="s">
        <v>103</v>
      </c>
      <c r="D22" s="150" t="s">
        <v>1</v>
      </c>
      <c r="E22" s="152">
        <v>1.100694444444444</v>
      </c>
      <c r="F22" s="150" t="s">
        <v>28</v>
      </c>
      <c r="G22" s="153">
        <v>5</v>
      </c>
      <c r="H22" s="154" t="s">
        <v>105</v>
      </c>
    </row>
    <row r="23" spans="1:8" ht="19.8" customHeight="1" x14ac:dyDescent="0.3">
      <c r="A23" s="149">
        <v>45986</v>
      </c>
      <c r="B23" s="150" t="s">
        <v>108</v>
      </c>
      <c r="C23" s="151" t="s">
        <v>109</v>
      </c>
      <c r="D23" s="150" t="s">
        <v>1</v>
      </c>
      <c r="E23" s="152">
        <v>1.055555555555556</v>
      </c>
      <c r="F23" s="150" t="s">
        <v>110</v>
      </c>
      <c r="G23" s="153">
        <v>8</v>
      </c>
      <c r="H23" s="154" t="s">
        <v>112</v>
      </c>
    </row>
    <row r="24" spans="1:8" ht="19.8" customHeight="1" x14ac:dyDescent="0.3">
      <c r="A24" s="149">
        <v>45986</v>
      </c>
      <c r="B24" s="150" t="s">
        <v>108</v>
      </c>
      <c r="C24" s="151" t="s">
        <v>109</v>
      </c>
      <c r="D24" s="150" t="s">
        <v>1</v>
      </c>
      <c r="E24" s="152">
        <v>1.055555555555556</v>
      </c>
      <c r="F24" s="150" t="s">
        <v>113</v>
      </c>
      <c r="G24" s="153">
        <v>8</v>
      </c>
      <c r="H24" s="154" t="s">
        <v>112</v>
      </c>
    </row>
    <row r="25" spans="1:8" ht="19.8" customHeight="1" x14ac:dyDescent="0.3">
      <c r="A25" s="149">
        <v>45986</v>
      </c>
      <c r="B25" s="150" t="s">
        <v>72</v>
      </c>
      <c r="C25" s="151" t="s">
        <v>76</v>
      </c>
      <c r="D25" s="150" t="s">
        <v>1</v>
      </c>
      <c r="E25" s="152">
        <v>1.493055555555556</v>
      </c>
      <c r="F25" s="150" t="s">
        <v>28</v>
      </c>
      <c r="G25" s="153">
        <v>9</v>
      </c>
      <c r="H25" s="154" t="s">
        <v>78</v>
      </c>
    </row>
    <row r="26" spans="1:8" ht="19.8" customHeight="1" x14ac:dyDescent="0.3">
      <c r="A26" s="149">
        <v>45986</v>
      </c>
      <c r="B26" s="150" t="s">
        <v>52</v>
      </c>
      <c r="C26" s="151" t="s">
        <v>53</v>
      </c>
      <c r="D26" s="150" t="s">
        <v>1</v>
      </c>
      <c r="E26" s="152">
        <v>1.399305555555556</v>
      </c>
      <c r="F26" s="150" t="s">
        <v>58</v>
      </c>
      <c r="G26" s="153">
        <v>1</v>
      </c>
      <c r="H26" s="154" t="s">
        <v>59</v>
      </c>
    </row>
    <row r="27" spans="1:8" ht="19.8" customHeight="1" x14ac:dyDescent="0.3">
      <c r="A27" s="149">
        <v>45986</v>
      </c>
      <c r="B27" s="150" t="s">
        <v>79</v>
      </c>
      <c r="C27" s="151" t="s">
        <v>97</v>
      </c>
      <c r="D27" s="150" t="s">
        <v>1</v>
      </c>
      <c r="E27" s="152">
        <v>1.3472222222222221</v>
      </c>
      <c r="F27" s="150" t="s">
        <v>81</v>
      </c>
      <c r="G27" s="153">
        <v>5</v>
      </c>
      <c r="H27" s="154" t="s">
        <v>59</v>
      </c>
    </row>
    <row r="28" spans="1:8" ht="19.8" customHeight="1" x14ac:dyDescent="0.3">
      <c r="A28" s="149">
        <v>45986</v>
      </c>
      <c r="B28" s="150" t="s">
        <v>79</v>
      </c>
      <c r="C28" s="151" t="s">
        <v>97</v>
      </c>
      <c r="D28" s="150" t="s">
        <v>1</v>
      </c>
      <c r="E28" s="152">
        <v>1.3472222222222221</v>
      </c>
      <c r="F28" s="150" t="s">
        <v>84</v>
      </c>
      <c r="G28" s="153">
        <v>5</v>
      </c>
      <c r="H28" s="154" t="s">
        <v>59</v>
      </c>
    </row>
    <row r="29" spans="1:8" ht="19.8" customHeight="1" x14ac:dyDescent="0.3">
      <c r="A29" s="149">
        <v>45986</v>
      </c>
      <c r="B29" s="150" t="s">
        <v>79</v>
      </c>
      <c r="C29" s="151" t="s">
        <v>99</v>
      </c>
      <c r="D29" s="150" t="s">
        <v>1</v>
      </c>
      <c r="E29" s="152">
        <v>1.7361111111111109</v>
      </c>
      <c r="F29" s="150" t="s">
        <v>81</v>
      </c>
      <c r="G29" s="153">
        <v>9</v>
      </c>
      <c r="H29" s="154" t="s">
        <v>59</v>
      </c>
    </row>
    <row r="30" spans="1:8" ht="19.8" customHeight="1" x14ac:dyDescent="0.3">
      <c r="A30" s="149">
        <v>45986</v>
      </c>
      <c r="B30" s="150" t="s">
        <v>79</v>
      </c>
      <c r="C30" s="151" t="s">
        <v>99</v>
      </c>
      <c r="D30" s="150" t="s">
        <v>1</v>
      </c>
      <c r="E30" s="152">
        <v>1.7361111111111109</v>
      </c>
      <c r="F30" s="150" t="s">
        <v>84</v>
      </c>
      <c r="G30" s="153">
        <v>9</v>
      </c>
      <c r="H30" s="154" t="s">
        <v>59</v>
      </c>
    </row>
    <row r="31" spans="1:8" ht="19.8" customHeight="1" x14ac:dyDescent="0.3">
      <c r="A31" s="149">
        <v>45986</v>
      </c>
      <c r="B31" s="150" t="s">
        <v>79</v>
      </c>
      <c r="C31" s="151" t="s">
        <v>100</v>
      </c>
      <c r="D31" s="150" t="s">
        <v>1</v>
      </c>
      <c r="E31" s="152">
        <v>1.836805555555556</v>
      </c>
      <c r="F31" s="150" t="s">
        <v>81</v>
      </c>
      <c r="G31" s="153">
        <v>9</v>
      </c>
      <c r="H31" s="154" t="s">
        <v>59</v>
      </c>
    </row>
    <row r="32" spans="1:8" ht="19.8" customHeight="1" x14ac:dyDescent="0.3">
      <c r="A32" s="149">
        <v>45986</v>
      </c>
      <c r="B32" s="150" t="s">
        <v>79</v>
      </c>
      <c r="C32" s="151" t="s">
        <v>100</v>
      </c>
      <c r="D32" s="150" t="s">
        <v>1</v>
      </c>
      <c r="E32" s="152">
        <v>1.836805555555556</v>
      </c>
      <c r="F32" s="150" t="s">
        <v>84</v>
      </c>
      <c r="G32" s="153">
        <v>9</v>
      </c>
      <c r="H32" s="154" t="s">
        <v>59</v>
      </c>
    </row>
    <row r="33" spans="1:8" ht="19.8" customHeight="1" x14ac:dyDescent="0.3">
      <c r="A33" s="149">
        <v>45986</v>
      </c>
      <c r="B33" s="150" t="s">
        <v>79</v>
      </c>
      <c r="C33" s="151" t="s">
        <v>101</v>
      </c>
      <c r="D33" s="150" t="s">
        <v>1</v>
      </c>
      <c r="E33" s="152">
        <v>1.8888888888888891</v>
      </c>
      <c r="F33" s="150" t="s">
        <v>81</v>
      </c>
      <c r="G33" s="153">
        <v>9</v>
      </c>
      <c r="H33" s="154" t="s">
        <v>59</v>
      </c>
    </row>
    <row r="34" spans="1:8" ht="19.8" customHeight="1" x14ac:dyDescent="0.3">
      <c r="A34" s="149">
        <v>45986</v>
      </c>
      <c r="B34" s="150" t="s">
        <v>79</v>
      </c>
      <c r="C34" s="151" t="s">
        <v>101</v>
      </c>
      <c r="D34" s="150" t="s">
        <v>1</v>
      </c>
      <c r="E34" s="152">
        <v>1.8888888888888891</v>
      </c>
      <c r="F34" s="150" t="s">
        <v>84</v>
      </c>
      <c r="G34" s="153">
        <v>9</v>
      </c>
      <c r="H34" s="154" t="s">
        <v>59</v>
      </c>
    </row>
    <row r="35" spans="1:8" ht="19.8" customHeight="1" x14ac:dyDescent="0.3">
      <c r="A35" s="149">
        <v>45986</v>
      </c>
      <c r="B35" s="150" t="s">
        <v>102</v>
      </c>
      <c r="C35" s="151" t="s">
        <v>106</v>
      </c>
      <c r="D35" s="150" t="s">
        <v>1</v>
      </c>
      <c r="E35" s="152">
        <v>1.270833333333333</v>
      </c>
      <c r="F35" s="150" t="s">
        <v>28</v>
      </c>
      <c r="G35" s="153">
        <v>5</v>
      </c>
      <c r="H35" s="154" t="s">
        <v>107</v>
      </c>
    </row>
    <row r="36" spans="1:8" ht="19.8" customHeight="1" x14ac:dyDescent="0.3">
      <c r="A36" s="149">
        <v>45986</v>
      </c>
      <c r="B36" s="150" t="s">
        <v>79</v>
      </c>
      <c r="C36" s="151" t="s">
        <v>80</v>
      </c>
      <c r="D36" s="150" t="s">
        <v>1</v>
      </c>
      <c r="E36" s="152">
        <v>1.993055555555556</v>
      </c>
      <c r="F36" s="150" t="s">
        <v>86</v>
      </c>
      <c r="G36" s="153">
        <v>6</v>
      </c>
      <c r="H36" s="154" t="s">
        <v>87</v>
      </c>
    </row>
    <row r="37" spans="1:8" ht="19.8" customHeight="1" x14ac:dyDescent="0.3">
      <c r="A37" s="149">
        <v>45986</v>
      </c>
      <c r="B37" s="150" t="s">
        <v>79</v>
      </c>
      <c r="C37" s="151" t="s">
        <v>90</v>
      </c>
      <c r="D37" s="150" t="s">
        <v>1</v>
      </c>
      <c r="E37" s="152">
        <v>1.944444444444444</v>
      </c>
      <c r="F37" s="150" t="s">
        <v>86</v>
      </c>
      <c r="G37" s="153">
        <v>8</v>
      </c>
      <c r="H37" s="154" t="s">
        <v>87</v>
      </c>
    </row>
    <row r="38" spans="1:8" ht="19.8" customHeight="1" x14ac:dyDescent="0.3">
      <c r="A38" s="149">
        <v>45986</v>
      </c>
      <c r="B38" s="150" t="s">
        <v>79</v>
      </c>
      <c r="C38" s="151" t="s">
        <v>93</v>
      </c>
      <c r="D38" s="150" t="s">
        <v>1</v>
      </c>
      <c r="E38" s="152">
        <v>1.4861111111111109</v>
      </c>
      <c r="F38" s="150" t="s">
        <v>86</v>
      </c>
      <c r="G38" s="153">
        <v>1</v>
      </c>
      <c r="H38" s="154" t="s">
        <v>87</v>
      </c>
    </row>
    <row r="39" spans="1:8" ht="19.8" customHeight="1" x14ac:dyDescent="0.3">
      <c r="A39" s="149">
        <v>45986</v>
      </c>
      <c r="B39" s="150" t="s">
        <v>79</v>
      </c>
      <c r="C39" s="151" t="s">
        <v>94</v>
      </c>
      <c r="D39" s="150" t="s">
        <v>1</v>
      </c>
      <c r="E39" s="152">
        <v>1.3923611111111109</v>
      </c>
      <c r="F39" s="150" t="s">
        <v>86</v>
      </c>
      <c r="G39" s="153">
        <v>5</v>
      </c>
      <c r="H39" s="154" t="s">
        <v>87</v>
      </c>
    </row>
    <row r="40" spans="1:8" ht="19.8" customHeight="1" x14ac:dyDescent="0.3">
      <c r="A40" s="149">
        <v>45986</v>
      </c>
      <c r="B40" s="150" t="s">
        <v>52</v>
      </c>
      <c r="C40" s="151" t="s">
        <v>53</v>
      </c>
      <c r="D40" s="150" t="s">
        <v>1</v>
      </c>
      <c r="E40" s="152">
        <v>1.399305555555556</v>
      </c>
      <c r="F40" s="150" t="s">
        <v>60</v>
      </c>
      <c r="G40" s="153">
        <v>1</v>
      </c>
      <c r="H40" s="154" t="s">
        <v>61</v>
      </c>
    </row>
    <row r="41" spans="1:8" ht="19.8" customHeight="1" x14ac:dyDescent="0.3">
      <c r="A41" s="149">
        <v>45986</v>
      </c>
      <c r="B41" s="150" t="s">
        <v>52</v>
      </c>
      <c r="C41" s="151" t="s">
        <v>62</v>
      </c>
      <c r="D41" s="150" t="s">
        <v>1</v>
      </c>
      <c r="E41" s="152">
        <v>1.489583333333333</v>
      </c>
      <c r="F41" s="150" t="s">
        <v>58</v>
      </c>
      <c r="G41" s="153">
        <v>4</v>
      </c>
      <c r="H41" s="154" t="s">
        <v>61</v>
      </c>
    </row>
    <row r="42" spans="1:8" ht="19.8" customHeight="1" x14ac:dyDescent="0.3">
      <c r="A42" s="149">
        <v>45986</v>
      </c>
      <c r="B42" s="150" t="s">
        <v>52</v>
      </c>
      <c r="C42" s="151" t="s">
        <v>66</v>
      </c>
      <c r="D42" s="150" t="s">
        <v>1</v>
      </c>
      <c r="E42" s="152">
        <v>1.8888888888888891</v>
      </c>
      <c r="F42" s="150" t="s">
        <v>58</v>
      </c>
      <c r="G42" s="153">
        <v>2</v>
      </c>
      <c r="H42" s="154" t="s">
        <v>61</v>
      </c>
    </row>
    <row r="43" spans="1:8" ht="19.8" customHeight="1" x14ac:dyDescent="0.3">
      <c r="A43" s="149">
        <v>45986</v>
      </c>
      <c r="B43" s="150" t="s">
        <v>52</v>
      </c>
      <c r="C43" s="151" t="s">
        <v>69</v>
      </c>
      <c r="D43" s="150" t="s">
        <v>1</v>
      </c>
      <c r="E43" s="152">
        <v>1.989583333333333</v>
      </c>
      <c r="F43" s="150" t="s">
        <v>58</v>
      </c>
      <c r="G43" s="153">
        <v>9</v>
      </c>
      <c r="H43" s="154" t="s">
        <v>61</v>
      </c>
    </row>
    <row r="44" spans="1:8" ht="19.8" customHeight="1" x14ac:dyDescent="0.3">
      <c r="A44" s="149">
        <v>45986</v>
      </c>
      <c r="B44" s="150" t="s">
        <v>52</v>
      </c>
      <c r="C44" s="151" t="s">
        <v>69</v>
      </c>
      <c r="D44" s="150" t="s">
        <v>1</v>
      </c>
      <c r="E44" s="152">
        <v>1.989583333333333</v>
      </c>
      <c r="F44" s="150" t="s">
        <v>60</v>
      </c>
      <c r="G44" s="153">
        <v>9</v>
      </c>
      <c r="H44" s="154" t="s">
        <v>61</v>
      </c>
    </row>
    <row r="45" spans="1:8" ht="19.8" customHeight="1" x14ac:dyDescent="0.3">
      <c r="A45" s="149">
        <v>45986</v>
      </c>
      <c r="B45" s="150" t="s">
        <v>108</v>
      </c>
      <c r="C45" s="151" t="s">
        <v>109</v>
      </c>
      <c r="D45" s="150" t="s">
        <v>1</v>
      </c>
      <c r="E45" s="152">
        <v>1.055555555555556</v>
      </c>
      <c r="F45" s="150" t="s">
        <v>60</v>
      </c>
      <c r="G45" s="153">
        <v>8</v>
      </c>
      <c r="H45" s="154" t="s">
        <v>114</v>
      </c>
    </row>
    <row r="46" spans="1:8" ht="19.8" customHeight="1" x14ac:dyDescent="0.3">
      <c r="A46" s="149">
        <v>45986</v>
      </c>
      <c r="B46" s="150" t="s">
        <v>79</v>
      </c>
      <c r="C46" s="151" t="s">
        <v>97</v>
      </c>
      <c r="D46" s="150" t="s">
        <v>1</v>
      </c>
      <c r="E46" s="152">
        <v>1.3472222222222221</v>
      </c>
      <c r="F46" s="150" t="s">
        <v>86</v>
      </c>
      <c r="G46" s="153">
        <v>5</v>
      </c>
      <c r="H46" s="154" t="s">
        <v>89</v>
      </c>
    </row>
    <row r="47" spans="1:8" ht="19.8" customHeight="1" x14ac:dyDescent="0.3">
      <c r="A47" s="149">
        <v>45986</v>
      </c>
      <c r="B47" s="150" t="s">
        <v>79</v>
      </c>
      <c r="C47" s="151" t="s">
        <v>80</v>
      </c>
      <c r="D47" s="150" t="s">
        <v>1</v>
      </c>
      <c r="E47" s="152">
        <v>1.993055555555556</v>
      </c>
      <c r="F47" s="150" t="s">
        <v>88</v>
      </c>
      <c r="G47" s="153">
        <v>6</v>
      </c>
      <c r="H47" s="154" t="s">
        <v>89</v>
      </c>
    </row>
    <row r="48" spans="1:8" ht="19.8" customHeight="1" x14ac:dyDescent="0.3">
      <c r="A48" s="149">
        <v>45986</v>
      </c>
      <c r="B48" s="150" t="s">
        <v>79</v>
      </c>
      <c r="C48" s="151" t="s">
        <v>99</v>
      </c>
      <c r="D48" s="150" t="s">
        <v>1</v>
      </c>
      <c r="E48" s="152">
        <v>1.7361111111111109</v>
      </c>
      <c r="F48" s="150" t="s">
        <v>86</v>
      </c>
      <c r="G48" s="153">
        <v>9</v>
      </c>
      <c r="H48" s="154" t="s">
        <v>89</v>
      </c>
    </row>
    <row r="49" spans="1:8" ht="19.8" customHeight="1" x14ac:dyDescent="0.3">
      <c r="A49" s="149">
        <v>45986</v>
      </c>
      <c r="B49" s="150" t="s">
        <v>79</v>
      </c>
      <c r="C49" s="151" t="s">
        <v>100</v>
      </c>
      <c r="D49" s="150" t="s">
        <v>1</v>
      </c>
      <c r="E49" s="152">
        <v>1.836805555555556</v>
      </c>
      <c r="F49" s="150" t="s">
        <v>86</v>
      </c>
      <c r="G49" s="153">
        <v>9</v>
      </c>
      <c r="H49" s="154" t="s">
        <v>89</v>
      </c>
    </row>
    <row r="50" spans="1:8" ht="19.8" customHeight="1" x14ac:dyDescent="0.3">
      <c r="A50" s="149">
        <v>45986</v>
      </c>
      <c r="B50" s="150" t="s">
        <v>79</v>
      </c>
      <c r="C50" s="151" t="s">
        <v>90</v>
      </c>
      <c r="D50" s="150" t="s">
        <v>1</v>
      </c>
      <c r="E50" s="152">
        <v>1.944444444444444</v>
      </c>
      <c r="F50" s="150" t="s">
        <v>88</v>
      </c>
      <c r="G50" s="153">
        <v>8</v>
      </c>
      <c r="H50" s="154" t="s">
        <v>89</v>
      </c>
    </row>
    <row r="51" spans="1:8" ht="19.8" customHeight="1" x14ac:dyDescent="0.3">
      <c r="A51" s="149">
        <v>45986</v>
      </c>
      <c r="B51" s="150" t="s">
        <v>79</v>
      </c>
      <c r="C51" s="151" t="s">
        <v>93</v>
      </c>
      <c r="D51" s="150" t="s">
        <v>1</v>
      </c>
      <c r="E51" s="152">
        <v>1.4861111111111109</v>
      </c>
      <c r="F51" s="150" t="s">
        <v>88</v>
      </c>
      <c r="G51" s="153">
        <v>1</v>
      </c>
      <c r="H51" s="154" t="s">
        <v>89</v>
      </c>
    </row>
    <row r="52" spans="1:8" ht="19.8" customHeight="1" x14ac:dyDescent="0.3">
      <c r="A52" s="149">
        <v>45986</v>
      </c>
      <c r="B52" s="150" t="s">
        <v>79</v>
      </c>
      <c r="C52" s="151" t="s">
        <v>94</v>
      </c>
      <c r="D52" s="150" t="s">
        <v>1</v>
      </c>
      <c r="E52" s="152">
        <v>1.3923611111111109</v>
      </c>
      <c r="F52" s="150" t="s">
        <v>88</v>
      </c>
      <c r="G52" s="153">
        <v>5</v>
      </c>
      <c r="H52" s="154" t="s">
        <v>89</v>
      </c>
    </row>
    <row r="53" spans="1:8" ht="19.8" customHeight="1" x14ac:dyDescent="0.3">
      <c r="A53" s="149">
        <v>45986</v>
      </c>
      <c r="B53" s="150" t="s">
        <v>79</v>
      </c>
      <c r="C53" s="151" t="s">
        <v>101</v>
      </c>
      <c r="D53" s="150" t="s">
        <v>1</v>
      </c>
      <c r="E53" s="152">
        <v>1.8888888888888891</v>
      </c>
      <c r="F53" s="150" t="s">
        <v>86</v>
      </c>
      <c r="G53" s="153">
        <v>9</v>
      </c>
      <c r="H53" s="154" t="s">
        <v>89</v>
      </c>
    </row>
    <row r="54" spans="1:8" ht="19.8" customHeight="1" x14ac:dyDescent="0.3">
      <c r="A54" s="149">
        <v>45986</v>
      </c>
      <c r="B54" s="150" t="s">
        <v>79</v>
      </c>
      <c r="C54" s="151" t="s">
        <v>97</v>
      </c>
      <c r="D54" s="150" t="s">
        <v>1</v>
      </c>
      <c r="E54" s="152">
        <v>1.3472222222222221</v>
      </c>
      <c r="F54" s="150" t="s">
        <v>88</v>
      </c>
      <c r="G54" s="153">
        <v>5</v>
      </c>
      <c r="H54" s="154" t="s">
        <v>98</v>
      </c>
    </row>
    <row r="55" spans="1:8" ht="19.8" customHeight="1" x14ac:dyDescent="0.3">
      <c r="A55" s="149">
        <v>45986</v>
      </c>
      <c r="B55" s="150" t="s">
        <v>79</v>
      </c>
      <c r="C55" s="151" t="s">
        <v>99</v>
      </c>
      <c r="D55" s="150" t="s">
        <v>1</v>
      </c>
      <c r="E55" s="152">
        <v>1.7361111111111109</v>
      </c>
      <c r="F55" s="150" t="s">
        <v>88</v>
      </c>
      <c r="G55" s="153">
        <v>9</v>
      </c>
      <c r="H55" s="154" t="s">
        <v>98</v>
      </c>
    </row>
    <row r="56" spans="1:8" ht="19.8" customHeight="1" x14ac:dyDescent="0.3">
      <c r="A56" s="149">
        <v>45986</v>
      </c>
      <c r="B56" s="150" t="s">
        <v>79</v>
      </c>
      <c r="C56" s="151" t="s">
        <v>100</v>
      </c>
      <c r="D56" s="150" t="s">
        <v>1</v>
      </c>
      <c r="E56" s="152">
        <v>1.836805555555556</v>
      </c>
      <c r="F56" s="150" t="s">
        <v>88</v>
      </c>
      <c r="G56" s="153">
        <v>9</v>
      </c>
      <c r="H56" s="154" t="s">
        <v>98</v>
      </c>
    </row>
    <row r="57" spans="1:8" ht="19.8" customHeight="1" x14ac:dyDescent="0.3">
      <c r="A57" s="149">
        <v>45986</v>
      </c>
      <c r="B57" s="150" t="s">
        <v>79</v>
      </c>
      <c r="C57" s="151" t="s">
        <v>101</v>
      </c>
      <c r="D57" s="150" t="s">
        <v>1</v>
      </c>
      <c r="E57" s="152">
        <v>1.8888888888888891</v>
      </c>
      <c r="F57" s="150" t="s">
        <v>88</v>
      </c>
      <c r="G57" s="153">
        <v>9</v>
      </c>
      <c r="H57" s="154" t="s">
        <v>98</v>
      </c>
    </row>
    <row r="58" spans="1:8" ht="19.8" customHeight="1" x14ac:dyDescent="0.3">
      <c r="A58" s="149">
        <v>45986</v>
      </c>
      <c r="B58" s="150" t="s">
        <v>115</v>
      </c>
      <c r="C58" s="151" t="s">
        <v>116</v>
      </c>
      <c r="D58" s="150" t="s">
        <v>1</v>
      </c>
      <c r="E58" s="152">
        <v>1.489583333333333</v>
      </c>
      <c r="F58" s="150" t="s">
        <v>117</v>
      </c>
      <c r="G58" s="153">
        <v>9</v>
      </c>
      <c r="H58" s="154" t="s">
        <v>118</v>
      </c>
    </row>
    <row r="59" spans="1:8" ht="19.8" customHeight="1" x14ac:dyDescent="0.3">
      <c r="A59" s="149">
        <v>45986</v>
      </c>
      <c r="B59" s="150" t="s">
        <v>115</v>
      </c>
      <c r="C59" s="151" t="s">
        <v>119</v>
      </c>
      <c r="D59" s="150" t="s">
        <v>1</v>
      </c>
      <c r="E59" s="152">
        <v>1.041666666666667</v>
      </c>
      <c r="F59" s="150" t="s">
        <v>117</v>
      </c>
      <c r="G59" s="153">
        <v>7</v>
      </c>
      <c r="H59" s="154" t="s">
        <v>118</v>
      </c>
    </row>
    <row r="60" spans="1:8" ht="19.8" customHeight="1" x14ac:dyDescent="0.3">
      <c r="A60" s="149">
        <v>45986</v>
      </c>
      <c r="B60" s="150" t="s">
        <v>115</v>
      </c>
      <c r="C60" s="151" t="s">
        <v>121</v>
      </c>
      <c r="D60" s="150" t="s">
        <v>1</v>
      </c>
      <c r="E60" s="152">
        <v>1.8298611111111109</v>
      </c>
      <c r="F60" s="150" t="s">
        <v>122</v>
      </c>
      <c r="G60" s="153">
        <v>9</v>
      </c>
      <c r="H60" s="154" t="s">
        <v>123</v>
      </c>
    </row>
    <row r="61" spans="1:8" ht="19.8" customHeight="1" x14ac:dyDescent="0.3">
      <c r="A61" s="149">
        <v>45986</v>
      </c>
      <c r="B61" s="150" t="s">
        <v>115</v>
      </c>
      <c r="C61" s="151" t="s">
        <v>121</v>
      </c>
      <c r="D61" s="150" t="s">
        <v>1</v>
      </c>
      <c r="E61" s="152">
        <v>1.8298611111111109</v>
      </c>
      <c r="F61" s="150" t="s">
        <v>117</v>
      </c>
      <c r="G61" s="153">
        <v>9</v>
      </c>
      <c r="H61" s="154" t="s">
        <v>123</v>
      </c>
    </row>
    <row r="62" spans="1:8" ht="19.8" customHeight="1" x14ac:dyDescent="0.3">
      <c r="A62" s="149">
        <v>45986</v>
      </c>
      <c r="B62" s="150" t="s">
        <v>52</v>
      </c>
      <c r="C62" s="151" t="s">
        <v>62</v>
      </c>
      <c r="D62" s="150" t="s">
        <v>1</v>
      </c>
      <c r="E62" s="152">
        <v>1.489583333333333</v>
      </c>
      <c r="F62" s="150" t="s">
        <v>60</v>
      </c>
      <c r="G62" s="153">
        <v>4</v>
      </c>
      <c r="H62" s="154" t="s">
        <v>65</v>
      </c>
    </row>
    <row r="63" spans="1:8" ht="19.8" customHeight="1" x14ac:dyDescent="0.3">
      <c r="A63" s="149">
        <v>45986</v>
      </c>
      <c r="B63" s="150" t="s">
        <v>52</v>
      </c>
      <c r="C63" s="151" t="s">
        <v>66</v>
      </c>
      <c r="D63" s="150" t="s">
        <v>1</v>
      </c>
      <c r="E63" s="152">
        <v>1.8888888888888891</v>
      </c>
      <c r="F63" s="150" t="s">
        <v>60</v>
      </c>
      <c r="G63" s="153">
        <v>2</v>
      </c>
      <c r="H63" s="154" t="s">
        <v>65</v>
      </c>
    </row>
    <row r="64" spans="1:8" ht="19.8" customHeight="1" x14ac:dyDescent="0.3">
      <c r="A64" s="149">
        <v>45986</v>
      </c>
      <c r="B64" s="150" t="s">
        <v>140</v>
      </c>
      <c r="C64" s="151" t="s">
        <v>141</v>
      </c>
      <c r="D64" s="150" t="s">
        <v>1</v>
      </c>
      <c r="E64" s="152">
        <v>1.9722222222222221</v>
      </c>
      <c r="F64" s="150" t="s">
        <v>122</v>
      </c>
      <c r="G64" s="153">
        <v>9</v>
      </c>
      <c r="H64" s="154" t="s">
        <v>142</v>
      </c>
    </row>
    <row r="65" spans="1:8" ht="19.8" customHeight="1" x14ac:dyDescent="0.3">
      <c r="A65" s="149">
        <v>45986</v>
      </c>
      <c r="B65" s="150" t="s">
        <v>115</v>
      </c>
      <c r="C65" s="151" t="s">
        <v>125</v>
      </c>
      <c r="D65" s="150" t="s">
        <v>1</v>
      </c>
      <c r="E65" s="152">
        <v>1.989583333333333</v>
      </c>
      <c r="F65" s="150" t="s">
        <v>122</v>
      </c>
      <c r="G65" s="153">
        <v>4</v>
      </c>
      <c r="H65" s="154" t="s">
        <v>126</v>
      </c>
    </row>
    <row r="66" spans="1:8" ht="19.8" customHeight="1" x14ac:dyDescent="0.3">
      <c r="A66" s="149">
        <v>45986</v>
      </c>
      <c r="B66" s="150" t="s">
        <v>115</v>
      </c>
      <c r="C66" s="151" t="s">
        <v>125</v>
      </c>
      <c r="D66" s="150" t="s">
        <v>1</v>
      </c>
      <c r="E66" s="152">
        <v>1.989583333333333</v>
      </c>
      <c r="F66" s="150" t="s">
        <v>117</v>
      </c>
      <c r="G66" s="153">
        <v>4</v>
      </c>
      <c r="H66" s="154" t="s">
        <v>126</v>
      </c>
    </row>
    <row r="67" spans="1:8" ht="19.8" customHeight="1" x14ac:dyDescent="0.3">
      <c r="A67" s="149">
        <v>45986</v>
      </c>
      <c r="B67" s="150" t="s">
        <v>115</v>
      </c>
      <c r="C67" s="151" t="s">
        <v>127</v>
      </c>
      <c r="D67" s="150" t="s">
        <v>1</v>
      </c>
      <c r="E67" s="152">
        <v>1.399305555555556</v>
      </c>
      <c r="F67" s="150" t="s">
        <v>117</v>
      </c>
      <c r="G67" s="153">
        <v>4</v>
      </c>
      <c r="H67" s="154" t="s">
        <v>126</v>
      </c>
    </row>
    <row r="68" spans="1:8" ht="19.8" customHeight="1" x14ac:dyDescent="0.3">
      <c r="A68" s="149">
        <v>45986</v>
      </c>
      <c r="B68" s="150" t="s">
        <v>115</v>
      </c>
      <c r="C68" s="151" t="s">
        <v>128</v>
      </c>
      <c r="D68" s="150" t="s">
        <v>1</v>
      </c>
      <c r="E68" s="152">
        <v>1.489583333333333</v>
      </c>
      <c r="F68" s="150" t="s">
        <v>117</v>
      </c>
      <c r="G68" s="153">
        <v>4</v>
      </c>
      <c r="H68" s="154" t="s">
        <v>129</v>
      </c>
    </row>
    <row r="69" spans="1:8" ht="19.8" customHeight="1" x14ac:dyDescent="0.3">
      <c r="A69" s="149">
        <v>45986</v>
      </c>
      <c r="B69" s="150" t="s">
        <v>115</v>
      </c>
      <c r="C69" s="151" t="s">
        <v>130</v>
      </c>
      <c r="D69" s="150" t="s">
        <v>1</v>
      </c>
      <c r="E69" s="152">
        <v>1.8888888888888891</v>
      </c>
      <c r="F69" s="150" t="s">
        <v>122</v>
      </c>
      <c r="G69" s="153">
        <v>4</v>
      </c>
      <c r="H69" s="154" t="s">
        <v>129</v>
      </c>
    </row>
    <row r="70" spans="1:8" ht="19.8" customHeight="1" x14ac:dyDescent="0.3">
      <c r="A70" s="149">
        <v>45986</v>
      </c>
      <c r="B70" s="150" t="s">
        <v>115</v>
      </c>
      <c r="C70" s="151" t="s">
        <v>130</v>
      </c>
      <c r="D70" s="150" t="s">
        <v>1</v>
      </c>
      <c r="E70" s="152">
        <v>1.8888888888888891</v>
      </c>
      <c r="F70" s="150" t="s">
        <v>117</v>
      </c>
      <c r="G70" s="153">
        <v>4</v>
      </c>
      <c r="H70" s="154" t="s">
        <v>129</v>
      </c>
    </row>
    <row r="71" spans="1:8" ht="19.8" customHeight="1" x14ac:dyDescent="0.3">
      <c r="A71" s="149">
        <v>45986</v>
      </c>
      <c r="B71" s="150" t="s">
        <v>115</v>
      </c>
      <c r="C71" s="151" t="s">
        <v>131</v>
      </c>
      <c r="D71" s="150" t="s">
        <v>1</v>
      </c>
      <c r="E71" s="152">
        <v>1.118055555555556</v>
      </c>
      <c r="F71" s="150" t="s">
        <v>122</v>
      </c>
      <c r="G71" s="153">
        <v>2</v>
      </c>
      <c r="H71" s="154" t="s">
        <v>132</v>
      </c>
    </row>
    <row r="72" spans="1:8" ht="19.8" customHeight="1" x14ac:dyDescent="0.3">
      <c r="A72" s="149">
        <v>45986</v>
      </c>
      <c r="B72" s="150" t="s">
        <v>115</v>
      </c>
      <c r="C72" s="151" t="s">
        <v>131</v>
      </c>
      <c r="D72" s="150" t="s">
        <v>1</v>
      </c>
      <c r="E72" s="152">
        <v>1.118055555555556</v>
      </c>
      <c r="F72" s="150" t="s">
        <v>117</v>
      </c>
      <c r="G72" s="153">
        <v>2</v>
      </c>
      <c r="H72" s="154" t="s">
        <v>132</v>
      </c>
    </row>
    <row r="73" spans="1:8" ht="19.8" customHeight="1" x14ac:dyDescent="0.3">
      <c r="A73" s="149">
        <v>45986</v>
      </c>
      <c r="B73" s="150" t="s">
        <v>115</v>
      </c>
      <c r="C73" s="151" t="s">
        <v>133</v>
      </c>
      <c r="D73" s="150" t="s">
        <v>1</v>
      </c>
      <c r="E73" s="152">
        <v>1.2534722222222221</v>
      </c>
      <c r="F73" s="150" t="s">
        <v>122</v>
      </c>
      <c r="G73" s="153">
        <v>6</v>
      </c>
      <c r="H73" s="154" t="s">
        <v>132</v>
      </c>
    </row>
    <row r="74" spans="1:8" ht="19.8" customHeight="1" x14ac:dyDescent="0.3">
      <c r="A74" s="149">
        <v>45986</v>
      </c>
      <c r="B74" s="150" t="s">
        <v>115</v>
      </c>
      <c r="C74" s="151" t="s">
        <v>133</v>
      </c>
      <c r="D74" s="150" t="s">
        <v>1</v>
      </c>
      <c r="E74" s="152">
        <v>1.2534722222222221</v>
      </c>
      <c r="F74" s="150" t="s">
        <v>117</v>
      </c>
      <c r="G74" s="153">
        <v>6</v>
      </c>
      <c r="H74" s="154" t="s">
        <v>132</v>
      </c>
    </row>
    <row r="75" spans="1:8" ht="19.8" customHeight="1" x14ac:dyDescent="0.3">
      <c r="A75" s="149">
        <v>45986</v>
      </c>
      <c r="B75" s="150" t="s">
        <v>115</v>
      </c>
      <c r="C75" s="151" t="s">
        <v>135</v>
      </c>
      <c r="D75" s="150" t="s">
        <v>1</v>
      </c>
      <c r="E75" s="152">
        <v>1.9409722222222221</v>
      </c>
      <c r="F75" s="150" t="s">
        <v>122</v>
      </c>
      <c r="G75" s="153">
        <v>7</v>
      </c>
      <c r="H75" s="154" t="s">
        <v>132</v>
      </c>
    </row>
    <row r="76" spans="1:8" ht="19.8" customHeight="1" x14ac:dyDescent="0.3">
      <c r="A76" s="149">
        <v>45986</v>
      </c>
      <c r="B76" s="150" t="s">
        <v>115</v>
      </c>
      <c r="C76" s="151" t="s">
        <v>135</v>
      </c>
      <c r="D76" s="150" t="s">
        <v>1</v>
      </c>
      <c r="E76" s="152">
        <v>1.9409722222222221</v>
      </c>
      <c r="F76" s="150" t="s">
        <v>117</v>
      </c>
      <c r="G76" s="153">
        <v>7</v>
      </c>
      <c r="H76" s="154" t="s">
        <v>132</v>
      </c>
    </row>
    <row r="77" spans="1:8" ht="19.8" customHeight="1" x14ac:dyDescent="0.3">
      <c r="A77" s="149">
        <v>45986</v>
      </c>
      <c r="B77" s="150" t="s">
        <v>140</v>
      </c>
      <c r="C77" s="151" t="s">
        <v>143</v>
      </c>
      <c r="D77" s="150" t="s">
        <v>1</v>
      </c>
      <c r="E77" s="152">
        <v>1.836805555555556</v>
      </c>
      <c r="F77" s="150" t="s">
        <v>122</v>
      </c>
      <c r="G77" s="153">
        <v>9</v>
      </c>
      <c r="H77" s="154" t="s">
        <v>144</v>
      </c>
    </row>
    <row r="78" spans="1:8" ht="19.8" customHeight="1" x14ac:dyDescent="0.3">
      <c r="A78" s="149">
        <v>45986</v>
      </c>
      <c r="B78" s="150" t="s">
        <v>140</v>
      </c>
      <c r="C78" s="151" t="s">
        <v>145</v>
      </c>
      <c r="D78" s="150" t="s">
        <v>1</v>
      </c>
      <c r="E78" s="152">
        <v>1.7847222222222221</v>
      </c>
      <c r="F78" s="150" t="s">
        <v>122</v>
      </c>
      <c r="G78" s="153">
        <v>9</v>
      </c>
      <c r="H78" s="154" t="s">
        <v>144</v>
      </c>
    </row>
    <row r="79" spans="1:8" ht="19.8" customHeight="1" x14ac:dyDescent="0.3">
      <c r="A79" s="149">
        <v>45986</v>
      </c>
      <c r="B79" s="150" t="s">
        <v>140</v>
      </c>
      <c r="C79" s="151" t="s">
        <v>146</v>
      </c>
      <c r="D79" s="150" t="s">
        <v>1</v>
      </c>
      <c r="E79" s="152">
        <v>1.0486111111111109</v>
      </c>
      <c r="F79" s="150" t="s">
        <v>122</v>
      </c>
      <c r="G79" s="153">
        <v>1</v>
      </c>
      <c r="H79" s="154" t="s">
        <v>144</v>
      </c>
    </row>
    <row r="80" spans="1:8" ht="19.8" customHeight="1" x14ac:dyDescent="0.3">
      <c r="A80" s="149">
        <v>45986</v>
      </c>
      <c r="B80" s="150" t="s">
        <v>115</v>
      </c>
      <c r="C80" s="151" t="s">
        <v>137</v>
      </c>
      <c r="D80" s="150" t="s">
        <v>1</v>
      </c>
      <c r="E80" s="152">
        <v>1.7222222222222221</v>
      </c>
      <c r="F80" s="150" t="s">
        <v>117</v>
      </c>
      <c r="G80" s="153">
        <v>6</v>
      </c>
      <c r="H80" s="154" t="s">
        <v>138</v>
      </c>
    </row>
    <row r="81" spans="1:8" ht="19.8" customHeight="1" x14ac:dyDescent="0.3">
      <c r="A81" s="149">
        <v>45986</v>
      </c>
      <c r="B81" s="150" t="s">
        <v>115</v>
      </c>
      <c r="C81" s="151" t="s">
        <v>139</v>
      </c>
      <c r="D81" s="150" t="s">
        <v>1</v>
      </c>
      <c r="E81" s="152">
        <v>1.7013888888888891</v>
      </c>
      <c r="F81" s="150" t="s">
        <v>117</v>
      </c>
      <c r="G81" s="153">
        <v>1</v>
      </c>
      <c r="H81" s="154" t="s">
        <v>138</v>
      </c>
    </row>
    <row r="82" spans="1:8" ht="19.8" customHeight="1" x14ac:dyDescent="0.3">
      <c r="A82" s="155">
        <v>45986</v>
      </c>
      <c r="B82" s="145" t="s">
        <v>26</v>
      </c>
      <c r="C82" s="146" t="s">
        <v>43</v>
      </c>
      <c r="D82" s="145" t="s">
        <v>1</v>
      </c>
      <c r="E82" s="156">
        <v>1.381944444444444</v>
      </c>
      <c r="F82" s="145" t="s">
        <v>44</v>
      </c>
      <c r="G82" s="145"/>
      <c r="H82" s="148" t="s">
        <v>45</v>
      </c>
    </row>
    <row r="83" spans="1:8" ht="19.8" customHeight="1" x14ac:dyDescent="0.3">
      <c r="A83" s="155">
        <v>45986</v>
      </c>
      <c r="B83" s="145" t="s">
        <v>26</v>
      </c>
      <c r="C83" s="146" t="s">
        <v>48</v>
      </c>
      <c r="D83" s="145" t="s">
        <v>1</v>
      </c>
      <c r="E83" s="156">
        <v>1.552083333333333</v>
      </c>
      <c r="F83" s="145" t="s">
        <v>44</v>
      </c>
      <c r="G83" s="145"/>
      <c r="H83" s="148" t="s">
        <v>45</v>
      </c>
    </row>
    <row r="84" spans="1:8" ht="19.8" customHeight="1" x14ac:dyDescent="0.3">
      <c r="A84" s="157">
        <v>45986</v>
      </c>
      <c r="B84" s="158" t="s">
        <v>26</v>
      </c>
      <c r="C84" s="159" t="s">
        <v>50</v>
      </c>
      <c r="D84" s="158" t="s">
        <v>1</v>
      </c>
      <c r="E84" s="160">
        <v>1.756944444444444</v>
      </c>
      <c r="F84" s="158" t="s">
        <v>44</v>
      </c>
      <c r="G84" s="158"/>
      <c r="H84" s="161" t="s">
        <v>45</v>
      </c>
    </row>
    <row r="85" spans="1:8" ht="19.8" customHeight="1" x14ac:dyDescent="0.3">
      <c r="A85" s="155">
        <v>45987</v>
      </c>
      <c r="B85" s="145" t="s">
        <v>26</v>
      </c>
      <c r="C85" s="146" t="s">
        <v>40</v>
      </c>
      <c r="D85" s="145" t="s">
        <v>1</v>
      </c>
      <c r="E85" s="156">
        <v>1.3402777777777779</v>
      </c>
      <c r="F85" s="145" t="s">
        <v>28</v>
      </c>
      <c r="G85" s="147">
        <v>1</v>
      </c>
      <c r="H85" s="148" t="s">
        <v>36</v>
      </c>
    </row>
    <row r="86" spans="1:8" ht="19.8" customHeight="1" x14ac:dyDescent="0.3">
      <c r="A86" s="149">
        <v>45987</v>
      </c>
      <c r="B86" s="150" t="s">
        <v>52</v>
      </c>
      <c r="C86" s="151" t="s">
        <v>53</v>
      </c>
      <c r="D86" s="150" t="s">
        <v>1</v>
      </c>
      <c r="E86" s="152">
        <v>1.399305555555556</v>
      </c>
      <c r="F86" s="150" t="s">
        <v>56</v>
      </c>
      <c r="G86" s="153">
        <v>4</v>
      </c>
      <c r="H86" s="154" t="s">
        <v>36</v>
      </c>
    </row>
    <row r="87" spans="1:8" ht="19.8" customHeight="1" x14ac:dyDescent="0.3">
      <c r="A87" s="149">
        <v>45987</v>
      </c>
      <c r="B87" s="150" t="s">
        <v>52</v>
      </c>
      <c r="C87" s="151" t="s">
        <v>62</v>
      </c>
      <c r="D87" s="150" t="s">
        <v>1</v>
      </c>
      <c r="E87" s="152">
        <v>1.489583333333333</v>
      </c>
      <c r="F87" s="150" t="s">
        <v>56</v>
      </c>
      <c r="G87" s="153">
        <v>1</v>
      </c>
      <c r="H87" s="154" t="s">
        <v>36</v>
      </c>
    </row>
    <row r="88" spans="1:8" ht="19.8" customHeight="1" x14ac:dyDescent="0.3">
      <c r="A88" s="149">
        <v>45987</v>
      </c>
      <c r="B88" s="150" t="s">
        <v>52</v>
      </c>
      <c r="C88" s="151" t="s">
        <v>66</v>
      </c>
      <c r="D88" s="150" t="s">
        <v>1</v>
      </c>
      <c r="E88" s="152">
        <v>1.8888888888888891</v>
      </c>
      <c r="F88" s="150" t="s">
        <v>54</v>
      </c>
      <c r="G88" s="153">
        <v>4</v>
      </c>
      <c r="H88" s="154" t="s">
        <v>36</v>
      </c>
    </row>
    <row r="89" spans="1:8" ht="19.8" customHeight="1" x14ac:dyDescent="0.3">
      <c r="A89" s="149">
        <v>45987</v>
      </c>
      <c r="B89" s="150" t="s">
        <v>52</v>
      </c>
      <c r="C89" s="151" t="s">
        <v>66</v>
      </c>
      <c r="D89" s="150" t="s">
        <v>1</v>
      </c>
      <c r="E89" s="152">
        <v>1.8888888888888891</v>
      </c>
      <c r="F89" s="150" t="s">
        <v>56</v>
      </c>
      <c r="G89" s="153">
        <v>4</v>
      </c>
      <c r="H89" s="154" t="s">
        <v>36</v>
      </c>
    </row>
    <row r="90" spans="1:8" ht="19.8" customHeight="1" x14ac:dyDescent="0.3">
      <c r="A90" s="149">
        <v>45987</v>
      </c>
      <c r="B90" s="150" t="s">
        <v>52</v>
      </c>
      <c r="C90" s="151" t="s">
        <v>69</v>
      </c>
      <c r="D90" s="150" t="s">
        <v>1</v>
      </c>
      <c r="E90" s="152">
        <v>1.989583333333333</v>
      </c>
      <c r="F90" s="150" t="s">
        <v>54</v>
      </c>
      <c r="G90" s="153">
        <v>4</v>
      </c>
      <c r="H90" s="154" t="s">
        <v>36</v>
      </c>
    </row>
    <row r="91" spans="1:8" ht="19.8" customHeight="1" x14ac:dyDescent="0.3">
      <c r="A91" s="149">
        <v>45987</v>
      </c>
      <c r="B91" s="150" t="s">
        <v>52</v>
      </c>
      <c r="C91" s="151" t="s">
        <v>69</v>
      </c>
      <c r="D91" s="150" t="s">
        <v>1</v>
      </c>
      <c r="E91" s="152">
        <v>1.989583333333333</v>
      </c>
      <c r="F91" s="150" t="s">
        <v>56</v>
      </c>
      <c r="G91" s="153">
        <v>4</v>
      </c>
      <c r="H91" s="154" t="s">
        <v>36</v>
      </c>
    </row>
    <row r="92" spans="1:8" ht="19.8" customHeight="1" x14ac:dyDescent="0.3">
      <c r="A92" s="149">
        <v>45987</v>
      </c>
      <c r="B92" s="150" t="s">
        <v>72</v>
      </c>
      <c r="C92" s="151" t="s">
        <v>76</v>
      </c>
      <c r="D92" s="150" t="s">
        <v>1</v>
      </c>
      <c r="E92" s="152">
        <v>1.493055555555556</v>
      </c>
      <c r="F92" s="150" t="s">
        <v>28</v>
      </c>
      <c r="G92" s="153">
        <v>1</v>
      </c>
      <c r="H92" s="154" t="s">
        <v>75</v>
      </c>
    </row>
    <row r="93" spans="1:8" ht="19.8" customHeight="1" x14ac:dyDescent="0.3">
      <c r="A93" s="149">
        <v>45987</v>
      </c>
      <c r="B93" s="150" t="s">
        <v>72</v>
      </c>
      <c r="C93" s="151" t="s">
        <v>73</v>
      </c>
      <c r="D93" s="150" t="s">
        <v>1</v>
      </c>
      <c r="E93" s="152">
        <v>1.194444444444444</v>
      </c>
      <c r="F93" s="150" t="s">
        <v>28</v>
      </c>
      <c r="G93" s="153">
        <v>5</v>
      </c>
      <c r="H93" s="154" t="s">
        <v>75</v>
      </c>
    </row>
    <row r="94" spans="1:8" ht="19.8" customHeight="1" x14ac:dyDescent="0.3">
      <c r="A94" s="149">
        <v>45987</v>
      </c>
      <c r="B94" s="150" t="s">
        <v>79</v>
      </c>
      <c r="C94" s="151" t="s">
        <v>101</v>
      </c>
      <c r="D94" s="150" t="s">
        <v>1</v>
      </c>
      <c r="E94" s="152">
        <v>1.8888888888888891</v>
      </c>
      <c r="F94" s="150" t="s">
        <v>81</v>
      </c>
      <c r="G94" s="153">
        <v>1</v>
      </c>
      <c r="H94" s="154" t="s">
        <v>83</v>
      </c>
    </row>
    <row r="95" spans="1:8" ht="19.8" customHeight="1" x14ac:dyDescent="0.3">
      <c r="A95" s="149">
        <v>45987</v>
      </c>
      <c r="B95" s="150" t="s">
        <v>79</v>
      </c>
      <c r="C95" s="151" t="s">
        <v>101</v>
      </c>
      <c r="D95" s="150" t="s">
        <v>1</v>
      </c>
      <c r="E95" s="152">
        <v>1.8888888888888891</v>
      </c>
      <c r="F95" s="150" t="s">
        <v>84</v>
      </c>
      <c r="G95" s="153">
        <v>1</v>
      </c>
      <c r="H95" s="154" t="s">
        <v>83</v>
      </c>
    </row>
    <row r="96" spans="1:8" ht="19.8" customHeight="1" x14ac:dyDescent="0.3">
      <c r="A96" s="155">
        <v>45987</v>
      </c>
      <c r="B96" s="145" t="s">
        <v>26</v>
      </c>
      <c r="C96" s="146" t="s">
        <v>34</v>
      </c>
      <c r="D96" s="145" t="s">
        <v>1</v>
      </c>
      <c r="E96" s="156">
        <v>1.9375</v>
      </c>
      <c r="F96" s="145" t="s">
        <v>28</v>
      </c>
      <c r="G96" s="147">
        <v>5</v>
      </c>
      <c r="H96" s="148" t="s">
        <v>148</v>
      </c>
    </row>
    <row r="97" spans="1:8" ht="19.8" customHeight="1" x14ac:dyDescent="0.3">
      <c r="A97" s="149">
        <v>45987</v>
      </c>
      <c r="B97" s="150" t="s">
        <v>108</v>
      </c>
      <c r="C97" s="151" t="s">
        <v>155</v>
      </c>
      <c r="D97" s="150" t="s">
        <v>1</v>
      </c>
      <c r="E97" s="152">
        <v>1.225694444444444</v>
      </c>
      <c r="F97" s="150" t="s">
        <v>110</v>
      </c>
      <c r="G97" s="153">
        <v>9</v>
      </c>
      <c r="H97" s="154" t="s">
        <v>157</v>
      </c>
    </row>
    <row r="98" spans="1:8" ht="19.8" customHeight="1" x14ac:dyDescent="0.3">
      <c r="A98" s="149">
        <v>45987</v>
      </c>
      <c r="B98" s="150" t="s">
        <v>108</v>
      </c>
      <c r="C98" s="151" t="s">
        <v>155</v>
      </c>
      <c r="D98" s="150" t="s">
        <v>1</v>
      </c>
      <c r="E98" s="152">
        <v>1.225694444444444</v>
      </c>
      <c r="F98" s="150" t="s">
        <v>113</v>
      </c>
      <c r="G98" s="153">
        <v>9</v>
      </c>
      <c r="H98" s="154" t="s">
        <v>157</v>
      </c>
    </row>
    <row r="99" spans="1:8" ht="19.8" customHeight="1" x14ac:dyDescent="0.3">
      <c r="A99" s="149">
        <v>45987</v>
      </c>
      <c r="B99" s="150" t="s">
        <v>79</v>
      </c>
      <c r="C99" s="151" t="s">
        <v>97</v>
      </c>
      <c r="D99" s="150" t="s">
        <v>1</v>
      </c>
      <c r="E99" s="152">
        <v>1.3472222222222221</v>
      </c>
      <c r="F99" s="150" t="s">
        <v>81</v>
      </c>
      <c r="G99" s="153">
        <v>9</v>
      </c>
      <c r="H99" s="154" t="s">
        <v>59</v>
      </c>
    </row>
    <row r="100" spans="1:8" ht="19.8" customHeight="1" x14ac:dyDescent="0.3">
      <c r="A100" s="149">
        <v>45987</v>
      </c>
      <c r="B100" s="150" t="s">
        <v>79</v>
      </c>
      <c r="C100" s="151" t="s">
        <v>97</v>
      </c>
      <c r="D100" s="150" t="s">
        <v>1</v>
      </c>
      <c r="E100" s="152">
        <v>1.3472222222222221</v>
      </c>
      <c r="F100" s="150" t="s">
        <v>84</v>
      </c>
      <c r="G100" s="153">
        <v>9</v>
      </c>
      <c r="H100" s="154" t="s">
        <v>59</v>
      </c>
    </row>
    <row r="101" spans="1:8" ht="19.8" customHeight="1" x14ac:dyDescent="0.3">
      <c r="A101" s="149">
        <v>45987</v>
      </c>
      <c r="B101" s="150" t="s">
        <v>79</v>
      </c>
      <c r="C101" s="151" t="s">
        <v>80</v>
      </c>
      <c r="D101" s="150" t="s">
        <v>1</v>
      </c>
      <c r="E101" s="152">
        <v>1.993055555555556</v>
      </c>
      <c r="F101" s="150" t="s">
        <v>81</v>
      </c>
      <c r="G101" s="153">
        <v>4</v>
      </c>
      <c r="H101" s="154" t="s">
        <v>59</v>
      </c>
    </row>
    <row r="102" spans="1:8" ht="19.8" customHeight="1" x14ac:dyDescent="0.3">
      <c r="A102" s="149">
        <v>45987</v>
      </c>
      <c r="B102" s="150" t="s">
        <v>79</v>
      </c>
      <c r="C102" s="151" t="s">
        <v>80</v>
      </c>
      <c r="D102" s="150" t="s">
        <v>1</v>
      </c>
      <c r="E102" s="152">
        <v>1.993055555555556</v>
      </c>
      <c r="F102" s="150" t="s">
        <v>84</v>
      </c>
      <c r="G102" s="153">
        <v>4</v>
      </c>
      <c r="H102" s="154" t="s">
        <v>59</v>
      </c>
    </row>
    <row r="103" spans="1:8" ht="19.8" customHeight="1" x14ac:dyDescent="0.3">
      <c r="A103" s="149">
        <v>45987</v>
      </c>
      <c r="B103" s="150" t="s">
        <v>79</v>
      </c>
      <c r="C103" s="151" t="s">
        <v>99</v>
      </c>
      <c r="D103" s="150" t="s">
        <v>1</v>
      </c>
      <c r="E103" s="152">
        <v>1.7361111111111109</v>
      </c>
      <c r="F103" s="150" t="s">
        <v>81</v>
      </c>
      <c r="G103" s="153">
        <v>5</v>
      </c>
      <c r="H103" s="154" t="s">
        <v>59</v>
      </c>
    </row>
    <row r="104" spans="1:8" ht="19.8" customHeight="1" x14ac:dyDescent="0.3">
      <c r="A104" s="149">
        <v>45987</v>
      </c>
      <c r="B104" s="150" t="s">
        <v>79</v>
      </c>
      <c r="C104" s="151" t="s">
        <v>99</v>
      </c>
      <c r="D104" s="150" t="s">
        <v>1</v>
      </c>
      <c r="E104" s="152">
        <v>1.7361111111111109</v>
      </c>
      <c r="F104" s="150" t="s">
        <v>84</v>
      </c>
      <c r="G104" s="153">
        <v>5</v>
      </c>
      <c r="H104" s="154" t="s">
        <v>59</v>
      </c>
    </row>
    <row r="105" spans="1:8" ht="19.8" customHeight="1" x14ac:dyDescent="0.3">
      <c r="A105" s="149">
        <v>45987</v>
      </c>
      <c r="B105" s="150" t="s">
        <v>79</v>
      </c>
      <c r="C105" s="151" t="s">
        <v>100</v>
      </c>
      <c r="D105" s="150" t="s">
        <v>1</v>
      </c>
      <c r="E105" s="152">
        <v>1.836805555555556</v>
      </c>
      <c r="F105" s="150" t="s">
        <v>81</v>
      </c>
      <c r="G105" s="153">
        <v>9</v>
      </c>
      <c r="H105" s="154" t="s">
        <v>59</v>
      </c>
    </row>
    <row r="106" spans="1:8" ht="19.8" customHeight="1" x14ac:dyDescent="0.3">
      <c r="A106" s="149">
        <v>45987</v>
      </c>
      <c r="B106" s="150" t="s">
        <v>79</v>
      </c>
      <c r="C106" s="151" t="s">
        <v>100</v>
      </c>
      <c r="D106" s="150" t="s">
        <v>1</v>
      </c>
      <c r="E106" s="152">
        <v>1.836805555555556</v>
      </c>
      <c r="F106" s="150" t="s">
        <v>84</v>
      </c>
      <c r="G106" s="153">
        <v>9</v>
      </c>
      <c r="H106" s="154" t="s">
        <v>59</v>
      </c>
    </row>
    <row r="107" spans="1:8" ht="19.8" customHeight="1" x14ac:dyDescent="0.3">
      <c r="A107" s="149">
        <v>45987</v>
      </c>
      <c r="B107" s="150" t="s">
        <v>79</v>
      </c>
      <c r="C107" s="151" t="s">
        <v>90</v>
      </c>
      <c r="D107" s="150" t="s">
        <v>1</v>
      </c>
      <c r="E107" s="152">
        <v>1.944444444444444</v>
      </c>
      <c r="F107" s="150" t="s">
        <v>81</v>
      </c>
      <c r="G107" s="153">
        <v>6</v>
      </c>
      <c r="H107" s="154" t="s">
        <v>59</v>
      </c>
    </row>
    <row r="108" spans="1:8" ht="19.8" customHeight="1" x14ac:dyDescent="0.3">
      <c r="A108" s="149">
        <v>45987</v>
      </c>
      <c r="B108" s="150" t="s">
        <v>79</v>
      </c>
      <c r="C108" s="151" t="s">
        <v>90</v>
      </c>
      <c r="D108" s="150" t="s">
        <v>1</v>
      </c>
      <c r="E108" s="152">
        <v>1.944444444444444</v>
      </c>
      <c r="F108" s="150" t="s">
        <v>84</v>
      </c>
      <c r="G108" s="153">
        <v>6</v>
      </c>
      <c r="H108" s="154" t="s">
        <v>59</v>
      </c>
    </row>
    <row r="109" spans="1:8" ht="19.8" customHeight="1" x14ac:dyDescent="0.3">
      <c r="A109" s="149">
        <v>45987</v>
      </c>
      <c r="B109" s="150" t="s">
        <v>79</v>
      </c>
      <c r="C109" s="151" t="s">
        <v>93</v>
      </c>
      <c r="D109" s="150" t="s">
        <v>1</v>
      </c>
      <c r="E109" s="152">
        <v>1.4861111111111109</v>
      </c>
      <c r="F109" s="150" t="s">
        <v>81</v>
      </c>
      <c r="G109" s="153">
        <v>9</v>
      </c>
      <c r="H109" s="154" t="s">
        <v>59</v>
      </c>
    </row>
    <row r="110" spans="1:8" ht="19.8" customHeight="1" x14ac:dyDescent="0.3">
      <c r="A110" s="149">
        <v>45987</v>
      </c>
      <c r="B110" s="150" t="s">
        <v>79</v>
      </c>
      <c r="C110" s="151" t="s">
        <v>93</v>
      </c>
      <c r="D110" s="150" t="s">
        <v>1</v>
      </c>
      <c r="E110" s="152">
        <v>1.4861111111111109</v>
      </c>
      <c r="F110" s="150" t="s">
        <v>84</v>
      </c>
      <c r="G110" s="153">
        <v>9</v>
      </c>
      <c r="H110" s="154" t="s">
        <v>59</v>
      </c>
    </row>
    <row r="111" spans="1:8" ht="19.8" customHeight="1" x14ac:dyDescent="0.3">
      <c r="A111" s="149">
        <v>45987</v>
      </c>
      <c r="B111" s="150" t="s">
        <v>79</v>
      </c>
      <c r="C111" s="151" t="s">
        <v>94</v>
      </c>
      <c r="D111" s="150" t="s">
        <v>1</v>
      </c>
      <c r="E111" s="152">
        <v>1.3923611111111109</v>
      </c>
      <c r="F111" s="150" t="s">
        <v>81</v>
      </c>
      <c r="G111" s="153">
        <v>9</v>
      </c>
      <c r="H111" s="154" t="s">
        <v>59</v>
      </c>
    </row>
    <row r="112" spans="1:8" ht="19.8" customHeight="1" x14ac:dyDescent="0.3">
      <c r="A112" s="149">
        <v>45987</v>
      </c>
      <c r="B112" s="150" t="s">
        <v>79</v>
      </c>
      <c r="C112" s="151" t="s">
        <v>94</v>
      </c>
      <c r="D112" s="150" t="s">
        <v>1</v>
      </c>
      <c r="E112" s="152">
        <v>1.3923611111111109</v>
      </c>
      <c r="F112" s="150" t="s">
        <v>84</v>
      </c>
      <c r="G112" s="153">
        <v>9</v>
      </c>
      <c r="H112" s="154" t="s">
        <v>59</v>
      </c>
    </row>
    <row r="113" spans="1:8" ht="19.8" customHeight="1" x14ac:dyDescent="0.3">
      <c r="A113" s="149">
        <v>45987</v>
      </c>
      <c r="B113" s="150" t="s">
        <v>102</v>
      </c>
      <c r="C113" s="151" t="s">
        <v>106</v>
      </c>
      <c r="D113" s="150" t="s">
        <v>1</v>
      </c>
      <c r="E113" s="152">
        <v>1.461805555555556</v>
      </c>
      <c r="F113" s="150" t="s">
        <v>28</v>
      </c>
      <c r="G113" s="153">
        <v>5</v>
      </c>
      <c r="H113" s="154" t="s">
        <v>107</v>
      </c>
    </row>
    <row r="114" spans="1:8" ht="19.8" customHeight="1" x14ac:dyDescent="0.3">
      <c r="A114" s="149">
        <v>45987</v>
      </c>
      <c r="B114" s="150" t="s">
        <v>79</v>
      </c>
      <c r="C114" s="151" t="s">
        <v>101</v>
      </c>
      <c r="D114" s="150" t="s">
        <v>1</v>
      </c>
      <c r="E114" s="152">
        <v>1.8888888888888891</v>
      </c>
      <c r="F114" s="150" t="s">
        <v>86</v>
      </c>
      <c r="G114" s="153">
        <v>1</v>
      </c>
      <c r="H114" s="154" t="s">
        <v>87</v>
      </c>
    </row>
    <row r="115" spans="1:8" ht="19.8" customHeight="1" x14ac:dyDescent="0.3">
      <c r="A115" s="149">
        <v>45987</v>
      </c>
      <c r="B115" s="150" t="s">
        <v>52</v>
      </c>
      <c r="C115" s="151" t="s">
        <v>53</v>
      </c>
      <c r="D115" s="150" t="s">
        <v>1</v>
      </c>
      <c r="E115" s="152">
        <v>1.399305555555556</v>
      </c>
      <c r="F115" s="150" t="s">
        <v>58</v>
      </c>
      <c r="G115" s="153">
        <v>4</v>
      </c>
      <c r="H115" s="154" t="s">
        <v>61</v>
      </c>
    </row>
    <row r="116" spans="1:8" ht="19.8" customHeight="1" x14ac:dyDescent="0.3">
      <c r="A116" s="149">
        <v>45987</v>
      </c>
      <c r="B116" s="150" t="s">
        <v>52</v>
      </c>
      <c r="C116" s="151" t="s">
        <v>53</v>
      </c>
      <c r="D116" s="150" t="s">
        <v>1</v>
      </c>
      <c r="E116" s="152">
        <v>1.399305555555556</v>
      </c>
      <c r="F116" s="150" t="s">
        <v>60</v>
      </c>
      <c r="G116" s="153">
        <v>4</v>
      </c>
      <c r="H116" s="154" t="s">
        <v>61</v>
      </c>
    </row>
    <row r="117" spans="1:8" ht="19.8" customHeight="1" x14ac:dyDescent="0.3">
      <c r="A117" s="149">
        <v>45987</v>
      </c>
      <c r="B117" s="150" t="s">
        <v>52</v>
      </c>
      <c r="C117" s="151" t="s">
        <v>62</v>
      </c>
      <c r="D117" s="150" t="s">
        <v>1</v>
      </c>
      <c r="E117" s="152">
        <v>1.489583333333333</v>
      </c>
      <c r="F117" s="150" t="s">
        <v>58</v>
      </c>
      <c r="G117" s="153">
        <v>1</v>
      </c>
      <c r="H117" s="154" t="s">
        <v>61</v>
      </c>
    </row>
    <row r="118" spans="1:8" ht="19.8" customHeight="1" x14ac:dyDescent="0.3">
      <c r="A118" s="149">
        <v>45987</v>
      </c>
      <c r="B118" s="150" t="s">
        <v>52</v>
      </c>
      <c r="C118" s="151" t="s">
        <v>62</v>
      </c>
      <c r="D118" s="150" t="s">
        <v>1</v>
      </c>
      <c r="E118" s="152">
        <v>1.489583333333333</v>
      </c>
      <c r="F118" s="150" t="s">
        <v>60</v>
      </c>
      <c r="G118" s="153">
        <v>1</v>
      </c>
      <c r="H118" s="154" t="s">
        <v>61</v>
      </c>
    </row>
    <row r="119" spans="1:8" ht="19.8" customHeight="1" x14ac:dyDescent="0.3">
      <c r="A119" s="149">
        <v>45987</v>
      </c>
      <c r="B119" s="150" t="s">
        <v>52</v>
      </c>
      <c r="C119" s="151" t="s">
        <v>66</v>
      </c>
      <c r="D119" s="150" t="s">
        <v>1</v>
      </c>
      <c r="E119" s="152">
        <v>1.8888888888888891</v>
      </c>
      <c r="F119" s="150" t="s">
        <v>58</v>
      </c>
      <c r="G119" s="153">
        <v>4</v>
      </c>
      <c r="H119" s="154" t="s">
        <v>61</v>
      </c>
    </row>
    <row r="120" spans="1:8" ht="19.8" customHeight="1" x14ac:dyDescent="0.3">
      <c r="A120" s="149">
        <v>45987</v>
      </c>
      <c r="B120" s="150" t="s">
        <v>52</v>
      </c>
      <c r="C120" s="151" t="s">
        <v>66</v>
      </c>
      <c r="D120" s="150" t="s">
        <v>1</v>
      </c>
      <c r="E120" s="152">
        <v>1.8888888888888891</v>
      </c>
      <c r="F120" s="150" t="s">
        <v>60</v>
      </c>
      <c r="G120" s="153">
        <v>4</v>
      </c>
      <c r="H120" s="154" t="s">
        <v>61</v>
      </c>
    </row>
    <row r="121" spans="1:8" ht="19.8" customHeight="1" x14ac:dyDescent="0.3">
      <c r="A121" s="149">
        <v>45987</v>
      </c>
      <c r="B121" s="150" t="s">
        <v>52</v>
      </c>
      <c r="C121" s="151" t="s">
        <v>69</v>
      </c>
      <c r="D121" s="150" t="s">
        <v>1</v>
      </c>
      <c r="E121" s="152">
        <v>1.989583333333333</v>
      </c>
      <c r="F121" s="150" t="s">
        <v>58</v>
      </c>
      <c r="G121" s="153">
        <v>4</v>
      </c>
      <c r="H121" s="154" t="s">
        <v>61</v>
      </c>
    </row>
    <row r="122" spans="1:8" ht="19.8" customHeight="1" x14ac:dyDescent="0.3">
      <c r="A122" s="149">
        <v>45987</v>
      </c>
      <c r="B122" s="150" t="s">
        <v>52</v>
      </c>
      <c r="C122" s="151" t="s">
        <v>69</v>
      </c>
      <c r="D122" s="150" t="s">
        <v>1</v>
      </c>
      <c r="E122" s="152">
        <v>1.989583333333333</v>
      </c>
      <c r="F122" s="150" t="s">
        <v>60</v>
      </c>
      <c r="G122" s="153">
        <v>4</v>
      </c>
      <c r="H122" s="154" t="s">
        <v>61</v>
      </c>
    </row>
    <row r="123" spans="1:8" ht="19.8" customHeight="1" x14ac:dyDescent="0.3">
      <c r="A123" s="149">
        <v>45987</v>
      </c>
      <c r="B123" s="150" t="s">
        <v>79</v>
      </c>
      <c r="C123" s="151" t="s">
        <v>97</v>
      </c>
      <c r="D123" s="150" t="s">
        <v>1</v>
      </c>
      <c r="E123" s="152">
        <v>1.3472222222222221</v>
      </c>
      <c r="F123" s="150" t="s">
        <v>86</v>
      </c>
      <c r="G123" s="153">
        <v>9</v>
      </c>
      <c r="H123" s="154" t="s">
        <v>89</v>
      </c>
    </row>
    <row r="124" spans="1:8" ht="19.8" customHeight="1" x14ac:dyDescent="0.3">
      <c r="A124" s="149">
        <v>45987</v>
      </c>
      <c r="B124" s="150" t="s">
        <v>79</v>
      </c>
      <c r="C124" s="151" t="s">
        <v>80</v>
      </c>
      <c r="D124" s="150" t="s">
        <v>1</v>
      </c>
      <c r="E124" s="152">
        <v>1.993055555555556</v>
      </c>
      <c r="F124" s="150" t="s">
        <v>86</v>
      </c>
      <c r="G124" s="153">
        <v>4</v>
      </c>
      <c r="H124" s="154" t="s">
        <v>89</v>
      </c>
    </row>
    <row r="125" spans="1:8" ht="19.8" customHeight="1" x14ac:dyDescent="0.3">
      <c r="A125" s="149">
        <v>45987</v>
      </c>
      <c r="B125" s="150" t="s">
        <v>79</v>
      </c>
      <c r="C125" s="151" t="s">
        <v>99</v>
      </c>
      <c r="D125" s="150" t="s">
        <v>1</v>
      </c>
      <c r="E125" s="152">
        <v>1.7361111111111109</v>
      </c>
      <c r="F125" s="150" t="s">
        <v>86</v>
      </c>
      <c r="G125" s="153">
        <v>5</v>
      </c>
      <c r="H125" s="154" t="s">
        <v>89</v>
      </c>
    </row>
    <row r="126" spans="1:8" ht="19.8" customHeight="1" x14ac:dyDescent="0.3">
      <c r="A126" s="149">
        <v>45987</v>
      </c>
      <c r="B126" s="150" t="s">
        <v>79</v>
      </c>
      <c r="C126" s="151" t="s">
        <v>100</v>
      </c>
      <c r="D126" s="150" t="s">
        <v>1</v>
      </c>
      <c r="E126" s="152">
        <v>1.836805555555556</v>
      </c>
      <c r="F126" s="150" t="s">
        <v>86</v>
      </c>
      <c r="G126" s="153">
        <v>9</v>
      </c>
      <c r="H126" s="154" t="s">
        <v>89</v>
      </c>
    </row>
    <row r="127" spans="1:8" ht="19.8" customHeight="1" x14ac:dyDescent="0.3">
      <c r="A127" s="149">
        <v>45987</v>
      </c>
      <c r="B127" s="150" t="s">
        <v>79</v>
      </c>
      <c r="C127" s="151" t="s">
        <v>90</v>
      </c>
      <c r="D127" s="150" t="s">
        <v>1</v>
      </c>
      <c r="E127" s="152">
        <v>1.944444444444444</v>
      </c>
      <c r="F127" s="150" t="s">
        <v>86</v>
      </c>
      <c r="G127" s="153">
        <v>6</v>
      </c>
      <c r="H127" s="154" t="s">
        <v>89</v>
      </c>
    </row>
    <row r="128" spans="1:8" ht="19.8" customHeight="1" x14ac:dyDescent="0.3">
      <c r="A128" s="149">
        <v>45987</v>
      </c>
      <c r="B128" s="150" t="s">
        <v>79</v>
      </c>
      <c r="C128" s="151" t="s">
        <v>93</v>
      </c>
      <c r="D128" s="150" t="s">
        <v>1</v>
      </c>
      <c r="E128" s="152">
        <v>1.4861111111111109</v>
      </c>
      <c r="F128" s="150" t="s">
        <v>86</v>
      </c>
      <c r="G128" s="153">
        <v>9</v>
      </c>
      <c r="H128" s="154" t="s">
        <v>89</v>
      </c>
    </row>
    <row r="129" spans="1:8" ht="19.8" customHeight="1" x14ac:dyDescent="0.3">
      <c r="A129" s="149">
        <v>45987</v>
      </c>
      <c r="B129" s="150" t="s">
        <v>79</v>
      </c>
      <c r="C129" s="151" t="s">
        <v>94</v>
      </c>
      <c r="D129" s="150" t="s">
        <v>1</v>
      </c>
      <c r="E129" s="152">
        <v>1.3923611111111109</v>
      </c>
      <c r="F129" s="150" t="s">
        <v>86</v>
      </c>
      <c r="G129" s="153">
        <v>9</v>
      </c>
      <c r="H129" s="154" t="s">
        <v>89</v>
      </c>
    </row>
    <row r="130" spans="1:8" ht="19.8" customHeight="1" x14ac:dyDescent="0.3">
      <c r="A130" s="149">
        <v>45987</v>
      </c>
      <c r="B130" s="150" t="s">
        <v>79</v>
      </c>
      <c r="C130" s="151" t="s">
        <v>101</v>
      </c>
      <c r="D130" s="150" t="s">
        <v>1</v>
      </c>
      <c r="E130" s="152">
        <v>1.8888888888888891</v>
      </c>
      <c r="F130" s="150" t="s">
        <v>88</v>
      </c>
      <c r="G130" s="153">
        <v>1</v>
      </c>
      <c r="H130" s="154" t="s">
        <v>89</v>
      </c>
    </row>
    <row r="131" spans="1:8" ht="19.8" customHeight="1" x14ac:dyDescent="0.3">
      <c r="A131" s="149">
        <v>45987</v>
      </c>
      <c r="B131" s="150" t="s">
        <v>108</v>
      </c>
      <c r="C131" s="151" t="s">
        <v>155</v>
      </c>
      <c r="D131" s="150" t="s">
        <v>1</v>
      </c>
      <c r="E131" s="152">
        <v>1.225694444444444</v>
      </c>
      <c r="F131" s="150" t="s">
        <v>60</v>
      </c>
      <c r="G131" s="153">
        <v>9</v>
      </c>
      <c r="H131" s="154" t="s">
        <v>158</v>
      </c>
    </row>
    <row r="132" spans="1:8" ht="19.8" customHeight="1" x14ac:dyDescent="0.3">
      <c r="A132" s="149">
        <v>45987</v>
      </c>
      <c r="B132" s="150" t="s">
        <v>79</v>
      </c>
      <c r="C132" s="151" t="s">
        <v>97</v>
      </c>
      <c r="D132" s="150" t="s">
        <v>1</v>
      </c>
      <c r="E132" s="152">
        <v>1.3472222222222221</v>
      </c>
      <c r="F132" s="150" t="s">
        <v>88</v>
      </c>
      <c r="G132" s="153">
        <v>9</v>
      </c>
      <c r="H132" s="154" t="s">
        <v>98</v>
      </c>
    </row>
    <row r="133" spans="1:8" ht="19.8" customHeight="1" x14ac:dyDescent="0.3">
      <c r="A133" s="149">
        <v>45987</v>
      </c>
      <c r="B133" s="150" t="s">
        <v>79</v>
      </c>
      <c r="C133" s="151" t="s">
        <v>80</v>
      </c>
      <c r="D133" s="150" t="s">
        <v>1</v>
      </c>
      <c r="E133" s="152">
        <v>1.993055555555556</v>
      </c>
      <c r="F133" s="150" t="s">
        <v>88</v>
      </c>
      <c r="G133" s="153">
        <v>4</v>
      </c>
      <c r="H133" s="154" t="s">
        <v>98</v>
      </c>
    </row>
    <row r="134" spans="1:8" ht="19.8" customHeight="1" x14ac:dyDescent="0.3">
      <c r="A134" s="149">
        <v>45987</v>
      </c>
      <c r="B134" s="150" t="s">
        <v>79</v>
      </c>
      <c r="C134" s="151" t="s">
        <v>99</v>
      </c>
      <c r="D134" s="150" t="s">
        <v>1</v>
      </c>
      <c r="E134" s="152">
        <v>1.7361111111111109</v>
      </c>
      <c r="F134" s="150" t="s">
        <v>88</v>
      </c>
      <c r="G134" s="153">
        <v>5</v>
      </c>
      <c r="H134" s="154" t="s">
        <v>98</v>
      </c>
    </row>
    <row r="135" spans="1:8" ht="19.8" customHeight="1" x14ac:dyDescent="0.3">
      <c r="A135" s="149">
        <v>45987</v>
      </c>
      <c r="B135" s="150" t="s">
        <v>79</v>
      </c>
      <c r="C135" s="151" t="s">
        <v>100</v>
      </c>
      <c r="D135" s="150" t="s">
        <v>1</v>
      </c>
      <c r="E135" s="152">
        <v>1.836805555555556</v>
      </c>
      <c r="F135" s="150" t="s">
        <v>88</v>
      </c>
      <c r="G135" s="153">
        <v>9</v>
      </c>
      <c r="H135" s="154" t="s">
        <v>98</v>
      </c>
    </row>
    <row r="136" spans="1:8" ht="19.8" customHeight="1" x14ac:dyDescent="0.3">
      <c r="A136" s="149">
        <v>45987</v>
      </c>
      <c r="B136" s="150" t="s">
        <v>79</v>
      </c>
      <c r="C136" s="151" t="s">
        <v>90</v>
      </c>
      <c r="D136" s="150" t="s">
        <v>1</v>
      </c>
      <c r="E136" s="152">
        <v>1.944444444444444</v>
      </c>
      <c r="F136" s="150" t="s">
        <v>88</v>
      </c>
      <c r="G136" s="153">
        <v>6</v>
      </c>
      <c r="H136" s="154" t="s">
        <v>98</v>
      </c>
    </row>
    <row r="137" spans="1:8" ht="19.8" customHeight="1" x14ac:dyDescent="0.3">
      <c r="A137" s="149">
        <v>45987</v>
      </c>
      <c r="B137" s="150" t="s">
        <v>79</v>
      </c>
      <c r="C137" s="151" t="s">
        <v>93</v>
      </c>
      <c r="D137" s="150" t="s">
        <v>1</v>
      </c>
      <c r="E137" s="152">
        <v>1.4861111111111109</v>
      </c>
      <c r="F137" s="150" t="s">
        <v>88</v>
      </c>
      <c r="G137" s="153">
        <v>9</v>
      </c>
      <c r="H137" s="154" t="s">
        <v>98</v>
      </c>
    </row>
    <row r="138" spans="1:8" ht="19.8" customHeight="1" x14ac:dyDescent="0.3">
      <c r="A138" s="149">
        <v>45987</v>
      </c>
      <c r="B138" s="150" t="s">
        <v>79</v>
      </c>
      <c r="C138" s="151" t="s">
        <v>94</v>
      </c>
      <c r="D138" s="150" t="s">
        <v>1</v>
      </c>
      <c r="E138" s="152">
        <v>1.3923611111111109</v>
      </c>
      <c r="F138" s="150" t="s">
        <v>88</v>
      </c>
      <c r="G138" s="153">
        <v>9</v>
      </c>
      <c r="H138" s="154" t="s">
        <v>98</v>
      </c>
    </row>
    <row r="139" spans="1:8" ht="19.8" customHeight="1" x14ac:dyDescent="0.3">
      <c r="A139" s="149">
        <v>45987</v>
      </c>
      <c r="B139" s="150" t="s">
        <v>115</v>
      </c>
      <c r="C139" s="151" t="s">
        <v>121</v>
      </c>
      <c r="D139" s="150" t="s">
        <v>1</v>
      </c>
      <c r="E139" s="152">
        <v>1.8298611111111109</v>
      </c>
      <c r="F139" s="150" t="s">
        <v>122</v>
      </c>
      <c r="G139" s="153">
        <v>9</v>
      </c>
      <c r="H139" s="154" t="s">
        <v>159</v>
      </c>
    </row>
    <row r="140" spans="1:8" ht="19.8" customHeight="1" x14ac:dyDescent="0.3">
      <c r="A140" s="149">
        <v>45987</v>
      </c>
      <c r="B140" s="150" t="s">
        <v>115</v>
      </c>
      <c r="C140" s="151" t="s">
        <v>121</v>
      </c>
      <c r="D140" s="150" t="s">
        <v>1</v>
      </c>
      <c r="E140" s="152">
        <v>1.8298611111111109</v>
      </c>
      <c r="F140" s="150" t="s">
        <v>117</v>
      </c>
      <c r="G140" s="153">
        <v>9</v>
      </c>
      <c r="H140" s="154" t="s">
        <v>159</v>
      </c>
    </row>
    <row r="141" spans="1:8" ht="19.8" customHeight="1" x14ac:dyDescent="0.3">
      <c r="A141" s="149">
        <v>45987</v>
      </c>
      <c r="B141" s="150" t="s">
        <v>115</v>
      </c>
      <c r="C141" s="151" t="s">
        <v>137</v>
      </c>
      <c r="D141" s="150" t="s">
        <v>1</v>
      </c>
      <c r="E141" s="152">
        <v>1.7222222222222221</v>
      </c>
      <c r="F141" s="150" t="s">
        <v>122</v>
      </c>
      <c r="G141" s="153">
        <v>9</v>
      </c>
      <c r="H141" s="154" t="s">
        <v>159</v>
      </c>
    </row>
    <row r="142" spans="1:8" ht="19.8" customHeight="1" x14ac:dyDescent="0.3">
      <c r="A142" s="149">
        <v>45987</v>
      </c>
      <c r="B142" s="150" t="s">
        <v>115</v>
      </c>
      <c r="C142" s="151" t="s">
        <v>137</v>
      </c>
      <c r="D142" s="150" t="s">
        <v>1</v>
      </c>
      <c r="E142" s="152">
        <v>1.7222222222222221</v>
      </c>
      <c r="F142" s="150" t="s">
        <v>117</v>
      </c>
      <c r="G142" s="153">
        <v>9</v>
      </c>
      <c r="H142" s="154" t="s">
        <v>159</v>
      </c>
    </row>
    <row r="143" spans="1:8" ht="19.8" customHeight="1" x14ac:dyDescent="0.3">
      <c r="A143" s="149">
        <v>45987</v>
      </c>
      <c r="B143" s="150" t="s">
        <v>115</v>
      </c>
      <c r="C143" s="151" t="s">
        <v>131</v>
      </c>
      <c r="D143" s="150" t="s">
        <v>1</v>
      </c>
      <c r="E143" s="152">
        <v>1.118055555555556</v>
      </c>
      <c r="F143" s="150" t="s">
        <v>122</v>
      </c>
      <c r="G143" s="153">
        <v>9</v>
      </c>
      <c r="H143" s="154" t="s">
        <v>123</v>
      </c>
    </row>
    <row r="144" spans="1:8" ht="19.8" customHeight="1" x14ac:dyDescent="0.3">
      <c r="A144" s="149">
        <v>45987</v>
      </c>
      <c r="B144" s="150" t="s">
        <v>115</v>
      </c>
      <c r="C144" s="151" t="s">
        <v>131</v>
      </c>
      <c r="D144" s="150" t="s">
        <v>1</v>
      </c>
      <c r="E144" s="152">
        <v>1.118055555555556</v>
      </c>
      <c r="F144" s="150" t="s">
        <v>117</v>
      </c>
      <c r="G144" s="153">
        <v>9</v>
      </c>
      <c r="H144" s="154" t="s">
        <v>123</v>
      </c>
    </row>
    <row r="145" spans="1:8" ht="19.8" customHeight="1" x14ac:dyDescent="0.3">
      <c r="A145" s="149">
        <v>45987</v>
      </c>
      <c r="B145" s="150" t="s">
        <v>115</v>
      </c>
      <c r="C145" s="151" t="s">
        <v>139</v>
      </c>
      <c r="D145" s="150" t="s">
        <v>1</v>
      </c>
      <c r="E145" s="152">
        <v>1.7013888888888891</v>
      </c>
      <c r="F145" s="150" t="s">
        <v>117</v>
      </c>
      <c r="G145" s="153">
        <v>9</v>
      </c>
      <c r="H145" s="154" t="s">
        <v>123</v>
      </c>
    </row>
    <row r="146" spans="1:8" ht="19.8" customHeight="1" x14ac:dyDescent="0.3">
      <c r="A146" s="149">
        <v>45987</v>
      </c>
      <c r="B146" s="150" t="s">
        <v>115</v>
      </c>
      <c r="C146" s="151" t="s">
        <v>135</v>
      </c>
      <c r="D146" s="150" t="s">
        <v>1</v>
      </c>
      <c r="E146" s="152">
        <v>1.9409722222222221</v>
      </c>
      <c r="F146" s="150" t="s">
        <v>117</v>
      </c>
      <c r="G146" s="153">
        <v>9</v>
      </c>
      <c r="H146" s="154" t="s">
        <v>123</v>
      </c>
    </row>
    <row r="147" spans="1:8" ht="19.8" customHeight="1" x14ac:dyDescent="0.3">
      <c r="A147" s="149">
        <v>45987</v>
      </c>
      <c r="B147" s="150" t="s">
        <v>115</v>
      </c>
      <c r="C147" s="151" t="s">
        <v>125</v>
      </c>
      <c r="D147" s="150" t="s">
        <v>1</v>
      </c>
      <c r="E147" s="152">
        <v>1.989583333333333</v>
      </c>
      <c r="F147" s="150" t="s">
        <v>122</v>
      </c>
      <c r="G147" s="153">
        <v>4</v>
      </c>
      <c r="H147" s="154" t="s">
        <v>126</v>
      </c>
    </row>
    <row r="148" spans="1:8" ht="19.8" customHeight="1" x14ac:dyDescent="0.3">
      <c r="A148" s="149">
        <v>45987</v>
      </c>
      <c r="B148" s="150" t="s">
        <v>115</v>
      </c>
      <c r="C148" s="151" t="s">
        <v>125</v>
      </c>
      <c r="D148" s="150" t="s">
        <v>1</v>
      </c>
      <c r="E148" s="152">
        <v>1.989583333333333</v>
      </c>
      <c r="F148" s="150" t="s">
        <v>117</v>
      </c>
      <c r="G148" s="153">
        <v>4</v>
      </c>
      <c r="H148" s="154" t="s">
        <v>126</v>
      </c>
    </row>
    <row r="149" spans="1:8" ht="19.8" customHeight="1" x14ac:dyDescent="0.3">
      <c r="A149" s="149">
        <v>45987</v>
      </c>
      <c r="B149" s="150" t="s">
        <v>115</v>
      </c>
      <c r="C149" s="151" t="s">
        <v>127</v>
      </c>
      <c r="D149" s="150" t="s">
        <v>1</v>
      </c>
      <c r="E149" s="152">
        <v>1.399305555555556</v>
      </c>
      <c r="F149" s="150" t="s">
        <v>117</v>
      </c>
      <c r="G149" s="153">
        <v>4</v>
      </c>
      <c r="H149" s="154" t="s">
        <v>126</v>
      </c>
    </row>
    <row r="150" spans="1:8" ht="19.8" customHeight="1" x14ac:dyDescent="0.3">
      <c r="A150" s="149">
        <v>45987</v>
      </c>
      <c r="B150" s="150" t="s">
        <v>115</v>
      </c>
      <c r="C150" s="151" t="s">
        <v>128</v>
      </c>
      <c r="D150" s="150" t="s">
        <v>1</v>
      </c>
      <c r="E150" s="152">
        <v>1.489583333333333</v>
      </c>
      <c r="F150" s="150" t="s">
        <v>117</v>
      </c>
      <c r="G150" s="153">
        <v>4</v>
      </c>
      <c r="H150" s="154" t="s">
        <v>126</v>
      </c>
    </row>
    <row r="151" spans="1:8" ht="19.8" customHeight="1" x14ac:dyDescent="0.3">
      <c r="A151" s="149">
        <v>45987</v>
      </c>
      <c r="B151" s="150" t="s">
        <v>115</v>
      </c>
      <c r="C151" s="151" t="s">
        <v>130</v>
      </c>
      <c r="D151" s="150" t="s">
        <v>1</v>
      </c>
      <c r="E151" s="152">
        <v>1.8888888888888891</v>
      </c>
      <c r="F151" s="150" t="s">
        <v>122</v>
      </c>
      <c r="G151" s="153">
        <v>4</v>
      </c>
      <c r="H151" s="154" t="s">
        <v>126</v>
      </c>
    </row>
    <row r="152" spans="1:8" ht="19.8" customHeight="1" x14ac:dyDescent="0.3">
      <c r="A152" s="149">
        <v>45987</v>
      </c>
      <c r="B152" s="150" t="s">
        <v>115</v>
      </c>
      <c r="C152" s="151" t="s">
        <v>130</v>
      </c>
      <c r="D152" s="150" t="s">
        <v>1</v>
      </c>
      <c r="E152" s="152">
        <v>1.8888888888888891</v>
      </c>
      <c r="F152" s="150" t="s">
        <v>117</v>
      </c>
      <c r="G152" s="153">
        <v>4</v>
      </c>
      <c r="H152" s="154" t="s">
        <v>126</v>
      </c>
    </row>
    <row r="153" spans="1:8" ht="19.8" customHeight="1" x14ac:dyDescent="0.3">
      <c r="A153" s="149">
        <v>45987</v>
      </c>
      <c r="B153" s="150" t="s">
        <v>115</v>
      </c>
      <c r="C153" s="151" t="s">
        <v>116</v>
      </c>
      <c r="D153" s="150" t="s">
        <v>1</v>
      </c>
      <c r="E153" s="152">
        <v>1.489583333333333</v>
      </c>
      <c r="F153" s="150" t="s">
        <v>122</v>
      </c>
      <c r="G153" s="153">
        <v>9</v>
      </c>
      <c r="H153" s="154" t="s">
        <v>132</v>
      </c>
    </row>
    <row r="154" spans="1:8" ht="19.8" customHeight="1" x14ac:dyDescent="0.3">
      <c r="A154" s="149">
        <v>45987</v>
      </c>
      <c r="B154" s="150" t="s">
        <v>115</v>
      </c>
      <c r="C154" s="151" t="s">
        <v>116</v>
      </c>
      <c r="D154" s="150" t="s">
        <v>1</v>
      </c>
      <c r="E154" s="152">
        <v>1.489583333333333</v>
      </c>
      <c r="F154" s="150" t="s">
        <v>117</v>
      </c>
      <c r="G154" s="153">
        <v>9</v>
      </c>
      <c r="H154" s="154" t="s">
        <v>132</v>
      </c>
    </row>
    <row r="155" spans="1:8" ht="19.8" customHeight="1" x14ac:dyDescent="0.3">
      <c r="A155" s="149">
        <v>45987</v>
      </c>
      <c r="B155" s="150" t="s">
        <v>115</v>
      </c>
      <c r="C155" s="151" t="s">
        <v>133</v>
      </c>
      <c r="D155" s="150" t="s">
        <v>1</v>
      </c>
      <c r="E155" s="152">
        <v>1.2534722222222221</v>
      </c>
      <c r="F155" s="150" t="s">
        <v>122</v>
      </c>
      <c r="G155" s="153">
        <v>9</v>
      </c>
      <c r="H155" s="154" t="s">
        <v>132</v>
      </c>
    </row>
    <row r="156" spans="1:8" ht="19.8" customHeight="1" x14ac:dyDescent="0.3">
      <c r="A156" s="149">
        <v>45987</v>
      </c>
      <c r="B156" s="150" t="s">
        <v>115</v>
      </c>
      <c r="C156" s="151" t="s">
        <v>133</v>
      </c>
      <c r="D156" s="150" t="s">
        <v>1</v>
      </c>
      <c r="E156" s="152">
        <v>1.2534722222222221</v>
      </c>
      <c r="F156" s="150" t="s">
        <v>117</v>
      </c>
      <c r="G156" s="153">
        <v>9</v>
      </c>
      <c r="H156" s="154" t="s">
        <v>132</v>
      </c>
    </row>
    <row r="157" spans="1:8" ht="19.8" customHeight="1" x14ac:dyDescent="0.3">
      <c r="A157" s="149">
        <v>45987</v>
      </c>
      <c r="B157" s="150" t="s">
        <v>115</v>
      </c>
      <c r="C157" s="151" t="s">
        <v>119</v>
      </c>
      <c r="D157" s="150" t="s">
        <v>1</v>
      </c>
      <c r="E157" s="152">
        <v>1.041666666666667</v>
      </c>
      <c r="F157" s="150" t="s">
        <v>122</v>
      </c>
      <c r="G157" s="153">
        <v>9</v>
      </c>
      <c r="H157" s="154" t="s">
        <v>132</v>
      </c>
    </row>
    <row r="158" spans="1:8" ht="19.8" customHeight="1" x14ac:dyDescent="0.3">
      <c r="A158" s="149">
        <v>45987</v>
      </c>
      <c r="B158" s="150" t="s">
        <v>115</v>
      </c>
      <c r="C158" s="151" t="s">
        <v>119</v>
      </c>
      <c r="D158" s="150" t="s">
        <v>1</v>
      </c>
      <c r="E158" s="152">
        <v>1.041666666666667</v>
      </c>
      <c r="F158" s="150" t="s">
        <v>117</v>
      </c>
      <c r="G158" s="153">
        <v>9</v>
      </c>
      <c r="H158" s="154" t="s">
        <v>132</v>
      </c>
    </row>
    <row r="159" spans="1:8" ht="19.8" customHeight="1" x14ac:dyDescent="0.3">
      <c r="A159" s="149">
        <v>45987</v>
      </c>
      <c r="B159" s="150" t="s">
        <v>140</v>
      </c>
      <c r="C159" s="151" t="s">
        <v>141</v>
      </c>
      <c r="D159" s="150" t="s">
        <v>1</v>
      </c>
      <c r="E159" s="152">
        <v>1.9722222222222221</v>
      </c>
      <c r="F159" s="150" t="s">
        <v>122</v>
      </c>
      <c r="G159" s="153">
        <v>9</v>
      </c>
      <c r="H159" s="154" t="s">
        <v>144</v>
      </c>
    </row>
    <row r="160" spans="1:8" ht="19.8" customHeight="1" x14ac:dyDescent="0.3">
      <c r="A160" s="149">
        <v>45987</v>
      </c>
      <c r="B160" s="150" t="s">
        <v>140</v>
      </c>
      <c r="C160" s="151" t="s">
        <v>145</v>
      </c>
      <c r="D160" s="150" t="s">
        <v>1</v>
      </c>
      <c r="E160" s="152">
        <v>1.7847222222222221</v>
      </c>
      <c r="F160" s="150" t="s">
        <v>122</v>
      </c>
      <c r="G160" s="153">
        <v>3</v>
      </c>
      <c r="H160" s="154" t="s">
        <v>144</v>
      </c>
    </row>
    <row r="161" spans="1:8" ht="19.8" customHeight="1" x14ac:dyDescent="0.3">
      <c r="A161" s="149">
        <v>45987</v>
      </c>
      <c r="B161" s="150" t="s">
        <v>140</v>
      </c>
      <c r="C161" s="151" t="s">
        <v>146</v>
      </c>
      <c r="D161" s="150" t="s">
        <v>1</v>
      </c>
      <c r="E161" s="152">
        <v>1.0486111111111109</v>
      </c>
      <c r="F161" s="150" t="s">
        <v>122</v>
      </c>
      <c r="G161" s="153">
        <v>9</v>
      </c>
      <c r="H161" s="154" t="s">
        <v>144</v>
      </c>
    </row>
    <row r="162" spans="1:8" ht="19.8" customHeight="1" x14ac:dyDescent="0.3">
      <c r="A162" s="155">
        <v>45987</v>
      </c>
      <c r="B162" s="145" t="s">
        <v>26</v>
      </c>
      <c r="C162" s="146" t="s">
        <v>50</v>
      </c>
      <c r="D162" s="145" t="s">
        <v>1</v>
      </c>
      <c r="E162" s="156">
        <v>1.2326388888888891</v>
      </c>
      <c r="F162" s="145" t="s">
        <v>44</v>
      </c>
      <c r="G162" s="145"/>
      <c r="H162" s="148" t="s">
        <v>45</v>
      </c>
    </row>
    <row r="163" spans="1:8" ht="19.8" customHeight="1" x14ac:dyDescent="0.3">
      <c r="A163" s="155">
        <v>45987</v>
      </c>
      <c r="B163" s="145" t="s">
        <v>26</v>
      </c>
      <c r="C163" s="146" t="s">
        <v>48</v>
      </c>
      <c r="D163" s="145" t="s">
        <v>1</v>
      </c>
      <c r="E163" s="156">
        <v>1.34375</v>
      </c>
      <c r="F163" s="145" t="s">
        <v>44</v>
      </c>
      <c r="G163" s="145"/>
      <c r="H163" s="148" t="s">
        <v>45</v>
      </c>
    </row>
    <row r="164" spans="1:8" ht="19.8" customHeight="1" x14ac:dyDescent="0.3">
      <c r="A164" s="157">
        <v>45987</v>
      </c>
      <c r="B164" s="158" t="s">
        <v>26</v>
      </c>
      <c r="C164" s="159" t="s">
        <v>31</v>
      </c>
      <c r="D164" s="158" t="s">
        <v>1</v>
      </c>
      <c r="E164" s="160">
        <v>1.4375</v>
      </c>
      <c r="F164" s="158" t="s">
        <v>44</v>
      </c>
      <c r="G164" s="158"/>
      <c r="H164" s="161" t="s">
        <v>45</v>
      </c>
    </row>
    <row r="165" spans="1:8" ht="19.8" customHeight="1" x14ac:dyDescent="0.3">
      <c r="A165" s="155">
        <v>45988</v>
      </c>
      <c r="B165" s="145" t="s">
        <v>26</v>
      </c>
      <c r="C165" s="146" t="s">
        <v>161</v>
      </c>
      <c r="D165" s="145" t="s">
        <v>1</v>
      </c>
      <c r="E165" s="156">
        <v>1.0659722222222221</v>
      </c>
      <c r="F165" s="145" t="s">
        <v>28</v>
      </c>
      <c r="G165" s="147">
        <v>2</v>
      </c>
      <c r="H165" s="148" t="s">
        <v>36</v>
      </c>
    </row>
    <row r="166" spans="1:8" ht="19.8" customHeight="1" x14ac:dyDescent="0.3">
      <c r="A166" s="149">
        <v>45988</v>
      </c>
      <c r="B166" s="150" t="s">
        <v>52</v>
      </c>
      <c r="C166" s="151" t="s">
        <v>53</v>
      </c>
      <c r="D166" s="150" t="s">
        <v>1</v>
      </c>
      <c r="E166" s="152">
        <v>1.399305555555556</v>
      </c>
      <c r="F166" s="150" t="s">
        <v>56</v>
      </c>
      <c r="G166" s="153">
        <v>5</v>
      </c>
      <c r="H166" s="154" t="s">
        <v>177</v>
      </c>
    </row>
    <row r="167" spans="1:8" ht="19.8" customHeight="1" x14ac:dyDescent="0.3">
      <c r="A167" s="149">
        <v>45988</v>
      </c>
      <c r="B167" s="150" t="s">
        <v>52</v>
      </c>
      <c r="C167" s="151" t="s">
        <v>62</v>
      </c>
      <c r="D167" s="150" t="s">
        <v>1</v>
      </c>
      <c r="E167" s="152">
        <v>1.489583333333333</v>
      </c>
      <c r="F167" s="150" t="s">
        <v>56</v>
      </c>
      <c r="G167" s="153">
        <v>10</v>
      </c>
      <c r="H167" s="154" t="s">
        <v>177</v>
      </c>
    </row>
    <row r="168" spans="1:8" ht="19.8" customHeight="1" x14ac:dyDescent="0.3">
      <c r="A168" s="149">
        <v>45988</v>
      </c>
      <c r="B168" s="150" t="s">
        <v>52</v>
      </c>
      <c r="C168" s="151" t="s">
        <v>69</v>
      </c>
      <c r="D168" s="150" t="s">
        <v>1</v>
      </c>
      <c r="E168" s="152">
        <v>1.989583333333333</v>
      </c>
      <c r="F168" s="150" t="s">
        <v>56</v>
      </c>
      <c r="G168" s="153">
        <v>9</v>
      </c>
      <c r="H168" s="154" t="s">
        <v>177</v>
      </c>
    </row>
    <row r="169" spans="1:8" ht="19.8" customHeight="1" x14ac:dyDescent="0.3">
      <c r="A169" s="155">
        <v>45988</v>
      </c>
      <c r="B169" s="145" t="s">
        <v>26</v>
      </c>
      <c r="C169" s="146" t="s">
        <v>166</v>
      </c>
      <c r="D169" s="145" t="s">
        <v>1</v>
      </c>
      <c r="E169" s="156">
        <v>1.1875</v>
      </c>
      <c r="F169" s="145" t="s">
        <v>28</v>
      </c>
      <c r="G169" s="147">
        <v>9</v>
      </c>
      <c r="H169" s="148" t="s">
        <v>148</v>
      </c>
    </row>
    <row r="170" spans="1:8" ht="19.8" customHeight="1" x14ac:dyDescent="0.3">
      <c r="A170" s="149">
        <v>45988</v>
      </c>
      <c r="B170" s="150" t="s">
        <v>72</v>
      </c>
      <c r="C170" s="151" t="s">
        <v>76</v>
      </c>
      <c r="D170" s="150" t="s">
        <v>1</v>
      </c>
      <c r="E170" s="152">
        <v>1.493055555555556</v>
      </c>
      <c r="F170" s="150" t="s">
        <v>28</v>
      </c>
      <c r="G170" s="153">
        <v>9</v>
      </c>
      <c r="H170" s="154" t="s">
        <v>182</v>
      </c>
    </row>
    <row r="171" spans="1:8" ht="19.8" customHeight="1" x14ac:dyDescent="0.3">
      <c r="A171" s="149">
        <v>45988</v>
      </c>
      <c r="B171" s="150" t="s">
        <v>52</v>
      </c>
      <c r="C171" s="151" t="s">
        <v>66</v>
      </c>
      <c r="D171" s="150" t="s">
        <v>1</v>
      </c>
      <c r="E171" s="152">
        <v>1.8888888888888891</v>
      </c>
      <c r="F171" s="150" t="s">
        <v>56</v>
      </c>
      <c r="G171" s="153">
        <v>10</v>
      </c>
      <c r="H171" s="154" t="s">
        <v>59</v>
      </c>
    </row>
    <row r="172" spans="1:8" ht="19.8" customHeight="1" x14ac:dyDescent="0.3">
      <c r="A172" s="149">
        <v>45988</v>
      </c>
      <c r="B172" s="150" t="s">
        <v>79</v>
      </c>
      <c r="C172" s="151" t="s">
        <v>97</v>
      </c>
      <c r="D172" s="150" t="s">
        <v>1</v>
      </c>
      <c r="E172" s="152">
        <v>1.3472222222222221</v>
      </c>
      <c r="F172" s="150" t="s">
        <v>84</v>
      </c>
      <c r="G172" s="153">
        <v>9</v>
      </c>
      <c r="H172" s="154" t="s">
        <v>59</v>
      </c>
    </row>
    <row r="173" spans="1:8" ht="19.8" customHeight="1" x14ac:dyDescent="0.3">
      <c r="A173" s="149">
        <v>45988</v>
      </c>
      <c r="B173" s="150" t="s">
        <v>79</v>
      </c>
      <c r="C173" s="151" t="s">
        <v>80</v>
      </c>
      <c r="D173" s="150" t="s">
        <v>1</v>
      </c>
      <c r="E173" s="152">
        <v>1.993055555555556</v>
      </c>
      <c r="F173" s="150" t="s">
        <v>84</v>
      </c>
      <c r="G173" s="153">
        <v>2</v>
      </c>
      <c r="H173" s="154" t="s">
        <v>59</v>
      </c>
    </row>
    <row r="174" spans="1:8" ht="19.8" customHeight="1" x14ac:dyDescent="0.3">
      <c r="A174" s="149">
        <v>45988</v>
      </c>
      <c r="B174" s="150" t="s">
        <v>79</v>
      </c>
      <c r="C174" s="151" t="s">
        <v>93</v>
      </c>
      <c r="D174" s="150" t="s">
        <v>1</v>
      </c>
      <c r="E174" s="152">
        <v>1.4861111111111109</v>
      </c>
      <c r="F174" s="150" t="s">
        <v>84</v>
      </c>
      <c r="G174" s="153">
        <v>4</v>
      </c>
      <c r="H174" s="154" t="s">
        <v>59</v>
      </c>
    </row>
    <row r="175" spans="1:8" ht="19.8" customHeight="1" x14ac:dyDescent="0.3">
      <c r="A175" s="149">
        <v>45988</v>
      </c>
      <c r="B175" s="150" t="s">
        <v>79</v>
      </c>
      <c r="C175" s="151" t="s">
        <v>94</v>
      </c>
      <c r="D175" s="150" t="s">
        <v>1</v>
      </c>
      <c r="E175" s="152">
        <v>1.3923611111111109</v>
      </c>
      <c r="F175" s="150" t="s">
        <v>84</v>
      </c>
      <c r="G175" s="153">
        <v>6</v>
      </c>
      <c r="H175" s="154" t="s">
        <v>59</v>
      </c>
    </row>
    <row r="176" spans="1:8" ht="19.8" customHeight="1" x14ac:dyDescent="0.3">
      <c r="A176" s="149">
        <v>45988</v>
      </c>
      <c r="B176" s="150" t="s">
        <v>102</v>
      </c>
      <c r="C176" s="151" t="s">
        <v>106</v>
      </c>
      <c r="D176" s="150" t="s">
        <v>1</v>
      </c>
      <c r="E176" s="152">
        <v>1.4201388888888891</v>
      </c>
      <c r="F176" s="150" t="s">
        <v>28</v>
      </c>
      <c r="G176" s="153">
        <v>5</v>
      </c>
      <c r="H176" s="154" t="s">
        <v>107</v>
      </c>
    </row>
    <row r="177" spans="1:8" ht="19.8" customHeight="1" x14ac:dyDescent="0.3">
      <c r="A177" s="155">
        <v>45988</v>
      </c>
      <c r="B177" s="145" t="s">
        <v>26</v>
      </c>
      <c r="C177" s="146" t="s">
        <v>170</v>
      </c>
      <c r="D177" s="145" t="s">
        <v>1</v>
      </c>
      <c r="E177" s="156">
        <v>1.9375</v>
      </c>
      <c r="F177" s="145" t="s">
        <v>28</v>
      </c>
      <c r="G177" s="147">
        <v>9</v>
      </c>
      <c r="H177" s="148" t="s">
        <v>171</v>
      </c>
    </row>
    <row r="178" spans="1:8" ht="19.8" customHeight="1" x14ac:dyDescent="0.3">
      <c r="A178" s="149">
        <v>45988</v>
      </c>
      <c r="B178" s="150" t="s">
        <v>52</v>
      </c>
      <c r="C178" s="151" t="s">
        <v>66</v>
      </c>
      <c r="D178" s="150" t="s">
        <v>1</v>
      </c>
      <c r="E178" s="152">
        <v>1.8888888888888891</v>
      </c>
      <c r="F178" s="150" t="s">
        <v>60</v>
      </c>
      <c r="G178" s="153">
        <v>10</v>
      </c>
      <c r="H178" s="154" t="s">
        <v>180</v>
      </c>
    </row>
    <row r="179" spans="1:8" ht="19.8" customHeight="1" x14ac:dyDescent="0.3">
      <c r="A179" s="149">
        <v>45988</v>
      </c>
      <c r="B179" s="150" t="s">
        <v>52</v>
      </c>
      <c r="C179" s="151" t="s">
        <v>53</v>
      </c>
      <c r="D179" s="150" t="s">
        <v>1</v>
      </c>
      <c r="E179" s="152">
        <v>1.399305555555556</v>
      </c>
      <c r="F179" s="150" t="s">
        <v>58</v>
      </c>
      <c r="G179" s="153">
        <v>5</v>
      </c>
      <c r="H179" s="154" t="s">
        <v>89</v>
      </c>
    </row>
    <row r="180" spans="1:8" ht="19.8" customHeight="1" x14ac:dyDescent="0.3">
      <c r="A180" s="149">
        <v>45988</v>
      </c>
      <c r="B180" s="150" t="s">
        <v>52</v>
      </c>
      <c r="C180" s="151" t="s">
        <v>62</v>
      </c>
      <c r="D180" s="150" t="s">
        <v>1</v>
      </c>
      <c r="E180" s="152">
        <v>1.489583333333333</v>
      </c>
      <c r="F180" s="150" t="s">
        <v>58</v>
      </c>
      <c r="G180" s="153">
        <v>10</v>
      </c>
      <c r="H180" s="154" t="s">
        <v>89</v>
      </c>
    </row>
    <row r="181" spans="1:8" ht="19.8" customHeight="1" x14ac:dyDescent="0.3">
      <c r="A181" s="149">
        <v>45988</v>
      </c>
      <c r="B181" s="150" t="s">
        <v>52</v>
      </c>
      <c r="C181" s="151" t="s">
        <v>69</v>
      </c>
      <c r="D181" s="150" t="s">
        <v>1</v>
      </c>
      <c r="E181" s="152">
        <v>1.989583333333333</v>
      </c>
      <c r="F181" s="150" t="s">
        <v>58</v>
      </c>
      <c r="G181" s="153">
        <v>9</v>
      </c>
      <c r="H181" s="154" t="s">
        <v>89</v>
      </c>
    </row>
    <row r="182" spans="1:8" ht="19.8" customHeight="1" x14ac:dyDescent="0.3">
      <c r="A182" s="149">
        <v>45988</v>
      </c>
      <c r="B182" s="150" t="s">
        <v>79</v>
      </c>
      <c r="C182" s="151" t="s">
        <v>97</v>
      </c>
      <c r="D182" s="150" t="s">
        <v>1</v>
      </c>
      <c r="E182" s="152">
        <v>1.3472222222222221</v>
      </c>
      <c r="F182" s="150" t="s">
        <v>86</v>
      </c>
      <c r="G182" s="153">
        <v>9</v>
      </c>
      <c r="H182" s="154" t="s">
        <v>89</v>
      </c>
    </row>
    <row r="183" spans="1:8" ht="19.8" customHeight="1" x14ac:dyDescent="0.3">
      <c r="A183" s="149">
        <v>45988</v>
      </c>
      <c r="B183" s="150" t="s">
        <v>79</v>
      </c>
      <c r="C183" s="151" t="s">
        <v>80</v>
      </c>
      <c r="D183" s="150" t="s">
        <v>1</v>
      </c>
      <c r="E183" s="152">
        <v>1.993055555555556</v>
      </c>
      <c r="F183" s="150" t="s">
        <v>86</v>
      </c>
      <c r="G183" s="153">
        <v>2</v>
      </c>
      <c r="H183" s="154" t="s">
        <v>89</v>
      </c>
    </row>
    <row r="184" spans="1:8" ht="19.8" customHeight="1" x14ac:dyDescent="0.3">
      <c r="A184" s="149">
        <v>45988</v>
      </c>
      <c r="B184" s="150" t="s">
        <v>79</v>
      </c>
      <c r="C184" s="151" t="s">
        <v>100</v>
      </c>
      <c r="D184" s="150" t="s">
        <v>1</v>
      </c>
      <c r="E184" s="152">
        <v>1.836805555555556</v>
      </c>
      <c r="F184" s="150" t="s">
        <v>84</v>
      </c>
      <c r="G184" s="153">
        <v>9</v>
      </c>
      <c r="H184" s="154" t="s">
        <v>89</v>
      </c>
    </row>
    <row r="185" spans="1:8" ht="19.8" customHeight="1" x14ac:dyDescent="0.3">
      <c r="A185" s="149">
        <v>45988</v>
      </c>
      <c r="B185" s="150" t="s">
        <v>79</v>
      </c>
      <c r="C185" s="151" t="s">
        <v>90</v>
      </c>
      <c r="D185" s="150" t="s">
        <v>1</v>
      </c>
      <c r="E185" s="152">
        <v>1.944444444444444</v>
      </c>
      <c r="F185" s="150" t="s">
        <v>84</v>
      </c>
      <c r="G185" s="153">
        <v>9</v>
      </c>
      <c r="H185" s="154" t="s">
        <v>89</v>
      </c>
    </row>
    <row r="186" spans="1:8" ht="19.8" customHeight="1" x14ac:dyDescent="0.3">
      <c r="A186" s="149">
        <v>45988</v>
      </c>
      <c r="B186" s="150" t="s">
        <v>79</v>
      </c>
      <c r="C186" s="151" t="s">
        <v>93</v>
      </c>
      <c r="D186" s="150" t="s">
        <v>1</v>
      </c>
      <c r="E186" s="152">
        <v>1.4861111111111109</v>
      </c>
      <c r="F186" s="150" t="s">
        <v>86</v>
      </c>
      <c r="G186" s="153">
        <v>4</v>
      </c>
      <c r="H186" s="154" t="s">
        <v>89</v>
      </c>
    </row>
    <row r="187" spans="1:8" ht="19.8" customHeight="1" x14ac:dyDescent="0.3">
      <c r="A187" s="149">
        <v>45988</v>
      </c>
      <c r="B187" s="150" t="s">
        <v>79</v>
      </c>
      <c r="C187" s="151" t="s">
        <v>94</v>
      </c>
      <c r="D187" s="150" t="s">
        <v>1</v>
      </c>
      <c r="E187" s="152">
        <v>1.3923611111111109</v>
      </c>
      <c r="F187" s="150" t="s">
        <v>86</v>
      </c>
      <c r="G187" s="153">
        <v>6</v>
      </c>
      <c r="H187" s="154" t="s">
        <v>89</v>
      </c>
    </row>
    <row r="188" spans="1:8" ht="19.8" customHeight="1" x14ac:dyDescent="0.3">
      <c r="A188" s="149">
        <v>45988</v>
      </c>
      <c r="B188" s="150" t="s">
        <v>79</v>
      </c>
      <c r="C188" s="151" t="s">
        <v>101</v>
      </c>
      <c r="D188" s="150" t="s">
        <v>1</v>
      </c>
      <c r="E188" s="152">
        <v>1.8888888888888891</v>
      </c>
      <c r="F188" s="150" t="s">
        <v>84</v>
      </c>
      <c r="G188" s="153">
        <v>7</v>
      </c>
      <c r="H188" s="154" t="s">
        <v>89</v>
      </c>
    </row>
    <row r="189" spans="1:8" ht="19.8" customHeight="1" x14ac:dyDescent="0.3">
      <c r="A189" s="149">
        <v>45988</v>
      </c>
      <c r="B189" s="150" t="s">
        <v>52</v>
      </c>
      <c r="C189" s="151" t="s">
        <v>66</v>
      </c>
      <c r="D189" s="150" t="s">
        <v>1</v>
      </c>
      <c r="E189" s="152">
        <v>1.8888888888888891</v>
      </c>
      <c r="F189" s="150" t="s">
        <v>58</v>
      </c>
      <c r="G189" s="153">
        <v>10</v>
      </c>
      <c r="H189" s="154" t="s">
        <v>181</v>
      </c>
    </row>
    <row r="190" spans="1:8" ht="19.8" customHeight="1" x14ac:dyDescent="0.3">
      <c r="A190" s="149">
        <v>45988</v>
      </c>
      <c r="B190" s="150" t="s">
        <v>79</v>
      </c>
      <c r="C190" s="151" t="s">
        <v>97</v>
      </c>
      <c r="D190" s="150" t="s">
        <v>1</v>
      </c>
      <c r="E190" s="152">
        <v>1.3472222222222221</v>
      </c>
      <c r="F190" s="150" t="s">
        <v>88</v>
      </c>
      <c r="G190" s="153">
        <v>9</v>
      </c>
      <c r="H190" s="154" t="s">
        <v>98</v>
      </c>
    </row>
    <row r="191" spans="1:8" ht="19.8" customHeight="1" x14ac:dyDescent="0.3">
      <c r="A191" s="149">
        <v>45988</v>
      </c>
      <c r="B191" s="150" t="s">
        <v>79</v>
      </c>
      <c r="C191" s="151" t="s">
        <v>80</v>
      </c>
      <c r="D191" s="150" t="s">
        <v>1</v>
      </c>
      <c r="E191" s="152">
        <v>1.993055555555556</v>
      </c>
      <c r="F191" s="150" t="s">
        <v>88</v>
      </c>
      <c r="G191" s="153">
        <v>2</v>
      </c>
      <c r="H191" s="154" t="s">
        <v>98</v>
      </c>
    </row>
    <row r="192" spans="1:8" ht="19.8" customHeight="1" x14ac:dyDescent="0.3">
      <c r="A192" s="149">
        <v>45988</v>
      </c>
      <c r="B192" s="150" t="s">
        <v>79</v>
      </c>
      <c r="C192" s="151" t="s">
        <v>93</v>
      </c>
      <c r="D192" s="150" t="s">
        <v>1</v>
      </c>
      <c r="E192" s="152">
        <v>1.4861111111111109</v>
      </c>
      <c r="F192" s="150" t="s">
        <v>88</v>
      </c>
      <c r="G192" s="153">
        <v>4</v>
      </c>
      <c r="H192" s="154" t="s">
        <v>98</v>
      </c>
    </row>
    <row r="193" spans="1:8" ht="19.8" customHeight="1" x14ac:dyDescent="0.3">
      <c r="A193" s="149">
        <v>45988</v>
      </c>
      <c r="B193" s="150" t="s">
        <v>79</v>
      </c>
      <c r="C193" s="151" t="s">
        <v>94</v>
      </c>
      <c r="D193" s="150" t="s">
        <v>1</v>
      </c>
      <c r="E193" s="152">
        <v>1.3923611111111109</v>
      </c>
      <c r="F193" s="150" t="s">
        <v>88</v>
      </c>
      <c r="G193" s="153">
        <v>6</v>
      </c>
      <c r="H193" s="154" t="s">
        <v>98</v>
      </c>
    </row>
    <row r="194" spans="1:8" ht="19.8" customHeight="1" x14ac:dyDescent="0.3">
      <c r="A194" s="149">
        <v>45988</v>
      </c>
      <c r="B194" s="150" t="s">
        <v>79</v>
      </c>
      <c r="C194" s="151" t="s">
        <v>100</v>
      </c>
      <c r="D194" s="150" t="s">
        <v>1</v>
      </c>
      <c r="E194" s="152">
        <v>1.836805555555556</v>
      </c>
      <c r="F194" s="150" t="s">
        <v>86</v>
      </c>
      <c r="G194" s="153">
        <v>9</v>
      </c>
      <c r="H194" s="154" t="s">
        <v>183</v>
      </c>
    </row>
    <row r="195" spans="1:8" ht="19.8" customHeight="1" x14ac:dyDescent="0.3">
      <c r="A195" s="149">
        <v>45988</v>
      </c>
      <c r="B195" s="150" t="s">
        <v>79</v>
      </c>
      <c r="C195" s="151" t="s">
        <v>90</v>
      </c>
      <c r="D195" s="150" t="s">
        <v>1</v>
      </c>
      <c r="E195" s="152">
        <v>1.944444444444444</v>
      </c>
      <c r="F195" s="150" t="s">
        <v>86</v>
      </c>
      <c r="G195" s="153">
        <v>9</v>
      </c>
      <c r="H195" s="154" t="s">
        <v>183</v>
      </c>
    </row>
    <row r="196" spans="1:8" ht="19.8" customHeight="1" x14ac:dyDescent="0.3">
      <c r="A196" s="149">
        <v>45988</v>
      </c>
      <c r="B196" s="150" t="s">
        <v>79</v>
      </c>
      <c r="C196" s="151" t="s">
        <v>101</v>
      </c>
      <c r="D196" s="150" t="s">
        <v>1</v>
      </c>
      <c r="E196" s="152">
        <v>1.8888888888888891</v>
      </c>
      <c r="F196" s="150" t="s">
        <v>86</v>
      </c>
      <c r="G196" s="153">
        <v>7</v>
      </c>
      <c r="H196" s="154" t="s">
        <v>183</v>
      </c>
    </row>
    <row r="197" spans="1:8" ht="19.8" customHeight="1" x14ac:dyDescent="0.3">
      <c r="A197" s="149">
        <v>45988</v>
      </c>
      <c r="B197" s="150" t="s">
        <v>102</v>
      </c>
      <c r="C197" s="151" t="s">
        <v>103</v>
      </c>
      <c r="D197" s="150" t="s">
        <v>1</v>
      </c>
      <c r="E197" s="152">
        <v>1.118055555555556</v>
      </c>
      <c r="F197" s="150" t="s">
        <v>28</v>
      </c>
      <c r="G197" s="153">
        <v>5</v>
      </c>
      <c r="H197" s="154" t="s">
        <v>187</v>
      </c>
    </row>
    <row r="198" spans="1:8" ht="19.8" customHeight="1" x14ac:dyDescent="0.3">
      <c r="A198" s="149">
        <v>45988</v>
      </c>
      <c r="B198" s="150" t="s">
        <v>79</v>
      </c>
      <c r="C198" s="151" t="s">
        <v>100</v>
      </c>
      <c r="D198" s="150" t="s">
        <v>1</v>
      </c>
      <c r="E198" s="152">
        <v>1.836805555555556</v>
      </c>
      <c r="F198" s="150" t="s">
        <v>88</v>
      </c>
      <c r="G198" s="153">
        <v>9</v>
      </c>
      <c r="H198" s="154" t="s">
        <v>184</v>
      </c>
    </row>
    <row r="199" spans="1:8" ht="19.8" customHeight="1" x14ac:dyDescent="0.3">
      <c r="A199" s="149">
        <v>45988</v>
      </c>
      <c r="B199" s="150" t="s">
        <v>79</v>
      </c>
      <c r="C199" s="151" t="s">
        <v>90</v>
      </c>
      <c r="D199" s="150" t="s">
        <v>1</v>
      </c>
      <c r="E199" s="152">
        <v>1.944444444444444</v>
      </c>
      <c r="F199" s="150" t="s">
        <v>88</v>
      </c>
      <c r="G199" s="153">
        <v>9</v>
      </c>
      <c r="H199" s="154" t="s">
        <v>184</v>
      </c>
    </row>
    <row r="200" spans="1:8" ht="19.8" customHeight="1" x14ac:dyDescent="0.3">
      <c r="A200" s="149">
        <v>45988</v>
      </c>
      <c r="B200" s="150" t="s">
        <v>79</v>
      </c>
      <c r="C200" s="151" t="s">
        <v>101</v>
      </c>
      <c r="D200" s="150" t="s">
        <v>1</v>
      </c>
      <c r="E200" s="152">
        <v>1.8888888888888891</v>
      </c>
      <c r="F200" s="150" t="s">
        <v>88</v>
      </c>
      <c r="G200" s="153">
        <v>7</v>
      </c>
      <c r="H200" s="154" t="s">
        <v>184</v>
      </c>
    </row>
    <row r="201" spans="1:8" ht="19.8" customHeight="1" x14ac:dyDescent="0.3">
      <c r="A201" s="149">
        <v>45988</v>
      </c>
      <c r="B201" s="150" t="s">
        <v>79</v>
      </c>
      <c r="C201" s="151" t="s">
        <v>99</v>
      </c>
      <c r="D201" s="150" t="s">
        <v>1</v>
      </c>
      <c r="E201" s="152">
        <v>1.75</v>
      </c>
      <c r="F201" s="150" t="s">
        <v>84</v>
      </c>
      <c r="G201" s="153">
        <v>8</v>
      </c>
      <c r="H201" s="154" t="s">
        <v>185</v>
      </c>
    </row>
    <row r="202" spans="1:8" ht="19.8" customHeight="1" x14ac:dyDescent="0.3">
      <c r="A202" s="149">
        <v>45988</v>
      </c>
      <c r="B202" s="150" t="s">
        <v>115</v>
      </c>
      <c r="C202" s="151" t="s">
        <v>121</v>
      </c>
      <c r="D202" s="150" t="s">
        <v>1</v>
      </c>
      <c r="E202" s="152">
        <v>1.8298611111111109</v>
      </c>
      <c r="F202" s="150" t="s">
        <v>117</v>
      </c>
      <c r="G202" s="153">
        <v>9</v>
      </c>
      <c r="H202" s="154" t="s">
        <v>123</v>
      </c>
    </row>
    <row r="203" spans="1:8" ht="19.8" customHeight="1" x14ac:dyDescent="0.3">
      <c r="A203" s="149">
        <v>45988</v>
      </c>
      <c r="B203" s="150" t="s">
        <v>115</v>
      </c>
      <c r="C203" s="151" t="s">
        <v>137</v>
      </c>
      <c r="D203" s="150" t="s">
        <v>1</v>
      </c>
      <c r="E203" s="152">
        <v>1.7222222222222221</v>
      </c>
      <c r="F203" s="150" t="s">
        <v>117</v>
      </c>
      <c r="G203" s="153">
        <v>9</v>
      </c>
      <c r="H203" s="154" t="s">
        <v>123</v>
      </c>
    </row>
    <row r="204" spans="1:8" ht="19.8" customHeight="1" x14ac:dyDescent="0.3">
      <c r="A204" s="149">
        <v>45988</v>
      </c>
      <c r="B204" s="150" t="s">
        <v>115</v>
      </c>
      <c r="C204" s="151" t="s">
        <v>131</v>
      </c>
      <c r="D204" s="150" t="s">
        <v>1</v>
      </c>
      <c r="E204" s="152">
        <v>1.118055555555556</v>
      </c>
      <c r="F204" s="150" t="s">
        <v>117</v>
      </c>
      <c r="G204" s="153">
        <v>9</v>
      </c>
      <c r="H204" s="154" t="s">
        <v>123</v>
      </c>
    </row>
    <row r="205" spans="1:8" ht="19.8" customHeight="1" x14ac:dyDescent="0.3">
      <c r="A205" s="149">
        <v>45988</v>
      </c>
      <c r="B205" s="150" t="s">
        <v>115</v>
      </c>
      <c r="C205" s="151" t="s">
        <v>139</v>
      </c>
      <c r="D205" s="150" t="s">
        <v>1</v>
      </c>
      <c r="E205" s="152">
        <v>1.7048611111111109</v>
      </c>
      <c r="F205" s="150" t="s">
        <v>117</v>
      </c>
      <c r="G205" s="153">
        <v>9</v>
      </c>
      <c r="H205" s="154" t="s">
        <v>123</v>
      </c>
    </row>
    <row r="206" spans="1:8" ht="19.8" customHeight="1" x14ac:dyDescent="0.3">
      <c r="A206" s="149">
        <v>45988</v>
      </c>
      <c r="B206" s="150" t="s">
        <v>115</v>
      </c>
      <c r="C206" s="151" t="s">
        <v>133</v>
      </c>
      <c r="D206" s="150" t="s">
        <v>1</v>
      </c>
      <c r="E206" s="152">
        <v>1.2534722222222221</v>
      </c>
      <c r="F206" s="150" t="s">
        <v>117</v>
      </c>
      <c r="G206" s="153">
        <v>9</v>
      </c>
      <c r="H206" s="154" t="s">
        <v>123</v>
      </c>
    </row>
    <row r="207" spans="1:8" ht="19.8" customHeight="1" x14ac:dyDescent="0.3">
      <c r="A207" s="149">
        <v>45988</v>
      </c>
      <c r="B207" s="150" t="s">
        <v>52</v>
      </c>
      <c r="C207" s="151" t="s">
        <v>53</v>
      </c>
      <c r="D207" s="150" t="s">
        <v>1</v>
      </c>
      <c r="E207" s="152">
        <v>1.399305555555556</v>
      </c>
      <c r="F207" s="150" t="s">
        <v>60</v>
      </c>
      <c r="G207" s="153">
        <v>5</v>
      </c>
      <c r="H207" s="154" t="s">
        <v>65</v>
      </c>
    </row>
    <row r="208" spans="1:8" ht="19.8" customHeight="1" x14ac:dyDescent="0.3">
      <c r="A208" s="149">
        <v>45988</v>
      </c>
      <c r="B208" s="150" t="s">
        <v>52</v>
      </c>
      <c r="C208" s="151" t="s">
        <v>62</v>
      </c>
      <c r="D208" s="150" t="s">
        <v>1</v>
      </c>
      <c r="E208" s="152">
        <v>1.489583333333333</v>
      </c>
      <c r="F208" s="150" t="s">
        <v>60</v>
      </c>
      <c r="G208" s="153">
        <v>10</v>
      </c>
      <c r="H208" s="154" t="s">
        <v>65</v>
      </c>
    </row>
    <row r="209" spans="1:8" ht="19.8" customHeight="1" x14ac:dyDescent="0.3">
      <c r="A209" s="149">
        <v>45988</v>
      </c>
      <c r="B209" s="150" t="s">
        <v>52</v>
      </c>
      <c r="C209" s="151" t="s">
        <v>69</v>
      </c>
      <c r="D209" s="150" t="s">
        <v>1</v>
      </c>
      <c r="E209" s="152">
        <v>1.989583333333333</v>
      </c>
      <c r="F209" s="150" t="s">
        <v>60</v>
      </c>
      <c r="G209" s="153">
        <v>9</v>
      </c>
      <c r="H209" s="154" t="s">
        <v>65</v>
      </c>
    </row>
    <row r="210" spans="1:8" ht="19.8" customHeight="1" x14ac:dyDescent="0.3">
      <c r="A210" s="149">
        <v>45988</v>
      </c>
      <c r="B210" s="150" t="s">
        <v>79</v>
      </c>
      <c r="C210" s="151" t="s">
        <v>99</v>
      </c>
      <c r="D210" s="150" t="s">
        <v>1</v>
      </c>
      <c r="E210" s="152">
        <v>1.75</v>
      </c>
      <c r="F210" s="150" t="s">
        <v>86</v>
      </c>
      <c r="G210" s="153">
        <v>8</v>
      </c>
      <c r="H210" s="154" t="s">
        <v>65</v>
      </c>
    </row>
    <row r="211" spans="1:8" ht="19.8" customHeight="1" x14ac:dyDescent="0.3">
      <c r="A211" s="149">
        <v>45988</v>
      </c>
      <c r="B211" s="150" t="s">
        <v>79</v>
      </c>
      <c r="C211" s="151" t="s">
        <v>99</v>
      </c>
      <c r="D211" s="150" t="s">
        <v>1</v>
      </c>
      <c r="E211" s="152">
        <v>1.75</v>
      </c>
      <c r="F211" s="150" t="s">
        <v>88</v>
      </c>
      <c r="G211" s="153">
        <v>8</v>
      </c>
      <c r="H211" s="154" t="s">
        <v>186</v>
      </c>
    </row>
    <row r="212" spans="1:8" ht="19.8" customHeight="1" x14ac:dyDescent="0.3">
      <c r="A212" s="149">
        <v>45988</v>
      </c>
      <c r="B212" s="150" t="s">
        <v>115</v>
      </c>
      <c r="C212" s="151" t="s">
        <v>125</v>
      </c>
      <c r="D212" s="150" t="s">
        <v>1</v>
      </c>
      <c r="E212" s="152">
        <v>1.989583333333333</v>
      </c>
      <c r="F212" s="150" t="s">
        <v>117</v>
      </c>
      <c r="G212" s="153">
        <v>4</v>
      </c>
      <c r="H212" s="154" t="s">
        <v>126</v>
      </c>
    </row>
    <row r="213" spans="1:8" ht="19.8" customHeight="1" x14ac:dyDescent="0.3">
      <c r="A213" s="149">
        <v>45988</v>
      </c>
      <c r="B213" s="150" t="s">
        <v>115</v>
      </c>
      <c r="C213" s="151" t="s">
        <v>127</v>
      </c>
      <c r="D213" s="150" t="s">
        <v>1</v>
      </c>
      <c r="E213" s="152">
        <v>1.399305555555556</v>
      </c>
      <c r="F213" s="150" t="s">
        <v>117</v>
      </c>
      <c r="G213" s="153">
        <v>4</v>
      </c>
      <c r="H213" s="154" t="s">
        <v>126</v>
      </c>
    </row>
    <row r="214" spans="1:8" ht="19.8" customHeight="1" x14ac:dyDescent="0.3">
      <c r="A214" s="149">
        <v>45988</v>
      </c>
      <c r="B214" s="150" t="s">
        <v>115</v>
      </c>
      <c r="C214" s="151" t="s">
        <v>128</v>
      </c>
      <c r="D214" s="150" t="s">
        <v>1</v>
      </c>
      <c r="E214" s="152">
        <v>1.489583333333333</v>
      </c>
      <c r="F214" s="150" t="s">
        <v>117</v>
      </c>
      <c r="G214" s="153">
        <v>4</v>
      </c>
      <c r="H214" s="154" t="s">
        <v>126</v>
      </c>
    </row>
    <row r="215" spans="1:8" ht="19.8" customHeight="1" x14ac:dyDescent="0.3">
      <c r="A215" s="149">
        <v>45988</v>
      </c>
      <c r="B215" s="150" t="s">
        <v>115</v>
      </c>
      <c r="C215" s="151" t="s">
        <v>130</v>
      </c>
      <c r="D215" s="150" t="s">
        <v>1</v>
      </c>
      <c r="E215" s="152">
        <v>1.8888888888888891</v>
      </c>
      <c r="F215" s="150" t="s">
        <v>117</v>
      </c>
      <c r="G215" s="153">
        <v>4</v>
      </c>
      <c r="H215" s="154" t="s">
        <v>129</v>
      </c>
    </row>
    <row r="216" spans="1:8" ht="19.8" customHeight="1" x14ac:dyDescent="0.3">
      <c r="A216" s="149">
        <v>45988</v>
      </c>
      <c r="B216" s="150" t="s">
        <v>115</v>
      </c>
      <c r="C216" s="151" t="s">
        <v>116</v>
      </c>
      <c r="D216" s="150" t="s">
        <v>1</v>
      </c>
      <c r="E216" s="152">
        <v>1.489583333333333</v>
      </c>
      <c r="F216" s="150" t="s">
        <v>117</v>
      </c>
      <c r="G216" s="153">
        <v>9</v>
      </c>
      <c r="H216" s="154" t="s">
        <v>132</v>
      </c>
    </row>
    <row r="217" spans="1:8" ht="19.8" customHeight="1" x14ac:dyDescent="0.3">
      <c r="A217" s="149">
        <v>45988</v>
      </c>
      <c r="B217" s="150" t="s">
        <v>115</v>
      </c>
      <c r="C217" s="151" t="s">
        <v>119</v>
      </c>
      <c r="D217" s="150" t="s">
        <v>1</v>
      </c>
      <c r="E217" s="152">
        <v>1.041666666666667</v>
      </c>
      <c r="F217" s="150" t="s">
        <v>117</v>
      </c>
      <c r="G217" s="153">
        <v>9</v>
      </c>
      <c r="H217" s="154" t="s">
        <v>132</v>
      </c>
    </row>
    <row r="218" spans="1:8" ht="19.8" customHeight="1" x14ac:dyDescent="0.3">
      <c r="A218" s="149">
        <v>45988</v>
      </c>
      <c r="B218" s="150" t="s">
        <v>140</v>
      </c>
      <c r="C218" s="151" t="s">
        <v>143</v>
      </c>
      <c r="D218" s="150" t="s">
        <v>1</v>
      </c>
      <c r="E218" s="152">
        <v>1.836805555555556</v>
      </c>
      <c r="F218" s="150" t="s">
        <v>122</v>
      </c>
      <c r="G218" s="153">
        <v>2</v>
      </c>
      <c r="H218" s="154" t="s">
        <v>144</v>
      </c>
    </row>
    <row r="219" spans="1:8" ht="19.8" customHeight="1" x14ac:dyDescent="0.3">
      <c r="A219" s="149">
        <v>45988</v>
      </c>
      <c r="B219" s="150" t="s">
        <v>140</v>
      </c>
      <c r="C219" s="151" t="s">
        <v>188</v>
      </c>
      <c r="D219" s="150" t="s">
        <v>1</v>
      </c>
      <c r="E219" s="152">
        <v>1.3125</v>
      </c>
      <c r="F219" s="150" t="s">
        <v>122</v>
      </c>
      <c r="G219" s="153">
        <v>2</v>
      </c>
      <c r="H219" s="154" t="s">
        <v>144</v>
      </c>
    </row>
    <row r="220" spans="1:8" ht="19.8" customHeight="1" x14ac:dyDescent="0.3">
      <c r="A220" s="149">
        <v>45988</v>
      </c>
      <c r="B220" s="150" t="s">
        <v>140</v>
      </c>
      <c r="C220" s="151" t="s">
        <v>189</v>
      </c>
      <c r="D220" s="150" t="s">
        <v>1</v>
      </c>
      <c r="E220" s="152">
        <v>1.3402777777777779</v>
      </c>
      <c r="F220" s="150" t="s">
        <v>122</v>
      </c>
      <c r="G220" s="153">
        <v>1</v>
      </c>
      <c r="H220" s="154" t="s">
        <v>144</v>
      </c>
    </row>
    <row r="221" spans="1:8" ht="19.8" customHeight="1" x14ac:dyDescent="0.3">
      <c r="A221" s="149">
        <v>45988</v>
      </c>
      <c r="B221" s="150" t="s">
        <v>140</v>
      </c>
      <c r="C221" s="151" t="s">
        <v>146</v>
      </c>
      <c r="D221" s="150" t="s">
        <v>1</v>
      </c>
      <c r="E221" s="152">
        <v>1.0486111111111109</v>
      </c>
      <c r="F221" s="150" t="s">
        <v>122</v>
      </c>
      <c r="G221" s="153">
        <v>7</v>
      </c>
      <c r="H221" s="154" t="s">
        <v>144</v>
      </c>
    </row>
    <row r="222" spans="1:8" ht="19.8" customHeight="1" x14ac:dyDescent="0.3">
      <c r="A222" s="149">
        <v>45988</v>
      </c>
      <c r="B222" s="150" t="s">
        <v>115</v>
      </c>
      <c r="C222" s="151" t="s">
        <v>135</v>
      </c>
      <c r="D222" s="150" t="s">
        <v>1</v>
      </c>
      <c r="E222" s="152">
        <v>1.9409722222222221</v>
      </c>
      <c r="F222" s="150" t="s">
        <v>117</v>
      </c>
      <c r="G222" s="153">
        <v>9</v>
      </c>
      <c r="H222" s="154" t="s">
        <v>138</v>
      </c>
    </row>
    <row r="223" spans="1:8" ht="19.8" customHeight="1" x14ac:dyDescent="0.3">
      <c r="A223" s="155">
        <v>45988</v>
      </c>
      <c r="B223" s="145" t="s">
        <v>26</v>
      </c>
      <c r="C223" s="146" t="s">
        <v>41</v>
      </c>
      <c r="D223" s="145" t="s">
        <v>1</v>
      </c>
      <c r="E223" s="156">
        <v>1.15625</v>
      </c>
      <c r="F223" s="145" t="s">
        <v>44</v>
      </c>
      <c r="G223" s="145"/>
      <c r="H223" s="148" t="s">
        <v>45</v>
      </c>
    </row>
    <row r="224" spans="1:8" ht="19.8" customHeight="1" x14ac:dyDescent="0.3">
      <c r="A224" s="155">
        <v>45988</v>
      </c>
      <c r="B224" s="145" t="s">
        <v>26</v>
      </c>
      <c r="C224" s="146" t="s">
        <v>31</v>
      </c>
      <c r="D224" s="145" t="s">
        <v>1</v>
      </c>
      <c r="E224" s="156">
        <v>1.40625</v>
      </c>
      <c r="F224" s="145" t="s">
        <v>44</v>
      </c>
      <c r="G224" s="145"/>
      <c r="H224" s="148" t="s">
        <v>45</v>
      </c>
    </row>
    <row r="225" spans="1:8" ht="19.8" customHeight="1" x14ac:dyDescent="0.3">
      <c r="A225" s="157">
        <v>45988</v>
      </c>
      <c r="B225" s="158" t="s">
        <v>26</v>
      </c>
      <c r="C225" s="159" t="s">
        <v>43</v>
      </c>
      <c r="D225" s="158" t="s">
        <v>1</v>
      </c>
      <c r="E225" s="160">
        <v>1.5625</v>
      </c>
      <c r="F225" s="158" t="s">
        <v>44</v>
      </c>
      <c r="G225" s="158"/>
      <c r="H225" s="161" t="s">
        <v>45</v>
      </c>
    </row>
    <row r="226" spans="1:8" ht="19.8" customHeight="1" x14ac:dyDescent="0.3">
      <c r="A226" s="149">
        <v>45989</v>
      </c>
      <c r="B226" s="150" t="s">
        <v>108</v>
      </c>
      <c r="C226" s="151" t="s">
        <v>155</v>
      </c>
      <c r="D226" s="150" t="s">
        <v>1</v>
      </c>
      <c r="E226" s="152">
        <v>1.225694444444444</v>
      </c>
      <c r="F226" s="150" t="s">
        <v>110</v>
      </c>
      <c r="G226" s="153">
        <v>9</v>
      </c>
      <c r="H226" s="154" t="s">
        <v>190</v>
      </c>
    </row>
    <row r="227" spans="1:8" ht="19.8" customHeight="1" x14ac:dyDescent="0.3">
      <c r="A227" s="149">
        <v>45989</v>
      </c>
      <c r="B227" s="150" t="s">
        <v>108</v>
      </c>
      <c r="C227" s="151" t="s">
        <v>155</v>
      </c>
      <c r="D227" s="150" t="s">
        <v>1</v>
      </c>
      <c r="E227" s="152">
        <v>1.225694444444444</v>
      </c>
      <c r="F227" s="150" t="s">
        <v>113</v>
      </c>
      <c r="G227" s="153">
        <v>9</v>
      </c>
      <c r="H227" s="154" t="s">
        <v>191</v>
      </c>
    </row>
    <row r="228" spans="1:8" ht="19.8" customHeight="1" x14ac:dyDescent="0.3">
      <c r="A228" s="149">
        <v>45989</v>
      </c>
      <c r="B228" s="150" t="s">
        <v>108</v>
      </c>
      <c r="C228" s="151" t="s">
        <v>193</v>
      </c>
      <c r="D228" s="150" t="s">
        <v>1</v>
      </c>
      <c r="E228" s="152">
        <v>1.8090277777777779</v>
      </c>
      <c r="F228" s="150" t="s">
        <v>110</v>
      </c>
      <c r="G228" s="153">
        <v>9</v>
      </c>
      <c r="H228" s="154" t="s">
        <v>194</v>
      </c>
    </row>
    <row r="229" spans="1:8" ht="19.8" customHeight="1" x14ac:dyDescent="0.3">
      <c r="A229" s="149">
        <v>45989</v>
      </c>
      <c r="B229" s="150" t="s">
        <v>108</v>
      </c>
      <c r="C229" s="151" t="s">
        <v>193</v>
      </c>
      <c r="D229" s="150" t="s">
        <v>1</v>
      </c>
      <c r="E229" s="152">
        <v>1.8090277777777779</v>
      </c>
      <c r="F229" s="150" t="s">
        <v>113</v>
      </c>
      <c r="G229" s="153">
        <v>9</v>
      </c>
      <c r="H229" s="154" t="s">
        <v>194</v>
      </c>
    </row>
    <row r="230" spans="1:8" ht="19.8" customHeight="1" x14ac:dyDescent="0.3">
      <c r="A230" s="155">
        <v>45989</v>
      </c>
      <c r="B230" s="145" t="s">
        <v>26</v>
      </c>
      <c r="C230" s="146" t="s">
        <v>34</v>
      </c>
      <c r="D230" s="145" t="s">
        <v>1</v>
      </c>
      <c r="E230" s="156">
        <v>1.5590277777777779</v>
      </c>
      <c r="F230" s="145" t="s">
        <v>28</v>
      </c>
      <c r="G230" s="147">
        <v>1</v>
      </c>
      <c r="H230" s="148" t="s">
        <v>171</v>
      </c>
    </row>
    <row r="231" spans="1:8" ht="19.8" customHeight="1" x14ac:dyDescent="0.3">
      <c r="A231" s="155">
        <v>45989</v>
      </c>
      <c r="B231" s="145" t="s">
        <v>26</v>
      </c>
      <c r="C231" s="146" t="s">
        <v>27</v>
      </c>
      <c r="D231" s="145" t="s">
        <v>1</v>
      </c>
      <c r="E231" s="156">
        <v>1.28125</v>
      </c>
      <c r="F231" s="145" t="s">
        <v>28</v>
      </c>
      <c r="G231" s="147">
        <v>9</v>
      </c>
      <c r="H231" s="148" t="s">
        <v>171</v>
      </c>
    </row>
    <row r="232" spans="1:8" ht="19.8" customHeight="1" x14ac:dyDescent="0.3">
      <c r="A232" s="155">
        <v>45989</v>
      </c>
      <c r="B232" s="145" t="s">
        <v>26</v>
      </c>
      <c r="C232" s="146" t="s">
        <v>199</v>
      </c>
      <c r="D232" s="145" t="s">
        <v>1</v>
      </c>
      <c r="E232" s="156">
        <v>1.4375</v>
      </c>
      <c r="F232" s="145" t="s">
        <v>28</v>
      </c>
      <c r="G232" s="147">
        <v>2</v>
      </c>
      <c r="H232" s="148" t="s">
        <v>171</v>
      </c>
    </row>
    <row r="233" spans="1:8" ht="19.8" customHeight="1" x14ac:dyDescent="0.3">
      <c r="A233" s="149">
        <v>45989</v>
      </c>
      <c r="B233" s="150" t="s">
        <v>52</v>
      </c>
      <c r="C233" s="151" t="s">
        <v>53</v>
      </c>
      <c r="D233" s="150" t="s">
        <v>1</v>
      </c>
      <c r="E233" s="152">
        <v>1.399305555555556</v>
      </c>
      <c r="F233" s="150" t="s">
        <v>56</v>
      </c>
      <c r="G233" s="153">
        <v>1</v>
      </c>
      <c r="H233" s="154" t="s">
        <v>61</v>
      </c>
    </row>
    <row r="234" spans="1:8" ht="19.8" customHeight="1" x14ac:dyDescent="0.3">
      <c r="A234" s="149">
        <v>45989</v>
      </c>
      <c r="B234" s="150" t="s">
        <v>52</v>
      </c>
      <c r="C234" s="151" t="s">
        <v>62</v>
      </c>
      <c r="D234" s="150" t="s">
        <v>1</v>
      </c>
      <c r="E234" s="152">
        <v>1.489583333333333</v>
      </c>
      <c r="F234" s="150" t="s">
        <v>56</v>
      </c>
      <c r="G234" s="153">
        <v>1</v>
      </c>
      <c r="H234" s="154" t="s">
        <v>61</v>
      </c>
    </row>
    <row r="235" spans="1:8" ht="19.8" customHeight="1" x14ac:dyDescent="0.3">
      <c r="A235" s="149">
        <v>45989</v>
      </c>
      <c r="B235" s="150" t="s">
        <v>52</v>
      </c>
      <c r="C235" s="151" t="s">
        <v>66</v>
      </c>
      <c r="D235" s="150" t="s">
        <v>1</v>
      </c>
      <c r="E235" s="152">
        <v>1.8888888888888891</v>
      </c>
      <c r="F235" s="150" t="s">
        <v>54</v>
      </c>
      <c r="G235" s="153">
        <v>2</v>
      </c>
      <c r="H235" s="154" t="s">
        <v>89</v>
      </c>
    </row>
    <row r="236" spans="1:8" ht="19.8" customHeight="1" x14ac:dyDescent="0.3">
      <c r="A236" s="149">
        <v>45989</v>
      </c>
      <c r="B236" s="150" t="s">
        <v>52</v>
      </c>
      <c r="C236" s="151" t="s">
        <v>66</v>
      </c>
      <c r="D236" s="150" t="s">
        <v>1</v>
      </c>
      <c r="E236" s="152">
        <v>1.8888888888888891</v>
      </c>
      <c r="F236" s="150" t="s">
        <v>56</v>
      </c>
      <c r="G236" s="153">
        <v>2</v>
      </c>
      <c r="H236" s="154" t="s">
        <v>89</v>
      </c>
    </row>
    <row r="237" spans="1:8" ht="19.8" customHeight="1" x14ac:dyDescent="0.3">
      <c r="A237" s="149">
        <v>45989</v>
      </c>
      <c r="B237" s="150" t="s">
        <v>52</v>
      </c>
      <c r="C237" s="151" t="s">
        <v>69</v>
      </c>
      <c r="D237" s="150" t="s">
        <v>1</v>
      </c>
      <c r="E237" s="152">
        <v>1.989583333333333</v>
      </c>
      <c r="F237" s="150" t="s">
        <v>54</v>
      </c>
      <c r="G237" s="153">
        <v>6</v>
      </c>
      <c r="H237" s="154" t="s">
        <v>89</v>
      </c>
    </row>
    <row r="238" spans="1:8" ht="19.8" customHeight="1" x14ac:dyDescent="0.3">
      <c r="A238" s="149">
        <v>45989</v>
      </c>
      <c r="B238" s="150" t="s">
        <v>52</v>
      </c>
      <c r="C238" s="151" t="s">
        <v>69</v>
      </c>
      <c r="D238" s="150" t="s">
        <v>1</v>
      </c>
      <c r="E238" s="152">
        <v>1.989583333333333</v>
      </c>
      <c r="F238" s="150" t="s">
        <v>56</v>
      </c>
      <c r="G238" s="153">
        <v>6</v>
      </c>
      <c r="H238" s="154" t="s">
        <v>89</v>
      </c>
    </row>
    <row r="239" spans="1:8" ht="19.8" customHeight="1" x14ac:dyDescent="0.3">
      <c r="A239" s="149">
        <v>45989</v>
      </c>
      <c r="B239" s="150" t="s">
        <v>108</v>
      </c>
      <c r="C239" s="151" t="s">
        <v>155</v>
      </c>
      <c r="D239" s="150" t="s">
        <v>1</v>
      </c>
      <c r="E239" s="152">
        <v>1.225694444444444</v>
      </c>
      <c r="F239" s="150" t="s">
        <v>60</v>
      </c>
      <c r="G239" s="153">
        <v>9</v>
      </c>
      <c r="H239" s="154" t="s">
        <v>192</v>
      </c>
    </row>
    <row r="240" spans="1:8" ht="19.8" customHeight="1" x14ac:dyDescent="0.3">
      <c r="A240" s="149">
        <v>45989</v>
      </c>
      <c r="B240" s="150" t="s">
        <v>72</v>
      </c>
      <c r="C240" s="151" t="s">
        <v>76</v>
      </c>
      <c r="D240" s="150" t="s">
        <v>1</v>
      </c>
      <c r="E240" s="152">
        <v>1.493055555555556</v>
      </c>
      <c r="F240" s="150" t="s">
        <v>28</v>
      </c>
      <c r="G240" s="153">
        <v>9</v>
      </c>
      <c r="H240" s="154" t="s">
        <v>208</v>
      </c>
    </row>
    <row r="241" spans="1:8" ht="19.8" customHeight="1" x14ac:dyDescent="0.3">
      <c r="A241" s="149">
        <v>45989</v>
      </c>
      <c r="B241" s="150" t="s">
        <v>108</v>
      </c>
      <c r="C241" s="151" t="s">
        <v>193</v>
      </c>
      <c r="D241" s="150" t="s">
        <v>1</v>
      </c>
      <c r="E241" s="152">
        <v>1.8090277777777779</v>
      </c>
      <c r="F241" s="150" t="s">
        <v>60</v>
      </c>
      <c r="G241" s="153">
        <v>9</v>
      </c>
      <c r="H241" s="154" t="s">
        <v>195</v>
      </c>
    </row>
    <row r="242" spans="1:8" ht="19.8" customHeight="1" x14ac:dyDescent="0.3">
      <c r="A242" s="155">
        <v>45989</v>
      </c>
      <c r="B242" s="145" t="s">
        <v>26</v>
      </c>
      <c r="C242" s="146" t="s">
        <v>202</v>
      </c>
      <c r="D242" s="145" t="s">
        <v>1</v>
      </c>
      <c r="E242" s="156">
        <v>1.760416666666667</v>
      </c>
      <c r="F242" s="145" t="s">
        <v>28</v>
      </c>
      <c r="G242" s="147">
        <v>2</v>
      </c>
      <c r="H242" s="148" t="s">
        <v>181</v>
      </c>
    </row>
    <row r="243" spans="1:8" ht="19.8" customHeight="1" x14ac:dyDescent="0.3">
      <c r="A243" s="149">
        <v>45989</v>
      </c>
      <c r="B243" s="150" t="s">
        <v>79</v>
      </c>
      <c r="C243" s="151" t="s">
        <v>97</v>
      </c>
      <c r="D243" s="150" t="s">
        <v>1</v>
      </c>
      <c r="E243" s="152">
        <v>1.3472222222222221</v>
      </c>
      <c r="F243" s="150" t="s">
        <v>81</v>
      </c>
      <c r="G243" s="153">
        <v>8</v>
      </c>
      <c r="H243" s="154" t="s">
        <v>181</v>
      </c>
    </row>
    <row r="244" spans="1:8" ht="19.8" customHeight="1" x14ac:dyDescent="0.3">
      <c r="A244" s="149">
        <v>45989</v>
      </c>
      <c r="B244" s="150" t="s">
        <v>79</v>
      </c>
      <c r="C244" s="151" t="s">
        <v>97</v>
      </c>
      <c r="D244" s="150" t="s">
        <v>1</v>
      </c>
      <c r="E244" s="152">
        <v>1.3472222222222221</v>
      </c>
      <c r="F244" s="150" t="s">
        <v>84</v>
      </c>
      <c r="G244" s="153">
        <v>8</v>
      </c>
      <c r="H244" s="154" t="s">
        <v>181</v>
      </c>
    </row>
    <row r="245" spans="1:8" ht="19.8" customHeight="1" x14ac:dyDescent="0.3">
      <c r="A245" s="149">
        <v>45989</v>
      </c>
      <c r="B245" s="150" t="s">
        <v>79</v>
      </c>
      <c r="C245" s="151" t="s">
        <v>80</v>
      </c>
      <c r="D245" s="150" t="s">
        <v>1</v>
      </c>
      <c r="E245" s="152">
        <v>1.993055555555556</v>
      </c>
      <c r="F245" s="150" t="s">
        <v>81</v>
      </c>
      <c r="G245" s="153">
        <v>7</v>
      </c>
      <c r="H245" s="154" t="s">
        <v>181</v>
      </c>
    </row>
    <row r="246" spans="1:8" ht="19.8" customHeight="1" x14ac:dyDescent="0.3">
      <c r="A246" s="149">
        <v>45989</v>
      </c>
      <c r="B246" s="150" t="s">
        <v>79</v>
      </c>
      <c r="C246" s="151" t="s">
        <v>80</v>
      </c>
      <c r="D246" s="150" t="s">
        <v>1</v>
      </c>
      <c r="E246" s="152">
        <v>1.993055555555556</v>
      </c>
      <c r="F246" s="150" t="s">
        <v>84</v>
      </c>
      <c r="G246" s="153">
        <v>7</v>
      </c>
      <c r="H246" s="154" t="s">
        <v>181</v>
      </c>
    </row>
    <row r="247" spans="1:8" ht="19.8" customHeight="1" x14ac:dyDescent="0.3">
      <c r="A247" s="149">
        <v>45989</v>
      </c>
      <c r="B247" s="150" t="s">
        <v>79</v>
      </c>
      <c r="C247" s="151" t="s">
        <v>99</v>
      </c>
      <c r="D247" s="150" t="s">
        <v>1</v>
      </c>
      <c r="E247" s="152">
        <v>1.7361111111111109</v>
      </c>
      <c r="F247" s="150" t="s">
        <v>81</v>
      </c>
      <c r="G247" s="153">
        <v>1</v>
      </c>
      <c r="H247" s="154" t="s">
        <v>181</v>
      </c>
    </row>
    <row r="248" spans="1:8" ht="19.8" customHeight="1" x14ac:dyDescent="0.3">
      <c r="A248" s="149">
        <v>45989</v>
      </c>
      <c r="B248" s="150" t="s">
        <v>79</v>
      </c>
      <c r="C248" s="151" t="s">
        <v>99</v>
      </c>
      <c r="D248" s="150" t="s">
        <v>1</v>
      </c>
      <c r="E248" s="152">
        <v>1.7361111111111109</v>
      </c>
      <c r="F248" s="150" t="s">
        <v>84</v>
      </c>
      <c r="G248" s="153">
        <v>1</v>
      </c>
      <c r="H248" s="154" t="s">
        <v>181</v>
      </c>
    </row>
    <row r="249" spans="1:8" ht="19.8" customHeight="1" x14ac:dyDescent="0.3">
      <c r="A249" s="149">
        <v>45989</v>
      </c>
      <c r="B249" s="150" t="s">
        <v>79</v>
      </c>
      <c r="C249" s="151" t="s">
        <v>90</v>
      </c>
      <c r="D249" s="150" t="s">
        <v>1</v>
      </c>
      <c r="E249" s="152">
        <v>1.944444444444444</v>
      </c>
      <c r="F249" s="150" t="s">
        <v>81</v>
      </c>
      <c r="G249" s="153">
        <v>4</v>
      </c>
      <c r="H249" s="154" t="s">
        <v>181</v>
      </c>
    </row>
    <row r="250" spans="1:8" ht="19.8" customHeight="1" x14ac:dyDescent="0.3">
      <c r="A250" s="149">
        <v>45989</v>
      </c>
      <c r="B250" s="150" t="s">
        <v>79</v>
      </c>
      <c r="C250" s="151" t="s">
        <v>90</v>
      </c>
      <c r="D250" s="150" t="s">
        <v>1</v>
      </c>
      <c r="E250" s="152">
        <v>1.944444444444444</v>
      </c>
      <c r="F250" s="150" t="s">
        <v>84</v>
      </c>
      <c r="G250" s="153">
        <v>4</v>
      </c>
      <c r="H250" s="154" t="s">
        <v>181</v>
      </c>
    </row>
    <row r="251" spans="1:8" ht="19.8" customHeight="1" x14ac:dyDescent="0.3">
      <c r="A251" s="149">
        <v>45989</v>
      </c>
      <c r="B251" s="150" t="s">
        <v>79</v>
      </c>
      <c r="C251" s="151" t="s">
        <v>93</v>
      </c>
      <c r="D251" s="150" t="s">
        <v>1</v>
      </c>
      <c r="E251" s="152">
        <v>1.4861111111111109</v>
      </c>
      <c r="F251" s="150" t="s">
        <v>81</v>
      </c>
      <c r="G251" s="153">
        <v>6</v>
      </c>
      <c r="H251" s="154" t="s">
        <v>181</v>
      </c>
    </row>
    <row r="252" spans="1:8" ht="19.8" customHeight="1" x14ac:dyDescent="0.3">
      <c r="A252" s="149">
        <v>45989</v>
      </c>
      <c r="B252" s="150" t="s">
        <v>79</v>
      </c>
      <c r="C252" s="151" t="s">
        <v>93</v>
      </c>
      <c r="D252" s="150" t="s">
        <v>1</v>
      </c>
      <c r="E252" s="152">
        <v>1.4861111111111109</v>
      </c>
      <c r="F252" s="150" t="s">
        <v>84</v>
      </c>
      <c r="G252" s="153">
        <v>6</v>
      </c>
      <c r="H252" s="154" t="s">
        <v>181</v>
      </c>
    </row>
    <row r="253" spans="1:8" ht="19.8" customHeight="1" x14ac:dyDescent="0.3">
      <c r="A253" s="149">
        <v>45989</v>
      </c>
      <c r="B253" s="150" t="s">
        <v>52</v>
      </c>
      <c r="C253" s="151" t="s">
        <v>53</v>
      </c>
      <c r="D253" s="150" t="s">
        <v>1</v>
      </c>
      <c r="E253" s="152">
        <v>1.399305555555556</v>
      </c>
      <c r="F253" s="150" t="s">
        <v>58</v>
      </c>
      <c r="G253" s="153">
        <v>1</v>
      </c>
      <c r="H253" s="154" t="s">
        <v>183</v>
      </c>
    </row>
    <row r="254" spans="1:8" ht="19.8" customHeight="1" x14ac:dyDescent="0.3">
      <c r="A254" s="149">
        <v>45989</v>
      </c>
      <c r="B254" s="150" t="s">
        <v>52</v>
      </c>
      <c r="C254" s="151" t="s">
        <v>62</v>
      </c>
      <c r="D254" s="150" t="s">
        <v>1</v>
      </c>
      <c r="E254" s="152">
        <v>1.489583333333333</v>
      </c>
      <c r="F254" s="150" t="s">
        <v>58</v>
      </c>
      <c r="G254" s="153">
        <v>1</v>
      </c>
      <c r="H254" s="154" t="s">
        <v>183</v>
      </c>
    </row>
    <row r="255" spans="1:8" ht="19.8" customHeight="1" x14ac:dyDescent="0.3">
      <c r="A255" s="149">
        <v>45989</v>
      </c>
      <c r="B255" s="150" t="s">
        <v>140</v>
      </c>
      <c r="C255" s="151" t="s">
        <v>188</v>
      </c>
      <c r="D255" s="150" t="s">
        <v>1</v>
      </c>
      <c r="E255" s="152">
        <v>1.2986111111111109</v>
      </c>
      <c r="F255" s="150" t="s">
        <v>122</v>
      </c>
      <c r="G255" s="153">
        <v>9</v>
      </c>
      <c r="H255" s="154" t="s">
        <v>213</v>
      </c>
    </row>
    <row r="256" spans="1:8" ht="19.8" customHeight="1" x14ac:dyDescent="0.3">
      <c r="A256" s="149">
        <v>45989</v>
      </c>
      <c r="B256" s="150" t="s">
        <v>140</v>
      </c>
      <c r="C256" s="151" t="s">
        <v>146</v>
      </c>
      <c r="D256" s="150" t="s">
        <v>1</v>
      </c>
      <c r="E256" s="152">
        <v>1.0486111111111109</v>
      </c>
      <c r="F256" s="150" t="s">
        <v>122</v>
      </c>
      <c r="G256" s="153">
        <v>9</v>
      </c>
      <c r="H256" s="154" t="s">
        <v>213</v>
      </c>
    </row>
    <row r="257" spans="1:8" ht="19.8" customHeight="1" x14ac:dyDescent="0.3">
      <c r="A257" s="149">
        <v>45989</v>
      </c>
      <c r="B257" s="150" t="s">
        <v>52</v>
      </c>
      <c r="C257" s="151" t="s">
        <v>66</v>
      </c>
      <c r="D257" s="150" t="s">
        <v>1</v>
      </c>
      <c r="E257" s="152">
        <v>1.8888888888888891</v>
      </c>
      <c r="F257" s="150" t="s">
        <v>58</v>
      </c>
      <c r="G257" s="153">
        <v>2</v>
      </c>
      <c r="H257" s="154" t="s">
        <v>206</v>
      </c>
    </row>
    <row r="258" spans="1:8" ht="19.8" customHeight="1" x14ac:dyDescent="0.3">
      <c r="A258" s="149">
        <v>45989</v>
      </c>
      <c r="B258" s="150" t="s">
        <v>52</v>
      </c>
      <c r="C258" s="151" t="s">
        <v>69</v>
      </c>
      <c r="D258" s="150" t="s">
        <v>1</v>
      </c>
      <c r="E258" s="152">
        <v>1.989583333333333</v>
      </c>
      <c r="F258" s="150" t="s">
        <v>58</v>
      </c>
      <c r="G258" s="153">
        <v>6</v>
      </c>
      <c r="H258" s="154" t="s">
        <v>206</v>
      </c>
    </row>
    <row r="259" spans="1:8" ht="19.8" customHeight="1" x14ac:dyDescent="0.3">
      <c r="A259" s="149">
        <v>45989</v>
      </c>
      <c r="B259" s="150" t="s">
        <v>79</v>
      </c>
      <c r="C259" s="151" t="s">
        <v>97</v>
      </c>
      <c r="D259" s="150" t="s">
        <v>1</v>
      </c>
      <c r="E259" s="152">
        <v>1.3472222222222221</v>
      </c>
      <c r="F259" s="150" t="s">
        <v>86</v>
      </c>
      <c r="G259" s="153">
        <v>8</v>
      </c>
      <c r="H259" s="154" t="s">
        <v>206</v>
      </c>
    </row>
    <row r="260" spans="1:8" ht="19.8" customHeight="1" x14ac:dyDescent="0.3">
      <c r="A260" s="149">
        <v>45989</v>
      </c>
      <c r="B260" s="150" t="s">
        <v>79</v>
      </c>
      <c r="C260" s="151" t="s">
        <v>80</v>
      </c>
      <c r="D260" s="150" t="s">
        <v>1</v>
      </c>
      <c r="E260" s="152">
        <v>1.993055555555556</v>
      </c>
      <c r="F260" s="150" t="s">
        <v>86</v>
      </c>
      <c r="G260" s="153">
        <v>7</v>
      </c>
      <c r="H260" s="154" t="s">
        <v>206</v>
      </c>
    </row>
    <row r="261" spans="1:8" ht="19.8" customHeight="1" x14ac:dyDescent="0.3">
      <c r="A261" s="149">
        <v>45989</v>
      </c>
      <c r="B261" s="150" t="s">
        <v>79</v>
      </c>
      <c r="C261" s="151" t="s">
        <v>99</v>
      </c>
      <c r="D261" s="150" t="s">
        <v>1</v>
      </c>
      <c r="E261" s="152">
        <v>1.7361111111111109</v>
      </c>
      <c r="F261" s="150" t="s">
        <v>86</v>
      </c>
      <c r="G261" s="153">
        <v>1</v>
      </c>
      <c r="H261" s="154" t="s">
        <v>206</v>
      </c>
    </row>
    <row r="262" spans="1:8" ht="19.8" customHeight="1" x14ac:dyDescent="0.3">
      <c r="A262" s="149">
        <v>45989</v>
      </c>
      <c r="B262" s="150" t="s">
        <v>79</v>
      </c>
      <c r="C262" s="151" t="s">
        <v>90</v>
      </c>
      <c r="D262" s="150" t="s">
        <v>1</v>
      </c>
      <c r="E262" s="152">
        <v>1.944444444444444</v>
      </c>
      <c r="F262" s="150" t="s">
        <v>86</v>
      </c>
      <c r="G262" s="153">
        <v>4</v>
      </c>
      <c r="H262" s="154" t="s">
        <v>206</v>
      </c>
    </row>
    <row r="263" spans="1:8" ht="19.8" customHeight="1" x14ac:dyDescent="0.3">
      <c r="A263" s="149">
        <v>45989</v>
      </c>
      <c r="B263" s="150" t="s">
        <v>79</v>
      </c>
      <c r="C263" s="151" t="s">
        <v>93</v>
      </c>
      <c r="D263" s="150" t="s">
        <v>1</v>
      </c>
      <c r="E263" s="152">
        <v>1.4861111111111109</v>
      </c>
      <c r="F263" s="150" t="s">
        <v>86</v>
      </c>
      <c r="G263" s="153">
        <v>6</v>
      </c>
      <c r="H263" s="154" t="s">
        <v>206</v>
      </c>
    </row>
    <row r="264" spans="1:8" ht="19.8" customHeight="1" x14ac:dyDescent="0.3">
      <c r="A264" s="149">
        <v>45989</v>
      </c>
      <c r="B264" s="150" t="s">
        <v>140</v>
      </c>
      <c r="C264" s="151" t="s">
        <v>141</v>
      </c>
      <c r="D264" s="150" t="s">
        <v>1</v>
      </c>
      <c r="E264" s="152">
        <v>1.9722222222222221</v>
      </c>
      <c r="F264" s="150" t="s">
        <v>122</v>
      </c>
      <c r="G264" s="153">
        <v>9</v>
      </c>
      <c r="H264" s="154" t="s">
        <v>214</v>
      </c>
    </row>
    <row r="265" spans="1:8" ht="19.8" customHeight="1" x14ac:dyDescent="0.3">
      <c r="A265" s="149">
        <v>45989</v>
      </c>
      <c r="B265" s="150" t="s">
        <v>140</v>
      </c>
      <c r="C265" s="151" t="s">
        <v>215</v>
      </c>
      <c r="D265" s="150" t="s">
        <v>1</v>
      </c>
      <c r="E265" s="152">
        <v>1.104166666666667</v>
      </c>
      <c r="F265" s="150" t="s">
        <v>122</v>
      </c>
      <c r="G265" s="153">
        <v>9</v>
      </c>
      <c r="H265" s="154" t="s">
        <v>214</v>
      </c>
    </row>
    <row r="266" spans="1:8" ht="19.8" customHeight="1" x14ac:dyDescent="0.3">
      <c r="A266" s="149">
        <v>45989</v>
      </c>
      <c r="B266" s="150" t="s">
        <v>79</v>
      </c>
      <c r="C266" s="151" t="s">
        <v>97</v>
      </c>
      <c r="D266" s="150" t="s">
        <v>1</v>
      </c>
      <c r="E266" s="152">
        <v>1.3472222222222221</v>
      </c>
      <c r="F266" s="150" t="s">
        <v>88</v>
      </c>
      <c r="G266" s="153">
        <v>8</v>
      </c>
      <c r="H266" s="154" t="s">
        <v>209</v>
      </c>
    </row>
    <row r="267" spans="1:8" ht="19.8" customHeight="1" x14ac:dyDescent="0.3">
      <c r="A267" s="149">
        <v>45989</v>
      </c>
      <c r="B267" s="150" t="s">
        <v>79</v>
      </c>
      <c r="C267" s="151" t="s">
        <v>80</v>
      </c>
      <c r="D267" s="150" t="s">
        <v>1</v>
      </c>
      <c r="E267" s="152">
        <v>1.993055555555556</v>
      </c>
      <c r="F267" s="150" t="s">
        <v>88</v>
      </c>
      <c r="G267" s="153">
        <v>7</v>
      </c>
      <c r="H267" s="154" t="s">
        <v>209</v>
      </c>
    </row>
    <row r="268" spans="1:8" ht="19.8" customHeight="1" x14ac:dyDescent="0.3">
      <c r="A268" s="149">
        <v>45989</v>
      </c>
      <c r="B268" s="150" t="s">
        <v>79</v>
      </c>
      <c r="C268" s="151" t="s">
        <v>99</v>
      </c>
      <c r="D268" s="150" t="s">
        <v>1</v>
      </c>
      <c r="E268" s="152">
        <v>1.7361111111111109</v>
      </c>
      <c r="F268" s="150" t="s">
        <v>88</v>
      </c>
      <c r="G268" s="153">
        <v>1</v>
      </c>
      <c r="H268" s="154" t="s">
        <v>209</v>
      </c>
    </row>
    <row r="269" spans="1:8" ht="19.8" customHeight="1" x14ac:dyDescent="0.3">
      <c r="A269" s="149">
        <v>45989</v>
      </c>
      <c r="B269" s="150" t="s">
        <v>79</v>
      </c>
      <c r="C269" s="151" t="s">
        <v>90</v>
      </c>
      <c r="D269" s="150" t="s">
        <v>1</v>
      </c>
      <c r="E269" s="152">
        <v>1.944444444444444</v>
      </c>
      <c r="F269" s="150" t="s">
        <v>88</v>
      </c>
      <c r="G269" s="153">
        <v>4</v>
      </c>
      <c r="H269" s="154" t="s">
        <v>209</v>
      </c>
    </row>
    <row r="270" spans="1:8" ht="19.8" customHeight="1" x14ac:dyDescent="0.3">
      <c r="A270" s="149">
        <v>45989</v>
      </c>
      <c r="B270" s="150" t="s">
        <v>79</v>
      </c>
      <c r="C270" s="151" t="s">
        <v>93</v>
      </c>
      <c r="D270" s="150" t="s">
        <v>1</v>
      </c>
      <c r="E270" s="152">
        <v>1.4861111111111109</v>
      </c>
      <c r="F270" s="150" t="s">
        <v>88</v>
      </c>
      <c r="G270" s="153">
        <v>6</v>
      </c>
      <c r="H270" s="154" t="s">
        <v>209</v>
      </c>
    </row>
    <row r="271" spans="1:8" ht="19.8" customHeight="1" x14ac:dyDescent="0.3">
      <c r="A271" s="149">
        <v>45989</v>
      </c>
      <c r="B271" s="150" t="s">
        <v>79</v>
      </c>
      <c r="C271" s="151" t="s">
        <v>100</v>
      </c>
      <c r="D271" s="150" t="s">
        <v>1</v>
      </c>
      <c r="E271" s="152">
        <v>1.836805555555556</v>
      </c>
      <c r="F271" s="150" t="s">
        <v>81</v>
      </c>
      <c r="G271" s="153">
        <v>7</v>
      </c>
      <c r="H271" s="154" t="s">
        <v>210</v>
      </c>
    </row>
    <row r="272" spans="1:8" ht="19.8" customHeight="1" x14ac:dyDescent="0.3">
      <c r="A272" s="149">
        <v>45989</v>
      </c>
      <c r="B272" s="150" t="s">
        <v>79</v>
      </c>
      <c r="C272" s="151" t="s">
        <v>100</v>
      </c>
      <c r="D272" s="150" t="s">
        <v>1</v>
      </c>
      <c r="E272" s="152">
        <v>1.836805555555556</v>
      </c>
      <c r="F272" s="150" t="s">
        <v>84</v>
      </c>
      <c r="G272" s="153">
        <v>7</v>
      </c>
      <c r="H272" s="154" t="s">
        <v>210</v>
      </c>
    </row>
    <row r="273" spans="1:8" ht="19.8" customHeight="1" x14ac:dyDescent="0.3">
      <c r="A273" s="149">
        <v>45989</v>
      </c>
      <c r="B273" s="150" t="s">
        <v>79</v>
      </c>
      <c r="C273" s="151" t="s">
        <v>101</v>
      </c>
      <c r="D273" s="150" t="s">
        <v>1</v>
      </c>
      <c r="E273" s="152">
        <v>1.8888888888888891</v>
      </c>
      <c r="F273" s="150" t="s">
        <v>81</v>
      </c>
      <c r="G273" s="153">
        <v>9</v>
      </c>
      <c r="H273" s="154" t="s">
        <v>210</v>
      </c>
    </row>
    <row r="274" spans="1:8" ht="19.8" customHeight="1" x14ac:dyDescent="0.3">
      <c r="A274" s="149">
        <v>45989</v>
      </c>
      <c r="B274" s="150" t="s">
        <v>79</v>
      </c>
      <c r="C274" s="151" t="s">
        <v>101</v>
      </c>
      <c r="D274" s="150" t="s">
        <v>1</v>
      </c>
      <c r="E274" s="152">
        <v>1.8888888888888891</v>
      </c>
      <c r="F274" s="150" t="s">
        <v>84</v>
      </c>
      <c r="G274" s="153">
        <v>9</v>
      </c>
      <c r="H274" s="154" t="s">
        <v>210</v>
      </c>
    </row>
    <row r="275" spans="1:8" ht="19.8" customHeight="1" x14ac:dyDescent="0.3">
      <c r="A275" s="149">
        <v>45989</v>
      </c>
      <c r="B275" s="150" t="s">
        <v>115</v>
      </c>
      <c r="C275" s="151" t="s">
        <v>116</v>
      </c>
      <c r="D275" s="150" t="s">
        <v>1</v>
      </c>
      <c r="E275" s="152">
        <v>1.489583333333333</v>
      </c>
      <c r="F275" s="150" t="s">
        <v>117</v>
      </c>
      <c r="G275" s="153">
        <v>9</v>
      </c>
      <c r="H275" s="154" t="s">
        <v>123</v>
      </c>
    </row>
    <row r="276" spans="1:8" ht="19.8" customHeight="1" x14ac:dyDescent="0.3">
      <c r="A276" s="149">
        <v>45989</v>
      </c>
      <c r="B276" s="150" t="s">
        <v>115</v>
      </c>
      <c r="C276" s="151" t="s">
        <v>121</v>
      </c>
      <c r="D276" s="150" t="s">
        <v>1</v>
      </c>
      <c r="E276" s="152">
        <v>1.8298611111111109</v>
      </c>
      <c r="F276" s="150" t="s">
        <v>122</v>
      </c>
      <c r="G276" s="153">
        <v>9</v>
      </c>
      <c r="H276" s="154" t="s">
        <v>123</v>
      </c>
    </row>
    <row r="277" spans="1:8" ht="19.8" customHeight="1" x14ac:dyDescent="0.3">
      <c r="A277" s="149">
        <v>45989</v>
      </c>
      <c r="B277" s="150" t="s">
        <v>115</v>
      </c>
      <c r="C277" s="151" t="s">
        <v>121</v>
      </c>
      <c r="D277" s="150" t="s">
        <v>1</v>
      </c>
      <c r="E277" s="152">
        <v>1.8298611111111109</v>
      </c>
      <c r="F277" s="150" t="s">
        <v>117</v>
      </c>
      <c r="G277" s="153">
        <v>9</v>
      </c>
      <c r="H277" s="154" t="s">
        <v>123</v>
      </c>
    </row>
    <row r="278" spans="1:8" ht="19.8" customHeight="1" x14ac:dyDescent="0.3">
      <c r="A278" s="149">
        <v>45989</v>
      </c>
      <c r="B278" s="150" t="s">
        <v>115</v>
      </c>
      <c r="C278" s="151" t="s">
        <v>137</v>
      </c>
      <c r="D278" s="150" t="s">
        <v>1</v>
      </c>
      <c r="E278" s="152">
        <v>1.7222222222222221</v>
      </c>
      <c r="F278" s="150" t="s">
        <v>117</v>
      </c>
      <c r="G278" s="153">
        <v>9</v>
      </c>
      <c r="H278" s="154" t="s">
        <v>123</v>
      </c>
    </row>
    <row r="279" spans="1:8" ht="19.8" customHeight="1" x14ac:dyDescent="0.3">
      <c r="A279" s="149">
        <v>45989</v>
      </c>
      <c r="B279" s="150" t="s">
        <v>115</v>
      </c>
      <c r="C279" s="151" t="s">
        <v>131</v>
      </c>
      <c r="D279" s="150" t="s">
        <v>1</v>
      </c>
      <c r="E279" s="152">
        <v>1.118055555555556</v>
      </c>
      <c r="F279" s="150" t="s">
        <v>122</v>
      </c>
      <c r="G279" s="153">
        <v>9</v>
      </c>
      <c r="H279" s="154" t="s">
        <v>123</v>
      </c>
    </row>
    <row r="280" spans="1:8" ht="19.8" customHeight="1" x14ac:dyDescent="0.3">
      <c r="A280" s="149">
        <v>45989</v>
      </c>
      <c r="B280" s="150" t="s">
        <v>115</v>
      </c>
      <c r="C280" s="151" t="s">
        <v>131</v>
      </c>
      <c r="D280" s="150" t="s">
        <v>1</v>
      </c>
      <c r="E280" s="152">
        <v>1.118055555555556</v>
      </c>
      <c r="F280" s="150" t="s">
        <v>117</v>
      </c>
      <c r="G280" s="153">
        <v>9</v>
      </c>
      <c r="H280" s="154" t="s">
        <v>123</v>
      </c>
    </row>
    <row r="281" spans="1:8" ht="19.8" customHeight="1" x14ac:dyDescent="0.3">
      <c r="A281" s="149">
        <v>45989</v>
      </c>
      <c r="B281" s="150" t="s">
        <v>115</v>
      </c>
      <c r="C281" s="151" t="s">
        <v>133</v>
      </c>
      <c r="D281" s="150" t="s">
        <v>1</v>
      </c>
      <c r="E281" s="152">
        <v>1.2534722222222221</v>
      </c>
      <c r="F281" s="150" t="s">
        <v>122</v>
      </c>
      <c r="G281" s="153">
        <v>9</v>
      </c>
      <c r="H281" s="154" t="s">
        <v>123</v>
      </c>
    </row>
    <row r="282" spans="1:8" ht="19.8" customHeight="1" x14ac:dyDescent="0.3">
      <c r="A282" s="149">
        <v>45989</v>
      </c>
      <c r="B282" s="150" t="s">
        <v>115</v>
      </c>
      <c r="C282" s="151" t="s">
        <v>133</v>
      </c>
      <c r="D282" s="150" t="s">
        <v>1</v>
      </c>
      <c r="E282" s="152">
        <v>1.2534722222222221</v>
      </c>
      <c r="F282" s="150" t="s">
        <v>117</v>
      </c>
      <c r="G282" s="153">
        <v>9</v>
      </c>
      <c r="H282" s="154" t="s">
        <v>123</v>
      </c>
    </row>
    <row r="283" spans="1:8" ht="19.8" customHeight="1" x14ac:dyDescent="0.3">
      <c r="A283" s="149">
        <v>45989</v>
      </c>
      <c r="B283" s="150" t="s">
        <v>115</v>
      </c>
      <c r="C283" s="151" t="s">
        <v>119</v>
      </c>
      <c r="D283" s="150" t="s">
        <v>1</v>
      </c>
      <c r="E283" s="152">
        <v>1.041666666666667</v>
      </c>
      <c r="F283" s="150" t="s">
        <v>122</v>
      </c>
      <c r="G283" s="153">
        <v>9</v>
      </c>
      <c r="H283" s="154" t="s">
        <v>123</v>
      </c>
    </row>
    <row r="284" spans="1:8" ht="19.8" customHeight="1" x14ac:dyDescent="0.3">
      <c r="A284" s="149">
        <v>45989</v>
      </c>
      <c r="B284" s="150" t="s">
        <v>115</v>
      </c>
      <c r="C284" s="151" t="s">
        <v>119</v>
      </c>
      <c r="D284" s="150" t="s">
        <v>1</v>
      </c>
      <c r="E284" s="152">
        <v>1.041666666666667</v>
      </c>
      <c r="F284" s="150" t="s">
        <v>117</v>
      </c>
      <c r="G284" s="153">
        <v>9</v>
      </c>
      <c r="H284" s="154" t="s">
        <v>123</v>
      </c>
    </row>
    <row r="285" spans="1:8" ht="19.8" customHeight="1" x14ac:dyDescent="0.3">
      <c r="A285" s="149">
        <v>45989</v>
      </c>
      <c r="B285" s="150" t="s">
        <v>115</v>
      </c>
      <c r="C285" s="151" t="s">
        <v>135</v>
      </c>
      <c r="D285" s="150" t="s">
        <v>1</v>
      </c>
      <c r="E285" s="152">
        <v>1.9409722222222221</v>
      </c>
      <c r="F285" s="150" t="s">
        <v>122</v>
      </c>
      <c r="G285" s="153">
        <v>9</v>
      </c>
      <c r="H285" s="154" t="s">
        <v>123</v>
      </c>
    </row>
    <row r="286" spans="1:8" ht="19.8" customHeight="1" x14ac:dyDescent="0.3">
      <c r="A286" s="149">
        <v>45989</v>
      </c>
      <c r="B286" s="150" t="s">
        <v>115</v>
      </c>
      <c r="C286" s="151" t="s">
        <v>135</v>
      </c>
      <c r="D286" s="150" t="s">
        <v>1</v>
      </c>
      <c r="E286" s="152">
        <v>1.9409722222222221</v>
      </c>
      <c r="F286" s="150" t="s">
        <v>117</v>
      </c>
      <c r="G286" s="153">
        <v>9</v>
      </c>
      <c r="H286" s="154" t="s">
        <v>123</v>
      </c>
    </row>
    <row r="287" spans="1:8" ht="19.8" customHeight="1" x14ac:dyDescent="0.3">
      <c r="A287" s="149">
        <v>45989</v>
      </c>
      <c r="B287" s="150" t="s">
        <v>52</v>
      </c>
      <c r="C287" s="151" t="s">
        <v>53</v>
      </c>
      <c r="D287" s="150" t="s">
        <v>1</v>
      </c>
      <c r="E287" s="152">
        <v>1.399305555555556</v>
      </c>
      <c r="F287" s="150" t="s">
        <v>60</v>
      </c>
      <c r="G287" s="153">
        <v>1</v>
      </c>
      <c r="H287" s="154" t="s">
        <v>65</v>
      </c>
    </row>
    <row r="288" spans="1:8" ht="19.8" customHeight="1" x14ac:dyDescent="0.3">
      <c r="A288" s="149">
        <v>45989</v>
      </c>
      <c r="B288" s="150" t="s">
        <v>52</v>
      </c>
      <c r="C288" s="151" t="s">
        <v>62</v>
      </c>
      <c r="D288" s="150" t="s">
        <v>1</v>
      </c>
      <c r="E288" s="152">
        <v>1.489583333333333</v>
      </c>
      <c r="F288" s="150" t="s">
        <v>60</v>
      </c>
      <c r="G288" s="153">
        <v>1</v>
      </c>
      <c r="H288" s="154" t="s">
        <v>65</v>
      </c>
    </row>
    <row r="289" spans="1:8" ht="19.8" customHeight="1" x14ac:dyDescent="0.3">
      <c r="A289" s="149">
        <v>45989</v>
      </c>
      <c r="B289" s="150" t="s">
        <v>52</v>
      </c>
      <c r="C289" s="151" t="s">
        <v>69</v>
      </c>
      <c r="D289" s="150" t="s">
        <v>1</v>
      </c>
      <c r="E289" s="152">
        <v>1.989583333333333</v>
      </c>
      <c r="F289" s="150" t="s">
        <v>60</v>
      </c>
      <c r="G289" s="153">
        <v>6</v>
      </c>
      <c r="H289" s="154" t="s">
        <v>65</v>
      </c>
    </row>
    <row r="290" spans="1:8" ht="19.8" customHeight="1" x14ac:dyDescent="0.3">
      <c r="A290" s="149">
        <v>45989</v>
      </c>
      <c r="B290" s="150" t="s">
        <v>79</v>
      </c>
      <c r="C290" s="151" t="s">
        <v>100</v>
      </c>
      <c r="D290" s="150" t="s">
        <v>1</v>
      </c>
      <c r="E290" s="152">
        <v>1.836805555555556</v>
      </c>
      <c r="F290" s="150" t="s">
        <v>86</v>
      </c>
      <c r="G290" s="153">
        <v>7</v>
      </c>
      <c r="H290" s="154" t="s">
        <v>211</v>
      </c>
    </row>
    <row r="291" spans="1:8" ht="19.8" customHeight="1" x14ac:dyDescent="0.3">
      <c r="A291" s="149">
        <v>45989</v>
      </c>
      <c r="B291" s="150" t="s">
        <v>79</v>
      </c>
      <c r="C291" s="151" t="s">
        <v>101</v>
      </c>
      <c r="D291" s="150" t="s">
        <v>1</v>
      </c>
      <c r="E291" s="152">
        <v>1.8888888888888891</v>
      </c>
      <c r="F291" s="150" t="s">
        <v>86</v>
      </c>
      <c r="G291" s="153">
        <v>9</v>
      </c>
      <c r="H291" s="154" t="s">
        <v>211</v>
      </c>
    </row>
    <row r="292" spans="1:8" ht="19.8" customHeight="1" x14ac:dyDescent="0.3">
      <c r="A292" s="149">
        <v>45989</v>
      </c>
      <c r="B292" s="150" t="s">
        <v>79</v>
      </c>
      <c r="C292" s="151" t="s">
        <v>100</v>
      </c>
      <c r="D292" s="150" t="s">
        <v>1</v>
      </c>
      <c r="E292" s="152">
        <v>1.836805555555556</v>
      </c>
      <c r="F292" s="150" t="s">
        <v>88</v>
      </c>
      <c r="G292" s="153">
        <v>7</v>
      </c>
      <c r="H292" s="154" t="s">
        <v>212</v>
      </c>
    </row>
    <row r="293" spans="1:8" ht="19.8" customHeight="1" x14ac:dyDescent="0.3">
      <c r="A293" s="149">
        <v>45989</v>
      </c>
      <c r="B293" s="150" t="s">
        <v>79</v>
      </c>
      <c r="C293" s="151" t="s">
        <v>101</v>
      </c>
      <c r="D293" s="150" t="s">
        <v>1</v>
      </c>
      <c r="E293" s="152">
        <v>1.8888888888888891</v>
      </c>
      <c r="F293" s="150" t="s">
        <v>88</v>
      </c>
      <c r="G293" s="153">
        <v>9</v>
      </c>
      <c r="H293" s="154" t="s">
        <v>212</v>
      </c>
    </row>
    <row r="294" spans="1:8" ht="19.8" customHeight="1" x14ac:dyDescent="0.3">
      <c r="A294" s="149">
        <v>45989</v>
      </c>
      <c r="B294" s="150" t="s">
        <v>140</v>
      </c>
      <c r="C294" s="151" t="s">
        <v>145</v>
      </c>
      <c r="D294" s="150" t="s">
        <v>1</v>
      </c>
      <c r="E294" s="152">
        <v>1.7847222222222221</v>
      </c>
      <c r="F294" s="150" t="s">
        <v>122</v>
      </c>
      <c r="G294" s="153">
        <v>9</v>
      </c>
      <c r="H294" s="154" t="s">
        <v>142</v>
      </c>
    </row>
    <row r="295" spans="1:8" ht="19.8" customHeight="1" x14ac:dyDescent="0.3">
      <c r="A295" s="149">
        <v>45989</v>
      </c>
      <c r="B295" s="150" t="s">
        <v>140</v>
      </c>
      <c r="C295" s="151" t="s">
        <v>216</v>
      </c>
      <c r="D295" s="150" t="s">
        <v>1</v>
      </c>
      <c r="E295" s="152">
        <v>1.5972222222222221</v>
      </c>
      <c r="F295" s="150" t="s">
        <v>122</v>
      </c>
      <c r="G295" s="153">
        <v>9</v>
      </c>
      <c r="H295" s="154" t="s">
        <v>142</v>
      </c>
    </row>
    <row r="296" spans="1:8" ht="19.8" customHeight="1" x14ac:dyDescent="0.3">
      <c r="A296" s="149">
        <v>45989</v>
      </c>
      <c r="B296" s="150" t="s">
        <v>140</v>
      </c>
      <c r="C296" s="151" t="s">
        <v>143</v>
      </c>
      <c r="D296" s="150" t="s">
        <v>1</v>
      </c>
      <c r="E296" s="152">
        <v>1.836805555555556</v>
      </c>
      <c r="F296" s="150" t="s">
        <v>122</v>
      </c>
      <c r="G296" s="153">
        <v>9</v>
      </c>
      <c r="H296" s="154" t="s">
        <v>217</v>
      </c>
    </row>
    <row r="297" spans="1:8" ht="19.8" customHeight="1" x14ac:dyDescent="0.3">
      <c r="A297" s="149">
        <v>45989</v>
      </c>
      <c r="B297" s="150" t="s">
        <v>115</v>
      </c>
      <c r="C297" s="151" t="s">
        <v>139</v>
      </c>
      <c r="D297" s="150" t="s">
        <v>1</v>
      </c>
      <c r="E297" s="152">
        <v>1.7013888888888891</v>
      </c>
      <c r="F297" s="150" t="s">
        <v>117</v>
      </c>
      <c r="G297" s="153">
        <v>9</v>
      </c>
      <c r="H297" s="154" t="s">
        <v>132</v>
      </c>
    </row>
    <row r="298" spans="1:8" ht="19.8" customHeight="1" x14ac:dyDescent="0.3">
      <c r="A298" s="149">
        <v>45989</v>
      </c>
      <c r="B298" s="150" t="s">
        <v>115</v>
      </c>
      <c r="C298" s="151" t="s">
        <v>125</v>
      </c>
      <c r="D298" s="150" t="s">
        <v>1</v>
      </c>
      <c r="E298" s="152">
        <v>1.989583333333333</v>
      </c>
      <c r="F298" s="150" t="s">
        <v>122</v>
      </c>
      <c r="G298" s="153">
        <v>4</v>
      </c>
      <c r="H298" s="154" t="s">
        <v>218</v>
      </c>
    </row>
    <row r="299" spans="1:8" ht="19.8" customHeight="1" x14ac:dyDescent="0.3">
      <c r="A299" s="149">
        <v>45989</v>
      </c>
      <c r="B299" s="150" t="s">
        <v>115</v>
      </c>
      <c r="C299" s="151" t="s">
        <v>125</v>
      </c>
      <c r="D299" s="150" t="s">
        <v>1</v>
      </c>
      <c r="E299" s="152">
        <v>1.989583333333333</v>
      </c>
      <c r="F299" s="150" t="s">
        <v>117</v>
      </c>
      <c r="G299" s="153">
        <v>4</v>
      </c>
      <c r="H299" s="154" t="s">
        <v>218</v>
      </c>
    </row>
    <row r="300" spans="1:8" ht="19.8" customHeight="1" x14ac:dyDescent="0.3">
      <c r="A300" s="149">
        <v>45989</v>
      </c>
      <c r="B300" s="150" t="s">
        <v>115</v>
      </c>
      <c r="C300" s="151" t="s">
        <v>127</v>
      </c>
      <c r="D300" s="150" t="s">
        <v>1</v>
      </c>
      <c r="E300" s="152">
        <v>1.399305555555556</v>
      </c>
      <c r="F300" s="150" t="s">
        <v>117</v>
      </c>
      <c r="G300" s="153">
        <v>4</v>
      </c>
      <c r="H300" s="154" t="s">
        <v>218</v>
      </c>
    </row>
    <row r="301" spans="1:8" ht="19.8" customHeight="1" x14ac:dyDescent="0.3">
      <c r="A301" s="149">
        <v>45989</v>
      </c>
      <c r="B301" s="150" t="s">
        <v>115</v>
      </c>
      <c r="C301" s="151" t="s">
        <v>128</v>
      </c>
      <c r="D301" s="150" t="s">
        <v>1</v>
      </c>
      <c r="E301" s="152">
        <v>1.489583333333333</v>
      </c>
      <c r="F301" s="150" t="s">
        <v>117</v>
      </c>
      <c r="G301" s="153">
        <v>4</v>
      </c>
      <c r="H301" s="154" t="s">
        <v>218</v>
      </c>
    </row>
    <row r="302" spans="1:8" ht="19.8" customHeight="1" x14ac:dyDescent="0.3">
      <c r="A302" s="149">
        <v>45989</v>
      </c>
      <c r="B302" s="150" t="s">
        <v>115</v>
      </c>
      <c r="C302" s="151" t="s">
        <v>130</v>
      </c>
      <c r="D302" s="150" t="s">
        <v>1</v>
      </c>
      <c r="E302" s="152">
        <v>1.8888888888888891</v>
      </c>
      <c r="F302" s="150" t="s">
        <v>122</v>
      </c>
      <c r="G302" s="153">
        <v>4</v>
      </c>
      <c r="H302" s="154" t="s">
        <v>218</v>
      </c>
    </row>
    <row r="303" spans="1:8" ht="19.8" customHeight="1" x14ac:dyDescent="0.3">
      <c r="A303" s="149">
        <v>45989</v>
      </c>
      <c r="B303" s="150" t="s">
        <v>115</v>
      </c>
      <c r="C303" s="151" t="s">
        <v>130</v>
      </c>
      <c r="D303" s="150" t="s">
        <v>1</v>
      </c>
      <c r="E303" s="152">
        <v>1.8888888888888891</v>
      </c>
      <c r="F303" s="150" t="s">
        <v>117</v>
      </c>
      <c r="G303" s="153">
        <v>4</v>
      </c>
      <c r="H303" s="154" t="s">
        <v>218</v>
      </c>
    </row>
    <row r="304" spans="1:8" ht="19.8" customHeight="1" x14ac:dyDescent="0.3">
      <c r="A304" s="149">
        <v>45989</v>
      </c>
      <c r="B304" s="150" t="s">
        <v>52</v>
      </c>
      <c r="C304" s="151" t="s">
        <v>66</v>
      </c>
      <c r="D304" s="150" t="s">
        <v>1</v>
      </c>
      <c r="E304" s="152">
        <v>1.8888888888888891</v>
      </c>
      <c r="F304" s="150" t="s">
        <v>60</v>
      </c>
      <c r="G304" s="153">
        <v>2</v>
      </c>
      <c r="H304" s="154" t="s">
        <v>207</v>
      </c>
    </row>
    <row r="305" spans="1:8" ht="19.8" customHeight="1" x14ac:dyDescent="0.3">
      <c r="A305" s="157">
        <v>45989</v>
      </c>
      <c r="B305" s="158" t="s">
        <v>26</v>
      </c>
      <c r="C305" s="159" t="s">
        <v>41</v>
      </c>
      <c r="D305" s="158" t="s">
        <v>1</v>
      </c>
      <c r="E305" s="160">
        <v>1.1423611111111109</v>
      </c>
      <c r="F305" s="158" t="s">
        <v>44</v>
      </c>
      <c r="G305" s="158"/>
      <c r="H305" s="161" t="s">
        <v>45</v>
      </c>
    </row>
    <row r="306" spans="1:8" ht="19.8" customHeight="1" x14ac:dyDescent="0.3">
      <c r="A306" s="149">
        <v>45990</v>
      </c>
      <c r="B306" s="150" t="s">
        <v>108</v>
      </c>
      <c r="C306" s="151" t="s">
        <v>155</v>
      </c>
      <c r="D306" s="150" t="s">
        <v>1</v>
      </c>
      <c r="E306" s="152">
        <v>1.1701388888888891</v>
      </c>
      <c r="F306" s="150" t="s">
        <v>110</v>
      </c>
      <c r="G306" s="153">
        <v>9</v>
      </c>
      <c r="H306" s="154" t="s">
        <v>219</v>
      </c>
    </row>
    <row r="307" spans="1:8" ht="19.8" customHeight="1" x14ac:dyDescent="0.3">
      <c r="A307" s="149">
        <v>45990</v>
      </c>
      <c r="B307" s="150" t="s">
        <v>108</v>
      </c>
      <c r="C307" s="151" t="s">
        <v>155</v>
      </c>
      <c r="D307" s="150" t="s">
        <v>1</v>
      </c>
      <c r="E307" s="152">
        <v>1.1701388888888891</v>
      </c>
      <c r="F307" s="150" t="s">
        <v>113</v>
      </c>
      <c r="G307" s="153">
        <v>9</v>
      </c>
      <c r="H307" s="154" t="s">
        <v>219</v>
      </c>
    </row>
    <row r="308" spans="1:8" ht="19.8" customHeight="1" x14ac:dyDescent="0.3">
      <c r="A308" s="149">
        <v>45990</v>
      </c>
      <c r="B308" s="150" t="s">
        <v>72</v>
      </c>
      <c r="C308" s="151" t="s">
        <v>73</v>
      </c>
      <c r="D308" s="150" t="s">
        <v>1</v>
      </c>
      <c r="E308" s="152">
        <v>1.041666666666667</v>
      </c>
      <c r="F308" s="150" t="s">
        <v>28</v>
      </c>
      <c r="G308" s="153">
        <v>6</v>
      </c>
      <c r="H308" s="154" t="s">
        <v>182</v>
      </c>
    </row>
    <row r="309" spans="1:8" ht="19.8" customHeight="1" x14ac:dyDescent="0.3">
      <c r="A309" s="149">
        <v>45990</v>
      </c>
      <c r="B309" s="150" t="s">
        <v>108</v>
      </c>
      <c r="C309" s="151" t="s">
        <v>109</v>
      </c>
      <c r="D309" s="150" t="s">
        <v>1</v>
      </c>
      <c r="E309" s="152">
        <v>1.055555555555556</v>
      </c>
      <c r="F309" s="150" t="s">
        <v>113</v>
      </c>
      <c r="G309" s="153">
        <v>9</v>
      </c>
      <c r="H309" s="154" t="s">
        <v>221</v>
      </c>
    </row>
    <row r="310" spans="1:8" ht="19.8" customHeight="1" x14ac:dyDescent="0.3">
      <c r="A310" s="149">
        <v>45990</v>
      </c>
      <c r="B310" s="150" t="s">
        <v>52</v>
      </c>
      <c r="C310" s="151" t="s">
        <v>53</v>
      </c>
      <c r="D310" s="150" t="s">
        <v>1</v>
      </c>
      <c r="E310" s="152">
        <v>1.399305555555556</v>
      </c>
      <c r="F310" s="150" t="s">
        <v>54</v>
      </c>
      <c r="G310" s="153">
        <v>8</v>
      </c>
      <c r="H310" s="154" t="s">
        <v>89</v>
      </c>
    </row>
    <row r="311" spans="1:8" ht="19.8" customHeight="1" x14ac:dyDescent="0.3">
      <c r="A311" s="149">
        <v>45990</v>
      </c>
      <c r="B311" s="150" t="s">
        <v>52</v>
      </c>
      <c r="C311" s="151" t="s">
        <v>53</v>
      </c>
      <c r="D311" s="150" t="s">
        <v>1</v>
      </c>
      <c r="E311" s="152">
        <v>1.399305555555556</v>
      </c>
      <c r="F311" s="150" t="s">
        <v>56</v>
      </c>
      <c r="G311" s="153">
        <v>8</v>
      </c>
      <c r="H311" s="154" t="s">
        <v>89</v>
      </c>
    </row>
    <row r="312" spans="1:8" ht="19.8" customHeight="1" x14ac:dyDescent="0.3">
      <c r="A312" s="149">
        <v>45990</v>
      </c>
      <c r="B312" s="150" t="s">
        <v>52</v>
      </c>
      <c r="C312" s="151" t="s">
        <v>69</v>
      </c>
      <c r="D312" s="150" t="s">
        <v>1</v>
      </c>
      <c r="E312" s="152">
        <v>1.989583333333333</v>
      </c>
      <c r="F312" s="150" t="s">
        <v>54</v>
      </c>
      <c r="G312" s="153">
        <v>7</v>
      </c>
      <c r="H312" s="154" t="s">
        <v>89</v>
      </c>
    </row>
    <row r="313" spans="1:8" ht="19.8" customHeight="1" x14ac:dyDescent="0.3">
      <c r="A313" s="149">
        <v>45990</v>
      </c>
      <c r="B313" s="150" t="s">
        <v>52</v>
      </c>
      <c r="C313" s="151" t="s">
        <v>69</v>
      </c>
      <c r="D313" s="150" t="s">
        <v>1</v>
      </c>
      <c r="E313" s="152">
        <v>1.989583333333333</v>
      </c>
      <c r="F313" s="150" t="s">
        <v>56</v>
      </c>
      <c r="G313" s="153">
        <v>7</v>
      </c>
      <c r="H313" s="154" t="s">
        <v>89</v>
      </c>
    </row>
    <row r="314" spans="1:8" ht="19.8" customHeight="1" x14ac:dyDescent="0.3">
      <c r="A314" s="149">
        <v>45990</v>
      </c>
      <c r="B314" s="150" t="s">
        <v>108</v>
      </c>
      <c r="C314" s="151" t="s">
        <v>155</v>
      </c>
      <c r="D314" s="150" t="s">
        <v>1</v>
      </c>
      <c r="E314" s="152">
        <v>1.1701388888888891</v>
      </c>
      <c r="F314" s="150" t="s">
        <v>60</v>
      </c>
      <c r="G314" s="153">
        <v>9</v>
      </c>
      <c r="H314" s="154" t="s">
        <v>220</v>
      </c>
    </row>
    <row r="315" spans="1:8" ht="19.8" customHeight="1" x14ac:dyDescent="0.3">
      <c r="A315" s="149">
        <v>45990</v>
      </c>
      <c r="B315" s="150" t="s">
        <v>72</v>
      </c>
      <c r="C315" s="151" t="s">
        <v>76</v>
      </c>
      <c r="D315" s="150" t="s">
        <v>1</v>
      </c>
      <c r="E315" s="152">
        <v>1.493055555555556</v>
      </c>
      <c r="F315" s="150" t="s">
        <v>28</v>
      </c>
      <c r="G315" s="153">
        <v>9</v>
      </c>
      <c r="H315" s="154" t="s">
        <v>208</v>
      </c>
    </row>
    <row r="316" spans="1:8" ht="19.8" customHeight="1" x14ac:dyDescent="0.3">
      <c r="A316" s="149">
        <v>45990</v>
      </c>
      <c r="B316" s="150" t="s">
        <v>52</v>
      </c>
      <c r="C316" s="151" t="s">
        <v>62</v>
      </c>
      <c r="D316" s="150" t="s">
        <v>1</v>
      </c>
      <c r="E316" s="152">
        <v>1.489583333333333</v>
      </c>
      <c r="F316" s="150" t="s">
        <v>54</v>
      </c>
      <c r="G316" s="153">
        <v>9</v>
      </c>
      <c r="H316" s="154" t="s">
        <v>181</v>
      </c>
    </row>
    <row r="317" spans="1:8" ht="19.8" customHeight="1" x14ac:dyDescent="0.3">
      <c r="A317" s="149">
        <v>45990</v>
      </c>
      <c r="B317" s="150" t="s">
        <v>52</v>
      </c>
      <c r="C317" s="151" t="s">
        <v>62</v>
      </c>
      <c r="D317" s="150" t="s">
        <v>1</v>
      </c>
      <c r="E317" s="152">
        <v>1.489583333333333</v>
      </c>
      <c r="F317" s="150" t="s">
        <v>56</v>
      </c>
      <c r="G317" s="153">
        <v>9</v>
      </c>
      <c r="H317" s="154" t="s">
        <v>181</v>
      </c>
    </row>
    <row r="318" spans="1:8" ht="19.8" customHeight="1" x14ac:dyDescent="0.3">
      <c r="A318" s="149">
        <v>45990</v>
      </c>
      <c r="B318" s="150" t="s">
        <v>52</v>
      </c>
      <c r="C318" s="151" t="s">
        <v>66</v>
      </c>
      <c r="D318" s="150" t="s">
        <v>1</v>
      </c>
      <c r="E318" s="152">
        <v>1.8888888888888891</v>
      </c>
      <c r="F318" s="150" t="s">
        <v>54</v>
      </c>
      <c r="G318" s="153">
        <v>14</v>
      </c>
      <c r="H318" s="154" t="s">
        <v>181</v>
      </c>
    </row>
    <row r="319" spans="1:8" ht="19.8" customHeight="1" x14ac:dyDescent="0.3">
      <c r="A319" s="149">
        <v>45990</v>
      </c>
      <c r="B319" s="150" t="s">
        <v>52</v>
      </c>
      <c r="C319" s="151" t="s">
        <v>66</v>
      </c>
      <c r="D319" s="150" t="s">
        <v>1</v>
      </c>
      <c r="E319" s="152">
        <v>1.8888888888888891</v>
      </c>
      <c r="F319" s="150" t="s">
        <v>56</v>
      </c>
      <c r="G319" s="153">
        <v>14</v>
      </c>
      <c r="H319" s="154" t="s">
        <v>181</v>
      </c>
    </row>
    <row r="320" spans="1:8" ht="19.8" customHeight="1" x14ac:dyDescent="0.3">
      <c r="A320" s="149">
        <v>45990</v>
      </c>
      <c r="B320" s="150" t="s">
        <v>79</v>
      </c>
      <c r="C320" s="151" t="s">
        <v>97</v>
      </c>
      <c r="D320" s="150" t="s">
        <v>1</v>
      </c>
      <c r="E320" s="152">
        <v>1.3472222222222221</v>
      </c>
      <c r="F320" s="150" t="s">
        <v>81</v>
      </c>
      <c r="G320" s="153">
        <v>9</v>
      </c>
      <c r="H320" s="154" t="s">
        <v>181</v>
      </c>
    </row>
    <row r="321" spans="1:8" ht="19.8" customHeight="1" x14ac:dyDescent="0.3">
      <c r="A321" s="149">
        <v>45990</v>
      </c>
      <c r="B321" s="150" t="s">
        <v>79</v>
      </c>
      <c r="C321" s="151" t="s">
        <v>97</v>
      </c>
      <c r="D321" s="150" t="s">
        <v>1</v>
      </c>
      <c r="E321" s="152">
        <v>1.3472222222222221</v>
      </c>
      <c r="F321" s="150" t="s">
        <v>84</v>
      </c>
      <c r="G321" s="153">
        <v>9</v>
      </c>
      <c r="H321" s="154" t="s">
        <v>181</v>
      </c>
    </row>
    <row r="322" spans="1:8" ht="19.8" customHeight="1" x14ac:dyDescent="0.3">
      <c r="A322" s="149">
        <v>45990</v>
      </c>
      <c r="B322" s="150" t="s">
        <v>79</v>
      </c>
      <c r="C322" s="151" t="s">
        <v>80</v>
      </c>
      <c r="D322" s="150" t="s">
        <v>1</v>
      </c>
      <c r="E322" s="152">
        <v>1.993055555555556</v>
      </c>
      <c r="F322" s="150" t="s">
        <v>81</v>
      </c>
      <c r="G322" s="153">
        <v>5</v>
      </c>
      <c r="H322" s="154" t="s">
        <v>181</v>
      </c>
    </row>
    <row r="323" spans="1:8" ht="19.8" customHeight="1" x14ac:dyDescent="0.3">
      <c r="A323" s="149">
        <v>45990</v>
      </c>
      <c r="B323" s="150" t="s">
        <v>79</v>
      </c>
      <c r="C323" s="151" t="s">
        <v>80</v>
      </c>
      <c r="D323" s="150" t="s">
        <v>1</v>
      </c>
      <c r="E323" s="152">
        <v>1.993055555555556</v>
      </c>
      <c r="F323" s="150" t="s">
        <v>84</v>
      </c>
      <c r="G323" s="153">
        <v>5</v>
      </c>
      <c r="H323" s="154" t="s">
        <v>181</v>
      </c>
    </row>
    <row r="324" spans="1:8" ht="19.8" customHeight="1" x14ac:dyDescent="0.3">
      <c r="A324" s="149">
        <v>45990</v>
      </c>
      <c r="B324" s="150" t="s">
        <v>79</v>
      </c>
      <c r="C324" s="151" t="s">
        <v>93</v>
      </c>
      <c r="D324" s="150" t="s">
        <v>1</v>
      </c>
      <c r="E324" s="152">
        <v>1.4861111111111109</v>
      </c>
      <c r="F324" s="150" t="s">
        <v>81</v>
      </c>
      <c r="G324" s="153">
        <v>1</v>
      </c>
      <c r="H324" s="154" t="s">
        <v>181</v>
      </c>
    </row>
    <row r="325" spans="1:8" ht="19.8" customHeight="1" x14ac:dyDescent="0.3">
      <c r="A325" s="149">
        <v>45990</v>
      </c>
      <c r="B325" s="150" t="s">
        <v>79</v>
      </c>
      <c r="C325" s="151" t="s">
        <v>93</v>
      </c>
      <c r="D325" s="150" t="s">
        <v>1</v>
      </c>
      <c r="E325" s="152">
        <v>1.4861111111111109</v>
      </c>
      <c r="F325" s="150" t="s">
        <v>84</v>
      </c>
      <c r="G325" s="153">
        <v>1</v>
      </c>
      <c r="H325" s="154" t="s">
        <v>181</v>
      </c>
    </row>
    <row r="326" spans="1:8" ht="19.8" customHeight="1" x14ac:dyDescent="0.3">
      <c r="A326" s="149">
        <v>45990</v>
      </c>
      <c r="B326" s="150" t="s">
        <v>108</v>
      </c>
      <c r="C326" s="151" t="s">
        <v>109</v>
      </c>
      <c r="D326" s="150" t="s">
        <v>1</v>
      </c>
      <c r="E326" s="152">
        <v>1.055555555555556</v>
      </c>
      <c r="F326" s="150" t="s">
        <v>60</v>
      </c>
      <c r="G326" s="153">
        <v>9</v>
      </c>
      <c r="H326" s="154" t="s">
        <v>222</v>
      </c>
    </row>
    <row r="327" spans="1:8" ht="19.8" customHeight="1" x14ac:dyDescent="0.3">
      <c r="A327" s="149">
        <v>45990</v>
      </c>
      <c r="B327" s="150" t="s">
        <v>52</v>
      </c>
      <c r="C327" s="151" t="s">
        <v>53</v>
      </c>
      <c r="D327" s="150" t="s">
        <v>1</v>
      </c>
      <c r="E327" s="152">
        <v>1.399305555555556</v>
      </c>
      <c r="F327" s="150" t="s">
        <v>58</v>
      </c>
      <c r="G327" s="153">
        <v>8</v>
      </c>
      <c r="H327" s="154" t="s">
        <v>206</v>
      </c>
    </row>
    <row r="328" spans="1:8" ht="19.8" customHeight="1" x14ac:dyDescent="0.3">
      <c r="A328" s="149">
        <v>45990</v>
      </c>
      <c r="B328" s="150" t="s">
        <v>52</v>
      </c>
      <c r="C328" s="151" t="s">
        <v>69</v>
      </c>
      <c r="D328" s="150" t="s">
        <v>1</v>
      </c>
      <c r="E328" s="152">
        <v>1.989583333333333</v>
      </c>
      <c r="F328" s="150" t="s">
        <v>58</v>
      </c>
      <c r="G328" s="153">
        <v>7</v>
      </c>
      <c r="H328" s="154" t="s">
        <v>206</v>
      </c>
    </row>
    <row r="329" spans="1:8" ht="19.8" customHeight="1" x14ac:dyDescent="0.3">
      <c r="A329" s="149">
        <v>45990</v>
      </c>
      <c r="B329" s="150" t="s">
        <v>79</v>
      </c>
      <c r="C329" s="151" t="s">
        <v>97</v>
      </c>
      <c r="D329" s="150" t="s">
        <v>1</v>
      </c>
      <c r="E329" s="152">
        <v>1.3472222222222221</v>
      </c>
      <c r="F329" s="150" t="s">
        <v>86</v>
      </c>
      <c r="G329" s="153">
        <v>9</v>
      </c>
      <c r="H329" s="154" t="s">
        <v>206</v>
      </c>
    </row>
    <row r="330" spans="1:8" ht="19.8" customHeight="1" x14ac:dyDescent="0.3">
      <c r="A330" s="149">
        <v>45990</v>
      </c>
      <c r="B330" s="150" t="s">
        <v>79</v>
      </c>
      <c r="C330" s="151" t="s">
        <v>80</v>
      </c>
      <c r="D330" s="150" t="s">
        <v>1</v>
      </c>
      <c r="E330" s="152">
        <v>1.993055555555556</v>
      </c>
      <c r="F330" s="150" t="s">
        <v>86</v>
      </c>
      <c r="G330" s="153">
        <v>5</v>
      </c>
      <c r="H330" s="154" t="s">
        <v>206</v>
      </c>
    </row>
    <row r="331" spans="1:8" ht="19.8" customHeight="1" x14ac:dyDescent="0.3">
      <c r="A331" s="149">
        <v>45990</v>
      </c>
      <c r="B331" s="150" t="s">
        <v>79</v>
      </c>
      <c r="C331" s="151" t="s">
        <v>93</v>
      </c>
      <c r="D331" s="150" t="s">
        <v>1</v>
      </c>
      <c r="E331" s="152">
        <v>1.4861111111111109</v>
      </c>
      <c r="F331" s="150" t="s">
        <v>86</v>
      </c>
      <c r="G331" s="153">
        <v>1</v>
      </c>
      <c r="H331" s="154" t="s">
        <v>206</v>
      </c>
    </row>
    <row r="332" spans="1:8" ht="19.8" customHeight="1" x14ac:dyDescent="0.3">
      <c r="A332" s="149">
        <v>45990</v>
      </c>
      <c r="B332" s="150" t="s">
        <v>52</v>
      </c>
      <c r="C332" s="151" t="s">
        <v>62</v>
      </c>
      <c r="D332" s="150" t="s">
        <v>1</v>
      </c>
      <c r="E332" s="152">
        <v>1.489583333333333</v>
      </c>
      <c r="F332" s="150" t="s">
        <v>58</v>
      </c>
      <c r="G332" s="153">
        <v>9</v>
      </c>
      <c r="H332" s="154" t="s">
        <v>185</v>
      </c>
    </row>
    <row r="333" spans="1:8" ht="19.8" customHeight="1" x14ac:dyDescent="0.3">
      <c r="A333" s="149">
        <v>45990</v>
      </c>
      <c r="B333" s="150" t="s">
        <v>52</v>
      </c>
      <c r="C333" s="151" t="s">
        <v>66</v>
      </c>
      <c r="D333" s="150" t="s">
        <v>1</v>
      </c>
      <c r="E333" s="152">
        <v>1.8888888888888891</v>
      </c>
      <c r="F333" s="150" t="s">
        <v>58</v>
      </c>
      <c r="G333" s="153">
        <v>14</v>
      </c>
      <c r="H333" s="154" t="s">
        <v>185</v>
      </c>
    </row>
    <row r="334" spans="1:8" ht="19.8" customHeight="1" x14ac:dyDescent="0.3">
      <c r="A334" s="149">
        <v>45990</v>
      </c>
      <c r="B334" s="150" t="s">
        <v>140</v>
      </c>
      <c r="C334" s="151" t="s">
        <v>141</v>
      </c>
      <c r="D334" s="150" t="s">
        <v>1</v>
      </c>
      <c r="E334" s="152">
        <v>1.9722222222222221</v>
      </c>
      <c r="F334" s="150" t="s">
        <v>122</v>
      </c>
      <c r="G334" s="153">
        <v>9</v>
      </c>
      <c r="H334" s="154" t="s">
        <v>214</v>
      </c>
    </row>
    <row r="335" spans="1:8" ht="19.8" customHeight="1" x14ac:dyDescent="0.3">
      <c r="A335" s="149">
        <v>45990</v>
      </c>
      <c r="B335" s="150" t="s">
        <v>140</v>
      </c>
      <c r="C335" s="151" t="s">
        <v>215</v>
      </c>
      <c r="D335" s="150" t="s">
        <v>1</v>
      </c>
      <c r="E335" s="152">
        <v>1.1076388888888891</v>
      </c>
      <c r="F335" s="150" t="s">
        <v>122</v>
      </c>
      <c r="G335" s="153">
        <v>9</v>
      </c>
      <c r="H335" s="154" t="s">
        <v>225</v>
      </c>
    </row>
    <row r="336" spans="1:8" ht="19.8" customHeight="1" x14ac:dyDescent="0.3">
      <c r="A336" s="149">
        <v>45990</v>
      </c>
      <c r="B336" s="150" t="s">
        <v>79</v>
      </c>
      <c r="C336" s="151" t="s">
        <v>97</v>
      </c>
      <c r="D336" s="150" t="s">
        <v>1</v>
      </c>
      <c r="E336" s="152">
        <v>1.3472222222222221</v>
      </c>
      <c r="F336" s="150" t="s">
        <v>88</v>
      </c>
      <c r="G336" s="153">
        <v>9</v>
      </c>
      <c r="H336" s="154" t="s">
        <v>209</v>
      </c>
    </row>
    <row r="337" spans="1:8" ht="19.8" customHeight="1" x14ac:dyDescent="0.3">
      <c r="A337" s="149">
        <v>45990</v>
      </c>
      <c r="B337" s="150" t="s">
        <v>79</v>
      </c>
      <c r="C337" s="151" t="s">
        <v>80</v>
      </c>
      <c r="D337" s="150" t="s">
        <v>1</v>
      </c>
      <c r="E337" s="152">
        <v>1.993055555555556</v>
      </c>
      <c r="F337" s="150" t="s">
        <v>88</v>
      </c>
      <c r="G337" s="153">
        <v>5</v>
      </c>
      <c r="H337" s="154" t="s">
        <v>209</v>
      </c>
    </row>
    <row r="338" spans="1:8" ht="19.8" customHeight="1" x14ac:dyDescent="0.3">
      <c r="A338" s="149">
        <v>45990</v>
      </c>
      <c r="B338" s="150" t="s">
        <v>79</v>
      </c>
      <c r="C338" s="151" t="s">
        <v>93</v>
      </c>
      <c r="D338" s="150" t="s">
        <v>1</v>
      </c>
      <c r="E338" s="152">
        <v>1.4861111111111109</v>
      </c>
      <c r="F338" s="150" t="s">
        <v>88</v>
      </c>
      <c r="G338" s="153">
        <v>1</v>
      </c>
      <c r="H338" s="154" t="s">
        <v>209</v>
      </c>
    </row>
    <row r="339" spans="1:8" ht="19.8" customHeight="1" x14ac:dyDescent="0.3">
      <c r="A339" s="149">
        <v>45990</v>
      </c>
      <c r="B339" s="150" t="s">
        <v>79</v>
      </c>
      <c r="C339" s="151" t="s">
        <v>99</v>
      </c>
      <c r="D339" s="150" t="s">
        <v>1</v>
      </c>
      <c r="E339" s="152">
        <v>1.75</v>
      </c>
      <c r="F339" s="150" t="s">
        <v>81</v>
      </c>
      <c r="G339" s="153">
        <v>9</v>
      </c>
      <c r="H339" s="154" t="s">
        <v>210</v>
      </c>
    </row>
    <row r="340" spans="1:8" ht="19.8" customHeight="1" x14ac:dyDescent="0.3">
      <c r="A340" s="149">
        <v>45990</v>
      </c>
      <c r="B340" s="150" t="s">
        <v>79</v>
      </c>
      <c r="C340" s="151" t="s">
        <v>99</v>
      </c>
      <c r="D340" s="150" t="s">
        <v>1</v>
      </c>
      <c r="E340" s="152">
        <v>1.75</v>
      </c>
      <c r="F340" s="150" t="s">
        <v>84</v>
      </c>
      <c r="G340" s="153">
        <v>9</v>
      </c>
      <c r="H340" s="154" t="s">
        <v>210</v>
      </c>
    </row>
    <row r="341" spans="1:8" ht="19.8" customHeight="1" x14ac:dyDescent="0.3">
      <c r="A341" s="149">
        <v>45990</v>
      </c>
      <c r="B341" s="150" t="s">
        <v>79</v>
      </c>
      <c r="C341" s="151" t="s">
        <v>100</v>
      </c>
      <c r="D341" s="150" t="s">
        <v>1</v>
      </c>
      <c r="E341" s="152">
        <v>1.836805555555556</v>
      </c>
      <c r="F341" s="150" t="s">
        <v>81</v>
      </c>
      <c r="G341" s="153">
        <v>9</v>
      </c>
      <c r="H341" s="154" t="s">
        <v>210</v>
      </c>
    </row>
    <row r="342" spans="1:8" ht="19.8" customHeight="1" x14ac:dyDescent="0.3">
      <c r="A342" s="149">
        <v>45990</v>
      </c>
      <c r="B342" s="150" t="s">
        <v>79</v>
      </c>
      <c r="C342" s="151" t="s">
        <v>100</v>
      </c>
      <c r="D342" s="150" t="s">
        <v>1</v>
      </c>
      <c r="E342" s="152">
        <v>1.836805555555556</v>
      </c>
      <c r="F342" s="150" t="s">
        <v>84</v>
      </c>
      <c r="G342" s="153">
        <v>9</v>
      </c>
      <c r="H342" s="154" t="s">
        <v>210</v>
      </c>
    </row>
    <row r="343" spans="1:8" ht="19.8" customHeight="1" x14ac:dyDescent="0.3">
      <c r="A343" s="149">
        <v>45990</v>
      </c>
      <c r="B343" s="150" t="s">
        <v>79</v>
      </c>
      <c r="C343" s="151" t="s">
        <v>90</v>
      </c>
      <c r="D343" s="150" t="s">
        <v>1</v>
      </c>
      <c r="E343" s="152">
        <v>1.944444444444444</v>
      </c>
      <c r="F343" s="150" t="s">
        <v>81</v>
      </c>
      <c r="G343" s="153">
        <v>9</v>
      </c>
      <c r="H343" s="154" t="s">
        <v>210</v>
      </c>
    </row>
    <row r="344" spans="1:8" ht="19.8" customHeight="1" x14ac:dyDescent="0.3">
      <c r="A344" s="149">
        <v>45990</v>
      </c>
      <c r="B344" s="150" t="s">
        <v>79</v>
      </c>
      <c r="C344" s="151" t="s">
        <v>90</v>
      </c>
      <c r="D344" s="150" t="s">
        <v>1</v>
      </c>
      <c r="E344" s="152">
        <v>1.944444444444444</v>
      </c>
      <c r="F344" s="150" t="s">
        <v>84</v>
      </c>
      <c r="G344" s="153">
        <v>9</v>
      </c>
      <c r="H344" s="154" t="s">
        <v>210</v>
      </c>
    </row>
    <row r="345" spans="1:8" ht="19.8" customHeight="1" x14ac:dyDescent="0.3">
      <c r="A345" s="149">
        <v>45990</v>
      </c>
      <c r="B345" s="150" t="s">
        <v>79</v>
      </c>
      <c r="C345" s="151" t="s">
        <v>101</v>
      </c>
      <c r="D345" s="150" t="s">
        <v>1</v>
      </c>
      <c r="E345" s="152">
        <v>1.8888888888888891</v>
      </c>
      <c r="F345" s="150" t="s">
        <v>81</v>
      </c>
      <c r="G345" s="153">
        <v>9</v>
      </c>
      <c r="H345" s="154" t="s">
        <v>210</v>
      </c>
    </row>
    <row r="346" spans="1:8" ht="19.8" customHeight="1" x14ac:dyDescent="0.3">
      <c r="A346" s="149">
        <v>45990</v>
      </c>
      <c r="B346" s="150" t="s">
        <v>79</v>
      </c>
      <c r="C346" s="151" t="s">
        <v>101</v>
      </c>
      <c r="D346" s="150" t="s">
        <v>1</v>
      </c>
      <c r="E346" s="152">
        <v>1.8888888888888891</v>
      </c>
      <c r="F346" s="150" t="s">
        <v>84</v>
      </c>
      <c r="G346" s="153">
        <v>9</v>
      </c>
      <c r="H346" s="154" t="s">
        <v>210</v>
      </c>
    </row>
    <row r="347" spans="1:8" ht="19.8" customHeight="1" x14ac:dyDescent="0.3">
      <c r="A347" s="149">
        <v>45990</v>
      </c>
      <c r="B347" s="150" t="s">
        <v>102</v>
      </c>
      <c r="C347" s="151" t="s">
        <v>103</v>
      </c>
      <c r="D347" s="150" t="s">
        <v>1</v>
      </c>
      <c r="E347" s="152">
        <v>1.0972222222222221</v>
      </c>
      <c r="F347" s="150" t="s">
        <v>28</v>
      </c>
      <c r="G347" s="153">
        <v>4</v>
      </c>
      <c r="H347" s="154" t="s">
        <v>226</v>
      </c>
    </row>
    <row r="348" spans="1:8" ht="19.8" customHeight="1" x14ac:dyDescent="0.3">
      <c r="A348" s="149">
        <v>45990</v>
      </c>
      <c r="B348" s="150" t="s">
        <v>79</v>
      </c>
      <c r="C348" s="151" t="s">
        <v>99</v>
      </c>
      <c r="D348" s="150" t="s">
        <v>1</v>
      </c>
      <c r="E348" s="152">
        <v>1.75</v>
      </c>
      <c r="F348" s="150" t="s">
        <v>86</v>
      </c>
      <c r="G348" s="153">
        <v>9</v>
      </c>
      <c r="H348" s="154" t="s">
        <v>211</v>
      </c>
    </row>
    <row r="349" spans="1:8" ht="19.8" customHeight="1" x14ac:dyDescent="0.3">
      <c r="A349" s="149">
        <v>45990</v>
      </c>
      <c r="B349" s="150" t="s">
        <v>79</v>
      </c>
      <c r="C349" s="151" t="s">
        <v>100</v>
      </c>
      <c r="D349" s="150" t="s">
        <v>1</v>
      </c>
      <c r="E349" s="152">
        <v>1.836805555555556</v>
      </c>
      <c r="F349" s="150" t="s">
        <v>86</v>
      </c>
      <c r="G349" s="153">
        <v>9</v>
      </c>
      <c r="H349" s="154" t="s">
        <v>211</v>
      </c>
    </row>
    <row r="350" spans="1:8" ht="19.8" customHeight="1" x14ac:dyDescent="0.3">
      <c r="A350" s="149">
        <v>45990</v>
      </c>
      <c r="B350" s="150" t="s">
        <v>79</v>
      </c>
      <c r="C350" s="151" t="s">
        <v>90</v>
      </c>
      <c r="D350" s="150" t="s">
        <v>1</v>
      </c>
      <c r="E350" s="152">
        <v>1.944444444444444</v>
      </c>
      <c r="F350" s="150" t="s">
        <v>86</v>
      </c>
      <c r="G350" s="153">
        <v>9</v>
      </c>
      <c r="H350" s="154" t="s">
        <v>211</v>
      </c>
    </row>
    <row r="351" spans="1:8" ht="19.8" customHeight="1" x14ac:dyDescent="0.3">
      <c r="A351" s="149">
        <v>45990</v>
      </c>
      <c r="B351" s="150" t="s">
        <v>79</v>
      </c>
      <c r="C351" s="151" t="s">
        <v>101</v>
      </c>
      <c r="D351" s="150" t="s">
        <v>1</v>
      </c>
      <c r="E351" s="152">
        <v>1.8888888888888891</v>
      </c>
      <c r="F351" s="150" t="s">
        <v>86</v>
      </c>
      <c r="G351" s="153">
        <v>9</v>
      </c>
      <c r="H351" s="154" t="s">
        <v>211</v>
      </c>
    </row>
    <row r="352" spans="1:8" ht="19.8" customHeight="1" x14ac:dyDescent="0.3">
      <c r="A352" s="149">
        <v>45990</v>
      </c>
      <c r="B352" s="150" t="s">
        <v>115</v>
      </c>
      <c r="C352" s="151" t="s">
        <v>121</v>
      </c>
      <c r="D352" s="150" t="s">
        <v>1</v>
      </c>
      <c r="E352" s="152">
        <v>1.8298611111111109</v>
      </c>
      <c r="F352" s="150" t="s">
        <v>122</v>
      </c>
      <c r="G352" s="153">
        <v>9</v>
      </c>
      <c r="H352" s="154" t="s">
        <v>227</v>
      </c>
    </row>
    <row r="353" spans="1:8" ht="19.8" customHeight="1" x14ac:dyDescent="0.3">
      <c r="A353" s="149">
        <v>45990</v>
      </c>
      <c r="B353" s="150" t="s">
        <v>115</v>
      </c>
      <c r="C353" s="151" t="s">
        <v>121</v>
      </c>
      <c r="D353" s="150" t="s">
        <v>1</v>
      </c>
      <c r="E353" s="152">
        <v>1.8298611111111109</v>
      </c>
      <c r="F353" s="150" t="s">
        <v>117</v>
      </c>
      <c r="G353" s="153">
        <v>9</v>
      </c>
      <c r="H353" s="154" t="s">
        <v>227</v>
      </c>
    </row>
    <row r="354" spans="1:8" ht="19.8" customHeight="1" x14ac:dyDescent="0.3">
      <c r="A354" s="149">
        <v>45990</v>
      </c>
      <c r="B354" s="150" t="s">
        <v>79</v>
      </c>
      <c r="C354" s="151" t="s">
        <v>99</v>
      </c>
      <c r="D354" s="150" t="s">
        <v>1</v>
      </c>
      <c r="E354" s="152">
        <v>1.75</v>
      </c>
      <c r="F354" s="150" t="s">
        <v>88</v>
      </c>
      <c r="G354" s="153">
        <v>9</v>
      </c>
      <c r="H354" s="154" t="s">
        <v>212</v>
      </c>
    </row>
    <row r="355" spans="1:8" ht="19.8" customHeight="1" x14ac:dyDescent="0.3">
      <c r="A355" s="149">
        <v>45990</v>
      </c>
      <c r="B355" s="150" t="s">
        <v>79</v>
      </c>
      <c r="C355" s="151" t="s">
        <v>100</v>
      </c>
      <c r="D355" s="150" t="s">
        <v>1</v>
      </c>
      <c r="E355" s="152">
        <v>1.836805555555556</v>
      </c>
      <c r="F355" s="150" t="s">
        <v>88</v>
      </c>
      <c r="G355" s="153">
        <v>9</v>
      </c>
      <c r="H355" s="154" t="s">
        <v>212</v>
      </c>
    </row>
    <row r="356" spans="1:8" ht="19.8" customHeight="1" x14ac:dyDescent="0.3">
      <c r="A356" s="149">
        <v>45990</v>
      </c>
      <c r="B356" s="150" t="s">
        <v>79</v>
      </c>
      <c r="C356" s="151" t="s">
        <v>90</v>
      </c>
      <c r="D356" s="150" t="s">
        <v>1</v>
      </c>
      <c r="E356" s="152">
        <v>1.944444444444444</v>
      </c>
      <c r="F356" s="150" t="s">
        <v>88</v>
      </c>
      <c r="G356" s="153">
        <v>9</v>
      </c>
      <c r="H356" s="154" t="s">
        <v>212</v>
      </c>
    </row>
    <row r="357" spans="1:8" ht="19.8" customHeight="1" x14ac:dyDescent="0.3">
      <c r="A357" s="149">
        <v>45990</v>
      </c>
      <c r="B357" s="150" t="s">
        <v>79</v>
      </c>
      <c r="C357" s="151" t="s">
        <v>101</v>
      </c>
      <c r="D357" s="150" t="s">
        <v>1</v>
      </c>
      <c r="E357" s="152">
        <v>1.8888888888888891</v>
      </c>
      <c r="F357" s="150" t="s">
        <v>88</v>
      </c>
      <c r="G357" s="153">
        <v>9</v>
      </c>
      <c r="H357" s="154" t="s">
        <v>212</v>
      </c>
    </row>
    <row r="358" spans="1:8" ht="19.8" customHeight="1" x14ac:dyDescent="0.3">
      <c r="A358" s="149">
        <v>45990</v>
      </c>
      <c r="B358" s="150" t="s">
        <v>140</v>
      </c>
      <c r="C358" s="151" t="s">
        <v>188</v>
      </c>
      <c r="D358" s="150" t="s">
        <v>1</v>
      </c>
      <c r="E358" s="152">
        <v>1.3125</v>
      </c>
      <c r="F358" s="150" t="s">
        <v>122</v>
      </c>
      <c r="G358" s="153">
        <v>9</v>
      </c>
      <c r="H358" s="154" t="s">
        <v>142</v>
      </c>
    </row>
    <row r="359" spans="1:8" ht="19.8" customHeight="1" x14ac:dyDescent="0.3">
      <c r="A359" s="149">
        <v>45990</v>
      </c>
      <c r="B359" s="150" t="s">
        <v>140</v>
      </c>
      <c r="C359" s="151" t="s">
        <v>145</v>
      </c>
      <c r="D359" s="150" t="s">
        <v>1</v>
      </c>
      <c r="E359" s="152">
        <v>1.7847222222222221</v>
      </c>
      <c r="F359" s="150" t="s">
        <v>122</v>
      </c>
      <c r="G359" s="153">
        <v>9</v>
      </c>
      <c r="H359" s="154" t="s">
        <v>142</v>
      </c>
    </row>
    <row r="360" spans="1:8" ht="19.8" customHeight="1" x14ac:dyDescent="0.3">
      <c r="A360" s="149">
        <v>45990</v>
      </c>
      <c r="B360" s="150" t="s">
        <v>140</v>
      </c>
      <c r="C360" s="151" t="s">
        <v>143</v>
      </c>
      <c r="D360" s="150" t="s">
        <v>1</v>
      </c>
      <c r="E360" s="152">
        <v>1.836805555555556</v>
      </c>
      <c r="F360" s="150" t="s">
        <v>122</v>
      </c>
      <c r="G360" s="153">
        <v>9</v>
      </c>
      <c r="H360" s="154" t="s">
        <v>217</v>
      </c>
    </row>
    <row r="361" spans="1:8" ht="19.8" customHeight="1" x14ac:dyDescent="0.3">
      <c r="A361" s="149">
        <v>45990</v>
      </c>
      <c r="B361" s="150" t="s">
        <v>140</v>
      </c>
      <c r="C361" s="151" t="s">
        <v>146</v>
      </c>
      <c r="D361" s="150" t="s">
        <v>1</v>
      </c>
      <c r="E361" s="152">
        <v>1.0486111111111109</v>
      </c>
      <c r="F361" s="150" t="s">
        <v>122</v>
      </c>
      <c r="G361" s="153">
        <v>9</v>
      </c>
      <c r="H361" s="154" t="s">
        <v>217</v>
      </c>
    </row>
    <row r="362" spans="1:8" ht="19.8" customHeight="1" x14ac:dyDescent="0.3">
      <c r="A362" s="155">
        <v>45990</v>
      </c>
      <c r="B362" s="145" t="s">
        <v>26</v>
      </c>
      <c r="C362" s="146" t="s">
        <v>170</v>
      </c>
      <c r="D362" s="145" t="s">
        <v>1</v>
      </c>
      <c r="E362" s="156">
        <v>1.90625</v>
      </c>
      <c r="F362" s="145" t="s">
        <v>28</v>
      </c>
      <c r="G362" s="147">
        <v>1</v>
      </c>
      <c r="H362" s="148" t="s">
        <v>230</v>
      </c>
    </row>
    <row r="363" spans="1:8" ht="19.8" customHeight="1" x14ac:dyDescent="0.3">
      <c r="A363" s="149">
        <v>45990</v>
      </c>
      <c r="B363" s="150" t="s">
        <v>115</v>
      </c>
      <c r="C363" s="151" t="s">
        <v>131</v>
      </c>
      <c r="D363" s="150" t="s">
        <v>1</v>
      </c>
      <c r="E363" s="152">
        <v>1.118055555555556</v>
      </c>
      <c r="F363" s="150" t="s">
        <v>122</v>
      </c>
      <c r="G363" s="153">
        <v>9</v>
      </c>
      <c r="H363" s="154" t="s">
        <v>132</v>
      </c>
    </row>
    <row r="364" spans="1:8" ht="19.8" customHeight="1" x14ac:dyDescent="0.3">
      <c r="A364" s="149">
        <v>45990</v>
      </c>
      <c r="B364" s="150" t="s">
        <v>115</v>
      </c>
      <c r="C364" s="151" t="s">
        <v>131</v>
      </c>
      <c r="D364" s="150" t="s">
        <v>1</v>
      </c>
      <c r="E364" s="152">
        <v>1.118055555555556</v>
      </c>
      <c r="F364" s="150" t="s">
        <v>117</v>
      </c>
      <c r="G364" s="153">
        <v>9</v>
      </c>
      <c r="H364" s="154" t="s">
        <v>132</v>
      </c>
    </row>
    <row r="365" spans="1:8" ht="19.8" customHeight="1" x14ac:dyDescent="0.3">
      <c r="A365" s="149">
        <v>45990</v>
      </c>
      <c r="B365" s="150" t="s">
        <v>115</v>
      </c>
      <c r="C365" s="151" t="s">
        <v>139</v>
      </c>
      <c r="D365" s="150" t="s">
        <v>1</v>
      </c>
      <c r="E365" s="152">
        <v>1.7048611111111109</v>
      </c>
      <c r="F365" s="150" t="s">
        <v>117</v>
      </c>
      <c r="G365" s="153">
        <v>9</v>
      </c>
      <c r="H365" s="154" t="s">
        <v>132</v>
      </c>
    </row>
    <row r="366" spans="1:8" ht="19.8" customHeight="1" x14ac:dyDescent="0.3">
      <c r="A366" s="149">
        <v>45990</v>
      </c>
      <c r="B366" s="150" t="s">
        <v>115</v>
      </c>
      <c r="C366" s="151" t="s">
        <v>133</v>
      </c>
      <c r="D366" s="150" t="s">
        <v>1</v>
      </c>
      <c r="E366" s="152">
        <v>1.2534722222222221</v>
      </c>
      <c r="F366" s="150" t="s">
        <v>122</v>
      </c>
      <c r="G366" s="153">
        <v>9</v>
      </c>
      <c r="H366" s="154" t="s">
        <v>132</v>
      </c>
    </row>
    <row r="367" spans="1:8" ht="19.8" customHeight="1" x14ac:dyDescent="0.3">
      <c r="A367" s="149">
        <v>45990</v>
      </c>
      <c r="B367" s="150" t="s">
        <v>115</v>
      </c>
      <c r="C367" s="151" t="s">
        <v>133</v>
      </c>
      <c r="D367" s="150" t="s">
        <v>1</v>
      </c>
      <c r="E367" s="152">
        <v>1.2534722222222221</v>
      </c>
      <c r="F367" s="150" t="s">
        <v>117</v>
      </c>
      <c r="G367" s="153">
        <v>9</v>
      </c>
      <c r="H367" s="154" t="s">
        <v>132</v>
      </c>
    </row>
    <row r="368" spans="1:8" ht="19.8" customHeight="1" x14ac:dyDescent="0.3">
      <c r="A368" s="149">
        <v>45990</v>
      </c>
      <c r="B368" s="150" t="s">
        <v>115</v>
      </c>
      <c r="C368" s="151" t="s">
        <v>119</v>
      </c>
      <c r="D368" s="150" t="s">
        <v>1</v>
      </c>
      <c r="E368" s="152">
        <v>1.041666666666667</v>
      </c>
      <c r="F368" s="150" t="s">
        <v>122</v>
      </c>
      <c r="G368" s="153">
        <v>9</v>
      </c>
      <c r="H368" s="154" t="s">
        <v>132</v>
      </c>
    </row>
    <row r="369" spans="1:8" ht="19.8" customHeight="1" x14ac:dyDescent="0.3">
      <c r="A369" s="149">
        <v>45990</v>
      </c>
      <c r="B369" s="150" t="s">
        <v>115</v>
      </c>
      <c r="C369" s="151" t="s">
        <v>119</v>
      </c>
      <c r="D369" s="150" t="s">
        <v>1</v>
      </c>
      <c r="E369" s="152">
        <v>1.041666666666667</v>
      </c>
      <c r="F369" s="150" t="s">
        <v>117</v>
      </c>
      <c r="G369" s="153">
        <v>9</v>
      </c>
      <c r="H369" s="154" t="s">
        <v>132</v>
      </c>
    </row>
    <row r="370" spans="1:8" ht="19.8" customHeight="1" x14ac:dyDescent="0.3">
      <c r="A370" s="149">
        <v>45990</v>
      </c>
      <c r="B370" s="150" t="s">
        <v>115</v>
      </c>
      <c r="C370" s="151" t="s">
        <v>135</v>
      </c>
      <c r="D370" s="150" t="s">
        <v>1</v>
      </c>
      <c r="E370" s="152">
        <v>1.9409722222222221</v>
      </c>
      <c r="F370" s="150" t="s">
        <v>117</v>
      </c>
      <c r="G370" s="153">
        <v>9</v>
      </c>
      <c r="H370" s="154" t="s">
        <v>132</v>
      </c>
    </row>
    <row r="371" spans="1:8" ht="19.8" customHeight="1" x14ac:dyDescent="0.3">
      <c r="A371" s="149">
        <v>45990</v>
      </c>
      <c r="B371" s="150" t="s">
        <v>140</v>
      </c>
      <c r="C371" s="151" t="s">
        <v>189</v>
      </c>
      <c r="D371" s="150" t="s">
        <v>1</v>
      </c>
      <c r="E371" s="152">
        <v>1.3402777777777779</v>
      </c>
      <c r="F371" s="150" t="s">
        <v>122</v>
      </c>
      <c r="G371" s="153">
        <v>9</v>
      </c>
      <c r="H371" s="154" t="s">
        <v>144</v>
      </c>
    </row>
    <row r="372" spans="1:8" ht="19.8" customHeight="1" x14ac:dyDescent="0.3">
      <c r="A372" s="149">
        <v>45990</v>
      </c>
      <c r="B372" s="150" t="s">
        <v>140</v>
      </c>
      <c r="C372" s="151" t="s">
        <v>216</v>
      </c>
      <c r="D372" s="150" t="s">
        <v>1</v>
      </c>
      <c r="E372" s="152">
        <v>1.600694444444444</v>
      </c>
      <c r="F372" s="150" t="s">
        <v>122</v>
      </c>
      <c r="G372" s="153">
        <v>7</v>
      </c>
      <c r="H372" s="154" t="s">
        <v>144</v>
      </c>
    </row>
    <row r="373" spans="1:8" ht="19.8" customHeight="1" x14ac:dyDescent="0.3">
      <c r="A373" s="149">
        <v>45990</v>
      </c>
      <c r="B373" s="150" t="s">
        <v>115</v>
      </c>
      <c r="C373" s="151" t="s">
        <v>125</v>
      </c>
      <c r="D373" s="150" t="s">
        <v>1</v>
      </c>
      <c r="E373" s="152">
        <v>1.989583333333333</v>
      </c>
      <c r="F373" s="150" t="s">
        <v>122</v>
      </c>
      <c r="G373" s="153">
        <v>4</v>
      </c>
      <c r="H373" s="154" t="s">
        <v>218</v>
      </c>
    </row>
    <row r="374" spans="1:8" ht="19.8" customHeight="1" x14ac:dyDescent="0.3">
      <c r="A374" s="149">
        <v>45990</v>
      </c>
      <c r="B374" s="150" t="s">
        <v>115</v>
      </c>
      <c r="C374" s="151" t="s">
        <v>125</v>
      </c>
      <c r="D374" s="150" t="s">
        <v>1</v>
      </c>
      <c r="E374" s="152">
        <v>1.989583333333333</v>
      </c>
      <c r="F374" s="150" t="s">
        <v>117</v>
      </c>
      <c r="G374" s="153">
        <v>4</v>
      </c>
      <c r="H374" s="154" t="s">
        <v>218</v>
      </c>
    </row>
    <row r="375" spans="1:8" ht="19.8" customHeight="1" x14ac:dyDescent="0.3">
      <c r="A375" s="149">
        <v>45990</v>
      </c>
      <c r="B375" s="150" t="s">
        <v>115</v>
      </c>
      <c r="C375" s="151" t="s">
        <v>127</v>
      </c>
      <c r="D375" s="150" t="s">
        <v>1</v>
      </c>
      <c r="E375" s="152">
        <v>1.399305555555556</v>
      </c>
      <c r="F375" s="150" t="s">
        <v>117</v>
      </c>
      <c r="G375" s="153">
        <v>4</v>
      </c>
      <c r="H375" s="154" t="s">
        <v>218</v>
      </c>
    </row>
    <row r="376" spans="1:8" ht="19.8" customHeight="1" x14ac:dyDescent="0.3">
      <c r="A376" s="149">
        <v>45990</v>
      </c>
      <c r="B376" s="150" t="s">
        <v>115</v>
      </c>
      <c r="C376" s="151" t="s">
        <v>130</v>
      </c>
      <c r="D376" s="150" t="s">
        <v>1</v>
      </c>
      <c r="E376" s="152">
        <v>1.8888888888888891</v>
      </c>
      <c r="F376" s="150" t="s">
        <v>122</v>
      </c>
      <c r="G376" s="153">
        <v>4</v>
      </c>
      <c r="H376" s="154" t="s">
        <v>218</v>
      </c>
    </row>
    <row r="377" spans="1:8" ht="19.8" customHeight="1" x14ac:dyDescent="0.3">
      <c r="A377" s="149">
        <v>45990</v>
      </c>
      <c r="B377" s="150" t="s">
        <v>115</v>
      </c>
      <c r="C377" s="151" t="s">
        <v>130</v>
      </c>
      <c r="D377" s="150" t="s">
        <v>1</v>
      </c>
      <c r="E377" s="152">
        <v>1.8888888888888891</v>
      </c>
      <c r="F377" s="150" t="s">
        <v>117</v>
      </c>
      <c r="G377" s="153">
        <v>4</v>
      </c>
      <c r="H377" s="154" t="s">
        <v>218</v>
      </c>
    </row>
    <row r="378" spans="1:8" ht="19.8" customHeight="1" x14ac:dyDescent="0.3">
      <c r="A378" s="149">
        <v>45990</v>
      </c>
      <c r="B378" s="150" t="s">
        <v>115</v>
      </c>
      <c r="C378" s="151" t="s">
        <v>137</v>
      </c>
      <c r="D378" s="150" t="s">
        <v>1</v>
      </c>
      <c r="E378" s="152">
        <v>1.7222222222222221</v>
      </c>
      <c r="F378" s="150" t="s">
        <v>117</v>
      </c>
      <c r="G378" s="153">
        <v>9</v>
      </c>
      <c r="H378" s="154" t="s">
        <v>228</v>
      </c>
    </row>
    <row r="379" spans="1:8" ht="19.8" customHeight="1" x14ac:dyDescent="0.3">
      <c r="A379" s="149">
        <v>45990</v>
      </c>
      <c r="B379" s="150" t="s">
        <v>52</v>
      </c>
      <c r="C379" s="151" t="s">
        <v>53</v>
      </c>
      <c r="D379" s="150" t="s">
        <v>1</v>
      </c>
      <c r="E379" s="152">
        <v>1.399305555555556</v>
      </c>
      <c r="F379" s="150" t="s">
        <v>60</v>
      </c>
      <c r="G379" s="153">
        <v>8</v>
      </c>
      <c r="H379" s="154" t="s">
        <v>207</v>
      </c>
    </row>
    <row r="380" spans="1:8" ht="19.8" customHeight="1" x14ac:dyDescent="0.3">
      <c r="A380" s="149">
        <v>45990</v>
      </c>
      <c r="B380" s="150" t="s">
        <v>52</v>
      </c>
      <c r="C380" s="151" t="s">
        <v>62</v>
      </c>
      <c r="D380" s="150" t="s">
        <v>1</v>
      </c>
      <c r="E380" s="152">
        <v>1.489583333333333</v>
      </c>
      <c r="F380" s="150" t="s">
        <v>60</v>
      </c>
      <c r="G380" s="153">
        <v>9</v>
      </c>
      <c r="H380" s="154" t="s">
        <v>207</v>
      </c>
    </row>
    <row r="381" spans="1:8" ht="19.8" customHeight="1" x14ac:dyDescent="0.3">
      <c r="A381" s="149">
        <v>45990</v>
      </c>
      <c r="B381" s="150" t="s">
        <v>52</v>
      </c>
      <c r="C381" s="151" t="s">
        <v>66</v>
      </c>
      <c r="D381" s="150" t="s">
        <v>1</v>
      </c>
      <c r="E381" s="152">
        <v>1.8888888888888891</v>
      </c>
      <c r="F381" s="150" t="s">
        <v>60</v>
      </c>
      <c r="G381" s="153">
        <v>14</v>
      </c>
      <c r="H381" s="154" t="s">
        <v>207</v>
      </c>
    </row>
    <row r="382" spans="1:8" ht="19.8" customHeight="1" x14ac:dyDescent="0.3">
      <c r="A382" s="149">
        <v>45990</v>
      </c>
      <c r="B382" s="150" t="s">
        <v>52</v>
      </c>
      <c r="C382" s="151" t="s">
        <v>69</v>
      </c>
      <c r="D382" s="150" t="s">
        <v>1</v>
      </c>
      <c r="E382" s="152">
        <v>1.989583333333333</v>
      </c>
      <c r="F382" s="150" t="s">
        <v>60</v>
      </c>
      <c r="G382" s="153">
        <v>7</v>
      </c>
      <c r="H382" s="154" t="s">
        <v>207</v>
      </c>
    </row>
    <row r="383" spans="1:8" ht="19.8" customHeight="1" x14ac:dyDescent="0.3">
      <c r="A383" s="149">
        <v>45990</v>
      </c>
      <c r="B383" s="150" t="s">
        <v>115</v>
      </c>
      <c r="C383" s="151" t="s">
        <v>116</v>
      </c>
      <c r="D383" s="150" t="s">
        <v>1</v>
      </c>
      <c r="E383" s="152">
        <v>1.489583333333333</v>
      </c>
      <c r="F383" s="150" t="s">
        <v>122</v>
      </c>
      <c r="G383" s="153">
        <v>9</v>
      </c>
      <c r="H383" s="154" t="s">
        <v>138</v>
      </c>
    </row>
    <row r="384" spans="1:8" ht="19.8" customHeight="1" x14ac:dyDescent="0.3">
      <c r="A384" s="149">
        <v>45990</v>
      </c>
      <c r="B384" s="150" t="s">
        <v>115</v>
      </c>
      <c r="C384" s="151" t="s">
        <v>116</v>
      </c>
      <c r="D384" s="150" t="s">
        <v>1</v>
      </c>
      <c r="E384" s="152">
        <v>1.489583333333333</v>
      </c>
      <c r="F384" s="150" t="s">
        <v>117</v>
      </c>
      <c r="G384" s="153">
        <v>9</v>
      </c>
      <c r="H384" s="154" t="s">
        <v>138</v>
      </c>
    </row>
    <row r="385" spans="1:8" ht="19.8" customHeight="1" x14ac:dyDescent="0.3">
      <c r="A385" s="149">
        <v>45990</v>
      </c>
      <c r="B385" s="150" t="s">
        <v>115</v>
      </c>
      <c r="C385" s="151" t="s">
        <v>128</v>
      </c>
      <c r="D385" s="150" t="s">
        <v>1</v>
      </c>
      <c r="E385" s="152">
        <v>1.489583333333333</v>
      </c>
      <c r="F385" s="150" t="s">
        <v>117</v>
      </c>
      <c r="G385" s="153">
        <v>4</v>
      </c>
      <c r="H385" s="154" t="s">
        <v>229</v>
      </c>
    </row>
    <row r="386" spans="1:8" ht="19.8" customHeight="1" x14ac:dyDescent="0.3">
      <c r="A386" s="155">
        <v>45990</v>
      </c>
      <c r="B386" s="145" t="s">
        <v>26</v>
      </c>
      <c r="C386" s="146" t="s">
        <v>163</v>
      </c>
      <c r="D386" s="145" t="s">
        <v>1</v>
      </c>
      <c r="E386" s="156">
        <v>1.0486111111111109</v>
      </c>
      <c r="F386" s="145" t="s">
        <v>44</v>
      </c>
      <c r="G386" s="145"/>
      <c r="H386" s="148" t="s">
        <v>45</v>
      </c>
    </row>
    <row r="387" spans="1:8" ht="19.8" customHeight="1" x14ac:dyDescent="0.3">
      <c r="A387" s="155">
        <v>45990</v>
      </c>
      <c r="B387" s="145" t="s">
        <v>26</v>
      </c>
      <c r="C387" s="146" t="s">
        <v>41</v>
      </c>
      <c r="D387" s="145" t="s">
        <v>1</v>
      </c>
      <c r="E387" s="156">
        <v>1.15625</v>
      </c>
      <c r="F387" s="145" t="s">
        <v>44</v>
      </c>
      <c r="G387" s="145"/>
      <c r="H387" s="148" t="s">
        <v>45</v>
      </c>
    </row>
    <row r="388" spans="1:8" ht="19.8" customHeight="1" x14ac:dyDescent="0.3">
      <c r="A388" s="157">
        <v>45990</v>
      </c>
      <c r="B388" s="158" t="s">
        <v>26</v>
      </c>
      <c r="C388" s="159" t="s">
        <v>31</v>
      </c>
      <c r="D388" s="158" t="s">
        <v>1</v>
      </c>
      <c r="E388" s="160">
        <v>1.5034722222222221</v>
      </c>
      <c r="F388" s="158" t="s">
        <v>44</v>
      </c>
      <c r="G388" s="158"/>
      <c r="H388" s="161" t="s">
        <v>45</v>
      </c>
    </row>
    <row r="389" spans="1:8" ht="19.8" customHeight="1" x14ac:dyDescent="0.3">
      <c r="A389" s="149">
        <v>45991</v>
      </c>
      <c r="B389" s="150" t="s">
        <v>52</v>
      </c>
      <c r="C389" s="151" t="s">
        <v>53</v>
      </c>
      <c r="D389" s="150" t="s">
        <v>1</v>
      </c>
      <c r="E389" s="152">
        <v>1.399305555555556</v>
      </c>
      <c r="F389" s="150" t="s">
        <v>56</v>
      </c>
      <c r="G389" s="153">
        <v>10</v>
      </c>
      <c r="H389" s="154" t="s">
        <v>55</v>
      </c>
    </row>
    <row r="390" spans="1:8" ht="19.8" customHeight="1" x14ac:dyDescent="0.3">
      <c r="A390" s="149">
        <v>45991</v>
      </c>
      <c r="B390" s="150" t="s">
        <v>52</v>
      </c>
      <c r="C390" s="151" t="s">
        <v>62</v>
      </c>
      <c r="D390" s="150" t="s">
        <v>1</v>
      </c>
      <c r="E390" s="152">
        <v>1.489583333333333</v>
      </c>
      <c r="F390" s="150" t="s">
        <v>56</v>
      </c>
      <c r="G390" s="153">
        <v>1</v>
      </c>
      <c r="H390" s="154" t="s">
        <v>55</v>
      </c>
    </row>
    <row r="391" spans="1:8" ht="19.8" customHeight="1" x14ac:dyDescent="0.3">
      <c r="A391" s="149">
        <v>45991</v>
      </c>
      <c r="B391" s="150" t="s">
        <v>52</v>
      </c>
      <c r="C391" s="151" t="s">
        <v>66</v>
      </c>
      <c r="D391" s="150" t="s">
        <v>1</v>
      </c>
      <c r="E391" s="152">
        <v>1.8888888888888891</v>
      </c>
      <c r="F391" s="150" t="s">
        <v>56</v>
      </c>
      <c r="G391" s="153">
        <v>4</v>
      </c>
      <c r="H391" s="154" t="s">
        <v>36</v>
      </c>
    </row>
    <row r="392" spans="1:8" ht="19.8" customHeight="1" x14ac:dyDescent="0.3">
      <c r="A392" s="149">
        <v>45991</v>
      </c>
      <c r="B392" s="150" t="s">
        <v>52</v>
      </c>
      <c r="C392" s="151" t="s">
        <v>69</v>
      </c>
      <c r="D392" s="150" t="s">
        <v>1</v>
      </c>
      <c r="E392" s="152">
        <v>1.989583333333333</v>
      </c>
      <c r="F392" s="150" t="s">
        <v>56</v>
      </c>
      <c r="G392" s="153">
        <v>6</v>
      </c>
      <c r="H392" s="154" t="s">
        <v>36</v>
      </c>
    </row>
    <row r="393" spans="1:8" ht="19.8" customHeight="1" x14ac:dyDescent="0.3">
      <c r="A393" s="149">
        <v>45991</v>
      </c>
      <c r="B393" s="150" t="s">
        <v>72</v>
      </c>
      <c r="C393" s="151" t="s">
        <v>73</v>
      </c>
      <c r="D393" s="150" t="s">
        <v>1</v>
      </c>
      <c r="E393" s="152">
        <v>1.2048611111111109</v>
      </c>
      <c r="F393" s="150" t="s">
        <v>28</v>
      </c>
      <c r="G393" s="153">
        <v>3</v>
      </c>
      <c r="H393" s="154" t="s">
        <v>75</v>
      </c>
    </row>
    <row r="394" spans="1:8" ht="19.8" customHeight="1" x14ac:dyDescent="0.3">
      <c r="A394" s="149">
        <v>45991</v>
      </c>
      <c r="B394" s="150" t="s">
        <v>108</v>
      </c>
      <c r="C394" s="151" t="s">
        <v>155</v>
      </c>
      <c r="D394" s="150" t="s">
        <v>1</v>
      </c>
      <c r="E394" s="152">
        <v>1.229166666666667</v>
      </c>
      <c r="F394" s="150" t="s">
        <v>113</v>
      </c>
      <c r="G394" s="153">
        <v>9</v>
      </c>
      <c r="H394" s="154" t="s">
        <v>238</v>
      </c>
    </row>
    <row r="395" spans="1:8" ht="19.8" customHeight="1" x14ac:dyDescent="0.3">
      <c r="A395" s="149">
        <v>45991</v>
      </c>
      <c r="B395" s="150" t="s">
        <v>79</v>
      </c>
      <c r="C395" s="151" t="s">
        <v>97</v>
      </c>
      <c r="D395" s="150" t="s">
        <v>1</v>
      </c>
      <c r="E395" s="152">
        <v>1.3472222222222221</v>
      </c>
      <c r="F395" s="150" t="s">
        <v>84</v>
      </c>
      <c r="G395" s="153">
        <v>8</v>
      </c>
      <c r="H395" s="154" t="s">
        <v>240</v>
      </c>
    </row>
    <row r="396" spans="1:8" ht="19.8" customHeight="1" x14ac:dyDescent="0.3">
      <c r="A396" s="149">
        <v>45991</v>
      </c>
      <c r="B396" s="150" t="s">
        <v>79</v>
      </c>
      <c r="C396" s="151" t="s">
        <v>100</v>
      </c>
      <c r="D396" s="150" t="s">
        <v>1</v>
      </c>
      <c r="E396" s="152">
        <v>1.836805555555556</v>
      </c>
      <c r="F396" s="150" t="s">
        <v>84</v>
      </c>
      <c r="G396" s="153">
        <v>9</v>
      </c>
      <c r="H396" s="154" t="s">
        <v>240</v>
      </c>
    </row>
    <row r="397" spans="1:8" ht="19.8" customHeight="1" x14ac:dyDescent="0.3">
      <c r="A397" s="149">
        <v>45991</v>
      </c>
      <c r="B397" s="150" t="s">
        <v>79</v>
      </c>
      <c r="C397" s="151" t="s">
        <v>90</v>
      </c>
      <c r="D397" s="150" t="s">
        <v>1</v>
      </c>
      <c r="E397" s="152">
        <v>1.944444444444444</v>
      </c>
      <c r="F397" s="150" t="s">
        <v>84</v>
      </c>
      <c r="G397" s="153">
        <v>3</v>
      </c>
      <c r="H397" s="154" t="s">
        <v>240</v>
      </c>
    </row>
    <row r="398" spans="1:8" ht="19.8" customHeight="1" x14ac:dyDescent="0.3">
      <c r="A398" s="149">
        <v>45991</v>
      </c>
      <c r="B398" s="150" t="s">
        <v>79</v>
      </c>
      <c r="C398" s="151" t="s">
        <v>93</v>
      </c>
      <c r="D398" s="150" t="s">
        <v>1</v>
      </c>
      <c r="E398" s="152">
        <v>1.4861111111111109</v>
      </c>
      <c r="F398" s="150" t="s">
        <v>84</v>
      </c>
      <c r="G398" s="153">
        <v>5</v>
      </c>
      <c r="H398" s="154" t="s">
        <v>240</v>
      </c>
    </row>
    <row r="399" spans="1:8" ht="19.8" customHeight="1" x14ac:dyDescent="0.3">
      <c r="A399" s="149">
        <v>45991</v>
      </c>
      <c r="B399" s="150" t="s">
        <v>79</v>
      </c>
      <c r="C399" s="151" t="s">
        <v>94</v>
      </c>
      <c r="D399" s="150" t="s">
        <v>1</v>
      </c>
      <c r="E399" s="152">
        <v>1.3923611111111109</v>
      </c>
      <c r="F399" s="150" t="s">
        <v>84</v>
      </c>
      <c r="G399" s="153">
        <v>8</v>
      </c>
      <c r="H399" s="154" t="s">
        <v>240</v>
      </c>
    </row>
    <row r="400" spans="1:8" ht="19.8" customHeight="1" x14ac:dyDescent="0.3">
      <c r="A400" s="149">
        <v>45991</v>
      </c>
      <c r="B400" s="150" t="s">
        <v>79</v>
      </c>
      <c r="C400" s="151" t="s">
        <v>101</v>
      </c>
      <c r="D400" s="150" t="s">
        <v>1</v>
      </c>
      <c r="E400" s="152">
        <v>1.8888888888888891</v>
      </c>
      <c r="F400" s="150" t="s">
        <v>84</v>
      </c>
      <c r="G400" s="153">
        <v>7</v>
      </c>
      <c r="H400" s="154" t="s">
        <v>240</v>
      </c>
    </row>
    <row r="401" spans="1:8" ht="19.8" customHeight="1" x14ac:dyDescent="0.3">
      <c r="A401" s="155">
        <v>45991</v>
      </c>
      <c r="B401" s="145" t="s">
        <v>26</v>
      </c>
      <c r="C401" s="146" t="s">
        <v>166</v>
      </c>
      <c r="D401" s="145" t="s">
        <v>1</v>
      </c>
      <c r="E401" s="156">
        <v>1.15625</v>
      </c>
      <c r="F401" s="145" t="s">
        <v>28</v>
      </c>
      <c r="G401" s="147">
        <v>2</v>
      </c>
      <c r="H401" s="148" t="s">
        <v>148</v>
      </c>
    </row>
    <row r="402" spans="1:8" ht="19.8" customHeight="1" x14ac:dyDescent="0.3">
      <c r="A402" s="155">
        <v>45991</v>
      </c>
      <c r="B402" s="145" t="s">
        <v>26</v>
      </c>
      <c r="C402" s="146" t="s">
        <v>199</v>
      </c>
      <c r="D402" s="145" t="s">
        <v>1</v>
      </c>
      <c r="E402" s="156">
        <v>1.8298611111111109</v>
      </c>
      <c r="F402" s="145" t="s">
        <v>28</v>
      </c>
      <c r="G402" s="147">
        <v>6</v>
      </c>
      <c r="H402" s="148" t="s">
        <v>148</v>
      </c>
    </row>
    <row r="403" spans="1:8" ht="19.8" customHeight="1" x14ac:dyDescent="0.3">
      <c r="A403" s="149">
        <v>45991</v>
      </c>
      <c r="B403" s="150" t="s">
        <v>72</v>
      </c>
      <c r="C403" s="151" t="s">
        <v>76</v>
      </c>
      <c r="D403" s="150" t="s">
        <v>1</v>
      </c>
      <c r="E403" s="152">
        <v>1.493055555555556</v>
      </c>
      <c r="F403" s="150" t="s">
        <v>28</v>
      </c>
      <c r="G403" s="153">
        <v>9</v>
      </c>
      <c r="H403" s="154" t="s">
        <v>78</v>
      </c>
    </row>
    <row r="404" spans="1:8" ht="19.8" customHeight="1" x14ac:dyDescent="0.3">
      <c r="A404" s="149">
        <v>45991</v>
      </c>
      <c r="B404" s="150" t="s">
        <v>52</v>
      </c>
      <c r="C404" s="151" t="s">
        <v>53</v>
      </c>
      <c r="D404" s="150" t="s">
        <v>1</v>
      </c>
      <c r="E404" s="152">
        <v>1.399305555555556</v>
      </c>
      <c r="F404" s="150" t="s">
        <v>58</v>
      </c>
      <c r="G404" s="153">
        <v>10</v>
      </c>
      <c r="H404" s="154" t="s">
        <v>59</v>
      </c>
    </row>
    <row r="405" spans="1:8" ht="19.8" customHeight="1" x14ac:dyDescent="0.3">
      <c r="A405" s="149">
        <v>45991</v>
      </c>
      <c r="B405" s="150" t="s">
        <v>52</v>
      </c>
      <c r="C405" s="151" t="s">
        <v>62</v>
      </c>
      <c r="D405" s="150" t="s">
        <v>1</v>
      </c>
      <c r="E405" s="152">
        <v>1.489583333333333</v>
      </c>
      <c r="F405" s="150" t="s">
        <v>58</v>
      </c>
      <c r="G405" s="153">
        <v>1</v>
      </c>
      <c r="H405" s="154" t="s">
        <v>59</v>
      </c>
    </row>
    <row r="406" spans="1:8" ht="19.8" customHeight="1" x14ac:dyDescent="0.3">
      <c r="A406" s="149">
        <v>45991</v>
      </c>
      <c r="B406" s="150" t="s">
        <v>108</v>
      </c>
      <c r="C406" s="151" t="s">
        <v>155</v>
      </c>
      <c r="D406" s="150" t="s">
        <v>1</v>
      </c>
      <c r="E406" s="152">
        <v>1.229166666666667</v>
      </c>
      <c r="F406" s="150" t="s">
        <v>60</v>
      </c>
      <c r="G406" s="153">
        <v>9</v>
      </c>
      <c r="H406" s="154" t="s">
        <v>239</v>
      </c>
    </row>
    <row r="407" spans="1:8" ht="19.8" customHeight="1" x14ac:dyDescent="0.3">
      <c r="A407" s="149">
        <v>45991</v>
      </c>
      <c r="B407" s="150" t="s">
        <v>52</v>
      </c>
      <c r="C407" s="151" t="s">
        <v>62</v>
      </c>
      <c r="D407" s="150" t="s">
        <v>1</v>
      </c>
      <c r="E407" s="152">
        <v>1.489583333333333</v>
      </c>
      <c r="F407" s="150" t="s">
        <v>60</v>
      </c>
      <c r="G407" s="153">
        <v>1</v>
      </c>
      <c r="H407" s="154" t="s">
        <v>61</v>
      </c>
    </row>
    <row r="408" spans="1:8" ht="19.8" customHeight="1" x14ac:dyDescent="0.3">
      <c r="A408" s="149">
        <v>45991</v>
      </c>
      <c r="B408" s="150" t="s">
        <v>52</v>
      </c>
      <c r="C408" s="151" t="s">
        <v>66</v>
      </c>
      <c r="D408" s="150" t="s">
        <v>1</v>
      </c>
      <c r="E408" s="152">
        <v>1.8888888888888891</v>
      </c>
      <c r="F408" s="150" t="s">
        <v>58</v>
      </c>
      <c r="G408" s="153">
        <v>4</v>
      </c>
      <c r="H408" s="154" t="s">
        <v>61</v>
      </c>
    </row>
    <row r="409" spans="1:8" ht="19.8" customHeight="1" x14ac:dyDescent="0.3">
      <c r="A409" s="149">
        <v>45991</v>
      </c>
      <c r="B409" s="150" t="s">
        <v>52</v>
      </c>
      <c r="C409" s="151" t="s">
        <v>69</v>
      </c>
      <c r="D409" s="150" t="s">
        <v>1</v>
      </c>
      <c r="E409" s="152">
        <v>1.989583333333333</v>
      </c>
      <c r="F409" s="150" t="s">
        <v>58</v>
      </c>
      <c r="G409" s="153">
        <v>6</v>
      </c>
      <c r="H409" s="154" t="s">
        <v>61</v>
      </c>
    </row>
    <row r="410" spans="1:8" ht="19.8" customHeight="1" x14ac:dyDescent="0.3">
      <c r="A410" s="149">
        <v>45991</v>
      </c>
      <c r="B410" s="150" t="s">
        <v>52</v>
      </c>
      <c r="C410" s="151" t="s">
        <v>69</v>
      </c>
      <c r="D410" s="150" t="s">
        <v>1</v>
      </c>
      <c r="E410" s="152">
        <v>1.989583333333333</v>
      </c>
      <c r="F410" s="150" t="s">
        <v>60</v>
      </c>
      <c r="G410" s="153">
        <v>6</v>
      </c>
      <c r="H410" s="154" t="s">
        <v>61</v>
      </c>
    </row>
    <row r="411" spans="1:8" ht="19.8" customHeight="1" x14ac:dyDescent="0.3">
      <c r="A411" s="149">
        <v>45991</v>
      </c>
      <c r="B411" s="150" t="s">
        <v>79</v>
      </c>
      <c r="C411" s="151" t="s">
        <v>80</v>
      </c>
      <c r="D411" s="150" t="s">
        <v>1</v>
      </c>
      <c r="E411" s="152">
        <v>1.993055555555556</v>
      </c>
      <c r="F411" s="150" t="s">
        <v>84</v>
      </c>
      <c r="G411" s="153">
        <v>9</v>
      </c>
      <c r="H411" s="154" t="s">
        <v>61</v>
      </c>
    </row>
    <row r="412" spans="1:8" ht="19.8" customHeight="1" x14ac:dyDescent="0.3">
      <c r="A412" s="149">
        <v>45991</v>
      </c>
      <c r="B412" s="150" t="s">
        <v>79</v>
      </c>
      <c r="C412" s="151" t="s">
        <v>99</v>
      </c>
      <c r="D412" s="150" t="s">
        <v>1</v>
      </c>
      <c r="E412" s="152">
        <v>1.7361111111111109</v>
      </c>
      <c r="F412" s="150" t="s">
        <v>84</v>
      </c>
      <c r="G412" s="153">
        <v>7</v>
      </c>
      <c r="H412" s="154" t="s">
        <v>61</v>
      </c>
    </row>
    <row r="413" spans="1:8" ht="19.8" customHeight="1" x14ac:dyDescent="0.3">
      <c r="A413" s="149">
        <v>45991</v>
      </c>
      <c r="B413" s="150" t="s">
        <v>79</v>
      </c>
      <c r="C413" s="151" t="s">
        <v>97</v>
      </c>
      <c r="D413" s="150" t="s">
        <v>1</v>
      </c>
      <c r="E413" s="152">
        <v>1.3472222222222221</v>
      </c>
      <c r="F413" s="150" t="s">
        <v>86</v>
      </c>
      <c r="G413" s="153">
        <v>8</v>
      </c>
      <c r="H413" s="154" t="s">
        <v>241</v>
      </c>
    </row>
    <row r="414" spans="1:8" ht="19.8" customHeight="1" x14ac:dyDescent="0.3">
      <c r="A414" s="149">
        <v>45991</v>
      </c>
      <c r="B414" s="150" t="s">
        <v>79</v>
      </c>
      <c r="C414" s="151" t="s">
        <v>100</v>
      </c>
      <c r="D414" s="150" t="s">
        <v>1</v>
      </c>
      <c r="E414" s="152">
        <v>1.836805555555556</v>
      </c>
      <c r="F414" s="150" t="s">
        <v>86</v>
      </c>
      <c r="G414" s="153">
        <v>9</v>
      </c>
      <c r="H414" s="154" t="s">
        <v>241</v>
      </c>
    </row>
    <row r="415" spans="1:8" ht="19.8" customHeight="1" x14ac:dyDescent="0.3">
      <c r="A415" s="149">
        <v>45991</v>
      </c>
      <c r="B415" s="150" t="s">
        <v>79</v>
      </c>
      <c r="C415" s="151" t="s">
        <v>90</v>
      </c>
      <c r="D415" s="150" t="s">
        <v>1</v>
      </c>
      <c r="E415" s="152">
        <v>1.944444444444444</v>
      </c>
      <c r="F415" s="150" t="s">
        <v>86</v>
      </c>
      <c r="G415" s="153">
        <v>3</v>
      </c>
      <c r="H415" s="154" t="s">
        <v>241</v>
      </c>
    </row>
    <row r="416" spans="1:8" ht="19.8" customHeight="1" x14ac:dyDescent="0.3">
      <c r="A416" s="149">
        <v>45991</v>
      </c>
      <c r="B416" s="150" t="s">
        <v>79</v>
      </c>
      <c r="C416" s="151" t="s">
        <v>93</v>
      </c>
      <c r="D416" s="150" t="s">
        <v>1</v>
      </c>
      <c r="E416" s="152">
        <v>1.4861111111111109</v>
      </c>
      <c r="F416" s="150" t="s">
        <v>86</v>
      </c>
      <c r="G416" s="153">
        <v>5</v>
      </c>
      <c r="H416" s="154" t="s">
        <v>241</v>
      </c>
    </row>
    <row r="417" spans="1:8" ht="19.8" customHeight="1" x14ac:dyDescent="0.3">
      <c r="A417" s="149">
        <v>45991</v>
      </c>
      <c r="B417" s="150" t="s">
        <v>79</v>
      </c>
      <c r="C417" s="151" t="s">
        <v>94</v>
      </c>
      <c r="D417" s="150" t="s">
        <v>1</v>
      </c>
      <c r="E417" s="152">
        <v>1.3923611111111109</v>
      </c>
      <c r="F417" s="150" t="s">
        <v>86</v>
      </c>
      <c r="G417" s="153">
        <v>8</v>
      </c>
      <c r="H417" s="154" t="s">
        <v>241</v>
      </c>
    </row>
    <row r="418" spans="1:8" ht="19.8" customHeight="1" x14ac:dyDescent="0.3">
      <c r="A418" s="149">
        <v>45991</v>
      </c>
      <c r="B418" s="150" t="s">
        <v>79</v>
      </c>
      <c r="C418" s="151" t="s">
        <v>101</v>
      </c>
      <c r="D418" s="150" t="s">
        <v>1</v>
      </c>
      <c r="E418" s="152">
        <v>1.8888888888888891</v>
      </c>
      <c r="F418" s="150" t="s">
        <v>86</v>
      </c>
      <c r="G418" s="153">
        <v>7</v>
      </c>
      <c r="H418" s="154" t="s">
        <v>241</v>
      </c>
    </row>
    <row r="419" spans="1:8" ht="19.8" customHeight="1" x14ac:dyDescent="0.3">
      <c r="A419" s="149">
        <v>45991</v>
      </c>
      <c r="B419" s="150" t="s">
        <v>140</v>
      </c>
      <c r="C419" s="151" t="s">
        <v>146</v>
      </c>
      <c r="D419" s="150" t="s">
        <v>1</v>
      </c>
      <c r="E419" s="152">
        <v>1.0486111111111109</v>
      </c>
      <c r="F419" s="150" t="s">
        <v>122</v>
      </c>
      <c r="G419" s="153">
        <v>9</v>
      </c>
      <c r="H419" s="154" t="s">
        <v>251</v>
      </c>
    </row>
    <row r="420" spans="1:8" ht="19.8" customHeight="1" x14ac:dyDescent="0.3">
      <c r="A420" s="149">
        <v>45991</v>
      </c>
      <c r="B420" s="150" t="s">
        <v>79</v>
      </c>
      <c r="C420" s="151" t="s">
        <v>97</v>
      </c>
      <c r="D420" s="150" t="s">
        <v>1</v>
      </c>
      <c r="E420" s="152">
        <v>1.3472222222222221</v>
      </c>
      <c r="F420" s="150" t="s">
        <v>88</v>
      </c>
      <c r="G420" s="153">
        <v>8</v>
      </c>
      <c r="H420" s="154" t="s">
        <v>181</v>
      </c>
    </row>
    <row r="421" spans="1:8" ht="19.8" customHeight="1" x14ac:dyDescent="0.3">
      <c r="A421" s="149">
        <v>45991</v>
      </c>
      <c r="B421" s="150" t="s">
        <v>79</v>
      </c>
      <c r="C421" s="151" t="s">
        <v>80</v>
      </c>
      <c r="D421" s="150" t="s">
        <v>1</v>
      </c>
      <c r="E421" s="152">
        <v>1.993055555555556</v>
      </c>
      <c r="F421" s="150" t="s">
        <v>86</v>
      </c>
      <c r="G421" s="153">
        <v>9</v>
      </c>
      <c r="H421" s="154" t="s">
        <v>181</v>
      </c>
    </row>
    <row r="422" spans="1:8" ht="19.8" customHeight="1" x14ac:dyDescent="0.3">
      <c r="A422" s="149">
        <v>45991</v>
      </c>
      <c r="B422" s="150" t="s">
        <v>79</v>
      </c>
      <c r="C422" s="151" t="s">
        <v>99</v>
      </c>
      <c r="D422" s="150" t="s">
        <v>1</v>
      </c>
      <c r="E422" s="152">
        <v>1.7361111111111109</v>
      </c>
      <c r="F422" s="150" t="s">
        <v>86</v>
      </c>
      <c r="G422" s="153">
        <v>7</v>
      </c>
      <c r="H422" s="154" t="s">
        <v>181</v>
      </c>
    </row>
    <row r="423" spans="1:8" ht="19.8" customHeight="1" x14ac:dyDescent="0.3">
      <c r="A423" s="149">
        <v>45991</v>
      </c>
      <c r="B423" s="150" t="s">
        <v>79</v>
      </c>
      <c r="C423" s="151" t="s">
        <v>100</v>
      </c>
      <c r="D423" s="150" t="s">
        <v>1</v>
      </c>
      <c r="E423" s="152">
        <v>1.836805555555556</v>
      </c>
      <c r="F423" s="150" t="s">
        <v>88</v>
      </c>
      <c r="G423" s="153">
        <v>9</v>
      </c>
      <c r="H423" s="154" t="s">
        <v>181</v>
      </c>
    </row>
    <row r="424" spans="1:8" ht="19.8" customHeight="1" x14ac:dyDescent="0.3">
      <c r="A424" s="149">
        <v>45991</v>
      </c>
      <c r="B424" s="150" t="s">
        <v>79</v>
      </c>
      <c r="C424" s="151" t="s">
        <v>90</v>
      </c>
      <c r="D424" s="150" t="s">
        <v>1</v>
      </c>
      <c r="E424" s="152">
        <v>1.944444444444444</v>
      </c>
      <c r="F424" s="150" t="s">
        <v>88</v>
      </c>
      <c r="G424" s="153">
        <v>3</v>
      </c>
      <c r="H424" s="154" t="s">
        <v>181</v>
      </c>
    </row>
    <row r="425" spans="1:8" ht="19.8" customHeight="1" x14ac:dyDescent="0.3">
      <c r="A425" s="149">
        <v>45991</v>
      </c>
      <c r="B425" s="150" t="s">
        <v>79</v>
      </c>
      <c r="C425" s="151" t="s">
        <v>93</v>
      </c>
      <c r="D425" s="150" t="s">
        <v>1</v>
      </c>
      <c r="E425" s="152">
        <v>1.4861111111111109</v>
      </c>
      <c r="F425" s="150" t="s">
        <v>88</v>
      </c>
      <c r="G425" s="153">
        <v>5</v>
      </c>
      <c r="H425" s="154" t="s">
        <v>181</v>
      </c>
    </row>
    <row r="426" spans="1:8" ht="19.8" customHeight="1" x14ac:dyDescent="0.3">
      <c r="A426" s="149">
        <v>45991</v>
      </c>
      <c r="B426" s="150" t="s">
        <v>79</v>
      </c>
      <c r="C426" s="151" t="s">
        <v>94</v>
      </c>
      <c r="D426" s="150" t="s">
        <v>1</v>
      </c>
      <c r="E426" s="152">
        <v>1.3923611111111109</v>
      </c>
      <c r="F426" s="150" t="s">
        <v>88</v>
      </c>
      <c r="G426" s="153">
        <v>8</v>
      </c>
      <c r="H426" s="154" t="s">
        <v>181</v>
      </c>
    </row>
    <row r="427" spans="1:8" ht="19.8" customHeight="1" x14ac:dyDescent="0.3">
      <c r="A427" s="149">
        <v>45991</v>
      </c>
      <c r="B427" s="150" t="s">
        <v>79</v>
      </c>
      <c r="C427" s="151" t="s">
        <v>101</v>
      </c>
      <c r="D427" s="150" t="s">
        <v>1</v>
      </c>
      <c r="E427" s="152">
        <v>1.8888888888888891</v>
      </c>
      <c r="F427" s="150" t="s">
        <v>88</v>
      </c>
      <c r="G427" s="153">
        <v>7</v>
      </c>
      <c r="H427" s="154" t="s">
        <v>181</v>
      </c>
    </row>
    <row r="428" spans="1:8" ht="19.8" customHeight="1" x14ac:dyDescent="0.3">
      <c r="A428" s="149">
        <v>45991</v>
      </c>
      <c r="B428" s="150" t="s">
        <v>140</v>
      </c>
      <c r="C428" s="151" t="s">
        <v>215</v>
      </c>
      <c r="D428" s="150" t="s">
        <v>1</v>
      </c>
      <c r="E428" s="152">
        <v>1.104166666666667</v>
      </c>
      <c r="F428" s="150" t="s">
        <v>122</v>
      </c>
      <c r="G428" s="153">
        <v>9</v>
      </c>
      <c r="H428" s="154" t="s">
        <v>213</v>
      </c>
    </row>
    <row r="429" spans="1:8" ht="19.8" customHeight="1" x14ac:dyDescent="0.3">
      <c r="A429" s="149">
        <v>45991</v>
      </c>
      <c r="B429" s="150" t="s">
        <v>79</v>
      </c>
      <c r="C429" s="151" t="s">
        <v>80</v>
      </c>
      <c r="D429" s="150" t="s">
        <v>1</v>
      </c>
      <c r="E429" s="152">
        <v>1.993055555555556</v>
      </c>
      <c r="F429" s="150" t="s">
        <v>88</v>
      </c>
      <c r="G429" s="153">
        <v>9</v>
      </c>
      <c r="H429" s="154" t="s">
        <v>243</v>
      </c>
    </row>
    <row r="430" spans="1:8" ht="19.8" customHeight="1" x14ac:dyDescent="0.3">
      <c r="A430" s="149">
        <v>45991</v>
      </c>
      <c r="B430" s="150" t="s">
        <v>79</v>
      </c>
      <c r="C430" s="151" t="s">
        <v>99</v>
      </c>
      <c r="D430" s="150" t="s">
        <v>1</v>
      </c>
      <c r="E430" s="152">
        <v>1.7361111111111109</v>
      </c>
      <c r="F430" s="150" t="s">
        <v>88</v>
      </c>
      <c r="G430" s="153">
        <v>7</v>
      </c>
      <c r="H430" s="154" t="s">
        <v>243</v>
      </c>
    </row>
    <row r="431" spans="1:8" ht="19.8" customHeight="1" x14ac:dyDescent="0.3">
      <c r="A431" s="149">
        <v>45991</v>
      </c>
      <c r="B431" s="150" t="s">
        <v>102</v>
      </c>
      <c r="C431" s="151" t="s">
        <v>103</v>
      </c>
      <c r="D431" s="150" t="s">
        <v>1</v>
      </c>
      <c r="E431" s="152">
        <v>1.100694444444444</v>
      </c>
      <c r="F431" s="150" t="s">
        <v>28</v>
      </c>
      <c r="G431" s="153">
        <v>5</v>
      </c>
      <c r="H431" s="154" t="s">
        <v>187</v>
      </c>
    </row>
    <row r="432" spans="1:8" ht="19.8" customHeight="1" x14ac:dyDescent="0.3">
      <c r="A432" s="149">
        <v>45991</v>
      </c>
      <c r="B432" s="150" t="s">
        <v>115</v>
      </c>
      <c r="C432" s="151" t="s">
        <v>121</v>
      </c>
      <c r="D432" s="150" t="s">
        <v>1</v>
      </c>
      <c r="E432" s="152">
        <v>1.8298611111111109</v>
      </c>
      <c r="F432" s="150" t="s">
        <v>117</v>
      </c>
      <c r="G432" s="153">
        <v>9</v>
      </c>
      <c r="H432" s="154" t="s">
        <v>118</v>
      </c>
    </row>
    <row r="433" spans="1:8" ht="19.8" customHeight="1" x14ac:dyDescent="0.3">
      <c r="A433" s="149">
        <v>45991</v>
      </c>
      <c r="B433" s="150" t="s">
        <v>115</v>
      </c>
      <c r="C433" s="151" t="s">
        <v>135</v>
      </c>
      <c r="D433" s="150" t="s">
        <v>1</v>
      </c>
      <c r="E433" s="152">
        <v>1.9409722222222221</v>
      </c>
      <c r="F433" s="150" t="s">
        <v>117</v>
      </c>
      <c r="G433" s="153">
        <v>9</v>
      </c>
      <c r="H433" s="154" t="s">
        <v>123</v>
      </c>
    </row>
    <row r="434" spans="1:8" ht="19.8" customHeight="1" x14ac:dyDescent="0.3">
      <c r="A434" s="149">
        <v>45991</v>
      </c>
      <c r="B434" s="150" t="s">
        <v>52</v>
      </c>
      <c r="C434" s="151" t="s">
        <v>53</v>
      </c>
      <c r="D434" s="150" t="s">
        <v>1</v>
      </c>
      <c r="E434" s="152">
        <v>1.399305555555556</v>
      </c>
      <c r="F434" s="150" t="s">
        <v>60</v>
      </c>
      <c r="G434" s="153">
        <v>10</v>
      </c>
      <c r="H434" s="154" t="s">
        <v>65</v>
      </c>
    </row>
    <row r="435" spans="1:8" ht="19.8" customHeight="1" x14ac:dyDescent="0.3">
      <c r="A435" s="149">
        <v>45991</v>
      </c>
      <c r="B435" s="150" t="s">
        <v>52</v>
      </c>
      <c r="C435" s="151" t="s">
        <v>66</v>
      </c>
      <c r="D435" s="150" t="s">
        <v>1</v>
      </c>
      <c r="E435" s="152">
        <v>1.8888888888888891</v>
      </c>
      <c r="F435" s="150" t="s">
        <v>60</v>
      </c>
      <c r="G435" s="153">
        <v>4</v>
      </c>
      <c r="H435" s="154" t="s">
        <v>65</v>
      </c>
    </row>
    <row r="436" spans="1:8" ht="19.8" customHeight="1" x14ac:dyDescent="0.3">
      <c r="A436" s="149">
        <v>45991</v>
      </c>
      <c r="B436" s="150" t="s">
        <v>102</v>
      </c>
      <c r="C436" s="151" t="s">
        <v>252</v>
      </c>
      <c r="D436" s="150" t="s">
        <v>1</v>
      </c>
      <c r="E436" s="152">
        <v>1.1736111111111109</v>
      </c>
      <c r="F436" s="150" t="s">
        <v>28</v>
      </c>
      <c r="G436" s="153">
        <v>5</v>
      </c>
      <c r="H436" s="154" t="s">
        <v>226</v>
      </c>
    </row>
    <row r="437" spans="1:8" ht="19.8" customHeight="1" x14ac:dyDescent="0.3">
      <c r="A437" s="149">
        <v>45991</v>
      </c>
      <c r="B437" s="150" t="s">
        <v>115</v>
      </c>
      <c r="C437" s="151" t="s">
        <v>127</v>
      </c>
      <c r="D437" s="150" t="s">
        <v>1</v>
      </c>
      <c r="E437" s="152">
        <v>1.399305555555556</v>
      </c>
      <c r="F437" s="150" t="s">
        <v>117</v>
      </c>
      <c r="G437" s="153">
        <v>4</v>
      </c>
      <c r="H437" s="154" t="s">
        <v>253</v>
      </c>
    </row>
    <row r="438" spans="1:8" ht="19.8" customHeight="1" x14ac:dyDescent="0.3">
      <c r="A438" s="149">
        <v>45991</v>
      </c>
      <c r="B438" s="150" t="s">
        <v>140</v>
      </c>
      <c r="C438" s="151" t="s">
        <v>145</v>
      </c>
      <c r="D438" s="150" t="s">
        <v>1</v>
      </c>
      <c r="E438" s="152">
        <v>1.7847222222222221</v>
      </c>
      <c r="F438" s="150" t="s">
        <v>122</v>
      </c>
      <c r="G438" s="153">
        <v>9</v>
      </c>
      <c r="H438" s="154" t="s">
        <v>142</v>
      </c>
    </row>
    <row r="439" spans="1:8" ht="19.8" customHeight="1" x14ac:dyDescent="0.3">
      <c r="A439" s="149">
        <v>45991</v>
      </c>
      <c r="B439" s="150" t="s">
        <v>115</v>
      </c>
      <c r="C439" s="151" t="s">
        <v>125</v>
      </c>
      <c r="D439" s="150" t="s">
        <v>1</v>
      </c>
      <c r="E439" s="152">
        <v>1.989583333333333</v>
      </c>
      <c r="F439" s="150" t="s">
        <v>117</v>
      </c>
      <c r="G439" s="153">
        <v>4</v>
      </c>
      <c r="H439" s="154" t="s">
        <v>126</v>
      </c>
    </row>
    <row r="440" spans="1:8" ht="19.8" customHeight="1" x14ac:dyDescent="0.3">
      <c r="A440" s="149">
        <v>45991</v>
      </c>
      <c r="B440" s="150" t="s">
        <v>115</v>
      </c>
      <c r="C440" s="151" t="s">
        <v>128</v>
      </c>
      <c r="D440" s="150" t="s">
        <v>1</v>
      </c>
      <c r="E440" s="152">
        <v>1.489583333333333</v>
      </c>
      <c r="F440" s="150" t="s">
        <v>117</v>
      </c>
      <c r="G440" s="153">
        <v>4</v>
      </c>
      <c r="H440" s="154" t="s">
        <v>126</v>
      </c>
    </row>
    <row r="441" spans="1:8" ht="19.8" customHeight="1" x14ac:dyDescent="0.3">
      <c r="A441" s="149">
        <v>45991</v>
      </c>
      <c r="B441" s="150" t="s">
        <v>115</v>
      </c>
      <c r="C441" s="151" t="s">
        <v>130</v>
      </c>
      <c r="D441" s="150" t="s">
        <v>1</v>
      </c>
      <c r="E441" s="152">
        <v>1.8888888888888891</v>
      </c>
      <c r="F441" s="150" t="s">
        <v>117</v>
      </c>
      <c r="G441" s="153">
        <v>4</v>
      </c>
      <c r="H441" s="154" t="s">
        <v>126</v>
      </c>
    </row>
    <row r="442" spans="1:8" ht="19.8" customHeight="1" x14ac:dyDescent="0.3">
      <c r="A442" s="149">
        <v>45991</v>
      </c>
      <c r="B442" s="150" t="s">
        <v>115</v>
      </c>
      <c r="C442" s="151" t="s">
        <v>116</v>
      </c>
      <c r="D442" s="150" t="s">
        <v>1</v>
      </c>
      <c r="E442" s="152">
        <v>1.489583333333333</v>
      </c>
      <c r="F442" s="150" t="s">
        <v>117</v>
      </c>
      <c r="G442" s="153">
        <v>9</v>
      </c>
      <c r="H442" s="154" t="s">
        <v>132</v>
      </c>
    </row>
    <row r="443" spans="1:8" ht="19.8" customHeight="1" x14ac:dyDescent="0.3">
      <c r="A443" s="149">
        <v>45991</v>
      </c>
      <c r="B443" s="150" t="s">
        <v>115</v>
      </c>
      <c r="C443" s="151" t="s">
        <v>137</v>
      </c>
      <c r="D443" s="150" t="s">
        <v>1</v>
      </c>
      <c r="E443" s="152">
        <v>1.7222222222222221</v>
      </c>
      <c r="F443" s="150" t="s">
        <v>117</v>
      </c>
      <c r="G443" s="153">
        <v>9</v>
      </c>
      <c r="H443" s="154" t="s">
        <v>132</v>
      </c>
    </row>
    <row r="444" spans="1:8" ht="19.8" customHeight="1" x14ac:dyDescent="0.3">
      <c r="A444" s="149">
        <v>45991</v>
      </c>
      <c r="B444" s="150" t="s">
        <v>115</v>
      </c>
      <c r="C444" s="151" t="s">
        <v>139</v>
      </c>
      <c r="D444" s="150" t="s">
        <v>1</v>
      </c>
      <c r="E444" s="152">
        <v>1.7013888888888891</v>
      </c>
      <c r="F444" s="150" t="s">
        <v>117</v>
      </c>
      <c r="G444" s="153">
        <v>2</v>
      </c>
      <c r="H444" s="154" t="s">
        <v>132</v>
      </c>
    </row>
    <row r="445" spans="1:8" ht="19.8" customHeight="1" x14ac:dyDescent="0.3">
      <c r="A445" s="149">
        <v>45991</v>
      </c>
      <c r="B445" s="150" t="s">
        <v>115</v>
      </c>
      <c r="C445" s="151" t="s">
        <v>133</v>
      </c>
      <c r="D445" s="150" t="s">
        <v>1</v>
      </c>
      <c r="E445" s="152">
        <v>1.2534722222222221</v>
      </c>
      <c r="F445" s="150" t="s">
        <v>117</v>
      </c>
      <c r="G445" s="153">
        <v>9</v>
      </c>
      <c r="H445" s="154" t="s">
        <v>132</v>
      </c>
    </row>
    <row r="446" spans="1:8" ht="19.8" customHeight="1" x14ac:dyDescent="0.3">
      <c r="A446" s="149">
        <v>45991</v>
      </c>
      <c r="B446" s="150" t="s">
        <v>140</v>
      </c>
      <c r="C446" s="151" t="s">
        <v>188</v>
      </c>
      <c r="D446" s="150" t="s">
        <v>1</v>
      </c>
      <c r="E446" s="152">
        <v>1.3125</v>
      </c>
      <c r="F446" s="150" t="s">
        <v>122</v>
      </c>
      <c r="G446" s="153">
        <v>4</v>
      </c>
      <c r="H446" s="154" t="s">
        <v>144</v>
      </c>
    </row>
    <row r="447" spans="1:8" ht="19.8" customHeight="1" x14ac:dyDescent="0.3">
      <c r="A447" s="149">
        <v>45991</v>
      </c>
      <c r="B447" s="150" t="s">
        <v>140</v>
      </c>
      <c r="C447" s="151" t="s">
        <v>141</v>
      </c>
      <c r="D447" s="150" t="s">
        <v>1</v>
      </c>
      <c r="E447" s="152">
        <v>1.9722222222222221</v>
      </c>
      <c r="F447" s="150" t="s">
        <v>122</v>
      </c>
      <c r="G447" s="153">
        <v>1</v>
      </c>
      <c r="H447" s="154" t="s">
        <v>144</v>
      </c>
    </row>
    <row r="448" spans="1:8" ht="19.8" customHeight="1" x14ac:dyDescent="0.3">
      <c r="A448" s="149">
        <v>45991</v>
      </c>
      <c r="B448" s="150" t="s">
        <v>140</v>
      </c>
      <c r="C448" s="151" t="s">
        <v>216</v>
      </c>
      <c r="D448" s="150" t="s">
        <v>1</v>
      </c>
      <c r="E448" s="152">
        <v>1.600694444444444</v>
      </c>
      <c r="F448" s="150" t="s">
        <v>122</v>
      </c>
      <c r="G448" s="153">
        <v>9</v>
      </c>
      <c r="H448" s="154" t="s">
        <v>144</v>
      </c>
    </row>
    <row r="449" spans="1:8" ht="19.8" customHeight="1" x14ac:dyDescent="0.3">
      <c r="A449" s="149">
        <v>45991</v>
      </c>
      <c r="B449" s="150" t="s">
        <v>115</v>
      </c>
      <c r="C449" s="151" t="s">
        <v>131</v>
      </c>
      <c r="D449" s="150" t="s">
        <v>1</v>
      </c>
      <c r="E449" s="152">
        <v>1.118055555555556</v>
      </c>
      <c r="F449" s="150" t="s">
        <v>117</v>
      </c>
      <c r="G449" s="153">
        <v>7</v>
      </c>
      <c r="H449" s="154" t="s">
        <v>138</v>
      </c>
    </row>
    <row r="450" spans="1:8" ht="19.8" customHeight="1" x14ac:dyDescent="0.3">
      <c r="A450" s="149">
        <v>45991</v>
      </c>
      <c r="B450" s="150" t="s">
        <v>115</v>
      </c>
      <c r="C450" s="151" t="s">
        <v>119</v>
      </c>
      <c r="D450" s="150" t="s">
        <v>1</v>
      </c>
      <c r="E450" s="152">
        <v>1.041666666666667</v>
      </c>
      <c r="F450" s="150" t="s">
        <v>117</v>
      </c>
      <c r="G450" s="153">
        <v>7</v>
      </c>
      <c r="H450" s="154" t="s">
        <v>138</v>
      </c>
    </row>
    <row r="451" spans="1:8" ht="19.8" customHeight="1" x14ac:dyDescent="0.3">
      <c r="A451" s="155">
        <v>45991</v>
      </c>
      <c r="B451" s="145" t="s">
        <v>26</v>
      </c>
      <c r="C451" s="146" t="s">
        <v>41</v>
      </c>
      <c r="D451" s="145" t="s">
        <v>1</v>
      </c>
      <c r="E451" s="156">
        <v>1.1423611111111109</v>
      </c>
      <c r="F451" s="145" t="s">
        <v>44</v>
      </c>
      <c r="G451" s="145"/>
      <c r="H451" s="148" t="s">
        <v>45</v>
      </c>
    </row>
    <row r="452" spans="1:8" ht="19.8" customHeight="1" x14ac:dyDescent="0.3">
      <c r="A452" s="155">
        <v>45991</v>
      </c>
      <c r="B452" s="145" t="s">
        <v>26</v>
      </c>
      <c r="C452" s="146" t="s">
        <v>48</v>
      </c>
      <c r="D452" s="145" t="s">
        <v>1</v>
      </c>
      <c r="E452" s="156">
        <v>1.333333333333333</v>
      </c>
      <c r="F452" s="145" t="s">
        <v>44</v>
      </c>
      <c r="G452" s="145"/>
      <c r="H452" s="148" t="s">
        <v>45</v>
      </c>
    </row>
    <row r="453" spans="1:8" ht="19.8" customHeight="1" x14ac:dyDescent="0.3">
      <c r="A453" s="157">
        <v>45991</v>
      </c>
      <c r="B453" s="158" t="s">
        <v>26</v>
      </c>
      <c r="C453" s="159" t="s">
        <v>31</v>
      </c>
      <c r="D453" s="158" t="s">
        <v>1</v>
      </c>
      <c r="E453" s="160">
        <v>1.4548611111111109</v>
      </c>
      <c r="F453" s="158" t="s">
        <v>44</v>
      </c>
      <c r="G453" s="158"/>
      <c r="H453" s="161" t="s">
        <v>45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3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162" t="s">
        <v>459</v>
      </c>
      <c r="B1" s="162" t="s">
        <v>8</v>
      </c>
      <c r="C1" s="162" t="s">
        <v>9</v>
      </c>
      <c r="D1" s="162" t="s">
        <v>460</v>
      </c>
      <c r="E1" s="162" t="s">
        <v>10</v>
      </c>
      <c r="F1" s="162" t="s">
        <v>11</v>
      </c>
      <c r="G1" s="162" t="s">
        <v>12</v>
      </c>
      <c r="H1" s="162" t="s">
        <v>13</v>
      </c>
      <c r="I1" s="162" t="s">
        <v>462</v>
      </c>
    </row>
    <row r="2" spans="1:9" ht="15.6" x14ac:dyDescent="0.3">
      <c r="A2" s="163" t="s">
        <v>461</v>
      </c>
      <c r="B2" s="163" t="s">
        <v>26</v>
      </c>
      <c r="C2" s="163" t="s">
        <v>27</v>
      </c>
      <c r="D2" s="163" t="s">
        <v>1</v>
      </c>
      <c r="E2" s="163" t="s">
        <v>304</v>
      </c>
      <c r="F2" s="163" t="s">
        <v>28</v>
      </c>
      <c r="G2" s="163" t="s">
        <v>463</v>
      </c>
      <c r="H2" s="163" t="s">
        <v>30</v>
      </c>
      <c r="I2" s="164" t="s">
        <v>464</v>
      </c>
    </row>
    <row r="3" spans="1:9" ht="15.6" x14ac:dyDescent="0.3">
      <c r="A3" s="163" t="s">
        <v>461</v>
      </c>
      <c r="B3" s="163" t="s">
        <v>26</v>
      </c>
      <c r="C3" s="163" t="s">
        <v>34</v>
      </c>
      <c r="D3" s="163" t="s">
        <v>1</v>
      </c>
      <c r="E3" s="163" t="s">
        <v>284</v>
      </c>
      <c r="F3" s="163" t="s">
        <v>28</v>
      </c>
      <c r="G3" s="163" t="s">
        <v>463</v>
      </c>
      <c r="H3" s="163" t="s">
        <v>36</v>
      </c>
      <c r="I3" s="164" t="s">
        <v>464</v>
      </c>
    </row>
    <row r="4" spans="1:9" ht="15.6" x14ac:dyDescent="0.3">
      <c r="A4" s="163" t="s">
        <v>461</v>
      </c>
      <c r="B4" s="163" t="s">
        <v>26</v>
      </c>
      <c r="C4" s="163" t="s">
        <v>40</v>
      </c>
      <c r="D4" s="163" t="s">
        <v>1</v>
      </c>
      <c r="E4" s="163" t="s">
        <v>326</v>
      </c>
      <c r="F4" s="163" t="s">
        <v>28</v>
      </c>
      <c r="G4" s="163" t="s">
        <v>463</v>
      </c>
      <c r="H4" s="163" t="s">
        <v>36</v>
      </c>
      <c r="I4" s="164" t="s">
        <v>464</v>
      </c>
    </row>
    <row r="5" spans="1:9" ht="15.6" x14ac:dyDescent="0.3">
      <c r="A5" s="165" t="s">
        <v>461</v>
      </c>
      <c r="B5" s="165" t="s">
        <v>72</v>
      </c>
      <c r="C5" s="165" t="s">
        <v>73</v>
      </c>
      <c r="D5" s="165" t="s">
        <v>1</v>
      </c>
      <c r="E5" s="165" t="s">
        <v>373</v>
      </c>
      <c r="F5" s="165" t="s">
        <v>28</v>
      </c>
      <c r="G5" s="165" t="s">
        <v>465</v>
      </c>
      <c r="H5" s="165" t="s">
        <v>75</v>
      </c>
      <c r="I5" s="166" t="s">
        <v>466</v>
      </c>
    </row>
    <row r="6" spans="1:9" ht="15.6" x14ac:dyDescent="0.3">
      <c r="A6" s="165" t="s">
        <v>461</v>
      </c>
      <c r="B6" s="165" t="s">
        <v>102</v>
      </c>
      <c r="C6" s="165" t="s">
        <v>103</v>
      </c>
      <c r="D6" s="165" t="s">
        <v>1</v>
      </c>
      <c r="E6" s="165" t="s">
        <v>467</v>
      </c>
      <c r="F6" s="165" t="s">
        <v>28</v>
      </c>
      <c r="G6" s="165" t="s">
        <v>468</v>
      </c>
      <c r="H6" s="165" t="s">
        <v>105</v>
      </c>
      <c r="I6" s="166" t="s">
        <v>469</v>
      </c>
    </row>
    <row r="7" spans="1:9" ht="15.6" x14ac:dyDescent="0.3">
      <c r="A7" s="165" t="s">
        <v>461</v>
      </c>
      <c r="B7" s="165" t="s">
        <v>108</v>
      </c>
      <c r="C7" s="165" t="s">
        <v>109</v>
      </c>
      <c r="D7" s="165" t="s">
        <v>1</v>
      </c>
      <c r="E7" s="165" t="s">
        <v>470</v>
      </c>
      <c r="F7" s="165" t="s">
        <v>110</v>
      </c>
      <c r="G7" s="165" t="s">
        <v>471</v>
      </c>
      <c r="H7" s="165" t="s">
        <v>112</v>
      </c>
      <c r="I7" s="166" t="s">
        <v>472</v>
      </c>
    </row>
    <row r="8" spans="1:9" ht="15.6" x14ac:dyDescent="0.3">
      <c r="A8" s="165" t="s">
        <v>461</v>
      </c>
      <c r="B8" s="165" t="s">
        <v>108</v>
      </c>
      <c r="C8" s="165" t="s">
        <v>109</v>
      </c>
      <c r="D8" s="165" t="s">
        <v>1</v>
      </c>
      <c r="E8" s="165" t="s">
        <v>470</v>
      </c>
      <c r="F8" s="165" t="s">
        <v>113</v>
      </c>
      <c r="G8" s="165" t="s">
        <v>471</v>
      </c>
      <c r="H8" s="165" t="s">
        <v>112</v>
      </c>
      <c r="I8" s="166" t="s">
        <v>472</v>
      </c>
    </row>
    <row r="9" spans="1:9" ht="15.6" x14ac:dyDescent="0.3">
      <c r="A9" s="165" t="s">
        <v>461</v>
      </c>
      <c r="B9" s="165" t="s">
        <v>52</v>
      </c>
      <c r="C9" s="165" t="s">
        <v>53</v>
      </c>
      <c r="D9" s="165" t="s">
        <v>1</v>
      </c>
      <c r="E9" s="165" t="s">
        <v>473</v>
      </c>
      <c r="F9" s="165" t="s">
        <v>60</v>
      </c>
      <c r="G9" s="165" t="s">
        <v>463</v>
      </c>
      <c r="H9" s="165" t="s">
        <v>61</v>
      </c>
      <c r="I9" s="167" t="s">
        <v>474</v>
      </c>
    </row>
    <row r="10" spans="1:9" ht="15.6" x14ac:dyDescent="0.3">
      <c r="A10" s="165" t="s">
        <v>461</v>
      </c>
      <c r="B10" s="165" t="s">
        <v>52</v>
      </c>
      <c r="C10" s="165" t="s">
        <v>69</v>
      </c>
      <c r="D10" s="165" t="s">
        <v>1</v>
      </c>
      <c r="E10" s="165" t="s">
        <v>475</v>
      </c>
      <c r="F10" s="165" t="s">
        <v>60</v>
      </c>
      <c r="G10" s="165" t="s">
        <v>476</v>
      </c>
      <c r="H10" s="165" t="s">
        <v>61</v>
      </c>
      <c r="I10" s="167" t="s">
        <v>477</v>
      </c>
    </row>
    <row r="11" spans="1:9" ht="15.6" x14ac:dyDescent="0.3">
      <c r="A11" s="165" t="s">
        <v>461</v>
      </c>
      <c r="B11" s="165" t="s">
        <v>108</v>
      </c>
      <c r="C11" s="165" t="s">
        <v>109</v>
      </c>
      <c r="D11" s="165" t="s">
        <v>1</v>
      </c>
      <c r="E11" s="165" t="s">
        <v>470</v>
      </c>
      <c r="F11" s="165" t="s">
        <v>60</v>
      </c>
      <c r="G11" s="165" t="s">
        <v>471</v>
      </c>
      <c r="H11" s="165" t="s">
        <v>114</v>
      </c>
      <c r="I11" s="167" t="s">
        <v>478</v>
      </c>
    </row>
    <row r="12" spans="1:9" ht="15.6" x14ac:dyDescent="0.3">
      <c r="A12" s="165" t="s">
        <v>461</v>
      </c>
      <c r="B12" s="165" t="s">
        <v>79</v>
      </c>
      <c r="C12" s="165" t="s">
        <v>80</v>
      </c>
      <c r="D12" s="165" t="s">
        <v>1</v>
      </c>
      <c r="E12" s="165" t="s">
        <v>479</v>
      </c>
      <c r="F12" s="165" t="s">
        <v>88</v>
      </c>
      <c r="G12" s="165" t="s">
        <v>480</v>
      </c>
      <c r="H12" s="165" t="s">
        <v>89</v>
      </c>
      <c r="I12" s="167" t="s">
        <v>481</v>
      </c>
    </row>
    <row r="13" spans="1:9" ht="15.6" x14ac:dyDescent="0.3">
      <c r="A13" s="165" t="s">
        <v>461</v>
      </c>
      <c r="B13" s="165" t="s">
        <v>79</v>
      </c>
      <c r="C13" s="165" t="s">
        <v>90</v>
      </c>
      <c r="D13" s="165" t="s">
        <v>1</v>
      </c>
      <c r="E13" s="165" t="s">
        <v>482</v>
      </c>
      <c r="F13" s="165" t="s">
        <v>88</v>
      </c>
      <c r="G13" s="165" t="s">
        <v>471</v>
      </c>
      <c r="H13" s="165" t="s">
        <v>89</v>
      </c>
      <c r="I13" s="167" t="s">
        <v>481</v>
      </c>
    </row>
    <row r="14" spans="1:9" ht="15.6" x14ac:dyDescent="0.3">
      <c r="A14" s="165" t="s">
        <v>461</v>
      </c>
      <c r="B14" s="165" t="s">
        <v>79</v>
      </c>
      <c r="C14" s="165" t="s">
        <v>93</v>
      </c>
      <c r="D14" s="165" t="s">
        <v>1</v>
      </c>
      <c r="E14" s="165" t="s">
        <v>483</v>
      </c>
      <c r="F14" s="165" t="s">
        <v>88</v>
      </c>
      <c r="G14" s="165" t="s">
        <v>463</v>
      </c>
      <c r="H14" s="165" t="s">
        <v>89</v>
      </c>
      <c r="I14" s="167" t="s">
        <v>484</v>
      </c>
    </row>
    <row r="15" spans="1:9" ht="15.6" x14ac:dyDescent="0.3">
      <c r="A15" s="165" t="s">
        <v>461</v>
      </c>
      <c r="B15" s="165" t="s">
        <v>79</v>
      </c>
      <c r="C15" s="165" t="s">
        <v>94</v>
      </c>
      <c r="D15" s="165" t="s">
        <v>1</v>
      </c>
      <c r="E15" s="165" t="s">
        <v>485</v>
      </c>
      <c r="F15" s="165" t="s">
        <v>88</v>
      </c>
      <c r="G15" s="165" t="s">
        <v>468</v>
      </c>
      <c r="H15" s="165" t="s">
        <v>89</v>
      </c>
      <c r="I15" s="167" t="s">
        <v>484</v>
      </c>
    </row>
    <row r="16" spans="1:9" ht="15.6" x14ac:dyDescent="0.3">
      <c r="A16" s="165" t="s">
        <v>461</v>
      </c>
      <c r="B16" s="165" t="s">
        <v>79</v>
      </c>
      <c r="C16" s="165" t="s">
        <v>97</v>
      </c>
      <c r="D16" s="165" t="s">
        <v>1</v>
      </c>
      <c r="E16" s="165" t="s">
        <v>486</v>
      </c>
      <c r="F16" s="165" t="s">
        <v>88</v>
      </c>
      <c r="G16" s="165" t="s">
        <v>468</v>
      </c>
      <c r="H16" s="165" t="s">
        <v>98</v>
      </c>
      <c r="I16" s="167" t="s">
        <v>487</v>
      </c>
    </row>
    <row r="17" spans="1:9" ht="15.6" x14ac:dyDescent="0.3">
      <c r="A17" s="165" t="s">
        <v>461</v>
      </c>
      <c r="B17" s="165" t="s">
        <v>79</v>
      </c>
      <c r="C17" s="165" t="s">
        <v>99</v>
      </c>
      <c r="D17" s="165" t="s">
        <v>1</v>
      </c>
      <c r="E17" s="165" t="s">
        <v>488</v>
      </c>
      <c r="F17" s="165" t="s">
        <v>88</v>
      </c>
      <c r="G17" s="165" t="s">
        <v>476</v>
      </c>
      <c r="H17" s="165" t="s">
        <v>98</v>
      </c>
      <c r="I17" s="167" t="s">
        <v>489</v>
      </c>
    </row>
    <row r="18" spans="1:9" ht="15.6" x14ac:dyDescent="0.3">
      <c r="A18" s="165" t="s">
        <v>461</v>
      </c>
      <c r="B18" s="165" t="s">
        <v>79</v>
      </c>
      <c r="C18" s="165" t="s">
        <v>100</v>
      </c>
      <c r="D18" s="165" t="s">
        <v>1</v>
      </c>
      <c r="E18" s="165" t="s">
        <v>490</v>
      </c>
      <c r="F18" s="165" t="s">
        <v>88</v>
      </c>
      <c r="G18" s="165" t="s">
        <v>476</v>
      </c>
      <c r="H18" s="165" t="s">
        <v>98</v>
      </c>
      <c r="I18" s="167" t="s">
        <v>489</v>
      </c>
    </row>
    <row r="19" spans="1:9" ht="15.6" x14ac:dyDescent="0.3">
      <c r="A19" s="165" t="s">
        <v>461</v>
      </c>
      <c r="B19" s="165" t="s">
        <v>79</v>
      </c>
      <c r="C19" s="165" t="s">
        <v>101</v>
      </c>
      <c r="D19" s="165" t="s">
        <v>1</v>
      </c>
      <c r="E19" s="165" t="s">
        <v>491</v>
      </c>
      <c r="F19" s="165" t="s">
        <v>88</v>
      </c>
      <c r="G19" s="165" t="s">
        <v>476</v>
      </c>
      <c r="H19" s="165" t="s">
        <v>98</v>
      </c>
      <c r="I19" s="167" t="s">
        <v>489</v>
      </c>
    </row>
    <row r="20" spans="1:9" ht="15.6" x14ac:dyDescent="0.3">
      <c r="A20" s="165" t="s">
        <v>461</v>
      </c>
      <c r="B20" s="165" t="s">
        <v>115</v>
      </c>
      <c r="C20" s="165" t="s">
        <v>116</v>
      </c>
      <c r="D20" s="165" t="s">
        <v>1</v>
      </c>
      <c r="E20" s="165" t="s">
        <v>492</v>
      </c>
      <c r="F20" s="165" t="s">
        <v>117</v>
      </c>
      <c r="G20" s="165" t="s">
        <v>465</v>
      </c>
      <c r="H20" s="165" t="s">
        <v>118</v>
      </c>
      <c r="I20" s="167" t="s">
        <v>493</v>
      </c>
    </row>
    <row r="21" spans="1:9" ht="15.6" x14ac:dyDescent="0.3">
      <c r="A21" s="165" t="s">
        <v>461</v>
      </c>
      <c r="B21" s="165" t="s">
        <v>115</v>
      </c>
      <c r="C21" s="165" t="s">
        <v>119</v>
      </c>
      <c r="D21" s="165" t="s">
        <v>1</v>
      </c>
      <c r="E21" s="165" t="s">
        <v>494</v>
      </c>
      <c r="F21" s="165" t="s">
        <v>117</v>
      </c>
      <c r="G21" s="165" t="s">
        <v>495</v>
      </c>
      <c r="H21" s="165" t="s">
        <v>118</v>
      </c>
      <c r="I21" s="167" t="s">
        <v>496</v>
      </c>
    </row>
    <row r="22" spans="1:9" ht="15.6" x14ac:dyDescent="0.3">
      <c r="A22" s="165" t="s">
        <v>461</v>
      </c>
      <c r="B22" s="165" t="s">
        <v>115</v>
      </c>
      <c r="C22" s="165" t="s">
        <v>121</v>
      </c>
      <c r="D22" s="165" t="s">
        <v>1</v>
      </c>
      <c r="E22" s="165" t="s">
        <v>455</v>
      </c>
      <c r="F22" s="165" t="s">
        <v>117</v>
      </c>
      <c r="G22" s="165" t="s">
        <v>465</v>
      </c>
      <c r="H22" s="165" t="s">
        <v>123</v>
      </c>
      <c r="I22" s="167" t="s">
        <v>497</v>
      </c>
    </row>
    <row r="23" spans="1:9" ht="15.6" x14ac:dyDescent="0.3">
      <c r="A23" s="165" t="s">
        <v>461</v>
      </c>
      <c r="B23" s="165" t="s">
        <v>52</v>
      </c>
      <c r="C23" s="165" t="s">
        <v>62</v>
      </c>
      <c r="D23" s="165" t="s">
        <v>1</v>
      </c>
      <c r="E23" s="165" t="s">
        <v>492</v>
      </c>
      <c r="F23" s="165" t="s">
        <v>60</v>
      </c>
      <c r="G23" s="165" t="s">
        <v>498</v>
      </c>
      <c r="H23" s="165" t="s">
        <v>65</v>
      </c>
      <c r="I23" s="167" t="s">
        <v>499</v>
      </c>
    </row>
    <row r="24" spans="1:9" ht="15.6" x14ac:dyDescent="0.3">
      <c r="A24" s="165" t="s">
        <v>461</v>
      </c>
      <c r="B24" s="165" t="s">
        <v>52</v>
      </c>
      <c r="C24" s="165" t="s">
        <v>66</v>
      </c>
      <c r="D24" s="165" t="s">
        <v>1</v>
      </c>
      <c r="E24" s="165" t="s">
        <v>491</v>
      </c>
      <c r="F24" s="165" t="s">
        <v>60</v>
      </c>
      <c r="G24" s="165" t="s">
        <v>500</v>
      </c>
      <c r="H24" s="165" t="s">
        <v>65</v>
      </c>
      <c r="I24" s="167" t="s">
        <v>501</v>
      </c>
    </row>
    <row r="25" spans="1:9" ht="15.6" x14ac:dyDescent="0.3">
      <c r="A25" s="165" t="s">
        <v>461</v>
      </c>
      <c r="B25" s="165" t="s">
        <v>115</v>
      </c>
      <c r="C25" s="165" t="s">
        <v>125</v>
      </c>
      <c r="D25" s="165" t="s">
        <v>1</v>
      </c>
      <c r="E25" s="165" t="s">
        <v>475</v>
      </c>
      <c r="F25" s="165" t="s">
        <v>117</v>
      </c>
      <c r="G25" s="165" t="s">
        <v>498</v>
      </c>
      <c r="H25" s="165" t="s">
        <v>126</v>
      </c>
      <c r="I25" s="167" t="s">
        <v>502</v>
      </c>
    </row>
    <row r="26" spans="1:9" ht="15.6" x14ac:dyDescent="0.3">
      <c r="A26" s="165" t="s">
        <v>461</v>
      </c>
      <c r="B26" s="165" t="s">
        <v>115</v>
      </c>
      <c r="C26" s="165" t="s">
        <v>127</v>
      </c>
      <c r="D26" s="165" t="s">
        <v>1</v>
      </c>
      <c r="E26" s="165" t="s">
        <v>473</v>
      </c>
      <c r="F26" s="165" t="s">
        <v>117</v>
      </c>
      <c r="G26" s="165" t="s">
        <v>498</v>
      </c>
      <c r="H26" s="165" t="s">
        <v>126</v>
      </c>
      <c r="I26" s="167" t="s">
        <v>503</v>
      </c>
    </row>
    <row r="27" spans="1:9" ht="15.6" x14ac:dyDescent="0.3">
      <c r="A27" s="165" t="s">
        <v>461</v>
      </c>
      <c r="B27" s="165" t="s">
        <v>115</v>
      </c>
      <c r="C27" s="165" t="s">
        <v>128</v>
      </c>
      <c r="D27" s="165" t="s">
        <v>1</v>
      </c>
      <c r="E27" s="165" t="s">
        <v>492</v>
      </c>
      <c r="F27" s="165" t="s">
        <v>117</v>
      </c>
      <c r="G27" s="165" t="s">
        <v>498</v>
      </c>
      <c r="H27" s="165" t="s">
        <v>129</v>
      </c>
      <c r="I27" s="166" t="s">
        <v>504</v>
      </c>
    </row>
    <row r="28" spans="1:9" ht="15.6" x14ac:dyDescent="0.3">
      <c r="A28" s="165" t="s">
        <v>461</v>
      </c>
      <c r="B28" s="165" t="s">
        <v>115</v>
      </c>
      <c r="C28" s="165" t="s">
        <v>130</v>
      </c>
      <c r="D28" s="165" t="s">
        <v>1</v>
      </c>
      <c r="E28" s="165" t="s">
        <v>491</v>
      </c>
      <c r="F28" s="165" t="s">
        <v>117</v>
      </c>
      <c r="G28" s="165" t="s">
        <v>498</v>
      </c>
      <c r="H28" s="165" t="s">
        <v>129</v>
      </c>
      <c r="I28" s="168" t="s">
        <v>505</v>
      </c>
    </row>
    <row r="29" spans="1:9" ht="15.6" x14ac:dyDescent="0.3">
      <c r="A29" s="165" t="s">
        <v>461</v>
      </c>
      <c r="B29" s="165" t="s">
        <v>115</v>
      </c>
      <c r="C29" s="165" t="s">
        <v>131</v>
      </c>
      <c r="D29" s="165" t="s">
        <v>1</v>
      </c>
      <c r="E29" s="165" t="s">
        <v>506</v>
      </c>
      <c r="F29" s="165" t="s">
        <v>117</v>
      </c>
      <c r="G29" s="165" t="s">
        <v>500</v>
      </c>
      <c r="H29" s="165" t="s">
        <v>132</v>
      </c>
      <c r="I29" s="166" t="s">
        <v>507</v>
      </c>
    </row>
    <row r="30" spans="1:9" ht="15.6" x14ac:dyDescent="0.3">
      <c r="A30" s="165" t="s">
        <v>461</v>
      </c>
      <c r="B30" s="165" t="s">
        <v>115</v>
      </c>
      <c r="C30" s="165" t="s">
        <v>135</v>
      </c>
      <c r="D30" s="165" t="s">
        <v>1</v>
      </c>
      <c r="E30" s="165" t="s">
        <v>508</v>
      </c>
      <c r="F30" s="165" t="s">
        <v>117</v>
      </c>
      <c r="G30" s="165" t="s">
        <v>495</v>
      </c>
      <c r="H30" s="165" t="s">
        <v>132</v>
      </c>
      <c r="I30" s="166" t="s">
        <v>507</v>
      </c>
    </row>
    <row r="31" spans="1:9" ht="15.6" x14ac:dyDescent="0.3">
      <c r="A31" s="163" t="s">
        <v>509</v>
      </c>
      <c r="B31" s="163" t="s">
        <v>26</v>
      </c>
      <c r="C31" s="163" t="s">
        <v>40</v>
      </c>
      <c r="D31" s="163" t="s">
        <v>1</v>
      </c>
      <c r="E31" s="163" t="s">
        <v>339</v>
      </c>
      <c r="F31" s="163" t="s">
        <v>28</v>
      </c>
      <c r="G31" s="163" t="s">
        <v>463</v>
      </c>
      <c r="H31" s="163" t="s">
        <v>36</v>
      </c>
      <c r="I31" s="164" t="s">
        <v>464</v>
      </c>
    </row>
    <row r="32" spans="1:9" ht="15.6" x14ac:dyDescent="0.3">
      <c r="A32" s="163" t="s">
        <v>509</v>
      </c>
      <c r="B32" s="163" t="s">
        <v>26</v>
      </c>
      <c r="C32" s="163" t="s">
        <v>34</v>
      </c>
      <c r="D32" s="163" t="s">
        <v>1</v>
      </c>
      <c r="E32" s="163" t="s">
        <v>353</v>
      </c>
      <c r="F32" s="163" t="s">
        <v>28</v>
      </c>
      <c r="G32" s="163" t="s">
        <v>468</v>
      </c>
      <c r="H32" s="163" t="s">
        <v>148</v>
      </c>
      <c r="I32" s="164" t="s">
        <v>464</v>
      </c>
    </row>
    <row r="33" spans="1:9" ht="15.6" x14ac:dyDescent="0.3">
      <c r="A33" s="165" t="s">
        <v>509</v>
      </c>
      <c r="B33" s="165" t="s">
        <v>72</v>
      </c>
      <c r="C33" s="165" t="s">
        <v>76</v>
      </c>
      <c r="D33" s="165" t="s">
        <v>1</v>
      </c>
      <c r="E33" s="165" t="s">
        <v>510</v>
      </c>
      <c r="F33" s="165" t="s">
        <v>28</v>
      </c>
      <c r="G33" s="165" t="s">
        <v>463</v>
      </c>
      <c r="H33" s="165" t="s">
        <v>75</v>
      </c>
      <c r="I33" s="166" t="s">
        <v>466</v>
      </c>
    </row>
    <row r="34" spans="1:9" ht="15.6" x14ac:dyDescent="0.3">
      <c r="A34" s="165" t="s">
        <v>509</v>
      </c>
      <c r="B34" s="165" t="s">
        <v>72</v>
      </c>
      <c r="C34" s="165" t="s">
        <v>73</v>
      </c>
      <c r="D34" s="165" t="s">
        <v>1</v>
      </c>
      <c r="E34" s="165" t="s">
        <v>511</v>
      </c>
      <c r="F34" s="165" t="s">
        <v>28</v>
      </c>
      <c r="G34" s="165" t="s">
        <v>468</v>
      </c>
      <c r="H34" s="165" t="s">
        <v>75</v>
      </c>
      <c r="I34" s="166" t="s">
        <v>466</v>
      </c>
    </row>
    <row r="35" spans="1:9" ht="15.6" x14ac:dyDescent="0.3">
      <c r="A35" s="165" t="s">
        <v>509</v>
      </c>
      <c r="B35" s="165" t="s">
        <v>79</v>
      </c>
      <c r="C35" s="165" t="s">
        <v>101</v>
      </c>
      <c r="D35" s="165" t="s">
        <v>1</v>
      </c>
      <c r="E35" s="165" t="s">
        <v>491</v>
      </c>
      <c r="F35" s="165" t="s">
        <v>81</v>
      </c>
      <c r="G35" s="165" t="s">
        <v>463</v>
      </c>
      <c r="H35" s="165" t="s">
        <v>83</v>
      </c>
      <c r="I35" s="166" t="s">
        <v>512</v>
      </c>
    </row>
    <row r="36" spans="1:9" ht="15.6" x14ac:dyDescent="0.3">
      <c r="A36" s="165" t="s">
        <v>509</v>
      </c>
      <c r="B36" s="165" t="s">
        <v>79</v>
      </c>
      <c r="C36" s="165" t="s">
        <v>101</v>
      </c>
      <c r="D36" s="165" t="s">
        <v>1</v>
      </c>
      <c r="E36" s="165" t="s">
        <v>491</v>
      </c>
      <c r="F36" s="165" t="s">
        <v>84</v>
      </c>
      <c r="G36" s="165" t="s">
        <v>463</v>
      </c>
      <c r="H36" s="165" t="s">
        <v>83</v>
      </c>
      <c r="I36" s="166" t="s">
        <v>512</v>
      </c>
    </row>
    <row r="37" spans="1:9" ht="15.6" x14ac:dyDescent="0.3">
      <c r="A37" s="165" t="s">
        <v>509</v>
      </c>
      <c r="B37" s="165" t="s">
        <v>108</v>
      </c>
      <c r="C37" s="165" t="s">
        <v>155</v>
      </c>
      <c r="D37" s="165" t="s">
        <v>1</v>
      </c>
      <c r="E37" s="165" t="s">
        <v>513</v>
      </c>
      <c r="F37" s="165" t="s">
        <v>110</v>
      </c>
      <c r="G37" s="165" t="s">
        <v>476</v>
      </c>
      <c r="H37" s="165" t="s">
        <v>157</v>
      </c>
      <c r="I37" s="166" t="s">
        <v>514</v>
      </c>
    </row>
    <row r="38" spans="1:9" ht="15.6" x14ac:dyDescent="0.3">
      <c r="A38" s="165" t="s">
        <v>509</v>
      </c>
      <c r="B38" s="165" t="s">
        <v>108</v>
      </c>
      <c r="C38" s="165" t="s">
        <v>155</v>
      </c>
      <c r="D38" s="165" t="s">
        <v>1</v>
      </c>
      <c r="E38" s="165" t="s">
        <v>513</v>
      </c>
      <c r="F38" s="165" t="s">
        <v>113</v>
      </c>
      <c r="G38" s="165" t="s">
        <v>476</v>
      </c>
      <c r="H38" s="165" t="s">
        <v>157</v>
      </c>
      <c r="I38" s="166" t="s">
        <v>514</v>
      </c>
    </row>
    <row r="39" spans="1:9" ht="15.6" x14ac:dyDescent="0.3">
      <c r="A39" s="165" t="s">
        <v>509</v>
      </c>
      <c r="B39" s="165" t="s">
        <v>79</v>
      </c>
      <c r="C39" s="165" t="s">
        <v>101</v>
      </c>
      <c r="D39" s="165" t="s">
        <v>1</v>
      </c>
      <c r="E39" s="165" t="s">
        <v>491</v>
      </c>
      <c r="F39" s="165" t="s">
        <v>86</v>
      </c>
      <c r="G39" s="165" t="s">
        <v>463</v>
      </c>
      <c r="H39" s="165" t="s">
        <v>87</v>
      </c>
      <c r="I39" s="166" t="s">
        <v>504</v>
      </c>
    </row>
    <row r="40" spans="1:9" ht="15.6" x14ac:dyDescent="0.3">
      <c r="A40" s="165" t="s">
        <v>509</v>
      </c>
      <c r="B40" s="165" t="s">
        <v>52</v>
      </c>
      <c r="C40" s="165" t="s">
        <v>53</v>
      </c>
      <c r="D40" s="165" t="s">
        <v>1</v>
      </c>
      <c r="E40" s="165" t="s">
        <v>473</v>
      </c>
      <c r="F40" s="165" t="s">
        <v>60</v>
      </c>
      <c r="G40" s="165" t="s">
        <v>498</v>
      </c>
      <c r="H40" s="165" t="s">
        <v>61</v>
      </c>
      <c r="I40" s="167" t="s">
        <v>477</v>
      </c>
    </row>
    <row r="41" spans="1:9" ht="15.6" x14ac:dyDescent="0.3">
      <c r="A41" s="165" t="s">
        <v>509</v>
      </c>
      <c r="B41" s="165" t="s">
        <v>52</v>
      </c>
      <c r="C41" s="165" t="s">
        <v>62</v>
      </c>
      <c r="D41" s="165" t="s">
        <v>1</v>
      </c>
      <c r="E41" s="165" t="s">
        <v>492</v>
      </c>
      <c r="F41" s="165" t="s">
        <v>60</v>
      </c>
      <c r="G41" s="165" t="s">
        <v>463</v>
      </c>
      <c r="H41" s="165" t="s">
        <v>61</v>
      </c>
      <c r="I41" s="167" t="s">
        <v>477</v>
      </c>
    </row>
    <row r="42" spans="1:9" ht="15.6" x14ac:dyDescent="0.3">
      <c r="A42" s="165" t="s">
        <v>509</v>
      </c>
      <c r="B42" s="165" t="s">
        <v>52</v>
      </c>
      <c r="C42" s="165" t="s">
        <v>66</v>
      </c>
      <c r="D42" s="165" t="s">
        <v>1</v>
      </c>
      <c r="E42" s="165" t="s">
        <v>491</v>
      </c>
      <c r="F42" s="165" t="s">
        <v>60</v>
      </c>
      <c r="G42" s="165" t="s">
        <v>498</v>
      </c>
      <c r="H42" s="165" t="s">
        <v>61</v>
      </c>
      <c r="I42" s="167" t="s">
        <v>515</v>
      </c>
    </row>
    <row r="43" spans="1:9" ht="15.6" x14ac:dyDescent="0.3">
      <c r="A43" s="165" t="s">
        <v>509</v>
      </c>
      <c r="B43" s="165" t="s">
        <v>52</v>
      </c>
      <c r="C43" s="165" t="s">
        <v>69</v>
      </c>
      <c r="D43" s="165" t="s">
        <v>1</v>
      </c>
      <c r="E43" s="165" t="s">
        <v>475</v>
      </c>
      <c r="F43" s="165" t="s">
        <v>60</v>
      </c>
      <c r="G43" s="165" t="s">
        <v>498</v>
      </c>
      <c r="H43" s="165" t="s">
        <v>61</v>
      </c>
      <c r="I43" s="167" t="s">
        <v>515</v>
      </c>
    </row>
    <row r="44" spans="1:9" ht="15.6" x14ac:dyDescent="0.3">
      <c r="A44" s="165" t="s">
        <v>509</v>
      </c>
      <c r="B44" s="165" t="s">
        <v>79</v>
      </c>
      <c r="C44" s="165" t="s">
        <v>101</v>
      </c>
      <c r="D44" s="165" t="s">
        <v>1</v>
      </c>
      <c r="E44" s="165" t="s">
        <v>491</v>
      </c>
      <c r="F44" s="165" t="s">
        <v>88</v>
      </c>
      <c r="G44" s="165" t="s">
        <v>463</v>
      </c>
      <c r="H44" s="165" t="s">
        <v>89</v>
      </c>
      <c r="I44" s="167" t="s">
        <v>516</v>
      </c>
    </row>
    <row r="45" spans="1:9" ht="15.6" x14ac:dyDescent="0.3">
      <c r="A45" s="165" t="s">
        <v>509</v>
      </c>
      <c r="B45" s="165" t="s">
        <v>108</v>
      </c>
      <c r="C45" s="165" t="s">
        <v>155</v>
      </c>
      <c r="D45" s="165" t="s">
        <v>1</v>
      </c>
      <c r="E45" s="165" t="s">
        <v>513</v>
      </c>
      <c r="F45" s="165" t="s">
        <v>60</v>
      </c>
      <c r="G45" s="165" t="s">
        <v>476</v>
      </c>
      <c r="H45" s="165" t="s">
        <v>158</v>
      </c>
      <c r="I45" s="167" t="s">
        <v>517</v>
      </c>
    </row>
    <row r="46" spans="1:9" ht="15.6" x14ac:dyDescent="0.3">
      <c r="A46" s="165" t="s">
        <v>509</v>
      </c>
      <c r="B46" s="165" t="s">
        <v>79</v>
      </c>
      <c r="C46" s="165" t="s">
        <v>97</v>
      </c>
      <c r="D46" s="165" t="s">
        <v>1</v>
      </c>
      <c r="E46" s="165" t="s">
        <v>486</v>
      </c>
      <c r="F46" s="165" t="s">
        <v>88</v>
      </c>
      <c r="G46" s="165" t="s">
        <v>476</v>
      </c>
      <c r="H46" s="165" t="s">
        <v>98</v>
      </c>
      <c r="I46" s="167" t="s">
        <v>489</v>
      </c>
    </row>
    <row r="47" spans="1:9" ht="15.6" x14ac:dyDescent="0.3">
      <c r="A47" s="165" t="s">
        <v>509</v>
      </c>
      <c r="B47" s="165" t="s">
        <v>79</v>
      </c>
      <c r="C47" s="165" t="s">
        <v>80</v>
      </c>
      <c r="D47" s="165" t="s">
        <v>1</v>
      </c>
      <c r="E47" s="165" t="s">
        <v>479</v>
      </c>
      <c r="F47" s="165" t="s">
        <v>88</v>
      </c>
      <c r="G47" s="165" t="s">
        <v>498</v>
      </c>
      <c r="H47" s="165" t="s">
        <v>98</v>
      </c>
      <c r="I47" s="167" t="s">
        <v>518</v>
      </c>
    </row>
    <row r="48" spans="1:9" ht="15.6" x14ac:dyDescent="0.3">
      <c r="A48" s="165" t="s">
        <v>509</v>
      </c>
      <c r="B48" s="165" t="s">
        <v>79</v>
      </c>
      <c r="C48" s="165" t="s">
        <v>99</v>
      </c>
      <c r="D48" s="165" t="s">
        <v>1</v>
      </c>
      <c r="E48" s="165" t="s">
        <v>488</v>
      </c>
      <c r="F48" s="165" t="s">
        <v>88</v>
      </c>
      <c r="G48" s="165" t="s">
        <v>468</v>
      </c>
      <c r="H48" s="165" t="s">
        <v>98</v>
      </c>
      <c r="I48" s="167" t="s">
        <v>518</v>
      </c>
    </row>
    <row r="49" spans="1:9" ht="15.6" x14ac:dyDescent="0.3">
      <c r="A49" s="165" t="s">
        <v>509</v>
      </c>
      <c r="B49" s="165" t="s">
        <v>79</v>
      </c>
      <c r="C49" s="165" t="s">
        <v>100</v>
      </c>
      <c r="D49" s="165" t="s">
        <v>1</v>
      </c>
      <c r="E49" s="165" t="s">
        <v>490</v>
      </c>
      <c r="F49" s="165" t="s">
        <v>88</v>
      </c>
      <c r="G49" s="165" t="s">
        <v>476</v>
      </c>
      <c r="H49" s="165" t="s">
        <v>98</v>
      </c>
      <c r="I49" s="167" t="s">
        <v>518</v>
      </c>
    </row>
    <row r="50" spans="1:9" ht="15.6" x14ac:dyDescent="0.3">
      <c r="A50" s="165" t="s">
        <v>509</v>
      </c>
      <c r="B50" s="165" t="s">
        <v>79</v>
      </c>
      <c r="C50" s="165" t="s">
        <v>90</v>
      </c>
      <c r="D50" s="165" t="s">
        <v>1</v>
      </c>
      <c r="E50" s="165" t="s">
        <v>482</v>
      </c>
      <c r="F50" s="165" t="s">
        <v>88</v>
      </c>
      <c r="G50" s="165" t="s">
        <v>480</v>
      </c>
      <c r="H50" s="165" t="s">
        <v>98</v>
      </c>
      <c r="I50" s="167" t="s">
        <v>518</v>
      </c>
    </row>
    <row r="51" spans="1:9" ht="15.6" x14ac:dyDescent="0.3">
      <c r="A51" s="165" t="s">
        <v>509</v>
      </c>
      <c r="B51" s="165" t="s">
        <v>79</v>
      </c>
      <c r="C51" s="165" t="s">
        <v>93</v>
      </c>
      <c r="D51" s="165" t="s">
        <v>1</v>
      </c>
      <c r="E51" s="165" t="s">
        <v>483</v>
      </c>
      <c r="F51" s="165" t="s">
        <v>88</v>
      </c>
      <c r="G51" s="165" t="s">
        <v>476</v>
      </c>
      <c r="H51" s="165" t="s">
        <v>98</v>
      </c>
      <c r="I51" s="167" t="s">
        <v>489</v>
      </c>
    </row>
    <row r="52" spans="1:9" ht="15.6" x14ac:dyDescent="0.3">
      <c r="A52" s="165" t="s">
        <v>509</v>
      </c>
      <c r="B52" s="165" t="s">
        <v>79</v>
      </c>
      <c r="C52" s="165" t="s">
        <v>94</v>
      </c>
      <c r="D52" s="165" t="s">
        <v>1</v>
      </c>
      <c r="E52" s="165" t="s">
        <v>485</v>
      </c>
      <c r="F52" s="165" t="s">
        <v>88</v>
      </c>
      <c r="G52" s="165" t="s">
        <v>476</v>
      </c>
      <c r="H52" s="165" t="s">
        <v>98</v>
      </c>
      <c r="I52" s="167" t="s">
        <v>489</v>
      </c>
    </row>
    <row r="53" spans="1:9" ht="15.6" x14ac:dyDescent="0.3">
      <c r="A53" s="165" t="s">
        <v>509</v>
      </c>
      <c r="B53" s="165" t="s">
        <v>115</v>
      </c>
      <c r="C53" s="165" t="s">
        <v>121</v>
      </c>
      <c r="D53" s="165" t="s">
        <v>1</v>
      </c>
      <c r="E53" s="165" t="s">
        <v>455</v>
      </c>
      <c r="F53" s="165" t="s">
        <v>122</v>
      </c>
      <c r="G53" s="165" t="s">
        <v>465</v>
      </c>
      <c r="H53" s="165" t="s">
        <v>159</v>
      </c>
      <c r="I53" s="166" t="s">
        <v>519</v>
      </c>
    </row>
    <row r="54" spans="1:9" ht="15.6" x14ac:dyDescent="0.3">
      <c r="A54" s="165" t="s">
        <v>509</v>
      </c>
      <c r="B54" s="165" t="s">
        <v>115</v>
      </c>
      <c r="C54" s="165" t="s">
        <v>121</v>
      </c>
      <c r="D54" s="165" t="s">
        <v>1</v>
      </c>
      <c r="E54" s="165" t="s">
        <v>455</v>
      </c>
      <c r="F54" s="165" t="s">
        <v>117</v>
      </c>
      <c r="G54" s="165" t="s">
        <v>465</v>
      </c>
      <c r="H54" s="165" t="s">
        <v>159</v>
      </c>
      <c r="I54" s="167" t="s">
        <v>520</v>
      </c>
    </row>
    <row r="55" spans="1:9" ht="15.6" x14ac:dyDescent="0.3">
      <c r="A55" s="165" t="s">
        <v>509</v>
      </c>
      <c r="B55" s="165" t="s">
        <v>115</v>
      </c>
      <c r="C55" s="165" t="s">
        <v>137</v>
      </c>
      <c r="D55" s="165" t="s">
        <v>1</v>
      </c>
      <c r="E55" s="165" t="s">
        <v>521</v>
      </c>
      <c r="F55" s="165" t="s">
        <v>122</v>
      </c>
      <c r="G55" s="165" t="s">
        <v>465</v>
      </c>
      <c r="H55" s="165" t="s">
        <v>159</v>
      </c>
      <c r="I55" s="166" t="s">
        <v>519</v>
      </c>
    </row>
    <row r="56" spans="1:9" ht="15.6" x14ac:dyDescent="0.3">
      <c r="A56" s="165" t="s">
        <v>509</v>
      </c>
      <c r="B56" s="165" t="s">
        <v>115</v>
      </c>
      <c r="C56" s="165" t="s">
        <v>137</v>
      </c>
      <c r="D56" s="165" t="s">
        <v>1</v>
      </c>
      <c r="E56" s="165" t="s">
        <v>521</v>
      </c>
      <c r="F56" s="165" t="s">
        <v>117</v>
      </c>
      <c r="G56" s="165" t="s">
        <v>465</v>
      </c>
      <c r="H56" s="165" t="s">
        <v>159</v>
      </c>
      <c r="I56" s="167" t="s">
        <v>520</v>
      </c>
    </row>
    <row r="57" spans="1:9" ht="15.6" x14ac:dyDescent="0.3">
      <c r="A57" s="165" t="s">
        <v>509</v>
      </c>
      <c r="B57" s="165" t="s">
        <v>115</v>
      </c>
      <c r="C57" s="165" t="s">
        <v>131</v>
      </c>
      <c r="D57" s="165" t="s">
        <v>1</v>
      </c>
      <c r="E57" s="165" t="s">
        <v>506</v>
      </c>
      <c r="F57" s="165" t="s">
        <v>117</v>
      </c>
      <c r="G57" s="165" t="s">
        <v>465</v>
      </c>
      <c r="H57" s="165" t="s">
        <v>123</v>
      </c>
      <c r="I57" s="167" t="s">
        <v>497</v>
      </c>
    </row>
    <row r="58" spans="1:9" ht="15.6" x14ac:dyDescent="0.3">
      <c r="A58" s="165" t="s">
        <v>509</v>
      </c>
      <c r="B58" s="165" t="s">
        <v>115</v>
      </c>
      <c r="C58" s="165" t="s">
        <v>139</v>
      </c>
      <c r="D58" s="165" t="s">
        <v>1</v>
      </c>
      <c r="E58" s="165" t="s">
        <v>522</v>
      </c>
      <c r="F58" s="165" t="s">
        <v>117</v>
      </c>
      <c r="G58" s="165" t="s">
        <v>465</v>
      </c>
      <c r="H58" s="165" t="s">
        <v>123</v>
      </c>
      <c r="I58" s="167" t="s">
        <v>484</v>
      </c>
    </row>
    <row r="59" spans="1:9" ht="15.6" x14ac:dyDescent="0.3">
      <c r="A59" s="165" t="s">
        <v>509</v>
      </c>
      <c r="B59" s="165" t="s">
        <v>115</v>
      </c>
      <c r="C59" s="165" t="s">
        <v>135</v>
      </c>
      <c r="D59" s="165" t="s">
        <v>1</v>
      </c>
      <c r="E59" s="165" t="s">
        <v>508</v>
      </c>
      <c r="F59" s="165" t="s">
        <v>117</v>
      </c>
      <c r="G59" s="165" t="s">
        <v>465</v>
      </c>
      <c r="H59" s="165" t="s">
        <v>123</v>
      </c>
      <c r="I59" s="167" t="s">
        <v>484</v>
      </c>
    </row>
    <row r="60" spans="1:9" ht="15.6" x14ac:dyDescent="0.3">
      <c r="A60" s="165" t="s">
        <v>509</v>
      </c>
      <c r="B60" s="165" t="s">
        <v>115</v>
      </c>
      <c r="C60" s="165" t="s">
        <v>125</v>
      </c>
      <c r="D60" s="165" t="s">
        <v>1</v>
      </c>
      <c r="E60" s="165" t="s">
        <v>475</v>
      </c>
      <c r="F60" s="165" t="s">
        <v>117</v>
      </c>
      <c r="G60" s="165" t="s">
        <v>498</v>
      </c>
      <c r="H60" s="165" t="s">
        <v>126</v>
      </c>
      <c r="I60" s="167" t="s">
        <v>523</v>
      </c>
    </row>
    <row r="61" spans="1:9" ht="15.6" x14ac:dyDescent="0.3">
      <c r="A61" s="165" t="s">
        <v>509</v>
      </c>
      <c r="B61" s="165" t="s">
        <v>115</v>
      </c>
      <c r="C61" s="165" t="s">
        <v>127</v>
      </c>
      <c r="D61" s="165" t="s">
        <v>1</v>
      </c>
      <c r="E61" s="165" t="s">
        <v>473</v>
      </c>
      <c r="F61" s="165" t="s">
        <v>117</v>
      </c>
      <c r="G61" s="165" t="s">
        <v>498</v>
      </c>
      <c r="H61" s="165" t="s">
        <v>126</v>
      </c>
      <c r="I61" s="167" t="s">
        <v>502</v>
      </c>
    </row>
    <row r="62" spans="1:9" ht="15.6" x14ac:dyDescent="0.3">
      <c r="A62" s="165" t="s">
        <v>509</v>
      </c>
      <c r="B62" s="165" t="s">
        <v>115</v>
      </c>
      <c r="C62" s="165" t="s">
        <v>128</v>
      </c>
      <c r="D62" s="165" t="s">
        <v>1</v>
      </c>
      <c r="E62" s="165" t="s">
        <v>492</v>
      </c>
      <c r="F62" s="165" t="s">
        <v>117</v>
      </c>
      <c r="G62" s="165" t="s">
        <v>498</v>
      </c>
      <c r="H62" s="165" t="s">
        <v>126</v>
      </c>
      <c r="I62" s="167" t="s">
        <v>502</v>
      </c>
    </row>
    <row r="63" spans="1:9" ht="15.6" x14ac:dyDescent="0.3">
      <c r="A63" s="165" t="s">
        <v>509</v>
      </c>
      <c r="B63" s="165" t="s">
        <v>115</v>
      </c>
      <c r="C63" s="165" t="s">
        <v>130</v>
      </c>
      <c r="D63" s="165" t="s">
        <v>1</v>
      </c>
      <c r="E63" s="165" t="s">
        <v>491</v>
      </c>
      <c r="F63" s="165" t="s">
        <v>117</v>
      </c>
      <c r="G63" s="165" t="s">
        <v>498</v>
      </c>
      <c r="H63" s="165" t="s">
        <v>126</v>
      </c>
      <c r="I63" s="167" t="s">
        <v>523</v>
      </c>
    </row>
    <row r="64" spans="1:9" ht="15.6" x14ac:dyDescent="0.3">
      <c r="A64" s="165" t="s">
        <v>509</v>
      </c>
      <c r="B64" s="165" t="s">
        <v>115</v>
      </c>
      <c r="C64" s="165" t="s">
        <v>116</v>
      </c>
      <c r="D64" s="165" t="s">
        <v>1</v>
      </c>
      <c r="E64" s="165" t="s">
        <v>492</v>
      </c>
      <c r="F64" s="165" t="s">
        <v>117</v>
      </c>
      <c r="G64" s="165" t="s">
        <v>465</v>
      </c>
      <c r="H64" s="165" t="s">
        <v>132</v>
      </c>
      <c r="I64" s="166" t="s">
        <v>507</v>
      </c>
    </row>
    <row r="65" spans="1:9" ht="15.6" x14ac:dyDescent="0.3">
      <c r="A65" s="165" t="s">
        <v>509</v>
      </c>
      <c r="B65" s="165" t="s">
        <v>115</v>
      </c>
      <c r="C65" s="165" t="s">
        <v>133</v>
      </c>
      <c r="D65" s="165" t="s">
        <v>1</v>
      </c>
      <c r="E65" s="165" t="s">
        <v>524</v>
      </c>
      <c r="F65" s="165" t="s">
        <v>117</v>
      </c>
      <c r="G65" s="165" t="s">
        <v>465</v>
      </c>
      <c r="H65" s="165" t="s">
        <v>132</v>
      </c>
      <c r="I65" s="166" t="s">
        <v>507</v>
      </c>
    </row>
    <row r="66" spans="1:9" ht="15.6" x14ac:dyDescent="0.3">
      <c r="A66" s="165" t="s">
        <v>509</v>
      </c>
      <c r="B66" s="165" t="s">
        <v>115</v>
      </c>
      <c r="C66" s="165" t="s">
        <v>119</v>
      </c>
      <c r="D66" s="165" t="s">
        <v>1</v>
      </c>
      <c r="E66" s="165" t="s">
        <v>494</v>
      </c>
      <c r="F66" s="165" t="s">
        <v>117</v>
      </c>
      <c r="G66" s="165" t="s">
        <v>465</v>
      </c>
      <c r="H66" s="165" t="s">
        <v>132</v>
      </c>
      <c r="I66" s="166" t="s">
        <v>507</v>
      </c>
    </row>
    <row r="67" spans="1:9" ht="15.6" x14ac:dyDescent="0.3">
      <c r="A67" s="163" t="s">
        <v>525</v>
      </c>
      <c r="B67" s="163" t="s">
        <v>26</v>
      </c>
      <c r="C67" s="163" t="s">
        <v>161</v>
      </c>
      <c r="D67" s="163" t="s">
        <v>1</v>
      </c>
      <c r="E67" s="163" t="s">
        <v>360</v>
      </c>
      <c r="F67" s="163" t="s">
        <v>28</v>
      </c>
      <c r="G67" s="163" t="s">
        <v>500</v>
      </c>
      <c r="H67" s="163" t="s">
        <v>36</v>
      </c>
      <c r="I67" s="164" t="s">
        <v>464</v>
      </c>
    </row>
    <row r="68" spans="1:9" ht="15.6" x14ac:dyDescent="0.3">
      <c r="A68" s="163" t="s">
        <v>525</v>
      </c>
      <c r="B68" s="163" t="s">
        <v>26</v>
      </c>
      <c r="C68" s="163" t="s">
        <v>166</v>
      </c>
      <c r="D68" s="163" t="s">
        <v>1</v>
      </c>
      <c r="E68" s="163" t="s">
        <v>373</v>
      </c>
      <c r="F68" s="163" t="s">
        <v>28</v>
      </c>
      <c r="G68" s="163" t="s">
        <v>465</v>
      </c>
      <c r="H68" s="163" t="s">
        <v>148</v>
      </c>
      <c r="I68" s="164" t="s">
        <v>464</v>
      </c>
    </row>
    <row r="69" spans="1:9" ht="15.6" x14ac:dyDescent="0.3">
      <c r="A69" s="163" t="s">
        <v>525</v>
      </c>
      <c r="B69" s="163" t="s">
        <v>26</v>
      </c>
      <c r="C69" s="163" t="s">
        <v>170</v>
      </c>
      <c r="D69" s="163" t="s">
        <v>1</v>
      </c>
      <c r="E69" s="163" t="s">
        <v>353</v>
      </c>
      <c r="F69" s="163" t="s">
        <v>28</v>
      </c>
      <c r="G69" s="163" t="s">
        <v>465</v>
      </c>
      <c r="H69" s="163" t="s">
        <v>171</v>
      </c>
      <c r="I69" s="164" t="s">
        <v>464</v>
      </c>
    </row>
    <row r="70" spans="1:9" ht="15.6" x14ac:dyDescent="0.3">
      <c r="A70" s="165" t="s">
        <v>525</v>
      </c>
      <c r="B70" s="165" t="s">
        <v>72</v>
      </c>
      <c r="C70" s="165" t="s">
        <v>76</v>
      </c>
      <c r="D70" s="165" t="s">
        <v>1</v>
      </c>
      <c r="E70" s="165" t="s">
        <v>510</v>
      </c>
      <c r="F70" s="165" t="s">
        <v>28</v>
      </c>
      <c r="G70" s="165" t="s">
        <v>465</v>
      </c>
      <c r="H70" s="165" t="s">
        <v>182</v>
      </c>
      <c r="I70" s="166" t="s">
        <v>507</v>
      </c>
    </row>
    <row r="71" spans="1:9" ht="15.6" x14ac:dyDescent="0.3">
      <c r="A71" s="165" t="s">
        <v>525</v>
      </c>
      <c r="B71" s="165" t="s">
        <v>102</v>
      </c>
      <c r="C71" s="165" t="s">
        <v>106</v>
      </c>
      <c r="D71" s="165" t="s">
        <v>1</v>
      </c>
      <c r="E71" s="165" t="s">
        <v>526</v>
      </c>
      <c r="F71" s="165" t="s">
        <v>28</v>
      </c>
      <c r="G71" s="165" t="s">
        <v>468</v>
      </c>
      <c r="H71" s="165" t="s">
        <v>107</v>
      </c>
      <c r="I71" s="166" t="s">
        <v>504</v>
      </c>
    </row>
    <row r="72" spans="1:9" ht="15.6" x14ac:dyDescent="0.3">
      <c r="A72" s="165" t="s">
        <v>525</v>
      </c>
      <c r="B72" s="165" t="s">
        <v>52</v>
      </c>
      <c r="C72" s="165" t="s">
        <v>66</v>
      </c>
      <c r="D72" s="165" t="s">
        <v>1</v>
      </c>
      <c r="E72" s="165" t="s">
        <v>491</v>
      </c>
      <c r="F72" s="165" t="s">
        <v>60</v>
      </c>
      <c r="G72" s="165" t="s">
        <v>527</v>
      </c>
      <c r="H72" s="165" t="s">
        <v>180</v>
      </c>
      <c r="I72" s="167" t="s">
        <v>528</v>
      </c>
    </row>
    <row r="73" spans="1:9" ht="15.6" x14ac:dyDescent="0.3">
      <c r="A73" s="165" t="s">
        <v>525</v>
      </c>
      <c r="B73" s="165" t="s">
        <v>79</v>
      </c>
      <c r="C73" s="165" t="s">
        <v>80</v>
      </c>
      <c r="D73" s="165" t="s">
        <v>1</v>
      </c>
      <c r="E73" s="165" t="s">
        <v>479</v>
      </c>
      <c r="F73" s="165" t="s">
        <v>86</v>
      </c>
      <c r="G73" s="165" t="s">
        <v>500</v>
      </c>
      <c r="H73" s="165" t="s">
        <v>89</v>
      </c>
      <c r="I73" s="166" t="s">
        <v>514</v>
      </c>
    </row>
    <row r="74" spans="1:9" ht="15.6" x14ac:dyDescent="0.3">
      <c r="A74" s="165" t="s">
        <v>525</v>
      </c>
      <c r="B74" s="165" t="s">
        <v>79</v>
      </c>
      <c r="C74" s="165" t="s">
        <v>97</v>
      </c>
      <c r="D74" s="165" t="s">
        <v>1</v>
      </c>
      <c r="E74" s="165" t="s">
        <v>486</v>
      </c>
      <c r="F74" s="165" t="s">
        <v>88</v>
      </c>
      <c r="G74" s="165" t="s">
        <v>476</v>
      </c>
      <c r="H74" s="165" t="s">
        <v>98</v>
      </c>
      <c r="I74" s="167" t="s">
        <v>518</v>
      </c>
    </row>
    <row r="75" spans="1:9" ht="15.6" x14ac:dyDescent="0.3">
      <c r="A75" s="165" t="s">
        <v>525</v>
      </c>
      <c r="B75" s="165" t="s">
        <v>79</v>
      </c>
      <c r="C75" s="165" t="s">
        <v>80</v>
      </c>
      <c r="D75" s="165" t="s">
        <v>1</v>
      </c>
      <c r="E75" s="165" t="s">
        <v>479</v>
      </c>
      <c r="F75" s="165" t="s">
        <v>88</v>
      </c>
      <c r="G75" s="165" t="s">
        <v>500</v>
      </c>
      <c r="H75" s="165" t="s">
        <v>98</v>
      </c>
      <c r="I75" s="167" t="s">
        <v>529</v>
      </c>
    </row>
    <row r="76" spans="1:9" ht="15.6" x14ac:dyDescent="0.3">
      <c r="A76" s="165" t="s">
        <v>525</v>
      </c>
      <c r="B76" s="165" t="s">
        <v>79</v>
      </c>
      <c r="C76" s="165" t="s">
        <v>93</v>
      </c>
      <c r="D76" s="165" t="s">
        <v>1</v>
      </c>
      <c r="E76" s="165" t="s">
        <v>483</v>
      </c>
      <c r="F76" s="165" t="s">
        <v>88</v>
      </c>
      <c r="G76" s="165" t="s">
        <v>498</v>
      </c>
      <c r="H76" s="165" t="s">
        <v>98</v>
      </c>
      <c r="I76" s="167" t="s">
        <v>518</v>
      </c>
    </row>
    <row r="77" spans="1:9" ht="15.6" x14ac:dyDescent="0.3">
      <c r="A77" s="165" t="s">
        <v>525</v>
      </c>
      <c r="B77" s="165" t="s">
        <v>79</v>
      </c>
      <c r="C77" s="165" t="s">
        <v>94</v>
      </c>
      <c r="D77" s="165" t="s">
        <v>1</v>
      </c>
      <c r="E77" s="165" t="s">
        <v>485</v>
      </c>
      <c r="F77" s="165" t="s">
        <v>88</v>
      </c>
      <c r="G77" s="165" t="s">
        <v>480</v>
      </c>
      <c r="H77" s="165" t="s">
        <v>98</v>
      </c>
      <c r="I77" s="167" t="s">
        <v>518</v>
      </c>
    </row>
    <row r="78" spans="1:9" ht="15.6" x14ac:dyDescent="0.3">
      <c r="A78" s="165" t="s">
        <v>525</v>
      </c>
      <c r="B78" s="165" t="s">
        <v>79</v>
      </c>
      <c r="C78" s="165" t="s">
        <v>100</v>
      </c>
      <c r="D78" s="165" t="s">
        <v>1</v>
      </c>
      <c r="E78" s="165" t="s">
        <v>490</v>
      </c>
      <c r="F78" s="165" t="s">
        <v>88</v>
      </c>
      <c r="G78" s="165" t="s">
        <v>476</v>
      </c>
      <c r="H78" s="165" t="s">
        <v>184</v>
      </c>
      <c r="I78" s="167" t="s">
        <v>530</v>
      </c>
    </row>
    <row r="79" spans="1:9" ht="15.6" x14ac:dyDescent="0.3">
      <c r="A79" s="165" t="s">
        <v>525</v>
      </c>
      <c r="B79" s="165" t="s">
        <v>79</v>
      </c>
      <c r="C79" s="165" t="s">
        <v>90</v>
      </c>
      <c r="D79" s="165" t="s">
        <v>1</v>
      </c>
      <c r="E79" s="165" t="s">
        <v>482</v>
      </c>
      <c r="F79" s="165" t="s">
        <v>88</v>
      </c>
      <c r="G79" s="165" t="s">
        <v>476</v>
      </c>
      <c r="H79" s="165" t="s">
        <v>184</v>
      </c>
      <c r="I79" s="167" t="s">
        <v>530</v>
      </c>
    </row>
    <row r="80" spans="1:9" ht="15.6" x14ac:dyDescent="0.3">
      <c r="A80" s="165" t="s">
        <v>525</v>
      </c>
      <c r="B80" s="165" t="s">
        <v>79</v>
      </c>
      <c r="C80" s="165" t="s">
        <v>101</v>
      </c>
      <c r="D80" s="165" t="s">
        <v>1</v>
      </c>
      <c r="E80" s="165" t="s">
        <v>491</v>
      </c>
      <c r="F80" s="165" t="s">
        <v>88</v>
      </c>
      <c r="G80" s="165" t="s">
        <v>495</v>
      </c>
      <c r="H80" s="165" t="s">
        <v>184</v>
      </c>
      <c r="I80" s="167" t="s">
        <v>530</v>
      </c>
    </row>
    <row r="81" spans="1:9" ht="15.6" x14ac:dyDescent="0.3">
      <c r="A81" s="165" t="s">
        <v>525</v>
      </c>
      <c r="B81" s="165" t="s">
        <v>115</v>
      </c>
      <c r="C81" s="165" t="s">
        <v>121</v>
      </c>
      <c r="D81" s="165" t="s">
        <v>1</v>
      </c>
      <c r="E81" s="165" t="s">
        <v>455</v>
      </c>
      <c r="F81" s="165" t="s">
        <v>117</v>
      </c>
      <c r="G81" s="165" t="s">
        <v>465</v>
      </c>
      <c r="H81" s="165" t="s">
        <v>123</v>
      </c>
      <c r="I81" s="167" t="s">
        <v>517</v>
      </c>
    </row>
    <row r="82" spans="1:9" ht="15.6" x14ac:dyDescent="0.3">
      <c r="A82" s="165" t="s">
        <v>525</v>
      </c>
      <c r="B82" s="165" t="s">
        <v>115</v>
      </c>
      <c r="C82" s="165" t="s">
        <v>137</v>
      </c>
      <c r="D82" s="165" t="s">
        <v>1</v>
      </c>
      <c r="E82" s="165" t="s">
        <v>521</v>
      </c>
      <c r="F82" s="165" t="s">
        <v>117</v>
      </c>
      <c r="G82" s="165" t="s">
        <v>465</v>
      </c>
      <c r="H82" s="165" t="s">
        <v>123</v>
      </c>
      <c r="I82" s="167" t="s">
        <v>517</v>
      </c>
    </row>
    <row r="83" spans="1:9" ht="15.6" x14ac:dyDescent="0.3">
      <c r="A83" s="165" t="s">
        <v>525</v>
      </c>
      <c r="B83" s="165" t="s">
        <v>115</v>
      </c>
      <c r="C83" s="165" t="s">
        <v>131</v>
      </c>
      <c r="D83" s="165" t="s">
        <v>1</v>
      </c>
      <c r="E83" s="165" t="s">
        <v>506</v>
      </c>
      <c r="F83" s="165" t="s">
        <v>117</v>
      </c>
      <c r="G83" s="165" t="s">
        <v>465</v>
      </c>
      <c r="H83" s="165" t="s">
        <v>123</v>
      </c>
      <c r="I83" s="167" t="s">
        <v>497</v>
      </c>
    </row>
    <row r="84" spans="1:9" ht="15.6" x14ac:dyDescent="0.3">
      <c r="A84" s="165" t="s">
        <v>525</v>
      </c>
      <c r="B84" s="165" t="s">
        <v>115</v>
      </c>
      <c r="C84" s="165" t="s">
        <v>139</v>
      </c>
      <c r="D84" s="165" t="s">
        <v>1</v>
      </c>
      <c r="E84" s="165" t="s">
        <v>531</v>
      </c>
      <c r="F84" s="165" t="s">
        <v>117</v>
      </c>
      <c r="G84" s="165" t="s">
        <v>465</v>
      </c>
      <c r="H84" s="165" t="s">
        <v>123</v>
      </c>
      <c r="I84" s="167" t="s">
        <v>517</v>
      </c>
    </row>
    <row r="85" spans="1:9" ht="15.6" x14ac:dyDescent="0.3">
      <c r="A85" s="165" t="s">
        <v>525</v>
      </c>
      <c r="B85" s="165" t="s">
        <v>115</v>
      </c>
      <c r="C85" s="165" t="s">
        <v>133</v>
      </c>
      <c r="D85" s="165" t="s">
        <v>1</v>
      </c>
      <c r="E85" s="165" t="s">
        <v>524</v>
      </c>
      <c r="F85" s="165" t="s">
        <v>117</v>
      </c>
      <c r="G85" s="165" t="s">
        <v>465</v>
      </c>
      <c r="H85" s="165" t="s">
        <v>123</v>
      </c>
      <c r="I85" s="167" t="s">
        <v>484</v>
      </c>
    </row>
    <row r="86" spans="1:9" ht="15.6" x14ac:dyDescent="0.3">
      <c r="A86" s="165" t="s">
        <v>525</v>
      </c>
      <c r="B86" s="165" t="s">
        <v>52</v>
      </c>
      <c r="C86" s="165" t="s">
        <v>53</v>
      </c>
      <c r="D86" s="165" t="s">
        <v>1</v>
      </c>
      <c r="E86" s="165" t="s">
        <v>473</v>
      </c>
      <c r="F86" s="165" t="s">
        <v>60</v>
      </c>
      <c r="G86" s="165" t="s">
        <v>468</v>
      </c>
      <c r="H86" s="165" t="s">
        <v>65</v>
      </c>
      <c r="I86" s="167" t="s">
        <v>532</v>
      </c>
    </row>
    <row r="87" spans="1:9" ht="15.6" x14ac:dyDescent="0.3">
      <c r="A87" s="165" t="s">
        <v>525</v>
      </c>
      <c r="B87" s="165" t="s">
        <v>52</v>
      </c>
      <c r="C87" s="165" t="s">
        <v>62</v>
      </c>
      <c r="D87" s="165" t="s">
        <v>1</v>
      </c>
      <c r="E87" s="165" t="s">
        <v>492</v>
      </c>
      <c r="F87" s="165" t="s">
        <v>60</v>
      </c>
      <c r="G87" s="165" t="s">
        <v>527</v>
      </c>
      <c r="H87" s="165" t="s">
        <v>65</v>
      </c>
      <c r="I87" s="167" t="s">
        <v>532</v>
      </c>
    </row>
    <row r="88" spans="1:9" ht="15.6" x14ac:dyDescent="0.3">
      <c r="A88" s="165" t="s">
        <v>525</v>
      </c>
      <c r="B88" s="165" t="s">
        <v>52</v>
      </c>
      <c r="C88" s="165" t="s">
        <v>69</v>
      </c>
      <c r="D88" s="165" t="s">
        <v>1</v>
      </c>
      <c r="E88" s="165" t="s">
        <v>475</v>
      </c>
      <c r="F88" s="165" t="s">
        <v>60</v>
      </c>
      <c r="G88" s="165" t="s">
        <v>476</v>
      </c>
      <c r="H88" s="165" t="s">
        <v>65</v>
      </c>
      <c r="I88" s="167" t="s">
        <v>533</v>
      </c>
    </row>
    <row r="89" spans="1:9" ht="15.6" x14ac:dyDescent="0.3">
      <c r="A89" s="165" t="s">
        <v>525</v>
      </c>
      <c r="B89" s="165" t="s">
        <v>79</v>
      </c>
      <c r="C89" s="165" t="s">
        <v>99</v>
      </c>
      <c r="D89" s="165" t="s">
        <v>1</v>
      </c>
      <c r="E89" s="165" t="s">
        <v>534</v>
      </c>
      <c r="F89" s="165" t="s">
        <v>88</v>
      </c>
      <c r="G89" s="165" t="s">
        <v>471</v>
      </c>
      <c r="H89" s="165" t="s">
        <v>186</v>
      </c>
      <c r="I89" s="167" t="s">
        <v>532</v>
      </c>
    </row>
    <row r="90" spans="1:9" ht="15.6" x14ac:dyDescent="0.3">
      <c r="A90" s="165" t="s">
        <v>525</v>
      </c>
      <c r="B90" s="165" t="s">
        <v>115</v>
      </c>
      <c r="C90" s="165" t="s">
        <v>125</v>
      </c>
      <c r="D90" s="165" t="s">
        <v>1</v>
      </c>
      <c r="E90" s="165" t="s">
        <v>475</v>
      </c>
      <c r="F90" s="165" t="s">
        <v>117</v>
      </c>
      <c r="G90" s="165" t="s">
        <v>498</v>
      </c>
      <c r="H90" s="165" t="s">
        <v>126</v>
      </c>
      <c r="I90" s="167" t="s">
        <v>535</v>
      </c>
    </row>
    <row r="91" spans="1:9" ht="15.6" x14ac:dyDescent="0.3">
      <c r="A91" s="165" t="s">
        <v>525</v>
      </c>
      <c r="B91" s="165" t="s">
        <v>115</v>
      </c>
      <c r="C91" s="165" t="s">
        <v>127</v>
      </c>
      <c r="D91" s="165" t="s">
        <v>1</v>
      </c>
      <c r="E91" s="165" t="s">
        <v>473</v>
      </c>
      <c r="F91" s="165" t="s">
        <v>117</v>
      </c>
      <c r="G91" s="165" t="s">
        <v>498</v>
      </c>
      <c r="H91" s="165" t="s">
        <v>126</v>
      </c>
      <c r="I91" s="167" t="s">
        <v>523</v>
      </c>
    </row>
    <row r="92" spans="1:9" ht="15.6" x14ac:dyDescent="0.3">
      <c r="A92" s="165" t="s">
        <v>525</v>
      </c>
      <c r="B92" s="165" t="s">
        <v>115</v>
      </c>
      <c r="C92" s="165" t="s">
        <v>128</v>
      </c>
      <c r="D92" s="165" t="s">
        <v>1</v>
      </c>
      <c r="E92" s="165" t="s">
        <v>492</v>
      </c>
      <c r="F92" s="165" t="s">
        <v>117</v>
      </c>
      <c r="G92" s="165" t="s">
        <v>498</v>
      </c>
      <c r="H92" s="165" t="s">
        <v>126</v>
      </c>
      <c r="I92" s="167" t="s">
        <v>523</v>
      </c>
    </row>
    <row r="93" spans="1:9" ht="15.6" x14ac:dyDescent="0.3">
      <c r="A93" s="165" t="s">
        <v>525</v>
      </c>
      <c r="B93" s="165" t="s">
        <v>115</v>
      </c>
      <c r="C93" s="165" t="s">
        <v>130</v>
      </c>
      <c r="D93" s="165" t="s">
        <v>1</v>
      </c>
      <c r="E93" s="165" t="s">
        <v>491</v>
      </c>
      <c r="F93" s="165" t="s">
        <v>117</v>
      </c>
      <c r="G93" s="165" t="s">
        <v>498</v>
      </c>
      <c r="H93" s="165" t="s">
        <v>129</v>
      </c>
      <c r="I93" s="167" t="s">
        <v>536</v>
      </c>
    </row>
    <row r="94" spans="1:9" ht="15.6" x14ac:dyDescent="0.3">
      <c r="A94" s="165" t="s">
        <v>525</v>
      </c>
      <c r="B94" s="165" t="s">
        <v>115</v>
      </c>
      <c r="C94" s="165" t="s">
        <v>116</v>
      </c>
      <c r="D94" s="165" t="s">
        <v>1</v>
      </c>
      <c r="E94" s="165" t="s">
        <v>492</v>
      </c>
      <c r="F94" s="165" t="s">
        <v>117</v>
      </c>
      <c r="G94" s="165" t="s">
        <v>465</v>
      </c>
      <c r="H94" s="165" t="s">
        <v>132</v>
      </c>
      <c r="I94" s="168" t="s">
        <v>537</v>
      </c>
    </row>
    <row r="95" spans="1:9" ht="15.6" x14ac:dyDescent="0.3">
      <c r="A95" s="165" t="s">
        <v>525</v>
      </c>
      <c r="B95" s="165" t="s">
        <v>115</v>
      </c>
      <c r="C95" s="165" t="s">
        <v>119</v>
      </c>
      <c r="D95" s="165" t="s">
        <v>1</v>
      </c>
      <c r="E95" s="165" t="s">
        <v>494</v>
      </c>
      <c r="F95" s="165" t="s">
        <v>117</v>
      </c>
      <c r="G95" s="165" t="s">
        <v>465</v>
      </c>
      <c r="H95" s="165" t="s">
        <v>132</v>
      </c>
      <c r="I95" s="166" t="s">
        <v>507</v>
      </c>
    </row>
    <row r="96" spans="1:9" ht="15.6" x14ac:dyDescent="0.3">
      <c r="A96" s="163" t="s">
        <v>538</v>
      </c>
      <c r="B96" s="163" t="s">
        <v>26</v>
      </c>
      <c r="C96" s="163" t="s">
        <v>34</v>
      </c>
      <c r="D96" s="163" t="s">
        <v>1</v>
      </c>
      <c r="E96" s="163" t="s">
        <v>411</v>
      </c>
      <c r="F96" s="163" t="s">
        <v>28</v>
      </c>
      <c r="G96" s="163" t="s">
        <v>463</v>
      </c>
      <c r="H96" s="163" t="s">
        <v>171</v>
      </c>
      <c r="I96" s="164" t="s">
        <v>464</v>
      </c>
    </row>
    <row r="97" spans="1:9" ht="15.6" x14ac:dyDescent="0.3">
      <c r="A97" s="163" t="s">
        <v>538</v>
      </c>
      <c r="B97" s="163" t="s">
        <v>26</v>
      </c>
      <c r="C97" s="163" t="s">
        <v>27</v>
      </c>
      <c r="D97" s="163" t="s">
        <v>1</v>
      </c>
      <c r="E97" s="163" t="s">
        <v>401</v>
      </c>
      <c r="F97" s="163" t="s">
        <v>28</v>
      </c>
      <c r="G97" s="163" t="s">
        <v>465</v>
      </c>
      <c r="H97" s="163" t="s">
        <v>171</v>
      </c>
      <c r="I97" s="164" t="s">
        <v>464</v>
      </c>
    </row>
    <row r="98" spans="1:9" ht="15.6" x14ac:dyDescent="0.3">
      <c r="A98" s="163" t="s">
        <v>538</v>
      </c>
      <c r="B98" s="163" t="s">
        <v>26</v>
      </c>
      <c r="C98" s="163" t="s">
        <v>199</v>
      </c>
      <c r="D98" s="163" t="s">
        <v>1</v>
      </c>
      <c r="E98" s="163" t="s">
        <v>304</v>
      </c>
      <c r="F98" s="163" t="s">
        <v>28</v>
      </c>
      <c r="G98" s="163" t="s">
        <v>500</v>
      </c>
      <c r="H98" s="163" t="s">
        <v>171</v>
      </c>
      <c r="I98" s="164" t="s">
        <v>464</v>
      </c>
    </row>
    <row r="99" spans="1:9" ht="15.6" x14ac:dyDescent="0.3">
      <c r="A99" s="163" t="s">
        <v>538</v>
      </c>
      <c r="B99" s="163" t="s">
        <v>26</v>
      </c>
      <c r="C99" s="163" t="s">
        <v>202</v>
      </c>
      <c r="D99" s="163" t="s">
        <v>1</v>
      </c>
      <c r="E99" s="163" t="s">
        <v>416</v>
      </c>
      <c r="F99" s="163" t="s">
        <v>28</v>
      </c>
      <c r="G99" s="163" t="s">
        <v>500</v>
      </c>
      <c r="H99" s="163" t="s">
        <v>181</v>
      </c>
      <c r="I99" s="164" t="s">
        <v>464</v>
      </c>
    </row>
    <row r="100" spans="1:9" ht="15.6" x14ac:dyDescent="0.3">
      <c r="A100" s="165" t="s">
        <v>538</v>
      </c>
      <c r="B100" s="165" t="s">
        <v>108</v>
      </c>
      <c r="C100" s="165" t="s">
        <v>155</v>
      </c>
      <c r="D100" s="165" t="s">
        <v>1</v>
      </c>
      <c r="E100" s="165" t="s">
        <v>513</v>
      </c>
      <c r="F100" s="165" t="s">
        <v>110</v>
      </c>
      <c r="G100" s="165" t="s">
        <v>476</v>
      </c>
      <c r="H100" s="165" t="s">
        <v>190</v>
      </c>
      <c r="I100" s="168" t="s">
        <v>537</v>
      </c>
    </row>
    <row r="101" spans="1:9" ht="15.6" x14ac:dyDescent="0.3">
      <c r="A101" s="165" t="s">
        <v>538</v>
      </c>
      <c r="B101" s="165" t="s">
        <v>108</v>
      </c>
      <c r="C101" s="165" t="s">
        <v>155</v>
      </c>
      <c r="D101" s="165" t="s">
        <v>1</v>
      </c>
      <c r="E101" s="165" t="s">
        <v>513</v>
      </c>
      <c r="F101" s="165" t="s">
        <v>113</v>
      </c>
      <c r="G101" s="165" t="s">
        <v>476</v>
      </c>
      <c r="H101" s="165" t="s">
        <v>191</v>
      </c>
      <c r="I101" s="168" t="s">
        <v>537</v>
      </c>
    </row>
    <row r="102" spans="1:9" ht="15.6" x14ac:dyDescent="0.3">
      <c r="A102" s="165" t="s">
        <v>538</v>
      </c>
      <c r="B102" s="165" t="s">
        <v>108</v>
      </c>
      <c r="C102" s="165" t="s">
        <v>193</v>
      </c>
      <c r="D102" s="165" t="s">
        <v>1</v>
      </c>
      <c r="E102" s="165" t="s">
        <v>539</v>
      </c>
      <c r="F102" s="165" t="s">
        <v>110</v>
      </c>
      <c r="G102" s="165" t="s">
        <v>476</v>
      </c>
      <c r="H102" s="165" t="s">
        <v>194</v>
      </c>
      <c r="I102" s="167" t="s">
        <v>536</v>
      </c>
    </row>
    <row r="103" spans="1:9" ht="15.6" x14ac:dyDescent="0.3">
      <c r="A103" s="165" t="s">
        <v>538</v>
      </c>
      <c r="B103" s="165" t="s">
        <v>108</v>
      </c>
      <c r="C103" s="165" t="s">
        <v>193</v>
      </c>
      <c r="D103" s="165" t="s">
        <v>1</v>
      </c>
      <c r="E103" s="165" t="s">
        <v>539</v>
      </c>
      <c r="F103" s="165" t="s">
        <v>113</v>
      </c>
      <c r="G103" s="165" t="s">
        <v>476</v>
      </c>
      <c r="H103" s="165" t="s">
        <v>194</v>
      </c>
      <c r="I103" s="167" t="s">
        <v>536</v>
      </c>
    </row>
    <row r="104" spans="1:9" ht="15.6" x14ac:dyDescent="0.3">
      <c r="A104" s="165" t="s">
        <v>538</v>
      </c>
      <c r="B104" s="165" t="s">
        <v>108</v>
      </c>
      <c r="C104" s="165" t="s">
        <v>155</v>
      </c>
      <c r="D104" s="165" t="s">
        <v>1</v>
      </c>
      <c r="E104" s="165" t="s">
        <v>513</v>
      </c>
      <c r="F104" s="165" t="s">
        <v>60</v>
      </c>
      <c r="G104" s="165" t="s">
        <v>476</v>
      </c>
      <c r="H104" s="165" t="s">
        <v>192</v>
      </c>
      <c r="I104" s="167" t="s">
        <v>540</v>
      </c>
    </row>
    <row r="105" spans="1:9" ht="15.6" x14ac:dyDescent="0.3">
      <c r="A105" s="165" t="s">
        <v>538</v>
      </c>
      <c r="B105" s="165" t="s">
        <v>108</v>
      </c>
      <c r="C105" s="165" t="s">
        <v>193</v>
      </c>
      <c r="D105" s="165" t="s">
        <v>1</v>
      </c>
      <c r="E105" s="165" t="s">
        <v>539</v>
      </c>
      <c r="F105" s="165" t="s">
        <v>60</v>
      </c>
      <c r="G105" s="165" t="s">
        <v>476</v>
      </c>
      <c r="H105" s="165" t="s">
        <v>195</v>
      </c>
      <c r="I105" s="167" t="s">
        <v>541</v>
      </c>
    </row>
    <row r="106" spans="1:9" ht="15.6" x14ac:dyDescent="0.3">
      <c r="A106" s="165" t="s">
        <v>538</v>
      </c>
      <c r="B106" s="165" t="s">
        <v>140</v>
      </c>
      <c r="C106" s="165" t="s">
        <v>188</v>
      </c>
      <c r="D106" s="165" t="s">
        <v>1</v>
      </c>
      <c r="E106" s="165" t="s">
        <v>542</v>
      </c>
      <c r="F106" s="165" t="s">
        <v>122</v>
      </c>
      <c r="G106" s="165" t="s">
        <v>465</v>
      </c>
      <c r="H106" s="165" t="s">
        <v>213</v>
      </c>
      <c r="I106" s="168" t="s">
        <v>537</v>
      </c>
    </row>
    <row r="107" spans="1:9" ht="15.6" x14ac:dyDescent="0.3">
      <c r="A107" s="165" t="s">
        <v>538</v>
      </c>
      <c r="B107" s="165" t="s">
        <v>140</v>
      </c>
      <c r="C107" s="165" t="s">
        <v>146</v>
      </c>
      <c r="D107" s="165" t="s">
        <v>1</v>
      </c>
      <c r="E107" s="165" t="s">
        <v>425</v>
      </c>
      <c r="F107" s="165" t="s">
        <v>122</v>
      </c>
      <c r="G107" s="165" t="s">
        <v>465</v>
      </c>
      <c r="H107" s="165" t="s">
        <v>213</v>
      </c>
      <c r="I107" s="168" t="s">
        <v>537</v>
      </c>
    </row>
    <row r="108" spans="1:9" ht="15.6" x14ac:dyDescent="0.3">
      <c r="A108" s="165" t="s">
        <v>538</v>
      </c>
      <c r="B108" s="165" t="s">
        <v>140</v>
      </c>
      <c r="C108" s="165" t="s">
        <v>141</v>
      </c>
      <c r="D108" s="165" t="s">
        <v>1</v>
      </c>
      <c r="E108" s="165" t="s">
        <v>543</v>
      </c>
      <c r="F108" s="165" t="s">
        <v>122</v>
      </c>
      <c r="G108" s="165" t="s">
        <v>465</v>
      </c>
      <c r="H108" s="165" t="s">
        <v>214</v>
      </c>
      <c r="I108" s="168" t="s">
        <v>544</v>
      </c>
    </row>
    <row r="109" spans="1:9" ht="15.6" x14ac:dyDescent="0.3">
      <c r="A109" s="165" t="s">
        <v>538</v>
      </c>
      <c r="B109" s="165" t="s">
        <v>140</v>
      </c>
      <c r="C109" s="165" t="s">
        <v>215</v>
      </c>
      <c r="D109" s="165" t="s">
        <v>1</v>
      </c>
      <c r="E109" s="165" t="s">
        <v>545</v>
      </c>
      <c r="F109" s="165" t="s">
        <v>122</v>
      </c>
      <c r="G109" s="165" t="s">
        <v>465</v>
      </c>
      <c r="H109" s="165" t="s">
        <v>214</v>
      </c>
      <c r="I109" s="166" t="s">
        <v>514</v>
      </c>
    </row>
    <row r="110" spans="1:9" ht="15.6" x14ac:dyDescent="0.3">
      <c r="A110" s="165" t="s">
        <v>538</v>
      </c>
      <c r="B110" s="165" t="s">
        <v>79</v>
      </c>
      <c r="C110" s="165" t="s">
        <v>97</v>
      </c>
      <c r="D110" s="165" t="s">
        <v>1</v>
      </c>
      <c r="E110" s="165" t="s">
        <v>486</v>
      </c>
      <c r="F110" s="165" t="s">
        <v>88</v>
      </c>
      <c r="G110" s="165" t="s">
        <v>471</v>
      </c>
      <c r="H110" s="165" t="s">
        <v>209</v>
      </c>
      <c r="I110" s="167" t="s">
        <v>546</v>
      </c>
    </row>
    <row r="111" spans="1:9" ht="15.6" x14ac:dyDescent="0.3">
      <c r="A111" s="165" t="s">
        <v>538</v>
      </c>
      <c r="B111" s="165" t="s">
        <v>79</v>
      </c>
      <c r="C111" s="165" t="s">
        <v>80</v>
      </c>
      <c r="D111" s="165" t="s">
        <v>1</v>
      </c>
      <c r="E111" s="165" t="s">
        <v>479</v>
      </c>
      <c r="F111" s="165" t="s">
        <v>88</v>
      </c>
      <c r="G111" s="165" t="s">
        <v>495</v>
      </c>
      <c r="H111" s="165" t="s">
        <v>209</v>
      </c>
      <c r="I111" s="167" t="s">
        <v>478</v>
      </c>
    </row>
    <row r="112" spans="1:9" ht="15.6" x14ac:dyDescent="0.3">
      <c r="A112" s="165" t="s">
        <v>538</v>
      </c>
      <c r="B112" s="165" t="s">
        <v>79</v>
      </c>
      <c r="C112" s="165" t="s">
        <v>99</v>
      </c>
      <c r="D112" s="165" t="s">
        <v>1</v>
      </c>
      <c r="E112" s="165" t="s">
        <v>488</v>
      </c>
      <c r="F112" s="165" t="s">
        <v>88</v>
      </c>
      <c r="G112" s="165" t="s">
        <v>463</v>
      </c>
      <c r="H112" s="165" t="s">
        <v>209</v>
      </c>
      <c r="I112" s="167" t="s">
        <v>478</v>
      </c>
    </row>
    <row r="113" spans="1:9" ht="15.6" x14ac:dyDescent="0.3">
      <c r="A113" s="165" t="s">
        <v>538</v>
      </c>
      <c r="B113" s="165" t="s">
        <v>79</v>
      </c>
      <c r="C113" s="165" t="s">
        <v>90</v>
      </c>
      <c r="D113" s="165" t="s">
        <v>1</v>
      </c>
      <c r="E113" s="165" t="s">
        <v>482</v>
      </c>
      <c r="F113" s="165" t="s">
        <v>88</v>
      </c>
      <c r="G113" s="165" t="s">
        <v>498</v>
      </c>
      <c r="H113" s="165" t="s">
        <v>209</v>
      </c>
      <c r="I113" s="167" t="s">
        <v>478</v>
      </c>
    </row>
    <row r="114" spans="1:9" ht="15.6" x14ac:dyDescent="0.3">
      <c r="A114" s="165" t="s">
        <v>538</v>
      </c>
      <c r="B114" s="165" t="s">
        <v>79</v>
      </c>
      <c r="C114" s="165" t="s">
        <v>93</v>
      </c>
      <c r="D114" s="165" t="s">
        <v>1</v>
      </c>
      <c r="E114" s="165" t="s">
        <v>483</v>
      </c>
      <c r="F114" s="165" t="s">
        <v>88</v>
      </c>
      <c r="G114" s="165" t="s">
        <v>480</v>
      </c>
      <c r="H114" s="165" t="s">
        <v>209</v>
      </c>
      <c r="I114" s="167" t="s">
        <v>546</v>
      </c>
    </row>
    <row r="115" spans="1:9" ht="15.6" x14ac:dyDescent="0.3">
      <c r="A115" s="165" t="s">
        <v>538</v>
      </c>
      <c r="B115" s="165" t="s">
        <v>115</v>
      </c>
      <c r="C115" s="165" t="s">
        <v>116</v>
      </c>
      <c r="D115" s="165" t="s">
        <v>1</v>
      </c>
      <c r="E115" s="165" t="s">
        <v>492</v>
      </c>
      <c r="F115" s="165" t="s">
        <v>117</v>
      </c>
      <c r="G115" s="165" t="s">
        <v>465</v>
      </c>
      <c r="H115" s="165" t="s">
        <v>123</v>
      </c>
      <c r="I115" s="167" t="s">
        <v>517</v>
      </c>
    </row>
    <row r="116" spans="1:9" ht="15.6" x14ac:dyDescent="0.3">
      <c r="A116" s="165" t="s">
        <v>538</v>
      </c>
      <c r="B116" s="165" t="s">
        <v>115</v>
      </c>
      <c r="C116" s="165" t="s">
        <v>121</v>
      </c>
      <c r="D116" s="165" t="s">
        <v>1</v>
      </c>
      <c r="E116" s="165" t="s">
        <v>455</v>
      </c>
      <c r="F116" s="165" t="s">
        <v>122</v>
      </c>
      <c r="G116" s="165" t="s">
        <v>465</v>
      </c>
      <c r="H116" s="165" t="s">
        <v>123</v>
      </c>
      <c r="I116" s="166" t="s">
        <v>469</v>
      </c>
    </row>
    <row r="117" spans="1:9" ht="15.6" x14ac:dyDescent="0.3">
      <c r="A117" s="165" t="s">
        <v>538</v>
      </c>
      <c r="B117" s="165" t="s">
        <v>115</v>
      </c>
      <c r="C117" s="165" t="s">
        <v>121</v>
      </c>
      <c r="D117" s="165" t="s">
        <v>1</v>
      </c>
      <c r="E117" s="165" t="s">
        <v>455</v>
      </c>
      <c r="F117" s="165" t="s">
        <v>117</v>
      </c>
      <c r="G117" s="165" t="s">
        <v>465</v>
      </c>
      <c r="H117" s="165" t="s">
        <v>123</v>
      </c>
      <c r="I117" s="167" t="s">
        <v>547</v>
      </c>
    </row>
    <row r="118" spans="1:9" ht="15.6" x14ac:dyDescent="0.3">
      <c r="A118" s="165" t="s">
        <v>538</v>
      </c>
      <c r="B118" s="165" t="s">
        <v>115</v>
      </c>
      <c r="C118" s="165" t="s">
        <v>137</v>
      </c>
      <c r="D118" s="165" t="s">
        <v>1</v>
      </c>
      <c r="E118" s="165" t="s">
        <v>521</v>
      </c>
      <c r="F118" s="165" t="s">
        <v>117</v>
      </c>
      <c r="G118" s="165" t="s">
        <v>465</v>
      </c>
      <c r="H118" s="165" t="s">
        <v>123</v>
      </c>
      <c r="I118" s="167" t="s">
        <v>547</v>
      </c>
    </row>
    <row r="119" spans="1:9" ht="15.6" x14ac:dyDescent="0.3">
      <c r="A119" s="165" t="s">
        <v>538</v>
      </c>
      <c r="B119" s="165" t="s">
        <v>115</v>
      </c>
      <c r="C119" s="165" t="s">
        <v>131</v>
      </c>
      <c r="D119" s="165" t="s">
        <v>1</v>
      </c>
      <c r="E119" s="165" t="s">
        <v>506</v>
      </c>
      <c r="F119" s="165" t="s">
        <v>117</v>
      </c>
      <c r="G119" s="165" t="s">
        <v>465</v>
      </c>
      <c r="H119" s="165" t="s">
        <v>123</v>
      </c>
      <c r="I119" s="167" t="s">
        <v>517</v>
      </c>
    </row>
    <row r="120" spans="1:9" ht="15.6" x14ac:dyDescent="0.3">
      <c r="A120" s="165" t="s">
        <v>538</v>
      </c>
      <c r="B120" s="165" t="s">
        <v>115</v>
      </c>
      <c r="C120" s="165" t="s">
        <v>133</v>
      </c>
      <c r="D120" s="165" t="s">
        <v>1</v>
      </c>
      <c r="E120" s="165" t="s">
        <v>524</v>
      </c>
      <c r="F120" s="165" t="s">
        <v>117</v>
      </c>
      <c r="G120" s="165" t="s">
        <v>465</v>
      </c>
      <c r="H120" s="165" t="s">
        <v>123</v>
      </c>
      <c r="I120" s="167" t="s">
        <v>517</v>
      </c>
    </row>
    <row r="121" spans="1:9" ht="15.6" x14ac:dyDescent="0.3">
      <c r="A121" s="165" t="s">
        <v>538</v>
      </c>
      <c r="B121" s="165" t="s">
        <v>115</v>
      </c>
      <c r="C121" s="165" t="s">
        <v>119</v>
      </c>
      <c r="D121" s="165" t="s">
        <v>1</v>
      </c>
      <c r="E121" s="165" t="s">
        <v>494</v>
      </c>
      <c r="F121" s="165" t="s">
        <v>117</v>
      </c>
      <c r="G121" s="165" t="s">
        <v>465</v>
      </c>
      <c r="H121" s="165" t="s">
        <v>123</v>
      </c>
      <c r="I121" s="167" t="s">
        <v>517</v>
      </c>
    </row>
    <row r="122" spans="1:9" ht="15.6" x14ac:dyDescent="0.3">
      <c r="A122" s="165" t="s">
        <v>538</v>
      </c>
      <c r="B122" s="165" t="s">
        <v>115</v>
      </c>
      <c r="C122" s="165" t="s">
        <v>135</v>
      </c>
      <c r="D122" s="165" t="s">
        <v>1</v>
      </c>
      <c r="E122" s="165" t="s">
        <v>508</v>
      </c>
      <c r="F122" s="165" t="s">
        <v>122</v>
      </c>
      <c r="G122" s="165" t="s">
        <v>465</v>
      </c>
      <c r="H122" s="165" t="s">
        <v>123</v>
      </c>
      <c r="I122" s="166" t="s">
        <v>469</v>
      </c>
    </row>
    <row r="123" spans="1:9" ht="15.6" x14ac:dyDescent="0.3">
      <c r="A123" s="165" t="s">
        <v>538</v>
      </c>
      <c r="B123" s="165" t="s">
        <v>115</v>
      </c>
      <c r="C123" s="165" t="s">
        <v>135</v>
      </c>
      <c r="D123" s="165" t="s">
        <v>1</v>
      </c>
      <c r="E123" s="165" t="s">
        <v>508</v>
      </c>
      <c r="F123" s="165" t="s">
        <v>117</v>
      </c>
      <c r="G123" s="165" t="s">
        <v>465</v>
      </c>
      <c r="H123" s="165" t="s">
        <v>123</v>
      </c>
      <c r="I123" s="167" t="s">
        <v>547</v>
      </c>
    </row>
    <row r="124" spans="1:9" ht="15.6" x14ac:dyDescent="0.3">
      <c r="A124" s="165" t="s">
        <v>538</v>
      </c>
      <c r="B124" s="165" t="s">
        <v>52</v>
      </c>
      <c r="C124" s="165" t="s">
        <v>53</v>
      </c>
      <c r="D124" s="165" t="s">
        <v>1</v>
      </c>
      <c r="E124" s="165" t="s">
        <v>473</v>
      </c>
      <c r="F124" s="165" t="s">
        <v>60</v>
      </c>
      <c r="G124" s="165" t="s">
        <v>463</v>
      </c>
      <c r="H124" s="165" t="s">
        <v>65</v>
      </c>
      <c r="I124" s="167" t="s">
        <v>533</v>
      </c>
    </row>
    <row r="125" spans="1:9" ht="15.6" x14ac:dyDescent="0.3">
      <c r="A125" s="165" t="s">
        <v>538</v>
      </c>
      <c r="B125" s="165" t="s">
        <v>52</v>
      </c>
      <c r="C125" s="165" t="s">
        <v>62</v>
      </c>
      <c r="D125" s="165" t="s">
        <v>1</v>
      </c>
      <c r="E125" s="165" t="s">
        <v>492</v>
      </c>
      <c r="F125" s="165" t="s">
        <v>60</v>
      </c>
      <c r="G125" s="165" t="s">
        <v>463</v>
      </c>
      <c r="H125" s="165" t="s">
        <v>65</v>
      </c>
      <c r="I125" s="167" t="s">
        <v>533</v>
      </c>
    </row>
    <row r="126" spans="1:9" ht="15.6" x14ac:dyDescent="0.3">
      <c r="A126" s="165" t="s">
        <v>538</v>
      </c>
      <c r="B126" s="165" t="s">
        <v>52</v>
      </c>
      <c r="C126" s="165" t="s">
        <v>69</v>
      </c>
      <c r="D126" s="165" t="s">
        <v>1</v>
      </c>
      <c r="E126" s="165" t="s">
        <v>475</v>
      </c>
      <c r="F126" s="165" t="s">
        <v>60</v>
      </c>
      <c r="G126" s="165" t="s">
        <v>480</v>
      </c>
      <c r="H126" s="165" t="s">
        <v>65</v>
      </c>
      <c r="I126" s="167" t="s">
        <v>548</v>
      </c>
    </row>
    <row r="127" spans="1:9" ht="15.6" x14ac:dyDescent="0.3">
      <c r="A127" s="165" t="s">
        <v>538</v>
      </c>
      <c r="B127" s="165" t="s">
        <v>79</v>
      </c>
      <c r="C127" s="165" t="s">
        <v>100</v>
      </c>
      <c r="D127" s="165" t="s">
        <v>1</v>
      </c>
      <c r="E127" s="165" t="s">
        <v>490</v>
      </c>
      <c r="F127" s="165" t="s">
        <v>88</v>
      </c>
      <c r="G127" s="165" t="s">
        <v>495</v>
      </c>
      <c r="H127" s="165" t="s">
        <v>212</v>
      </c>
      <c r="I127" s="167" t="s">
        <v>549</v>
      </c>
    </row>
    <row r="128" spans="1:9" ht="15.6" x14ac:dyDescent="0.3">
      <c r="A128" s="165" t="s">
        <v>538</v>
      </c>
      <c r="B128" s="165" t="s">
        <v>79</v>
      </c>
      <c r="C128" s="165" t="s">
        <v>101</v>
      </c>
      <c r="D128" s="165" t="s">
        <v>1</v>
      </c>
      <c r="E128" s="165" t="s">
        <v>491</v>
      </c>
      <c r="F128" s="165" t="s">
        <v>88</v>
      </c>
      <c r="G128" s="165" t="s">
        <v>476</v>
      </c>
      <c r="H128" s="165" t="s">
        <v>212</v>
      </c>
      <c r="I128" s="167" t="s">
        <v>549</v>
      </c>
    </row>
    <row r="129" spans="1:9" ht="15.6" x14ac:dyDescent="0.3">
      <c r="A129" s="165" t="s">
        <v>538</v>
      </c>
      <c r="B129" s="165" t="s">
        <v>115</v>
      </c>
      <c r="C129" s="165" t="s">
        <v>139</v>
      </c>
      <c r="D129" s="165" t="s">
        <v>1</v>
      </c>
      <c r="E129" s="165" t="s">
        <v>522</v>
      </c>
      <c r="F129" s="165" t="s">
        <v>117</v>
      </c>
      <c r="G129" s="165" t="s">
        <v>465</v>
      </c>
      <c r="H129" s="165" t="s">
        <v>132</v>
      </c>
      <c r="I129" s="167" t="s">
        <v>523</v>
      </c>
    </row>
    <row r="130" spans="1:9" ht="15.6" x14ac:dyDescent="0.3">
      <c r="A130" s="165" t="s">
        <v>538</v>
      </c>
      <c r="B130" s="165" t="s">
        <v>115</v>
      </c>
      <c r="C130" s="165" t="s">
        <v>125</v>
      </c>
      <c r="D130" s="165" t="s">
        <v>1</v>
      </c>
      <c r="E130" s="165" t="s">
        <v>475</v>
      </c>
      <c r="F130" s="165" t="s">
        <v>117</v>
      </c>
      <c r="G130" s="165" t="s">
        <v>498</v>
      </c>
      <c r="H130" s="165" t="s">
        <v>218</v>
      </c>
      <c r="I130" s="168" t="s">
        <v>550</v>
      </c>
    </row>
    <row r="131" spans="1:9" ht="15.6" x14ac:dyDescent="0.3">
      <c r="A131" s="165" t="s">
        <v>538</v>
      </c>
      <c r="B131" s="165" t="s">
        <v>115</v>
      </c>
      <c r="C131" s="165" t="s">
        <v>127</v>
      </c>
      <c r="D131" s="165" t="s">
        <v>1</v>
      </c>
      <c r="E131" s="165" t="s">
        <v>473</v>
      </c>
      <c r="F131" s="165" t="s">
        <v>117</v>
      </c>
      <c r="G131" s="165" t="s">
        <v>498</v>
      </c>
      <c r="H131" s="165" t="s">
        <v>218</v>
      </c>
      <c r="I131" s="166" t="s">
        <v>507</v>
      </c>
    </row>
    <row r="132" spans="1:9" ht="15.6" x14ac:dyDescent="0.3">
      <c r="A132" s="165" t="s">
        <v>538</v>
      </c>
      <c r="B132" s="165" t="s">
        <v>115</v>
      </c>
      <c r="C132" s="165" t="s">
        <v>128</v>
      </c>
      <c r="D132" s="165" t="s">
        <v>1</v>
      </c>
      <c r="E132" s="165" t="s">
        <v>492</v>
      </c>
      <c r="F132" s="165" t="s">
        <v>117</v>
      </c>
      <c r="G132" s="165" t="s">
        <v>498</v>
      </c>
      <c r="H132" s="165" t="s">
        <v>218</v>
      </c>
      <c r="I132" s="166" t="s">
        <v>507</v>
      </c>
    </row>
    <row r="133" spans="1:9" ht="15.6" x14ac:dyDescent="0.3">
      <c r="A133" s="165" t="s">
        <v>538</v>
      </c>
      <c r="B133" s="165" t="s">
        <v>115</v>
      </c>
      <c r="C133" s="165" t="s">
        <v>130</v>
      </c>
      <c r="D133" s="165" t="s">
        <v>1</v>
      </c>
      <c r="E133" s="165" t="s">
        <v>491</v>
      </c>
      <c r="F133" s="165" t="s">
        <v>117</v>
      </c>
      <c r="G133" s="165" t="s">
        <v>498</v>
      </c>
      <c r="H133" s="165" t="s">
        <v>218</v>
      </c>
      <c r="I133" s="168" t="s">
        <v>550</v>
      </c>
    </row>
    <row r="134" spans="1:9" ht="15.6" x14ac:dyDescent="0.3">
      <c r="A134" s="163" t="s">
        <v>551</v>
      </c>
      <c r="B134" s="163" t="s">
        <v>26</v>
      </c>
      <c r="C134" s="163" t="s">
        <v>170</v>
      </c>
      <c r="D134" s="163" t="s">
        <v>1</v>
      </c>
      <c r="E134" s="163" t="s">
        <v>436</v>
      </c>
      <c r="F134" s="163" t="s">
        <v>28</v>
      </c>
      <c r="G134" s="163" t="s">
        <v>463</v>
      </c>
      <c r="H134" s="163" t="s">
        <v>230</v>
      </c>
      <c r="I134" s="164" t="s">
        <v>464</v>
      </c>
    </row>
    <row r="135" spans="1:9" ht="15.6" x14ac:dyDescent="0.3">
      <c r="A135" s="165" t="s">
        <v>551</v>
      </c>
      <c r="B135" s="165" t="s">
        <v>108</v>
      </c>
      <c r="C135" s="165" t="s">
        <v>155</v>
      </c>
      <c r="D135" s="165" t="s">
        <v>1</v>
      </c>
      <c r="E135" s="165" t="s">
        <v>552</v>
      </c>
      <c r="F135" s="165" t="s">
        <v>110</v>
      </c>
      <c r="G135" s="165" t="s">
        <v>476</v>
      </c>
      <c r="H135" s="165" t="s">
        <v>219</v>
      </c>
      <c r="I135" s="167" t="s">
        <v>553</v>
      </c>
    </row>
    <row r="136" spans="1:9" ht="15.6" x14ac:dyDescent="0.3">
      <c r="A136" s="165" t="s">
        <v>551</v>
      </c>
      <c r="B136" s="165" t="s">
        <v>108</v>
      </c>
      <c r="C136" s="165" t="s">
        <v>155</v>
      </c>
      <c r="D136" s="165" t="s">
        <v>1</v>
      </c>
      <c r="E136" s="165" t="s">
        <v>552</v>
      </c>
      <c r="F136" s="165" t="s">
        <v>113</v>
      </c>
      <c r="G136" s="165" t="s">
        <v>476</v>
      </c>
      <c r="H136" s="165" t="s">
        <v>219</v>
      </c>
      <c r="I136" s="167" t="s">
        <v>553</v>
      </c>
    </row>
    <row r="137" spans="1:9" ht="15.6" x14ac:dyDescent="0.3">
      <c r="A137" s="165" t="s">
        <v>551</v>
      </c>
      <c r="B137" s="165" t="s">
        <v>72</v>
      </c>
      <c r="C137" s="165" t="s">
        <v>73</v>
      </c>
      <c r="D137" s="165" t="s">
        <v>1</v>
      </c>
      <c r="E137" s="165" t="s">
        <v>494</v>
      </c>
      <c r="F137" s="165" t="s">
        <v>28</v>
      </c>
      <c r="G137" s="165" t="s">
        <v>480</v>
      </c>
      <c r="H137" s="165" t="s">
        <v>182</v>
      </c>
      <c r="I137" s="167" t="s">
        <v>553</v>
      </c>
    </row>
    <row r="138" spans="1:9" ht="15.6" x14ac:dyDescent="0.3">
      <c r="A138" s="165" t="s">
        <v>551</v>
      </c>
      <c r="B138" s="165" t="s">
        <v>108</v>
      </c>
      <c r="C138" s="165" t="s">
        <v>109</v>
      </c>
      <c r="D138" s="165" t="s">
        <v>1</v>
      </c>
      <c r="E138" s="165" t="s">
        <v>470</v>
      </c>
      <c r="F138" s="165" t="s">
        <v>113</v>
      </c>
      <c r="G138" s="165" t="s">
        <v>476</v>
      </c>
      <c r="H138" s="165" t="s">
        <v>221</v>
      </c>
      <c r="I138" s="167" t="s">
        <v>554</v>
      </c>
    </row>
    <row r="139" spans="1:9" ht="15.6" x14ac:dyDescent="0.3">
      <c r="A139" s="165" t="s">
        <v>551</v>
      </c>
      <c r="B139" s="165" t="s">
        <v>52</v>
      </c>
      <c r="C139" s="165" t="s">
        <v>53</v>
      </c>
      <c r="D139" s="165" t="s">
        <v>1</v>
      </c>
      <c r="E139" s="165" t="s">
        <v>473</v>
      </c>
      <c r="F139" s="165" t="s">
        <v>54</v>
      </c>
      <c r="G139" s="165" t="s">
        <v>471</v>
      </c>
      <c r="H139" s="165" t="s">
        <v>89</v>
      </c>
      <c r="I139" s="167" t="s">
        <v>555</v>
      </c>
    </row>
    <row r="140" spans="1:9" ht="15.6" x14ac:dyDescent="0.3">
      <c r="A140" s="165" t="s">
        <v>551</v>
      </c>
      <c r="B140" s="165" t="s">
        <v>52</v>
      </c>
      <c r="C140" s="165" t="s">
        <v>53</v>
      </c>
      <c r="D140" s="165" t="s">
        <v>1</v>
      </c>
      <c r="E140" s="165" t="s">
        <v>473</v>
      </c>
      <c r="F140" s="165" t="s">
        <v>56</v>
      </c>
      <c r="G140" s="165" t="s">
        <v>471</v>
      </c>
      <c r="H140" s="165" t="s">
        <v>89</v>
      </c>
      <c r="I140" s="167" t="s">
        <v>555</v>
      </c>
    </row>
    <row r="141" spans="1:9" ht="15.6" x14ac:dyDescent="0.3">
      <c r="A141" s="165" t="s">
        <v>551</v>
      </c>
      <c r="B141" s="165" t="s">
        <v>52</v>
      </c>
      <c r="C141" s="165" t="s">
        <v>69</v>
      </c>
      <c r="D141" s="165" t="s">
        <v>1</v>
      </c>
      <c r="E141" s="165" t="s">
        <v>475</v>
      </c>
      <c r="F141" s="165" t="s">
        <v>54</v>
      </c>
      <c r="G141" s="165" t="s">
        <v>495</v>
      </c>
      <c r="H141" s="165" t="s">
        <v>89</v>
      </c>
      <c r="I141" s="167" t="s">
        <v>555</v>
      </c>
    </row>
    <row r="142" spans="1:9" ht="15.6" x14ac:dyDescent="0.3">
      <c r="A142" s="165" t="s">
        <v>551</v>
      </c>
      <c r="B142" s="165" t="s">
        <v>52</v>
      </c>
      <c r="C142" s="165" t="s">
        <v>69</v>
      </c>
      <c r="D142" s="165" t="s">
        <v>1</v>
      </c>
      <c r="E142" s="165" t="s">
        <v>475</v>
      </c>
      <c r="F142" s="165" t="s">
        <v>56</v>
      </c>
      <c r="G142" s="165" t="s">
        <v>495</v>
      </c>
      <c r="H142" s="165" t="s">
        <v>89</v>
      </c>
      <c r="I142" s="167" t="s">
        <v>555</v>
      </c>
    </row>
    <row r="143" spans="1:9" ht="15.6" x14ac:dyDescent="0.3">
      <c r="A143" s="165" t="s">
        <v>551</v>
      </c>
      <c r="B143" s="165" t="s">
        <v>108</v>
      </c>
      <c r="C143" s="165" t="s">
        <v>155</v>
      </c>
      <c r="D143" s="165" t="s">
        <v>1</v>
      </c>
      <c r="E143" s="165" t="s">
        <v>552</v>
      </c>
      <c r="F143" s="165" t="s">
        <v>60</v>
      </c>
      <c r="G143" s="165" t="s">
        <v>476</v>
      </c>
      <c r="H143" s="165" t="s">
        <v>220</v>
      </c>
      <c r="I143" s="167" t="s">
        <v>556</v>
      </c>
    </row>
    <row r="144" spans="1:9" ht="15.6" x14ac:dyDescent="0.3">
      <c r="A144" s="165" t="s">
        <v>551</v>
      </c>
      <c r="B144" s="165" t="s">
        <v>72</v>
      </c>
      <c r="C144" s="165" t="s">
        <v>76</v>
      </c>
      <c r="D144" s="165" t="s">
        <v>1</v>
      </c>
      <c r="E144" s="165" t="s">
        <v>510</v>
      </c>
      <c r="F144" s="165" t="s">
        <v>28</v>
      </c>
      <c r="G144" s="165" t="s">
        <v>465</v>
      </c>
      <c r="H144" s="165" t="s">
        <v>208</v>
      </c>
      <c r="I144" s="167" t="s">
        <v>493</v>
      </c>
    </row>
    <row r="145" spans="1:9" ht="15.6" x14ac:dyDescent="0.3">
      <c r="A145" s="165" t="s">
        <v>551</v>
      </c>
      <c r="B145" s="165" t="s">
        <v>52</v>
      </c>
      <c r="C145" s="165" t="s">
        <v>62</v>
      </c>
      <c r="D145" s="165" t="s">
        <v>1</v>
      </c>
      <c r="E145" s="165" t="s">
        <v>492</v>
      </c>
      <c r="F145" s="165" t="s">
        <v>54</v>
      </c>
      <c r="G145" s="165" t="s">
        <v>476</v>
      </c>
      <c r="H145" s="165" t="s">
        <v>181</v>
      </c>
      <c r="I145" s="167" t="s">
        <v>557</v>
      </c>
    </row>
    <row r="146" spans="1:9" ht="15.6" x14ac:dyDescent="0.3">
      <c r="A146" s="165" t="s">
        <v>551</v>
      </c>
      <c r="B146" s="165" t="s">
        <v>52</v>
      </c>
      <c r="C146" s="165" t="s">
        <v>62</v>
      </c>
      <c r="D146" s="165" t="s">
        <v>1</v>
      </c>
      <c r="E146" s="165" t="s">
        <v>492</v>
      </c>
      <c r="F146" s="165" t="s">
        <v>56</v>
      </c>
      <c r="G146" s="165" t="s">
        <v>476</v>
      </c>
      <c r="H146" s="165" t="s">
        <v>181</v>
      </c>
      <c r="I146" s="167" t="s">
        <v>557</v>
      </c>
    </row>
    <row r="147" spans="1:9" ht="15.6" x14ac:dyDescent="0.3">
      <c r="A147" s="165" t="s">
        <v>551</v>
      </c>
      <c r="B147" s="165" t="s">
        <v>52</v>
      </c>
      <c r="C147" s="165" t="s">
        <v>66</v>
      </c>
      <c r="D147" s="165" t="s">
        <v>1</v>
      </c>
      <c r="E147" s="165" t="s">
        <v>491</v>
      </c>
      <c r="F147" s="165" t="s">
        <v>54</v>
      </c>
      <c r="G147" s="165" t="s">
        <v>558</v>
      </c>
      <c r="H147" s="165" t="s">
        <v>181</v>
      </c>
      <c r="I147" s="167" t="s">
        <v>557</v>
      </c>
    </row>
    <row r="148" spans="1:9" ht="15.6" x14ac:dyDescent="0.3">
      <c r="A148" s="165" t="s">
        <v>551</v>
      </c>
      <c r="B148" s="165" t="s">
        <v>52</v>
      </c>
      <c r="C148" s="165" t="s">
        <v>66</v>
      </c>
      <c r="D148" s="165" t="s">
        <v>1</v>
      </c>
      <c r="E148" s="165" t="s">
        <v>491</v>
      </c>
      <c r="F148" s="165" t="s">
        <v>56</v>
      </c>
      <c r="G148" s="165" t="s">
        <v>558</v>
      </c>
      <c r="H148" s="165" t="s">
        <v>181</v>
      </c>
      <c r="I148" s="167" t="s">
        <v>557</v>
      </c>
    </row>
    <row r="149" spans="1:9" ht="15.6" x14ac:dyDescent="0.3">
      <c r="A149" s="165" t="s">
        <v>551</v>
      </c>
      <c r="B149" s="165" t="s">
        <v>79</v>
      </c>
      <c r="C149" s="165" t="s">
        <v>97</v>
      </c>
      <c r="D149" s="165" t="s">
        <v>1</v>
      </c>
      <c r="E149" s="165" t="s">
        <v>486</v>
      </c>
      <c r="F149" s="165" t="s">
        <v>81</v>
      </c>
      <c r="G149" s="165" t="s">
        <v>476</v>
      </c>
      <c r="H149" s="165" t="s">
        <v>181</v>
      </c>
      <c r="I149" s="167" t="s">
        <v>532</v>
      </c>
    </row>
    <row r="150" spans="1:9" ht="15.6" x14ac:dyDescent="0.3">
      <c r="A150" s="165" t="s">
        <v>551</v>
      </c>
      <c r="B150" s="165" t="s">
        <v>79</v>
      </c>
      <c r="C150" s="165" t="s">
        <v>97</v>
      </c>
      <c r="D150" s="165" t="s">
        <v>1</v>
      </c>
      <c r="E150" s="165" t="s">
        <v>486</v>
      </c>
      <c r="F150" s="165" t="s">
        <v>84</v>
      </c>
      <c r="G150" s="165" t="s">
        <v>476</v>
      </c>
      <c r="H150" s="165" t="s">
        <v>181</v>
      </c>
      <c r="I150" s="167" t="s">
        <v>532</v>
      </c>
    </row>
    <row r="151" spans="1:9" ht="15.6" x14ac:dyDescent="0.3">
      <c r="A151" s="165" t="s">
        <v>551</v>
      </c>
      <c r="B151" s="165" t="s">
        <v>79</v>
      </c>
      <c r="C151" s="165" t="s">
        <v>80</v>
      </c>
      <c r="D151" s="165" t="s">
        <v>1</v>
      </c>
      <c r="E151" s="165" t="s">
        <v>479</v>
      </c>
      <c r="F151" s="165" t="s">
        <v>81</v>
      </c>
      <c r="G151" s="165" t="s">
        <v>468</v>
      </c>
      <c r="H151" s="165" t="s">
        <v>181</v>
      </c>
      <c r="I151" s="167" t="s">
        <v>532</v>
      </c>
    </row>
    <row r="152" spans="1:9" ht="15.6" x14ac:dyDescent="0.3">
      <c r="A152" s="165" t="s">
        <v>551</v>
      </c>
      <c r="B152" s="165" t="s">
        <v>79</v>
      </c>
      <c r="C152" s="165" t="s">
        <v>80</v>
      </c>
      <c r="D152" s="165" t="s">
        <v>1</v>
      </c>
      <c r="E152" s="165" t="s">
        <v>479</v>
      </c>
      <c r="F152" s="165" t="s">
        <v>84</v>
      </c>
      <c r="G152" s="165" t="s">
        <v>468</v>
      </c>
      <c r="H152" s="165" t="s">
        <v>181</v>
      </c>
      <c r="I152" s="167" t="s">
        <v>532</v>
      </c>
    </row>
    <row r="153" spans="1:9" ht="15.6" x14ac:dyDescent="0.3">
      <c r="A153" s="165" t="s">
        <v>551</v>
      </c>
      <c r="B153" s="165" t="s">
        <v>79</v>
      </c>
      <c r="C153" s="165" t="s">
        <v>93</v>
      </c>
      <c r="D153" s="165" t="s">
        <v>1</v>
      </c>
      <c r="E153" s="165" t="s">
        <v>483</v>
      </c>
      <c r="F153" s="165" t="s">
        <v>81</v>
      </c>
      <c r="G153" s="165" t="s">
        <v>463</v>
      </c>
      <c r="H153" s="165" t="s">
        <v>181</v>
      </c>
      <c r="I153" s="167" t="s">
        <v>532</v>
      </c>
    </row>
    <row r="154" spans="1:9" ht="15.6" x14ac:dyDescent="0.3">
      <c r="A154" s="165" t="s">
        <v>551</v>
      </c>
      <c r="B154" s="165" t="s">
        <v>79</v>
      </c>
      <c r="C154" s="165" t="s">
        <v>93</v>
      </c>
      <c r="D154" s="165" t="s">
        <v>1</v>
      </c>
      <c r="E154" s="165" t="s">
        <v>483</v>
      </c>
      <c r="F154" s="165" t="s">
        <v>84</v>
      </c>
      <c r="G154" s="165" t="s">
        <v>463</v>
      </c>
      <c r="H154" s="165" t="s">
        <v>181</v>
      </c>
      <c r="I154" s="167" t="s">
        <v>532</v>
      </c>
    </row>
    <row r="155" spans="1:9" ht="15.6" x14ac:dyDescent="0.3">
      <c r="A155" s="165" t="s">
        <v>551</v>
      </c>
      <c r="B155" s="165" t="s">
        <v>108</v>
      </c>
      <c r="C155" s="165" t="s">
        <v>109</v>
      </c>
      <c r="D155" s="165" t="s">
        <v>1</v>
      </c>
      <c r="E155" s="165" t="s">
        <v>470</v>
      </c>
      <c r="F155" s="165" t="s">
        <v>60</v>
      </c>
      <c r="G155" s="165" t="s">
        <v>476</v>
      </c>
      <c r="H155" s="165" t="s">
        <v>222</v>
      </c>
      <c r="I155" s="167" t="s">
        <v>559</v>
      </c>
    </row>
    <row r="156" spans="1:9" ht="15.6" x14ac:dyDescent="0.3">
      <c r="A156" s="165" t="s">
        <v>551</v>
      </c>
      <c r="B156" s="165" t="s">
        <v>52</v>
      </c>
      <c r="C156" s="165" t="s">
        <v>53</v>
      </c>
      <c r="D156" s="165" t="s">
        <v>1</v>
      </c>
      <c r="E156" s="165" t="s">
        <v>473</v>
      </c>
      <c r="F156" s="165" t="s">
        <v>58</v>
      </c>
      <c r="G156" s="165" t="s">
        <v>471</v>
      </c>
      <c r="H156" s="165" t="s">
        <v>206</v>
      </c>
      <c r="I156" s="167" t="s">
        <v>560</v>
      </c>
    </row>
    <row r="157" spans="1:9" ht="15.6" x14ac:dyDescent="0.3">
      <c r="A157" s="165" t="s">
        <v>551</v>
      </c>
      <c r="B157" s="165" t="s">
        <v>52</v>
      </c>
      <c r="C157" s="165" t="s">
        <v>69</v>
      </c>
      <c r="D157" s="165" t="s">
        <v>1</v>
      </c>
      <c r="E157" s="165" t="s">
        <v>475</v>
      </c>
      <c r="F157" s="165" t="s">
        <v>58</v>
      </c>
      <c r="G157" s="165" t="s">
        <v>495</v>
      </c>
      <c r="H157" s="165" t="s">
        <v>206</v>
      </c>
      <c r="I157" s="167" t="s">
        <v>560</v>
      </c>
    </row>
    <row r="158" spans="1:9" ht="15.6" x14ac:dyDescent="0.3">
      <c r="A158" s="165" t="s">
        <v>551</v>
      </c>
      <c r="B158" s="165" t="s">
        <v>79</v>
      </c>
      <c r="C158" s="165" t="s">
        <v>97</v>
      </c>
      <c r="D158" s="165" t="s">
        <v>1</v>
      </c>
      <c r="E158" s="165" t="s">
        <v>486</v>
      </c>
      <c r="F158" s="165" t="s">
        <v>86</v>
      </c>
      <c r="G158" s="165" t="s">
        <v>476</v>
      </c>
      <c r="H158" s="165" t="s">
        <v>206</v>
      </c>
      <c r="I158" s="167" t="s">
        <v>561</v>
      </c>
    </row>
    <row r="159" spans="1:9" ht="15.6" x14ac:dyDescent="0.3">
      <c r="A159" s="165" t="s">
        <v>551</v>
      </c>
      <c r="B159" s="165" t="s">
        <v>79</v>
      </c>
      <c r="C159" s="165" t="s">
        <v>80</v>
      </c>
      <c r="D159" s="165" t="s">
        <v>1</v>
      </c>
      <c r="E159" s="165" t="s">
        <v>479</v>
      </c>
      <c r="F159" s="165" t="s">
        <v>86</v>
      </c>
      <c r="G159" s="165" t="s">
        <v>468</v>
      </c>
      <c r="H159" s="165" t="s">
        <v>206</v>
      </c>
      <c r="I159" s="167" t="s">
        <v>561</v>
      </c>
    </row>
    <row r="160" spans="1:9" ht="15.6" x14ac:dyDescent="0.3">
      <c r="A160" s="165" t="s">
        <v>551</v>
      </c>
      <c r="B160" s="165" t="s">
        <v>79</v>
      </c>
      <c r="C160" s="165" t="s">
        <v>93</v>
      </c>
      <c r="D160" s="165" t="s">
        <v>1</v>
      </c>
      <c r="E160" s="165" t="s">
        <v>483</v>
      </c>
      <c r="F160" s="165" t="s">
        <v>86</v>
      </c>
      <c r="G160" s="165" t="s">
        <v>463</v>
      </c>
      <c r="H160" s="165" t="s">
        <v>206</v>
      </c>
      <c r="I160" s="167" t="s">
        <v>561</v>
      </c>
    </row>
    <row r="161" spans="1:9" ht="15.6" x14ac:dyDescent="0.3">
      <c r="A161" s="165" t="s">
        <v>551</v>
      </c>
      <c r="B161" s="165" t="s">
        <v>52</v>
      </c>
      <c r="C161" s="165" t="s">
        <v>62</v>
      </c>
      <c r="D161" s="165" t="s">
        <v>1</v>
      </c>
      <c r="E161" s="165" t="s">
        <v>492</v>
      </c>
      <c r="F161" s="165" t="s">
        <v>58</v>
      </c>
      <c r="G161" s="165" t="s">
        <v>476</v>
      </c>
      <c r="H161" s="165" t="s">
        <v>185</v>
      </c>
      <c r="I161" s="167" t="s">
        <v>562</v>
      </c>
    </row>
    <row r="162" spans="1:9" ht="15.6" x14ac:dyDescent="0.3">
      <c r="A162" s="165" t="s">
        <v>551</v>
      </c>
      <c r="B162" s="165" t="s">
        <v>52</v>
      </c>
      <c r="C162" s="165" t="s">
        <v>66</v>
      </c>
      <c r="D162" s="165" t="s">
        <v>1</v>
      </c>
      <c r="E162" s="165" t="s">
        <v>491</v>
      </c>
      <c r="F162" s="165" t="s">
        <v>58</v>
      </c>
      <c r="G162" s="165" t="s">
        <v>558</v>
      </c>
      <c r="H162" s="165" t="s">
        <v>185</v>
      </c>
      <c r="I162" s="167" t="s">
        <v>562</v>
      </c>
    </row>
    <row r="163" spans="1:9" ht="15.6" x14ac:dyDescent="0.3">
      <c r="A163" s="165" t="s">
        <v>551</v>
      </c>
      <c r="B163" s="165" t="s">
        <v>140</v>
      </c>
      <c r="C163" s="165" t="s">
        <v>141</v>
      </c>
      <c r="D163" s="165" t="s">
        <v>1</v>
      </c>
      <c r="E163" s="165" t="s">
        <v>543</v>
      </c>
      <c r="F163" s="165" t="s">
        <v>122</v>
      </c>
      <c r="G163" s="165" t="s">
        <v>465</v>
      </c>
      <c r="H163" s="165" t="s">
        <v>214</v>
      </c>
      <c r="I163" s="167" t="s">
        <v>496</v>
      </c>
    </row>
    <row r="164" spans="1:9" ht="15.6" x14ac:dyDescent="0.3">
      <c r="A164" s="165" t="s">
        <v>551</v>
      </c>
      <c r="B164" s="165" t="s">
        <v>140</v>
      </c>
      <c r="C164" s="165" t="s">
        <v>215</v>
      </c>
      <c r="D164" s="165" t="s">
        <v>1</v>
      </c>
      <c r="E164" s="165" t="s">
        <v>563</v>
      </c>
      <c r="F164" s="165" t="s">
        <v>122</v>
      </c>
      <c r="G164" s="165" t="s">
        <v>465</v>
      </c>
      <c r="H164" s="165" t="s">
        <v>225</v>
      </c>
      <c r="I164" s="168" t="s">
        <v>564</v>
      </c>
    </row>
    <row r="165" spans="1:9" ht="15.6" x14ac:dyDescent="0.3">
      <c r="A165" s="165" t="s">
        <v>551</v>
      </c>
      <c r="B165" s="165" t="s">
        <v>79</v>
      </c>
      <c r="C165" s="165" t="s">
        <v>97</v>
      </c>
      <c r="D165" s="165" t="s">
        <v>1</v>
      </c>
      <c r="E165" s="165" t="s">
        <v>486</v>
      </c>
      <c r="F165" s="165" t="s">
        <v>88</v>
      </c>
      <c r="G165" s="165" t="s">
        <v>476</v>
      </c>
      <c r="H165" s="165" t="s">
        <v>209</v>
      </c>
      <c r="I165" s="167" t="s">
        <v>565</v>
      </c>
    </row>
    <row r="166" spans="1:9" ht="15.6" x14ac:dyDescent="0.3">
      <c r="A166" s="165" t="s">
        <v>551</v>
      </c>
      <c r="B166" s="165" t="s">
        <v>79</v>
      </c>
      <c r="C166" s="165" t="s">
        <v>80</v>
      </c>
      <c r="D166" s="165" t="s">
        <v>1</v>
      </c>
      <c r="E166" s="165" t="s">
        <v>479</v>
      </c>
      <c r="F166" s="165" t="s">
        <v>88</v>
      </c>
      <c r="G166" s="165" t="s">
        <v>468</v>
      </c>
      <c r="H166" s="165" t="s">
        <v>209</v>
      </c>
      <c r="I166" s="167" t="s">
        <v>565</v>
      </c>
    </row>
    <row r="167" spans="1:9" ht="15.6" x14ac:dyDescent="0.3">
      <c r="A167" s="165" t="s">
        <v>551</v>
      </c>
      <c r="B167" s="165" t="s">
        <v>79</v>
      </c>
      <c r="C167" s="165" t="s">
        <v>93</v>
      </c>
      <c r="D167" s="165" t="s">
        <v>1</v>
      </c>
      <c r="E167" s="165" t="s">
        <v>483</v>
      </c>
      <c r="F167" s="165" t="s">
        <v>88</v>
      </c>
      <c r="G167" s="165" t="s">
        <v>463</v>
      </c>
      <c r="H167" s="165" t="s">
        <v>209</v>
      </c>
      <c r="I167" s="167" t="s">
        <v>565</v>
      </c>
    </row>
    <row r="168" spans="1:9" ht="15.6" x14ac:dyDescent="0.3">
      <c r="A168" s="165" t="s">
        <v>551</v>
      </c>
      <c r="B168" s="165" t="s">
        <v>79</v>
      </c>
      <c r="C168" s="165" t="s">
        <v>99</v>
      </c>
      <c r="D168" s="165" t="s">
        <v>1</v>
      </c>
      <c r="E168" s="165" t="s">
        <v>534</v>
      </c>
      <c r="F168" s="165" t="s">
        <v>81</v>
      </c>
      <c r="G168" s="165" t="s">
        <v>476</v>
      </c>
      <c r="H168" s="165" t="s">
        <v>210</v>
      </c>
      <c r="I168" s="168" t="s">
        <v>566</v>
      </c>
    </row>
    <row r="169" spans="1:9" ht="15.6" x14ac:dyDescent="0.3">
      <c r="A169" s="165" t="s">
        <v>551</v>
      </c>
      <c r="B169" s="165" t="s">
        <v>79</v>
      </c>
      <c r="C169" s="165" t="s">
        <v>99</v>
      </c>
      <c r="D169" s="165" t="s">
        <v>1</v>
      </c>
      <c r="E169" s="165" t="s">
        <v>534</v>
      </c>
      <c r="F169" s="165" t="s">
        <v>84</v>
      </c>
      <c r="G169" s="165" t="s">
        <v>476</v>
      </c>
      <c r="H169" s="165" t="s">
        <v>210</v>
      </c>
      <c r="I169" s="168" t="s">
        <v>566</v>
      </c>
    </row>
    <row r="170" spans="1:9" ht="15.6" x14ac:dyDescent="0.3">
      <c r="A170" s="165" t="s">
        <v>551</v>
      </c>
      <c r="B170" s="165" t="s">
        <v>79</v>
      </c>
      <c r="C170" s="165" t="s">
        <v>100</v>
      </c>
      <c r="D170" s="165" t="s">
        <v>1</v>
      </c>
      <c r="E170" s="165" t="s">
        <v>490</v>
      </c>
      <c r="F170" s="165" t="s">
        <v>81</v>
      </c>
      <c r="G170" s="165" t="s">
        <v>476</v>
      </c>
      <c r="H170" s="165" t="s">
        <v>210</v>
      </c>
      <c r="I170" s="168" t="s">
        <v>566</v>
      </c>
    </row>
    <row r="171" spans="1:9" ht="15.6" x14ac:dyDescent="0.3">
      <c r="A171" s="165" t="s">
        <v>551</v>
      </c>
      <c r="B171" s="165" t="s">
        <v>79</v>
      </c>
      <c r="C171" s="165" t="s">
        <v>100</v>
      </c>
      <c r="D171" s="165" t="s">
        <v>1</v>
      </c>
      <c r="E171" s="165" t="s">
        <v>490</v>
      </c>
      <c r="F171" s="165" t="s">
        <v>84</v>
      </c>
      <c r="G171" s="165" t="s">
        <v>476</v>
      </c>
      <c r="H171" s="165" t="s">
        <v>210</v>
      </c>
      <c r="I171" s="168" t="s">
        <v>566</v>
      </c>
    </row>
    <row r="172" spans="1:9" ht="15.6" x14ac:dyDescent="0.3">
      <c r="A172" s="165" t="s">
        <v>551</v>
      </c>
      <c r="B172" s="165" t="s">
        <v>79</v>
      </c>
      <c r="C172" s="165" t="s">
        <v>90</v>
      </c>
      <c r="D172" s="165" t="s">
        <v>1</v>
      </c>
      <c r="E172" s="165" t="s">
        <v>482</v>
      </c>
      <c r="F172" s="165" t="s">
        <v>81</v>
      </c>
      <c r="G172" s="165" t="s">
        <v>476</v>
      </c>
      <c r="H172" s="165" t="s">
        <v>210</v>
      </c>
      <c r="I172" s="168" t="s">
        <v>566</v>
      </c>
    </row>
    <row r="173" spans="1:9" ht="15.6" x14ac:dyDescent="0.3">
      <c r="A173" s="165" t="s">
        <v>551</v>
      </c>
      <c r="B173" s="165" t="s">
        <v>79</v>
      </c>
      <c r="C173" s="165" t="s">
        <v>90</v>
      </c>
      <c r="D173" s="165" t="s">
        <v>1</v>
      </c>
      <c r="E173" s="165" t="s">
        <v>482</v>
      </c>
      <c r="F173" s="165" t="s">
        <v>84</v>
      </c>
      <c r="G173" s="165" t="s">
        <v>476</v>
      </c>
      <c r="H173" s="165" t="s">
        <v>210</v>
      </c>
      <c r="I173" s="168" t="s">
        <v>566</v>
      </c>
    </row>
    <row r="174" spans="1:9" ht="15.6" x14ac:dyDescent="0.3">
      <c r="A174" s="165" t="s">
        <v>551</v>
      </c>
      <c r="B174" s="165" t="s">
        <v>79</v>
      </c>
      <c r="C174" s="165" t="s">
        <v>101</v>
      </c>
      <c r="D174" s="165" t="s">
        <v>1</v>
      </c>
      <c r="E174" s="165" t="s">
        <v>491</v>
      </c>
      <c r="F174" s="165" t="s">
        <v>81</v>
      </c>
      <c r="G174" s="165" t="s">
        <v>476</v>
      </c>
      <c r="H174" s="165" t="s">
        <v>210</v>
      </c>
      <c r="I174" s="168" t="s">
        <v>566</v>
      </c>
    </row>
    <row r="175" spans="1:9" ht="15.6" x14ac:dyDescent="0.3">
      <c r="A175" s="165" t="s">
        <v>551</v>
      </c>
      <c r="B175" s="165" t="s">
        <v>79</v>
      </c>
      <c r="C175" s="165" t="s">
        <v>101</v>
      </c>
      <c r="D175" s="165" t="s">
        <v>1</v>
      </c>
      <c r="E175" s="165" t="s">
        <v>491</v>
      </c>
      <c r="F175" s="165" t="s">
        <v>84</v>
      </c>
      <c r="G175" s="165" t="s">
        <v>476</v>
      </c>
      <c r="H175" s="165" t="s">
        <v>210</v>
      </c>
      <c r="I175" s="168" t="s">
        <v>566</v>
      </c>
    </row>
    <row r="176" spans="1:9" ht="15.6" x14ac:dyDescent="0.3">
      <c r="A176" s="165" t="s">
        <v>551</v>
      </c>
      <c r="B176" s="165" t="s">
        <v>79</v>
      </c>
      <c r="C176" s="165" t="s">
        <v>99</v>
      </c>
      <c r="D176" s="165" t="s">
        <v>1</v>
      </c>
      <c r="E176" s="165" t="s">
        <v>534</v>
      </c>
      <c r="F176" s="165" t="s">
        <v>86</v>
      </c>
      <c r="G176" s="165" t="s">
        <v>476</v>
      </c>
      <c r="H176" s="165" t="s">
        <v>211</v>
      </c>
      <c r="I176" s="167" t="s">
        <v>567</v>
      </c>
    </row>
    <row r="177" spans="1:9" ht="15.6" x14ac:dyDescent="0.3">
      <c r="A177" s="165" t="s">
        <v>551</v>
      </c>
      <c r="B177" s="165" t="s">
        <v>79</v>
      </c>
      <c r="C177" s="165" t="s">
        <v>100</v>
      </c>
      <c r="D177" s="165" t="s">
        <v>1</v>
      </c>
      <c r="E177" s="165" t="s">
        <v>490</v>
      </c>
      <c r="F177" s="165" t="s">
        <v>86</v>
      </c>
      <c r="G177" s="165" t="s">
        <v>476</v>
      </c>
      <c r="H177" s="165" t="s">
        <v>211</v>
      </c>
      <c r="I177" s="167" t="s">
        <v>567</v>
      </c>
    </row>
    <row r="178" spans="1:9" ht="15.6" x14ac:dyDescent="0.3">
      <c r="A178" s="165" t="s">
        <v>551</v>
      </c>
      <c r="B178" s="165" t="s">
        <v>79</v>
      </c>
      <c r="C178" s="165" t="s">
        <v>90</v>
      </c>
      <c r="D178" s="165" t="s">
        <v>1</v>
      </c>
      <c r="E178" s="165" t="s">
        <v>482</v>
      </c>
      <c r="F178" s="165" t="s">
        <v>86</v>
      </c>
      <c r="G178" s="165" t="s">
        <v>476</v>
      </c>
      <c r="H178" s="165" t="s">
        <v>211</v>
      </c>
      <c r="I178" s="167" t="s">
        <v>567</v>
      </c>
    </row>
    <row r="179" spans="1:9" ht="15.6" x14ac:dyDescent="0.3">
      <c r="A179" s="165" t="s">
        <v>551</v>
      </c>
      <c r="B179" s="165" t="s">
        <v>79</v>
      </c>
      <c r="C179" s="165" t="s">
        <v>101</v>
      </c>
      <c r="D179" s="165" t="s">
        <v>1</v>
      </c>
      <c r="E179" s="165" t="s">
        <v>491</v>
      </c>
      <c r="F179" s="165" t="s">
        <v>86</v>
      </c>
      <c r="G179" s="165" t="s">
        <v>476</v>
      </c>
      <c r="H179" s="165" t="s">
        <v>211</v>
      </c>
      <c r="I179" s="167" t="s">
        <v>567</v>
      </c>
    </row>
    <row r="180" spans="1:9" ht="15.6" x14ac:dyDescent="0.3">
      <c r="A180" s="165" t="s">
        <v>551</v>
      </c>
      <c r="B180" s="165" t="s">
        <v>115</v>
      </c>
      <c r="C180" s="165" t="s">
        <v>121</v>
      </c>
      <c r="D180" s="165" t="s">
        <v>1</v>
      </c>
      <c r="E180" s="165" t="s">
        <v>455</v>
      </c>
      <c r="F180" s="165" t="s">
        <v>122</v>
      </c>
      <c r="G180" s="165" t="s">
        <v>465</v>
      </c>
      <c r="H180" s="165" t="s">
        <v>227</v>
      </c>
      <c r="I180" s="167" t="s">
        <v>568</v>
      </c>
    </row>
    <row r="181" spans="1:9" ht="15.6" x14ac:dyDescent="0.3">
      <c r="A181" s="165" t="s">
        <v>551</v>
      </c>
      <c r="B181" s="165" t="s">
        <v>115</v>
      </c>
      <c r="C181" s="165" t="s">
        <v>121</v>
      </c>
      <c r="D181" s="165" t="s">
        <v>1</v>
      </c>
      <c r="E181" s="165" t="s">
        <v>455</v>
      </c>
      <c r="F181" s="165" t="s">
        <v>117</v>
      </c>
      <c r="G181" s="165" t="s">
        <v>465</v>
      </c>
      <c r="H181" s="165" t="s">
        <v>227</v>
      </c>
      <c r="I181" s="167" t="s">
        <v>569</v>
      </c>
    </row>
    <row r="182" spans="1:9" ht="15.6" x14ac:dyDescent="0.3">
      <c r="A182" s="165" t="s">
        <v>551</v>
      </c>
      <c r="B182" s="165" t="s">
        <v>79</v>
      </c>
      <c r="C182" s="165" t="s">
        <v>99</v>
      </c>
      <c r="D182" s="165" t="s">
        <v>1</v>
      </c>
      <c r="E182" s="165" t="s">
        <v>534</v>
      </c>
      <c r="F182" s="165" t="s">
        <v>88</v>
      </c>
      <c r="G182" s="165" t="s">
        <v>476</v>
      </c>
      <c r="H182" s="165" t="s">
        <v>212</v>
      </c>
      <c r="I182" s="167" t="s">
        <v>570</v>
      </c>
    </row>
    <row r="183" spans="1:9" ht="15.6" x14ac:dyDescent="0.3">
      <c r="A183" s="165" t="s">
        <v>551</v>
      </c>
      <c r="B183" s="165" t="s">
        <v>79</v>
      </c>
      <c r="C183" s="165" t="s">
        <v>100</v>
      </c>
      <c r="D183" s="165" t="s">
        <v>1</v>
      </c>
      <c r="E183" s="165" t="s">
        <v>490</v>
      </c>
      <c r="F183" s="165" t="s">
        <v>88</v>
      </c>
      <c r="G183" s="165" t="s">
        <v>476</v>
      </c>
      <c r="H183" s="165" t="s">
        <v>212</v>
      </c>
      <c r="I183" s="167" t="s">
        <v>570</v>
      </c>
    </row>
    <row r="184" spans="1:9" ht="15.6" x14ac:dyDescent="0.3">
      <c r="A184" s="165" t="s">
        <v>551</v>
      </c>
      <c r="B184" s="165" t="s">
        <v>79</v>
      </c>
      <c r="C184" s="165" t="s">
        <v>90</v>
      </c>
      <c r="D184" s="165" t="s">
        <v>1</v>
      </c>
      <c r="E184" s="165" t="s">
        <v>482</v>
      </c>
      <c r="F184" s="165" t="s">
        <v>88</v>
      </c>
      <c r="G184" s="165" t="s">
        <v>476</v>
      </c>
      <c r="H184" s="165" t="s">
        <v>212</v>
      </c>
      <c r="I184" s="167" t="s">
        <v>570</v>
      </c>
    </row>
    <row r="185" spans="1:9" ht="15.6" x14ac:dyDescent="0.3">
      <c r="A185" s="165" t="s">
        <v>551</v>
      </c>
      <c r="B185" s="165" t="s">
        <v>79</v>
      </c>
      <c r="C185" s="165" t="s">
        <v>101</v>
      </c>
      <c r="D185" s="165" t="s">
        <v>1</v>
      </c>
      <c r="E185" s="165" t="s">
        <v>491</v>
      </c>
      <c r="F185" s="165" t="s">
        <v>88</v>
      </c>
      <c r="G185" s="165" t="s">
        <v>476</v>
      </c>
      <c r="H185" s="165" t="s">
        <v>212</v>
      </c>
      <c r="I185" s="167" t="s">
        <v>570</v>
      </c>
    </row>
    <row r="186" spans="1:9" ht="15.6" x14ac:dyDescent="0.3">
      <c r="A186" s="165" t="s">
        <v>551</v>
      </c>
      <c r="B186" s="165" t="s">
        <v>140</v>
      </c>
      <c r="C186" s="165" t="s">
        <v>145</v>
      </c>
      <c r="D186" s="165" t="s">
        <v>1</v>
      </c>
      <c r="E186" s="165" t="s">
        <v>571</v>
      </c>
      <c r="F186" s="165" t="s">
        <v>122</v>
      </c>
      <c r="G186" s="165" t="s">
        <v>465</v>
      </c>
      <c r="H186" s="165" t="s">
        <v>142</v>
      </c>
      <c r="I186" s="167" t="s">
        <v>560</v>
      </c>
    </row>
    <row r="187" spans="1:9" ht="15.6" x14ac:dyDescent="0.3">
      <c r="A187" s="165" t="s">
        <v>551</v>
      </c>
      <c r="B187" s="165" t="s">
        <v>140</v>
      </c>
      <c r="C187" s="165" t="s">
        <v>143</v>
      </c>
      <c r="D187" s="165" t="s">
        <v>1</v>
      </c>
      <c r="E187" s="165" t="s">
        <v>490</v>
      </c>
      <c r="F187" s="165" t="s">
        <v>122</v>
      </c>
      <c r="G187" s="165" t="s">
        <v>465</v>
      </c>
      <c r="H187" s="165" t="s">
        <v>217</v>
      </c>
      <c r="I187" s="167" t="s">
        <v>572</v>
      </c>
    </row>
    <row r="188" spans="1:9" ht="15.6" x14ac:dyDescent="0.3">
      <c r="A188" s="165" t="s">
        <v>551</v>
      </c>
      <c r="B188" s="165" t="s">
        <v>115</v>
      </c>
      <c r="C188" s="165" t="s">
        <v>131</v>
      </c>
      <c r="D188" s="165" t="s">
        <v>1</v>
      </c>
      <c r="E188" s="165" t="s">
        <v>506</v>
      </c>
      <c r="F188" s="165" t="s">
        <v>117</v>
      </c>
      <c r="G188" s="165" t="s">
        <v>465</v>
      </c>
      <c r="H188" s="165" t="s">
        <v>132</v>
      </c>
      <c r="I188" s="167" t="s">
        <v>523</v>
      </c>
    </row>
    <row r="189" spans="1:9" ht="15.6" x14ac:dyDescent="0.3">
      <c r="A189" s="165" t="s">
        <v>551</v>
      </c>
      <c r="B189" s="165" t="s">
        <v>115</v>
      </c>
      <c r="C189" s="165" t="s">
        <v>139</v>
      </c>
      <c r="D189" s="165" t="s">
        <v>1</v>
      </c>
      <c r="E189" s="165" t="s">
        <v>531</v>
      </c>
      <c r="F189" s="165" t="s">
        <v>117</v>
      </c>
      <c r="G189" s="165" t="s">
        <v>465</v>
      </c>
      <c r="H189" s="165" t="s">
        <v>132</v>
      </c>
      <c r="I189" s="167" t="s">
        <v>520</v>
      </c>
    </row>
    <row r="190" spans="1:9" ht="15.6" x14ac:dyDescent="0.3">
      <c r="A190" s="165" t="s">
        <v>551</v>
      </c>
      <c r="B190" s="165" t="s">
        <v>115</v>
      </c>
      <c r="C190" s="165" t="s">
        <v>133</v>
      </c>
      <c r="D190" s="165" t="s">
        <v>1</v>
      </c>
      <c r="E190" s="165" t="s">
        <v>524</v>
      </c>
      <c r="F190" s="165" t="s">
        <v>117</v>
      </c>
      <c r="G190" s="165" t="s">
        <v>465</v>
      </c>
      <c r="H190" s="165" t="s">
        <v>132</v>
      </c>
      <c r="I190" s="167" t="s">
        <v>523</v>
      </c>
    </row>
    <row r="191" spans="1:9" ht="15.6" x14ac:dyDescent="0.3">
      <c r="A191" s="165" t="s">
        <v>551</v>
      </c>
      <c r="B191" s="165" t="s">
        <v>115</v>
      </c>
      <c r="C191" s="165" t="s">
        <v>119</v>
      </c>
      <c r="D191" s="165" t="s">
        <v>1</v>
      </c>
      <c r="E191" s="165" t="s">
        <v>494</v>
      </c>
      <c r="F191" s="165" t="s">
        <v>117</v>
      </c>
      <c r="G191" s="165" t="s">
        <v>465</v>
      </c>
      <c r="H191" s="165" t="s">
        <v>132</v>
      </c>
      <c r="I191" s="167" t="s">
        <v>523</v>
      </c>
    </row>
    <row r="192" spans="1:9" ht="15.6" x14ac:dyDescent="0.3">
      <c r="A192" s="165" t="s">
        <v>551</v>
      </c>
      <c r="B192" s="165" t="s">
        <v>115</v>
      </c>
      <c r="C192" s="165" t="s">
        <v>135</v>
      </c>
      <c r="D192" s="165" t="s">
        <v>1</v>
      </c>
      <c r="E192" s="165" t="s">
        <v>508</v>
      </c>
      <c r="F192" s="165" t="s">
        <v>117</v>
      </c>
      <c r="G192" s="165" t="s">
        <v>465</v>
      </c>
      <c r="H192" s="165" t="s">
        <v>132</v>
      </c>
      <c r="I192" s="167" t="s">
        <v>520</v>
      </c>
    </row>
    <row r="193" spans="1:9" ht="15.6" x14ac:dyDescent="0.3">
      <c r="A193" s="165" t="s">
        <v>551</v>
      </c>
      <c r="B193" s="165" t="s">
        <v>140</v>
      </c>
      <c r="C193" s="165" t="s">
        <v>189</v>
      </c>
      <c r="D193" s="165" t="s">
        <v>1</v>
      </c>
      <c r="E193" s="165" t="s">
        <v>339</v>
      </c>
      <c r="F193" s="165" t="s">
        <v>122</v>
      </c>
      <c r="G193" s="165" t="s">
        <v>465</v>
      </c>
      <c r="H193" s="165" t="s">
        <v>144</v>
      </c>
      <c r="I193" s="166" t="s">
        <v>507</v>
      </c>
    </row>
    <row r="194" spans="1:9" ht="15.6" x14ac:dyDescent="0.3">
      <c r="A194" s="165" t="s">
        <v>551</v>
      </c>
      <c r="B194" s="165" t="s">
        <v>140</v>
      </c>
      <c r="C194" s="165" t="s">
        <v>216</v>
      </c>
      <c r="D194" s="165" t="s">
        <v>1</v>
      </c>
      <c r="E194" s="165" t="s">
        <v>573</v>
      </c>
      <c r="F194" s="165" t="s">
        <v>122</v>
      </c>
      <c r="G194" s="165" t="s">
        <v>495</v>
      </c>
      <c r="H194" s="165" t="s">
        <v>144</v>
      </c>
      <c r="I194" s="166" t="s">
        <v>507</v>
      </c>
    </row>
    <row r="195" spans="1:9" ht="15.6" x14ac:dyDescent="0.3">
      <c r="A195" s="165" t="s">
        <v>551</v>
      </c>
      <c r="B195" s="165" t="s">
        <v>115</v>
      </c>
      <c r="C195" s="165" t="s">
        <v>125</v>
      </c>
      <c r="D195" s="165" t="s">
        <v>1</v>
      </c>
      <c r="E195" s="165" t="s">
        <v>475</v>
      </c>
      <c r="F195" s="165" t="s">
        <v>117</v>
      </c>
      <c r="G195" s="165" t="s">
        <v>498</v>
      </c>
      <c r="H195" s="165" t="s">
        <v>218</v>
      </c>
      <c r="I195" s="167" t="s">
        <v>517</v>
      </c>
    </row>
    <row r="196" spans="1:9" ht="15.6" x14ac:dyDescent="0.3">
      <c r="A196" s="165" t="s">
        <v>551</v>
      </c>
      <c r="B196" s="165" t="s">
        <v>115</v>
      </c>
      <c r="C196" s="165" t="s">
        <v>127</v>
      </c>
      <c r="D196" s="165" t="s">
        <v>1</v>
      </c>
      <c r="E196" s="165" t="s">
        <v>473</v>
      </c>
      <c r="F196" s="165" t="s">
        <v>117</v>
      </c>
      <c r="G196" s="165" t="s">
        <v>498</v>
      </c>
      <c r="H196" s="165" t="s">
        <v>218</v>
      </c>
      <c r="I196" s="167" t="s">
        <v>517</v>
      </c>
    </row>
    <row r="197" spans="1:9" ht="15.6" x14ac:dyDescent="0.3">
      <c r="A197" s="165" t="s">
        <v>551</v>
      </c>
      <c r="B197" s="165" t="s">
        <v>115</v>
      </c>
      <c r="C197" s="165" t="s">
        <v>130</v>
      </c>
      <c r="D197" s="165" t="s">
        <v>1</v>
      </c>
      <c r="E197" s="165" t="s">
        <v>491</v>
      </c>
      <c r="F197" s="165" t="s">
        <v>117</v>
      </c>
      <c r="G197" s="165" t="s">
        <v>498</v>
      </c>
      <c r="H197" s="165" t="s">
        <v>218</v>
      </c>
      <c r="I197" s="167" t="s">
        <v>517</v>
      </c>
    </row>
    <row r="198" spans="1:9" ht="15.6" x14ac:dyDescent="0.3">
      <c r="A198" s="165" t="s">
        <v>551</v>
      </c>
      <c r="B198" s="165" t="s">
        <v>115</v>
      </c>
      <c r="C198" s="165" t="s">
        <v>137</v>
      </c>
      <c r="D198" s="165" t="s">
        <v>1</v>
      </c>
      <c r="E198" s="165" t="s">
        <v>521</v>
      </c>
      <c r="F198" s="165" t="s">
        <v>117</v>
      </c>
      <c r="G198" s="165" t="s">
        <v>465</v>
      </c>
      <c r="H198" s="165" t="s">
        <v>228</v>
      </c>
      <c r="I198" s="167" t="s">
        <v>474</v>
      </c>
    </row>
    <row r="199" spans="1:9" ht="15.6" x14ac:dyDescent="0.3">
      <c r="A199" s="165" t="s">
        <v>551</v>
      </c>
      <c r="B199" s="165" t="s">
        <v>52</v>
      </c>
      <c r="C199" s="165" t="s">
        <v>53</v>
      </c>
      <c r="D199" s="165" t="s">
        <v>1</v>
      </c>
      <c r="E199" s="165" t="s">
        <v>473</v>
      </c>
      <c r="F199" s="165" t="s">
        <v>60</v>
      </c>
      <c r="G199" s="165" t="s">
        <v>471</v>
      </c>
      <c r="H199" s="165" t="s">
        <v>207</v>
      </c>
      <c r="I199" s="167" t="s">
        <v>568</v>
      </c>
    </row>
    <row r="200" spans="1:9" ht="15.6" x14ac:dyDescent="0.3">
      <c r="A200" s="165" t="s">
        <v>551</v>
      </c>
      <c r="B200" s="165" t="s">
        <v>52</v>
      </c>
      <c r="C200" s="165" t="s">
        <v>62</v>
      </c>
      <c r="D200" s="165" t="s">
        <v>1</v>
      </c>
      <c r="E200" s="165" t="s">
        <v>492</v>
      </c>
      <c r="F200" s="165" t="s">
        <v>60</v>
      </c>
      <c r="G200" s="165" t="s">
        <v>476</v>
      </c>
      <c r="H200" s="165" t="s">
        <v>207</v>
      </c>
      <c r="I200" s="167" t="s">
        <v>568</v>
      </c>
    </row>
    <row r="201" spans="1:9" ht="15.6" x14ac:dyDescent="0.3">
      <c r="A201" s="165" t="s">
        <v>551</v>
      </c>
      <c r="B201" s="165" t="s">
        <v>52</v>
      </c>
      <c r="C201" s="165" t="s">
        <v>66</v>
      </c>
      <c r="D201" s="165" t="s">
        <v>1</v>
      </c>
      <c r="E201" s="165" t="s">
        <v>491</v>
      </c>
      <c r="F201" s="165" t="s">
        <v>60</v>
      </c>
      <c r="G201" s="165" t="s">
        <v>558</v>
      </c>
      <c r="H201" s="165" t="s">
        <v>207</v>
      </c>
      <c r="I201" s="167" t="s">
        <v>568</v>
      </c>
    </row>
    <row r="202" spans="1:9" ht="15.6" x14ac:dyDescent="0.3">
      <c r="A202" s="165" t="s">
        <v>551</v>
      </c>
      <c r="B202" s="165" t="s">
        <v>52</v>
      </c>
      <c r="C202" s="165" t="s">
        <v>69</v>
      </c>
      <c r="D202" s="165" t="s">
        <v>1</v>
      </c>
      <c r="E202" s="165" t="s">
        <v>475</v>
      </c>
      <c r="F202" s="165" t="s">
        <v>60</v>
      </c>
      <c r="G202" s="165" t="s">
        <v>495</v>
      </c>
      <c r="H202" s="165" t="s">
        <v>207</v>
      </c>
      <c r="I202" s="167" t="s">
        <v>568</v>
      </c>
    </row>
    <row r="203" spans="1:9" ht="15.6" x14ac:dyDescent="0.3">
      <c r="A203" s="165" t="s">
        <v>551</v>
      </c>
      <c r="B203" s="165" t="s">
        <v>115</v>
      </c>
      <c r="C203" s="165" t="s">
        <v>116</v>
      </c>
      <c r="D203" s="165" t="s">
        <v>1</v>
      </c>
      <c r="E203" s="165" t="s">
        <v>492</v>
      </c>
      <c r="F203" s="165" t="s">
        <v>117</v>
      </c>
      <c r="G203" s="165" t="s">
        <v>465</v>
      </c>
      <c r="H203" s="165" t="s">
        <v>138</v>
      </c>
      <c r="I203" s="167" t="s">
        <v>574</v>
      </c>
    </row>
    <row r="204" spans="1:9" ht="15.6" x14ac:dyDescent="0.3">
      <c r="A204" s="163" t="s">
        <v>575</v>
      </c>
      <c r="B204" s="163" t="s">
        <v>26</v>
      </c>
      <c r="C204" s="163" t="s">
        <v>166</v>
      </c>
      <c r="D204" s="163" t="s">
        <v>1</v>
      </c>
      <c r="E204" s="163" t="s">
        <v>365</v>
      </c>
      <c r="F204" s="163" t="s">
        <v>28</v>
      </c>
      <c r="G204" s="163" t="s">
        <v>500</v>
      </c>
      <c r="H204" s="163" t="s">
        <v>148</v>
      </c>
      <c r="I204" s="164" t="s">
        <v>464</v>
      </c>
    </row>
    <row r="205" spans="1:9" ht="15.6" x14ac:dyDescent="0.3">
      <c r="A205" s="163" t="s">
        <v>575</v>
      </c>
      <c r="B205" s="163" t="s">
        <v>26</v>
      </c>
      <c r="C205" s="163" t="s">
        <v>199</v>
      </c>
      <c r="D205" s="163" t="s">
        <v>1</v>
      </c>
      <c r="E205" s="163" t="s">
        <v>455</v>
      </c>
      <c r="F205" s="163" t="s">
        <v>28</v>
      </c>
      <c r="G205" s="163" t="s">
        <v>480</v>
      </c>
      <c r="H205" s="163" t="s">
        <v>148</v>
      </c>
      <c r="I205" s="164" t="s">
        <v>464</v>
      </c>
    </row>
    <row r="206" spans="1:9" ht="15.6" x14ac:dyDescent="0.3">
      <c r="A206" s="165" t="s">
        <v>575</v>
      </c>
      <c r="B206" s="165" t="s">
        <v>72</v>
      </c>
      <c r="C206" s="165" t="s">
        <v>73</v>
      </c>
      <c r="D206" s="165" t="s">
        <v>1</v>
      </c>
      <c r="E206" s="165" t="s">
        <v>576</v>
      </c>
      <c r="F206" s="165" t="s">
        <v>28</v>
      </c>
      <c r="G206" s="165" t="s">
        <v>577</v>
      </c>
      <c r="H206" s="165" t="s">
        <v>75</v>
      </c>
      <c r="I206" s="168" t="s">
        <v>544</v>
      </c>
    </row>
    <row r="207" spans="1:9" ht="15.6" x14ac:dyDescent="0.3">
      <c r="A207" s="165" t="s">
        <v>575</v>
      </c>
      <c r="B207" s="165" t="s">
        <v>108</v>
      </c>
      <c r="C207" s="165" t="s">
        <v>155</v>
      </c>
      <c r="D207" s="165" t="s">
        <v>1</v>
      </c>
      <c r="E207" s="165" t="s">
        <v>578</v>
      </c>
      <c r="F207" s="165" t="s">
        <v>113</v>
      </c>
      <c r="G207" s="165" t="s">
        <v>476</v>
      </c>
      <c r="H207" s="165" t="s">
        <v>238</v>
      </c>
      <c r="I207" s="168" t="s">
        <v>544</v>
      </c>
    </row>
    <row r="208" spans="1:9" ht="15.6" x14ac:dyDescent="0.3">
      <c r="A208" s="165" t="s">
        <v>575</v>
      </c>
      <c r="B208" s="165" t="s">
        <v>72</v>
      </c>
      <c r="C208" s="165" t="s">
        <v>76</v>
      </c>
      <c r="D208" s="165" t="s">
        <v>1</v>
      </c>
      <c r="E208" s="165" t="s">
        <v>510</v>
      </c>
      <c r="F208" s="165" t="s">
        <v>28</v>
      </c>
      <c r="G208" s="165" t="s">
        <v>465</v>
      </c>
      <c r="H208" s="165" t="s">
        <v>78</v>
      </c>
      <c r="I208" s="166" t="s">
        <v>579</v>
      </c>
    </row>
    <row r="209" spans="1:9" ht="15.6" x14ac:dyDescent="0.3">
      <c r="A209" s="165" t="s">
        <v>575</v>
      </c>
      <c r="B209" s="165" t="s">
        <v>108</v>
      </c>
      <c r="C209" s="165" t="s">
        <v>155</v>
      </c>
      <c r="D209" s="165" t="s">
        <v>1</v>
      </c>
      <c r="E209" s="165" t="s">
        <v>578</v>
      </c>
      <c r="F209" s="165" t="s">
        <v>60</v>
      </c>
      <c r="G209" s="165" t="s">
        <v>476</v>
      </c>
      <c r="H209" s="165" t="s">
        <v>239</v>
      </c>
      <c r="I209" s="167" t="s">
        <v>547</v>
      </c>
    </row>
    <row r="210" spans="1:9" ht="15.6" x14ac:dyDescent="0.3">
      <c r="A210" s="165" t="s">
        <v>575</v>
      </c>
      <c r="B210" s="165" t="s">
        <v>52</v>
      </c>
      <c r="C210" s="165" t="s">
        <v>62</v>
      </c>
      <c r="D210" s="165" t="s">
        <v>1</v>
      </c>
      <c r="E210" s="165" t="s">
        <v>492</v>
      </c>
      <c r="F210" s="165" t="s">
        <v>60</v>
      </c>
      <c r="G210" s="165" t="s">
        <v>463</v>
      </c>
      <c r="H210" s="165" t="s">
        <v>61</v>
      </c>
      <c r="I210" s="167" t="s">
        <v>515</v>
      </c>
    </row>
    <row r="211" spans="1:9" ht="15.6" x14ac:dyDescent="0.3">
      <c r="A211" s="165" t="s">
        <v>575</v>
      </c>
      <c r="B211" s="165" t="s">
        <v>52</v>
      </c>
      <c r="C211" s="165" t="s">
        <v>69</v>
      </c>
      <c r="D211" s="165" t="s">
        <v>1</v>
      </c>
      <c r="E211" s="165" t="s">
        <v>475</v>
      </c>
      <c r="F211" s="165" t="s">
        <v>60</v>
      </c>
      <c r="G211" s="165" t="s">
        <v>480</v>
      </c>
      <c r="H211" s="165" t="s">
        <v>61</v>
      </c>
      <c r="I211" s="167" t="s">
        <v>515</v>
      </c>
    </row>
    <row r="212" spans="1:9" ht="15.6" x14ac:dyDescent="0.3">
      <c r="A212" s="165" t="s">
        <v>575</v>
      </c>
      <c r="B212" s="165" t="s">
        <v>140</v>
      </c>
      <c r="C212" s="165" t="s">
        <v>146</v>
      </c>
      <c r="D212" s="165" t="s">
        <v>1</v>
      </c>
      <c r="E212" s="165" t="s">
        <v>425</v>
      </c>
      <c r="F212" s="165" t="s">
        <v>122</v>
      </c>
      <c r="G212" s="165" t="s">
        <v>465</v>
      </c>
      <c r="H212" s="165" t="s">
        <v>251</v>
      </c>
      <c r="I212" s="168" t="s">
        <v>564</v>
      </c>
    </row>
    <row r="213" spans="1:9" ht="15.6" x14ac:dyDescent="0.3">
      <c r="A213" s="165" t="s">
        <v>575</v>
      </c>
      <c r="B213" s="165" t="s">
        <v>79</v>
      </c>
      <c r="C213" s="165" t="s">
        <v>97</v>
      </c>
      <c r="D213" s="165" t="s">
        <v>1</v>
      </c>
      <c r="E213" s="165" t="s">
        <v>486</v>
      </c>
      <c r="F213" s="165" t="s">
        <v>88</v>
      </c>
      <c r="G213" s="165" t="s">
        <v>471</v>
      </c>
      <c r="H213" s="165" t="s">
        <v>181</v>
      </c>
      <c r="I213" s="167" t="s">
        <v>478</v>
      </c>
    </row>
    <row r="214" spans="1:9" ht="15.6" x14ac:dyDescent="0.3">
      <c r="A214" s="165" t="s">
        <v>575</v>
      </c>
      <c r="B214" s="165" t="s">
        <v>79</v>
      </c>
      <c r="C214" s="165" t="s">
        <v>100</v>
      </c>
      <c r="D214" s="165" t="s">
        <v>1</v>
      </c>
      <c r="E214" s="165" t="s">
        <v>490</v>
      </c>
      <c r="F214" s="165" t="s">
        <v>88</v>
      </c>
      <c r="G214" s="165" t="s">
        <v>476</v>
      </c>
      <c r="H214" s="165" t="s">
        <v>181</v>
      </c>
      <c r="I214" s="167" t="s">
        <v>478</v>
      </c>
    </row>
    <row r="215" spans="1:9" ht="15.6" x14ac:dyDescent="0.3">
      <c r="A215" s="165" t="s">
        <v>575</v>
      </c>
      <c r="B215" s="165" t="s">
        <v>79</v>
      </c>
      <c r="C215" s="165" t="s">
        <v>90</v>
      </c>
      <c r="D215" s="165" t="s">
        <v>1</v>
      </c>
      <c r="E215" s="165" t="s">
        <v>482</v>
      </c>
      <c r="F215" s="165" t="s">
        <v>88</v>
      </c>
      <c r="G215" s="165" t="s">
        <v>577</v>
      </c>
      <c r="H215" s="165" t="s">
        <v>181</v>
      </c>
      <c r="I215" s="167" t="s">
        <v>478</v>
      </c>
    </row>
    <row r="216" spans="1:9" ht="15.6" x14ac:dyDescent="0.3">
      <c r="A216" s="165" t="s">
        <v>575</v>
      </c>
      <c r="B216" s="165" t="s">
        <v>79</v>
      </c>
      <c r="C216" s="165" t="s">
        <v>93</v>
      </c>
      <c r="D216" s="165" t="s">
        <v>1</v>
      </c>
      <c r="E216" s="165" t="s">
        <v>483</v>
      </c>
      <c r="F216" s="165" t="s">
        <v>88</v>
      </c>
      <c r="G216" s="165" t="s">
        <v>468</v>
      </c>
      <c r="H216" s="165" t="s">
        <v>181</v>
      </c>
      <c r="I216" s="167" t="s">
        <v>478</v>
      </c>
    </row>
    <row r="217" spans="1:9" ht="15.6" x14ac:dyDescent="0.3">
      <c r="A217" s="165" t="s">
        <v>575</v>
      </c>
      <c r="B217" s="165" t="s">
        <v>79</v>
      </c>
      <c r="C217" s="165" t="s">
        <v>94</v>
      </c>
      <c r="D217" s="165" t="s">
        <v>1</v>
      </c>
      <c r="E217" s="165" t="s">
        <v>485</v>
      </c>
      <c r="F217" s="165" t="s">
        <v>88</v>
      </c>
      <c r="G217" s="165" t="s">
        <v>471</v>
      </c>
      <c r="H217" s="165" t="s">
        <v>181</v>
      </c>
      <c r="I217" s="167" t="s">
        <v>478</v>
      </c>
    </row>
    <row r="218" spans="1:9" ht="15.6" x14ac:dyDescent="0.3">
      <c r="A218" s="165" t="s">
        <v>575</v>
      </c>
      <c r="B218" s="165" t="s">
        <v>79</v>
      </c>
      <c r="C218" s="165" t="s">
        <v>101</v>
      </c>
      <c r="D218" s="165" t="s">
        <v>1</v>
      </c>
      <c r="E218" s="165" t="s">
        <v>491</v>
      </c>
      <c r="F218" s="165" t="s">
        <v>88</v>
      </c>
      <c r="G218" s="165" t="s">
        <v>495</v>
      </c>
      <c r="H218" s="165" t="s">
        <v>181</v>
      </c>
      <c r="I218" s="167" t="s">
        <v>478</v>
      </c>
    </row>
    <row r="219" spans="1:9" ht="15.6" x14ac:dyDescent="0.3">
      <c r="A219" s="165" t="s">
        <v>575</v>
      </c>
      <c r="B219" s="165" t="s">
        <v>140</v>
      </c>
      <c r="C219" s="165" t="s">
        <v>215</v>
      </c>
      <c r="D219" s="165" t="s">
        <v>1</v>
      </c>
      <c r="E219" s="165" t="s">
        <v>545</v>
      </c>
      <c r="F219" s="165" t="s">
        <v>122</v>
      </c>
      <c r="G219" s="165" t="s">
        <v>465</v>
      </c>
      <c r="H219" s="165" t="s">
        <v>213</v>
      </c>
      <c r="I219" s="166" t="s">
        <v>507</v>
      </c>
    </row>
    <row r="220" spans="1:9" ht="15.6" x14ac:dyDescent="0.3">
      <c r="A220" s="165" t="s">
        <v>575</v>
      </c>
      <c r="B220" s="165" t="s">
        <v>79</v>
      </c>
      <c r="C220" s="165" t="s">
        <v>80</v>
      </c>
      <c r="D220" s="165" t="s">
        <v>1</v>
      </c>
      <c r="E220" s="165" t="s">
        <v>479</v>
      </c>
      <c r="F220" s="165" t="s">
        <v>88</v>
      </c>
      <c r="G220" s="165" t="s">
        <v>476</v>
      </c>
      <c r="H220" s="165" t="s">
        <v>243</v>
      </c>
      <c r="I220" s="167" t="s">
        <v>580</v>
      </c>
    </row>
    <row r="221" spans="1:9" ht="15.6" x14ac:dyDescent="0.3">
      <c r="A221" s="165" t="s">
        <v>575</v>
      </c>
      <c r="B221" s="165" t="s">
        <v>79</v>
      </c>
      <c r="C221" s="165" t="s">
        <v>99</v>
      </c>
      <c r="D221" s="165" t="s">
        <v>1</v>
      </c>
      <c r="E221" s="165" t="s">
        <v>488</v>
      </c>
      <c r="F221" s="165" t="s">
        <v>88</v>
      </c>
      <c r="G221" s="165" t="s">
        <v>495</v>
      </c>
      <c r="H221" s="165" t="s">
        <v>243</v>
      </c>
      <c r="I221" s="167" t="s">
        <v>580</v>
      </c>
    </row>
    <row r="222" spans="1:9" ht="15.6" x14ac:dyDescent="0.3">
      <c r="A222" s="165" t="s">
        <v>575</v>
      </c>
      <c r="B222" s="165" t="s">
        <v>115</v>
      </c>
      <c r="C222" s="165" t="s">
        <v>121</v>
      </c>
      <c r="D222" s="165" t="s">
        <v>1</v>
      </c>
      <c r="E222" s="165" t="s">
        <v>455</v>
      </c>
      <c r="F222" s="165" t="s">
        <v>117</v>
      </c>
      <c r="G222" s="165" t="s">
        <v>465</v>
      </c>
      <c r="H222" s="165" t="s">
        <v>118</v>
      </c>
      <c r="I222" s="167" t="s">
        <v>581</v>
      </c>
    </row>
    <row r="223" spans="1:9" ht="15.6" x14ac:dyDescent="0.3">
      <c r="A223" s="165" t="s">
        <v>575</v>
      </c>
      <c r="B223" s="165" t="s">
        <v>115</v>
      </c>
      <c r="C223" s="165" t="s">
        <v>135</v>
      </c>
      <c r="D223" s="165" t="s">
        <v>1</v>
      </c>
      <c r="E223" s="165" t="s">
        <v>508</v>
      </c>
      <c r="F223" s="165" t="s">
        <v>117</v>
      </c>
      <c r="G223" s="165" t="s">
        <v>465</v>
      </c>
      <c r="H223" s="165" t="s">
        <v>123</v>
      </c>
      <c r="I223" s="167" t="s">
        <v>484</v>
      </c>
    </row>
    <row r="224" spans="1:9" ht="15.6" x14ac:dyDescent="0.3">
      <c r="A224" s="165" t="s">
        <v>575</v>
      </c>
      <c r="B224" s="165" t="s">
        <v>52</v>
      </c>
      <c r="C224" s="165" t="s">
        <v>53</v>
      </c>
      <c r="D224" s="165" t="s">
        <v>1</v>
      </c>
      <c r="E224" s="165" t="s">
        <v>473</v>
      </c>
      <c r="F224" s="165" t="s">
        <v>60</v>
      </c>
      <c r="G224" s="165" t="s">
        <v>527</v>
      </c>
      <c r="H224" s="165" t="s">
        <v>65</v>
      </c>
      <c r="I224" s="167" t="s">
        <v>532</v>
      </c>
    </row>
    <row r="225" spans="1:9" ht="15.6" x14ac:dyDescent="0.3">
      <c r="A225" s="165" t="s">
        <v>575</v>
      </c>
      <c r="B225" s="165" t="s">
        <v>52</v>
      </c>
      <c r="C225" s="165" t="s">
        <v>66</v>
      </c>
      <c r="D225" s="165" t="s">
        <v>1</v>
      </c>
      <c r="E225" s="165" t="s">
        <v>491</v>
      </c>
      <c r="F225" s="165" t="s">
        <v>60</v>
      </c>
      <c r="G225" s="165" t="s">
        <v>498</v>
      </c>
      <c r="H225" s="165" t="s">
        <v>65</v>
      </c>
      <c r="I225" s="167" t="s">
        <v>532</v>
      </c>
    </row>
    <row r="226" spans="1:9" ht="15.6" x14ac:dyDescent="0.3">
      <c r="A226" s="165" t="s">
        <v>575</v>
      </c>
      <c r="B226" s="165" t="s">
        <v>115</v>
      </c>
      <c r="C226" s="165" t="s">
        <v>127</v>
      </c>
      <c r="D226" s="165" t="s">
        <v>1</v>
      </c>
      <c r="E226" s="165" t="s">
        <v>473</v>
      </c>
      <c r="F226" s="165" t="s">
        <v>117</v>
      </c>
      <c r="G226" s="165" t="s">
        <v>498</v>
      </c>
      <c r="H226" s="165" t="s">
        <v>253</v>
      </c>
      <c r="I226" s="167" t="s">
        <v>487</v>
      </c>
    </row>
    <row r="227" spans="1:9" ht="15.6" x14ac:dyDescent="0.3">
      <c r="A227" s="165" t="s">
        <v>575</v>
      </c>
      <c r="B227" s="165" t="s">
        <v>115</v>
      </c>
      <c r="C227" s="165" t="s">
        <v>125</v>
      </c>
      <c r="D227" s="165" t="s">
        <v>1</v>
      </c>
      <c r="E227" s="165" t="s">
        <v>475</v>
      </c>
      <c r="F227" s="165" t="s">
        <v>117</v>
      </c>
      <c r="G227" s="165" t="s">
        <v>498</v>
      </c>
      <c r="H227" s="165" t="s">
        <v>126</v>
      </c>
      <c r="I227" s="167" t="s">
        <v>523</v>
      </c>
    </row>
    <row r="228" spans="1:9" ht="15.6" x14ac:dyDescent="0.3">
      <c r="A228" s="165" t="s">
        <v>575</v>
      </c>
      <c r="B228" s="165" t="s">
        <v>115</v>
      </c>
      <c r="C228" s="165" t="s">
        <v>128</v>
      </c>
      <c r="D228" s="165" t="s">
        <v>1</v>
      </c>
      <c r="E228" s="165" t="s">
        <v>492</v>
      </c>
      <c r="F228" s="165" t="s">
        <v>117</v>
      </c>
      <c r="G228" s="165" t="s">
        <v>498</v>
      </c>
      <c r="H228" s="165" t="s">
        <v>126</v>
      </c>
      <c r="I228" s="167" t="s">
        <v>523</v>
      </c>
    </row>
    <row r="229" spans="1:9" ht="15.6" x14ac:dyDescent="0.3">
      <c r="A229" s="165" t="s">
        <v>575</v>
      </c>
      <c r="B229" s="165" t="s">
        <v>115</v>
      </c>
      <c r="C229" s="165" t="s">
        <v>130</v>
      </c>
      <c r="D229" s="165" t="s">
        <v>1</v>
      </c>
      <c r="E229" s="165" t="s">
        <v>491</v>
      </c>
      <c r="F229" s="165" t="s">
        <v>117</v>
      </c>
      <c r="G229" s="165" t="s">
        <v>498</v>
      </c>
      <c r="H229" s="165" t="s">
        <v>126</v>
      </c>
      <c r="I229" s="167" t="s">
        <v>523</v>
      </c>
    </row>
    <row r="230" spans="1:9" ht="15.6" x14ac:dyDescent="0.3">
      <c r="A230" s="165" t="s">
        <v>575</v>
      </c>
      <c r="B230" s="165" t="s">
        <v>115</v>
      </c>
      <c r="C230" s="165" t="s">
        <v>116</v>
      </c>
      <c r="D230" s="165" t="s">
        <v>1</v>
      </c>
      <c r="E230" s="165" t="s">
        <v>492</v>
      </c>
      <c r="F230" s="165" t="s">
        <v>117</v>
      </c>
      <c r="G230" s="165" t="s">
        <v>465</v>
      </c>
      <c r="H230" s="165" t="s">
        <v>132</v>
      </c>
      <c r="I230" s="168" t="s">
        <v>537</v>
      </c>
    </row>
    <row r="231" spans="1:9" ht="15.6" x14ac:dyDescent="0.3">
      <c r="A231" s="165" t="s">
        <v>575</v>
      </c>
      <c r="B231" s="165" t="s">
        <v>115</v>
      </c>
      <c r="C231" s="165" t="s">
        <v>137</v>
      </c>
      <c r="D231" s="165" t="s">
        <v>1</v>
      </c>
      <c r="E231" s="165" t="s">
        <v>521</v>
      </c>
      <c r="F231" s="165" t="s">
        <v>117</v>
      </c>
      <c r="G231" s="165" t="s">
        <v>465</v>
      </c>
      <c r="H231" s="165" t="s">
        <v>132</v>
      </c>
      <c r="I231" s="168" t="s">
        <v>537</v>
      </c>
    </row>
    <row r="232" spans="1:9" ht="15.6" x14ac:dyDescent="0.3">
      <c r="A232" s="165" t="s">
        <v>575</v>
      </c>
      <c r="B232" s="165" t="s">
        <v>115</v>
      </c>
      <c r="C232" s="165" t="s">
        <v>139</v>
      </c>
      <c r="D232" s="165" t="s">
        <v>1</v>
      </c>
      <c r="E232" s="165" t="s">
        <v>522</v>
      </c>
      <c r="F232" s="165" t="s">
        <v>117</v>
      </c>
      <c r="G232" s="165" t="s">
        <v>500</v>
      </c>
      <c r="H232" s="165" t="s">
        <v>132</v>
      </c>
      <c r="I232" s="168" t="s">
        <v>537</v>
      </c>
    </row>
    <row r="233" spans="1:9" ht="15.6" x14ac:dyDescent="0.3">
      <c r="A233" s="165" t="s">
        <v>575</v>
      </c>
      <c r="B233" s="165" t="s">
        <v>115</v>
      </c>
      <c r="C233" s="165" t="s">
        <v>133</v>
      </c>
      <c r="D233" s="165" t="s">
        <v>1</v>
      </c>
      <c r="E233" s="165" t="s">
        <v>524</v>
      </c>
      <c r="F233" s="165" t="s">
        <v>117</v>
      </c>
      <c r="G233" s="165" t="s">
        <v>465</v>
      </c>
      <c r="H233" s="165" t="s">
        <v>132</v>
      </c>
      <c r="I233" s="168" t="s">
        <v>537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129"/>
  <sheetViews>
    <sheetView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4.77734375" bestFit="1" customWidth="1"/>
  </cols>
  <sheetData>
    <row r="1" spans="1:92" ht="28.8" customHeight="1" x14ac:dyDescent="0.3">
      <c r="A1" s="208" t="s">
        <v>0</v>
      </c>
      <c r="B1" s="207"/>
      <c r="C1" s="207"/>
      <c r="D1" s="207"/>
      <c r="E1" s="207"/>
      <c r="F1" s="1" t="s">
        <v>582</v>
      </c>
      <c r="G1" s="2" t="s">
        <v>2</v>
      </c>
      <c r="H1" s="206">
        <v>45986</v>
      </c>
      <c r="I1" s="207"/>
      <c r="J1" s="207"/>
      <c r="K1" s="207"/>
      <c r="L1" s="207"/>
      <c r="M1" s="1" t="s">
        <v>3</v>
      </c>
      <c r="N1" s="216">
        <v>45991</v>
      </c>
      <c r="O1" s="207"/>
      <c r="P1" s="207"/>
      <c r="Q1" s="207"/>
      <c r="R1" s="207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10" t="s">
        <v>4</v>
      </c>
      <c r="B2" s="207"/>
      <c r="C2" s="207"/>
      <c r="D2" s="207"/>
      <c r="E2" s="207"/>
      <c r="F2" s="207"/>
      <c r="G2" s="213">
        <v>45982.183716766813</v>
      </c>
      <c r="H2" s="207"/>
      <c r="I2" s="207"/>
      <c r="J2" s="207"/>
      <c r="K2" s="217">
        <v>45982.183716767096</v>
      </c>
      <c r="L2" s="207"/>
      <c r="M2" s="207"/>
      <c r="N2" s="207"/>
      <c r="O2" s="207"/>
      <c r="P2" s="207"/>
      <c r="Q2" s="207"/>
      <c r="R2" s="20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1" t="s">
        <v>5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4" t="s">
        <v>6</v>
      </c>
      <c r="B4" s="204"/>
      <c r="C4" s="204"/>
      <c r="D4" s="204"/>
      <c r="E4" s="204"/>
      <c r="F4" s="205"/>
      <c r="G4" s="4">
        <v>45986</v>
      </c>
      <c r="H4" s="209" t="s">
        <v>7</v>
      </c>
      <c r="I4" s="204"/>
      <c r="J4" s="204"/>
      <c r="K4" s="204"/>
      <c r="L4" s="204"/>
      <c r="M4" s="204"/>
      <c r="N4" s="204"/>
      <c r="O4" s="204"/>
      <c r="P4" s="204"/>
      <c r="Q4" s="204"/>
      <c r="R4" s="20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20" t="s">
        <v>52</v>
      </c>
      <c r="B6" s="120" t="s">
        <v>583</v>
      </c>
      <c r="C6" s="121">
        <v>0.3611111111111111</v>
      </c>
      <c r="D6" s="120" t="s">
        <v>584</v>
      </c>
      <c r="E6" s="120" t="s">
        <v>104</v>
      </c>
      <c r="F6" s="120" t="s">
        <v>585</v>
      </c>
      <c r="G6" s="215"/>
      <c r="H6" s="61"/>
      <c r="I6" s="62"/>
      <c r="J6" s="62"/>
      <c r="K6" s="62"/>
      <c r="L6" s="62"/>
      <c r="M6" s="62"/>
      <c r="N6" s="62"/>
      <c r="O6" s="63"/>
      <c r="P6" s="62"/>
      <c r="Q6" s="64"/>
      <c r="R6" s="65"/>
    </row>
    <row r="7" spans="1:92" ht="15" customHeight="1" x14ac:dyDescent="0.3">
      <c r="A7" s="66" t="s">
        <v>52</v>
      </c>
      <c r="B7" s="66" t="s">
        <v>583</v>
      </c>
      <c r="C7" s="67">
        <v>0.3611111111111111</v>
      </c>
      <c r="D7" s="66" t="s">
        <v>586</v>
      </c>
      <c r="E7" s="66" t="s">
        <v>96</v>
      </c>
      <c r="F7" s="66" t="s">
        <v>587</v>
      </c>
      <c r="G7" s="201"/>
      <c r="H7" s="61"/>
      <c r="I7" s="62"/>
      <c r="J7" s="62"/>
      <c r="K7" s="62"/>
      <c r="L7" s="62"/>
      <c r="M7" s="62"/>
      <c r="N7" s="62"/>
      <c r="O7" s="63"/>
      <c r="P7" s="62"/>
      <c r="Q7" s="64"/>
      <c r="R7" s="65"/>
    </row>
    <row r="8" spans="1:92" ht="15" customHeight="1" x14ac:dyDescent="0.3">
      <c r="A8" s="66" t="s">
        <v>52</v>
      </c>
      <c r="B8" s="66" t="s">
        <v>583</v>
      </c>
      <c r="C8" s="67">
        <v>0.3611111111111111</v>
      </c>
      <c r="D8" s="66" t="s">
        <v>588</v>
      </c>
      <c r="E8" s="66" t="s">
        <v>96</v>
      </c>
      <c r="F8" s="66" t="s">
        <v>589</v>
      </c>
      <c r="G8" s="201"/>
      <c r="H8" s="61"/>
      <c r="I8" s="62"/>
      <c r="J8" s="62"/>
      <c r="K8" s="62"/>
      <c r="L8" s="62"/>
      <c r="M8" s="62"/>
      <c r="N8" s="62"/>
      <c r="O8" s="63"/>
      <c r="P8" s="62"/>
      <c r="Q8" s="64"/>
      <c r="R8" s="65"/>
    </row>
    <row r="9" spans="1:92" ht="15" customHeight="1" x14ac:dyDescent="0.3">
      <c r="A9" s="66" t="s">
        <v>52</v>
      </c>
      <c r="B9" s="66" t="s">
        <v>583</v>
      </c>
      <c r="C9" s="67">
        <v>0.3611111111111111</v>
      </c>
      <c r="D9" s="66" t="s">
        <v>590</v>
      </c>
      <c r="E9" s="66" t="s">
        <v>96</v>
      </c>
      <c r="F9" s="66" t="s">
        <v>591</v>
      </c>
      <c r="G9" s="201"/>
      <c r="H9" s="61"/>
      <c r="I9" s="62"/>
      <c r="J9" s="62"/>
      <c r="K9" s="62"/>
      <c r="L9" s="62"/>
      <c r="M9" s="62"/>
      <c r="N9" s="62"/>
      <c r="O9" s="63"/>
      <c r="P9" s="62"/>
      <c r="Q9" s="64"/>
      <c r="R9" s="65"/>
    </row>
    <row r="10" spans="1:92" ht="15" customHeight="1" x14ac:dyDescent="0.3">
      <c r="A10" s="59" t="s">
        <v>108</v>
      </c>
      <c r="B10" s="59" t="s">
        <v>592</v>
      </c>
      <c r="C10" s="60">
        <v>0.3611111111111111</v>
      </c>
      <c r="D10" s="59" t="s">
        <v>586</v>
      </c>
      <c r="E10" s="59" t="s">
        <v>154</v>
      </c>
      <c r="F10" s="59" t="s">
        <v>593</v>
      </c>
      <c r="G10" s="201"/>
      <c r="H10" s="61"/>
      <c r="I10" s="62"/>
      <c r="J10" s="62"/>
      <c r="K10" s="62"/>
      <c r="L10" s="62"/>
      <c r="M10" s="62"/>
      <c r="N10" s="62"/>
      <c r="O10" s="63"/>
      <c r="P10" s="62"/>
      <c r="Q10" s="64"/>
      <c r="R10" s="65"/>
    </row>
    <row r="11" spans="1:92" ht="15" customHeight="1" x14ac:dyDescent="0.3">
      <c r="A11" s="66" t="s">
        <v>108</v>
      </c>
      <c r="B11" s="66" t="s">
        <v>592</v>
      </c>
      <c r="C11" s="67">
        <v>0.3611111111111111</v>
      </c>
      <c r="D11" s="66" t="s">
        <v>588</v>
      </c>
      <c r="E11" s="66" t="s">
        <v>64</v>
      </c>
      <c r="F11" s="66" t="s">
        <v>594</v>
      </c>
      <c r="G11" s="201"/>
      <c r="H11" s="61"/>
      <c r="I11" s="62"/>
      <c r="J11" s="62"/>
      <c r="K11" s="62"/>
      <c r="L11" s="62"/>
      <c r="M11" s="62"/>
      <c r="N11" s="62"/>
      <c r="O11" s="63"/>
      <c r="P11" s="62"/>
      <c r="Q11" s="64"/>
      <c r="R11" s="65"/>
    </row>
    <row r="12" spans="1:92" ht="15" customHeight="1" x14ac:dyDescent="0.3">
      <c r="A12" s="66" t="s">
        <v>108</v>
      </c>
      <c r="B12" s="66" t="s">
        <v>592</v>
      </c>
      <c r="C12" s="67">
        <v>0.3611111111111111</v>
      </c>
      <c r="D12" s="66" t="s">
        <v>60</v>
      </c>
      <c r="E12" s="66" t="s">
        <v>64</v>
      </c>
      <c r="F12" s="66" t="s">
        <v>595</v>
      </c>
      <c r="G12" s="201"/>
      <c r="H12" s="61"/>
      <c r="I12" s="62"/>
      <c r="J12" s="62"/>
      <c r="K12" s="62"/>
      <c r="L12" s="62"/>
      <c r="M12" s="62"/>
      <c r="N12" s="62"/>
      <c r="O12" s="63"/>
      <c r="P12" s="62"/>
      <c r="Q12" s="64"/>
      <c r="R12" s="65"/>
    </row>
    <row r="13" spans="1:92" ht="15" customHeight="1" x14ac:dyDescent="0.3">
      <c r="A13" s="59" t="s">
        <v>115</v>
      </c>
      <c r="B13" s="59" t="s">
        <v>596</v>
      </c>
      <c r="C13" s="60">
        <v>0.4513888888888889</v>
      </c>
      <c r="D13" s="59" t="s">
        <v>117</v>
      </c>
      <c r="E13" s="59" t="s">
        <v>597</v>
      </c>
      <c r="F13" s="59" t="s">
        <v>598</v>
      </c>
      <c r="G13" s="201"/>
      <c r="H13" s="61"/>
      <c r="I13" s="62"/>
      <c r="J13" s="62"/>
      <c r="K13" s="62"/>
      <c r="L13" s="62"/>
      <c r="M13" s="62"/>
      <c r="N13" s="62"/>
      <c r="O13" s="63"/>
      <c r="P13" s="62"/>
      <c r="Q13" s="64"/>
      <c r="R13" s="65"/>
    </row>
    <row r="14" spans="1:92" ht="15" customHeight="1" x14ac:dyDescent="0.3">
      <c r="A14" s="68" t="s">
        <v>115</v>
      </c>
      <c r="B14" s="68" t="s">
        <v>599</v>
      </c>
      <c r="C14" s="69">
        <v>0.81944444444444453</v>
      </c>
      <c r="D14" s="68" t="s">
        <v>117</v>
      </c>
      <c r="E14" s="68" t="s">
        <v>77</v>
      </c>
      <c r="F14" s="68" t="s">
        <v>598</v>
      </c>
      <c r="G14" s="201"/>
      <c r="H14" s="61"/>
      <c r="I14" s="62"/>
      <c r="J14" s="62"/>
      <c r="K14" s="62"/>
      <c r="L14" s="62"/>
      <c r="M14" s="62"/>
      <c r="N14" s="62"/>
      <c r="O14" s="63"/>
      <c r="P14" s="62"/>
      <c r="Q14" s="64"/>
      <c r="R14" s="65"/>
    </row>
    <row r="15" spans="1:92" ht="15" customHeight="1" x14ac:dyDescent="0.3">
      <c r="A15" s="169" t="s">
        <v>26</v>
      </c>
      <c r="B15" s="169" t="s">
        <v>600</v>
      </c>
      <c r="C15" s="170">
        <v>0.52083333333333337</v>
      </c>
      <c r="D15" s="169" t="s">
        <v>44</v>
      </c>
      <c r="E15" s="171"/>
      <c r="F15" s="169" t="s">
        <v>45</v>
      </c>
      <c r="G15" s="201"/>
      <c r="H15" s="98" t="s">
        <v>600</v>
      </c>
      <c r="I15" s="99">
        <v>1</v>
      </c>
      <c r="J15" s="100">
        <v>180</v>
      </c>
      <c r="K15" s="101">
        <v>45961</v>
      </c>
      <c r="L15" s="100">
        <v>0</v>
      </c>
      <c r="M15" s="100">
        <v>0</v>
      </c>
      <c r="N15" s="100">
        <v>0</v>
      </c>
      <c r="O15" s="102" t="s">
        <v>46</v>
      </c>
      <c r="P15" s="103">
        <v>0.52083333333333337</v>
      </c>
      <c r="Q15" s="100">
        <v>180</v>
      </c>
      <c r="R15" s="104" t="s">
        <v>601</v>
      </c>
    </row>
    <row r="16" spans="1:92" ht="18" x14ac:dyDescent="0.3">
      <c r="A16" s="218" t="s">
        <v>602</v>
      </c>
      <c r="B16" s="219"/>
      <c r="C16" s="219"/>
      <c r="D16" s="219"/>
      <c r="E16" s="219"/>
      <c r="F16" s="220"/>
      <c r="G16" s="201"/>
      <c r="H16" s="172"/>
      <c r="I16" s="172"/>
      <c r="J16" s="172"/>
      <c r="K16" s="172"/>
      <c r="L16" s="172"/>
      <c r="M16" s="172"/>
      <c r="N16" s="172"/>
      <c r="O16" s="173"/>
      <c r="P16" s="172"/>
      <c r="Q16" s="140"/>
      <c r="R16" s="140"/>
    </row>
    <row r="17" spans="1:18" ht="15" customHeight="1" x14ac:dyDescent="0.3">
      <c r="A17" s="68" t="s">
        <v>26</v>
      </c>
      <c r="B17" s="68" t="s">
        <v>27</v>
      </c>
      <c r="C17" s="69" t="s">
        <v>304</v>
      </c>
      <c r="D17" s="68" t="s">
        <v>28</v>
      </c>
      <c r="E17" s="68" t="s">
        <v>463</v>
      </c>
      <c r="F17" s="68" t="s">
        <v>30</v>
      </c>
      <c r="G17" s="201"/>
      <c r="H17" s="172"/>
      <c r="I17" s="172"/>
      <c r="J17" s="172"/>
      <c r="K17" s="172"/>
      <c r="L17" s="172"/>
      <c r="M17" s="172"/>
      <c r="N17" s="172"/>
      <c r="O17" s="173"/>
      <c r="P17" s="172"/>
      <c r="Q17" s="140"/>
      <c r="R17" s="140"/>
    </row>
    <row r="18" spans="1:18" ht="15" customHeight="1" x14ac:dyDescent="0.3">
      <c r="A18" s="68" t="s">
        <v>52</v>
      </c>
      <c r="B18" s="68" t="s">
        <v>53</v>
      </c>
      <c r="C18" s="69" t="s">
        <v>473</v>
      </c>
      <c r="D18" s="68" t="s">
        <v>54</v>
      </c>
      <c r="E18" s="68" t="s">
        <v>463</v>
      </c>
      <c r="F18" s="68" t="s">
        <v>55</v>
      </c>
      <c r="G18" s="201"/>
      <c r="H18" s="172"/>
      <c r="I18" s="172"/>
      <c r="J18" s="172"/>
      <c r="K18" s="172"/>
      <c r="L18" s="172"/>
      <c r="M18" s="172"/>
      <c r="N18" s="172"/>
      <c r="O18" s="173"/>
      <c r="P18" s="172"/>
      <c r="Q18" s="140"/>
      <c r="R18" s="140"/>
    </row>
    <row r="19" spans="1:18" ht="15" customHeight="1" x14ac:dyDescent="0.3">
      <c r="A19" s="68" t="s">
        <v>52</v>
      </c>
      <c r="B19" s="68" t="s">
        <v>53</v>
      </c>
      <c r="C19" s="69" t="s">
        <v>473</v>
      </c>
      <c r="D19" s="68" t="s">
        <v>56</v>
      </c>
      <c r="E19" s="68" t="s">
        <v>463</v>
      </c>
      <c r="F19" s="68" t="s">
        <v>55</v>
      </c>
      <c r="G19" s="201"/>
      <c r="H19" s="172"/>
      <c r="I19" s="172"/>
      <c r="J19" s="172"/>
      <c r="K19" s="172"/>
      <c r="L19" s="172"/>
      <c r="M19" s="172"/>
      <c r="N19" s="172"/>
      <c r="O19" s="173"/>
      <c r="P19" s="172"/>
      <c r="Q19" s="140"/>
      <c r="R19" s="140"/>
    </row>
    <row r="20" spans="1:18" ht="15" customHeight="1" x14ac:dyDescent="0.3">
      <c r="A20" s="68" t="s">
        <v>26</v>
      </c>
      <c r="B20" s="68" t="s">
        <v>34</v>
      </c>
      <c r="C20" s="69" t="s">
        <v>284</v>
      </c>
      <c r="D20" s="68" t="s">
        <v>28</v>
      </c>
      <c r="E20" s="68" t="s">
        <v>463</v>
      </c>
      <c r="F20" s="68" t="s">
        <v>36</v>
      </c>
      <c r="G20" s="201"/>
      <c r="H20" s="172"/>
      <c r="I20" s="172"/>
      <c r="J20" s="172"/>
      <c r="K20" s="172"/>
      <c r="L20" s="172"/>
      <c r="M20" s="172"/>
      <c r="N20" s="172"/>
      <c r="O20" s="173"/>
      <c r="P20" s="172"/>
      <c r="Q20" s="140"/>
      <c r="R20" s="140"/>
    </row>
    <row r="21" spans="1:18" ht="15" customHeight="1" x14ac:dyDescent="0.3">
      <c r="A21" s="68" t="s">
        <v>26</v>
      </c>
      <c r="B21" s="68" t="s">
        <v>40</v>
      </c>
      <c r="C21" s="69" t="s">
        <v>326</v>
      </c>
      <c r="D21" s="68" t="s">
        <v>28</v>
      </c>
      <c r="E21" s="68" t="s">
        <v>463</v>
      </c>
      <c r="F21" s="68" t="s">
        <v>36</v>
      </c>
      <c r="G21" s="201"/>
      <c r="H21" s="172"/>
      <c r="I21" s="172"/>
      <c r="J21" s="172"/>
      <c r="K21" s="172"/>
      <c r="L21" s="172"/>
      <c r="M21" s="172"/>
      <c r="N21" s="172"/>
      <c r="O21" s="173"/>
      <c r="P21" s="172"/>
      <c r="Q21" s="140"/>
      <c r="R21" s="140"/>
    </row>
    <row r="22" spans="1:18" ht="15" customHeight="1" x14ac:dyDescent="0.3">
      <c r="A22" s="68" t="s">
        <v>52</v>
      </c>
      <c r="B22" s="68" t="s">
        <v>62</v>
      </c>
      <c r="C22" s="69" t="s">
        <v>492</v>
      </c>
      <c r="D22" s="68" t="s">
        <v>54</v>
      </c>
      <c r="E22" s="68" t="s">
        <v>498</v>
      </c>
      <c r="F22" s="68" t="s">
        <v>36</v>
      </c>
      <c r="G22" s="201"/>
      <c r="H22" s="172"/>
      <c r="I22" s="172"/>
      <c r="J22" s="172"/>
      <c r="K22" s="172"/>
      <c r="L22" s="172"/>
      <c r="M22" s="172"/>
      <c r="N22" s="172"/>
      <c r="O22" s="173"/>
      <c r="P22" s="172"/>
      <c r="Q22" s="140"/>
      <c r="R22" s="140"/>
    </row>
    <row r="23" spans="1:18" ht="15" customHeight="1" x14ac:dyDescent="0.3">
      <c r="A23" s="68" t="s">
        <v>52</v>
      </c>
      <c r="B23" s="68" t="s">
        <v>62</v>
      </c>
      <c r="C23" s="69" t="s">
        <v>492</v>
      </c>
      <c r="D23" s="68" t="s">
        <v>56</v>
      </c>
      <c r="E23" s="68" t="s">
        <v>498</v>
      </c>
      <c r="F23" s="68" t="s">
        <v>36</v>
      </c>
      <c r="G23" s="201"/>
      <c r="H23" s="172"/>
      <c r="I23" s="172"/>
      <c r="J23" s="172"/>
      <c r="K23" s="172"/>
      <c r="L23" s="172"/>
      <c r="M23" s="172"/>
      <c r="N23" s="172"/>
      <c r="O23" s="173"/>
      <c r="P23" s="172"/>
      <c r="Q23" s="140"/>
      <c r="R23" s="140"/>
    </row>
    <row r="24" spans="1:18" ht="15" customHeight="1" x14ac:dyDescent="0.3">
      <c r="A24" s="68" t="s">
        <v>52</v>
      </c>
      <c r="B24" s="68" t="s">
        <v>66</v>
      </c>
      <c r="C24" s="69" t="s">
        <v>491</v>
      </c>
      <c r="D24" s="68" t="s">
        <v>54</v>
      </c>
      <c r="E24" s="68" t="s">
        <v>500</v>
      </c>
      <c r="F24" s="68" t="s">
        <v>36</v>
      </c>
      <c r="G24" s="201"/>
      <c r="H24" s="172"/>
      <c r="I24" s="172"/>
      <c r="J24" s="172"/>
      <c r="K24" s="172"/>
      <c r="L24" s="172"/>
      <c r="M24" s="172"/>
      <c r="N24" s="172"/>
      <c r="O24" s="173"/>
      <c r="P24" s="172"/>
      <c r="Q24" s="140"/>
      <c r="R24" s="140"/>
    </row>
    <row r="25" spans="1:18" ht="15" customHeight="1" x14ac:dyDescent="0.3">
      <c r="A25" s="68" t="s">
        <v>52</v>
      </c>
      <c r="B25" s="68" t="s">
        <v>66</v>
      </c>
      <c r="C25" s="69" t="s">
        <v>491</v>
      </c>
      <c r="D25" s="68" t="s">
        <v>56</v>
      </c>
      <c r="E25" s="68" t="s">
        <v>500</v>
      </c>
      <c r="F25" s="68" t="s">
        <v>36</v>
      </c>
      <c r="G25" s="201"/>
      <c r="H25" s="172"/>
      <c r="I25" s="172"/>
      <c r="J25" s="172"/>
      <c r="K25" s="172"/>
      <c r="L25" s="172"/>
      <c r="M25" s="172"/>
      <c r="N25" s="172"/>
      <c r="O25" s="173"/>
      <c r="P25" s="172"/>
      <c r="Q25" s="140"/>
      <c r="R25" s="140"/>
    </row>
    <row r="26" spans="1:18" ht="15" customHeight="1" thickBot="1" x14ac:dyDescent="0.35">
      <c r="A26" s="70" t="s">
        <v>52</v>
      </c>
      <c r="B26" s="70" t="s">
        <v>69</v>
      </c>
      <c r="C26" s="71" t="s">
        <v>475</v>
      </c>
      <c r="D26" s="70" t="s">
        <v>54</v>
      </c>
      <c r="E26" s="70" t="s">
        <v>476</v>
      </c>
      <c r="F26" s="70" t="s">
        <v>36</v>
      </c>
      <c r="G26" s="202"/>
      <c r="H26" s="174"/>
      <c r="I26" s="174"/>
      <c r="J26" s="174"/>
      <c r="K26" s="174"/>
      <c r="L26" s="174"/>
      <c r="M26" s="174"/>
      <c r="N26" s="174"/>
      <c r="O26" s="175"/>
      <c r="P26" s="174"/>
      <c r="Q26" s="176"/>
      <c r="R26" s="176"/>
    </row>
    <row r="27" spans="1:18" ht="17.399999999999999" customHeight="1" thickBot="1" x14ac:dyDescent="0.35">
      <c r="A27" s="235"/>
      <c r="B27" s="236"/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6"/>
      <c r="R27" s="237"/>
    </row>
    <row r="28" spans="1:18" ht="22.05" customHeight="1" thickTop="1" thickBot="1" x14ac:dyDescent="0.35">
      <c r="A28" s="203" t="s">
        <v>6</v>
      </c>
      <c r="B28" s="204"/>
      <c r="C28" s="204"/>
      <c r="D28" s="204"/>
      <c r="E28" s="204"/>
      <c r="F28" s="205"/>
      <c r="G28" s="77">
        <v>45987</v>
      </c>
      <c r="H28" s="212" t="s">
        <v>7</v>
      </c>
      <c r="I28" s="204"/>
      <c r="J28" s="204"/>
      <c r="K28" s="204"/>
      <c r="L28" s="204"/>
      <c r="M28" s="204"/>
      <c r="N28" s="204"/>
      <c r="O28" s="204"/>
      <c r="P28" s="204"/>
      <c r="Q28" s="204"/>
      <c r="R28" s="205"/>
    </row>
    <row r="29" spans="1:18" ht="24" customHeight="1" x14ac:dyDescent="0.3">
      <c r="A29" s="78" t="s">
        <v>8</v>
      </c>
      <c r="B29" s="78" t="s">
        <v>9</v>
      </c>
      <c r="C29" s="79" t="s">
        <v>10</v>
      </c>
      <c r="D29" s="78" t="s">
        <v>11</v>
      </c>
      <c r="E29" s="78" t="s">
        <v>12</v>
      </c>
      <c r="F29" s="80" t="s">
        <v>13</v>
      </c>
      <c r="G29" s="81" t="s">
        <v>14</v>
      </c>
      <c r="H29" s="78" t="s">
        <v>15</v>
      </c>
      <c r="I29" s="82" t="s">
        <v>16</v>
      </c>
      <c r="J29" s="83" t="s">
        <v>17</v>
      </c>
      <c r="K29" s="84" t="s">
        <v>18</v>
      </c>
      <c r="L29" s="83" t="s">
        <v>19</v>
      </c>
      <c r="M29" s="83" t="s">
        <v>20</v>
      </c>
      <c r="N29" s="83" t="s">
        <v>21</v>
      </c>
      <c r="O29" s="78" t="s">
        <v>22</v>
      </c>
      <c r="P29" s="79" t="s">
        <v>23</v>
      </c>
      <c r="Q29" s="83" t="s">
        <v>24</v>
      </c>
      <c r="R29" s="78" t="s">
        <v>25</v>
      </c>
    </row>
    <row r="30" spans="1:18" ht="15" customHeight="1" x14ac:dyDescent="0.3">
      <c r="A30" s="8" t="s">
        <v>26</v>
      </c>
      <c r="B30" s="8" t="s">
        <v>600</v>
      </c>
      <c r="C30" s="9">
        <v>0.14583333333333329</v>
      </c>
      <c r="D30" s="8" t="s">
        <v>44</v>
      </c>
      <c r="E30" s="177"/>
      <c r="F30" s="8" t="s">
        <v>45</v>
      </c>
      <c r="G30" s="215"/>
      <c r="H30" s="10" t="s">
        <v>600</v>
      </c>
      <c r="I30" s="11">
        <v>0.99439999999999995</v>
      </c>
      <c r="J30" s="12">
        <v>179</v>
      </c>
      <c r="K30" s="13">
        <v>45981</v>
      </c>
      <c r="L30" s="12">
        <v>15</v>
      </c>
      <c r="M30" s="12">
        <v>0</v>
      </c>
      <c r="N30" s="12">
        <v>3</v>
      </c>
      <c r="O30" s="14" t="s">
        <v>46</v>
      </c>
      <c r="P30" s="15">
        <v>0.14583333333333329</v>
      </c>
      <c r="Q30" s="12">
        <v>180</v>
      </c>
      <c r="R30" s="16" t="s">
        <v>603</v>
      </c>
    </row>
    <row r="31" spans="1:18" ht="15" customHeight="1" x14ac:dyDescent="0.3">
      <c r="A31" s="17" t="s">
        <v>26</v>
      </c>
      <c r="B31" s="17" t="s">
        <v>604</v>
      </c>
      <c r="C31" s="18">
        <v>0.53125</v>
      </c>
      <c r="D31" s="17" t="s">
        <v>44</v>
      </c>
      <c r="E31" s="178"/>
      <c r="F31" s="17" t="s">
        <v>45</v>
      </c>
      <c r="G31" s="201"/>
      <c r="H31" s="19" t="s">
        <v>604</v>
      </c>
      <c r="I31" s="20">
        <v>1</v>
      </c>
      <c r="J31" s="21">
        <v>180</v>
      </c>
      <c r="K31" s="22">
        <v>45972</v>
      </c>
      <c r="L31" s="21">
        <v>0</v>
      </c>
      <c r="M31" s="21">
        <v>0</v>
      </c>
      <c r="N31" s="21">
        <v>0</v>
      </c>
      <c r="O31" s="23" t="s">
        <v>46</v>
      </c>
      <c r="P31" s="24">
        <v>0.53125</v>
      </c>
      <c r="Q31" s="21">
        <v>180</v>
      </c>
      <c r="R31" s="25" t="s">
        <v>605</v>
      </c>
    </row>
    <row r="32" spans="1:18" ht="15" customHeight="1" x14ac:dyDescent="0.3">
      <c r="A32" s="106" t="s">
        <v>26</v>
      </c>
      <c r="B32" s="106" t="s">
        <v>606</v>
      </c>
      <c r="C32" s="107">
        <v>0.86111111111111116</v>
      </c>
      <c r="D32" s="106" t="s">
        <v>44</v>
      </c>
      <c r="E32" s="118"/>
      <c r="F32" s="106" t="s">
        <v>45</v>
      </c>
      <c r="G32" s="201"/>
      <c r="H32" s="108" t="s">
        <v>606</v>
      </c>
      <c r="I32" s="119">
        <v>1</v>
      </c>
      <c r="J32" s="110">
        <v>180</v>
      </c>
      <c r="K32" s="111">
        <v>45971</v>
      </c>
      <c r="L32" s="110">
        <v>0</v>
      </c>
      <c r="M32" s="110">
        <v>0</v>
      </c>
      <c r="N32" s="110">
        <v>0</v>
      </c>
      <c r="O32" s="112" t="s">
        <v>46</v>
      </c>
      <c r="P32" s="113">
        <v>0.86111111111111116</v>
      </c>
      <c r="Q32" s="110">
        <v>180</v>
      </c>
      <c r="R32" s="114" t="s">
        <v>607</v>
      </c>
    </row>
    <row r="33" spans="1:18" ht="18" x14ac:dyDescent="0.3">
      <c r="A33" s="218" t="s">
        <v>602</v>
      </c>
      <c r="B33" s="219"/>
      <c r="C33" s="219"/>
      <c r="D33" s="219"/>
      <c r="E33" s="219"/>
      <c r="F33" s="220"/>
      <c r="G33" s="201"/>
      <c r="H33" s="172"/>
      <c r="I33" s="172"/>
      <c r="J33" s="172"/>
      <c r="K33" s="172"/>
      <c r="L33" s="172"/>
      <c r="M33" s="172"/>
      <c r="N33" s="172"/>
      <c r="O33" s="173"/>
      <c r="P33" s="172"/>
      <c r="Q33" s="140"/>
      <c r="R33" s="140"/>
    </row>
    <row r="34" spans="1:18" ht="15" customHeight="1" x14ac:dyDescent="0.3">
      <c r="A34" s="68" t="s">
        <v>26</v>
      </c>
      <c r="B34" s="68" t="s">
        <v>40</v>
      </c>
      <c r="C34" s="69" t="s">
        <v>339</v>
      </c>
      <c r="D34" s="68" t="s">
        <v>28</v>
      </c>
      <c r="E34" s="68" t="s">
        <v>463</v>
      </c>
      <c r="F34" s="68" t="s">
        <v>36</v>
      </c>
      <c r="G34" s="201"/>
      <c r="H34" s="172"/>
      <c r="I34" s="172"/>
      <c r="J34" s="172"/>
      <c r="K34" s="172"/>
      <c r="L34" s="172"/>
      <c r="M34" s="172"/>
      <c r="N34" s="172"/>
      <c r="O34" s="173"/>
      <c r="P34" s="172"/>
      <c r="Q34" s="140"/>
      <c r="R34" s="140"/>
    </row>
    <row r="35" spans="1:18" ht="15" customHeight="1" x14ac:dyDescent="0.3">
      <c r="A35" s="68" t="s">
        <v>52</v>
      </c>
      <c r="B35" s="68" t="s">
        <v>53</v>
      </c>
      <c r="C35" s="69" t="s">
        <v>473</v>
      </c>
      <c r="D35" s="68" t="s">
        <v>56</v>
      </c>
      <c r="E35" s="68" t="s">
        <v>498</v>
      </c>
      <c r="F35" s="68" t="s">
        <v>36</v>
      </c>
      <c r="G35" s="201"/>
      <c r="H35" s="172"/>
      <c r="I35" s="172"/>
      <c r="J35" s="172"/>
      <c r="K35" s="172"/>
      <c r="L35" s="172"/>
      <c r="M35" s="172"/>
      <c r="N35" s="172"/>
      <c r="O35" s="173"/>
      <c r="P35" s="172"/>
      <c r="Q35" s="140"/>
      <c r="R35" s="140"/>
    </row>
    <row r="36" spans="1:18" ht="15" customHeight="1" x14ac:dyDescent="0.3">
      <c r="A36" s="68" t="s">
        <v>52</v>
      </c>
      <c r="B36" s="68" t="s">
        <v>62</v>
      </c>
      <c r="C36" s="69" t="s">
        <v>492</v>
      </c>
      <c r="D36" s="68" t="s">
        <v>56</v>
      </c>
      <c r="E36" s="68" t="s">
        <v>463</v>
      </c>
      <c r="F36" s="68" t="s">
        <v>36</v>
      </c>
      <c r="G36" s="201"/>
      <c r="H36" s="172"/>
      <c r="I36" s="172"/>
      <c r="J36" s="172"/>
      <c r="K36" s="172"/>
      <c r="L36" s="172"/>
      <c r="M36" s="172"/>
      <c r="N36" s="172"/>
      <c r="O36" s="173"/>
      <c r="P36" s="172"/>
      <c r="Q36" s="140"/>
      <c r="R36" s="140"/>
    </row>
    <row r="37" spans="1:18" ht="15" customHeight="1" x14ac:dyDescent="0.3">
      <c r="A37" s="68" t="s">
        <v>52</v>
      </c>
      <c r="B37" s="68" t="s">
        <v>66</v>
      </c>
      <c r="C37" s="69" t="s">
        <v>491</v>
      </c>
      <c r="D37" s="68" t="s">
        <v>54</v>
      </c>
      <c r="E37" s="68" t="s">
        <v>498</v>
      </c>
      <c r="F37" s="68" t="s">
        <v>36</v>
      </c>
      <c r="G37" s="201"/>
      <c r="H37" s="172"/>
      <c r="I37" s="172"/>
      <c r="J37" s="172"/>
      <c r="K37" s="172"/>
      <c r="L37" s="172"/>
      <c r="M37" s="172"/>
      <c r="N37" s="172"/>
      <c r="O37" s="173"/>
      <c r="P37" s="172"/>
      <c r="Q37" s="140"/>
      <c r="R37" s="140"/>
    </row>
    <row r="38" spans="1:18" ht="15" customHeight="1" x14ac:dyDescent="0.3">
      <c r="A38" s="68" t="s">
        <v>52</v>
      </c>
      <c r="B38" s="68" t="s">
        <v>66</v>
      </c>
      <c r="C38" s="69" t="s">
        <v>491</v>
      </c>
      <c r="D38" s="68" t="s">
        <v>56</v>
      </c>
      <c r="E38" s="68" t="s">
        <v>498</v>
      </c>
      <c r="F38" s="68" t="s">
        <v>36</v>
      </c>
      <c r="G38" s="201"/>
      <c r="H38" s="172"/>
      <c r="I38" s="172"/>
      <c r="J38" s="172"/>
      <c r="K38" s="172"/>
      <c r="L38" s="172"/>
      <c r="M38" s="172"/>
      <c r="N38" s="172"/>
      <c r="O38" s="173"/>
      <c r="P38" s="172"/>
      <c r="Q38" s="140"/>
      <c r="R38" s="140"/>
    </row>
    <row r="39" spans="1:18" ht="15" customHeight="1" x14ac:dyDescent="0.3">
      <c r="A39" s="68" t="s">
        <v>52</v>
      </c>
      <c r="B39" s="68" t="s">
        <v>69</v>
      </c>
      <c r="C39" s="69" t="s">
        <v>475</v>
      </c>
      <c r="D39" s="68" t="s">
        <v>54</v>
      </c>
      <c r="E39" s="68" t="s">
        <v>498</v>
      </c>
      <c r="F39" s="68" t="s">
        <v>36</v>
      </c>
      <c r="G39" s="201"/>
      <c r="H39" s="172"/>
      <c r="I39" s="172"/>
      <c r="J39" s="172"/>
      <c r="K39" s="172"/>
      <c r="L39" s="172"/>
      <c r="M39" s="172"/>
      <c r="N39" s="172"/>
      <c r="O39" s="173"/>
      <c r="P39" s="172"/>
      <c r="Q39" s="140"/>
      <c r="R39" s="140"/>
    </row>
    <row r="40" spans="1:18" ht="15" customHeight="1" x14ac:dyDescent="0.3">
      <c r="A40" s="68" t="s">
        <v>52</v>
      </c>
      <c r="B40" s="68" t="s">
        <v>69</v>
      </c>
      <c r="C40" s="69" t="s">
        <v>475</v>
      </c>
      <c r="D40" s="68" t="s">
        <v>56</v>
      </c>
      <c r="E40" s="68" t="s">
        <v>498</v>
      </c>
      <c r="F40" s="68" t="s">
        <v>36</v>
      </c>
      <c r="G40" s="201"/>
      <c r="H40" s="172"/>
      <c r="I40" s="172"/>
      <c r="J40" s="172"/>
      <c r="K40" s="172"/>
      <c r="L40" s="172"/>
      <c r="M40" s="172"/>
      <c r="N40" s="172"/>
      <c r="O40" s="173"/>
      <c r="P40" s="172"/>
      <c r="Q40" s="140"/>
      <c r="R40" s="140"/>
    </row>
    <row r="41" spans="1:18" ht="15" customHeight="1" x14ac:dyDescent="0.3">
      <c r="A41" s="68" t="s">
        <v>72</v>
      </c>
      <c r="B41" s="68" t="s">
        <v>76</v>
      </c>
      <c r="C41" s="69" t="s">
        <v>510</v>
      </c>
      <c r="D41" s="68" t="s">
        <v>28</v>
      </c>
      <c r="E41" s="68" t="s">
        <v>463</v>
      </c>
      <c r="F41" s="68" t="s">
        <v>75</v>
      </c>
      <c r="G41" s="201"/>
      <c r="H41" s="172"/>
      <c r="I41" s="172"/>
      <c r="J41" s="172"/>
      <c r="K41" s="172"/>
      <c r="L41" s="172"/>
      <c r="M41" s="172"/>
      <c r="N41" s="172"/>
      <c r="O41" s="173"/>
      <c r="P41" s="172"/>
      <c r="Q41" s="140"/>
      <c r="R41" s="140"/>
    </row>
    <row r="42" spans="1:18" ht="15" customHeight="1" x14ac:dyDescent="0.3">
      <c r="A42" s="68" t="s">
        <v>72</v>
      </c>
      <c r="B42" s="68" t="s">
        <v>73</v>
      </c>
      <c r="C42" s="69" t="s">
        <v>511</v>
      </c>
      <c r="D42" s="68" t="s">
        <v>28</v>
      </c>
      <c r="E42" s="68" t="s">
        <v>468</v>
      </c>
      <c r="F42" s="68" t="s">
        <v>75</v>
      </c>
      <c r="G42" s="201"/>
      <c r="H42" s="172"/>
      <c r="I42" s="172"/>
      <c r="J42" s="172"/>
      <c r="K42" s="172"/>
      <c r="L42" s="172"/>
      <c r="M42" s="172"/>
      <c r="N42" s="172"/>
      <c r="O42" s="173"/>
      <c r="P42" s="172"/>
      <c r="Q42" s="140"/>
      <c r="R42" s="140"/>
    </row>
    <row r="43" spans="1:18" ht="15" customHeight="1" thickBot="1" x14ac:dyDescent="0.35">
      <c r="A43" s="70" t="s">
        <v>79</v>
      </c>
      <c r="B43" s="70" t="s">
        <v>101</v>
      </c>
      <c r="C43" s="71" t="s">
        <v>491</v>
      </c>
      <c r="D43" s="70" t="s">
        <v>81</v>
      </c>
      <c r="E43" s="70" t="s">
        <v>463</v>
      </c>
      <c r="F43" s="70" t="s">
        <v>83</v>
      </c>
      <c r="G43" s="202"/>
      <c r="H43" s="174"/>
      <c r="I43" s="174"/>
      <c r="J43" s="174"/>
      <c r="K43" s="174"/>
      <c r="L43" s="174"/>
      <c r="M43" s="174"/>
      <c r="N43" s="174"/>
      <c r="O43" s="175"/>
      <c r="P43" s="174"/>
      <c r="Q43" s="176"/>
      <c r="R43" s="176"/>
    </row>
    <row r="44" spans="1:18" ht="17.399999999999999" customHeight="1" thickBot="1" x14ac:dyDescent="0.35">
      <c r="A44" s="235"/>
      <c r="B44" s="236"/>
      <c r="C44" s="236"/>
      <c r="D44" s="236"/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36"/>
      <c r="R44" s="237"/>
    </row>
    <row r="45" spans="1:18" ht="22.05" customHeight="1" thickTop="1" thickBot="1" x14ac:dyDescent="0.35">
      <c r="A45" s="203" t="s">
        <v>6</v>
      </c>
      <c r="B45" s="204"/>
      <c r="C45" s="204"/>
      <c r="D45" s="204"/>
      <c r="E45" s="204"/>
      <c r="F45" s="205"/>
      <c r="G45" s="77">
        <v>45988</v>
      </c>
      <c r="H45" s="212" t="s">
        <v>7</v>
      </c>
      <c r="I45" s="204"/>
      <c r="J45" s="204"/>
      <c r="K45" s="204"/>
      <c r="L45" s="204"/>
      <c r="M45" s="204"/>
      <c r="N45" s="204"/>
      <c r="O45" s="204"/>
      <c r="P45" s="204"/>
      <c r="Q45" s="204"/>
      <c r="R45" s="205"/>
    </row>
    <row r="46" spans="1:18" ht="24" customHeight="1" x14ac:dyDescent="0.3">
      <c r="A46" s="78" t="s">
        <v>8</v>
      </c>
      <c r="B46" s="78" t="s">
        <v>9</v>
      </c>
      <c r="C46" s="79" t="s">
        <v>10</v>
      </c>
      <c r="D46" s="78" t="s">
        <v>11</v>
      </c>
      <c r="E46" s="78" t="s">
        <v>12</v>
      </c>
      <c r="F46" s="80" t="s">
        <v>13</v>
      </c>
      <c r="G46" s="81" t="s">
        <v>14</v>
      </c>
      <c r="H46" s="78" t="s">
        <v>15</v>
      </c>
      <c r="I46" s="82" t="s">
        <v>16</v>
      </c>
      <c r="J46" s="83" t="s">
        <v>17</v>
      </c>
      <c r="K46" s="84" t="s">
        <v>18</v>
      </c>
      <c r="L46" s="83" t="s">
        <v>19</v>
      </c>
      <c r="M46" s="83" t="s">
        <v>20</v>
      </c>
      <c r="N46" s="83" t="s">
        <v>21</v>
      </c>
      <c r="O46" s="78" t="s">
        <v>22</v>
      </c>
      <c r="P46" s="79" t="s">
        <v>23</v>
      </c>
      <c r="Q46" s="83" t="s">
        <v>24</v>
      </c>
      <c r="R46" s="78" t="s">
        <v>25</v>
      </c>
    </row>
    <row r="47" spans="1:18" ht="15" customHeight="1" x14ac:dyDescent="0.3">
      <c r="A47" s="120" t="s">
        <v>108</v>
      </c>
      <c r="B47" s="120" t="s">
        <v>608</v>
      </c>
      <c r="C47" s="121">
        <v>0.63194444444444442</v>
      </c>
      <c r="D47" s="120" t="s">
        <v>586</v>
      </c>
      <c r="E47" s="120" t="s">
        <v>156</v>
      </c>
      <c r="F47" s="120" t="s">
        <v>609</v>
      </c>
      <c r="G47" s="200"/>
      <c r="H47" s="61"/>
      <c r="I47" s="62"/>
      <c r="J47" s="62"/>
      <c r="K47" s="62"/>
      <c r="L47" s="62"/>
      <c r="M47" s="62"/>
      <c r="N47" s="62"/>
      <c r="O47" s="63"/>
      <c r="P47" s="62"/>
      <c r="Q47" s="64"/>
      <c r="R47" s="65"/>
    </row>
    <row r="48" spans="1:18" ht="15" customHeight="1" x14ac:dyDescent="0.3">
      <c r="A48" s="66" t="s">
        <v>108</v>
      </c>
      <c r="B48" s="66" t="s">
        <v>608</v>
      </c>
      <c r="C48" s="67">
        <v>0.63194444444444442</v>
      </c>
      <c r="D48" s="66" t="s">
        <v>588</v>
      </c>
      <c r="E48" s="66" t="s">
        <v>71</v>
      </c>
      <c r="F48" s="66" t="s">
        <v>610</v>
      </c>
      <c r="G48" s="201"/>
      <c r="H48" s="61"/>
      <c r="I48" s="62"/>
      <c r="J48" s="62"/>
      <c r="K48" s="62"/>
      <c r="L48" s="62"/>
      <c r="M48" s="62"/>
      <c r="N48" s="62"/>
      <c r="O48" s="63"/>
      <c r="P48" s="62"/>
      <c r="Q48" s="64"/>
      <c r="R48" s="65"/>
    </row>
    <row r="49" spans="1:18" ht="15" customHeight="1" x14ac:dyDescent="0.3">
      <c r="A49" s="66" t="s">
        <v>108</v>
      </c>
      <c r="B49" s="66" t="s">
        <v>608</v>
      </c>
      <c r="C49" s="67">
        <v>0.63194444444444442</v>
      </c>
      <c r="D49" s="66" t="s">
        <v>60</v>
      </c>
      <c r="E49" s="66" t="s">
        <v>71</v>
      </c>
      <c r="F49" s="66" t="s">
        <v>611</v>
      </c>
      <c r="G49" s="201"/>
      <c r="H49" s="61"/>
      <c r="I49" s="62"/>
      <c r="J49" s="62"/>
      <c r="K49" s="62"/>
      <c r="L49" s="62"/>
      <c r="M49" s="62"/>
      <c r="N49" s="62"/>
      <c r="O49" s="63"/>
      <c r="P49" s="62"/>
      <c r="Q49" s="64"/>
      <c r="R49" s="65"/>
    </row>
    <row r="50" spans="1:18" ht="15" customHeight="1" x14ac:dyDescent="0.3">
      <c r="A50" s="68" t="s">
        <v>108</v>
      </c>
      <c r="B50" s="68" t="s">
        <v>592</v>
      </c>
      <c r="C50" s="69">
        <v>0.3611111111111111</v>
      </c>
      <c r="D50" s="68" t="s">
        <v>586</v>
      </c>
      <c r="E50" s="68" t="s">
        <v>70</v>
      </c>
      <c r="F50" s="68" t="s">
        <v>612</v>
      </c>
      <c r="G50" s="201"/>
      <c r="H50" s="61"/>
      <c r="I50" s="62"/>
      <c r="J50" s="62"/>
      <c r="K50" s="62"/>
      <c r="L50" s="62"/>
      <c r="M50" s="62"/>
      <c r="N50" s="62"/>
      <c r="O50" s="63"/>
      <c r="P50" s="62"/>
      <c r="Q50" s="64"/>
      <c r="R50" s="65"/>
    </row>
    <row r="51" spans="1:18" ht="15" customHeight="1" x14ac:dyDescent="0.3">
      <c r="A51" s="66" t="s">
        <v>108</v>
      </c>
      <c r="B51" s="66" t="s">
        <v>592</v>
      </c>
      <c r="C51" s="67">
        <v>0.3611111111111111</v>
      </c>
      <c r="D51" s="66" t="s">
        <v>588</v>
      </c>
      <c r="E51" s="66" t="s">
        <v>71</v>
      </c>
      <c r="F51" s="66" t="s">
        <v>613</v>
      </c>
      <c r="G51" s="201"/>
      <c r="H51" s="61"/>
      <c r="I51" s="62"/>
      <c r="J51" s="62"/>
      <c r="K51" s="62"/>
      <c r="L51" s="62"/>
      <c r="M51" s="62"/>
      <c r="N51" s="62"/>
      <c r="O51" s="63"/>
      <c r="P51" s="62"/>
      <c r="Q51" s="64"/>
      <c r="R51" s="65"/>
    </row>
    <row r="52" spans="1:18" ht="15" customHeight="1" x14ac:dyDescent="0.3">
      <c r="A52" s="66" t="s">
        <v>108</v>
      </c>
      <c r="B52" s="66" t="s">
        <v>592</v>
      </c>
      <c r="C52" s="67">
        <v>0.3611111111111111</v>
      </c>
      <c r="D52" s="66" t="s">
        <v>60</v>
      </c>
      <c r="E52" s="66" t="s">
        <v>71</v>
      </c>
      <c r="F52" s="66" t="s">
        <v>614</v>
      </c>
      <c r="G52" s="201"/>
      <c r="H52" s="61"/>
      <c r="I52" s="62"/>
      <c r="J52" s="62"/>
      <c r="K52" s="62"/>
      <c r="L52" s="62"/>
      <c r="M52" s="62"/>
      <c r="N52" s="62"/>
      <c r="O52" s="63"/>
      <c r="P52" s="62"/>
      <c r="Q52" s="64"/>
      <c r="R52" s="65"/>
    </row>
    <row r="53" spans="1:18" ht="15" customHeight="1" x14ac:dyDescent="0.3">
      <c r="A53" s="59" t="s">
        <v>115</v>
      </c>
      <c r="B53" s="59" t="s">
        <v>596</v>
      </c>
      <c r="C53" s="60">
        <v>0.4513888888888889</v>
      </c>
      <c r="D53" s="59" t="s">
        <v>117</v>
      </c>
      <c r="E53" s="59" t="s">
        <v>29</v>
      </c>
      <c r="F53" s="59" t="s">
        <v>598</v>
      </c>
      <c r="G53" s="201"/>
      <c r="H53" s="61"/>
      <c r="I53" s="62"/>
      <c r="J53" s="62"/>
      <c r="K53" s="62"/>
      <c r="L53" s="62"/>
      <c r="M53" s="62"/>
      <c r="N53" s="62"/>
      <c r="O53" s="63"/>
      <c r="P53" s="62"/>
      <c r="Q53" s="64"/>
      <c r="R53" s="65"/>
    </row>
    <row r="54" spans="1:18" ht="15" customHeight="1" x14ac:dyDescent="0.3">
      <c r="A54" s="179" t="s">
        <v>26</v>
      </c>
      <c r="B54" s="179" t="s">
        <v>600</v>
      </c>
      <c r="C54" s="180">
        <v>8.6805555555555566E-2</v>
      </c>
      <c r="D54" s="179" t="s">
        <v>44</v>
      </c>
      <c r="E54" s="181"/>
      <c r="F54" s="179" t="s">
        <v>45</v>
      </c>
      <c r="G54" s="201"/>
      <c r="H54" s="42" t="s">
        <v>600</v>
      </c>
      <c r="I54" s="43">
        <v>0.99439999999999995</v>
      </c>
      <c r="J54" s="44">
        <v>179</v>
      </c>
      <c r="K54" s="45">
        <v>45980</v>
      </c>
      <c r="L54" s="44">
        <v>14</v>
      </c>
      <c r="M54" s="44">
        <v>0</v>
      </c>
      <c r="N54" s="44">
        <v>0</v>
      </c>
      <c r="O54" s="46" t="s">
        <v>46</v>
      </c>
      <c r="P54" s="47">
        <v>8.6805555555555566E-2</v>
      </c>
      <c r="Q54" s="44">
        <v>180</v>
      </c>
      <c r="R54" s="48" t="s">
        <v>615</v>
      </c>
    </row>
    <row r="55" spans="1:18" ht="18" x14ac:dyDescent="0.3">
      <c r="A55" s="218" t="s">
        <v>602</v>
      </c>
      <c r="B55" s="219"/>
      <c r="C55" s="219"/>
      <c r="D55" s="219"/>
      <c r="E55" s="219"/>
      <c r="F55" s="220"/>
      <c r="G55" s="201"/>
      <c r="H55" s="172"/>
      <c r="I55" s="172"/>
      <c r="J55" s="172"/>
      <c r="K55" s="172"/>
      <c r="L55" s="172"/>
      <c r="M55" s="172"/>
      <c r="N55" s="172"/>
      <c r="O55" s="173"/>
      <c r="P55" s="172"/>
      <c r="Q55" s="140"/>
      <c r="R55" s="140"/>
    </row>
    <row r="56" spans="1:18" ht="15" customHeight="1" x14ac:dyDescent="0.3">
      <c r="A56" s="68" t="s">
        <v>26</v>
      </c>
      <c r="B56" s="68" t="s">
        <v>161</v>
      </c>
      <c r="C56" s="69" t="s">
        <v>360</v>
      </c>
      <c r="D56" s="68" t="s">
        <v>28</v>
      </c>
      <c r="E56" s="68" t="s">
        <v>500</v>
      </c>
      <c r="F56" s="68" t="s">
        <v>36</v>
      </c>
      <c r="G56" s="201"/>
      <c r="H56" s="172"/>
      <c r="I56" s="172"/>
      <c r="J56" s="172"/>
      <c r="K56" s="172"/>
      <c r="L56" s="172"/>
      <c r="M56" s="172"/>
      <c r="N56" s="172"/>
      <c r="O56" s="173"/>
      <c r="P56" s="172"/>
      <c r="Q56" s="140"/>
      <c r="R56" s="140"/>
    </row>
    <row r="57" spans="1:18" ht="15" customHeight="1" x14ac:dyDescent="0.3">
      <c r="A57" s="68" t="s">
        <v>52</v>
      </c>
      <c r="B57" s="68" t="s">
        <v>53</v>
      </c>
      <c r="C57" s="69" t="s">
        <v>473</v>
      </c>
      <c r="D57" s="68" t="s">
        <v>56</v>
      </c>
      <c r="E57" s="68" t="s">
        <v>468</v>
      </c>
      <c r="F57" s="68" t="s">
        <v>177</v>
      </c>
      <c r="G57" s="201"/>
      <c r="H57" s="172"/>
      <c r="I57" s="172"/>
      <c r="J57" s="172"/>
      <c r="K57" s="172"/>
      <c r="L57" s="172"/>
      <c r="M57" s="172"/>
      <c r="N57" s="172"/>
      <c r="O57" s="173"/>
      <c r="P57" s="172"/>
      <c r="Q57" s="140"/>
      <c r="R57" s="140"/>
    </row>
    <row r="58" spans="1:18" ht="15" customHeight="1" x14ac:dyDescent="0.3">
      <c r="A58" s="68" t="s">
        <v>52</v>
      </c>
      <c r="B58" s="68" t="s">
        <v>62</v>
      </c>
      <c r="C58" s="69" t="s">
        <v>492</v>
      </c>
      <c r="D58" s="68" t="s">
        <v>56</v>
      </c>
      <c r="E58" s="68" t="s">
        <v>527</v>
      </c>
      <c r="F58" s="68" t="s">
        <v>177</v>
      </c>
      <c r="G58" s="201"/>
      <c r="H58" s="172"/>
      <c r="I58" s="172"/>
      <c r="J58" s="172"/>
      <c r="K58" s="172"/>
      <c r="L58" s="172"/>
      <c r="M58" s="172"/>
      <c r="N58" s="172"/>
      <c r="O58" s="173"/>
      <c r="P58" s="172"/>
      <c r="Q58" s="140"/>
      <c r="R58" s="140"/>
    </row>
    <row r="59" spans="1:18" ht="15" customHeight="1" x14ac:dyDescent="0.3">
      <c r="A59" s="68" t="s">
        <v>52</v>
      </c>
      <c r="B59" s="68" t="s">
        <v>69</v>
      </c>
      <c r="C59" s="69" t="s">
        <v>475</v>
      </c>
      <c r="D59" s="68" t="s">
        <v>56</v>
      </c>
      <c r="E59" s="68" t="s">
        <v>476</v>
      </c>
      <c r="F59" s="68" t="s">
        <v>177</v>
      </c>
      <c r="G59" s="201"/>
      <c r="H59" s="172"/>
      <c r="I59" s="172"/>
      <c r="J59" s="172"/>
      <c r="K59" s="172"/>
      <c r="L59" s="172"/>
      <c r="M59" s="172"/>
      <c r="N59" s="172"/>
      <c r="O59" s="173"/>
      <c r="P59" s="172"/>
      <c r="Q59" s="140"/>
      <c r="R59" s="140"/>
    </row>
    <row r="60" spans="1:18" ht="15" customHeight="1" x14ac:dyDescent="0.3">
      <c r="A60" s="68" t="s">
        <v>26</v>
      </c>
      <c r="B60" s="68" t="s">
        <v>166</v>
      </c>
      <c r="C60" s="69" t="s">
        <v>373</v>
      </c>
      <c r="D60" s="68" t="s">
        <v>28</v>
      </c>
      <c r="E60" s="68" t="s">
        <v>465</v>
      </c>
      <c r="F60" s="68" t="s">
        <v>148</v>
      </c>
      <c r="G60" s="201"/>
      <c r="H60" s="172"/>
      <c r="I60" s="172"/>
      <c r="J60" s="172"/>
      <c r="K60" s="172"/>
      <c r="L60" s="172"/>
      <c r="M60" s="172"/>
      <c r="N60" s="172"/>
      <c r="O60" s="173"/>
      <c r="P60" s="172"/>
      <c r="Q60" s="140"/>
      <c r="R60" s="140"/>
    </row>
    <row r="61" spans="1:18" ht="15" customHeight="1" x14ac:dyDescent="0.3">
      <c r="A61" s="68" t="s">
        <v>72</v>
      </c>
      <c r="B61" s="68" t="s">
        <v>76</v>
      </c>
      <c r="C61" s="69" t="s">
        <v>510</v>
      </c>
      <c r="D61" s="68" t="s">
        <v>28</v>
      </c>
      <c r="E61" s="68" t="s">
        <v>465</v>
      </c>
      <c r="F61" s="68" t="s">
        <v>182</v>
      </c>
      <c r="G61" s="201"/>
      <c r="H61" s="172"/>
      <c r="I61" s="172"/>
      <c r="J61" s="172"/>
      <c r="K61" s="172"/>
      <c r="L61" s="172"/>
      <c r="M61" s="172"/>
      <c r="N61" s="172"/>
      <c r="O61" s="173"/>
      <c r="P61" s="172"/>
      <c r="Q61" s="140"/>
      <c r="R61" s="140"/>
    </row>
    <row r="62" spans="1:18" ht="15" customHeight="1" x14ac:dyDescent="0.3">
      <c r="A62" s="68" t="s">
        <v>52</v>
      </c>
      <c r="B62" s="68" t="s">
        <v>66</v>
      </c>
      <c r="C62" s="69" t="s">
        <v>491</v>
      </c>
      <c r="D62" s="68" t="s">
        <v>56</v>
      </c>
      <c r="E62" s="68" t="s">
        <v>527</v>
      </c>
      <c r="F62" s="68" t="s">
        <v>59</v>
      </c>
      <c r="G62" s="201"/>
      <c r="H62" s="172"/>
      <c r="I62" s="172"/>
      <c r="J62" s="172"/>
      <c r="K62" s="172"/>
      <c r="L62" s="172"/>
      <c r="M62" s="172"/>
      <c r="N62" s="172"/>
      <c r="O62" s="173"/>
      <c r="P62" s="172"/>
      <c r="Q62" s="140"/>
      <c r="R62" s="140"/>
    </row>
    <row r="63" spans="1:18" ht="15" customHeight="1" x14ac:dyDescent="0.3">
      <c r="A63" s="68" t="s">
        <v>79</v>
      </c>
      <c r="B63" s="68" t="s">
        <v>97</v>
      </c>
      <c r="C63" s="69" t="s">
        <v>486</v>
      </c>
      <c r="D63" s="68" t="s">
        <v>84</v>
      </c>
      <c r="E63" s="68" t="s">
        <v>476</v>
      </c>
      <c r="F63" s="68" t="s">
        <v>59</v>
      </c>
      <c r="G63" s="201"/>
      <c r="H63" s="172"/>
      <c r="I63" s="172"/>
      <c r="J63" s="172"/>
      <c r="K63" s="172"/>
      <c r="L63" s="172"/>
      <c r="M63" s="172"/>
      <c r="N63" s="172"/>
      <c r="O63" s="173"/>
      <c r="P63" s="172"/>
      <c r="Q63" s="140"/>
      <c r="R63" s="140"/>
    </row>
    <row r="64" spans="1:18" ht="15" customHeight="1" x14ac:dyDescent="0.3">
      <c r="A64" s="68" t="s">
        <v>79</v>
      </c>
      <c r="B64" s="68" t="s">
        <v>80</v>
      </c>
      <c r="C64" s="69" t="s">
        <v>479</v>
      </c>
      <c r="D64" s="68" t="s">
        <v>84</v>
      </c>
      <c r="E64" s="68" t="s">
        <v>500</v>
      </c>
      <c r="F64" s="68" t="s">
        <v>59</v>
      </c>
      <c r="G64" s="201"/>
      <c r="H64" s="172"/>
      <c r="I64" s="172"/>
      <c r="J64" s="172"/>
      <c r="K64" s="172"/>
      <c r="L64" s="172"/>
      <c r="M64" s="172"/>
      <c r="N64" s="172"/>
      <c r="O64" s="173"/>
      <c r="P64" s="172"/>
      <c r="Q64" s="140"/>
      <c r="R64" s="140"/>
    </row>
    <row r="65" spans="1:18" ht="15" customHeight="1" thickBot="1" x14ac:dyDescent="0.35">
      <c r="A65" s="70" t="s">
        <v>79</v>
      </c>
      <c r="B65" s="70" t="s">
        <v>93</v>
      </c>
      <c r="C65" s="71" t="s">
        <v>483</v>
      </c>
      <c r="D65" s="70" t="s">
        <v>84</v>
      </c>
      <c r="E65" s="70" t="s">
        <v>498</v>
      </c>
      <c r="F65" s="70" t="s">
        <v>59</v>
      </c>
      <c r="G65" s="202"/>
      <c r="H65" s="174"/>
      <c r="I65" s="174"/>
      <c r="J65" s="174"/>
      <c r="K65" s="174"/>
      <c r="L65" s="174"/>
      <c r="M65" s="174"/>
      <c r="N65" s="174"/>
      <c r="O65" s="175"/>
      <c r="P65" s="174"/>
      <c r="Q65" s="176"/>
      <c r="R65" s="176"/>
    </row>
    <row r="66" spans="1:18" ht="17.399999999999999" customHeight="1" thickBot="1" x14ac:dyDescent="0.35">
      <c r="A66" s="235"/>
      <c r="B66" s="236"/>
      <c r="C66" s="236"/>
      <c r="D66" s="236"/>
      <c r="E66" s="236"/>
      <c r="F66" s="236"/>
      <c r="G66" s="236"/>
      <c r="H66" s="236"/>
      <c r="I66" s="236"/>
      <c r="J66" s="236"/>
      <c r="K66" s="236"/>
      <c r="L66" s="236"/>
      <c r="M66" s="236"/>
      <c r="N66" s="236"/>
      <c r="O66" s="236"/>
      <c r="P66" s="236"/>
      <c r="Q66" s="236"/>
      <c r="R66" s="237"/>
    </row>
    <row r="67" spans="1:18" ht="22.05" customHeight="1" thickTop="1" thickBot="1" x14ac:dyDescent="0.35">
      <c r="A67" s="203" t="s">
        <v>6</v>
      </c>
      <c r="B67" s="204"/>
      <c r="C67" s="204"/>
      <c r="D67" s="204"/>
      <c r="E67" s="204"/>
      <c r="F67" s="205"/>
      <c r="G67" s="77">
        <v>45989</v>
      </c>
      <c r="H67" s="212" t="s">
        <v>7</v>
      </c>
      <c r="I67" s="204"/>
      <c r="J67" s="204"/>
      <c r="K67" s="204"/>
      <c r="L67" s="204"/>
      <c r="M67" s="204"/>
      <c r="N67" s="204"/>
      <c r="O67" s="204"/>
      <c r="P67" s="204"/>
      <c r="Q67" s="204"/>
      <c r="R67" s="205"/>
    </row>
    <row r="68" spans="1:18" ht="24" customHeight="1" x14ac:dyDescent="0.3">
      <c r="A68" s="78" t="s">
        <v>8</v>
      </c>
      <c r="B68" s="78" t="s">
        <v>9</v>
      </c>
      <c r="C68" s="79" t="s">
        <v>10</v>
      </c>
      <c r="D68" s="78" t="s">
        <v>11</v>
      </c>
      <c r="E68" s="78" t="s">
        <v>12</v>
      </c>
      <c r="F68" s="80" t="s">
        <v>13</v>
      </c>
      <c r="G68" s="81" t="s">
        <v>14</v>
      </c>
      <c r="H68" s="78" t="s">
        <v>15</v>
      </c>
      <c r="I68" s="82" t="s">
        <v>16</v>
      </c>
      <c r="J68" s="83" t="s">
        <v>17</v>
      </c>
      <c r="K68" s="84" t="s">
        <v>18</v>
      </c>
      <c r="L68" s="83" t="s">
        <v>19</v>
      </c>
      <c r="M68" s="83" t="s">
        <v>20</v>
      </c>
      <c r="N68" s="83" t="s">
        <v>21</v>
      </c>
      <c r="O68" s="78" t="s">
        <v>22</v>
      </c>
      <c r="P68" s="79" t="s">
        <v>23</v>
      </c>
      <c r="Q68" s="83" t="s">
        <v>24</v>
      </c>
      <c r="R68" s="78" t="s">
        <v>25</v>
      </c>
    </row>
    <row r="69" spans="1:18" ht="15" customHeight="1" x14ac:dyDescent="0.3">
      <c r="A69" s="120" t="s">
        <v>108</v>
      </c>
      <c r="B69" s="120" t="s">
        <v>616</v>
      </c>
      <c r="C69" s="121">
        <v>1.041666666666667E-2</v>
      </c>
      <c r="D69" s="120" t="s">
        <v>586</v>
      </c>
      <c r="E69" s="120" t="s">
        <v>237</v>
      </c>
      <c r="F69" s="120" t="s">
        <v>617</v>
      </c>
      <c r="G69" s="200"/>
      <c r="H69" s="61"/>
      <c r="I69" s="62"/>
      <c r="J69" s="62"/>
      <c r="K69" s="62"/>
      <c r="L69" s="62"/>
      <c r="M69" s="62"/>
      <c r="N69" s="62"/>
      <c r="O69" s="63"/>
      <c r="P69" s="62"/>
      <c r="Q69" s="64"/>
      <c r="R69" s="65"/>
    </row>
    <row r="70" spans="1:18" ht="15" customHeight="1" x14ac:dyDescent="0.3">
      <c r="A70" s="66" t="s">
        <v>108</v>
      </c>
      <c r="B70" s="66" t="s">
        <v>616</v>
      </c>
      <c r="C70" s="67">
        <v>1.041666666666667E-2</v>
      </c>
      <c r="D70" s="66" t="s">
        <v>588</v>
      </c>
      <c r="E70" s="66" t="s">
        <v>242</v>
      </c>
      <c r="F70" s="66" t="s">
        <v>618</v>
      </c>
      <c r="G70" s="201"/>
      <c r="H70" s="61"/>
      <c r="I70" s="62"/>
      <c r="J70" s="62"/>
      <c r="K70" s="62"/>
      <c r="L70" s="62"/>
      <c r="M70" s="62"/>
      <c r="N70" s="62"/>
      <c r="O70" s="63"/>
      <c r="P70" s="62"/>
      <c r="Q70" s="64"/>
      <c r="R70" s="65"/>
    </row>
    <row r="71" spans="1:18" ht="15" customHeight="1" x14ac:dyDescent="0.3">
      <c r="A71" s="66" t="s">
        <v>108</v>
      </c>
      <c r="B71" s="66" t="s">
        <v>616</v>
      </c>
      <c r="C71" s="67">
        <v>1.041666666666667E-2</v>
      </c>
      <c r="D71" s="66" t="s">
        <v>60</v>
      </c>
      <c r="E71" s="66" t="s">
        <v>242</v>
      </c>
      <c r="F71" s="66" t="s">
        <v>619</v>
      </c>
      <c r="G71" s="201"/>
      <c r="H71" s="61"/>
      <c r="I71" s="62"/>
      <c r="J71" s="62"/>
      <c r="K71" s="62"/>
      <c r="L71" s="62"/>
      <c r="M71" s="62"/>
      <c r="N71" s="62"/>
      <c r="O71" s="63"/>
      <c r="P71" s="62"/>
      <c r="Q71" s="64"/>
      <c r="R71" s="65"/>
    </row>
    <row r="72" spans="1:18" ht="15" customHeight="1" x14ac:dyDescent="0.3">
      <c r="A72" s="137" t="s">
        <v>26</v>
      </c>
      <c r="B72" s="137" t="s">
        <v>620</v>
      </c>
      <c r="C72" s="138">
        <v>0.22916666666666671</v>
      </c>
      <c r="D72" s="137" t="s">
        <v>28</v>
      </c>
      <c r="E72" s="137" t="s">
        <v>74</v>
      </c>
      <c r="F72" s="137" t="s">
        <v>36</v>
      </c>
      <c r="G72" s="201"/>
      <c r="H72" s="19" t="s">
        <v>600</v>
      </c>
      <c r="I72" s="105">
        <v>0.63329999999999997</v>
      </c>
      <c r="J72" s="21">
        <v>114</v>
      </c>
      <c r="K72" s="22">
        <v>45981</v>
      </c>
      <c r="L72" s="21">
        <v>50</v>
      </c>
      <c r="M72" s="21">
        <v>0</v>
      </c>
      <c r="N72" s="21">
        <v>19</v>
      </c>
      <c r="O72" s="23" t="s">
        <v>407</v>
      </c>
      <c r="P72" s="24">
        <v>0.22916666666666671</v>
      </c>
      <c r="Q72" s="21">
        <v>180</v>
      </c>
      <c r="R72" s="25" t="s">
        <v>621</v>
      </c>
    </row>
    <row r="73" spans="1:18" ht="15" customHeight="1" x14ac:dyDescent="0.3">
      <c r="A73" s="59" t="s">
        <v>115</v>
      </c>
      <c r="B73" s="59" t="s">
        <v>599</v>
      </c>
      <c r="C73" s="60">
        <v>0.81944444444444453</v>
      </c>
      <c r="D73" s="59" t="s">
        <v>117</v>
      </c>
      <c r="E73" s="59" t="s">
        <v>74</v>
      </c>
      <c r="F73" s="59" t="s">
        <v>622</v>
      </c>
      <c r="G73" s="201"/>
      <c r="H73" s="61"/>
      <c r="I73" s="62"/>
      <c r="J73" s="62"/>
      <c r="K73" s="62"/>
      <c r="L73" s="62"/>
      <c r="M73" s="62"/>
      <c r="N73" s="62"/>
      <c r="O73" s="63"/>
      <c r="P73" s="62"/>
      <c r="Q73" s="64"/>
      <c r="R73" s="65"/>
    </row>
    <row r="74" spans="1:18" ht="18" x14ac:dyDescent="0.3">
      <c r="A74" s="218" t="s">
        <v>602</v>
      </c>
      <c r="B74" s="219"/>
      <c r="C74" s="219"/>
      <c r="D74" s="219"/>
      <c r="E74" s="219"/>
      <c r="F74" s="220"/>
      <c r="G74" s="201"/>
      <c r="H74" s="172"/>
      <c r="I74" s="172"/>
      <c r="J74" s="172"/>
      <c r="K74" s="172"/>
      <c r="L74" s="172"/>
      <c r="M74" s="172"/>
      <c r="N74" s="172"/>
      <c r="O74" s="173"/>
      <c r="P74" s="172"/>
      <c r="Q74" s="140"/>
      <c r="R74" s="140"/>
    </row>
    <row r="75" spans="1:18" ht="15" customHeight="1" x14ac:dyDescent="0.3">
      <c r="A75" s="68" t="s">
        <v>108</v>
      </c>
      <c r="B75" s="68" t="s">
        <v>155</v>
      </c>
      <c r="C75" s="69" t="s">
        <v>513</v>
      </c>
      <c r="D75" s="68" t="s">
        <v>110</v>
      </c>
      <c r="E75" s="68" t="s">
        <v>476</v>
      </c>
      <c r="F75" s="68" t="s">
        <v>190</v>
      </c>
      <c r="G75" s="201"/>
      <c r="H75" s="172"/>
      <c r="I75" s="172"/>
      <c r="J75" s="172"/>
      <c r="K75" s="172"/>
      <c r="L75" s="172"/>
      <c r="M75" s="172"/>
      <c r="N75" s="172"/>
      <c r="O75" s="173"/>
      <c r="P75" s="172"/>
      <c r="Q75" s="140"/>
      <c r="R75" s="140"/>
    </row>
    <row r="76" spans="1:18" ht="15" customHeight="1" x14ac:dyDescent="0.3">
      <c r="A76" s="68" t="s">
        <v>108</v>
      </c>
      <c r="B76" s="68" t="s">
        <v>155</v>
      </c>
      <c r="C76" s="69" t="s">
        <v>513</v>
      </c>
      <c r="D76" s="68" t="s">
        <v>113</v>
      </c>
      <c r="E76" s="68" t="s">
        <v>476</v>
      </c>
      <c r="F76" s="68" t="s">
        <v>191</v>
      </c>
      <c r="G76" s="201"/>
      <c r="H76" s="172"/>
      <c r="I76" s="172"/>
      <c r="J76" s="172"/>
      <c r="K76" s="172"/>
      <c r="L76" s="172"/>
      <c r="M76" s="172"/>
      <c r="N76" s="172"/>
      <c r="O76" s="173"/>
      <c r="P76" s="172"/>
      <c r="Q76" s="140"/>
      <c r="R76" s="140"/>
    </row>
    <row r="77" spans="1:18" ht="15" customHeight="1" x14ac:dyDescent="0.3">
      <c r="A77" s="68" t="s">
        <v>108</v>
      </c>
      <c r="B77" s="68" t="s">
        <v>193</v>
      </c>
      <c r="C77" s="69" t="s">
        <v>539</v>
      </c>
      <c r="D77" s="68" t="s">
        <v>110</v>
      </c>
      <c r="E77" s="68" t="s">
        <v>476</v>
      </c>
      <c r="F77" s="68" t="s">
        <v>194</v>
      </c>
      <c r="G77" s="201"/>
      <c r="H77" s="172"/>
      <c r="I77" s="172"/>
      <c r="J77" s="172"/>
      <c r="K77" s="172"/>
      <c r="L77" s="172"/>
      <c r="M77" s="172"/>
      <c r="N77" s="172"/>
      <c r="O77" s="173"/>
      <c r="P77" s="172"/>
      <c r="Q77" s="140"/>
      <c r="R77" s="140"/>
    </row>
    <row r="78" spans="1:18" ht="15" customHeight="1" x14ac:dyDescent="0.3">
      <c r="A78" s="68" t="s">
        <v>108</v>
      </c>
      <c r="B78" s="68" t="s">
        <v>193</v>
      </c>
      <c r="C78" s="69" t="s">
        <v>539</v>
      </c>
      <c r="D78" s="68" t="s">
        <v>113</v>
      </c>
      <c r="E78" s="68" t="s">
        <v>476</v>
      </c>
      <c r="F78" s="68" t="s">
        <v>194</v>
      </c>
      <c r="G78" s="201"/>
      <c r="H78" s="172"/>
      <c r="I78" s="172"/>
      <c r="J78" s="172"/>
      <c r="K78" s="172"/>
      <c r="L78" s="172"/>
      <c r="M78" s="172"/>
      <c r="N78" s="172"/>
      <c r="O78" s="173"/>
      <c r="P78" s="172"/>
      <c r="Q78" s="140"/>
      <c r="R78" s="140"/>
    </row>
    <row r="79" spans="1:18" ht="15" customHeight="1" x14ac:dyDescent="0.3">
      <c r="A79" s="68" t="s">
        <v>26</v>
      </c>
      <c r="B79" s="68" t="s">
        <v>34</v>
      </c>
      <c r="C79" s="69" t="s">
        <v>411</v>
      </c>
      <c r="D79" s="68" t="s">
        <v>28</v>
      </c>
      <c r="E79" s="68" t="s">
        <v>463</v>
      </c>
      <c r="F79" s="68" t="s">
        <v>171</v>
      </c>
      <c r="G79" s="201"/>
      <c r="H79" s="172"/>
      <c r="I79" s="172"/>
      <c r="J79" s="172"/>
      <c r="K79" s="172"/>
      <c r="L79" s="172"/>
      <c r="M79" s="172"/>
      <c r="N79" s="172"/>
      <c r="O79" s="173"/>
      <c r="P79" s="172"/>
      <c r="Q79" s="140"/>
      <c r="R79" s="140"/>
    </row>
    <row r="80" spans="1:18" ht="15" customHeight="1" x14ac:dyDescent="0.3">
      <c r="A80" s="68" t="s">
        <v>26</v>
      </c>
      <c r="B80" s="68" t="s">
        <v>27</v>
      </c>
      <c r="C80" s="69" t="s">
        <v>401</v>
      </c>
      <c r="D80" s="68" t="s">
        <v>28</v>
      </c>
      <c r="E80" s="68" t="s">
        <v>465</v>
      </c>
      <c r="F80" s="68" t="s">
        <v>171</v>
      </c>
      <c r="G80" s="201"/>
      <c r="H80" s="172"/>
      <c r="I80" s="172"/>
      <c r="J80" s="172"/>
      <c r="K80" s="172"/>
      <c r="L80" s="172"/>
      <c r="M80" s="172"/>
      <c r="N80" s="172"/>
      <c r="O80" s="173"/>
      <c r="P80" s="172"/>
      <c r="Q80" s="140"/>
      <c r="R80" s="140"/>
    </row>
    <row r="81" spans="1:18" ht="15" customHeight="1" x14ac:dyDescent="0.3">
      <c r="A81" s="68" t="s">
        <v>26</v>
      </c>
      <c r="B81" s="68" t="s">
        <v>199</v>
      </c>
      <c r="C81" s="69" t="s">
        <v>304</v>
      </c>
      <c r="D81" s="68" t="s">
        <v>28</v>
      </c>
      <c r="E81" s="68" t="s">
        <v>500</v>
      </c>
      <c r="F81" s="68" t="s">
        <v>171</v>
      </c>
      <c r="G81" s="201"/>
      <c r="H81" s="172"/>
      <c r="I81" s="172"/>
      <c r="J81" s="172"/>
      <c r="K81" s="172"/>
      <c r="L81" s="172"/>
      <c r="M81" s="172"/>
      <c r="N81" s="172"/>
      <c r="O81" s="173"/>
      <c r="P81" s="172"/>
      <c r="Q81" s="140"/>
      <c r="R81" s="140"/>
    </row>
    <row r="82" spans="1:18" ht="15" customHeight="1" x14ac:dyDescent="0.3">
      <c r="A82" s="68" t="s">
        <v>52</v>
      </c>
      <c r="B82" s="68" t="s">
        <v>53</v>
      </c>
      <c r="C82" s="69" t="s">
        <v>473</v>
      </c>
      <c r="D82" s="68" t="s">
        <v>56</v>
      </c>
      <c r="E82" s="68" t="s">
        <v>463</v>
      </c>
      <c r="F82" s="68" t="s">
        <v>61</v>
      </c>
      <c r="G82" s="201"/>
      <c r="H82" s="172"/>
      <c r="I82" s="172"/>
      <c r="J82" s="172"/>
      <c r="K82" s="172"/>
      <c r="L82" s="172"/>
      <c r="M82" s="172"/>
      <c r="N82" s="172"/>
      <c r="O82" s="173"/>
      <c r="P82" s="172"/>
      <c r="Q82" s="140"/>
      <c r="R82" s="140"/>
    </row>
    <row r="83" spans="1:18" ht="15" customHeight="1" x14ac:dyDescent="0.3">
      <c r="A83" s="68" t="s">
        <v>52</v>
      </c>
      <c r="B83" s="68" t="s">
        <v>62</v>
      </c>
      <c r="C83" s="69" t="s">
        <v>492</v>
      </c>
      <c r="D83" s="68" t="s">
        <v>56</v>
      </c>
      <c r="E83" s="68" t="s">
        <v>463</v>
      </c>
      <c r="F83" s="68" t="s">
        <v>61</v>
      </c>
      <c r="G83" s="201"/>
      <c r="H83" s="172"/>
      <c r="I83" s="172"/>
      <c r="J83" s="172"/>
      <c r="K83" s="172"/>
      <c r="L83" s="172"/>
      <c r="M83" s="172"/>
      <c r="N83" s="172"/>
      <c r="O83" s="173"/>
      <c r="P83" s="172"/>
      <c r="Q83" s="140"/>
      <c r="R83" s="140"/>
    </row>
    <row r="84" spans="1:18" ht="15" customHeight="1" thickBot="1" x14ac:dyDescent="0.35">
      <c r="A84" s="70" t="s">
        <v>52</v>
      </c>
      <c r="B84" s="70" t="s">
        <v>66</v>
      </c>
      <c r="C84" s="71" t="s">
        <v>491</v>
      </c>
      <c r="D84" s="70" t="s">
        <v>54</v>
      </c>
      <c r="E84" s="70" t="s">
        <v>500</v>
      </c>
      <c r="F84" s="70" t="s">
        <v>89</v>
      </c>
      <c r="G84" s="202"/>
      <c r="H84" s="174"/>
      <c r="I84" s="174"/>
      <c r="J84" s="174"/>
      <c r="K84" s="174"/>
      <c r="L84" s="174"/>
      <c r="M84" s="174"/>
      <c r="N84" s="174"/>
      <c r="O84" s="175"/>
      <c r="P84" s="174"/>
      <c r="Q84" s="176"/>
      <c r="R84" s="176"/>
    </row>
    <row r="85" spans="1:18" ht="17.399999999999999" customHeight="1" thickBot="1" x14ac:dyDescent="0.35">
      <c r="A85" s="235"/>
      <c r="B85" s="236"/>
      <c r="C85" s="236"/>
      <c r="D85" s="236"/>
      <c r="E85" s="236"/>
      <c r="F85" s="236"/>
      <c r="G85" s="236"/>
      <c r="H85" s="236"/>
      <c r="I85" s="236"/>
      <c r="J85" s="236"/>
      <c r="K85" s="236"/>
      <c r="L85" s="236"/>
      <c r="M85" s="236"/>
      <c r="N85" s="236"/>
      <c r="O85" s="236"/>
      <c r="P85" s="236"/>
      <c r="Q85" s="236"/>
      <c r="R85" s="237"/>
    </row>
    <row r="86" spans="1:18" ht="22.05" customHeight="1" thickTop="1" thickBot="1" x14ac:dyDescent="0.35">
      <c r="A86" s="203" t="s">
        <v>6</v>
      </c>
      <c r="B86" s="204"/>
      <c r="C86" s="204"/>
      <c r="D86" s="204"/>
      <c r="E86" s="204"/>
      <c r="F86" s="205"/>
      <c r="G86" s="77">
        <v>45990</v>
      </c>
      <c r="H86" s="212" t="s">
        <v>7</v>
      </c>
      <c r="I86" s="204"/>
      <c r="J86" s="204"/>
      <c r="K86" s="204"/>
      <c r="L86" s="204"/>
      <c r="M86" s="204"/>
      <c r="N86" s="204"/>
      <c r="O86" s="204"/>
      <c r="P86" s="204"/>
      <c r="Q86" s="204"/>
      <c r="R86" s="205"/>
    </row>
    <row r="87" spans="1:18" ht="24" customHeight="1" x14ac:dyDescent="0.3">
      <c r="A87" s="78" t="s">
        <v>8</v>
      </c>
      <c r="B87" s="78" t="s">
        <v>9</v>
      </c>
      <c r="C87" s="79" t="s">
        <v>10</v>
      </c>
      <c r="D87" s="78" t="s">
        <v>11</v>
      </c>
      <c r="E87" s="78" t="s">
        <v>12</v>
      </c>
      <c r="F87" s="80" t="s">
        <v>13</v>
      </c>
      <c r="G87" s="81" t="s">
        <v>14</v>
      </c>
      <c r="H87" s="78" t="s">
        <v>15</v>
      </c>
      <c r="I87" s="82" t="s">
        <v>16</v>
      </c>
      <c r="J87" s="83" t="s">
        <v>17</v>
      </c>
      <c r="K87" s="84" t="s">
        <v>18</v>
      </c>
      <c r="L87" s="83" t="s">
        <v>19</v>
      </c>
      <c r="M87" s="83" t="s">
        <v>20</v>
      </c>
      <c r="N87" s="83" t="s">
        <v>21</v>
      </c>
      <c r="O87" s="78" t="s">
        <v>22</v>
      </c>
      <c r="P87" s="79" t="s">
        <v>23</v>
      </c>
      <c r="Q87" s="83" t="s">
        <v>24</v>
      </c>
      <c r="R87" s="78" t="s">
        <v>25</v>
      </c>
    </row>
    <row r="88" spans="1:18" ht="15" customHeight="1" x14ac:dyDescent="0.3">
      <c r="A88" s="120" t="s">
        <v>52</v>
      </c>
      <c r="B88" s="120" t="s">
        <v>583</v>
      </c>
      <c r="C88" s="121">
        <v>0.3611111111111111</v>
      </c>
      <c r="D88" s="120" t="s">
        <v>584</v>
      </c>
      <c r="E88" s="120" t="s">
        <v>237</v>
      </c>
      <c r="F88" s="120" t="s">
        <v>240</v>
      </c>
      <c r="G88" s="200"/>
      <c r="H88" s="61"/>
      <c r="I88" s="62"/>
      <c r="J88" s="62"/>
      <c r="K88" s="62"/>
      <c r="L88" s="62"/>
      <c r="M88" s="62"/>
      <c r="N88" s="62"/>
      <c r="O88" s="63"/>
      <c r="P88" s="62"/>
      <c r="Q88" s="64"/>
      <c r="R88" s="65"/>
    </row>
    <row r="89" spans="1:18" ht="15" customHeight="1" x14ac:dyDescent="0.3">
      <c r="A89" s="66" t="s">
        <v>52</v>
      </c>
      <c r="B89" s="66" t="s">
        <v>583</v>
      </c>
      <c r="C89" s="67">
        <v>0.3611111111111111</v>
      </c>
      <c r="D89" s="66" t="s">
        <v>586</v>
      </c>
      <c r="E89" s="66" t="s">
        <v>242</v>
      </c>
      <c r="F89" s="66" t="s">
        <v>623</v>
      </c>
      <c r="G89" s="201"/>
      <c r="H89" s="61"/>
      <c r="I89" s="62"/>
      <c r="J89" s="62"/>
      <c r="K89" s="62"/>
      <c r="L89" s="62"/>
      <c r="M89" s="62"/>
      <c r="N89" s="62"/>
      <c r="O89" s="63"/>
      <c r="P89" s="62"/>
      <c r="Q89" s="64"/>
      <c r="R89" s="65"/>
    </row>
    <row r="90" spans="1:18" ht="15" customHeight="1" x14ac:dyDescent="0.3">
      <c r="A90" s="66" t="s">
        <v>52</v>
      </c>
      <c r="B90" s="66" t="s">
        <v>583</v>
      </c>
      <c r="C90" s="67">
        <v>0.3611111111111111</v>
      </c>
      <c r="D90" s="66" t="s">
        <v>588</v>
      </c>
      <c r="E90" s="66" t="s">
        <v>242</v>
      </c>
      <c r="F90" s="66" t="s">
        <v>624</v>
      </c>
      <c r="G90" s="201"/>
      <c r="H90" s="61"/>
      <c r="I90" s="62"/>
      <c r="J90" s="62"/>
      <c r="K90" s="62"/>
      <c r="L90" s="62"/>
      <c r="M90" s="62"/>
      <c r="N90" s="62"/>
      <c r="O90" s="63"/>
      <c r="P90" s="62"/>
      <c r="Q90" s="64"/>
      <c r="R90" s="65"/>
    </row>
    <row r="91" spans="1:18" ht="15" customHeight="1" x14ac:dyDescent="0.3">
      <c r="A91" s="66" t="s">
        <v>52</v>
      </c>
      <c r="B91" s="66" t="s">
        <v>583</v>
      </c>
      <c r="C91" s="67">
        <v>0.3611111111111111</v>
      </c>
      <c r="D91" s="66" t="s">
        <v>590</v>
      </c>
      <c r="E91" s="66" t="s">
        <v>242</v>
      </c>
      <c r="F91" s="66" t="s">
        <v>625</v>
      </c>
      <c r="G91" s="201"/>
      <c r="H91" s="61"/>
      <c r="I91" s="62"/>
      <c r="J91" s="62"/>
      <c r="K91" s="62"/>
      <c r="L91" s="62"/>
      <c r="M91" s="62"/>
      <c r="N91" s="62"/>
      <c r="O91" s="63"/>
      <c r="P91" s="62"/>
      <c r="Q91" s="64"/>
      <c r="R91" s="65"/>
    </row>
    <row r="92" spans="1:18" ht="15" customHeight="1" x14ac:dyDescent="0.3">
      <c r="A92" s="59" t="s">
        <v>108</v>
      </c>
      <c r="B92" s="59" t="s">
        <v>592</v>
      </c>
      <c r="C92" s="60">
        <v>0.3611111111111111</v>
      </c>
      <c r="D92" s="59" t="s">
        <v>586</v>
      </c>
      <c r="E92" s="59" t="s">
        <v>156</v>
      </c>
      <c r="F92" s="59" t="s">
        <v>626</v>
      </c>
      <c r="G92" s="201"/>
      <c r="H92" s="61"/>
      <c r="I92" s="62"/>
      <c r="J92" s="62"/>
      <c r="K92" s="62"/>
      <c r="L92" s="62"/>
      <c r="M92" s="62"/>
      <c r="N92" s="62"/>
      <c r="O92" s="63"/>
      <c r="P92" s="62"/>
      <c r="Q92" s="64"/>
      <c r="R92" s="65"/>
    </row>
    <row r="93" spans="1:18" ht="15" customHeight="1" x14ac:dyDescent="0.3">
      <c r="A93" s="66" t="s">
        <v>108</v>
      </c>
      <c r="B93" s="66" t="s">
        <v>592</v>
      </c>
      <c r="C93" s="67">
        <v>0.3611111111111111</v>
      </c>
      <c r="D93" s="66" t="s">
        <v>588</v>
      </c>
      <c r="E93" s="66" t="s">
        <v>71</v>
      </c>
      <c r="F93" s="66" t="s">
        <v>627</v>
      </c>
      <c r="G93" s="201"/>
      <c r="H93" s="61"/>
      <c r="I93" s="62"/>
      <c r="J93" s="62"/>
      <c r="K93" s="62"/>
      <c r="L93" s="62"/>
      <c r="M93" s="62"/>
      <c r="N93" s="62"/>
      <c r="O93" s="63"/>
      <c r="P93" s="62"/>
      <c r="Q93" s="64"/>
      <c r="R93" s="65"/>
    </row>
    <row r="94" spans="1:18" ht="15" customHeight="1" x14ac:dyDescent="0.3">
      <c r="A94" s="66" t="s">
        <v>108</v>
      </c>
      <c r="B94" s="66" t="s">
        <v>592</v>
      </c>
      <c r="C94" s="67">
        <v>0.3611111111111111</v>
      </c>
      <c r="D94" s="66" t="s">
        <v>60</v>
      </c>
      <c r="E94" s="66" t="s">
        <v>71</v>
      </c>
      <c r="F94" s="66" t="s">
        <v>628</v>
      </c>
      <c r="G94" s="201"/>
      <c r="H94" s="61"/>
      <c r="I94" s="62"/>
      <c r="J94" s="62"/>
      <c r="K94" s="62"/>
      <c r="L94" s="62"/>
      <c r="M94" s="62"/>
      <c r="N94" s="62"/>
      <c r="O94" s="63"/>
      <c r="P94" s="62"/>
      <c r="Q94" s="64"/>
      <c r="R94" s="65"/>
    </row>
    <row r="95" spans="1:18" ht="15" customHeight="1" x14ac:dyDescent="0.3">
      <c r="A95" s="122" t="s">
        <v>26</v>
      </c>
      <c r="B95" s="122" t="s">
        <v>620</v>
      </c>
      <c r="C95" s="123">
        <v>0.60416666666666663</v>
      </c>
      <c r="D95" s="122" t="s">
        <v>28</v>
      </c>
      <c r="E95" s="122" t="s">
        <v>162</v>
      </c>
      <c r="F95" s="122" t="s">
        <v>181</v>
      </c>
      <c r="G95" s="201"/>
      <c r="H95" s="52" t="s">
        <v>600</v>
      </c>
      <c r="I95" s="53">
        <v>0.9889</v>
      </c>
      <c r="J95" s="54">
        <v>178</v>
      </c>
      <c r="K95" s="55">
        <v>45981</v>
      </c>
      <c r="L95" s="54">
        <v>16</v>
      </c>
      <c r="M95" s="54">
        <v>0</v>
      </c>
      <c r="N95" s="54">
        <v>8</v>
      </c>
      <c r="O95" s="56" t="s">
        <v>203</v>
      </c>
      <c r="P95" s="57">
        <v>0.60416666666666663</v>
      </c>
      <c r="Q95" s="54">
        <v>180</v>
      </c>
      <c r="R95" s="58" t="s">
        <v>629</v>
      </c>
    </row>
    <row r="96" spans="1:18" ht="15" customHeight="1" x14ac:dyDescent="0.3">
      <c r="A96" s="26" t="s">
        <v>26</v>
      </c>
      <c r="B96" s="26" t="s">
        <v>604</v>
      </c>
      <c r="C96" s="27">
        <v>0.27083333333333331</v>
      </c>
      <c r="D96" s="26" t="s">
        <v>44</v>
      </c>
      <c r="E96" s="139"/>
      <c r="F96" s="26" t="s">
        <v>45</v>
      </c>
      <c r="G96" s="201"/>
      <c r="H96" s="10" t="s">
        <v>604</v>
      </c>
      <c r="I96" s="11">
        <v>1</v>
      </c>
      <c r="J96" s="12">
        <v>180</v>
      </c>
      <c r="K96" s="13">
        <v>45976</v>
      </c>
      <c r="L96" s="12">
        <v>2</v>
      </c>
      <c r="M96" s="12">
        <v>0</v>
      </c>
      <c r="N96" s="12">
        <v>0</v>
      </c>
      <c r="O96" s="14" t="s">
        <v>46</v>
      </c>
      <c r="P96" s="15">
        <v>0.27083333333333331</v>
      </c>
      <c r="Q96" s="12">
        <v>180</v>
      </c>
      <c r="R96" s="16" t="s">
        <v>630</v>
      </c>
    </row>
    <row r="97" spans="1:18" ht="15" customHeight="1" x14ac:dyDescent="0.3">
      <c r="A97" s="59" t="s">
        <v>115</v>
      </c>
      <c r="B97" s="59" t="s">
        <v>596</v>
      </c>
      <c r="C97" s="60">
        <v>0.4513888888888889</v>
      </c>
      <c r="D97" s="59" t="s">
        <v>117</v>
      </c>
      <c r="E97" s="59" t="s">
        <v>74</v>
      </c>
      <c r="F97" s="59" t="s">
        <v>622</v>
      </c>
      <c r="G97" s="201"/>
      <c r="H97" s="61"/>
      <c r="I97" s="62"/>
      <c r="J97" s="62"/>
      <c r="K97" s="62"/>
      <c r="L97" s="62"/>
      <c r="M97" s="62"/>
      <c r="N97" s="62"/>
      <c r="O97" s="63"/>
      <c r="P97" s="62"/>
      <c r="Q97" s="64"/>
      <c r="R97" s="65"/>
    </row>
    <row r="98" spans="1:18" ht="15" customHeight="1" x14ac:dyDescent="0.3">
      <c r="A98" s="68" t="s">
        <v>115</v>
      </c>
      <c r="B98" s="68" t="s">
        <v>599</v>
      </c>
      <c r="C98" s="69">
        <v>0.81944444444444453</v>
      </c>
      <c r="D98" s="68" t="s">
        <v>117</v>
      </c>
      <c r="E98" s="68" t="s">
        <v>95</v>
      </c>
      <c r="F98" s="68" t="s">
        <v>631</v>
      </c>
      <c r="G98" s="201"/>
      <c r="H98" s="61"/>
      <c r="I98" s="62"/>
      <c r="J98" s="62"/>
      <c r="K98" s="62"/>
      <c r="L98" s="62"/>
      <c r="M98" s="62"/>
      <c r="N98" s="62"/>
      <c r="O98" s="63"/>
      <c r="P98" s="62"/>
      <c r="Q98" s="64"/>
      <c r="R98" s="65"/>
    </row>
    <row r="99" spans="1:18" ht="18" x14ac:dyDescent="0.3">
      <c r="A99" s="218" t="s">
        <v>602</v>
      </c>
      <c r="B99" s="219"/>
      <c r="C99" s="219"/>
      <c r="D99" s="219"/>
      <c r="E99" s="219"/>
      <c r="F99" s="220"/>
      <c r="G99" s="201"/>
      <c r="H99" s="172"/>
      <c r="I99" s="172"/>
      <c r="J99" s="172"/>
      <c r="K99" s="172"/>
      <c r="L99" s="172"/>
      <c r="M99" s="172"/>
      <c r="N99" s="172"/>
      <c r="O99" s="173"/>
      <c r="P99" s="172"/>
      <c r="Q99" s="140"/>
      <c r="R99" s="140"/>
    </row>
    <row r="100" spans="1:18" ht="15" customHeight="1" x14ac:dyDescent="0.3">
      <c r="A100" s="68" t="s">
        <v>108</v>
      </c>
      <c r="B100" s="68" t="s">
        <v>155</v>
      </c>
      <c r="C100" s="69" t="s">
        <v>552</v>
      </c>
      <c r="D100" s="68" t="s">
        <v>110</v>
      </c>
      <c r="E100" s="68" t="s">
        <v>476</v>
      </c>
      <c r="F100" s="68" t="s">
        <v>219</v>
      </c>
      <c r="G100" s="201"/>
      <c r="H100" s="172"/>
      <c r="I100" s="172"/>
      <c r="J100" s="172"/>
      <c r="K100" s="172"/>
      <c r="L100" s="172"/>
      <c r="M100" s="172"/>
      <c r="N100" s="172"/>
      <c r="O100" s="173"/>
      <c r="P100" s="172"/>
      <c r="Q100" s="140"/>
      <c r="R100" s="140"/>
    </row>
    <row r="101" spans="1:18" ht="15" customHeight="1" x14ac:dyDescent="0.3">
      <c r="A101" s="68" t="s">
        <v>108</v>
      </c>
      <c r="B101" s="68" t="s">
        <v>155</v>
      </c>
      <c r="C101" s="69" t="s">
        <v>552</v>
      </c>
      <c r="D101" s="68" t="s">
        <v>113</v>
      </c>
      <c r="E101" s="68" t="s">
        <v>476</v>
      </c>
      <c r="F101" s="68" t="s">
        <v>219</v>
      </c>
      <c r="G101" s="201"/>
      <c r="H101" s="172"/>
      <c r="I101" s="172"/>
      <c r="J101" s="172"/>
      <c r="K101" s="172"/>
      <c r="L101" s="172"/>
      <c r="M101" s="172"/>
      <c r="N101" s="172"/>
      <c r="O101" s="173"/>
      <c r="P101" s="172"/>
      <c r="Q101" s="140"/>
      <c r="R101" s="140"/>
    </row>
    <row r="102" spans="1:18" ht="15" customHeight="1" x14ac:dyDescent="0.3">
      <c r="A102" s="68" t="s">
        <v>72</v>
      </c>
      <c r="B102" s="68" t="s">
        <v>73</v>
      </c>
      <c r="C102" s="69" t="s">
        <v>494</v>
      </c>
      <c r="D102" s="68" t="s">
        <v>28</v>
      </c>
      <c r="E102" s="68" t="s">
        <v>480</v>
      </c>
      <c r="F102" s="68" t="s">
        <v>182</v>
      </c>
      <c r="G102" s="201"/>
      <c r="H102" s="172"/>
      <c r="I102" s="172"/>
      <c r="J102" s="172"/>
      <c r="K102" s="172"/>
      <c r="L102" s="172"/>
      <c r="M102" s="172"/>
      <c r="N102" s="172"/>
      <c r="O102" s="173"/>
      <c r="P102" s="172"/>
      <c r="Q102" s="140"/>
      <c r="R102" s="140"/>
    </row>
    <row r="103" spans="1:18" ht="15" customHeight="1" x14ac:dyDescent="0.3">
      <c r="A103" s="68" t="s">
        <v>108</v>
      </c>
      <c r="B103" s="68" t="s">
        <v>109</v>
      </c>
      <c r="C103" s="69" t="s">
        <v>470</v>
      </c>
      <c r="D103" s="68" t="s">
        <v>113</v>
      </c>
      <c r="E103" s="68" t="s">
        <v>476</v>
      </c>
      <c r="F103" s="68" t="s">
        <v>221</v>
      </c>
      <c r="G103" s="201"/>
      <c r="H103" s="172"/>
      <c r="I103" s="172"/>
      <c r="J103" s="172"/>
      <c r="K103" s="172"/>
      <c r="L103" s="172"/>
      <c r="M103" s="172"/>
      <c r="N103" s="172"/>
      <c r="O103" s="173"/>
      <c r="P103" s="172"/>
      <c r="Q103" s="140"/>
      <c r="R103" s="140"/>
    </row>
    <row r="104" spans="1:18" ht="15" customHeight="1" x14ac:dyDescent="0.3">
      <c r="A104" s="68" t="s">
        <v>52</v>
      </c>
      <c r="B104" s="68" t="s">
        <v>53</v>
      </c>
      <c r="C104" s="69" t="s">
        <v>473</v>
      </c>
      <c r="D104" s="68" t="s">
        <v>54</v>
      </c>
      <c r="E104" s="68" t="s">
        <v>471</v>
      </c>
      <c r="F104" s="68" t="s">
        <v>89</v>
      </c>
      <c r="G104" s="201"/>
      <c r="H104" s="172"/>
      <c r="I104" s="172"/>
      <c r="J104" s="172"/>
      <c r="K104" s="172"/>
      <c r="L104" s="172"/>
      <c r="M104" s="172"/>
      <c r="N104" s="172"/>
      <c r="O104" s="173"/>
      <c r="P104" s="172"/>
      <c r="Q104" s="140"/>
      <c r="R104" s="140"/>
    </row>
    <row r="105" spans="1:18" ht="15" customHeight="1" x14ac:dyDescent="0.3">
      <c r="A105" s="68" t="s">
        <v>52</v>
      </c>
      <c r="B105" s="68" t="s">
        <v>53</v>
      </c>
      <c r="C105" s="69" t="s">
        <v>473</v>
      </c>
      <c r="D105" s="68" t="s">
        <v>56</v>
      </c>
      <c r="E105" s="68" t="s">
        <v>471</v>
      </c>
      <c r="F105" s="68" t="s">
        <v>89</v>
      </c>
      <c r="G105" s="201"/>
      <c r="H105" s="172"/>
      <c r="I105" s="172"/>
      <c r="J105" s="172"/>
      <c r="K105" s="172"/>
      <c r="L105" s="172"/>
      <c r="M105" s="172"/>
      <c r="N105" s="172"/>
      <c r="O105" s="173"/>
      <c r="P105" s="172"/>
      <c r="Q105" s="140"/>
      <c r="R105" s="140"/>
    </row>
    <row r="106" spans="1:18" ht="15" customHeight="1" x14ac:dyDescent="0.3">
      <c r="A106" s="68" t="s">
        <v>52</v>
      </c>
      <c r="B106" s="68" t="s">
        <v>69</v>
      </c>
      <c r="C106" s="69" t="s">
        <v>475</v>
      </c>
      <c r="D106" s="68" t="s">
        <v>54</v>
      </c>
      <c r="E106" s="68" t="s">
        <v>495</v>
      </c>
      <c r="F106" s="68" t="s">
        <v>89</v>
      </c>
      <c r="G106" s="201"/>
      <c r="H106" s="172"/>
      <c r="I106" s="172"/>
      <c r="J106" s="172"/>
      <c r="K106" s="172"/>
      <c r="L106" s="172"/>
      <c r="M106" s="172"/>
      <c r="N106" s="172"/>
      <c r="O106" s="173"/>
      <c r="P106" s="172"/>
      <c r="Q106" s="140"/>
      <c r="R106" s="140"/>
    </row>
    <row r="107" spans="1:18" ht="15" customHeight="1" x14ac:dyDescent="0.3">
      <c r="A107" s="68" t="s">
        <v>52</v>
      </c>
      <c r="B107" s="68" t="s">
        <v>69</v>
      </c>
      <c r="C107" s="69" t="s">
        <v>475</v>
      </c>
      <c r="D107" s="68" t="s">
        <v>56</v>
      </c>
      <c r="E107" s="68" t="s">
        <v>495</v>
      </c>
      <c r="F107" s="68" t="s">
        <v>89</v>
      </c>
      <c r="G107" s="201"/>
      <c r="H107" s="172"/>
      <c r="I107" s="172"/>
      <c r="J107" s="172"/>
      <c r="K107" s="172"/>
      <c r="L107" s="172"/>
      <c r="M107" s="172"/>
      <c r="N107" s="172"/>
      <c r="O107" s="173"/>
      <c r="P107" s="172"/>
      <c r="Q107" s="140"/>
      <c r="R107" s="140"/>
    </row>
    <row r="108" spans="1:18" ht="15" customHeight="1" x14ac:dyDescent="0.3">
      <c r="A108" s="68" t="s">
        <v>108</v>
      </c>
      <c r="B108" s="68" t="s">
        <v>155</v>
      </c>
      <c r="C108" s="69" t="s">
        <v>552</v>
      </c>
      <c r="D108" s="68" t="s">
        <v>60</v>
      </c>
      <c r="E108" s="68" t="s">
        <v>476</v>
      </c>
      <c r="F108" s="68" t="s">
        <v>220</v>
      </c>
      <c r="G108" s="201"/>
      <c r="H108" s="172"/>
      <c r="I108" s="172"/>
      <c r="J108" s="172"/>
      <c r="K108" s="172"/>
      <c r="L108" s="172"/>
      <c r="M108" s="172"/>
      <c r="N108" s="172"/>
      <c r="O108" s="173"/>
      <c r="P108" s="172"/>
      <c r="Q108" s="140"/>
      <c r="R108" s="140"/>
    </row>
    <row r="109" spans="1:18" ht="15" customHeight="1" thickBot="1" x14ac:dyDescent="0.35">
      <c r="A109" s="70" t="s">
        <v>72</v>
      </c>
      <c r="B109" s="70" t="s">
        <v>76</v>
      </c>
      <c r="C109" s="71" t="s">
        <v>510</v>
      </c>
      <c r="D109" s="70" t="s">
        <v>28</v>
      </c>
      <c r="E109" s="70" t="s">
        <v>465</v>
      </c>
      <c r="F109" s="70" t="s">
        <v>208</v>
      </c>
      <c r="G109" s="202"/>
      <c r="H109" s="174"/>
      <c r="I109" s="174"/>
      <c r="J109" s="174"/>
      <c r="K109" s="174"/>
      <c r="L109" s="174"/>
      <c r="M109" s="174"/>
      <c r="N109" s="174"/>
      <c r="O109" s="175"/>
      <c r="P109" s="174"/>
      <c r="Q109" s="176"/>
      <c r="R109" s="176"/>
    </row>
    <row r="110" spans="1:18" ht="17.399999999999999" customHeight="1" thickBot="1" x14ac:dyDescent="0.35">
      <c r="A110" s="235"/>
      <c r="B110" s="236"/>
      <c r="C110" s="236"/>
      <c r="D110" s="236"/>
      <c r="E110" s="236"/>
      <c r="F110" s="236"/>
      <c r="G110" s="236"/>
      <c r="H110" s="236"/>
      <c r="I110" s="236"/>
      <c r="J110" s="236"/>
      <c r="K110" s="236"/>
      <c r="L110" s="236"/>
      <c r="M110" s="236"/>
      <c r="N110" s="236"/>
      <c r="O110" s="236"/>
      <c r="P110" s="236"/>
      <c r="Q110" s="236"/>
      <c r="R110" s="237"/>
    </row>
    <row r="111" spans="1:18" ht="22.05" customHeight="1" thickTop="1" thickBot="1" x14ac:dyDescent="0.35">
      <c r="A111" s="203" t="s">
        <v>6</v>
      </c>
      <c r="B111" s="204"/>
      <c r="C111" s="204"/>
      <c r="D111" s="204"/>
      <c r="E111" s="204"/>
      <c r="F111" s="205"/>
      <c r="G111" s="77">
        <v>45991</v>
      </c>
      <c r="H111" s="212" t="s">
        <v>7</v>
      </c>
      <c r="I111" s="204"/>
      <c r="J111" s="204"/>
      <c r="K111" s="204"/>
      <c r="L111" s="204"/>
      <c r="M111" s="204"/>
      <c r="N111" s="204"/>
      <c r="O111" s="204"/>
      <c r="P111" s="204"/>
      <c r="Q111" s="204"/>
      <c r="R111" s="205"/>
    </row>
    <row r="112" spans="1:18" ht="24" customHeight="1" x14ac:dyDescent="0.3">
      <c r="A112" s="78" t="s">
        <v>8</v>
      </c>
      <c r="B112" s="78" t="s">
        <v>9</v>
      </c>
      <c r="C112" s="79" t="s">
        <v>10</v>
      </c>
      <c r="D112" s="78" t="s">
        <v>11</v>
      </c>
      <c r="E112" s="78" t="s">
        <v>12</v>
      </c>
      <c r="F112" s="80" t="s">
        <v>13</v>
      </c>
      <c r="G112" s="81" t="s">
        <v>14</v>
      </c>
      <c r="H112" s="78" t="s">
        <v>15</v>
      </c>
      <c r="I112" s="82" t="s">
        <v>16</v>
      </c>
      <c r="J112" s="83" t="s">
        <v>17</v>
      </c>
      <c r="K112" s="84" t="s">
        <v>18</v>
      </c>
      <c r="L112" s="83" t="s">
        <v>19</v>
      </c>
      <c r="M112" s="83" t="s">
        <v>20</v>
      </c>
      <c r="N112" s="83" t="s">
        <v>21</v>
      </c>
      <c r="O112" s="78" t="s">
        <v>22</v>
      </c>
      <c r="P112" s="79" t="s">
        <v>23</v>
      </c>
      <c r="Q112" s="83" t="s">
        <v>24</v>
      </c>
      <c r="R112" s="78" t="s">
        <v>25</v>
      </c>
    </row>
    <row r="113" spans="1:18" ht="15" customHeight="1" x14ac:dyDescent="0.3">
      <c r="A113" s="120" t="s">
        <v>108</v>
      </c>
      <c r="B113" s="120" t="s">
        <v>592</v>
      </c>
      <c r="C113" s="121">
        <v>0.3611111111111111</v>
      </c>
      <c r="D113" s="120" t="s">
        <v>586</v>
      </c>
      <c r="E113" s="120" t="s">
        <v>156</v>
      </c>
      <c r="F113" s="120" t="s">
        <v>632</v>
      </c>
      <c r="G113" s="200"/>
      <c r="H113" s="61"/>
      <c r="I113" s="62"/>
      <c r="J113" s="62"/>
      <c r="K113" s="62"/>
      <c r="L113" s="62"/>
      <c r="M113" s="62"/>
      <c r="N113" s="62"/>
      <c r="O113" s="63"/>
      <c r="P113" s="62"/>
      <c r="Q113" s="64"/>
      <c r="R113" s="65"/>
    </row>
    <row r="114" spans="1:18" ht="15" customHeight="1" x14ac:dyDescent="0.3">
      <c r="A114" s="66" t="s">
        <v>108</v>
      </c>
      <c r="B114" s="66" t="s">
        <v>592</v>
      </c>
      <c r="C114" s="67">
        <v>0.3611111111111111</v>
      </c>
      <c r="D114" s="66" t="s">
        <v>588</v>
      </c>
      <c r="E114" s="66" t="s">
        <v>71</v>
      </c>
      <c r="F114" s="66" t="s">
        <v>633</v>
      </c>
      <c r="G114" s="201"/>
      <c r="H114" s="61"/>
      <c r="I114" s="62"/>
      <c r="J114" s="62"/>
      <c r="K114" s="62"/>
      <c r="L114" s="62"/>
      <c r="M114" s="62"/>
      <c r="N114" s="62"/>
      <c r="O114" s="63"/>
      <c r="P114" s="62"/>
      <c r="Q114" s="64"/>
      <c r="R114" s="65"/>
    </row>
    <row r="115" spans="1:18" ht="15" customHeight="1" x14ac:dyDescent="0.3">
      <c r="A115" s="66" t="s">
        <v>108</v>
      </c>
      <c r="B115" s="66" t="s">
        <v>592</v>
      </c>
      <c r="C115" s="67">
        <v>0.3611111111111111</v>
      </c>
      <c r="D115" s="66" t="s">
        <v>60</v>
      </c>
      <c r="E115" s="66" t="s">
        <v>71</v>
      </c>
      <c r="F115" s="66" t="s">
        <v>634</v>
      </c>
      <c r="G115" s="201"/>
      <c r="H115" s="61"/>
      <c r="I115" s="62"/>
      <c r="J115" s="62"/>
      <c r="K115" s="62"/>
      <c r="L115" s="62"/>
      <c r="M115" s="62"/>
      <c r="N115" s="62"/>
      <c r="O115" s="63"/>
      <c r="P115" s="62"/>
      <c r="Q115" s="64"/>
      <c r="R115" s="65"/>
    </row>
    <row r="116" spans="1:18" ht="15" customHeight="1" x14ac:dyDescent="0.3">
      <c r="A116" s="59" t="s">
        <v>115</v>
      </c>
      <c r="B116" s="59" t="s">
        <v>599</v>
      </c>
      <c r="C116" s="60">
        <v>0.81944444444444453</v>
      </c>
      <c r="D116" s="59" t="s">
        <v>117</v>
      </c>
      <c r="E116" s="59" t="s">
        <v>82</v>
      </c>
      <c r="F116" s="59" t="s">
        <v>635</v>
      </c>
      <c r="G116" s="201"/>
      <c r="H116" s="61"/>
      <c r="I116" s="62"/>
      <c r="J116" s="62"/>
      <c r="K116" s="62"/>
      <c r="L116" s="62"/>
      <c r="M116" s="62"/>
      <c r="N116" s="62"/>
      <c r="O116" s="63"/>
      <c r="P116" s="62"/>
      <c r="Q116" s="64"/>
      <c r="R116" s="65"/>
    </row>
    <row r="117" spans="1:18" ht="15" customHeight="1" x14ac:dyDescent="0.3">
      <c r="A117" s="179" t="s">
        <v>26</v>
      </c>
      <c r="B117" s="179" t="s">
        <v>600</v>
      </c>
      <c r="C117" s="180">
        <v>0.49652777777777768</v>
      </c>
      <c r="D117" s="179" t="s">
        <v>44</v>
      </c>
      <c r="E117" s="181"/>
      <c r="F117" s="179" t="s">
        <v>45</v>
      </c>
      <c r="G117" s="201"/>
      <c r="H117" s="42" t="s">
        <v>600</v>
      </c>
      <c r="I117" s="43">
        <v>0.99439999999999995</v>
      </c>
      <c r="J117" s="44">
        <v>179</v>
      </c>
      <c r="K117" s="45">
        <v>45981</v>
      </c>
      <c r="L117" s="44">
        <v>18</v>
      </c>
      <c r="M117" s="44">
        <v>0</v>
      </c>
      <c r="N117" s="44">
        <v>3</v>
      </c>
      <c r="O117" s="46" t="s">
        <v>46</v>
      </c>
      <c r="P117" s="47">
        <v>0.49652777777777768</v>
      </c>
      <c r="Q117" s="44">
        <v>180</v>
      </c>
      <c r="R117" s="48" t="s">
        <v>636</v>
      </c>
    </row>
    <row r="118" spans="1:18" ht="15" customHeight="1" x14ac:dyDescent="0.3">
      <c r="A118" s="17" t="s">
        <v>26</v>
      </c>
      <c r="B118" s="17" t="s">
        <v>604</v>
      </c>
      <c r="C118" s="18">
        <v>0.57986111111111105</v>
      </c>
      <c r="D118" s="17" t="s">
        <v>44</v>
      </c>
      <c r="E118" s="178"/>
      <c r="F118" s="17" t="s">
        <v>45</v>
      </c>
      <c r="G118" s="201"/>
      <c r="H118" s="19" t="s">
        <v>604</v>
      </c>
      <c r="I118" s="20">
        <v>1</v>
      </c>
      <c r="J118" s="21">
        <v>180</v>
      </c>
      <c r="K118" s="22">
        <v>45981</v>
      </c>
      <c r="L118" s="21">
        <v>2</v>
      </c>
      <c r="M118" s="21">
        <v>0</v>
      </c>
      <c r="N118" s="21">
        <v>1</v>
      </c>
      <c r="O118" s="23" t="s">
        <v>46</v>
      </c>
      <c r="P118" s="24">
        <v>0.57986111111111105</v>
      </c>
      <c r="Q118" s="21">
        <v>180</v>
      </c>
      <c r="R118" s="25" t="s">
        <v>637</v>
      </c>
    </row>
    <row r="119" spans="1:18" ht="18" x14ac:dyDescent="0.3">
      <c r="A119" s="218" t="s">
        <v>602</v>
      </c>
      <c r="B119" s="219"/>
      <c r="C119" s="219"/>
      <c r="D119" s="219"/>
      <c r="E119" s="219"/>
      <c r="F119" s="220"/>
      <c r="G119" s="201"/>
      <c r="H119" s="172"/>
      <c r="I119" s="172"/>
      <c r="J119" s="172"/>
      <c r="K119" s="172"/>
      <c r="L119" s="172"/>
      <c r="M119" s="172"/>
      <c r="N119" s="172"/>
      <c r="O119" s="173"/>
      <c r="P119" s="172"/>
      <c r="Q119" s="140"/>
      <c r="R119" s="140"/>
    </row>
    <row r="120" spans="1:18" ht="15" customHeight="1" x14ac:dyDescent="0.3">
      <c r="A120" s="68" t="s">
        <v>52</v>
      </c>
      <c r="B120" s="68" t="s">
        <v>53</v>
      </c>
      <c r="C120" s="69" t="s">
        <v>473</v>
      </c>
      <c r="D120" s="68" t="s">
        <v>56</v>
      </c>
      <c r="E120" s="68" t="s">
        <v>527</v>
      </c>
      <c r="F120" s="68" t="s">
        <v>55</v>
      </c>
      <c r="G120" s="201"/>
      <c r="H120" s="172"/>
      <c r="I120" s="172"/>
      <c r="J120" s="172"/>
      <c r="K120" s="172"/>
      <c r="L120" s="172"/>
      <c r="M120" s="172"/>
      <c r="N120" s="172"/>
      <c r="O120" s="173"/>
      <c r="P120" s="172"/>
      <c r="Q120" s="140"/>
      <c r="R120" s="140"/>
    </row>
    <row r="121" spans="1:18" ht="15" customHeight="1" x14ac:dyDescent="0.3">
      <c r="A121" s="68" t="s">
        <v>52</v>
      </c>
      <c r="B121" s="68" t="s">
        <v>62</v>
      </c>
      <c r="C121" s="69" t="s">
        <v>492</v>
      </c>
      <c r="D121" s="68" t="s">
        <v>56</v>
      </c>
      <c r="E121" s="68" t="s">
        <v>463</v>
      </c>
      <c r="F121" s="68" t="s">
        <v>55</v>
      </c>
      <c r="G121" s="201"/>
      <c r="H121" s="172"/>
      <c r="I121" s="172"/>
      <c r="J121" s="172"/>
      <c r="K121" s="172"/>
      <c r="L121" s="172"/>
      <c r="M121" s="172"/>
      <c r="N121" s="172"/>
      <c r="O121" s="173"/>
      <c r="P121" s="172"/>
      <c r="Q121" s="140"/>
      <c r="R121" s="140"/>
    </row>
    <row r="122" spans="1:18" ht="15" customHeight="1" x14ac:dyDescent="0.3">
      <c r="A122" s="68" t="s">
        <v>52</v>
      </c>
      <c r="B122" s="68" t="s">
        <v>66</v>
      </c>
      <c r="C122" s="69" t="s">
        <v>491</v>
      </c>
      <c r="D122" s="68" t="s">
        <v>56</v>
      </c>
      <c r="E122" s="68" t="s">
        <v>498</v>
      </c>
      <c r="F122" s="68" t="s">
        <v>36</v>
      </c>
      <c r="G122" s="201"/>
      <c r="H122" s="172"/>
      <c r="I122" s="172"/>
      <c r="J122" s="172"/>
      <c r="K122" s="172"/>
      <c r="L122" s="172"/>
      <c r="M122" s="172"/>
      <c r="N122" s="172"/>
      <c r="O122" s="173"/>
      <c r="P122" s="172"/>
      <c r="Q122" s="140"/>
      <c r="R122" s="140"/>
    </row>
    <row r="123" spans="1:18" ht="15" customHeight="1" x14ac:dyDescent="0.3">
      <c r="A123" s="68" t="s">
        <v>52</v>
      </c>
      <c r="B123" s="68" t="s">
        <v>69</v>
      </c>
      <c r="C123" s="69" t="s">
        <v>475</v>
      </c>
      <c r="D123" s="68" t="s">
        <v>56</v>
      </c>
      <c r="E123" s="68" t="s">
        <v>480</v>
      </c>
      <c r="F123" s="68" t="s">
        <v>36</v>
      </c>
      <c r="G123" s="201"/>
      <c r="H123" s="172"/>
      <c r="I123" s="172"/>
      <c r="J123" s="172"/>
      <c r="K123" s="172"/>
      <c r="L123" s="172"/>
      <c r="M123" s="172"/>
      <c r="N123" s="172"/>
      <c r="O123" s="173"/>
      <c r="P123" s="172"/>
      <c r="Q123" s="140"/>
      <c r="R123" s="140"/>
    </row>
    <row r="124" spans="1:18" ht="15" customHeight="1" x14ac:dyDescent="0.3">
      <c r="A124" s="68" t="s">
        <v>72</v>
      </c>
      <c r="B124" s="68" t="s">
        <v>73</v>
      </c>
      <c r="C124" s="69" t="s">
        <v>576</v>
      </c>
      <c r="D124" s="68" t="s">
        <v>28</v>
      </c>
      <c r="E124" s="68" t="s">
        <v>577</v>
      </c>
      <c r="F124" s="68" t="s">
        <v>75</v>
      </c>
      <c r="G124" s="201"/>
      <c r="H124" s="172"/>
      <c r="I124" s="172"/>
      <c r="J124" s="172"/>
      <c r="K124" s="172"/>
      <c r="L124" s="172"/>
      <c r="M124" s="172"/>
      <c r="N124" s="172"/>
      <c r="O124" s="173"/>
      <c r="P124" s="172"/>
      <c r="Q124" s="140"/>
      <c r="R124" s="140"/>
    </row>
    <row r="125" spans="1:18" ht="15" customHeight="1" x14ac:dyDescent="0.3">
      <c r="A125" s="68" t="s">
        <v>108</v>
      </c>
      <c r="B125" s="68" t="s">
        <v>155</v>
      </c>
      <c r="C125" s="69" t="s">
        <v>578</v>
      </c>
      <c r="D125" s="68" t="s">
        <v>113</v>
      </c>
      <c r="E125" s="68" t="s">
        <v>476</v>
      </c>
      <c r="F125" s="68" t="s">
        <v>238</v>
      </c>
      <c r="G125" s="201"/>
      <c r="H125" s="172"/>
      <c r="I125" s="172"/>
      <c r="J125" s="172"/>
      <c r="K125" s="172"/>
      <c r="L125" s="172"/>
      <c r="M125" s="172"/>
      <c r="N125" s="172"/>
      <c r="O125" s="173"/>
      <c r="P125" s="172"/>
      <c r="Q125" s="140"/>
      <c r="R125" s="140"/>
    </row>
    <row r="126" spans="1:18" ht="15" customHeight="1" x14ac:dyDescent="0.3">
      <c r="A126" s="68" t="s">
        <v>79</v>
      </c>
      <c r="B126" s="68" t="s">
        <v>97</v>
      </c>
      <c r="C126" s="69" t="s">
        <v>486</v>
      </c>
      <c r="D126" s="68" t="s">
        <v>84</v>
      </c>
      <c r="E126" s="68" t="s">
        <v>471</v>
      </c>
      <c r="F126" s="68" t="s">
        <v>240</v>
      </c>
      <c r="G126" s="201"/>
      <c r="H126" s="172"/>
      <c r="I126" s="172"/>
      <c r="J126" s="172"/>
      <c r="K126" s="172"/>
      <c r="L126" s="172"/>
      <c r="M126" s="172"/>
      <c r="N126" s="172"/>
      <c r="O126" s="173"/>
      <c r="P126" s="172"/>
      <c r="Q126" s="140"/>
      <c r="R126" s="140"/>
    </row>
    <row r="127" spans="1:18" ht="15" customHeight="1" x14ac:dyDescent="0.3">
      <c r="A127" s="68" t="s">
        <v>79</v>
      </c>
      <c r="B127" s="68" t="s">
        <v>100</v>
      </c>
      <c r="C127" s="69" t="s">
        <v>490</v>
      </c>
      <c r="D127" s="68" t="s">
        <v>84</v>
      </c>
      <c r="E127" s="68" t="s">
        <v>476</v>
      </c>
      <c r="F127" s="68" t="s">
        <v>240</v>
      </c>
      <c r="G127" s="201"/>
      <c r="H127" s="172"/>
      <c r="I127" s="172"/>
      <c r="J127" s="172"/>
      <c r="K127" s="172"/>
      <c r="L127" s="172"/>
      <c r="M127" s="172"/>
      <c r="N127" s="172"/>
      <c r="O127" s="173"/>
      <c r="P127" s="172"/>
      <c r="Q127" s="140"/>
      <c r="R127" s="140"/>
    </row>
    <row r="128" spans="1:18" ht="15" customHeight="1" x14ac:dyDescent="0.3">
      <c r="A128" s="68" t="s">
        <v>79</v>
      </c>
      <c r="B128" s="68" t="s">
        <v>90</v>
      </c>
      <c r="C128" s="69" t="s">
        <v>482</v>
      </c>
      <c r="D128" s="68" t="s">
        <v>84</v>
      </c>
      <c r="E128" s="68" t="s">
        <v>577</v>
      </c>
      <c r="F128" s="68" t="s">
        <v>240</v>
      </c>
      <c r="G128" s="201"/>
      <c r="H128" s="172"/>
      <c r="I128" s="172"/>
      <c r="J128" s="172"/>
      <c r="K128" s="172"/>
      <c r="L128" s="172"/>
      <c r="M128" s="172"/>
      <c r="N128" s="172"/>
      <c r="O128" s="173"/>
      <c r="P128" s="172"/>
      <c r="Q128" s="140"/>
      <c r="R128" s="140"/>
    </row>
    <row r="129" spans="1:18" ht="15" customHeight="1" x14ac:dyDescent="0.3">
      <c r="A129" s="70" t="s">
        <v>79</v>
      </c>
      <c r="B129" s="70" t="s">
        <v>93</v>
      </c>
      <c r="C129" s="71" t="s">
        <v>483</v>
      </c>
      <c r="D129" s="70" t="s">
        <v>84</v>
      </c>
      <c r="E129" s="70" t="s">
        <v>468</v>
      </c>
      <c r="F129" s="70" t="s">
        <v>240</v>
      </c>
      <c r="G129" s="202"/>
      <c r="H129" s="174"/>
      <c r="I129" s="174"/>
      <c r="J129" s="174"/>
      <c r="K129" s="174"/>
      <c r="L129" s="174"/>
      <c r="M129" s="174"/>
      <c r="N129" s="174"/>
      <c r="O129" s="175"/>
      <c r="P129" s="174"/>
      <c r="Q129" s="176"/>
      <c r="R129" s="176"/>
    </row>
  </sheetData>
  <mergeCells count="36">
    <mergeCell ref="G113:G129"/>
    <mergeCell ref="A45:F45"/>
    <mergeCell ref="H86:R86"/>
    <mergeCell ref="G69:G84"/>
    <mergeCell ref="A119:F119"/>
    <mergeCell ref="A110:R110"/>
    <mergeCell ref="A111:F111"/>
    <mergeCell ref="K2:R2"/>
    <mergeCell ref="A44:R44"/>
    <mergeCell ref="G6:G26"/>
    <mergeCell ref="H28:R28"/>
    <mergeCell ref="H111:R111"/>
    <mergeCell ref="H1:L1"/>
    <mergeCell ref="A1:E1"/>
    <mergeCell ref="A66:R66"/>
    <mergeCell ref="A74:F74"/>
    <mergeCell ref="A27:R27"/>
    <mergeCell ref="H4:R4"/>
    <mergeCell ref="A55:F55"/>
    <mergeCell ref="A2:F2"/>
    <mergeCell ref="A3:R3"/>
    <mergeCell ref="A33:F33"/>
    <mergeCell ref="G2:J2"/>
    <mergeCell ref="A4:F4"/>
    <mergeCell ref="N1:R1"/>
    <mergeCell ref="A28:F28"/>
    <mergeCell ref="A67:F67"/>
    <mergeCell ref="H45:R45"/>
    <mergeCell ref="A16:F16"/>
    <mergeCell ref="A99:F99"/>
    <mergeCell ref="G30:G43"/>
    <mergeCell ref="G47:G65"/>
    <mergeCell ref="H67:R67"/>
    <mergeCell ref="A86:F86"/>
    <mergeCell ref="A85:R85"/>
    <mergeCell ref="G88:G10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2"/>
  <sheetViews>
    <sheetView workbookViewId="0"/>
  </sheetViews>
  <sheetFormatPr defaultRowHeight="15.6" outlineLevelCol="1" x14ac:dyDescent="0.3"/>
  <cols>
    <col min="1" max="1" width="11.5546875" style="222" bestFit="1" customWidth="1"/>
    <col min="2" max="2" width="10.44140625" style="222" bestFit="1" customWidth="1"/>
    <col min="3" max="3" width="6.77734375" style="222" bestFit="1" customWidth="1"/>
    <col min="4" max="4" width="5.5546875" style="222" bestFit="1" customWidth="1"/>
    <col min="5" max="5" width="8.109375" style="222" bestFit="1" customWidth="1"/>
    <col min="6" max="6" width="4.21875" style="222" bestFit="1" customWidth="1"/>
    <col min="7" max="7" width="10" style="222" bestFit="1" customWidth="1"/>
    <col min="8" max="10" width="8.5546875" style="222" bestFit="1" customWidth="1"/>
    <col min="11" max="11" width="10.5546875" style="222" bestFit="1" customWidth="1"/>
    <col min="12" max="12" width="9.109375" style="222" bestFit="1" customWidth="1"/>
    <col min="13" max="13" width="7.6640625" style="222" bestFit="1" customWidth="1" outlineLevel="1"/>
    <col min="14" max="14" width="6.33203125" style="222" bestFit="1" customWidth="1" outlineLevel="1"/>
    <col min="15" max="15" width="8" style="222" bestFit="1" customWidth="1" outlineLevel="1"/>
    <col min="16" max="16" width="13.6640625" style="222" bestFit="1" customWidth="1"/>
    <col min="17" max="23" width="3.88671875" style="222" bestFit="1" customWidth="1"/>
    <col min="24" max="24" width="4.109375" style="222" bestFit="1" customWidth="1"/>
    <col min="25" max="25" width="3.88671875" style="222" bestFit="1" customWidth="1"/>
    <col min="26" max="26" width="4.109375" style="222" bestFit="1" customWidth="1"/>
    <col min="27" max="27" width="5" style="222" bestFit="1" customWidth="1"/>
    <col min="28" max="29" width="4.21875" style="222" bestFit="1" customWidth="1"/>
    <col min="30" max="34" width="3.88671875" style="222" bestFit="1" customWidth="1"/>
    <col min="35" max="35" width="5.21875" style="222" bestFit="1" customWidth="1"/>
    <col min="36" max="36" width="3.88671875" style="222" bestFit="1" customWidth="1"/>
    <col min="37" max="16384" width="8.88671875" style="222"/>
  </cols>
  <sheetData>
    <row r="1" spans="1:36" x14ac:dyDescent="0.3">
      <c r="A1" s="221" t="s">
        <v>254</v>
      </c>
      <c r="B1" s="221" t="s">
        <v>255</v>
      </c>
      <c r="C1" s="221" t="s">
        <v>256</v>
      </c>
      <c r="D1" s="221" t="s">
        <v>23</v>
      </c>
      <c r="E1" s="221" t="s">
        <v>257</v>
      </c>
      <c r="F1" s="221" t="s">
        <v>258</v>
      </c>
      <c r="G1" s="221" t="s">
        <v>16</v>
      </c>
      <c r="H1" s="221" t="s">
        <v>259</v>
      </c>
      <c r="I1" s="221" t="s">
        <v>260</v>
      </c>
      <c r="J1" s="221" t="s">
        <v>261</v>
      </c>
      <c r="K1" s="221" t="s">
        <v>262</v>
      </c>
      <c r="L1" s="221" t="s">
        <v>18</v>
      </c>
      <c r="M1" s="221" t="s">
        <v>20</v>
      </c>
      <c r="N1" s="221" t="s">
        <v>21</v>
      </c>
      <c r="O1" s="221" t="s">
        <v>19</v>
      </c>
      <c r="P1" s="221" t="s">
        <v>22</v>
      </c>
      <c r="Q1" s="221" t="s">
        <v>263</v>
      </c>
      <c r="R1" s="221" t="s">
        <v>264</v>
      </c>
      <c r="S1" s="221" t="s">
        <v>265</v>
      </c>
      <c r="T1" s="221" t="s">
        <v>266</v>
      </c>
      <c r="U1" s="221" t="s">
        <v>267</v>
      </c>
      <c r="V1" s="221" t="s">
        <v>268</v>
      </c>
      <c r="W1" s="221" t="s">
        <v>269</v>
      </c>
      <c r="X1" s="221" t="s">
        <v>270</v>
      </c>
      <c r="Y1" s="221" t="s">
        <v>271</v>
      </c>
      <c r="Z1" s="221" t="s">
        <v>272</v>
      </c>
      <c r="AA1" s="221" t="s">
        <v>273</v>
      </c>
      <c r="AB1" s="221" t="s">
        <v>274</v>
      </c>
      <c r="AC1" s="221" t="s">
        <v>275</v>
      </c>
      <c r="AD1" s="221" t="s">
        <v>276</v>
      </c>
      <c r="AE1" s="221" t="s">
        <v>277</v>
      </c>
      <c r="AF1" s="221" t="s">
        <v>278</v>
      </c>
      <c r="AG1" s="221" t="s">
        <v>279</v>
      </c>
      <c r="AH1" s="221" t="s">
        <v>280</v>
      </c>
      <c r="AI1" s="221" t="s">
        <v>281</v>
      </c>
      <c r="AJ1" s="221" t="s">
        <v>282</v>
      </c>
    </row>
    <row r="2" spans="1:36" x14ac:dyDescent="0.3">
      <c r="A2" s="223" t="s">
        <v>283</v>
      </c>
      <c r="B2" s="224">
        <v>45986</v>
      </c>
      <c r="C2" s="225" t="s">
        <v>600</v>
      </c>
      <c r="D2" s="226" t="s">
        <v>638</v>
      </c>
      <c r="E2" s="225" t="s">
        <v>582</v>
      </c>
      <c r="F2" s="225" t="s">
        <v>285</v>
      </c>
      <c r="G2" s="227">
        <v>1</v>
      </c>
      <c r="H2" s="228">
        <v>180</v>
      </c>
      <c r="I2" s="228">
        <v>180</v>
      </c>
      <c r="J2" s="228">
        <v>161</v>
      </c>
      <c r="K2" s="225" t="s">
        <v>286</v>
      </c>
      <c r="L2" s="229">
        <v>45961</v>
      </c>
      <c r="M2" s="228">
        <v>0</v>
      </c>
      <c r="N2" s="228">
        <v>0</v>
      </c>
      <c r="O2" s="228">
        <v>0</v>
      </c>
      <c r="P2" s="225" t="s">
        <v>46</v>
      </c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8" t="s">
        <v>376</v>
      </c>
      <c r="AD2" s="228" t="s">
        <v>639</v>
      </c>
      <c r="AE2" s="228" t="s">
        <v>371</v>
      </c>
      <c r="AF2" s="228" t="s">
        <v>301</v>
      </c>
      <c r="AG2" s="221"/>
      <c r="AH2" s="221"/>
      <c r="AI2" s="228" t="s">
        <v>640</v>
      </c>
      <c r="AJ2" s="221"/>
    </row>
    <row r="3" spans="1:36" x14ac:dyDescent="0.3">
      <c r="A3" s="223" t="s">
        <v>333</v>
      </c>
      <c r="B3" s="224">
        <v>45987</v>
      </c>
      <c r="C3" s="225" t="s">
        <v>600</v>
      </c>
      <c r="D3" s="226" t="s">
        <v>641</v>
      </c>
      <c r="E3" s="225" t="s">
        <v>582</v>
      </c>
      <c r="F3" s="225" t="s">
        <v>285</v>
      </c>
      <c r="G3" s="227">
        <v>0.99439999999999995</v>
      </c>
      <c r="H3" s="228">
        <v>180</v>
      </c>
      <c r="I3" s="228">
        <v>179</v>
      </c>
      <c r="J3" s="228">
        <v>130</v>
      </c>
      <c r="K3" s="225" t="s">
        <v>286</v>
      </c>
      <c r="L3" s="229">
        <v>45981</v>
      </c>
      <c r="M3" s="228">
        <v>0</v>
      </c>
      <c r="N3" s="228">
        <v>3</v>
      </c>
      <c r="O3" s="228">
        <v>15</v>
      </c>
      <c r="P3" s="225" t="s">
        <v>46</v>
      </c>
      <c r="Q3" s="221"/>
      <c r="R3" s="221"/>
      <c r="S3" s="221"/>
      <c r="T3" s="221"/>
      <c r="U3" s="221"/>
      <c r="V3" s="228" t="s">
        <v>642</v>
      </c>
      <c r="W3" s="221"/>
      <c r="X3" s="221"/>
      <c r="Y3" s="221"/>
      <c r="Z3" s="228" t="s">
        <v>347</v>
      </c>
      <c r="AA3" s="228" t="s">
        <v>369</v>
      </c>
      <c r="AB3" s="228" t="s">
        <v>328</v>
      </c>
      <c r="AC3" s="228" t="s">
        <v>643</v>
      </c>
      <c r="AD3" s="221"/>
      <c r="AE3" s="221"/>
      <c r="AF3" s="221"/>
      <c r="AG3" s="221"/>
      <c r="AH3" s="221"/>
      <c r="AI3" s="228" t="s">
        <v>644</v>
      </c>
      <c r="AJ3" s="221"/>
    </row>
    <row r="4" spans="1:36" x14ac:dyDescent="0.3">
      <c r="A4" s="223" t="s">
        <v>333</v>
      </c>
      <c r="B4" s="224">
        <v>45987</v>
      </c>
      <c r="C4" s="225" t="s">
        <v>604</v>
      </c>
      <c r="D4" s="226" t="s">
        <v>645</v>
      </c>
      <c r="E4" s="225" t="s">
        <v>582</v>
      </c>
      <c r="F4" s="225" t="s">
        <v>285</v>
      </c>
      <c r="G4" s="227">
        <v>1</v>
      </c>
      <c r="H4" s="228">
        <v>180</v>
      </c>
      <c r="I4" s="228">
        <v>180</v>
      </c>
      <c r="J4" s="228">
        <v>135</v>
      </c>
      <c r="K4" s="225" t="s">
        <v>286</v>
      </c>
      <c r="L4" s="229">
        <v>45972</v>
      </c>
      <c r="M4" s="228">
        <v>0</v>
      </c>
      <c r="N4" s="228">
        <v>0</v>
      </c>
      <c r="O4" s="228">
        <v>0</v>
      </c>
      <c r="P4" s="225" t="s">
        <v>46</v>
      </c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8" t="s">
        <v>289</v>
      </c>
      <c r="AC4" s="228" t="s">
        <v>298</v>
      </c>
      <c r="AD4" s="228" t="s">
        <v>646</v>
      </c>
      <c r="AE4" s="228" t="s">
        <v>358</v>
      </c>
      <c r="AF4" s="228" t="s">
        <v>647</v>
      </c>
      <c r="AG4" s="221"/>
      <c r="AH4" s="221"/>
      <c r="AI4" s="228" t="s">
        <v>380</v>
      </c>
      <c r="AJ4" s="221"/>
    </row>
    <row r="5" spans="1:36" x14ac:dyDescent="0.3">
      <c r="A5" s="223" t="s">
        <v>333</v>
      </c>
      <c r="B5" s="224">
        <v>45987</v>
      </c>
      <c r="C5" s="225" t="s">
        <v>606</v>
      </c>
      <c r="D5" s="226" t="s">
        <v>648</v>
      </c>
      <c r="E5" s="225" t="s">
        <v>582</v>
      </c>
      <c r="F5" s="225" t="s">
        <v>285</v>
      </c>
      <c r="G5" s="227">
        <v>1</v>
      </c>
      <c r="H5" s="228">
        <v>180</v>
      </c>
      <c r="I5" s="228">
        <v>180</v>
      </c>
      <c r="J5" s="228">
        <v>166</v>
      </c>
      <c r="K5" s="225" t="s">
        <v>286</v>
      </c>
      <c r="L5" s="229">
        <v>45971</v>
      </c>
      <c r="M5" s="228">
        <v>0</v>
      </c>
      <c r="N5" s="228">
        <v>0</v>
      </c>
      <c r="O5" s="228">
        <v>0</v>
      </c>
      <c r="P5" s="225" t="s">
        <v>46</v>
      </c>
      <c r="Q5" s="221"/>
      <c r="R5" s="221"/>
      <c r="S5" s="221"/>
      <c r="T5" s="221"/>
      <c r="U5" s="221"/>
      <c r="V5" s="221"/>
      <c r="W5" s="221"/>
      <c r="X5" s="221"/>
      <c r="Y5" s="221"/>
      <c r="Z5" s="228" t="s">
        <v>38</v>
      </c>
      <c r="AA5" s="221"/>
      <c r="AB5" s="228" t="s">
        <v>649</v>
      </c>
      <c r="AC5" s="228" t="s">
        <v>298</v>
      </c>
      <c r="AD5" s="221"/>
      <c r="AE5" s="221"/>
      <c r="AF5" s="221"/>
      <c r="AG5" s="221"/>
      <c r="AH5" s="221"/>
      <c r="AI5" s="228" t="s">
        <v>650</v>
      </c>
      <c r="AJ5" s="221"/>
    </row>
    <row r="6" spans="1:36" x14ac:dyDescent="0.3">
      <c r="A6" s="223" t="s">
        <v>359</v>
      </c>
      <c r="B6" s="224">
        <v>45988</v>
      </c>
      <c r="C6" s="225" t="s">
        <v>600</v>
      </c>
      <c r="D6" s="226" t="s">
        <v>651</v>
      </c>
      <c r="E6" s="225" t="s">
        <v>582</v>
      </c>
      <c r="F6" s="225" t="s">
        <v>285</v>
      </c>
      <c r="G6" s="227">
        <v>0.99439999999999995</v>
      </c>
      <c r="H6" s="228">
        <v>180</v>
      </c>
      <c r="I6" s="228">
        <v>179</v>
      </c>
      <c r="J6" s="228">
        <v>126</v>
      </c>
      <c r="K6" s="225" t="s">
        <v>286</v>
      </c>
      <c r="L6" s="229">
        <v>45980</v>
      </c>
      <c r="M6" s="228">
        <v>0</v>
      </c>
      <c r="N6" s="228">
        <v>0</v>
      </c>
      <c r="O6" s="228">
        <v>14</v>
      </c>
      <c r="P6" s="225" t="s">
        <v>46</v>
      </c>
      <c r="Q6" s="221"/>
      <c r="R6" s="221"/>
      <c r="S6" s="221"/>
      <c r="T6" s="221"/>
      <c r="U6" s="221"/>
      <c r="V6" s="221"/>
      <c r="W6" s="221"/>
      <c r="X6" s="221"/>
      <c r="Y6" s="221"/>
      <c r="Z6" s="228" t="s">
        <v>652</v>
      </c>
      <c r="AA6" s="228" t="s">
        <v>453</v>
      </c>
      <c r="AB6" s="228" t="s">
        <v>653</v>
      </c>
      <c r="AC6" s="228" t="s">
        <v>376</v>
      </c>
      <c r="AD6" s="228" t="s">
        <v>377</v>
      </c>
      <c r="AE6" s="228" t="s">
        <v>371</v>
      </c>
      <c r="AF6" s="228" t="s">
        <v>301</v>
      </c>
      <c r="AG6" s="221"/>
      <c r="AH6" s="221"/>
      <c r="AI6" s="228" t="s">
        <v>654</v>
      </c>
      <c r="AJ6" s="228" t="s">
        <v>655</v>
      </c>
    </row>
    <row r="7" spans="1:36" x14ac:dyDescent="0.3">
      <c r="A7" s="223" t="s">
        <v>393</v>
      </c>
      <c r="B7" s="224">
        <v>45989</v>
      </c>
      <c r="C7" s="225" t="s">
        <v>600</v>
      </c>
      <c r="D7" s="226" t="s">
        <v>578</v>
      </c>
      <c r="E7" s="225" t="s">
        <v>582</v>
      </c>
      <c r="F7" s="225" t="s">
        <v>285</v>
      </c>
      <c r="G7" s="227">
        <v>0.63329999999999997</v>
      </c>
      <c r="H7" s="228">
        <v>180</v>
      </c>
      <c r="I7" s="228">
        <v>114</v>
      </c>
      <c r="J7" s="228">
        <v>0</v>
      </c>
      <c r="K7" s="225" t="s">
        <v>286</v>
      </c>
      <c r="L7" s="229">
        <v>45981</v>
      </c>
      <c r="M7" s="228">
        <v>0</v>
      </c>
      <c r="N7" s="228">
        <v>19</v>
      </c>
      <c r="O7" s="228">
        <v>50</v>
      </c>
      <c r="P7" s="225" t="s">
        <v>407</v>
      </c>
      <c r="Q7" s="221"/>
      <c r="R7" s="221"/>
      <c r="S7" s="221"/>
      <c r="T7" s="221"/>
      <c r="U7" s="221"/>
      <c r="V7" s="221"/>
      <c r="W7" s="221"/>
      <c r="X7" s="221"/>
      <c r="Y7" s="228" t="s">
        <v>149</v>
      </c>
      <c r="Z7" s="228" t="s">
        <v>362</v>
      </c>
      <c r="AA7" s="228" t="s">
        <v>656</v>
      </c>
      <c r="AB7" s="228" t="s">
        <v>657</v>
      </c>
      <c r="AC7" s="228" t="s">
        <v>343</v>
      </c>
      <c r="AD7" s="221"/>
      <c r="AE7" s="221"/>
      <c r="AF7" s="221"/>
      <c r="AG7" s="221"/>
      <c r="AH7" s="221"/>
      <c r="AI7" s="221"/>
      <c r="AJ7" s="228" t="s">
        <v>658</v>
      </c>
    </row>
    <row r="8" spans="1:36" x14ac:dyDescent="0.3">
      <c r="A8" s="223" t="s">
        <v>424</v>
      </c>
      <c r="B8" s="224">
        <v>45990</v>
      </c>
      <c r="C8" s="225" t="s">
        <v>604</v>
      </c>
      <c r="D8" s="226" t="s">
        <v>659</v>
      </c>
      <c r="E8" s="225" t="s">
        <v>582</v>
      </c>
      <c r="F8" s="225" t="s">
        <v>285</v>
      </c>
      <c r="G8" s="227">
        <v>1</v>
      </c>
      <c r="H8" s="228">
        <v>180</v>
      </c>
      <c r="I8" s="228">
        <v>180</v>
      </c>
      <c r="J8" s="228">
        <v>135</v>
      </c>
      <c r="K8" s="225" t="s">
        <v>286</v>
      </c>
      <c r="L8" s="229">
        <v>45976</v>
      </c>
      <c r="M8" s="228">
        <v>0</v>
      </c>
      <c r="N8" s="228">
        <v>0</v>
      </c>
      <c r="O8" s="228">
        <v>2</v>
      </c>
      <c r="P8" s="225" t="s">
        <v>46</v>
      </c>
      <c r="Q8" s="221"/>
      <c r="R8" s="221"/>
      <c r="S8" s="221"/>
      <c r="T8" s="221"/>
      <c r="U8" s="221"/>
      <c r="V8" s="221"/>
      <c r="W8" s="221"/>
      <c r="X8" s="228" t="s">
        <v>200</v>
      </c>
      <c r="Y8" s="221"/>
      <c r="Z8" s="228" t="s">
        <v>660</v>
      </c>
      <c r="AA8" s="228" t="s">
        <v>661</v>
      </c>
      <c r="AB8" s="228" t="s">
        <v>289</v>
      </c>
      <c r="AC8" s="228" t="s">
        <v>298</v>
      </c>
      <c r="AD8" s="221"/>
      <c r="AE8" s="221"/>
      <c r="AF8" s="221"/>
      <c r="AG8" s="221"/>
      <c r="AH8" s="221"/>
      <c r="AI8" s="228" t="s">
        <v>380</v>
      </c>
      <c r="AJ8" s="221"/>
    </row>
    <row r="9" spans="1:36" x14ac:dyDescent="0.3">
      <c r="A9" s="223" t="s">
        <v>424</v>
      </c>
      <c r="B9" s="224">
        <v>45990</v>
      </c>
      <c r="C9" s="225" t="s">
        <v>600</v>
      </c>
      <c r="D9" s="226" t="s">
        <v>662</v>
      </c>
      <c r="E9" s="225" t="s">
        <v>582</v>
      </c>
      <c r="F9" s="225" t="s">
        <v>285</v>
      </c>
      <c r="G9" s="227">
        <v>0.9889</v>
      </c>
      <c r="H9" s="228">
        <v>180</v>
      </c>
      <c r="I9" s="228">
        <v>178</v>
      </c>
      <c r="J9" s="228">
        <v>95</v>
      </c>
      <c r="K9" s="225" t="s">
        <v>286</v>
      </c>
      <c r="L9" s="229">
        <v>45981</v>
      </c>
      <c r="M9" s="228">
        <v>0</v>
      </c>
      <c r="N9" s="228">
        <v>8</v>
      </c>
      <c r="O9" s="228">
        <v>16</v>
      </c>
      <c r="P9" s="225" t="s">
        <v>203</v>
      </c>
      <c r="Q9" s="221"/>
      <c r="R9" s="221"/>
      <c r="S9" s="221"/>
      <c r="T9" s="221"/>
      <c r="U9" s="221"/>
      <c r="V9" s="228" t="s">
        <v>203</v>
      </c>
      <c r="W9" s="228" t="s">
        <v>434</v>
      </c>
      <c r="X9" s="228" t="s">
        <v>663</v>
      </c>
      <c r="Y9" s="228" t="s">
        <v>448</v>
      </c>
      <c r="Z9" s="228" t="s">
        <v>664</v>
      </c>
      <c r="AA9" s="228" t="s">
        <v>341</v>
      </c>
      <c r="AB9" s="228" t="s">
        <v>289</v>
      </c>
      <c r="AC9" s="228" t="s">
        <v>298</v>
      </c>
      <c r="AD9" s="221"/>
      <c r="AE9" s="221"/>
      <c r="AF9" s="221"/>
      <c r="AG9" s="221"/>
      <c r="AH9" s="221"/>
      <c r="AI9" s="228" t="s">
        <v>311</v>
      </c>
      <c r="AJ9" s="221"/>
    </row>
    <row r="10" spans="1:36" x14ac:dyDescent="0.3">
      <c r="A10" s="223" t="s">
        <v>443</v>
      </c>
      <c r="B10" s="224">
        <v>45991</v>
      </c>
      <c r="C10" s="225" t="s">
        <v>600</v>
      </c>
      <c r="D10" s="226" t="s">
        <v>665</v>
      </c>
      <c r="E10" s="225" t="s">
        <v>582</v>
      </c>
      <c r="F10" s="225" t="s">
        <v>285</v>
      </c>
      <c r="G10" s="227">
        <v>0.99439999999999995</v>
      </c>
      <c r="H10" s="228">
        <v>180</v>
      </c>
      <c r="I10" s="228">
        <v>179</v>
      </c>
      <c r="J10" s="228">
        <v>135</v>
      </c>
      <c r="K10" s="225" t="s">
        <v>286</v>
      </c>
      <c r="L10" s="229">
        <v>45981</v>
      </c>
      <c r="M10" s="228">
        <v>0</v>
      </c>
      <c r="N10" s="228">
        <v>3</v>
      </c>
      <c r="O10" s="228">
        <v>18</v>
      </c>
      <c r="P10" s="225" t="s">
        <v>46</v>
      </c>
      <c r="Q10" s="221"/>
      <c r="R10" s="221"/>
      <c r="S10" s="221"/>
      <c r="T10" s="221"/>
      <c r="U10" s="221"/>
      <c r="V10" s="221"/>
      <c r="W10" s="221"/>
      <c r="X10" s="221"/>
      <c r="Y10" s="228" t="s">
        <v>149</v>
      </c>
      <c r="Z10" s="228" t="s">
        <v>313</v>
      </c>
      <c r="AA10" s="228" t="s">
        <v>666</v>
      </c>
      <c r="AB10" s="228" t="s">
        <v>653</v>
      </c>
      <c r="AC10" s="228" t="s">
        <v>376</v>
      </c>
      <c r="AD10" s="228" t="s">
        <v>377</v>
      </c>
      <c r="AE10" s="228" t="s">
        <v>371</v>
      </c>
      <c r="AF10" s="228" t="s">
        <v>667</v>
      </c>
      <c r="AG10" s="221"/>
      <c r="AH10" s="221"/>
      <c r="AI10" s="228" t="s">
        <v>380</v>
      </c>
      <c r="AJ10" s="221"/>
    </row>
    <row r="11" spans="1:36" x14ac:dyDescent="0.3">
      <c r="A11" s="223" t="s">
        <v>443</v>
      </c>
      <c r="B11" s="224">
        <v>45991</v>
      </c>
      <c r="C11" s="225" t="s">
        <v>604</v>
      </c>
      <c r="D11" s="226" t="s">
        <v>668</v>
      </c>
      <c r="E11" s="225" t="s">
        <v>582</v>
      </c>
      <c r="F11" s="225" t="s">
        <v>285</v>
      </c>
      <c r="G11" s="227">
        <v>1</v>
      </c>
      <c r="H11" s="228">
        <v>180</v>
      </c>
      <c r="I11" s="228">
        <v>180</v>
      </c>
      <c r="J11" s="228">
        <v>135</v>
      </c>
      <c r="K11" s="225" t="s">
        <v>286</v>
      </c>
      <c r="L11" s="229">
        <v>45981</v>
      </c>
      <c r="M11" s="228">
        <v>0</v>
      </c>
      <c r="N11" s="228">
        <v>1</v>
      </c>
      <c r="O11" s="228">
        <v>2</v>
      </c>
      <c r="P11" s="225" t="s">
        <v>46</v>
      </c>
      <c r="Q11" s="221"/>
      <c r="R11" s="221"/>
      <c r="S11" s="221"/>
      <c r="T11" s="221"/>
      <c r="U11" s="221"/>
      <c r="V11" s="221"/>
      <c r="W11" s="221"/>
      <c r="X11" s="221"/>
      <c r="Y11" s="228" t="s">
        <v>246</v>
      </c>
      <c r="Z11" s="228" t="s">
        <v>347</v>
      </c>
      <c r="AA11" s="228" t="s">
        <v>32</v>
      </c>
      <c r="AB11" s="228" t="s">
        <v>342</v>
      </c>
      <c r="AC11" s="228" t="s">
        <v>643</v>
      </c>
      <c r="AD11" s="221"/>
      <c r="AE11" s="221"/>
      <c r="AF11" s="221"/>
      <c r="AG11" s="221"/>
      <c r="AH11" s="221"/>
      <c r="AI11" s="228" t="s">
        <v>380</v>
      </c>
      <c r="AJ11" s="221"/>
    </row>
    <row r="12" spans="1:36" ht="21" x14ac:dyDescent="0.3">
      <c r="A12" s="230" t="s">
        <v>756</v>
      </c>
      <c r="B12" s="231"/>
      <c r="C12" s="230">
        <f>SUBTOTAL(103,HBE_JED_LF_LEGACY[Flt])</f>
        <v>10</v>
      </c>
      <c r="D12" s="230"/>
      <c r="E12" s="230">
        <f>SUBTOTAL(103,HBE_JED_LF_LEGACY[Brd-Off])</f>
        <v>10</v>
      </c>
      <c r="F12" s="230"/>
      <c r="G12" s="232">
        <f>SUBTOTAL(101,HBE_JED_LF_LEGACY[LF%])</f>
        <v>0.96053999999999995</v>
      </c>
      <c r="H12" s="233">
        <f>SUBTOTAL(109,HBE_JED_LF_LEGACY[CAP])</f>
        <v>1800</v>
      </c>
      <c r="I12" s="233">
        <f>SUBTOTAL(109,HBE_JED_LF_LEGACY[BKG(Y)])</f>
        <v>1729</v>
      </c>
      <c r="J12" s="233">
        <f>SUBTOTAL(109,HBE_JED_LF_LEGACY[GRP(Y)])</f>
        <v>1218</v>
      </c>
      <c r="K12" s="230"/>
      <c r="L12" s="231"/>
      <c r="M12" s="233">
        <f>SUBTOTAL(109,HBE_JED_LF_LEGACY[TO-DAY])</f>
        <v>0</v>
      </c>
      <c r="N12" s="233">
        <f>SUBTOTAL(109,HBE_JED_LF_LEGACY[Y-DAY])</f>
        <v>34</v>
      </c>
      <c r="O12" s="233">
        <f>SUBTOTAL(109,HBE_JED_LF_LEGACY[WEEKLY])</f>
        <v>117</v>
      </c>
      <c r="P12" s="234"/>
      <c r="Q12" s="233">
        <f>SUBTOTAL(109,HBE_JED_LF_LEGACY[Y])</f>
        <v>0</v>
      </c>
      <c r="R12" s="233">
        <f>SUBTOTAL(109,HBE_JED_LF_LEGACY[B])</f>
        <v>0</v>
      </c>
      <c r="S12" s="233">
        <f>SUBTOTAL(109,HBE_JED_LF_LEGACY[M])</f>
        <v>0</v>
      </c>
      <c r="T12" s="233">
        <f>SUBTOTAL(109,HBE_JED_LF_LEGACY[H])</f>
        <v>0</v>
      </c>
      <c r="U12" s="233">
        <f>SUBTOTAL(109,HBE_JED_LF_LEGACY[Q])</f>
        <v>0</v>
      </c>
      <c r="V12" s="233">
        <f>SUBTOTAL(109,HBE_JED_LF_LEGACY[K])</f>
        <v>0</v>
      </c>
      <c r="W12" s="233">
        <f>SUBTOTAL(109,HBE_JED_LF_LEGACY[V])</f>
        <v>0</v>
      </c>
      <c r="X12" s="233">
        <f>SUBTOTAL(109,HBE_JED_LF_LEGACY[L])</f>
        <v>0</v>
      </c>
      <c r="Y12" s="233">
        <f>SUBTOTAL(109,HBE_JED_LF_LEGACY[G])</f>
        <v>0</v>
      </c>
      <c r="Z12" s="233">
        <f>SUBTOTAL(109,HBE_JED_LF_LEGACY[S])</f>
        <v>0</v>
      </c>
      <c r="AA12" s="233">
        <f>SUBTOTAL(109,HBE_JED_LF_LEGACY[W])</f>
        <v>0</v>
      </c>
      <c r="AB12" s="233">
        <f>SUBTOTAL(109,HBE_JED_LF_LEGACY[T])</f>
        <v>0</v>
      </c>
      <c r="AC12" s="233">
        <f>SUBTOTAL(109,HBE_JED_LF_LEGACY[X])</f>
        <v>0</v>
      </c>
      <c r="AD12" s="233">
        <f>SUBTOTAL(109,HBE_JED_LF_LEGACY[U])</f>
        <v>0</v>
      </c>
      <c r="AE12" s="233">
        <f>SUBTOTAL(109,HBE_JED_LF_LEGACY[O])</f>
        <v>0</v>
      </c>
      <c r="AF12" s="233">
        <f>SUBTOTAL(109,HBE_JED_LF_LEGACY[I])</f>
        <v>0</v>
      </c>
      <c r="AG12" s="233">
        <f>SUBTOTAL(109,HBE_JED_LF_LEGACY[E])</f>
        <v>0</v>
      </c>
      <c r="AH12" s="233">
        <f>SUBTOTAL(109,HBE_JED_LF_LEGACY[A])</f>
        <v>0</v>
      </c>
      <c r="AI12" s="233">
        <f>SUBTOTAL(109,HBE_JED_LF_LEGACY[P])</f>
        <v>0</v>
      </c>
      <c r="AJ12" s="233">
        <f>SUBTOTAL(103,HBE_JED_LF_LEGACY[N])</f>
        <v>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0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95.88671875" hidden="1" customWidth="1"/>
  </cols>
  <sheetData>
    <row r="1" spans="1:8" ht="18" x14ac:dyDescent="0.3">
      <c r="A1" s="141" t="s">
        <v>459</v>
      </c>
      <c r="B1" s="142" t="s">
        <v>8</v>
      </c>
      <c r="C1" s="142" t="s">
        <v>9</v>
      </c>
      <c r="D1" s="142" t="s">
        <v>460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82" t="s">
        <v>461</v>
      </c>
      <c r="B2" s="150" t="s">
        <v>52</v>
      </c>
      <c r="C2" s="151" t="s">
        <v>583</v>
      </c>
      <c r="D2" s="150" t="s">
        <v>582</v>
      </c>
      <c r="E2" s="150" t="s">
        <v>669</v>
      </c>
      <c r="F2" s="150" t="s">
        <v>584</v>
      </c>
      <c r="G2" s="153">
        <v>5</v>
      </c>
      <c r="H2" s="154" t="s">
        <v>585</v>
      </c>
    </row>
    <row r="3" spans="1:8" ht="19.8" customHeight="1" x14ac:dyDescent="0.3">
      <c r="A3" s="182" t="s">
        <v>461</v>
      </c>
      <c r="B3" s="150" t="s">
        <v>108</v>
      </c>
      <c r="C3" s="151" t="s">
        <v>592</v>
      </c>
      <c r="D3" s="150" t="s">
        <v>582</v>
      </c>
      <c r="E3" s="150" t="s">
        <v>669</v>
      </c>
      <c r="F3" s="150" t="s">
        <v>586</v>
      </c>
      <c r="G3" s="153">
        <v>4</v>
      </c>
      <c r="H3" s="154" t="s">
        <v>593</v>
      </c>
    </row>
    <row r="4" spans="1:8" ht="19.8" customHeight="1" x14ac:dyDescent="0.3">
      <c r="A4" s="182" t="s">
        <v>461</v>
      </c>
      <c r="B4" s="150" t="s">
        <v>52</v>
      </c>
      <c r="C4" s="151" t="s">
        <v>583</v>
      </c>
      <c r="D4" s="150" t="s">
        <v>582</v>
      </c>
      <c r="E4" s="150" t="s">
        <v>669</v>
      </c>
      <c r="F4" s="150" t="s">
        <v>586</v>
      </c>
      <c r="G4" s="153">
        <v>5</v>
      </c>
      <c r="H4" s="154" t="s">
        <v>587</v>
      </c>
    </row>
    <row r="5" spans="1:8" ht="19.8" customHeight="1" x14ac:dyDescent="0.3">
      <c r="A5" s="182" t="s">
        <v>461</v>
      </c>
      <c r="B5" s="150" t="s">
        <v>52</v>
      </c>
      <c r="C5" s="151" t="s">
        <v>583</v>
      </c>
      <c r="D5" s="150" t="s">
        <v>582</v>
      </c>
      <c r="E5" s="150" t="s">
        <v>669</v>
      </c>
      <c r="F5" s="150" t="s">
        <v>588</v>
      </c>
      <c r="G5" s="153">
        <v>5</v>
      </c>
      <c r="H5" s="154" t="s">
        <v>589</v>
      </c>
    </row>
    <row r="6" spans="1:8" ht="19.8" customHeight="1" x14ac:dyDescent="0.3">
      <c r="A6" s="182" t="s">
        <v>461</v>
      </c>
      <c r="B6" s="150" t="s">
        <v>108</v>
      </c>
      <c r="C6" s="151" t="s">
        <v>592</v>
      </c>
      <c r="D6" s="150" t="s">
        <v>582</v>
      </c>
      <c r="E6" s="150" t="s">
        <v>669</v>
      </c>
      <c r="F6" s="150" t="s">
        <v>588</v>
      </c>
      <c r="G6" s="153">
        <v>4</v>
      </c>
      <c r="H6" s="154" t="s">
        <v>594</v>
      </c>
    </row>
    <row r="7" spans="1:8" ht="19.8" customHeight="1" x14ac:dyDescent="0.3">
      <c r="A7" s="182" t="s">
        <v>461</v>
      </c>
      <c r="B7" s="150" t="s">
        <v>108</v>
      </c>
      <c r="C7" s="151" t="s">
        <v>592</v>
      </c>
      <c r="D7" s="150" t="s">
        <v>582</v>
      </c>
      <c r="E7" s="150" t="s">
        <v>669</v>
      </c>
      <c r="F7" s="150" t="s">
        <v>60</v>
      </c>
      <c r="G7" s="153">
        <v>4</v>
      </c>
      <c r="H7" s="154" t="s">
        <v>595</v>
      </c>
    </row>
    <row r="8" spans="1:8" ht="19.8" customHeight="1" x14ac:dyDescent="0.3">
      <c r="A8" s="182" t="s">
        <v>461</v>
      </c>
      <c r="B8" s="150" t="s">
        <v>52</v>
      </c>
      <c r="C8" s="151" t="s">
        <v>583</v>
      </c>
      <c r="D8" s="150" t="s">
        <v>582</v>
      </c>
      <c r="E8" s="150" t="s">
        <v>669</v>
      </c>
      <c r="F8" s="150" t="s">
        <v>590</v>
      </c>
      <c r="G8" s="153">
        <v>5</v>
      </c>
      <c r="H8" s="154" t="s">
        <v>591</v>
      </c>
    </row>
    <row r="9" spans="1:8" ht="19.8" customHeight="1" x14ac:dyDescent="0.3">
      <c r="A9" s="182" t="s">
        <v>461</v>
      </c>
      <c r="B9" s="150" t="s">
        <v>115</v>
      </c>
      <c r="C9" s="151" t="s">
        <v>596</v>
      </c>
      <c r="D9" s="150" t="s">
        <v>582</v>
      </c>
      <c r="E9" s="150" t="s">
        <v>670</v>
      </c>
      <c r="F9" s="150" t="s">
        <v>117</v>
      </c>
      <c r="G9" s="153">
        <v>7</v>
      </c>
      <c r="H9" s="154" t="s">
        <v>598</v>
      </c>
    </row>
    <row r="10" spans="1:8" ht="19.8" customHeight="1" x14ac:dyDescent="0.3">
      <c r="A10" s="182" t="s">
        <v>461</v>
      </c>
      <c r="B10" s="150" t="s">
        <v>115</v>
      </c>
      <c r="C10" s="151" t="s">
        <v>599</v>
      </c>
      <c r="D10" s="150" t="s">
        <v>582</v>
      </c>
      <c r="E10" s="150" t="s">
        <v>671</v>
      </c>
      <c r="F10" s="150" t="s">
        <v>117</v>
      </c>
      <c r="G10" s="153">
        <v>9</v>
      </c>
      <c r="H10" s="154" t="s">
        <v>598</v>
      </c>
    </row>
    <row r="11" spans="1:8" ht="19.8" customHeight="1" x14ac:dyDescent="0.3">
      <c r="A11" s="144" t="s">
        <v>461</v>
      </c>
      <c r="B11" s="145" t="s">
        <v>26</v>
      </c>
      <c r="C11" s="146" t="s">
        <v>600</v>
      </c>
      <c r="D11" s="145" t="s">
        <v>582</v>
      </c>
      <c r="E11" s="145" t="s">
        <v>638</v>
      </c>
      <c r="F11" s="145" t="s">
        <v>44</v>
      </c>
      <c r="G11" s="145"/>
      <c r="H11" s="148" t="s">
        <v>45</v>
      </c>
    </row>
    <row r="12" spans="1:8" ht="19.8" customHeight="1" x14ac:dyDescent="0.3">
      <c r="A12" s="183"/>
      <c r="B12" s="184"/>
      <c r="C12" s="184"/>
      <c r="D12" s="184"/>
      <c r="E12" s="184"/>
      <c r="F12" s="185" t="s">
        <v>672</v>
      </c>
      <c r="G12" s="184"/>
      <c r="H12" s="186"/>
    </row>
    <row r="13" spans="1:8" ht="19.8" customHeight="1" x14ac:dyDescent="0.3">
      <c r="A13" s="149">
        <v>45986</v>
      </c>
      <c r="B13" s="150" t="s">
        <v>26</v>
      </c>
      <c r="C13" s="151" t="s">
        <v>27</v>
      </c>
      <c r="D13" s="150" t="s">
        <v>1</v>
      </c>
      <c r="E13" s="152">
        <v>1.4375</v>
      </c>
      <c r="F13" s="150" t="s">
        <v>28</v>
      </c>
      <c r="G13" s="153">
        <v>1</v>
      </c>
      <c r="H13" s="154" t="s">
        <v>30</v>
      </c>
    </row>
    <row r="14" spans="1:8" ht="19.8" customHeight="1" x14ac:dyDescent="0.3">
      <c r="A14" s="149">
        <v>45986</v>
      </c>
      <c r="B14" s="150" t="s">
        <v>52</v>
      </c>
      <c r="C14" s="151" t="s">
        <v>53</v>
      </c>
      <c r="D14" s="150" t="s">
        <v>1</v>
      </c>
      <c r="E14" s="152">
        <v>1.399305555555556</v>
      </c>
      <c r="F14" s="150" t="s">
        <v>54</v>
      </c>
      <c r="G14" s="153">
        <v>1</v>
      </c>
      <c r="H14" s="154" t="s">
        <v>55</v>
      </c>
    </row>
    <row r="15" spans="1:8" ht="19.8" customHeight="1" x14ac:dyDescent="0.3">
      <c r="A15" s="149">
        <v>45986</v>
      </c>
      <c r="B15" s="150" t="s">
        <v>52</v>
      </c>
      <c r="C15" s="151" t="s">
        <v>53</v>
      </c>
      <c r="D15" s="150" t="s">
        <v>1</v>
      </c>
      <c r="E15" s="152">
        <v>1.399305555555556</v>
      </c>
      <c r="F15" s="150" t="s">
        <v>56</v>
      </c>
      <c r="G15" s="153">
        <v>1</v>
      </c>
      <c r="H15" s="154" t="s">
        <v>55</v>
      </c>
    </row>
    <row r="16" spans="1:8" ht="19.8" customHeight="1" x14ac:dyDescent="0.3">
      <c r="A16" s="149">
        <v>45986</v>
      </c>
      <c r="B16" s="150" t="s">
        <v>26</v>
      </c>
      <c r="C16" s="151" t="s">
        <v>34</v>
      </c>
      <c r="D16" s="150" t="s">
        <v>1</v>
      </c>
      <c r="E16" s="152">
        <v>1.052083333333333</v>
      </c>
      <c r="F16" s="150" t="s">
        <v>28</v>
      </c>
      <c r="G16" s="153">
        <v>1</v>
      </c>
      <c r="H16" s="154" t="s">
        <v>36</v>
      </c>
    </row>
    <row r="17" spans="1:8" ht="19.8" customHeight="1" x14ac:dyDescent="0.3">
      <c r="A17" s="149">
        <v>45986</v>
      </c>
      <c r="B17" s="150" t="s">
        <v>26</v>
      </c>
      <c r="C17" s="151" t="s">
        <v>40</v>
      </c>
      <c r="D17" s="150" t="s">
        <v>1</v>
      </c>
      <c r="E17" s="152">
        <v>1.791666666666667</v>
      </c>
      <c r="F17" s="150" t="s">
        <v>28</v>
      </c>
      <c r="G17" s="153">
        <v>1</v>
      </c>
      <c r="H17" s="154" t="s">
        <v>36</v>
      </c>
    </row>
    <row r="18" spans="1:8" ht="19.8" customHeight="1" x14ac:dyDescent="0.3">
      <c r="A18" s="149">
        <v>45986</v>
      </c>
      <c r="B18" s="150" t="s">
        <v>52</v>
      </c>
      <c r="C18" s="151" t="s">
        <v>62</v>
      </c>
      <c r="D18" s="150" t="s">
        <v>1</v>
      </c>
      <c r="E18" s="152">
        <v>1.489583333333333</v>
      </c>
      <c r="F18" s="150" t="s">
        <v>54</v>
      </c>
      <c r="G18" s="153">
        <v>4</v>
      </c>
      <c r="H18" s="154" t="s">
        <v>36</v>
      </c>
    </row>
    <row r="19" spans="1:8" ht="19.8" customHeight="1" x14ac:dyDescent="0.3">
      <c r="A19" s="149">
        <v>45986</v>
      </c>
      <c r="B19" s="150" t="s">
        <v>52</v>
      </c>
      <c r="C19" s="151" t="s">
        <v>62</v>
      </c>
      <c r="D19" s="150" t="s">
        <v>1</v>
      </c>
      <c r="E19" s="152">
        <v>1.489583333333333</v>
      </c>
      <c r="F19" s="150" t="s">
        <v>56</v>
      </c>
      <c r="G19" s="153">
        <v>4</v>
      </c>
      <c r="H19" s="154" t="s">
        <v>36</v>
      </c>
    </row>
    <row r="20" spans="1:8" ht="19.8" customHeight="1" x14ac:dyDescent="0.3">
      <c r="A20" s="149">
        <v>45986</v>
      </c>
      <c r="B20" s="150" t="s">
        <v>52</v>
      </c>
      <c r="C20" s="151" t="s">
        <v>66</v>
      </c>
      <c r="D20" s="150" t="s">
        <v>1</v>
      </c>
      <c r="E20" s="152">
        <v>1.8888888888888891</v>
      </c>
      <c r="F20" s="150" t="s">
        <v>54</v>
      </c>
      <c r="G20" s="153">
        <v>2</v>
      </c>
      <c r="H20" s="154" t="s">
        <v>36</v>
      </c>
    </row>
    <row r="21" spans="1:8" ht="19.8" customHeight="1" x14ac:dyDescent="0.3">
      <c r="A21" s="149">
        <v>45986</v>
      </c>
      <c r="B21" s="150" t="s">
        <v>52</v>
      </c>
      <c r="C21" s="151" t="s">
        <v>66</v>
      </c>
      <c r="D21" s="150" t="s">
        <v>1</v>
      </c>
      <c r="E21" s="152">
        <v>1.8888888888888891</v>
      </c>
      <c r="F21" s="150" t="s">
        <v>56</v>
      </c>
      <c r="G21" s="153">
        <v>2</v>
      </c>
      <c r="H21" s="154" t="s">
        <v>36</v>
      </c>
    </row>
    <row r="22" spans="1:8" ht="19.8" customHeight="1" x14ac:dyDescent="0.3">
      <c r="A22" s="187">
        <v>45986</v>
      </c>
      <c r="B22" s="188" t="s">
        <v>52</v>
      </c>
      <c r="C22" s="189" t="s">
        <v>69</v>
      </c>
      <c r="D22" s="188" t="s">
        <v>1</v>
      </c>
      <c r="E22" s="190">
        <v>1.989583333333333</v>
      </c>
      <c r="F22" s="188" t="s">
        <v>54</v>
      </c>
      <c r="G22" s="191">
        <v>9</v>
      </c>
      <c r="H22" s="192" t="s">
        <v>36</v>
      </c>
    </row>
    <row r="23" spans="1:8" ht="19.8" customHeight="1" x14ac:dyDescent="0.3">
      <c r="A23" s="155">
        <v>45987</v>
      </c>
      <c r="B23" s="145" t="s">
        <v>26</v>
      </c>
      <c r="C23" s="146" t="s">
        <v>620</v>
      </c>
      <c r="D23" s="145" t="s">
        <v>582</v>
      </c>
      <c r="E23" s="156">
        <v>1.145833333333333</v>
      </c>
      <c r="F23" s="145"/>
      <c r="G23" s="145"/>
      <c r="H23" s="148" t="s">
        <v>45</v>
      </c>
    </row>
    <row r="24" spans="1:8" ht="19.8" customHeight="1" x14ac:dyDescent="0.3">
      <c r="A24" s="155">
        <v>45987</v>
      </c>
      <c r="B24" s="145" t="s">
        <v>26</v>
      </c>
      <c r="C24" s="146" t="s">
        <v>673</v>
      </c>
      <c r="D24" s="145" t="s">
        <v>582</v>
      </c>
      <c r="E24" s="156">
        <v>1.53125</v>
      </c>
      <c r="F24" s="145"/>
      <c r="G24" s="145"/>
      <c r="H24" s="148" t="s">
        <v>45</v>
      </c>
    </row>
    <row r="25" spans="1:8" ht="19.8" customHeight="1" x14ac:dyDescent="0.3">
      <c r="A25" s="155">
        <v>45987</v>
      </c>
      <c r="B25" s="145" t="s">
        <v>26</v>
      </c>
      <c r="C25" s="146" t="s">
        <v>674</v>
      </c>
      <c r="D25" s="145" t="s">
        <v>582</v>
      </c>
      <c r="E25" s="156">
        <v>1.8611111111111109</v>
      </c>
      <c r="F25" s="145"/>
      <c r="G25" s="145"/>
      <c r="H25" s="148" t="s">
        <v>45</v>
      </c>
    </row>
    <row r="26" spans="1:8" ht="19.8" customHeight="1" x14ac:dyDescent="0.3">
      <c r="A26" s="183"/>
      <c r="B26" s="184"/>
      <c r="C26" s="184"/>
      <c r="D26" s="184"/>
      <c r="E26" s="184"/>
      <c r="F26" s="185" t="s">
        <v>672</v>
      </c>
      <c r="G26" s="184"/>
      <c r="H26" s="186"/>
    </row>
    <row r="27" spans="1:8" ht="19.8" customHeight="1" x14ac:dyDescent="0.3">
      <c r="A27" s="149">
        <v>45987</v>
      </c>
      <c r="B27" s="150" t="s">
        <v>26</v>
      </c>
      <c r="C27" s="151" t="s">
        <v>40</v>
      </c>
      <c r="D27" s="150" t="s">
        <v>1</v>
      </c>
      <c r="E27" s="152">
        <v>1.3402777777777779</v>
      </c>
      <c r="F27" s="150" t="s">
        <v>28</v>
      </c>
      <c r="G27" s="153">
        <v>1</v>
      </c>
      <c r="H27" s="154" t="s">
        <v>36</v>
      </c>
    </row>
    <row r="28" spans="1:8" ht="19.8" customHeight="1" x14ac:dyDescent="0.3">
      <c r="A28" s="149">
        <v>45987</v>
      </c>
      <c r="B28" s="150" t="s">
        <v>52</v>
      </c>
      <c r="C28" s="151" t="s">
        <v>53</v>
      </c>
      <c r="D28" s="150" t="s">
        <v>1</v>
      </c>
      <c r="E28" s="152">
        <v>1.399305555555556</v>
      </c>
      <c r="F28" s="150" t="s">
        <v>56</v>
      </c>
      <c r="G28" s="153">
        <v>4</v>
      </c>
      <c r="H28" s="154" t="s">
        <v>36</v>
      </c>
    </row>
    <row r="29" spans="1:8" ht="19.8" customHeight="1" x14ac:dyDescent="0.3">
      <c r="A29" s="149">
        <v>45987</v>
      </c>
      <c r="B29" s="150" t="s">
        <v>52</v>
      </c>
      <c r="C29" s="151" t="s">
        <v>62</v>
      </c>
      <c r="D29" s="150" t="s">
        <v>1</v>
      </c>
      <c r="E29" s="152">
        <v>1.489583333333333</v>
      </c>
      <c r="F29" s="150" t="s">
        <v>56</v>
      </c>
      <c r="G29" s="153">
        <v>1</v>
      </c>
      <c r="H29" s="154" t="s">
        <v>36</v>
      </c>
    </row>
    <row r="30" spans="1:8" ht="19.8" customHeight="1" x14ac:dyDescent="0.3">
      <c r="A30" s="149">
        <v>45987</v>
      </c>
      <c r="B30" s="150" t="s">
        <v>52</v>
      </c>
      <c r="C30" s="151" t="s">
        <v>66</v>
      </c>
      <c r="D30" s="150" t="s">
        <v>1</v>
      </c>
      <c r="E30" s="152">
        <v>1.8888888888888891</v>
      </c>
      <c r="F30" s="150" t="s">
        <v>54</v>
      </c>
      <c r="G30" s="153">
        <v>4</v>
      </c>
      <c r="H30" s="154" t="s">
        <v>36</v>
      </c>
    </row>
    <row r="31" spans="1:8" ht="19.8" customHeight="1" x14ac:dyDescent="0.3">
      <c r="A31" s="149">
        <v>45987</v>
      </c>
      <c r="B31" s="150" t="s">
        <v>52</v>
      </c>
      <c r="C31" s="151" t="s">
        <v>66</v>
      </c>
      <c r="D31" s="150" t="s">
        <v>1</v>
      </c>
      <c r="E31" s="152">
        <v>1.8888888888888891</v>
      </c>
      <c r="F31" s="150" t="s">
        <v>56</v>
      </c>
      <c r="G31" s="153">
        <v>4</v>
      </c>
      <c r="H31" s="154" t="s">
        <v>36</v>
      </c>
    </row>
    <row r="32" spans="1:8" ht="19.8" customHeight="1" x14ac:dyDescent="0.3">
      <c r="A32" s="149">
        <v>45987</v>
      </c>
      <c r="B32" s="150" t="s">
        <v>52</v>
      </c>
      <c r="C32" s="151" t="s">
        <v>69</v>
      </c>
      <c r="D32" s="150" t="s">
        <v>1</v>
      </c>
      <c r="E32" s="152">
        <v>1.989583333333333</v>
      </c>
      <c r="F32" s="150" t="s">
        <v>54</v>
      </c>
      <c r="G32" s="153">
        <v>4</v>
      </c>
      <c r="H32" s="154" t="s">
        <v>36</v>
      </c>
    </row>
    <row r="33" spans="1:8" ht="19.8" customHeight="1" x14ac:dyDescent="0.3">
      <c r="A33" s="149">
        <v>45987</v>
      </c>
      <c r="B33" s="150" t="s">
        <v>52</v>
      </c>
      <c r="C33" s="151" t="s">
        <v>69</v>
      </c>
      <c r="D33" s="150" t="s">
        <v>1</v>
      </c>
      <c r="E33" s="152">
        <v>1.989583333333333</v>
      </c>
      <c r="F33" s="150" t="s">
        <v>56</v>
      </c>
      <c r="G33" s="153">
        <v>4</v>
      </c>
      <c r="H33" s="154" t="s">
        <v>36</v>
      </c>
    </row>
    <row r="34" spans="1:8" ht="19.8" customHeight="1" x14ac:dyDescent="0.3">
      <c r="A34" s="149">
        <v>45987</v>
      </c>
      <c r="B34" s="150" t="s">
        <v>72</v>
      </c>
      <c r="C34" s="151" t="s">
        <v>76</v>
      </c>
      <c r="D34" s="150" t="s">
        <v>1</v>
      </c>
      <c r="E34" s="152">
        <v>1.493055555555556</v>
      </c>
      <c r="F34" s="150" t="s">
        <v>28</v>
      </c>
      <c r="G34" s="153">
        <v>1</v>
      </c>
      <c r="H34" s="154" t="s">
        <v>75</v>
      </c>
    </row>
    <row r="35" spans="1:8" ht="19.8" customHeight="1" x14ac:dyDescent="0.3">
      <c r="A35" s="149">
        <v>45987</v>
      </c>
      <c r="B35" s="150" t="s">
        <v>72</v>
      </c>
      <c r="C35" s="151" t="s">
        <v>73</v>
      </c>
      <c r="D35" s="150" t="s">
        <v>1</v>
      </c>
      <c r="E35" s="152">
        <v>1.194444444444444</v>
      </c>
      <c r="F35" s="150" t="s">
        <v>28</v>
      </c>
      <c r="G35" s="153">
        <v>5</v>
      </c>
      <c r="H35" s="154" t="s">
        <v>75</v>
      </c>
    </row>
    <row r="36" spans="1:8" ht="19.8" customHeight="1" x14ac:dyDescent="0.3">
      <c r="A36" s="187">
        <v>45987</v>
      </c>
      <c r="B36" s="188" t="s">
        <v>79</v>
      </c>
      <c r="C36" s="189" t="s">
        <v>101</v>
      </c>
      <c r="D36" s="188" t="s">
        <v>1</v>
      </c>
      <c r="E36" s="190">
        <v>1.8888888888888891</v>
      </c>
      <c r="F36" s="188" t="s">
        <v>81</v>
      </c>
      <c r="G36" s="191">
        <v>1</v>
      </c>
      <c r="H36" s="192" t="s">
        <v>83</v>
      </c>
    </row>
    <row r="37" spans="1:8" ht="19.8" customHeight="1" x14ac:dyDescent="0.3">
      <c r="A37" s="149">
        <v>45988</v>
      </c>
      <c r="B37" s="150" t="s">
        <v>108</v>
      </c>
      <c r="C37" s="151" t="s">
        <v>608</v>
      </c>
      <c r="D37" s="150" t="s">
        <v>582</v>
      </c>
      <c r="E37" s="152">
        <v>1.631944444444444</v>
      </c>
      <c r="F37" s="150" t="s">
        <v>586</v>
      </c>
      <c r="G37" s="153">
        <v>9</v>
      </c>
      <c r="H37" s="154" t="s">
        <v>609</v>
      </c>
    </row>
    <row r="38" spans="1:8" ht="19.8" customHeight="1" x14ac:dyDescent="0.3">
      <c r="A38" s="149">
        <v>45988</v>
      </c>
      <c r="B38" s="150" t="s">
        <v>108</v>
      </c>
      <c r="C38" s="151" t="s">
        <v>592</v>
      </c>
      <c r="D38" s="150" t="s">
        <v>582</v>
      </c>
      <c r="E38" s="152">
        <v>1.3611111111111109</v>
      </c>
      <c r="F38" s="150" t="s">
        <v>586</v>
      </c>
      <c r="G38" s="153">
        <v>9</v>
      </c>
      <c r="H38" s="154" t="s">
        <v>612</v>
      </c>
    </row>
    <row r="39" spans="1:8" ht="19.8" customHeight="1" x14ac:dyDescent="0.3">
      <c r="A39" s="149">
        <v>45988</v>
      </c>
      <c r="B39" s="150" t="s">
        <v>108</v>
      </c>
      <c r="C39" s="151" t="s">
        <v>608</v>
      </c>
      <c r="D39" s="150" t="s">
        <v>582</v>
      </c>
      <c r="E39" s="152">
        <v>1.631944444444444</v>
      </c>
      <c r="F39" s="150" t="s">
        <v>588</v>
      </c>
      <c r="G39" s="153">
        <v>9</v>
      </c>
      <c r="H39" s="154" t="s">
        <v>610</v>
      </c>
    </row>
    <row r="40" spans="1:8" ht="19.8" customHeight="1" x14ac:dyDescent="0.3">
      <c r="A40" s="149">
        <v>45988</v>
      </c>
      <c r="B40" s="150" t="s">
        <v>108</v>
      </c>
      <c r="C40" s="151" t="s">
        <v>608</v>
      </c>
      <c r="D40" s="150" t="s">
        <v>582</v>
      </c>
      <c r="E40" s="152">
        <v>1.631944444444444</v>
      </c>
      <c r="F40" s="150" t="s">
        <v>60</v>
      </c>
      <c r="G40" s="153">
        <v>9</v>
      </c>
      <c r="H40" s="154" t="s">
        <v>611</v>
      </c>
    </row>
    <row r="41" spans="1:8" ht="19.8" customHeight="1" x14ac:dyDescent="0.3">
      <c r="A41" s="149">
        <v>45988</v>
      </c>
      <c r="B41" s="150" t="s">
        <v>108</v>
      </c>
      <c r="C41" s="151" t="s">
        <v>592</v>
      </c>
      <c r="D41" s="150" t="s">
        <v>582</v>
      </c>
      <c r="E41" s="152">
        <v>1.3611111111111109</v>
      </c>
      <c r="F41" s="150" t="s">
        <v>588</v>
      </c>
      <c r="G41" s="153">
        <v>9</v>
      </c>
      <c r="H41" s="154" t="s">
        <v>613</v>
      </c>
    </row>
    <row r="42" spans="1:8" ht="19.8" customHeight="1" x14ac:dyDescent="0.3">
      <c r="A42" s="149">
        <v>45988</v>
      </c>
      <c r="B42" s="150" t="s">
        <v>108</v>
      </c>
      <c r="C42" s="151" t="s">
        <v>592</v>
      </c>
      <c r="D42" s="150" t="s">
        <v>582</v>
      </c>
      <c r="E42" s="152">
        <v>1.3611111111111109</v>
      </c>
      <c r="F42" s="150" t="s">
        <v>60</v>
      </c>
      <c r="G42" s="153">
        <v>9</v>
      </c>
      <c r="H42" s="154" t="s">
        <v>614</v>
      </c>
    </row>
    <row r="43" spans="1:8" ht="19.8" customHeight="1" x14ac:dyDescent="0.3">
      <c r="A43" s="149">
        <v>45988</v>
      </c>
      <c r="B43" s="150" t="s">
        <v>115</v>
      </c>
      <c r="C43" s="151" t="s">
        <v>596</v>
      </c>
      <c r="D43" s="150" t="s">
        <v>582</v>
      </c>
      <c r="E43" s="152">
        <v>1.4513888888888891</v>
      </c>
      <c r="F43" s="150" t="s">
        <v>117</v>
      </c>
      <c r="G43" s="153">
        <v>1</v>
      </c>
      <c r="H43" s="154" t="s">
        <v>598</v>
      </c>
    </row>
    <row r="44" spans="1:8" ht="19.8" customHeight="1" x14ac:dyDescent="0.3">
      <c r="A44" s="155">
        <v>45988</v>
      </c>
      <c r="B44" s="145" t="s">
        <v>26</v>
      </c>
      <c r="C44" s="146" t="s">
        <v>600</v>
      </c>
      <c r="D44" s="145" t="s">
        <v>582</v>
      </c>
      <c r="E44" s="156">
        <v>1.086805555555556</v>
      </c>
      <c r="F44" s="145" t="s">
        <v>44</v>
      </c>
      <c r="G44" s="145"/>
      <c r="H44" s="148" t="s">
        <v>45</v>
      </c>
    </row>
    <row r="45" spans="1:8" ht="19.8" customHeight="1" x14ac:dyDescent="0.3">
      <c r="A45" s="183"/>
      <c r="B45" s="184"/>
      <c r="C45" s="184"/>
      <c r="D45" s="184"/>
      <c r="E45" s="184"/>
      <c r="F45" s="185" t="s">
        <v>672</v>
      </c>
      <c r="G45" s="184"/>
      <c r="H45" s="186"/>
    </row>
    <row r="46" spans="1:8" ht="19.8" customHeight="1" x14ac:dyDescent="0.3">
      <c r="A46" s="149">
        <v>45988</v>
      </c>
      <c r="B46" s="150" t="s">
        <v>26</v>
      </c>
      <c r="C46" s="151" t="s">
        <v>161</v>
      </c>
      <c r="D46" s="150" t="s">
        <v>1</v>
      </c>
      <c r="E46" s="152">
        <v>1.0659722222222221</v>
      </c>
      <c r="F46" s="150" t="s">
        <v>28</v>
      </c>
      <c r="G46" s="153">
        <v>2</v>
      </c>
      <c r="H46" s="154" t="s">
        <v>36</v>
      </c>
    </row>
    <row r="47" spans="1:8" ht="19.8" customHeight="1" x14ac:dyDescent="0.3">
      <c r="A47" s="149">
        <v>45988</v>
      </c>
      <c r="B47" s="150" t="s">
        <v>52</v>
      </c>
      <c r="C47" s="151" t="s">
        <v>53</v>
      </c>
      <c r="D47" s="150" t="s">
        <v>1</v>
      </c>
      <c r="E47" s="152">
        <v>1.399305555555556</v>
      </c>
      <c r="F47" s="150" t="s">
        <v>56</v>
      </c>
      <c r="G47" s="153">
        <v>5</v>
      </c>
      <c r="H47" s="154" t="s">
        <v>177</v>
      </c>
    </row>
    <row r="48" spans="1:8" ht="19.8" customHeight="1" x14ac:dyDescent="0.3">
      <c r="A48" s="149">
        <v>45988</v>
      </c>
      <c r="B48" s="150" t="s">
        <v>52</v>
      </c>
      <c r="C48" s="151" t="s">
        <v>62</v>
      </c>
      <c r="D48" s="150" t="s">
        <v>1</v>
      </c>
      <c r="E48" s="152">
        <v>1.489583333333333</v>
      </c>
      <c r="F48" s="150" t="s">
        <v>56</v>
      </c>
      <c r="G48" s="153">
        <v>10</v>
      </c>
      <c r="H48" s="154" t="s">
        <v>177</v>
      </c>
    </row>
    <row r="49" spans="1:8" ht="19.8" customHeight="1" x14ac:dyDescent="0.3">
      <c r="A49" s="149">
        <v>45988</v>
      </c>
      <c r="B49" s="150" t="s">
        <v>52</v>
      </c>
      <c r="C49" s="151" t="s">
        <v>69</v>
      </c>
      <c r="D49" s="150" t="s">
        <v>1</v>
      </c>
      <c r="E49" s="152">
        <v>1.989583333333333</v>
      </c>
      <c r="F49" s="150" t="s">
        <v>56</v>
      </c>
      <c r="G49" s="153">
        <v>9</v>
      </c>
      <c r="H49" s="154" t="s">
        <v>177</v>
      </c>
    </row>
    <row r="50" spans="1:8" ht="19.8" customHeight="1" x14ac:dyDescent="0.3">
      <c r="A50" s="149">
        <v>45988</v>
      </c>
      <c r="B50" s="150" t="s">
        <v>26</v>
      </c>
      <c r="C50" s="151" t="s">
        <v>166</v>
      </c>
      <c r="D50" s="150" t="s">
        <v>1</v>
      </c>
      <c r="E50" s="152">
        <v>1.1875</v>
      </c>
      <c r="F50" s="150" t="s">
        <v>28</v>
      </c>
      <c r="G50" s="153">
        <v>9</v>
      </c>
      <c r="H50" s="154" t="s">
        <v>148</v>
      </c>
    </row>
    <row r="51" spans="1:8" ht="19.8" customHeight="1" x14ac:dyDescent="0.3">
      <c r="A51" s="149">
        <v>45988</v>
      </c>
      <c r="B51" s="150" t="s">
        <v>72</v>
      </c>
      <c r="C51" s="151" t="s">
        <v>76</v>
      </c>
      <c r="D51" s="150" t="s">
        <v>1</v>
      </c>
      <c r="E51" s="152">
        <v>1.493055555555556</v>
      </c>
      <c r="F51" s="150" t="s">
        <v>28</v>
      </c>
      <c r="G51" s="153">
        <v>9</v>
      </c>
      <c r="H51" s="154" t="s">
        <v>182</v>
      </c>
    </row>
    <row r="52" spans="1:8" ht="19.8" customHeight="1" x14ac:dyDescent="0.3">
      <c r="A52" s="149">
        <v>45988</v>
      </c>
      <c r="B52" s="150" t="s">
        <v>52</v>
      </c>
      <c r="C52" s="151" t="s">
        <v>66</v>
      </c>
      <c r="D52" s="150" t="s">
        <v>1</v>
      </c>
      <c r="E52" s="152">
        <v>1.8888888888888891</v>
      </c>
      <c r="F52" s="150" t="s">
        <v>56</v>
      </c>
      <c r="G52" s="153">
        <v>10</v>
      </c>
      <c r="H52" s="154" t="s">
        <v>59</v>
      </c>
    </row>
    <row r="53" spans="1:8" ht="19.8" customHeight="1" x14ac:dyDescent="0.3">
      <c r="A53" s="149">
        <v>45988</v>
      </c>
      <c r="B53" s="150" t="s">
        <v>79</v>
      </c>
      <c r="C53" s="151" t="s">
        <v>97</v>
      </c>
      <c r="D53" s="150" t="s">
        <v>1</v>
      </c>
      <c r="E53" s="152">
        <v>1.3472222222222221</v>
      </c>
      <c r="F53" s="150" t="s">
        <v>84</v>
      </c>
      <c r="G53" s="153">
        <v>9</v>
      </c>
      <c r="H53" s="154" t="s">
        <v>59</v>
      </c>
    </row>
    <row r="54" spans="1:8" ht="19.8" customHeight="1" x14ac:dyDescent="0.3">
      <c r="A54" s="149">
        <v>45988</v>
      </c>
      <c r="B54" s="150" t="s">
        <v>79</v>
      </c>
      <c r="C54" s="151" t="s">
        <v>80</v>
      </c>
      <c r="D54" s="150" t="s">
        <v>1</v>
      </c>
      <c r="E54" s="152">
        <v>1.993055555555556</v>
      </c>
      <c r="F54" s="150" t="s">
        <v>84</v>
      </c>
      <c r="G54" s="153">
        <v>2</v>
      </c>
      <c r="H54" s="154" t="s">
        <v>59</v>
      </c>
    </row>
    <row r="55" spans="1:8" ht="19.8" customHeight="1" x14ac:dyDescent="0.3">
      <c r="A55" s="187">
        <v>45988</v>
      </c>
      <c r="B55" s="188" t="s">
        <v>79</v>
      </c>
      <c r="C55" s="189" t="s">
        <v>93</v>
      </c>
      <c r="D55" s="188" t="s">
        <v>1</v>
      </c>
      <c r="E55" s="190">
        <v>1.4861111111111109</v>
      </c>
      <c r="F55" s="188" t="s">
        <v>84</v>
      </c>
      <c r="G55" s="191">
        <v>4</v>
      </c>
      <c r="H55" s="192" t="s">
        <v>59</v>
      </c>
    </row>
    <row r="56" spans="1:8" ht="19.8" customHeight="1" x14ac:dyDescent="0.3">
      <c r="A56" s="149">
        <v>45989</v>
      </c>
      <c r="B56" s="150" t="s">
        <v>108</v>
      </c>
      <c r="C56" s="151" t="s">
        <v>616</v>
      </c>
      <c r="D56" s="150" t="s">
        <v>582</v>
      </c>
      <c r="E56" s="152">
        <v>1.010416666666667</v>
      </c>
      <c r="F56" s="150" t="s">
        <v>586</v>
      </c>
      <c r="G56" s="153">
        <v>3</v>
      </c>
      <c r="H56" s="154" t="s">
        <v>617</v>
      </c>
    </row>
    <row r="57" spans="1:8" ht="19.8" customHeight="1" x14ac:dyDescent="0.3">
      <c r="A57" s="155">
        <v>45989</v>
      </c>
      <c r="B57" s="145" t="s">
        <v>26</v>
      </c>
      <c r="C57" s="146" t="s">
        <v>620</v>
      </c>
      <c r="D57" s="145" t="s">
        <v>582</v>
      </c>
      <c r="E57" s="156">
        <v>1.229166666666667</v>
      </c>
      <c r="F57" s="145" t="s">
        <v>28</v>
      </c>
      <c r="G57" s="147">
        <v>9</v>
      </c>
      <c r="H57" s="148" t="s">
        <v>36</v>
      </c>
    </row>
    <row r="58" spans="1:8" ht="19.8" customHeight="1" x14ac:dyDescent="0.3">
      <c r="A58" s="149">
        <v>45989</v>
      </c>
      <c r="B58" s="150" t="s">
        <v>108</v>
      </c>
      <c r="C58" s="151" t="s">
        <v>616</v>
      </c>
      <c r="D58" s="150" t="s">
        <v>582</v>
      </c>
      <c r="E58" s="152">
        <v>1.010416666666667</v>
      </c>
      <c r="F58" s="150" t="s">
        <v>588</v>
      </c>
      <c r="G58" s="153">
        <v>3</v>
      </c>
      <c r="H58" s="154" t="s">
        <v>618</v>
      </c>
    </row>
    <row r="59" spans="1:8" ht="19.8" customHeight="1" x14ac:dyDescent="0.3">
      <c r="A59" s="149">
        <v>45989</v>
      </c>
      <c r="B59" s="150" t="s">
        <v>108</v>
      </c>
      <c r="C59" s="151" t="s">
        <v>616</v>
      </c>
      <c r="D59" s="150" t="s">
        <v>582</v>
      </c>
      <c r="E59" s="152">
        <v>1.010416666666667</v>
      </c>
      <c r="F59" s="150" t="s">
        <v>60</v>
      </c>
      <c r="G59" s="153">
        <v>3</v>
      </c>
      <c r="H59" s="154" t="s">
        <v>619</v>
      </c>
    </row>
    <row r="60" spans="1:8" ht="19.8" customHeight="1" x14ac:dyDescent="0.3">
      <c r="A60" s="149">
        <v>45989</v>
      </c>
      <c r="B60" s="150" t="s">
        <v>115</v>
      </c>
      <c r="C60" s="151" t="s">
        <v>599</v>
      </c>
      <c r="D60" s="150" t="s">
        <v>582</v>
      </c>
      <c r="E60" s="152">
        <v>1.819444444444444</v>
      </c>
      <c r="F60" s="150" t="s">
        <v>117</v>
      </c>
      <c r="G60" s="153">
        <v>9</v>
      </c>
      <c r="H60" s="154" t="s">
        <v>622</v>
      </c>
    </row>
    <row r="61" spans="1:8" ht="19.8" customHeight="1" x14ac:dyDescent="0.3">
      <c r="A61" s="183"/>
      <c r="B61" s="184"/>
      <c r="C61" s="184"/>
      <c r="D61" s="184"/>
      <c r="E61" s="184"/>
      <c r="F61" s="185" t="s">
        <v>672</v>
      </c>
      <c r="G61" s="184"/>
      <c r="H61" s="186"/>
    </row>
    <row r="62" spans="1:8" ht="19.8" customHeight="1" x14ac:dyDescent="0.3">
      <c r="A62" s="149">
        <v>45989</v>
      </c>
      <c r="B62" s="150" t="s">
        <v>108</v>
      </c>
      <c r="C62" s="151" t="s">
        <v>155</v>
      </c>
      <c r="D62" s="150" t="s">
        <v>1</v>
      </c>
      <c r="E62" s="152">
        <v>1.225694444444444</v>
      </c>
      <c r="F62" s="150" t="s">
        <v>110</v>
      </c>
      <c r="G62" s="153">
        <v>9</v>
      </c>
      <c r="H62" s="154" t="s">
        <v>190</v>
      </c>
    </row>
    <row r="63" spans="1:8" ht="19.8" customHeight="1" x14ac:dyDescent="0.3">
      <c r="A63" s="149">
        <v>45989</v>
      </c>
      <c r="B63" s="150" t="s">
        <v>108</v>
      </c>
      <c r="C63" s="151" t="s">
        <v>155</v>
      </c>
      <c r="D63" s="150" t="s">
        <v>1</v>
      </c>
      <c r="E63" s="152">
        <v>1.225694444444444</v>
      </c>
      <c r="F63" s="150" t="s">
        <v>113</v>
      </c>
      <c r="G63" s="153">
        <v>9</v>
      </c>
      <c r="H63" s="154" t="s">
        <v>191</v>
      </c>
    </row>
    <row r="64" spans="1:8" ht="19.8" customHeight="1" x14ac:dyDescent="0.3">
      <c r="A64" s="149">
        <v>45989</v>
      </c>
      <c r="B64" s="150" t="s">
        <v>108</v>
      </c>
      <c r="C64" s="151" t="s">
        <v>193</v>
      </c>
      <c r="D64" s="150" t="s">
        <v>1</v>
      </c>
      <c r="E64" s="152">
        <v>1.8090277777777779</v>
      </c>
      <c r="F64" s="150" t="s">
        <v>110</v>
      </c>
      <c r="G64" s="153">
        <v>9</v>
      </c>
      <c r="H64" s="154" t="s">
        <v>194</v>
      </c>
    </row>
    <row r="65" spans="1:8" ht="19.8" customHeight="1" x14ac:dyDescent="0.3">
      <c r="A65" s="149">
        <v>45989</v>
      </c>
      <c r="B65" s="150" t="s">
        <v>108</v>
      </c>
      <c r="C65" s="151" t="s">
        <v>193</v>
      </c>
      <c r="D65" s="150" t="s">
        <v>1</v>
      </c>
      <c r="E65" s="152">
        <v>1.8090277777777779</v>
      </c>
      <c r="F65" s="150" t="s">
        <v>113</v>
      </c>
      <c r="G65" s="153">
        <v>9</v>
      </c>
      <c r="H65" s="154" t="s">
        <v>194</v>
      </c>
    </row>
    <row r="66" spans="1:8" ht="19.8" customHeight="1" x14ac:dyDescent="0.3">
      <c r="A66" s="149">
        <v>45989</v>
      </c>
      <c r="B66" s="150" t="s">
        <v>26</v>
      </c>
      <c r="C66" s="151" t="s">
        <v>34</v>
      </c>
      <c r="D66" s="150" t="s">
        <v>1</v>
      </c>
      <c r="E66" s="152">
        <v>1.5590277777777779</v>
      </c>
      <c r="F66" s="150" t="s">
        <v>28</v>
      </c>
      <c r="G66" s="153">
        <v>1</v>
      </c>
      <c r="H66" s="154" t="s">
        <v>171</v>
      </c>
    </row>
    <row r="67" spans="1:8" ht="19.8" customHeight="1" x14ac:dyDescent="0.3">
      <c r="A67" s="149">
        <v>45989</v>
      </c>
      <c r="B67" s="150" t="s">
        <v>26</v>
      </c>
      <c r="C67" s="151" t="s">
        <v>27</v>
      </c>
      <c r="D67" s="150" t="s">
        <v>1</v>
      </c>
      <c r="E67" s="152">
        <v>1.28125</v>
      </c>
      <c r="F67" s="150" t="s">
        <v>28</v>
      </c>
      <c r="G67" s="153">
        <v>9</v>
      </c>
      <c r="H67" s="154" t="s">
        <v>171</v>
      </c>
    </row>
    <row r="68" spans="1:8" ht="19.8" customHeight="1" x14ac:dyDescent="0.3">
      <c r="A68" s="149">
        <v>45989</v>
      </c>
      <c r="B68" s="150" t="s">
        <v>26</v>
      </c>
      <c r="C68" s="151" t="s">
        <v>199</v>
      </c>
      <c r="D68" s="150" t="s">
        <v>1</v>
      </c>
      <c r="E68" s="152">
        <v>1.4375</v>
      </c>
      <c r="F68" s="150" t="s">
        <v>28</v>
      </c>
      <c r="G68" s="153">
        <v>2</v>
      </c>
      <c r="H68" s="154" t="s">
        <v>171</v>
      </c>
    </row>
    <row r="69" spans="1:8" ht="19.8" customHeight="1" x14ac:dyDescent="0.3">
      <c r="A69" s="149">
        <v>45989</v>
      </c>
      <c r="B69" s="150" t="s">
        <v>52</v>
      </c>
      <c r="C69" s="151" t="s">
        <v>53</v>
      </c>
      <c r="D69" s="150" t="s">
        <v>1</v>
      </c>
      <c r="E69" s="152">
        <v>1.399305555555556</v>
      </c>
      <c r="F69" s="150" t="s">
        <v>56</v>
      </c>
      <c r="G69" s="153">
        <v>1</v>
      </c>
      <c r="H69" s="154" t="s">
        <v>61</v>
      </c>
    </row>
    <row r="70" spans="1:8" ht="19.8" customHeight="1" x14ac:dyDescent="0.3">
      <c r="A70" s="149">
        <v>45989</v>
      </c>
      <c r="B70" s="150" t="s">
        <v>52</v>
      </c>
      <c r="C70" s="151" t="s">
        <v>62</v>
      </c>
      <c r="D70" s="150" t="s">
        <v>1</v>
      </c>
      <c r="E70" s="152">
        <v>1.489583333333333</v>
      </c>
      <c r="F70" s="150" t="s">
        <v>56</v>
      </c>
      <c r="G70" s="153">
        <v>1</v>
      </c>
      <c r="H70" s="154" t="s">
        <v>61</v>
      </c>
    </row>
    <row r="71" spans="1:8" ht="19.8" customHeight="1" x14ac:dyDescent="0.3">
      <c r="A71" s="187">
        <v>45989</v>
      </c>
      <c r="B71" s="188" t="s">
        <v>52</v>
      </c>
      <c r="C71" s="189" t="s">
        <v>66</v>
      </c>
      <c r="D71" s="188" t="s">
        <v>1</v>
      </c>
      <c r="E71" s="190">
        <v>1.8888888888888891</v>
      </c>
      <c r="F71" s="188" t="s">
        <v>54</v>
      </c>
      <c r="G71" s="191">
        <v>2</v>
      </c>
      <c r="H71" s="192" t="s">
        <v>89</v>
      </c>
    </row>
    <row r="72" spans="1:8" ht="19.8" customHeight="1" x14ac:dyDescent="0.3">
      <c r="A72" s="149">
        <v>45990</v>
      </c>
      <c r="B72" s="150" t="s">
        <v>52</v>
      </c>
      <c r="C72" s="151" t="s">
        <v>583</v>
      </c>
      <c r="D72" s="150" t="s">
        <v>582</v>
      </c>
      <c r="E72" s="152">
        <v>1.3611111111111109</v>
      </c>
      <c r="F72" s="150" t="s">
        <v>584</v>
      </c>
      <c r="G72" s="153">
        <v>3</v>
      </c>
      <c r="H72" s="154" t="s">
        <v>240</v>
      </c>
    </row>
    <row r="73" spans="1:8" ht="19.8" customHeight="1" x14ac:dyDescent="0.3">
      <c r="A73" s="149">
        <v>45990</v>
      </c>
      <c r="B73" s="150" t="s">
        <v>52</v>
      </c>
      <c r="C73" s="151" t="s">
        <v>583</v>
      </c>
      <c r="D73" s="150" t="s">
        <v>582</v>
      </c>
      <c r="E73" s="152">
        <v>1.3611111111111109</v>
      </c>
      <c r="F73" s="150" t="s">
        <v>586</v>
      </c>
      <c r="G73" s="153">
        <v>3</v>
      </c>
      <c r="H73" s="154" t="s">
        <v>623</v>
      </c>
    </row>
    <row r="74" spans="1:8" ht="19.8" customHeight="1" x14ac:dyDescent="0.3">
      <c r="A74" s="149">
        <v>45990</v>
      </c>
      <c r="B74" s="150" t="s">
        <v>52</v>
      </c>
      <c r="C74" s="151" t="s">
        <v>583</v>
      </c>
      <c r="D74" s="150" t="s">
        <v>582</v>
      </c>
      <c r="E74" s="152">
        <v>1.3611111111111109</v>
      </c>
      <c r="F74" s="150" t="s">
        <v>588</v>
      </c>
      <c r="G74" s="153">
        <v>3</v>
      </c>
      <c r="H74" s="154" t="s">
        <v>624</v>
      </c>
    </row>
    <row r="75" spans="1:8" ht="19.8" customHeight="1" x14ac:dyDescent="0.3">
      <c r="A75" s="149">
        <v>45990</v>
      </c>
      <c r="B75" s="150" t="s">
        <v>108</v>
      </c>
      <c r="C75" s="151" t="s">
        <v>592</v>
      </c>
      <c r="D75" s="150" t="s">
        <v>582</v>
      </c>
      <c r="E75" s="152">
        <v>1.3611111111111109</v>
      </c>
      <c r="F75" s="150" t="s">
        <v>586</v>
      </c>
      <c r="G75" s="153">
        <v>9</v>
      </c>
      <c r="H75" s="154" t="s">
        <v>626</v>
      </c>
    </row>
    <row r="76" spans="1:8" ht="19.8" customHeight="1" x14ac:dyDescent="0.3">
      <c r="A76" s="155">
        <v>45990</v>
      </c>
      <c r="B76" s="145" t="s">
        <v>26</v>
      </c>
      <c r="C76" s="146" t="s">
        <v>620</v>
      </c>
      <c r="D76" s="145" t="s">
        <v>582</v>
      </c>
      <c r="E76" s="156">
        <v>1.604166666666667</v>
      </c>
      <c r="F76" s="145" t="s">
        <v>28</v>
      </c>
      <c r="G76" s="147">
        <v>2</v>
      </c>
      <c r="H76" s="148" t="s">
        <v>181</v>
      </c>
    </row>
    <row r="77" spans="1:8" ht="19.8" customHeight="1" x14ac:dyDescent="0.3">
      <c r="A77" s="149">
        <v>45990</v>
      </c>
      <c r="B77" s="150" t="s">
        <v>52</v>
      </c>
      <c r="C77" s="151" t="s">
        <v>583</v>
      </c>
      <c r="D77" s="150" t="s">
        <v>582</v>
      </c>
      <c r="E77" s="152">
        <v>1.3611111111111109</v>
      </c>
      <c r="F77" s="150" t="s">
        <v>590</v>
      </c>
      <c r="G77" s="153">
        <v>3</v>
      </c>
      <c r="H77" s="154" t="s">
        <v>625</v>
      </c>
    </row>
    <row r="78" spans="1:8" ht="19.8" customHeight="1" x14ac:dyDescent="0.3">
      <c r="A78" s="149">
        <v>45990</v>
      </c>
      <c r="B78" s="150" t="s">
        <v>108</v>
      </c>
      <c r="C78" s="151" t="s">
        <v>592</v>
      </c>
      <c r="D78" s="150" t="s">
        <v>582</v>
      </c>
      <c r="E78" s="152">
        <v>1.3611111111111109</v>
      </c>
      <c r="F78" s="150" t="s">
        <v>588</v>
      </c>
      <c r="G78" s="153">
        <v>9</v>
      </c>
      <c r="H78" s="154" t="s">
        <v>627</v>
      </c>
    </row>
    <row r="79" spans="1:8" ht="19.8" customHeight="1" x14ac:dyDescent="0.3">
      <c r="A79" s="149">
        <v>45990</v>
      </c>
      <c r="B79" s="150" t="s">
        <v>108</v>
      </c>
      <c r="C79" s="151" t="s">
        <v>592</v>
      </c>
      <c r="D79" s="150" t="s">
        <v>582</v>
      </c>
      <c r="E79" s="152">
        <v>1.3611111111111109</v>
      </c>
      <c r="F79" s="150" t="s">
        <v>60</v>
      </c>
      <c r="G79" s="153">
        <v>9</v>
      </c>
      <c r="H79" s="154" t="s">
        <v>628</v>
      </c>
    </row>
    <row r="80" spans="1:8" ht="19.8" customHeight="1" x14ac:dyDescent="0.3">
      <c r="A80" s="149">
        <v>45990</v>
      </c>
      <c r="B80" s="150" t="s">
        <v>115</v>
      </c>
      <c r="C80" s="151" t="s">
        <v>596</v>
      </c>
      <c r="D80" s="150" t="s">
        <v>582</v>
      </c>
      <c r="E80" s="152">
        <v>1.4513888888888891</v>
      </c>
      <c r="F80" s="150" t="s">
        <v>117</v>
      </c>
      <c r="G80" s="153">
        <v>9</v>
      </c>
      <c r="H80" s="154" t="s">
        <v>622</v>
      </c>
    </row>
    <row r="81" spans="1:8" ht="19.8" customHeight="1" x14ac:dyDescent="0.3">
      <c r="A81" s="149">
        <v>45990</v>
      </c>
      <c r="B81" s="150" t="s">
        <v>115</v>
      </c>
      <c r="C81" s="151" t="s">
        <v>599</v>
      </c>
      <c r="D81" s="150" t="s">
        <v>582</v>
      </c>
      <c r="E81" s="152">
        <v>1.819444444444444</v>
      </c>
      <c r="F81" s="150" t="s">
        <v>117</v>
      </c>
      <c r="G81" s="153">
        <v>5</v>
      </c>
      <c r="H81" s="154" t="s">
        <v>631</v>
      </c>
    </row>
    <row r="82" spans="1:8" ht="19.8" customHeight="1" x14ac:dyDescent="0.3">
      <c r="A82" s="155">
        <v>45990</v>
      </c>
      <c r="B82" s="145" t="s">
        <v>26</v>
      </c>
      <c r="C82" s="146" t="s">
        <v>604</v>
      </c>
      <c r="D82" s="145" t="s">
        <v>582</v>
      </c>
      <c r="E82" s="156">
        <v>1.270833333333333</v>
      </c>
      <c r="F82" s="145" t="s">
        <v>44</v>
      </c>
      <c r="G82" s="145"/>
      <c r="H82" s="148" t="s">
        <v>45</v>
      </c>
    </row>
    <row r="83" spans="1:8" ht="19.8" customHeight="1" x14ac:dyDescent="0.3">
      <c r="A83" s="183"/>
      <c r="B83" s="184"/>
      <c r="C83" s="184"/>
      <c r="D83" s="184"/>
      <c r="E83" s="184"/>
      <c r="F83" s="185" t="s">
        <v>672</v>
      </c>
      <c r="G83" s="184"/>
      <c r="H83" s="186"/>
    </row>
    <row r="84" spans="1:8" ht="19.8" customHeight="1" x14ac:dyDescent="0.3">
      <c r="A84" s="149">
        <v>45990</v>
      </c>
      <c r="B84" s="150" t="s">
        <v>108</v>
      </c>
      <c r="C84" s="151" t="s">
        <v>155</v>
      </c>
      <c r="D84" s="150" t="s">
        <v>1</v>
      </c>
      <c r="E84" s="152">
        <v>1.1701388888888891</v>
      </c>
      <c r="F84" s="150" t="s">
        <v>110</v>
      </c>
      <c r="G84" s="153">
        <v>9</v>
      </c>
      <c r="H84" s="154" t="s">
        <v>219</v>
      </c>
    </row>
    <row r="85" spans="1:8" ht="19.8" customHeight="1" x14ac:dyDescent="0.3">
      <c r="A85" s="149">
        <v>45990</v>
      </c>
      <c r="B85" s="150" t="s">
        <v>108</v>
      </c>
      <c r="C85" s="151" t="s">
        <v>155</v>
      </c>
      <c r="D85" s="150" t="s">
        <v>1</v>
      </c>
      <c r="E85" s="152">
        <v>1.1701388888888891</v>
      </c>
      <c r="F85" s="150" t="s">
        <v>113</v>
      </c>
      <c r="G85" s="153">
        <v>9</v>
      </c>
      <c r="H85" s="154" t="s">
        <v>219</v>
      </c>
    </row>
    <row r="86" spans="1:8" ht="19.8" customHeight="1" x14ac:dyDescent="0.3">
      <c r="A86" s="149">
        <v>45990</v>
      </c>
      <c r="B86" s="150" t="s">
        <v>72</v>
      </c>
      <c r="C86" s="151" t="s">
        <v>73</v>
      </c>
      <c r="D86" s="150" t="s">
        <v>1</v>
      </c>
      <c r="E86" s="152">
        <v>1.041666666666667</v>
      </c>
      <c r="F86" s="150" t="s">
        <v>28</v>
      </c>
      <c r="G86" s="153">
        <v>6</v>
      </c>
      <c r="H86" s="154" t="s">
        <v>182</v>
      </c>
    </row>
    <row r="87" spans="1:8" ht="19.8" customHeight="1" x14ac:dyDescent="0.3">
      <c r="A87" s="149">
        <v>45990</v>
      </c>
      <c r="B87" s="150" t="s">
        <v>108</v>
      </c>
      <c r="C87" s="151" t="s">
        <v>109</v>
      </c>
      <c r="D87" s="150" t="s">
        <v>1</v>
      </c>
      <c r="E87" s="152">
        <v>1.055555555555556</v>
      </c>
      <c r="F87" s="150" t="s">
        <v>113</v>
      </c>
      <c r="G87" s="153">
        <v>9</v>
      </c>
      <c r="H87" s="154" t="s">
        <v>221</v>
      </c>
    </row>
    <row r="88" spans="1:8" ht="19.8" customHeight="1" x14ac:dyDescent="0.3">
      <c r="A88" s="149">
        <v>45990</v>
      </c>
      <c r="B88" s="150" t="s">
        <v>52</v>
      </c>
      <c r="C88" s="151" t="s">
        <v>53</v>
      </c>
      <c r="D88" s="150" t="s">
        <v>1</v>
      </c>
      <c r="E88" s="152">
        <v>1.399305555555556</v>
      </c>
      <c r="F88" s="150" t="s">
        <v>54</v>
      </c>
      <c r="G88" s="153">
        <v>8</v>
      </c>
      <c r="H88" s="154" t="s">
        <v>89</v>
      </c>
    </row>
    <row r="89" spans="1:8" ht="19.8" customHeight="1" x14ac:dyDescent="0.3">
      <c r="A89" s="149">
        <v>45990</v>
      </c>
      <c r="B89" s="150" t="s">
        <v>52</v>
      </c>
      <c r="C89" s="151" t="s">
        <v>53</v>
      </c>
      <c r="D89" s="150" t="s">
        <v>1</v>
      </c>
      <c r="E89" s="152">
        <v>1.399305555555556</v>
      </c>
      <c r="F89" s="150" t="s">
        <v>56</v>
      </c>
      <c r="G89" s="153">
        <v>8</v>
      </c>
      <c r="H89" s="154" t="s">
        <v>89</v>
      </c>
    </row>
    <row r="90" spans="1:8" ht="19.8" customHeight="1" x14ac:dyDescent="0.3">
      <c r="A90" s="149">
        <v>45990</v>
      </c>
      <c r="B90" s="150" t="s">
        <v>52</v>
      </c>
      <c r="C90" s="151" t="s">
        <v>69</v>
      </c>
      <c r="D90" s="150" t="s">
        <v>1</v>
      </c>
      <c r="E90" s="152">
        <v>1.989583333333333</v>
      </c>
      <c r="F90" s="150" t="s">
        <v>54</v>
      </c>
      <c r="G90" s="153">
        <v>7</v>
      </c>
      <c r="H90" s="154" t="s">
        <v>89</v>
      </c>
    </row>
    <row r="91" spans="1:8" ht="19.8" customHeight="1" x14ac:dyDescent="0.3">
      <c r="A91" s="149">
        <v>45990</v>
      </c>
      <c r="B91" s="150" t="s">
        <v>52</v>
      </c>
      <c r="C91" s="151" t="s">
        <v>69</v>
      </c>
      <c r="D91" s="150" t="s">
        <v>1</v>
      </c>
      <c r="E91" s="152">
        <v>1.989583333333333</v>
      </c>
      <c r="F91" s="150" t="s">
        <v>56</v>
      </c>
      <c r="G91" s="153">
        <v>7</v>
      </c>
      <c r="H91" s="154" t="s">
        <v>89</v>
      </c>
    </row>
    <row r="92" spans="1:8" ht="19.8" customHeight="1" x14ac:dyDescent="0.3">
      <c r="A92" s="149">
        <v>45990</v>
      </c>
      <c r="B92" s="150" t="s">
        <v>108</v>
      </c>
      <c r="C92" s="151" t="s">
        <v>155</v>
      </c>
      <c r="D92" s="150" t="s">
        <v>1</v>
      </c>
      <c r="E92" s="152">
        <v>1.1701388888888891</v>
      </c>
      <c r="F92" s="150" t="s">
        <v>60</v>
      </c>
      <c r="G92" s="153">
        <v>9</v>
      </c>
      <c r="H92" s="154" t="s">
        <v>220</v>
      </c>
    </row>
    <row r="93" spans="1:8" ht="19.8" customHeight="1" x14ac:dyDescent="0.3">
      <c r="A93" s="187">
        <v>45990</v>
      </c>
      <c r="B93" s="188" t="s">
        <v>72</v>
      </c>
      <c r="C93" s="189" t="s">
        <v>76</v>
      </c>
      <c r="D93" s="188" t="s">
        <v>1</v>
      </c>
      <c r="E93" s="190">
        <v>1.493055555555556</v>
      </c>
      <c r="F93" s="188" t="s">
        <v>28</v>
      </c>
      <c r="G93" s="191">
        <v>9</v>
      </c>
      <c r="H93" s="192" t="s">
        <v>208</v>
      </c>
    </row>
    <row r="94" spans="1:8" ht="19.8" customHeight="1" x14ac:dyDescent="0.3">
      <c r="A94" s="149">
        <v>45991</v>
      </c>
      <c r="B94" s="150" t="s">
        <v>108</v>
      </c>
      <c r="C94" s="151" t="s">
        <v>592</v>
      </c>
      <c r="D94" s="150" t="s">
        <v>582</v>
      </c>
      <c r="E94" s="152">
        <v>1.3611111111111109</v>
      </c>
      <c r="F94" s="150" t="s">
        <v>586</v>
      </c>
      <c r="G94" s="153">
        <v>9</v>
      </c>
      <c r="H94" s="154" t="s">
        <v>632</v>
      </c>
    </row>
    <row r="95" spans="1:8" ht="19.8" customHeight="1" x14ac:dyDescent="0.3">
      <c r="A95" s="149">
        <v>45991</v>
      </c>
      <c r="B95" s="150" t="s">
        <v>108</v>
      </c>
      <c r="C95" s="151" t="s">
        <v>592</v>
      </c>
      <c r="D95" s="150" t="s">
        <v>582</v>
      </c>
      <c r="E95" s="152">
        <v>1.3611111111111109</v>
      </c>
      <c r="F95" s="150" t="s">
        <v>588</v>
      </c>
      <c r="G95" s="153">
        <v>9</v>
      </c>
      <c r="H95" s="154" t="s">
        <v>633</v>
      </c>
    </row>
    <row r="96" spans="1:8" ht="19.8" customHeight="1" x14ac:dyDescent="0.3">
      <c r="A96" s="149">
        <v>45991</v>
      </c>
      <c r="B96" s="150" t="s">
        <v>108</v>
      </c>
      <c r="C96" s="151" t="s">
        <v>592</v>
      </c>
      <c r="D96" s="150" t="s">
        <v>582</v>
      </c>
      <c r="E96" s="152">
        <v>1.3611111111111109</v>
      </c>
      <c r="F96" s="150" t="s">
        <v>60</v>
      </c>
      <c r="G96" s="153">
        <v>9</v>
      </c>
      <c r="H96" s="154" t="s">
        <v>634</v>
      </c>
    </row>
    <row r="97" spans="1:8" ht="19.8" customHeight="1" x14ac:dyDescent="0.3">
      <c r="A97" s="149">
        <v>45991</v>
      </c>
      <c r="B97" s="150" t="s">
        <v>115</v>
      </c>
      <c r="C97" s="151" t="s">
        <v>599</v>
      </c>
      <c r="D97" s="150" t="s">
        <v>582</v>
      </c>
      <c r="E97" s="152">
        <v>1.819444444444444</v>
      </c>
      <c r="F97" s="150" t="s">
        <v>117</v>
      </c>
      <c r="G97" s="153">
        <v>6</v>
      </c>
      <c r="H97" s="154" t="s">
        <v>635</v>
      </c>
    </row>
    <row r="98" spans="1:8" ht="19.8" customHeight="1" x14ac:dyDescent="0.3">
      <c r="A98" s="155">
        <v>45991</v>
      </c>
      <c r="B98" s="145" t="s">
        <v>26</v>
      </c>
      <c r="C98" s="146" t="s">
        <v>600</v>
      </c>
      <c r="D98" s="145" t="s">
        <v>582</v>
      </c>
      <c r="E98" s="156">
        <v>1.4965277777777779</v>
      </c>
      <c r="F98" s="145" t="s">
        <v>44</v>
      </c>
      <c r="G98" s="145"/>
      <c r="H98" s="148" t="s">
        <v>45</v>
      </c>
    </row>
    <row r="99" spans="1:8" ht="19.8" customHeight="1" x14ac:dyDescent="0.3">
      <c r="A99" s="155">
        <v>45991</v>
      </c>
      <c r="B99" s="145" t="s">
        <v>26</v>
      </c>
      <c r="C99" s="146" t="s">
        <v>604</v>
      </c>
      <c r="D99" s="145" t="s">
        <v>582</v>
      </c>
      <c r="E99" s="156">
        <v>1.5798611111111109</v>
      </c>
      <c r="F99" s="145" t="s">
        <v>44</v>
      </c>
      <c r="G99" s="145"/>
      <c r="H99" s="148" t="s">
        <v>45</v>
      </c>
    </row>
    <row r="100" spans="1:8" ht="19.8" customHeight="1" x14ac:dyDescent="0.3">
      <c r="A100" s="183"/>
      <c r="B100" s="184"/>
      <c r="C100" s="184"/>
      <c r="D100" s="184"/>
      <c r="E100" s="184"/>
      <c r="F100" s="185" t="s">
        <v>672</v>
      </c>
      <c r="G100" s="184"/>
      <c r="H100" s="186"/>
    </row>
    <row r="101" spans="1:8" ht="19.8" customHeight="1" x14ac:dyDescent="0.3">
      <c r="A101" s="149">
        <v>45991</v>
      </c>
      <c r="B101" s="150" t="s">
        <v>52</v>
      </c>
      <c r="C101" s="151" t="s">
        <v>53</v>
      </c>
      <c r="D101" s="150" t="s">
        <v>1</v>
      </c>
      <c r="E101" s="152">
        <v>1.399305555555556</v>
      </c>
      <c r="F101" s="150" t="s">
        <v>56</v>
      </c>
      <c r="G101" s="153">
        <v>10</v>
      </c>
      <c r="H101" s="154" t="s">
        <v>55</v>
      </c>
    </row>
    <row r="102" spans="1:8" ht="19.8" customHeight="1" x14ac:dyDescent="0.3">
      <c r="A102" s="149">
        <v>45991</v>
      </c>
      <c r="B102" s="150" t="s">
        <v>52</v>
      </c>
      <c r="C102" s="151" t="s">
        <v>62</v>
      </c>
      <c r="D102" s="150" t="s">
        <v>1</v>
      </c>
      <c r="E102" s="152">
        <v>1.489583333333333</v>
      </c>
      <c r="F102" s="150" t="s">
        <v>56</v>
      </c>
      <c r="G102" s="153">
        <v>1</v>
      </c>
      <c r="H102" s="154" t="s">
        <v>55</v>
      </c>
    </row>
    <row r="103" spans="1:8" ht="19.8" customHeight="1" x14ac:dyDescent="0.3">
      <c r="A103" s="149">
        <v>45991</v>
      </c>
      <c r="B103" s="150" t="s">
        <v>52</v>
      </c>
      <c r="C103" s="151" t="s">
        <v>66</v>
      </c>
      <c r="D103" s="150" t="s">
        <v>1</v>
      </c>
      <c r="E103" s="152">
        <v>1.8888888888888891</v>
      </c>
      <c r="F103" s="150" t="s">
        <v>56</v>
      </c>
      <c r="G103" s="153">
        <v>4</v>
      </c>
      <c r="H103" s="154" t="s">
        <v>36</v>
      </c>
    </row>
    <row r="104" spans="1:8" ht="19.8" customHeight="1" x14ac:dyDescent="0.3">
      <c r="A104" s="149">
        <v>45991</v>
      </c>
      <c r="B104" s="150" t="s">
        <v>52</v>
      </c>
      <c r="C104" s="151" t="s">
        <v>69</v>
      </c>
      <c r="D104" s="150" t="s">
        <v>1</v>
      </c>
      <c r="E104" s="152">
        <v>1.989583333333333</v>
      </c>
      <c r="F104" s="150" t="s">
        <v>56</v>
      </c>
      <c r="G104" s="153">
        <v>6</v>
      </c>
      <c r="H104" s="154" t="s">
        <v>36</v>
      </c>
    </row>
    <row r="105" spans="1:8" ht="19.8" customHeight="1" x14ac:dyDescent="0.3">
      <c r="A105" s="149">
        <v>45991</v>
      </c>
      <c r="B105" s="150" t="s">
        <v>72</v>
      </c>
      <c r="C105" s="151" t="s">
        <v>73</v>
      </c>
      <c r="D105" s="150" t="s">
        <v>1</v>
      </c>
      <c r="E105" s="152">
        <v>1.2048611111111109</v>
      </c>
      <c r="F105" s="150" t="s">
        <v>28</v>
      </c>
      <c r="G105" s="153">
        <v>3</v>
      </c>
      <c r="H105" s="154" t="s">
        <v>75</v>
      </c>
    </row>
    <row r="106" spans="1:8" ht="19.8" customHeight="1" x14ac:dyDescent="0.3">
      <c r="A106" s="149">
        <v>45991</v>
      </c>
      <c r="B106" s="150" t="s">
        <v>108</v>
      </c>
      <c r="C106" s="151" t="s">
        <v>155</v>
      </c>
      <c r="D106" s="150" t="s">
        <v>1</v>
      </c>
      <c r="E106" s="152">
        <v>1.229166666666667</v>
      </c>
      <c r="F106" s="150" t="s">
        <v>113</v>
      </c>
      <c r="G106" s="153">
        <v>9</v>
      </c>
      <c r="H106" s="154" t="s">
        <v>238</v>
      </c>
    </row>
    <row r="107" spans="1:8" ht="19.8" customHeight="1" x14ac:dyDescent="0.3">
      <c r="A107" s="149">
        <v>45991</v>
      </c>
      <c r="B107" s="150" t="s">
        <v>79</v>
      </c>
      <c r="C107" s="151" t="s">
        <v>97</v>
      </c>
      <c r="D107" s="150" t="s">
        <v>1</v>
      </c>
      <c r="E107" s="152">
        <v>1.3472222222222221</v>
      </c>
      <c r="F107" s="150" t="s">
        <v>84</v>
      </c>
      <c r="G107" s="153">
        <v>8</v>
      </c>
      <c r="H107" s="154" t="s">
        <v>240</v>
      </c>
    </row>
    <row r="108" spans="1:8" ht="19.8" customHeight="1" x14ac:dyDescent="0.3">
      <c r="A108" s="149">
        <v>45991</v>
      </c>
      <c r="B108" s="150" t="s">
        <v>79</v>
      </c>
      <c r="C108" s="151" t="s">
        <v>100</v>
      </c>
      <c r="D108" s="150" t="s">
        <v>1</v>
      </c>
      <c r="E108" s="152">
        <v>1.836805555555556</v>
      </c>
      <c r="F108" s="150" t="s">
        <v>84</v>
      </c>
      <c r="G108" s="153">
        <v>9</v>
      </c>
      <c r="H108" s="154" t="s">
        <v>240</v>
      </c>
    </row>
    <row r="109" spans="1:8" ht="19.8" customHeight="1" x14ac:dyDescent="0.3">
      <c r="A109" s="149">
        <v>45991</v>
      </c>
      <c r="B109" s="150" t="s">
        <v>79</v>
      </c>
      <c r="C109" s="151" t="s">
        <v>90</v>
      </c>
      <c r="D109" s="150" t="s">
        <v>1</v>
      </c>
      <c r="E109" s="152">
        <v>1.944444444444444</v>
      </c>
      <c r="F109" s="150" t="s">
        <v>84</v>
      </c>
      <c r="G109" s="153">
        <v>3</v>
      </c>
      <c r="H109" s="154" t="s">
        <v>240</v>
      </c>
    </row>
    <row r="110" spans="1:8" ht="19.8" customHeight="1" x14ac:dyDescent="0.3">
      <c r="A110" s="187">
        <v>45991</v>
      </c>
      <c r="B110" s="188" t="s">
        <v>79</v>
      </c>
      <c r="C110" s="189" t="s">
        <v>93</v>
      </c>
      <c r="D110" s="188" t="s">
        <v>1</v>
      </c>
      <c r="E110" s="190">
        <v>1.4861111111111109</v>
      </c>
      <c r="F110" s="188" t="s">
        <v>84</v>
      </c>
      <c r="G110" s="191">
        <v>5</v>
      </c>
      <c r="H110" s="192" t="s">
        <v>240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N109"/>
  <sheetViews>
    <sheetView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8.44140625" bestFit="1" customWidth="1"/>
  </cols>
  <sheetData>
    <row r="1" spans="1:92" ht="28.8" customHeight="1" x14ac:dyDescent="0.3">
      <c r="A1" s="208" t="s">
        <v>0</v>
      </c>
      <c r="B1" s="207"/>
      <c r="C1" s="207"/>
      <c r="D1" s="207"/>
      <c r="E1" s="207"/>
      <c r="F1" s="1" t="s">
        <v>675</v>
      </c>
      <c r="G1" s="2" t="s">
        <v>2</v>
      </c>
      <c r="H1" s="206">
        <v>45986</v>
      </c>
      <c r="I1" s="207"/>
      <c r="J1" s="207"/>
      <c r="K1" s="207"/>
      <c r="L1" s="207"/>
      <c r="M1" s="1" t="s">
        <v>3</v>
      </c>
      <c r="N1" s="216">
        <v>45991</v>
      </c>
      <c r="O1" s="207"/>
      <c r="P1" s="207"/>
      <c r="Q1" s="207"/>
      <c r="R1" s="207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10" t="s">
        <v>4</v>
      </c>
      <c r="B2" s="207"/>
      <c r="C2" s="207"/>
      <c r="D2" s="207"/>
      <c r="E2" s="207"/>
      <c r="F2" s="207"/>
      <c r="G2" s="213">
        <v>45982.183734646853</v>
      </c>
      <c r="H2" s="207"/>
      <c r="I2" s="207"/>
      <c r="J2" s="207"/>
      <c r="K2" s="217">
        <v>45982.183734647137</v>
      </c>
      <c r="L2" s="207"/>
      <c r="M2" s="207"/>
      <c r="N2" s="207"/>
      <c r="O2" s="207"/>
      <c r="P2" s="207"/>
      <c r="Q2" s="207"/>
      <c r="R2" s="20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11" t="s">
        <v>5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14" t="s">
        <v>6</v>
      </c>
      <c r="B4" s="204"/>
      <c r="C4" s="204"/>
      <c r="D4" s="204"/>
      <c r="E4" s="204"/>
      <c r="F4" s="205"/>
      <c r="G4" s="4">
        <v>45986</v>
      </c>
      <c r="H4" s="209" t="s">
        <v>7</v>
      </c>
      <c r="I4" s="204"/>
      <c r="J4" s="204"/>
      <c r="K4" s="204"/>
      <c r="L4" s="204"/>
      <c r="M4" s="204"/>
      <c r="N4" s="204"/>
      <c r="O4" s="204"/>
      <c r="P4" s="204"/>
      <c r="Q4" s="204"/>
      <c r="R4" s="20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79" t="s">
        <v>26</v>
      </c>
      <c r="B6" s="179" t="s">
        <v>676</v>
      </c>
      <c r="C6" s="180">
        <v>0.16666666666666671</v>
      </c>
      <c r="D6" s="179" t="s">
        <v>28</v>
      </c>
      <c r="E6" s="179" t="s">
        <v>74</v>
      </c>
      <c r="F6" s="179" t="s">
        <v>677</v>
      </c>
      <c r="G6" s="215"/>
      <c r="H6" s="42" t="s">
        <v>678</v>
      </c>
      <c r="I6" s="124">
        <v>0.72219999999999995</v>
      </c>
      <c r="J6" s="44">
        <v>130</v>
      </c>
      <c r="K6" s="45">
        <v>45981</v>
      </c>
      <c r="L6" s="44">
        <v>53</v>
      </c>
      <c r="M6" s="44">
        <v>0</v>
      </c>
      <c r="N6" s="44">
        <v>11</v>
      </c>
      <c r="O6" s="46" t="s">
        <v>369</v>
      </c>
      <c r="P6" s="47">
        <v>0.16666666666666671</v>
      </c>
      <c r="Q6" s="44">
        <v>180</v>
      </c>
      <c r="R6" s="48" t="s">
        <v>679</v>
      </c>
    </row>
    <row r="7" spans="1:92" ht="15" customHeight="1" x14ac:dyDescent="0.3">
      <c r="A7" s="17" t="s">
        <v>26</v>
      </c>
      <c r="B7" s="17" t="s">
        <v>680</v>
      </c>
      <c r="C7" s="18">
        <v>0.52777777777777779</v>
      </c>
      <c r="D7" s="17" t="s">
        <v>28</v>
      </c>
      <c r="E7" s="17" t="s">
        <v>160</v>
      </c>
      <c r="F7" s="17" t="s">
        <v>681</v>
      </c>
      <c r="G7" s="201"/>
      <c r="H7" s="19" t="s">
        <v>682</v>
      </c>
      <c r="I7" s="105">
        <v>0.82220000000000004</v>
      </c>
      <c r="J7" s="21">
        <v>148</v>
      </c>
      <c r="K7" s="22">
        <v>45981</v>
      </c>
      <c r="L7" s="21">
        <v>66</v>
      </c>
      <c r="M7" s="21">
        <v>0</v>
      </c>
      <c r="N7" s="21">
        <v>15</v>
      </c>
      <c r="O7" s="23" t="s">
        <v>347</v>
      </c>
      <c r="P7" s="24">
        <v>0.52777777777777779</v>
      </c>
      <c r="Q7" s="21">
        <v>180</v>
      </c>
      <c r="R7" s="25" t="s">
        <v>683</v>
      </c>
    </row>
    <row r="8" spans="1:92" ht="15" customHeight="1" x14ac:dyDescent="0.3">
      <c r="A8" s="59" t="s">
        <v>140</v>
      </c>
      <c r="B8" s="59" t="s">
        <v>684</v>
      </c>
      <c r="C8" s="60">
        <v>0.16666666666666671</v>
      </c>
      <c r="D8" s="59" t="s">
        <v>122</v>
      </c>
      <c r="E8" s="59" t="s">
        <v>154</v>
      </c>
      <c r="F8" s="59" t="s">
        <v>685</v>
      </c>
      <c r="G8" s="201"/>
      <c r="H8" s="61"/>
      <c r="I8" s="62"/>
      <c r="J8" s="62"/>
      <c r="K8" s="62"/>
      <c r="L8" s="62"/>
      <c r="M8" s="62"/>
      <c r="N8" s="62"/>
      <c r="O8" s="63"/>
      <c r="P8" s="62"/>
      <c r="Q8" s="64"/>
      <c r="R8" s="65"/>
    </row>
    <row r="9" spans="1:92" ht="18" x14ac:dyDescent="0.3">
      <c r="A9" s="218" t="s">
        <v>602</v>
      </c>
      <c r="B9" s="219"/>
      <c r="C9" s="219"/>
      <c r="D9" s="219"/>
      <c r="E9" s="219"/>
      <c r="F9" s="220"/>
      <c r="G9" s="201"/>
      <c r="H9" s="172"/>
      <c r="I9" s="172"/>
      <c r="J9" s="172"/>
      <c r="K9" s="172"/>
      <c r="L9" s="172"/>
      <c r="M9" s="172"/>
      <c r="N9" s="172"/>
      <c r="O9" s="173"/>
      <c r="P9" s="172"/>
      <c r="Q9" s="140"/>
      <c r="R9" s="140"/>
    </row>
    <row r="10" spans="1:92" ht="15" customHeight="1" x14ac:dyDescent="0.3">
      <c r="A10" s="68" t="s">
        <v>26</v>
      </c>
      <c r="B10" s="68" t="s">
        <v>27</v>
      </c>
      <c r="C10" s="69" t="s">
        <v>304</v>
      </c>
      <c r="D10" s="68" t="s">
        <v>28</v>
      </c>
      <c r="E10" s="68" t="s">
        <v>463</v>
      </c>
      <c r="F10" s="68" t="s">
        <v>30</v>
      </c>
      <c r="G10" s="201"/>
      <c r="H10" s="172"/>
      <c r="I10" s="172"/>
      <c r="J10" s="172"/>
      <c r="K10" s="172"/>
      <c r="L10" s="172"/>
      <c r="M10" s="172"/>
      <c r="N10" s="172"/>
      <c r="O10" s="173"/>
      <c r="P10" s="172"/>
      <c r="Q10" s="140"/>
      <c r="R10" s="140"/>
    </row>
    <row r="11" spans="1:92" ht="15" customHeight="1" x14ac:dyDescent="0.3">
      <c r="A11" s="68" t="s">
        <v>52</v>
      </c>
      <c r="B11" s="68" t="s">
        <v>53</v>
      </c>
      <c r="C11" s="69" t="s">
        <v>473</v>
      </c>
      <c r="D11" s="68" t="s">
        <v>54</v>
      </c>
      <c r="E11" s="68" t="s">
        <v>463</v>
      </c>
      <c r="F11" s="68" t="s">
        <v>55</v>
      </c>
      <c r="G11" s="201"/>
      <c r="H11" s="172"/>
      <c r="I11" s="172"/>
      <c r="J11" s="172"/>
      <c r="K11" s="172"/>
      <c r="L11" s="172"/>
      <c r="M11" s="172"/>
      <c r="N11" s="172"/>
      <c r="O11" s="173"/>
      <c r="P11" s="172"/>
      <c r="Q11" s="140"/>
      <c r="R11" s="140"/>
    </row>
    <row r="12" spans="1:92" ht="15" customHeight="1" x14ac:dyDescent="0.3">
      <c r="A12" s="68" t="s">
        <v>52</v>
      </c>
      <c r="B12" s="68" t="s">
        <v>53</v>
      </c>
      <c r="C12" s="69" t="s">
        <v>473</v>
      </c>
      <c r="D12" s="68" t="s">
        <v>56</v>
      </c>
      <c r="E12" s="68" t="s">
        <v>463</v>
      </c>
      <c r="F12" s="68" t="s">
        <v>55</v>
      </c>
      <c r="G12" s="201"/>
      <c r="H12" s="172"/>
      <c r="I12" s="172"/>
      <c r="J12" s="172"/>
      <c r="K12" s="172"/>
      <c r="L12" s="172"/>
      <c r="M12" s="172"/>
      <c r="N12" s="172"/>
      <c r="O12" s="173"/>
      <c r="P12" s="172"/>
      <c r="Q12" s="140"/>
      <c r="R12" s="140"/>
    </row>
    <row r="13" spans="1:92" ht="15" customHeight="1" x14ac:dyDescent="0.3">
      <c r="A13" s="68" t="s">
        <v>26</v>
      </c>
      <c r="B13" s="68" t="s">
        <v>34</v>
      </c>
      <c r="C13" s="69" t="s">
        <v>284</v>
      </c>
      <c r="D13" s="68" t="s">
        <v>28</v>
      </c>
      <c r="E13" s="68" t="s">
        <v>463</v>
      </c>
      <c r="F13" s="68" t="s">
        <v>36</v>
      </c>
      <c r="G13" s="201"/>
      <c r="H13" s="172"/>
      <c r="I13" s="172"/>
      <c r="J13" s="172"/>
      <c r="K13" s="172"/>
      <c r="L13" s="172"/>
      <c r="M13" s="172"/>
      <c r="N13" s="172"/>
      <c r="O13" s="173"/>
      <c r="P13" s="172"/>
      <c r="Q13" s="140"/>
      <c r="R13" s="140"/>
    </row>
    <row r="14" spans="1:92" ht="15" customHeight="1" x14ac:dyDescent="0.3">
      <c r="A14" s="68" t="s">
        <v>26</v>
      </c>
      <c r="B14" s="68" t="s">
        <v>40</v>
      </c>
      <c r="C14" s="69" t="s">
        <v>326</v>
      </c>
      <c r="D14" s="68" t="s">
        <v>28</v>
      </c>
      <c r="E14" s="68" t="s">
        <v>463</v>
      </c>
      <c r="F14" s="68" t="s">
        <v>36</v>
      </c>
      <c r="G14" s="201"/>
      <c r="H14" s="172"/>
      <c r="I14" s="172"/>
      <c r="J14" s="172"/>
      <c r="K14" s="172"/>
      <c r="L14" s="172"/>
      <c r="M14" s="172"/>
      <c r="N14" s="172"/>
      <c r="O14" s="173"/>
      <c r="P14" s="172"/>
      <c r="Q14" s="140"/>
      <c r="R14" s="140"/>
    </row>
    <row r="15" spans="1:92" ht="15" customHeight="1" x14ac:dyDescent="0.3">
      <c r="A15" s="68" t="s">
        <v>52</v>
      </c>
      <c r="B15" s="68" t="s">
        <v>62</v>
      </c>
      <c r="C15" s="69" t="s">
        <v>492</v>
      </c>
      <c r="D15" s="68" t="s">
        <v>54</v>
      </c>
      <c r="E15" s="68" t="s">
        <v>498</v>
      </c>
      <c r="F15" s="68" t="s">
        <v>36</v>
      </c>
      <c r="G15" s="201"/>
      <c r="H15" s="172"/>
      <c r="I15" s="172"/>
      <c r="J15" s="172"/>
      <c r="K15" s="172"/>
      <c r="L15" s="172"/>
      <c r="M15" s="172"/>
      <c r="N15" s="172"/>
      <c r="O15" s="173"/>
      <c r="P15" s="172"/>
      <c r="Q15" s="140"/>
      <c r="R15" s="140"/>
    </row>
    <row r="16" spans="1:92" ht="15" customHeight="1" x14ac:dyDescent="0.3">
      <c r="A16" s="68" t="s">
        <v>52</v>
      </c>
      <c r="B16" s="68" t="s">
        <v>62</v>
      </c>
      <c r="C16" s="69" t="s">
        <v>492</v>
      </c>
      <c r="D16" s="68" t="s">
        <v>56</v>
      </c>
      <c r="E16" s="68" t="s">
        <v>498</v>
      </c>
      <c r="F16" s="68" t="s">
        <v>36</v>
      </c>
      <c r="G16" s="201"/>
      <c r="H16" s="172"/>
      <c r="I16" s="172"/>
      <c r="J16" s="172"/>
      <c r="K16" s="172"/>
      <c r="L16" s="172"/>
      <c r="M16" s="172"/>
      <c r="N16" s="172"/>
      <c r="O16" s="173"/>
      <c r="P16" s="172"/>
      <c r="Q16" s="140"/>
      <c r="R16" s="140"/>
    </row>
    <row r="17" spans="1:18" ht="15" customHeight="1" x14ac:dyDescent="0.3">
      <c r="A17" s="68" t="s">
        <v>52</v>
      </c>
      <c r="B17" s="68" t="s">
        <v>66</v>
      </c>
      <c r="C17" s="69" t="s">
        <v>491</v>
      </c>
      <c r="D17" s="68" t="s">
        <v>54</v>
      </c>
      <c r="E17" s="68" t="s">
        <v>500</v>
      </c>
      <c r="F17" s="68" t="s">
        <v>36</v>
      </c>
      <c r="G17" s="201"/>
      <c r="H17" s="172"/>
      <c r="I17" s="172"/>
      <c r="J17" s="172"/>
      <c r="K17" s="172"/>
      <c r="L17" s="172"/>
      <c r="M17" s="172"/>
      <c r="N17" s="172"/>
      <c r="O17" s="173"/>
      <c r="P17" s="172"/>
      <c r="Q17" s="140"/>
      <c r="R17" s="140"/>
    </row>
    <row r="18" spans="1:18" ht="15" customHeight="1" x14ac:dyDescent="0.3">
      <c r="A18" s="68" t="s">
        <v>52</v>
      </c>
      <c r="B18" s="68" t="s">
        <v>66</v>
      </c>
      <c r="C18" s="69" t="s">
        <v>491</v>
      </c>
      <c r="D18" s="68" t="s">
        <v>56</v>
      </c>
      <c r="E18" s="68" t="s">
        <v>500</v>
      </c>
      <c r="F18" s="68" t="s">
        <v>36</v>
      </c>
      <c r="G18" s="201"/>
      <c r="H18" s="172"/>
      <c r="I18" s="172"/>
      <c r="J18" s="172"/>
      <c r="K18" s="172"/>
      <c r="L18" s="172"/>
      <c r="M18" s="172"/>
      <c r="N18" s="172"/>
      <c r="O18" s="173"/>
      <c r="P18" s="172"/>
      <c r="Q18" s="140"/>
      <c r="R18" s="140"/>
    </row>
    <row r="19" spans="1:18" ht="15" customHeight="1" thickBot="1" x14ac:dyDescent="0.35">
      <c r="A19" s="70" t="s">
        <v>52</v>
      </c>
      <c r="B19" s="70" t="s">
        <v>69</v>
      </c>
      <c r="C19" s="71" t="s">
        <v>475</v>
      </c>
      <c r="D19" s="70" t="s">
        <v>54</v>
      </c>
      <c r="E19" s="70" t="s">
        <v>476</v>
      </c>
      <c r="F19" s="70" t="s">
        <v>36</v>
      </c>
      <c r="G19" s="202"/>
      <c r="H19" s="174"/>
      <c r="I19" s="174"/>
      <c r="J19" s="174"/>
      <c r="K19" s="174"/>
      <c r="L19" s="174"/>
      <c r="M19" s="174"/>
      <c r="N19" s="174"/>
      <c r="O19" s="175"/>
      <c r="P19" s="174"/>
      <c r="Q19" s="176"/>
      <c r="R19" s="176"/>
    </row>
    <row r="20" spans="1:18" ht="17.399999999999999" customHeight="1" thickBot="1" x14ac:dyDescent="0.35">
      <c r="A20" s="235"/>
      <c r="B20" s="236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36"/>
      <c r="N20" s="236"/>
      <c r="O20" s="236"/>
      <c r="P20" s="236"/>
      <c r="Q20" s="236"/>
      <c r="R20" s="237"/>
    </row>
    <row r="21" spans="1:18" ht="22.05" customHeight="1" thickTop="1" thickBot="1" x14ac:dyDescent="0.35">
      <c r="A21" s="203" t="s">
        <v>6</v>
      </c>
      <c r="B21" s="204"/>
      <c r="C21" s="204"/>
      <c r="D21" s="204"/>
      <c r="E21" s="204"/>
      <c r="F21" s="205"/>
      <c r="G21" s="77">
        <v>45987</v>
      </c>
      <c r="H21" s="212" t="s">
        <v>7</v>
      </c>
      <c r="I21" s="204"/>
      <c r="J21" s="204"/>
      <c r="K21" s="204"/>
      <c r="L21" s="204"/>
      <c r="M21" s="204"/>
      <c r="N21" s="204"/>
      <c r="O21" s="204"/>
      <c r="P21" s="204"/>
      <c r="Q21" s="204"/>
      <c r="R21" s="205"/>
    </row>
    <row r="22" spans="1:18" ht="24" customHeight="1" x14ac:dyDescent="0.3">
      <c r="A22" s="78" t="s">
        <v>8</v>
      </c>
      <c r="B22" s="78" t="s">
        <v>9</v>
      </c>
      <c r="C22" s="79" t="s">
        <v>10</v>
      </c>
      <c r="D22" s="78" t="s">
        <v>11</v>
      </c>
      <c r="E22" s="78" t="s">
        <v>12</v>
      </c>
      <c r="F22" s="80" t="s">
        <v>13</v>
      </c>
      <c r="G22" s="81" t="s">
        <v>14</v>
      </c>
      <c r="H22" s="78" t="s">
        <v>15</v>
      </c>
      <c r="I22" s="82" t="s">
        <v>16</v>
      </c>
      <c r="J22" s="83" t="s">
        <v>17</v>
      </c>
      <c r="K22" s="84" t="s">
        <v>18</v>
      </c>
      <c r="L22" s="83" t="s">
        <v>19</v>
      </c>
      <c r="M22" s="83" t="s">
        <v>20</v>
      </c>
      <c r="N22" s="83" t="s">
        <v>21</v>
      </c>
      <c r="O22" s="78" t="s">
        <v>22</v>
      </c>
      <c r="P22" s="79" t="s">
        <v>23</v>
      </c>
      <c r="Q22" s="83" t="s">
        <v>24</v>
      </c>
      <c r="R22" s="78" t="s">
        <v>25</v>
      </c>
    </row>
    <row r="23" spans="1:18" ht="15" customHeight="1" x14ac:dyDescent="0.3">
      <c r="A23" s="120" t="s">
        <v>52</v>
      </c>
      <c r="B23" s="120" t="s">
        <v>686</v>
      </c>
      <c r="C23" s="121">
        <v>0.36458333333333331</v>
      </c>
      <c r="D23" s="120" t="s">
        <v>584</v>
      </c>
      <c r="E23" s="120" t="s">
        <v>29</v>
      </c>
      <c r="F23" s="120" t="s">
        <v>687</v>
      </c>
      <c r="G23" s="215"/>
      <c r="H23" s="61"/>
      <c r="I23" s="62"/>
      <c r="J23" s="62"/>
      <c r="K23" s="62"/>
      <c r="L23" s="62"/>
      <c r="M23" s="62"/>
      <c r="N23" s="62"/>
      <c r="O23" s="63"/>
      <c r="P23" s="62"/>
      <c r="Q23" s="64"/>
      <c r="R23" s="65"/>
    </row>
    <row r="24" spans="1:18" ht="15" customHeight="1" x14ac:dyDescent="0.3">
      <c r="A24" s="66" t="s">
        <v>52</v>
      </c>
      <c r="B24" s="66" t="s">
        <v>686</v>
      </c>
      <c r="C24" s="67">
        <v>0.36458333333333331</v>
      </c>
      <c r="D24" s="66" t="s">
        <v>586</v>
      </c>
      <c r="E24" s="66" t="s">
        <v>57</v>
      </c>
      <c r="F24" s="66" t="s">
        <v>688</v>
      </c>
      <c r="G24" s="201"/>
      <c r="H24" s="61"/>
      <c r="I24" s="62"/>
      <c r="J24" s="62"/>
      <c r="K24" s="62"/>
      <c r="L24" s="62"/>
      <c r="M24" s="62"/>
      <c r="N24" s="62"/>
      <c r="O24" s="63"/>
      <c r="P24" s="62"/>
      <c r="Q24" s="64"/>
      <c r="R24" s="65"/>
    </row>
    <row r="25" spans="1:18" ht="15" customHeight="1" x14ac:dyDescent="0.3">
      <c r="A25" s="66" t="s">
        <v>52</v>
      </c>
      <c r="B25" s="66" t="s">
        <v>686</v>
      </c>
      <c r="C25" s="67">
        <v>0.36458333333333331</v>
      </c>
      <c r="D25" s="66" t="s">
        <v>588</v>
      </c>
      <c r="E25" s="66" t="s">
        <v>57</v>
      </c>
      <c r="F25" s="66" t="s">
        <v>689</v>
      </c>
      <c r="G25" s="201"/>
      <c r="H25" s="61"/>
      <c r="I25" s="62"/>
      <c r="J25" s="62"/>
      <c r="K25" s="62"/>
      <c r="L25" s="62"/>
      <c r="M25" s="62"/>
      <c r="N25" s="62"/>
      <c r="O25" s="63"/>
      <c r="P25" s="62"/>
      <c r="Q25" s="64"/>
      <c r="R25" s="65"/>
    </row>
    <row r="26" spans="1:18" ht="15" customHeight="1" x14ac:dyDescent="0.3">
      <c r="A26" s="66" t="s">
        <v>52</v>
      </c>
      <c r="B26" s="66" t="s">
        <v>686</v>
      </c>
      <c r="C26" s="67">
        <v>0.36458333333333331</v>
      </c>
      <c r="D26" s="66" t="s">
        <v>590</v>
      </c>
      <c r="E26" s="66" t="s">
        <v>57</v>
      </c>
      <c r="F26" s="66" t="s">
        <v>36</v>
      </c>
      <c r="G26" s="201"/>
      <c r="H26" s="61"/>
      <c r="I26" s="62"/>
      <c r="J26" s="62"/>
      <c r="K26" s="62"/>
      <c r="L26" s="62"/>
      <c r="M26" s="62"/>
      <c r="N26" s="62"/>
      <c r="O26" s="63"/>
      <c r="P26" s="62"/>
      <c r="Q26" s="64"/>
      <c r="R26" s="65"/>
    </row>
    <row r="27" spans="1:18" ht="15" customHeight="1" x14ac:dyDescent="0.3">
      <c r="A27" s="193" t="s">
        <v>26</v>
      </c>
      <c r="B27" s="193" t="s">
        <v>690</v>
      </c>
      <c r="C27" s="194">
        <v>0.5</v>
      </c>
      <c r="D27" s="193" t="s">
        <v>28</v>
      </c>
      <c r="E27" s="193" t="s">
        <v>29</v>
      </c>
      <c r="F27" s="193" t="s">
        <v>691</v>
      </c>
      <c r="G27" s="201"/>
      <c r="H27" s="108" t="s">
        <v>692</v>
      </c>
      <c r="I27" s="119">
        <v>0.9889</v>
      </c>
      <c r="J27" s="110">
        <v>178</v>
      </c>
      <c r="K27" s="111">
        <v>45981</v>
      </c>
      <c r="L27" s="110">
        <v>3</v>
      </c>
      <c r="M27" s="110">
        <v>0</v>
      </c>
      <c r="N27" s="110">
        <v>2</v>
      </c>
      <c r="O27" s="112" t="s">
        <v>693</v>
      </c>
      <c r="P27" s="113">
        <v>0.5</v>
      </c>
      <c r="Q27" s="110">
        <v>180</v>
      </c>
      <c r="R27" s="114" t="s">
        <v>694</v>
      </c>
    </row>
    <row r="28" spans="1:18" ht="15" customHeight="1" x14ac:dyDescent="0.3">
      <c r="A28" s="17" t="s">
        <v>26</v>
      </c>
      <c r="B28" s="17" t="s">
        <v>678</v>
      </c>
      <c r="C28" s="18">
        <v>0.1076388888888889</v>
      </c>
      <c r="D28" s="17" t="s">
        <v>44</v>
      </c>
      <c r="E28" s="178"/>
      <c r="F28" s="17" t="s">
        <v>45</v>
      </c>
      <c r="G28" s="201"/>
      <c r="H28" s="19" t="s">
        <v>678</v>
      </c>
      <c r="I28" s="20">
        <v>1</v>
      </c>
      <c r="J28" s="21">
        <v>180</v>
      </c>
      <c r="K28" s="22">
        <v>45905</v>
      </c>
      <c r="L28" s="21">
        <v>0</v>
      </c>
      <c r="M28" s="21">
        <v>0</v>
      </c>
      <c r="N28" s="21">
        <v>0</v>
      </c>
      <c r="O28" s="23" t="s">
        <v>46</v>
      </c>
      <c r="P28" s="24">
        <v>0.1076388888888889</v>
      </c>
      <c r="Q28" s="21">
        <v>180</v>
      </c>
      <c r="R28" s="25" t="s">
        <v>695</v>
      </c>
    </row>
    <row r="29" spans="1:18" ht="15" customHeight="1" x14ac:dyDescent="0.3">
      <c r="A29" s="39" t="s">
        <v>26</v>
      </c>
      <c r="B29" s="39" t="s">
        <v>696</v>
      </c>
      <c r="C29" s="40">
        <v>0.92361111111111116</v>
      </c>
      <c r="D29" s="39" t="s">
        <v>44</v>
      </c>
      <c r="E29" s="41"/>
      <c r="F29" s="39" t="s">
        <v>45</v>
      </c>
      <c r="G29" s="201"/>
      <c r="H29" s="42" t="s">
        <v>696</v>
      </c>
      <c r="I29" s="43">
        <v>0.99439999999999995</v>
      </c>
      <c r="J29" s="44">
        <v>179</v>
      </c>
      <c r="K29" s="45">
        <v>45981</v>
      </c>
      <c r="L29" s="44">
        <v>15</v>
      </c>
      <c r="M29" s="44">
        <v>0</v>
      </c>
      <c r="N29" s="44">
        <v>1</v>
      </c>
      <c r="O29" s="46" t="s">
        <v>46</v>
      </c>
      <c r="P29" s="47">
        <v>0.92361111111111116</v>
      </c>
      <c r="Q29" s="44">
        <v>180</v>
      </c>
      <c r="R29" s="48" t="s">
        <v>697</v>
      </c>
    </row>
    <row r="30" spans="1:18" ht="15" customHeight="1" x14ac:dyDescent="0.3">
      <c r="A30" s="59" t="s">
        <v>140</v>
      </c>
      <c r="B30" s="59" t="s">
        <v>698</v>
      </c>
      <c r="C30" s="60">
        <v>0.92361111111111116</v>
      </c>
      <c r="D30" s="59" t="s">
        <v>699</v>
      </c>
      <c r="E30" s="59" t="s">
        <v>154</v>
      </c>
      <c r="F30" s="59" t="s">
        <v>691</v>
      </c>
      <c r="G30" s="201"/>
      <c r="H30" s="61"/>
      <c r="I30" s="62"/>
      <c r="J30" s="62"/>
      <c r="K30" s="62"/>
      <c r="L30" s="62"/>
      <c r="M30" s="62"/>
      <c r="N30" s="62"/>
      <c r="O30" s="63"/>
      <c r="P30" s="62"/>
      <c r="Q30" s="64"/>
      <c r="R30" s="65"/>
    </row>
    <row r="31" spans="1:18" ht="18" x14ac:dyDescent="0.3">
      <c r="A31" s="218" t="s">
        <v>602</v>
      </c>
      <c r="B31" s="219"/>
      <c r="C31" s="219"/>
      <c r="D31" s="219"/>
      <c r="E31" s="219"/>
      <c r="F31" s="220"/>
      <c r="G31" s="201"/>
      <c r="H31" s="172"/>
      <c r="I31" s="172"/>
      <c r="J31" s="172"/>
      <c r="K31" s="172"/>
      <c r="L31" s="172"/>
      <c r="M31" s="172"/>
      <c r="N31" s="172"/>
      <c r="O31" s="173"/>
      <c r="P31" s="172"/>
      <c r="Q31" s="140"/>
      <c r="R31" s="140"/>
    </row>
    <row r="32" spans="1:18" ht="15" customHeight="1" x14ac:dyDescent="0.3">
      <c r="A32" s="68" t="s">
        <v>26</v>
      </c>
      <c r="B32" s="68" t="s">
        <v>40</v>
      </c>
      <c r="C32" s="69" t="s">
        <v>339</v>
      </c>
      <c r="D32" s="68" t="s">
        <v>28</v>
      </c>
      <c r="E32" s="68" t="s">
        <v>463</v>
      </c>
      <c r="F32" s="68" t="s">
        <v>36</v>
      </c>
      <c r="G32" s="201"/>
      <c r="H32" s="172"/>
      <c r="I32" s="172"/>
      <c r="J32" s="172"/>
      <c r="K32" s="172"/>
      <c r="L32" s="172"/>
      <c r="M32" s="172"/>
      <c r="N32" s="172"/>
      <c r="O32" s="173"/>
      <c r="P32" s="172"/>
      <c r="Q32" s="140"/>
      <c r="R32" s="140"/>
    </row>
    <row r="33" spans="1:18" ht="15" customHeight="1" x14ac:dyDescent="0.3">
      <c r="A33" s="68" t="s">
        <v>52</v>
      </c>
      <c r="B33" s="68" t="s">
        <v>53</v>
      </c>
      <c r="C33" s="69" t="s">
        <v>473</v>
      </c>
      <c r="D33" s="68" t="s">
        <v>56</v>
      </c>
      <c r="E33" s="68" t="s">
        <v>498</v>
      </c>
      <c r="F33" s="68" t="s">
        <v>36</v>
      </c>
      <c r="G33" s="201"/>
      <c r="H33" s="172"/>
      <c r="I33" s="172"/>
      <c r="J33" s="172"/>
      <c r="K33" s="172"/>
      <c r="L33" s="172"/>
      <c r="M33" s="172"/>
      <c r="N33" s="172"/>
      <c r="O33" s="173"/>
      <c r="P33" s="172"/>
      <c r="Q33" s="140"/>
      <c r="R33" s="140"/>
    </row>
    <row r="34" spans="1:18" ht="15" customHeight="1" x14ac:dyDescent="0.3">
      <c r="A34" s="68" t="s">
        <v>52</v>
      </c>
      <c r="B34" s="68" t="s">
        <v>62</v>
      </c>
      <c r="C34" s="69" t="s">
        <v>492</v>
      </c>
      <c r="D34" s="68" t="s">
        <v>56</v>
      </c>
      <c r="E34" s="68" t="s">
        <v>463</v>
      </c>
      <c r="F34" s="68" t="s">
        <v>36</v>
      </c>
      <c r="G34" s="201"/>
      <c r="H34" s="172"/>
      <c r="I34" s="172"/>
      <c r="J34" s="172"/>
      <c r="K34" s="172"/>
      <c r="L34" s="172"/>
      <c r="M34" s="172"/>
      <c r="N34" s="172"/>
      <c r="O34" s="173"/>
      <c r="P34" s="172"/>
      <c r="Q34" s="140"/>
      <c r="R34" s="140"/>
    </row>
    <row r="35" spans="1:18" ht="15" customHeight="1" x14ac:dyDescent="0.3">
      <c r="A35" s="68" t="s">
        <v>52</v>
      </c>
      <c r="B35" s="68" t="s">
        <v>66</v>
      </c>
      <c r="C35" s="69" t="s">
        <v>491</v>
      </c>
      <c r="D35" s="68" t="s">
        <v>54</v>
      </c>
      <c r="E35" s="68" t="s">
        <v>498</v>
      </c>
      <c r="F35" s="68" t="s">
        <v>36</v>
      </c>
      <c r="G35" s="201"/>
      <c r="H35" s="172"/>
      <c r="I35" s="172"/>
      <c r="J35" s="172"/>
      <c r="K35" s="172"/>
      <c r="L35" s="172"/>
      <c r="M35" s="172"/>
      <c r="N35" s="172"/>
      <c r="O35" s="173"/>
      <c r="P35" s="172"/>
      <c r="Q35" s="140"/>
      <c r="R35" s="140"/>
    </row>
    <row r="36" spans="1:18" ht="15" customHeight="1" x14ac:dyDescent="0.3">
      <c r="A36" s="68" t="s">
        <v>52</v>
      </c>
      <c r="B36" s="68" t="s">
        <v>66</v>
      </c>
      <c r="C36" s="69" t="s">
        <v>491</v>
      </c>
      <c r="D36" s="68" t="s">
        <v>56</v>
      </c>
      <c r="E36" s="68" t="s">
        <v>498</v>
      </c>
      <c r="F36" s="68" t="s">
        <v>36</v>
      </c>
      <c r="G36" s="201"/>
      <c r="H36" s="172"/>
      <c r="I36" s="172"/>
      <c r="J36" s="172"/>
      <c r="K36" s="172"/>
      <c r="L36" s="172"/>
      <c r="M36" s="172"/>
      <c r="N36" s="172"/>
      <c r="O36" s="173"/>
      <c r="P36" s="172"/>
      <c r="Q36" s="140"/>
      <c r="R36" s="140"/>
    </row>
    <row r="37" spans="1:18" ht="15" customHeight="1" x14ac:dyDescent="0.3">
      <c r="A37" s="68" t="s">
        <v>52</v>
      </c>
      <c r="B37" s="68" t="s">
        <v>69</v>
      </c>
      <c r="C37" s="69" t="s">
        <v>475</v>
      </c>
      <c r="D37" s="68" t="s">
        <v>54</v>
      </c>
      <c r="E37" s="68" t="s">
        <v>498</v>
      </c>
      <c r="F37" s="68" t="s">
        <v>36</v>
      </c>
      <c r="G37" s="201"/>
      <c r="H37" s="172"/>
      <c r="I37" s="172"/>
      <c r="J37" s="172"/>
      <c r="K37" s="172"/>
      <c r="L37" s="172"/>
      <c r="M37" s="172"/>
      <c r="N37" s="172"/>
      <c r="O37" s="173"/>
      <c r="P37" s="172"/>
      <c r="Q37" s="140"/>
      <c r="R37" s="140"/>
    </row>
    <row r="38" spans="1:18" ht="15" customHeight="1" x14ac:dyDescent="0.3">
      <c r="A38" s="68" t="s">
        <v>52</v>
      </c>
      <c r="B38" s="68" t="s">
        <v>69</v>
      </c>
      <c r="C38" s="69" t="s">
        <v>475</v>
      </c>
      <c r="D38" s="68" t="s">
        <v>56</v>
      </c>
      <c r="E38" s="68" t="s">
        <v>498</v>
      </c>
      <c r="F38" s="68" t="s">
        <v>36</v>
      </c>
      <c r="G38" s="201"/>
      <c r="H38" s="172"/>
      <c r="I38" s="172"/>
      <c r="J38" s="172"/>
      <c r="K38" s="172"/>
      <c r="L38" s="172"/>
      <c r="M38" s="172"/>
      <c r="N38" s="172"/>
      <c r="O38" s="173"/>
      <c r="P38" s="172"/>
      <c r="Q38" s="140"/>
      <c r="R38" s="140"/>
    </row>
    <row r="39" spans="1:18" ht="15" customHeight="1" x14ac:dyDescent="0.3">
      <c r="A39" s="68" t="s">
        <v>72</v>
      </c>
      <c r="B39" s="68" t="s">
        <v>76</v>
      </c>
      <c r="C39" s="69" t="s">
        <v>510</v>
      </c>
      <c r="D39" s="68" t="s">
        <v>28</v>
      </c>
      <c r="E39" s="68" t="s">
        <v>463</v>
      </c>
      <c r="F39" s="68" t="s">
        <v>75</v>
      </c>
      <c r="G39" s="201"/>
      <c r="H39" s="172"/>
      <c r="I39" s="172"/>
      <c r="J39" s="172"/>
      <c r="K39" s="172"/>
      <c r="L39" s="172"/>
      <c r="M39" s="172"/>
      <c r="N39" s="172"/>
      <c r="O39" s="173"/>
      <c r="P39" s="172"/>
      <c r="Q39" s="140"/>
      <c r="R39" s="140"/>
    </row>
    <row r="40" spans="1:18" ht="15" customHeight="1" x14ac:dyDescent="0.3">
      <c r="A40" s="68" t="s">
        <v>72</v>
      </c>
      <c r="B40" s="68" t="s">
        <v>73</v>
      </c>
      <c r="C40" s="69" t="s">
        <v>511</v>
      </c>
      <c r="D40" s="68" t="s">
        <v>28</v>
      </c>
      <c r="E40" s="68" t="s">
        <v>468</v>
      </c>
      <c r="F40" s="68" t="s">
        <v>75</v>
      </c>
      <c r="G40" s="201"/>
      <c r="H40" s="172"/>
      <c r="I40" s="172"/>
      <c r="J40" s="172"/>
      <c r="K40" s="172"/>
      <c r="L40" s="172"/>
      <c r="M40" s="172"/>
      <c r="N40" s="172"/>
      <c r="O40" s="173"/>
      <c r="P40" s="172"/>
      <c r="Q40" s="140"/>
      <c r="R40" s="140"/>
    </row>
    <row r="41" spans="1:18" ht="15" customHeight="1" thickBot="1" x14ac:dyDescent="0.35">
      <c r="A41" s="70" t="s">
        <v>79</v>
      </c>
      <c r="B41" s="70" t="s">
        <v>101</v>
      </c>
      <c r="C41" s="71" t="s">
        <v>491</v>
      </c>
      <c r="D41" s="70" t="s">
        <v>81</v>
      </c>
      <c r="E41" s="70" t="s">
        <v>463</v>
      </c>
      <c r="F41" s="70" t="s">
        <v>83</v>
      </c>
      <c r="G41" s="202"/>
      <c r="H41" s="174"/>
      <c r="I41" s="174"/>
      <c r="J41" s="174"/>
      <c r="K41" s="174"/>
      <c r="L41" s="174"/>
      <c r="M41" s="174"/>
      <c r="N41" s="174"/>
      <c r="O41" s="175"/>
      <c r="P41" s="174"/>
      <c r="Q41" s="176"/>
      <c r="R41" s="176"/>
    </row>
    <row r="42" spans="1:18" ht="17.399999999999999" customHeight="1" thickBot="1" x14ac:dyDescent="0.35">
      <c r="A42" s="235"/>
      <c r="B42" s="236"/>
      <c r="C42" s="236"/>
      <c r="D42" s="236"/>
      <c r="E42" s="236"/>
      <c r="F42" s="236"/>
      <c r="G42" s="236"/>
      <c r="H42" s="236"/>
      <c r="I42" s="236"/>
      <c r="J42" s="236"/>
      <c r="K42" s="236"/>
      <c r="L42" s="236"/>
      <c r="M42" s="236"/>
      <c r="N42" s="236"/>
      <c r="O42" s="236"/>
      <c r="P42" s="236"/>
      <c r="Q42" s="236"/>
      <c r="R42" s="237"/>
    </row>
    <row r="43" spans="1:18" ht="22.05" customHeight="1" thickTop="1" thickBot="1" x14ac:dyDescent="0.35">
      <c r="A43" s="203" t="s">
        <v>6</v>
      </c>
      <c r="B43" s="204"/>
      <c r="C43" s="204"/>
      <c r="D43" s="204"/>
      <c r="E43" s="204"/>
      <c r="F43" s="205"/>
      <c r="G43" s="77">
        <v>45988</v>
      </c>
      <c r="H43" s="212" t="s">
        <v>7</v>
      </c>
      <c r="I43" s="204"/>
      <c r="J43" s="204"/>
      <c r="K43" s="204"/>
      <c r="L43" s="204"/>
      <c r="M43" s="204"/>
      <c r="N43" s="204"/>
      <c r="O43" s="204"/>
      <c r="P43" s="204"/>
      <c r="Q43" s="204"/>
      <c r="R43" s="205"/>
    </row>
    <row r="44" spans="1:18" ht="24" customHeight="1" x14ac:dyDescent="0.3">
      <c r="A44" s="78" t="s">
        <v>8</v>
      </c>
      <c r="B44" s="78" t="s">
        <v>9</v>
      </c>
      <c r="C44" s="79" t="s">
        <v>10</v>
      </c>
      <c r="D44" s="78" t="s">
        <v>11</v>
      </c>
      <c r="E44" s="78" t="s">
        <v>12</v>
      </c>
      <c r="F44" s="80" t="s">
        <v>13</v>
      </c>
      <c r="G44" s="81" t="s">
        <v>14</v>
      </c>
      <c r="H44" s="78" t="s">
        <v>15</v>
      </c>
      <c r="I44" s="82" t="s">
        <v>16</v>
      </c>
      <c r="J44" s="83" t="s">
        <v>17</v>
      </c>
      <c r="K44" s="84" t="s">
        <v>18</v>
      </c>
      <c r="L44" s="83" t="s">
        <v>19</v>
      </c>
      <c r="M44" s="83" t="s">
        <v>20</v>
      </c>
      <c r="N44" s="83" t="s">
        <v>21</v>
      </c>
      <c r="O44" s="78" t="s">
        <v>22</v>
      </c>
      <c r="P44" s="79" t="s">
        <v>23</v>
      </c>
      <c r="Q44" s="83" t="s">
        <v>24</v>
      </c>
      <c r="R44" s="78" t="s">
        <v>25</v>
      </c>
    </row>
    <row r="45" spans="1:18" ht="15" customHeight="1" x14ac:dyDescent="0.3">
      <c r="A45" s="137" t="s">
        <v>26</v>
      </c>
      <c r="B45" s="137" t="s">
        <v>676</v>
      </c>
      <c r="C45" s="138">
        <v>0.3298611111111111</v>
      </c>
      <c r="D45" s="137" t="s">
        <v>28</v>
      </c>
      <c r="E45" s="137" t="s">
        <v>154</v>
      </c>
      <c r="F45" s="137" t="s">
        <v>700</v>
      </c>
      <c r="G45" s="215"/>
      <c r="H45" s="19" t="s">
        <v>678</v>
      </c>
      <c r="I45" s="20">
        <v>0.9778</v>
      </c>
      <c r="J45" s="21">
        <v>176</v>
      </c>
      <c r="K45" s="22">
        <v>45981</v>
      </c>
      <c r="L45" s="21">
        <v>13</v>
      </c>
      <c r="M45" s="21">
        <v>0</v>
      </c>
      <c r="N45" s="21">
        <v>2</v>
      </c>
      <c r="O45" s="23" t="s">
        <v>445</v>
      </c>
      <c r="P45" s="24">
        <v>0.3298611111111111</v>
      </c>
      <c r="Q45" s="21">
        <v>180</v>
      </c>
      <c r="R45" s="25" t="s">
        <v>701</v>
      </c>
    </row>
    <row r="46" spans="1:18" ht="15" customHeight="1" x14ac:dyDescent="0.3">
      <c r="A46" s="39" t="s">
        <v>26</v>
      </c>
      <c r="B46" s="39" t="s">
        <v>680</v>
      </c>
      <c r="C46" s="40">
        <v>0.54861111111111105</v>
      </c>
      <c r="D46" s="39" t="s">
        <v>28</v>
      </c>
      <c r="E46" s="39" t="s">
        <v>77</v>
      </c>
      <c r="F46" s="39" t="s">
        <v>677</v>
      </c>
      <c r="G46" s="201"/>
      <c r="H46" s="42" t="s">
        <v>682</v>
      </c>
      <c r="I46" s="43">
        <v>0.86109999999999998</v>
      </c>
      <c r="J46" s="44">
        <v>155</v>
      </c>
      <c r="K46" s="45">
        <v>45981</v>
      </c>
      <c r="L46" s="44">
        <v>43</v>
      </c>
      <c r="M46" s="44">
        <v>0</v>
      </c>
      <c r="N46" s="44">
        <v>10</v>
      </c>
      <c r="O46" s="46" t="s">
        <v>369</v>
      </c>
      <c r="P46" s="47">
        <v>0.54861111111111105</v>
      </c>
      <c r="Q46" s="44">
        <v>180</v>
      </c>
      <c r="R46" s="48" t="s">
        <v>702</v>
      </c>
    </row>
    <row r="47" spans="1:18" ht="15" customHeight="1" x14ac:dyDescent="0.3">
      <c r="A47" s="59" t="s">
        <v>140</v>
      </c>
      <c r="B47" s="59" t="s">
        <v>684</v>
      </c>
      <c r="C47" s="60">
        <v>0.3298611111111111</v>
      </c>
      <c r="D47" s="59" t="s">
        <v>699</v>
      </c>
      <c r="E47" s="59" t="s">
        <v>154</v>
      </c>
      <c r="F47" s="59" t="s">
        <v>691</v>
      </c>
      <c r="G47" s="201"/>
      <c r="H47" s="61"/>
      <c r="I47" s="62"/>
      <c r="J47" s="62"/>
      <c r="K47" s="62"/>
      <c r="L47" s="62"/>
      <c r="M47" s="62"/>
      <c r="N47" s="62"/>
      <c r="O47" s="63"/>
      <c r="P47" s="62"/>
      <c r="Q47" s="64"/>
      <c r="R47" s="65"/>
    </row>
    <row r="48" spans="1:18" ht="18" x14ac:dyDescent="0.3">
      <c r="A48" s="218" t="s">
        <v>602</v>
      </c>
      <c r="B48" s="219"/>
      <c r="C48" s="219"/>
      <c r="D48" s="219"/>
      <c r="E48" s="219"/>
      <c r="F48" s="220"/>
      <c r="G48" s="201"/>
      <c r="H48" s="172"/>
      <c r="I48" s="172"/>
      <c r="J48" s="172"/>
      <c r="K48" s="172"/>
      <c r="L48" s="172"/>
      <c r="M48" s="172"/>
      <c r="N48" s="172"/>
      <c r="O48" s="173"/>
      <c r="P48" s="172"/>
      <c r="Q48" s="140"/>
      <c r="R48" s="140"/>
    </row>
    <row r="49" spans="1:18" ht="15" customHeight="1" x14ac:dyDescent="0.3">
      <c r="A49" s="68" t="s">
        <v>26</v>
      </c>
      <c r="B49" s="68" t="s">
        <v>161</v>
      </c>
      <c r="C49" s="69" t="s">
        <v>360</v>
      </c>
      <c r="D49" s="68" t="s">
        <v>28</v>
      </c>
      <c r="E49" s="68" t="s">
        <v>500</v>
      </c>
      <c r="F49" s="68" t="s">
        <v>36</v>
      </c>
      <c r="G49" s="201"/>
      <c r="H49" s="172"/>
      <c r="I49" s="172"/>
      <c r="J49" s="172"/>
      <c r="K49" s="172"/>
      <c r="L49" s="172"/>
      <c r="M49" s="172"/>
      <c r="N49" s="172"/>
      <c r="O49" s="173"/>
      <c r="P49" s="172"/>
      <c r="Q49" s="140"/>
      <c r="R49" s="140"/>
    </row>
    <row r="50" spans="1:18" ht="15" customHeight="1" x14ac:dyDescent="0.3">
      <c r="A50" s="68" t="s">
        <v>52</v>
      </c>
      <c r="B50" s="68" t="s">
        <v>53</v>
      </c>
      <c r="C50" s="69" t="s">
        <v>473</v>
      </c>
      <c r="D50" s="68" t="s">
        <v>56</v>
      </c>
      <c r="E50" s="68" t="s">
        <v>468</v>
      </c>
      <c r="F50" s="68" t="s">
        <v>177</v>
      </c>
      <c r="G50" s="201"/>
      <c r="H50" s="172"/>
      <c r="I50" s="172"/>
      <c r="J50" s="172"/>
      <c r="K50" s="172"/>
      <c r="L50" s="172"/>
      <c r="M50" s="172"/>
      <c r="N50" s="172"/>
      <c r="O50" s="173"/>
      <c r="P50" s="172"/>
      <c r="Q50" s="140"/>
      <c r="R50" s="140"/>
    </row>
    <row r="51" spans="1:18" ht="15" customHeight="1" x14ac:dyDescent="0.3">
      <c r="A51" s="68" t="s">
        <v>52</v>
      </c>
      <c r="B51" s="68" t="s">
        <v>62</v>
      </c>
      <c r="C51" s="69" t="s">
        <v>492</v>
      </c>
      <c r="D51" s="68" t="s">
        <v>56</v>
      </c>
      <c r="E51" s="68" t="s">
        <v>527</v>
      </c>
      <c r="F51" s="68" t="s">
        <v>177</v>
      </c>
      <c r="G51" s="201"/>
      <c r="H51" s="172"/>
      <c r="I51" s="172"/>
      <c r="J51" s="172"/>
      <c r="K51" s="172"/>
      <c r="L51" s="172"/>
      <c r="M51" s="172"/>
      <c r="N51" s="172"/>
      <c r="O51" s="173"/>
      <c r="P51" s="172"/>
      <c r="Q51" s="140"/>
      <c r="R51" s="140"/>
    </row>
    <row r="52" spans="1:18" ht="15" customHeight="1" x14ac:dyDescent="0.3">
      <c r="A52" s="68" t="s">
        <v>52</v>
      </c>
      <c r="B52" s="68" t="s">
        <v>69</v>
      </c>
      <c r="C52" s="69" t="s">
        <v>475</v>
      </c>
      <c r="D52" s="68" t="s">
        <v>56</v>
      </c>
      <c r="E52" s="68" t="s">
        <v>476</v>
      </c>
      <c r="F52" s="68" t="s">
        <v>177</v>
      </c>
      <c r="G52" s="201"/>
      <c r="H52" s="172"/>
      <c r="I52" s="172"/>
      <c r="J52" s="172"/>
      <c r="K52" s="172"/>
      <c r="L52" s="172"/>
      <c r="M52" s="172"/>
      <c r="N52" s="172"/>
      <c r="O52" s="173"/>
      <c r="P52" s="172"/>
      <c r="Q52" s="140"/>
      <c r="R52" s="140"/>
    </row>
    <row r="53" spans="1:18" ht="15" customHeight="1" x14ac:dyDescent="0.3">
      <c r="A53" s="68" t="s">
        <v>26</v>
      </c>
      <c r="B53" s="68" t="s">
        <v>166</v>
      </c>
      <c r="C53" s="69" t="s">
        <v>373</v>
      </c>
      <c r="D53" s="68" t="s">
        <v>28</v>
      </c>
      <c r="E53" s="68" t="s">
        <v>465</v>
      </c>
      <c r="F53" s="68" t="s">
        <v>148</v>
      </c>
      <c r="G53" s="201"/>
      <c r="H53" s="172"/>
      <c r="I53" s="172"/>
      <c r="J53" s="172"/>
      <c r="K53" s="172"/>
      <c r="L53" s="172"/>
      <c r="M53" s="172"/>
      <c r="N53" s="172"/>
      <c r="O53" s="173"/>
      <c r="P53" s="172"/>
      <c r="Q53" s="140"/>
      <c r="R53" s="140"/>
    </row>
    <row r="54" spans="1:18" ht="15" customHeight="1" x14ac:dyDescent="0.3">
      <c r="A54" s="68" t="s">
        <v>72</v>
      </c>
      <c r="B54" s="68" t="s">
        <v>76</v>
      </c>
      <c r="C54" s="69" t="s">
        <v>510</v>
      </c>
      <c r="D54" s="68" t="s">
        <v>28</v>
      </c>
      <c r="E54" s="68" t="s">
        <v>465</v>
      </c>
      <c r="F54" s="68" t="s">
        <v>182</v>
      </c>
      <c r="G54" s="201"/>
      <c r="H54" s="172"/>
      <c r="I54" s="172"/>
      <c r="J54" s="172"/>
      <c r="K54" s="172"/>
      <c r="L54" s="172"/>
      <c r="M54" s="172"/>
      <c r="N54" s="172"/>
      <c r="O54" s="173"/>
      <c r="P54" s="172"/>
      <c r="Q54" s="140"/>
      <c r="R54" s="140"/>
    </row>
    <row r="55" spans="1:18" ht="15" customHeight="1" x14ac:dyDescent="0.3">
      <c r="A55" s="68" t="s">
        <v>52</v>
      </c>
      <c r="B55" s="68" t="s">
        <v>66</v>
      </c>
      <c r="C55" s="69" t="s">
        <v>491</v>
      </c>
      <c r="D55" s="68" t="s">
        <v>56</v>
      </c>
      <c r="E55" s="68" t="s">
        <v>527</v>
      </c>
      <c r="F55" s="68" t="s">
        <v>59</v>
      </c>
      <c r="G55" s="201"/>
      <c r="H55" s="172"/>
      <c r="I55" s="172"/>
      <c r="J55" s="172"/>
      <c r="K55" s="172"/>
      <c r="L55" s="172"/>
      <c r="M55" s="172"/>
      <c r="N55" s="172"/>
      <c r="O55" s="173"/>
      <c r="P55" s="172"/>
      <c r="Q55" s="140"/>
      <c r="R55" s="140"/>
    </row>
    <row r="56" spans="1:18" ht="15" customHeight="1" x14ac:dyDescent="0.3">
      <c r="A56" s="68" t="s">
        <v>79</v>
      </c>
      <c r="B56" s="68" t="s">
        <v>97</v>
      </c>
      <c r="C56" s="69" t="s">
        <v>486</v>
      </c>
      <c r="D56" s="68" t="s">
        <v>84</v>
      </c>
      <c r="E56" s="68" t="s">
        <v>476</v>
      </c>
      <c r="F56" s="68" t="s">
        <v>59</v>
      </c>
      <c r="G56" s="201"/>
      <c r="H56" s="172"/>
      <c r="I56" s="172"/>
      <c r="J56" s="172"/>
      <c r="K56" s="172"/>
      <c r="L56" s="172"/>
      <c r="M56" s="172"/>
      <c r="N56" s="172"/>
      <c r="O56" s="173"/>
      <c r="P56" s="172"/>
      <c r="Q56" s="140"/>
      <c r="R56" s="140"/>
    </row>
    <row r="57" spans="1:18" ht="15" customHeight="1" x14ac:dyDescent="0.3">
      <c r="A57" s="68" t="s">
        <v>79</v>
      </c>
      <c r="B57" s="68" t="s">
        <v>80</v>
      </c>
      <c r="C57" s="69" t="s">
        <v>479</v>
      </c>
      <c r="D57" s="68" t="s">
        <v>84</v>
      </c>
      <c r="E57" s="68" t="s">
        <v>500</v>
      </c>
      <c r="F57" s="68" t="s">
        <v>59</v>
      </c>
      <c r="G57" s="201"/>
      <c r="H57" s="172"/>
      <c r="I57" s="172"/>
      <c r="J57" s="172"/>
      <c r="K57" s="172"/>
      <c r="L57" s="172"/>
      <c r="M57" s="172"/>
      <c r="N57" s="172"/>
      <c r="O57" s="173"/>
      <c r="P57" s="172"/>
      <c r="Q57" s="140"/>
      <c r="R57" s="140"/>
    </row>
    <row r="58" spans="1:18" ht="15" customHeight="1" thickBot="1" x14ac:dyDescent="0.35">
      <c r="A58" s="70" t="s">
        <v>79</v>
      </c>
      <c r="B58" s="70" t="s">
        <v>93</v>
      </c>
      <c r="C58" s="71" t="s">
        <v>483</v>
      </c>
      <c r="D58" s="70" t="s">
        <v>84</v>
      </c>
      <c r="E58" s="70" t="s">
        <v>498</v>
      </c>
      <c r="F58" s="70" t="s">
        <v>59</v>
      </c>
      <c r="G58" s="202"/>
      <c r="H58" s="174"/>
      <c r="I58" s="174"/>
      <c r="J58" s="174"/>
      <c r="K58" s="174"/>
      <c r="L58" s="174"/>
      <c r="M58" s="174"/>
      <c r="N58" s="174"/>
      <c r="O58" s="175"/>
      <c r="P58" s="174"/>
      <c r="Q58" s="176"/>
      <c r="R58" s="176"/>
    </row>
    <row r="59" spans="1:18" ht="17.399999999999999" customHeight="1" thickBot="1" x14ac:dyDescent="0.35">
      <c r="A59" s="235"/>
      <c r="B59" s="236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7"/>
    </row>
    <row r="60" spans="1:18" ht="22.05" customHeight="1" thickTop="1" thickBot="1" x14ac:dyDescent="0.35">
      <c r="A60" s="203" t="s">
        <v>6</v>
      </c>
      <c r="B60" s="204"/>
      <c r="C60" s="204"/>
      <c r="D60" s="204"/>
      <c r="E60" s="204"/>
      <c r="F60" s="205"/>
      <c r="G60" s="77">
        <v>45989</v>
      </c>
      <c r="H60" s="212" t="s">
        <v>7</v>
      </c>
      <c r="I60" s="204"/>
      <c r="J60" s="204"/>
      <c r="K60" s="204"/>
      <c r="L60" s="204"/>
      <c r="M60" s="204"/>
      <c r="N60" s="204"/>
      <c r="O60" s="204"/>
      <c r="P60" s="204"/>
      <c r="Q60" s="204"/>
      <c r="R60" s="205"/>
    </row>
    <row r="61" spans="1:18" ht="24" customHeight="1" x14ac:dyDescent="0.3">
      <c r="A61" s="78" t="s">
        <v>8</v>
      </c>
      <c r="B61" s="78" t="s">
        <v>9</v>
      </c>
      <c r="C61" s="79" t="s">
        <v>10</v>
      </c>
      <c r="D61" s="78" t="s">
        <v>11</v>
      </c>
      <c r="E61" s="78" t="s">
        <v>12</v>
      </c>
      <c r="F61" s="80" t="s">
        <v>13</v>
      </c>
      <c r="G61" s="81" t="s">
        <v>14</v>
      </c>
      <c r="H61" s="78" t="s">
        <v>15</v>
      </c>
      <c r="I61" s="82" t="s">
        <v>16</v>
      </c>
      <c r="J61" s="83" t="s">
        <v>17</v>
      </c>
      <c r="K61" s="84" t="s">
        <v>18</v>
      </c>
      <c r="L61" s="83" t="s">
        <v>19</v>
      </c>
      <c r="M61" s="83" t="s">
        <v>20</v>
      </c>
      <c r="N61" s="83" t="s">
        <v>21</v>
      </c>
      <c r="O61" s="78" t="s">
        <v>22</v>
      </c>
      <c r="P61" s="79" t="s">
        <v>23</v>
      </c>
      <c r="Q61" s="83" t="s">
        <v>24</v>
      </c>
      <c r="R61" s="78" t="s">
        <v>25</v>
      </c>
    </row>
    <row r="62" spans="1:18" ht="15" customHeight="1" x14ac:dyDescent="0.3">
      <c r="A62" s="195" t="s">
        <v>26</v>
      </c>
      <c r="B62" s="195" t="s">
        <v>690</v>
      </c>
      <c r="C62" s="196">
        <v>0.13541666666666671</v>
      </c>
      <c r="D62" s="195" t="s">
        <v>28</v>
      </c>
      <c r="E62" s="195" t="s">
        <v>74</v>
      </c>
      <c r="F62" s="195" t="s">
        <v>703</v>
      </c>
      <c r="G62" s="215"/>
      <c r="H62" s="32" t="s">
        <v>692</v>
      </c>
      <c r="I62" s="197">
        <v>0.41670000000000001</v>
      </c>
      <c r="J62" s="34">
        <v>75</v>
      </c>
      <c r="K62" s="35">
        <v>45981</v>
      </c>
      <c r="L62" s="34">
        <v>44</v>
      </c>
      <c r="M62" s="34">
        <v>0</v>
      </c>
      <c r="N62" s="34">
        <v>7</v>
      </c>
      <c r="O62" s="36" t="s">
        <v>289</v>
      </c>
      <c r="P62" s="37">
        <v>0.13541666666666671</v>
      </c>
      <c r="Q62" s="34">
        <v>180</v>
      </c>
      <c r="R62" s="38" t="s">
        <v>704</v>
      </c>
    </row>
    <row r="63" spans="1:18" ht="18" x14ac:dyDescent="0.3">
      <c r="A63" s="218" t="s">
        <v>602</v>
      </c>
      <c r="B63" s="219"/>
      <c r="C63" s="219"/>
      <c r="D63" s="219"/>
      <c r="E63" s="219"/>
      <c r="F63" s="220"/>
      <c r="G63" s="201"/>
      <c r="H63" s="172"/>
      <c r="I63" s="172"/>
      <c r="J63" s="172"/>
      <c r="K63" s="172"/>
      <c r="L63" s="172"/>
      <c r="M63" s="172"/>
      <c r="N63" s="172"/>
      <c r="O63" s="173"/>
      <c r="P63" s="172"/>
      <c r="Q63" s="140"/>
      <c r="R63" s="140"/>
    </row>
    <row r="64" spans="1:18" ht="15" customHeight="1" x14ac:dyDescent="0.3">
      <c r="A64" s="68" t="s">
        <v>108</v>
      </c>
      <c r="B64" s="68" t="s">
        <v>155</v>
      </c>
      <c r="C64" s="69" t="s">
        <v>513</v>
      </c>
      <c r="D64" s="68" t="s">
        <v>110</v>
      </c>
      <c r="E64" s="68" t="s">
        <v>476</v>
      </c>
      <c r="F64" s="68" t="s">
        <v>190</v>
      </c>
      <c r="G64" s="201"/>
      <c r="H64" s="172"/>
      <c r="I64" s="172"/>
      <c r="J64" s="172"/>
      <c r="K64" s="172"/>
      <c r="L64" s="172"/>
      <c r="M64" s="172"/>
      <c r="N64" s="172"/>
      <c r="O64" s="173"/>
      <c r="P64" s="172"/>
      <c r="Q64" s="140"/>
      <c r="R64" s="140"/>
    </row>
    <row r="65" spans="1:18" ht="15" customHeight="1" x14ac:dyDescent="0.3">
      <c r="A65" s="68" t="s">
        <v>108</v>
      </c>
      <c r="B65" s="68" t="s">
        <v>155</v>
      </c>
      <c r="C65" s="69" t="s">
        <v>513</v>
      </c>
      <c r="D65" s="68" t="s">
        <v>113</v>
      </c>
      <c r="E65" s="68" t="s">
        <v>476</v>
      </c>
      <c r="F65" s="68" t="s">
        <v>191</v>
      </c>
      <c r="G65" s="201"/>
      <c r="H65" s="172"/>
      <c r="I65" s="172"/>
      <c r="J65" s="172"/>
      <c r="K65" s="172"/>
      <c r="L65" s="172"/>
      <c r="M65" s="172"/>
      <c r="N65" s="172"/>
      <c r="O65" s="173"/>
      <c r="P65" s="172"/>
      <c r="Q65" s="140"/>
      <c r="R65" s="140"/>
    </row>
    <row r="66" spans="1:18" ht="15" customHeight="1" x14ac:dyDescent="0.3">
      <c r="A66" s="68" t="s">
        <v>108</v>
      </c>
      <c r="B66" s="68" t="s">
        <v>193</v>
      </c>
      <c r="C66" s="69" t="s">
        <v>539</v>
      </c>
      <c r="D66" s="68" t="s">
        <v>110</v>
      </c>
      <c r="E66" s="68" t="s">
        <v>476</v>
      </c>
      <c r="F66" s="68" t="s">
        <v>194</v>
      </c>
      <c r="G66" s="201"/>
      <c r="H66" s="172"/>
      <c r="I66" s="172"/>
      <c r="J66" s="172"/>
      <c r="K66" s="172"/>
      <c r="L66" s="172"/>
      <c r="M66" s="172"/>
      <c r="N66" s="172"/>
      <c r="O66" s="173"/>
      <c r="P66" s="172"/>
      <c r="Q66" s="140"/>
      <c r="R66" s="140"/>
    </row>
    <row r="67" spans="1:18" ht="15" customHeight="1" x14ac:dyDescent="0.3">
      <c r="A67" s="68" t="s">
        <v>108</v>
      </c>
      <c r="B67" s="68" t="s">
        <v>193</v>
      </c>
      <c r="C67" s="69" t="s">
        <v>539</v>
      </c>
      <c r="D67" s="68" t="s">
        <v>113</v>
      </c>
      <c r="E67" s="68" t="s">
        <v>476</v>
      </c>
      <c r="F67" s="68" t="s">
        <v>194</v>
      </c>
      <c r="G67" s="201"/>
      <c r="H67" s="172"/>
      <c r="I67" s="172"/>
      <c r="J67" s="172"/>
      <c r="K67" s="172"/>
      <c r="L67" s="172"/>
      <c r="M67" s="172"/>
      <c r="N67" s="172"/>
      <c r="O67" s="173"/>
      <c r="P67" s="172"/>
      <c r="Q67" s="140"/>
      <c r="R67" s="140"/>
    </row>
    <row r="68" spans="1:18" ht="15" customHeight="1" x14ac:dyDescent="0.3">
      <c r="A68" s="68" t="s">
        <v>26</v>
      </c>
      <c r="B68" s="68" t="s">
        <v>34</v>
      </c>
      <c r="C68" s="69" t="s">
        <v>411</v>
      </c>
      <c r="D68" s="68" t="s">
        <v>28</v>
      </c>
      <c r="E68" s="68" t="s">
        <v>463</v>
      </c>
      <c r="F68" s="68" t="s">
        <v>171</v>
      </c>
      <c r="G68" s="201"/>
      <c r="H68" s="172"/>
      <c r="I68" s="172"/>
      <c r="J68" s="172"/>
      <c r="K68" s="172"/>
      <c r="L68" s="172"/>
      <c r="M68" s="172"/>
      <c r="N68" s="172"/>
      <c r="O68" s="173"/>
      <c r="P68" s="172"/>
      <c r="Q68" s="140"/>
      <c r="R68" s="140"/>
    </row>
    <row r="69" spans="1:18" ht="15" customHeight="1" x14ac:dyDescent="0.3">
      <c r="A69" s="68" t="s">
        <v>26</v>
      </c>
      <c r="B69" s="68" t="s">
        <v>27</v>
      </c>
      <c r="C69" s="69" t="s">
        <v>401</v>
      </c>
      <c r="D69" s="68" t="s">
        <v>28</v>
      </c>
      <c r="E69" s="68" t="s">
        <v>465</v>
      </c>
      <c r="F69" s="68" t="s">
        <v>171</v>
      </c>
      <c r="G69" s="201"/>
      <c r="H69" s="172"/>
      <c r="I69" s="172"/>
      <c r="J69" s="172"/>
      <c r="K69" s="172"/>
      <c r="L69" s="172"/>
      <c r="M69" s="172"/>
      <c r="N69" s="172"/>
      <c r="O69" s="173"/>
      <c r="P69" s="172"/>
      <c r="Q69" s="140"/>
      <c r="R69" s="140"/>
    </row>
    <row r="70" spans="1:18" ht="15" customHeight="1" x14ac:dyDescent="0.3">
      <c r="A70" s="68" t="s">
        <v>26</v>
      </c>
      <c r="B70" s="68" t="s">
        <v>199</v>
      </c>
      <c r="C70" s="69" t="s">
        <v>304</v>
      </c>
      <c r="D70" s="68" t="s">
        <v>28</v>
      </c>
      <c r="E70" s="68" t="s">
        <v>500</v>
      </c>
      <c r="F70" s="68" t="s">
        <v>171</v>
      </c>
      <c r="G70" s="201"/>
      <c r="H70" s="172"/>
      <c r="I70" s="172"/>
      <c r="J70" s="172"/>
      <c r="K70" s="172"/>
      <c r="L70" s="172"/>
      <c r="M70" s="172"/>
      <c r="N70" s="172"/>
      <c r="O70" s="173"/>
      <c r="P70" s="172"/>
      <c r="Q70" s="140"/>
      <c r="R70" s="140"/>
    </row>
    <row r="71" spans="1:18" ht="15" customHeight="1" x14ac:dyDescent="0.3">
      <c r="A71" s="68" t="s">
        <v>52</v>
      </c>
      <c r="B71" s="68" t="s">
        <v>53</v>
      </c>
      <c r="C71" s="69" t="s">
        <v>473</v>
      </c>
      <c r="D71" s="68" t="s">
        <v>56</v>
      </c>
      <c r="E71" s="68" t="s">
        <v>463</v>
      </c>
      <c r="F71" s="68" t="s">
        <v>61</v>
      </c>
      <c r="G71" s="201"/>
      <c r="H71" s="172"/>
      <c r="I71" s="172"/>
      <c r="J71" s="172"/>
      <c r="K71" s="172"/>
      <c r="L71" s="172"/>
      <c r="M71" s="172"/>
      <c r="N71" s="172"/>
      <c r="O71" s="173"/>
      <c r="P71" s="172"/>
      <c r="Q71" s="140"/>
      <c r="R71" s="140"/>
    </row>
    <row r="72" spans="1:18" ht="15" customHeight="1" x14ac:dyDescent="0.3">
      <c r="A72" s="68" t="s">
        <v>52</v>
      </c>
      <c r="B72" s="68" t="s">
        <v>62</v>
      </c>
      <c r="C72" s="69" t="s">
        <v>492</v>
      </c>
      <c r="D72" s="68" t="s">
        <v>56</v>
      </c>
      <c r="E72" s="68" t="s">
        <v>463</v>
      </c>
      <c r="F72" s="68" t="s">
        <v>61</v>
      </c>
      <c r="G72" s="201"/>
      <c r="H72" s="172"/>
      <c r="I72" s="172"/>
      <c r="J72" s="172"/>
      <c r="K72" s="172"/>
      <c r="L72" s="172"/>
      <c r="M72" s="172"/>
      <c r="N72" s="172"/>
      <c r="O72" s="173"/>
      <c r="P72" s="172"/>
      <c r="Q72" s="140"/>
      <c r="R72" s="140"/>
    </row>
    <row r="73" spans="1:18" ht="15" customHeight="1" thickBot="1" x14ac:dyDescent="0.35">
      <c r="A73" s="70" t="s">
        <v>52</v>
      </c>
      <c r="B73" s="70" t="s">
        <v>66</v>
      </c>
      <c r="C73" s="71" t="s">
        <v>491</v>
      </c>
      <c r="D73" s="70" t="s">
        <v>54</v>
      </c>
      <c r="E73" s="70" t="s">
        <v>500</v>
      </c>
      <c r="F73" s="70" t="s">
        <v>89</v>
      </c>
      <c r="G73" s="202"/>
      <c r="H73" s="174"/>
      <c r="I73" s="174"/>
      <c r="J73" s="174"/>
      <c r="K73" s="174"/>
      <c r="L73" s="174"/>
      <c r="M73" s="174"/>
      <c r="N73" s="174"/>
      <c r="O73" s="175"/>
      <c r="P73" s="174"/>
      <c r="Q73" s="176"/>
      <c r="R73" s="176"/>
    </row>
    <row r="74" spans="1:18" ht="17.399999999999999" customHeight="1" thickBot="1" x14ac:dyDescent="0.35">
      <c r="A74" s="235"/>
      <c r="B74" s="236"/>
      <c r="C74" s="236"/>
      <c r="D74" s="236"/>
      <c r="E74" s="236"/>
      <c r="F74" s="236"/>
      <c r="G74" s="236"/>
      <c r="H74" s="236"/>
      <c r="I74" s="236"/>
      <c r="J74" s="236"/>
      <c r="K74" s="236"/>
      <c r="L74" s="236"/>
      <c r="M74" s="236"/>
      <c r="N74" s="236"/>
      <c r="O74" s="236"/>
      <c r="P74" s="236"/>
      <c r="Q74" s="236"/>
      <c r="R74" s="237"/>
    </row>
    <row r="75" spans="1:18" ht="22.05" customHeight="1" thickTop="1" thickBot="1" x14ac:dyDescent="0.35">
      <c r="A75" s="203" t="s">
        <v>6</v>
      </c>
      <c r="B75" s="204"/>
      <c r="C75" s="204"/>
      <c r="D75" s="204"/>
      <c r="E75" s="204"/>
      <c r="F75" s="205"/>
      <c r="G75" s="77">
        <v>45990</v>
      </c>
      <c r="H75" s="212" t="s">
        <v>7</v>
      </c>
      <c r="I75" s="204"/>
      <c r="J75" s="204"/>
      <c r="K75" s="204"/>
      <c r="L75" s="204"/>
      <c r="M75" s="204"/>
      <c r="N75" s="204"/>
      <c r="O75" s="204"/>
      <c r="P75" s="204"/>
      <c r="Q75" s="204"/>
      <c r="R75" s="205"/>
    </row>
    <row r="76" spans="1:18" ht="24" customHeight="1" x14ac:dyDescent="0.3">
      <c r="A76" s="78" t="s">
        <v>8</v>
      </c>
      <c r="B76" s="78" t="s">
        <v>9</v>
      </c>
      <c r="C76" s="79" t="s">
        <v>10</v>
      </c>
      <c r="D76" s="78" t="s">
        <v>11</v>
      </c>
      <c r="E76" s="78" t="s">
        <v>12</v>
      </c>
      <c r="F76" s="80" t="s">
        <v>13</v>
      </c>
      <c r="G76" s="81" t="s">
        <v>14</v>
      </c>
      <c r="H76" s="78" t="s">
        <v>15</v>
      </c>
      <c r="I76" s="82" t="s">
        <v>16</v>
      </c>
      <c r="J76" s="83" t="s">
        <v>17</v>
      </c>
      <c r="K76" s="84" t="s">
        <v>18</v>
      </c>
      <c r="L76" s="83" t="s">
        <v>19</v>
      </c>
      <c r="M76" s="83" t="s">
        <v>20</v>
      </c>
      <c r="N76" s="83" t="s">
        <v>21</v>
      </c>
      <c r="O76" s="78" t="s">
        <v>22</v>
      </c>
      <c r="P76" s="79" t="s">
        <v>23</v>
      </c>
      <c r="Q76" s="83" t="s">
        <v>24</v>
      </c>
      <c r="R76" s="78" t="s">
        <v>25</v>
      </c>
    </row>
    <row r="77" spans="1:18" ht="15" customHeight="1" x14ac:dyDescent="0.3">
      <c r="A77" s="169" t="s">
        <v>26</v>
      </c>
      <c r="B77" s="169" t="s">
        <v>690</v>
      </c>
      <c r="C77" s="170">
        <v>0.1423611111111111</v>
      </c>
      <c r="D77" s="169" t="s">
        <v>28</v>
      </c>
      <c r="E77" s="169" t="s">
        <v>104</v>
      </c>
      <c r="F77" s="169" t="s">
        <v>681</v>
      </c>
      <c r="G77" s="200"/>
      <c r="H77" s="98" t="s">
        <v>692</v>
      </c>
      <c r="I77" s="198">
        <v>0.67220000000000002</v>
      </c>
      <c r="J77" s="100">
        <v>121</v>
      </c>
      <c r="K77" s="101">
        <v>45981</v>
      </c>
      <c r="L77" s="100">
        <v>14</v>
      </c>
      <c r="M77" s="100">
        <v>0</v>
      </c>
      <c r="N77" s="100">
        <v>1</v>
      </c>
      <c r="O77" s="102" t="s">
        <v>318</v>
      </c>
      <c r="P77" s="103">
        <v>0.1423611111111111</v>
      </c>
      <c r="Q77" s="100">
        <v>180</v>
      </c>
      <c r="R77" s="104" t="s">
        <v>705</v>
      </c>
    </row>
    <row r="78" spans="1:18" ht="15" customHeight="1" x14ac:dyDescent="0.3">
      <c r="A78" s="115" t="s">
        <v>26</v>
      </c>
      <c r="B78" s="115" t="s">
        <v>680</v>
      </c>
      <c r="C78" s="116">
        <v>0.52777777777777779</v>
      </c>
      <c r="D78" s="115" t="s">
        <v>28</v>
      </c>
      <c r="E78" s="115" t="s">
        <v>134</v>
      </c>
      <c r="F78" s="115" t="s">
        <v>691</v>
      </c>
      <c r="G78" s="201"/>
      <c r="H78" s="87" t="s">
        <v>682</v>
      </c>
      <c r="I78" s="88">
        <v>0.92220000000000002</v>
      </c>
      <c r="J78" s="89">
        <v>166</v>
      </c>
      <c r="K78" s="90">
        <v>45981</v>
      </c>
      <c r="L78" s="89">
        <v>16</v>
      </c>
      <c r="M78" s="89">
        <v>0</v>
      </c>
      <c r="N78" s="89">
        <v>6</v>
      </c>
      <c r="O78" s="91" t="s">
        <v>246</v>
      </c>
      <c r="P78" s="92">
        <v>0.52777777777777779</v>
      </c>
      <c r="Q78" s="89">
        <v>180</v>
      </c>
      <c r="R78" s="93" t="s">
        <v>706</v>
      </c>
    </row>
    <row r="79" spans="1:18" ht="18" x14ac:dyDescent="0.3">
      <c r="A79" s="218" t="s">
        <v>602</v>
      </c>
      <c r="B79" s="219"/>
      <c r="C79" s="219"/>
      <c r="D79" s="219"/>
      <c r="E79" s="219"/>
      <c r="F79" s="220"/>
      <c r="G79" s="201"/>
      <c r="H79" s="172"/>
      <c r="I79" s="172"/>
      <c r="J79" s="172"/>
      <c r="K79" s="172"/>
      <c r="L79" s="172"/>
      <c r="M79" s="172"/>
      <c r="N79" s="172"/>
      <c r="O79" s="173"/>
      <c r="P79" s="172"/>
      <c r="Q79" s="140"/>
      <c r="R79" s="140"/>
    </row>
    <row r="80" spans="1:18" ht="15" customHeight="1" x14ac:dyDescent="0.3">
      <c r="A80" s="68" t="s">
        <v>108</v>
      </c>
      <c r="B80" s="68" t="s">
        <v>155</v>
      </c>
      <c r="C80" s="69" t="s">
        <v>552</v>
      </c>
      <c r="D80" s="68" t="s">
        <v>110</v>
      </c>
      <c r="E80" s="68" t="s">
        <v>476</v>
      </c>
      <c r="F80" s="68" t="s">
        <v>219</v>
      </c>
      <c r="G80" s="201"/>
      <c r="H80" s="172"/>
      <c r="I80" s="172"/>
      <c r="J80" s="172"/>
      <c r="K80" s="172"/>
      <c r="L80" s="172"/>
      <c r="M80" s="172"/>
      <c r="N80" s="172"/>
      <c r="O80" s="173"/>
      <c r="P80" s="172"/>
      <c r="Q80" s="140"/>
      <c r="R80" s="140"/>
    </row>
    <row r="81" spans="1:18" ht="15" customHeight="1" x14ac:dyDescent="0.3">
      <c r="A81" s="68" t="s">
        <v>108</v>
      </c>
      <c r="B81" s="68" t="s">
        <v>155</v>
      </c>
      <c r="C81" s="69" t="s">
        <v>552</v>
      </c>
      <c r="D81" s="68" t="s">
        <v>113</v>
      </c>
      <c r="E81" s="68" t="s">
        <v>476</v>
      </c>
      <c r="F81" s="68" t="s">
        <v>219</v>
      </c>
      <c r="G81" s="201"/>
      <c r="H81" s="172"/>
      <c r="I81" s="172"/>
      <c r="J81" s="172"/>
      <c r="K81" s="172"/>
      <c r="L81" s="172"/>
      <c r="M81" s="172"/>
      <c r="N81" s="172"/>
      <c r="O81" s="173"/>
      <c r="P81" s="172"/>
      <c r="Q81" s="140"/>
      <c r="R81" s="140"/>
    </row>
    <row r="82" spans="1:18" ht="15" customHeight="1" x14ac:dyDescent="0.3">
      <c r="A82" s="68" t="s">
        <v>72</v>
      </c>
      <c r="B82" s="68" t="s">
        <v>73</v>
      </c>
      <c r="C82" s="69" t="s">
        <v>494</v>
      </c>
      <c r="D82" s="68" t="s">
        <v>28</v>
      </c>
      <c r="E82" s="68" t="s">
        <v>480</v>
      </c>
      <c r="F82" s="68" t="s">
        <v>182</v>
      </c>
      <c r="G82" s="201"/>
      <c r="H82" s="172"/>
      <c r="I82" s="172"/>
      <c r="J82" s="172"/>
      <c r="K82" s="172"/>
      <c r="L82" s="172"/>
      <c r="M82" s="172"/>
      <c r="N82" s="172"/>
      <c r="O82" s="173"/>
      <c r="P82" s="172"/>
      <c r="Q82" s="140"/>
      <c r="R82" s="140"/>
    </row>
    <row r="83" spans="1:18" ht="15" customHeight="1" x14ac:dyDescent="0.3">
      <c r="A83" s="68" t="s">
        <v>108</v>
      </c>
      <c r="B83" s="68" t="s">
        <v>109</v>
      </c>
      <c r="C83" s="69" t="s">
        <v>470</v>
      </c>
      <c r="D83" s="68" t="s">
        <v>113</v>
      </c>
      <c r="E83" s="68" t="s">
        <v>476</v>
      </c>
      <c r="F83" s="68" t="s">
        <v>221</v>
      </c>
      <c r="G83" s="201"/>
      <c r="H83" s="172"/>
      <c r="I83" s="172"/>
      <c r="J83" s="172"/>
      <c r="K83" s="172"/>
      <c r="L83" s="172"/>
      <c r="M83" s="172"/>
      <c r="N83" s="172"/>
      <c r="O83" s="173"/>
      <c r="P83" s="172"/>
      <c r="Q83" s="140"/>
      <c r="R83" s="140"/>
    </row>
    <row r="84" spans="1:18" ht="15" customHeight="1" x14ac:dyDescent="0.3">
      <c r="A84" s="68" t="s">
        <v>52</v>
      </c>
      <c r="B84" s="68" t="s">
        <v>53</v>
      </c>
      <c r="C84" s="69" t="s">
        <v>473</v>
      </c>
      <c r="D84" s="68" t="s">
        <v>54</v>
      </c>
      <c r="E84" s="68" t="s">
        <v>471</v>
      </c>
      <c r="F84" s="68" t="s">
        <v>89</v>
      </c>
      <c r="G84" s="201"/>
      <c r="H84" s="172"/>
      <c r="I84" s="172"/>
      <c r="J84" s="172"/>
      <c r="K84" s="172"/>
      <c r="L84" s="172"/>
      <c r="M84" s="172"/>
      <c r="N84" s="172"/>
      <c r="O84" s="173"/>
      <c r="P84" s="172"/>
      <c r="Q84" s="140"/>
      <c r="R84" s="140"/>
    </row>
    <row r="85" spans="1:18" ht="15" customHeight="1" x14ac:dyDescent="0.3">
      <c r="A85" s="68" t="s">
        <v>52</v>
      </c>
      <c r="B85" s="68" t="s">
        <v>53</v>
      </c>
      <c r="C85" s="69" t="s">
        <v>473</v>
      </c>
      <c r="D85" s="68" t="s">
        <v>56</v>
      </c>
      <c r="E85" s="68" t="s">
        <v>471</v>
      </c>
      <c r="F85" s="68" t="s">
        <v>89</v>
      </c>
      <c r="G85" s="201"/>
      <c r="H85" s="172"/>
      <c r="I85" s="172"/>
      <c r="J85" s="172"/>
      <c r="K85" s="172"/>
      <c r="L85" s="172"/>
      <c r="M85" s="172"/>
      <c r="N85" s="172"/>
      <c r="O85" s="173"/>
      <c r="P85" s="172"/>
      <c r="Q85" s="140"/>
      <c r="R85" s="140"/>
    </row>
    <row r="86" spans="1:18" ht="15" customHeight="1" x14ac:dyDescent="0.3">
      <c r="A86" s="68" t="s">
        <v>52</v>
      </c>
      <c r="B86" s="68" t="s">
        <v>69</v>
      </c>
      <c r="C86" s="69" t="s">
        <v>475</v>
      </c>
      <c r="D86" s="68" t="s">
        <v>54</v>
      </c>
      <c r="E86" s="68" t="s">
        <v>495</v>
      </c>
      <c r="F86" s="68" t="s">
        <v>89</v>
      </c>
      <c r="G86" s="201"/>
      <c r="H86" s="172"/>
      <c r="I86" s="172"/>
      <c r="J86" s="172"/>
      <c r="K86" s="172"/>
      <c r="L86" s="172"/>
      <c r="M86" s="172"/>
      <c r="N86" s="172"/>
      <c r="O86" s="173"/>
      <c r="P86" s="172"/>
      <c r="Q86" s="140"/>
      <c r="R86" s="140"/>
    </row>
    <row r="87" spans="1:18" ht="15" customHeight="1" x14ac:dyDescent="0.3">
      <c r="A87" s="68" t="s">
        <v>52</v>
      </c>
      <c r="B87" s="68" t="s">
        <v>69</v>
      </c>
      <c r="C87" s="69" t="s">
        <v>475</v>
      </c>
      <c r="D87" s="68" t="s">
        <v>56</v>
      </c>
      <c r="E87" s="68" t="s">
        <v>495</v>
      </c>
      <c r="F87" s="68" t="s">
        <v>89</v>
      </c>
      <c r="G87" s="201"/>
      <c r="H87" s="172"/>
      <c r="I87" s="172"/>
      <c r="J87" s="172"/>
      <c r="K87" s="172"/>
      <c r="L87" s="172"/>
      <c r="M87" s="172"/>
      <c r="N87" s="172"/>
      <c r="O87" s="173"/>
      <c r="P87" s="172"/>
      <c r="Q87" s="140"/>
      <c r="R87" s="140"/>
    </row>
    <row r="88" spans="1:18" ht="15" customHeight="1" x14ac:dyDescent="0.3">
      <c r="A88" s="68" t="s">
        <v>108</v>
      </c>
      <c r="B88" s="68" t="s">
        <v>155</v>
      </c>
      <c r="C88" s="69" t="s">
        <v>552</v>
      </c>
      <c r="D88" s="68" t="s">
        <v>60</v>
      </c>
      <c r="E88" s="68" t="s">
        <v>476</v>
      </c>
      <c r="F88" s="68" t="s">
        <v>220</v>
      </c>
      <c r="G88" s="201"/>
      <c r="H88" s="172"/>
      <c r="I88" s="172"/>
      <c r="J88" s="172"/>
      <c r="K88" s="172"/>
      <c r="L88" s="172"/>
      <c r="M88" s="172"/>
      <c r="N88" s="172"/>
      <c r="O88" s="173"/>
      <c r="P88" s="172"/>
      <c r="Q88" s="140"/>
      <c r="R88" s="140"/>
    </row>
    <row r="89" spans="1:18" ht="15" customHeight="1" thickBot="1" x14ac:dyDescent="0.35">
      <c r="A89" s="70" t="s">
        <v>72</v>
      </c>
      <c r="B89" s="70" t="s">
        <v>76</v>
      </c>
      <c r="C89" s="71" t="s">
        <v>510</v>
      </c>
      <c r="D89" s="70" t="s">
        <v>28</v>
      </c>
      <c r="E89" s="70" t="s">
        <v>465</v>
      </c>
      <c r="F89" s="70" t="s">
        <v>208</v>
      </c>
      <c r="G89" s="202"/>
      <c r="H89" s="174"/>
      <c r="I89" s="174"/>
      <c r="J89" s="174"/>
      <c r="K89" s="174"/>
      <c r="L89" s="174"/>
      <c r="M89" s="174"/>
      <c r="N89" s="174"/>
      <c r="O89" s="175"/>
      <c r="P89" s="174"/>
      <c r="Q89" s="176"/>
      <c r="R89" s="176"/>
    </row>
    <row r="90" spans="1:18" ht="17.399999999999999" customHeight="1" thickBot="1" x14ac:dyDescent="0.35">
      <c r="A90" s="235"/>
      <c r="B90" s="236"/>
      <c r="C90" s="236"/>
      <c r="D90" s="236"/>
      <c r="E90" s="236"/>
      <c r="F90" s="236"/>
      <c r="G90" s="236"/>
      <c r="H90" s="236"/>
      <c r="I90" s="236"/>
      <c r="J90" s="236"/>
      <c r="K90" s="236"/>
      <c r="L90" s="236"/>
      <c r="M90" s="236"/>
      <c r="N90" s="236"/>
      <c r="O90" s="236"/>
      <c r="P90" s="236"/>
      <c r="Q90" s="236"/>
      <c r="R90" s="237"/>
    </row>
    <row r="91" spans="1:18" ht="22.05" customHeight="1" thickTop="1" thickBot="1" x14ac:dyDescent="0.35">
      <c r="A91" s="203" t="s">
        <v>6</v>
      </c>
      <c r="B91" s="204"/>
      <c r="C91" s="204"/>
      <c r="D91" s="204"/>
      <c r="E91" s="204"/>
      <c r="F91" s="205"/>
      <c r="G91" s="77">
        <v>45991</v>
      </c>
      <c r="H91" s="212" t="s">
        <v>7</v>
      </c>
      <c r="I91" s="204"/>
      <c r="J91" s="204"/>
      <c r="K91" s="204"/>
      <c r="L91" s="204"/>
      <c r="M91" s="204"/>
      <c r="N91" s="204"/>
      <c r="O91" s="204"/>
      <c r="P91" s="204"/>
      <c r="Q91" s="204"/>
      <c r="R91" s="205"/>
    </row>
    <row r="92" spans="1:18" ht="24" customHeight="1" x14ac:dyDescent="0.3">
      <c r="A92" s="78" t="s">
        <v>8</v>
      </c>
      <c r="B92" s="78" t="s">
        <v>9</v>
      </c>
      <c r="C92" s="79" t="s">
        <v>10</v>
      </c>
      <c r="D92" s="78" t="s">
        <v>11</v>
      </c>
      <c r="E92" s="78" t="s">
        <v>12</v>
      </c>
      <c r="F92" s="80" t="s">
        <v>13</v>
      </c>
      <c r="G92" s="81" t="s">
        <v>14</v>
      </c>
      <c r="H92" s="78" t="s">
        <v>15</v>
      </c>
      <c r="I92" s="82" t="s">
        <v>16</v>
      </c>
      <c r="J92" s="83" t="s">
        <v>17</v>
      </c>
      <c r="K92" s="84" t="s">
        <v>18</v>
      </c>
      <c r="L92" s="83" t="s">
        <v>19</v>
      </c>
      <c r="M92" s="83" t="s">
        <v>20</v>
      </c>
      <c r="N92" s="83" t="s">
        <v>21</v>
      </c>
      <c r="O92" s="78" t="s">
        <v>22</v>
      </c>
      <c r="P92" s="79" t="s">
        <v>23</v>
      </c>
      <c r="Q92" s="83" t="s">
        <v>24</v>
      </c>
      <c r="R92" s="78" t="s">
        <v>25</v>
      </c>
    </row>
    <row r="93" spans="1:18" ht="15" customHeight="1" x14ac:dyDescent="0.3">
      <c r="A93" s="120" t="s">
        <v>52</v>
      </c>
      <c r="B93" s="120" t="s">
        <v>686</v>
      </c>
      <c r="C93" s="121">
        <v>0.36458333333333331</v>
      </c>
      <c r="D93" s="120" t="s">
        <v>584</v>
      </c>
      <c r="E93" s="120" t="s">
        <v>707</v>
      </c>
      <c r="F93" s="120" t="s">
        <v>708</v>
      </c>
      <c r="G93" s="200"/>
      <c r="H93" s="61"/>
      <c r="I93" s="62"/>
      <c r="J93" s="62"/>
      <c r="K93" s="62"/>
      <c r="L93" s="62"/>
      <c r="M93" s="62"/>
      <c r="N93" s="62"/>
      <c r="O93" s="63"/>
      <c r="P93" s="62"/>
      <c r="Q93" s="64"/>
      <c r="R93" s="65"/>
    </row>
    <row r="94" spans="1:18" ht="15" customHeight="1" x14ac:dyDescent="0.3">
      <c r="A94" s="66" t="s">
        <v>52</v>
      </c>
      <c r="B94" s="66" t="s">
        <v>686</v>
      </c>
      <c r="C94" s="67">
        <v>0.36458333333333331</v>
      </c>
      <c r="D94" s="66" t="s">
        <v>586</v>
      </c>
      <c r="E94" s="66" t="s">
        <v>709</v>
      </c>
      <c r="F94" s="66" t="s">
        <v>710</v>
      </c>
      <c r="G94" s="201"/>
      <c r="H94" s="61"/>
      <c r="I94" s="62"/>
      <c r="J94" s="62"/>
      <c r="K94" s="62"/>
      <c r="L94" s="62"/>
      <c r="M94" s="62"/>
      <c r="N94" s="62"/>
      <c r="O94" s="63"/>
      <c r="P94" s="62"/>
      <c r="Q94" s="64"/>
      <c r="R94" s="65"/>
    </row>
    <row r="95" spans="1:18" ht="15" customHeight="1" x14ac:dyDescent="0.3">
      <c r="A95" s="66" t="s">
        <v>52</v>
      </c>
      <c r="B95" s="66" t="s">
        <v>686</v>
      </c>
      <c r="C95" s="67">
        <v>0.36458333333333331</v>
      </c>
      <c r="D95" s="66" t="s">
        <v>588</v>
      </c>
      <c r="E95" s="66" t="s">
        <v>709</v>
      </c>
      <c r="F95" s="66" t="s">
        <v>711</v>
      </c>
      <c r="G95" s="201"/>
      <c r="H95" s="61"/>
      <c r="I95" s="62"/>
      <c r="J95" s="62"/>
      <c r="K95" s="62"/>
      <c r="L95" s="62"/>
      <c r="M95" s="62"/>
      <c r="N95" s="62"/>
      <c r="O95" s="63"/>
      <c r="P95" s="62"/>
      <c r="Q95" s="64"/>
      <c r="R95" s="65"/>
    </row>
    <row r="96" spans="1:18" ht="15" customHeight="1" x14ac:dyDescent="0.3">
      <c r="A96" s="66" t="s">
        <v>52</v>
      </c>
      <c r="B96" s="66" t="s">
        <v>686</v>
      </c>
      <c r="C96" s="67">
        <v>0.36458333333333331</v>
      </c>
      <c r="D96" s="66" t="s">
        <v>590</v>
      </c>
      <c r="E96" s="66" t="s">
        <v>709</v>
      </c>
      <c r="F96" s="66" t="s">
        <v>55</v>
      </c>
      <c r="G96" s="201"/>
      <c r="H96" s="61"/>
      <c r="I96" s="62"/>
      <c r="J96" s="62"/>
      <c r="K96" s="62"/>
      <c r="L96" s="62"/>
      <c r="M96" s="62"/>
      <c r="N96" s="62"/>
      <c r="O96" s="63"/>
      <c r="P96" s="62"/>
      <c r="Q96" s="64"/>
      <c r="R96" s="65"/>
    </row>
    <row r="97" spans="1:18" ht="15" customHeight="1" x14ac:dyDescent="0.3">
      <c r="A97" s="85" t="s">
        <v>26</v>
      </c>
      <c r="B97" s="85" t="s">
        <v>680</v>
      </c>
      <c r="C97" s="86">
        <v>0.69097222222222221</v>
      </c>
      <c r="D97" s="85" t="s">
        <v>28</v>
      </c>
      <c r="E97" s="85" t="s">
        <v>104</v>
      </c>
      <c r="F97" s="85" t="s">
        <v>703</v>
      </c>
      <c r="G97" s="201"/>
      <c r="H97" s="87" t="s">
        <v>682</v>
      </c>
      <c r="I97" s="199">
        <v>0.59440000000000004</v>
      </c>
      <c r="J97" s="89">
        <v>107</v>
      </c>
      <c r="K97" s="90">
        <v>45981</v>
      </c>
      <c r="L97" s="89">
        <v>52</v>
      </c>
      <c r="M97" s="89">
        <v>0</v>
      </c>
      <c r="N97" s="89">
        <v>18</v>
      </c>
      <c r="O97" s="91" t="s">
        <v>653</v>
      </c>
      <c r="P97" s="92">
        <v>0.69097222222222221</v>
      </c>
      <c r="Q97" s="89">
        <v>180</v>
      </c>
      <c r="R97" s="93" t="s">
        <v>712</v>
      </c>
    </row>
    <row r="98" spans="1:18" ht="15" customHeight="1" x14ac:dyDescent="0.3">
      <c r="A98" s="49" t="s">
        <v>26</v>
      </c>
      <c r="B98" s="49" t="s">
        <v>690</v>
      </c>
      <c r="C98" s="50">
        <v>0.3298611111111111</v>
      </c>
      <c r="D98" s="49" t="s">
        <v>28</v>
      </c>
      <c r="E98" s="49" t="s">
        <v>67</v>
      </c>
      <c r="F98" s="49" t="s">
        <v>703</v>
      </c>
      <c r="G98" s="201"/>
      <c r="H98" s="52" t="s">
        <v>692</v>
      </c>
      <c r="I98" s="53">
        <v>0.87219999999999998</v>
      </c>
      <c r="J98" s="54">
        <v>157</v>
      </c>
      <c r="K98" s="55">
        <v>45981</v>
      </c>
      <c r="L98" s="54">
        <v>52</v>
      </c>
      <c r="M98" s="54">
        <v>0</v>
      </c>
      <c r="N98" s="54">
        <v>14</v>
      </c>
      <c r="O98" s="56" t="s">
        <v>713</v>
      </c>
      <c r="P98" s="57">
        <v>0.3298611111111111</v>
      </c>
      <c r="Q98" s="54">
        <v>180</v>
      </c>
      <c r="R98" s="58" t="s">
        <v>714</v>
      </c>
    </row>
    <row r="99" spans="1:18" ht="18" x14ac:dyDescent="0.3">
      <c r="A99" s="218" t="s">
        <v>602</v>
      </c>
      <c r="B99" s="219"/>
      <c r="C99" s="219"/>
      <c r="D99" s="219"/>
      <c r="E99" s="219"/>
      <c r="F99" s="220"/>
      <c r="G99" s="201"/>
      <c r="H99" s="172"/>
      <c r="I99" s="172"/>
      <c r="J99" s="172"/>
      <c r="K99" s="172"/>
      <c r="L99" s="172"/>
      <c r="M99" s="172"/>
      <c r="N99" s="172"/>
      <c r="O99" s="173"/>
      <c r="P99" s="172"/>
      <c r="Q99" s="140"/>
      <c r="R99" s="140"/>
    </row>
    <row r="100" spans="1:18" ht="15" customHeight="1" x14ac:dyDescent="0.3">
      <c r="A100" s="68" t="s">
        <v>52</v>
      </c>
      <c r="B100" s="68" t="s">
        <v>53</v>
      </c>
      <c r="C100" s="69" t="s">
        <v>473</v>
      </c>
      <c r="D100" s="68" t="s">
        <v>56</v>
      </c>
      <c r="E100" s="68" t="s">
        <v>527</v>
      </c>
      <c r="F100" s="68" t="s">
        <v>55</v>
      </c>
      <c r="G100" s="201"/>
      <c r="H100" s="172"/>
      <c r="I100" s="172"/>
      <c r="J100" s="172"/>
      <c r="K100" s="172"/>
      <c r="L100" s="172"/>
      <c r="M100" s="172"/>
      <c r="N100" s="172"/>
      <c r="O100" s="173"/>
      <c r="P100" s="172"/>
      <c r="Q100" s="140"/>
      <c r="R100" s="140"/>
    </row>
    <row r="101" spans="1:18" ht="15" customHeight="1" x14ac:dyDescent="0.3">
      <c r="A101" s="68" t="s">
        <v>52</v>
      </c>
      <c r="B101" s="68" t="s">
        <v>62</v>
      </c>
      <c r="C101" s="69" t="s">
        <v>492</v>
      </c>
      <c r="D101" s="68" t="s">
        <v>56</v>
      </c>
      <c r="E101" s="68" t="s">
        <v>463</v>
      </c>
      <c r="F101" s="68" t="s">
        <v>55</v>
      </c>
      <c r="G101" s="201"/>
      <c r="H101" s="172"/>
      <c r="I101" s="172"/>
      <c r="J101" s="172"/>
      <c r="K101" s="172"/>
      <c r="L101" s="172"/>
      <c r="M101" s="172"/>
      <c r="N101" s="172"/>
      <c r="O101" s="173"/>
      <c r="P101" s="172"/>
      <c r="Q101" s="140"/>
      <c r="R101" s="140"/>
    </row>
    <row r="102" spans="1:18" ht="15" customHeight="1" x14ac:dyDescent="0.3">
      <c r="A102" s="68" t="s">
        <v>52</v>
      </c>
      <c r="B102" s="68" t="s">
        <v>66</v>
      </c>
      <c r="C102" s="69" t="s">
        <v>491</v>
      </c>
      <c r="D102" s="68" t="s">
        <v>56</v>
      </c>
      <c r="E102" s="68" t="s">
        <v>498</v>
      </c>
      <c r="F102" s="68" t="s">
        <v>36</v>
      </c>
      <c r="G102" s="201"/>
      <c r="H102" s="172"/>
      <c r="I102" s="172"/>
      <c r="J102" s="172"/>
      <c r="K102" s="172"/>
      <c r="L102" s="172"/>
      <c r="M102" s="172"/>
      <c r="N102" s="172"/>
      <c r="O102" s="173"/>
      <c r="P102" s="172"/>
      <c r="Q102" s="140"/>
      <c r="R102" s="140"/>
    </row>
    <row r="103" spans="1:18" ht="15" customHeight="1" x14ac:dyDescent="0.3">
      <c r="A103" s="68" t="s">
        <v>52</v>
      </c>
      <c r="B103" s="68" t="s">
        <v>69</v>
      </c>
      <c r="C103" s="69" t="s">
        <v>475</v>
      </c>
      <c r="D103" s="68" t="s">
        <v>56</v>
      </c>
      <c r="E103" s="68" t="s">
        <v>480</v>
      </c>
      <c r="F103" s="68" t="s">
        <v>36</v>
      </c>
      <c r="G103" s="201"/>
      <c r="H103" s="172"/>
      <c r="I103" s="172"/>
      <c r="J103" s="172"/>
      <c r="K103" s="172"/>
      <c r="L103" s="172"/>
      <c r="M103" s="172"/>
      <c r="N103" s="172"/>
      <c r="O103" s="173"/>
      <c r="P103" s="172"/>
      <c r="Q103" s="140"/>
      <c r="R103" s="140"/>
    </row>
    <row r="104" spans="1:18" ht="15" customHeight="1" x14ac:dyDescent="0.3">
      <c r="A104" s="68" t="s">
        <v>72</v>
      </c>
      <c r="B104" s="68" t="s">
        <v>73</v>
      </c>
      <c r="C104" s="69" t="s">
        <v>576</v>
      </c>
      <c r="D104" s="68" t="s">
        <v>28</v>
      </c>
      <c r="E104" s="68" t="s">
        <v>577</v>
      </c>
      <c r="F104" s="68" t="s">
        <v>75</v>
      </c>
      <c r="G104" s="201"/>
      <c r="H104" s="172"/>
      <c r="I104" s="172"/>
      <c r="J104" s="172"/>
      <c r="K104" s="172"/>
      <c r="L104" s="172"/>
      <c r="M104" s="172"/>
      <c r="N104" s="172"/>
      <c r="O104" s="173"/>
      <c r="P104" s="172"/>
      <c r="Q104" s="140"/>
      <c r="R104" s="140"/>
    </row>
    <row r="105" spans="1:18" ht="15" customHeight="1" x14ac:dyDescent="0.3">
      <c r="A105" s="68" t="s">
        <v>108</v>
      </c>
      <c r="B105" s="68" t="s">
        <v>155</v>
      </c>
      <c r="C105" s="69" t="s">
        <v>578</v>
      </c>
      <c r="D105" s="68" t="s">
        <v>113</v>
      </c>
      <c r="E105" s="68" t="s">
        <v>476</v>
      </c>
      <c r="F105" s="68" t="s">
        <v>238</v>
      </c>
      <c r="G105" s="201"/>
      <c r="H105" s="172"/>
      <c r="I105" s="172"/>
      <c r="J105" s="172"/>
      <c r="K105" s="172"/>
      <c r="L105" s="172"/>
      <c r="M105" s="172"/>
      <c r="N105" s="172"/>
      <c r="O105" s="173"/>
      <c r="P105" s="172"/>
      <c r="Q105" s="140"/>
      <c r="R105" s="140"/>
    </row>
    <row r="106" spans="1:18" ht="15" customHeight="1" x14ac:dyDescent="0.3">
      <c r="A106" s="68" t="s">
        <v>79</v>
      </c>
      <c r="B106" s="68" t="s">
        <v>97</v>
      </c>
      <c r="C106" s="69" t="s">
        <v>486</v>
      </c>
      <c r="D106" s="68" t="s">
        <v>84</v>
      </c>
      <c r="E106" s="68" t="s">
        <v>471</v>
      </c>
      <c r="F106" s="68" t="s">
        <v>240</v>
      </c>
      <c r="G106" s="201"/>
      <c r="H106" s="172"/>
      <c r="I106" s="172"/>
      <c r="J106" s="172"/>
      <c r="K106" s="172"/>
      <c r="L106" s="172"/>
      <c r="M106" s="172"/>
      <c r="N106" s="172"/>
      <c r="O106" s="173"/>
      <c r="P106" s="172"/>
      <c r="Q106" s="140"/>
      <c r="R106" s="140"/>
    </row>
    <row r="107" spans="1:18" ht="15" customHeight="1" x14ac:dyDescent="0.3">
      <c r="A107" s="68" t="s">
        <v>79</v>
      </c>
      <c r="B107" s="68" t="s">
        <v>100</v>
      </c>
      <c r="C107" s="69" t="s">
        <v>490</v>
      </c>
      <c r="D107" s="68" t="s">
        <v>84</v>
      </c>
      <c r="E107" s="68" t="s">
        <v>476</v>
      </c>
      <c r="F107" s="68" t="s">
        <v>240</v>
      </c>
      <c r="G107" s="201"/>
      <c r="H107" s="172"/>
      <c r="I107" s="172"/>
      <c r="J107" s="172"/>
      <c r="K107" s="172"/>
      <c r="L107" s="172"/>
      <c r="M107" s="172"/>
      <c r="N107" s="172"/>
      <c r="O107" s="173"/>
      <c r="P107" s="172"/>
      <c r="Q107" s="140"/>
      <c r="R107" s="140"/>
    </row>
    <row r="108" spans="1:18" ht="15" customHeight="1" x14ac:dyDescent="0.3">
      <c r="A108" s="68" t="s">
        <v>79</v>
      </c>
      <c r="B108" s="68" t="s">
        <v>90</v>
      </c>
      <c r="C108" s="69" t="s">
        <v>482</v>
      </c>
      <c r="D108" s="68" t="s">
        <v>84</v>
      </c>
      <c r="E108" s="68" t="s">
        <v>577</v>
      </c>
      <c r="F108" s="68" t="s">
        <v>240</v>
      </c>
      <c r="G108" s="201"/>
      <c r="H108" s="172"/>
      <c r="I108" s="172"/>
      <c r="J108" s="172"/>
      <c r="K108" s="172"/>
      <c r="L108" s="172"/>
      <c r="M108" s="172"/>
      <c r="N108" s="172"/>
      <c r="O108" s="173"/>
      <c r="P108" s="172"/>
      <c r="Q108" s="140"/>
      <c r="R108" s="140"/>
    </row>
    <row r="109" spans="1:18" ht="15" customHeight="1" x14ac:dyDescent="0.3">
      <c r="A109" s="70" t="s">
        <v>79</v>
      </c>
      <c r="B109" s="70" t="s">
        <v>93</v>
      </c>
      <c r="C109" s="71" t="s">
        <v>483</v>
      </c>
      <c r="D109" s="70" t="s">
        <v>84</v>
      </c>
      <c r="E109" s="70" t="s">
        <v>468</v>
      </c>
      <c r="F109" s="70" t="s">
        <v>240</v>
      </c>
      <c r="G109" s="202"/>
      <c r="H109" s="174"/>
      <c r="I109" s="174"/>
      <c r="J109" s="174"/>
      <c r="K109" s="174"/>
      <c r="L109" s="174"/>
      <c r="M109" s="174"/>
      <c r="N109" s="174"/>
      <c r="O109" s="175"/>
      <c r="P109" s="174"/>
      <c r="Q109" s="176"/>
      <c r="R109" s="176"/>
    </row>
  </sheetData>
  <mergeCells count="36">
    <mergeCell ref="N1:R1"/>
    <mergeCell ref="A20:R20"/>
    <mergeCell ref="A63:F63"/>
    <mergeCell ref="A9:F9"/>
    <mergeCell ref="A31:F31"/>
    <mergeCell ref="K2:R2"/>
    <mergeCell ref="A48:F48"/>
    <mergeCell ref="G62:G73"/>
    <mergeCell ref="A59:R59"/>
    <mergeCell ref="A60:F60"/>
    <mergeCell ref="G6:G19"/>
    <mergeCell ref="G2:J2"/>
    <mergeCell ref="A4:F4"/>
    <mergeCell ref="G23:G41"/>
    <mergeCell ref="A91:F91"/>
    <mergeCell ref="G93:G109"/>
    <mergeCell ref="A43:F43"/>
    <mergeCell ref="H75:R75"/>
    <mergeCell ref="A79:F79"/>
    <mergeCell ref="G77:G89"/>
    <mergeCell ref="A99:F99"/>
    <mergeCell ref="H91:R91"/>
    <mergeCell ref="A75:F75"/>
    <mergeCell ref="A90:R90"/>
    <mergeCell ref="H1:L1"/>
    <mergeCell ref="A1:E1"/>
    <mergeCell ref="H43:R43"/>
    <mergeCell ref="G45:G58"/>
    <mergeCell ref="A21:F21"/>
    <mergeCell ref="H4:R4"/>
    <mergeCell ref="A74:R74"/>
    <mergeCell ref="A2:F2"/>
    <mergeCell ref="A3:R3"/>
    <mergeCell ref="A42:R42"/>
    <mergeCell ref="H21:R21"/>
    <mergeCell ref="H60:R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14"/>
  <sheetViews>
    <sheetView workbookViewId="0"/>
  </sheetViews>
  <sheetFormatPr defaultRowHeight="15.6" outlineLevelCol="1" x14ac:dyDescent="0.3"/>
  <cols>
    <col min="1" max="1" width="11.5546875" style="222" bestFit="1" customWidth="1"/>
    <col min="2" max="2" width="10.44140625" style="222" bestFit="1" customWidth="1"/>
    <col min="3" max="3" width="6.77734375" style="222" bestFit="1" customWidth="1"/>
    <col min="4" max="4" width="5.5546875" style="222" bestFit="1" customWidth="1"/>
    <col min="5" max="5" width="7.77734375" style="222" bestFit="1" customWidth="1"/>
    <col min="6" max="6" width="4.21875" style="222" bestFit="1" customWidth="1"/>
    <col min="7" max="7" width="10" style="222" bestFit="1" customWidth="1"/>
    <col min="8" max="10" width="8.5546875" style="222" bestFit="1" customWidth="1"/>
    <col min="11" max="11" width="10.5546875" style="222" bestFit="1" customWidth="1"/>
    <col min="12" max="12" width="9.109375" style="222" bestFit="1" customWidth="1"/>
    <col min="13" max="13" width="7.6640625" style="222" bestFit="1" customWidth="1" outlineLevel="1"/>
    <col min="14" max="14" width="6.33203125" style="222" bestFit="1" customWidth="1" outlineLevel="1"/>
    <col min="15" max="15" width="8" style="222" bestFit="1" customWidth="1" outlineLevel="1"/>
    <col min="16" max="16" width="13.6640625" style="222" bestFit="1" customWidth="1"/>
    <col min="17" max="24" width="3.88671875" style="222" bestFit="1" customWidth="1"/>
    <col min="25" max="25" width="4.44140625" style="222" bestFit="1" customWidth="1"/>
    <col min="26" max="26" width="4.109375" style="222" bestFit="1" customWidth="1"/>
    <col min="27" max="27" width="5" style="222" bestFit="1" customWidth="1"/>
    <col min="28" max="29" width="4.21875" style="222" bestFit="1" customWidth="1"/>
    <col min="30" max="31" width="4.5546875" style="222" bestFit="1" customWidth="1"/>
    <col min="32" max="32" width="3.88671875" style="222" bestFit="1" customWidth="1"/>
    <col min="33" max="33" width="4.21875" style="222" bestFit="1" customWidth="1"/>
    <col min="34" max="34" width="3.88671875" style="222" bestFit="1" customWidth="1"/>
    <col min="35" max="35" width="5.21875" style="222" bestFit="1" customWidth="1"/>
    <col min="36" max="36" width="3.88671875" style="222" bestFit="1" customWidth="1"/>
    <col min="37" max="16384" width="8.88671875" style="222"/>
  </cols>
  <sheetData>
    <row r="1" spans="1:36" x14ac:dyDescent="0.3">
      <c r="A1" s="221" t="s">
        <v>254</v>
      </c>
      <c r="B1" s="221" t="s">
        <v>255</v>
      </c>
      <c r="C1" s="221" t="s">
        <v>256</v>
      </c>
      <c r="D1" s="221" t="s">
        <v>23</v>
      </c>
      <c r="E1" s="221" t="s">
        <v>257</v>
      </c>
      <c r="F1" s="221" t="s">
        <v>258</v>
      </c>
      <c r="G1" s="221" t="s">
        <v>16</v>
      </c>
      <c r="H1" s="221" t="s">
        <v>259</v>
      </c>
      <c r="I1" s="221" t="s">
        <v>260</v>
      </c>
      <c r="J1" s="221" t="s">
        <v>261</v>
      </c>
      <c r="K1" s="221" t="s">
        <v>262</v>
      </c>
      <c r="L1" s="221" t="s">
        <v>18</v>
      </c>
      <c r="M1" s="221" t="s">
        <v>20</v>
      </c>
      <c r="N1" s="221" t="s">
        <v>21</v>
      </c>
      <c r="O1" s="221" t="s">
        <v>19</v>
      </c>
      <c r="P1" s="221" t="s">
        <v>22</v>
      </c>
      <c r="Q1" s="221" t="s">
        <v>263</v>
      </c>
      <c r="R1" s="221" t="s">
        <v>264</v>
      </c>
      <c r="S1" s="221" t="s">
        <v>265</v>
      </c>
      <c r="T1" s="221" t="s">
        <v>266</v>
      </c>
      <c r="U1" s="221" t="s">
        <v>267</v>
      </c>
      <c r="V1" s="221" t="s">
        <v>268</v>
      </c>
      <c r="W1" s="221" t="s">
        <v>269</v>
      </c>
      <c r="X1" s="221" t="s">
        <v>270</v>
      </c>
      <c r="Y1" s="221" t="s">
        <v>271</v>
      </c>
      <c r="Z1" s="221" t="s">
        <v>272</v>
      </c>
      <c r="AA1" s="221" t="s">
        <v>273</v>
      </c>
      <c r="AB1" s="221" t="s">
        <v>274</v>
      </c>
      <c r="AC1" s="221" t="s">
        <v>275</v>
      </c>
      <c r="AD1" s="221" t="s">
        <v>276</v>
      </c>
      <c r="AE1" s="221" t="s">
        <v>277</v>
      </c>
      <c r="AF1" s="221" t="s">
        <v>278</v>
      </c>
      <c r="AG1" s="221" t="s">
        <v>279</v>
      </c>
      <c r="AH1" s="221" t="s">
        <v>280</v>
      </c>
      <c r="AI1" s="221" t="s">
        <v>281</v>
      </c>
      <c r="AJ1" s="221" t="s">
        <v>282</v>
      </c>
    </row>
    <row r="2" spans="1:36" x14ac:dyDescent="0.3">
      <c r="A2" s="223" t="s">
        <v>283</v>
      </c>
      <c r="B2" s="224">
        <v>45986</v>
      </c>
      <c r="C2" s="225" t="s">
        <v>678</v>
      </c>
      <c r="D2" s="226" t="s">
        <v>715</v>
      </c>
      <c r="E2" s="225" t="s">
        <v>675</v>
      </c>
      <c r="F2" s="225" t="s">
        <v>285</v>
      </c>
      <c r="G2" s="227">
        <v>0.72219999999999995</v>
      </c>
      <c r="H2" s="228">
        <v>180</v>
      </c>
      <c r="I2" s="228">
        <v>130</v>
      </c>
      <c r="J2" s="228">
        <v>45</v>
      </c>
      <c r="K2" s="225" t="s">
        <v>286</v>
      </c>
      <c r="L2" s="229">
        <v>45981</v>
      </c>
      <c r="M2" s="228">
        <v>0</v>
      </c>
      <c r="N2" s="228">
        <v>11</v>
      </c>
      <c r="O2" s="228">
        <v>53</v>
      </c>
      <c r="P2" s="225" t="s">
        <v>369</v>
      </c>
      <c r="Q2" s="221"/>
      <c r="R2" s="221"/>
      <c r="S2" s="221"/>
      <c r="T2" s="221"/>
      <c r="U2" s="221"/>
      <c r="V2" s="221"/>
      <c r="W2" s="221"/>
      <c r="X2" s="221"/>
      <c r="Y2" s="221"/>
      <c r="Z2" s="228" t="s">
        <v>347</v>
      </c>
      <c r="AA2" s="228" t="s">
        <v>306</v>
      </c>
      <c r="AB2" s="228" t="s">
        <v>649</v>
      </c>
      <c r="AC2" s="228" t="s">
        <v>308</v>
      </c>
      <c r="AD2" s="228" t="s">
        <v>322</v>
      </c>
      <c r="AE2" s="228" t="s">
        <v>716</v>
      </c>
      <c r="AF2" s="228" t="s">
        <v>310</v>
      </c>
      <c r="AG2" s="221"/>
      <c r="AH2" s="221"/>
      <c r="AI2" s="228" t="s">
        <v>294</v>
      </c>
      <c r="AJ2" s="221"/>
    </row>
    <row r="3" spans="1:36" x14ac:dyDescent="0.3">
      <c r="A3" s="223" t="s">
        <v>283</v>
      </c>
      <c r="B3" s="224">
        <v>45986</v>
      </c>
      <c r="C3" s="225" t="s">
        <v>682</v>
      </c>
      <c r="D3" s="226" t="s">
        <v>717</v>
      </c>
      <c r="E3" s="225" t="s">
        <v>675</v>
      </c>
      <c r="F3" s="225" t="s">
        <v>285</v>
      </c>
      <c r="G3" s="227">
        <v>0.82220000000000004</v>
      </c>
      <c r="H3" s="228">
        <v>180</v>
      </c>
      <c r="I3" s="228">
        <v>148</v>
      </c>
      <c r="J3" s="228">
        <v>50</v>
      </c>
      <c r="K3" s="225" t="s">
        <v>286</v>
      </c>
      <c r="L3" s="229">
        <v>45981</v>
      </c>
      <c r="M3" s="228">
        <v>0</v>
      </c>
      <c r="N3" s="228">
        <v>15</v>
      </c>
      <c r="O3" s="228">
        <v>66</v>
      </c>
      <c r="P3" s="225" t="s">
        <v>347</v>
      </c>
      <c r="Q3" s="221"/>
      <c r="R3" s="221"/>
      <c r="S3" s="221"/>
      <c r="T3" s="221"/>
      <c r="U3" s="221"/>
      <c r="V3" s="221"/>
      <c r="W3" s="221"/>
      <c r="X3" s="221"/>
      <c r="Y3" s="228" t="s">
        <v>244</v>
      </c>
      <c r="Z3" s="228" t="s">
        <v>287</v>
      </c>
      <c r="AA3" s="228" t="s">
        <v>288</v>
      </c>
      <c r="AB3" s="228" t="s">
        <v>349</v>
      </c>
      <c r="AC3" s="228" t="s">
        <v>321</v>
      </c>
      <c r="AD3" s="228" t="s">
        <v>718</v>
      </c>
      <c r="AE3" s="228" t="s">
        <v>300</v>
      </c>
      <c r="AF3" s="228" t="s">
        <v>719</v>
      </c>
      <c r="AG3" s="221"/>
      <c r="AH3" s="221"/>
      <c r="AI3" s="228" t="s">
        <v>720</v>
      </c>
      <c r="AJ3" s="221"/>
    </row>
    <row r="4" spans="1:36" x14ac:dyDescent="0.3">
      <c r="A4" s="223" t="s">
        <v>333</v>
      </c>
      <c r="B4" s="224">
        <v>45987</v>
      </c>
      <c r="C4" s="225" t="s">
        <v>678</v>
      </c>
      <c r="D4" s="226" t="s">
        <v>563</v>
      </c>
      <c r="E4" s="225" t="s">
        <v>675</v>
      </c>
      <c r="F4" s="225" t="s">
        <v>285</v>
      </c>
      <c r="G4" s="227">
        <v>1</v>
      </c>
      <c r="H4" s="228">
        <v>180</v>
      </c>
      <c r="I4" s="228">
        <v>180</v>
      </c>
      <c r="J4" s="228">
        <v>180</v>
      </c>
      <c r="K4" s="225" t="s">
        <v>286</v>
      </c>
      <c r="L4" s="229">
        <v>45905</v>
      </c>
      <c r="M4" s="228">
        <v>0</v>
      </c>
      <c r="N4" s="228">
        <v>0</v>
      </c>
      <c r="O4" s="228">
        <v>0</v>
      </c>
      <c r="P4" s="225" t="s">
        <v>46</v>
      </c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8" t="s">
        <v>721</v>
      </c>
      <c r="AH4" s="221"/>
      <c r="AI4" s="228" t="s">
        <v>380</v>
      </c>
      <c r="AJ4" s="221"/>
    </row>
    <row r="5" spans="1:36" x14ac:dyDescent="0.3">
      <c r="A5" s="223" t="s">
        <v>333</v>
      </c>
      <c r="B5" s="224">
        <v>45987</v>
      </c>
      <c r="C5" s="225" t="s">
        <v>692</v>
      </c>
      <c r="D5" s="226" t="s">
        <v>722</v>
      </c>
      <c r="E5" s="225" t="s">
        <v>675</v>
      </c>
      <c r="F5" s="225" t="s">
        <v>285</v>
      </c>
      <c r="G5" s="227">
        <v>0.9889</v>
      </c>
      <c r="H5" s="228">
        <v>180</v>
      </c>
      <c r="I5" s="228">
        <v>178</v>
      </c>
      <c r="J5" s="228">
        <v>134</v>
      </c>
      <c r="K5" s="225" t="s">
        <v>286</v>
      </c>
      <c r="L5" s="229">
        <v>45981</v>
      </c>
      <c r="M5" s="228">
        <v>0</v>
      </c>
      <c r="N5" s="228">
        <v>2</v>
      </c>
      <c r="O5" s="228">
        <v>3</v>
      </c>
      <c r="P5" s="225" t="s">
        <v>693</v>
      </c>
      <c r="Q5" s="221"/>
      <c r="R5" s="221"/>
      <c r="S5" s="221"/>
      <c r="T5" s="221"/>
      <c r="U5" s="221"/>
      <c r="V5" s="221"/>
      <c r="W5" s="221"/>
      <c r="X5" s="221"/>
      <c r="Y5" s="228" t="s">
        <v>723</v>
      </c>
      <c r="Z5" s="221"/>
      <c r="AA5" s="221"/>
      <c r="AB5" s="221"/>
      <c r="AC5" s="228" t="s">
        <v>724</v>
      </c>
      <c r="AD5" s="228" t="s">
        <v>725</v>
      </c>
      <c r="AE5" s="228" t="s">
        <v>300</v>
      </c>
      <c r="AF5" s="228" t="s">
        <v>726</v>
      </c>
      <c r="AG5" s="221"/>
      <c r="AH5" s="221"/>
      <c r="AI5" s="228" t="s">
        <v>727</v>
      </c>
      <c r="AJ5" s="221"/>
    </row>
    <row r="6" spans="1:36" x14ac:dyDescent="0.3">
      <c r="A6" s="223" t="s">
        <v>333</v>
      </c>
      <c r="B6" s="224">
        <v>45987</v>
      </c>
      <c r="C6" s="225" t="s">
        <v>696</v>
      </c>
      <c r="D6" s="226" t="s">
        <v>728</v>
      </c>
      <c r="E6" s="225" t="s">
        <v>675</v>
      </c>
      <c r="F6" s="225" t="s">
        <v>285</v>
      </c>
      <c r="G6" s="227">
        <v>0.99439999999999995</v>
      </c>
      <c r="H6" s="228">
        <v>180</v>
      </c>
      <c r="I6" s="228">
        <v>179</v>
      </c>
      <c r="J6" s="228">
        <v>109</v>
      </c>
      <c r="K6" s="225" t="s">
        <v>286</v>
      </c>
      <c r="L6" s="229">
        <v>45981</v>
      </c>
      <c r="M6" s="228">
        <v>0</v>
      </c>
      <c r="N6" s="228">
        <v>1</v>
      </c>
      <c r="O6" s="228">
        <v>15</v>
      </c>
      <c r="P6" s="225" t="s">
        <v>46</v>
      </c>
      <c r="Q6" s="221"/>
      <c r="R6" s="221"/>
      <c r="S6" s="221"/>
      <c r="T6" s="221"/>
      <c r="U6" s="221"/>
      <c r="V6" s="221"/>
      <c r="W6" s="221"/>
      <c r="X6" s="221"/>
      <c r="Y6" s="221"/>
      <c r="Z6" s="228" t="s">
        <v>38</v>
      </c>
      <c r="AA6" s="228" t="s">
        <v>319</v>
      </c>
      <c r="AB6" s="221"/>
      <c r="AC6" s="228" t="s">
        <v>350</v>
      </c>
      <c r="AD6" s="228" t="s">
        <v>391</v>
      </c>
      <c r="AE6" s="228" t="s">
        <v>337</v>
      </c>
      <c r="AF6" s="228" t="s">
        <v>729</v>
      </c>
      <c r="AG6" s="221"/>
      <c r="AH6" s="221"/>
      <c r="AI6" s="228" t="s">
        <v>730</v>
      </c>
      <c r="AJ6" s="221"/>
    </row>
    <row r="7" spans="1:36" x14ac:dyDescent="0.3">
      <c r="A7" s="223" t="s">
        <v>359</v>
      </c>
      <c r="B7" s="224">
        <v>45988</v>
      </c>
      <c r="C7" s="225" t="s">
        <v>678</v>
      </c>
      <c r="D7" s="226" t="s">
        <v>731</v>
      </c>
      <c r="E7" s="225" t="s">
        <v>675</v>
      </c>
      <c r="F7" s="225" t="s">
        <v>285</v>
      </c>
      <c r="G7" s="227">
        <v>0.9778</v>
      </c>
      <c r="H7" s="228">
        <v>180</v>
      </c>
      <c r="I7" s="228">
        <v>176</v>
      </c>
      <c r="J7" s="228">
        <v>135</v>
      </c>
      <c r="K7" s="225" t="s">
        <v>286</v>
      </c>
      <c r="L7" s="229">
        <v>45981</v>
      </c>
      <c r="M7" s="228">
        <v>0</v>
      </c>
      <c r="N7" s="228">
        <v>2</v>
      </c>
      <c r="O7" s="228">
        <v>13</v>
      </c>
      <c r="P7" s="225" t="s">
        <v>445</v>
      </c>
      <c r="Q7" s="221"/>
      <c r="R7" s="221"/>
      <c r="S7" s="221"/>
      <c r="T7" s="221"/>
      <c r="U7" s="221"/>
      <c r="V7" s="221"/>
      <c r="W7" s="221"/>
      <c r="X7" s="221"/>
      <c r="Y7" s="221"/>
      <c r="Z7" s="228" t="s">
        <v>164</v>
      </c>
      <c r="AA7" s="228" t="s">
        <v>32</v>
      </c>
      <c r="AB7" s="228" t="s">
        <v>289</v>
      </c>
      <c r="AC7" s="228" t="s">
        <v>336</v>
      </c>
      <c r="AD7" s="228" t="s">
        <v>377</v>
      </c>
      <c r="AE7" s="228" t="s">
        <v>732</v>
      </c>
      <c r="AF7" s="228" t="s">
        <v>719</v>
      </c>
      <c r="AG7" s="221"/>
      <c r="AH7" s="221"/>
      <c r="AI7" s="228" t="s">
        <v>380</v>
      </c>
      <c r="AJ7" s="221"/>
    </row>
    <row r="8" spans="1:36" x14ac:dyDescent="0.3">
      <c r="A8" s="223" t="s">
        <v>359</v>
      </c>
      <c r="B8" s="224">
        <v>45988</v>
      </c>
      <c r="C8" s="225" t="s">
        <v>682</v>
      </c>
      <c r="D8" s="226" t="s">
        <v>733</v>
      </c>
      <c r="E8" s="225" t="s">
        <v>675</v>
      </c>
      <c r="F8" s="225" t="s">
        <v>285</v>
      </c>
      <c r="G8" s="227">
        <v>0.86109999999999998</v>
      </c>
      <c r="H8" s="228">
        <v>180</v>
      </c>
      <c r="I8" s="228">
        <v>155</v>
      </c>
      <c r="J8" s="228">
        <v>95</v>
      </c>
      <c r="K8" s="225" t="s">
        <v>286</v>
      </c>
      <c r="L8" s="229">
        <v>45981</v>
      </c>
      <c r="M8" s="228">
        <v>0</v>
      </c>
      <c r="N8" s="228">
        <v>10</v>
      </c>
      <c r="O8" s="228">
        <v>43</v>
      </c>
      <c r="P8" s="225" t="s">
        <v>369</v>
      </c>
      <c r="Q8" s="221"/>
      <c r="R8" s="221"/>
      <c r="S8" s="221"/>
      <c r="T8" s="221"/>
      <c r="U8" s="221"/>
      <c r="V8" s="221"/>
      <c r="W8" s="221"/>
      <c r="X8" s="221"/>
      <c r="Y8" s="221"/>
      <c r="Z8" s="228" t="s">
        <v>164</v>
      </c>
      <c r="AA8" s="228" t="s">
        <v>734</v>
      </c>
      <c r="AB8" s="228" t="s">
        <v>735</v>
      </c>
      <c r="AC8" s="228" t="s">
        <v>736</v>
      </c>
      <c r="AD8" s="221"/>
      <c r="AE8" s="228" t="s">
        <v>737</v>
      </c>
      <c r="AF8" s="228" t="s">
        <v>738</v>
      </c>
      <c r="AG8" s="221"/>
      <c r="AH8" s="221"/>
      <c r="AI8" s="228" t="s">
        <v>311</v>
      </c>
      <c r="AJ8" s="221"/>
    </row>
    <row r="9" spans="1:36" x14ac:dyDescent="0.3">
      <c r="A9" s="223" t="s">
        <v>393</v>
      </c>
      <c r="B9" s="224">
        <v>45989</v>
      </c>
      <c r="C9" s="225" t="s">
        <v>692</v>
      </c>
      <c r="D9" s="226" t="s">
        <v>739</v>
      </c>
      <c r="E9" s="225" t="s">
        <v>675</v>
      </c>
      <c r="F9" s="225" t="s">
        <v>285</v>
      </c>
      <c r="G9" s="227">
        <v>0.41670000000000001</v>
      </c>
      <c r="H9" s="228">
        <v>180</v>
      </c>
      <c r="I9" s="228">
        <v>75</v>
      </c>
      <c r="J9" s="228">
        <v>0</v>
      </c>
      <c r="K9" s="225" t="s">
        <v>286</v>
      </c>
      <c r="L9" s="229">
        <v>45981</v>
      </c>
      <c r="M9" s="228">
        <v>0</v>
      </c>
      <c r="N9" s="228">
        <v>7</v>
      </c>
      <c r="O9" s="228">
        <v>44</v>
      </c>
      <c r="P9" s="225" t="s">
        <v>289</v>
      </c>
      <c r="Q9" s="221"/>
      <c r="R9" s="221"/>
      <c r="S9" s="221"/>
      <c r="T9" s="221"/>
      <c r="U9" s="221"/>
      <c r="V9" s="221"/>
      <c r="W9" s="221"/>
      <c r="X9" s="221"/>
      <c r="Y9" s="221"/>
      <c r="Z9" s="228" t="s">
        <v>740</v>
      </c>
      <c r="AA9" s="228" t="s">
        <v>369</v>
      </c>
      <c r="AB9" s="228" t="s">
        <v>307</v>
      </c>
      <c r="AC9" s="228" t="s">
        <v>741</v>
      </c>
      <c r="AD9" s="228" t="s">
        <v>742</v>
      </c>
      <c r="AE9" s="228" t="s">
        <v>743</v>
      </c>
      <c r="AF9" s="221"/>
      <c r="AG9" s="221"/>
      <c r="AH9" s="221"/>
      <c r="AI9" s="221"/>
      <c r="AJ9" s="221"/>
    </row>
    <row r="10" spans="1:36" x14ac:dyDescent="0.3">
      <c r="A10" s="223" t="s">
        <v>424</v>
      </c>
      <c r="B10" s="224">
        <v>45990</v>
      </c>
      <c r="C10" s="225" t="s">
        <v>692</v>
      </c>
      <c r="D10" s="226" t="s">
        <v>394</v>
      </c>
      <c r="E10" s="225" t="s">
        <v>675</v>
      </c>
      <c r="F10" s="225" t="s">
        <v>285</v>
      </c>
      <c r="G10" s="227">
        <v>0.67220000000000002</v>
      </c>
      <c r="H10" s="228">
        <v>180</v>
      </c>
      <c r="I10" s="228">
        <v>121</v>
      </c>
      <c r="J10" s="228">
        <v>85</v>
      </c>
      <c r="K10" s="225" t="s">
        <v>286</v>
      </c>
      <c r="L10" s="229">
        <v>45981</v>
      </c>
      <c r="M10" s="228">
        <v>0</v>
      </c>
      <c r="N10" s="228">
        <v>1</v>
      </c>
      <c r="O10" s="228">
        <v>14</v>
      </c>
      <c r="P10" s="225" t="s">
        <v>318</v>
      </c>
      <c r="Q10" s="228" t="s">
        <v>744</v>
      </c>
      <c r="R10" s="221"/>
      <c r="S10" s="221"/>
      <c r="T10" s="221"/>
      <c r="U10" s="221"/>
      <c r="V10" s="221"/>
      <c r="W10" s="221"/>
      <c r="X10" s="221"/>
      <c r="Y10" s="221"/>
      <c r="Z10" s="228" t="s">
        <v>745</v>
      </c>
      <c r="AA10" s="228" t="s">
        <v>306</v>
      </c>
      <c r="AB10" s="228" t="s">
        <v>653</v>
      </c>
      <c r="AC10" s="228" t="s">
        <v>445</v>
      </c>
      <c r="AD10" s="221"/>
      <c r="AE10" s="221"/>
      <c r="AF10" s="221"/>
      <c r="AG10" s="221"/>
      <c r="AH10" s="221"/>
      <c r="AI10" s="228" t="s">
        <v>746</v>
      </c>
      <c r="AJ10" s="221"/>
    </row>
    <row r="11" spans="1:36" x14ac:dyDescent="0.3">
      <c r="A11" s="223" t="s">
        <v>424</v>
      </c>
      <c r="B11" s="224">
        <v>45990</v>
      </c>
      <c r="C11" s="225" t="s">
        <v>682</v>
      </c>
      <c r="D11" s="226" t="s">
        <v>717</v>
      </c>
      <c r="E11" s="225" t="s">
        <v>675</v>
      </c>
      <c r="F11" s="225" t="s">
        <v>285</v>
      </c>
      <c r="G11" s="227">
        <v>0.92220000000000002</v>
      </c>
      <c r="H11" s="228">
        <v>180</v>
      </c>
      <c r="I11" s="228">
        <v>166</v>
      </c>
      <c r="J11" s="228">
        <v>90</v>
      </c>
      <c r="K11" s="225" t="s">
        <v>286</v>
      </c>
      <c r="L11" s="229">
        <v>45981</v>
      </c>
      <c r="M11" s="228">
        <v>0</v>
      </c>
      <c r="N11" s="228">
        <v>6</v>
      </c>
      <c r="O11" s="228">
        <v>16</v>
      </c>
      <c r="P11" s="225" t="s">
        <v>246</v>
      </c>
      <c r="Q11" s="228" t="s">
        <v>747</v>
      </c>
      <c r="R11" s="221"/>
      <c r="S11" s="221"/>
      <c r="T11" s="221"/>
      <c r="U11" s="221"/>
      <c r="V11" s="221"/>
      <c r="W11" s="221"/>
      <c r="X11" s="221"/>
      <c r="Y11" s="228" t="s">
        <v>457</v>
      </c>
      <c r="Z11" s="228" t="s">
        <v>452</v>
      </c>
      <c r="AA11" s="228" t="s">
        <v>748</v>
      </c>
      <c r="AB11" s="228" t="s">
        <v>713</v>
      </c>
      <c r="AC11" s="228" t="s">
        <v>321</v>
      </c>
      <c r="AD11" s="221"/>
      <c r="AE11" s="221"/>
      <c r="AF11" s="221"/>
      <c r="AG11" s="221"/>
      <c r="AH11" s="221"/>
      <c r="AI11" s="228" t="s">
        <v>325</v>
      </c>
      <c r="AJ11" s="221"/>
    </row>
    <row r="12" spans="1:36" x14ac:dyDescent="0.3">
      <c r="A12" s="223" t="s">
        <v>443</v>
      </c>
      <c r="B12" s="224">
        <v>45991</v>
      </c>
      <c r="C12" s="225" t="s">
        <v>692</v>
      </c>
      <c r="D12" s="226" t="s">
        <v>731</v>
      </c>
      <c r="E12" s="225" t="s">
        <v>675</v>
      </c>
      <c r="F12" s="225" t="s">
        <v>285</v>
      </c>
      <c r="G12" s="227">
        <v>0.87219999999999998</v>
      </c>
      <c r="H12" s="228">
        <v>180</v>
      </c>
      <c r="I12" s="228">
        <v>157</v>
      </c>
      <c r="J12" s="228">
        <v>82</v>
      </c>
      <c r="K12" s="225" t="s">
        <v>286</v>
      </c>
      <c r="L12" s="229">
        <v>45981</v>
      </c>
      <c r="M12" s="228">
        <v>0</v>
      </c>
      <c r="N12" s="228">
        <v>14</v>
      </c>
      <c r="O12" s="228">
        <v>52</v>
      </c>
      <c r="P12" s="225" t="s">
        <v>713</v>
      </c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8" t="s">
        <v>319</v>
      </c>
      <c r="AB12" s="228" t="s">
        <v>749</v>
      </c>
      <c r="AC12" s="228" t="s">
        <v>336</v>
      </c>
      <c r="AD12" s="228" t="s">
        <v>750</v>
      </c>
      <c r="AE12" s="228" t="s">
        <v>732</v>
      </c>
      <c r="AF12" s="228" t="s">
        <v>719</v>
      </c>
      <c r="AG12" s="228" t="s">
        <v>751</v>
      </c>
      <c r="AH12" s="221"/>
      <c r="AI12" s="228" t="s">
        <v>294</v>
      </c>
      <c r="AJ12" s="221"/>
    </row>
    <row r="13" spans="1:36" x14ac:dyDescent="0.3">
      <c r="A13" s="223" t="s">
        <v>443</v>
      </c>
      <c r="B13" s="224">
        <v>45991</v>
      </c>
      <c r="C13" s="225" t="s">
        <v>682</v>
      </c>
      <c r="D13" s="226" t="s">
        <v>752</v>
      </c>
      <c r="E13" s="225" t="s">
        <v>675</v>
      </c>
      <c r="F13" s="225" t="s">
        <v>285</v>
      </c>
      <c r="G13" s="227">
        <v>0.59440000000000004</v>
      </c>
      <c r="H13" s="228">
        <v>180</v>
      </c>
      <c r="I13" s="228">
        <v>107</v>
      </c>
      <c r="J13" s="228">
        <v>45</v>
      </c>
      <c r="K13" s="225" t="s">
        <v>286</v>
      </c>
      <c r="L13" s="229">
        <v>45981</v>
      </c>
      <c r="M13" s="228">
        <v>0</v>
      </c>
      <c r="N13" s="228">
        <v>18</v>
      </c>
      <c r="O13" s="228">
        <v>52</v>
      </c>
      <c r="P13" s="225" t="s">
        <v>653</v>
      </c>
      <c r="Q13" s="228" t="s">
        <v>744</v>
      </c>
      <c r="R13" s="221"/>
      <c r="S13" s="221"/>
      <c r="T13" s="221"/>
      <c r="U13" s="221"/>
      <c r="V13" s="221"/>
      <c r="W13" s="221"/>
      <c r="X13" s="221"/>
      <c r="Y13" s="221"/>
      <c r="Z13" s="221"/>
      <c r="AA13" s="228" t="s">
        <v>306</v>
      </c>
      <c r="AB13" s="228" t="s">
        <v>753</v>
      </c>
      <c r="AC13" s="228" t="s">
        <v>754</v>
      </c>
      <c r="AD13" s="228" t="s">
        <v>755</v>
      </c>
      <c r="AE13" s="221"/>
      <c r="AF13" s="221"/>
      <c r="AG13" s="221"/>
      <c r="AH13" s="221"/>
      <c r="AI13" s="228" t="s">
        <v>294</v>
      </c>
      <c r="AJ13" s="221"/>
    </row>
    <row r="14" spans="1:36" ht="21" x14ac:dyDescent="0.3">
      <c r="A14" s="230" t="s">
        <v>756</v>
      </c>
      <c r="B14" s="231"/>
      <c r="C14" s="230">
        <f>SUBTOTAL(103,ATZ_JED_LF_LEGACY[Flt])</f>
        <v>12</v>
      </c>
      <c r="D14" s="230"/>
      <c r="E14" s="230">
        <f>SUBTOTAL(103,ATZ_JED_LF_LEGACY[Brd-Off])</f>
        <v>12</v>
      </c>
      <c r="F14" s="230"/>
      <c r="G14" s="232">
        <f>SUBTOTAL(101,ATZ_JED_LF_LEGACY[LF%])</f>
        <v>0.82035833333333319</v>
      </c>
      <c r="H14" s="233">
        <f>SUBTOTAL(109,ATZ_JED_LF_LEGACY[CAP])</f>
        <v>2160</v>
      </c>
      <c r="I14" s="233">
        <f>SUBTOTAL(109,ATZ_JED_LF_LEGACY[BKG(Y)])</f>
        <v>1772</v>
      </c>
      <c r="J14" s="233">
        <f>SUBTOTAL(109,ATZ_JED_LF_LEGACY[GRP(Y)])</f>
        <v>1050</v>
      </c>
      <c r="K14" s="230"/>
      <c r="L14" s="231"/>
      <c r="M14" s="233">
        <f>SUBTOTAL(109,ATZ_JED_LF_LEGACY[TO-DAY])</f>
        <v>0</v>
      </c>
      <c r="N14" s="233">
        <f>SUBTOTAL(109,ATZ_JED_LF_LEGACY[Y-DAY])</f>
        <v>87</v>
      </c>
      <c r="O14" s="233">
        <f>SUBTOTAL(109,ATZ_JED_LF_LEGACY[WEEKLY])</f>
        <v>371</v>
      </c>
      <c r="P14" s="234"/>
      <c r="Q14" s="233">
        <f>SUBTOTAL(109,ATZ_JED_LF_LEGACY[Y])</f>
        <v>0</v>
      </c>
      <c r="R14" s="233">
        <f>SUBTOTAL(109,ATZ_JED_LF_LEGACY[B])</f>
        <v>0</v>
      </c>
      <c r="S14" s="233">
        <f>SUBTOTAL(109,ATZ_JED_LF_LEGACY[M])</f>
        <v>0</v>
      </c>
      <c r="T14" s="233">
        <f>SUBTOTAL(109,ATZ_JED_LF_LEGACY[H])</f>
        <v>0</v>
      </c>
      <c r="U14" s="233">
        <f>SUBTOTAL(109,ATZ_JED_LF_LEGACY[Q])</f>
        <v>0</v>
      </c>
      <c r="V14" s="233">
        <f>SUBTOTAL(109,ATZ_JED_LF_LEGACY[K])</f>
        <v>0</v>
      </c>
      <c r="W14" s="233">
        <f>SUBTOTAL(109,ATZ_JED_LF_LEGACY[V])</f>
        <v>0</v>
      </c>
      <c r="X14" s="233">
        <f>SUBTOTAL(109,ATZ_JED_LF_LEGACY[L])</f>
        <v>0</v>
      </c>
      <c r="Y14" s="233">
        <f>SUBTOTAL(109,ATZ_JED_LF_LEGACY[G])</f>
        <v>0</v>
      </c>
      <c r="Z14" s="233">
        <f>SUBTOTAL(109,ATZ_JED_LF_LEGACY[S])</f>
        <v>0</v>
      </c>
      <c r="AA14" s="233">
        <f>SUBTOTAL(109,ATZ_JED_LF_LEGACY[W])</f>
        <v>0</v>
      </c>
      <c r="AB14" s="233">
        <f>SUBTOTAL(109,ATZ_JED_LF_LEGACY[T])</f>
        <v>0</v>
      </c>
      <c r="AC14" s="233">
        <f>SUBTOTAL(109,ATZ_JED_LF_LEGACY[X])</f>
        <v>0</v>
      </c>
      <c r="AD14" s="233">
        <f>SUBTOTAL(109,ATZ_JED_LF_LEGACY[U])</f>
        <v>0</v>
      </c>
      <c r="AE14" s="233">
        <f>SUBTOTAL(109,ATZ_JED_LF_LEGACY[O])</f>
        <v>0</v>
      </c>
      <c r="AF14" s="233">
        <f>SUBTOTAL(109,ATZ_JED_LF_LEGACY[I])</f>
        <v>0</v>
      </c>
      <c r="AG14" s="233">
        <f>SUBTOTAL(109,ATZ_JED_LF_LEGACY[E])</f>
        <v>0</v>
      </c>
      <c r="AH14" s="233">
        <f>SUBTOTAL(109,ATZ_JED_LF_LEGACY[A])</f>
        <v>0</v>
      </c>
      <c r="AI14" s="233">
        <f>SUBTOTAL(109,ATZ_JED_LF_LEGACY[P])</f>
        <v>0</v>
      </c>
      <c r="AJ14" s="233">
        <f>SUBTOTAL(103,ATZ_JED_LF_LEGACY[N])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0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93.33203125" hidden="1" customWidth="1"/>
  </cols>
  <sheetData>
    <row r="1" spans="1:8" ht="18" x14ac:dyDescent="0.3">
      <c r="A1" s="141" t="s">
        <v>459</v>
      </c>
      <c r="B1" s="142" t="s">
        <v>8</v>
      </c>
      <c r="C1" s="142" t="s">
        <v>9</v>
      </c>
      <c r="D1" s="142" t="s">
        <v>460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44" t="s">
        <v>461</v>
      </c>
      <c r="B2" s="145" t="s">
        <v>26</v>
      </c>
      <c r="C2" s="146" t="s">
        <v>676</v>
      </c>
      <c r="D2" s="145" t="s">
        <v>675</v>
      </c>
      <c r="E2" s="145" t="s">
        <v>715</v>
      </c>
      <c r="F2" s="145" t="s">
        <v>28</v>
      </c>
      <c r="G2" s="147">
        <v>9</v>
      </c>
      <c r="H2" s="148" t="s">
        <v>677</v>
      </c>
    </row>
    <row r="3" spans="1:8" ht="19.8" customHeight="1" x14ac:dyDescent="0.3">
      <c r="A3" s="155">
        <v>45986</v>
      </c>
      <c r="B3" s="145" t="s">
        <v>26</v>
      </c>
      <c r="C3" s="146" t="s">
        <v>680</v>
      </c>
      <c r="D3" s="145" t="s">
        <v>675</v>
      </c>
      <c r="E3" s="156">
        <v>1.5277777777777779</v>
      </c>
      <c r="F3" s="145" t="s">
        <v>28</v>
      </c>
      <c r="G3" s="147">
        <v>3</v>
      </c>
      <c r="H3" s="148" t="s">
        <v>681</v>
      </c>
    </row>
    <row r="4" spans="1:8" ht="19.8" customHeight="1" x14ac:dyDescent="0.3">
      <c r="A4" s="149">
        <v>45986</v>
      </c>
      <c r="B4" s="150" t="s">
        <v>140</v>
      </c>
      <c r="C4" s="151" t="s">
        <v>684</v>
      </c>
      <c r="D4" s="150" t="s">
        <v>675</v>
      </c>
      <c r="E4" s="152">
        <v>1.166666666666667</v>
      </c>
      <c r="F4" s="150" t="s">
        <v>122</v>
      </c>
      <c r="G4" s="153">
        <v>4</v>
      </c>
      <c r="H4" s="154" t="s">
        <v>685</v>
      </c>
    </row>
    <row r="5" spans="1:8" ht="19.8" customHeight="1" x14ac:dyDescent="0.3">
      <c r="A5" s="183"/>
      <c r="B5" s="184"/>
      <c r="C5" s="184"/>
      <c r="D5" s="184"/>
      <c r="E5" s="184"/>
      <c r="F5" s="185" t="s">
        <v>672</v>
      </c>
      <c r="G5" s="184"/>
      <c r="H5" s="186"/>
    </row>
    <row r="6" spans="1:8" ht="19.8" customHeight="1" x14ac:dyDescent="0.3">
      <c r="A6" s="149">
        <v>45986</v>
      </c>
      <c r="B6" s="150" t="s">
        <v>26</v>
      </c>
      <c r="C6" s="151" t="s">
        <v>27</v>
      </c>
      <c r="D6" s="150" t="s">
        <v>1</v>
      </c>
      <c r="E6" s="152">
        <v>1.4375</v>
      </c>
      <c r="F6" s="150" t="s">
        <v>28</v>
      </c>
      <c r="G6" s="153">
        <v>1</v>
      </c>
      <c r="H6" s="154" t="s">
        <v>30</v>
      </c>
    </row>
    <row r="7" spans="1:8" ht="19.8" customHeight="1" x14ac:dyDescent="0.3">
      <c r="A7" s="149">
        <v>45986</v>
      </c>
      <c r="B7" s="150" t="s">
        <v>52</v>
      </c>
      <c r="C7" s="151" t="s">
        <v>53</v>
      </c>
      <c r="D7" s="150" t="s">
        <v>1</v>
      </c>
      <c r="E7" s="152">
        <v>1.399305555555556</v>
      </c>
      <c r="F7" s="150" t="s">
        <v>54</v>
      </c>
      <c r="G7" s="153">
        <v>1</v>
      </c>
      <c r="H7" s="154" t="s">
        <v>55</v>
      </c>
    </row>
    <row r="8" spans="1:8" ht="19.8" customHeight="1" x14ac:dyDescent="0.3">
      <c r="A8" s="149">
        <v>45986</v>
      </c>
      <c r="B8" s="150" t="s">
        <v>52</v>
      </c>
      <c r="C8" s="151" t="s">
        <v>53</v>
      </c>
      <c r="D8" s="150" t="s">
        <v>1</v>
      </c>
      <c r="E8" s="152">
        <v>1.399305555555556</v>
      </c>
      <c r="F8" s="150" t="s">
        <v>56</v>
      </c>
      <c r="G8" s="153">
        <v>1</v>
      </c>
      <c r="H8" s="154" t="s">
        <v>55</v>
      </c>
    </row>
    <row r="9" spans="1:8" ht="19.8" customHeight="1" x14ac:dyDescent="0.3">
      <c r="A9" s="149">
        <v>45986</v>
      </c>
      <c r="B9" s="150" t="s">
        <v>26</v>
      </c>
      <c r="C9" s="151" t="s">
        <v>34</v>
      </c>
      <c r="D9" s="150" t="s">
        <v>1</v>
      </c>
      <c r="E9" s="152">
        <v>1.052083333333333</v>
      </c>
      <c r="F9" s="150" t="s">
        <v>28</v>
      </c>
      <c r="G9" s="153">
        <v>1</v>
      </c>
      <c r="H9" s="154" t="s">
        <v>36</v>
      </c>
    </row>
    <row r="10" spans="1:8" ht="19.8" customHeight="1" x14ac:dyDescent="0.3">
      <c r="A10" s="149">
        <v>45986</v>
      </c>
      <c r="B10" s="150" t="s">
        <v>26</v>
      </c>
      <c r="C10" s="151" t="s">
        <v>40</v>
      </c>
      <c r="D10" s="150" t="s">
        <v>1</v>
      </c>
      <c r="E10" s="152">
        <v>1.791666666666667</v>
      </c>
      <c r="F10" s="150" t="s">
        <v>28</v>
      </c>
      <c r="G10" s="153">
        <v>1</v>
      </c>
      <c r="H10" s="154" t="s">
        <v>36</v>
      </c>
    </row>
    <row r="11" spans="1:8" ht="19.8" customHeight="1" x14ac:dyDescent="0.3">
      <c r="A11" s="149">
        <v>45986</v>
      </c>
      <c r="B11" s="150" t="s">
        <v>52</v>
      </c>
      <c r="C11" s="151" t="s">
        <v>62</v>
      </c>
      <c r="D11" s="150" t="s">
        <v>1</v>
      </c>
      <c r="E11" s="152">
        <v>1.489583333333333</v>
      </c>
      <c r="F11" s="150" t="s">
        <v>54</v>
      </c>
      <c r="G11" s="153">
        <v>4</v>
      </c>
      <c r="H11" s="154" t="s">
        <v>36</v>
      </c>
    </row>
    <row r="12" spans="1:8" ht="19.8" customHeight="1" x14ac:dyDescent="0.3">
      <c r="A12" s="149">
        <v>45986</v>
      </c>
      <c r="B12" s="150" t="s">
        <v>52</v>
      </c>
      <c r="C12" s="151" t="s">
        <v>62</v>
      </c>
      <c r="D12" s="150" t="s">
        <v>1</v>
      </c>
      <c r="E12" s="152">
        <v>1.489583333333333</v>
      </c>
      <c r="F12" s="150" t="s">
        <v>56</v>
      </c>
      <c r="G12" s="153">
        <v>4</v>
      </c>
      <c r="H12" s="154" t="s">
        <v>36</v>
      </c>
    </row>
    <row r="13" spans="1:8" ht="19.8" customHeight="1" x14ac:dyDescent="0.3">
      <c r="A13" s="149">
        <v>45986</v>
      </c>
      <c r="B13" s="150" t="s">
        <v>52</v>
      </c>
      <c r="C13" s="151" t="s">
        <v>66</v>
      </c>
      <c r="D13" s="150" t="s">
        <v>1</v>
      </c>
      <c r="E13" s="152">
        <v>1.8888888888888891</v>
      </c>
      <c r="F13" s="150" t="s">
        <v>54</v>
      </c>
      <c r="G13" s="153">
        <v>2</v>
      </c>
      <c r="H13" s="154" t="s">
        <v>36</v>
      </c>
    </row>
    <row r="14" spans="1:8" ht="19.8" customHeight="1" x14ac:dyDescent="0.3">
      <c r="A14" s="149">
        <v>45986</v>
      </c>
      <c r="B14" s="150" t="s">
        <v>52</v>
      </c>
      <c r="C14" s="151" t="s">
        <v>66</v>
      </c>
      <c r="D14" s="150" t="s">
        <v>1</v>
      </c>
      <c r="E14" s="152">
        <v>1.8888888888888891</v>
      </c>
      <c r="F14" s="150" t="s">
        <v>56</v>
      </c>
      <c r="G14" s="153">
        <v>2</v>
      </c>
      <c r="H14" s="154" t="s">
        <v>36</v>
      </c>
    </row>
    <row r="15" spans="1:8" ht="19.8" customHeight="1" x14ac:dyDescent="0.3">
      <c r="A15" s="187">
        <v>45986</v>
      </c>
      <c r="B15" s="188" t="s">
        <v>52</v>
      </c>
      <c r="C15" s="189" t="s">
        <v>69</v>
      </c>
      <c r="D15" s="188" t="s">
        <v>1</v>
      </c>
      <c r="E15" s="190">
        <v>1.989583333333333</v>
      </c>
      <c r="F15" s="188" t="s">
        <v>54</v>
      </c>
      <c r="G15" s="191">
        <v>9</v>
      </c>
      <c r="H15" s="192" t="s">
        <v>36</v>
      </c>
    </row>
    <row r="16" spans="1:8" ht="19.8" customHeight="1" x14ac:dyDescent="0.3">
      <c r="A16" s="149">
        <v>45987</v>
      </c>
      <c r="B16" s="150" t="s">
        <v>52</v>
      </c>
      <c r="C16" s="151" t="s">
        <v>686</v>
      </c>
      <c r="D16" s="150" t="s">
        <v>675</v>
      </c>
      <c r="E16" s="152">
        <v>1.364583333333333</v>
      </c>
      <c r="F16" s="150" t="s">
        <v>584</v>
      </c>
      <c r="G16" s="153">
        <v>1</v>
      </c>
      <c r="H16" s="154" t="s">
        <v>687</v>
      </c>
    </row>
    <row r="17" spans="1:8" ht="19.8" customHeight="1" x14ac:dyDescent="0.3">
      <c r="A17" s="149">
        <v>45987</v>
      </c>
      <c r="B17" s="150" t="s">
        <v>52</v>
      </c>
      <c r="C17" s="151" t="s">
        <v>686</v>
      </c>
      <c r="D17" s="150" t="s">
        <v>675</v>
      </c>
      <c r="E17" s="152">
        <v>1.364583333333333</v>
      </c>
      <c r="F17" s="150" t="s">
        <v>586</v>
      </c>
      <c r="G17" s="153">
        <v>1</v>
      </c>
      <c r="H17" s="154" t="s">
        <v>688</v>
      </c>
    </row>
    <row r="18" spans="1:8" ht="19.8" customHeight="1" x14ac:dyDescent="0.3">
      <c r="A18" s="149">
        <v>45987</v>
      </c>
      <c r="B18" s="150" t="s">
        <v>52</v>
      </c>
      <c r="C18" s="151" t="s">
        <v>686</v>
      </c>
      <c r="D18" s="150" t="s">
        <v>675</v>
      </c>
      <c r="E18" s="152">
        <v>1.364583333333333</v>
      </c>
      <c r="F18" s="150" t="s">
        <v>588</v>
      </c>
      <c r="G18" s="153">
        <v>1</v>
      </c>
      <c r="H18" s="154" t="s">
        <v>689</v>
      </c>
    </row>
    <row r="19" spans="1:8" ht="19.8" customHeight="1" x14ac:dyDescent="0.3">
      <c r="A19" s="155">
        <v>45987</v>
      </c>
      <c r="B19" s="145" t="s">
        <v>26</v>
      </c>
      <c r="C19" s="146" t="s">
        <v>690</v>
      </c>
      <c r="D19" s="145" t="s">
        <v>675</v>
      </c>
      <c r="E19" s="156">
        <v>1.5</v>
      </c>
      <c r="F19" s="145" t="s">
        <v>28</v>
      </c>
      <c r="G19" s="147">
        <v>1</v>
      </c>
      <c r="H19" s="148" t="s">
        <v>691</v>
      </c>
    </row>
    <row r="20" spans="1:8" ht="19.8" customHeight="1" x14ac:dyDescent="0.3">
      <c r="A20" s="149">
        <v>45987</v>
      </c>
      <c r="B20" s="150" t="s">
        <v>140</v>
      </c>
      <c r="C20" s="151" t="s">
        <v>698</v>
      </c>
      <c r="D20" s="150" t="s">
        <v>675</v>
      </c>
      <c r="E20" s="152">
        <v>1.9236111111111109</v>
      </c>
      <c r="F20" s="150" t="s">
        <v>699</v>
      </c>
      <c r="G20" s="153">
        <v>4</v>
      </c>
      <c r="H20" s="154" t="s">
        <v>691</v>
      </c>
    </row>
    <row r="21" spans="1:8" ht="19.8" customHeight="1" x14ac:dyDescent="0.3">
      <c r="A21" s="149">
        <v>45987</v>
      </c>
      <c r="B21" s="150" t="s">
        <v>52</v>
      </c>
      <c r="C21" s="151" t="s">
        <v>686</v>
      </c>
      <c r="D21" s="150" t="s">
        <v>675</v>
      </c>
      <c r="E21" s="152">
        <v>1.364583333333333</v>
      </c>
      <c r="F21" s="150" t="s">
        <v>590</v>
      </c>
      <c r="G21" s="153">
        <v>1</v>
      </c>
      <c r="H21" s="154" t="s">
        <v>36</v>
      </c>
    </row>
    <row r="22" spans="1:8" ht="19.8" customHeight="1" x14ac:dyDescent="0.3">
      <c r="A22" s="155">
        <v>45987</v>
      </c>
      <c r="B22" s="145" t="s">
        <v>26</v>
      </c>
      <c r="C22" s="146" t="s">
        <v>678</v>
      </c>
      <c r="D22" s="145" t="s">
        <v>675</v>
      </c>
      <c r="E22" s="156">
        <v>1.1076388888888891</v>
      </c>
      <c r="F22" s="145" t="s">
        <v>44</v>
      </c>
      <c r="G22" s="145"/>
      <c r="H22" s="148" t="s">
        <v>45</v>
      </c>
    </row>
    <row r="23" spans="1:8" ht="19.8" customHeight="1" x14ac:dyDescent="0.3">
      <c r="A23" s="155">
        <v>45987</v>
      </c>
      <c r="B23" s="145" t="s">
        <v>26</v>
      </c>
      <c r="C23" s="146" t="s">
        <v>696</v>
      </c>
      <c r="D23" s="145" t="s">
        <v>675</v>
      </c>
      <c r="E23" s="156">
        <v>1.9236111111111109</v>
      </c>
      <c r="F23" s="145" t="s">
        <v>44</v>
      </c>
      <c r="G23" s="145"/>
      <c r="H23" s="148" t="s">
        <v>45</v>
      </c>
    </row>
    <row r="24" spans="1:8" ht="19.8" customHeight="1" x14ac:dyDescent="0.3">
      <c r="A24" s="183"/>
      <c r="B24" s="184"/>
      <c r="C24" s="184"/>
      <c r="D24" s="184"/>
      <c r="E24" s="184"/>
      <c r="F24" s="185" t="s">
        <v>672</v>
      </c>
      <c r="G24" s="184"/>
      <c r="H24" s="186"/>
    </row>
    <row r="25" spans="1:8" ht="19.8" customHeight="1" x14ac:dyDescent="0.3">
      <c r="A25" s="149">
        <v>45987</v>
      </c>
      <c r="B25" s="150" t="s">
        <v>26</v>
      </c>
      <c r="C25" s="151" t="s">
        <v>40</v>
      </c>
      <c r="D25" s="150" t="s">
        <v>1</v>
      </c>
      <c r="E25" s="152">
        <v>1.3402777777777779</v>
      </c>
      <c r="F25" s="150" t="s">
        <v>28</v>
      </c>
      <c r="G25" s="153">
        <v>1</v>
      </c>
      <c r="H25" s="154" t="s">
        <v>36</v>
      </c>
    </row>
    <row r="26" spans="1:8" ht="19.8" customHeight="1" x14ac:dyDescent="0.3">
      <c r="A26" s="149">
        <v>45987</v>
      </c>
      <c r="B26" s="150" t="s">
        <v>52</v>
      </c>
      <c r="C26" s="151" t="s">
        <v>53</v>
      </c>
      <c r="D26" s="150" t="s">
        <v>1</v>
      </c>
      <c r="E26" s="152">
        <v>1.399305555555556</v>
      </c>
      <c r="F26" s="150" t="s">
        <v>56</v>
      </c>
      <c r="G26" s="153">
        <v>4</v>
      </c>
      <c r="H26" s="154" t="s">
        <v>36</v>
      </c>
    </row>
    <row r="27" spans="1:8" ht="19.8" customHeight="1" x14ac:dyDescent="0.3">
      <c r="A27" s="149">
        <v>45987</v>
      </c>
      <c r="B27" s="150" t="s">
        <v>52</v>
      </c>
      <c r="C27" s="151" t="s">
        <v>62</v>
      </c>
      <c r="D27" s="150" t="s">
        <v>1</v>
      </c>
      <c r="E27" s="152">
        <v>1.489583333333333</v>
      </c>
      <c r="F27" s="150" t="s">
        <v>56</v>
      </c>
      <c r="G27" s="153">
        <v>1</v>
      </c>
      <c r="H27" s="154" t="s">
        <v>36</v>
      </c>
    </row>
    <row r="28" spans="1:8" ht="19.8" customHeight="1" x14ac:dyDescent="0.3">
      <c r="A28" s="149">
        <v>45987</v>
      </c>
      <c r="B28" s="150" t="s">
        <v>52</v>
      </c>
      <c r="C28" s="151" t="s">
        <v>66</v>
      </c>
      <c r="D28" s="150" t="s">
        <v>1</v>
      </c>
      <c r="E28" s="152">
        <v>1.8888888888888891</v>
      </c>
      <c r="F28" s="150" t="s">
        <v>54</v>
      </c>
      <c r="G28" s="153">
        <v>4</v>
      </c>
      <c r="H28" s="154" t="s">
        <v>36</v>
      </c>
    </row>
    <row r="29" spans="1:8" ht="19.8" customHeight="1" x14ac:dyDescent="0.3">
      <c r="A29" s="149">
        <v>45987</v>
      </c>
      <c r="B29" s="150" t="s">
        <v>52</v>
      </c>
      <c r="C29" s="151" t="s">
        <v>66</v>
      </c>
      <c r="D29" s="150" t="s">
        <v>1</v>
      </c>
      <c r="E29" s="152">
        <v>1.8888888888888891</v>
      </c>
      <c r="F29" s="150" t="s">
        <v>56</v>
      </c>
      <c r="G29" s="153">
        <v>4</v>
      </c>
      <c r="H29" s="154" t="s">
        <v>36</v>
      </c>
    </row>
    <row r="30" spans="1:8" ht="19.8" customHeight="1" x14ac:dyDescent="0.3">
      <c r="A30" s="149">
        <v>45987</v>
      </c>
      <c r="B30" s="150" t="s">
        <v>52</v>
      </c>
      <c r="C30" s="151" t="s">
        <v>69</v>
      </c>
      <c r="D30" s="150" t="s">
        <v>1</v>
      </c>
      <c r="E30" s="152">
        <v>1.989583333333333</v>
      </c>
      <c r="F30" s="150" t="s">
        <v>54</v>
      </c>
      <c r="G30" s="153">
        <v>4</v>
      </c>
      <c r="H30" s="154" t="s">
        <v>36</v>
      </c>
    </row>
    <row r="31" spans="1:8" ht="19.8" customHeight="1" x14ac:dyDescent="0.3">
      <c r="A31" s="149">
        <v>45987</v>
      </c>
      <c r="B31" s="150" t="s">
        <v>52</v>
      </c>
      <c r="C31" s="151" t="s">
        <v>69</v>
      </c>
      <c r="D31" s="150" t="s">
        <v>1</v>
      </c>
      <c r="E31" s="152">
        <v>1.989583333333333</v>
      </c>
      <c r="F31" s="150" t="s">
        <v>56</v>
      </c>
      <c r="G31" s="153">
        <v>4</v>
      </c>
      <c r="H31" s="154" t="s">
        <v>36</v>
      </c>
    </row>
    <row r="32" spans="1:8" ht="19.8" customHeight="1" x14ac:dyDescent="0.3">
      <c r="A32" s="149">
        <v>45987</v>
      </c>
      <c r="B32" s="150" t="s">
        <v>72</v>
      </c>
      <c r="C32" s="151" t="s">
        <v>76</v>
      </c>
      <c r="D32" s="150" t="s">
        <v>1</v>
      </c>
      <c r="E32" s="152">
        <v>1.493055555555556</v>
      </c>
      <c r="F32" s="150" t="s">
        <v>28</v>
      </c>
      <c r="G32" s="153">
        <v>1</v>
      </c>
      <c r="H32" s="154" t="s">
        <v>75</v>
      </c>
    </row>
    <row r="33" spans="1:8" ht="19.8" customHeight="1" x14ac:dyDescent="0.3">
      <c r="A33" s="149">
        <v>45987</v>
      </c>
      <c r="B33" s="150" t="s">
        <v>72</v>
      </c>
      <c r="C33" s="151" t="s">
        <v>73</v>
      </c>
      <c r="D33" s="150" t="s">
        <v>1</v>
      </c>
      <c r="E33" s="152">
        <v>1.194444444444444</v>
      </c>
      <c r="F33" s="150" t="s">
        <v>28</v>
      </c>
      <c r="G33" s="153">
        <v>5</v>
      </c>
      <c r="H33" s="154" t="s">
        <v>75</v>
      </c>
    </row>
    <row r="34" spans="1:8" ht="19.8" customHeight="1" x14ac:dyDescent="0.3">
      <c r="A34" s="187">
        <v>45987</v>
      </c>
      <c r="B34" s="188" t="s">
        <v>79</v>
      </c>
      <c r="C34" s="189" t="s">
        <v>101</v>
      </c>
      <c r="D34" s="188" t="s">
        <v>1</v>
      </c>
      <c r="E34" s="190">
        <v>1.8888888888888891</v>
      </c>
      <c r="F34" s="188" t="s">
        <v>81</v>
      </c>
      <c r="G34" s="191">
        <v>1</v>
      </c>
      <c r="H34" s="192" t="s">
        <v>83</v>
      </c>
    </row>
    <row r="35" spans="1:8" ht="19.8" customHeight="1" x14ac:dyDescent="0.3">
      <c r="A35" s="155">
        <v>45988</v>
      </c>
      <c r="B35" s="145" t="s">
        <v>26</v>
      </c>
      <c r="C35" s="146" t="s">
        <v>676</v>
      </c>
      <c r="D35" s="145" t="s">
        <v>675</v>
      </c>
      <c r="E35" s="156">
        <v>1.3298611111111109</v>
      </c>
      <c r="F35" s="145" t="s">
        <v>28</v>
      </c>
      <c r="G35" s="147">
        <v>4</v>
      </c>
      <c r="H35" s="148" t="s">
        <v>700</v>
      </c>
    </row>
    <row r="36" spans="1:8" ht="19.8" customHeight="1" x14ac:dyDescent="0.3">
      <c r="A36" s="155">
        <v>45988</v>
      </c>
      <c r="B36" s="145" t="s">
        <v>26</v>
      </c>
      <c r="C36" s="146" t="s">
        <v>680</v>
      </c>
      <c r="D36" s="145" t="s">
        <v>675</v>
      </c>
      <c r="E36" s="156">
        <v>1.5486111111111109</v>
      </c>
      <c r="F36" s="145" t="s">
        <v>28</v>
      </c>
      <c r="G36" s="147">
        <v>9</v>
      </c>
      <c r="H36" s="148" t="s">
        <v>677</v>
      </c>
    </row>
    <row r="37" spans="1:8" ht="19.8" customHeight="1" x14ac:dyDescent="0.3">
      <c r="A37" s="149">
        <v>45988</v>
      </c>
      <c r="B37" s="150" t="s">
        <v>140</v>
      </c>
      <c r="C37" s="151" t="s">
        <v>684</v>
      </c>
      <c r="D37" s="150" t="s">
        <v>675</v>
      </c>
      <c r="E37" s="152">
        <v>1.3298611111111109</v>
      </c>
      <c r="F37" s="150" t="s">
        <v>699</v>
      </c>
      <c r="G37" s="153">
        <v>4</v>
      </c>
      <c r="H37" s="154" t="s">
        <v>691</v>
      </c>
    </row>
    <row r="38" spans="1:8" ht="19.8" customHeight="1" x14ac:dyDescent="0.3">
      <c r="A38" s="183"/>
      <c r="B38" s="184"/>
      <c r="C38" s="184"/>
      <c r="D38" s="184"/>
      <c r="E38" s="184"/>
      <c r="F38" s="185" t="s">
        <v>672</v>
      </c>
      <c r="G38" s="184"/>
      <c r="H38" s="186"/>
    </row>
    <row r="39" spans="1:8" ht="19.8" customHeight="1" x14ac:dyDescent="0.3">
      <c r="A39" s="149">
        <v>45988</v>
      </c>
      <c r="B39" s="150" t="s">
        <v>26</v>
      </c>
      <c r="C39" s="151" t="s">
        <v>161</v>
      </c>
      <c r="D39" s="150" t="s">
        <v>1</v>
      </c>
      <c r="E39" s="152">
        <v>1.0659722222222221</v>
      </c>
      <c r="F39" s="150" t="s">
        <v>28</v>
      </c>
      <c r="G39" s="153">
        <v>2</v>
      </c>
      <c r="H39" s="154" t="s">
        <v>36</v>
      </c>
    </row>
    <row r="40" spans="1:8" ht="19.8" customHeight="1" x14ac:dyDescent="0.3">
      <c r="A40" s="149">
        <v>45988</v>
      </c>
      <c r="B40" s="150" t="s">
        <v>52</v>
      </c>
      <c r="C40" s="151" t="s">
        <v>53</v>
      </c>
      <c r="D40" s="150" t="s">
        <v>1</v>
      </c>
      <c r="E40" s="152">
        <v>1.399305555555556</v>
      </c>
      <c r="F40" s="150" t="s">
        <v>56</v>
      </c>
      <c r="G40" s="153">
        <v>5</v>
      </c>
      <c r="H40" s="154" t="s">
        <v>177</v>
      </c>
    </row>
    <row r="41" spans="1:8" ht="19.8" customHeight="1" x14ac:dyDescent="0.3">
      <c r="A41" s="149">
        <v>45988</v>
      </c>
      <c r="B41" s="150" t="s">
        <v>52</v>
      </c>
      <c r="C41" s="151" t="s">
        <v>62</v>
      </c>
      <c r="D41" s="150" t="s">
        <v>1</v>
      </c>
      <c r="E41" s="152">
        <v>1.489583333333333</v>
      </c>
      <c r="F41" s="150" t="s">
        <v>56</v>
      </c>
      <c r="G41" s="153">
        <v>10</v>
      </c>
      <c r="H41" s="154" t="s">
        <v>177</v>
      </c>
    </row>
    <row r="42" spans="1:8" ht="19.8" customHeight="1" x14ac:dyDescent="0.3">
      <c r="A42" s="149">
        <v>45988</v>
      </c>
      <c r="B42" s="150" t="s">
        <v>52</v>
      </c>
      <c r="C42" s="151" t="s">
        <v>69</v>
      </c>
      <c r="D42" s="150" t="s">
        <v>1</v>
      </c>
      <c r="E42" s="152">
        <v>1.989583333333333</v>
      </c>
      <c r="F42" s="150" t="s">
        <v>56</v>
      </c>
      <c r="G42" s="153">
        <v>9</v>
      </c>
      <c r="H42" s="154" t="s">
        <v>177</v>
      </c>
    </row>
    <row r="43" spans="1:8" ht="19.8" customHeight="1" x14ac:dyDescent="0.3">
      <c r="A43" s="149">
        <v>45988</v>
      </c>
      <c r="B43" s="150" t="s">
        <v>26</v>
      </c>
      <c r="C43" s="151" t="s">
        <v>166</v>
      </c>
      <c r="D43" s="150" t="s">
        <v>1</v>
      </c>
      <c r="E43" s="152">
        <v>1.1875</v>
      </c>
      <c r="F43" s="150" t="s">
        <v>28</v>
      </c>
      <c r="G43" s="153">
        <v>9</v>
      </c>
      <c r="H43" s="154" t="s">
        <v>148</v>
      </c>
    </row>
    <row r="44" spans="1:8" ht="19.8" customHeight="1" x14ac:dyDescent="0.3">
      <c r="A44" s="149">
        <v>45988</v>
      </c>
      <c r="B44" s="150" t="s">
        <v>72</v>
      </c>
      <c r="C44" s="151" t="s">
        <v>76</v>
      </c>
      <c r="D44" s="150" t="s">
        <v>1</v>
      </c>
      <c r="E44" s="152">
        <v>1.493055555555556</v>
      </c>
      <c r="F44" s="150" t="s">
        <v>28</v>
      </c>
      <c r="G44" s="153">
        <v>9</v>
      </c>
      <c r="H44" s="154" t="s">
        <v>182</v>
      </c>
    </row>
    <row r="45" spans="1:8" ht="19.8" customHeight="1" x14ac:dyDescent="0.3">
      <c r="A45" s="149">
        <v>45988</v>
      </c>
      <c r="B45" s="150" t="s">
        <v>52</v>
      </c>
      <c r="C45" s="151" t="s">
        <v>66</v>
      </c>
      <c r="D45" s="150" t="s">
        <v>1</v>
      </c>
      <c r="E45" s="152">
        <v>1.8888888888888891</v>
      </c>
      <c r="F45" s="150" t="s">
        <v>56</v>
      </c>
      <c r="G45" s="153">
        <v>10</v>
      </c>
      <c r="H45" s="154" t="s">
        <v>59</v>
      </c>
    </row>
    <row r="46" spans="1:8" ht="19.8" customHeight="1" x14ac:dyDescent="0.3">
      <c r="A46" s="149">
        <v>45988</v>
      </c>
      <c r="B46" s="150" t="s">
        <v>79</v>
      </c>
      <c r="C46" s="151" t="s">
        <v>97</v>
      </c>
      <c r="D46" s="150" t="s">
        <v>1</v>
      </c>
      <c r="E46" s="152">
        <v>1.3472222222222221</v>
      </c>
      <c r="F46" s="150" t="s">
        <v>84</v>
      </c>
      <c r="G46" s="153">
        <v>9</v>
      </c>
      <c r="H46" s="154" t="s">
        <v>59</v>
      </c>
    </row>
    <row r="47" spans="1:8" ht="19.8" customHeight="1" x14ac:dyDescent="0.3">
      <c r="A47" s="149">
        <v>45988</v>
      </c>
      <c r="B47" s="150" t="s">
        <v>79</v>
      </c>
      <c r="C47" s="151" t="s">
        <v>80</v>
      </c>
      <c r="D47" s="150" t="s">
        <v>1</v>
      </c>
      <c r="E47" s="152">
        <v>1.993055555555556</v>
      </c>
      <c r="F47" s="150" t="s">
        <v>84</v>
      </c>
      <c r="G47" s="153">
        <v>2</v>
      </c>
      <c r="H47" s="154" t="s">
        <v>59</v>
      </c>
    </row>
    <row r="48" spans="1:8" ht="19.8" customHeight="1" x14ac:dyDescent="0.3">
      <c r="A48" s="187">
        <v>45988</v>
      </c>
      <c r="B48" s="188" t="s">
        <v>79</v>
      </c>
      <c r="C48" s="189" t="s">
        <v>93</v>
      </c>
      <c r="D48" s="188" t="s">
        <v>1</v>
      </c>
      <c r="E48" s="190">
        <v>1.4861111111111109</v>
      </c>
      <c r="F48" s="188" t="s">
        <v>84</v>
      </c>
      <c r="G48" s="191">
        <v>4</v>
      </c>
      <c r="H48" s="192" t="s">
        <v>59</v>
      </c>
    </row>
    <row r="49" spans="1:8" ht="19.8" customHeight="1" x14ac:dyDescent="0.3">
      <c r="A49" s="155">
        <v>45989</v>
      </c>
      <c r="B49" s="145" t="s">
        <v>26</v>
      </c>
      <c r="C49" s="146" t="s">
        <v>690</v>
      </c>
      <c r="D49" s="145" t="s">
        <v>675</v>
      </c>
      <c r="E49" s="156">
        <v>1.135416666666667</v>
      </c>
      <c r="F49" s="145" t="s">
        <v>28</v>
      </c>
      <c r="G49" s="147">
        <v>9</v>
      </c>
      <c r="H49" s="148" t="s">
        <v>703</v>
      </c>
    </row>
    <row r="50" spans="1:8" ht="19.8" customHeight="1" x14ac:dyDescent="0.3">
      <c r="A50" s="183"/>
      <c r="B50" s="184"/>
      <c r="C50" s="184"/>
      <c r="D50" s="184"/>
      <c r="E50" s="184"/>
      <c r="F50" s="185" t="s">
        <v>672</v>
      </c>
      <c r="G50" s="184"/>
      <c r="H50" s="186"/>
    </row>
    <row r="51" spans="1:8" ht="19.8" customHeight="1" x14ac:dyDescent="0.3">
      <c r="A51" s="149">
        <v>45989</v>
      </c>
      <c r="B51" s="150" t="s">
        <v>108</v>
      </c>
      <c r="C51" s="151" t="s">
        <v>155</v>
      </c>
      <c r="D51" s="150" t="s">
        <v>1</v>
      </c>
      <c r="E51" s="152">
        <v>1.225694444444444</v>
      </c>
      <c r="F51" s="150" t="s">
        <v>110</v>
      </c>
      <c r="G51" s="153">
        <v>9</v>
      </c>
      <c r="H51" s="154" t="s">
        <v>190</v>
      </c>
    </row>
    <row r="52" spans="1:8" ht="19.8" customHeight="1" x14ac:dyDescent="0.3">
      <c r="A52" s="149">
        <v>45989</v>
      </c>
      <c r="B52" s="150" t="s">
        <v>108</v>
      </c>
      <c r="C52" s="151" t="s">
        <v>155</v>
      </c>
      <c r="D52" s="150" t="s">
        <v>1</v>
      </c>
      <c r="E52" s="152">
        <v>1.225694444444444</v>
      </c>
      <c r="F52" s="150" t="s">
        <v>113</v>
      </c>
      <c r="G52" s="153">
        <v>9</v>
      </c>
      <c r="H52" s="154" t="s">
        <v>191</v>
      </c>
    </row>
    <row r="53" spans="1:8" ht="19.8" customHeight="1" x14ac:dyDescent="0.3">
      <c r="A53" s="149">
        <v>45989</v>
      </c>
      <c r="B53" s="150" t="s">
        <v>108</v>
      </c>
      <c r="C53" s="151" t="s">
        <v>193</v>
      </c>
      <c r="D53" s="150" t="s">
        <v>1</v>
      </c>
      <c r="E53" s="152">
        <v>1.8090277777777779</v>
      </c>
      <c r="F53" s="150" t="s">
        <v>110</v>
      </c>
      <c r="G53" s="153">
        <v>9</v>
      </c>
      <c r="H53" s="154" t="s">
        <v>194</v>
      </c>
    </row>
    <row r="54" spans="1:8" ht="19.8" customHeight="1" x14ac:dyDescent="0.3">
      <c r="A54" s="149">
        <v>45989</v>
      </c>
      <c r="B54" s="150" t="s">
        <v>108</v>
      </c>
      <c r="C54" s="151" t="s">
        <v>193</v>
      </c>
      <c r="D54" s="150" t="s">
        <v>1</v>
      </c>
      <c r="E54" s="152">
        <v>1.8090277777777779</v>
      </c>
      <c r="F54" s="150" t="s">
        <v>113</v>
      </c>
      <c r="G54" s="153">
        <v>9</v>
      </c>
      <c r="H54" s="154" t="s">
        <v>194</v>
      </c>
    </row>
    <row r="55" spans="1:8" ht="19.8" customHeight="1" x14ac:dyDescent="0.3">
      <c r="A55" s="149">
        <v>45989</v>
      </c>
      <c r="B55" s="150" t="s">
        <v>26</v>
      </c>
      <c r="C55" s="151" t="s">
        <v>34</v>
      </c>
      <c r="D55" s="150" t="s">
        <v>1</v>
      </c>
      <c r="E55" s="152">
        <v>1.5590277777777779</v>
      </c>
      <c r="F55" s="150" t="s">
        <v>28</v>
      </c>
      <c r="G55" s="153">
        <v>1</v>
      </c>
      <c r="H55" s="154" t="s">
        <v>171</v>
      </c>
    </row>
    <row r="56" spans="1:8" ht="19.8" customHeight="1" x14ac:dyDescent="0.3">
      <c r="A56" s="149">
        <v>45989</v>
      </c>
      <c r="B56" s="150" t="s">
        <v>26</v>
      </c>
      <c r="C56" s="151" t="s">
        <v>27</v>
      </c>
      <c r="D56" s="150" t="s">
        <v>1</v>
      </c>
      <c r="E56" s="152">
        <v>1.28125</v>
      </c>
      <c r="F56" s="150" t="s">
        <v>28</v>
      </c>
      <c r="G56" s="153">
        <v>9</v>
      </c>
      <c r="H56" s="154" t="s">
        <v>171</v>
      </c>
    </row>
    <row r="57" spans="1:8" ht="19.8" customHeight="1" x14ac:dyDescent="0.3">
      <c r="A57" s="149">
        <v>45989</v>
      </c>
      <c r="B57" s="150" t="s">
        <v>26</v>
      </c>
      <c r="C57" s="151" t="s">
        <v>199</v>
      </c>
      <c r="D57" s="150" t="s">
        <v>1</v>
      </c>
      <c r="E57" s="152">
        <v>1.4375</v>
      </c>
      <c r="F57" s="150" t="s">
        <v>28</v>
      </c>
      <c r="G57" s="153">
        <v>2</v>
      </c>
      <c r="H57" s="154" t="s">
        <v>171</v>
      </c>
    </row>
    <row r="58" spans="1:8" ht="19.8" customHeight="1" x14ac:dyDescent="0.3">
      <c r="A58" s="149">
        <v>45989</v>
      </c>
      <c r="B58" s="150" t="s">
        <v>52</v>
      </c>
      <c r="C58" s="151" t="s">
        <v>53</v>
      </c>
      <c r="D58" s="150" t="s">
        <v>1</v>
      </c>
      <c r="E58" s="152">
        <v>1.399305555555556</v>
      </c>
      <c r="F58" s="150" t="s">
        <v>56</v>
      </c>
      <c r="G58" s="153">
        <v>1</v>
      </c>
      <c r="H58" s="154" t="s">
        <v>61</v>
      </c>
    </row>
    <row r="59" spans="1:8" ht="19.8" customHeight="1" x14ac:dyDescent="0.3">
      <c r="A59" s="149">
        <v>45989</v>
      </c>
      <c r="B59" s="150" t="s">
        <v>52</v>
      </c>
      <c r="C59" s="151" t="s">
        <v>62</v>
      </c>
      <c r="D59" s="150" t="s">
        <v>1</v>
      </c>
      <c r="E59" s="152">
        <v>1.489583333333333</v>
      </c>
      <c r="F59" s="150" t="s">
        <v>56</v>
      </c>
      <c r="G59" s="153">
        <v>1</v>
      </c>
      <c r="H59" s="154" t="s">
        <v>61</v>
      </c>
    </row>
    <row r="60" spans="1:8" ht="19.8" customHeight="1" x14ac:dyDescent="0.3">
      <c r="A60" s="187">
        <v>45989</v>
      </c>
      <c r="B60" s="188" t="s">
        <v>52</v>
      </c>
      <c r="C60" s="189" t="s">
        <v>66</v>
      </c>
      <c r="D60" s="188" t="s">
        <v>1</v>
      </c>
      <c r="E60" s="190">
        <v>1.8888888888888891</v>
      </c>
      <c r="F60" s="188" t="s">
        <v>54</v>
      </c>
      <c r="G60" s="191">
        <v>2</v>
      </c>
      <c r="H60" s="192" t="s">
        <v>89</v>
      </c>
    </row>
    <row r="61" spans="1:8" ht="19.8" customHeight="1" x14ac:dyDescent="0.3">
      <c r="A61" s="155">
        <v>45990</v>
      </c>
      <c r="B61" s="145" t="s">
        <v>26</v>
      </c>
      <c r="C61" s="146" t="s">
        <v>690</v>
      </c>
      <c r="D61" s="145" t="s">
        <v>675</v>
      </c>
      <c r="E61" s="156">
        <v>1.1423611111111109</v>
      </c>
      <c r="F61" s="145" t="s">
        <v>28</v>
      </c>
      <c r="G61" s="147">
        <v>5</v>
      </c>
      <c r="H61" s="148" t="s">
        <v>681</v>
      </c>
    </row>
    <row r="62" spans="1:8" ht="19.8" customHeight="1" x14ac:dyDescent="0.3">
      <c r="A62" s="155">
        <v>45990</v>
      </c>
      <c r="B62" s="145" t="s">
        <v>26</v>
      </c>
      <c r="C62" s="146" t="s">
        <v>680</v>
      </c>
      <c r="D62" s="145" t="s">
        <v>675</v>
      </c>
      <c r="E62" s="156">
        <v>1.5277777777777779</v>
      </c>
      <c r="F62" s="145" t="s">
        <v>28</v>
      </c>
      <c r="G62" s="147">
        <v>6</v>
      </c>
      <c r="H62" s="148" t="s">
        <v>691</v>
      </c>
    </row>
    <row r="63" spans="1:8" ht="19.8" customHeight="1" x14ac:dyDescent="0.3">
      <c r="A63" s="183"/>
      <c r="B63" s="184"/>
      <c r="C63" s="184"/>
      <c r="D63" s="184"/>
      <c r="E63" s="184"/>
      <c r="F63" s="185" t="s">
        <v>672</v>
      </c>
      <c r="G63" s="184"/>
      <c r="H63" s="186"/>
    </row>
    <row r="64" spans="1:8" ht="19.8" customHeight="1" x14ac:dyDescent="0.3">
      <c r="A64" s="149">
        <v>45990</v>
      </c>
      <c r="B64" s="150" t="s">
        <v>108</v>
      </c>
      <c r="C64" s="151" t="s">
        <v>155</v>
      </c>
      <c r="D64" s="150" t="s">
        <v>1</v>
      </c>
      <c r="E64" s="152">
        <v>1.1701388888888891</v>
      </c>
      <c r="F64" s="150" t="s">
        <v>110</v>
      </c>
      <c r="G64" s="153">
        <v>9</v>
      </c>
      <c r="H64" s="154" t="s">
        <v>219</v>
      </c>
    </row>
    <row r="65" spans="1:8" ht="19.8" customHeight="1" x14ac:dyDescent="0.3">
      <c r="A65" s="149">
        <v>45990</v>
      </c>
      <c r="B65" s="150" t="s">
        <v>108</v>
      </c>
      <c r="C65" s="151" t="s">
        <v>155</v>
      </c>
      <c r="D65" s="150" t="s">
        <v>1</v>
      </c>
      <c r="E65" s="152">
        <v>1.1701388888888891</v>
      </c>
      <c r="F65" s="150" t="s">
        <v>113</v>
      </c>
      <c r="G65" s="153">
        <v>9</v>
      </c>
      <c r="H65" s="154" t="s">
        <v>219</v>
      </c>
    </row>
    <row r="66" spans="1:8" ht="19.8" customHeight="1" x14ac:dyDescent="0.3">
      <c r="A66" s="149">
        <v>45990</v>
      </c>
      <c r="B66" s="150" t="s">
        <v>72</v>
      </c>
      <c r="C66" s="151" t="s">
        <v>73</v>
      </c>
      <c r="D66" s="150" t="s">
        <v>1</v>
      </c>
      <c r="E66" s="152">
        <v>1.041666666666667</v>
      </c>
      <c r="F66" s="150" t="s">
        <v>28</v>
      </c>
      <c r="G66" s="153">
        <v>6</v>
      </c>
      <c r="H66" s="154" t="s">
        <v>182</v>
      </c>
    </row>
    <row r="67" spans="1:8" ht="19.8" customHeight="1" x14ac:dyDescent="0.3">
      <c r="A67" s="149">
        <v>45990</v>
      </c>
      <c r="B67" s="150" t="s">
        <v>108</v>
      </c>
      <c r="C67" s="151" t="s">
        <v>109</v>
      </c>
      <c r="D67" s="150" t="s">
        <v>1</v>
      </c>
      <c r="E67" s="152">
        <v>1.055555555555556</v>
      </c>
      <c r="F67" s="150" t="s">
        <v>113</v>
      </c>
      <c r="G67" s="153">
        <v>9</v>
      </c>
      <c r="H67" s="154" t="s">
        <v>221</v>
      </c>
    </row>
    <row r="68" spans="1:8" ht="19.8" customHeight="1" x14ac:dyDescent="0.3">
      <c r="A68" s="149">
        <v>45990</v>
      </c>
      <c r="B68" s="150" t="s">
        <v>52</v>
      </c>
      <c r="C68" s="151" t="s">
        <v>53</v>
      </c>
      <c r="D68" s="150" t="s">
        <v>1</v>
      </c>
      <c r="E68" s="152">
        <v>1.399305555555556</v>
      </c>
      <c r="F68" s="150" t="s">
        <v>54</v>
      </c>
      <c r="G68" s="153">
        <v>8</v>
      </c>
      <c r="H68" s="154" t="s">
        <v>89</v>
      </c>
    </row>
    <row r="69" spans="1:8" ht="19.8" customHeight="1" x14ac:dyDescent="0.3">
      <c r="A69" s="149">
        <v>45990</v>
      </c>
      <c r="B69" s="150" t="s">
        <v>52</v>
      </c>
      <c r="C69" s="151" t="s">
        <v>53</v>
      </c>
      <c r="D69" s="150" t="s">
        <v>1</v>
      </c>
      <c r="E69" s="152">
        <v>1.399305555555556</v>
      </c>
      <c r="F69" s="150" t="s">
        <v>56</v>
      </c>
      <c r="G69" s="153">
        <v>8</v>
      </c>
      <c r="H69" s="154" t="s">
        <v>89</v>
      </c>
    </row>
    <row r="70" spans="1:8" ht="19.8" customHeight="1" x14ac:dyDescent="0.3">
      <c r="A70" s="149">
        <v>45990</v>
      </c>
      <c r="B70" s="150" t="s">
        <v>52</v>
      </c>
      <c r="C70" s="151" t="s">
        <v>69</v>
      </c>
      <c r="D70" s="150" t="s">
        <v>1</v>
      </c>
      <c r="E70" s="152">
        <v>1.989583333333333</v>
      </c>
      <c r="F70" s="150" t="s">
        <v>54</v>
      </c>
      <c r="G70" s="153">
        <v>7</v>
      </c>
      <c r="H70" s="154" t="s">
        <v>89</v>
      </c>
    </row>
    <row r="71" spans="1:8" ht="19.8" customHeight="1" x14ac:dyDescent="0.3">
      <c r="A71" s="149">
        <v>45990</v>
      </c>
      <c r="B71" s="150" t="s">
        <v>52</v>
      </c>
      <c r="C71" s="151" t="s">
        <v>69</v>
      </c>
      <c r="D71" s="150" t="s">
        <v>1</v>
      </c>
      <c r="E71" s="152">
        <v>1.989583333333333</v>
      </c>
      <c r="F71" s="150" t="s">
        <v>56</v>
      </c>
      <c r="G71" s="153">
        <v>7</v>
      </c>
      <c r="H71" s="154" t="s">
        <v>89</v>
      </c>
    </row>
    <row r="72" spans="1:8" ht="19.8" customHeight="1" x14ac:dyDescent="0.3">
      <c r="A72" s="149">
        <v>45990</v>
      </c>
      <c r="B72" s="150" t="s">
        <v>108</v>
      </c>
      <c r="C72" s="151" t="s">
        <v>155</v>
      </c>
      <c r="D72" s="150" t="s">
        <v>1</v>
      </c>
      <c r="E72" s="152">
        <v>1.1701388888888891</v>
      </c>
      <c r="F72" s="150" t="s">
        <v>60</v>
      </c>
      <c r="G72" s="153">
        <v>9</v>
      </c>
      <c r="H72" s="154" t="s">
        <v>220</v>
      </c>
    </row>
    <row r="73" spans="1:8" ht="19.8" customHeight="1" x14ac:dyDescent="0.3">
      <c r="A73" s="187">
        <v>45990</v>
      </c>
      <c r="B73" s="188" t="s">
        <v>72</v>
      </c>
      <c r="C73" s="189" t="s">
        <v>76</v>
      </c>
      <c r="D73" s="188" t="s">
        <v>1</v>
      </c>
      <c r="E73" s="190">
        <v>1.493055555555556</v>
      </c>
      <c r="F73" s="188" t="s">
        <v>28</v>
      </c>
      <c r="G73" s="191">
        <v>9</v>
      </c>
      <c r="H73" s="192" t="s">
        <v>208</v>
      </c>
    </row>
    <row r="74" spans="1:8" ht="19.8" customHeight="1" x14ac:dyDescent="0.3">
      <c r="A74" s="149">
        <v>45991</v>
      </c>
      <c r="B74" s="150" t="s">
        <v>52</v>
      </c>
      <c r="C74" s="151" t="s">
        <v>686</v>
      </c>
      <c r="D74" s="150" t="s">
        <v>675</v>
      </c>
      <c r="E74" s="152">
        <v>1.364583333333333</v>
      </c>
      <c r="F74" s="150" t="s">
        <v>584</v>
      </c>
      <c r="G74" s="153">
        <v>23</v>
      </c>
      <c r="H74" s="154" t="s">
        <v>708</v>
      </c>
    </row>
    <row r="75" spans="1:8" ht="19.8" customHeight="1" x14ac:dyDescent="0.3">
      <c r="A75" s="149">
        <v>45991</v>
      </c>
      <c r="B75" s="150" t="s">
        <v>52</v>
      </c>
      <c r="C75" s="151" t="s">
        <v>686</v>
      </c>
      <c r="D75" s="150" t="s">
        <v>675</v>
      </c>
      <c r="E75" s="152">
        <v>1.364583333333333</v>
      </c>
      <c r="F75" s="150" t="s">
        <v>586</v>
      </c>
      <c r="G75" s="153">
        <v>23</v>
      </c>
      <c r="H75" s="154" t="s">
        <v>710</v>
      </c>
    </row>
    <row r="76" spans="1:8" ht="19.8" customHeight="1" x14ac:dyDescent="0.3">
      <c r="A76" s="149">
        <v>45991</v>
      </c>
      <c r="B76" s="150" t="s">
        <v>52</v>
      </c>
      <c r="C76" s="151" t="s">
        <v>686</v>
      </c>
      <c r="D76" s="150" t="s">
        <v>675</v>
      </c>
      <c r="E76" s="152">
        <v>1.364583333333333</v>
      </c>
      <c r="F76" s="150" t="s">
        <v>588</v>
      </c>
      <c r="G76" s="153">
        <v>23</v>
      </c>
      <c r="H76" s="154" t="s">
        <v>711</v>
      </c>
    </row>
    <row r="77" spans="1:8" ht="19.8" customHeight="1" x14ac:dyDescent="0.3">
      <c r="A77" s="155">
        <v>45991</v>
      </c>
      <c r="B77" s="145" t="s">
        <v>26</v>
      </c>
      <c r="C77" s="146" t="s">
        <v>680</v>
      </c>
      <c r="D77" s="145" t="s">
        <v>675</v>
      </c>
      <c r="E77" s="156">
        <v>1.6909722222222221</v>
      </c>
      <c r="F77" s="145" t="s">
        <v>28</v>
      </c>
      <c r="G77" s="147">
        <v>5</v>
      </c>
      <c r="H77" s="148" t="s">
        <v>703</v>
      </c>
    </row>
    <row r="78" spans="1:8" ht="19.8" customHeight="1" x14ac:dyDescent="0.3">
      <c r="A78" s="155">
        <v>45991</v>
      </c>
      <c r="B78" s="145" t="s">
        <v>26</v>
      </c>
      <c r="C78" s="146" t="s">
        <v>690</v>
      </c>
      <c r="D78" s="145" t="s">
        <v>675</v>
      </c>
      <c r="E78" s="156">
        <v>1.3298611111111109</v>
      </c>
      <c r="F78" s="145" t="s">
        <v>28</v>
      </c>
      <c r="G78" s="147">
        <v>2</v>
      </c>
      <c r="H78" s="148" t="s">
        <v>703</v>
      </c>
    </row>
    <row r="79" spans="1:8" ht="19.8" customHeight="1" x14ac:dyDescent="0.3">
      <c r="A79" s="149">
        <v>45991</v>
      </c>
      <c r="B79" s="150" t="s">
        <v>52</v>
      </c>
      <c r="C79" s="151" t="s">
        <v>686</v>
      </c>
      <c r="D79" s="150" t="s">
        <v>675</v>
      </c>
      <c r="E79" s="152">
        <v>1.364583333333333</v>
      </c>
      <c r="F79" s="150" t="s">
        <v>590</v>
      </c>
      <c r="G79" s="153">
        <v>23</v>
      </c>
      <c r="H79" s="154" t="s">
        <v>55</v>
      </c>
    </row>
    <row r="80" spans="1:8" ht="19.8" customHeight="1" x14ac:dyDescent="0.3">
      <c r="A80" s="183"/>
      <c r="B80" s="184"/>
      <c r="C80" s="184"/>
      <c r="D80" s="184"/>
      <c r="E80" s="184"/>
      <c r="F80" s="185" t="s">
        <v>672</v>
      </c>
      <c r="G80" s="184"/>
      <c r="H80" s="186"/>
    </row>
    <row r="81" spans="1:8" ht="19.8" customHeight="1" x14ac:dyDescent="0.3">
      <c r="A81" s="149">
        <v>45991</v>
      </c>
      <c r="B81" s="150" t="s">
        <v>52</v>
      </c>
      <c r="C81" s="151" t="s">
        <v>53</v>
      </c>
      <c r="D81" s="150" t="s">
        <v>1</v>
      </c>
      <c r="E81" s="152">
        <v>1.399305555555556</v>
      </c>
      <c r="F81" s="150" t="s">
        <v>56</v>
      </c>
      <c r="G81" s="153">
        <v>10</v>
      </c>
      <c r="H81" s="154" t="s">
        <v>55</v>
      </c>
    </row>
    <row r="82" spans="1:8" ht="19.8" customHeight="1" x14ac:dyDescent="0.3">
      <c r="A82" s="149">
        <v>45991</v>
      </c>
      <c r="B82" s="150" t="s">
        <v>52</v>
      </c>
      <c r="C82" s="151" t="s">
        <v>62</v>
      </c>
      <c r="D82" s="150" t="s">
        <v>1</v>
      </c>
      <c r="E82" s="152">
        <v>1.489583333333333</v>
      </c>
      <c r="F82" s="150" t="s">
        <v>56</v>
      </c>
      <c r="G82" s="153">
        <v>1</v>
      </c>
      <c r="H82" s="154" t="s">
        <v>55</v>
      </c>
    </row>
    <row r="83" spans="1:8" ht="19.8" customHeight="1" x14ac:dyDescent="0.3">
      <c r="A83" s="149">
        <v>45991</v>
      </c>
      <c r="B83" s="150" t="s">
        <v>52</v>
      </c>
      <c r="C83" s="151" t="s">
        <v>66</v>
      </c>
      <c r="D83" s="150" t="s">
        <v>1</v>
      </c>
      <c r="E83" s="152">
        <v>1.8888888888888891</v>
      </c>
      <c r="F83" s="150" t="s">
        <v>56</v>
      </c>
      <c r="G83" s="153">
        <v>4</v>
      </c>
      <c r="H83" s="154" t="s">
        <v>36</v>
      </c>
    </row>
    <row r="84" spans="1:8" ht="19.8" customHeight="1" x14ac:dyDescent="0.3">
      <c r="A84" s="149">
        <v>45991</v>
      </c>
      <c r="B84" s="150" t="s">
        <v>52</v>
      </c>
      <c r="C84" s="151" t="s">
        <v>69</v>
      </c>
      <c r="D84" s="150" t="s">
        <v>1</v>
      </c>
      <c r="E84" s="152">
        <v>1.989583333333333</v>
      </c>
      <c r="F84" s="150" t="s">
        <v>56</v>
      </c>
      <c r="G84" s="153">
        <v>6</v>
      </c>
      <c r="H84" s="154" t="s">
        <v>36</v>
      </c>
    </row>
    <row r="85" spans="1:8" ht="19.8" customHeight="1" x14ac:dyDescent="0.3">
      <c r="A85" s="149">
        <v>45991</v>
      </c>
      <c r="B85" s="150" t="s">
        <v>72</v>
      </c>
      <c r="C85" s="151" t="s">
        <v>73</v>
      </c>
      <c r="D85" s="150" t="s">
        <v>1</v>
      </c>
      <c r="E85" s="152">
        <v>1.2048611111111109</v>
      </c>
      <c r="F85" s="150" t="s">
        <v>28</v>
      </c>
      <c r="G85" s="153">
        <v>3</v>
      </c>
      <c r="H85" s="154" t="s">
        <v>75</v>
      </c>
    </row>
    <row r="86" spans="1:8" ht="19.8" customHeight="1" x14ac:dyDescent="0.3">
      <c r="A86" s="149">
        <v>45991</v>
      </c>
      <c r="B86" s="150" t="s">
        <v>108</v>
      </c>
      <c r="C86" s="151" t="s">
        <v>155</v>
      </c>
      <c r="D86" s="150" t="s">
        <v>1</v>
      </c>
      <c r="E86" s="152">
        <v>1.229166666666667</v>
      </c>
      <c r="F86" s="150" t="s">
        <v>113</v>
      </c>
      <c r="G86" s="153">
        <v>9</v>
      </c>
      <c r="H86" s="154" t="s">
        <v>238</v>
      </c>
    </row>
    <row r="87" spans="1:8" ht="19.8" customHeight="1" x14ac:dyDescent="0.3">
      <c r="A87" s="149">
        <v>45991</v>
      </c>
      <c r="B87" s="150" t="s">
        <v>79</v>
      </c>
      <c r="C87" s="151" t="s">
        <v>97</v>
      </c>
      <c r="D87" s="150" t="s">
        <v>1</v>
      </c>
      <c r="E87" s="152">
        <v>1.3472222222222221</v>
      </c>
      <c r="F87" s="150" t="s">
        <v>84</v>
      </c>
      <c r="G87" s="153">
        <v>8</v>
      </c>
      <c r="H87" s="154" t="s">
        <v>240</v>
      </c>
    </row>
    <row r="88" spans="1:8" ht="19.8" customHeight="1" x14ac:dyDescent="0.3">
      <c r="A88" s="149">
        <v>45991</v>
      </c>
      <c r="B88" s="150" t="s">
        <v>79</v>
      </c>
      <c r="C88" s="151" t="s">
        <v>100</v>
      </c>
      <c r="D88" s="150" t="s">
        <v>1</v>
      </c>
      <c r="E88" s="152">
        <v>1.836805555555556</v>
      </c>
      <c r="F88" s="150" t="s">
        <v>84</v>
      </c>
      <c r="G88" s="153">
        <v>9</v>
      </c>
      <c r="H88" s="154" t="s">
        <v>240</v>
      </c>
    </row>
    <row r="89" spans="1:8" ht="19.8" customHeight="1" x14ac:dyDescent="0.3">
      <c r="A89" s="149">
        <v>45991</v>
      </c>
      <c r="B89" s="150" t="s">
        <v>79</v>
      </c>
      <c r="C89" s="151" t="s">
        <v>90</v>
      </c>
      <c r="D89" s="150" t="s">
        <v>1</v>
      </c>
      <c r="E89" s="152">
        <v>1.944444444444444</v>
      </c>
      <c r="F89" s="150" t="s">
        <v>84</v>
      </c>
      <c r="G89" s="153">
        <v>3</v>
      </c>
      <c r="H89" s="154" t="s">
        <v>240</v>
      </c>
    </row>
    <row r="90" spans="1:8" ht="19.8" customHeight="1" x14ac:dyDescent="0.3">
      <c r="A90" s="187">
        <v>45991</v>
      </c>
      <c r="B90" s="188" t="s">
        <v>79</v>
      </c>
      <c r="C90" s="189" t="s">
        <v>93</v>
      </c>
      <c r="D90" s="188" t="s">
        <v>1</v>
      </c>
      <c r="E90" s="190">
        <v>1.4861111111111109</v>
      </c>
      <c r="F90" s="188" t="s">
        <v>84</v>
      </c>
      <c r="G90" s="191">
        <v>5</v>
      </c>
      <c r="H90" s="192" t="s">
        <v>240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CAI-JED</vt:lpstr>
      <vt:lpstr>CAI-JED LF LEGACY</vt:lpstr>
      <vt:lpstr>CAI-JED - FOCUS MODE</vt:lpstr>
      <vt:lpstr>CAI-JED - OAL Threats Alert</vt:lpstr>
      <vt:lpstr>HBE-JED</vt:lpstr>
      <vt:lpstr>HBE-JED LF LEGACY</vt:lpstr>
      <vt:lpstr>HBE-JED - FOCUS MODE</vt:lpstr>
      <vt:lpstr>ATZ-JED</vt:lpstr>
      <vt:lpstr>ATZ-JED LF LEGACY</vt:lpstr>
      <vt:lpstr>ATZ-JED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2025-11-21T01:25:07Z</dcterms:created>
  <dcterms:modified xsi:type="dcterms:W3CDTF">2025-11-21T01:25:44Z</dcterms:modified>
</cp:coreProperties>
</file>