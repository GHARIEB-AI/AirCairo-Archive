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810435F8-271A-4233-95B1-37DFB53FA4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" i="1" l="1"/>
  <c r="E22" i="1"/>
  <c r="C22" i="1"/>
  <c r="AJ22" i="1"/>
</calcChain>
</file>

<file path=xl/sharedStrings.xml><?xml version="1.0" encoding="utf-8"?>
<sst xmlns="http://schemas.openxmlformats.org/spreadsheetml/2006/main" count="177" uniqueCount="85">
  <si>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</si>
  <si>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</si>
  <si>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</si>
  <si>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</si>
  <si>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</si>
  <si>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</si>
  <si>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</si>
  <si>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</si>
  <si>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</si>
  <si>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</si>
  <si>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</si>
  <si>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</si>
  <si>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</si>
  <si>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</si>
  <si>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</si>
  <si>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</si>
  <si>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</si>
  <si>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</si>
  <si>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</si>
  <si>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</si>
  <si>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</si>
  <si>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</si>
  <si>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</si>
  <si>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</si>
  <si>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</si>
  <si>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</si>
  <si>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</si>
  <si>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</si>
  <si>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</si>
  <si>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</si>
  <si>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</si>
  <si>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</si>
  <si>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</si>
  <si>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</si>
  <si>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</si>
  <si>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</si>
  <si>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</si>
  <si>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SM424</t>
  </si>
  <si>
    <t>01:10</t>
  </si>
  <si>
    <t>JED-CAI</t>
  </si>
  <si>
    <t>320</t>
  </si>
  <si>
    <t>UPCOMING</t>
  </si>
  <si>
    <t>G8</t>
  </si>
  <si>
    <t>SM432</t>
  </si>
  <si>
    <t>08:45</t>
  </si>
  <si>
    <t>G7</t>
  </si>
  <si>
    <t>SM450</t>
  </si>
  <si>
    <t>06:05</t>
  </si>
  <si>
    <t>SM452</t>
  </si>
  <si>
    <t>06:35</t>
  </si>
  <si>
    <t>JED-HBE</t>
  </si>
  <si>
    <t>CLOSED</t>
  </si>
  <si>
    <t>SM472</t>
  </si>
  <si>
    <t>02:45</t>
  </si>
  <si>
    <t>G6</t>
  </si>
  <si>
    <t>SM476</t>
  </si>
  <si>
    <t>08:00</t>
  </si>
  <si>
    <t>G4</t>
  </si>
  <si>
    <t>SM478</t>
  </si>
  <si>
    <t>14:00</t>
  </si>
  <si>
    <t>V7</t>
  </si>
  <si>
    <t>SM480</t>
  </si>
  <si>
    <t>17:45</t>
  </si>
  <si>
    <t>H6</t>
  </si>
  <si>
    <t>FRIDAY</t>
  </si>
  <si>
    <t>L3</t>
  </si>
  <si>
    <t>10:00</t>
  </si>
  <si>
    <t>K1</t>
  </si>
  <si>
    <t>SM460</t>
  </si>
  <si>
    <t>22:30</t>
  </si>
  <si>
    <t>17:40</t>
  </si>
  <si>
    <t>L5</t>
  </si>
  <si>
    <t>07:40</t>
  </si>
  <si>
    <t>11:00</t>
  </si>
  <si>
    <t>L7</t>
  </si>
  <si>
    <t>14:45</t>
  </si>
  <si>
    <t>L6</t>
  </si>
  <si>
    <t>SATURDAY</t>
  </si>
  <si>
    <t>05:40</t>
  </si>
  <si>
    <t>19:00</t>
  </si>
  <si>
    <t>V1</t>
  </si>
  <si>
    <t>SM458</t>
  </si>
  <si>
    <t>L1</t>
  </si>
  <si>
    <t>16:20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</si>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</sst>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45F5E-73C1-4085-8878-7C0CF0216A9E}" name="LF_ALL_ROUTES" displayName="LF_ALL_ROUTES" ref="A1:AJ22" totalsRowCount="1" headerRowDxfId="37" totalsRowDxfId="0">
  <autoFilter ref="A1:AJ21" xr:uid="{C6A45F5E-73C1-4085-8878-7C0CF0216A9E}"/>
  <tableColumns count="36">
    <tableColumn id="1" xr3:uid="{C7C9FC83-4780-46B2-8BE7-97BC60BF4B12}" name="Day" totalsRowLabel="TOTAL" totalsRowDxfId="36"/>
    <tableColumn id="2" xr3:uid="{65B17D36-E642-4C74-BA44-7A8F0703F941}" name="Flt Dt" dataDxfId="39" totalsRowDxfId="35"/>
    <tableColumn id="3" xr3:uid="{4F6FF8A8-5168-46B7-9923-87729C1BA6F1}" name="Flt" totalsRowFunction="count" totalsRowDxfId="34"/>
    <tableColumn id="4" xr3:uid="{56FA1E87-E0FE-4F83-937D-3714A5F81EC6}" name="DEP" totalsRowDxfId="33"/>
    <tableColumn id="5" xr3:uid="{D3BBF611-C15E-4D87-8B26-775DAAA3A20F}" name="Brd-Off" totalsRowFunction="count" totalsRowDxfId="32"/>
    <tableColumn id="6" xr3:uid="{A535DC6F-14C0-456D-B0F2-B43ACD12DE33}" name="Eqp" totalsRowDxfId="31"/>
    <tableColumn id="7" xr3:uid="{2504D371-90DF-4195-B5A5-EC46BD73443A}" name="LF%" totalsRowFunction="average" totalsRowDxfId="30"/>
    <tableColumn id="8" xr3:uid="{BF51AE97-6675-415D-AEAB-EB08839D772E}" name="CAP" totalsRowDxfId="29"/>
    <tableColumn id="9" xr3:uid="{9F003B3B-B1BD-4143-AF4F-0A70E908AA1D}" name="BKG(Y)" totalsRowDxfId="28"/>
    <tableColumn id="10" xr3:uid="{A46DAEA7-443F-4F2E-B635-57694933787B}" name="GRP(Y)" totalsRowDxfId="27"/>
    <tableColumn id="11" xr3:uid="{432EF595-DBC7-4475-8C30-111C163B9E7A}" name="FLT ST" totalsRowDxfId="26"/>
    <tableColumn id="12" xr3:uid="{1EB68E7A-FA99-42FA-9B5A-3649DE95CB7B}" name="LST-SOLD" dataDxfId="38" totalsRowDxfId="25"/>
    <tableColumn id="13" xr3:uid="{BB4774E6-8B56-4C45-9718-0E03D0EA33DB}" name="TO-DAY" totalsRowDxfId="24"/>
    <tableColumn id="14" xr3:uid="{B503D743-2BAC-44E0-81D3-F5EC7DD1349F}" name="Y-DAY" totalsRowDxfId="23"/>
    <tableColumn id="15" xr3:uid="{0AE5E58E-03C0-4115-8E4D-E6E53404410B}" name="WEEKLY" totalsRowDxfId="22"/>
    <tableColumn id="16" xr3:uid="{7AA265AA-61EC-485A-B69C-F11529292DB3}" name="LOWEST AVAIL" totalsRowDxfId="21"/>
    <tableColumn id="17" xr3:uid="{76BEAFDA-554D-4648-9A88-8ED9F311FCE8}" name="Y" totalsRowDxfId="20"/>
    <tableColumn id="18" xr3:uid="{40C85F29-5A2A-46F2-93F4-A6A2935AC1BB}" name="B" totalsRowDxfId="19"/>
    <tableColumn id="19" xr3:uid="{68D71635-B455-419C-935E-D66E701ECFEB}" name="M" totalsRowDxfId="18"/>
    <tableColumn id="20" xr3:uid="{3042CCAD-6EE7-4666-88B8-422BD7F3D540}" name="H" totalsRowDxfId="17"/>
    <tableColumn id="21" xr3:uid="{A82AF4B2-4E49-4BC7-9345-795A86413312}" name="Q" totalsRowDxfId="16"/>
    <tableColumn id="22" xr3:uid="{C403464E-708C-4FAD-A20D-B2534E220C23}" name="K" totalsRowDxfId="15"/>
    <tableColumn id="23" xr3:uid="{BA61981A-B377-4B51-90C8-B1244266DD22}" name="V" totalsRowDxfId="14"/>
    <tableColumn id="24" xr3:uid="{5F49C2F1-7B05-4763-B4B7-9D2AF6CF4E93}" name="L" totalsRowDxfId="13"/>
    <tableColumn id="25" xr3:uid="{F723218E-B21D-4A1A-AB97-850FB0966E84}" name="G" totalsRowDxfId="12"/>
    <tableColumn id="26" xr3:uid="{ABA56142-7CF7-48BA-ADC7-9D1151A4F200}" name="S" totalsRowDxfId="11"/>
    <tableColumn id="27" xr3:uid="{22EC20EB-1808-427D-B869-2C727BA0DDEE}" name="W" totalsRowDxfId="10"/>
    <tableColumn id="28" xr3:uid="{80944EB1-F0E1-481D-967B-45589347A831}" name="T" totalsRowDxfId="9"/>
    <tableColumn id="29" xr3:uid="{E57EAB51-8992-4EA8-B102-8745A6802356}" name="X" totalsRowDxfId="8"/>
    <tableColumn id="30" xr3:uid="{D1D6E748-6FBC-44EE-A76B-66624AA84583}" name="U" totalsRowDxfId="7"/>
    <tableColumn id="31" xr3:uid="{60DD039D-F90F-4A05-A3D9-C016D0608227}" name="O" totalsRowDxfId="6"/>
    <tableColumn id="32" xr3:uid="{79725E63-ECD4-4372-B0B2-7FC2E9D2DE6A}" name="I" totalsRowDxfId="5"/>
    <tableColumn id="33" xr3:uid="{1BA63196-977E-4C07-BD34-3304514960C0}" name="E" totalsRowDxfId="4"/>
    <tableColumn id="34" xr3:uid="{C55549F6-0D00-400C-9ABD-737309EE3C31}" name="A" totalsRowDxfId="3"/>
    <tableColumn id="35" xr3:uid="{CEACF5E5-25FE-444D-A9F6-91403F451785}" name="P" totalsRowDxfId="2"/>
    <tableColumn id="36" xr3:uid="{CC2C9765-A0FC-48EA-9EF6-16523F9F65AE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2"/>
  <sheetViews>
    <sheetView tabSelected="1" workbookViewId="0"/>
  </sheetViews>
  <sheetFormatPr defaultRowHeight="14.4" outlineLevelCol="1" x14ac:dyDescent="0.3"/>
  <cols>
    <col min="1" max="1" width="9.88671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45981</v>
      </c>
      <c r="C2" t="s">
        <v>37</v>
      </c>
      <c r="D2" t="s">
        <v>38</v>
      </c>
      <c r="E2" t="s">
        <v>39</v>
      </c>
      <c r="F2" t="s">
        <v>40</v>
      </c>
      <c r="G2">
        <v>0.76539999999999997</v>
      </c>
      <c r="H2">
        <v>179</v>
      </c>
      <c r="I2">
        <v>137</v>
      </c>
      <c r="J2">
        <v>28</v>
      </c>
      <c r="K2" t="s">
        <v>41</v>
      </c>
      <c r="L2" s="2">
        <v>45980</v>
      </c>
      <c r="M2">
        <v>1</v>
      </c>
      <c r="N2">
        <v>9</v>
      </c>
      <c r="O2">
        <v>36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16</v>
      </c>
      <c r="Y2">
        <v>28</v>
      </c>
      <c r="Z2">
        <v>36</v>
      </c>
      <c r="AA2">
        <v>29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28</v>
      </c>
      <c r="AJ2">
        <v>0</v>
      </c>
    </row>
    <row r="3" spans="1:36" x14ac:dyDescent="0.3">
      <c r="A3" t="s">
        <v>36</v>
      </c>
      <c r="B3" s="2">
        <v>45981</v>
      </c>
      <c r="C3" t="s">
        <v>43</v>
      </c>
      <c r="D3" t="s">
        <v>44</v>
      </c>
      <c r="E3" t="s">
        <v>39</v>
      </c>
      <c r="F3" t="s">
        <v>40</v>
      </c>
      <c r="G3">
        <v>0.56979999999999997</v>
      </c>
      <c r="H3">
        <v>179</v>
      </c>
      <c r="I3">
        <v>102</v>
      </c>
      <c r="J3">
        <v>2</v>
      </c>
      <c r="K3" t="s">
        <v>41</v>
      </c>
      <c r="L3" s="2">
        <v>45978</v>
      </c>
      <c r="M3">
        <v>0</v>
      </c>
      <c r="N3">
        <v>0</v>
      </c>
      <c r="O3">
        <v>16</v>
      </c>
      <c r="P3" t="s">
        <v>45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4</v>
      </c>
      <c r="X3">
        <v>28</v>
      </c>
      <c r="Y3">
        <v>19</v>
      </c>
      <c r="Z3">
        <v>10</v>
      </c>
      <c r="AA3">
        <v>10</v>
      </c>
      <c r="AB3">
        <v>9</v>
      </c>
      <c r="AC3">
        <v>6</v>
      </c>
      <c r="AD3">
        <v>1</v>
      </c>
      <c r="AE3">
        <v>5</v>
      </c>
      <c r="AF3">
        <v>6</v>
      </c>
      <c r="AG3">
        <v>0</v>
      </c>
      <c r="AH3">
        <v>0</v>
      </c>
      <c r="AI3">
        <v>2</v>
      </c>
      <c r="AJ3">
        <v>2</v>
      </c>
    </row>
    <row r="4" spans="1:36" x14ac:dyDescent="0.3">
      <c r="A4" t="s">
        <v>36</v>
      </c>
      <c r="B4" s="2">
        <v>45981</v>
      </c>
      <c r="C4" t="s">
        <v>46</v>
      </c>
      <c r="D4" t="s">
        <v>47</v>
      </c>
      <c r="E4" t="s">
        <v>39</v>
      </c>
      <c r="F4" t="s">
        <v>40</v>
      </c>
      <c r="G4">
        <v>0.88829999999999998</v>
      </c>
      <c r="H4">
        <v>179</v>
      </c>
      <c r="I4">
        <v>159</v>
      </c>
      <c r="J4">
        <v>72</v>
      </c>
      <c r="K4" t="s">
        <v>41</v>
      </c>
      <c r="L4" s="2">
        <v>45980</v>
      </c>
      <c r="M4">
        <v>4</v>
      </c>
      <c r="N4">
        <v>5</v>
      </c>
      <c r="O4">
        <v>15</v>
      </c>
      <c r="P4" t="s">
        <v>45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11</v>
      </c>
      <c r="Y4">
        <v>21</v>
      </c>
      <c r="Z4">
        <v>23</v>
      </c>
      <c r="AA4">
        <v>31</v>
      </c>
      <c r="AB4">
        <v>0</v>
      </c>
      <c r="AC4">
        <v>0</v>
      </c>
      <c r="AD4">
        <v>0</v>
      </c>
      <c r="AE4">
        <v>0</v>
      </c>
      <c r="AF4">
        <v>0</v>
      </c>
      <c r="AG4">
        <v>69</v>
      </c>
      <c r="AH4">
        <v>0</v>
      </c>
      <c r="AI4">
        <v>1</v>
      </c>
      <c r="AJ4">
        <v>2</v>
      </c>
    </row>
    <row r="5" spans="1:36" x14ac:dyDescent="0.3">
      <c r="A5" t="s">
        <v>36</v>
      </c>
      <c r="B5" s="2">
        <v>45981</v>
      </c>
      <c r="C5" t="s">
        <v>48</v>
      </c>
      <c r="D5" t="s">
        <v>49</v>
      </c>
      <c r="E5" t="s">
        <v>50</v>
      </c>
      <c r="F5" t="s">
        <v>40</v>
      </c>
      <c r="G5">
        <v>1</v>
      </c>
      <c r="H5">
        <v>179</v>
      </c>
      <c r="I5">
        <v>179</v>
      </c>
      <c r="J5">
        <v>134</v>
      </c>
      <c r="K5" t="s">
        <v>41</v>
      </c>
      <c r="L5" s="2">
        <v>45979</v>
      </c>
      <c r="M5">
        <v>0</v>
      </c>
      <c r="N5">
        <v>1</v>
      </c>
      <c r="O5">
        <v>7</v>
      </c>
      <c r="P5" t="s">
        <v>51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5</v>
      </c>
      <c r="X5">
        <v>15</v>
      </c>
      <c r="Y5">
        <v>3</v>
      </c>
      <c r="Z5">
        <v>4</v>
      </c>
      <c r="AA5">
        <v>0</v>
      </c>
      <c r="AB5">
        <v>0</v>
      </c>
      <c r="AC5">
        <v>2</v>
      </c>
      <c r="AD5">
        <v>5</v>
      </c>
      <c r="AE5">
        <v>5</v>
      </c>
      <c r="AF5">
        <v>5</v>
      </c>
      <c r="AG5">
        <v>0</v>
      </c>
      <c r="AH5">
        <v>0</v>
      </c>
      <c r="AI5">
        <v>134</v>
      </c>
      <c r="AJ5">
        <v>0</v>
      </c>
    </row>
    <row r="6" spans="1:36" x14ac:dyDescent="0.3">
      <c r="A6" t="s">
        <v>36</v>
      </c>
      <c r="B6" s="2">
        <v>45981</v>
      </c>
      <c r="C6" t="s">
        <v>52</v>
      </c>
      <c r="D6" t="s">
        <v>53</v>
      </c>
      <c r="E6" t="s">
        <v>39</v>
      </c>
      <c r="F6" t="s">
        <v>40</v>
      </c>
      <c r="G6">
        <v>0.92510000000000003</v>
      </c>
      <c r="H6">
        <v>187</v>
      </c>
      <c r="I6">
        <v>173</v>
      </c>
      <c r="J6">
        <v>60</v>
      </c>
      <c r="K6" t="s">
        <v>41</v>
      </c>
      <c r="L6" s="2">
        <v>45979</v>
      </c>
      <c r="M6">
        <v>0</v>
      </c>
      <c r="N6">
        <v>4</v>
      </c>
      <c r="O6">
        <v>15</v>
      </c>
      <c r="P6" t="s">
        <v>54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13</v>
      </c>
      <c r="Y6">
        <v>42</v>
      </c>
      <c r="Z6">
        <v>15</v>
      </c>
      <c r="AA6">
        <v>13</v>
      </c>
      <c r="AB6">
        <v>10</v>
      </c>
      <c r="AC6">
        <v>5</v>
      </c>
      <c r="AD6">
        <v>5</v>
      </c>
      <c r="AE6">
        <v>5</v>
      </c>
      <c r="AF6">
        <v>5</v>
      </c>
      <c r="AG6">
        <v>0</v>
      </c>
      <c r="AH6">
        <v>0</v>
      </c>
      <c r="AI6">
        <v>60</v>
      </c>
      <c r="AJ6">
        <v>0</v>
      </c>
    </row>
    <row r="7" spans="1:36" x14ac:dyDescent="0.3">
      <c r="A7" t="s">
        <v>36</v>
      </c>
      <c r="B7" s="2">
        <v>45981</v>
      </c>
      <c r="C7" t="s">
        <v>55</v>
      </c>
      <c r="D7" t="s">
        <v>56</v>
      </c>
      <c r="E7" t="s">
        <v>39</v>
      </c>
      <c r="F7" t="s">
        <v>40</v>
      </c>
      <c r="G7">
        <v>0.82120000000000004</v>
      </c>
      <c r="H7">
        <v>179</v>
      </c>
      <c r="I7">
        <v>147</v>
      </c>
      <c r="J7">
        <v>104</v>
      </c>
      <c r="K7" t="s">
        <v>41</v>
      </c>
      <c r="L7" s="2">
        <v>45980</v>
      </c>
      <c r="M7">
        <v>3</v>
      </c>
      <c r="N7">
        <v>5</v>
      </c>
      <c r="O7">
        <v>16</v>
      </c>
      <c r="P7" t="s">
        <v>57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10</v>
      </c>
      <c r="Y7">
        <v>11</v>
      </c>
      <c r="Z7">
        <v>16</v>
      </c>
      <c r="AA7">
        <v>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104</v>
      </c>
      <c r="AJ7">
        <v>0</v>
      </c>
    </row>
    <row r="8" spans="1:36" x14ac:dyDescent="0.3">
      <c r="A8" t="s">
        <v>36</v>
      </c>
      <c r="B8" s="2">
        <v>45981</v>
      </c>
      <c r="C8" t="s">
        <v>58</v>
      </c>
      <c r="D8" t="s">
        <v>59</v>
      </c>
      <c r="E8" t="s">
        <v>39</v>
      </c>
      <c r="F8" t="s">
        <v>40</v>
      </c>
      <c r="G8">
        <v>0.96089999999999998</v>
      </c>
      <c r="H8">
        <v>179</v>
      </c>
      <c r="I8">
        <v>172</v>
      </c>
      <c r="J8">
        <v>98</v>
      </c>
      <c r="K8" t="s">
        <v>41</v>
      </c>
      <c r="L8" s="2">
        <v>45977</v>
      </c>
      <c r="M8">
        <v>0</v>
      </c>
      <c r="N8">
        <v>0</v>
      </c>
      <c r="O8">
        <v>9</v>
      </c>
      <c r="P8" t="s">
        <v>60</v>
      </c>
      <c r="Q8">
        <v>0</v>
      </c>
      <c r="R8">
        <v>0</v>
      </c>
      <c r="S8">
        <v>0</v>
      </c>
      <c r="T8">
        <v>0</v>
      </c>
      <c r="U8">
        <v>1</v>
      </c>
      <c r="V8">
        <v>6</v>
      </c>
      <c r="W8">
        <v>5</v>
      </c>
      <c r="X8">
        <v>16</v>
      </c>
      <c r="Y8">
        <v>26</v>
      </c>
      <c r="Z8">
        <v>16</v>
      </c>
      <c r="AA8">
        <v>4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97</v>
      </c>
      <c r="AJ8">
        <v>0</v>
      </c>
    </row>
    <row r="9" spans="1:36" x14ac:dyDescent="0.3">
      <c r="A9" t="s">
        <v>36</v>
      </c>
      <c r="B9" s="2">
        <v>45981</v>
      </c>
      <c r="C9" t="s">
        <v>61</v>
      </c>
      <c r="D9" t="s">
        <v>62</v>
      </c>
      <c r="E9" t="s">
        <v>39</v>
      </c>
      <c r="F9" t="s">
        <v>40</v>
      </c>
      <c r="G9">
        <v>0.96650000000000003</v>
      </c>
      <c r="H9">
        <v>179</v>
      </c>
      <c r="I9">
        <v>173</v>
      </c>
      <c r="J9">
        <v>90</v>
      </c>
      <c r="K9" t="s">
        <v>41</v>
      </c>
      <c r="L9" s="2">
        <v>45978</v>
      </c>
      <c r="M9">
        <v>0</v>
      </c>
      <c r="N9">
        <v>0</v>
      </c>
      <c r="O9">
        <v>3</v>
      </c>
      <c r="P9" t="s">
        <v>63</v>
      </c>
      <c r="Q9">
        <v>0</v>
      </c>
      <c r="R9">
        <v>0</v>
      </c>
      <c r="S9">
        <v>6</v>
      </c>
      <c r="T9">
        <v>0</v>
      </c>
      <c r="U9">
        <v>4</v>
      </c>
      <c r="V9">
        <v>4</v>
      </c>
      <c r="W9">
        <v>14</v>
      </c>
      <c r="X9">
        <v>16</v>
      </c>
      <c r="Y9">
        <v>16</v>
      </c>
      <c r="Z9">
        <v>16</v>
      </c>
      <c r="AA9">
        <v>5</v>
      </c>
      <c r="AB9">
        <v>0</v>
      </c>
      <c r="AC9">
        <v>0</v>
      </c>
      <c r="AD9">
        <v>0</v>
      </c>
      <c r="AE9">
        <v>0</v>
      </c>
      <c r="AF9">
        <v>2</v>
      </c>
      <c r="AG9">
        <v>0</v>
      </c>
      <c r="AH9">
        <v>0</v>
      </c>
      <c r="AI9">
        <v>90</v>
      </c>
      <c r="AJ9">
        <v>0</v>
      </c>
    </row>
    <row r="10" spans="1:36" x14ac:dyDescent="0.3">
      <c r="A10" t="s">
        <v>64</v>
      </c>
      <c r="B10" s="2">
        <v>45982</v>
      </c>
      <c r="C10" t="s">
        <v>37</v>
      </c>
      <c r="D10" t="s">
        <v>53</v>
      </c>
      <c r="E10" t="s">
        <v>39</v>
      </c>
      <c r="F10" t="s">
        <v>40</v>
      </c>
      <c r="G10">
        <v>0.50839999999999996</v>
      </c>
      <c r="H10">
        <v>179</v>
      </c>
      <c r="I10">
        <v>91</v>
      </c>
      <c r="J10">
        <v>0</v>
      </c>
      <c r="K10" t="s">
        <v>41</v>
      </c>
      <c r="L10" s="2">
        <v>45980</v>
      </c>
      <c r="M10">
        <v>1</v>
      </c>
      <c r="N10">
        <v>7</v>
      </c>
      <c r="O10">
        <v>24</v>
      </c>
      <c r="P10" t="s">
        <v>65</v>
      </c>
      <c r="Q10">
        <v>0</v>
      </c>
      <c r="R10">
        <v>0</v>
      </c>
      <c r="S10">
        <v>0</v>
      </c>
      <c r="T10">
        <v>0</v>
      </c>
      <c r="U10">
        <v>0</v>
      </c>
      <c r="V10">
        <v>3</v>
      </c>
      <c r="W10">
        <v>30</v>
      </c>
      <c r="X10">
        <v>20</v>
      </c>
      <c r="Y10">
        <v>17</v>
      </c>
      <c r="Z10">
        <v>16</v>
      </c>
      <c r="AA10">
        <v>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 t="s">
        <v>64</v>
      </c>
      <c r="B11" s="2">
        <v>45982</v>
      </c>
      <c r="C11" t="s">
        <v>48</v>
      </c>
      <c r="D11" t="s">
        <v>66</v>
      </c>
      <c r="E11" t="s">
        <v>50</v>
      </c>
      <c r="F11" t="s">
        <v>40</v>
      </c>
      <c r="G11">
        <v>0.98880000000000001</v>
      </c>
      <c r="H11">
        <v>179</v>
      </c>
      <c r="I11">
        <v>177</v>
      </c>
      <c r="J11">
        <v>83</v>
      </c>
      <c r="K11" t="s">
        <v>41</v>
      </c>
      <c r="L11" s="2">
        <v>45979</v>
      </c>
      <c r="M11">
        <v>0</v>
      </c>
      <c r="N11">
        <v>3</v>
      </c>
      <c r="O11">
        <v>10</v>
      </c>
      <c r="P11" t="s">
        <v>67</v>
      </c>
      <c r="Q11">
        <v>0</v>
      </c>
      <c r="R11">
        <v>0</v>
      </c>
      <c r="S11">
        <v>0</v>
      </c>
      <c r="T11">
        <v>0</v>
      </c>
      <c r="U11">
        <v>5</v>
      </c>
      <c r="V11">
        <v>6</v>
      </c>
      <c r="W11">
        <v>0</v>
      </c>
      <c r="X11">
        <v>3</v>
      </c>
      <c r="Y11">
        <v>18</v>
      </c>
      <c r="Z11">
        <v>13</v>
      </c>
      <c r="AA11">
        <v>14</v>
      </c>
      <c r="AB11">
        <v>17</v>
      </c>
      <c r="AC11">
        <v>17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84</v>
      </c>
      <c r="AJ11">
        <v>0</v>
      </c>
    </row>
    <row r="12" spans="1:36" x14ac:dyDescent="0.3">
      <c r="A12" t="s">
        <v>64</v>
      </c>
      <c r="B12" s="2">
        <v>45982</v>
      </c>
      <c r="C12" t="s">
        <v>68</v>
      </c>
      <c r="D12" t="s">
        <v>69</v>
      </c>
      <c r="E12" t="s">
        <v>39</v>
      </c>
      <c r="F12" t="s">
        <v>40</v>
      </c>
      <c r="G12">
        <v>1.0172000000000001</v>
      </c>
      <c r="H12">
        <v>174</v>
      </c>
      <c r="I12">
        <v>177</v>
      </c>
      <c r="J12">
        <v>92</v>
      </c>
      <c r="K12" t="s">
        <v>41</v>
      </c>
      <c r="L12" s="2">
        <v>45979</v>
      </c>
      <c r="M12">
        <v>0</v>
      </c>
      <c r="N12">
        <v>1</v>
      </c>
      <c r="O12">
        <v>7</v>
      </c>
      <c r="P12" t="s">
        <v>51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</v>
      </c>
      <c r="X12">
        <v>0</v>
      </c>
      <c r="Y12">
        <v>1</v>
      </c>
      <c r="Z12">
        <v>17</v>
      </c>
      <c r="AA12">
        <v>10</v>
      </c>
      <c r="AB12">
        <v>10</v>
      </c>
      <c r="AC12">
        <v>10</v>
      </c>
      <c r="AD12">
        <v>10</v>
      </c>
      <c r="AE12">
        <v>10</v>
      </c>
      <c r="AF12">
        <v>10</v>
      </c>
      <c r="AG12">
        <v>0</v>
      </c>
      <c r="AH12">
        <v>0</v>
      </c>
      <c r="AI12">
        <v>92</v>
      </c>
      <c r="AJ12">
        <v>0</v>
      </c>
    </row>
    <row r="13" spans="1:36" x14ac:dyDescent="0.3">
      <c r="A13" t="s">
        <v>64</v>
      </c>
      <c r="B13" s="2">
        <v>45982</v>
      </c>
      <c r="C13" t="s">
        <v>52</v>
      </c>
      <c r="D13" t="s">
        <v>70</v>
      </c>
      <c r="E13" t="s">
        <v>39</v>
      </c>
      <c r="F13" t="s">
        <v>40</v>
      </c>
      <c r="G13">
        <v>0.5363</v>
      </c>
      <c r="H13">
        <v>179</v>
      </c>
      <c r="I13">
        <v>96</v>
      </c>
      <c r="J13">
        <v>0</v>
      </c>
      <c r="K13" t="s">
        <v>41</v>
      </c>
      <c r="L13" s="2">
        <v>45979</v>
      </c>
      <c r="M13">
        <v>0</v>
      </c>
      <c r="N13">
        <v>3</v>
      </c>
      <c r="O13">
        <v>15</v>
      </c>
      <c r="P13" t="s">
        <v>71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22</v>
      </c>
      <c r="X13">
        <v>16</v>
      </c>
      <c r="Y13">
        <v>22</v>
      </c>
      <c r="Z13">
        <v>31</v>
      </c>
      <c r="AA13">
        <v>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3">
      <c r="A14" t="s">
        <v>64</v>
      </c>
      <c r="B14" s="2">
        <v>45982</v>
      </c>
      <c r="C14" t="s">
        <v>55</v>
      </c>
      <c r="D14" t="s">
        <v>72</v>
      </c>
      <c r="E14" t="s">
        <v>39</v>
      </c>
      <c r="F14" t="s">
        <v>40</v>
      </c>
      <c r="G14">
        <v>0.5978</v>
      </c>
      <c r="H14">
        <v>179</v>
      </c>
      <c r="I14">
        <v>107</v>
      </c>
      <c r="J14">
        <v>1</v>
      </c>
      <c r="K14" t="s">
        <v>41</v>
      </c>
      <c r="L14" s="2">
        <v>45978</v>
      </c>
      <c r="M14">
        <v>0</v>
      </c>
      <c r="N14">
        <v>0</v>
      </c>
      <c r="O14">
        <v>21</v>
      </c>
      <c r="P14" t="s">
        <v>60</v>
      </c>
      <c r="Q14">
        <v>0</v>
      </c>
      <c r="R14">
        <v>0</v>
      </c>
      <c r="S14">
        <v>0</v>
      </c>
      <c r="T14">
        <v>0</v>
      </c>
      <c r="U14">
        <v>0</v>
      </c>
      <c r="V14">
        <v>6</v>
      </c>
      <c r="W14">
        <v>30</v>
      </c>
      <c r="X14">
        <v>15</v>
      </c>
      <c r="Y14">
        <v>17</v>
      </c>
      <c r="Z14">
        <v>11</v>
      </c>
      <c r="AA14">
        <v>5</v>
      </c>
      <c r="AB14">
        <v>2</v>
      </c>
      <c r="AC14">
        <v>5</v>
      </c>
      <c r="AD14">
        <v>6</v>
      </c>
      <c r="AE14">
        <v>4</v>
      </c>
      <c r="AF14">
        <v>5</v>
      </c>
      <c r="AG14">
        <v>0</v>
      </c>
      <c r="AH14">
        <v>0</v>
      </c>
      <c r="AI14">
        <v>1</v>
      </c>
      <c r="AJ14">
        <v>0</v>
      </c>
    </row>
    <row r="15" spans="1:36" x14ac:dyDescent="0.3">
      <c r="A15" t="s">
        <v>64</v>
      </c>
      <c r="B15" s="2">
        <v>45982</v>
      </c>
      <c r="C15" t="s">
        <v>58</v>
      </c>
      <c r="D15" t="s">
        <v>73</v>
      </c>
      <c r="E15" t="s">
        <v>39</v>
      </c>
      <c r="F15" t="s">
        <v>40</v>
      </c>
      <c r="G15">
        <v>0.54190000000000005</v>
      </c>
      <c r="H15">
        <v>179</v>
      </c>
      <c r="I15">
        <v>97</v>
      </c>
      <c r="J15">
        <v>0</v>
      </c>
      <c r="K15" t="s">
        <v>41</v>
      </c>
      <c r="L15" s="2">
        <v>45976</v>
      </c>
      <c r="M15">
        <v>0</v>
      </c>
      <c r="N15">
        <v>0</v>
      </c>
      <c r="O15">
        <v>7</v>
      </c>
      <c r="P15" t="s">
        <v>74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20</v>
      </c>
      <c r="X15">
        <v>16</v>
      </c>
      <c r="Y15">
        <v>24</v>
      </c>
      <c r="Z15">
        <v>32</v>
      </c>
      <c r="AA15">
        <v>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3">
      <c r="A16" t="s">
        <v>64</v>
      </c>
      <c r="B16" s="2">
        <v>45982</v>
      </c>
      <c r="C16" t="s">
        <v>61</v>
      </c>
      <c r="D16" t="s">
        <v>75</v>
      </c>
      <c r="E16" t="s">
        <v>39</v>
      </c>
      <c r="F16" t="s">
        <v>40</v>
      </c>
      <c r="G16">
        <v>0.53069999999999995</v>
      </c>
      <c r="H16">
        <v>179</v>
      </c>
      <c r="I16">
        <v>95</v>
      </c>
      <c r="J16">
        <v>0</v>
      </c>
      <c r="K16" t="s">
        <v>41</v>
      </c>
      <c r="L16" s="2">
        <v>45979</v>
      </c>
      <c r="M16">
        <v>0</v>
      </c>
      <c r="N16">
        <v>1</v>
      </c>
      <c r="O16">
        <v>19</v>
      </c>
      <c r="P16" t="s">
        <v>76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16</v>
      </c>
      <c r="X16">
        <v>44</v>
      </c>
      <c r="Y16">
        <v>17</v>
      </c>
      <c r="Z16">
        <v>13</v>
      </c>
      <c r="AA16">
        <v>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3">
      <c r="A17" t="s">
        <v>77</v>
      </c>
      <c r="B17" s="2">
        <v>45983</v>
      </c>
      <c r="C17" t="s">
        <v>46</v>
      </c>
      <c r="D17" t="s">
        <v>78</v>
      </c>
      <c r="E17" t="s">
        <v>39</v>
      </c>
      <c r="F17" t="s">
        <v>40</v>
      </c>
      <c r="G17">
        <v>1</v>
      </c>
      <c r="H17">
        <v>179</v>
      </c>
      <c r="I17">
        <v>179</v>
      </c>
      <c r="J17">
        <v>50</v>
      </c>
      <c r="K17" t="s">
        <v>41</v>
      </c>
      <c r="L17" s="2">
        <v>45971</v>
      </c>
      <c r="M17">
        <v>0</v>
      </c>
      <c r="N17">
        <v>0</v>
      </c>
      <c r="O17">
        <v>0</v>
      </c>
      <c r="P17" t="s">
        <v>51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</v>
      </c>
      <c r="X17">
        <v>0</v>
      </c>
      <c r="Y17">
        <v>16</v>
      </c>
      <c r="Z17">
        <v>17</v>
      </c>
      <c r="AA17">
        <v>22</v>
      </c>
      <c r="AB17">
        <v>10</v>
      </c>
      <c r="AC17">
        <v>10</v>
      </c>
      <c r="AD17">
        <v>17</v>
      </c>
      <c r="AE17">
        <v>17</v>
      </c>
      <c r="AF17">
        <v>17</v>
      </c>
      <c r="AG17">
        <v>0</v>
      </c>
      <c r="AH17">
        <v>0</v>
      </c>
      <c r="AI17">
        <v>50</v>
      </c>
      <c r="AJ17">
        <v>0</v>
      </c>
    </row>
    <row r="18" spans="1:36" x14ac:dyDescent="0.3">
      <c r="A18" t="s">
        <v>77</v>
      </c>
      <c r="B18" s="2">
        <v>45983</v>
      </c>
      <c r="C18" t="s">
        <v>48</v>
      </c>
      <c r="D18" t="s">
        <v>79</v>
      </c>
      <c r="E18" t="s">
        <v>50</v>
      </c>
      <c r="F18" t="s">
        <v>40</v>
      </c>
      <c r="G18">
        <v>0.98880000000000001</v>
      </c>
      <c r="H18">
        <v>179</v>
      </c>
      <c r="I18">
        <v>177</v>
      </c>
      <c r="J18">
        <v>136</v>
      </c>
      <c r="K18" t="s">
        <v>41</v>
      </c>
      <c r="L18" s="2">
        <v>45979</v>
      </c>
      <c r="M18">
        <v>0</v>
      </c>
      <c r="N18">
        <v>3</v>
      </c>
      <c r="O18">
        <v>6</v>
      </c>
      <c r="P18" t="s">
        <v>80</v>
      </c>
      <c r="Q18">
        <v>0</v>
      </c>
      <c r="R18">
        <v>0</v>
      </c>
      <c r="S18">
        <v>0</v>
      </c>
      <c r="T18">
        <v>0</v>
      </c>
      <c r="U18">
        <v>0</v>
      </c>
      <c r="V18">
        <v>2</v>
      </c>
      <c r="W18">
        <v>4</v>
      </c>
      <c r="X18">
        <v>14</v>
      </c>
      <c r="Y18">
        <v>0</v>
      </c>
      <c r="Z18">
        <v>7</v>
      </c>
      <c r="AA18">
        <v>0</v>
      </c>
      <c r="AB18">
        <v>0</v>
      </c>
      <c r="AC18">
        <v>14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136</v>
      </c>
      <c r="AJ18">
        <v>0</v>
      </c>
    </row>
    <row r="19" spans="1:36" x14ac:dyDescent="0.3">
      <c r="A19" t="s">
        <v>77</v>
      </c>
      <c r="B19" s="2">
        <v>45983</v>
      </c>
      <c r="C19" t="s">
        <v>81</v>
      </c>
      <c r="D19" t="s">
        <v>73</v>
      </c>
      <c r="E19" t="s">
        <v>50</v>
      </c>
      <c r="F19" t="s">
        <v>40</v>
      </c>
      <c r="G19">
        <v>0.99439999999999995</v>
      </c>
      <c r="H19">
        <v>179</v>
      </c>
      <c r="I19">
        <v>178</v>
      </c>
      <c r="J19">
        <v>118</v>
      </c>
      <c r="K19" t="s">
        <v>41</v>
      </c>
      <c r="L19" s="2">
        <v>45978</v>
      </c>
      <c r="M19">
        <v>0</v>
      </c>
      <c r="N19">
        <v>0</v>
      </c>
      <c r="O19">
        <v>10</v>
      </c>
      <c r="P19" t="s">
        <v>82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</v>
      </c>
      <c r="Y19">
        <v>0</v>
      </c>
      <c r="Z19">
        <v>16</v>
      </c>
      <c r="AA19">
        <v>2</v>
      </c>
      <c r="AB19">
        <v>15</v>
      </c>
      <c r="AC19">
        <v>17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118</v>
      </c>
      <c r="AJ19">
        <v>0</v>
      </c>
    </row>
    <row r="20" spans="1:36" x14ac:dyDescent="0.3">
      <c r="A20" t="s">
        <v>77</v>
      </c>
      <c r="B20" s="2">
        <v>45983</v>
      </c>
      <c r="C20" t="s">
        <v>55</v>
      </c>
      <c r="D20" t="s">
        <v>56</v>
      </c>
      <c r="E20" t="s">
        <v>39</v>
      </c>
      <c r="F20" t="s">
        <v>40</v>
      </c>
      <c r="G20">
        <v>1</v>
      </c>
      <c r="H20">
        <v>179</v>
      </c>
      <c r="I20">
        <v>179</v>
      </c>
      <c r="J20">
        <v>134</v>
      </c>
      <c r="K20" t="s">
        <v>41</v>
      </c>
      <c r="L20" s="2">
        <v>45979</v>
      </c>
      <c r="M20">
        <v>0</v>
      </c>
      <c r="N20">
        <v>4</v>
      </c>
      <c r="O20">
        <v>6</v>
      </c>
      <c r="P20" t="s">
        <v>51</v>
      </c>
      <c r="Q20">
        <v>0</v>
      </c>
      <c r="R20">
        <v>0</v>
      </c>
      <c r="S20">
        <v>0</v>
      </c>
      <c r="T20">
        <v>0</v>
      </c>
      <c r="U20">
        <v>0</v>
      </c>
      <c r="V20">
        <v>5</v>
      </c>
      <c r="W20">
        <v>0</v>
      </c>
      <c r="X20">
        <v>6</v>
      </c>
      <c r="Y20">
        <v>0</v>
      </c>
      <c r="Z20">
        <v>24</v>
      </c>
      <c r="AA20">
        <v>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135</v>
      </c>
      <c r="AJ20">
        <v>4</v>
      </c>
    </row>
    <row r="21" spans="1:36" x14ac:dyDescent="0.3">
      <c r="A21" t="s">
        <v>77</v>
      </c>
      <c r="B21" s="2">
        <v>45983</v>
      </c>
      <c r="C21" t="s">
        <v>58</v>
      </c>
      <c r="D21" t="s">
        <v>83</v>
      </c>
      <c r="E21" t="s">
        <v>39</v>
      </c>
      <c r="F21" t="s">
        <v>40</v>
      </c>
      <c r="G21">
        <v>1</v>
      </c>
      <c r="H21">
        <v>179</v>
      </c>
      <c r="I21">
        <v>179</v>
      </c>
      <c r="J21">
        <v>127</v>
      </c>
      <c r="K21" t="s">
        <v>41</v>
      </c>
      <c r="L21" s="2">
        <v>45980</v>
      </c>
      <c r="M21">
        <v>1</v>
      </c>
      <c r="N21">
        <v>0</v>
      </c>
      <c r="O21">
        <v>4</v>
      </c>
      <c r="P21" t="s">
        <v>51</v>
      </c>
      <c r="Q21">
        <v>0</v>
      </c>
      <c r="R21">
        <v>0</v>
      </c>
      <c r="S21">
        <v>0</v>
      </c>
      <c r="T21">
        <v>0</v>
      </c>
      <c r="U21">
        <v>0</v>
      </c>
      <c r="V21">
        <v>3</v>
      </c>
      <c r="W21">
        <v>0</v>
      </c>
      <c r="X21">
        <v>1</v>
      </c>
      <c r="Y21">
        <v>3</v>
      </c>
      <c r="Z21">
        <v>3</v>
      </c>
      <c r="AA21">
        <v>4</v>
      </c>
      <c r="AB21">
        <v>10</v>
      </c>
      <c r="AC21">
        <v>12</v>
      </c>
      <c r="AD21">
        <v>5</v>
      </c>
      <c r="AE21">
        <v>6</v>
      </c>
      <c r="AF21">
        <v>4</v>
      </c>
      <c r="AG21">
        <v>45</v>
      </c>
      <c r="AH21">
        <v>0</v>
      </c>
      <c r="AI21">
        <v>82</v>
      </c>
      <c r="AJ21">
        <v>1</v>
      </c>
    </row>
    <row r="22" spans="1:36" ht="18" x14ac:dyDescent="0.35">
      <c r="A22" s="3" t="s">
        <v>84</v>
      </c>
      <c r="B22" s="4"/>
      <c r="C22" s="3">
        <f>SUBTOTAL(103,LF_ALL_ROUTES[Flt])</f>
        <v>20</v>
      </c>
      <c r="D22" s="3"/>
      <c r="E22" s="3">
        <f>SUBTOTAL(103,LF_ALL_ROUTES[Brd-Off])</f>
        <v>20</v>
      </c>
      <c r="F22" s="3"/>
      <c r="G22" s="5">
        <f>SUBTOTAL(101,LF_ALL_ROUTES[LF%])</f>
        <v>0.83007500000000012</v>
      </c>
      <c r="H22" s="3"/>
      <c r="I22" s="3"/>
      <c r="J22" s="3"/>
      <c r="K22" s="3"/>
      <c r="L22" s="4"/>
      <c r="M22" s="3"/>
      <c r="N22" s="3"/>
      <c r="O22" s="3"/>
      <c r="P22" s="3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>
        <f>SUBTOTAL(109,LF_ALL_ROUTES[N])</f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2025-11-19T08:00:24Z</dcterms:created>
  <dcterms:modified xsi:type="dcterms:W3CDTF">2025-11-19T08:00:24Z</dcterms:modified>
</cp:coreProperties>
</file>