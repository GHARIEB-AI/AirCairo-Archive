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8DD781C-6C04-47E9-B8B1-F250CC6E75A6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MED-CAI LF LEGACY" sheetId="1" r:id="rId1"/>
    <sheet name="JED-CAI LF LEGACY" sheetId="2" r:id="rId2"/>
    <sheet name="RUH-CAI LF LEGACY" sheetId="3" r:id="rId3"/>
    <sheet name="DMM-CAI LF LEGACY" sheetId="4" r:id="rId4"/>
    <sheet name="KSA_TO_EGY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4" l="1"/>
  <c r="E6" i="4"/>
  <c r="G6" i="4"/>
  <c r="H6" i="4"/>
  <c r="I6" i="4"/>
  <c r="J6" i="4"/>
  <c r="M6" i="4"/>
  <c r="N6" i="4"/>
  <c r="O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C11" i="3"/>
  <c r="E11" i="3"/>
  <c r="G11" i="3"/>
  <c r="H11" i="3"/>
  <c r="I11" i="3"/>
  <c r="J11" i="3"/>
  <c r="M11" i="3"/>
  <c r="N11" i="3"/>
  <c r="O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C29" i="2"/>
  <c r="E29" i="2"/>
  <c r="G29" i="2"/>
  <c r="H29" i="2"/>
  <c r="I29" i="2"/>
  <c r="J29" i="2"/>
  <c r="M29" i="2"/>
  <c r="N29" i="2"/>
  <c r="O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C8" i="1"/>
  <c r="E8" i="1"/>
  <c r="G8" i="1"/>
  <c r="H8" i="1"/>
  <c r="I8" i="1"/>
  <c r="J8" i="1"/>
  <c r="M8" i="1"/>
  <c r="N8" i="1"/>
  <c r="O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</calcChain>
</file>

<file path=xl/sharedStrings.xml><?xml version="1.0" encoding="utf-8"?>
<sst xmlns="http://schemas.openxmlformats.org/spreadsheetml/2006/main" count="1131" uniqueCount="222">
  <si>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</si>
  <si>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</si>
  <si>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</si>
  <si>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</si>
  <si>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</si>
  <si>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</si>
  <si>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</si>
  <si>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</si>
  <si>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</si>
  <si>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</si>
  <si>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</si>
  <si>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</si>
  <si>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</si>
  <si>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</si>
  <si>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</si>
  <si>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</si>
  <si>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</si>
  <si>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</si>
  <si>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</si>
  <si>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</si>
  <si>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</si>
  <si>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</si>
  <si>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</si>
  <si>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</si>
  <si>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</si>
  <si>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</si>
  <si>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</si>
  <si>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</si>
  <si>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</si>
  <si>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</si>
  <si>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</si>
  <si>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</si>
  <si>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</si>
  <si>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</si>
  <si>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</si>
  <si>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</si>
  <si>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</si>
  <si>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SM496</t>
  </si>
  <si>
    <t>01:10</t>
  </si>
  <si>
    <t>MED-CAI</t>
  </si>
  <si>
    <t>320</t>
  </si>
  <si>
    <t>UPCOMING</t>
  </si>
  <si>
    <t>2025-11-13 00:00:00</t>
  </si>
  <si>
    <t>K6</t>
  </si>
  <si>
    <t>S6</t>
  </si>
  <si>
    <t>X9</t>
  </si>
  <si>
    <t>U8</t>
  </si>
  <si>
    <t>O8</t>
  </si>
  <si>
    <t>I17</t>
  </si>
  <si>
    <t>E29</t>
  </si>
  <si>
    <t>P90</t>
  </si>
  <si>
    <t>N1</t>
  </si>
  <si>
    <t>SM488</t>
  </si>
  <si>
    <t>06:40</t>
  </si>
  <si>
    <t>2025-11-20 00:00:00</t>
  </si>
  <si>
    <t>V9</t>
  </si>
  <si>
    <t>L10</t>
  </si>
  <si>
    <t>G10</t>
  </si>
  <si>
    <t>S10</t>
  </si>
  <si>
    <t>W10</t>
  </si>
  <si>
    <t>T10</t>
  </si>
  <si>
    <t>X10</t>
  </si>
  <si>
    <t>U10</t>
  </si>
  <si>
    <t>O10</t>
  </si>
  <si>
    <t>I10</t>
  </si>
  <si>
    <t>P41</t>
  </si>
  <si>
    <t>SM494</t>
  </si>
  <si>
    <t>23:30</t>
  </si>
  <si>
    <t>2025-11-10 00:00:00</t>
  </si>
  <si>
    <t>CLOSED</t>
  </si>
  <si>
    <t>S5</t>
  </si>
  <si>
    <t>O9</t>
  </si>
  <si>
    <t>E46</t>
  </si>
  <si>
    <t>N2</t>
  </si>
  <si>
    <t>THURSDAY</t>
  </si>
  <si>
    <t>12:55</t>
  </si>
  <si>
    <t>Y3</t>
  </si>
  <si>
    <t>S4</t>
  </si>
  <si>
    <t>U1</t>
  </si>
  <si>
    <t>P135</t>
  </si>
  <si>
    <t>SATURDAY</t>
  </si>
  <si>
    <t>09:30</t>
  </si>
  <si>
    <t>2025-11-19 00:00:00</t>
  </si>
  <si>
    <t>S1</t>
  </si>
  <si>
    <t>X1</t>
  </si>
  <si>
    <t>P137</t>
  </si>
  <si>
    <t>SUNDAY</t>
  </si>
  <si>
    <t>21:40</t>
  </si>
  <si>
    <t>G3</t>
  </si>
  <si>
    <t>W4</t>
  </si>
  <si>
    <t>T4</t>
  </si>
  <si>
    <t>X4</t>
  </si>
  <si>
    <t>U6</t>
  </si>
  <si>
    <t>O4</t>
  </si>
  <si>
    <t>I4</t>
  </si>
  <si>
    <t>P145</t>
  </si>
  <si>
    <t>MONDAY</t>
  </si>
  <si>
    <t>SM480</t>
  </si>
  <si>
    <t>00:10</t>
  </si>
  <si>
    <t>JED-CAI</t>
  </si>
  <si>
    <t>2025-11-16 00:00:00</t>
  </si>
  <si>
    <t>W8</t>
  </si>
  <si>
    <t>U3</t>
  </si>
  <si>
    <t>P132</t>
  </si>
  <si>
    <t>SM476</t>
  </si>
  <si>
    <t>10:10</t>
  </si>
  <si>
    <t>W7</t>
  </si>
  <si>
    <t>S2</t>
  </si>
  <si>
    <t>O19</t>
  </si>
  <si>
    <t>SM478</t>
  </si>
  <si>
    <t>14:45</t>
  </si>
  <si>
    <t>2025-11-22 00:00:00</t>
  </si>
  <si>
    <t>X2</t>
  </si>
  <si>
    <t>Y1</t>
  </si>
  <si>
    <t>X8</t>
  </si>
  <si>
    <t>U11</t>
  </si>
  <si>
    <t>O15</t>
  </si>
  <si>
    <t>P102</t>
  </si>
  <si>
    <t>N4</t>
  </si>
  <si>
    <t>SM460</t>
  </si>
  <si>
    <t>U9</t>
  </si>
  <si>
    <t>O20</t>
  </si>
  <si>
    <t>I20</t>
  </si>
  <si>
    <t>E41</t>
  </si>
  <si>
    <t>P75</t>
  </si>
  <si>
    <t>SM472</t>
  </si>
  <si>
    <t>05:30</t>
  </si>
  <si>
    <t>O1</t>
  </si>
  <si>
    <t>I30</t>
  </si>
  <si>
    <t>13:25</t>
  </si>
  <si>
    <t>O14</t>
  </si>
  <si>
    <t>S3</t>
  </si>
  <si>
    <t>P84</t>
  </si>
  <si>
    <t>17:30</t>
  </si>
  <si>
    <t>P96</t>
  </si>
  <si>
    <t>SM424</t>
  </si>
  <si>
    <t>22:25</t>
  </si>
  <si>
    <t>P42</t>
  </si>
  <si>
    <t>23:15</t>
  </si>
  <si>
    <t>U2</t>
  </si>
  <si>
    <t>I15</t>
  </si>
  <si>
    <t>P92</t>
  </si>
  <si>
    <t>WEDNESDAY</t>
  </si>
  <si>
    <t>12:25</t>
  </si>
  <si>
    <t>P82</t>
  </si>
  <si>
    <t>12:30</t>
  </si>
  <si>
    <t>2025-11-14 00:00:00</t>
  </si>
  <si>
    <t>Q8</t>
  </si>
  <si>
    <t>I13</t>
  </si>
  <si>
    <t>P150</t>
  </si>
  <si>
    <t>2025-11-21 00:00:00</t>
  </si>
  <si>
    <t>FRIDAY</t>
  </si>
  <si>
    <t>02:45</t>
  </si>
  <si>
    <t>I2</t>
  </si>
  <si>
    <t>I18</t>
  </si>
  <si>
    <t>07:40</t>
  </si>
  <si>
    <t>O11</t>
  </si>
  <si>
    <t>11:00</t>
  </si>
  <si>
    <t>2025-11-15 00:00:00</t>
  </si>
  <si>
    <t>U4</t>
  </si>
  <si>
    <t>P46</t>
  </si>
  <si>
    <t>17:40</t>
  </si>
  <si>
    <t>U20</t>
  </si>
  <si>
    <t>I12</t>
  </si>
  <si>
    <t>P45</t>
  </si>
  <si>
    <t>22:30</t>
  </si>
  <si>
    <t>2025-11-11 00:00:00</t>
  </si>
  <si>
    <t>G9</t>
  </si>
  <si>
    <t>P140</t>
  </si>
  <si>
    <t>SM450</t>
  </si>
  <si>
    <t>05:40</t>
  </si>
  <si>
    <t>P29</t>
  </si>
  <si>
    <t>08:00</t>
  </si>
  <si>
    <t>P113</t>
  </si>
  <si>
    <t>16:20</t>
  </si>
  <si>
    <t>2025-11-18 00:00:00</t>
  </si>
  <si>
    <t>I5</t>
  </si>
  <si>
    <t>E45</t>
  </si>
  <si>
    <t>P130</t>
  </si>
  <si>
    <t>N3</t>
  </si>
  <si>
    <t>02:00</t>
  </si>
  <si>
    <t>X7</t>
  </si>
  <si>
    <t>E25</t>
  </si>
  <si>
    <t>P36</t>
  </si>
  <si>
    <t>SM432</t>
  </si>
  <si>
    <t>S9</t>
  </si>
  <si>
    <t>12:15</t>
  </si>
  <si>
    <t>I9</t>
  </si>
  <si>
    <t>15:10</t>
  </si>
  <si>
    <t>Y6</t>
  </si>
  <si>
    <t>P155</t>
  </si>
  <si>
    <t>SM470</t>
  </si>
  <si>
    <t>22:10</t>
  </si>
  <si>
    <t>RUH-CAI</t>
  </si>
  <si>
    <t>K1</t>
  </si>
  <si>
    <t>21:55</t>
  </si>
  <si>
    <t>I7</t>
  </si>
  <si>
    <t>SM462</t>
  </si>
  <si>
    <t>14:40</t>
  </si>
  <si>
    <t>O2</t>
  </si>
  <si>
    <t>2025-11-23 00:00:00</t>
  </si>
  <si>
    <t>I8</t>
  </si>
  <si>
    <t>U5</t>
  </si>
  <si>
    <t>I3</t>
  </si>
  <si>
    <t>14:30</t>
  </si>
  <si>
    <t>O7</t>
  </si>
  <si>
    <t>O13</t>
  </si>
  <si>
    <t>15:00</t>
  </si>
  <si>
    <t>I6</t>
  </si>
  <si>
    <t>SM434</t>
  </si>
  <si>
    <t>06:30</t>
  </si>
  <si>
    <t>DMM-CAI</t>
  </si>
  <si>
    <t>O6</t>
  </si>
  <si>
    <t>T2</t>
  </si>
  <si>
    <t>I26</t>
  </si>
  <si>
    <t>W2</t>
  </si>
  <si>
    <t>X3</t>
  </si>
  <si>
    <t>O3</t>
  </si>
  <si>
    <t>I22</t>
  </si>
  <si>
    <t>13:55</t>
  </si>
  <si>
    <t>T1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</si>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</sst>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yyyy\-mm\-dd\ h:mm:ss"/>
    <numFmt numFmtId="166" formatCode="h:mm;@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5" fontId="2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0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8" totalsRowCount="1" headerRowDxfId="299" dataDxfId="262" totalsRowDxfId="225">
  <tableColumns count="36">
    <tableColumn id="1" xr3:uid="{00000000-0010-0000-0000-000001000000}" name="Day" totalsRowLabel="TOTAL" dataDxfId="298" totalsRowDxfId="261"/>
    <tableColumn id="2" xr3:uid="{00000000-0010-0000-0000-000002000000}" name="Flt Dt" dataDxfId="297" totalsRowDxfId="260"/>
    <tableColumn id="3" xr3:uid="{00000000-0010-0000-0000-000003000000}" name="Flt" totalsRowFunction="count" dataDxfId="296" totalsRowDxfId="259"/>
    <tableColumn id="4" xr3:uid="{00000000-0010-0000-0000-000004000000}" name="DEP" dataDxfId="295" totalsRowDxfId="258"/>
    <tableColumn id="5" xr3:uid="{00000000-0010-0000-0000-000005000000}" name="Brd-Off" totalsRowFunction="count" dataDxfId="294" totalsRowDxfId="257"/>
    <tableColumn id="6" xr3:uid="{00000000-0010-0000-0000-000006000000}" name="Eqp" dataDxfId="293" totalsRowDxfId="256"/>
    <tableColumn id="7" xr3:uid="{00000000-0010-0000-0000-000007000000}" name="LF%" totalsRowFunction="average" dataDxfId="292" totalsRowDxfId="255"/>
    <tableColumn id="8" xr3:uid="{00000000-0010-0000-0000-000008000000}" name="CAP" totalsRowFunction="sum" dataDxfId="291" totalsRowDxfId="254"/>
    <tableColumn id="9" xr3:uid="{00000000-0010-0000-0000-000009000000}" name="BKG(Y)" totalsRowFunction="sum" dataDxfId="290" totalsRowDxfId="253"/>
    <tableColumn id="10" xr3:uid="{00000000-0010-0000-0000-00000A000000}" name="GRP(Y)" totalsRowFunction="sum" dataDxfId="289" totalsRowDxfId="252"/>
    <tableColumn id="11" xr3:uid="{00000000-0010-0000-0000-00000B000000}" name="FLT ST" dataDxfId="288" totalsRowDxfId="251"/>
    <tableColumn id="12" xr3:uid="{00000000-0010-0000-0000-00000C000000}" name="LST-SOLD" dataDxfId="287" totalsRowDxfId="250"/>
    <tableColumn id="13" xr3:uid="{00000000-0010-0000-0000-00000D000000}" name="TO-DAY" totalsRowFunction="sum" dataDxfId="286" totalsRowDxfId="249"/>
    <tableColumn id="14" xr3:uid="{00000000-0010-0000-0000-00000E000000}" name="Y-DAY" totalsRowFunction="sum" dataDxfId="285" totalsRowDxfId="248"/>
    <tableColumn id="15" xr3:uid="{00000000-0010-0000-0000-00000F000000}" name="WEEKLY" totalsRowFunction="sum" dataDxfId="284" totalsRowDxfId="247"/>
    <tableColumn id="16" xr3:uid="{00000000-0010-0000-0000-000010000000}" name="LOWEST AVAIL" dataDxfId="283" totalsRowDxfId="246"/>
    <tableColumn id="17" xr3:uid="{00000000-0010-0000-0000-000011000000}" name="Y" totalsRowFunction="sum" dataDxfId="282" totalsRowDxfId="245"/>
    <tableColumn id="18" xr3:uid="{00000000-0010-0000-0000-000012000000}" name="B" totalsRowFunction="sum" dataDxfId="281" totalsRowDxfId="244"/>
    <tableColumn id="19" xr3:uid="{00000000-0010-0000-0000-000013000000}" name="M" totalsRowFunction="sum" dataDxfId="280" totalsRowDxfId="243"/>
    <tableColumn id="20" xr3:uid="{00000000-0010-0000-0000-000014000000}" name="H" totalsRowFunction="sum" dataDxfId="279" totalsRowDxfId="242"/>
    <tableColumn id="21" xr3:uid="{00000000-0010-0000-0000-000015000000}" name="Q" totalsRowFunction="sum" dataDxfId="278" totalsRowDxfId="241"/>
    <tableColumn id="22" xr3:uid="{00000000-0010-0000-0000-000016000000}" name="K" totalsRowFunction="sum" dataDxfId="277" totalsRowDxfId="240"/>
    <tableColumn id="23" xr3:uid="{00000000-0010-0000-0000-000017000000}" name="V" totalsRowFunction="sum" dataDxfId="276" totalsRowDxfId="239"/>
    <tableColumn id="24" xr3:uid="{00000000-0010-0000-0000-000018000000}" name="L" totalsRowFunction="sum" dataDxfId="275" totalsRowDxfId="238"/>
    <tableColumn id="25" xr3:uid="{00000000-0010-0000-0000-000019000000}" name="G" totalsRowFunction="sum" dataDxfId="274" totalsRowDxfId="237"/>
    <tableColumn id="26" xr3:uid="{00000000-0010-0000-0000-00001A000000}" name="S" totalsRowFunction="sum" dataDxfId="273" totalsRowDxfId="236"/>
    <tableColumn id="27" xr3:uid="{00000000-0010-0000-0000-00001B000000}" name="W" totalsRowFunction="sum" dataDxfId="272" totalsRowDxfId="235"/>
    <tableColumn id="28" xr3:uid="{00000000-0010-0000-0000-00001C000000}" name="T" totalsRowFunction="sum" dataDxfId="271" totalsRowDxfId="234"/>
    <tableColumn id="29" xr3:uid="{00000000-0010-0000-0000-00001D000000}" name="X" totalsRowFunction="sum" dataDxfId="270" totalsRowDxfId="233"/>
    <tableColumn id="30" xr3:uid="{00000000-0010-0000-0000-00001E000000}" name="U" totalsRowFunction="sum" dataDxfId="269" totalsRowDxfId="232"/>
    <tableColumn id="31" xr3:uid="{00000000-0010-0000-0000-00001F000000}" name="O" totalsRowFunction="sum" dataDxfId="268" totalsRowDxfId="231"/>
    <tableColumn id="32" xr3:uid="{00000000-0010-0000-0000-000020000000}" name="I" totalsRowFunction="sum" dataDxfId="267" totalsRowDxfId="230"/>
    <tableColumn id="33" xr3:uid="{00000000-0010-0000-0000-000021000000}" name="E" totalsRowFunction="sum" dataDxfId="266" totalsRowDxfId="229"/>
    <tableColumn id="34" xr3:uid="{00000000-0010-0000-0000-000022000000}" name="A" totalsRowFunction="sum" dataDxfId="265" totalsRowDxfId="228"/>
    <tableColumn id="35" xr3:uid="{00000000-0010-0000-0000-000023000000}" name="P" totalsRowFunction="sum" dataDxfId="264" totalsRowDxfId="227"/>
    <tableColumn id="36" xr3:uid="{00000000-0010-0000-0000-000024000000}" name="N" totalsRowFunction="count" dataDxfId="263" totalsRowDxfId="2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ED_CAI_LF_LEGACY" displayName="JED_CAI_LF_LEGACY" ref="A1:AJ29" totalsRowCount="1" headerRowDxfId="224" dataDxfId="187" totalsRowDxfId="150">
  <tableColumns count="36">
    <tableColumn id="1" xr3:uid="{00000000-0010-0000-0100-000001000000}" name="Day" totalsRowLabel="TOTAL" dataDxfId="223" totalsRowDxfId="186"/>
    <tableColumn id="2" xr3:uid="{00000000-0010-0000-0100-000002000000}" name="Flt Dt" dataDxfId="222" totalsRowDxfId="185"/>
    <tableColumn id="3" xr3:uid="{00000000-0010-0000-0100-000003000000}" name="Flt" totalsRowFunction="count" dataDxfId="221" totalsRowDxfId="184"/>
    <tableColumn id="4" xr3:uid="{00000000-0010-0000-0100-000004000000}" name="DEP" dataDxfId="220" totalsRowDxfId="183"/>
    <tableColumn id="5" xr3:uid="{00000000-0010-0000-0100-000005000000}" name="Brd-Off" totalsRowFunction="count" dataDxfId="219" totalsRowDxfId="182"/>
    <tableColumn id="6" xr3:uid="{00000000-0010-0000-0100-000006000000}" name="Eqp" dataDxfId="218" totalsRowDxfId="181"/>
    <tableColumn id="7" xr3:uid="{00000000-0010-0000-0100-000007000000}" name="LF%" totalsRowFunction="average" dataDxfId="217" totalsRowDxfId="180"/>
    <tableColumn id="8" xr3:uid="{00000000-0010-0000-0100-000008000000}" name="CAP" totalsRowFunction="sum" dataDxfId="216" totalsRowDxfId="179"/>
    <tableColumn id="9" xr3:uid="{00000000-0010-0000-0100-000009000000}" name="BKG(Y)" totalsRowFunction="sum" dataDxfId="215" totalsRowDxfId="178"/>
    <tableColumn id="10" xr3:uid="{00000000-0010-0000-0100-00000A000000}" name="GRP(Y)" totalsRowFunction="sum" dataDxfId="214" totalsRowDxfId="177"/>
    <tableColumn id="11" xr3:uid="{00000000-0010-0000-0100-00000B000000}" name="FLT ST" dataDxfId="213" totalsRowDxfId="176"/>
    <tableColumn id="12" xr3:uid="{00000000-0010-0000-0100-00000C000000}" name="LST-SOLD" dataDxfId="212" totalsRowDxfId="175"/>
    <tableColumn id="13" xr3:uid="{00000000-0010-0000-0100-00000D000000}" name="TO-DAY" totalsRowFunction="sum" dataDxfId="211" totalsRowDxfId="174"/>
    <tableColumn id="14" xr3:uid="{00000000-0010-0000-0100-00000E000000}" name="Y-DAY" totalsRowFunction="sum" dataDxfId="210" totalsRowDxfId="173"/>
    <tableColumn id="15" xr3:uid="{00000000-0010-0000-0100-00000F000000}" name="WEEKLY" totalsRowFunction="sum" dataDxfId="209" totalsRowDxfId="172"/>
    <tableColumn id="16" xr3:uid="{00000000-0010-0000-0100-000010000000}" name="LOWEST AVAIL" dataDxfId="208" totalsRowDxfId="171"/>
    <tableColumn id="17" xr3:uid="{00000000-0010-0000-0100-000011000000}" name="Y" totalsRowFunction="sum" dataDxfId="207" totalsRowDxfId="170"/>
    <tableColumn id="18" xr3:uid="{00000000-0010-0000-0100-000012000000}" name="B" totalsRowFunction="sum" dataDxfId="206" totalsRowDxfId="169"/>
    <tableColumn id="19" xr3:uid="{00000000-0010-0000-0100-000013000000}" name="M" totalsRowFunction="sum" dataDxfId="205" totalsRowDxfId="168"/>
    <tableColumn id="20" xr3:uid="{00000000-0010-0000-0100-000014000000}" name="H" totalsRowFunction="sum" dataDxfId="204" totalsRowDxfId="167"/>
    <tableColumn id="21" xr3:uid="{00000000-0010-0000-0100-000015000000}" name="Q" totalsRowFunction="sum" dataDxfId="203" totalsRowDxfId="166"/>
    <tableColumn id="22" xr3:uid="{00000000-0010-0000-0100-000016000000}" name="K" totalsRowFunction="sum" dataDxfId="202" totalsRowDxfId="165"/>
    <tableColumn id="23" xr3:uid="{00000000-0010-0000-0100-000017000000}" name="V" totalsRowFunction="sum" dataDxfId="201" totalsRowDxfId="164"/>
    <tableColumn id="24" xr3:uid="{00000000-0010-0000-0100-000018000000}" name="L" totalsRowFunction="sum" dataDxfId="200" totalsRowDxfId="163"/>
    <tableColumn id="25" xr3:uid="{00000000-0010-0000-0100-000019000000}" name="G" totalsRowFunction="sum" dataDxfId="199" totalsRowDxfId="162"/>
    <tableColumn id="26" xr3:uid="{00000000-0010-0000-0100-00001A000000}" name="S" totalsRowFunction="sum" dataDxfId="198" totalsRowDxfId="161"/>
    <tableColumn id="27" xr3:uid="{00000000-0010-0000-0100-00001B000000}" name="W" totalsRowFunction="sum" dataDxfId="197" totalsRowDxfId="160"/>
    <tableColumn id="28" xr3:uid="{00000000-0010-0000-0100-00001C000000}" name="T" totalsRowFunction="sum" dataDxfId="196" totalsRowDxfId="159"/>
    <tableColumn id="29" xr3:uid="{00000000-0010-0000-0100-00001D000000}" name="X" totalsRowFunction="sum" dataDxfId="195" totalsRowDxfId="158"/>
    <tableColumn id="30" xr3:uid="{00000000-0010-0000-0100-00001E000000}" name="U" totalsRowFunction="sum" dataDxfId="194" totalsRowDxfId="157"/>
    <tableColumn id="31" xr3:uid="{00000000-0010-0000-0100-00001F000000}" name="O" totalsRowFunction="sum" dataDxfId="193" totalsRowDxfId="156"/>
    <tableColumn id="32" xr3:uid="{00000000-0010-0000-0100-000020000000}" name="I" totalsRowFunction="sum" dataDxfId="192" totalsRowDxfId="155"/>
    <tableColumn id="33" xr3:uid="{00000000-0010-0000-0100-000021000000}" name="E" totalsRowFunction="sum" dataDxfId="191" totalsRowDxfId="154"/>
    <tableColumn id="34" xr3:uid="{00000000-0010-0000-0100-000022000000}" name="A" totalsRowFunction="sum" dataDxfId="190" totalsRowDxfId="153"/>
    <tableColumn id="35" xr3:uid="{00000000-0010-0000-0100-000023000000}" name="P" totalsRowFunction="sum" dataDxfId="189" totalsRowDxfId="152"/>
    <tableColumn id="36" xr3:uid="{00000000-0010-0000-0100-000024000000}" name="N" totalsRowFunction="count" dataDxfId="188" totalsRowDxfId="1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H_CAI_LF_LEGACY" displayName="RUH_CAI_LF_LEGACY" ref="A1:AJ11" totalsRowCount="1" headerRowDxfId="149" dataDxfId="112" totalsRowDxfId="75">
  <tableColumns count="36">
    <tableColumn id="1" xr3:uid="{00000000-0010-0000-0200-000001000000}" name="Day" totalsRowLabel="TOTAL" dataDxfId="148" totalsRowDxfId="111"/>
    <tableColumn id="2" xr3:uid="{00000000-0010-0000-0200-000002000000}" name="Flt Dt" dataDxfId="147" totalsRowDxfId="110"/>
    <tableColumn id="3" xr3:uid="{00000000-0010-0000-0200-000003000000}" name="Flt" totalsRowFunction="count" dataDxfId="146" totalsRowDxfId="109"/>
    <tableColumn id="4" xr3:uid="{00000000-0010-0000-0200-000004000000}" name="DEP" dataDxfId="145" totalsRowDxfId="108"/>
    <tableColumn id="5" xr3:uid="{00000000-0010-0000-0200-000005000000}" name="Brd-Off" totalsRowFunction="count" dataDxfId="144" totalsRowDxfId="107"/>
    <tableColumn id="6" xr3:uid="{00000000-0010-0000-0200-000006000000}" name="Eqp" dataDxfId="143" totalsRowDxfId="106"/>
    <tableColumn id="7" xr3:uid="{00000000-0010-0000-0200-000007000000}" name="LF%" totalsRowFunction="average" dataDxfId="142" totalsRowDxfId="105"/>
    <tableColumn id="8" xr3:uid="{00000000-0010-0000-0200-000008000000}" name="CAP" totalsRowFunction="sum" dataDxfId="141" totalsRowDxfId="104"/>
    <tableColumn id="9" xr3:uid="{00000000-0010-0000-0200-000009000000}" name="BKG(Y)" totalsRowFunction="sum" dataDxfId="140" totalsRowDxfId="103"/>
    <tableColumn id="10" xr3:uid="{00000000-0010-0000-0200-00000A000000}" name="GRP(Y)" totalsRowFunction="sum" dataDxfId="139" totalsRowDxfId="102"/>
    <tableColumn id="11" xr3:uid="{00000000-0010-0000-0200-00000B000000}" name="FLT ST" dataDxfId="138" totalsRowDxfId="101"/>
    <tableColumn id="12" xr3:uid="{00000000-0010-0000-0200-00000C000000}" name="LST-SOLD" dataDxfId="137" totalsRowDxfId="100"/>
    <tableColumn id="13" xr3:uid="{00000000-0010-0000-0200-00000D000000}" name="TO-DAY" totalsRowFunction="sum" dataDxfId="136" totalsRowDxfId="99"/>
    <tableColumn id="14" xr3:uid="{00000000-0010-0000-0200-00000E000000}" name="Y-DAY" totalsRowFunction="sum" dataDxfId="135" totalsRowDxfId="98"/>
    <tableColumn id="15" xr3:uid="{00000000-0010-0000-0200-00000F000000}" name="WEEKLY" totalsRowFunction="sum" dataDxfId="134" totalsRowDxfId="97"/>
    <tableColumn id="16" xr3:uid="{00000000-0010-0000-0200-000010000000}" name="LOWEST AVAIL" dataDxfId="133" totalsRowDxfId="96"/>
    <tableColumn id="17" xr3:uid="{00000000-0010-0000-0200-000011000000}" name="Y" totalsRowFunction="sum" dataDxfId="132" totalsRowDxfId="95"/>
    <tableColumn id="18" xr3:uid="{00000000-0010-0000-0200-000012000000}" name="B" totalsRowFunction="sum" dataDxfId="131" totalsRowDxfId="94"/>
    <tableColumn id="19" xr3:uid="{00000000-0010-0000-0200-000013000000}" name="M" totalsRowFunction="sum" dataDxfId="130" totalsRowDxfId="93"/>
    <tableColumn id="20" xr3:uid="{00000000-0010-0000-0200-000014000000}" name="H" totalsRowFunction="sum" dataDxfId="129" totalsRowDxfId="92"/>
    <tableColumn id="21" xr3:uid="{00000000-0010-0000-0200-000015000000}" name="Q" totalsRowFunction="sum" dataDxfId="128" totalsRowDxfId="91"/>
    <tableColumn id="22" xr3:uid="{00000000-0010-0000-0200-000016000000}" name="K" totalsRowFunction="sum" dataDxfId="127" totalsRowDxfId="90"/>
    <tableColumn id="23" xr3:uid="{00000000-0010-0000-0200-000017000000}" name="V" totalsRowFunction="sum" dataDxfId="126" totalsRowDxfId="89"/>
    <tableColumn id="24" xr3:uid="{00000000-0010-0000-0200-000018000000}" name="L" totalsRowFunction="sum" dataDxfId="125" totalsRowDxfId="88"/>
    <tableColumn id="25" xr3:uid="{00000000-0010-0000-0200-000019000000}" name="G" totalsRowFunction="sum" dataDxfId="124" totalsRowDxfId="87"/>
    <tableColumn id="26" xr3:uid="{00000000-0010-0000-0200-00001A000000}" name="S" totalsRowFunction="sum" dataDxfId="123" totalsRowDxfId="86"/>
    <tableColumn id="27" xr3:uid="{00000000-0010-0000-0200-00001B000000}" name="W" totalsRowFunction="sum" dataDxfId="122" totalsRowDxfId="85"/>
    <tableColumn id="28" xr3:uid="{00000000-0010-0000-0200-00001C000000}" name="T" totalsRowFunction="sum" dataDxfId="121" totalsRowDxfId="84"/>
    <tableColumn id="29" xr3:uid="{00000000-0010-0000-0200-00001D000000}" name="X" totalsRowFunction="sum" dataDxfId="120" totalsRowDxfId="83"/>
    <tableColumn id="30" xr3:uid="{00000000-0010-0000-0200-00001E000000}" name="U" totalsRowFunction="sum" dataDxfId="119" totalsRowDxfId="82"/>
    <tableColumn id="31" xr3:uid="{00000000-0010-0000-0200-00001F000000}" name="O" totalsRowFunction="sum" dataDxfId="118" totalsRowDxfId="81"/>
    <tableColumn id="32" xr3:uid="{00000000-0010-0000-0200-000020000000}" name="I" totalsRowFunction="sum" dataDxfId="117" totalsRowDxfId="80"/>
    <tableColumn id="33" xr3:uid="{00000000-0010-0000-0200-000021000000}" name="E" totalsRowFunction="sum" dataDxfId="116" totalsRowDxfId="79"/>
    <tableColumn id="34" xr3:uid="{00000000-0010-0000-0200-000022000000}" name="A" totalsRowFunction="sum" dataDxfId="115" totalsRowDxfId="78"/>
    <tableColumn id="35" xr3:uid="{00000000-0010-0000-0200-000023000000}" name="P" totalsRowFunction="sum" dataDxfId="114" totalsRowDxfId="77"/>
    <tableColumn id="36" xr3:uid="{00000000-0010-0000-0200-000024000000}" name="N" totalsRowFunction="count" dataDxfId="113" totalsRow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MM_CAI_LF_LEGACY" displayName="DMM_CAI_LF_LEGACY" ref="A1:AJ6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SA_TO_EGY_ALL_ROUTES" displayName="KSA_TO_EGY_ALL_ROUTES" ref="A1:AJ47" totalsRowShown="0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/>
  </sheetViews>
  <sheetFormatPr defaultRowHeight="15.6" outlineLevelCol="1" x14ac:dyDescent="0.3"/>
  <cols>
    <col min="1" max="1" width="9.88671875" style="4" bestFit="1" customWidth="1"/>
    <col min="2" max="2" width="9" style="4" bestFit="1" customWidth="1"/>
    <col min="3" max="3" width="6.77734375" style="4" bestFit="1" customWidth="1"/>
    <col min="4" max="4" width="5.5546875" style="4" bestFit="1" customWidth="1"/>
    <col min="5" max="5" width="8.5546875" style="4" bestFit="1" customWidth="1"/>
    <col min="6" max="6" width="4.21875" style="4" bestFit="1" customWidth="1"/>
    <col min="7" max="7" width="10" style="4" bestFit="1" customWidth="1"/>
    <col min="8" max="8" width="8.5546875" style="4" bestFit="1" customWidth="1"/>
    <col min="9" max="10" width="7" style="4" bestFit="1" customWidth="1"/>
    <col min="11" max="11" width="10.5546875" style="4" bestFit="1" customWidth="1"/>
    <col min="12" max="12" width="18.109375" style="4" bestFit="1" customWidth="1"/>
    <col min="13" max="13" width="7.6640625" style="4" bestFit="1" customWidth="1" outlineLevel="1"/>
    <col min="14" max="14" width="6.33203125" style="4" bestFit="1" customWidth="1" outlineLevel="1"/>
    <col min="15" max="15" width="8" style="4" bestFit="1" customWidth="1" outlineLevel="1"/>
    <col min="16" max="16" width="13.6640625" style="4" bestFit="1" customWidth="1"/>
    <col min="17" max="23" width="3.88671875" style="4" bestFit="1" customWidth="1"/>
    <col min="24" max="24" width="4.109375" style="4" bestFit="1" customWidth="1"/>
    <col min="25" max="25" width="4.44140625" style="4" bestFit="1" customWidth="1"/>
    <col min="26" max="26" width="4.109375" style="4" bestFit="1" customWidth="1"/>
    <col min="27" max="27" width="5" style="4" bestFit="1" customWidth="1"/>
    <col min="28" max="29" width="4.21875" style="4" bestFit="1" customWidth="1"/>
    <col min="30" max="31" width="4.5546875" style="4" bestFit="1" customWidth="1"/>
    <col min="32" max="32" width="3.88671875" style="4" bestFit="1" customWidth="1"/>
    <col min="33" max="33" width="4.21875" style="4" bestFit="1" customWidth="1"/>
    <col min="34" max="34" width="3.88671875" style="4" bestFit="1" customWidth="1"/>
    <col min="35" max="35" width="5.21875" style="4" bestFit="1" customWidth="1"/>
    <col min="36" max="36" width="3.88671875" style="4" bestFit="1" customWidth="1"/>
    <col min="37" max="16384" width="8.88671875" style="4"/>
  </cols>
  <sheetData>
    <row r="1" spans="1: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3">
      <c r="A2" s="5" t="s">
        <v>36</v>
      </c>
      <c r="B2" s="6">
        <v>45993</v>
      </c>
      <c r="C2" s="7" t="s">
        <v>37</v>
      </c>
      <c r="D2" s="8" t="s">
        <v>38</v>
      </c>
      <c r="E2" s="7" t="s">
        <v>39</v>
      </c>
      <c r="F2" s="7" t="s">
        <v>40</v>
      </c>
      <c r="G2" s="9">
        <v>0.96</v>
      </c>
      <c r="H2" s="10">
        <v>175</v>
      </c>
      <c r="I2" s="10">
        <v>168</v>
      </c>
      <c r="J2" s="10">
        <v>120</v>
      </c>
      <c r="K2" s="7" t="s">
        <v>41</v>
      </c>
      <c r="L2" s="11" t="s">
        <v>42</v>
      </c>
      <c r="M2" s="10">
        <v>0</v>
      </c>
      <c r="N2" s="10">
        <v>0</v>
      </c>
      <c r="O2" s="10">
        <v>0</v>
      </c>
      <c r="P2" s="7" t="s">
        <v>43</v>
      </c>
      <c r="Q2" s="3"/>
      <c r="R2" s="3"/>
      <c r="S2" s="3"/>
      <c r="T2" s="3"/>
      <c r="U2" s="3"/>
      <c r="V2" s="3"/>
      <c r="W2" s="3"/>
      <c r="X2" s="3"/>
      <c r="Y2" s="3"/>
      <c r="Z2" s="10" t="s">
        <v>44</v>
      </c>
      <c r="AA2" s="3"/>
      <c r="AB2" s="3"/>
      <c r="AC2" s="10" t="s">
        <v>45</v>
      </c>
      <c r="AD2" s="10" t="s">
        <v>46</v>
      </c>
      <c r="AE2" s="10" t="s">
        <v>47</v>
      </c>
      <c r="AF2" s="10" t="s">
        <v>48</v>
      </c>
      <c r="AG2" s="10" t="s">
        <v>49</v>
      </c>
      <c r="AH2" s="3"/>
      <c r="AI2" s="10" t="s">
        <v>50</v>
      </c>
      <c r="AJ2" s="10" t="s">
        <v>51</v>
      </c>
    </row>
    <row r="3" spans="1:36" x14ac:dyDescent="0.3">
      <c r="A3" s="5" t="s">
        <v>36</v>
      </c>
      <c r="B3" s="6">
        <v>45993</v>
      </c>
      <c r="C3" s="7" t="s">
        <v>52</v>
      </c>
      <c r="D3" s="8" t="s">
        <v>53</v>
      </c>
      <c r="E3" s="7" t="s">
        <v>39</v>
      </c>
      <c r="F3" s="7" t="s">
        <v>40</v>
      </c>
      <c r="G3" s="9">
        <v>0.77980000000000005</v>
      </c>
      <c r="H3" s="10">
        <v>168</v>
      </c>
      <c r="I3" s="10">
        <v>131</v>
      </c>
      <c r="J3" s="10">
        <v>41</v>
      </c>
      <c r="K3" s="7" t="s">
        <v>41</v>
      </c>
      <c r="L3" s="11" t="s">
        <v>54</v>
      </c>
      <c r="M3" s="10">
        <v>0</v>
      </c>
      <c r="N3" s="10">
        <v>0</v>
      </c>
      <c r="O3" s="10">
        <v>57</v>
      </c>
      <c r="P3" s="7" t="s">
        <v>55</v>
      </c>
      <c r="Q3" s="3"/>
      <c r="R3" s="3"/>
      <c r="S3" s="3"/>
      <c r="T3" s="3"/>
      <c r="U3" s="3"/>
      <c r="V3" s="3"/>
      <c r="W3" s="3"/>
      <c r="X3" s="10" t="s">
        <v>56</v>
      </c>
      <c r="Y3" s="10" t="s">
        <v>57</v>
      </c>
      <c r="Z3" s="10" t="s">
        <v>58</v>
      </c>
      <c r="AA3" s="10" t="s">
        <v>59</v>
      </c>
      <c r="AB3" s="10" t="s">
        <v>60</v>
      </c>
      <c r="AC3" s="10" t="s">
        <v>61</v>
      </c>
      <c r="AD3" s="10" t="s">
        <v>62</v>
      </c>
      <c r="AE3" s="10" t="s">
        <v>63</v>
      </c>
      <c r="AF3" s="10" t="s">
        <v>64</v>
      </c>
      <c r="AG3" s="3"/>
      <c r="AH3" s="3"/>
      <c r="AI3" s="10" t="s">
        <v>65</v>
      </c>
      <c r="AJ3" s="3"/>
    </row>
    <row r="4" spans="1:36" x14ac:dyDescent="0.3">
      <c r="A4" s="5" t="s">
        <v>36</v>
      </c>
      <c r="B4" s="6">
        <v>45993</v>
      </c>
      <c r="C4" s="7" t="s">
        <v>66</v>
      </c>
      <c r="D4" s="8" t="s">
        <v>67</v>
      </c>
      <c r="E4" s="7" t="s">
        <v>39</v>
      </c>
      <c r="F4" s="7" t="s">
        <v>40</v>
      </c>
      <c r="G4" s="9">
        <v>1.006</v>
      </c>
      <c r="H4" s="10">
        <v>168</v>
      </c>
      <c r="I4" s="10">
        <v>169</v>
      </c>
      <c r="J4" s="10">
        <v>136</v>
      </c>
      <c r="K4" s="7" t="s">
        <v>41</v>
      </c>
      <c r="L4" s="11" t="s">
        <v>68</v>
      </c>
      <c r="M4" s="10">
        <v>0</v>
      </c>
      <c r="N4" s="10">
        <v>0</v>
      </c>
      <c r="O4" s="10">
        <v>0</v>
      </c>
      <c r="P4" s="7" t="s">
        <v>69</v>
      </c>
      <c r="Q4" s="3"/>
      <c r="R4" s="3"/>
      <c r="S4" s="3"/>
      <c r="T4" s="3"/>
      <c r="U4" s="3"/>
      <c r="V4" s="3"/>
      <c r="W4" s="3"/>
      <c r="X4" s="3"/>
      <c r="Y4" s="3"/>
      <c r="Z4" s="10" t="s">
        <v>70</v>
      </c>
      <c r="AA4" s="3"/>
      <c r="AB4" s="3"/>
      <c r="AC4" s="3"/>
      <c r="AD4" s="3"/>
      <c r="AE4" s="10" t="s">
        <v>71</v>
      </c>
      <c r="AF4" s="10" t="s">
        <v>48</v>
      </c>
      <c r="AG4" s="10" t="s">
        <v>72</v>
      </c>
      <c r="AH4" s="3"/>
      <c r="AI4" s="10" t="s">
        <v>50</v>
      </c>
      <c r="AJ4" s="10" t="s">
        <v>73</v>
      </c>
    </row>
    <row r="5" spans="1:36" x14ac:dyDescent="0.3">
      <c r="A5" s="5" t="s">
        <v>74</v>
      </c>
      <c r="B5" s="6">
        <v>45995</v>
      </c>
      <c r="C5" s="7" t="s">
        <v>66</v>
      </c>
      <c r="D5" s="8" t="s">
        <v>75</v>
      </c>
      <c r="E5" s="7" t="s">
        <v>39</v>
      </c>
      <c r="F5" s="7" t="s">
        <v>40</v>
      </c>
      <c r="G5" s="9">
        <v>1.006</v>
      </c>
      <c r="H5" s="10">
        <v>168</v>
      </c>
      <c r="I5" s="10">
        <v>169</v>
      </c>
      <c r="J5" s="10">
        <v>135</v>
      </c>
      <c r="K5" s="7" t="s">
        <v>41</v>
      </c>
      <c r="L5" s="11" t="s">
        <v>54</v>
      </c>
      <c r="M5" s="10">
        <v>0</v>
      </c>
      <c r="N5" s="10">
        <v>0</v>
      </c>
      <c r="O5" s="10">
        <v>1</v>
      </c>
      <c r="P5" s="7" t="s">
        <v>69</v>
      </c>
      <c r="Q5" s="10" t="s">
        <v>76</v>
      </c>
      <c r="R5" s="3"/>
      <c r="S5" s="3"/>
      <c r="T5" s="3"/>
      <c r="U5" s="3"/>
      <c r="V5" s="3"/>
      <c r="W5" s="3"/>
      <c r="X5" s="3"/>
      <c r="Y5" s="3"/>
      <c r="Z5" s="10" t="s">
        <v>77</v>
      </c>
      <c r="AA5" s="3"/>
      <c r="AB5" s="3"/>
      <c r="AC5" s="3"/>
      <c r="AD5" s="10" t="s">
        <v>78</v>
      </c>
      <c r="AE5" s="10" t="s">
        <v>71</v>
      </c>
      <c r="AF5" s="10" t="s">
        <v>48</v>
      </c>
      <c r="AG5" s="3"/>
      <c r="AH5" s="3"/>
      <c r="AI5" s="10" t="s">
        <v>79</v>
      </c>
      <c r="AJ5" s="3"/>
    </row>
    <row r="6" spans="1:36" x14ac:dyDescent="0.3">
      <c r="A6" s="5" t="s">
        <v>80</v>
      </c>
      <c r="B6" s="6">
        <v>45997</v>
      </c>
      <c r="C6" s="7" t="s">
        <v>66</v>
      </c>
      <c r="D6" s="8" t="s">
        <v>81</v>
      </c>
      <c r="E6" s="7" t="s">
        <v>39</v>
      </c>
      <c r="F6" s="7" t="s">
        <v>40</v>
      </c>
      <c r="G6" s="9">
        <v>1.0417000000000001</v>
      </c>
      <c r="H6" s="10">
        <v>168</v>
      </c>
      <c r="I6" s="10">
        <v>175</v>
      </c>
      <c r="J6" s="10">
        <v>137</v>
      </c>
      <c r="K6" s="7" t="s">
        <v>41</v>
      </c>
      <c r="L6" s="11" t="s">
        <v>82</v>
      </c>
      <c r="M6" s="10">
        <v>0</v>
      </c>
      <c r="N6" s="10">
        <v>0</v>
      </c>
      <c r="O6" s="10">
        <v>8</v>
      </c>
      <c r="P6" s="7" t="s">
        <v>69</v>
      </c>
      <c r="Q6" s="3"/>
      <c r="R6" s="3"/>
      <c r="S6" s="3"/>
      <c r="T6" s="3"/>
      <c r="U6" s="3"/>
      <c r="V6" s="3"/>
      <c r="W6" s="3"/>
      <c r="X6" s="3"/>
      <c r="Y6" s="3"/>
      <c r="Z6" s="10" t="s">
        <v>83</v>
      </c>
      <c r="AA6" s="3"/>
      <c r="AB6" s="3"/>
      <c r="AC6" s="10" t="s">
        <v>84</v>
      </c>
      <c r="AD6" s="10" t="s">
        <v>46</v>
      </c>
      <c r="AE6" s="10" t="s">
        <v>71</v>
      </c>
      <c r="AF6" s="10" t="s">
        <v>48</v>
      </c>
      <c r="AG6" s="3"/>
      <c r="AH6" s="3"/>
      <c r="AI6" s="10" t="s">
        <v>85</v>
      </c>
      <c r="AJ6" s="10" t="s">
        <v>73</v>
      </c>
    </row>
    <row r="7" spans="1:36" x14ac:dyDescent="0.3">
      <c r="A7" s="5" t="s">
        <v>86</v>
      </c>
      <c r="B7" s="6">
        <v>45998</v>
      </c>
      <c r="C7" s="7" t="s">
        <v>66</v>
      </c>
      <c r="D7" s="8" t="s">
        <v>87</v>
      </c>
      <c r="E7" s="7" t="s">
        <v>39</v>
      </c>
      <c r="F7" s="7" t="s">
        <v>40</v>
      </c>
      <c r="G7" s="9">
        <v>1.0595000000000001</v>
      </c>
      <c r="H7" s="10">
        <v>168</v>
      </c>
      <c r="I7" s="10">
        <v>178</v>
      </c>
      <c r="J7" s="10">
        <v>145</v>
      </c>
      <c r="K7" s="7" t="s">
        <v>41</v>
      </c>
      <c r="L7" s="11" t="s">
        <v>82</v>
      </c>
      <c r="M7" s="10">
        <v>0</v>
      </c>
      <c r="N7" s="10">
        <v>0</v>
      </c>
      <c r="O7" s="10">
        <v>11</v>
      </c>
      <c r="P7" s="7" t="s">
        <v>69</v>
      </c>
      <c r="Q7" s="3"/>
      <c r="R7" s="3"/>
      <c r="S7" s="3"/>
      <c r="T7" s="3"/>
      <c r="U7" s="3"/>
      <c r="V7" s="3"/>
      <c r="W7" s="3"/>
      <c r="X7" s="3"/>
      <c r="Y7" s="10" t="s">
        <v>88</v>
      </c>
      <c r="Z7" s="10" t="s">
        <v>77</v>
      </c>
      <c r="AA7" s="10" t="s">
        <v>89</v>
      </c>
      <c r="AB7" s="10" t="s">
        <v>90</v>
      </c>
      <c r="AC7" s="10" t="s">
        <v>91</v>
      </c>
      <c r="AD7" s="10" t="s">
        <v>92</v>
      </c>
      <c r="AE7" s="10" t="s">
        <v>93</v>
      </c>
      <c r="AF7" s="10" t="s">
        <v>94</v>
      </c>
      <c r="AG7" s="3"/>
      <c r="AH7" s="3"/>
      <c r="AI7" s="10" t="s">
        <v>95</v>
      </c>
      <c r="AJ7" s="3"/>
    </row>
    <row r="8" spans="1:36" ht="21" x14ac:dyDescent="0.3">
      <c r="A8" s="12" t="s">
        <v>221</v>
      </c>
      <c r="B8" s="13"/>
      <c r="C8" s="12">
        <f>SUBTOTAL(103,MED_CAI_LF_LEGACY[Flt])</f>
        <v>6</v>
      </c>
      <c r="D8" s="12"/>
      <c r="E8" s="12">
        <f>SUBTOTAL(103,MED_CAI_LF_LEGACY[Brd-Off])</f>
        <v>6</v>
      </c>
      <c r="F8" s="12"/>
      <c r="G8" s="14">
        <f>SUBTOTAL(101,MED_CAI_LF_LEGACY[LF%])</f>
        <v>0.97549999999999992</v>
      </c>
      <c r="H8" s="15">
        <f>SUBTOTAL(109,MED_CAI_LF_LEGACY[CAP])</f>
        <v>1015</v>
      </c>
      <c r="I8" s="15">
        <f>SUBTOTAL(109,MED_CAI_LF_LEGACY[BKG(Y)])</f>
        <v>990</v>
      </c>
      <c r="J8" s="15">
        <f>SUBTOTAL(109,MED_CAI_LF_LEGACY[GRP(Y)])</f>
        <v>714</v>
      </c>
      <c r="K8" s="12"/>
      <c r="L8" s="13"/>
      <c r="M8" s="15">
        <f>SUBTOTAL(109,MED_CAI_LF_LEGACY[TO-DAY])</f>
        <v>0</v>
      </c>
      <c r="N8" s="15">
        <f>SUBTOTAL(109,MED_CAI_LF_LEGACY[Y-DAY])</f>
        <v>0</v>
      </c>
      <c r="O8" s="15">
        <f>SUBTOTAL(109,MED_CAI_LF_LEGACY[WEEKLY])</f>
        <v>77</v>
      </c>
      <c r="P8" s="16"/>
      <c r="Q8" s="15">
        <f>SUBTOTAL(109,MED_CAI_LF_LEGACY[Y])</f>
        <v>0</v>
      </c>
      <c r="R8" s="15">
        <f>SUBTOTAL(109,MED_CAI_LF_LEGACY[B])</f>
        <v>0</v>
      </c>
      <c r="S8" s="15">
        <f>SUBTOTAL(109,MED_CAI_LF_LEGACY[M])</f>
        <v>0</v>
      </c>
      <c r="T8" s="15">
        <f>SUBTOTAL(109,MED_CAI_LF_LEGACY[H])</f>
        <v>0</v>
      </c>
      <c r="U8" s="15">
        <f>SUBTOTAL(109,MED_CAI_LF_LEGACY[Q])</f>
        <v>0</v>
      </c>
      <c r="V8" s="15">
        <f>SUBTOTAL(109,MED_CAI_LF_LEGACY[K])</f>
        <v>0</v>
      </c>
      <c r="W8" s="15">
        <f>SUBTOTAL(109,MED_CAI_LF_LEGACY[V])</f>
        <v>0</v>
      </c>
      <c r="X8" s="15">
        <f>SUBTOTAL(109,MED_CAI_LF_LEGACY[L])</f>
        <v>0</v>
      </c>
      <c r="Y8" s="15">
        <f>SUBTOTAL(109,MED_CAI_LF_LEGACY[G])</f>
        <v>0</v>
      </c>
      <c r="Z8" s="15">
        <f>SUBTOTAL(109,MED_CAI_LF_LEGACY[S])</f>
        <v>0</v>
      </c>
      <c r="AA8" s="15">
        <f>SUBTOTAL(109,MED_CAI_LF_LEGACY[W])</f>
        <v>0</v>
      </c>
      <c r="AB8" s="15">
        <f>SUBTOTAL(109,MED_CAI_LF_LEGACY[T])</f>
        <v>0</v>
      </c>
      <c r="AC8" s="15">
        <f>SUBTOTAL(109,MED_CAI_LF_LEGACY[X])</f>
        <v>0</v>
      </c>
      <c r="AD8" s="15">
        <f>SUBTOTAL(109,MED_CAI_LF_LEGACY[U])</f>
        <v>0</v>
      </c>
      <c r="AE8" s="15">
        <f>SUBTOTAL(109,MED_CAI_LF_LEGACY[O])</f>
        <v>0</v>
      </c>
      <c r="AF8" s="15">
        <f>SUBTOTAL(109,MED_CAI_LF_LEGACY[I])</f>
        <v>0</v>
      </c>
      <c r="AG8" s="15">
        <f>SUBTOTAL(109,MED_CAI_LF_LEGACY[E])</f>
        <v>0</v>
      </c>
      <c r="AH8" s="15">
        <f>SUBTOTAL(109,MED_CAI_LF_LEGACY[A])</f>
        <v>0</v>
      </c>
      <c r="AI8" s="15">
        <f>SUBTOTAL(109,MED_CAI_LF_LEGACY[P])</f>
        <v>0</v>
      </c>
      <c r="AJ8" s="15">
        <f>SUBTOTAL(103,MED_CAI_LF_LEGACY[N])</f>
        <v>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9"/>
  <sheetViews>
    <sheetView workbookViewId="0"/>
  </sheetViews>
  <sheetFormatPr defaultRowHeight="15.6" outlineLevelCol="1" x14ac:dyDescent="0.3"/>
  <cols>
    <col min="1" max="1" width="11.5546875" style="4" bestFit="1" customWidth="1"/>
    <col min="2" max="2" width="9" style="4" bestFit="1" customWidth="1"/>
    <col min="3" max="3" width="6.77734375" style="4" bestFit="1" customWidth="1"/>
    <col min="4" max="4" width="5.5546875" style="4" bestFit="1" customWidth="1"/>
    <col min="5" max="5" width="7.5546875" style="4" bestFit="1" customWidth="1"/>
    <col min="6" max="6" width="4.21875" style="4" bestFit="1" customWidth="1"/>
    <col min="7" max="7" width="10" style="4" bestFit="1" customWidth="1"/>
    <col min="8" max="10" width="8.5546875" style="4" bestFit="1" customWidth="1"/>
    <col min="11" max="11" width="10.5546875" style="4" bestFit="1" customWidth="1"/>
    <col min="12" max="12" width="18.109375" style="4" bestFit="1" customWidth="1"/>
    <col min="13" max="13" width="7.6640625" style="4" bestFit="1" customWidth="1" outlineLevel="1"/>
    <col min="14" max="14" width="6.33203125" style="4" bestFit="1" customWidth="1" outlineLevel="1"/>
    <col min="15" max="15" width="8" style="4" bestFit="1" customWidth="1" outlineLevel="1"/>
    <col min="16" max="16" width="13.6640625" style="4" bestFit="1" customWidth="1"/>
    <col min="17" max="29" width="3.88671875" style="4" bestFit="1" customWidth="1"/>
    <col min="30" max="31" width="4.5546875" style="4" bestFit="1" customWidth="1"/>
    <col min="32" max="32" width="3.88671875" style="4" bestFit="1" customWidth="1"/>
    <col min="33" max="33" width="4.21875" style="4" bestFit="1" customWidth="1"/>
    <col min="34" max="34" width="3.88671875" style="4" bestFit="1" customWidth="1"/>
    <col min="35" max="35" width="5.21875" style="4" bestFit="1" customWidth="1"/>
    <col min="36" max="36" width="3.88671875" style="4" bestFit="1" customWidth="1"/>
    <col min="37" max="16384" width="8.88671875" style="4"/>
  </cols>
  <sheetData>
    <row r="1" spans="1: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3">
      <c r="A2" s="5" t="s">
        <v>96</v>
      </c>
      <c r="B2" s="6">
        <v>45992</v>
      </c>
      <c r="C2" s="7" t="s">
        <v>97</v>
      </c>
      <c r="D2" s="8" t="s">
        <v>98</v>
      </c>
      <c r="E2" s="7" t="s">
        <v>99</v>
      </c>
      <c r="F2" s="7" t="s">
        <v>40</v>
      </c>
      <c r="G2" s="9">
        <v>0.87709999999999999</v>
      </c>
      <c r="H2" s="10">
        <v>179</v>
      </c>
      <c r="I2" s="10">
        <v>157</v>
      </c>
      <c r="J2" s="10">
        <v>132</v>
      </c>
      <c r="K2" s="7" t="s">
        <v>41</v>
      </c>
      <c r="L2" s="11" t="s">
        <v>100</v>
      </c>
      <c r="M2" s="10">
        <v>0</v>
      </c>
      <c r="N2" s="10">
        <v>0</v>
      </c>
      <c r="O2" s="10">
        <v>5</v>
      </c>
      <c r="P2" s="7" t="s">
        <v>101</v>
      </c>
      <c r="Q2" s="3"/>
      <c r="R2" s="3"/>
      <c r="S2" s="3"/>
      <c r="T2" s="3"/>
      <c r="U2" s="3"/>
      <c r="V2" s="3"/>
      <c r="W2" s="3"/>
      <c r="X2" s="3"/>
      <c r="Y2" s="3"/>
      <c r="Z2" s="10" t="s">
        <v>77</v>
      </c>
      <c r="AA2" s="3"/>
      <c r="AB2" s="3"/>
      <c r="AC2" s="3"/>
      <c r="AD2" s="10" t="s">
        <v>102</v>
      </c>
      <c r="AE2" s="10" t="s">
        <v>47</v>
      </c>
      <c r="AF2" s="10" t="s">
        <v>64</v>
      </c>
      <c r="AG2" s="3"/>
      <c r="AH2" s="3"/>
      <c r="AI2" s="10" t="s">
        <v>103</v>
      </c>
      <c r="AJ2" s="3"/>
    </row>
    <row r="3" spans="1:36" x14ac:dyDescent="0.3">
      <c r="A3" s="5" t="s">
        <v>96</v>
      </c>
      <c r="B3" s="6">
        <v>45992</v>
      </c>
      <c r="C3" s="7" t="s">
        <v>104</v>
      </c>
      <c r="D3" s="8" t="s">
        <v>105</v>
      </c>
      <c r="E3" s="7" t="s">
        <v>99</v>
      </c>
      <c r="F3" s="7" t="s">
        <v>40</v>
      </c>
      <c r="G3" s="9">
        <v>0.9274</v>
      </c>
      <c r="H3" s="10">
        <v>179</v>
      </c>
      <c r="I3" s="10">
        <v>166</v>
      </c>
      <c r="J3" s="10">
        <v>135</v>
      </c>
      <c r="K3" s="7" t="s">
        <v>41</v>
      </c>
      <c r="L3" s="11" t="s">
        <v>54</v>
      </c>
      <c r="M3" s="10">
        <v>0</v>
      </c>
      <c r="N3" s="10">
        <v>0</v>
      </c>
      <c r="O3" s="10">
        <v>47</v>
      </c>
      <c r="P3" s="7" t="s">
        <v>106</v>
      </c>
      <c r="Q3" s="3"/>
      <c r="R3" s="3"/>
      <c r="S3" s="3"/>
      <c r="T3" s="3"/>
      <c r="U3" s="3"/>
      <c r="V3" s="3"/>
      <c r="W3" s="3"/>
      <c r="X3" s="3"/>
      <c r="Y3" s="3"/>
      <c r="Z3" s="10" t="s">
        <v>107</v>
      </c>
      <c r="AA3" s="3"/>
      <c r="AB3" s="3"/>
      <c r="AC3" s="3"/>
      <c r="AD3" s="3"/>
      <c r="AE3" s="10" t="s">
        <v>108</v>
      </c>
      <c r="AF3" s="10" t="s">
        <v>64</v>
      </c>
      <c r="AG3" s="3"/>
      <c r="AH3" s="3"/>
      <c r="AI3" s="10" t="s">
        <v>79</v>
      </c>
      <c r="AJ3" s="3"/>
    </row>
    <row r="4" spans="1:36" x14ac:dyDescent="0.3">
      <c r="A4" s="5" t="s">
        <v>96</v>
      </c>
      <c r="B4" s="6">
        <v>45992</v>
      </c>
      <c r="C4" s="7" t="s">
        <v>109</v>
      </c>
      <c r="D4" s="8" t="s">
        <v>110</v>
      </c>
      <c r="E4" s="7" t="s">
        <v>99</v>
      </c>
      <c r="F4" s="7" t="s">
        <v>40</v>
      </c>
      <c r="G4" s="9">
        <v>0.8659</v>
      </c>
      <c r="H4" s="10">
        <v>179</v>
      </c>
      <c r="I4" s="10">
        <v>155</v>
      </c>
      <c r="J4" s="10">
        <v>102</v>
      </c>
      <c r="K4" s="7" t="s">
        <v>41</v>
      </c>
      <c r="L4" s="11" t="s">
        <v>111</v>
      </c>
      <c r="M4" s="10">
        <v>0</v>
      </c>
      <c r="N4" s="10">
        <v>1</v>
      </c>
      <c r="O4" s="10">
        <v>28</v>
      </c>
      <c r="P4" s="7" t="s">
        <v>112</v>
      </c>
      <c r="Q4" s="10" t="s">
        <v>113</v>
      </c>
      <c r="R4" s="3"/>
      <c r="S4" s="3"/>
      <c r="T4" s="3"/>
      <c r="U4" s="3"/>
      <c r="V4" s="3"/>
      <c r="W4" s="3"/>
      <c r="X4" s="3"/>
      <c r="Y4" s="3"/>
      <c r="Z4" s="10" t="s">
        <v>77</v>
      </c>
      <c r="AA4" s="3"/>
      <c r="AB4" s="3"/>
      <c r="AC4" s="10" t="s">
        <v>114</v>
      </c>
      <c r="AD4" s="10" t="s">
        <v>115</v>
      </c>
      <c r="AE4" s="10" t="s">
        <v>116</v>
      </c>
      <c r="AF4" s="10" t="s">
        <v>64</v>
      </c>
      <c r="AG4" s="3"/>
      <c r="AH4" s="3"/>
      <c r="AI4" s="10" t="s">
        <v>117</v>
      </c>
      <c r="AJ4" s="10" t="s">
        <v>118</v>
      </c>
    </row>
    <row r="5" spans="1:36" x14ac:dyDescent="0.3">
      <c r="A5" s="5" t="s">
        <v>96</v>
      </c>
      <c r="B5" s="6">
        <v>45992</v>
      </c>
      <c r="C5" s="7" t="s">
        <v>119</v>
      </c>
      <c r="D5" s="8" t="s">
        <v>67</v>
      </c>
      <c r="E5" s="7" t="s">
        <v>99</v>
      </c>
      <c r="F5" s="7" t="s">
        <v>40</v>
      </c>
      <c r="G5" s="9">
        <v>0.9385</v>
      </c>
      <c r="H5" s="10">
        <v>179</v>
      </c>
      <c r="I5" s="10">
        <v>168</v>
      </c>
      <c r="J5" s="10">
        <v>116</v>
      </c>
      <c r="K5" s="7" t="s">
        <v>41</v>
      </c>
      <c r="L5" s="11" t="s">
        <v>111</v>
      </c>
      <c r="M5" s="10">
        <v>0</v>
      </c>
      <c r="N5" s="10">
        <v>7</v>
      </c>
      <c r="O5" s="10">
        <v>23</v>
      </c>
      <c r="P5" s="7" t="s">
        <v>78</v>
      </c>
      <c r="Q5" s="3"/>
      <c r="R5" s="3"/>
      <c r="S5" s="3"/>
      <c r="T5" s="3"/>
      <c r="U5" s="3"/>
      <c r="V5" s="3"/>
      <c r="W5" s="3"/>
      <c r="X5" s="3"/>
      <c r="Y5" s="3"/>
      <c r="Z5" s="10" t="s">
        <v>83</v>
      </c>
      <c r="AA5" s="3"/>
      <c r="AB5" s="3"/>
      <c r="AC5" s="10" t="s">
        <v>112</v>
      </c>
      <c r="AD5" s="10" t="s">
        <v>120</v>
      </c>
      <c r="AE5" s="10" t="s">
        <v>121</v>
      </c>
      <c r="AF5" s="10" t="s">
        <v>122</v>
      </c>
      <c r="AG5" s="10" t="s">
        <v>123</v>
      </c>
      <c r="AH5" s="3"/>
      <c r="AI5" s="10" t="s">
        <v>124</v>
      </c>
      <c r="AJ5" s="3"/>
    </row>
    <row r="6" spans="1:36" x14ac:dyDescent="0.3">
      <c r="A6" s="5" t="s">
        <v>36</v>
      </c>
      <c r="B6" s="6">
        <v>45993</v>
      </c>
      <c r="C6" s="7" t="s">
        <v>125</v>
      </c>
      <c r="D6" s="8" t="s">
        <v>126</v>
      </c>
      <c r="E6" s="7" t="s">
        <v>99</v>
      </c>
      <c r="F6" s="7" t="s">
        <v>40</v>
      </c>
      <c r="G6" s="9">
        <v>0.18440000000000001</v>
      </c>
      <c r="H6" s="10">
        <v>179</v>
      </c>
      <c r="I6" s="10">
        <v>33</v>
      </c>
      <c r="J6" s="10">
        <v>0</v>
      </c>
      <c r="K6" s="7" t="s">
        <v>41</v>
      </c>
      <c r="L6" s="11" t="s">
        <v>111</v>
      </c>
      <c r="M6" s="10">
        <v>0</v>
      </c>
      <c r="N6" s="10">
        <v>4</v>
      </c>
      <c r="O6" s="10">
        <v>15</v>
      </c>
      <c r="P6" s="7" t="s">
        <v>71</v>
      </c>
      <c r="Q6" s="3"/>
      <c r="R6" s="3"/>
      <c r="S6" s="3"/>
      <c r="T6" s="3"/>
      <c r="U6" s="3"/>
      <c r="V6" s="3"/>
      <c r="W6" s="3"/>
      <c r="X6" s="3"/>
      <c r="Y6" s="3"/>
      <c r="Z6" s="10" t="s">
        <v>107</v>
      </c>
      <c r="AA6" s="3"/>
      <c r="AB6" s="3"/>
      <c r="AC6" s="3"/>
      <c r="AD6" s="3"/>
      <c r="AE6" s="10" t="s">
        <v>127</v>
      </c>
      <c r="AF6" s="10" t="s">
        <v>128</v>
      </c>
      <c r="AG6" s="3"/>
      <c r="AH6" s="3"/>
      <c r="AI6" s="3"/>
      <c r="AJ6" s="3"/>
    </row>
    <row r="7" spans="1:36" x14ac:dyDescent="0.3">
      <c r="A7" s="5" t="s">
        <v>36</v>
      </c>
      <c r="B7" s="6">
        <v>45993</v>
      </c>
      <c r="C7" s="7" t="s">
        <v>97</v>
      </c>
      <c r="D7" s="8" t="s">
        <v>129</v>
      </c>
      <c r="E7" s="7" t="s">
        <v>99</v>
      </c>
      <c r="F7" s="7" t="s">
        <v>40</v>
      </c>
      <c r="G7" s="9">
        <v>0.63690000000000002</v>
      </c>
      <c r="H7" s="10">
        <v>179</v>
      </c>
      <c r="I7" s="10">
        <v>114</v>
      </c>
      <c r="J7" s="10">
        <v>90</v>
      </c>
      <c r="K7" s="7" t="s">
        <v>41</v>
      </c>
      <c r="L7" s="11" t="s">
        <v>111</v>
      </c>
      <c r="M7" s="10">
        <v>0</v>
      </c>
      <c r="N7" s="10">
        <v>2</v>
      </c>
      <c r="O7" s="10">
        <v>14</v>
      </c>
      <c r="P7" s="7" t="s">
        <v>127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10" t="s">
        <v>130</v>
      </c>
      <c r="AF7" s="10" t="s">
        <v>64</v>
      </c>
      <c r="AG7" s="3"/>
      <c r="AH7" s="3"/>
      <c r="AI7" s="10" t="s">
        <v>50</v>
      </c>
      <c r="AJ7" s="3"/>
    </row>
    <row r="8" spans="1:36" x14ac:dyDescent="0.3">
      <c r="A8" s="5" t="s">
        <v>36</v>
      </c>
      <c r="B8" s="6">
        <v>45993</v>
      </c>
      <c r="C8" s="7" t="s">
        <v>109</v>
      </c>
      <c r="D8" s="8" t="s">
        <v>110</v>
      </c>
      <c r="E8" s="7" t="s">
        <v>99</v>
      </c>
      <c r="F8" s="7" t="s">
        <v>40</v>
      </c>
      <c r="G8" s="9">
        <v>0.64249999999999996</v>
      </c>
      <c r="H8" s="10">
        <v>179</v>
      </c>
      <c r="I8" s="10">
        <v>115</v>
      </c>
      <c r="J8" s="10">
        <v>83</v>
      </c>
      <c r="K8" s="7" t="s">
        <v>41</v>
      </c>
      <c r="L8" s="11" t="s">
        <v>54</v>
      </c>
      <c r="M8" s="10">
        <v>0</v>
      </c>
      <c r="N8" s="10">
        <v>0</v>
      </c>
      <c r="O8" s="10">
        <v>12</v>
      </c>
      <c r="P8" s="7" t="s">
        <v>102</v>
      </c>
      <c r="Q8" s="3"/>
      <c r="R8" s="3"/>
      <c r="S8" s="3"/>
      <c r="T8" s="3"/>
      <c r="U8" s="3"/>
      <c r="V8" s="3"/>
      <c r="W8" s="3"/>
      <c r="X8" s="3"/>
      <c r="Y8" s="3"/>
      <c r="Z8" s="10" t="s">
        <v>131</v>
      </c>
      <c r="AA8" s="3"/>
      <c r="AB8" s="3"/>
      <c r="AC8" s="3"/>
      <c r="AD8" s="10" t="s">
        <v>46</v>
      </c>
      <c r="AE8" s="10" t="s">
        <v>63</v>
      </c>
      <c r="AF8" s="10" t="s">
        <v>64</v>
      </c>
      <c r="AG8" s="3"/>
      <c r="AH8" s="3"/>
      <c r="AI8" s="10" t="s">
        <v>132</v>
      </c>
      <c r="AJ8" s="3"/>
    </row>
    <row r="9" spans="1:36" x14ac:dyDescent="0.3">
      <c r="A9" s="5" t="s">
        <v>36</v>
      </c>
      <c r="B9" s="6">
        <v>45993</v>
      </c>
      <c r="C9" s="7" t="s">
        <v>119</v>
      </c>
      <c r="D9" s="8" t="s">
        <v>133</v>
      </c>
      <c r="E9" s="7" t="s">
        <v>99</v>
      </c>
      <c r="F9" s="7" t="s">
        <v>40</v>
      </c>
      <c r="G9" s="9">
        <v>0.65920000000000001</v>
      </c>
      <c r="H9" s="10">
        <v>179</v>
      </c>
      <c r="I9" s="10">
        <v>118</v>
      </c>
      <c r="J9" s="10">
        <v>96</v>
      </c>
      <c r="K9" s="7" t="s">
        <v>41</v>
      </c>
      <c r="L9" s="11" t="s">
        <v>111</v>
      </c>
      <c r="M9" s="10">
        <v>0</v>
      </c>
      <c r="N9" s="10">
        <v>1</v>
      </c>
      <c r="O9" s="10">
        <v>1</v>
      </c>
      <c r="P9" s="7" t="s">
        <v>120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 t="s">
        <v>78</v>
      </c>
      <c r="AE9" s="10" t="s">
        <v>63</v>
      </c>
      <c r="AF9" s="10" t="s">
        <v>64</v>
      </c>
      <c r="AG9" s="3"/>
      <c r="AH9" s="3"/>
      <c r="AI9" s="10" t="s">
        <v>134</v>
      </c>
      <c r="AJ9" s="10" t="s">
        <v>51</v>
      </c>
    </row>
    <row r="10" spans="1:36" x14ac:dyDescent="0.3">
      <c r="A10" s="5" t="s">
        <v>36</v>
      </c>
      <c r="B10" s="6">
        <v>45993</v>
      </c>
      <c r="C10" s="7" t="s">
        <v>135</v>
      </c>
      <c r="D10" s="8" t="s">
        <v>136</v>
      </c>
      <c r="E10" s="7" t="s">
        <v>99</v>
      </c>
      <c r="F10" s="7" t="s">
        <v>40</v>
      </c>
      <c r="G10" s="9">
        <v>0.38550000000000001</v>
      </c>
      <c r="H10" s="10">
        <v>179</v>
      </c>
      <c r="I10" s="10">
        <v>69</v>
      </c>
      <c r="J10" s="10">
        <v>42</v>
      </c>
      <c r="K10" s="7" t="s">
        <v>41</v>
      </c>
      <c r="L10" s="11" t="s">
        <v>111</v>
      </c>
      <c r="M10" s="10">
        <v>0</v>
      </c>
      <c r="N10" s="10">
        <v>2</v>
      </c>
      <c r="O10" s="10">
        <v>14</v>
      </c>
      <c r="P10" s="7" t="s">
        <v>127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 t="s">
        <v>102</v>
      </c>
      <c r="AE10" s="10" t="s">
        <v>130</v>
      </c>
      <c r="AF10" s="10" t="s">
        <v>64</v>
      </c>
      <c r="AG10" s="3"/>
      <c r="AH10" s="3"/>
      <c r="AI10" s="10" t="s">
        <v>137</v>
      </c>
      <c r="AJ10" s="3"/>
    </row>
    <row r="11" spans="1:36" x14ac:dyDescent="0.3">
      <c r="A11" s="5" t="s">
        <v>36</v>
      </c>
      <c r="B11" s="6">
        <v>45993</v>
      </c>
      <c r="C11" s="7" t="s">
        <v>104</v>
      </c>
      <c r="D11" s="8" t="s">
        <v>138</v>
      </c>
      <c r="E11" s="7" t="s">
        <v>99</v>
      </c>
      <c r="F11" s="7" t="s">
        <v>40</v>
      </c>
      <c r="G11" s="9">
        <v>0.66479999999999995</v>
      </c>
      <c r="H11" s="10">
        <v>179</v>
      </c>
      <c r="I11" s="10">
        <v>119</v>
      </c>
      <c r="J11" s="10">
        <v>92</v>
      </c>
      <c r="K11" s="7" t="s">
        <v>41</v>
      </c>
      <c r="L11" s="11" t="s">
        <v>111</v>
      </c>
      <c r="M11" s="10">
        <v>0</v>
      </c>
      <c r="N11" s="10">
        <v>1</v>
      </c>
      <c r="O11" s="10">
        <v>11</v>
      </c>
      <c r="P11" s="7" t="s">
        <v>120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 t="s">
        <v>139</v>
      </c>
      <c r="AE11" s="10" t="s">
        <v>63</v>
      </c>
      <c r="AF11" s="10" t="s">
        <v>140</v>
      </c>
      <c r="AG11" s="3"/>
      <c r="AH11" s="3"/>
      <c r="AI11" s="10" t="s">
        <v>141</v>
      </c>
      <c r="AJ11" s="3"/>
    </row>
    <row r="12" spans="1:36" x14ac:dyDescent="0.3">
      <c r="A12" s="5" t="s">
        <v>142</v>
      </c>
      <c r="B12" s="6">
        <v>45994</v>
      </c>
      <c r="C12" s="7" t="s">
        <v>104</v>
      </c>
      <c r="D12" s="8" t="s">
        <v>143</v>
      </c>
      <c r="E12" s="7" t="s">
        <v>99</v>
      </c>
      <c r="F12" s="7" t="s">
        <v>40</v>
      </c>
      <c r="G12" s="9">
        <v>0.64249999999999996</v>
      </c>
      <c r="H12" s="10">
        <v>179</v>
      </c>
      <c r="I12" s="10">
        <v>115</v>
      </c>
      <c r="J12" s="10">
        <v>82</v>
      </c>
      <c r="K12" s="7" t="s">
        <v>41</v>
      </c>
      <c r="L12" s="11" t="s">
        <v>111</v>
      </c>
      <c r="M12" s="10">
        <v>0</v>
      </c>
      <c r="N12" s="10">
        <v>4</v>
      </c>
      <c r="O12" s="10">
        <v>12</v>
      </c>
      <c r="P12" s="7" t="s">
        <v>139</v>
      </c>
      <c r="Q12" s="3"/>
      <c r="R12" s="3"/>
      <c r="S12" s="3"/>
      <c r="T12" s="3"/>
      <c r="U12" s="3"/>
      <c r="V12" s="3"/>
      <c r="W12" s="3"/>
      <c r="X12" s="3"/>
      <c r="Y12" s="3"/>
      <c r="Z12" s="10" t="s">
        <v>77</v>
      </c>
      <c r="AA12" s="3"/>
      <c r="AB12" s="3"/>
      <c r="AC12" s="3"/>
      <c r="AD12" s="10" t="s">
        <v>120</v>
      </c>
      <c r="AE12" s="10" t="s">
        <v>63</v>
      </c>
      <c r="AF12" s="10" t="s">
        <v>64</v>
      </c>
      <c r="AG12" s="3"/>
      <c r="AH12" s="3"/>
      <c r="AI12" s="10" t="s">
        <v>144</v>
      </c>
      <c r="AJ12" s="3"/>
    </row>
    <row r="13" spans="1:36" x14ac:dyDescent="0.3">
      <c r="A13" s="5" t="s">
        <v>142</v>
      </c>
      <c r="B13" s="6">
        <v>45994</v>
      </c>
      <c r="C13" s="7" t="s">
        <v>119</v>
      </c>
      <c r="D13" s="8" t="s">
        <v>145</v>
      </c>
      <c r="E13" s="7" t="s">
        <v>99</v>
      </c>
      <c r="F13" s="7" t="s">
        <v>40</v>
      </c>
      <c r="G13" s="9">
        <v>0.93300000000000005</v>
      </c>
      <c r="H13" s="10">
        <v>179</v>
      </c>
      <c r="I13" s="10">
        <v>167</v>
      </c>
      <c r="J13" s="10">
        <v>150</v>
      </c>
      <c r="K13" s="7" t="s">
        <v>41</v>
      </c>
      <c r="L13" s="11" t="s">
        <v>146</v>
      </c>
      <c r="M13" s="10">
        <v>0</v>
      </c>
      <c r="N13" s="10">
        <v>0</v>
      </c>
      <c r="O13" s="10">
        <v>0</v>
      </c>
      <c r="P13" s="7" t="s">
        <v>147</v>
      </c>
      <c r="Q13" s="3"/>
      <c r="R13" s="3"/>
      <c r="S13" s="3"/>
      <c r="T13" s="3"/>
      <c r="U13" s="3"/>
      <c r="V13" s="3"/>
      <c r="W13" s="3"/>
      <c r="X13" s="3"/>
      <c r="Y13" s="3"/>
      <c r="Z13" s="10" t="s">
        <v>83</v>
      </c>
      <c r="AA13" s="3"/>
      <c r="AB13" s="3"/>
      <c r="AC13" s="10" t="s">
        <v>112</v>
      </c>
      <c r="AD13" s="3"/>
      <c r="AE13" s="10" t="s">
        <v>127</v>
      </c>
      <c r="AF13" s="10" t="s">
        <v>148</v>
      </c>
      <c r="AG13" s="3"/>
      <c r="AH13" s="3"/>
      <c r="AI13" s="10" t="s">
        <v>149</v>
      </c>
      <c r="AJ13" s="3"/>
    </row>
    <row r="14" spans="1:36" x14ac:dyDescent="0.3">
      <c r="A14" s="5" t="s">
        <v>142</v>
      </c>
      <c r="B14" s="6">
        <v>45994</v>
      </c>
      <c r="C14" s="7" t="s">
        <v>109</v>
      </c>
      <c r="D14" s="8" t="s">
        <v>110</v>
      </c>
      <c r="E14" s="7" t="s">
        <v>99</v>
      </c>
      <c r="F14" s="7" t="s">
        <v>40</v>
      </c>
      <c r="G14" s="9">
        <v>0.64249999999999996</v>
      </c>
      <c r="H14" s="10">
        <v>179</v>
      </c>
      <c r="I14" s="10">
        <v>115</v>
      </c>
      <c r="J14" s="10">
        <v>84</v>
      </c>
      <c r="K14" s="7" t="s">
        <v>41</v>
      </c>
      <c r="L14" s="11" t="s">
        <v>150</v>
      </c>
      <c r="M14" s="10">
        <v>0</v>
      </c>
      <c r="N14" s="10">
        <v>0</v>
      </c>
      <c r="O14" s="10">
        <v>12</v>
      </c>
      <c r="P14" s="7" t="s">
        <v>45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 t="s">
        <v>115</v>
      </c>
      <c r="AE14" s="10" t="s">
        <v>63</v>
      </c>
      <c r="AF14" s="10" t="s">
        <v>64</v>
      </c>
      <c r="AG14" s="3"/>
      <c r="AH14" s="3"/>
      <c r="AI14" s="10" t="s">
        <v>132</v>
      </c>
      <c r="AJ14" s="3"/>
    </row>
    <row r="15" spans="1:36" x14ac:dyDescent="0.3">
      <c r="A15" s="5" t="s">
        <v>151</v>
      </c>
      <c r="B15" s="6">
        <v>45996</v>
      </c>
      <c r="C15" s="7" t="s">
        <v>135</v>
      </c>
      <c r="D15" s="8" t="s">
        <v>152</v>
      </c>
      <c r="E15" s="7" t="s">
        <v>99</v>
      </c>
      <c r="F15" s="7" t="s">
        <v>40</v>
      </c>
      <c r="G15" s="9">
        <v>0.16200000000000001</v>
      </c>
      <c r="H15" s="10">
        <v>179</v>
      </c>
      <c r="I15" s="10">
        <v>29</v>
      </c>
      <c r="J15" s="10">
        <v>0</v>
      </c>
      <c r="K15" s="7" t="s">
        <v>41</v>
      </c>
      <c r="L15" s="11" t="s">
        <v>111</v>
      </c>
      <c r="M15" s="10">
        <v>0</v>
      </c>
      <c r="N15" s="10">
        <v>1</v>
      </c>
      <c r="O15" s="10">
        <v>19</v>
      </c>
      <c r="P15" s="7" t="s">
        <v>153</v>
      </c>
      <c r="Q15" s="3"/>
      <c r="R15" s="3"/>
      <c r="S15" s="3"/>
      <c r="T15" s="3"/>
      <c r="U15" s="3"/>
      <c r="V15" s="3"/>
      <c r="W15" s="3"/>
      <c r="X15" s="3"/>
      <c r="Y15" s="3"/>
      <c r="Z15" s="10" t="s">
        <v>83</v>
      </c>
      <c r="AA15" s="3"/>
      <c r="AB15" s="3"/>
      <c r="AC15" s="3"/>
      <c r="AD15" s="3"/>
      <c r="AE15" s="10" t="s">
        <v>63</v>
      </c>
      <c r="AF15" s="10" t="s">
        <v>154</v>
      </c>
      <c r="AG15" s="3"/>
      <c r="AH15" s="3"/>
      <c r="AI15" s="3"/>
      <c r="AJ15" s="3"/>
    </row>
    <row r="16" spans="1:36" x14ac:dyDescent="0.3">
      <c r="A16" s="5" t="s">
        <v>151</v>
      </c>
      <c r="B16" s="6">
        <v>45996</v>
      </c>
      <c r="C16" s="7" t="s">
        <v>104</v>
      </c>
      <c r="D16" s="8" t="s">
        <v>155</v>
      </c>
      <c r="E16" s="7" t="s">
        <v>99</v>
      </c>
      <c r="F16" s="7" t="s">
        <v>40</v>
      </c>
      <c r="G16" s="9">
        <v>0.1173</v>
      </c>
      <c r="H16" s="10">
        <v>179</v>
      </c>
      <c r="I16" s="10">
        <v>21</v>
      </c>
      <c r="J16" s="10">
        <v>0</v>
      </c>
      <c r="K16" s="7" t="s">
        <v>41</v>
      </c>
      <c r="L16" s="11" t="s">
        <v>54</v>
      </c>
      <c r="M16" s="10">
        <v>0</v>
      </c>
      <c r="N16" s="10">
        <v>0</v>
      </c>
      <c r="O16" s="10">
        <v>1</v>
      </c>
      <c r="P16" s="7" t="s">
        <v>71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10" t="s">
        <v>156</v>
      </c>
      <c r="AF16" s="10" t="s">
        <v>64</v>
      </c>
      <c r="AG16" s="3"/>
      <c r="AH16" s="3"/>
      <c r="AI16" s="3"/>
      <c r="AJ16" s="3"/>
    </row>
    <row r="17" spans="1:36" x14ac:dyDescent="0.3">
      <c r="A17" s="5" t="s">
        <v>151</v>
      </c>
      <c r="B17" s="6">
        <v>45996</v>
      </c>
      <c r="C17" s="7" t="s">
        <v>109</v>
      </c>
      <c r="D17" s="8" t="s">
        <v>157</v>
      </c>
      <c r="E17" s="7" t="s">
        <v>99</v>
      </c>
      <c r="F17" s="7" t="s">
        <v>40</v>
      </c>
      <c r="G17" s="9">
        <v>0.16200000000000001</v>
      </c>
      <c r="H17" s="10">
        <v>179</v>
      </c>
      <c r="I17" s="10">
        <v>29</v>
      </c>
      <c r="J17" s="10">
        <v>0</v>
      </c>
      <c r="K17" s="7" t="s">
        <v>41</v>
      </c>
      <c r="L17" s="11" t="s">
        <v>111</v>
      </c>
      <c r="M17" s="10">
        <v>0</v>
      </c>
      <c r="N17" s="10">
        <v>3</v>
      </c>
      <c r="O17" s="10">
        <v>11</v>
      </c>
      <c r="P17" s="7" t="s">
        <v>127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0" t="s">
        <v>108</v>
      </c>
      <c r="AF17" s="10" t="s">
        <v>64</v>
      </c>
      <c r="AG17" s="3"/>
      <c r="AH17" s="3"/>
      <c r="AI17" s="3"/>
      <c r="AJ17" s="3"/>
    </row>
    <row r="18" spans="1:36" x14ac:dyDescent="0.3">
      <c r="A18" s="5" t="s">
        <v>151</v>
      </c>
      <c r="B18" s="6">
        <v>45996</v>
      </c>
      <c r="C18" s="7" t="s">
        <v>97</v>
      </c>
      <c r="D18" s="8" t="s">
        <v>110</v>
      </c>
      <c r="E18" s="7" t="s">
        <v>99</v>
      </c>
      <c r="F18" s="7" t="s">
        <v>40</v>
      </c>
      <c r="G18" s="9">
        <v>0.3911</v>
      </c>
      <c r="H18" s="10">
        <v>179</v>
      </c>
      <c r="I18" s="10">
        <v>70</v>
      </c>
      <c r="J18" s="10">
        <v>45</v>
      </c>
      <c r="K18" s="7" t="s">
        <v>41</v>
      </c>
      <c r="L18" s="11" t="s">
        <v>158</v>
      </c>
      <c r="M18" s="10">
        <v>0</v>
      </c>
      <c r="N18" s="10">
        <v>0</v>
      </c>
      <c r="O18" s="10">
        <v>0</v>
      </c>
      <c r="P18" s="7" t="s">
        <v>120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 t="s">
        <v>159</v>
      </c>
      <c r="AE18" s="10" t="s">
        <v>63</v>
      </c>
      <c r="AF18" s="10" t="s">
        <v>64</v>
      </c>
      <c r="AG18" s="3"/>
      <c r="AH18" s="3"/>
      <c r="AI18" s="10" t="s">
        <v>160</v>
      </c>
      <c r="AJ18" s="3"/>
    </row>
    <row r="19" spans="1:36" x14ac:dyDescent="0.3">
      <c r="A19" s="5" t="s">
        <v>151</v>
      </c>
      <c r="B19" s="6">
        <v>45996</v>
      </c>
      <c r="C19" s="7" t="s">
        <v>125</v>
      </c>
      <c r="D19" s="8" t="s">
        <v>161</v>
      </c>
      <c r="E19" s="7" t="s">
        <v>99</v>
      </c>
      <c r="F19" s="7" t="s">
        <v>40</v>
      </c>
      <c r="G19" s="9">
        <v>0.49159999999999998</v>
      </c>
      <c r="H19" s="10">
        <v>179</v>
      </c>
      <c r="I19" s="10">
        <v>88</v>
      </c>
      <c r="J19" s="10">
        <v>45</v>
      </c>
      <c r="K19" s="7" t="s">
        <v>41</v>
      </c>
      <c r="L19" s="11" t="s">
        <v>111</v>
      </c>
      <c r="M19" s="10">
        <v>0</v>
      </c>
      <c r="N19" s="10">
        <v>2</v>
      </c>
      <c r="O19" s="10">
        <v>61</v>
      </c>
      <c r="P19" s="7" t="s">
        <v>78</v>
      </c>
      <c r="Q19" s="3"/>
      <c r="R19" s="3"/>
      <c r="S19" s="3"/>
      <c r="T19" s="3"/>
      <c r="U19" s="3"/>
      <c r="V19" s="3"/>
      <c r="W19" s="3"/>
      <c r="X19" s="3"/>
      <c r="Y19" s="3"/>
      <c r="Z19" s="10" t="s">
        <v>107</v>
      </c>
      <c r="AA19" s="3"/>
      <c r="AB19" s="3"/>
      <c r="AC19" s="10" t="s">
        <v>84</v>
      </c>
      <c r="AD19" s="10" t="s">
        <v>162</v>
      </c>
      <c r="AE19" s="10" t="s">
        <v>47</v>
      </c>
      <c r="AF19" s="10" t="s">
        <v>163</v>
      </c>
      <c r="AG19" s="3"/>
      <c r="AH19" s="3"/>
      <c r="AI19" s="10" t="s">
        <v>164</v>
      </c>
      <c r="AJ19" s="3"/>
    </row>
    <row r="20" spans="1:36" x14ac:dyDescent="0.3">
      <c r="A20" s="5" t="s">
        <v>151</v>
      </c>
      <c r="B20" s="6">
        <v>45996</v>
      </c>
      <c r="C20" s="7" t="s">
        <v>119</v>
      </c>
      <c r="D20" s="8" t="s">
        <v>165</v>
      </c>
      <c r="E20" s="7" t="s">
        <v>99</v>
      </c>
      <c r="F20" s="7" t="s">
        <v>40</v>
      </c>
      <c r="G20" s="9">
        <v>0.91620000000000001</v>
      </c>
      <c r="H20" s="10">
        <v>179</v>
      </c>
      <c r="I20" s="10">
        <v>164</v>
      </c>
      <c r="J20" s="10">
        <v>140</v>
      </c>
      <c r="K20" s="7" t="s">
        <v>41</v>
      </c>
      <c r="L20" s="11" t="s">
        <v>166</v>
      </c>
      <c r="M20" s="10">
        <v>0</v>
      </c>
      <c r="N20" s="10">
        <v>0</v>
      </c>
      <c r="O20" s="10">
        <v>0</v>
      </c>
      <c r="P20" s="7" t="s">
        <v>167</v>
      </c>
      <c r="Q20" s="3"/>
      <c r="R20" s="3"/>
      <c r="S20" s="3"/>
      <c r="T20" s="3"/>
      <c r="U20" s="3"/>
      <c r="V20" s="3"/>
      <c r="W20" s="3"/>
      <c r="X20" s="3"/>
      <c r="Y20" s="3"/>
      <c r="Z20" s="10" t="s">
        <v>70</v>
      </c>
      <c r="AA20" s="3"/>
      <c r="AB20" s="3"/>
      <c r="AC20" s="3"/>
      <c r="AD20" s="3"/>
      <c r="AE20" s="10" t="s">
        <v>71</v>
      </c>
      <c r="AF20" s="10" t="s">
        <v>64</v>
      </c>
      <c r="AG20" s="3"/>
      <c r="AH20" s="3"/>
      <c r="AI20" s="10" t="s">
        <v>168</v>
      </c>
      <c r="AJ20" s="3"/>
    </row>
    <row r="21" spans="1:36" x14ac:dyDescent="0.3">
      <c r="A21" s="5" t="s">
        <v>80</v>
      </c>
      <c r="B21" s="6">
        <v>45997</v>
      </c>
      <c r="C21" s="7" t="s">
        <v>169</v>
      </c>
      <c r="D21" s="8" t="s">
        <v>170</v>
      </c>
      <c r="E21" s="7" t="s">
        <v>99</v>
      </c>
      <c r="F21" s="7" t="s">
        <v>40</v>
      </c>
      <c r="G21" s="9">
        <v>0.35749999999999998</v>
      </c>
      <c r="H21" s="10">
        <v>179</v>
      </c>
      <c r="I21" s="10">
        <v>64</v>
      </c>
      <c r="J21" s="10">
        <v>29</v>
      </c>
      <c r="K21" s="7" t="s">
        <v>41</v>
      </c>
      <c r="L21" s="11" t="s">
        <v>111</v>
      </c>
      <c r="M21" s="10">
        <v>0</v>
      </c>
      <c r="N21" s="10">
        <v>5</v>
      </c>
      <c r="O21" s="10">
        <v>15</v>
      </c>
      <c r="P21" s="7" t="s">
        <v>120</v>
      </c>
      <c r="Q21" s="3"/>
      <c r="R21" s="3"/>
      <c r="S21" s="3"/>
      <c r="T21" s="3"/>
      <c r="U21" s="3"/>
      <c r="V21" s="3"/>
      <c r="W21" s="3"/>
      <c r="X21" s="3"/>
      <c r="Y21" s="3"/>
      <c r="Z21" s="10" t="s">
        <v>131</v>
      </c>
      <c r="AA21" s="3"/>
      <c r="AB21" s="3"/>
      <c r="AC21" s="3"/>
      <c r="AD21" s="10" t="s">
        <v>139</v>
      </c>
      <c r="AE21" s="10" t="s">
        <v>121</v>
      </c>
      <c r="AF21" s="10" t="s">
        <v>64</v>
      </c>
      <c r="AG21" s="3"/>
      <c r="AH21" s="3"/>
      <c r="AI21" s="10" t="s">
        <v>171</v>
      </c>
      <c r="AJ21" s="3"/>
    </row>
    <row r="22" spans="1:36" x14ac:dyDescent="0.3">
      <c r="A22" s="5" t="s">
        <v>80</v>
      </c>
      <c r="B22" s="6">
        <v>45997</v>
      </c>
      <c r="C22" s="7" t="s">
        <v>104</v>
      </c>
      <c r="D22" s="8" t="s">
        <v>172</v>
      </c>
      <c r="E22" s="7" t="s">
        <v>99</v>
      </c>
      <c r="F22" s="7" t="s">
        <v>40</v>
      </c>
      <c r="G22" s="9">
        <v>0.8659</v>
      </c>
      <c r="H22" s="10">
        <v>179</v>
      </c>
      <c r="I22" s="10">
        <v>155</v>
      </c>
      <c r="J22" s="10">
        <v>113</v>
      </c>
      <c r="K22" s="7" t="s">
        <v>41</v>
      </c>
      <c r="L22" s="11" t="s">
        <v>111</v>
      </c>
      <c r="M22" s="10">
        <v>0</v>
      </c>
      <c r="N22" s="10">
        <v>1</v>
      </c>
      <c r="O22" s="10">
        <v>46</v>
      </c>
      <c r="P22" s="7" t="s">
        <v>139</v>
      </c>
      <c r="Q22" s="3"/>
      <c r="R22" s="3"/>
      <c r="S22" s="3"/>
      <c r="T22" s="3"/>
      <c r="U22" s="3"/>
      <c r="V22" s="3"/>
      <c r="W22" s="3"/>
      <c r="X22" s="3"/>
      <c r="Y22" s="3"/>
      <c r="Z22" s="10" t="s">
        <v>107</v>
      </c>
      <c r="AA22" s="3"/>
      <c r="AB22" s="3"/>
      <c r="AC22" s="10" t="s">
        <v>84</v>
      </c>
      <c r="AD22" s="10" t="s">
        <v>120</v>
      </c>
      <c r="AE22" s="10" t="s">
        <v>121</v>
      </c>
      <c r="AF22" s="10" t="s">
        <v>64</v>
      </c>
      <c r="AG22" s="3"/>
      <c r="AH22" s="3"/>
      <c r="AI22" s="10" t="s">
        <v>173</v>
      </c>
      <c r="AJ22" s="3"/>
    </row>
    <row r="23" spans="1:36" x14ac:dyDescent="0.3">
      <c r="A23" s="5" t="s">
        <v>80</v>
      </c>
      <c r="B23" s="6">
        <v>45997</v>
      </c>
      <c r="C23" s="7" t="s">
        <v>109</v>
      </c>
      <c r="D23" s="8" t="s">
        <v>174</v>
      </c>
      <c r="E23" s="7" t="s">
        <v>99</v>
      </c>
      <c r="F23" s="7" t="s">
        <v>40</v>
      </c>
      <c r="G23" s="9">
        <v>1.0223</v>
      </c>
      <c r="H23" s="10">
        <v>179</v>
      </c>
      <c r="I23" s="10">
        <v>183</v>
      </c>
      <c r="J23" s="10">
        <v>178</v>
      </c>
      <c r="K23" s="7" t="s">
        <v>41</v>
      </c>
      <c r="L23" s="11" t="s">
        <v>175</v>
      </c>
      <c r="M23" s="10">
        <v>0</v>
      </c>
      <c r="N23" s="10">
        <v>0</v>
      </c>
      <c r="O23" s="10">
        <v>46</v>
      </c>
      <c r="P23" s="7" t="s">
        <v>69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10" t="s">
        <v>176</v>
      </c>
      <c r="AG23" s="10" t="s">
        <v>177</v>
      </c>
      <c r="AH23" s="3"/>
      <c r="AI23" s="10" t="s">
        <v>178</v>
      </c>
      <c r="AJ23" s="10" t="s">
        <v>179</v>
      </c>
    </row>
    <row r="24" spans="1:36" x14ac:dyDescent="0.3">
      <c r="A24" s="5" t="s">
        <v>86</v>
      </c>
      <c r="B24" s="6">
        <v>45998</v>
      </c>
      <c r="C24" s="7" t="s">
        <v>135</v>
      </c>
      <c r="D24" s="8" t="s">
        <v>180</v>
      </c>
      <c r="E24" s="7" t="s">
        <v>99</v>
      </c>
      <c r="F24" s="7" t="s">
        <v>40</v>
      </c>
      <c r="G24" s="9">
        <v>0.49719999999999998</v>
      </c>
      <c r="H24" s="10">
        <v>179</v>
      </c>
      <c r="I24" s="10">
        <v>89</v>
      </c>
      <c r="J24" s="10">
        <v>61</v>
      </c>
      <c r="K24" s="7" t="s">
        <v>41</v>
      </c>
      <c r="L24" s="11" t="s">
        <v>111</v>
      </c>
      <c r="M24" s="10">
        <v>0</v>
      </c>
      <c r="N24" s="10">
        <v>2</v>
      </c>
      <c r="O24" s="10">
        <v>9</v>
      </c>
      <c r="P24" s="7" t="s">
        <v>71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10" t="s">
        <v>181</v>
      </c>
      <c r="AD24" s="10" t="s">
        <v>78</v>
      </c>
      <c r="AE24" s="10" t="s">
        <v>63</v>
      </c>
      <c r="AF24" s="10" t="s">
        <v>64</v>
      </c>
      <c r="AG24" s="10" t="s">
        <v>182</v>
      </c>
      <c r="AH24" s="3"/>
      <c r="AI24" s="10" t="s">
        <v>183</v>
      </c>
      <c r="AJ24" s="3"/>
    </row>
    <row r="25" spans="1:36" x14ac:dyDescent="0.3">
      <c r="A25" s="5" t="s">
        <v>86</v>
      </c>
      <c r="B25" s="6">
        <v>45998</v>
      </c>
      <c r="C25" s="7" t="s">
        <v>104</v>
      </c>
      <c r="D25" s="8" t="s">
        <v>155</v>
      </c>
      <c r="E25" s="7" t="s">
        <v>99</v>
      </c>
      <c r="F25" s="7" t="s">
        <v>40</v>
      </c>
      <c r="G25" s="9">
        <v>0.1676</v>
      </c>
      <c r="H25" s="10">
        <v>179</v>
      </c>
      <c r="I25" s="10">
        <v>30</v>
      </c>
      <c r="J25" s="10">
        <v>0</v>
      </c>
      <c r="K25" s="7" t="s">
        <v>41</v>
      </c>
      <c r="L25" s="11" t="s">
        <v>111</v>
      </c>
      <c r="M25" s="10">
        <v>0</v>
      </c>
      <c r="N25" s="10">
        <v>2</v>
      </c>
      <c r="O25" s="10">
        <v>20</v>
      </c>
      <c r="P25" s="7" t="s">
        <v>120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10" t="s">
        <v>63</v>
      </c>
      <c r="AF25" s="10" t="s">
        <v>122</v>
      </c>
      <c r="AG25" s="3"/>
      <c r="AH25" s="3"/>
      <c r="AI25" s="3"/>
      <c r="AJ25" s="3"/>
    </row>
    <row r="26" spans="1:36" x14ac:dyDescent="0.3">
      <c r="A26" s="5" t="s">
        <v>86</v>
      </c>
      <c r="B26" s="6">
        <v>45998</v>
      </c>
      <c r="C26" s="7" t="s">
        <v>184</v>
      </c>
      <c r="D26" s="8" t="s">
        <v>172</v>
      </c>
      <c r="E26" s="7" t="s">
        <v>99</v>
      </c>
      <c r="F26" s="7" t="s">
        <v>40</v>
      </c>
      <c r="G26" s="9">
        <v>0.16669999999999999</v>
      </c>
      <c r="H26" s="10">
        <v>168</v>
      </c>
      <c r="I26" s="10">
        <v>28</v>
      </c>
      <c r="J26" s="10">
        <v>0</v>
      </c>
      <c r="K26" s="7" t="s">
        <v>41</v>
      </c>
      <c r="L26" s="11" t="s">
        <v>111</v>
      </c>
      <c r="M26" s="10">
        <v>0</v>
      </c>
      <c r="N26" s="10">
        <v>1</v>
      </c>
      <c r="O26" s="10">
        <v>18</v>
      </c>
      <c r="P26" s="7" t="s">
        <v>127</v>
      </c>
      <c r="Q26" s="3"/>
      <c r="R26" s="3"/>
      <c r="S26" s="3"/>
      <c r="T26" s="3"/>
      <c r="U26" s="3"/>
      <c r="V26" s="3"/>
      <c r="W26" s="3"/>
      <c r="X26" s="3"/>
      <c r="Y26" s="3"/>
      <c r="Z26" s="10" t="s">
        <v>185</v>
      </c>
      <c r="AA26" s="3"/>
      <c r="AB26" s="3"/>
      <c r="AC26" s="3"/>
      <c r="AD26" s="3"/>
      <c r="AE26" s="10" t="s">
        <v>71</v>
      </c>
      <c r="AF26" s="10" t="s">
        <v>64</v>
      </c>
      <c r="AG26" s="3"/>
      <c r="AH26" s="3"/>
      <c r="AI26" s="3"/>
      <c r="AJ26" s="3"/>
    </row>
    <row r="27" spans="1:36" x14ac:dyDescent="0.3">
      <c r="A27" s="5" t="s">
        <v>86</v>
      </c>
      <c r="B27" s="6">
        <v>45998</v>
      </c>
      <c r="C27" s="7" t="s">
        <v>119</v>
      </c>
      <c r="D27" s="8" t="s">
        <v>186</v>
      </c>
      <c r="E27" s="7" t="s">
        <v>99</v>
      </c>
      <c r="F27" s="7" t="s">
        <v>40</v>
      </c>
      <c r="G27" s="9">
        <v>0.86029999999999995</v>
      </c>
      <c r="H27" s="10">
        <v>179</v>
      </c>
      <c r="I27" s="10">
        <v>154</v>
      </c>
      <c r="J27" s="10">
        <v>130</v>
      </c>
      <c r="K27" s="7" t="s">
        <v>41</v>
      </c>
      <c r="L27" s="11" t="s">
        <v>111</v>
      </c>
      <c r="M27" s="10">
        <v>0</v>
      </c>
      <c r="N27" s="10">
        <v>1</v>
      </c>
      <c r="O27" s="10">
        <v>38</v>
      </c>
      <c r="P27" s="7" t="s">
        <v>185</v>
      </c>
      <c r="Q27" s="3"/>
      <c r="R27" s="3"/>
      <c r="S27" s="3"/>
      <c r="T27" s="3"/>
      <c r="U27" s="3"/>
      <c r="V27" s="3"/>
      <c r="W27" s="3"/>
      <c r="X27" s="3"/>
      <c r="Y27" s="3"/>
      <c r="Z27" s="10" t="s">
        <v>131</v>
      </c>
      <c r="AA27" s="3"/>
      <c r="AB27" s="3"/>
      <c r="AC27" s="3"/>
      <c r="AD27" s="10" t="s">
        <v>102</v>
      </c>
      <c r="AE27" s="10" t="s">
        <v>71</v>
      </c>
      <c r="AF27" s="10" t="s">
        <v>187</v>
      </c>
      <c r="AG27" s="3"/>
      <c r="AH27" s="3"/>
      <c r="AI27" s="10" t="s">
        <v>178</v>
      </c>
      <c r="AJ27" s="3"/>
    </row>
    <row r="28" spans="1:36" x14ac:dyDescent="0.3">
      <c r="A28" s="5" t="s">
        <v>86</v>
      </c>
      <c r="B28" s="6">
        <v>45998</v>
      </c>
      <c r="C28" s="7" t="s">
        <v>109</v>
      </c>
      <c r="D28" s="8" t="s">
        <v>188</v>
      </c>
      <c r="E28" s="7" t="s">
        <v>99</v>
      </c>
      <c r="F28" s="7" t="s">
        <v>40</v>
      </c>
      <c r="G28" s="9">
        <v>0.96650000000000003</v>
      </c>
      <c r="H28" s="10">
        <v>179</v>
      </c>
      <c r="I28" s="10">
        <v>173</v>
      </c>
      <c r="J28" s="10">
        <v>155</v>
      </c>
      <c r="K28" s="7" t="s">
        <v>41</v>
      </c>
      <c r="L28" s="11" t="s">
        <v>111</v>
      </c>
      <c r="M28" s="10">
        <v>0</v>
      </c>
      <c r="N28" s="10">
        <v>3</v>
      </c>
      <c r="O28" s="10">
        <v>3</v>
      </c>
      <c r="P28" s="7" t="s">
        <v>189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10" t="s">
        <v>47</v>
      </c>
      <c r="AF28" s="10" t="s">
        <v>64</v>
      </c>
      <c r="AG28" s="3"/>
      <c r="AH28" s="3"/>
      <c r="AI28" s="10" t="s">
        <v>190</v>
      </c>
      <c r="AJ28" s="3"/>
    </row>
    <row r="29" spans="1:36" ht="21" x14ac:dyDescent="0.3">
      <c r="A29" s="12" t="s">
        <v>221</v>
      </c>
      <c r="B29" s="13"/>
      <c r="C29" s="12">
        <f>SUBTOTAL(103,JED_CAI_LF_LEGACY[Flt])</f>
        <v>27</v>
      </c>
      <c r="D29" s="12"/>
      <c r="E29" s="12">
        <f>SUBTOTAL(103,JED_CAI_LF_LEGACY[Brd-Off])</f>
        <v>27</v>
      </c>
      <c r="F29" s="12"/>
      <c r="G29" s="14">
        <f>SUBTOTAL(101,JED_CAI_LF_LEGACY[LF%])</f>
        <v>0.59794074074074088</v>
      </c>
      <c r="H29" s="15">
        <f>SUBTOTAL(109,JED_CAI_LF_LEGACY[CAP])</f>
        <v>4822</v>
      </c>
      <c r="I29" s="15">
        <f>SUBTOTAL(109,JED_CAI_LF_LEGACY[BKG(Y)])</f>
        <v>2888</v>
      </c>
      <c r="J29" s="15">
        <f>SUBTOTAL(109,JED_CAI_LF_LEGACY[GRP(Y)])</f>
        <v>2100</v>
      </c>
      <c r="K29" s="12"/>
      <c r="L29" s="13"/>
      <c r="M29" s="15">
        <f>SUBTOTAL(109,JED_CAI_LF_LEGACY[TO-DAY])</f>
        <v>0</v>
      </c>
      <c r="N29" s="15">
        <f>SUBTOTAL(109,JED_CAI_LF_LEGACY[Y-DAY])</f>
        <v>43</v>
      </c>
      <c r="O29" s="15">
        <f>SUBTOTAL(109,JED_CAI_LF_LEGACY[WEEKLY])</f>
        <v>481</v>
      </c>
      <c r="P29" s="16"/>
      <c r="Q29" s="15">
        <f>SUBTOTAL(109,JED_CAI_LF_LEGACY[Y])</f>
        <v>0</v>
      </c>
      <c r="R29" s="15">
        <f>SUBTOTAL(109,JED_CAI_LF_LEGACY[B])</f>
        <v>0</v>
      </c>
      <c r="S29" s="15">
        <f>SUBTOTAL(109,JED_CAI_LF_LEGACY[M])</f>
        <v>0</v>
      </c>
      <c r="T29" s="15">
        <f>SUBTOTAL(109,JED_CAI_LF_LEGACY[H])</f>
        <v>0</v>
      </c>
      <c r="U29" s="15">
        <f>SUBTOTAL(109,JED_CAI_LF_LEGACY[Q])</f>
        <v>0</v>
      </c>
      <c r="V29" s="15">
        <f>SUBTOTAL(109,JED_CAI_LF_LEGACY[K])</f>
        <v>0</v>
      </c>
      <c r="W29" s="15">
        <f>SUBTOTAL(109,JED_CAI_LF_LEGACY[V])</f>
        <v>0</v>
      </c>
      <c r="X29" s="15">
        <f>SUBTOTAL(109,JED_CAI_LF_LEGACY[L])</f>
        <v>0</v>
      </c>
      <c r="Y29" s="15">
        <f>SUBTOTAL(109,JED_CAI_LF_LEGACY[G])</f>
        <v>0</v>
      </c>
      <c r="Z29" s="15">
        <f>SUBTOTAL(109,JED_CAI_LF_LEGACY[S])</f>
        <v>0</v>
      </c>
      <c r="AA29" s="15">
        <f>SUBTOTAL(109,JED_CAI_LF_LEGACY[W])</f>
        <v>0</v>
      </c>
      <c r="AB29" s="15">
        <f>SUBTOTAL(109,JED_CAI_LF_LEGACY[T])</f>
        <v>0</v>
      </c>
      <c r="AC29" s="15">
        <f>SUBTOTAL(109,JED_CAI_LF_LEGACY[X])</f>
        <v>0</v>
      </c>
      <c r="AD29" s="15">
        <f>SUBTOTAL(109,JED_CAI_LF_LEGACY[U])</f>
        <v>0</v>
      </c>
      <c r="AE29" s="15">
        <f>SUBTOTAL(109,JED_CAI_LF_LEGACY[O])</f>
        <v>0</v>
      </c>
      <c r="AF29" s="15">
        <f>SUBTOTAL(109,JED_CAI_LF_LEGACY[I])</f>
        <v>0</v>
      </c>
      <c r="AG29" s="15">
        <f>SUBTOTAL(109,JED_CAI_LF_LEGACY[E])</f>
        <v>0</v>
      </c>
      <c r="AH29" s="15">
        <f>SUBTOTAL(109,JED_CAI_LF_LEGACY[A])</f>
        <v>0</v>
      </c>
      <c r="AI29" s="15">
        <f>SUBTOTAL(109,JED_CAI_LF_LEGACY[P])</f>
        <v>0</v>
      </c>
      <c r="AJ29" s="15">
        <f>SUBTOTAL(103,JED_CAI_LF_LEGACY[N])</f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1"/>
  <sheetViews>
    <sheetView workbookViewId="0"/>
  </sheetViews>
  <sheetFormatPr defaultRowHeight="15.6" outlineLevelCol="1" x14ac:dyDescent="0.3"/>
  <cols>
    <col min="1" max="1" width="11.5546875" style="4" bestFit="1" customWidth="1"/>
    <col min="2" max="2" width="9" style="4" bestFit="1" customWidth="1"/>
    <col min="3" max="3" width="6.77734375" style="4" bestFit="1" customWidth="1"/>
    <col min="4" max="4" width="5.5546875" style="4" bestFit="1" customWidth="1"/>
    <col min="5" max="5" width="8.33203125" style="4" bestFit="1" customWidth="1"/>
    <col min="6" max="6" width="4.21875" style="4" bestFit="1" customWidth="1"/>
    <col min="7" max="7" width="10" style="4" bestFit="1" customWidth="1"/>
    <col min="8" max="8" width="8.5546875" style="4" bestFit="1" customWidth="1"/>
    <col min="9" max="10" width="7" style="4" bestFit="1" customWidth="1"/>
    <col min="11" max="11" width="10.5546875" style="4" bestFit="1" customWidth="1"/>
    <col min="12" max="12" width="18.109375" style="4" bestFit="1" customWidth="1"/>
    <col min="13" max="13" width="7.6640625" style="4" bestFit="1" customWidth="1" outlineLevel="1"/>
    <col min="14" max="14" width="6.33203125" style="4" bestFit="1" customWidth="1" outlineLevel="1"/>
    <col min="15" max="15" width="8" style="4" bestFit="1" customWidth="1" outlineLevel="1"/>
    <col min="16" max="16" width="13.6640625" style="4" bestFit="1" customWidth="1"/>
    <col min="17" max="30" width="3.88671875" style="4" bestFit="1" customWidth="1"/>
    <col min="31" max="31" width="4.5546875" style="4" bestFit="1" customWidth="1"/>
    <col min="32" max="36" width="3.88671875" style="4" bestFit="1" customWidth="1"/>
    <col min="37" max="16384" width="8.88671875" style="4"/>
  </cols>
  <sheetData>
    <row r="1" spans="1: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3">
      <c r="A2" s="5" t="s">
        <v>96</v>
      </c>
      <c r="B2" s="6">
        <v>45992</v>
      </c>
      <c r="C2" s="7" t="s">
        <v>191</v>
      </c>
      <c r="D2" s="8" t="s">
        <v>192</v>
      </c>
      <c r="E2" s="7" t="s">
        <v>193</v>
      </c>
      <c r="F2" s="7" t="s">
        <v>40</v>
      </c>
      <c r="G2" s="9">
        <v>4.1700000000000001E-2</v>
      </c>
      <c r="H2" s="10">
        <v>168</v>
      </c>
      <c r="I2" s="10">
        <v>7</v>
      </c>
      <c r="J2" s="10">
        <v>0</v>
      </c>
      <c r="K2" s="7" t="s">
        <v>41</v>
      </c>
      <c r="L2" s="11" t="s">
        <v>111</v>
      </c>
      <c r="M2" s="10">
        <v>0</v>
      </c>
      <c r="N2" s="10">
        <v>1</v>
      </c>
      <c r="O2" s="10">
        <v>4</v>
      </c>
      <c r="P2" s="7" t="s">
        <v>187</v>
      </c>
      <c r="Q2" s="3"/>
      <c r="R2" s="3"/>
      <c r="S2" s="3"/>
      <c r="T2" s="3"/>
      <c r="U2" s="3"/>
      <c r="V2" s="10" t="s">
        <v>194</v>
      </c>
      <c r="W2" s="3"/>
      <c r="X2" s="3"/>
      <c r="Y2" s="3"/>
      <c r="Z2" s="3"/>
      <c r="AA2" s="3"/>
      <c r="AB2" s="3"/>
      <c r="AC2" s="10" t="s">
        <v>84</v>
      </c>
      <c r="AD2" s="3"/>
      <c r="AE2" s="3"/>
      <c r="AF2" s="10" t="s">
        <v>176</v>
      </c>
      <c r="AG2" s="3"/>
      <c r="AH2" s="3"/>
      <c r="AI2" s="3"/>
      <c r="AJ2" s="3"/>
    </row>
    <row r="3" spans="1:36" x14ac:dyDescent="0.3">
      <c r="A3" s="5" t="s">
        <v>36</v>
      </c>
      <c r="B3" s="6">
        <v>45993</v>
      </c>
      <c r="C3" s="7" t="s">
        <v>191</v>
      </c>
      <c r="D3" s="8" t="s">
        <v>195</v>
      </c>
      <c r="E3" s="7" t="s">
        <v>193</v>
      </c>
      <c r="F3" s="7" t="s">
        <v>40</v>
      </c>
      <c r="G3" s="9">
        <v>8.9300000000000004E-2</v>
      </c>
      <c r="H3" s="10">
        <v>168</v>
      </c>
      <c r="I3" s="10">
        <v>15</v>
      </c>
      <c r="J3" s="10">
        <v>0</v>
      </c>
      <c r="K3" s="7" t="s">
        <v>41</v>
      </c>
      <c r="L3" s="11" t="s">
        <v>111</v>
      </c>
      <c r="M3" s="10">
        <v>0</v>
      </c>
      <c r="N3" s="10">
        <v>1</v>
      </c>
      <c r="O3" s="10">
        <v>7</v>
      </c>
      <c r="P3" s="7" t="s">
        <v>196</v>
      </c>
      <c r="Q3" s="3"/>
      <c r="R3" s="3"/>
      <c r="S3" s="3"/>
      <c r="T3" s="3"/>
      <c r="U3" s="3"/>
      <c r="V3" s="3"/>
      <c r="W3" s="3"/>
      <c r="X3" s="3"/>
      <c r="Y3" s="3"/>
      <c r="Z3" s="10" t="s">
        <v>83</v>
      </c>
      <c r="AA3" s="3"/>
      <c r="AB3" s="3"/>
      <c r="AC3" s="3"/>
      <c r="AD3" s="3"/>
      <c r="AE3" s="3"/>
      <c r="AF3" s="10" t="s">
        <v>148</v>
      </c>
      <c r="AG3" s="3"/>
      <c r="AH3" s="3"/>
      <c r="AI3" s="3"/>
      <c r="AJ3" s="10" t="s">
        <v>51</v>
      </c>
    </row>
    <row r="4" spans="1:36" x14ac:dyDescent="0.3">
      <c r="A4" s="5" t="s">
        <v>142</v>
      </c>
      <c r="B4" s="6">
        <v>45994</v>
      </c>
      <c r="C4" s="7" t="s">
        <v>197</v>
      </c>
      <c r="D4" s="8" t="s">
        <v>198</v>
      </c>
      <c r="E4" s="7" t="s">
        <v>193</v>
      </c>
      <c r="F4" s="7" t="s">
        <v>40</v>
      </c>
      <c r="G4" s="9">
        <v>0.1429</v>
      </c>
      <c r="H4" s="10">
        <v>168</v>
      </c>
      <c r="I4" s="10">
        <v>24</v>
      </c>
      <c r="J4" s="10">
        <v>0</v>
      </c>
      <c r="K4" s="7" t="s">
        <v>41</v>
      </c>
      <c r="L4" s="11" t="s">
        <v>150</v>
      </c>
      <c r="M4" s="10">
        <v>0</v>
      </c>
      <c r="N4" s="10">
        <v>0</v>
      </c>
      <c r="O4" s="10">
        <v>12</v>
      </c>
      <c r="P4" s="7" t="s">
        <v>187</v>
      </c>
      <c r="Q4" s="3"/>
      <c r="R4" s="3"/>
      <c r="S4" s="3"/>
      <c r="T4" s="3"/>
      <c r="U4" s="3"/>
      <c r="V4" s="10" t="s">
        <v>194</v>
      </c>
      <c r="W4" s="3"/>
      <c r="X4" s="3"/>
      <c r="Y4" s="3"/>
      <c r="Z4" s="10" t="s">
        <v>83</v>
      </c>
      <c r="AA4" s="3"/>
      <c r="AB4" s="3"/>
      <c r="AC4" s="3"/>
      <c r="AD4" s="3"/>
      <c r="AE4" s="10" t="s">
        <v>199</v>
      </c>
      <c r="AF4" s="10" t="s">
        <v>122</v>
      </c>
      <c r="AG4" s="3"/>
      <c r="AH4" s="3"/>
      <c r="AI4" s="3"/>
      <c r="AJ4" s="3"/>
    </row>
    <row r="5" spans="1:36" x14ac:dyDescent="0.3">
      <c r="A5" s="5" t="s">
        <v>142</v>
      </c>
      <c r="B5" s="6">
        <v>45994</v>
      </c>
      <c r="C5" s="7" t="s">
        <v>191</v>
      </c>
      <c r="D5" s="8" t="s">
        <v>192</v>
      </c>
      <c r="E5" s="7" t="s">
        <v>193</v>
      </c>
      <c r="F5" s="7" t="s">
        <v>40</v>
      </c>
      <c r="G5" s="9">
        <v>8.3299999999999999E-2</v>
      </c>
      <c r="H5" s="10">
        <v>168</v>
      </c>
      <c r="I5" s="10">
        <v>14</v>
      </c>
      <c r="J5" s="10">
        <v>0</v>
      </c>
      <c r="K5" s="7" t="s">
        <v>41</v>
      </c>
      <c r="L5" s="11" t="s">
        <v>200</v>
      </c>
      <c r="M5" s="10">
        <v>3</v>
      </c>
      <c r="N5" s="10">
        <v>5</v>
      </c>
      <c r="O5" s="10">
        <v>9</v>
      </c>
      <c r="P5" s="7" t="s">
        <v>201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10" t="s">
        <v>199</v>
      </c>
      <c r="AF5" s="10" t="s">
        <v>163</v>
      </c>
      <c r="AG5" s="3"/>
      <c r="AH5" s="3"/>
      <c r="AI5" s="3"/>
      <c r="AJ5" s="3"/>
    </row>
    <row r="6" spans="1:36" x14ac:dyDescent="0.3">
      <c r="A6" s="5" t="s">
        <v>74</v>
      </c>
      <c r="B6" s="6">
        <v>45995</v>
      </c>
      <c r="C6" s="7" t="s">
        <v>197</v>
      </c>
      <c r="D6" s="8" t="s">
        <v>198</v>
      </c>
      <c r="E6" s="7" t="s">
        <v>193</v>
      </c>
      <c r="F6" s="7" t="s">
        <v>40</v>
      </c>
      <c r="G6" s="9">
        <v>0.16669999999999999</v>
      </c>
      <c r="H6" s="10">
        <v>168</v>
      </c>
      <c r="I6" s="10">
        <v>28</v>
      </c>
      <c r="J6" s="10">
        <v>0</v>
      </c>
      <c r="K6" s="7" t="s">
        <v>41</v>
      </c>
      <c r="L6" s="11" t="s">
        <v>111</v>
      </c>
      <c r="M6" s="10">
        <v>0</v>
      </c>
      <c r="N6" s="10">
        <v>4</v>
      </c>
      <c r="O6" s="10">
        <v>15</v>
      </c>
      <c r="P6" s="7" t="s">
        <v>187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 t="s">
        <v>202</v>
      </c>
      <c r="AE6" s="10" t="s">
        <v>121</v>
      </c>
      <c r="AF6" s="10" t="s">
        <v>203</v>
      </c>
      <c r="AG6" s="3"/>
      <c r="AH6" s="3"/>
      <c r="AI6" s="3"/>
      <c r="AJ6" s="3"/>
    </row>
    <row r="7" spans="1:36" x14ac:dyDescent="0.3">
      <c r="A7" s="5" t="s">
        <v>151</v>
      </c>
      <c r="B7" s="6">
        <v>45996</v>
      </c>
      <c r="C7" s="7" t="s">
        <v>197</v>
      </c>
      <c r="D7" s="8" t="s">
        <v>204</v>
      </c>
      <c r="E7" s="7" t="s">
        <v>193</v>
      </c>
      <c r="F7" s="7" t="s">
        <v>40</v>
      </c>
      <c r="G7" s="9">
        <v>0.15479999999999999</v>
      </c>
      <c r="H7" s="10">
        <v>168</v>
      </c>
      <c r="I7" s="10">
        <v>26</v>
      </c>
      <c r="J7" s="10">
        <v>0</v>
      </c>
      <c r="K7" s="7" t="s">
        <v>41</v>
      </c>
      <c r="L7" s="11" t="s">
        <v>150</v>
      </c>
      <c r="M7" s="10">
        <v>0</v>
      </c>
      <c r="N7" s="10">
        <v>0</v>
      </c>
      <c r="O7" s="10">
        <v>13</v>
      </c>
      <c r="P7" s="7" t="s">
        <v>187</v>
      </c>
      <c r="Q7" s="3"/>
      <c r="R7" s="3"/>
      <c r="S7" s="3"/>
      <c r="T7" s="3"/>
      <c r="U7" s="3"/>
      <c r="V7" s="10" t="s">
        <v>194</v>
      </c>
      <c r="W7" s="3"/>
      <c r="X7" s="3"/>
      <c r="Y7" s="3"/>
      <c r="Z7" s="10" t="s">
        <v>83</v>
      </c>
      <c r="AA7" s="3"/>
      <c r="AB7" s="3"/>
      <c r="AC7" s="3"/>
      <c r="AD7" s="3"/>
      <c r="AE7" s="10" t="s">
        <v>205</v>
      </c>
      <c r="AF7" s="10" t="s">
        <v>48</v>
      </c>
      <c r="AG7" s="3"/>
      <c r="AH7" s="3"/>
      <c r="AI7" s="3"/>
      <c r="AJ7" s="3"/>
    </row>
    <row r="8" spans="1:36" x14ac:dyDescent="0.3">
      <c r="A8" s="5" t="s">
        <v>151</v>
      </c>
      <c r="B8" s="6">
        <v>45996</v>
      </c>
      <c r="C8" s="7" t="s">
        <v>191</v>
      </c>
      <c r="D8" s="8" t="s">
        <v>192</v>
      </c>
      <c r="E8" s="7" t="s">
        <v>193</v>
      </c>
      <c r="F8" s="7" t="s">
        <v>40</v>
      </c>
      <c r="G8" s="9">
        <v>0.17860000000000001</v>
      </c>
      <c r="H8" s="10">
        <v>168</v>
      </c>
      <c r="I8" s="10">
        <v>30</v>
      </c>
      <c r="J8" s="10">
        <v>0</v>
      </c>
      <c r="K8" s="7" t="s">
        <v>41</v>
      </c>
      <c r="L8" s="11" t="s">
        <v>54</v>
      </c>
      <c r="M8" s="10">
        <v>0</v>
      </c>
      <c r="N8" s="10">
        <v>0</v>
      </c>
      <c r="O8" s="10">
        <v>25</v>
      </c>
      <c r="P8" s="7" t="s">
        <v>187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10" t="s">
        <v>206</v>
      </c>
      <c r="AF8" s="10" t="s">
        <v>48</v>
      </c>
      <c r="AG8" s="3"/>
      <c r="AH8" s="3"/>
      <c r="AI8" s="3"/>
      <c r="AJ8" s="3"/>
    </row>
    <row r="9" spans="1:36" x14ac:dyDescent="0.3">
      <c r="A9" s="5" t="s">
        <v>80</v>
      </c>
      <c r="B9" s="6">
        <v>45997</v>
      </c>
      <c r="C9" s="7" t="s">
        <v>197</v>
      </c>
      <c r="D9" s="8" t="s">
        <v>198</v>
      </c>
      <c r="E9" s="7" t="s">
        <v>193</v>
      </c>
      <c r="F9" s="7" t="s">
        <v>40</v>
      </c>
      <c r="G9" s="9">
        <v>7.7399999999999997E-2</v>
      </c>
      <c r="H9" s="10">
        <v>168</v>
      </c>
      <c r="I9" s="10">
        <v>13</v>
      </c>
      <c r="J9" s="10">
        <v>0</v>
      </c>
      <c r="K9" s="7" t="s">
        <v>41</v>
      </c>
      <c r="L9" s="11" t="s">
        <v>111</v>
      </c>
      <c r="M9" s="10">
        <v>0</v>
      </c>
      <c r="N9" s="10">
        <v>2</v>
      </c>
      <c r="O9" s="10">
        <v>4</v>
      </c>
      <c r="P9" s="7" t="s">
        <v>187</v>
      </c>
      <c r="Q9" s="3"/>
      <c r="R9" s="3"/>
      <c r="S9" s="3"/>
      <c r="T9" s="3"/>
      <c r="U9" s="3"/>
      <c r="V9" s="10" t="s">
        <v>194</v>
      </c>
      <c r="W9" s="3"/>
      <c r="X9" s="3"/>
      <c r="Y9" s="3"/>
      <c r="Z9" s="3"/>
      <c r="AA9" s="3"/>
      <c r="AB9" s="3"/>
      <c r="AC9" s="3"/>
      <c r="AD9" s="3"/>
      <c r="AE9" s="3"/>
      <c r="AF9" s="10" t="s">
        <v>163</v>
      </c>
      <c r="AG9" s="3"/>
      <c r="AH9" s="3"/>
      <c r="AI9" s="3"/>
      <c r="AJ9" s="3"/>
    </row>
    <row r="10" spans="1:36" x14ac:dyDescent="0.3">
      <c r="A10" s="5" t="s">
        <v>86</v>
      </c>
      <c r="B10" s="6">
        <v>45998</v>
      </c>
      <c r="C10" s="7" t="s">
        <v>197</v>
      </c>
      <c r="D10" s="8" t="s">
        <v>207</v>
      </c>
      <c r="E10" s="7" t="s">
        <v>193</v>
      </c>
      <c r="F10" s="7" t="s">
        <v>40</v>
      </c>
      <c r="G10" s="9">
        <v>4.1700000000000001E-2</v>
      </c>
      <c r="H10" s="10">
        <v>168</v>
      </c>
      <c r="I10" s="10">
        <v>7</v>
      </c>
      <c r="J10" s="10">
        <v>0</v>
      </c>
      <c r="K10" s="7" t="s">
        <v>41</v>
      </c>
      <c r="L10" s="11" t="s">
        <v>82</v>
      </c>
      <c r="M10" s="10">
        <v>0</v>
      </c>
      <c r="N10" s="10">
        <v>0</v>
      </c>
      <c r="O10" s="10">
        <v>1</v>
      </c>
      <c r="P10" s="7" t="s">
        <v>187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10" t="s">
        <v>127</v>
      </c>
      <c r="AF10" s="10" t="s">
        <v>208</v>
      </c>
      <c r="AG10" s="3"/>
      <c r="AH10" s="3"/>
      <c r="AI10" s="3"/>
      <c r="AJ10" s="3"/>
    </row>
    <row r="11" spans="1:36" ht="21" x14ac:dyDescent="0.3">
      <c r="A11" s="12" t="s">
        <v>221</v>
      </c>
      <c r="B11" s="13"/>
      <c r="C11" s="12">
        <f>SUBTOTAL(103,RUH_CAI_LF_LEGACY[Flt])</f>
        <v>9</v>
      </c>
      <c r="D11" s="12"/>
      <c r="E11" s="12">
        <f>SUBTOTAL(103,RUH_CAI_LF_LEGACY[Brd-Off])</f>
        <v>9</v>
      </c>
      <c r="F11" s="12"/>
      <c r="G11" s="14">
        <f>SUBTOTAL(101,RUH_CAI_LF_LEGACY[LF%])</f>
        <v>0.1084888888888889</v>
      </c>
      <c r="H11" s="15">
        <f>SUBTOTAL(109,RUH_CAI_LF_LEGACY[CAP])</f>
        <v>1512</v>
      </c>
      <c r="I11" s="15">
        <f>SUBTOTAL(109,RUH_CAI_LF_LEGACY[BKG(Y)])</f>
        <v>164</v>
      </c>
      <c r="J11" s="15">
        <f>SUBTOTAL(109,RUH_CAI_LF_LEGACY[GRP(Y)])</f>
        <v>0</v>
      </c>
      <c r="K11" s="12"/>
      <c r="L11" s="13"/>
      <c r="M11" s="15">
        <f>SUBTOTAL(109,RUH_CAI_LF_LEGACY[TO-DAY])</f>
        <v>3</v>
      </c>
      <c r="N11" s="15">
        <f>SUBTOTAL(109,RUH_CAI_LF_LEGACY[Y-DAY])</f>
        <v>13</v>
      </c>
      <c r="O11" s="15">
        <f>SUBTOTAL(109,RUH_CAI_LF_LEGACY[WEEKLY])</f>
        <v>90</v>
      </c>
      <c r="P11" s="16"/>
      <c r="Q11" s="15">
        <f>SUBTOTAL(109,RUH_CAI_LF_LEGACY[Y])</f>
        <v>0</v>
      </c>
      <c r="R11" s="15">
        <f>SUBTOTAL(109,RUH_CAI_LF_LEGACY[B])</f>
        <v>0</v>
      </c>
      <c r="S11" s="15">
        <f>SUBTOTAL(109,RUH_CAI_LF_LEGACY[M])</f>
        <v>0</v>
      </c>
      <c r="T11" s="15">
        <f>SUBTOTAL(109,RUH_CAI_LF_LEGACY[H])</f>
        <v>0</v>
      </c>
      <c r="U11" s="15">
        <f>SUBTOTAL(109,RUH_CAI_LF_LEGACY[Q])</f>
        <v>0</v>
      </c>
      <c r="V11" s="15">
        <f>SUBTOTAL(109,RUH_CAI_LF_LEGACY[K])</f>
        <v>0</v>
      </c>
      <c r="W11" s="15">
        <f>SUBTOTAL(109,RUH_CAI_LF_LEGACY[V])</f>
        <v>0</v>
      </c>
      <c r="X11" s="15">
        <f>SUBTOTAL(109,RUH_CAI_LF_LEGACY[L])</f>
        <v>0</v>
      </c>
      <c r="Y11" s="15">
        <f>SUBTOTAL(109,RUH_CAI_LF_LEGACY[G])</f>
        <v>0</v>
      </c>
      <c r="Z11" s="15">
        <f>SUBTOTAL(109,RUH_CAI_LF_LEGACY[S])</f>
        <v>0</v>
      </c>
      <c r="AA11" s="15">
        <f>SUBTOTAL(109,RUH_CAI_LF_LEGACY[W])</f>
        <v>0</v>
      </c>
      <c r="AB11" s="15">
        <f>SUBTOTAL(109,RUH_CAI_LF_LEGACY[T])</f>
        <v>0</v>
      </c>
      <c r="AC11" s="15">
        <f>SUBTOTAL(109,RUH_CAI_LF_LEGACY[X])</f>
        <v>0</v>
      </c>
      <c r="AD11" s="15">
        <f>SUBTOTAL(109,RUH_CAI_LF_LEGACY[U])</f>
        <v>0</v>
      </c>
      <c r="AE11" s="15">
        <f>SUBTOTAL(109,RUH_CAI_LF_LEGACY[O])</f>
        <v>0</v>
      </c>
      <c r="AF11" s="15">
        <f>SUBTOTAL(109,RUH_CAI_LF_LEGACY[I])</f>
        <v>0</v>
      </c>
      <c r="AG11" s="15">
        <f>SUBTOTAL(109,RUH_CAI_LF_LEGACY[E])</f>
        <v>0</v>
      </c>
      <c r="AH11" s="15">
        <f>SUBTOTAL(109,RUH_CAI_LF_LEGACY[A])</f>
        <v>0</v>
      </c>
      <c r="AI11" s="15">
        <f>SUBTOTAL(109,RUH_CAI_LF_LEGACY[P])</f>
        <v>0</v>
      </c>
      <c r="AJ11" s="15">
        <f>SUBTOTAL(103,RUH_CAI_LF_LEGACY[N])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"/>
  <sheetViews>
    <sheetView workbookViewId="0"/>
  </sheetViews>
  <sheetFormatPr defaultRowHeight="15.6" outlineLevelCol="1" x14ac:dyDescent="0.3"/>
  <cols>
    <col min="1" max="1" width="9.88671875" style="4" bestFit="1" customWidth="1"/>
    <col min="2" max="2" width="9" style="4" bestFit="1" customWidth="1"/>
    <col min="3" max="3" width="6.77734375" style="4" bestFit="1" customWidth="1"/>
    <col min="4" max="4" width="5.5546875" style="4" bestFit="1" customWidth="1"/>
    <col min="5" max="5" width="9.21875" style="4" bestFit="1" customWidth="1"/>
    <col min="6" max="6" width="4.21875" style="4" bestFit="1" customWidth="1"/>
    <col min="7" max="7" width="10" style="4" bestFit="1" customWidth="1"/>
    <col min="8" max="10" width="7" style="4" bestFit="1" customWidth="1"/>
    <col min="11" max="11" width="10.5546875" style="4" bestFit="1" customWidth="1"/>
    <col min="12" max="12" width="18.109375" style="4" bestFit="1" customWidth="1"/>
    <col min="13" max="13" width="7.6640625" style="4" bestFit="1" customWidth="1" outlineLevel="1"/>
    <col min="14" max="14" width="6.33203125" style="4" bestFit="1" customWidth="1" outlineLevel="1"/>
    <col min="15" max="15" width="8" style="4" bestFit="1" customWidth="1" outlineLevel="1"/>
    <col min="16" max="16" width="13.6640625" style="4" bestFit="1" customWidth="1"/>
    <col min="17" max="26" width="3.88671875" style="4" bestFit="1" customWidth="1"/>
    <col min="27" max="27" width="4" style="4" bestFit="1" customWidth="1"/>
    <col min="28" max="28" width="4.21875" style="4" bestFit="1" customWidth="1"/>
    <col min="29" max="29" width="3.88671875" style="4" bestFit="1" customWidth="1"/>
    <col min="30" max="30" width="4.5546875" style="4" bestFit="1" customWidth="1"/>
    <col min="31" max="36" width="3.88671875" style="4" bestFit="1" customWidth="1"/>
    <col min="37" max="16384" width="8.88671875" style="4"/>
  </cols>
  <sheetData>
    <row r="1" spans="1: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3">
      <c r="A2" s="5" t="s">
        <v>36</v>
      </c>
      <c r="B2" s="6">
        <v>45993</v>
      </c>
      <c r="C2" s="7" t="s">
        <v>209</v>
      </c>
      <c r="D2" s="8" t="s">
        <v>210</v>
      </c>
      <c r="E2" s="7" t="s">
        <v>211</v>
      </c>
      <c r="F2" s="7" t="s">
        <v>40</v>
      </c>
      <c r="G2" s="9">
        <v>0.29759999999999998</v>
      </c>
      <c r="H2" s="10">
        <v>168</v>
      </c>
      <c r="I2" s="10">
        <v>50</v>
      </c>
      <c r="J2" s="10">
        <v>0</v>
      </c>
      <c r="K2" s="7" t="s">
        <v>41</v>
      </c>
      <c r="L2" s="11" t="s">
        <v>150</v>
      </c>
      <c r="M2" s="10">
        <v>0</v>
      </c>
      <c r="N2" s="10">
        <v>0</v>
      </c>
      <c r="O2" s="10">
        <v>14</v>
      </c>
      <c r="P2" s="7" t="s">
        <v>212</v>
      </c>
      <c r="Q2" s="3"/>
      <c r="R2" s="3"/>
      <c r="S2" s="3"/>
      <c r="T2" s="3"/>
      <c r="U2" s="3"/>
      <c r="V2" s="3"/>
      <c r="W2" s="3"/>
      <c r="X2" s="3"/>
      <c r="Y2" s="3"/>
      <c r="Z2" s="10" t="s">
        <v>185</v>
      </c>
      <c r="AA2" s="3"/>
      <c r="AB2" s="10" t="s">
        <v>213</v>
      </c>
      <c r="AC2" s="10" t="s">
        <v>181</v>
      </c>
      <c r="AD2" s="10" t="s">
        <v>139</v>
      </c>
      <c r="AE2" s="10" t="s">
        <v>93</v>
      </c>
      <c r="AF2" s="10" t="s">
        <v>214</v>
      </c>
      <c r="AG2" s="3"/>
      <c r="AH2" s="3"/>
      <c r="AI2" s="3"/>
      <c r="AJ2" s="3"/>
    </row>
    <row r="3" spans="1:36" x14ac:dyDescent="0.3">
      <c r="A3" s="5" t="s">
        <v>74</v>
      </c>
      <c r="B3" s="6">
        <v>45995</v>
      </c>
      <c r="C3" s="7" t="s">
        <v>209</v>
      </c>
      <c r="D3" s="8" t="s">
        <v>192</v>
      </c>
      <c r="E3" s="7" t="s">
        <v>211</v>
      </c>
      <c r="F3" s="7" t="s">
        <v>40</v>
      </c>
      <c r="G3" s="9">
        <v>0.28570000000000001</v>
      </c>
      <c r="H3" s="10">
        <v>168</v>
      </c>
      <c r="I3" s="10">
        <v>48</v>
      </c>
      <c r="J3" s="10">
        <v>0</v>
      </c>
      <c r="K3" s="7" t="s">
        <v>41</v>
      </c>
      <c r="L3" s="11" t="s">
        <v>111</v>
      </c>
      <c r="M3" s="10">
        <v>0</v>
      </c>
      <c r="N3" s="10">
        <v>3</v>
      </c>
      <c r="O3" s="10">
        <v>11</v>
      </c>
      <c r="P3" s="7" t="s">
        <v>94</v>
      </c>
      <c r="Q3" s="3"/>
      <c r="R3" s="3"/>
      <c r="S3" s="3"/>
      <c r="T3" s="3"/>
      <c r="U3" s="3"/>
      <c r="V3" s="3"/>
      <c r="W3" s="3"/>
      <c r="X3" s="3"/>
      <c r="Y3" s="3"/>
      <c r="Z3" s="10" t="s">
        <v>77</v>
      </c>
      <c r="AA3" s="10" t="s">
        <v>215</v>
      </c>
      <c r="AB3" s="10" t="s">
        <v>60</v>
      </c>
      <c r="AC3" s="10" t="s">
        <v>216</v>
      </c>
      <c r="AD3" s="10" t="s">
        <v>159</v>
      </c>
      <c r="AE3" s="10" t="s">
        <v>217</v>
      </c>
      <c r="AF3" s="10" t="s">
        <v>218</v>
      </c>
      <c r="AG3" s="3"/>
      <c r="AH3" s="3"/>
      <c r="AI3" s="3"/>
      <c r="AJ3" s="3"/>
    </row>
    <row r="4" spans="1:36" x14ac:dyDescent="0.3">
      <c r="A4" s="5" t="s">
        <v>151</v>
      </c>
      <c r="B4" s="6">
        <v>45996</v>
      </c>
      <c r="C4" s="7" t="s">
        <v>209</v>
      </c>
      <c r="D4" s="8" t="s">
        <v>219</v>
      </c>
      <c r="E4" s="7" t="s">
        <v>211</v>
      </c>
      <c r="F4" s="7" t="s">
        <v>40</v>
      </c>
      <c r="G4" s="9">
        <v>0.34520000000000001</v>
      </c>
      <c r="H4" s="10">
        <v>168</v>
      </c>
      <c r="I4" s="10">
        <v>58</v>
      </c>
      <c r="J4" s="10">
        <v>0</v>
      </c>
      <c r="K4" s="7" t="s">
        <v>41</v>
      </c>
      <c r="L4" s="11" t="s">
        <v>200</v>
      </c>
      <c r="M4" s="10">
        <v>1</v>
      </c>
      <c r="N4" s="10">
        <v>0</v>
      </c>
      <c r="O4" s="10">
        <v>10</v>
      </c>
      <c r="P4" s="7" t="s">
        <v>127</v>
      </c>
      <c r="Q4" s="3"/>
      <c r="R4" s="3"/>
      <c r="S4" s="3"/>
      <c r="T4" s="3"/>
      <c r="U4" s="3"/>
      <c r="V4" s="3"/>
      <c r="W4" s="3"/>
      <c r="X4" s="3"/>
      <c r="Y4" s="3"/>
      <c r="Z4" s="10" t="s">
        <v>44</v>
      </c>
      <c r="AA4" s="3"/>
      <c r="AB4" s="10" t="s">
        <v>220</v>
      </c>
      <c r="AC4" s="10" t="s">
        <v>114</v>
      </c>
      <c r="AD4" s="10" t="s">
        <v>62</v>
      </c>
      <c r="AE4" s="10" t="s">
        <v>205</v>
      </c>
      <c r="AF4" s="10" t="s">
        <v>214</v>
      </c>
      <c r="AG4" s="3"/>
      <c r="AH4" s="3"/>
      <c r="AI4" s="3"/>
      <c r="AJ4" s="3"/>
    </row>
    <row r="5" spans="1:36" x14ac:dyDescent="0.3">
      <c r="A5" s="5" t="s">
        <v>80</v>
      </c>
      <c r="B5" s="6">
        <v>45997</v>
      </c>
      <c r="C5" s="7" t="s">
        <v>209</v>
      </c>
      <c r="D5" s="8" t="s">
        <v>192</v>
      </c>
      <c r="E5" s="7" t="s">
        <v>211</v>
      </c>
      <c r="F5" s="7" t="s">
        <v>40</v>
      </c>
      <c r="G5" s="9">
        <v>0.125</v>
      </c>
      <c r="H5" s="10">
        <v>168</v>
      </c>
      <c r="I5" s="10">
        <v>21</v>
      </c>
      <c r="J5" s="10">
        <v>0</v>
      </c>
      <c r="K5" s="7" t="s">
        <v>41</v>
      </c>
      <c r="L5" s="11" t="s">
        <v>150</v>
      </c>
      <c r="M5" s="10">
        <v>0</v>
      </c>
      <c r="N5" s="10">
        <v>0</v>
      </c>
      <c r="O5" s="10">
        <v>1</v>
      </c>
      <c r="P5" s="7" t="s">
        <v>187</v>
      </c>
      <c r="Q5" s="3"/>
      <c r="R5" s="3"/>
      <c r="S5" s="3"/>
      <c r="T5" s="3"/>
      <c r="U5" s="3"/>
      <c r="V5" s="3"/>
      <c r="W5" s="3"/>
      <c r="X5" s="3"/>
      <c r="Y5" s="3"/>
      <c r="Z5" s="10" t="s">
        <v>83</v>
      </c>
      <c r="AA5" s="3"/>
      <c r="AB5" s="3"/>
      <c r="AC5" s="3"/>
      <c r="AD5" s="10" t="s">
        <v>46</v>
      </c>
      <c r="AE5" s="10" t="s">
        <v>199</v>
      </c>
      <c r="AF5" s="10" t="s">
        <v>64</v>
      </c>
      <c r="AG5" s="3"/>
      <c r="AH5" s="3"/>
      <c r="AI5" s="3"/>
      <c r="AJ5" s="3"/>
    </row>
    <row r="6" spans="1:36" ht="21" x14ac:dyDescent="0.3">
      <c r="A6" s="12" t="s">
        <v>221</v>
      </c>
      <c r="B6" s="13"/>
      <c r="C6" s="12">
        <f>SUBTOTAL(103,DMM_CAI_LF_LEGACY[Flt])</f>
        <v>4</v>
      </c>
      <c r="D6" s="12"/>
      <c r="E6" s="12">
        <f>SUBTOTAL(103,DMM_CAI_LF_LEGACY[Brd-Off])</f>
        <v>4</v>
      </c>
      <c r="F6" s="12"/>
      <c r="G6" s="14">
        <f>SUBTOTAL(101,DMM_CAI_LF_LEGACY[LF%])</f>
        <v>0.26337499999999997</v>
      </c>
      <c r="H6" s="15">
        <f>SUBTOTAL(109,DMM_CAI_LF_LEGACY[CAP])</f>
        <v>672</v>
      </c>
      <c r="I6" s="15">
        <f>SUBTOTAL(109,DMM_CAI_LF_LEGACY[BKG(Y)])</f>
        <v>177</v>
      </c>
      <c r="J6" s="15">
        <f>SUBTOTAL(109,DMM_CAI_LF_LEGACY[GRP(Y)])</f>
        <v>0</v>
      </c>
      <c r="K6" s="12"/>
      <c r="L6" s="13"/>
      <c r="M6" s="15">
        <f>SUBTOTAL(109,DMM_CAI_LF_LEGACY[TO-DAY])</f>
        <v>1</v>
      </c>
      <c r="N6" s="15">
        <f>SUBTOTAL(109,DMM_CAI_LF_LEGACY[Y-DAY])</f>
        <v>3</v>
      </c>
      <c r="O6" s="15">
        <f>SUBTOTAL(109,DMM_CAI_LF_LEGACY[WEEKLY])</f>
        <v>36</v>
      </c>
      <c r="P6" s="16"/>
      <c r="Q6" s="15">
        <f>SUBTOTAL(109,DMM_CAI_LF_LEGACY[Y])</f>
        <v>0</v>
      </c>
      <c r="R6" s="15">
        <f>SUBTOTAL(109,DMM_CAI_LF_LEGACY[B])</f>
        <v>0</v>
      </c>
      <c r="S6" s="15">
        <f>SUBTOTAL(109,DMM_CAI_LF_LEGACY[M])</f>
        <v>0</v>
      </c>
      <c r="T6" s="15">
        <f>SUBTOTAL(109,DMM_CAI_LF_LEGACY[H])</f>
        <v>0</v>
      </c>
      <c r="U6" s="15">
        <f>SUBTOTAL(109,DMM_CAI_LF_LEGACY[Q])</f>
        <v>0</v>
      </c>
      <c r="V6" s="15">
        <f>SUBTOTAL(109,DMM_CAI_LF_LEGACY[K])</f>
        <v>0</v>
      </c>
      <c r="W6" s="15">
        <f>SUBTOTAL(109,DMM_CAI_LF_LEGACY[V])</f>
        <v>0</v>
      </c>
      <c r="X6" s="15">
        <f>SUBTOTAL(109,DMM_CAI_LF_LEGACY[L])</f>
        <v>0</v>
      </c>
      <c r="Y6" s="15">
        <f>SUBTOTAL(109,DMM_CAI_LF_LEGACY[G])</f>
        <v>0</v>
      </c>
      <c r="Z6" s="15">
        <f>SUBTOTAL(109,DMM_CAI_LF_LEGACY[S])</f>
        <v>0</v>
      </c>
      <c r="AA6" s="15">
        <f>SUBTOTAL(109,DMM_CAI_LF_LEGACY[W])</f>
        <v>0</v>
      </c>
      <c r="AB6" s="15">
        <f>SUBTOTAL(109,DMM_CAI_LF_LEGACY[T])</f>
        <v>0</v>
      </c>
      <c r="AC6" s="15">
        <f>SUBTOTAL(109,DMM_CAI_LF_LEGACY[X])</f>
        <v>0</v>
      </c>
      <c r="AD6" s="15">
        <f>SUBTOTAL(109,DMM_CAI_LF_LEGACY[U])</f>
        <v>0</v>
      </c>
      <c r="AE6" s="15">
        <f>SUBTOTAL(109,DMM_CAI_LF_LEGACY[O])</f>
        <v>0</v>
      </c>
      <c r="AF6" s="15">
        <f>SUBTOTAL(109,DMM_CAI_LF_LEGACY[I])</f>
        <v>0</v>
      </c>
      <c r="AG6" s="15">
        <f>SUBTOTAL(109,DMM_CAI_LF_LEGACY[E])</f>
        <v>0</v>
      </c>
      <c r="AH6" s="15">
        <f>SUBTOTAL(109,DMM_CAI_LF_LEGACY[A])</f>
        <v>0</v>
      </c>
      <c r="AI6" s="15">
        <f>SUBTOTAL(109,DMM_CAI_LF_LEGACY[P])</f>
        <v>0</v>
      </c>
      <c r="AJ6" s="15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7"/>
  <sheetViews>
    <sheetView workbookViewId="0"/>
  </sheetViews>
  <sheetFormatPr defaultRowHeight="14.4" x14ac:dyDescent="0.3"/>
  <cols>
    <col min="1" max="1" width="11.5546875" bestFit="1" customWidth="1"/>
    <col min="2" max="2" width="17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18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33" width="3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96</v>
      </c>
      <c r="B2" s="2">
        <v>45992</v>
      </c>
      <c r="C2" t="s">
        <v>119</v>
      </c>
      <c r="D2" t="s">
        <v>67</v>
      </c>
      <c r="E2" t="s">
        <v>99</v>
      </c>
      <c r="F2" t="s">
        <v>40</v>
      </c>
      <c r="G2">
        <v>0.9385</v>
      </c>
      <c r="H2">
        <v>179</v>
      </c>
      <c r="I2">
        <v>168</v>
      </c>
      <c r="J2">
        <v>116</v>
      </c>
      <c r="K2" t="s">
        <v>41</v>
      </c>
      <c r="L2" t="s">
        <v>111</v>
      </c>
      <c r="M2">
        <v>0</v>
      </c>
      <c r="N2">
        <v>7</v>
      </c>
      <c r="O2">
        <v>23</v>
      </c>
      <c r="P2" t="s">
        <v>78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2</v>
      </c>
      <c r="AD2">
        <v>9</v>
      </c>
      <c r="AE2">
        <v>20</v>
      </c>
      <c r="AF2">
        <v>20</v>
      </c>
      <c r="AG2">
        <v>41</v>
      </c>
      <c r="AH2">
        <v>0</v>
      </c>
      <c r="AI2">
        <v>75</v>
      </c>
      <c r="AJ2">
        <v>0</v>
      </c>
    </row>
    <row r="3" spans="1:36" x14ac:dyDescent="0.3">
      <c r="A3" t="s">
        <v>96</v>
      </c>
      <c r="B3" s="2">
        <v>45992</v>
      </c>
      <c r="C3" t="s">
        <v>104</v>
      </c>
      <c r="D3" t="s">
        <v>105</v>
      </c>
      <c r="E3" t="s">
        <v>99</v>
      </c>
      <c r="F3" t="s">
        <v>40</v>
      </c>
      <c r="G3">
        <v>0.9274</v>
      </c>
      <c r="H3">
        <v>179</v>
      </c>
      <c r="I3">
        <v>166</v>
      </c>
      <c r="J3">
        <v>135</v>
      </c>
      <c r="K3" t="s">
        <v>41</v>
      </c>
      <c r="L3" t="s">
        <v>54</v>
      </c>
      <c r="M3">
        <v>0</v>
      </c>
      <c r="N3">
        <v>0</v>
      </c>
      <c r="O3">
        <v>47</v>
      </c>
      <c r="P3" t="s">
        <v>106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0</v>
      </c>
      <c r="AB3">
        <v>0</v>
      </c>
      <c r="AC3">
        <v>0</v>
      </c>
      <c r="AD3">
        <v>0</v>
      </c>
      <c r="AE3">
        <v>19</v>
      </c>
      <c r="AF3">
        <v>10</v>
      </c>
      <c r="AG3">
        <v>0</v>
      </c>
      <c r="AH3">
        <v>0</v>
      </c>
      <c r="AI3">
        <v>135</v>
      </c>
      <c r="AJ3">
        <v>0</v>
      </c>
    </row>
    <row r="4" spans="1:36" x14ac:dyDescent="0.3">
      <c r="A4" t="s">
        <v>96</v>
      </c>
      <c r="B4" s="2">
        <v>45992</v>
      </c>
      <c r="C4" t="s">
        <v>109</v>
      </c>
      <c r="D4" t="s">
        <v>110</v>
      </c>
      <c r="E4" t="s">
        <v>99</v>
      </c>
      <c r="F4" t="s">
        <v>40</v>
      </c>
      <c r="G4">
        <v>0.8659</v>
      </c>
      <c r="H4">
        <v>179</v>
      </c>
      <c r="I4">
        <v>155</v>
      </c>
      <c r="J4">
        <v>102</v>
      </c>
      <c r="K4" t="s">
        <v>41</v>
      </c>
      <c r="L4" t="s">
        <v>111</v>
      </c>
      <c r="M4">
        <v>0</v>
      </c>
      <c r="N4">
        <v>1</v>
      </c>
      <c r="O4">
        <v>28</v>
      </c>
      <c r="P4" t="s">
        <v>112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0</v>
      </c>
      <c r="AB4">
        <v>0</v>
      </c>
      <c r="AC4">
        <v>8</v>
      </c>
      <c r="AD4">
        <v>11</v>
      </c>
      <c r="AE4">
        <v>15</v>
      </c>
      <c r="AF4">
        <v>10</v>
      </c>
      <c r="AG4">
        <v>0</v>
      </c>
      <c r="AH4">
        <v>0</v>
      </c>
      <c r="AI4">
        <v>102</v>
      </c>
      <c r="AJ4">
        <v>4</v>
      </c>
    </row>
    <row r="5" spans="1:36" x14ac:dyDescent="0.3">
      <c r="A5" t="s">
        <v>96</v>
      </c>
      <c r="B5" s="2">
        <v>45992</v>
      </c>
      <c r="C5" t="s">
        <v>97</v>
      </c>
      <c r="D5" t="s">
        <v>98</v>
      </c>
      <c r="E5" t="s">
        <v>99</v>
      </c>
      <c r="F5" t="s">
        <v>40</v>
      </c>
      <c r="G5">
        <v>0.87709999999999999</v>
      </c>
      <c r="H5">
        <v>179</v>
      </c>
      <c r="I5">
        <v>157</v>
      </c>
      <c r="J5">
        <v>132</v>
      </c>
      <c r="K5" t="s">
        <v>41</v>
      </c>
      <c r="L5" t="s">
        <v>100</v>
      </c>
      <c r="M5">
        <v>0</v>
      </c>
      <c r="N5">
        <v>0</v>
      </c>
      <c r="O5">
        <v>5</v>
      </c>
      <c r="P5" t="s">
        <v>101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</v>
      </c>
      <c r="AA5">
        <v>0</v>
      </c>
      <c r="AB5">
        <v>0</v>
      </c>
      <c r="AC5">
        <v>0</v>
      </c>
      <c r="AD5">
        <v>3</v>
      </c>
      <c r="AE5">
        <v>8</v>
      </c>
      <c r="AF5">
        <v>10</v>
      </c>
      <c r="AG5">
        <v>0</v>
      </c>
      <c r="AH5">
        <v>0</v>
      </c>
      <c r="AI5">
        <v>132</v>
      </c>
      <c r="AJ5">
        <v>0</v>
      </c>
    </row>
    <row r="6" spans="1:36" x14ac:dyDescent="0.3">
      <c r="A6" t="s">
        <v>96</v>
      </c>
      <c r="B6" s="2">
        <v>45992</v>
      </c>
      <c r="C6" t="s">
        <v>191</v>
      </c>
      <c r="D6" t="s">
        <v>192</v>
      </c>
      <c r="E6" t="s">
        <v>193</v>
      </c>
      <c r="F6" t="s">
        <v>40</v>
      </c>
      <c r="G6">
        <v>4.1700000000000001E-2</v>
      </c>
      <c r="H6">
        <v>168</v>
      </c>
      <c r="I6">
        <v>7</v>
      </c>
      <c r="J6">
        <v>0</v>
      </c>
      <c r="K6" t="s">
        <v>41</v>
      </c>
      <c r="L6" t="s">
        <v>111</v>
      </c>
      <c r="M6">
        <v>0</v>
      </c>
      <c r="N6">
        <v>1</v>
      </c>
      <c r="O6">
        <v>4</v>
      </c>
      <c r="P6" t="s">
        <v>187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5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36</v>
      </c>
      <c r="B7" s="2">
        <v>45993</v>
      </c>
      <c r="C7" t="s">
        <v>209</v>
      </c>
      <c r="D7" t="s">
        <v>210</v>
      </c>
      <c r="E7" t="s">
        <v>211</v>
      </c>
      <c r="F7" t="s">
        <v>40</v>
      </c>
      <c r="G7">
        <v>0.29759999999999998</v>
      </c>
      <c r="H7">
        <v>168</v>
      </c>
      <c r="I7">
        <v>50</v>
      </c>
      <c r="J7">
        <v>0</v>
      </c>
      <c r="K7" t="s">
        <v>41</v>
      </c>
      <c r="L7" t="s">
        <v>150</v>
      </c>
      <c r="M7">
        <v>0</v>
      </c>
      <c r="N7">
        <v>0</v>
      </c>
      <c r="O7">
        <v>14</v>
      </c>
      <c r="P7" t="s">
        <v>212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</v>
      </c>
      <c r="AA7">
        <v>0</v>
      </c>
      <c r="AB7">
        <v>2</v>
      </c>
      <c r="AC7">
        <v>7</v>
      </c>
      <c r="AD7">
        <v>2</v>
      </c>
      <c r="AE7">
        <v>4</v>
      </c>
      <c r="AF7">
        <v>26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45993</v>
      </c>
      <c r="C8" t="s">
        <v>135</v>
      </c>
      <c r="D8" t="s">
        <v>136</v>
      </c>
      <c r="E8" t="s">
        <v>99</v>
      </c>
      <c r="F8" t="s">
        <v>40</v>
      </c>
      <c r="G8">
        <v>0.38550000000000001</v>
      </c>
      <c r="H8">
        <v>179</v>
      </c>
      <c r="I8">
        <v>69</v>
      </c>
      <c r="J8">
        <v>42</v>
      </c>
      <c r="K8" t="s">
        <v>41</v>
      </c>
      <c r="L8" t="s">
        <v>111</v>
      </c>
      <c r="M8">
        <v>0</v>
      </c>
      <c r="N8">
        <v>2</v>
      </c>
      <c r="O8">
        <v>14</v>
      </c>
      <c r="P8" t="s">
        <v>127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14</v>
      </c>
      <c r="AF8">
        <v>10</v>
      </c>
      <c r="AG8">
        <v>0</v>
      </c>
      <c r="AH8">
        <v>0</v>
      </c>
      <c r="AI8">
        <v>42</v>
      </c>
      <c r="AJ8">
        <v>0</v>
      </c>
    </row>
    <row r="9" spans="1:36" x14ac:dyDescent="0.3">
      <c r="A9" t="s">
        <v>36</v>
      </c>
      <c r="B9" s="2">
        <v>45993</v>
      </c>
      <c r="C9" t="s">
        <v>119</v>
      </c>
      <c r="D9" t="s">
        <v>133</v>
      </c>
      <c r="E9" t="s">
        <v>99</v>
      </c>
      <c r="F9" t="s">
        <v>40</v>
      </c>
      <c r="G9">
        <v>0.65920000000000001</v>
      </c>
      <c r="H9">
        <v>179</v>
      </c>
      <c r="I9">
        <v>118</v>
      </c>
      <c r="J9">
        <v>96</v>
      </c>
      <c r="K9" t="s">
        <v>41</v>
      </c>
      <c r="L9" t="s">
        <v>111</v>
      </c>
      <c r="M9">
        <v>0</v>
      </c>
      <c r="N9">
        <v>1</v>
      </c>
      <c r="O9">
        <v>1</v>
      </c>
      <c r="P9" t="s">
        <v>120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10</v>
      </c>
      <c r="AF9">
        <v>10</v>
      </c>
      <c r="AG9">
        <v>0</v>
      </c>
      <c r="AH9">
        <v>0</v>
      </c>
      <c r="AI9">
        <v>96</v>
      </c>
      <c r="AJ9">
        <v>1</v>
      </c>
    </row>
    <row r="10" spans="1:36" x14ac:dyDescent="0.3">
      <c r="A10" t="s">
        <v>36</v>
      </c>
      <c r="B10" s="2">
        <v>45993</v>
      </c>
      <c r="C10" t="s">
        <v>125</v>
      </c>
      <c r="D10" t="s">
        <v>126</v>
      </c>
      <c r="E10" t="s">
        <v>99</v>
      </c>
      <c r="F10" t="s">
        <v>40</v>
      </c>
      <c r="G10">
        <v>0.18440000000000001</v>
      </c>
      <c r="H10">
        <v>179</v>
      </c>
      <c r="I10">
        <v>33</v>
      </c>
      <c r="J10">
        <v>0</v>
      </c>
      <c r="K10" t="s">
        <v>41</v>
      </c>
      <c r="L10" t="s">
        <v>111</v>
      </c>
      <c r="M10">
        <v>0</v>
      </c>
      <c r="N10">
        <v>4</v>
      </c>
      <c r="O10">
        <v>15</v>
      </c>
      <c r="P10" t="s">
        <v>71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30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45993</v>
      </c>
      <c r="C11" t="s">
        <v>104</v>
      </c>
      <c r="D11" t="s">
        <v>138</v>
      </c>
      <c r="E11" t="s">
        <v>99</v>
      </c>
      <c r="F11" t="s">
        <v>40</v>
      </c>
      <c r="G11">
        <v>0.66479999999999995</v>
      </c>
      <c r="H11">
        <v>179</v>
      </c>
      <c r="I11">
        <v>119</v>
      </c>
      <c r="J11">
        <v>92</v>
      </c>
      <c r="K11" t="s">
        <v>41</v>
      </c>
      <c r="L11" t="s">
        <v>111</v>
      </c>
      <c r="M11">
        <v>0</v>
      </c>
      <c r="N11">
        <v>1</v>
      </c>
      <c r="O11">
        <v>11</v>
      </c>
      <c r="P11" t="s">
        <v>120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10</v>
      </c>
      <c r="AF11">
        <v>15</v>
      </c>
      <c r="AG11">
        <v>0</v>
      </c>
      <c r="AH11">
        <v>0</v>
      </c>
      <c r="AI11">
        <v>92</v>
      </c>
      <c r="AJ11">
        <v>0</v>
      </c>
    </row>
    <row r="12" spans="1:36" x14ac:dyDescent="0.3">
      <c r="A12" t="s">
        <v>36</v>
      </c>
      <c r="B12" s="2">
        <v>45993</v>
      </c>
      <c r="C12" t="s">
        <v>109</v>
      </c>
      <c r="D12" t="s">
        <v>110</v>
      </c>
      <c r="E12" t="s">
        <v>99</v>
      </c>
      <c r="F12" t="s">
        <v>40</v>
      </c>
      <c r="G12">
        <v>0.64249999999999996</v>
      </c>
      <c r="H12">
        <v>179</v>
      </c>
      <c r="I12">
        <v>115</v>
      </c>
      <c r="J12">
        <v>83</v>
      </c>
      <c r="K12" t="s">
        <v>41</v>
      </c>
      <c r="L12" t="s">
        <v>54</v>
      </c>
      <c r="M12">
        <v>0</v>
      </c>
      <c r="N12">
        <v>0</v>
      </c>
      <c r="O12">
        <v>12</v>
      </c>
      <c r="P12" t="s">
        <v>102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0</v>
      </c>
      <c r="AC12">
        <v>0</v>
      </c>
      <c r="AD12">
        <v>8</v>
      </c>
      <c r="AE12">
        <v>10</v>
      </c>
      <c r="AF12">
        <v>10</v>
      </c>
      <c r="AG12">
        <v>0</v>
      </c>
      <c r="AH12">
        <v>0</v>
      </c>
      <c r="AI12">
        <v>84</v>
      </c>
      <c r="AJ12">
        <v>0</v>
      </c>
    </row>
    <row r="13" spans="1:36" x14ac:dyDescent="0.3">
      <c r="A13" t="s">
        <v>36</v>
      </c>
      <c r="B13" s="2">
        <v>45993</v>
      </c>
      <c r="C13" t="s">
        <v>97</v>
      </c>
      <c r="D13" t="s">
        <v>129</v>
      </c>
      <c r="E13" t="s">
        <v>99</v>
      </c>
      <c r="F13" t="s">
        <v>40</v>
      </c>
      <c r="G13">
        <v>0.63690000000000002</v>
      </c>
      <c r="H13">
        <v>179</v>
      </c>
      <c r="I13">
        <v>114</v>
      </c>
      <c r="J13">
        <v>90</v>
      </c>
      <c r="K13" t="s">
        <v>41</v>
      </c>
      <c r="L13" t="s">
        <v>111</v>
      </c>
      <c r="M13">
        <v>0</v>
      </c>
      <c r="N13">
        <v>2</v>
      </c>
      <c r="O13">
        <v>14</v>
      </c>
      <c r="P13" t="s">
        <v>127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14</v>
      </c>
      <c r="AF13">
        <v>10</v>
      </c>
      <c r="AG13">
        <v>0</v>
      </c>
      <c r="AH13">
        <v>0</v>
      </c>
      <c r="AI13">
        <v>90</v>
      </c>
      <c r="AJ13">
        <v>0</v>
      </c>
    </row>
    <row r="14" spans="1:36" x14ac:dyDescent="0.3">
      <c r="A14" t="s">
        <v>36</v>
      </c>
      <c r="B14" s="2">
        <v>45993</v>
      </c>
      <c r="C14" t="s">
        <v>52</v>
      </c>
      <c r="D14" t="s">
        <v>53</v>
      </c>
      <c r="E14" t="s">
        <v>39</v>
      </c>
      <c r="F14" t="s">
        <v>40</v>
      </c>
      <c r="G14">
        <v>0.77980000000000005</v>
      </c>
      <c r="H14">
        <v>168</v>
      </c>
      <c r="I14">
        <v>131</v>
      </c>
      <c r="J14">
        <v>41</v>
      </c>
      <c r="K14" t="s">
        <v>41</v>
      </c>
      <c r="L14" t="s">
        <v>54</v>
      </c>
      <c r="M14">
        <v>0</v>
      </c>
      <c r="N14">
        <v>0</v>
      </c>
      <c r="O14">
        <v>57</v>
      </c>
      <c r="P14" t="s">
        <v>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10</v>
      </c>
      <c r="Y14">
        <v>10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10</v>
      </c>
      <c r="AG14">
        <v>0</v>
      </c>
      <c r="AH14">
        <v>0</v>
      </c>
      <c r="AI14">
        <v>41</v>
      </c>
      <c r="AJ14">
        <v>0</v>
      </c>
    </row>
    <row r="15" spans="1:36" x14ac:dyDescent="0.3">
      <c r="A15" t="s">
        <v>36</v>
      </c>
      <c r="B15" s="2">
        <v>45993</v>
      </c>
      <c r="C15" t="s">
        <v>66</v>
      </c>
      <c r="D15" t="s">
        <v>67</v>
      </c>
      <c r="E15" t="s">
        <v>39</v>
      </c>
      <c r="F15" t="s">
        <v>40</v>
      </c>
      <c r="G15">
        <v>1.006</v>
      </c>
      <c r="H15">
        <v>168</v>
      </c>
      <c r="I15">
        <v>169</v>
      </c>
      <c r="J15">
        <v>136</v>
      </c>
      <c r="K15" t="s">
        <v>41</v>
      </c>
      <c r="L15" t="s">
        <v>68</v>
      </c>
      <c r="M15">
        <v>0</v>
      </c>
      <c r="N15">
        <v>0</v>
      </c>
      <c r="O15">
        <v>0</v>
      </c>
      <c r="P15" t="s">
        <v>69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9</v>
      </c>
      <c r="AF15">
        <v>17</v>
      </c>
      <c r="AG15">
        <v>46</v>
      </c>
      <c r="AH15">
        <v>0</v>
      </c>
      <c r="AI15">
        <v>90</v>
      </c>
      <c r="AJ15">
        <v>2</v>
      </c>
    </row>
    <row r="16" spans="1:36" x14ac:dyDescent="0.3">
      <c r="A16" t="s">
        <v>36</v>
      </c>
      <c r="B16" s="2">
        <v>45993</v>
      </c>
      <c r="C16" t="s">
        <v>37</v>
      </c>
      <c r="D16" t="s">
        <v>38</v>
      </c>
      <c r="E16" t="s">
        <v>39</v>
      </c>
      <c r="F16" t="s">
        <v>40</v>
      </c>
      <c r="G16">
        <v>0.96</v>
      </c>
      <c r="H16">
        <v>175</v>
      </c>
      <c r="I16">
        <v>168</v>
      </c>
      <c r="J16">
        <v>120</v>
      </c>
      <c r="K16" t="s">
        <v>41</v>
      </c>
      <c r="L16" t="s">
        <v>42</v>
      </c>
      <c r="M16">
        <v>0</v>
      </c>
      <c r="N16">
        <v>0</v>
      </c>
      <c r="O16">
        <v>0</v>
      </c>
      <c r="P16" t="s">
        <v>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6</v>
      </c>
      <c r="AA16">
        <v>0</v>
      </c>
      <c r="AB16">
        <v>0</v>
      </c>
      <c r="AC16">
        <v>9</v>
      </c>
      <c r="AD16">
        <v>8</v>
      </c>
      <c r="AE16">
        <v>8</v>
      </c>
      <c r="AF16">
        <v>17</v>
      </c>
      <c r="AG16">
        <v>29</v>
      </c>
      <c r="AH16">
        <v>0</v>
      </c>
      <c r="AI16">
        <v>90</v>
      </c>
      <c r="AJ16">
        <v>1</v>
      </c>
    </row>
    <row r="17" spans="1:36" x14ac:dyDescent="0.3">
      <c r="A17" t="s">
        <v>36</v>
      </c>
      <c r="B17" s="2">
        <v>45993</v>
      </c>
      <c r="C17" t="s">
        <v>191</v>
      </c>
      <c r="D17" t="s">
        <v>195</v>
      </c>
      <c r="E17" t="s">
        <v>193</v>
      </c>
      <c r="F17" t="s">
        <v>40</v>
      </c>
      <c r="G17">
        <v>8.9300000000000004E-2</v>
      </c>
      <c r="H17">
        <v>168</v>
      </c>
      <c r="I17">
        <v>15</v>
      </c>
      <c r="J17">
        <v>0</v>
      </c>
      <c r="K17" t="s">
        <v>41</v>
      </c>
      <c r="L17" t="s">
        <v>111</v>
      </c>
      <c r="M17">
        <v>0</v>
      </c>
      <c r="N17">
        <v>1</v>
      </c>
      <c r="O17">
        <v>7</v>
      </c>
      <c r="P17" t="s">
        <v>196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13</v>
      </c>
      <c r="AG17">
        <v>0</v>
      </c>
      <c r="AH17">
        <v>0</v>
      </c>
      <c r="AI17">
        <v>0</v>
      </c>
      <c r="AJ17">
        <v>1</v>
      </c>
    </row>
    <row r="18" spans="1:36" x14ac:dyDescent="0.3">
      <c r="A18" t="s">
        <v>142</v>
      </c>
      <c r="B18" s="2">
        <v>45994</v>
      </c>
      <c r="C18" t="s">
        <v>119</v>
      </c>
      <c r="D18" t="s">
        <v>145</v>
      </c>
      <c r="E18" t="s">
        <v>99</v>
      </c>
      <c r="F18" t="s">
        <v>40</v>
      </c>
      <c r="G18">
        <v>0.93300000000000005</v>
      </c>
      <c r="H18">
        <v>179</v>
      </c>
      <c r="I18">
        <v>167</v>
      </c>
      <c r="J18">
        <v>150</v>
      </c>
      <c r="K18" t="s">
        <v>41</v>
      </c>
      <c r="L18" t="s">
        <v>146</v>
      </c>
      <c r="M18">
        <v>0</v>
      </c>
      <c r="N18">
        <v>0</v>
      </c>
      <c r="O18">
        <v>0</v>
      </c>
      <c r="P18" t="s">
        <v>147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2</v>
      </c>
      <c r="AD18">
        <v>0</v>
      </c>
      <c r="AE18">
        <v>1</v>
      </c>
      <c r="AF18">
        <v>13</v>
      </c>
      <c r="AG18">
        <v>0</v>
      </c>
      <c r="AH18">
        <v>0</v>
      </c>
      <c r="AI18">
        <v>150</v>
      </c>
      <c r="AJ18">
        <v>0</v>
      </c>
    </row>
    <row r="19" spans="1:36" x14ac:dyDescent="0.3">
      <c r="A19" t="s">
        <v>142</v>
      </c>
      <c r="B19" s="2">
        <v>45994</v>
      </c>
      <c r="C19" t="s">
        <v>104</v>
      </c>
      <c r="D19" t="s">
        <v>143</v>
      </c>
      <c r="E19" t="s">
        <v>99</v>
      </c>
      <c r="F19" t="s">
        <v>40</v>
      </c>
      <c r="G19">
        <v>0.64249999999999996</v>
      </c>
      <c r="H19">
        <v>179</v>
      </c>
      <c r="I19">
        <v>115</v>
      </c>
      <c r="J19">
        <v>82</v>
      </c>
      <c r="K19" t="s">
        <v>41</v>
      </c>
      <c r="L19" t="s">
        <v>111</v>
      </c>
      <c r="M19">
        <v>0</v>
      </c>
      <c r="N19">
        <v>4</v>
      </c>
      <c r="O19">
        <v>12</v>
      </c>
      <c r="P19" t="s">
        <v>139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</v>
      </c>
      <c r="AA19">
        <v>0</v>
      </c>
      <c r="AB19">
        <v>0</v>
      </c>
      <c r="AC19">
        <v>0</v>
      </c>
      <c r="AD19">
        <v>9</v>
      </c>
      <c r="AE19">
        <v>10</v>
      </c>
      <c r="AF19">
        <v>10</v>
      </c>
      <c r="AG19">
        <v>0</v>
      </c>
      <c r="AH19">
        <v>0</v>
      </c>
      <c r="AI19">
        <v>82</v>
      </c>
      <c r="AJ19">
        <v>0</v>
      </c>
    </row>
    <row r="20" spans="1:36" x14ac:dyDescent="0.3">
      <c r="A20" t="s">
        <v>142</v>
      </c>
      <c r="B20" s="2">
        <v>45994</v>
      </c>
      <c r="C20" t="s">
        <v>109</v>
      </c>
      <c r="D20" t="s">
        <v>110</v>
      </c>
      <c r="E20" t="s">
        <v>99</v>
      </c>
      <c r="F20" t="s">
        <v>40</v>
      </c>
      <c r="G20">
        <v>0.64249999999999996</v>
      </c>
      <c r="H20">
        <v>179</v>
      </c>
      <c r="I20">
        <v>115</v>
      </c>
      <c r="J20">
        <v>84</v>
      </c>
      <c r="K20" t="s">
        <v>41</v>
      </c>
      <c r="L20" t="s">
        <v>150</v>
      </c>
      <c r="M20">
        <v>0</v>
      </c>
      <c r="N20">
        <v>0</v>
      </c>
      <c r="O20">
        <v>12</v>
      </c>
      <c r="P20" t="s">
        <v>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11</v>
      </c>
      <c r="AE20">
        <v>10</v>
      </c>
      <c r="AF20">
        <v>10</v>
      </c>
      <c r="AG20">
        <v>0</v>
      </c>
      <c r="AH20">
        <v>0</v>
      </c>
      <c r="AI20">
        <v>84</v>
      </c>
      <c r="AJ20">
        <v>0</v>
      </c>
    </row>
    <row r="21" spans="1:36" x14ac:dyDescent="0.3">
      <c r="A21" t="s">
        <v>142</v>
      </c>
      <c r="B21" s="2">
        <v>45994</v>
      </c>
      <c r="C21" t="s">
        <v>197</v>
      </c>
      <c r="D21" t="s">
        <v>198</v>
      </c>
      <c r="E21" t="s">
        <v>193</v>
      </c>
      <c r="F21" t="s">
        <v>40</v>
      </c>
      <c r="G21">
        <v>0.1429</v>
      </c>
      <c r="H21">
        <v>168</v>
      </c>
      <c r="I21">
        <v>24</v>
      </c>
      <c r="J21">
        <v>0</v>
      </c>
      <c r="K21" t="s">
        <v>41</v>
      </c>
      <c r="L21" t="s">
        <v>150</v>
      </c>
      <c r="M21">
        <v>0</v>
      </c>
      <c r="N21">
        <v>0</v>
      </c>
      <c r="O21">
        <v>12</v>
      </c>
      <c r="P21" t="s">
        <v>187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142</v>
      </c>
      <c r="B22" s="2">
        <v>45994</v>
      </c>
      <c r="C22" t="s">
        <v>191</v>
      </c>
      <c r="D22" t="s">
        <v>192</v>
      </c>
      <c r="E22" t="s">
        <v>193</v>
      </c>
      <c r="F22" t="s">
        <v>40</v>
      </c>
      <c r="G22">
        <v>8.3299999999999999E-2</v>
      </c>
      <c r="H22">
        <v>168</v>
      </c>
      <c r="I22">
        <v>14</v>
      </c>
      <c r="J22">
        <v>0</v>
      </c>
      <c r="K22" t="s">
        <v>41</v>
      </c>
      <c r="L22" t="s">
        <v>200</v>
      </c>
      <c r="M22">
        <v>3</v>
      </c>
      <c r="N22">
        <v>5</v>
      </c>
      <c r="O22">
        <v>9</v>
      </c>
      <c r="P22" t="s">
        <v>201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12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74</v>
      </c>
      <c r="B23" s="2">
        <v>45995</v>
      </c>
      <c r="C23" t="s">
        <v>209</v>
      </c>
      <c r="D23" t="s">
        <v>192</v>
      </c>
      <c r="E23" t="s">
        <v>211</v>
      </c>
      <c r="F23" t="s">
        <v>40</v>
      </c>
      <c r="G23">
        <v>0.28570000000000001</v>
      </c>
      <c r="H23">
        <v>168</v>
      </c>
      <c r="I23">
        <v>48</v>
      </c>
      <c r="J23">
        <v>0</v>
      </c>
      <c r="K23" t="s">
        <v>41</v>
      </c>
      <c r="L23" t="s">
        <v>111</v>
      </c>
      <c r="M23">
        <v>0</v>
      </c>
      <c r="N23">
        <v>3</v>
      </c>
      <c r="O23">
        <v>11</v>
      </c>
      <c r="P23" t="s">
        <v>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4</v>
      </c>
      <c r="AA23">
        <v>2</v>
      </c>
      <c r="AB23">
        <v>10</v>
      </c>
      <c r="AC23">
        <v>3</v>
      </c>
      <c r="AD23">
        <v>4</v>
      </c>
      <c r="AE23">
        <v>3</v>
      </c>
      <c r="AF23">
        <v>22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74</v>
      </c>
      <c r="B24" s="2">
        <v>45995</v>
      </c>
      <c r="C24" t="s">
        <v>66</v>
      </c>
      <c r="D24" t="s">
        <v>75</v>
      </c>
      <c r="E24" t="s">
        <v>39</v>
      </c>
      <c r="F24" t="s">
        <v>40</v>
      </c>
      <c r="G24">
        <v>1.006</v>
      </c>
      <c r="H24">
        <v>168</v>
      </c>
      <c r="I24">
        <v>169</v>
      </c>
      <c r="J24">
        <v>135</v>
      </c>
      <c r="K24" t="s">
        <v>41</v>
      </c>
      <c r="L24" t="s">
        <v>54</v>
      </c>
      <c r="M24">
        <v>0</v>
      </c>
      <c r="N24">
        <v>0</v>
      </c>
      <c r="O24">
        <v>1</v>
      </c>
      <c r="P24" t="s">
        <v>69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4</v>
      </c>
      <c r="AA24">
        <v>0</v>
      </c>
      <c r="AB24">
        <v>0</v>
      </c>
      <c r="AC24">
        <v>0</v>
      </c>
      <c r="AD24">
        <v>1</v>
      </c>
      <c r="AE24">
        <v>9</v>
      </c>
      <c r="AF24">
        <v>17</v>
      </c>
      <c r="AG24">
        <v>0</v>
      </c>
      <c r="AH24">
        <v>0</v>
      </c>
      <c r="AI24">
        <v>135</v>
      </c>
      <c r="AJ24">
        <v>0</v>
      </c>
    </row>
    <row r="25" spans="1:36" x14ac:dyDescent="0.3">
      <c r="A25" t="s">
        <v>74</v>
      </c>
      <c r="B25" s="2">
        <v>45995</v>
      </c>
      <c r="C25" t="s">
        <v>197</v>
      </c>
      <c r="D25" t="s">
        <v>198</v>
      </c>
      <c r="E25" t="s">
        <v>193</v>
      </c>
      <c r="F25" t="s">
        <v>40</v>
      </c>
      <c r="G25">
        <v>0.16669999999999999</v>
      </c>
      <c r="H25">
        <v>168</v>
      </c>
      <c r="I25">
        <v>28</v>
      </c>
      <c r="J25">
        <v>0</v>
      </c>
      <c r="K25" t="s">
        <v>41</v>
      </c>
      <c r="L25" t="s">
        <v>111</v>
      </c>
      <c r="M25">
        <v>0</v>
      </c>
      <c r="N25">
        <v>4</v>
      </c>
      <c r="O25">
        <v>15</v>
      </c>
      <c r="P25" t="s">
        <v>187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</v>
      </c>
      <c r="AE25">
        <v>20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151</v>
      </c>
      <c r="B26" s="2">
        <v>45996</v>
      </c>
      <c r="C26" t="s">
        <v>209</v>
      </c>
      <c r="D26" t="s">
        <v>219</v>
      </c>
      <c r="E26" t="s">
        <v>211</v>
      </c>
      <c r="F26" t="s">
        <v>40</v>
      </c>
      <c r="G26">
        <v>0.34520000000000001</v>
      </c>
      <c r="H26">
        <v>168</v>
      </c>
      <c r="I26">
        <v>58</v>
      </c>
      <c r="J26">
        <v>0</v>
      </c>
      <c r="K26" t="s">
        <v>41</v>
      </c>
      <c r="L26" t="s">
        <v>200</v>
      </c>
      <c r="M26">
        <v>1</v>
      </c>
      <c r="N26">
        <v>0</v>
      </c>
      <c r="O26">
        <v>10</v>
      </c>
      <c r="P26" t="s">
        <v>127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</v>
      </c>
      <c r="AA26">
        <v>0</v>
      </c>
      <c r="AB26">
        <v>1</v>
      </c>
      <c r="AC26">
        <v>8</v>
      </c>
      <c r="AD26">
        <v>10</v>
      </c>
      <c r="AE26">
        <v>7</v>
      </c>
      <c r="AF26">
        <v>26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151</v>
      </c>
      <c r="B27" s="2">
        <v>45996</v>
      </c>
      <c r="C27" t="s">
        <v>135</v>
      </c>
      <c r="D27" t="s">
        <v>152</v>
      </c>
      <c r="E27" t="s">
        <v>99</v>
      </c>
      <c r="F27" t="s">
        <v>40</v>
      </c>
      <c r="G27">
        <v>0.16200000000000001</v>
      </c>
      <c r="H27">
        <v>179</v>
      </c>
      <c r="I27">
        <v>29</v>
      </c>
      <c r="J27">
        <v>0</v>
      </c>
      <c r="K27" t="s">
        <v>41</v>
      </c>
      <c r="L27" t="s">
        <v>111</v>
      </c>
      <c r="M27">
        <v>0</v>
      </c>
      <c r="N27">
        <v>1</v>
      </c>
      <c r="O27">
        <v>19</v>
      </c>
      <c r="P27" t="s">
        <v>153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10</v>
      </c>
      <c r="AF27">
        <v>18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151</v>
      </c>
      <c r="B28" s="2">
        <v>45996</v>
      </c>
      <c r="C28" t="s">
        <v>119</v>
      </c>
      <c r="D28" t="s">
        <v>165</v>
      </c>
      <c r="E28" t="s">
        <v>99</v>
      </c>
      <c r="F28" t="s">
        <v>40</v>
      </c>
      <c r="G28">
        <v>0.91620000000000001</v>
      </c>
      <c r="H28">
        <v>179</v>
      </c>
      <c r="I28">
        <v>164</v>
      </c>
      <c r="J28">
        <v>140</v>
      </c>
      <c r="K28" t="s">
        <v>41</v>
      </c>
      <c r="L28" t="s">
        <v>166</v>
      </c>
      <c r="M28">
        <v>0</v>
      </c>
      <c r="N28">
        <v>0</v>
      </c>
      <c r="O28">
        <v>0</v>
      </c>
      <c r="P28" t="s">
        <v>167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9</v>
      </c>
      <c r="AF28">
        <v>10</v>
      </c>
      <c r="AG28">
        <v>0</v>
      </c>
      <c r="AH28">
        <v>0</v>
      </c>
      <c r="AI28">
        <v>140</v>
      </c>
      <c r="AJ28">
        <v>0</v>
      </c>
    </row>
    <row r="29" spans="1:36" x14ac:dyDescent="0.3">
      <c r="A29" t="s">
        <v>151</v>
      </c>
      <c r="B29" s="2">
        <v>45996</v>
      </c>
      <c r="C29" t="s">
        <v>125</v>
      </c>
      <c r="D29" t="s">
        <v>161</v>
      </c>
      <c r="E29" t="s">
        <v>99</v>
      </c>
      <c r="F29" t="s">
        <v>40</v>
      </c>
      <c r="G29">
        <v>0.49159999999999998</v>
      </c>
      <c r="H29">
        <v>179</v>
      </c>
      <c r="I29">
        <v>88</v>
      </c>
      <c r="J29">
        <v>45</v>
      </c>
      <c r="K29" t="s">
        <v>41</v>
      </c>
      <c r="L29" t="s">
        <v>111</v>
      </c>
      <c r="M29">
        <v>0</v>
      </c>
      <c r="N29">
        <v>2</v>
      </c>
      <c r="O29">
        <v>61</v>
      </c>
      <c r="P29" t="s">
        <v>78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1</v>
      </c>
      <c r="AD29">
        <v>20</v>
      </c>
      <c r="AE29">
        <v>8</v>
      </c>
      <c r="AF29">
        <v>12</v>
      </c>
      <c r="AG29">
        <v>0</v>
      </c>
      <c r="AH29">
        <v>0</v>
      </c>
      <c r="AI29">
        <v>45</v>
      </c>
      <c r="AJ29">
        <v>0</v>
      </c>
    </row>
    <row r="30" spans="1:36" x14ac:dyDescent="0.3">
      <c r="A30" t="s">
        <v>151</v>
      </c>
      <c r="B30" s="2">
        <v>45996</v>
      </c>
      <c r="C30" t="s">
        <v>104</v>
      </c>
      <c r="D30" t="s">
        <v>155</v>
      </c>
      <c r="E30" t="s">
        <v>99</v>
      </c>
      <c r="F30" t="s">
        <v>40</v>
      </c>
      <c r="G30">
        <v>0.1173</v>
      </c>
      <c r="H30">
        <v>179</v>
      </c>
      <c r="I30">
        <v>21</v>
      </c>
      <c r="J30">
        <v>0</v>
      </c>
      <c r="K30" t="s">
        <v>41</v>
      </c>
      <c r="L30" t="s">
        <v>54</v>
      </c>
      <c r="M30">
        <v>0</v>
      </c>
      <c r="N30">
        <v>0</v>
      </c>
      <c r="O30">
        <v>1</v>
      </c>
      <c r="P30" t="s">
        <v>71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11</v>
      </c>
      <c r="AF30">
        <v>10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151</v>
      </c>
      <c r="B31" s="2">
        <v>45996</v>
      </c>
      <c r="C31" t="s">
        <v>109</v>
      </c>
      <c r="D31" t="s">
        <v>157</v>
      </c>
      <c r="E31" t="s">
        <v>99</v>
      </c>
      <c r="F31" t="s">
        <v>40</v>
      </c>
      <c r="G31">
        <v>0.16200000000000001</v>
      </c>
      <c r="H31">
        <v>179</v>
      </c>
      <c r="I31">
        <v>29</v>
      </c>
      <c r="J31">
        <v>0</v>
      </c>
      <c r="K31" t="s">
        <v>41</v>
      </c>
      <c r="L31" t="s">
        <v>111</v>
      </c>
      <c r="M31">
        <v>0</v>
      </c>
      <c r="N31">
        <v>3</v>
      </c>
      <c r="O31">
        <v>11</v>
      </c>
      <c r="P31" t="s">
        <v>127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19</v>
      </c>
      <c r="AF31">
        <v>10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151</v>
      </c>
      <c r="B32" s="2">
        <v>45996</v>
      </c>
      <c r="C32" t="s">
        <v>97</v>
      </c>
      <c r="D32" t="s">
        <v>110</v>
      </c>
      <c r="E32" t="s">
        <v>99</v>
      </c>
      <c r="F32" t="s">
        <v>40</v>
      </c>
      <c r="G32">
        <v>0.3911</v>
      </c>
      <c r="H32">
        <v>179</v>
      </c>
      <c r="I32">
        <v>70</v>
      </c>
      <c r="J32">
        <v>45</v>
      </c>
      <c r="K32" t="s">
        <v>41</v>
      </c>
      <c r="L32" t="s">
        <v>158</v>
      </c>
      <c r="M32">
        <v>0</v>
      </c>
      <c r="N32">
        <v>0</v>
      </c>
      <c r="O32">
        <v>0</v>
      </c>
      <c r="P32" t="s">
        <v>120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</v>
      </c>
      <c r="AE32">
        <v>10</v>
      </c>
      <c r="AF32">
        <v>10</v>
      </c>
      <c r="AG32">
        <v>0</v>
      </c>
      <c r="AH32">
        <v>0</v>
      </c>
      <c r="AI32">
        <v>46</v>
      </c>
      <c r="AJ32">
        <v>0</v>
      </c>
    </row>
    <row r="33" spans="1:36" x14ac:dyDescent="0.3">
      <c r="A33" t="s">
        <v>151</v>
      </c>
      <c r="B33" s="2">
        <v>45996</v>
      </c>
      <c r="C33" t="s">
        <v>197</v>
      </c>
      <c r="D33" t="s">
        <v>204</v>
      </c>
      <c r="E33" t="s">
        <v>193</v>
      </c>
      <c r="F33" t="s">
        <v>40</v>
      </c>
      <c r="G33">
        <v>0.15479999999999999</v>
      </c>
      <c r="H33">
        <v>168</v>
      </c>
      <c r="I33">
        <v>26</v>
      </c>
      <c r="J33">
        <v>0</v>
      </c>
      <c r="K33" t="s">
        <v>41</v>
      </c>
      <c r="L33" t="s">
        <v>150</v>
      </c>
      <c r="M33">
        <v>0</v>
      </c>
      <c r="N33">
        <v>0</v>
      </c>
      <c r="O33">
        <v>13</v>
      </c>
      <c r="P33" t="s">
        <v>187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7</v>
      </c>
      <c r="AF33">
        <v>17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151</v>
      </c>
      <c r="B34" s="2">
        <v>45996</v>
      </c>
      <c r="C34" t="s">
        <v>191</v>
      </c>
      <c r="D34" t="s">
        <v>192</v>
      </c>
      <c r="E34" t="s">
        <v>193</v>
      </c>
      <c r="F34" t="s">
        <v>40</v>
      </c>
      <c r="G34">
        <v>0.17860000000000001</v>
      </c>
      <c r="H34">
        <v>168</v>
      </c>
      <c r="I34">
        <v>30</v>
      </c>
      <c r="J34">
        <v>0</v>
      </c>
      <c r="K34" t="s">
        <v>41</v>
      </c>
      <c r="L34" t="s">
        <v>54</v>
      </c>
      <c r="M34">
        <v>0</v>
      </c>
      <c r="N34">
        <v>0</v>
      </c>
      <c r="O34">
        <v>25</v>
      </c>
      <c r="P34" t="s">
        <v>187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13</v>
      </c>
      <c r="AF34">
        <v>17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80</v>
      </c>
      <c r="B35" s="2">
        <v>45997</v>
      </c>
      <c r="C35" t="s">
        <v>209</v>
      </c>
      <c r="D35" t="s">
        <v>192</v>
      </c>
      <c r="E35" t="s">
        <v>211</v>
      </c>
      <c r="F35" t="s">
        <v>40</v>
      </c>
      <c r="G35">
        <v>0.125</v>
      </c>
      <c r="H35">
        <v>168</v>
      </c>
      <c r="I35">
        <v>21</v>
      </c>
      <c r="J35">
        <v>0</v>
      </c>
      <c r="K35" t="s">
        <v>41</v>
      </c>
      <c r="L35" t="s">
        <v>150</v>
      </c>
      <c r="M35">
        <v>0</v>
      </c>
      <c r="N35">
        <v>0</v>
      </c>
      <c r="O35">
        <v>1</v>
      </c>
      <c r="P35" t="s">
        <v>187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8</v>
      </c>
      <c r="AE35">
        <v>2</v>
      </c>
      <c r="AF35">
        <v>10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80</v>
      </c>
      <c r="B36" s="2">
        <v>45997</v>
      </c>
      <c r="C36" t="s">
        <v>169</v>
      </c>
      <c r="D36" t="s">
        <v>170</v>
      </c>
      <c r="E36" t="s">
        <v>99</v>
      </c>
      <c r="F36" t="s">
        <v>40</v>
      </c>
      <c r="G36">
        <v>0.35749999999999998</v>
      </c>
      <c r="H36">
        <v>179</v>
      </c>
      <c r="I36">
        <v>64</v>
      </c>
      <c r="J36">
        <v>29</v>
      </c>
      <c r="K36" t="s">
        <v>41</v>
      </c>
      <c r="L36" t="s">
        <v>111</v>
      </c>
      <c r="M36">
        <v>0</v>
      </c>
      <c r="N36">
        <v>5</v>
      </c>
      <c r="O36">
        <v>15</v>
      </c>
      <c r="P36" t="s">
        <v>120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0</v>
      </c>
      <c r="AB36">
        <v>0</v>
      </c>
      <c r="AC36">
        <v>0</v>
      </c>
      <c r="AD36">
        <v>2</v>
      </c>
      <c r="AE36">
        <v>20</v>
      </c>
      <c r="AF36">
        <v>10</v>
      </c>
      <c r="AG36">
        <v>0</v>
      </c>
      <c r="AH36">
        <v>0</v>
      </c>
      <c r="AI36">
        <v>29</v>
      </c>
      <c r="AJ36">
        <v>0</v>
      </c>
    </row>
    <row r="37" spans="1:36" x14ac:dyDescent="0.3">
      <c r="A37" t="s">
        <v>80</v>
      </c>
      <c r="B37" s="2">
        <v>45997</v>
      </c>
      <c r="C37" t="s">
        <v>104</v>
      </c>
      <c r="D37" t="s">
        <v>172</v>
      </c>
      <c r="E37" t="s">
        <v>99</v>
      </c>
      <c r="F37" t="s">
        <v>40</v>
      </c>
      <c r="G37">
        <v>0.8659</v>
      </c>
      <c r="H37">
        <v>179</v>
      </c>
      <c r="I37">
        <v>155</v>
      </c>
      <c r="J37">
        <v>113</v>
      </c>
      <c r="K37" t="s">
        <v>41</v>
      </c>
      <c r="L37" t="s">
        <v>111</v>
      </c>
      <c r="M37">
        <v>0</v>
      </c>
      <c r="N37">
        <v>1</v>
      </c>
      <c r="O37">
        <v>46</v>
      </c>
      <c r="P37" t="s">
        <v>139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1</v>
      </c>
      <c r="AD37">
        <v>9</v>
      </c>
      <c r="AE37">
        <v>20</v>
      </c>
      <c r="AF37">
        <v>10</v>
      </c>
      <c r="AG37">
        <v>0</v>
      </c>
      <c r="AH37">
        <v>0</v>
      </c>
      <c r="AI37">
        <v>113</v>
      </c>
      <c r="AJ37">
        <v>0</v>
      </c>
    </row>
    <row r="38" spans="1:36" x14ac:dyDescent="0.3">
      <c r="A38" t="s">
        <v>80</v>
      </c>
      <c r="B38" s="2">
        <v>45997</v>
      </c>
      <c r="C38" t="s">
        <v>109</v>
      </c>
      <c r="D38" t="s">
        <v>174</v>
      </c>
      <c r="E38" t="s">
        <v>99</v>
      </c>
      <c r="F38" t="s">
        <v>40</v>
      </c>
      <c r="G38">
        <v>1.0223</v>
      </c>
      <c r="H38">
        <v>179</v>
      </c>
      <c r="I38">
        <v>183</v>
      </c>
      <c r="J38">
        <v>178</v>
      </c>
      <c r="K38" t="s">
        <v>41</v>
      </c>
      <c r="L38" t="s">
        <v>175</v>
      </c>
      <c r="M38">
        <v>0</v>
      </c>
      <c r="N38">
        <v>0</v>
      </c>
      <c r="O38">
        <v>46</v>
      </c>
      <c r="P38" t="s">
        <v>69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</v>
      </c>
      <c r="AG38">
        <v>45</v>
      </c>
      <c r="AH38">
        <v>0</v>
      </c>
      <c r="AI38">
        <v>130</v>
      </c>
      <c r="AJ38">
        <v>3</v>
      </c>
    </row>
    <row r="39" spans="1:36" x14ac:dyDescent="0.3">
      <c r="A39" t="s">
        <v>80</v>
      </c>
      <c r="B39" s="2">
        <v>45997</v>
      </c>
      <c r="C39" t="s">
        <v>66</v>
      </c>
      <c r="D39" t="s">
        <v>81</v>
      </c>
      <c r="E39" t="s">
        <v>39</v>
      </c>
      <c r="F39" t="s">
        <v>40</v>
      </c>
      <c r="G39">
        <v>1.0417000000000001</v>
      </c>
      <c r="H39">
        <v>168</v>
      </c>
      <c r="I39">
        <v>175</v>
      </c>
      <c r="J39">
        <v>137</v>
      </c>
      <c r="K39" t="s">
        <v>41</v>
      </c>
      <c r="L39" t="s">
        <v>82</v>
      </c>
      <c r="M39">
        <v>0</v>
      </c>
      <c r="N39">
        <v>0</v>
      </c>
      <c r="O39">
        <v>8</v>
      </c>
      <c r="P39" t="s">
        <v>69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8</v>
      </c>
      <c r="AE39">
        <v>9</v>
      </c>
      <c r="AF39">
        <v>17</v>
      </c>
      <c r="AG39">
        <v>0</v>
      </c>
      <c r="AH39">
        <v>0</v>
      </c>
      <c r="AI39">
        <v>137</v>
      </c>
      <c r="AJ39">
        <v>2</v>
      </c>
    </row>
    <row r="40" spans="1:36" x14ac:dyDescent="0.3">
      <c r="A40" t="s">
        <v>80</v>
      </c>
      <c r="B40" s="2">
        <v>45997</v>
      </c>
      <c r="C40" t="s">
        <v>197</v>
      </c>
      <c r="D40" t="s">
        <v>198</v>
      </c>
      <c r="E40" t="s">
        <v>193</v>
      </c>
      <c r="F40" t="s">
        <v>40</v>
      </c>
      <c r="G40">
        <v>7.7399999999999997E-2</v>
      </c>
      <c r="H40">
        <v>168</v>
      </c>
      <c r="I40">
        <v>13</v>
      </c>
      <c r="J40">
        <v>0</v>
      </c>
      <c r="K40" t="s">
        <v>41</v>
      </c>
      <c r="L40" t="s">
        <v>111</v>
      </c>
      <c r="M40">
        <v>0</v>
      </c>
      <c r="N40">
        <v>2</v>
      </c>
      <c r="O40">
        <v>4</v>
      </c>
      <c r="P40" t="s">
        <v>187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12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86</v>
      </c>
      <c r="B41" s="2">
        <v>45998</v>
      </c>
      <c r="C41" t="s">
        <v>135</v>
      </c>
      <c r="D41" t="s">
        <v>180</v>
      </c>
      <c r="E41" t="s">
        <v>99</v>
      </c>
      <c r="F41" t="s">
        <v>40</v>
      </c>
      <c r="G41">
        <v>0.49719999999999998</v>
      </c>
      <c r="H41">
        <v>179</v>
      </c>
      <c r="I41">
        <v>89</v>
      </c>
      <c r="J41">
        <v>61</v>
      </c>
      <c r="K41" t="s">
        <v>41</v>
      </c>
      <c r="L41" t="s">
        <v>111</v>
      </c>
      <c r="M41">
        <v>0</v>
      </c>
      <c r="N41">
        <v>2</v>
      </c>
      <c r="O41">
        <v>9</v>
      </c>
      <c r="P41" t="s">
        <v>71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</v>
      </c>
      <c r="AD41">
        <v>1</v>
      </c>
      <c r="AE41">
        <v>10</v>
      </c>
      <c r="AF41">
        <v>10</v>
      </c>
      <c r="AG41">
        <v>25</v>
      </c>
      <c r="AH41">
        <v>0</v>
      </c>
      <c r="AI41">
        <v>36</v>
      </c>
      <c r="AJ41">
        <v>0</v>
      </c>
    </row>
    <row r="42" spans="1:36" x14ac:dyDescent="0.3">
      <c r="A42" t="s">
        <v>86</v>
      </c>
      <c r="B42" s="2">
        <v>45998</v>
      </c>
      <c r="C42" t="s">
        <v>184</v>
      </c>
      <c r="D42" t="s">
        <v>172</v>
      </c>
      <c r="E42" t="s">
        <v>99</v>
      </c>
      <c r="F42" t="s">
        <v>40</v>
      </c>
      <c r="G42">
        <v>0.16669999999999999</v>
      </c>
      <c r="H42">
        <v>168</v>
      </c>
      <c r="I42">
        <v>28</v>
      </c>
      <c r="J42">
        <v>0</v>
      </c>
      <c r="K42" t="s">
        <v>41</v>
      </c>
      <c r="L42" t="s">
        <v>111</v>
      </c>
      <c r="M42">
        <v>0</v>
      </c>
      <c r="N42">
        <v>1</v>
      </c>
      <c r="O42">
        <v>18</v>
      </c>
      <c r="P42" t="s">
        <v>127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9</v>
      </c>
      <c r="AA42">
        <v>0</v>
      </c>
      <c r="AB42">
        <v>0</v>
      </c>
      <c r="AC42">
        <v>0</v>
      </c>
      <c r="AD42">
        <v>0</v>
      </c>
      <c r="AE42">
        <v>9</v>
      </c>
      <c r="AF42">
        <v>10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86</v>
      </c>
      <c r="B43" s="2">
        <v>45998</v>
      </c>
      <c r="C43" t="s">
        <v>119</v>
      </c>
      <c r="D43" t="s">
        <v>186</v>
      </c>
      <c r="E43" t="s">
        <v>99</v>
      </c>
      <c r="F43" t="s">
        <v>40</v>
      </c>
      <c r="G43">
        <v>0.86029999999999995</v>
      </c>
      <c r="H43">
        <v>179</v>
      </c>
      <c r="I43">
        <v>154</v>
      </c>
      <c r="J43">
        <v>130</v>
      </c>
      <c r="K43" t="s">
        <v>41</v>
      </c>
      <c r="L43" t="s">
        <v>111</v>
      </c>
      <c r="M43">
        <v>0</v>
      </c>
      <c r="N43">
        <v>1</v>
      </c>
      <c r="O43">
        <v>38</v>
      </c>
      <c r="P43" t="s">
        <v>185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3</v>
      </c>
      <c r="AE43">
        <v>9</v>
      </c>
      <c r="AF43">
        <v>9</v>
      </c>
      <c r="AG43">
        <v>0</v>
      </c>
      <c r="AH43">
        <v>0</v>
      </c>
      <c r="AI43">
        <v>130</v>
      </c>
      <c r="AJ43">
        <v>0</v>
      </c>
    </row>
    <row r="44" spans="1:36" x14ac:dyDescent="0.3">
      <c r="A44" t="s">
        <v>86</v>
      </c>
      <c r="B44" s="2">
        <v>45998</v>
      </c>
      <c r="C44" t="s">
        <v>104</v>
      </c>
      <c r="D44" t="s">
        <v>155</v>
      </c>
      <c r="E44" t="s">
        <v>99</v>
      </c>
      <c r="F44" t="s">
        <v>40</v>
      </c>
      <c r="G44">
        <v>0.1676</v>
      </c>
      <c r="H44">
        <v>179</v>
      </c>
      <c r="I44">
        <v>30</v>
      </c>
      <c r="J44">
        <v>0</v>
      </c>
      <c r="K44" t="s">
        <v>41</v>
      </c>
      <c r="L44" t="s">
        <v>111</v>
      </c>
      <c r="M44">
        <v>0</v>
      </c>
      <c r="N44">
        <v>2</v>
      </c>
      <c r="O44">
        <v>20</v>
      </c>
      <c r="P44" t="s">
        <v>120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10</v>
      </c>
      <c r="AF44">
        <v>20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86</v>
      </c>
      <c r="B45" s="2">
        <v>45998</v>
      </c>
      <c r="C45" t="s">
        <v>109</v>
      </c>
      <c r="D45" t="s">
        <v>188</v>
      </c>
      <c r="E45" t="s">
        <v>99</v>
      </c>
      <c r="F45" t="s">
        <v>40</v>
      </c>
      <c r="G45">
        <v>0.96650000000000003</v>
      </c>
      <c r="H45">
        <v>179</v>
      </c>
      <c r="I45">
        <v>173</v>
      </c>
      <c r="J45">
        <v>155</v>
      </c>
      <c r="K45" t="s">
        <v>41</v>
      </c>
      <c r="L45" t="s">
        <v>111</v>
      </c>
      <c r="M45">
        <v>0</v>
      </c>
      <c r="N45">
        <v>3</v>
      </c>
      <c r="O45">
        <v>3</v>
      </c>
      <c r="P45" t="s">
        <v>189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8</v>
      </c>
      <c r="AF45">
        <v>10</v>
      </c>
      <c r="AG45">
        <v>0</v>
      </c>
      <c r="AH45">
        <v>0</v>
      </c>
      <c r="AI45">
        <v>155</v>
      </c>
      <c r="AJ45">
        <v>0</v>
      </c>
    </row>
    <row r="46" spans="1:36" x14ac:dyDescent="0.3">
      <c r="A46" t="s">
        <v>86</v>
      </c>
      <c r="B46" s="2">
        <v>45998</v>
      </c>
      <c r="C46" t="s">
        <v>66</v>
      </c>
      <c r="D46" t="s">
        <v>87</v>
      </c>
      <c r="E46" t="s">
        <v>39</v>
      </c>
      <c r="F46" t="s">
        <v>40</v>
      </c>
      <c r="G46">
        <v>1.0595000000000001</v>
      </c>
      <c r="H46">
        <v>168</v>
      </c>
      <c r="I46">
        <v>178</v>
      </c>
      <c r="J46">
        <v>145</v>
      </c>
      <c r="K46" t="s">
        <v>41</v>
      </c>
      <c r="L46" t="s">
        <v>82</v>
      </c>
      <c r="M46">
        <v>0</v>
      </c>
      <c r="N46">
        <v>0</v>
      </c>
      <c r="O46">
        <v>11</v>
      </c>
      <c r="P46" t="s">
        <v>69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4</v>
      </c>
      <c r="AA46">
        <v>4</v>
      </c>
      <c r="AB46">
        <v>4</v>
      </c>
      <c r="AC46">
        <v>4</v>
      </c>
      <c r="AD46">
        <v>6</v>
      </c>
      <c r="AE46">
        <v>4</v>
      </c>
      <c r="AF46">
        <v>4</v>
      </c>
      <c r="AG46">
        <v>0</v>
      </c>
      <c r="AH46">
        <v>0</v>
      </c>
      <c r="AI46">
        <v>145</v>
      </c>
      <c r="AJ46">
        <v>0</v>
      </c>
    </row>
    <row r="47" spans="1:36" x14ac:dyDescent="0.3">
      <c r="A47" t="s">
        <v>86</v>
      </c>
      <c r="B47" s="2">
        <v>45998</v>
      </c>
      <c r="C47" t="s">
        <v>197</v>
      </c>
      <c r="D47" t="s">
        <v>207</v>
      </c>
      <c r="E47" t="s">
        <v>193</v>
      </c>
      <c r="F47" t="s">
        <v>40</v>
      </c>
      <c r="G47">
        <v>4.1700000000000001E-2</v>
      </c>
      <c r="H47">
        <v>168</v>
      </c>
      <c r="I47">
        <v>7</v>
      </c>
      <c r="J47">
        <v>0</v>
      </c>
      <c r="K47" t="s">
        <v>41</v>
      </c>
      <c r="L47" t="s">
        <v>82</v>
      </c>
      <c r="M47">
        <v>0</v>
      </c>
      <c r="N47">
        <v>0</v>
      </c>
      <c r="O47">
        <v>1</v>
      </c>
      <c r="P47" t="s">
        <v>187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6</v>
      </c>
      <c r="AG47">
        <v>0</v>
      </c>
      <c r="AH47">
        <v>0</v>
      </c>
      <c r="AI47">
        <v>0</v>
      </c>
      <c r="AJ4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MED-CAI LF LEGACY</vt:lpstr>
      <vt:lpstr>JED-CAI LF LEGACY</vt:lpstr>
      <vt:lpstr>RUH-CAI LF LEGACY</vt:lpstr>
      <vt:lpstr>DMM-CAI LF LEGACY</vt:lpstr>
      <vt:lpstr>KSA_TO_EGY_ALL_ROUTES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2025-11-23T04:29:32Z</dcterms:created>
  <dcterms:modified xsi:type="dcterms:W3CDTF">2025-11-23T04:29:36Z</dcterms:modified>
</cp:coreProperties>
</file>