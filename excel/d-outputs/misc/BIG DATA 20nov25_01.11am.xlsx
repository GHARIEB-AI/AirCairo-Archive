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comments4.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tables/table9.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FB51742A-AA06-45CC-8625-77551BB3464F}"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JED-HBE" sheetId="5" r:id="rId5"/>
    <sheet name="JED-HBE LF LEGACY" sheetId="6" r:id="rId6"/>
    <sheet name="JED-HBE - FOCUS MODE" sheetId="7" r:id="rId7"/>
    <sheet name="JED-HBE - OAL Threats Alert" sheetId="8" r:id="rId8"/>
    <sheet name="JED-ATZ" sheetId="9" r:id="rId9"/>
    <sheet name="JED-ATZ LF LEGACY" sheetId="10" r:id="rId10"/>
    <sheet name="JED-ATZ - FOCUS MODE" sheetId="11" r:id="rId11"/>
    <sheet name="JED-ATZ - OAL Threats Alert"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10" l="1"/>
  <c r="E12" i="10"/>
  <c r="G12" i="10"/>
  <c r="H12" i="10"/>
  <c r="I12" i="10"/>
  <c r="J12" i="10"/>
  <c r="M12" i="10"/>
  <c r="N12" i="10"/>
  <c r="O12" i="10"/>
  <c r="Q12" i="10"/>
  <c r="R12" i="10"/>
  <c r="S12" i="10"/>
  <c r="T12" i="10"/>
  <c r="U12" i="10"/>
  <c r="V12" i="10"/>
  <c r="W12" i="10"/>
  <c r="X12" i="10"/>
  <c r="Y12" i="10"/>
  <c r="Z12" i="10"/>
  <c r="AA12" i="10"/>
  <c r="AB12" i="10"/>
  <c r="AC12" i="10"/>
  <c r="AD12" i="10"/>
  <c r="AE12" i="10"/>
  <c r="AF12" i="10"/>
  <c r="AG12" i="10"/>
  <c r="AH12" i="10"/>
  <c r="AI12" i="10"/>
  <c r="AJ12" i="10"/>
  <c r="C10" i="6"/>
  <c r="E10" i="6"/>
  <c r="G10" i="6"/>
  <c r="H10" i="6"/>
  <c r="I10" i="6"/>
  <c r="J10" i="6"/>
  <c r="M10" i="6"/>
  <c r="N10" i="6"/>
  <c r="O10" i="6"/>
  <c r="Q10" i="6"/>
  <c r="R10" i="6"/>
  <c r="S10" i="6"/>
  <c r="T10" i="6"/>
  <c r="U10" i="6"/>
  <c r="V10" i="6"/>
  <c r="W10" i="6"/>
  <c r="X10" i="6"/>
  <c r="Y10" i="6"/>
  <c r="Z10" i="6"/>
  <c r="AA10" i="6"/>
  <c r="AB10" i="6"/>
  <c r="AC10" i="6"/>
  <c r="AD10" i="6"/>
  <c r="AE10" i="6"/>
  <c r="AF10" i="6"/>
  <c r="AG10" i="6"/>
  <c r="AH10" i="6"/>
  <c r="AI10" i="6"/>
  <c r="AJ10" i="6"/>
  <c r="C27" i="2"/>
  <c r="E27" i="2"/>
  <c r="G27" i="2"/>
  <c r="H27" i="2"/>
  <c r="I27" i="2"/>
  <c r="J27" i="2"/>
  <c r="M27" i="2"/>
  <c r="N27" i="2"/>
  <c r="O27" i="2"/>
  <c r="Q27" i="2"/>
  <c r="R27" i="2"/>
  <c r="S27" i="2"/>
  <c r="T27" i="2"/>
  <c r="U27" i="2"/>
  <c r="V27" i="2"/>
  <c r="W27" i="2"/>
  <c r="X27" i="2"/>
  <c r="Y27" i="2"/>
  <c r="Z27" i="2"/>
  <c r="AA27" i="2"/>
  <c r="AB27" i="2"/>
  <c r="AC27" i="2"/>
  <c r="AD27" i="2"/>
  <c r="AE27" i="2"/>
  <c r="AF27" i="2"/>
  <c r="AG27" i="2"/>
  <c r="AH27" i="2"/>
  <c r="AI27" i="2"/>
  <c r="AJ2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80CEFEE7-A4EA-4975-9C3B-3C5D8DC0315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B13" authorId="0" shapeId="0" xr:uid="{0902C5DA-84D5-431E-B87E-AA4DA5FFB87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C13" authorId="0" shapeId="0" xr:uid="{041B87D8-2F1F-487F-8A04-4B6791D8D42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D13" authorId="0" shapeId="0" xr:uid="{F36CEA60-87A0-48B0-9C49-25F92569190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E13" authorId="0" shapeId="0" xr:uid="{BB6A23E7-4871-4FE5-9125-6BF92FEF077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F13" authorId="0" shapeId="0" xr:uid="{12B1E115-4A5B-4B2B-8B5A-CF2C301E4F5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G13" authorId="0" shapeId="0" xr:uid="{DE6357EC-BBFF-423F-A169-6760C1DF0D6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H13" authorId="0" shapeId="0" xr:uid="{8FE34EC7-29BE-496F-B26C-2B70FBABF30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A16" authorId="0" shapeId="0" xr:uid="{4817154E-7EB0-43FE-8973-ADBC8083F13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B16" authorId="0" shapeId="0" xr:uid="{7B0935AF-C911-4AD9-91DF-89C5F8888CB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C16" authorId="0" shapeId="0" xr:uid="{54A17001-D826-444C-96B9-0ACF21E7B91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D16" authorId="0" shapeId="0" xr:uid="{287BA222-B07E-4145-8F90-20F32D6015A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E16" authorId="0" shapeId="0" xr:uid="{73BAA1A9-C3EB-4E38-B698-306B2D79B27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F16" authorId="0" shapeId="0" xr:uid="{56DF3886-7F03-484D-BD82-BAC8D57FECB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G16" authorId="0" shapeId="0" xr:uid="{21CFCA54-8B01-4451-9782-4DC9E65D60B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H16" authorId="0" shapeId="0" xr:uid="{D566999F-288D-438B-BD4C-7C1BE33DE9B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A17" authorId="0" shapeId="0" xr:uid="{415C95B3-128C-400C-946F-D6013F9F0DE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B17" authorId="0" shapeId="0" xr:uid="{17F5BFFE-41F1-4F9A-9799-E3E3072392D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C17" authorId="0" shapeId="0" xr:uid="{11471987-C0EA-4D30-BAA8-658A4532894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D17" authorId="0" shapeId="0" xr:uid="{CA8BE76A-1E54-407D-B77D-0F1C13EFC1E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E17" authorId="0" shapeId="0" xr:uid="{A09A0642-3AEB-4DB9-8A5C-74224C39C0B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F17" authorId="0" shapeId="0" xr:uid="{B7AB1DDB-60EB-4F97-A10B-643436E8502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G17" authorId="0" shapeId="0" xr:uid="{EDD9D2B2-C753-4643-87FD-359E0F2F70D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H17" authorId="0" shapeId="0" xr:uid="{A2349C82-8773-44EC-9A05-29E1E8D6487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A18" authorId="0" shapeId="0" xr:uid="{EAA67897-66A3-401B-99B4-96A1CE91DD1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B18" authorId="0" shapeId="0" xr:uid="{3503255F-A3CC-4CA5-805E-00A2244EA20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C18" authorId="0" shapeId="0" xr:uid="{23D0C93F-AAAE-407A-BB5A-25A363BAAED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D18" authorId="0" shapeId="0" xr:uid="{CB6A30E5-3782-42FC-B7BC-ACCE64F6C2D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E18" authorId="0" shapeId="0" xr:uid="{FEF55D79-87CE-4588-AB59-20D082B1424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F18" authorId="0" shapeId="0" xr:uid="{5AE893E0-DA16-49EB-8285-E76DB849CA2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G18" authorId="0" shapeId="0" xr:uid="{BC37C759-3FF2-4397-9464-161760CC0F3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H18" authorId="0" shapeId="0" xr:uid="{1E7ED9AF-5527-43D6-A7ED-4596E70AE78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A74" authorId="0" shapeId="0" xr:uid="{CC5788DF-34A8-4DCB-892F-5AF9A19F0B8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B74" authorId="0" shapeId="0" xr:uid="{A555D7CA-B30A-4A16-B313-AE913EA763F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C74" authorId="0" shapeId="0" xr:uid="{90870CAF-62BD-4F62-BF99-773D15983E1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D74" authorId="0" shapeId="0" xr:uid="{E72165D7-13BD-46D3-B749-40B7B44E38E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E74" authorId="0" shapeId="0" xr:uid="{D645C900-C40B-4040-8660-A6665552D5F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F74" authorId="0" shapeId="0" xr:uid="{40D9C7B4-B096-432F-9442-2908C3BA55E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G74" authorId="0" shapeId="0" xr:uid="{4A97DDBF-DA65-44BF-AE64-35D3B40C5B7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H74" authorId="0" shapeId="0" xr:uid="{62342D33-41AF-4DE4-B5AE-88A6F79A2D7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A75" authorId="0" shapeId="0" xr:uid="{0179CF84-10B8-4C36-85DD-ABC7AA631FB4}">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B75" authorId="0" shapeId="0" xr:uid="{46DC0200-14EB-4342-8066-48E6203D4CC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C75" authorId="0" shapeId="0" xr:uid="{8CAAA60E-AC92-4A67-833C-D7F71EAF48F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D75" authorId="0" shapeId="0" xr:uid="{78B8782E-FBBB-42D8-BC57-4073AAE03266}">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E75" authorId="0" shapeId="0" xr:uid="{206524D4-426D-4BB4-81EC-711CEED8E99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F75" authorId="0" shapeId="0" xr:uid="{4A6FF491-D082-4E3C-85C0-C638FBF3E86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G75" authorId="0" shapeId="0" xr:uid="{C6DBF3E7-118C-47F3-AF7F-1F50BDCA7D4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H75" authorId="0" shapeId="0" xr:uid="{42F5F9C1-E703-4A77-9D60-23BFA4992944}">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A89" authorId="0" shapeId="0" xr:uid="{E9580A6E-896C-4AF5-9171-8CC9BF5A3667}">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B89" authorId="0" shapeId="0" xr:uid="{F2D903AD-80C1-44AA-B83C-D1457B7C3C9E}">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C89" authorId="0" shapeId="0" xr:uid="{CE009CEA-7A67-4706-B22F-8721BC1400C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D89" authorId="0" shapeId="0" xr:uid="{00AF95A2-9BFB-432A-8870-462793DB7BFE}">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E89" authorId="0" shapeId="0" xr:uid="{CDCB20D4-76FE-4BC1-80BD-134CF06911A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F89" authorId="0" shapeId="0" xr:uid="{B457E219-F14E-4033-9C19-5619630F1EE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G89" authorId="0" shapeId="0" xr:uid="{F817D249-A92E-4368-967C-6E3E09ABCD3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H89" authorId="0" shapeId="0" xr:uid="{F46A74EA-6B4D-4C4A-80C2-23CC528C888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A90" authorId="0" shapeId="0" xr:uid="{D6F31ECB-0319-4228-AD94-75A5887BC9E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B90" authorId="0" shapeId="0" xr:uid="{ED7A79B4-C919-4A01-87CC-44A6A5D0194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C90" authorId="0" shapeId="0" xr:uid="{6EBEF626-9528-47D5-B868-D671DD2F3F4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D90" authorId="0" shapeId="0" xr:uid="{CAE154D6-0B34-4144-A44F-3E3E58F3D1F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E90" authorId="0" shapeId="0" xr:uid="{B5E86F16-30B8-4A4D-A71E-0F81D46C223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F90" authorId="0" shapeId="0" xr:uid="{6CF7B99B-567D-4773-9E51-FB93DBB983B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G90" authorId="0" shapeId="0" xr:uid="{2AE6EE7D-E034-407A-860D-EB747506DC0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H90" authorId="0" shapeId="0" xr:uid="{7490A322-9CFC-4A84-8804-03DEA5BCAD6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A91" authorId="0" shapeId="0" xr:uid="{E66073A3-482E-49B0-B3F2-8070F8787CB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B91" authorId="0" shapeId="0" xr:uid="{B95B247E-FA77-4261-B852-064953047FE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C91" authorId="0" shapeId="0" xr:uid="{BDB29822-A26D-44D6-BFE2-CBD2A9D8D8E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D91" authorId="0" shapeId="0" xr:uid="{24B119B7-BD64-4994-B3A8-1BC24B03FDB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E91" authorId="0" shapeId="0" xr:uid="{F93C1C16-4FC7-4163-963C-E6DD440094F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F91" authorId="0" shapeId="0" xr:uid="{1FEDFF82-18BD-4EEA-A01B-2446F9E6134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G91" authorId="0" shapeId="0" xr:uid="{88EB9361-84D6-4303-A67B-7D794521520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H91" authorId="0" shapeId="0" xr:uid="{7EEB33A5-F54C-42E9-8EC0-5851B2D59DC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A156" authorId="0" shapeId="0" xr:uid="{4245BDC7-F532-4B72-B015-5570BF09C51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B156" authorId="0" shapeId="0" xr:uid="{A7DA1CC5-0689-46CC-909C-1965753FBD9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C156" authorId="0" shapeId="0" xr:uid="{1F9D2D01-87CA-4B07-BFC7-B7196324696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D156" authorId="0" shapeId="0" xr:uid="{A9CDA9FA-43A6-4F97-AFEB-0718C04C446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E156" authorId="0" shapeId="0" xr:uid="{EBF43CBF-3C45-4CDC-A7AC-7C9DA111EAA5}">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F156" authorId="0" shapeId="0" xr:uid="{F0A06BAD-618E-45C2-BB8C-0C58AA17BAF6}">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G156" authorId="0" shapeId="0" xr:uid="{85AEE1C8-0127-4F29-B1A5-0D5728EB04E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H156" authorId="0" shapeId="0" xr:uid="{84A096C6-E010-45A1-B2CB-AB18461AE29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A163" authorId="0" shapeId="0" xr:uid="{A57B6AC9-4503-466B-B839-076055D044DB}">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B163" authorId="0" shapeId="0" xr:uid="{F82D8AA5-E333-42F4-BF10-DFC2652D6B43}">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C163" authorId="0" shapeId="0" xr:uid="{38DB0065-7636-4474-9540-E669E5CE56E4}">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D163" authorId="0" shapeId="0" xr:uid="{710D39FA-FC7D-4D14-9C72-B03B0FFA1D1A}">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E163" authorId="0" shapeId="0" xr:uid="{2237E1B6-8ECF-4067-A081-EFD63774BC5B}">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F163" authorId="0" shapeId="0" xr:uid="{F6D4E5A9-28E7-46EB-B0E2-CAA7C9F10ACE}">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G163" authorId="0" shapeId="0" xr:uid="{A1EDBE3A-60CA-40F4-94C8-436C82A4247C}">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H163" authorId="0" shapeId="0" xr:uid="{5B30D9D5-2790-4BE9-AF17-454E795CC2D5}">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A164" authorId="0" shapeId="0" xr:uid="{6A552832-0A2D-404C-B71B-283509D3653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B164" authorId="0" shapeId="0" xr:uid="{52F5409D-D850-463A-B957-6EE6EACC4CC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C164" authorId="0" shapeId="0" xr:uid="{CCC979FE-CD09-4F7F-AD6D-14EDAD95217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D164" authorId="0" shapeId="0" xr:uid="{054325AA-575C-4FE7-BCD2-364ACAF4C2A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E164" authorId="0" shapeId="0" xr:uid="{C268476B-C687-4E8B-8332-26B893D20BC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F164" authorId="0" shapeId="0" xr:uid="{D3795EC1-F3C6-4569-B46C-B11CC564F1B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G164" authorId="0" shapeId="0" xr:uid="{D6E5DB39-3B98-4EB0-9F5F-D8D2A070C95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H164" authorId="0" shapeId="0" xr:uid="{9E8A56DF-D263-4288-8027-897C524B5F2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A165" authorId="0" shapeId="0" xr:uid="{F71A652A-C7FC-491E-B6AC-161FD7BB3CD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B165" authorId="0" shapeId="0" xr:uid="{231061E0-3697-46FD-A18F-01CCC7667D9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C165" authorId="0" shapeId="0" xr:uid="{1BFBCED5-DB42-47F6-9F65-46091953A1B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D165" authorId="0" shapeId="0" xr:uid="{34E8EBC8-1D00-4FC5-8EFB-5F7064B3513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E165" authorId="0" shapeId="0" xr:uid="{D8257F11-80D0-4B93-8389-CB02E6C7C50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F165" authorId="0" shapeId="0" xr:uid="{13242EDE-0DA1-4433-88DC-2FF33D5C9EE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G165" authorId="0" shapeId="0" xr:uid="{209D2342-5DE2-4D3E-995B-6A34114CD4F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H165" authorId="0" shapeId="0" xr:uid="{A4B51C6E-6AD2-4254-A11F-B5B13121254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A166" authorId="0" shapeId="0" xr:uid="{1BC52DE8-B9A7-418F-8205-46321C0BF8C1}">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B166" authorId="0" shapeId="0" xr:uid="{9A570FCB-A29D-4520-94BA-AFED19E03B01}">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C166" authorId="0" shapeId="0" xr:uid="{8C934FB7-438C-43DC-B90D-544612AC7E6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D166" authorId="0" shapeId="0" xr:uid="{13D37F8C-53D8-46A2-BF10-DE48F6DDC49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E166" authorId="0" shapeId="0" xr:uid="{909DA19B-BF93-4AAB-BD81-EAB207AAD36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F166" authorId="0" shapeId="0" xr:uid="{9150BF20-97A1-49C2-82DC-D4044CF1CF7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G166" authorId="0" shapeId="0" xr:uid="{BE908FD2-F182-42A8-B523-C821BCD6721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H166" authorId="0" shapeId="0" xr:uid="{47C5D58A-558F-4857-96BA-3C5B6D6AF06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A170" authorId="0" shapeId="0" xr:uid="{BDCE1614-547B-4048-80AB-CB0467F181E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B170" authorId="0" shapeId="0" xr:uid="{9A95429E-BD06-4766-9B52-90D57CA9162A}">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C170" authorId="0" shapeId="0" xr:uid="{F2DFBD5A-F3C4-46D3-A521-CF6121DB038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D170" authorId="0" shapeId="0" xr:uid="{3E5EB841-E45C-49FA-9D2D-0CFBDED9A43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E170" authorId="0" shapeId="0" xr:uid="{A9A96BFE-1671-43A9-98F2-1B94B6073BE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F170" authorId="0" shapeId="0" xr:uid="{2AE45C7D-D2D8-4EFE-9C65-10BA1557196A}">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G170" authorId="0" shapeId="0" xr:uid="{AEB08535-EC33-4047-85FE-82BDD01B2D8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H170" authorId="0" shapeId="0" xr:uid="{72E0A315-BEEC-49DF-9AA5-2D470A6DA50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A171" authorId="0" shapeId="0" xr:uid="{D1179B4F-B8EB-4FBD-9170-82A8C50547D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B171" authorId="0" shapeId="0" xr:uid="{64B4F02A-EA08-4B4A-B04F-E516B9A53818}">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C171" authorId="0" shapeId="0" xr:uid="{A2571E49-D0F8-4BB3-B054-BE6788277C9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D171" authorId="0" shapeId="0" xr:uid="{CF98AEC2-84DF-4115-A835-71C7C332BA3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E171" authorId="0" shapeId="0" xr:uid="{6A5F7679-D4A4-4876-BD20-0CC3B464E11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F171" authorId="0" shapeId="0" xr:uid="{F3D881CF-B2A7-4186-94EA-7EA9F0AFAEE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G171" authorId="0" shapeId="0" xr:uid="{CD118A9C-C1A1-40B8-A56C-4E9DE0422E1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H171" authorId="0" shapeId="0" xr:uid="{8039A94F-B373-4225-A0DB-4C75CABA77F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A234" authorId="0" shapeId="0" xr:uid="{C2A164B3-2319-4F9C-8A58-6BA8A0E31F9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B234" authorId="0" shapeId="0" xr:uid="{C1C821DF-9ED7-4BDD-98B8-B5FCC3BDB5A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C234" authorId="0" shapeId="0" xr:uid="{430E819F-98CD-4B3A-8EAE-B128FB3E0A7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D234" authorId="0" shapeId="0" xr:uid="{6237F78D-132A-45E2-8AD7-952CC8D6B8C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E234" authorId="0" shapeId="0" xr:uid="{3D6FD9F5-5993-4021-8689-EA038112ACD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F234" authorId="0" shapeId="0" xr:uid="{ECFE97B5-DD7E-4DB0-9532-9106DF1754F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G234" authorId="0" shapeId="0" xr:uid="{27B9BDE8-814B-413D-956A-E5B61D557B4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H234" authorId="0" shapeId="0" xr:uid="{02616DCA-E4B6-487F-8081-2184D577B77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A235" authorId="0" shapeId="0" xr:uid="{643C8FBF-F11F-4A16-A440-9406591BAC3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B235" authorId="0" shapeId="0" xr:uid="{EAEC195F-5696-4918-8B42-92958D0B63A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C235" authorId="0" shapeId="0" xr:uid="{2CEAE69E-2F4B-4F2D-8D0A-7E604A4F717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D235" authorId="0" shapeId="0" xr:uid="{67395845-8F77-4D58-9996-0E99BE887B7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E235" authorId="0" shapeId="0" xr:uid="{E873FF66-A6EF-4407-B534-725BB277E29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F235" authorId="0" shapeId="0" xr:uid="{D6F298AB-8C61-4E40-BCAC-FE8BB61009A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G235" authorId="0" shapeId="0" xr:uid="{9B38896B-887E-45C5-9EA4-CF6475128E1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H235" authorId="0" shapeId="0" xr:uid="{C870E0C6-6DCF-460C-8615-2851FDD19A9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A241" authorId="0" shapeId="0" xr:uid="{D45525FF-F992-4DFC-9454-DCAE217FF4B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B241" authorId="0" shapeId="0" xr:uid="{EC07FE0E-1469-4FE9-BB50-06AADAEEEA3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C241" authorId="0" shapeId="0" xr:uid="{5486C754-8603-46E8-9BD6-D6492E5FBF0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D241" authorId="0" shapeId="0" xr:uid="{9C6E5B99-5FB1-4F00-B4D2-10F20752B62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E241" authorId="0" shapeId="0" xr:uid="{FFC0BAA6-BB21-48FC-9891-DE684A1BCD5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F241" authorId="0" shapeId="0" xr:uid="{38E7ECE2-5A03-459F-8672-ACCA0F447E5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G241" authorId="0" shapeId="0" xr:uid="{0E5C4737-AD84-4A95-9449-DB0569ABA7B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H241" authorId="0" shapeId="0" xr:uid="{E8D0A2F7-6BD6-43A7-A78C-98B1EC4E3A9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A242" authorId="0" shapeId="0" xr:uid="{8D7A2CB2-A767-4982-833B-A43AB170AE0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B242" authorId="0" shapeId="0" xr:uid="{E0E5F7E0-BC2A-4789-A43C-8DC52EF62F87}">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C242" authorId="0" shapeId="0" xr:uid="{1D661E23-F466-4F6A-9575-E20AF5CE50A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D242" authorId="0" shapeId="0" xr:uid="{E4E4E2BE-046E-4D8F-91B6-1FCE72D6ACE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E242" authorId="0" shapeId="0" xr:uid="{DDB5F3E6-72D3-4ED1-A8E9-1EA79379E53E}">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F242" authorId="0" shapeId="0" xr:uid="{0731BFBB-82AF-499F-8BFB-6F14B0E5422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G242" authorId="0" shapeId="0" xr:uid="{AFA24EA4-37D4-4A03-912E-F126BD2E34B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H242" authorId="0" shapeId="0" xr:uid="{9143B775-3EC5-4322-9205-05368FF09E1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A243" authorId="0" shapeId="0" xr:uid="{C7CDC82C-BD3E-4FF5-B0ED-B776862E633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B243" authorId="0" shapeId="0" xr:uid="{A25D05B8-33D2-4F0C-B110-2D65B9A9EE8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C243" authorId="0" shapeId="0" xr:uid="{E88F4A6F-AC07-4E10-AF41-6391036121D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D243" authorId="0" shapeId="0" xr:uid="{C0818C2B-7102-4997-869B-620126301B4E}">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E243" authorId="0" shapeId="0" xr:uid="{B79B9651-0AB1-4C17-BB45-5083E3DB89A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F243" authorId="0" shapeId="0" xr:uid="{5DB2041D-C368-4FBF-A434-7D0489CB6AD8}">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G243" authorId="0" shapeId="0" xr:uid="{7CBC0EE2-00F9-44D5-8E6C-416D314C5ED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H243" authorId="0" shapeId="0" xr:uid="{30D4D691-1CA4-4993-B432-E0425FD9E22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A244" authorId="0" shapeId="0" xr:uid="{BB941E92-FCA8-4D87-8D1B-6F351C3B4682}">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B244" authorId="0" shapeId="0" xr:uid="{242736FE-FFB6-4FC3-9D68-85AD43A0B55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C244" authorId="0" shapeId="0" xr:uid="{7A14C2E7-4DCF-47E4-AF4F-2E9058F45053}">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D244" authorId="0" shapeId="0" xr:uid="{2020625F-08F4-4E15-867E-E3F84D49917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E244" authorId="0" shapeId="0" xr:uid="{78EC95DA-5772-4E22-A1AC-E422C26D500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F244" authorId="0" shapeId="0" xr:uid="{28353AF7-3B41-4EB2-A90F-8099F87592A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G244" authorId="0" shapeId="0" xr:uid="{18FC84D0-7785-44C6-B37E-05752569747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H244" authorId="0" shapeId="0" xr:uid="{EECD7CAE-8B9C-42E3-A59F-9FA10C8794A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A305" authorId="0" shapeId="0" xr:uid="{66A754A9-64D7-4BD6-81BB-6A17670A924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B305" authorId="0" shapeId="0" xr:uid="{A5676648-5D30-4787-A76D-EBCA9F27D2E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C305" authorId="0" shapeId="0" xr:uid="{FCC45A4D-E57C-440A-BA9C-AC876F6F138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D305" authorId="0" shapeId="0" xr:uid="{8E7BB7B6-7463-473B-9F1B-90687C493D16}">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E305" authorId="0" shapeId="0" xr:uid="{B1340125-7478-4E8F-AA62-C746B9CE1F2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F305" authorId="0" shapeId="0" xr:uid="{EB8B9B3C-49B5-49F6-9F67-3F057FB9C0E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G305" authorId="0" shapeId="0" xr:uid="{D51407BC-0BB4-4FAD-8D85-A64470B26B8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H305" authorId="0" shapeId="0" xr:uid="{5FC84899-7870-4B3D-803C-E81DD0C0504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A311" authorId="0" shapeId="0" xr:uid="{61148570-A0F9-48CA-BA48-826BA1EE4F9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B311" authorId="0" shapeId="0" xr:uid="{FA09D598-A72B-4764-AA04-2BD42EDD2F9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C311" authorId="0" shapeId="0" xr:uid="{433A616E-D9A4-48B4-925E-CB7A28BB962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D311" authorId="0" shapeId="0" xr:uid="{5D1D20A4-6996-4364-B9AE-CFB5DFDB08D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E311" authorId="0" shapeId="0" xr:uid="{3E976263-F958-43CC-9B34-CB93297724C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F311" authorId="0" shapeId="0" xr:uid="{6D34F42B-51A3-494E-B5AC-34E7D89E0B3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G311" authorId="0" shapeId="0" xr:uid="{31DB8202-7264-4174-B2C1-23D21CD07F0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H311" authorId="0" shapeId="0" xr:uid="{E0A9D7E0-E1A6-4F16-8C69-6EF56666B6B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A317" authorId="0" shapeId="0" xr:uid="{52D2BBBE-662D-4669-88D2-B96A07B7D5A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B317" authorId="0" shapeId="0" xr:uid="{0B2BA22F-54C6-4DDE-A576-3871133B3E5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C317" authorId="0" shapeId="0" xr:uid="{E605824E-EA7E-430E-B2E9-3C9D89A2087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D317" authorId="0" shapeId="0" xr:uid="{1553C744-DA28-4A76-A634-A229D3B85A6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E317" authorId="0" shapeId="0" xr:uid="{D0A75212-B051-4300-85B2-AA3B5A93E36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F317" authorId="0" shapeId="0" xr:uid="{26D472EE-EC60-4E44-B685-112AD01DABD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G317" authorId="0" shapeId="0" xr:uid="{315A98E1-6E31-4B07-8266-DAF6B373FDD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H317" authorId="0" shapeId="0" xr:uid="{B22412ED-38FD-4A43-8BAA-91205BC5737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427F7893-BC1A-4834-9B24-D9E99CCA31D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B3" authorId="0" shapeId="0" xr:uid="{1AA09560-D28F-440A-B2A3-A579DA0B2DA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C3" authorId="0" shapeId="0" xr:uid="{62A48AFA-D1DB-4712-83DA-046AC52D22B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D3" authorId="0" shapeId="0" xr:uid="{BEAA89BE-4C48-4540-BCD2-E421E104F2A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E3" authorId="0" shapeId="0" xr:uid="{AB91B08E-1119-463F-BD50-AA3BF513891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F3" authorId="0" shapeId="0" xr:uid="{FA020F4E-097C-491B-B616-CFE3C7CB963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G3" authorId="0" shapeId="0" xr:uid="{F720C6B6-E671-4A6B-A184-E32D7129810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H3" authorId="0" shapeId="0" xr:uid="{6FC15E66-18F0-483A-9CE3-926D01966F7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55.3%]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U8 &amp; O15 &amp; I30 &amp; P46</t>
        </r>
      </text>
    </comment>
    <comment ref="A4" authorId="0" shapeId="0" xr:uid="{F4CCB24A-819A-4BB1-A2E3-8FB1DC9692B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B4" authorId="0" shapeId="0" xr:uid="{0E211969-9AE3-414D-B384-9E06F19362C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C4" authorId="0" shapeId="0" xr:uid="{DA545E7C-1AAA-4CF6-87DB-12EB69338B3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D4" authorId="0" shapeId="0" xr:uid="{A38A2F7E-1B3D-41BE-9D0C-73EAF21E2CC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E4" authorId="0" shapeId="0" xr:uid="{AB68E9C9-26C9-4CEE-A24B-DD5E8E4AFB8A}">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F4" authorId="0" shapeId="0" xr:uid="{8D457B81-9F1F-4D93-91C8-F64A1D6BBA1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G4" authorId="0" shapeId="0" xr:uid="{01C27861-2B92-4C09-A19F-B1AFBC0E338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H4" authorId="0" shapeId="0" xr:uid="{2E1FE85E-8715-4C37-A3D6-CDA9E6418C7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68.2%] - [</t>
        </r>
        <r>
          <rPr>
            <b/>
            <sz val="8.5"/>
            <color indexed="48"/>
            <rFont val="Calibri"/>
            <family val="2"/>
          </rPr>
          <t xml:space="preserve">SOLD </t>
        </r>
        <r>
          <rPr>
            <b/>
            <sz val="8.5"/>
            <color indexed="8"/>
            <rFont val="Calibri"/>
            <family val="2"/>
          </rPr>
          <t>» 122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X2 &amp; U5 &amp; O10 &amp; I15 &amp; P88</t>
        </r>
      </text>
    </comment>
    <comment ref="A5" authorId="0" shapeId="0" xr:uid="{2CDB43B0-5298-4576-9502-DCEC9A6418B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B5" authorId="0" shapeId="0" xr:uid="{C24EBB8F-A3AA-4E01-8B23-64A8955A228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C5" authorId="0" shapeId="0" xr:uid="{261A1B79-51B1-45CB-97A4-E0185BD5ED3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D5" authorId="0" shapeId="0" xr:uid="{CF7F170F-8ACA-456F-A5E3-E638C9A57FD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E5" authorId="0" shapeId="0" xr:uid="{B648DF45-FA79-4861-83DD-C55B5EEB670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F5" authorId="0" shapeId="0" xr:uid="{59B72104-1B97-451B-AE01-33744C100BF8}">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G5" authorId="0" shapeId="0" xr:uid="{4EED695E-FF25-4408-9795-62C304CB7DA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H5" authorId="0" shapeId="0" xr:uid="{3BCA3546-0D87-4982-B9EC-E70DDA21CD6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X3 &amp; U10 &amp; O10 &amp; I30</t>
        </r>
      </text>
    </comment>
    <comment ref="A6" authorId="0" shapeId="0" xr:uid="{28B9775F-C38B-4FDF-86EE-E5B603AEEC3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B6" authorId="0" shapeId="0" xr:uid="{E0E7AE3B-F4D5-4CAB-BC5F-3A11EADC233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C6" authorId="0" shapeId="0" xr:uid="{F0E71BE9-BA83-4159-85AB-656E51231A1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D6" authorId="0" shapeId="0" xr:uid="{F66761F1-6F50-43FD-B5CA-80833C932C0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E6" authorId="0" shapeId="0" xr:uid="{C4A8ABAB-82EF-403C-A00B-39A331FA0BF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F6" authorId="0" shapeId="0" xr:uid="{E95B2219-5007-47FB-AFB9-5E9FE6C7F0E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G6" authorId="0" shapeId="0" xr:uid="{BC78CA5C-FB6F-4449-A984-5581217C4A2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H6" authorId="0" shapeId="0" xr:uid="{95A6EF38-8464-47C9-9B61-AB7832C5C12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76.0%]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X6 &amp; U13 &amp; O15 &amp; I15 &amp; P82</t>
        </r>
      </text>
    </comment>
    <comment ref="A7" authorId="0" shapeId="0" xr:uid="{02024DDE-752D-472F-862C-4D5E7AC5E57F}">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B7" authorId="0" shapeId="0" xr:uid="{61EED8F2-5FBA-4687-A486-BE7E973E10CA}">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C7" authorId="0" shapeId="0" xr:uid="{619D3B59-097F-49C9-BF89-DFA05E89ED8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D7" authorId="0" shapeId="0" xr:uid="{36AF5675-6D9B-4140-A7BD-2F4CB66C3411}">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E7" authorId="0" shapeId="0" xr:uid="{01689792-BD48-4E42-AE6F-CBB9BC7C123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F7" authorId="0" shapeId="0" xr:uid="{3E1F5F0E-ABA1-4D0C-A77E-43D2FAFF5C8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G7" authorId="0" shapeId="0" xr:uid="{8532C7FB-B284-4D76-BA3D-E0FAEEA1513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H7" authorId="0" shapeId="0" xr:uid="{6F7DD4D0-F1A7-4FCA-AABA-CA97C281E2FF}">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U15 &amp; O15 &amp; I15 &amp; P117 &amp; N3</t>
        </r>
      </text>
    </comment>
    <comment ref="A8" authorId="0" shapeId="0" xr:uid="{2158D6B0-DF93-4E3C-B81C-BA7C132BA68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B8" authorId="0" shapeId="0" xr:uid="{1D4B6E94-6A96-489D-9A8B-16B2FFA445B5}">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C8" authorId="0" shapeId="0" xr:uid="{1A1127A8-11F2-41C8-AFA0-129EE2B5D924}">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D8" authorId="0" shapeId="0" xr:uid="{1E37E6E4-85B3-4FC0-A836-AA0D10DA558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E8" authorId="0" shapeId="0" xr:uid="{2B5CA9E6-6318-440D-BB8B-2EDEBB0E535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F8" authorId="0" shapeId="0" xr:uid="{7D766471-B82B-41CD-8716-FD3327ACB89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G8" authorId="0" shapeId="0" xr:uid="{6C49E644-EBC9-4A96-BF2B-FED58ADE438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H8" authorId="0" shapeId="0" xr:uid="{8BD86803-960F-4A19-B3C7-5ED559B1033B}">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X4 &amp; U17 &amp; O15 &amp; I9 &amp; P117</t>
        </r>
      </text>
    </comment>
    <comment ref="A11" authorId="0" shapeId="0" xr:uid="{98219757-5F02-4705-8C45-8059FEA3E88E}">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B11" authorId="0" shapeId="0" xr:uid="{063DAB2C-096C-4EBD-86A1-472FDEE0120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C11" authorId="0" shapeId="0" xr:uid="{B647ED53-9CAD-4587-8F6D-456F32F7646D}">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D11" authorId="0" shapeId="0" xr:uid="{F65C0FC3-1FE2-42C6-9F45-E4A3032775CE}">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E11" authorId="0" shapeId="0" xr:uid="{B4E9FA0B-40FD-4C09-BCC4-80648092CBD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F11" authorId="0" shapeId="0" xr:uid="{E42A04A2-DD73-4604-8EB0-18BF27499FF4}">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G11" authorId="0" shapeId="0" xr:uid="{78EB36BD-3DD5-4C00-8554-7CC650930547}">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H11" authorId="0" shapeId="0" xr:uid="{10492923-4C7F-4091-96B7-D170D973E13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U5 &amp; O18 &amp; I40 &amp; P47</t>
        </r>
      </text>
    </comment>
    <comment ref="A12" authorId="0" shapeId="0" xr:uid="{4AFF27B9-D716-4DBB-8996-3C125A5CE1B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B12" authorId="0" shapeId="0" xr:uid="{5AC2DDA1-03F7-4975-9273-CF2F0BCCA9E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C12" authorId="0" shapeId="0" xr:uid="{51887B02-95CC-4379-B926-608CF729432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D12" authorId="0" shapeId="0" xr:uid="{68098D53-72DB-4B2D-A60E-FE19C83408D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E12" authorId="0" shapeId="0" xr:uid="{C5136E6D-0CC9-44DF-82D2-80D86093D94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F12" authorId="0" shapeId="0" xr:uid="{D2C649A5-90D1-4DB7-B3BF-48896859D53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G12" authorId="0" shapeId="0" xr:uid="{2DCB2362-8A34-49C8-9695-4B00F32E1CD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H12" authorId="0" shapeId="0" xr:uid="{5647676F-BFDC-48C7-B0C9-26411E9CF6C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O20 &amp; I44</t>
        </r>
      </text>
    </comment>
    <comment ref="A13" authorId="0" shapeId="0" xr:uid="{E1016948-1AEB-49D0-A8A2-35C81D34D16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B13" authorId="0" shapeId="0" xr:uid="{8479C3DE-76D8-4175-9059-616F544B2BA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C13" authorId="0" shapeId="0" xr:uid="{3B68ED6B-0E83-4258-B8E4-9D36BE863EB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D13" authorId="0" shapeId="0" xr:uid="{A64027F3-4C2B-4E31-AB68-B0622DF47AC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E13" authorId="0" shapeId="0" xr:uid="{9C3DD2DB-8C8F-4F80-BC35-82501339447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F13" authorId="0" shapeId="0" xr:uid="{FA5A15A7-CDE2-4E29-BA9A-718740C453C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G13" authorId="0" shapeId="0" xr:uid="{BE119AE4-32D2-4034-8E81-D883A38485B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H13" authorId="0" shapeId="0" xr:uid="{3FAC13F3-1662-4465-8408-6143FF56AC3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60.9%]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U17 &amp; O18 &amp; I25 &amp; P45 &amp; N2</t>
        </r>
      </text>
    </comment>
    <comment ref="A16" authorId="0" shapeId="0" xr:uid="{93A78EFC-E91D-4949-9C84-88413BFAC2C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B16" authorId="0" shapeId="0" xr:uid="{EEF414F6-65DC-4D4D-A4C7-1A9C935D196F}">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C16" authorId="0" shapeId="0" xr:uid="{3B52AD8D-0A03-4275-A67E-45A5D07E180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D16" authorId="0" shapeId="0" xr:uid="{2166799D-A09E-456C-8622-D797312F12B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E16" authorId="0" shapeId="0" xr:uid="{2E625BA7-5EA3-4867-B31F-443DE88A586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F16" authorId="0" shapeId="0" xr:uid="{E4DAD072-67E6-4DF3-91F3-4F4FF590FAB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G16" authorId="0" shapeId="0" xr:uid="{EB5AC2B0-E565-4732-9219-6CF1DC24C84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H16" authorId="0" shapeId="0" xr:uid="{589AC557-0DF4-4A76-8705-DA937875F77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28.5%] - [</t>
        </r>
        <r>
          <rPr>
            <b/>
            <sz val="8.5"/>
            <color indexed="48"/>
            <rFont val="Calibri"/>
            <family val="2"/>
          </rPr>
          <t xml:space="preserve">SOLD </t>
        </r>
        <r>
          <rPr>
            <b/>
            <sz val="8.5"/>
            <color indexed="8"/>
            <rFont val="Calibri"/>
            <family val="2"/>
          </rPr>
          <t>» 51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I22 &amp; E28 &amp; N1</t>
        </r>
      </text>
    </comment>
    <comment ref="A17" authorId="0" shapeId="0" xr:uid="{6C1C6A71-939B-4562-87F5-5E4C1E80FA7A}">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B17" authorId="0" shapeId="0" xr:uid="{2330787B-A883-4C7F-8A2E-C7D358BCA714}">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C17" authorId="0" shapeId="0" xr:uid="{830C8B4A-1D74-44C9-8B44-782B7C7ADE8F}">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D17" authorId="0" shapeId="0" xr:uid="{369E2B51-B545-4DFB-884D-575BDCE9BA61}">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E17" authorId="0" shapeId="0" xr:uid="{4C5D0170-A4E8-4CCB-89B6-FECC4144BF1F}">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F17" authorId="0" shapeId="0" xr:uid="{C641F805-1050-43DB-9EC6-2FC33BE5D894}">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G17" authorId="0" shapeId="0" xr:uid="{8367A04B-2E77-473F-972C-24BFCC205BB5}">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H17" authorId="0" shapeId="0" xr:uid="{A40DEEBD-9093-4BB9-B4E6-AA39501A7F6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22.9%] - [</t>
        </r>
        <r>
          <rPr>
            <b/>
            <sz val="8.5"/>
            <color indexed="48"/>
            <rFont val="Calibri"/>
            <family val="2"/>
          </rPr>
          <t xml:space="preserve">SOLD </t>
        </r>
        <r>
          <rPr>
            <b/>
            <sz val="8.5"/>
            <color indexed="8"/>
            <rFont val="Calibri"/>
            <family val="2"/>
          </rPr>
          <t>» 41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O6 &amp; I35</t>
        </r>
      </text>
    </comment>
    <comment ref="A18" authorId="0" shapeId="0" xr:uid="{44AF7730-ABAD-4B71-88A4-944D1D4242D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B18" authorId="0" shapeId="0" xr:uid="{DD1D1F0B-A359-4B75-AA78-451E3AA1BF5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C18" authorId="0" shapeId="0" xr:uid="{09ED3D89-D424-4B42-8A67-8967242EBD0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D18" authorId="0" shapeId="0" xr:uid="{03D4868A-97E9-43D3-955C-9D8CF06247C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E18" authorId="0" shapeId="0" xr:uid="{A70C4179-4207-41EA-894F-43BEE029589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F18" authorId="0" shapeId="0" xr:uid="{4B007317-23C0-4F9A-91F6-5CCAC497E7F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G18" authorId="0" shapeId="0" xr:uid="{455A18C8-3BB0-4C55-A98D-AC42FBF0077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H18" authorId="0" shapeId="0" xr:uid="{468729ED-75BB-4FBB-886E-41474D8B0B8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79.9%]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O1 &amp; I10 &amp; P132</t>
        </r>
      </text>
    </comment>
    <comment ref="A19" authorId="0" shapeId="0" xr:uid="{37D84B54-F456-434F-A78F-67C63379EEE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B19" authorId="0" shapeId="0" xr:uid="{E8C183A4-B7A0-4F48-AE82-D2494F77734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C19" authorId="0" shapeId="0" xr:uid="{78975A9F-0B39-4B46-906A-7C9A19BBC3D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D19" authorId="0" shapeId="0" xr:uid="{32113330-E125-4123-8076-5D06DEFF588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E19" authorId="0" shapeId="0" xr:uid="{3096002A-5687-4323-8DD0-F928EE529D4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F19" authorId="0" shapeId="0" xr:uid="{1A586B6C-F265-40E2-95F6-7E178266302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G19" authorId="0" shapeId="0" xr:uid="{7472DF9E-18BE-4D4C-BA8F-F9680788E3C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H19" authorId="0" shapeId="0" xr:uid="{A192BAA6-5EBF-4F62-9A02-9DD88C64674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72.1%] - [</t>
        </r>
        <r>
          <rPr>
            <b/>
            <sz val="8.5"/>
            <color indexed="48"/>
            <rFont val="Calibri"/>
            <family val="2"/>
          </rPr>
          <t xml:space="preserve">SOLD </t>
        </r>
        <r>
          <rPr>
            <b/>
            <sz val="8.5"/>
            <color indexed="8"/>
            <rFont val="Calibri"/>
            <family val="2"/>
          </rPr>
          <t>» 129 PAX]_x000D_
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U3 &amp; O20 &amp; I15 &amp; P89</t>
        </r>
      </text>
    </comment>
    <comment ref="A20" authorId="0" shapeId="0" xr:uid="{B20F5F34-D3CF-4153-A642-171C451B203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B20" authorId="0" shapeId="0" xr:uid="{A4D9953B-3C6C-4301-B064-0DA49B85A22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C20" authorId="0" shapeId="0" xr:uid="{F91F3D6A-B921-49F2-B3E6-B1784552F872}">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D20" authorId="0" shapeId="0" xr:uid="{ABC247E6-5493-4169-A370-447226200DC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E20" authorId="0" shapeId="0" xr:uid="{77166ACA-4CC1-4334-A92D-3EF2E884923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F20" authorId="0" shapeId="0" xr:uid="{3DB1F123-FFCA-4F59-912D-7A707DA1EB4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G20" authorId="0" shapeId="0" xr:uid="{D87DE6C8-ACBE-41F0-AF45-E1A19D9BD17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H20" authorId="0" shapeId="0" xr:uid="{A73797B4-8B1C-46B3-8788-CD4C6FD63623}">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U4 &amp; O24 &amp; I5 &amp; E44 &amp; N2</t>
        </r>
      </text>
    </comment>
    <comment ref="A22" authorId="0" shapeId="0" xr:uid="{A3BC7AB4-CE4D-4B19-83DB-870C064500B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B22" authorId="0" shapeId="0" xr:uid="{63289DF4-4047-4A08-8912-17168C778E6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C22" authorId="0" shapeId="0" xr:uid="{46A384F5-F670-4AAA-B022-3B37757E362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D22" authorId="0" shapeId="0" xr:uid="{C049DDCC-0768-4753-94BD-D1E19E9FF49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E22" authorId="0" shapeId="0" xr:uid="{1B66B9DC-62D2-40A1-962D-8F35F9BC500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F22" authorId="0" shapeId="0" xr:uid="{458B6F5F-1395-429D-A308-A6778B11FCB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G22" authorId="0" shapeId="0" xr:uid="{AEC203A3-2376-44AF-80C1-507FAA67D1B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H22" authorId="0" shapeId="0" xr:uid="{F7700497-2DD7-4F56-846D-3F3EDC982C2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48.0%] - [</t>
        </r>
        <r>
          <rPr>
            <b/>
            <sz val="8.5"/>
            <color indexed="48"/>
            <rFont val="Calibri"/>
            <family val="2"/>
          </rPr>
          <t xml:space="preserve">SOLD </t>
        </r>
        <r>
          <rPr>
            <b/>
            <sz val="8.5"/>
            <color indexed="8"/>
            <rFont val="Calibri"/>
            <family val="2"/>
          </rPr>
          <t>» 86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 &amp; P84</t>
        </r>
      </text>
    </comment>
    <comment ref="A23" authorId="0" shapeId="0" xr:uid="{084ADE00-8A82-4EE6-ADAF-9C95AAADBD3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B23" authorId="0" shapeId="0" xr:uid="{22BBA639-4C12-4866-8ECA-85096F7E8B3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C23" authorId="0" shapeId="0" xr:uid="{07F3D3F8-0C1D-4624-9821-F92D3CA24FBE}">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D23" authorId="0" shapeId="0" xr:uid="{08C1058C-92E7-49C2-B8F7-EC2C0253DBB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E23" authorId="0" shapeId="0" xr:uid="{2C70F687-E9B0-4880-8EB6-03BC7BBA884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F23" authorId="0" shapeId="0" xr:uid="{B696CB5A-569D-4E56-B438-4C7C4CC1263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G23" authorId="0" shapeId="0" xr:uid="{04728F02-D1EE-4F76-A2A2-D3EF0050195E}">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H23" authorId="0" shapeId="0" xr:uid="{AB0668DD-4A71-49A5-B45C-C53D292540A8}">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24.6%] - [</t>
        </r>
        <r>
          <rPr>
            <b/>
            <sz val="8.5"/>
            <color indexed="48"/>
            <rFont val="Calibri"/>
            <family val="2"/>
          </rPr>
          <t xml:space="preserve">SOLD </t>
        </r>
        <r>
          <rPr>
            <b/>
            <sz val="8.5"/>
            <color indexed="8"/>
            <rFont val="Calibri"/>
            <family val="2"/>
          </rPr>
          <t>» 44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O10 &amp; I30</t>
        </r>
      </text>
    </comment>
    <comment ref="A24" authorId="0" shapeId="0" xr:uid="{DE232F33-CCE9-43F6-8B4E-DCDAF56F944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B24" authorId="0" shapeId="0" xr:uid="{E362FAEE-795C-41E7-98DB-D05C2C0E2C8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C24" authorId="0" shapeId="0" xr:uid="{E3A6E3FB-45C0-4B0D-9964-CB1AAA1B679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D24" authorId="0" shapeId="0" xr:uid="{58A796F0-1F85-4AD0-B930-28A798667D3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E24" authorId="0" shapeId="0" xr:uid="{1AA592F5-215A-4645-8C49-79D50E1209C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F24" authorId="0" shapeId="0" xr:uid="{AB257748-8434-403F-8541-FBA57BE7CF5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G24" authorId="0" shapeId="0" xr:uid="{BBAEC989-BA15-46B1-87B8-8AF1EE8BD23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H24" authorId="0" shapeId="0" xr:uid="{7A76060F-3B78-4EB8-AC53-591E35D87C2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25.7%] - [</t>
        </r>
        <r>
          <rPr>
            <b/>
            <sz val="8.5"/>
            <color indexed="48"/>
            <rFont val="Calibri"/>
            <family val="2"/>
          </rPr>
          <t xml:space="preserve">SOLD </t>
        </r>
        <r>
          <rPr>
            <b/>
            <sz val="8.5"/>
            <color indexed="8"/>
            <rFont val="Calibri"/>
            <family val="2"/>
          </rPr>
          <t>» 46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O9 &amp; I34</t>
        </r>
      </text>
    </comment>
    <comment ref="A25" authorId="0" shapeId="0" xr:uid="{7ACB44E4-2634-41F2-96CE-1B927A92104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B25" authorId="0" shapeId="0" xr:uid="{8E10D167-365C-42C4-BA8D-BC1F55F69BE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C25" authorId="0" shapeId="0" xr:uid="{19A1A941-3C26-4C10-8677-646BEB0CB2C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D25" authorId="0" shapeId="0" xr:uid="{4BBF21AD-63F7-42CE-8D23-8BE5E2D1E59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E25" authorId="0" shapeId="0" xr:uid="{4D487930-A0C7-4FFF-900A-26C921ACF2D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F25" authorId="0" shapeId="0" xr:uid="{C6F5C690-A43C-47C1-AD29-3FBED134B55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G25" authorId="0" shapeId="0" xr:uid="{CE0A1F5E-F257-4CBA-899F-F23CB6FC898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H25" authorId="0" shapeId="0" xr:uid="{596BEFAF-7FB4-487C-8F22-C12307616C2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34.1%]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O16 &amp; I5 &amp; P39</t>
        </r>
      </text>
    </comment>
    <comment ref="A28" authorId="0" shapeId="0" xr:uid="{15CFCB29-DBF8-4320-A36F-0FEEC3E2CEA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B28" authorId="0" shapeId="0" xr:uid="{FB033146-89E6-417C-A018-1DDC03C640B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C28" authorId="0" shapeId="0" xr:uid="{2EFAF594-70B6-4CDB-B57A-F2ECCE9D24F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D28" authorId="0" shapeId="0" xr:uid="{7394C1C0-D7AB-480F-86EC-2EF9AD5DD09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E28" authorId="0" shapeId="0" xr:uid="{B10BD38B-9702-40DF-B3C8-1D1A1AB2B58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F28" authorId="0" shapeId="0" xr:uid="{0355E564-06EB-474A-A812-E5275D90839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G28" authorId="0" shapeId="0" xr:uid="{AE908C6F-3FFB-4175-A998-D1A28A3B72D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H28" authorId="0" shapeId="0" xr:uid="{E86BB85F-4A0F-471E-AFC9-DDDB173052F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25.1%] - [</t>
        </r>
        <r>
          <rPr>
            <b/>
            <sz val="8.5"/>
            <color indexed="48"/>
            <rFont val="Calibri"/>
            <family val="2"/>
          </rPr>
          <t xml:space="preserve">SOLD </t>
        </r>
        <r>
          <rPr>
            <b/>
            <sz val="8.5"/>
            <color indexed="8"/>
            <rFont val="Calibri"/>
            <family val="2"/>
          </rPr>
          <t>» 45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B1 &amp; U4 &amp; O12 &amp; I28</t>
        </r>
      </text>
    </comment>
    <comment ref="A29" authorId="0" shapeId="0" xr:uid="{5F4F299E-715E-4367-85EA-C0C01BA22B1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B29" authorId="0" shapeId="0" xr:uid="{1E9E5449-921C-4988-B76F-4C5245C8061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C29" authorId="0" shapeId="0" xr:uid="{83BFD7E3-4527-4284-9AEC-EA730D3F9D9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D29" authorId="0" shapeId="0" xr:uid="{76D73761-317C-461A-A116-CD0F418C42D6}">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E29" authorId="0" shapeId="0" xr:uid="{3B463FD1-199E-412F-B4F9-C26E07C39D5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F29" authorId="0" shapeId="0" xr:uid="{26B07490-AABD-4324-BDB0-AF6ABAA5F50C}">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G29" authorId="0" shapeId="0" xr:uid="{370DD88E-BC7A-45A8-8E2B-36E657E7197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H29" authorId="0" shapeId="0" xr:uid="{3B165D46-563B-4B82-A0DD-B863DA5E02B3}">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U13 &amp; O20 &amp; I10 &amp; P116</t>
        </r>
      </text>
    </comment>
    <comment ref="A30" authorId="0" shapeId="0" xr:uid="{191A9DC5-9EAE-43CC-BFC7-4719815B6AD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B30" authorId="0" shapeId="0" xr:uid="{0F704D2C-E904-46FE-BE72-D740A609501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C30" authorId="0" shapeId="0" xr:uid="{CBA54B51-D8EE-486C-830A-C568FFA3628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D30" authorId="0" shapeId="0" xr:uid="{76A2A90D-7A60-4564-B0AE-91101C237F2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E30" authorId="0" shapeId="0" xr:uid="{DDBF5E81-158B-4F31-A952-BAC0FE5A5AC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F30" authorId="0" shapeId="0" xr:uid="{FE24AE14-B5D6-40FE-A454-AD3D29C54AA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G30" authorId="0" shapeId="0" xr:uid="{017812A9-834C-4DC9-8251-77A5A032437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H30" authorId="0" shapeId="0" xr:uid="{468DC01B-DC13-48A6-AD2A-DDB5976B1B0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33.5%] - [</t>
        </r>
        <r>
          <rPr>
            <b/>
            <sz val="8.5"/>
            <color indexed="48"/>
            <rFont val="Calibri"/>
            <family val="2"/>
          </rPr>
          <t xml:space="preserve">SOLD </t>
        </r>
        <r>
          <rPr>
            <b/>
            <sz val="8.5"/>
            <color indexed="8"/>
            <rFont val="Calibri"/>
            <family val="2"/>
          </rPr>
          <t>» 60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X2 &amp; U10 &amp; O27 &amp; I16 &amp; N2</t>
        </r>
      </text>
    </comment>
    <comment ref="A31" authorId="0" shapeId="0" xr:uid="{745488FA-30F4-4A39-BB07-EA5498447A9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B31" authorId="0" shapeId="0" xr:uid="{1347A5AA-860B-404B-BCCB-B3846E0F793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C31" authorId="0" shapeId="0" xr:uid="{6CD99F88-9774-4A0C-8192-D621B7F7868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D31" authorId="0" shapeId="0" xr:uid="{ECBEDE12-1C4B-4EF4-B353-A9A6B81F5EDA}">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E31" authorId="0" shapeId="0" xr:uid="{7B4586DB-52F0-4EEB-B984-E91BD3B0093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F31" authorId="0" shapeId="0" xr:uid="{87C08370-A908-47ED-B7A9-DAEF3445D35F}">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G31" authorId="0" shapeId="0" xr:uid="{88033CCC-7FD8-478E-86A6-539520BC2001}">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H31" authorId="0" shapeId="0" xr:uid="{5ECF9CDE-E226-4CD2-9516-ECE2A29A4D9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 &amp; S1 &amp; U2 &amp; O30 &amp; I5 &amp; P68</t>
        </r>
      </text>
    </comment>
    <comment ref="A34" authorId="0" shapeId="0" xr:uid="{DD0473D7-A96E-44B6-98F2-41F045C14CE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B34" authorId="0" shapeId="0" xr:uid="{6A1E86E3-DE91-48D0-B805-0126DDFFAEE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C34" authorId="0" shapeId="0" xr:uid="{FBE83295-4A2B-4DA1-9648-1B2BB1EEF4F6}">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D34" authorId="0" shapeId="0" xr:uid="{8CEFE711-2278-4378-A6AA-2893CE386FD4}">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E34" authorId="0" shapeId="0" xr:uid="{D9BD899F-BAEC-43F7-B1B2-D73CBA9F30D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F34" authorId="0" shapeId="0" xr:uid="{448CE0B0-237F-48F4-8121-4D159672F0E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G34" authorId="0" shapeId="0" xr:uid="{5303525C-A672-4714-9B17-BD1361AB8E9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H34" authorId="0" shapeId="0" xr:uid="{9C95B40C-0B30-45CC-BC3E-D960F87EB24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 &amp; U3 &amp; O29 &amp; I5 &amp; P73</t>
        </r>
      </text>
    </comment>
    <comment ref="A36" authorId="0" shapeId="0" xr:uid="{F0EC41DA-FBAE-4D6B-9FD4-18A036CC0A0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B36" authorId="0" shapeId="0" xr:uid="{760036CE-1EB6-4591-8DD5-E520CA1EB52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C36" authorId="0" shapeId="0" xr:uid="{5D492349-3961-4966-88D9-666DA440768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D36" authorId="0" shapeId="0" xr:uid="{26C23900-355B-4256-A23B-2F4F923DC81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E36" authorId="0" shapeId="0" xr:uid="{BB6F2F21-3275-4402-8BD7-D8665B83C7E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F36" authorId="0" shapeId="0" xr:uid="{C1F53594-D4F9-4EDC-92EC-67FC2EBF492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G36" authorId="0" shapeId="0" xr:uid="{FE3EF248-D234-4CDE-A265-097DB8A6036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H36" authorId="0" shapeId="0" xr:uid="{5777F14E-EAC2-40C5-8070-205000D3D72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X1 &amp; U10 &amp; O15 &amp; I5 &amp; E3 &amp; P95</t>
        </r>
      </text>
    </comment>
    <comment ref="A40" authorId="0" shapeId="0" xr:uid="{B2890E2A-54CE-4398-A0F3-F78A7E7C43C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B40" authorId="0" shapeId="0" xr:uid="{BA6E6D72-D85D-4EC5-A157-8C73465005E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C40" authorId="0" shapeId="0" xr:uid="{81587A2A-07EE-4252-A035-EE1AF2CBE9D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D40" authorId="0" shapeId="0" xr:uid="{95CD8104-E607-4F7E-A338-8246B7D4E7E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E40" authorId="0" shapeId="0" xr:uid="{EC1413B4-9C6C-44B3-A687-1DCE889EAAE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F40" authorId="0" shapeId="0" xr:uid="{F123805D-22F5-420E-AD3A-E570FE3E3E8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G40" authorId="0" shapeId="0" xr:uid="{FE0E3440-DFFD-461B-8497-540BCE1A213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 ref="H40" authorId="0" shapeId="0" xr:uid="{CA3EF97A-33BC-4CA9-A77F-7A04BBCE126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72.6%]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T9 &amp; X8 &amp; P102 &amp; N10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2" authorId="0" shapeId="0" xr:uid="{40F174F1-18D8-4BCB-B0DC-EF2187FC1F7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B12" authorId="0" shapeId="0" xr:uid="{6DAF98C9-0666-4B0E-98AD-53CF0D49003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C12" authorId="0" shapeId="0" xr:uid="{93E8D497-D2DA-421B-A146-9D76A60A3C3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D12" authorId="0" shapeId="0" xr:uid="{380BBAA0-58A5-49AC-B19A-9473CF22D7E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E12" authorId="0" shapeId="0" xr:uid="{189E0D73-755F-4509-9811-E51B08949AE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F12" authorId="0" shapeId="0" xr:uid="{E9B1CCA1-3AF1-417B-997D-782B3552EDC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G12" authorId="0" shapeId="0" xr:uid="{A4C8B5A3-518F-44A1-8125-1857E5ECF69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H12" authorId="0" shapeId="0" xr:uid="{C0D734A9-D439-4564-BF96-E4464DC33BF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A36" authorId="0" shapeId="0" xr:uid="{FF388752-E4BE-4753-BBF6-9D38EA7D05F8}">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B36" authorId="0" shapeId="0" xr:uid="{03C1530C-AEEF-41A8-B236-153EC6DE8FD2}">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C36" authorId="0" shapeId="0" xr:uid="{29637964-E2C5-4F42-85F9-BA917665C4A4}">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D36" authorId="0" shapeId="0" xr:uid="{B82E4E52-9540-4ADB-9C51-03A9A47E4CC1}">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E36" authorId="0" shapeId="0" xr:uid="{61312EC2-8448-44DF-B0BE-3FBBF581C5B7}">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F36" authorId="0" shapeId="0" xr:uid="{19CAEA8E-EE06-45D7-AF72-A8FC80CA4FEC}">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G36" authorId="0" shapeId="0" xr:uid="{84180F9D-E159-4629-8097-6AE92CA52C2C}">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H36" authorId="0" shapeId="0" xr:uid="{96FC91E6-F9C5-4525-9916-E34E56D82F71}">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A37" authorId="0" shapeId="0" xr:uid="{F175B060-DC4C-4F6E-9B6D-16DD5C51C16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B37" authorId="0" shapeId="0" xr:uid="{C162A394-6168-4C0E-A2D2-B9C06EBD1CD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C37" authorId="0" shapeId="0" xr:uid="{C22C2462-5AA5-4379-8EBD-D895919807B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D37" authorId="0" shapeId="0" xr:uid="{06A1C8B4-97B5-4F29-A6C0-47EF3A09E6A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E37" authorId="0" shapeId="0" xr:uid="{CE654C21-4A86-480A-A61C-B0E96437F04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F37" authorId="0" shapeId="0" xr:uid="{D3F4FCCF-6464-4034-B938-1C50CB5E207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G37" authorId="0" shapeId="0" xr:uid="{FF3CF5A3-9E98-4A50-9738-B45FF05B9F2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H37" authorId="0" shapeId="0" xr:uid="{CD3A2B32-A490-45D4-B7BC-057A97430D3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A38" authorId="0" shapeId="0" xr:uid="{E72108EC-696C-40F5-8109-5279FC831899}">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B38" authorId="0" shapeId="0" xr:uid="{84F155E8-9EFB-43A8-9190-146E439F4E5F}">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C38" authorId="0" shapeId="0" xr:uid="{B9791A95-C14F-4B22-9BF3-34D0C502D2D2}">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D38" authorId="0" shapeId="0" xr:uid="{3A7259EA-F2B4-49C1-8EA5-5CD12DFA650B}">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E38" authorId="0" shapeId="0" xr:uid="{34D18ED8-3581-413F-98F1-640301CACFAF}">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F38" authorId="0" shapeId="0" xr:uid="{3D29AAF9-00DE-40E5-AF18-F7BB6D268655}">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G38" authorId="0" shapeId="0" xr:uid="{30475FFE-B4BE-4760-A1BB-ABE21345F3EA}">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H38" authorId="0" shapeId="0" xr:uid="{4020D18B-17DB-435A-B92F-8A904FEAEA75}">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A59" authorId="0" shapeId="0" xr:uid="{DA4004E6-78A5-417F-B2EA-10460D3BB05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B59" authorId="0" shapeId="0" xr:uid="{FB659B0B-142B-4349-84B5-BA06E33DB39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C59" authorId="0" shapeId="0" xr:uid="{D563D2E4-DD26-4443-9DC8-7065EDA75D5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D59" authorId="0" shapeId="0" xr:uid="{46D53272-E1A9-40EB-9EC3-3323663D9CB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E59" authorId="0" shapeId="0" xr:uid="{CE227AA8-C655-4A90-9198-630A0D546293}">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F59" authorId="0" shapeId="0" xr:uid="{82FCB19A-54CB-4316-B68A-53070EB843F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G59" authorId="0" shapeId="0" xr:uid="{DD2F834D-A97F-4CCC-9B0C-901499B4CBF0}">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H59" authorId="0" shapeId="0" xr:uid="{D91E8299-B872-4332-A31B-E4F2AC84472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A73" authorId="0" shapeId="0" xr:uid="{7FE651AC-B518-450A-B07F-3F78F1B9470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B73" authorId="0" shapeId="0" xr:uid="{78A630EE-81A4-4B5C-AD71-AFB66769708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C73" authorId="0" shapeId="0" xr:uid="{050F0F24-5F0B-4480-82B6-7446EC662D5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D73" authorId="0" shapeId="0" xr:uid="{60B17078-5223-4CFF-A009-64EA2CA5F35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E73" authorId="0" shapeId="0" xr:uid="{5DF1AE25-22CA-4C9C-88C8-6DC6F4B4563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F73" authorId="0" shapeId="0" xr:uid="{686E0388-9CDC-4825-809E-451CDCC93BF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G73" authorId="0" shapeId="0" xr:uid="{B6CFB213-D767-48E3-942C-8541FCDEAAB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H73" authorId="0" shapeId="0" xr:uid="{255A3193-2344-4E65-97FA-F1C42A42CC1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A94" authorId="0" shapeId="0" xr:uid="{A8A5571D-8413-4994-A8A0-304059ADD683}">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B94" authorId="0" shapeId="0" xr:uid="{A3B8576C-3A4B-4A7C-8B3E-F4CD370B6943}">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C94" authorId="0" shapeId="0" xr:uid="{2843AB93-AF2B-4977-8D10-BF3C3C594763}">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D94" authorId="0" shapeId="0" xr:uid="{5AF4D1EA-E56E-4737-9624-0A5C70B5787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E94" authorId="0" shapeId="0" xr:uid="{78A4B6BF-DB5E-4551-A844-FBF36BEC0F40}">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F94" authorId="0" shapeId="0" xr:uid="{CA4F454C-011E-4F78-B4C1-7AE5F3F92103}">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G94" authorId="0" shapeId="0" xr:uid="{B8F78E5A-CC82-45CF-B326-CDD73FC1458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H94" authorId="0" shapeId="0" xr:uid="{9E112AF0-CE9B-483F-AB96-91E48D4E929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A95" authorId="0" shapeId="0" xr:uid="{C31D5495-5DFB-436B-9665-3F437678DF52}">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B95" authorId="0" shapeId="0" xr:uid="{8E16F065-3AAF-45B0-BC59-DCD68298CC7F}">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C95" authorId="0" shapeId="0" xr:uid="{5208873B-16B2-4DDB-BE3D-8E3DA1DE9BB3}">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D95" authorId="0" shapeId="0" xr:uid="{0652751F-C922-4A16-8074-D9D6DBAC6EA9}">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E95" authorId="0" shapeId="0" xr:uid="{176D3364-2DC9-4B89-AE6B-907FFFA833B7}">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F95" authorId="0" shapeId="0" xr:uid="{A7A70B6D-0027-4E20-AB42-5DEA0C15D0E4}">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G95" authorId="0" shapeId="0" xr:uid="{8FED863A-6CB6-4BD0-B1EE-3226E91E59CC}">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H95" authorId="0" shapeId="0" xr:uid="{4D72E1A8-3F1A-4108-8E02-BD514E8E7C24}">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A3A37589-615F-4480-A50E-2A6A48EAEF3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B3" authorId="0" shapeId="0" xr:uid="{A39FA2FD-1DF2-4AB2-8330-4A4716CE802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C3" authorId="0" shapeId="0" xr:uid="{9BD2E044-C6D1-4FE6-AA6E-97FFA6854FE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D3" authorId="0" shapeId="0" xr:uid="{64889302-E3AB-414D-93D8-4CED3B17932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E3" authorId="0" shapeId="0" xr:uid="{A2421264-F537-4884-AD75-E32902F992E0}">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F3" authorId="0" shapeId="0" xr:uid="{0AC1B201-C182-4860-B104-C8FB3B2F0C0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G3" authorId="0" shapeId="0" xr:uid="{E76E4334-3931-495B-A778-7613E07C345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H3" authorId="0" shapeId="0" xr:uid="{9CB079B3-A0D0-435F-99B0-C7A71C43A32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L7 &amp; S1 &amp; X11 &amp; P159</t>
        </r>
      </text>
    </comment>
    <comment ref="A17" authorId="0" shapeId="0" xr:uid="{10876D49-845E-47FF-810F-603E73B315C3}">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B17" authorId="0" shapeId="0" xr:uid="{C0D28B22-5CF0-4512-9C15-F247A086F105}">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C17" authorId="0" shapeId="0" xr:uid="{27DEFCDE-44DB-4049-9641-02385DB8E73D}">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D17" authorId="0" shapeId="0" xr:uid="{7865252E-45A8-4FBE-8DF4-B4516F7E7292}">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E17" authorId="0" shapeId="0" xr:uid="{CFA7DA45-1409-47C0-BCE6-631203036767}">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F17" authorId="0" shapeId="0" xr:uid="{3D196553-B0E9-423E-B789-54FBE6CA3644}">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G17" authorId="0" shapeId="0" xr:uid="{E46C7317-D954-4616-AC51-2F30F0A5416E}">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H17" authorId="0" shapeId="0" xr:uid="{35687C0A-C918-4160-AC8D-D90B25DFEB86}">
      <text>
        <r>
          <rPr>
            <b/>
            <sz val="8.5"/>
            <color indexed="8"/>
            <rFont val="Calibri"/>
            <family val="2"/>
          </rPr>
          <t xml:space="preserve">-{ </t>
        </r>
        <r>
          <rPr>
            <b/>
            <sz val="10"/>
            <color indexed="10"/>
            <rFont val="Calibri"/>
            <family val="2"/>
          </rPr>
          <t>SM474</t>
        </r>
        <r>
          <rPr>
            <b/>
            <sz val="8.5"/>
            <color indexed="8"/>
            <rFont val="Calibri"/>
            <family val="2"/>
          </rPr>
          <t xml:space="preserve"> }-_x000D_
_x000D_
[</t>
        </r>
        <r>
          <rPr>
            <b/>
            <sz val="8.5"/>
            <color indexed="48"/>
            <rFont val="Calibri"/>
            <family val="2"/>
          </rPr>
          <t xml:space="preserve">LF </t>
        </r>
        <r>
          <rPr>
            <b/>
            <sz val="8.5"/>
            <color indexed="8"/>
            <rFont val="Calibri"/>
            <family val="2"/>
          </rPr>
          <t>» 97.2%] - [</t>
        </r>
        <r>
          <rPr>
            <b/>
            <sz val="8.5"/>
            <color indexed="48"/>
            <rFont val="Calibri"/>
            <family val="2"/>
          </rPr>
          <t xml:space="preserve">SOLD </t>
        </r>
        <r>
          <rPr>
            <b/>
            <sz val="8.5"/>
            <color indexed="8"/>
            <rFont val="Calibri"/>
            <family val="2"/>
          </rPr>
          <t>» 174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L5 &amp; G5 &amp; S3 &amp; X2 &amp; P159</t>
        </r>
      </text>
    </comment>
    <comment ref="A18" authorId="0" shapeId="0" xr:uid="{48D01C34-4549-42C7-AE5D-C778A1642FB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B18" authorId="0" shapeId="0" xr:uid="{B6609D7B-E1E8-444D-B2C5-94AA413CEF2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C18" authorId="0" shapeId="0" xr:uid="{3B4C7F93-01E3-4C54-8792-DDFF7D5FD01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D18" authorId="0" shapeId="0" xr:uid="{F03B3BB0-7739-4FD4-9A6A-56E01002E02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E18" authorId="0" shapeId="0" xr:uid="{8E604F9A-C799-465D-9BD2-66C29352286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F18" authorId="0" shapeId="0" xr:uid="{0CC0D86F-9270-47C9-8714-A70FC100288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G18" authorId="0" shapeId="0" xr:uid="{3150605D-96F6-43F6-AEF3-72226AAB79C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H18" authorId="0" shapeId="0" xr:uid="{1268D32D-7C9B-4DD2-B885-F6E2BE8BD37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S5 &amp; W10 &amp; X7 &amp; U8 &amp; O10 &amp; I9 &amp; P126</t>
        </r>
      </text>
    </comment>
    <comment ref="A19" authorId="0" shapeId="0" xr:uid="{B6DF0740-953B-4328-AC85-77364879C138}">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B19" authorId="0" shapeId="0" xr:uid="{1EDDB8AE-7BD7-4542-9712-9BFD06BB0F5E}">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C19" authorId="0" shapeId="0" xr:uid="{FC11FF66-0696-4501-BEA2-B99D32126C67}">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D19" authorId="0" shapeId="0" xr:uid="{99C8CDD8-C917-428F-8394-AAF53FA0130A}">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E19" authorId="0" shapeId="0" xr:uid="{C81649A8-4B2F-43FA-9A34-F88F2D8FD203}">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F19" authorId="0" shapeId="0" xr:uid="{EC0DC34A-81DA-4A6C-B8EE-EDA9C9260251}">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G19" authorId="0" shapeId="0" xr:uid="{4E296A21-295F-426E-93DF-AC39D3F28ADC}">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H19" authorId="0" shapeId="0" xr:uid="{3F79F016-8D31-490D-92A6-6116302566A2}">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X7 &amp; U7 &amp; O7 &amp; I8 &amp; P129</t>
        </r>
      </text>
    </comment>
    <comment ref="A31" authorId="0" shapeId="0" xr:uid="{6D6CE614-1C19-46B7-BE76-2A67E90DDB1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B31" authorId="0" shapeId="0" xr:uid="{62F33FE3-2298-400E-B72D-8AA09D3C94B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C31" authorId="0" shapeId="0" xr:uid="{D91DB3B1-C36F-41A0-B157-E103B74C9F9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D31" authorId="0" shapeId="0" xr:uid="{866713CB-1468-416F-AF46-255553A0188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E31" authorId="0" shapeId="0" xr:uid="{970D20B3-74DE-4268-BA58-2E39FD604F03}">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F31" authorId="0" shapeId="0" xr:uid="{60EE1FC4-1171-43D5-8ACA-DE81D98E33D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G31" authorId="0" shapeId="0" xr:uid="{6CF946D2-75EE-40B3-8969-E52571C0848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H31" authorId="0" shapeId="0" xr:uid="{54FBD8E6-FAB5-4328-A6C0-93DDD2EBE83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S1 &amp; X1 &amp; P171</t>
        </r>
      </text>
    </comment>
    <comment ref="A43" authorId="0" shapeId="0" xr:uid="{AD86AE0A-A760-4F19-9FA4-D58B46DF1E1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B43" authorId="0" shapeId="0" xr:uid="{E8A180B7-E41E-4AFF-9D41-8C4A33A0B0F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C43" authorId="0" shapeId="0" xr:uid="{0B8376FE-D5B8-4881-BC58-C7C33E29700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D43" authorId="0" shapeId="0" xr:uid="{D3B7B87D-20B6-4EFA-B929-CE3D0CAA438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E43" authorId="0" shapeId="0" xr:uid="{9C1611C3-468C-42D7-9868-6460C819FA7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F43" authorId="0" shapeId="0" xr:uid="{4588603C-A468-40C1-888F-803A3D3B97B0}">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G43" authorId="0" shapeId="0" xr:uid="{79B79775-897E-4A7D-A2E0-2AD0598DACD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H43" authorId="0" shapeId="0" xr:uid="{55F4F735-4E73-4918-B920-1BE5EC8A75A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38.7%]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W1 &amp; T17 &amp; X27 &amp; U15</t>
        </r>
      </text>
    </comment>
    <comment ref="A55" authorId="0" shapeId="0" xr:uid="{57CA4357-9D7C-4782-A62B-99A7B384652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B55" authorId="0" shapeId="0" xr:uid="{4F822E50-0147-4703-9B2F-4D8380FA2B5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C55" authorId="0" shapeId="0" xr:uid="{A972EDF5-9799-48D9-AAFE-4FD09B9B890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D55" authorId="0" shapeId="0" xr:uid="{7222E5EF-FB47-4451-919B-3DD9CAC8BBF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E55" authorId="0" shapeId="0" xr:uid="{BE9E9B98-67B6-4A75-8771-097E98EDBAE3}">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F55" authorId="0" shapeId="0" xr:uid="{671E8179-B6B7-49F6-88AC-4F91034434E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G55" authorId="0" shapeId="0" xr:uid="{9C6C4094-7044-44C2-B8D1-B53892FC8F8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H55" authorId="0" shapeId="0" xr:uid="{7DB8E57F-9A77-4C59-99B9-68E41C4E7E4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95.2%] - [</t>
        </r>
        <r>
          <rPr>
            <b/>
            <sz val="8.5"/>
            <color indexed="48"/>
            <rFont val="Calibri"/>
            <family val="2"/>
          </rPr>
          <t xml:space="preserve">SOLD </t>
        </r>
        <r>
          <rPr>
            <b/>
            <sz val="8.5"/>
            <color indexed="8"/>
            <rFont val="Calibri"/>
            <family val="2"/>
          </rPr>
          <t>» 160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G2 &amp; S11 &amp; X7 &amp; U7 &amp; O6 &amp; I8 &amp; P119</t>
        </r>
      </text>
    </comment>
    <comment ref="A56" authorId="0" shapeId="0" xr:uid="{C6D555D9-2CCF-40AD-A098-5B68C1B18F12}">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B56" authorId="0" shapeId="0" xr:uid="{D7A778E1-F32A-43DA-9D5E-7FA3F83C203E}">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C56" authorId="0" shapeId="0" xr:uid="{E99EDA4B-6CF4-4E8C-B174-F6C9C3501213}">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D56" authorId="0" shapeId="0" xr:uid="{F0FD501B-83D4-441F-A33C-367B5D51CE89}">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E56" authorId="0" shapeId="0" xr:uid="{A09377B7-5DFF-4875-93C9-4CB1616C9FF8}">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F56" authorId="0" shapeId="0" xr:uid="{7BF0B5CD-FBBE-4EA5-A07A-473160256084}">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G56" authorId="0" shapeId="0" xr:uid="{191F56E0-003A-4CE7-A5D5-228542B32AB6}">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 ref="H56" authorId="0" shapeId="0" xr:uid="{8CAFC94C-65AF-4585-9CEF-081197DF2352}">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97.6%]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S3 &amp; T1 &amp; X17 &amp; P139</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6669E4E9-7F3A-48EB-935E-B341D35AFA1F}">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B2" authorId="0" shapeId="0" xr:uid="{169EB750-45B5-46AD-BE73-5581B7D130B5}">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C2" authorId="0" shapeId="0" xr:uid="{DFA9AD1E-E192-4C35-AB18-B0209DE1450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D2" authorId="0" shapeId="0" xr:uid="{F6517959-539D-4E60-883D-4A019132FE0D}">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E2" authorId="0" shapeId="0" xr:uid="{B8B5C63C-3E44-480B-9017-D2BC8FC885F4}">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F2" authorId="0" shapeId="0" xr:uid="{BD517B24-BFA3-4A1D-8E1E-5DF144542F44}">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G2" authorId="0" shapeId="0" xr:uid="{FB29B838-F072-4E0B-9F38-08F259C2C69A}">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H2" authorId="0" shapeId="0" xr:uid="{21E080A3-ECC7-4D62-9CA8-438E1DDD9403}">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A3" authorId="0" shapeId="0" xr:uid="{5B097A1A-306A-4E97-AE0C-0807E7526F40}">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B3" authorId="0" shapeId="0" xr:uid="{BBEB3F46-F417-4921-B030-69F815559AA6}">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C3" authorId="0" shapeId="0" xr:uid="{9C5F05DD-8F34-415B-8FAD-0983E08DAF41}">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D3" authorId="0" shapeId="0" xr:uid="{82058001-B2AB-4447-8519-4F531E026705}">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E3" authorId="0" shapeId="0" xr:uid="{1C65917A-55CD-4C62-B139-F0042D44D6A0}">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F3" authorId="0" shapeId="0" xr:uid="{F7F7EF42-7E44-4587-9D1C-230766BA12B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G3" authorId="0" shapeId="0" xr:uid="{0315F732-8396-4F5C-B748-325BDA96A96F}">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H3" authorId="0" shapeId="0" xr:uid="{921875E6-1EFD-4815-AE96-BD9AE7AE9DE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A19" authorId="0" shapeId="0" xr:uid="{2B4A1DAF-B012-49DB-B113-A9E7C5ED9047}">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B19" authorId="0" shapeId="0" xr:uid="{B57F0212-55E3-4D3F-B72D-0BB31204692B}">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C19" authorId="0" shapeId="0" xr:uid="{8C67B524-EE76-48DE-8104-42FB9675EE89}">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D19" authorId="0" shapeId="0" xr:uid="{B426B37A-47AD-419F-A91F-69B73CDF2EF2}">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E19" authorId="0" shapeId="0" xr:uid="{DC9CE6CE-6169-4347-AB69-06E421FA61BE}">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F19" authorId="0" shapeId="0" xr:uid="{DDB3CED1-6AEE-4C36-A9E6-00C4F99A9DF4}">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G19" authorId="0" shapeId="0" xr:uid="{485CE89A-8E86-4968-8E45-615B37B3684A}">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H19" authorId="0" shapeId="0" xr:uid="{950C4B58-8B7E-478D-ABFC-026E1499E16A}">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A20" authorId="0" shapeId="0" xr:uid="{D3A58607-AB24-420B-B9FC-01396D55E46D}">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B20" authorId="0" shapeId="0" xr:uid="{AE5A95DE-3074-4165-AB3B-F0119A00F856}">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C20" authorId="0" shapeId="0" xr:uid="{21172041-E25A-4BB2-A4A7-3AF96F087BD1}">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D20" authorId="0" shapeId="0" xr:uid="{14668ADF-6CC0-4E1C-99DA-6BA1544A54EF}">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E20" authorId="0" shapeId="0" xr:uid="{CF6430D0-0F1D-4C4D-8D8F-A1A873FA5879}">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F20" authorId="0" shapeId="0" xr:uid="{19953A8E-91E3-44D8-A81E-F6AA1F60D7FD}">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G20" authorId="0" shapeId="0" xr:uid="{73532BD3-6BD2-4D77-B28A-AB09D4E48FAE}">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H20" authorId="0" shapeId="0" xr:uid="{FA6D4E6F-A873-4CB3-B6FC-88161B7B6ACA}">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A34" authorId="0" shapeId="0" xr:uid="{BDE7FBF3-896F-4B1F-9D97-0129C2224EF2}">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B34" authorId="0" shapeId="0" xr:uid="{60D1D5E7-CD9E-4055-B5B2-FF11B0E2B8DD}">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C34" authorId="0" shapeId="0" xr:uid="{F43A0AAE-17A4-4FC5-939E-D65A38CB1632}">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D34" authorId="0" shapeId="0" xr:uid="{7EB39EE4-63D5-4FC5-8F90-7E272D227BC7}">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E34" authorId="0" shapeId="0" xr:uid="{6EE0CD25-5034-49F4-9597-E68C03623ECD}">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F34" authorId="0" shapeId="0" xr:uid="{261F3374-3AE4-4985-AA16-85B78B96C474}">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G34" authorId="0" shapeId="0" xr:uid="{C25B55F6-12FE-4768-94B2-E2F218BC1902}">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H34" authorId="0" shapeId="0" xr:uid="{47450915-CF0F-41D7-AAC6-2C8E698474A6}">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A35" authorId="0" shapeId="0" xr:uid="{758923B3-4BA7-4C7B-84AB-A2372A3532DA}">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B35" authorId="0" shapeId="0" xr:uid="{9F83CEEB-3CFA-4137-9244-B6D6B792C4CF}">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C35" authorId="0" shapeId="0" xr:uid="{393253F3-F1BA-4721-B0AB-5F36396C49C2}">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D35" authorId="0" shapeId="0" xr:uid="{682CCBA0-9C27-44A9-8415-396CE3F717A5}">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E35" authorId="0" shapeId="0" xr:uid="{7DFA10A3-C886-48DB-B7BA-00FEEDB99274}">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F35" authorId="0" shapeId="0" xr:uid="{2F887DE7-B7B9-4AC5-B021-194042F2AA15}">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G35" authorId="0" shapeId="0" xr:uid="{D21146A9-8BBF-4BBE-962C-1969F426AD94}">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H35" authorId="0" shapeId="0" xr:uid="{AC02F77D-DAFC-475A-8322-405D35154D41}">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A36" authorId="0" shapeId="0" xr:uid="{D0A9A8D7-57A4-439F-80FF-9626DB188571}">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B36" authorId="0" shapeId="0" xr:uid="{5B969C96-EECE-4096-8F90-73CF736EFB6E}">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C36" authorId="0" shapeId="0" xr:uid="{F8F0EC2C-D9BC-4ECB-98B9-55231B3372E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D36" authorId="0" shapeId="0" xr:uid="{F7DB77A8-E91C-45D8-BD0E-72EA28AC7CDA}">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E36" authorId="0" shapeId="0" xr:uid="{5E40EB2D-7ACB-4A25-9F8B-8E3B5A392DF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F36" authorId="0" shapeId="0" xr:uid="{0441C122-9405-461B-BD6D-F714E2B009BB}">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G36" authorId="0" shapeId="0" xr:uid="{1B26A588-1C33-447B-8C7E-476CE7A1EDB1}">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H36" authorId="0" shapeId="0" xr:uid="{B3EC3709-7A11-48A4-BBD0-36E2507BB5F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A49" authorId="0" shapeId="0" xr:uid="{B48C993A-106D-490E-9253-82AF11BE2073}">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B49" authorId="0" shapeId="0" xr:uid="{7888F680-61A9-487B-A9F6-8BFA97EBBDAE}">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C49" authorId="0" shapeId="0" xr:uid="{252E22C5-8C7F-4827-8958-1F43FAAD911E}">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D49" authorId="0" shapeId="0" xr:uid="{1FACB10B-822F-4156-AB08-D36B63E7D7BF}">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E49" authorId="0" shapeId="0" xr:uid="{9026A648-222F-4B4D-AB64-FC7B347CB988}">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F49" authorId="0" shapeId="0" xr:uid="{9DE233DA-8BB9-4217-893D-C3823109ED84}">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G49" authorId="0" shapeId="0" xr:uid="{0E533ED3-C5AB-43C1-953C-3F37602CCDAA}">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H49" authorId="0" shapeId="0" xr:uid="{645FF8A6-F682-4178-8841-B5D87ACF5575}">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A61" authorId="0" shapeId="0" xr:uid="{EBAB014C-7C5B-483F-A996-8D89048FA20F}">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B61" authorId="0" shapeId="0" xr:uid="{02A1FDDE-21F3-4651-9D85-51CB27184CC7}">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C61" authorId="0" shapeId="0" xr:uid="{ABFE3A57-1C61-493A-869B-5D5169A7B93D}">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D61" authorId="0" shapeId="0" xr:uid="{918603E3-6167-4442-8161-0EAB71C1C647}">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E61" authorId="0" shapeId="0" xr:uid="{FF3578F0-7FCD-4CE7-A922-DFC84E13F90C}">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F61" authorId="0" shapeId="0" xr:uid="{18E7FF60-1CE2-4435-83F6-9D91B71497F9}">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G61" authorId="0" shapeId="0" xr:uid="{31BD25B0-4DBB-469A-B8D9-AFD8CF56C7AD}">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H61" authorId="0" shapeId="0" xr:uid="{49BCDC35-4182-45CE-8E9F-416F583F3C88}">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A62" authorId="0" shapeId="0" xr:uid="{4DD3CD42-D06A-4501-9368-7CCB3ADC8A1D}">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B62" authorId="0" shapeId="0" xr:uid="{11C87611-273F-49BF-B71B-C9792D021AF1}">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C62" authorId="0" shapeId="0" xr:uid="{6C6EB489-D970-4597-9F2C-EAB13650B0C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D62" authorId="0" shapeId="0" xr:uid="{7DE42D66-F8A1-42DC-9CAD-38AE0E7EECC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E62" authorId="0" shapeId="0" xr:uid="{4D1A39C3-92FD-4D17-A42A-01B5D63D0DB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F62" authorId="0" shapeId="0" xr:uid="{09EEEE9C-624F-4A18-94F5-3B6F493A33C5}">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G62" authorId="0" shapeId="0" xr:uid="{5492C718-AA08-41D4-99B3-4CE316FB2165}">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H62" authorId="0" shapeId="0" xr:uid="{7C60FB83-4E7E-4836-842D-2DFC42FDD8C9}">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145E24E4-9BF7-467D-BA03-99D0DF011B2C}">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B2" authorId="0" shapeId="0" xr:uid="{A4C819EE-5EEF-482C-8509-356A0C2A1BE9}">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C2" authorId="0" shapeId="0" xr:uid="{BF3C1B07-B174-48C3-A718-5CAF15293157}">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D2" authorId="0" shapeId="0" xr:uid="{9BC05132-08ED-47D5-B458-FBAE86910A4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E2" authorId="0" shapeId="0" xr:uid="{17F691CC-1C45-4154-8214-CEC29CF6D8E8}">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F2" authorId="0" shapeId="0" xr:uid="{D8157820-CFB8-49F4-A7BC-FB926038F29A}">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G2" authorId="0" shapeId="0" xr:uid="{E9FA46B5-F27F-41A8-9774-BAABF7DDF7C6}">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H2" authorId="0" shapeId="0" xr:uid="{5F49E5C5-A18D-4D86-AC01-D61DC259854B}">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S4 &amp; U8 &amp; P155</t>
        </r>
      </text>
    </comment>
    <comment ref="A3" authorId="0" shapeId="0" xr:uid="{F86DEDFA-E7C7-4296-8FCB-70128A66F9B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B3" authorId="0" shapeId="0" xr:uid="{D5D878D5-61CD-4F8B-AD63-DBF03788E9E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C3" authorId="0" shapeId="0" xr:uid="{EB0F8522-40C6-4963-9D4A-D51AA97AB25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D3" authorId="0" shapeId="0" xr:uid="{848F69E3-AB0F-438C-B02D-07219F642AF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E3" authorId="0" shapeId="0" xr:uid="{2C95537A-F68C-4AFD-BD81-73CE59F16858}">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F3" authorId="0" shapeId="0" xr:uid="{242AC86A-8C19-41C7-A8C5-3953A9C7EB30}">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G3" authorId="0" shapeId="0" xr:uid="{61CF2CFE-3E95-4637-9497-134221529E2C}">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H3" authorId="0" shapeId="0" xr:uid="{19B19546-A2F3-4FAC-9C83-1B154334528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12-NOV]_x000D_
_x000D_
{</t>
        </r>
        <r>
          <rPr>
            <b/>
            <sz val="8.5"/>
            <color indexed="10"/>
            <rFont val="Calibri"/>
            <family val="2"/>
          </rPr>
          <t>CLASSES</t>
        </r>
        <r>
          <rPr>
            <b/>
            <sz val="8.5"/>
            <color indexed="8"/>
            <rFont val="Calibri"/>
            <family val="2"/>
          </rPr>
          <t>}_x000D_
_x000D_
L1 &amp; S1 &amp; X3 &amp; I3 &amp; P167</t>
        </r>
      </text>
    </comment>
    <comment ref="A16" authorId="0" shapeId="0" xr:uid="{31E19CE7-63FD-42F4-8BB0-7444E86C59E1}">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B16" authorId="0" shapeId="0" xr:uid="{3F735281-3315-4A70-A7B6-7D96F59ED16A}">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C16" authorId="0" shapeId="0" xr:uid="{7746380B-09DB-479A-8290-A6462E911E4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D16" authorId="0" shapeId="0" xr:uid="{29995529-64F1-4BCE-ADC1-22F30E21EEEE}">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E16" authorId="0" shapeId="0" xr:uid="{4EBDFF57-18C1-42F9-B5B4-297E461CE015}">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F16" authorId="0" shapeId="0" xr:uid="{DEC2746E-C423-47D3-85D8-88FDF8B98638}">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G16" authorId="0" shapeId="0" xr:uid="{D7C7709A-862F-4428-B1E3-4C5FED0C0553}">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H16" authorId="0" shapeId="0" xr:uid="{2992A7F5-7291-4CA4-8AE2-C05BC402A0B3}">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O8 &amp; I15 &amp; E43 &amp; P41</t>
        </r>
      </text>
    </comment>
    <comment ref="A17" authorId="0" shapeId="0" xr:uid="{8CCB67E5-1695-40DC-AF65-91EC6BB53F71}">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B17" authorId="0" shapeId="0" xr:uid="{4F5FAA78-5724-4358-8094-4595F81FD844}">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C17" authorId="0" shapeId="0" xr:uid="{76ECD22D-C5DC-47CA-8D2B-1E4A04D35112}">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D17" authorId="0" shapeId="0" xr:uid="{18748539-B396-4256-88D8-E93C51C2B286}">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E17" authorId="0" shapeId="0" xr:uid="{BAE306B0-9774-4AD8-AD73-4E7A88CA8A8A}">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F17" authorId="0" shapeId="0" xr:uid="{EA047662-092B-4131-A073-3257AB06D17E}">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G17" authorId="0" shapeId="0" xr:uid="{43F1F2AA-50EB-4CC8-8287-6D82A0B9CB3C}">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H17" authorId="0" shapeId="0" xr:uid="{EFFFD0CE-BB45-408C-9BDC-C015ED5B8AB6}">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83.3%] - [</t>
        </r>
        <r>
          <rPr>
            <b/>
            <sz val="8.5"/>
            <color indexed="48"/>
            <rFont val="Calibri"/>
            <family val="2"/>
          </rPr>
          <t xml:space="preserve">SOLD </t>
        </r>
        <r>
          <rPr>
            <b/>
            <sz val="8.5"/>
            <color indexed="8"/>
            <rFont val="Calibri"/>
            <family val="2"/>
          </rPr>
          <t>» 140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U7 &amp; O10 &amp; I15 &amp; E30 &amp; P78</t>
        </r>
      </text>
    </comment>
    <comment ref="A29" authorId="0" shapeId="0" xr:uid="{0407A0D4-C210-4C01-9234-998DB444531F}">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B29" authorId="0" shapeId="0" xr:uid="{63D8172F-7DB9-4016-945A-0BD10A37A1C3}">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C29" authorId="0" shapeId="0" xr:uid="{6F4C6EE0-9522-41AF-9FBC-F165B451317D}">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D29" authorId="0" shapeId="0" xr:uid="{16FD4180-7C72-4272-9260-D5761A70A4D0}">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E29" authorId="0" shapeId="0" xr:uid="{6FFF07A2-2554-4BB3-8D9A-B6BCE0FE2C50}">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F29" authorId="0" shapeId="0" xr:uid="{83506D7F-CEF2-4476-ADEA-9B87728D8329}">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G29" authorId="0" shapeId="0" xr:uid="{383123C9-F8B6-483D-B58C-E5A581013870}">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H29" authorId="0" shapeId="0" xr:uid="{933BE092-37E9-4760-8B06-A88F0C79116C}">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13.7%] - [</t>
        </r>
        <r>
          <rPr>
            <b/>
            <sz val="8.5"/>
            <color indexed="48"/>
            <rFont val="Calibri"/>
            <family val="2"/>
          </rPr>
          <t xml:space="preserve">SOLD </t>
        </r>
        <r>
          <rPr>
            <b/>
            <sz val="8.5"/>
            <color indexed="8"/>
            <rFont val="Calibri"/>
            <family val="2"/>
          </rPr>
          <t>» 23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U7 &amp; O2 &amp; I13</t>
        </r>
      </text>
    </comment>
    <comment ref="A30" authorId="0" shapeId="0" xr:uid="{8738CB42-1319-414A-B60F-26084B9621B2}">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B30" authorId="0" shapeId="0" xr:uid="{2F672D10-2636-4E0B-8A65-698D3D26DC65}">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C30" authorId="0" shapeId="0" xr:uid="{056C64D8-031D-470D-B4A9-A3CE57750C21}">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D30" authorId="0" shapeId="0" xr:uid="{AD6A80E3-ACCE-4E23-A962-969F7D0B2B8C}">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E30" authorId="0" shapeId="0" xr:uid="{02F6BA02-8ED6-4960-B741-B5B3CF349D86}">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F30" authorId="0" shapeId="0" xr:uid="{59A0D175-8371-4EFB-93FC-1B31EDB7C0F6}">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G30" authorId="0" shapeId="0" xr:uid="{DABCFC4D-8000-47C5-BFAB-D04958AC1177}">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H30" authorId="0" shapeId="0" xr:uid="{7BE67A48-B2DF-4B49-86AF-9482B575A9A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U1 &amp; O8 &amp; I9 &amp; E1 &amp; P95</t>
        </r>
      </text>
    </comment>
    <comment ref="A31" authorId="0" shapeId="0" xr:uid="{B4462C44-8C57-4C05-B50F-24478407E239}">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B31" authorId="0" shapeId="0" xr:uid="{F245B303-2557-423B-9F2D-9D9E0679888F}">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C31" authorId="0" shapeId="0" xr:uid="{F14D68E8-59D5-462D-A3A1-FF747C8B89B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D31" authorId="0" shapeId="0" xr:uid="{18C68EE5-FFBF-472C-8C8E-5675D8370DF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E31" authorId="0" shapeId="0" xr:uid="{D90E4E8D-6E17-4F39-B2C8-BA5FA645E52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F31" authorId="0" shapeId="0" xr:uid="{1762F782-8FE2-431D-ADCD-F1F2956BE538}">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G31" authorId="0" shapeId="0" xr:uid="{2D9C6BB5-693A-4AA3-9593-C03DED943085}">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H31" authorId="0" shapeId="0" xr:uid="{B18E1A41-57F1-4679-97A9-DB38352DD048}">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42.5%] - [</t>
        </r>
        <r>
          <rPr>
            <b/>
            <sz val="8.5"/>
            <color indexed="48"/>
            <rFont val="Calibri"/>
            <family val="2"/>
          </rPr>
          <t xml:space="preserve">SOLD </t>
        </r>
        <r>
          <rPr>
            <b/>
            <sz val="8.5"/>
            <color indexed="8"/>
            <rFont val="Calibri"/>
            <family val="2"/>
          </rPr>
          <t>» 76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 &amp; X2 &amp; U9 &amp; O5 &amp; I14 &amp; P44</t>
        </r>
      </text>
    </comment>
    <comment ref="A43" authorId="0" shapeId="0" xr:uid="{9A319CD3-5D47-4201-BA65-6F04C6E14C08}">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B43" authorId="0" shapeId="0" xr:uid="{779CF066-03E0-408B-9099-BFF4D9D07F69}">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C43" authorId="0" shapeId="0" xr:uid="{636C5041-0B22-480B-9748-0E3A414B0263}">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D43" authorId="0" shapeId="0" xr:uid="{97F3E119-36F9-4F19-83CD-94C6EFFD312B}">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E43" authorId="0" shapeId="0" xr:uid="{F873F56C-3E65-4C38-AFD6-EF5AA50993E4}">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F43" authorId="0" shapeId="0" xr:uid="{C4CAC562-BE1A-4391-948E-46E5D6AAF1C2}">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G43" authorId="0" shapeId="0" xr:uid="{B0F11006-3261-42C8-9012-8A63863AB3AA}">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H43" authorId="0" shapeId="0" xr:uid="{8B6C381F-DFE4-4ED1-8205-D095B9E3999A}">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42.3%] - [</t>
        </r>
        <r>
          <rPr>
            <b/>
            <sz val="8.5"/>
            <color indexed="48"/>
            <rFont val="Calibri"/>
            <family val="2"/>
          </rPr>
          <t xml:space="preserve">SOLD </t>
        </r>
        <r>
          <rPr>
            <b/>
            <sz val="8.5"/>
            <color indexed="8"/>
            <rFont val="Calibri"/>
            <family val="2"/>
          </rPr>
          <t>» 71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 &amp; X6 &amp; U11 &amp; O20 &amp; I28 &amp; P2</t>
        </r>
      </text>
    </comment>
    <comment ref="A55" authorId="0" shapeId="0" xr:uid="{89F265AF-AB6A-42EC-A58E-EB80594EA939}">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B55" authorId="0" shapeId="0" xr:uid="{A192239A-DA7F-4E5B-A4EC-A502B4A0258B}">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C55" authorId="0" shapeId="0" xr:uid="{8F1A6EB3-ED4D-453D-B514-3AC0F5E82DF1}">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D55" authorId="0" shapeId="0" xr:uid="{1BCA2349-E5B3-4950-9741-DEB4D08EFDF0}">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E55" authorId="0" shapeId="0" xr:uid="{2A40338E-EECE-4616-B957-6B8DDD6AEF58}">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F55" authorId="0" shapeId="0" xr:uid="{DE387527-CFB4-4691-891A-277BC623B57B}">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G55" authorId="0" shapeId="0" xr:uid="{7CB59DC0-65B8-4EB0-A9AE-1BB64AAA0E04}">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H55" authorId="0" shapeId="0" xr:uid="{CDA91D9B-1D8A-49D0-B69A-A8BBD1E545A0}">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S4 &amp; W1 &amp; X11 &amp; U1 &amp; O2 &amp; I4 &amp; P95</t>
        </r>
      </text>
    </comment>
    <comment ref="A56" authorId="0" shapeId="0" xr:uid="{9F9AA811-B7EB-4368-BF58-8C25B5E182C1}">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B56" authorId="0" shapeId="0" xr:uid="{D1F482A8-9810-4EDD-9B9D-6F69CE6E37D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C56" authorId="0" shapeId="0" xr:uid="{0A0B9D82-3431-45B7-8347-43B5BE8AD10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D56" authorId="0" shapeId="0" xr:uid="{51A9E822-716C-4FB0-95D9-24852F36DF59}">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E56" authorId="0" shapeId="0" xr:uid="{EADB5F1E-96F5-4F54-A691-D5722D492A4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F56" authorId="0" shapeId="0" xr:uid="{AC057B7F-3749-42AB-AA6C-0134BEF5FA6E}">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G56" authorId="0" shapeId="0" xr:uid="{666BC0D0-710C-415A-9FA4-45FDC7702D4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 ref="H56" authorId="0" shapeId="0" xr:uid="{6014CC1D-7FF8-4DF7-AA6D-583B0829C94C}">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153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 &amp; T1 &amp; U12 &amp; I4 &amp; P135</t>
        </r>
      </text>
    </comment>
  </commentList>
</comments>
</file>

<file path=xl/sharedStrings.xml><?xml version="1.0" encoding="utf-8"?>
<sst xmlns="http://schemas.openxmlformats.org/spreadsheetml/2006/main" count="6848" uniqueCount="555">
  <si>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</si>
  <si>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</si>
  <si>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</si>
  <si>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</si>
  <si>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</si>
  <si>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</si>
  <si>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</si>
  <si>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</si>
  <si>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</si>
  <si>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</si>
  <si>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</si>
  <si>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</si>
  <si>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</si>
  <si>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</si>
  <si>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</si>
  <si>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</si>
  <si>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</si>
  <si>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</si>
  <si>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</si>
  <si>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</si>
  <si>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</si>
  <si>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</si>
  <si>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</si>
  <si>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</si>
  <si>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</si>
  <si>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</si>
  <si>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Nile Air</t>
  </si>
  <si>
    <t>NP-328</t>
  </si>
  <si>
    <t>Cabin: 7 KG | Check-in: 30 KG</t>
  </si>
  <si>
    <r>
      <rPr>
        <b/>
        <i/>
        <sz val="13"/>
        <color rgb="FFBC0000"/>
        <rFont val="Calibri"/>
        <family val="2"/>
      </rPr>
      <t>1</t>
    </r>
    <r>
      <rPr>
        <b/>
        <i/>
        <sz val="10"/>
        <color rgb="FFBC0000"/>
        <rFont val="Calibri"/>
        <family val="2"/>
      </rPr>
      <t xml:space="preserve"> FOR SAME CLASS</t>
    </r>
  </si>
  <si>
    <t>401 SAR</t>
  </si>
  <si>
    <t>NP-128</t>
  </si>
  <si>
    <r>
      <rPr>
        <b/>
        <i/>
        <sz val="13"/>
        <rFont val="Calibri"/>
        <family val="2"/>
      </rPr>
      <t>7</t>
    </r>
    <r>
      <rPr>
        <b/>
        <i/>
        <sz val="10"/>
        <rFont val="Calibri"/>
        <family val="2"/>
      </rPr>
      <t xml:space="preserve"> FOR SAME CLASS</t>
    </r>
  </si>
  <si>
    <t>599 SAR</t>
  </si>
  <si>
    <t>NP-228</t>
  </si>
  <si>
    <t>flyadeal</t>
  </si>
  <si>
    <t>F3-753</t>
  </si>
  <si>
    <t>Check-in: 15 KG</t>
  </si>
  <si>
    <r>
      <rPr>
        <b/>
        <i/>
        <sz val="13"/>
        <color rgb="FFBC0000"/>
        <rFont val="Calibri"/>
        <family val="2"/>
      </rPr>
      <t>2</t>
    </r>
    <r>
      <rPr>
        <b/>
        <i/>
        <sz val="10"/>
        <color rgb="FFBC0000"/>
        <rFont val="Calibri"/>
        <family val="2"/>
      </rPr>
      <t xml:space="preserve"> FOR SAME CLASS</t>
    </r>
  </si>
  <si>
    <t>419 SAR</t>
  </si>
  <si>
    <t>Cabin: 10 KG / Check-in: 25 KG</t>
  </si>
  <si>
    <r>
      <rPr>
        <i/>
        <sz val="13"/>
        <rFont val="Calibri"/>
        <family val="2"/>
      </rPr>
      <t>2</t>
    </r>
    <r>
      <rPr>
        <i/>
        <sz val="10"/>
        <rFont val="Calibri"/>
        <family val="2"/>
      </rPr>
      <t xml:space="preserve"> FOR SAME CLASS</t>
    </r>
  </si>
  <si>
    <t>569 SAR</t>
  </si>
  <si>
    <t>Cabin: 10 KG / Check-in: 2 x 40 KG</t>
  </si>
  <si>
    <t>1,099 SAR</t>
  </si>
  <si>
    <t>F3-755</t>
  </si>
  <si>
    <r>
      <rPr>
        <i/>
        <sz val="13"/>
        <rFont val="Calibri"/>
        <family val="2"/>
      </rPr>
      <t>7</t>
    </r>
    <r>
      <rPr>
        <i/>
        <sz val="10"/>
        <rFont val="Calibri"/>
        <family val="2"/>
      </rPr>
      <t xml:space="preserve"> FOR SAME CLASS</t>
    </r>
  </si>
  <si>
    <t>F3-761</t>
  </si>
  <si>
    <r>
      <rPr>
        <b/>
        <i/>
        <sz val="13"/>
        <rFont val="Calibri"/>
        <family val="2"/>
      </rPr>
      <t>9</t>
    </r>
    <r>
      <rPr>
        <b/>
        <i/>
        <sz val="10"/>
        <rFont val="Calibri"/>
        <family val="2"/>
      </rPr>
      <t xml:space="preserve"> FOR SAME CLASS</t>
    </r>
  </si>
  <si>
    <r>
      <rPr>
        <i/>
        <sz val="13"/>
        <rFont val="Calibri"/>
        <family val="2"/>
      </rPr>
      <t>9</t>
    </r>
    <r>
      <rPr>
        <i/>
        <sz val="10"/>
        <rFont val="Calibri"/>
        <family val="2"/>
      </rPr>
      <t xml:space="preserve"> FOR SAME CLASS</t>
    </r>
  </si>
  <si>
    <t>F3-763</t>
  </si>
  <si>
    <t>flynas</t>
  </si>
  <si>
    <t>XY-567</t>
  </si>
  <si>
    <t>Cabin: 7 KG / Check-in: 20 KG</t>
  </si>
  <si>
    <r>
      <rPr>
        <b/>
        <i/>
        <sz val="13"/>
        <color rgb="FFBC0000"/>
        <rFont val="Calibri"/>
        <family val="2"/>
      </rPr>
      <t>6</t>
    </r>
    <r>
      <rPr>
        <b/>
        <i/>
        <sz val="10"/>
        <color rgb="FFBC0000"/>
        <rFont val="Calibri"/>
        <family val="2"/>
      </rPr>
      <t xml:space="preserve"> FOR SAME CLASS</t>
    </r>
  </si>
  <si>
    <t>449 SAR</t>
  </si>
  <si>
    <t>Cabin: 7 KG / Check-in: 30 KG</t>
  </si>
  <si>
    <r>
      <rPr>
        <i/>
        <sz val="13"/>
        <rFont val="Calibri"/>
        <family val="2"/>
      </rPr>
      <t>6</t>
    </r>
    <r>
      <rPr>
        <i/>
        <sz val="10"/>
        <rFont val="Calibri"/>
        <family val="2"/>
      </rPr>
      <t xml:space="preserve"> FOR SAME CLASS</t>
    </r>
  </si>
  <si>
    <t>549 SAR</t>
  </si>
  <si>
    <t>Cabin: 7 KG / Check-in: 2 x 40 KG</t>
  </si>
  <si>
    <t>639 SAR</t>
  </si>
  <si>
    <t>XY-569</t>
  </si>
  <si>
    <r>
      <rPr>
        <b/>
        <i/>
        <sz val="13"/>
        <rFont val="Calibri"/>
        <family val="2"/>
      </rPr>
      <t>1</t>
    </r>
    <r>
      <rPr>
        <b/>
        <i/>
        <sz val="10"/>
        <rFont val="Calibri"/>
        <family val="2"/>
      </rPr>
      <t xml:space="preserve"> FOR SAME CLASS</t>
    </r>
  </si>
  <si>
    <r>
      <rPr>
        <i/>
        <sz val="13"/>
        <rFont val="Calibri"/>
        <family val="2"/>
      </rPr>
      <t>1</t>
    </r>
    <r>
      <rPr>
        <i/>
        <sz val="10"/>
        <rFont val="Calibri"/>
        <family val="2"/>
      </rPr>
      <t xml:space="preserve"> FOR SAME CLASS</t>
    </r>
  </si>
  <si>
    <t>XY-571</t>
  </si>
  <si>
    <r>
      <rPr>
        <b/>
        <i/>
        <sz val="13"/>
        <rFont val="Calibri"/>
        <family val="2"/>
      </rPr>
      <t>2</t>
    </r>
    <r>
      <rPr>
        <b/>
        <i/>
        <sz val="10"/>
        <rFont val="Calibri"/>
        <family val="2"/>
      </rPr>
      <t xml:space="preserve"> FOR SAME CLASS</t>
    </r>
  </si>
  <si>
    <t>XY-573</t>
  </si>
  <si>
    <r>
      <rPr>
        <b/>
        <i/>
        <sz val="13"/>
        <rFont val="Calibri"/>
        <family val="2"/>
      </rPr>
      <t>5</t>
    </r>
    <r>
      <rPr>
        <b/>
        <i/>
        <sz val="10"/>
        <rFont val="Calibri"/>
        <family val="2"/>
      </rPr>
      <t xml:space="preserve"> FOR SAME CLASS</t>
    </r>
  </si>
  <si>
    <r>
      <rPr>
        <i/>
        <sz val="13"/>
        <rFont val="Calibri"/>
        <family val="2"/>
      </rPr>
      <t>5</t>
    </r>
    <r>
      <rPr>
        <i/>
        <sz val="10"/>
        <rFont val="Calibri"/>
        <family val="2"/>
      </rPr>
      <t xml:space="preserve"> FOR SAME CLASS</t>
    </r>
  </si>
  <si>
    <t>XY-583</t>
  </si>
  <si>
    <t>XY-589</t>
  </si>
  <si>
    <t>XY-565</t>
  </si>
  <si>
    <t>489 SAR</t>
  </si>
  <si>
    <t>589 SAR</t>
  </si>
  <si>
    <t>679 SAR</t>
  </si>
  <si>
    <t>XY-577</t>
  </si>
  <si>
    <t>Air Cairo</t>
  </si>
  <si>
    <t>SM-476</t>
  </si>
  <si>
    <t>Cabin: 7 KG | Check-in: 40 KG</t>
  </si>
  <si>
    <t>471 SAR</t>
  </si>
  <si>
    <t>SM476</t>
  </si>
  <si>
    <t>U2</t>
  </si>
  <si>
    <t>U8 &amp; O15 &amp; I30 &amp; P46</t>
  </si>
  <si>
    <t>SM-424</t>
  </si>
  <si>
    <r>
      <rPr>
        <b/>
        <i/>
        <sz val="13"/>
        <rFont val="Calibri"/>
        <family val="2"/>
      </rPr>
      <t>3</t>
    </r>
    <r>
      <rPr>
        <b/>
        <i/>
        <sz val="10"/>
        <rFont val="Calibri"/>
        <family val="2"/>
      </rPr>
      <t xml:space="preserve"> FOR SAME CLASS</t>
    </r>
  </si>
  <si>
    <t>526 SAR</t>
  </si>
  <si>
    <t>SM424</t>
  </si>
  <si>
    <t>X3</t>
  </si>
  <si>
    <t>S2 &amp; X2 &amp; U5 &amp; O10 &amp; I15 &amp; P88</t>
  </si>
  <si>
    <t>SM-472</t>
  </si>
  <si>
    <t>SM472</t>
  </si>
  <si>
    <t>X7</t>
  </si>
  <si>
    <t>S8 &amp; X3 &amp; U10 &amp; O10 &amp; I30</t>
  </si>
  <si>
    <t>SM-478</t>
  </si>
  <si>
    <r>
      <rPr>
        <b/>
        <i/>
        <sz val="13"/>
        <rFont val="Calibri"/>
        <family val="2"/>
      </rPr>
      <t>4</t>
    </r>
    <r>
      <rPr>
        <b/>
        <i/>
        <sz val="10"/>
        <rFont val="Calibri"/>
        <family val="2"/>
      </rPr>
      <t xml:space="preserve"> FOR SAME CLASS</t>
    </r>
  </si>
  <si>
    <t>SM478</t>
  </si>
  <si>
    <t>X4</t>
  </si>
  <si>
    <t>S5 &amp; X6 &amp; U13 &amp; O15 &amp; I15 &amp; P82</t>
  </si>
  <si>
    <t>SM480</t>
  </si>
  <si>
    <t>30KG + 7KG CABIN</t>
  </si>
  <si>
    <t>FULLY BOOKED</t>
  </si>
  <si>
    <t>CLOSED</t>
  </si>
  <si>
    <t>S2 &amp; X1 &amp; U15 &amp; O15 &amp; I15 &amp; P117 &amp; N3</t>
  </si>
  <si>
    <t>SM460</t>
  </si>
  <si>
    <t>S1 &amp; W2 &amp; X4 &amp; U17 &amp; O15 &amp; I9 &amp; P117</t>
  </si>
  <si>
    <t>Air Arabia Egypt</t>
  </si>
  <si>
    <t>E5-362</t>
  </si>
  <si>
    <t>Cabin: 10 KG / Check-in: 30 KG</t>
  </si>
  <si>
    <r>
      <rPr>
        <b/>
        <i/>
        <sz val="13"/>
        <color rgb="FFBC0000"/>
        <rFont val="Calibri"/>
        <family val="2"/>
      </rPr>
      <t>9</t>
    </r>
    <r>
      <rPr>
        <b/>
        <i/>
        <sz val="10"/>
        <color rgb="FFBC0000"/>
        <rFont val="Calibri"/>
        <family val="2"/>
      </rPr>
      <t xml:space="preserve"> FOR SAME CLASS</t>
    </r>
  </si>
  <si>
    <t>536 SAR</t>
  </si>
  <si>
    <t>742 SAR</t>
  </si>
  <si>
    <t>Nesma Airlines</t>
  </si>
  <si>
    <t>NE-171</t>
  </si>
  <si>
    <r>
      <rPr>
        <b/>
        <i/>
        <sz val="13"/>
        <color rgb="FFBC0000"/>
        <rFont val="Calibri"/>
        <family val="2"/>
      </rPr>
      <t>+9</t>
    </r>
    <r>
      <rPr>
        <b/>
        <i/>
        <sz val="10"/>
        <color rgb="FFBC0000"/>
        <rFont val="Calibri"/>
        <family val="2"/>
      </rPr>
      <t xml:space="preserve"> FOR SAME CLASS</t>
    </r>
  </si>
  <si>
    <t>595 SAR</t>
  </si>
  <si>
    <t>NE-173</t>
  </si>
  <si>
    <r>
      <rPr>
        <b/>
        <i/>
        <sz val="13"/>
        <rFont val="Calibri"/>
        <family val="2"/>
      </rPr>
      <t>+9</t>
    </r>
    <r>
      <rPr>
        <b/>
        <i/>
        <sz val="10"/>
        <rFont val="Calibri"/>
        <family val="2"/>
      </rPr>
      <t xml:space="preserve"> FOR SAME CLASS</t>
    </r>
  </si>
  <si>
    <t>645 SAR</t>
  </si>
  <si>
    <t>Saudia</t>
  </si>
  <si>
    <t>SV-301</t>
  </si>
  <si>
    <t>Cabin: 7 KG / Check-in: 23 KG</t>
  </si>
  <si>
    <t>678 SAR</t>
  </si>
  <si>
    <t>Cabin: 7 KG / Check-in: 2 x 46 KG</t>
  </si>
  <si>
    <t>723 SAR</t>
  </si>
  <si>
    <t>SV-309</t>
  </si>
  <si>
    <t>935 SAR</t>
  </si>
  <si>
    <r>
      <rPr>
        <i/>
        <sz val="13"/>
        <rFont val="Calibri"/>
        <family val="2"/>
      </rPr>
      <t>+9</t>
    </r>
    <r>
      <rPr>
        <i/>
        <sz val="10"/>
        <rFont val="Calibri"/>
        <family val="2"/>
      </rPr>
      <t xml:space="preserve"> FOR SAME CLASS</t>
    </r>
  </si>
  <si>
    <t>980 SAR</t>
  </si>
  <si>
    <t>SV-335</t>
  </si>
  <si>
    <t>SV-383</t>
  </si>
  <si>
    <t>SV-387</t>
  </si>
  <si>
    <t>SV-303</t>
  </si>
  <si>
    <t>1,093 SAR</t>
  </si>
  <si>
    <t>1,138 SAR</t>
  </si>
  <si>
    <t>SV-389</t>
  </si>
  <si>
    <t>SV-6664</t>
  </si>
  <si>
    <t>1,349 SAR</t>
  </si>
  <si>
    <t>SV-6891</t>
  </si>
  <si>
    <t>SV-6893</t>
  </si>
  <si>
    <t>SV-6895</t>
  </si>
  <si>
    <t>EgyptAir</t>
  </si>
  <si>
    <t>MS-662</t>
  </si>
  <si>
    <t>Cabin: 7 KG | Check-in: 2 PIECE</t>
  </si>
  <si>
    <t>970 SAR</t>
  </si>
  <si>
    <t>MS-668</t>
  </si>
  <si>
    <t>MS-674</t>
  </si>
  <si>
    <t>1,080 SAR</t>
  </si>
  <si>
    <t>MS-644</t>
  </si>
  <si>
    <t>1,260 SAR</t>
  </si>
  <si>
    <t>MS-664</t>
  </si>
  <si>
    <t>MS-666</t>
  </si>
  <si>
    <t>1,407 SAR</t>
  </si>
  <si>
    <t>MS-672</t>
  </si>
  <si>
    <t>1,844 SAR</t>
  </si>
  <si>
    <r>
      <rPr>
        <b/>
        <i/>
        <sz val="13"/>
        <color rgb="FFBC0000"/>
        <rFont val="Calibri"/>
        <family val="2"/>
      </rPr>
      <t>10</t>
    </r>
    <r>
      <rPr>
        <b/>
        <i/>
        <sz val="10"/>
        <color rgb="FFBC0000"/>
        <rFont val="Calibri"/>
        <family val="2"/>
      </rPr>
      <t xml:space="preserve"> FOR SAME CLASS</t>
    </r>
  </si>
  <si>
    <t>389 SAR</t>
  </si>
  <si>
    <r>
      <rPr>
        <i/>
        <sz val="13"/>
        <rFont val="Calibri"/>
        <family val="2"/>
      </rPr>
      <t>10</t>
    </r>
    <r>
      <rPr>
        <i/>
        <sz val="10"/>
        <rFont val="Calibri"/>
        <family val="2"/>
      </rPr>
      <t xml:space="preserve"> FOR SAME CLASS</t>
    </r>
  </si>
  <si>
    <t>539 SAR</t>
  </si>
  <si>
    <r>
      <rPr>
        <b/>
        <i/>
        <sz val="13"/>
        <rFont val="Calibri"/>
        <family val="2"/>
      </rPr>
      <t>6</t>
    </r>
    <r>
      <rPr>
        <b/>
        <i/>
        <sz val="10"/>
        <rFont val="Calibri"/>
        <family val="2"/>
      </rPr>
      <t xml:space="preserve"> FOR SAME CLASS</t>
    </r>
  </si>
  <si>
    <r>
      <rPr>
        <b/>
        <i/>
        <sz val="13"/>
        <rFont val="Calibri"/>
        <family val="2"/>
      </rPr>
      <t>8</t>
    </r>
    <r>
      <rPr>
        <b/>
        <i/>
        <sz val="10"/>
        <rFont val="Calibri"/>
        <family val="2"/>
      </rPr>
      <t xml:space="preserve"> FOR SAME CLASS</t>
    </r>
  </si>
  <si>
    <r>
      <rPr>
        <i/>
        <sz val="13"/>
        <rFont val="Calibri"/>
        <family val="2"/>
      </rPr>
      <t>8</t>
    </r>
    <r>
      <rPr>
        <i/>
        <sz val="10"/>
        <rFont val="Calibri"/>
        <family val="2"/>
      </rPr>
      <t xml:space="preserve"> FOR SAME CLASS</t>
    </r>
  </si>
  <si>
    <r>
      <rPr>
        <b/>
        <i/>
        <sz val="13"/>
        <color rgb="FFBC0000"/>
        <rFont val="Calibri"/>
        <family val="2"/>
      </rPr>
      <t>3</t>
    </r>
    <r>
      <rPr>
        <b/>
        <i/>
        <sz val="10"/>
        <color rgb="FFBC0000"/>
        <rFont val="Calibri"/>
        <family val="2"/>
      </rPr>
      <t xml:space="preserve"> FOR SAME CLASS</t>
    </r>
  </si>
  <si>
    <t>409 SAR</t>
  </si>
  <si>
    <r>
      <rPr>
        <i/>
        <sz val="13"/>
        <rFont val="Calibri"/>
        <family val="2"/>
      </rPr>
      <t>3</t>
    </r>
    <r>
      <rPr>
        <i/>
        <sz val="10"/>
        <rFont val="Calibri"/>
        <family val="2"/>
      </rPr>
      <t xml:space="preserve"> FOR SAME CLASS</t>
    </r>
  </si>
  <si>
    <t>509 SAR</t>
  </si>
  <si>
    <t>SM-460</t>
  </si>
  <si>
    <t>U9</t>
  </si>
  <si>
    <t>S3 &amp; W1 &amp; U5 &amp; O18 &amp; I40 &amp; P47</t>
  </si>
  <si>
    <t>U1 &amp; O20 &amp; I44</t>
  </si>
  <si>
    <t>U1</t>
  </si>
  <si>
    <t>S2 &amp; U17 &amp; O18 &amp; I25 &amp; P45 &amp; N2</t>
  </si>
  <si>
    <t>E5-328</t>
  </si>
  <si>
    <t>660 SAR</t>
  </si>
  <si>
    <t>695 SAR</t>
  </si>
  <si>
    <t>MS-1672</t>
  </si>
  <si>
    <t>673 SAR</t>
  </si>
  <si>
    <t>765 SAR</t>
  </si>
  <si>
    <t>842 SAR</t>
  </si>
  <si>
    <t>MS-670</t>
  </si>
  <si>
    <t>1,228 SAR</t>
  </si>
  <si>
    <t>1,276 SAR</t>
  </si>
  <si>
    <t>1,321 SAR</t>
  </si>
  <si>
    <t>1,486 SAR</t>
  </si>
  <si>
    <t>1,531 SAR</t>
  </si>
  <si>
    <t>SV-305</t>
  </si>
  <si>
    <t>359 SAR</t>
  </si>
  <si>
    <t>400 SAR</t>
  </si>
  <si>
    <t>SM-450</t>
  </si>
  <si>
    <t>SM450</t>
  </si>
  <si>
    <t>I1</t>
  </si>
  <si>
    <t>I22 &amp; E28 &amp; N1</t>
  </si>
  <si>
    <t>SM-432</t>
  </si>
  <si>
    <t>436 SAR</t>
  </si>
  <si>
    <t>SM432</t>
  </si>
  <si>
    <t>O9</t>
  </si>
  <si>
    <t>O6 &amp; I35</t>
  </si>
  <si>
    <t>O6</t>
  </si>
  <si>
    <t>O1 &amp; I10 &amp; P132</t>
  </si>
  <si>
    <t>O5</t>
  </si>
  <si>
    <t>S2 &amp; U3 &amp; O20 &amp; I15 &amp; P89</t>
  </si>
  <si>
    <t>SM-480</t>
  </si>
  <si>
    <t>S1 &amp; U4 &amp; O24 &amp; I5 &amp; E44 &amp; N2</t>
  </si>
  <si>
    <t>U6</t>
  </si>
  <si>
    <t>X1 &amp; U1 &amp; P84</t>
  </si>
  <si>
    <t>S4 &amp; O10 &amp; I30</t>
  </si>
  <si>
    <r>
      <rPr>
        <i/>
        <sz val="13"/>
        <rFont val="Calibri"/>
        <family val="2"/>
      </rPr>
      <t>4</t>
    </r>
    <r>
      <rPr>
        <i/>
        <sz val="10"/>
        <rFont val="Calibri"/>
        <family val="2"/>
      </rPr>
      <t xml:space="preserve"> FOR SAME CLASS</t>
    </r>
  </si>
  <si>
    <t>439 SAR</t>
  </si>
  <si>
    <t>562 SAR</t>
  </si>
  <si>
    <r>
      <rPr>
        <b/>
        <i/>
        <sz val="13"/>
        <color rgb="FFBC0000"/>
        <rFont val="Calibri"/>
        <family val="2"/>
      </rPr>
      <t>7</t>
    </r>
    <r>
      <rPr>
        <b/>
        <i/>
        <sz val="10"/>
        <color rgb="FFBC0000"/>
        <rFont val="Calibri"/>
        <family val="2"/>
      </rPr>
      <t xml:space="preserve"> FOR SAME CLASS</t>
    </r>
  </si>
  <si>
    <t>1,178 SAR</t>
  </si>
  <si>
    <t>1,225 SAR</t>
  </si>
  <si>
    <t>1,270 SAR</t>
  </si>
  <si>
    <t>1,618 SAR</t>
  </si>
  <si>
    <t>1,663 SAR</t>
  </si>
  <si>
    <t>O1</t>
  </si>
  <si>
    <t>S3 &amp; O9 &amp; I34</t>
  </si>
  <si>
    <t>S1 &amp; O16 &amp; I5 &amp; P39</t>
  </si>
  <si>
    <t>B1 &amp; U4 &amp; O12 &amp; I28</t>
  </si>
  <si>
    <t>S5 &amp; W3 &amp; U13 &amp; O20 &amp; I10 &amp; P116</t>
  </si>
  <si>
    <t>U7</t>
  </si>
  <si>
    <t>S3 &amp; X2 &amp; U10 &amp; O27 &amp; I16 &amp; N2</t>
  </si>
  <si>
    <t>U8</t>
  </si>
  <si>
    <t>L1 &amp; G1 &amp; S1 &amp; U2 &amp; O30 &amp; I5 &amp; P68</t>
  </si>
  <si>
    <t>E5-322</t>
  </si>
  <si>
    <t>437 SAR</t>
  </si>
  <si>
    <t>663 SAR</t>
  </si>
  <si>
    <t>675 SAR</t>
  </si>
  <si>
    <r>
      <rPr>
        <b/>
        <i/>
        <sz val="13"/>
        <color rgb="FFBC0000"/>
        <rFont val="Calibri"/>
        <family val="2"/>
      </rPr>
      <t>8</t>
    </r>
    <r>
      <rPr>
        <b/>
        <i/>
        <sz val="10"/>
        <color rgb="FFBC0000"/>
        <rFont val="Calibri"/>
        <family val="2"/>
      </rPr>
      <t xml:space="preserve"> FOR SAME CLASS</t>
    </r>
  </si>
  <si>
    <t>459 SAR</t>
  </si>
  <si>
    <t>609 SAR</t>
  </si>
  <si>
    <t>S2 &amp; W1 &amp; X1 &amp; U3 &amp; O29 &amp; I5 &amp; P73</t>
  </si>
  <si>
    <t>S2 &amp; X1 &amp; U10 &amp; O15 &amp; I5 &amp; E3 &amp; P95</t>
  </si>
  <si>
    <t>S1 &amp; T9 &amp; X8 &amp; P102 &amp; N10</t>
  </si>
  <si>
    <t>1,524 SAR</t>
  </si>
  <si>
    <t>1,728 SAR</t>
  </si>
  <si>
    <t>1,773 SAR</t>
  </si>
  <si>
    <t>974 SAR</t>
  </si>
  <si>
    <t>1,264 SAR</t>
  </si>
  <si>
    <t>1,848 SAR</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</si>
  <si>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</si>
  <si>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</si>
  <si>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</si>
  <si>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</si>
  <si>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</si>
  <si>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</si>
  <si>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</si>
  <si>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</si>
  <si>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</si>
  <si>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</si>
  <si>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</si>
  <si>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</si>
  <si>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</si>
  <si>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</si>
  <si>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</si>
  <si>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</si>
  <si>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</si>
  <si>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</si>
  <si>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</si>
  <si>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</si>
  <si>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</si>
  <si>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</si>
  <si>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</si>
  <si>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</si>
  <si>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</si>
  <si>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</si>
  <si>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</si>
  <si>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</si>
  <si>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</si>
  <si>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TUESDAY</t>
  </si>
  <si>
    <t>05:30</t>
  </si>
  <si>
    <t>320</t>
  </si>
  <si>
    <t>UPCOMING</t>
  </si>
  <si>
    <t>S8</t>
  </si>
  <si>
    <t>U10</t>
  </si>
  <si>
    <t>O10</t>
  </si>
  <si>
    <t>I30</t>
  </si>
  <si>
    <t>13:25</t>
  </si>
  <si>
    <t>S2</t>
  </si>
  <si>
    <t>X1</t>
  </si>
  <si>
    <t>U15</t>
  </si>
  <si>
    <t>O15</t>
  </si>
  <si>
    <t>I15</t>
  </si>
  <si>
    <t>P117</t>
  </si>
  <si>
    <t>N3</t>
  </si>
  <si>
    <t>14:45</t>
  </si>
  <si>
    <t>S5</t>
  </si>
  <si>
    <t>X6</t>
  </si>
  <si>
    <t>U13</t>
  </si>
  <si>
    <t>P82</t>
  </si>
  <si>
    <t>17:30</t>
  </si>
  <si>
    <t>S1</t>
  </si>
  <si>
    <t>W2</t>
  </si>
  <si>
    <t>U17</t>
  </si>
  <si>
    <t>I9</t>
  </si>
  <si>
    <t>22:25</t>
  </si>
  <si>
    <t>X2</t>
  </si>
  <si>
    <t>U5</t>
  </si>
  <si>
    <t>P88</t>
  </si>
  <si>
    <t>23:15</t>
  </si>
  <si>
    <t>P46</t>
  </si>
  <si>
    <t>WEDNESDAY</t>
  </si>
  <si>
    <t>12:25</t>
  </si>
  <si>
    <t>O20</t>
  </si>
  <si>
    <t>I44</t>
  </si>
  <si>
    <t>12:30</t>
  </si>
  <si>
    <t>S3</t>
  </si>
  <si>
    <t>W1</t>
  </si>
  <si>
    <t>O18</t>
  </si>
  <si>
    <t>I40</t>
  </si>
  <si>
    <t>P47</t>
  </si>
  <si>
    <t>I25</t>
  </si>
  <si>
    <t>P45</t>
  </si>
  <si>
    <t>N2</t>
  </si>
  <si>
    <t>THURSDAY</t>
  </si>
  <si>
    <t>01:10</t>
  </si>
  <si>
    <t>P84</t>
  </si>
  <si>
    <t>02:45</t>
  </si>
  <si>
    <t>S4</t>
  </si>
  <si>
    <t>06:05</t>
  </si>
  <si>
    <t>I22</t>
  </si>
  <si>
    <t>E28</t>
  </si>
  <si>
    <t>N1</t>
  </si>
  <si>
    <t>08:00</t>
  </si>
  <si>
    <t>I10</t>
  </si>
  <si>
    <t>P132</t>
  </si>
  <si>
    <t>08:45</t>
  </si>
  <si>
    <t>I35</t>
  </si>
  <si>
    <t>14:00</t>
  </si>
  <si>
    <t>U3</t>
  </si>
  <si>
    <t>P89</t>
  </si>
  <si>
    <t>17:45</t>
  </si>
  <si>
    <t>U4</t>
  </si>
  <si>
    <t>O24</t>
  </si>
  <si>
    <t>I5</t>
  </si>
  <si>
    <t>E44</t>
  </si>
  <si>
    <t>FRIDAY</t>
  </si>
  <si>
    <t>B1</t>
  </si>
  <si>
    <t>O12</t>
  </si>
  <si>
    <t>I28</t>
  </si>
  <si>
    <t>07:40</t>
  </si>
  <si>
    <t>I34</t>
  </si>
  <si>
    <t>11:00</t>
  </si>
  <si>
    <t>O16</t>
  </si>
  <si>
    <t>P39</t>
  </si>
  <si>
    <t>L1</t>
  </si>
  <si>
    <t>G1</t>
  </si>
  <si>
    <t>O30</t>
  </si>
  <si>
    <t>P68</t>
  </si>
  <si>
    <t>17:40</t>
  </si>
  <si>
    <t>O27</t>
  </si>
  <si>
    <t>I16</t>
  </si>
  <si>
    <t>22:30</t>
  </si>
  <si>
    <t>W3</t>
  </si>
  <si>
    <t>P116</t>
  </si>
  <si>
    <t>SATURDAY</t>
  </si>
  <si>
    <t>05:40</t>
  </si>
  <si>
    <t>O29</t>
  </si>
  <si>
    <t>P73</t>
  </si>
  <si>
    <t>E3</t>
  </si>
  <si>
    <t>P95</t>
  </si>
  <si>
    <t>16:20</t>
  </si>
  <si>
    <t>T9</t>
  </si>
  <si>
    <t>X8</t>
  </si>
  <si>
    <t>P102</t>
  </si>
  <si>
    <t>N10</t>
  </si>
  <si>
    <t>DATE</t>
  </si>
  <si>
    <t>ROUTE</t>
  </si>
  <si>
    <t>2025-11-25</t>
  </si>
  <si>
    <t>01:05</t>
  </si>
  <si>
    <t>07:15</t>
  </si>
  <si>
    <t>03:05</t>
  </si>
  <si>
    <t>18:55</t>
  </si>
  <si>
    <t>21:20</t>
  </si>
  <si>
    <t>21:40</t>
  </si>
  <si>
    <t>15:30</t>
  </si>
  <si>
    <t>20:30</t>
  </si>
  <si>
    <t>19:10</t>
  </si>
  <si>
    <t>JED-HBE</t>
  </si>
  <si>
    <t>E5-392</t>
  </si>
  <si>
    <t>Cabin: 10 KG</t>
  </si>
  <si>
    <t>496 SAR</t>
  </si>
  <si>
    <t>Cabin: 10 KG / Check-in: 20 KG</t>
  </si>
  <si>
    <t>550 SAR</t>
  </si>
  <si>
    <t>620 SAR</t>
  </si>
  <si>
    <t>E5-326</t>
  </si>
  <si>
    <t>726 SAR</t>
  </si>
  <si>
    <t>788 SAR</t>
  </si>
  <si>
    <t>F3-773</t>
  </si>
  <si>
    <t>Hand baggage only</t>
  </si>
  <si>
    <t>519 SAR</t>
  </si>
  <si>
    <t>578 SAR</t>
  </si>
  <si>
    <t>602 SAR</t>
  </si>
  <si>
    <t>Cabin: 10 KG / Check-in: 32 KG</t>
  </si>
  <si>
    <t>769 SAR</t>
  </si>
  <si>
    <t>SM-452</t>
  </si>
  <si>
    <t>856 SAR</t>
  </si>
  <si>
    <t>SM452</t>
  </si>
  <si>
    <t>L7 &amp; S1 &amp; X11 &amp; P159</t>
  </si>
  <si>
    <t>MS-656</t>
  </si>
  <si>
    <t>906 SAR</t>
  </si>
  <si>
    <t>SV-331</t>
  </si>
  <si>
    <t>2,044 SAR</t>
  </si>
  <si>
    <t>2,172 SAR</t>
  </si>
  <si>
    <t>SV-411</t>
  </si>
  <si>
    <t>Indirect competition route JED – CAI - diversion ratio &amp; passenger leakage</t>
  </si>
  <si>
    <t>1 FOR SAME CLASS</t>
  </si>
  <si>
    <t>2 FOR SAME CLASS</t>
  </si>
  <si>
    <t>7 FOR SAME CLASS</t>
  </si>
  <si>
    <t>9 FOR SAME CLASS</t>
  </si>
  <si>
    <t>6 FOR SAME CLASS</t>
  </si>
  <si>
    <t>5 FOR SAME CLASS</t>
  </si>
  <si>
    <t>Cabin: 7 KG</t>
  </si>
  <si>
    <t>560 SAR</t>
  </si>
  <si>
    <t>704 SAR</t>
  </si>
  <si>
    <t>776 SAR</t>
  </si>
  <si>
    <t>SM-474</t>
  </si>
  <si>
    <r>
      <rPr>
        <b/>
        <i/>
        <sz val="13"/>
        <color rgb="FFBC0000"/>
        <rFont val="Calibri"/>
        <family val="2"/>
      </rPr>
      <t>5</t>
    </r>
    <r>
      <rPr>
        <b/>
        <i/>
        <sz val="10"/>
        <color rgb="FFBC0000"/>
        <rFont val="Calibri"/>
        <family val="2"/>
      </rPr>
      <t xml:space="preserve"> FOR SAME CLASS</t>
    </r>
  </si>
  <si>
    <t>952 SAR</t>
  </si>
  <si>
    <t>SM474</t>
  </si>
  <si>
    <t>V5</t>
  </si>
  <si>
    <t>L5 &amp; G5 &amp; S3 &amp; X2 &amp; P159</t>
  </si>
  <si>
    <t>G4 &amp; S5 &amp; W10 &amp; X7 &amp; U8 &amp; O10 &amp; I9 &amp; P126</t>
  </si>
  <si>
    <t>SM458</t>
  </si>
  <si>
    <t>S9 &amp; W12 &amp; X7 &amp; U7 &amp; O7 &amp; I8 &amp; P129</t>
  </si>
  <si>
    <t>10 FOR SAME CLASS</t>
  </si>
  <si>
    <t>08:55</t>
  </si>
  <si>
    <t>4 FOR SAME CLASS</t>
  </si>
  <si>
    <t>06:10</t>
  </si>
  <si>
    <t>3 FOR SAME CLASS</t>
  </si>
  <si>
    <t>8 FOR SAME CLASS</t>
  </si>
  <si>
    <t>513 SAR</t>
  </si>
  <si>
    <t>582 SAR</t>
  </si>
  <si>
    <t>E5-394</t>
  </si>
  <si>
    <t>470 SAR</t>
  </si>
  <si>
    <t>524 SAR</t>
  </si>
  <si>
    <t>593 SAR</t>
  </si>
  <si>
    <t>L6</t>
  </si>
  <si>
    <t>S1 &amp; X1 &amp; P171</t>
  </si>
  <si>
    <t>07:00</t>
  </si>
  <si>
    <t>+9 FOR SAME CLASS</t>
  </si>
  <si>
    <t>14:15</t>
  </si>
  <si>
    <t>15:50</t>
  </si>
  <si>
    <t>465 SAR</t>
  </si>
  <si>
    <t>691 SAR</t>
  </si>
  <si>
    <t>646 SAR</t>
  </si>
  <si>
    <t>W7</t>
  </si>
  <si>
    <t>S5 &amp; W1 &amp; T17 &amp; X27 &amp; U15</t>
  </si>
  <si>
    <r>
      <rPr>
        <b/>
        <i/>
        <sz val="13"/>
        <color rgb="FFBC0000"/>
        <rFont val="Calibri"/>
        <family val="2"/>
      </rPr>
      <t>4</t>
    </r>
    <r>
      <rPr>
        <b/>
        <i/>
        <sz val="10"/>
        <color rgb="FFBC0000"/>
        <rFont val="Calibri"/>
        <family val="2"/>
      </rPr>
      <t xml:space="preserve"> FOR SAME CLASS</t>
    </r>
  </si>
  <si>
    <t>09:30</t>
  </si>
  <si>
    <t>429 SAR</t>
  </si>
  <si>
    <t>488 SAR</t>
  </si>
  <si>
    <t>512 SAR</t>
  </si>
  <si>
    <t>575 SAR</t>
  </si>
  <si>
    <t>629 SAR</t>
  </si>
  <si>
    <t>801 SAR</t>
  </si>
  <si>
    <t>781 SAR</t>
  </si>
  <si>
    <t>G8</t>
  </si>
  <si>
    <t>G2 &amp; S11 &amp; X7 &amp; U7 &amp; O6 &amp; I8 &amp; P119</t>
  </si>
  <si>
    <t>SM-458</t>
  </si>
  <si>
    <t>G4</t>
  </si>
  <si>
    <t>G4 &amp; S3 &amp; T1 &amp; X17 &amp; P139</t>
  </si>
  <si>
    <t>05:15</t>
  </si>
  <si>
    <t>05:10</t>
  </si>
  <si>
    <t>07:55</t>
  </si>
  <si>
    <t>17:00</t>
  </si>
  <si>
    <t>L7</t>
  </si>
  <si>
    <t>X11</t>
  </si>
  <si>
    <t>P159</t>
  </si>
  <si>
    <t>09:50</t>
  </si>
  <si>
    <t>L5</t>
  </si>
  <si>
    <t>G5</t>
  </si>
  <si>
    <t>15:45</t>
  </si>
  <si>
    <t>W10</t>
  </si>
  <si>
    <t>P126</t>
  </si>
  <si>
    <t>17:15</t>
  </si>
  <si>
    <t>S9</t>
  </si>
  <si>
    <t>W12</t>
  </si>
  <si>
    <t>O7</t>
  </si>
  <si>
    <t>I8</t>
  </si>
  <si>
    <t>P129</t>
  </si>
  <si>
    <t>06:35</t>
  </si>
  <si>
    <t>P171</t>
  </si>
  <si>
    <t>10:00</t>
  </si>
  <si>
    <t>T17</t>
  </si>
  <si>
    <t>X27</t>
  </si>
  <si>
    <t>T1</t>
  </si>
  <si>
    <t>X17</t>
  </si>
  <si>
    <t>P139</t>
  </si>
  <si>
    <t>19:00</t>
  </si>
  <si>
    <t>G2</t>
  </si>
  <si>
    <t>S11</t>
  </si>
  <si>
    <t>P119</t>
  </si>
  <si>
    <t>04:30</t>
  </si>
  <si>
    <t>12:40</t>
  </si>
  <si>
    <t>JED-CAI AS ALTERNATIVE ROUTE</t>
  </si>
  <si>
    <t>JED-ATZ</t>
  </si>
  <si>
    <t>SM-454</t>
  </si>
  <si>
    <t>SM454</t>
  </si>
  <si>
    <t>G3</t>
  </si>
  <si>
    <t>S4 &amp; U8 &amp; P155</t>
  </si>
  <si>
    <t>SM-456</t>
  </si>
  <si>
    <t>SM456</t>
  </si>
  <si>
    <t>L4</t>
  </si>
  <si>
    <t>L1 &amp; S1 &amp; X3 &amp; I3 &amp; P167</t>
  </si>
  <si>
    <t>MS-8224</t>
  </si>
  <si>
    <t>938 SAR</t>
  </si>
  <si>
    <t>F3-777</t>
  </si>
  <si>
    <r>
      <rPr>
        <b/>
        <i/>
        <sz val="13"/>
        <color rgb="FFBC0000"/>
        <rFont val="Calibri"/>
        <family val="2"/>
      </rPr>
      <t>16</t>
    </r>
    <r>
      <rPr>
        <b/>
        <i/>
        <sz val="10"/>
        <color rgb="FFBC0000"/>
        <rFont val="Calibri"/>
        <family val="2"/>
      </rPr>
      <t xml:space="preserve"> FOR SAME CLASS</t>
    </r>
  </si>
  <si>
    <t>299 SAR</t>
  </si>
  <si>
    <r>
      <rPr>
        <i/>
        <sz val="13"/>
        <rFont val="Calibri"/>
        <family val="2"/>
      </rPr>
      <t>16</t>
    </r>
    <r>
      <rPr>
        <i/>
        <sz val="10"/>
        <rFont val="Calibri"/>
        <family val="2"/>
      </rPr>
      <t xml:space="preserve"> FOR SAME CLASS</t>
    </r>
  </si>
  <si>
    <t>358 SAR</t>
  </si>
  <si>
    <t>382 SAR</t>
  </si>
  <si>
    <t>U3 &amp; O8 &amp; I15 &amp; E43 &amp; P41</t>
  </si>
  <si>
    <t>SM-492</t>
  </si>
  <si>
    <t>SM492</t>
  </si>
  <si>
    <t>U7 &amp; O10 &amp; I15 &amp; E30 &amp; P78</t>
  </si>
  <si>
    <t>Cabin: 7 KG | Check-in: 1 PIECE</t>
  </si>
  <si>
    <t>640 SAR</t>
  </si>
  <si>
    <t>SM-422</t>
  </si>
  <si>
    <t>SM422</t>
  </si>
  <si>
    <t>S1 &amp; U7 &amp; O2 &amp; I13</t>
  </si>
  <si>
    <t>U1 &amp; O8 &amp; I9 &amp; E1 &amp; P95</t>
  </si>
  <si>
    <t>I6</t>
  </si>
  <si>
    <t>T2 &amp; X2 &amp; U9 &amp; O5 &amp; I14 &amp; P44</t>
  </si>
  <si>
    <t>S3 &amp; W1 &amp; X6 &amp; U11 &amp; O20 &amp; I28 &amp; P2</t>
  </si>
  <si>
    <t>X9</t>
  </si>
  <si>
    <t>S4 &amp; W1 &amp; X11 &amp; U1 &amp; O2 &amp; I4 &amp; P95</t>
  </si>
  <si>
    <t>586 SAR</t>
  </si>
  <si>
    <t>W1 &amp; T1 &amp; U12 &amp; I4 &amp; P135</t>
  </si>
  <si>
    <t>07:45</t>
  </si>
  <si>
    <t>P155</t>
  </si>
  <si>
    <t>22:50</t>
  </si>
  <si>
    <t>I3</t>
  </si>
  <si>
    <t>P167</t>
  </si>
  <si>
    <t>06:25</t>
  </si>
  <si>
    <t>O8</t>
  </si>
  <si>
    <t>E43</t>
  </si>
  <si>
    <t>P41</t>
  </si>
  <si>
    <t>E30</t>
  </si>
  <si>
    <t>P78</t>
  </si>
  <si>
    <t>02:00</t>
  </si>
  <si>
    <t>O2</t>
  </si>
  <si>
    <t>I13</t>
  </si>
  <si>
    <t>11:45</t>
  </si>
  <si>
    <t>E1</t>
  </si>
  <si>
    <t>T2</t>
  </si>
  <si>
    <t>I14</t>
  </si>
  <si>
    <t>P44</t>
  </si>
  <si>
    <t>U11</t>
  </si>
  <si>
    <t>P2</t>
  </si>
  <si>
    <t>I4</t>
  </si>
  <si>
    <t>16:30</t>
  </si>
  <si>
    <t>U12</t>
  </si>
  <si>
    <t>P135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</si>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</sst>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7"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b/>
      <i/>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i/>
      <sz val="18"/>
      <color rgb="FFFF0000"/>
      <name val="Calibri"/>
      <family val="2"/>
    </font>
    <font>
      <b/>
      <sz val="13"/>
      <color theme="1"/>
      <name val="Calibri"/>
      <family val="2"/>
    </font>
    <font>
      <b/>
      <sz val="14"/>
      <color theme="1"/>
      <name val="Calibri"/>
      <family val="2"/>
    </font>
    <font>
      <b/>
      <i/>
      <sz val="12"/>
      <name val="Calibri"/>
      <family val="2"/>
    </font>
    <font>
      <i/>
      <sz val="12"/>
      <name val="Calibri"/>
      <family val="2"/>
    </font>
    <font>
      <b/>
      <i/>
      <sz val="13"/>
      <name val="Calibri"/>
      <family val="2"/>
    </font>
    <font>
      <b/>
      <i/>
      <sz val="14"/>
      <name val="Calibri"/>
      <family val="2"/>
    </font>
    <font>
      <b/>
      <i/>
      <sz val="13"/>
      <color rgb="FF9C0006"/>
      <name val="Calibri"/>
      <family val="2"/>
    </font>
    <font>
      <b/>
      <i/>
      <sz val="13"/>
      <color rgb="FF006100"/>
      <name val="Calibri"/>
      <family val="2"/>
    </font>
    <font>
      <sz val="12"/>
      <color theme="1"/>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b/>
      <i/>
      <sz val="13"/>
      <color rgb="FFBC0000"/>
      <name val="Calibri"/>
      <family val="2"/>
    </font>
    <font>
      <b/>
      <i/>
      <sz val="10"/>
      <color rgb="FFBC0000"/>
      <name val="Calibri"/>
      <family val="2"/>
    </font>
    <font>
      <b/>
      <i/>
      <sz val="10"/>
      <name val="Calibri"/>
      <family val="2"/>
    </font>
    <font>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2CA93"/>
      </patternFill>
    </fill>
    <fill>
      <patternFill patternType="solid">
        <fgColor rgb="FFFFFFCC"/>
      </patternFill>
    </fill>
    <fill>
      <patternFill patternType="solid">
        <fgColor rgb="FFD8E4BC"/>
      </patternFill>
    </fill>
    <fill>
      <patternFill patternType="solid">
        <fgColor rgb="FFB5E7D3"/>
      </patternFill>
    </fill>
    <fill>
      <patternFill patternType="solid">
        <fgColor rgb="FFC7FFFF"/>
      </patternFill>
    </fill>
    <fill>
      <patternFill patternType="solid">
        <fgColor rgb="FFE6D5E6"/>
      </patternFill>
    </fill>
    <fill>
      <patternFill patternType="solid">
        <fgColor rgb="FFCCCCCC"/>
        <bgColor rgb="FFCCCCCC"/>
      </patternFill>
    </fill>
    <fill>
      <patternFill patternType="solid">
        <fgColor rgb="FFC5D9F1"/>
      </patternFill>
    </fill>
    <fill>
      <patternFill patternType="solid">
        <fgColor rgb="FFFFE4B5"/>
      </patternFill>
    </fill>
    <fill>
      <patternFill patternType="solid">
        <fgColor rgb="FF366092"/>
      </patternFill>
    </fill>
    <fill>
      <patternFill patternType="solid">
        <fgColor rgb="FF365492"/>
        <bgColor indexed="64"/>
      </patternFill>
    </fill>
  </fills>
  <borders count="37">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D040E3"/>
      </left>
      <right style="thick">
        <color rgb="FFD040E3"/>
      </right>
      <top style="thick">
        <color rgb="FFD040E3"/>
      </top>
      <bottom style="thick">
        <color rgb="FFD040E3"/>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24">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7" fillId="5" borderId="2" xfId="0" applyNumberFormat="1" applyFont="1" applyFill="1" applyBorder="1" applyAlignment="1">
      <alignment horizontal="center" vertical="center"/>
    </xf>
    <xf numFmtId="0" fontId="9" fillId="6" borderId="2" xfId="0" applyFont="1" applyFill="1" applyBorder="1" applyAlignment="1">
      <alignment horizontal="center" vertical="center"/>
    </xf>
    <xf numFmtId="0" fontId="10" fillId="6" borderId="2" xfId="0" applyFont="1" applyFill="1" applyBorder="1" applyAlignment="1">
      <alignment horizontal="center" vertical="center"/>
    </xf>
    <xf numFmtId="0" fontId="10" fillId="7" borderId="3" xfId="0" applyFont="1" applyFill="1" applyBorder="1" applyAlignment="1">
      <alignment horizontal="center" vertical="center"/>
    </xf>
    <xf numFmtId="49" fontId="11" fillId="0" borderId="4" xfId="0" applyNumberFormat="1" applyFont="1" applyBorder="1" applyAlignment="1">
      <alignment horizontal="center" vertical="center"/>
    </xf>
    <xf numFmtId="168" fontId="11" fillId="0" borderId="4" xfId="0" applyNumberFormat="1"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14" fillId="0" borderId="6"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49" fontId="15" fillId="0" borderId="8" xfId="0" applyNumberFormat="1" applyFont="1" applyBorder="1" applyAlignment="1">
      <alignment horizontal="center" vertical="center"/>
    </xf>
    <xf numFmtId="168" fontId="15" fillId="0" borderId="8" xfId="0" applyNumberFormat="1" applyFont="1" applyBorder="1" applyAlignment="1">
      <alignment horizontal="center" vertical="center"/>
    </xf>
    <xf numFmtId="49" fontId="11" fillId="0" borderId="8" xfId="0" applyNumberFormat="1" applyFont="1" applyBorder="1" applyAlignment="1">
      <alignment horizontal="center" vertical="center"/>
    </xf>
    <xf numFmtId="168" fontId="11" fillId="0" borderId="8" xfId="0" applyNumberFormat="1" applyFont="1" applyBorder="1" applyAlignment="1">
      <alignment horizontal="center" vertical="center"/>
    </xf>
    <xf numFmtId="49" fontId="16" fillId="0" borderId="8" xfId="0" applyNumberFormat="1" applyFont="1" applyBorder="1" applyAlignment="1">
      <alignment horizontal="center" vertical="center"/>
    </xf>
    <xf numFmtId="168" fontId="16" fillId="0" borderId="8" xfId="0" applyNumberFormat="1" applyFont="1" applyBorder="1" applyAlignment="1">
      <alignment horizontal="center" vertical="center"/>
    </xf>
    <xf numFmtId="49" fontId="11" fillId="8" borderId="2" xfId="0" applyNumberFormat="1" applyFont="1" applyFill="1" applyBorder="1" applyAlignment="1">
      <alignment horizontal="center" vertical="center"/>
    </xf>
    <xf numFmtId="168" fontId="11" fillId="8" borderId="2" xfId="0" applyNumberFormat="1" applyFont="1" applyFill="1" applyBorder="1" applyAlignment="1">
      <alignment horizontal="center" vertical="center"/>
    </xf>
    <xf numFmtId="49" fontId="17" fillId="8" borderId="9" xfId="0" applyNumberFormat="1" applyFont="1" applyFill="1" applyBorder="1" applyAlignment="1">
      <alignment horizontal="center" vertical="center"/>
    </xf>
    <xf numFmtId="169" fontId="17" fillId="8" borderId="10" xfId="0" applyNumberFormat="1" applyFont="1" applyFill="1" applyBorder="1" applyAlignment="1">
      <alignment horizontal="center" vertical="center"/>
    </xf>
    <xf numFmtId="1" fontId="17" fillId="8" borderId="10" xfId="0" applyNumberFormat="1" applyFont="1" applyFill="1" applyBorder="1" applyAlignment="1">
      <alignment horizontal="center" vertical="center"/>
    </xf>
    <xf numFmtId="16" fontId="17" fillId="8" borderId="10" xfId="0" applyNumberFormat="1" applyFont="1" applyFill="1" applyBorder="1" applyAlignment="1">
      <alignment horizontal="center" vertical="center"/>
    </xf>
    <xf numFmtId="49" fontId="18" fillId="8" borderId="10" xfId="0" applyNumberFormat="1" applyFont="1" applyFill="1" applyBorder="1" applyAlignment="1">
      <alignment horizontal="center" vertical="center"/>
    </xf>
    <xf numFmtId="168" fontId="17" fillId="8" borderId="10" xfId="0" applyNumberFormat="1" applyFont="1" applyFill="1" applyBorder="1" applyAlignment="1">
      <alignment horizontal="center" vertical="center"/>
    </xf>
    <xf numFmtId="49" fontId="17" fillId="8" borderId="11" xfId="0" applyNumberFormat="1" applyFont="1" applyFill="1" applyBorder="1" applyAlignment="1">
      <alignment horizontal="center" vertical="center"/>
    </xf>
    <xf numFmtId="49" fontId="15" fillId="9" borderId="2" xfId="0" applyNumberFormat="1" applyFont="1" applyFill="1" applyBorder="1" applyAlignment="1">
      <alignment horizontal="center" vertical="center"/>
    </xf>
    <xf numFmtId="168" fontId="15" fillId="9" borderId="2" xfId="0" applyNumberFormat="1" applyFont="1" applyFill="1" applyBorder="1" applyAlignment="1">
      <alignment horizontal="center" vertical="center"/>
    </xf>
    <xf numFmtId="49" fontId="17" fillId="9" borderId="9" xfId="0" applyNumberFormat="1" applyFont="1" applyFill="1" applyBorder="1" applyAlignment="1">
      <alignment horizontal="center" vertical="center"/>
    </xf>
    <xf numFmtId="169" fontId="17" fillId="9" borderId="10" xfId="0" applyNumberFormat="1" applyFont="1" applyFill="1" applyBorder="1" applyAlignment="1">
      <alignment horizontal="center" vertical="center"/>
    </xf>
    <xf numFmtId="1" fontId="17" fillId="9" borderId="10" xfId="0" applyNumberFormat="1" applyFont="1" applyFill="1" applyBorder="1" applyAlignment="1">
      <alignment horizontal="center" vertical="center"/>
    </xf>
    <xf numFmtId="16" fontId="17" fillId="9" borderId="10" xfId="0" applyNumberFormat="1" applyFont="1" applyFill="1" applyBorder="1" applyAlignment="1">
      <alignment horizontal="center" vertical="center"/>
    </xf>
    <xf numFmtId="49" fontId="18" fillId="9" borderId="10" xfId="0" applyNumberFormat="1" applyFont="1" applyFill="1" applyBorder="1" applyAlignment="1">
      <alignment horizontal="center" vertical="center"/>
    </xf>
    <xf numFmtId="168" fontId="17" fillId="9" borderId="10" xfId="0" applyNumberFormat="1" applyFont="1" applyFill="1" applyBorder="1" applyAlignment="1">
      <alignment horizontal="center" vertical="center"/>
    </xf>
    <xf numFmtId="49" fontId="17" fillId="9" borderId="11" xfId="0" applyNumberFormat="1" applyFont="1" applyFill="1" applyBorder="1" applyAlignment="1">
      <alignment horizontal="center" vertical="center"/>
    </xf>
    <xf numFmtId="49" fontId="15" fillId="10" borderId="2" xfId="0" applyNumberFormat="1" applyFont="1" applyFill="1" applyBorder="1" applyAlignment="1">
      <alignment horizontal="center" vertical="center"/>
    </xf>
    <xf numFmtId="168" fontId="15" fillId="10" borderId="2" xfId="0" applyNumberFormat="1" applyFont="1" applyFill="1" applyBorder="1" applyAlignment="1">
      <alignment horizontal="center" vertical="center"/>
    </xf>
    <xf numFmtId="49" fontId="17" fillId="10" borderId="9" xfId="0" applyNumberFormat="1" applyFont="1" applyFill="1" applyBorder="1" applyAlignment="1">
      <alignment horizontal="center" vertical="center"/>
    </xf>
    <xf numFmtId="169" fontId="19" fillId="10" borderId="10" xfId="0" applyNumberFormat="1" applyFont="1" applyFill="1" applyBorder="1" applyAlignment="1">
      <alignment horizontal="center" vertical="center"/>
    </xf>
    <xf numFmtId="1" fontId="17" fillId="10" borderId="10" xfId="0" applyNumberFormat="1" applyFont="1" applyFill="1" applyBorder="1" applyAlignment="1">
      <alignment horizontal="center" vertical="center"/>
    </xf>
    <xf numFmtId="16" fontId="17" fillId="10" borderId="10" xfId="0" applyNumberFormat="1" applyFont="1" applyFill="1" applyBorder="1" applyAlignment="1">
      <alignment horizontal="center" vertical="center"/>
    </xf>
    <xf numFmtId="49" fontId="18" fillId="10" borderId="10" xfId="0" applyNumberFormat="1" applyFont="1" applyFill="1" applyBorder="1" applyAlignment="1">
      <alignment horizontal="center" vertical="center"/>
    </xf>
    <xf numFmtId="168" fontId="17" fillId="10" borderId="10" xfId="0" applyNumberFormat="1" applyFont="1" applyFill="1" applyBorder="1" applyAlignment="1">
      <alignment horizontal="center" vertical="center"/>
    </xf>
    <xf numFmtId="49" fontId="17" fillId="10" borderId="11" xfId="0" applyNumberFormat="1" applyFont="1" applyFill="1" applyBorder="1" applyAlignment="1">
      <alignment horizontal="center" vertical="center"/>
    </xf>
    <xf numFmtId="49" fontId="15" fillId="11" borderId="2" xfId="0" applyNumberFormat="1" applyFont="1" applyFill="1" applyBorder="1" applyAlignment="1">
      <alignment horizontal="center" vertical="center"/>
    </xf>
    <xf numFmtId="168" fontId="15" fillId="11" borderId="2" xfId="0" applyNumberFormat="1" applyFont="1" applyFill="1" applyBorder="1" applyAlignment="1">
      <alignment horizontal="center" vertical="center"/>
    </xf>
    <xf numFmtId="49" fontId="17" fillId="11" borderId="9" xfId="0" applyNumberFormat="1" applyFont="1" applyFill="1" applyBorder="1" applyAlignment="1">
      <alignment horizontal="center" vertical="center"/>
    </xf>
    <xf numFmtId="169" fontId="17" fillId="11" borderId="10" xfId="0" applyNumberFormat="1" applyFont="1" applyFill="1" applyBorder="1" applyAlignment="1">
      <alignment horizontal="center" vertical="center"/>
    </xf>
    <xf numFmtId="1" fontId="17" fillId="11" borderId="10" xfId="0" applyNumberFormat="1" applyFont="1" applyFill="1" applyBorder="1" applyAlignment="1">
      <alignment horizontal="center" vertical="center"/>
    </xf>
    <xf numFmtId="16" fontId="17" fillId="11" borderId="10" xfId="0" applyNumberFormat="1" applyFont="1" applyFill="1" applyBorder="1" applyAlignment="1">
      <alignment horizontal="center" vertical="center"/>
    </xf>
    <xf numFmtId="49" fontId="18" fillId="11" borderId="10" xfId="0" applyNumberFormat="1" applyFont="1" applyFill="1" applyBorder="1" applyAlignment="1">
      <alignment horizontal="center" vertical="center"/>
    </xf>
    <xf numFmtId="168" fontId="17" fillId="11" borderId="10" xfId="0" applyNumberFormat="1" applyFont="1" applyFill="1" applyBorder="1" applyAlignment="1">
      <alignment horizontal="center" vertical="center"/>
    </xf>
    <xf numFmtId="49" fontId="17" fillId="11" borderId="11" xfId="0" applyNumberFormat="1" applyFont="1" applyFill="1" applyBorder="1" applyAlignment="1">
      <alignment horizontal="center" vertical="center"/>
    </xf>
    <xf numFmtId="49" fontId="15" fillId="12" borderId="2" xfId="0" applyNumberFormat="1" applyFont="1" applyFill="1" applyBorder="1" applyAlignment="1">
      <alignment horizontal="center" vertical="center"/>
    </xf>
    <xf numFmtId="168" fontId="15" fillId="12" borderId="2" xfId="0" applyNumberFormat="1" applyFont="1" applyFill="1" applyBorder="1" applyAlignment="1">
      <alignment horizontal="center" vertical="center"/>
    </xf>
    <xf numFmtId="0" fontId="15" fillId="12" borderId="2" xfId="0" applyFont="1" applyFill="1" applyBorder="1" applyAlignment="1">
      <alignment horizontal="center" vertical="center"/>
    </xf>
    <xf numFmtId="49" fontId="17" fillId="12" borderId="9" xfId="0" applyNumberFormat="1" applyFont="1" applyFill="1" applyBorder="1" applyAlignment="1">
      <alignment horizontal="center" vertical="center"/>
    </xf>
    <xf numFmtId="169" fontId="20" fillId="12" borderId="10" xfId="0" applyNumberFormat="1" applyFont="1" applyFill="1" applyBorder="1" applyAlignment="1">
      <alignment horizontal="center" vertical="center"/>
    </xf>
    <xf numFmtId="1" fontId="17" fillId="12" borderId="10" xfId="0" applyNumberFormat="1" applyFont="1" applyFill="1" applyBorder="1" applyAlignment="1">
      <alignment horizontal="center" vertical="center"/>
    </xf>
    <xf numFmtId="16" fontId="17" fillId="12" borderId="10" xfId="0" applyNumberFormat="1" applyFont="1" applyFill="1" applyBorder="1" applyAlignment="1">
      <alignment horizontal="center" vertical="center"/>
    </xf>
    <xf numFmtId="49" fontId="18" fillId="12" borderId="10" xfId="0" applyNumberFormat="1" applyFont="1" applyFill="1" applyBorder="1" applyAlignment="1">
      <alignment horizontal="center" vertical="center"/>
    </xf>
    <xf numFmtId="168" fontId="17" fillId="12" borderId="10" xfId="0" applyNumberFormat="1" applyFont="1" applyFill="1" applyBorder="1" applyAlignment="1">
      <alignment horizontal="center" vertical="center"/>
    </xf>
    <xf numFmtId="49" fontId="17" fillId="12" borderId="11" xfId="0" applyNumberFormat="1" applyFont="1" applyFill="1" applyBorder="1" applyAlignment="1">
      <alignment horizontal="center" vertical="center"/>
    </xf>
    <xf numFmtId="49" fontId="15" fillId="13" borderId="2" xfId="0" applyNumberFormat="1" applyFont="1" applyFill="1" applyBorder="1" applyAlignment="1">
      <alignment horizontal="center" vertical="center"/>
    </xf>
    <xf numFmtId="168" fontId="15" fillId="13" borderId="2" xfId="0" applyNumberFormat="1" applyFont="1" applyFill="1" applyBorder="1" applyAlignment="1">
      <alignment horizontal="center" vertical="center"/>
    </xf>
    <xf numFmtId="0" fontId="15" fillId="13" borderId="2" xfId="0" applyFont="1" applyFill="1" applyBorder="1" applyAlignment="1">
      <alignment horizontal="center" vertical="center"/>
    </xf>
    <xf numFmtId="49" fontId="17" fillId="13" borderId="9" xfId="0" applyNumberFormat="1" applyFont="1" applyFill="1" applyBorder="1" applyAlignment="1">
      <alignment horizontal="center" vertical="center"/>
    </xf>
    <xf numFmtId="169" fontId="20" fillId="13" borderId="10" xfId="0" applyNumberFormat="1" applyFont="1" applyFill="1" applyBorder="1" applyAlignment="1">
      <alignment horizontal="center" vertical="center"/>
    </xf>
    <xf numFmtId="1" fontId="17" fillId="13" borderId="10" xfId="0" applyNumberFormat="1" applyFont="1" applyFill="1" applyBorder="1" applyAlignment="1">
      <alignment horizontal="center" vertical="center"/>
    </xf>
    <xf numFmtId="16" fontId="17" fillId="13" borderId="10" xfId="0" applyNumberFormat="1" applyFont="1" applyFill="1" applyBorder="1" applyAlignment="1">
      <alignment horizontal="center" vertical="center"/>
    </xf>
    <xf numFmtId="49" fontId="18" fillId="13" borderId="10" xfId="0" applyNumberFormat="1" applyFont="1" applyFill="1" applyBorder="1" applyAlignment="1">
      <alignment horizontal="center" vertical="center"/>
    </xf>
    <xf numFmtId="168" fontId="17" fillId="13" borderId="10" xfId="0" applyNumberFormat="1" applyFont="1" applyFill="1" applyBorder="1" applyAlignment="1">
      <alignment horizontal="center" vertical="center"/>
    </xf>
    <xf numFmtId="49" fontId="17" fillId="13" borderId="11" xfId="0" applyNumberFormat="1" applyFont="1" applyFill="1" applyBorder="1" applyAlignment="1">
      <alignment horizontal="center" vertical="center"/>
    </xf>
    <xf numFmtId="49" fontId="15" fillId="0" borderId="12" xfId="0" applyNumberFormat="1" applyFont="1" applyBorder="1" applyAlignment="1">
      <alignment horizontal="center" vertical="center"/>
    </xf>
    <xf numFmtId="168" fontId="15" fillId="0" borderId="12" xfId="0" applyNumberFormat="1"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center" vertical="center"/>
    </xf>
    <xf numFmtId="0" fontId="14"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67" fontId="4" fillId="5"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168" fontId="9" fillId="6" borderId="2" xfId="0" applyNumberFormat="1" applyFont="1" applyFill="1" applyBorder="1" applyAlignment="1">
      <alignment horizontal="center" vertical="center"/>
    </xf>
    <xf numFmtId="49" fontId="10" fillId="6" borderId="2" xfId="0" applyNumberFormat="1" applyFont="1" applyFill="1" applyBorder="1" applyAlignment="1">
      <alignment horizontal="center" vertical="center"/>
    </xf>
    <xf numFmtId="49" fontId="10" fillId="7" borderId="3" xfId="0" applyNumberFormat="1" applyFont="1" applyFill="1" applyBorder="1" applyAlignment="1">
      <alignment horizontal="center" vertical="center"/>
    </xf>
    <xf numFmtId="169" fontId="9" fillId="6" borderId="2" xfId="0" applyNumberFormat="1" applyFont="1" applyFill="1" applyBorder="1" applyAlignment="1">
      <alignment horizontal="center" vertical="center"/>
    </xf>
    <xf numFmtId="1" fontId="9" fillId="6" borderId="2" xfId="0" applyNumberFormat="1" applyFont="1" applyFill="1" applyBorder="1" applyAlignment="1">
      <alignment horizontal="center" vertical="center"/>
    </xf>
    <xf numFmtId="16" fontId="9" fillId="6" borderId="2" xfId="0" applyNumberFormat="1" applyFont="1" applyFill="1" applyBorder="1" applyAlignment="1">
      <alignment horizontal="center" vertical="center"/>
    </xf>
    <xf numFmtId="169" fontId="19" fillId="13" borderId="10" xfId="0" applyNumberFormat="1" applyFont="1" applyFill="1" applyBorder="1" applyAlignment="1">
      <alignment horizontal="center" vertical="center"/>
    </xf>
    <xf numFmtId="49" fontId="15" fillId="15" borderId="2" xfId="0" applyNumberFormat="1" applyFont="1" applyFill="1" applyBorder="1" applyAlignment="1">
      <alignment horizontal="center" vertical="center"/>
    </xf>
    <xf numFmtId="168" fontId="15" fillId="15" borderId="2" xfId="0" applyNumberFormat="1" applyFont="1" applyFill="1" applyBorder="1" applyAlignment="1">
      <alignment horizontal="center" vertical="center"/>
    </xf>
    <xf numFmtId="49" fontId="17" fillId="15" borderId="9" xfId="0" applyNumberFormat="1" applyFont="1" applyFill="1" applyBorder="1" applyAlignment="1">
      <alignment horizontal="center" vertical="center"/>
    </xf>
    <xf numFmtId="169" fontId="17" fillId="15" borderId="10" xfId="0" applyNumberFormat="1" applyFont="1" applyFill="1" applyBorder="1" applyAlignment="1">
      <alignment horizontal="center" vertical="center"/>
    </xf>
    <xf numFmtId="1" fontId="17" fillId="15" borderId="10" xfId="0" applyNumberFormat="1" applyFont="1" applyFill="1" applyBorder="1" applyAlignment="1">
      <alignment horizontal="center" vertical="center"/>
    </xf>
    <xf numFmtId="16" fontId="17" fillId="15" borderId="10" xfId="0" applyNumberFormat="1" applyFont="1" applyFill="1" applyBorder="1" applyAlignment="1">
      <alignment horizontal="center" vertical="center"/>
    </xf>
    <xf numFmtId="49" fontId="18" fillId="15" borderId="10" xfId="0" applyNumberFormat="1" applyFont="1" applyFill="1" applyBorder="1" applyAlignment="1">
      <alignment horizontal="center" vertical="center"/>
    </xf>
    <xf numFmtId="168" fontId="17" fillId="15" borderId="10" xfId="0" applyNumberFormat="1" applyFont="1" applyFill="1" applyBorder="1" applyAlignment="1">
      <alignment horizontal="center" vertical="center"/>
    </xf>
    <xf numFmtId="49" fontId="17" fillId="15" borderId="11" xfId="0" applyNumberFormat="1" applyFont="1" applyFill="1" applyBorder="1" applyAlignment="1">
      <alignment horizontal="center" vertical="center"/>
    </xf>
    <xf numFmtId="49" fontId="16" fillId="0" borderId="12" xfId="0" applyNumberFormat="1" applyFont="1" applyBorder="1" applyAlignment="1">
      <alignment horizontal="center" vertical="center"/>
    </xf>
    <xf numFmtId="168" fontId="16" fillId="0" borderId="12" xfId="0" applyNumberFormat="1" applyFont="1" applyBorder="1" applyAlignment="1">
      <alignment horizontal="center" vertical="center"/>
    </xf>
    <xf numFmtId="49" fontId="11" fillId="10" borderId="2" xfId="0" applyNumberFormat="1" applyFont="1" applyFill="1" applyBorder="1" applyAlignment="1">
      <alignment horizontal="center" vertical="center"/>
    </xf>
    <xf numFmtId="168" fontId="11" fillId="10" borderId="2" xfId="0" applyNumberFormat="1" applyFont="1" applyFill="1" applyBorder="1" applyAlignment="1">
      <alignment horizontal="center" vertical="center"/>
    </xf>
    <xf numFmtId="169" fontId="19" fillId="11" borderId="10" xfId="0" applyNumberFormat="1" applyFont="1" applyFill="1" applyBorder="1" applyAlignment="1">
      <alignment horizontal="center" vertical="center"/>
    </xf>
    <xf numFmtId="49" fontId="15" fillId="8" borderId="2" xfId="0" applyNumberFormat="1" applyFont="1" applyFill="1" applyBorder="1" applyAlignment="1">
      <alignment horizontal="center" vertical="center"/>
    </xf>
    <xf numFmtId="168" fontId="15" fillId="8" borderId="2" xfId="0" applyNumberFormat="1" applyFont="1" applyFill="1" applyBorder="1" applyAlignment="1">
      <alignment horizontal="center" vertical="center"/>
    </xf>
    <xf numFmtId="169" fontId="19" fillId="9" borderId="10" xfId="0" applyNumberFormat="1" applyFont="1" applyFill="1" applyBorder="1" applyAlignment="1">
      <alignment horizontal="center" vertical="center"/>
    </xf>
    <xf numFmtId="169" fontId="19" fillId="15" borderId="10" xfId="0" applyNumberFormat="1" applyFont="1" applyFill="1" applyBorder="1" applyAlignment="1">
      <alignment horizontal="center" vertical="center"/>
    </xf>
    <xf numFmtId="49" fontId="11" fillId="11" borderId="2" xfId="0" applyNumberFormat="1" applyFont="1" applyFill="1" applyBorder="1" applyAlignment="1">
      <alignment horizontal="center" vertical="center"/>
    </xf>
    <xf numFmtId="168" fontId="11" fillId="11" borderId="2" xfId="0" applyNumberFormat="1" applyFont="1" applyFill="1" applyBorder="1" applyAlignment="1">
      <alignment horizontal="center" vertical="center"/>
    </xf>
    <xf numFmtId="49" fontId="15" fillId="16" borderId="2" xfId="0" applyNumberFormat="1" applyFont="1" applyFill="1" applyBorder="1" applyAlignment="1">
      <alignment horizontal="center" vertical="center"/>
    </xf>
    <xf numFmtId="168" fontId="15" fillId="16" borderId="2" xfId="0" applyNumberFormat="1" applyFont="1" applyFill="1" applyBorder="1" applyAlignment="1">
      <alignment horizontal="center" vertical="center"/>
    </xf>
    <xf numFmtId="49" fontId="17" fillId="16" borderId="9" xfId="0" applyNumberFormat="1" applyFont="1" applyFill="1" applyBorder="1" applyAlignment="1">
      <alignment horizontal="center" vertical="center"/>
    </xf>
    <xf numFmtId="169" fontId="19" fillId="16" borderId="10" xfId="0" applyNumberFormat="1" applyFont="1" applyFill="1" applyBorder="1" applyAlignment="1">
      <alignment horizontal="center" vertical="center"/>
    </xf>
    <xf numFmtId="1" fontId="17" fillId="16" borderId="10" xfId="0" applyNumberFormat="1" applyFont="1" applyFill="1" applyBorder="1" applyAlignment="1">
      <alignment horizontal="center" vertical="center"/>
    </xf>
    <xf numFmtId="16" fontId="17" fillId="16" borderId="10" xfId="0" applyNumberFormat="1" applyFont="1" applyFill="1" applyBorder="1" applyAlignment="1">
      <alignment horizontal="center" vertical="center"/>
    </xf>
    <xf numFmtId="49" fontId="18" fillId="16" borderId="10" xfId="0" applyNumberFormat="1" applyFont="1" applyFill="1" applyBorder="1" applyAlignment="1">
      <alignment horizontal="center" vertical="center"/>
    </xf>
    <xf numFmtId="168" fontId="17" fillId="16" borderId="10" xfId="0" applyNumberFormat="1" applyFont="1" applyFill="1" applyBorder="1" applyAlignment="1">
      <alignment horizontal="center" vertical="center"/>
    </xf>
    <xf numFmtId="49" fontId="17" fillId="16" borderId="11" xfId="0" applyNumberFormat="1" applyFont="1" applyFill="1" applyBorder="1" applyAlignment="1">
      <alignment horizontal="center" vertical="center"/>
    </xf>
    <xf numFmtId="169" fontId="20" fillId="8" borderId="10" xfId="0" applyNumberFormat="1" applyFont="1" applyFill="1" applyBorder="1" applyAlignment="1">
      <alignment horizontal="center" vertical="center"/>
    </xf>
    <xf numFmtId="169" fontId="19" fillId="12" borderId="10" xfId="0" applyNumberFormat="1" applyFont="1" applyFill="1" applyBorder="1" applyAlignment="1">
      <alignment horizontal="center" vertical="center"/>
    </xf>
    <xf numFmtId="169" fontId="17" fillId="10" borderId="10" xfId="0" applyNumberFormat="1" applyFont="1" applyFill="1" applyBorder="1" applyAlignment="1">
      <alignment horizontal="center" vertical="center"/>
    </xf>
    <xf numFmtId="169" fontId="17" fillId="12" borderId="10" xfId="0" applyNumberFormat="1" applyFont="1" applyFill="1" applyBorder="1" applyAlignment="1">
      <alignment horizontal="center" vertical="center"/>
    </xf>
    <xf numFmtId="0" fontId="0" fillId="0" borderId="0" xfId="0" applyAlignment="1">
      <alignment horizontal="center" vertical="center"/>
    </xf>
    <xf numFmtId="0" fontId="22" fillId="17" borderId="21" xfId="0" applyFont="1" applyFill="1" applyBorder="1" applyAlignment="1">
      <alignment horizontal="center" vertical="center"/>
    </xf>
    <xf numFmtId="0" fontId="22" fillId="17" borderId="22" xfId="0" applyFont="1" applyFill="1" applyBorder="1" applyAlignment="1">
      <alignment horizontal="center" vertical="center"/>
    </xf>
    <xf numFmtId="0" fontId="22" fillId="17" borderId="23" xfId="0" applyFont="1" applyFill="1"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49" fontId="23" fillId="0" borderId="25" xfId="0" applyNumberFormat="1" applyFont="1" applyBorder="1" applyAlignment="1">
      <alignment horizontal="center" vertical="center"/>
    </xf>
    <xf numFmtId="1" fontId="23" fillId="0" borderId="25" xfId="0" applyNumberFormat="1" applyFont="1" applyBorder="1" applyAlignment="1">
      <alignment horizontal="center" vertical="center"/>
    </xf>
    <xf numFmtId="171" fontId="23" fillId="0" borderId="26" xfId="0" applyNumberFormat="1" applyFont="1" applyBorder="1" applyAlignment="1">
      <alignment horizontal="center" vertical="center"/>
    </xf>
    <xf numFmtId="0" fontId="24" fillId="0" borderId="24" xfId="0" applyFont="1" applyBorder="1" applyAlignment="1">
      <alignment horizontal="center" vertical="center"/>
    </xf>
    <xf numFmtId="0" fontId="24" fillId="0" borderId="25" xfId="0" applyFont="1" applyBorder="1" applyAlignment="1">
      <alignment horizontal="center" vertical="center"/>
    </xf>
    <xf numFmtId="49" fontId="24" fillId="0" borderId="25" xfId="0" applyNumberFormat="1" applyFont="1" applyBorder="1" applyAlignment="1">
      <alignment horizontal="center" vertical="center"/>
    </xf>
    <xf numFmtId="1" fontId="24" fillId="0" borderId="25" xfId="0" applyNumberFormat="1" applyFont="1" applyBorder="1" applyAlignment="1">
      <alignment horizontal="center" vertical="center"/>
    </xf>
    <xf numFmtId="171" fontId="24" fillId="0" borderId="26" xfId="0" applyNumberFormat="1" applyFont="1" applyBorder="1" applyAlignment="1">
      <alignment horizontal="center" vertical="center"/>
    </xf>
    <xf numFmtId="172" fontId="23" fillId="0" borderId="24" xfId="0" applyNumberFormat="1" applyFont="1" applyBorder="1" applyAlignment="1">
      <alignment horizontal="center" vertical="center"/>
    </xf>
    <xf numFmtId="173" fontId="23" fillId="0" borderId="25" xfId="0" applyNumberFormat="1" applyFont="1" applyBorder="1" applyAlignment="1">
      <alignment horizontal="center" vertical="center"/>
    </xf>
    <xf numFmtId="172" fontId="24" fillId="0" borderId="24" xfId="0" applyNumberFormat="1" applyFont="1" applyBorder="1" applyAlignment="1">
      <alignment horizontal="center" vertical="center"/>
    </xf>
    <xf numFmtId="173" fontId="24" fillId="0" borderId="25" xfId="0" applyNumberFormat="1" applyFont="1" applyBorder="1" applyAlignment="1">
      <alignment horizontal="center" vertical="center"/>
    </xf>
    <xf numFmtId="0" fontId="23" fillId="0" borderId="26" xfId="0" applyFont="1" applyBorder="1" applyAlignment="1">
      <alignment horizontal="center" vertical="center"/>
    </xf>
    <xf numFmtId="0" fontId="24" fillId="0" borderId="26" xfId="0" applyFont="1" applyBorder="1" applyAlignment="1">
      <alignment horizontal="center" vertical="center"/>
    </xf>
    <xf numFmtId="172" fontId="24" fillId="0" borderId="27" xfId="0" applyNumberFormat="1" applyFont="1" applyBorder="1" applyAlignment="1">
      <alignment horizontal="center" vertical="center"/>
    </xf>
    <xf numFmtId="0" fontId="24" fillId="0" borderId="28" xfId="0" applyFont="1" applyBorder="1" applyAlignment="1">
      <alignment horizontal="center" vertical="center"/>
    </xf>
    <xf numFmtId="49" fontId="24" fillId="0" borderId="28" xfId="0" applyNumberFormat="1" applyFont="1" applyBorder="1" applyAlignment="1">
      <alignment horizontal="center" vertical="center"/>
    </xf>
    <xf numFmtId="173" fontId="24" fillId="0" borderId="28" xfId="0" applyNumberFormat="1" applyFont="1" applyBorder="1" applyAlignment="1">
      <alignment horizontal="center" vertical="center"/>
    </xf>
    <xf numFmtId="0" fontId="24" fillId="0" borderId="29" xfId="0" applyFont="1" applyBorder="1" applyAlignment="1">
      <alignment horizontal="center" vertical="center"/>
    </xf>
    <xf numFmtId="172"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173"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 fontId="24" fillId="0" borderId="28" xfId="0" applyNumberFormat="1" applyFont="1" applyBorder="1" applyAlignment="1">
      <alignment horizontal="center" vertical="center"/>
    </xf>
    <xf numFmtId="171" fontId="24" fillId="0" borderId="29" xfId="0" applyNumberFormat="1" applyFont="1" applyBorder="1" applyAlignment="1">
      <alignment horizontal="center" vertical="center"/>
    </xf>
    <xf numFmtId="169" fontId="20" fillId="10" borderId="10" xfId="0" applyNumberFormat="1" applyFont="1" applyFill="1" applyBorder="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3" fillId="0" borderId="31" xfId="0" applyFont="1" applyBorder="1" applyAlignment="1">
      <alignment horizontal="center" vertical="center"/>
    </xf>
    <xf numFmtId="0" fontId="14" fillId="0" borderId="31" xfId="0" applyFont="1" applyBorder="1" applyAlignment="1">
      <alignment horizontal="center" vertical="center"/>
    </xf>
    <xf numFmtId="0" fontId="0" fillId="0" borderId="31" xfId="0" applyBorder="1" applyAlignment="1">
      <alignment horizontal="center" vertical="center"/>
    </xf>
    <xf numFmtId="169" fontId="20" fillId="11" borderId="10" xfId="0" applyNumberFormat="1" applyFont="1" applyFill="1" applyBorder="1" applyAlignment="1">
      <alignment horizontal="center" vertical="center"/>
    </xf>
    <xf numFmtId="0" fontId="15" fillId="16" borderId="2" xfId="0" applyFont="1" applyFill="1" applyBorder="1" applyAlignment="1">
      <alignment horizontal="center" vertical="center"/>
    </xf>
    <xf numFmtId="169" fontId="20" fillId="16" borderId="10" xfId="0" applyNumberFormat="1" applyFont="1" applyFill="1" applyBorder="1" applyAlignment="1">
      <alignment horizontal="center" vertical="center"/>
    </xf>
    <xf numFmtId="49" fontId="11" fillId="12" borderId="2" xfId="0" applyNumberFormat="1" applyFont="1" applyFill="1" applyBorder="1" applyAlignment="1">
      <alignment horizontal="center" vertical="center"/>
    </xf>
    <xf numFmtId="168" fontId="11" fillId="12" borderId="2" xfId="0" applyNumberFormat="1" applyFont="1" applyFill="1" applyBorder="1" applyAlignment="1">
      <alignment horizontal="center" vertical="center"/>
    </xf>
    <xf numFmtId="49" fontId="11" fillId="13" borderId="2" xfId="0" applyNumberFormat="1" applyFont="1" applyFill="1" applyBorder="1" applyAlignment="1">
      <alignment horizontal="center" vertical="center"/>
    </xf>
    <xf numFmtId="168" fontId="11" fillId="13" borderId="2" xfId="0" applyNumberFormat="1" applyFont="1" applyFill="1" applyBorder="1" applyAlignment="1">
      <alignment horizontal="center" vertical="center"/>
    </xf>
    <xf numFmtId="0" fontId="0" fillId="0" borderId="24" xfId="0" applyBorder="1"/>
    <xf numFmtId="0" fontId="0" fillId="0" borderId="25" xfId="0" applyBorder="1"/>
    <xf numFmtId="0" fontId="25" fillId="0" borderId="25" xfId="0" applyFont="1" applyBorder="1" applyAlignment="1">
      <alignment horizontal="center" vertical="center"/>
    </xf>
    <xf numFmtId="0" fontId="0" fillId="0" borderId="26" xfId="0" applyBorder="1"/>
    <xf numFmtId="171" fontId="23" fillId="0" borderId="29" xfId="0" applyNumberFormat="1" applyFont="1" applyBorder="1" applyAlignment="1">
      <alignment horizontal="center" vertical="center"/>
    </xf>
    <xf numFmtId="49" fontId="11" fillId="15" borderId="2" xfId="0" applyNumberFormat="1" applyFont="1" applyFill="1" applyBorder="1" applyAlignment="1">
      <alignment horizontal="center" vertical="center"/>
    </xf>
    <xf numFmtId="168" fontId="11" fillId="15" borderId="2" xfId="0" applyNumberFormat="1" applyFont="1" applyFill="1" applyBorder="1" applyAlignment="1">
      <alignment horizontal="center" vertical="center"/>
    </xf>
    <xf numFmtId="169" fontId="20" fillId="15" borderId="10" xfId="0" applyNumberFormat="1" applyFont="1" applyFill="1" applyBorder="1" applyAlignment="1">
      <alignment horizontal="center" vertical="center"/>
    </xf>
    <xf numFmtId="49" fontId="11" fillId="16" borderId="2" xfId="0" applyNumberFormat="1" applyFont="1" applyFill="1" applyBorder="1" applyAlignment="1">
      <alignment horizontal="center" vertical="center"/>
    </xf>
    <xf numFmtId="168" fontId="11" fillId="16" borderId="2" xfId="0" applyNumberFormat="1" applyFont="1" applyFill="1" applyBorder="1" applyAlignment="1">
      <alignment horizontal="center" vertical="center"/>
    </xf>
    <xf numFmtId="169" fontId="17" fillId="16" borderId="10" xfId="0" applyNumberFormat="1" applyFont="1" applyFill="1" applyBorder="1" applyAlignment="1">
      <alignment horizontal="center" vertical="center"/>
    </xf>
    <xf numFmtId="169" fontId="19" fillId="8" borderId="10" xfId="0" applyNumberFormat="1" applyFont="1" applyFill="1" applyBorder="1" applyAlignment="1">
      <alignment horizontal="center" vertical="center"/>
    </xf>
    <xf numFmtId="49" fontId="11" fillId="9" borderId="2" xfId="0" applyNumberFormat="1" applyFont="1" applyFill="1" applyBorder="1" applyAlignment="1">
      <alignment horizontal="center" vertical="center"/>
    </xf>
    <xf numFmtId="168" fontId="11" fillId="9" borderId="2"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xf>
    <xf numFmtId="0" fontId="0" fillId="0" borderId="16" xfId="0" applyBorder="1"/>
    <xf numFmtId="0" fontId="0" fillId="0" borderId="17" xfId="0" applyBorder="1"/>
    <xf numFmtId="165" fontId="2" fillId="2" borderId="0" xfId="0" applyNumberFormat="1" applyFont="1" applyFill="1" applyAlignment="1">
      <alignment horizontal="center" vertical="center"/>
    </xf>
    <xf numFmtId="0" fontId="0" fillId="0" borderId="0" xfId="0"/>
    <xf numFmtId="0" fontId="1" fillId="2" borderId="0" xfId="0" applyFont="1" applyFill="1" applyAlignment="1">
      <alignment horizontal="center" vertical="center"/>
    </xf>
    <xf numFmtId="0" fontId="8" fillId="4" borderId="2" xfId="0" applyFont="1" applyFill="1" applyBorder="1" applyAlignment="1">
      <alignment horizontal="center" vertical="center"/>
    </xf>
    <xf numFmtId="0" fontId="3" fillId="3" borderId="0" xfId="0" applyFont="1" applyFill="1" applyAlignment="1">
      <alignment horizontal="right" vertical="center"/>
    </xf>
    <xf numFmtId="0" fontId="5" fillId="0" borderId="0" xfId="0" applyFont="1" applyAlignment="1">
      <alignment horizontal="right" vertical="center" readingOrder="2"/>
    </xf>
    <xf numFmtId="0" fontId="12" fillId="0" borderId="18" xfId="0" applyFont="1" applyBorder="1"/>
    <xf numFmtId="0" fontId="0" fillId="0" borderId="19" xfId="0" applyBorder="1"/>
    <xf numFmtId="0" fontId="0" fillId="0" borderId="20" xfId="0" applyBorder="1"/>
    <xf numFmtId="49" fontId="8" fillId="4" borderId="2" xfId="0" applyNumberFormat="1" applyFont="1" applyFill="1" applyBorder="1" applyAlignment="1">
      <alignment horizontal="center" vertical="center"/>
    </xf>
    <xf numFmtId="167" fontId="3" fillId="3" borderId="0" xfId="0" applyNumberFormat="1" applyFont="1" applyFill="1" applyAlignment="1">
      <alignment horizontal="left" vertical="center"/>
    </xf>
    <xf numFmtId="0" fontId="6" fillId="4" borderId="2" xfId="0" applyFont="1" applyFill="1" applyBorder="1" applyAlignment="1">
      <alignment horizontal="center" vertical="center"/>
    </xf>
    <xf numFmtId="165" fontId="2" fillId="2"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0" fillId="0" borderId="18" xfId="0" applyBorder="1"/>
    <xf numFmtId="49" fontId="25" fillId="0" borderId="30" xfId="0" applyNumberFormat="1" applyFont="1" applyBorder="1" applyAlignment="1">
      <alignment horizontal="center" vertical="center"/>
    </xf>
    <xf numFmtId="0" fontId="0" fillId="0" borderId="32" xfId="0" applyBorder="1"/>
    <xf numFmtId="0" fontId="0" fillId="0" borderId="33" xfId="0" applyBorder="1"/>
    <xf numFmtId="0" fontId="30" fillId="0" borderId="0" xfId="0" applyFont="1" applyAlignment="1">
      <alignment horizontal="center" vertical="center"/>
    </xf>
    <xf numFmtId="0" fontId="30" fillId="0" borderId="0" xfId="0" applyFont="1"/>
    <xf numFmtId="170" fontId="30" fillId="0" borderId="0" xfId="0" applyNumberFormat="1" applyFont="1" applyAlignment="1">
      <alignment horizontal="center" vertical="center"/>
    </xf>
    <xf numFmtId="15" fontId="30" fillId="0" borderId="0" xfId="0" applyNumberFormat="1" applyFont="1" applyAlignment="1">
      <alignment horizontal="center" vertical="center"/>
    </xf>
    <xf numFmtId="49" fontId="30" fillId="0" borderId="0" xfId="0" applyNumberFormat="1" applyFont="1" applyAlignment="1">
      <alignment horizontal="center" vertical="center"/>
    </xf>
    <xf numFmtId="168" fontId="30" fillId="0" borderId="0" xfId="0" applyNumberFormat="1" applyFont="1" applyAlignment="1">
      <alignment horizontal="center" vertical="center"/>
    </xf>
    <xf numFmtId="169" fontId="30" fillId="0" borderId="0" xfId="0" applyNumberFormat="1" applyFont="1" applyAlignment="1">
      <alignment horizontal="center" vertical="center"/>
    </xf>
    <xf numFmtId="1" fontId="30" fillId="0" borderId="0" xfId="0" applyNumberFormat="1" applyFont="1" applyAlignment="1">
      <alignment horizontal="center" vertical="center"/>
    </xf>
    <xf numFmtId="16" fontId="30" fillId="0" borderId="0" xfId="0" applyNumberFormat="1" applyFont="1" applyAlignment="1">
      <alignment horizontal="center" vertical="center"/>
    </xf>
    <xf numFmtId="0" fontId="31" fillId="18" borderId="0" xfId="0" applyFont="1" applyFill="1" applyAlignment="1">
      <alignment horizontal="center" vertical="center"/>
    </xf>
    <xf numFmtId="15" fontId="31" fillId="18" borderId="0" xfId="0" applyNumberFormat="1" applyFont="1" applyFill="1" applyAlignment="1">
      <alignment horizontal="center" vertical="center"/>
    </xf>
    <xf numFmtId="169" fontId="31" fillId="18" borderId="0" xfId="0" applyNumberFormat="1" applyFont="1" applyFill="1" applyAlignment="1">
      <alignment horizontal="center" vertical="center"/>
    </xf>
    <xf numFmtId="1" fontId="31" fillId="18" borderId="0" xfId="0" applyNumberFormat="1" applyFont="1" applyFill="1" applyAlignment="1">
      <alignment horizontal="center" vertical="center"/>
    </xf>
    <xf numFmtId="0" fontId="31" fillId="18" borderId="0" xfId="0" applyNumberFormat="1" applyFont="1" applyFill="1" applyAlignment="1">
      <alignment horizontal="center" vertical="center"/>
    </xf>
    <xf numFmtId="0" fontId="21" fillId="14" borderId="34" xfId="0" applyFont="1" applyFill="1" applyBorder="1" applyAlignment="1">
      <alignment horizontal="center" vertical="center"/>
    </xf>
    <xf numFmtId="0" fontId="21" fillId="14" borderId="35" xfId="0" applyFont="1" applyFill="1" applyBorder="1" applyAlignment="1">
      <alignment horizontal="center" vertical="center"/>
    </xf>
    <xf numFmtId="0" fontId="21" fillId="14" borderId="36" xfId="0" applyFont="1" applyFill="1" applyBorder="1" applyAlignment="1">
      <alignment horizontal="center" vertical="center"/>
    </xf>
  </cellXfs>
  <cellStyles count="1">
    <cellStyle name="Normal" xfId="0" builtinId="0"/>
  </cellStyles>
  <dxfs count="225">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27" totalsRowCount="1" headerRowDxfId="224" dataDxfId="187" totalsRowDxfId="150">
  <tableColumns count="36">
    <tableColumn id="1" xr3:uid="{00000000-0010-0000-0000-000001000000}" name="Day" totalsRowLabel="TOTAL" dataDxfId="223" totalsRowDxfId="186"/>
    <tableColumn id="2" xr3:uid="{00000000-0010-0000-0000-000002000000}" name="Flt Dt" dataDxfId="222" totalsRowDxfId="185"/>
    <tableColumn id="3" xr3:uid="{00000000-0010-0000-0000-000003000000}" name="Flt" totalsRowFunction="count" dataDxfId="221" totalsRowDxfId="184"/>
    <tableColumn id="4" xr3:uid="{00000000-0010-0000-0000-000004000000}" name="DEP" dataDxfId="220" totalsRowDxfId="183"/>
    <tableColumn id="5" xr3:uid="{00000000-0010-0000-0000-000005000000}" name="Brd-Off" totalsRowFunction="count" dataDxfId="219" totalsRowDxfId="182"/>
    <tableColumn id="6" xr3:uid="{00000000-0010-0000-0000-000006000000}" name="Eqp" dataDxfId="218" totalsRowDxfId="181"/>
    <tableColumn id="7" xr3:uid="{00000000-0010-0000-0000-000007000000}" name="LF%" totalsRowFunction="average" dataDxfId="217" totalsRowDxfId="180"/>
    <tableColumn id="8" xr3:uid="{00000000-0010-0000-0000-000008000000}" name="CAP" totalsRowFunction="sum" dataDxfId="216" totalsRowDxfId="179"/>
    <tableColumn id="9" xr3:uid="{00000000-0010-0000-0000-000009000000}" name="BKG(Y)" totalsRowFunction="sum" dataDxfId="215" totalsRowDxfId="178"/>
    <tableColumn id="10" xr3:uid="{00000000-0010-0000-0000-00000A000000}" name="GRP(Y)" totalsRowFunction="sum" dataDxfId="214" totalsRowDxfId="177"/>
    <tableColumn id="11" xr3:uid="{00000000-0010-0000-0000-00000B000000}" name="FLT ST" dataDxfId="213" totalsRowDxfId="176"/>
    <tableColumn id="12" xr3:uid="{00000000-0010-0000-0000-00000C000000}" name="LST-SOLD" dataDxfId="212" totalsRowDxfId="175"/>
    <tableColumn id="13" xr3:uid="{00000000-0010-0000-0000-00000D000000}" name="TO-DAY" totalsRowFunction="sum" dataDxfId="211" totalsRowDxfId="174"/>
    <tableColumn id="14" xr3:uid="{00000000-0010-0000-0000-00000E000000}" name="Y-DAY" totalsRowFunction="sum" dataDxfId="210" totalsRowDxfId="173"/>
    <tableColumn id="15" xr3:uid="{00000000-0010-0000-0000-00000F000000}" name="WEEKLY" totalsRowFunction="sum" dataDxfId="209" totalsRowDxfId="172"/>
    <tableColumn id="16" xr3:uid="{00000000-0010-0000-0000-000010000000}" name="LOWEST AVAIL" dataDxfId="208" totalsRowDxfId="171"/>
    <tableColumn id="17" xr3:uid="{00000000-0010-0000-0000-000011000000}" name="Y" totalsRowFunction="sum" dataDxfId="207" totalsRowDxfId="170"/>
    <tableColumn id="18" xr3:uid="{00000000-0010-0000-0000-000012000000}" name="B" totalsRowFunction="sum" dataDxfId="206" totalsRowDxfId="169"/>
    <tableColumn id="19" xr3:uid="{00000000-0010-0000-0000-000013000000}" name="M" totalsRowFunction="sum" dataDxfId="205" totalsRowDxfId="168"/>
    <tableColumn id="20" xr3:uid="{00000000-0010-0000-0000-000014000000}" name="H" totalsRowFunction="sum" dataDxfId="204" totalsRowDxfId="167"/>
    <tableColumn id="21" xr3:uid="{00000000-0010-0000-0000-000015000000}" name="Q" totalsRowFunction="sum" dataDxfId="203" totalsRowDxfId="166"/>
    <tableColumn id="22" xr3:uid="{00000000-0010-0000-0000-000016000000}" name="K" totalsRowFunction="sum" dataDxfId="202" totalsRowDxfId="165"/>
    <tableColumn id="23" xr3:uid="{00000000-0010-0000-0000-000017000000}" name="V" totalsRowFunction="sum" dataDxfId="201" totalsRowDxfId="164"/>
    <tableColumn id="24" xr3:uid="{00000000-0010-0000-0000-000018000000}" name="L" totalsRowFunction="sum" dataDxfId="200" totalsRowDxfId="163"/>
    <tableColumn id="25" xr3:uid="{00000000-0010-0000-0000-000019000000}" name="G" totalsRowFunction="sum" dataDxfId="199" totalsRowDxfId="162"/>
    <tableColumn id="26" xr3:uid="{00000000-0010-0000-0000-00001A000000}" name="S" totalsRowFunction="sum" dataDxfId="198" totalsRowDxfId="161"/>
    <tableColumn id="27" xr3:uid="{00000000-0010-0000-0000-00001B000000}" name="W" totalsRowFunction="sum" dataDxfId="197" totalsRowDxfId="160"/>
    <tableColumn id="28" xr3:uid="{00000000-0010-0000-0000-00001C000000}" name="T" totalsRowFunction="sum" dataDxfId="196" totalsRowDxfId="159"/>
    <tableColumn id="29" xr3:uid="{00000000-0010-0000-0000-00001D000000}" name="X" totalsRowFunction="sum" dataDxfId="195" totalsRowDxfId="158"/>
    <tableColumn id="30" xr3:uid="{00000000-0010-0000-0000-00001E000000}" name="U" totalsRowFunction="sum" dataDxfId="194" totalsRowDxfId="157"/>
    <tableColumn id="31" xr3:uid="{00000000-0010-0000-0000-00001F000000}" name="O" totalsRowFunction="sum" dataDxfId="193" totalsRowDxfId="156"/>
    <tableColumn id="32" xr3:uid="{00000000-0010-0000-0000-000020000000}" name="I" totalsRowFunction="sum" dataDxfId="192" totalsRowDxfId="155"/>
    <tableColumn id="33" xr3:uid="{00000000-0010-0000-0000-000021000000}" name="E" totalsRowFunction="sum" dataDxfId="191" totalsRowDxfId="154"/>
    <tableColumn id="34" xr3:uid="{00000000-0010-0000-0000-000022000000}" name="A" totalsRowFunction="sum" dataDxfId="190" totalsRowDxfId="153"/>
    <tableColumn id="35" xr3:uid="{00000000-0010-0000-0000-000023000000}" name="P" totalsRowFunction="sum" dataDxfId="189" totalsRowDxfId="152"/>
    <tableColumn id="36" xr3:uid="{00000000-0010-0000-0000-000024000000}" name="N" totalsRowFunction="count" dataDxfId="188" totalsRowDxfId="1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362" totalsRowShown="0">
  <autoFilter ref="A1:H362"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40" totalsRowShown="0">
  <autoFilter ref="A1:H40"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JED_HBE_LF_LEGACY" displayName="JED_HBE_LF_LEGACY" ref="A1:AJ10" totalsRowCount="1" headerRowDxfId="149" dataDxfId="112" totalsRowDxfId="75">
  <tableColumns count="36">
    <tableColumn id="1" xr3:uid="{00000000-0010-0000-0300-000001000000}" name="Day" totalsRowLabel="TOTAL" dataDxfId="148" totalsRowDxfId="111"/>
    <tableColumn id="2" xr3:uid="{00000000-0010-0000-0300-000002000000}" name="Flt Dt" dataDxfId="147" totalsRowDxfId="110"/>
    <tableColumn id="3" xr3:uid="{00000000-0010-0000-0300-000003000000}" name="Flt" totalsRowFunction="count" dataDxfId="146" totalsRowDxfId="109"/>
    <tableColumn id="4" xr3:uid="{00000000-0010-0000-0300-000004000000}" name="DEP" dataDxfId="145" totalsRowDxfId="108"/>
    <tableColumn id="5" xr3:uid="{00000000-0010-0000-0300-000005000000}" name="Brd-Off" totalsRowFunction="count" dataDxfId="144" totalsRowDxfId="107"/>
    <tableColumn id="6" xr3:uid="{00000000-0010-0000-0300-000006000000}" name="Eqp" dataDxfId="143" totalsRowDxfId="106"/>
    <tableColumn id="7" xr3:uid="{00000000-0010-0000-0300-000007000000}" name="LF%" totalsRowFunction="average" dataDxfId="142" totalsRowDxfId="105"/>
    <tableColumn id="8" xr3:uid="{00000000-0010-0000-0300-000008000000}" name="CAP" totalsRowFunction="sum" dataDxfId="141" totalsRowDxfId="104"/>
    <tableColumn id="9" xr3:uid="{00000000-0010-0000-0300-000009000000}" name="BKG(Y)" totalsRowFunction="sum" dataDxfId="140" totalsRowDxfId="103"/>
    <tableColumn id="10" xr3:uid="{00000000-0010-0000-0300-00000A000000}" name="GRP(Y)" totalsRowFunction="sum" dataDxfId="139" totalsRowDxfId="102"/>
    <tableColumn id="11" xr3:uid="{00000000-0010-0000-0300-00000B000000}" name="FLT ST" dataDxfId="138" totalsRowDxfId="101"/>
    <tableColumn id="12" xr3:uid="{00000000-0010-0000-0300-00000C000000}" name="LST-SOLD" dataDxfId="137" totalsRowDxfId="100"/>
    <tableColumn id="13" xr3:uid="{00000000-0010-0000-0300-00000D000000}" name="TO-DAY" totalsRowFunction="sum" dataDxfId="136" totalsRowDxfId="99"/>
    <tableColumn id="14" xr3:uid="{00000000-0010-0000-0300-00000E000000}" name="Y-DAY" totalsRowFunction="sum" dataDxfId="135" totalsRowDxfId="98"/>
    <tableColumn id="15" xr3:uid="{00000000-0010-0000-0300-00000F000000}" name="WEEKLY" totalsRowFunction="sum" dataDxfId="134" totalsRowDxfId="97"/>
    <tableColumn id="16" xr3:uid="{00000000-0010-0000-0300-000010000000}" name="LOWEST AVAIL" dataDxfId="133" totalsRowDxfId="96"/>
    <tableColumn id="17" xr3:uid="{00000000-0010-0000-0300-000011000000}" name="Y" totalsRowFunction="sum" dataDxfId="132" totalsRowDxfId="95"/>
    <tableColumn id="18" xr3:uid="{00000000-0010-0000-0300-000012000000}" name="B" totalsRowFunction="sum" dataDxfId="131" totalsRowDxfId="94"/>
    <tableColumn id="19" xr3:uid="{00000000-0010-0000-0300-000013000000}" name="M" totalsRowFunction="sum" dataDxfId="130" totalsRowDxfId="93"/>
    <tableColumn id="20" xr3:uid="{00000000-0010-0000-0300-000014000000}" name="H" totalsRowFunction="sum" dataDxfId="129" totalsRowDxfId="92"/>
    <tableColumn id="21" xr3:uid="{00000000-0010-0000-0300-000015000000}" name="Q" totalsRowFunction="sum" dataDxfId="128" totalsRowDxfId="91"/>
    <tableColumn id="22" xr3:uid="{00000000-0010-0000-0300-000016000000}" name="K" totalsRowFunction="sum" dataDxfId="127" totalsRowDxfId="90"/>
    <tableColumn id="23" xr3:uid="{00000000-0010-0000-0300-000017000000}" name="V" totalsRowFunction="sum" dataDxfId="126" totalsRowDxfId="89"/>
    <tableColumn id="24" xr3:uid="{00000000-0010-0000-0300-000018000000}" name="L" totalsRowFunction="sum" dataDxfId="125" totalsRowDxfId="88"/>
    <tableColumn id="25" xr3:uid="{00000000-0010-0000-0300-000019000000}" name="G" totalsRowFunction="sum" dataDxfId="124" totalsRowDxfId="87"/>
    <tableColumn id="26" xr3:uid="{00000000-0010-0000-0300-00001A000000}" name="S" totalsRowFunction="sum" dataDxfId="123" totalsRowDxfId="86"/>
    <tableColumn id="27" xr3:uid="{00000000-0010-0000-0300-00001B000000}" name="W" totalsRowFunction="sum" dataDxfId="122" totalsRowDxfId="85"/>
    <tableColumn id="28" xr3:uid="{00000000-0010-0000-0300-00001C000000}" name="T" totalsRowFunction="sum" dataDxfId="121" totalsRowDxfId="84"/>
    <tableColumn id="29" xr3:uid="{00000000-0010-0000-0300-00001D000000}" name="X" totalsRowFunction="sum" dataDxfId="120" totalsRowDxfId="83"/>
    <tableColumn id="30" xr3:uid="{00000000-0010-0000-0300-00001E000000}" name="U" totalsRowFunction="sum" dataDxfId="119" totalsRowDxfId="82"/>
    <tableColumn id="31" xr3:uid="{00000000-0010-0000-0300-00001F000000}" name="O" totalsRowFunction="sum" dataDxfId="118" totalsRowDxfId="81"/>
    <tableColumn id="32" xr3:uid="{00000000-0010-0000-0300-000020000000}" name="I" totalsRowFunction="sum" dataDxfId="117" totalsRowDxfId="80"/>
    <tableColumn id="33" xr3:uid="{00000000-0010-0000-0300-000021000000}" name="E" totalsRowFunction="sum" dataDxfId="116" totalsRowDxfId="79"/>
    <tableColumn id="34" xr3:uid="{00000000-0010-0000-0300-000022000000}" name="A" totalsRowFunction="sum" dataDxfId="115" totalsRowDxfId="78"/>
    <tableColumn id="35" xr3:uid="{00000000-0010-0000-0300-000023000000}" name="P" totalsRowFunction="sum" dataDxfId="114" totalsRowDxfId="77"/>
    <tableColumn id="36" xr3:uid="{00000000-0010-0000-0300-000024000000}" name="N" totalsRowFunction="count" dataDxfId="113" totalsRowDxfId="7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111" totalsRowShown="0">
  <autoFilter ref="A1:H111"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hreatsAlert_JED_HBE" displayName="ThreatsAlert_JED_HBE" ref="A1:H67" totalsRowShown="0">
  <autoFilter ref="A1:H67"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JED_ATZ_LF_LEGACY" displayName="JED_ATZ_LF_LEGACY" ref="A1:AJ12" totalsRowCount="1" headerRowDxfId="74" dataDxfId="37" totalsRowDxfId="0">
  <tableColumns count="36">
    <tableColumn id="1" xr3:uid="{00000000-0010-0000-0600-000001000000}" name="Day" totalsRowLabel="TOTAL" dataDxfId="73" totalsRowDxfId="36"/>
    <tableColumn id="2" xr3:uid="{00000000-0010-0000-0600-000002000000}" name="Flt Dt" dataDxfId="72" totalsRowDxfId="35"/>
    <tableColumn id="3" xr3:uid="{00000000-0010-0000-0600-000003000000}" name="Flt" totalsRowFunction="count" dataDxfId="71" totalsRowDxfId="34"/>
    <tableColumn id="4" xr3:uid="{00000000-0010-0000-0600-000004000000}" name="DEP" dataDxfId="70" totalsRowDxfId="33"/>
    <tableColumn id="5" xr3:uid="{00000000-0010-0000-0600-000005000000}" name="Brd-Off" totalsRowFunction="count" dataDxfId="69" totalsRowDxfId="32"/>
    <tableColumn id="6" xr3:uid="{00000000-0010-0000-0600-000006000000}" name="Eqp" dataDxfId="68" totalsRowDxfId="31"/>
    <tableColumn id="7" xr3:uid="{00000000-0010-0000-0600-000007000000}" name="LF%" totalsRowFunction="average" dataDxfId="67" totalsRowDxfId="30"/>
    <tableColumn id="8" xr3:uid="{00000000-0010-0000-0600-000008000000}" name="CAP" totalsRowFunction="sum" dataDxfId="66" totalsRowDxfId="29"/>
    <tableColumn id="9" xr3:uid="{00000000-0010-0000-0600-000009000000}" name="BKG(Y)" totalsRowFunction="sum" dataDxfId="65" totalsRowDxfId="28"/>
    <tableColumn id="10" xr3:uid="{00000000-0010-0000-0600-00000A000000}" name="GRP(Y)" totalsRowFunction="sum" dataDxfId="64" totalsRowDxfId="27"/>
    <tableColumn id="11" xr3:uid="{00000000-0010-0000-0600-00000B000000}" name="FLT ST" dataDxfId="63" totalsRowDxfId="26"/>
    <tableColumn id="12" xr3:uid="{00000000-0010-0000-0600-00000C000000}" name="LST-SOLD" dataDxfId="62" totalsRowDxfId="25"/>
    <tableColumn id="13" xr3:uid="{00000000-0010-0000-0600-00000D000000}" name="TO-DAY" totalsRowFunction="sum" dataDxfId="61" totalsRowDxfId="24"/>
    <tableColumn id="14" xr3:uid="{00000000-0010-0000-0600-00000E000000}" name="Y-DAY" totalsRowFunction="sum" dataDxfId="60" totalsRowDxfId="23"/>
    <tableColumn id="15" xr3:uid="{00000000-0010-0000-0600-00000F000000}" name="WEEKLY" totalsRowFunction="sum" dataDxfId="59" totalsRowDxfId="22"/>
    <tableColumn id="16" xr3:uid="{00000000-0010-0000-0600-000010000000}" name="LOWEST AVAIL" dataDxfId="58" totalsRowDxfId="21"/>
    <tableColumn id="17" xr3:uid="{00000000-0010-0000-0600-000011000000}" name="Y" totalsRowFunction="sum" dataDxfId="57" totalsRowDxfId="20"/>
    <tableColumn id="18" xr3:uid="{00000000-0010-0000-0600-000012000000}" name="B" totalsRowFunction="sum" dataDxfId="56" totalsRowDxfId="19"/>
    <tableColumn id="19" xr3:uid="{00000000-0010-0000-0600-000013000000}" name="M" totalsRowFunction="sum" dataDxfId="55" totalsRowDxfId="18"/>
    <tableColumn id="20" xr3:uid="{00000000-0010-0000-0600-000014000000}" name="H" totalsRowFunction="sum" dataDxfId="54" totalsRowDxfId="17"/>
    <tableColumn id="21" xr3:uid="{00000000-0010-0000-0600-000015000000}" name="Q" totalsRowFunction="sum" dataDxfId="53" totalsRowDxfId="16"/>
    <tableColumn id="22" xr3:uid="{00000000-0010-0000-0600-000016000000}" name="K" totalsRowFunction="sum" dataDxfId="52" totalsRowDxfId="15"/>
    <tableColumn id="23" xr3:uid="{00000000-0010-0000-0600-000017000000}" name="V" totalsRowFunction="sum" dataDxfId="51" totalsRowDxfId="14"/>
    <tableColumn id="24" xr3:uid="{00000000-0010-0000-0600-000018000000}" name="L" totalsRowFunction="sum" dataDxfId="50" totalsRowDxfId="13"/>
    <tableColumn id="25" xr3:uid="{00000000-0010-0000-0600-000019000000}" name="G" totalsRowFunction="sum" dataDxfId="49" totalsRowDxfId="12"/>
    <tableColumn id="26" xr3:uid="{00000000-0010-0000-0600-00001A000000}" name="S" totalsRowFunction="sum" dataDxfId="48" totalsRowDxfId="11"/>
    <tableColumn id="27" xr3:uid="{00000000-0010-0000-0600-00001B000000}" name="W" totalsRowFunction="sum" dataDxfId="47" totalsRowDxfId="10"/>
    <tableColumn id="28" xr3:uid="{00000000-0010-0000-0600-00001C000000}" name="T" totalsRowFunction="sum" dataDxfId="46" totalsRowDxfId="9"/>
    <tableColumn id="29" xr3:uid="{00000000-0010-0000-0600-00001D000000}" name="X" totalsRowFunction="sum" dataDxfId="45" totalsRowDxfId="8"/>
    <tableColumn id="30" xr3:uid="{00000000-0010-0000-0600-00001E000000}" name="U" totalsRowFunction="sum" dataDxfId="44" totalsRowDxfId="7"/>
    <tableColumn id="31" xr3:uid="{00000000-0010-0000-0600-00001F000000}" name="O" totalsRowFunction="sum" dataDxfId="43" totalsRowDxfId="6"/>
    <tableColumn id="32" xr3:uid="{00000000-0010-0000-0600-000020000000}" name="I" totalsRowFunction="sum" dataDxfId="42" totalsRowDxfId="5"/>
    <tableColumn id="33" xr3:uid="{00000000-0010-0000-0600-000021000000}" name="E" totalsRowFunction="sum" dataDxfId="41" totalsRowDxfId="4"/>
    <tableColumn id="34" xr3:uid="{00000000-0010-0000-0600-000022000000}" name="A" totalsRowFunction="sum" dataDxfId="40" totalsRowDxfId="3"/>
    <tableColumn id="35" xr3:uid="{00000000-0010-0000-0600-000023000000}" name="P" totalsRowFunction="sum" dataDxfId="39" totalsRowDxfId="2"/>
    <tableColumn id="36" xr3:uid="{00000000-0010-0000-0600-000024000000}" name="N" totalsRowFunction="count" dataDxfId="38" totalsRowDxfId="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JED_ATZ" displayName="FocusMode_JED_ATZ" ref="A1:H73" totalsRowShown="0">
  <autoFilter ref="A1:H73"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hreatsAlert_JED_ATZ" displayName="ThreatsAlert_JED_ATZ" ref="A1:H67" totalsRowShown="0">
  <autoFilter ref="A1:H67"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6.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8.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9.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378"/>
  <sheetViews>
    <sheetView tabSelected="1" workbookViewId="0">
      <selection sqref="A1:E1"/>
    </sheetView>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8.3320312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4" bestFit="1" customWidth="1"/>
  </cols>
  <sheetData>
    <row r="1" spans="1:92" ht="28.8" customHeight="1" x14ac:dyDescent="0.3">
      <c r="A1" s="191" t="s">
        <v>0</v>
      </c>
      <c r="B1" s="190"/>
      <c r="C1" s="190"/>
      <c r="D1" s="190"/>
      <c r="E1" s="190"/>
      <c r="F1" s="1" t="s">
        <v>1</v>
      </c>
      <c r="G1" s="2" t="s">
        <v>2</v>
      </c>
      <c r="H1" s="189">
        <v>45986</v>
      </c>
      <c r="I1" s="190"/>
      <c r="J1" s="190"/>
      <c r="K1" s="190"/>
      <c r="L1" s="190"/>
      <c r="M1" s="1" t="s">
        <v>3</v>
      </c>
      <c r="N1" s="201">
        <v>45990</v>
      </c>
      <c r="O1" s="190"/>
      <c r="P1" s="190"/>
      <c r="Q1" s="190"/>
      <c r="R1" s="190"/>
      <c r="CA1" s="3"/>
      <c r="CB1" s="3"/>
      <c r="CC1" s="3"/>
      <c r="CD1" s="3"/>
      <c r="CE1" s="3"/>
      <c r="CF1" s="3"/>
      <c r="CG1" s="3"/>
      <c r="CH1" s="3"/>
      <c r="CI1" s="3"/>
      <c r="CJ1" s="3"/>
      <c r="CK1" s="3"/>
      <c r="CL1" s="3"/>
      <c r="CM1" s="3"/>
      <c r="CN1" s="3"/>
    </row>
    <row r="2" spans="1:92" ht="23.4" customHeight="1" x14ac:dyDescent="0.3">
      <c r="A2" s="193" t="s">
        <v>4</v>
      </c>
      <c r="B2" s="190"/>
      <c r="C2" s="190"/>
      <c r="D2" s="190"/>
      <c r="E2" s="190"/>
      <c r="F2" s="190"/>
      <c r="G2" s="199">
        <v>45981.049570858682</v>
      </c>
      <c r="H2" s="190"/>
      <c r="I2" s="190"/>
      <c r="J2" s="190"/>
      <c r="K2" s="202">
        <v>45981.04957085965</v>
      </c>
      <c r="L2" s="190"/>
      <c r="M2" s="190"/>
      <c r="N2" s="190"/>
      <c r="O2" s="190"/>
      <c r="P2" s="190"/>
      <c r="Q2" s="190"/>
      <c r="R2" s="190"/>
      <c r="CA2" s="3"/>
      <c r="CB2" s="3"/>
      <c r="CC2" s="3"/>
      <c r="CD2" s="3"/>
      <c r="CE2" s="3"/>
      <c r="CF2" s="3"/>
      <c r="CG2" s="3"/>
      <c r="CH2" s="3"/>
      <c r="CI2" s="3"/>
      <c r="CJ2" s="3"/>
      <c r="CK2" s="3"/>
      <c r="CL2" s="3"/>
      <c r="CM2" s="3"/>
      <c r="CN2" s="3"/>
    </row>
    <row r="3" spans="1:92" ht="24" customHeight="1" x14ac:dyDescent="0.3">
      <c r="A3" s="194" t="s">
        <v>5</v>
      </c>
      <c r="B3" s="190"/>
      <c r="C3" s="190"/>
      <c r="D3" s="190"/>
      <c r="E3" s="190"/>
      <c r="F3" s="190"/>
      <c r="G3" s="190"/>
      <c r="H3" s="190"/>
      <c r="I3" s="190"/>
      <c r="J3" s="190"/>
      <c r="K3" s="190"/>
      <c r="L3" s="190"/>
      <c r="M3" s="190"/>
      <c r="N3" s="190"/>
      <c r="O3" s="190"/>
      <c r="P3" s="190"/>
      <c r="Q3" s="190"/>
      <c r="R3" s="190"/>
      <c r="CA3" s="3"/>
      <c r="CB3" s="3"/>
      <c r="CC3" s="3"/>
      <c r="CD3" s="3"/>
      <c r="CE3" s="3"/>
      <c r="CF3" s="3"/>
      <c r="CG3" s="3"/>
      <c r="CH3" s="3"/>
      <c r="CI3" s="3"/>
      <c r="CJ3" s="3"/>
      <c r="CK3" s="3"/>
      <c r="CL3" s="3"/>
      <c r="CM3" s="3"/>
      <c r="CN3" s="3"/>
    </row>
    <row r="4" spans="1:92" ht="22.05" customHeight="1" x14ac:dyDescent="0.3">
      <c r="A4" s="200" t="s">
        <v>6</v>
      </c>
      <c r="B4" s="187"/>
      <c r="C4" s="187"/>
      <c r="D4" s="187"/>
      <c r="E4" s="187"/>
      <c r="F4" s="188"/>
      <c r="G4" s="4">
        <v>45986</v>
      </c>
      <c r="H4" s="192" t="s">
        <v>7</v>
      </c>
      <c r="I4" s="187"/>
      <c r="J4" s="187"/>
      <c r="K4" s="187"/>
      <c r="L4" s="187"/>
      <c r="M4" s="187"/>
      <c r="N4" s="187"/>
      <c r="O4" s="187"/>
      <c r="P4" s="187"/>
      <c r="Q4" s="187"/>
      <c r="R4" s="188"/>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4.5138888888888888E-2</v>
      </c>
      <c r="D6" s="8" t="s">
        <v>28</v>
      </c>
      <c r="E6" s="8" t="s">
        <v>29</v>
      </c>
      <c r="F6" s="8" t="s">
        <v>30</v>
      </c>
      <c r="G6" s="195"/>
      <c r="H6" s="10"/>
      <c r="I6" s="11"/>
      <c r="J6" s="11"/>
      <c r="K6" s="11"/>
      <c r="L6" s="11"/>
      <c r="M6" s="11"/>
      <c r="N6" s="11"/>
      <c r="O6" s="12"/>
      <c r="P6" s="11"/>
      <c r="Q6" s="13"/>
      <c r="R6" s="14"/>
    </row>
    <row r="7" spans="1:92" ht="15" customHeight="1" x14ac:dyDescent="0.3">
      <c r="A7" s="15" t="s">
        <v>26</v>
      </c>
      <c r="B7" s="15" t="s">
        <v>31</v>
      </c>
      <c r="C7" s="16">
        <v>0.66666666666666663</v>
      </c>
      <c r="D7" s="15" t="s">
        <v>28</v>
      </c>
      <c r="E7" s="15" t="s">
        <v>32</v>
      </c>
      <c r="F7" s="15" t="s">
        <v>33</v>
      </c>
      <c r="G7" s="196"/>
      <c r="H7" s="10"/>
      <c r="I7" s="11"/>
      <c r="J7" s="11"/>
      <c r="K7" s="11"/>
      <c r="L7" s="11"/>
      <c r="M7" s="11"/>
      <c r="N7" s="11"/>
      <c r="O7" s="12"/>
      <c r="P7" s="11"/>
      <c r="Q7" s="13"/>
      <c r="R7" s="14"/>
    </row>
    <row r="8" spans="1:92" ht="15" customHeight="1" x14ac:dyDescent="0.3">
      <c r="A8" s="15" t="s">
        <v>26</v>
      </c>
      <c r="B8" s="15" t="s">
        <v>34</v>
      </c>
      <c r="C8" s="16">
        <v>0.36458333333333331</v>
      </c>
      <c r="D8" s="15" t="s">
        <v>28</v>
      </c>
      <c r="E8" s="15" t="s">
        <v>32</v>
      </c>
      <c r="F8" s="15" t="s">
        <v>33</v>
      </c>
      <c r="G8" s="196"/>
      <c r="H8" s="10"/>
      <c r="I8" s="11"/>
      <c r="J8" s="11"/>
      <c r="K8" s="11"/>
      <c r="L8" s="11"/>
      <c r="M8" s="11"/>
      <c r="N8" s="11"/>
      <c r="O8" s="12"/>
      <c r="P8" s="11"/>
      <c r="Q8" s="13"/>
      <c r="R8" s="14"/>
    </row>
    <row r="9" spans="1:92" ht="15" customHeight="1" x14ac:dyDescent="0.3">
      <c r="A9" s="17" t="s">
        <v>35</v>
      </c>
      <c r="B9" s="17" t="s">
        <v>36</v>
      </c>
      <c r="C9" s="18">
        <v>0.30208333333333331</v>
      </c>
      <c r="D9" s="17" t="s">
        <v>37</v>
      </c>
      <c r="E9" s="17" t="s">
        <v>38</v>
      </c>
      <c r="F9" s="17" t="s">
        <v>39</v>
      </c>
      <c r="G9" s="196"/>
      <c r="H9" s="10"/>
      <c r="I9" s="11"/>
      <c r="J9" s="11"/>
      <c r="K9" s="11"/>
      <c r="L9" s="11"/>
      <c r="M9" s="11"/>
      <c r="N9" s="11"/>
      <c r="O9" s="12"/>
      <c r="P9" s="11"/>
      <c r="Q9" s="13"/>
      <c r="R9" s="14"/>
    </row>
    <row r="10" spans="1:92" ht="15" customHeight="1" x14ac:dyDescent="0.3">
      <c r="A10" s="19" t="s">
        <v>35</v>
      </c>
      <c r="B10" s="19" t="s">
        <v>36</v>
      </c>
      <c r="C10" s="20">
        <v>0.30208333333333331</v>
      </c>
      <c r="D10" s="19" t="s">
        <v>40</v>
      </c>
      <c r="E10" s="19" t="s">
        <v>41</v>
      </c>
      <c r="F10" s="19" t="s">
        <v>42</v>
      </c>
      <c r="G10" s="196"/>
      <c r="H10" s="10"/>
      <c r="I10" s="11"/>
      <c r="J10" s="11"/>
      <c r="K10" s="11"/>
      <c r="L10" s="11"/>
      <c r="M10" s="11"/>
      <c r="N10" s="11"/>
      <c r="O10" s="12"/>
      <c r="P10" s="11"/>
      <c r="Q10" s="13"/>
      <c r="R10" s="14"/>
    </row>
    <row r="11" spans="1:92" ht="15" customHeight="1" x14ac:dyDescent="0.3">
      <c r="A11" s="19" t="s">
        <v>35</v>
      </c>
      <c r="B11" s="19" t="s">
        <v>36</v>
      </c>
      <c r="C11" s="20">
        <v>0.30208333333333331</v>
      </c>
      <c r="D11" s="19" t="s">
        <v>43</v>
      </c>
      <c r="E11" s="19" t="s">
        <v>41</v>
      </c>
      <c r="F11" s="19" t="s">
        <v>44</v>
      </c>
      <c r="G11" s="196"/>
      <c r="H11" s="10"/>
      <c r="I11" s="11"/>
      <c r="J11" s="11"/>
      <c r="K11" s="11"/>
      <c r="L11" s="11"/>
      <c r="M11" s="11"/>
      <c r="N11" s="11"/>
      <c r="O11" s="12"/>
      <c r="P11" s="11"/>
      <c r="Q11" s="13"/>
      <c r="R11" s="14"/>
    </row>
    <row r="12" spans="1:92" ht="15" customHeight="1" x14ac:dyDescent="0.3">
      <c r="A12" s="15" t="s">
        <v>35</v>
      </c>
      <c r="B12" s="15" t="s">
        <v>45</v>
      </c>
      <c r="C12" s="16">
        <v>0.12847222222222221</v>
      </c>
      <c r="D12" s="15" t="s">
        <v>37</v>
      </c>
      <c r="E12" s="15" t="s">
        <v>32</v>
      </c>
      <c r="F12" s="15" t="s">
        <v>39</v>
      </c>
      <c r="G12" s="196"/>
      <c r="H12" s="10"/>
      <c r="I12" s="11"/>
      <c r="J12" s="11"/>
      <c r="K12" s="11"/>
      <c r="L12" s="11"/>
      <c r="M12" s="11"/>
      <c r="N12" s="11"/>
      <c r="O12" s="12"/>
      <c r="P12" s="11"/>
      <c r="Q12" s="13"/>
      <c r="R12" s="14"/>
    </row>
    <row r="13" spans="1:92" ht="15" customHeight="1" x14ac:dyDescent="0.3">
      <c r="A13" s="19" t="s">
        <v>35</v>
      </c>
      <c r="B13" s="19" t="s">
        <v>45</v>
      </c>
      <c r="C13" s="20">
        <v>0.12847222222222221</v>
      </c>
      <c r="D13" s="19" t="s">
        <v>40</v>
      </c>
      <c r="E13" s="19" t="s">
        <v>46</v>
      </c>
      <c r="F13" s="19" t="s">
        <v>42</v>
      </c>
      <c r="G13" s="196"/>
      <c r="H13" s="10"/>
      <c r="I13" s="11"/>
      <c r="J13" s="11"/>
      <c r="K13" s="11"/>
      <c r="L13" s="11"/>
      <c r="M13" s="11"/>
      <c r="N13" s="11"/>
      <c r="O13" s="12"/>
      <c r="P13" s="11"/>
      <c r="Q13" s="13"/>
      <c r="R13" s="14"/>
    </row>
    <row r="14" spans="1:92" ht="15" customHeight="1" x14ac:dyDescent="0.3">
      <c r="A14" s="19" t="s">
        <v>35</v>
      </c>
      <c r="B14" s="19" t="s">
        <v>45</v>
      </c>
      <c r="C14" s="20">
        <v>0.12847222222222221</v>
      </c>
      <c r="D14" s="19" t="s">
        <v>43</v>
      </c>
      <c r="E14" s="19" t="s">
        <v>46</v>
      </c>
      <c r="F14" s="19" t="s">
        <v>44</v>
      </c>
      <c r="G14" s="196"/>
      <c r="H14" s="10"/>
      <c r="I14" s="11"/>
      <c r="J14" s="11"/>
      <c r="K14" s="11"/>
      <c r="L14" s="11"/>
      <c r="M14" s="11"/>
      <c r="N14" s="11"/>
      <c r="O14" s="12"/>
      <c r="P14" s="11"/>
      <c r="Q14" s="13"/>
      <c r="R14" s="14"/>
    </row>
    <row r="15" spans="1:92" ht="15" customHeight="1" x14ac:dyDescent="0.3">
      <c r="A15" s="15" t="s">
        <v>35</v>
      </c>
      <c r="B15" s="15" t="s">
        <v>47</v>
      </c>
      <c r="C15" s="16">
        <v>0.78819444444444453</v>
      </c>
      <c r="D15" s="15" t="s">
        <v>37</v>
      </c>
      <c r="E15" s="15" t="s">
        <v>48</v>
      </c>
      <c r="F15" s="15" t="s">
        <v>39</v>
      </c>
      <c r="G15" s="196"/>
      <c r="H15" s="10"/>
      <c r="I15" s="11"/>
      <c r="J15" s="11"/>
      <c r="K15" s="11"/>
      <c r="L15" s="11"/>
      <c r="M15" s="11"/>
      <c r="N15" s="11"/>
      <c r="O15" s="12"/>
      <c r="P15" s="11"/>
      <c r="Q15" s="13"/>
      <c r="R15" s="14"/>
    </row>
    <row r="16" spans="1:92" ht="15" customHeight="1" x14ac:dyDescent="0.3">
      <c r="A16" s="19" t="s">
        <v>35</v>
      </c>
      <c r="B16" s="19" t="s">
        <v>47</v>
      </c>
      <c r="C16" s="20">
        <v>0.78819444444444453</v>
      </c>
      <c r="D16" s="19" t="s">
        <v>40</v>
      </c>
      <c r="E16" s="19" t="s">
        <v>49</v>
      </c>
      <c r="F16" s="19" t="s">
        <v>42</v>
      </c>
      <c r="G16" s="196"/>
      <c r="H16" s="10"/>
      <c r="I16" s="11"/>
      <c r="J16" s="11"/>
      <c r="K16" s="11"/>
      <c r="L16" s="11"/>
      <c r="M16" s="11"/>
      <c r="N16" s="11"/>
      <c r="O16" s="12"/>
      <c r="P16" s="11"/>
      <c r="Q16" s="13"/>
      <c r="R16" s="14"/>
    </row>
    <row r="17" spans="1:18" ht="15" customHeight="1" x14ac:dyDescent="0.3">
      <c r="A17" s="19" t="s">
        <v>35</v>
      </c>
      <c r="B17" s="19" t="s">
        <v>47</v>
      </c>
      <c r="C17" s="20">
        <v>0.78819444444444453</v>
      </c>
      <c r="D17" s="19" t="s">
        <v>43</v>
      </c>
      <c r="E17" s="19" t="s">
        <v>49</v>
      </c>
      <c r="F17" s="19" t="s">
        <v>44</v>
      </c>
      <c r="G17" s="196"/>
      <c r="H17" s="10"/>
      <c r="I17" s="11"/>
      <c r="J17" s="11"/>
      <c r="K17" s="11"/>
      <c r="L17" s="11"/>
      <c r="M17" s="11"/>
      <c r="N17" s="11"/>
      <c r="O17" s="12"/>
      <c r="P17" s="11"/>
      <c r="Q17" s="13"/>
      <c r="R17" s="14"/>
    </row>
    <row r="18" spans="1:18" ht="15" customHeight="1" x14ac:dyDescent="0.3">
      <c r="A18" s="15" t="s">
        <v>35</v>
      </c>
      <c r="B18" s="15" t="s">
        <v>50</v>
      </c>
      <c r="C18" s="16">
        <v>0.88888888888888884</v>
      </c>
      <c r="D18" s="15" t="s">
        <v>37</v>
      </c>
      <c r="E18" s="15" t="s">
        <v>32</v>
      </c>
      <c r="F18" s="15" t="s">
        <v>39</v>
      </c>
      <c r="G18" s="196"/>
      <c r="H18" s="10"/>
      <c r="I18" s="11"/>
      <c r="J18" s="11"/>
      <c r="K18" s="11"/>
      <c r="L18" s="11"/>
      <c r="M18" s="11"/>
      <c r="N18" s="11"/>
      <c r="O18" s="12"/>
      <c r="P18" s="11"/>
      <c r="Q18" s="13"/>
      <c r="R18" s="14"/>
    </row>
    <row r="19" spans="1:18" ht="15" customHeight="1" x14ac:dyDescent="0.3">
      <c r="A19" s="19" t="s">
        <v>35</v>
      </c>
      <c r="B19" s="19" t="s">
        <v>50</v>
      </c>
      <c r="C19" s="20">
        <v>0.88888888888888884</v>
      </c>
      <c r="D19" s="19" t="s">
        <v>40</v>
      </c>
      <c r="E19" s="19" t="s">
        <v>46</v>
      </c>
      <c r="F19" s="19" t="s">
        <v>42</v>
      </c>
      <c r="G19" s="196"/>
      <c r="H19" s="10"/>
      <c r="I19" s="11"/>
      <c r="J19" s="11"/>
      <c r="K19" s="11"/>
      <c r="L19" s="11"/>
      <c r="M19" s="11"/>
      <c r="N19" s="11"/>
      <c r="O19" s="12"/>
      <c r="P19" s="11"/>
      <c r="Q19" s="13"/>
      <c r="R19" s="14"/>
    </row>
    <row r="20" spans="1:18" ht="15" customHeight="1" x14ac:dyDescent="0.3">
      <c r="A20" s="19" t="s">
        <v>35</v>
      </c>
      <c r="B20" s="19" t="s">
        <v>50</v>
      </c>
      <c r="C20" s="20">
        <v>0.88888888888888884</v>
      </c>
      <c r="D20" s="19" t="s">
        <v>43</v>
      </c>
      <c r="E20" s="19" t="s">
        <v>46</v>
      </c>
      <c r="F20" s="19" t="s">
        <v>44</v>
      </c>
      <c r="G20" s="196"/>
      <c r="H20" s="10"/>
      <c r="I20" s="11"/>
      <c r="J20" s="11"/>
      <c r="K20" s="11"/>
      <c r="L20" s="11"/>
      <c r="M20" s="11"/>
      <c r="N20" s="11"/>
      <c r="O20" s="12"/>
      <c r="P20" s="11"/>
      <c r="Q20" s="13"/>
      <c r="R20" s="14"/>
    </row>
    <row r="21" spans="1:18" ht="15" customHeight="1" x14ac:dyDescent="0.3">
      <c r="A21" s="17" t="s">
        <v>51</v>
      </c>
      <c r="B21" s="17" t="s">
        <v>52</v>
      </c>
      <c r="C21" s="18">
        <v>0.90277777777777779</v>
      </c>
      <c r="D21" s="17" t="s">
        <v>53</v>
      </c>
      <c r="E21" s="17" t="s">
        <v>54</v>
      </c>
      <c r="F21" s="17" t="s">
        <v>55</v>
      </c>
      <c r="G21" s="196"/>
      <c r="H21" s="10"/>
      <c r="I21" s="11"/>
      <c r="J21" s="11"/>
      <c r="K21" s="11"/>
      <c r="L21" s="11"/>
      <c r="M21" s="11"/>
      <c r="N21" s="11"/>
      <c r="O21" s="12"/>
      <c r="P21" s="11"/>
      <c r="Q21" s="13"/>
      <c r="R21" s="14"/>
    </row>
    <row r="22" spans="1:18" ht="15" customHeight="1" x14ac:dyDescent="0.3">
      <c r="A22" s="19" t="s">
        <v>51</v>
      </c>
      <c r="B22" s="19" t="s">
        <v>52</v>
      </c>
      <c r="C22" s="20">
        <v>0.90277777777777779</v>
      </c>
      <c r="D22" s="19" t="s">
        <v>56</v>
      </c>
      <c r="E22" s="19" t="s">
        <v>57</v>
      </c>
      <c r="F22" s="19" t="s">
        <v>58</v>
      </c>
      <c r="G22" s="196"/>
      <c r="H22" s="10"/>
      <c r="I22" s="11"/>
      <c r="J22" s="11"/>
      <c r="K22" s="11"/>
      <c r="L22" s="11"/>
      <c r="M22" s="11"/>
      <c r="N22" s="11"/>
      <c r="O22" s="12"/>
      <c r="P22" s="11"/>
      <c r="Q22" s="13"/>
      <c r="R22" s="14"/>
    </row>
    <row r="23" spans="1:18" ht="15" customHeight="1" x14ac:dyDescent="0.3">
      <c r="A23" s="19" t="s">
        <v>51</v>
      </c>
      <c r="B23" s="19" t="s">
        <v>52</v>
      </c>
      <c r="C23" s="20">
        <v>0.90277777777777779</v>
      </c>
      <c r="D23" s="19" t="s">
        <v>59</v>
      </c>
      <c r="E23" s="19" t="s">
        <v>57</v>
      </c>
      <c r="F23" s="19" t="s">
        <v>60</v>
      </c>
      <c r="G23" s="196"/>
      <c r="H23" s="10"/>
      <c r="I23" s="11"/>
      <c r="J23" s="11"/>
      <c r="K23" s="11"/>
      <c r="L23" s="11"/>
      <c r="M23" s="11"/>
      <c r="N23" s="11"/>
      <c r="O23" s="12"/>
      <c r="P23" s="11"/>
      <c r="Q23" s="13"/>
      <c r="R23" s="14"/>
    </row>
    <row r="24" spans="1:18" ht="15" customHeight="1" x14ac:dyDescent="0.3">
      <c r="A24" s="15" t="s">
        <v>51</v>
      </c>
      <c r="B24" s="15" t="s">
        <v>61</v>
      </c>
      <c r="C24" s="16">
        <v>0.64583333333333337</v>
      </c>
      <c r="D24" s="15" t="s">
        <v>53</v>
      </c>
      <c r="E24" s="15" t="s">
        <v>62</v>
      </c>
      <c r="F24" s="15" t="s">
        <v>55</v>
      </c>
      <c r="G24" s="196"/>
      <c r="H24" s="10"/>
      <c r="I24" s="11"/>
      <c r="J24" s="11"/>
      <c r="K24" s="11"/>
      <c r="L24" s="11"/>
      <c r="M24" s="11"/>
      <c r="N24" s="11"/>
      <c r="O24" s="12"/>
      <c r="P24" s="11"/>
      <c r="Q24" s="13"/>
      <c r="R24" s="14"/>
    </row>
    <row r="25" spans="1:18" ht="15" customHeight="1" x14ac:dyDescent="0.3">
      <c r="A25" s="19" t="s">
        <v>51</v>
      </c>
      <c r="B25" s="19" t="s">
        <v>61</v>
      </c>
      <c r="C25" s="20">
        <v>0.64583333333333337</v>
      </c>
      <c r="D25" s="19" t="s">
        <v>56</v>
      </c>
      <c r="E25" s="19" t="s">
        <v>63</v>
      </c>
      <c r="F25" s="19" t="s">
        <v>58</v>
      </c>
      <c r="G25" s="196"/>
      <c r="H25" s="10"/>
      <c r="I25" s="11"/>
      <c r="J25" s="11"/>
      <c r="K25" s="11"/>
      <c r="L25" s="11"/>
      <c r="M25" s="11"/>
      <c r="N25" s="11"/>
      <c r="O25" s="12"/>
      <c r="P25" s="11"/>
      <c r="Q25" s="13"/>
      <c r="R25" s="14"/>
    </row>
    <row r="26" spans="1:18" ht="15" customHeight="1" x14ac:dyDescent="0.3">
      <c r="A26" s="19" t="s">
        <v>51</v>
      </c>
      <c r="B26" s="19" t="s">
        <v>61</v>
      </c>
      <c r="C26" s="20">
        <v>0.64583333333333337</v>
      </c>
      <c r="D26" s="19" t="s">
        <v>59</v>
      </c>
      <c r="E26" s="19" t="s">
        <v>63</v>
      </c>
      <c r="F26" s="19" t="s">
        <v>60</v>
      </c>
      <c r="G26" s="196"/>
      <c r="H26" s="10"/>
      <c r="I26" s="11"/>
      <c r="J26" s="11"/>
      <c r="K26" s="11"/>
      <c r="L26" s="11"/>
      <c r="M26" s="11"/>
      <c r="N26" s="11"/>
      <c r="O26" s="12"/>
      <c r="P26" s="11"/>
      <c r="Q26" s="13"/>
      <c r="R26" s="14"/>
    </row>
    <row r="27" spans="1:18" ht="15" customHeight="1" x14ac:dyDescent="0.3">
      <c r="A27" s="15" t="s">
        <v>51</v>
      </c>
      <c r="B27" s="15" t="s">
        <v>64</v>
      </c>
      <c r="C27" s="16">
        <v>0.51736111111111105</v>
      </c>
      <c r="D27" s="15" t="s">
        <v>53</v>
      </c>
      <c r="E27" s="15" t="s">
        <v>65</v>
      </c>
      <c r="F27" s="15" t="s">
        <v>55</v>
      </c>
      <c r="G27" s="196"/>
      <c r="H27" s="10"/>
      <c r="I27" s="11"/>
      <c r="J27" s="11"/>
      <c r="K27" s="11"/>
      <c r="L27" s="11"/>
      <c r="M27" s="11"/>
      <c r="N27" s="11"/>
      <c r="O27" s="12"/>
      <c r="P27" s="11"/>
      <c r="Q27" s="13"/>
      <c r="R27" s="14"/>
    </row>
    <row r="28" spans="1:18" ht="15" customHeight="1" x14ac:dyDescent="0.3">
      <c r="A28" s="19" t="s">
        <v>51</v>
      </c>
      <c r="B28" s="19" t="s">
        <v>64</v>
      </c>
      <c r="C28" s="20">
        <v>0.51736111111111105</v>
      </c>
      <c r="D28" s="19" t="s">
        <v>56</v>
      </c>
      <c r="E28" s="19" t="s">
        <v>41</v>
      </c>
      <c r="F28" s="19" t="s">
        <v>58</v>
      </c>
      <c r="G28" s="196"/>
      <c r="H28" s="10"/>
      <c r="I28" s="11"/>
      <c r="J28" s="11"/>
      <c r="K28" s="11"/>
      <c r="L28" s="11"/>
      <c r="M28" s="11"/>
      <c r="N28" s="11"/>
      <c r="O28" s="12"/>
      <c r="P28" s="11"/>
      <c r="Q28" s="13"/>
      <c r="R28" s="14"/>
    </row>
    <row r="29" spans="1:18" ht="15" customHeight="1" x14ac:dyDescent="0.3">
      <c r="A29" s="19" t="s">
        <v>51</v>
      </c>
      <c r="B29" s="19" t="s">
        <v>64</v>
      </c>
      <c r="C29" s="20">
        <v>0.51736111111111105</v>
      </c>
      <c r="D29" s="19" t="s">
        <v>59</v>
      </c>
      <c r="E29" s="19" t="s">
        <v>41</v>
      </c>
      <c r="F29" s="19" t="s">
        <v>60</v>
      </c>
      <c r="G29" s="196"/>
      <c r="H29" s="10"/>
      <c r="I29" s="11"/>
      <c r="J29" s="11"/>
      <c r="K29" s="11"/>
      <c r="L29" s="11"/>
      <c r="M29" s="11"/>
      <c r="N29" s="11"/>
      <c r="O29" s="12"/>
      <c r="P29" s="11"/>
      <c r="Q29" s="13"/>
      <c r="R29" s="14"/>
    </row>
    <row r="30" spans="1:18" ht="15" customHeight="1" x14ac:dyDescent="0.3">
      <c r="A30" s="15" t="s">
        <v>51</v>
      </c>
      <c r="B30" s="15" t="s">
        <v>66</v>
      </c>
      <c r="C30" s="16">
        <v>0.85416666666666663</v>
      </c>
      <c r="D30" s="15" t="s">
        <v>53</v>
      </c>
      <c r="E30" s="15" t="s">
        <v>67</v>
      </c>
      <c r="F30" s="15" t="s">
        <v>55</v>
      </c>
      <c r="G30" s="196"/>
      <c r="H30" s="10"/>
      <c r="I30" s="11"/>
      <c r="J30" s="11"/>
      <c r="K30" s="11"/>
      <c r="L30" s="11"/>
      <c r="M30" s="11"/>
      <c r="N30" s="11"/>
      <c r="O30" s="12"/>
      <c r="P30" s="11"/>
      <c r="Q30" s="13"/>
      <c r="R30" s="14"/>
    </row>
    <row r="31" spans="1:18" ht="15" customHeight="1" x14ac:dyDescent="0.3">
      <c r="A31" s="19" t="s">
        <v>51</v>
      </c>
      <c r="B31" s="19" t="s">
        <v>66</v>
      </c>
      <c r="C31" s="20">
        <v>0.85416666666666663</v>
      </c>
      <c r="D31" s="19" t="s">
        <v>56</v>
      </c>
      <c r="E31" s="19" t="s">
        <v>68</v>
      </c>
      <c r="F31" s="19" t="s">
        <v>58</v>
      </c>
      <c r="G31" s="196"/>
      <c r="H31" s="10"/>
      <c r="I31" s="11"/>
      <c r="J31" s="11"/>
      <c r="K31" s="11"/>
      <c r="L31" s="11"/>
      <c r="M31" s="11"/>
      <c r="N31" s="11"/>
      <c r="O31" s="12"/>
      <c r="P31" s="11"/>
      <c r="Q31" s="13"/>
      <c r="R31" s="14"/>
    </row>
    <row r="32" spans="1:18" ht="15" customHeight="1" x14ac:dyDescent="0.3">
      <c r="A32" s="19" t="s">
        <v>51</v>
      </c>
      <c r="B32" s="19" t="s">
        <v>66</v>
      </c>
      <c r="C32" s="20">
        <v>0.85416666666666663</v>
      </c>
      <c r="D32" s="19" t="s">
        <v>59</v>
      </c>
      <c r="E32" s="19" t="s">
        <v>68</v>
      </c>
      <c r="F32" s="19" t="s">
        <v>60</v>
      </c>
      <c r="G32" s="196"/>
      <c r="H32" s="10"/>
      <c r="I32" s="11"/>
      <c r="J32" s="11"/>
      <c r="K32" s="11"/>
      <c r="L32" s="11"/>
      <c r="M32" s="11"/>
      <c r="N32" s="11"/>
      <c r="O32" s="12"/>
      <c r="P32" s="11"/>
      <c r="Q32" s="13"/>
      <c r="R32" s="14"/>
    </row>
    <row r="33" spans="1:18" ht="15" customHeight="1" x14ac:dyDescent="0.3">
      <c r="A33" s="15" t="s">
        <v>51</v>
      </c>
      <c r="B33" s="15" t="s">
        <v>69</v>
      </c>
      <c r="C33" s="16">
        <v>0.30208333333333331</v>
      </c>
      <c r="D33" s="15" t="s">
        <v>53</v>
      </c>
      <c r="E33" s="15" t="s">
        <v>65</v>
      </c>
      <c r="F33" s="15" t="s">
        <v>55</v>
      </c>
      <c r="G33" s="196"/>
      <c r="H33" s="10"/>
      <c r="I33" s="11"/>
      <c r="J33" s="11"/>
      <c r="K33" s="11"/>
      <c r="L33" s="11"/>
      <c r="M33" s="11"/>
      <c r="N33" s="11"/>
      <c r="O33" s="12"/>
      <c r="P33" s="11"/>
      <c r="Q33" s="13"/>
      <c r="R33" s="14"/>
    </row>
    <row r="34" spans="1:18" ht="15" customHeight="1" x14ac:dyDescent="0.3">
      <c r="A34" s="19" t="s">
        <v>51</v>
      </c>
      <c r="B34" s="19" t="s">
        <v>69</v>
      </c>
      <c r="C34" s="20">
        <v>0.30208333333333331</v>
      </c>
      <c r="D34" s="19" t="s">
        <v>56</v>
      </c>
      <c r="E34" s="19" t="s">
        <v>41</v>
      </c>
      <c r="F34" s="19" t="s">
        <v>58</v>
      </c>
      <c r="G34" s="196"/>
      <c r="H34" s="10"/>
      <c r="I34" s="11"/>
      <c r="J34" s="11"/>
      <c r="K34" s="11"/>
      <c r="L34" s="11"/>
      <c r="M34" s="11"/>
      <c r="N34" s="11"/>
      <c r="O34" s="12"/>
      <c r="P34" s="11"/>
      <c r="Q34" s="13"/>
      <c r="R34" s="14"/>
    </row>
    <row r="35" spans="1:18" ht="15" customHeight="1" x14ac:dyDescent="0.3">
      <c r="A35" s="19" t="s">
        <v>51</v>
      </c>
      <c r="B35" s="19" t="s">
        <v>69</v>
      </c>
      <c r="C35" s="20">
        <v>0.30208333333333331</v>
      </c>
      <c r="D35" s="19" t="s">
        <v>59</v>
      </c>
      <c r="E35" s="19" t="s">
        <v>41</v>
      </c>
      <c r="F35" s="19" t="s">
        <v>60</v>
      </c>
      <c r="G35" s="196"/>
      <c r="H35" s="10"/>
      <c r="I35" s="11"/>
      <c r="J35" s="11"/>
      <c r="K35" s="11"/>
      <c r="L35" s="11"/>
      <c r="M35" s="11"/>
      <c r="N35" s="11"/>
      <c r="O35" s="12"/>
      <c r="P35" s="11"/>
      <c r="Q35" s="13"/>
      <c r="R35" s="14"/>
    </row>
    <row r="36" spans="1:18" ht="15" customHeight="1" x14ac:dyDescent="0.3">
      <c r="A36" s="15" t="s">
        <v>51</v>
      </c>
      <c r="B36" s="15" t="s">
        <v>70</v>
      </c>
      <c r="C36" s="16">
        <v>0.79861111111111116</v>
      </c>
      <c r="D36" s="15" t="s">
        <v>53</v>
      </c>
      <c r="E36" s="15" t="s">
        <v>67</v>
      </c>
      <c r="F36" s="15" t="s">
        <v>55</v>
      </c>
      <c r="G36" s="196"/>
      <c r="H36" s="10"/>
      <c r="I36" s="11"/>
      <c r="J36" s="11"/>
      <c r="K36" s="11"/>
      <c r="L36" s="11"/>
      <c r="M36" s="11"/>
      <c r="N36" s="11"/>
      <c r="O36" s="12"/>
      <c r="P36" s="11"/>
      <c r="Q36" s="13"/>
      <c r="R36" s="14"/>
    </row>
    <row r="37" spans="1:18" ht="15" customHeight="1" x14ac:dyDescent="0.3">
      <c r="A37" s="19" t="s">
        <v>51</v>
      </c>
      <c r="B37" s="19" t="s">
        <v>70</v>
      </c>
      <c r="C37" s="20">
        <v>0.79861111111111116</v>
      </c>
      <c r="D37" s="19" t="s">
        <v>56</v>
      </c>
      <c r="E37" s="19" t="s">
        <v>68</v>
      </c>
      <c r="F37" s="19" t="s">
        <v>58</v>
      </c>
      <c r="G37" s="196"/>
      <c r="H37" s="10"/>
      <c r="I37" s="11"/>
      <c r="J37" s="11"/>
      <c r="K37" s="11"/>
      <c r="L37" s="11"/>
      <c r="M37" s="11"/>
      <c r="N37" s="11"/>
      <c r="O37" s="12"/>
      <c r="P37" s="11"/>
      <c r="Q37" s="13"/>
      <c r="R37" s="14"/>
    </row>
    <row r="38" spans="1:18" ht="15" customHeight="1" x14ac:dyDescent="0.3">
      <c r="A38" s="19" t="s">
        <v>51</v>
      </c>
      <c r="B38" s="19" t="s">
        <v>70</v>
      </c>
      <c r="C38" s="20">
        <v>0.79861111111111116</v>
      </c>
      <c r="D38" s="19" t="s">
        <v>59</v>
      </c>
      <c r="E38" s="19" t="s">
        <v>68</v>
      </c>
      <c r="F38" s="19" t="s">
        <v>60</v>
      </c>
      <c r="G38" s="196"/>
      <c r="H38" s="10"/>
      <c r="I38" s="11"/>
      <c r="J38" s="11"/>
      <c r="K38" s="11"/>
      <c r="L38" s="11"/>
      <c r="M38" s="11"/>
      <c r="N38" s="11"/>
      <c r="O38" s="12"/>
      <c r="P38" s="11"/>
      <c r="Q38" s="13"/>
      <c r="R38" s="14"/>
    </row>
    <row r="39" spans="1:18" ht="15" customHeight="1" x14ac:dyDescent="0.3">
      <c r="A39" s="15" t="s">
        <v>51</v>
      </c>
      <c r="B39" s="15" t="s">
        <v>71</v>
      </c>
      <c r="C39" s="16">
        <v>0.25694444444444448</v>
      </c>
      <c r="D39" s="15" t="s">
        <v>53</v>
      </c>
      <c r="E39" s="15" t="s">
        <v>48</v>
      </c>
      <c r="F39" s="15" t="s">
        <v>72</v>
      </c>
      <c r="G39" s="196"/>
      <c r="H39" s="10"/>
      <c r="I39" s="11"/>
      <c r="J39" s="11"/>
      <c r="K39" s="11"/>
      <c r="L39" s="11"/>
      <c r="M39" s="11"/>
      <c r="N39" s="11"/>
      <c r="O39" s="12"/>
      <c r="P39" s="11"/>
      <c r="Q39" s="13"/>
      <c r="R39" s="14"/>
    </row>
    <row r="40" spans="1:18" ht="15" customHeight="1" x14ac:dyDescent="0.3">
      <c r="A40" s="19" t="s">
        <v>51</v>
      </c>
      <c r="B40" s="19" t="s">
        <v>71</v>
      </c>
      <c r="C40" s="20">
        <v>0.25694444444444448</v>
      </c>
      <c r="D40" s="19" t="s">
        <v>56</v>
      </c>
      <c r="E40" s="19" t="s">
        <v>49</v>
      </c>
      <c r="F40" s="19" t="s">
        <v>73</v>
      </c>
      <c r="G40" s="196"/>
      <c r="H40" s="10"/>
      <c r="I40" s="11"/>
      <c r="J40" s="11"/>
      <c r="K40" s="11"/>
      <c r="L40" s="11"/>
      <c r="M40" s="11"/>
      <c r="N40" s="11"/>
      <c r="O40" s="12"/>
      <c r="P40" s="11"/>
      <c r="Q40" s="13"/>
      <c r="R40" s="14"/>
    </row>
    <row r="41" spans="1:18" ht="15" customHeight="1" x14ac:dyDescent="0.3">
      <c r="A41" s="19" t="s">
        <v>51</v>
      </c>
      <c r="B41" s="19" t="s">
        <v>71</v>
      </c>
      <c r="C41" s="20">
        <v>0.25694444444444448</v>
      </c>
      <c r="D41" s="19" t="s">
        <v>59</v>
      </c>
      <c r="E41" s="19" t="s">
        <v>49</v>
      </c>
      <c r="F41" s="19" t="s">
        <v>74</v>
      </c>
      <c r="G41" s="196"/>
      <c r="H41" s="10"/>
      <c r="I41" s="11"/>
      <c r="J41" s="11"/>
      <c r="K41" s="11"/>
      <c r="L41" s="11"/>
      <c r="M41" s="11"/>
      <c r="N41" s="11"/>
      <c r="O41" s="12"/>
      <c r="P41" s="11"/>
      <c r="Q41" s="13"/>
      <c r="R41" s="14"/>
    </row>
    <row r="42" spans="1:18" ht="15" customHeight="1" x14ac:dyDescent="0.3">
      <c r="A42" s="15" t="s">
        <v>51</v>
      </c>
      <c r="B42" s="15" t="s">
        <v>75</v>
      </c>
      <c r="C42" s="16">
        <v>0.39583333333333331</v>
      </c>
      <c r="D42" s="15" t="s">
        <v>53</v>
      </c>
      <c r="E42" s="15" t="s">
        <v>65</v>
      </c>
      <c r="F42" s="15" t="s">
        <v>72</v>
      </c>
      <c r="G42" s="196"/>
      <c r="H42" s="10"/>
      <c r="I42" s="11"/>
      <c r="J42" s="11"/>
      <c r="K42" s="11"/>
      <c r="L42" s="11"/>
      <c r="M42" s="11"/>
      <c r="N42" s="11"/>
      <c r="O42" s="12"/>
      <c r="P42" s="11"/>
      <c r="Q42" s="13"/>
      <c r="R42" s="14"/>
    </row>
    <row r="43" spans="1:18" ht="15" customHeight="1" x14ac:dyDescent="0.3">
      <c r="A43" s="19" t="s">
        <v>51</v>
      </c>
      <c r="B43" s="19" t="s">
        <v>75</v>
      </c>
      <c r="C43" s="20">
        <v>0.39583333333333331</v>
      </c>
      <c r="D43" s="19" t="s">
        <v>56</v>
      </c>
      <c r="E43" s="19" t="s">
        <v>41</v>
      </c>
      <c r="F43" s="19" t="s">
        <v>73</v>
      </c>
      <c r="G43" s="196"/>
      <c r="H43" s="10"/>
      <c r="I43" s="11"/>
      <c r="J43" s="11"/>
      <c r="K43" s="11"/>
      <c r="L43" s="11"/>
      <c r="M43" s="11"/>
      <c r="N43" s="11"/>
      <c r="O43" s="12"/>
      <c r="P43" s="11"/>
      <c r="Q43" s="13"/>
      <c r="R43" s="14"/>
    </row>
    <row r="44" spans="1:18" ht="15" customHeight="1" x14ac:dyDescent="0.3">
      <c r="A44" s="19" t="s">
        <v>51</v>
      </c>
      <c r="B44" s="19" t="s">
        <v>75</v>
      </c>
      <c r="C44" s="20">
        <v>0.39583333333333331</v>
      </c>
      <c r="D44" s="19" t="s">
        <v>59</v>
      </c>
      <c r="E44" s="19" t="s">
        <v>41</v>
      </c>
      <c r="F44" s="19" t="s">
        <v>74</v>
      </c>
      <c r="G44" s="196"/>
      <c r="H44" s="10"/>
      <c r="I44" s="11"/>
      <c r="J44" s="11"/>
      <c r="K44" s="11"/>
      <c r="L44" s="11"/>
      <c r="M44" s="11"/>
      <c r="N44" s="11"/>
      <c r="O44" s="12"/>
      <c r="P44" s="11"/>
      <c r="Q44" s="13"/>
      <c r="R44" s="14"/>
    </row>
    <row r="45" spans="1:18" ht="15" customHeight="1" x14ac:dyDescent="0.3">
      <c r="A45" s="21" t="s">
        <v>76</v>
      </c>
      <c r="B45" s="21" t="s">
        <v>77</v>
      </c>
      <c r="C45" s="22">
        <v>0.96875</v>
      </c>
      <c r="D45" s="21" t="s">
        <v>78</v>
      </c>
      <c r="E45" s="21" t="s">
        <v>38</v>
      </c>
      <c r="F45" s="21" t="s">
        <v>79</v>
      </c>
      <c r="G45" s="196"/>
      <c r="H45" s="23" t="s">
        <v>80</v>
      </c>
      <c r="I45" s="24">
        <v>0.55310000000000004</v>
      </c>
      <c r="J45" s="25">
        <v>99</v>
      </c>
      <c r="K45" s="26">
        <v>45980</v>
      </c>
      <c r="L45" s="25">
        <v>30</v>
      </c>
      <c r="M45" s="25">
        <v>0</v>
      </c>
      <c r="N45" s="25">
        <v>6</v>
      </c>
      <c r="O45" s="27" t="s">
        <v>81</v>
      </c>
      <c r="P45" s="28">
        <v>0.96875</v>
      </c>
      <c r="Q45" s="25">
        <v>179</v>
      </c>
      <c r="R45" s="29" t="s">
        <v>82</v>
      </c>
    </row>
    <row r="46" spans="1:18" ht="15" customHeight="1" x14ac:dyDescent="0.3">
      <c r="A46" s="30" t="s">
        <v>76</v>
      </c>
      <c r="B46" s="30" t="s">
        <v>83</v>
      </c>
      <c r="C46" s="31">
        <v>0.93402777777777779</v>
      </c>
      <c r="D46" s="30" t="s">
        <v>78</v>
      </c>
      <c r="E46" s="30" t="s">
        <v>84</v>
      </c>
      <c r="F46" s="30" t="s">
        <v>85</v>
      </c>
      <c r="G46" s="196"/>
      <c r="H46" s="32" t="s">
        <v>86</v>
      </c>
      <c r="I46" s="33">
        <v>0.68159999999999998</v>
      </c>
      <c r="J46" s="34">
        <v>122</v>
      </c>
      <c r="K46" s="35">
        <v>45980</v>
      </c>
      <c r="L46" s="34">
        <v>24</v>
      </c>
      <c r="M46" s="34">
        <v>0</v>
      </c>
      <c r="N46" s="34">
        <v>2</v>
      </c>
      <c r="O46" s="36" t="s">
        <v>87</v>
      </c>
      <c r="P46" s="37">
        <v>0.93402777777777779</v>
      </c>
      <c r="Q46" s="34">
        <v>179</v>
      </c>
      <c r="R46" s="38" t="s">
        <v>88</v>
      </c>
    </row>
    <row r="47" spans="1:18" ht="15" customHeight="1" x14ac:dyDescent="0.3">
      <c r="A47" s="39" t="s">
        <v>76</v>
      </c>
      <c r="B47" s="39" t="s">
        <v>89</v>
      </c>
      <c r="C47" s="40">
        <v>0.22916666666666671</v>
      </c>
      <c r="D47" s="39" t="s">
        <v>78</v>
      </c>
      <c r="E47" s="39" t="s">
        <v>32</v>
      </c>
      <c r="F47" s="39" t="s">
        <v>85</v>
      </c>
      <c r="G47" s="196"/>
      <c r="H47" s="41" t="s">
        <v>90</v>
      </c>
      <c r="I47" s="42">
        <v>0.34079999999999999</v>
      </c>
      <c r="J47" s="43">
        <v>61</v>
      </c>
      <c r="K47" s="44">
        <v>45980</v>
      </c>
      <c r="L47" s="43">
        <v>44</v>
      </c>
      <c r="M47" s="43">
        <v>0</v>
      </c>
      <c r="N47" s="43">
        <v>7</v>
      </c>
      <c r="O47" s="45" t="s">
        <v>91</v>
      </c>
      <c r="P47" s="46">
        <v>0.22916666666666671</v>
      </c>
      <c r="Q47" s="43">
        <v>179</v>
      </c>
      <c r="R47" s="47" t="s">
        <v>92</v>
      </c>
    </row>
    <row r="48" spans="1:18" ht="15" customHeight="1" x14ac:dyDescent="0.3">
      <c r="A48" s="48" t="s">
        <v>76</v>
      </c>
      <c r="B48" s="48" t="s">
        <v>93</v>
      </c>
      <c r="C48" s="49">
        <v>0.61458333333333337</v>
      </c>
      <c r="D48" s="48" t="s">
        <v>78</v>
      </c>
      <c r="E48" s="48" t="s">
        <v>94</v>
      </c>
      <c r="F48" s="48" t="s">
        <v>85</v>
      </c>
      <c r="G48" s="196"/>
      <c r="H48" s="50" t="s">
        <v>95</v>
      </c>
      <c r="I48" s="51">
        <v>0.75980000000000003</v>
      </c>
      <c r="J48" s="52">
        <v>136</v>
      </c>
      <c r="K48" s="53">
        <v>45980</v>
      </c>
      <c r="L48" s="52">
        <v>25</v>
      </c>
      <c r="M48" s="52">
        <v>0</v>
      </c>
      <c r="N48" s="52">
        <v>3</v>
      </c>
      <c r="O48" s="54" t="s">
        <v>96</v>
      </c>
      <c r="P48" s="55">
        <v>0.61458333333333337</v>
      </c>
      <c r="Q48" s="52">
        <v>179</v>
      </c>
      <c r="R48" s="56" t="s">
        <v>97</v>
      </c>
    </row>
    <row r="49" spans="1:18" ht="15" customHeight="1" x14ac:dyDescent="0.3">
      <c r="A49" s="57" t="s">
        <v>76</v>
      </c>
      <c r="B49" s="57" t="s">
        <v>98</v>
      </c>
      <c r="C49" s="58">
        <v>0.55902777777777779</v>
      </c>
      <c r="D49" s="57" t="s">
        <v>99</v>
      </c>
      <c r="E49" s="59"/>
      <c r="F49" s="57" t="s">
        <v>100</v>
      </c>
      <c r="G49" s="196"/>
      <c r="H49" s="60" t="s">
        <v>98</v>
      </c>
      <c r="I49" s="61">
        <v>0.9385</v>
      </c>
      <c r="J49" s="62">
        <v>168</v>
      </c>
      <c r="K49" s="63">
        <v>45979</v>
      </c>
      <c r="L49" s="62">
        <v>27</v>
      </c>
      <c r="M49" s="62">
        <v>0</v>
      </c>
      <c r="N49" s="62">
        <v>0</v>
      </c>
      <c r="O49" s="64" t="s">
        <v>101</v>
      </c>
      <c r="P49" s="65">
        <v>0.55902777777777779</v>
      </c>
      <c r="Q49" s="62">
        <v>179</v>
      </c>
      <c r="R49" s="66" t="s">
        <v>102</v>
      </c>
    </row>
    <row r="50" spans="1:18" ht="15" customHeight="1" x14ac:dyDescent="0.3">
      <c r="A50" s="67" t="s">
        <v>76</v>
      </c>
      <c r="B50" s="67" t="s">
        <v>103</v>
      </c>
      <c r="C50" s="68">
        <v>0.72916666666666663</v>
      </c>
      <c r="D50" s="67" t="s">
        <v>99</v>
      </c>
      <c r="E50" s="69"/>
      <c r="F50" s="67" t="s">
        <v>100</v>
      </c>
      <c r="G50" s="196"/>
      <c r="H50" s="70" t="s">
        <v>103</v>
      </c>
      <c r="I50" s="71">
        <v>0.92179999999999995</v>
      </c>
      <c r="J50" s="72">
        <v>165</v>
      </c>
      <c r="K50" s="73">
        <v>45980</v>
      </c>
      <c r="L50" s="72">
        <v>24</v>
      </c>
      <c r="M50" s="72">
        <v>0</v>
      </c>
      <c r="N50" s="72">
        <v>4</v>
      </c>
      <c r="O50" s="74" t="s">
        <v>101</v>
      </c>
      <c r="P50" s="75">
        <v>0.72916666666666663</v>
      </c>
      <c r="Q50" s="72">
        <v>179</v>
      </c>
      <c r="R50" s="76" t="s">
        <v>104</v>
      </c>
    </row>
    <row r="51" spans="1:18" ht="15" customHeight="1" x14ac:dyDescent="0.3">
      <c r="A51" s="17" t="s">
        <v>105</v>
      </c>
      <c r="B51" s="17" t="s">
        <v>106</v>
      </c>
      <c r="C51" s="18">
        <v>0.22222222222222221</v>
      </c>
      <c r="D51" s="17" t="s">
        <v>107</v>
      </c>
      <c r="E51" s="17" t="s">
        <v>108</v>
      </c>
      <c r="F51" s="17" t="s">
        <v>109</v>
      </c>
      <c r="G51" s="196"/>
      <c r="H51" s="10"/>
      <c r="I51" s="11"/>
      <c r="J51" s="11"/>
      <c r="K51" s="11"/>
      <c r="L51" s="11"/>
      <c r="M51" s="11"/>
      <c r="N51" s="11"/>
      <c r="O51" s="12"/>
      <c r="P51" s="11"/>
      <c r="Q51" s="13"/>
      <c r="R51" s="14"/>
    </row>
    <row r="52" spans="1:18" ht="15" customHeight="1" x14ac:dyDescent="0.3">
      <c r="A52" s="19" t="s">
        <v>105</v>
      </c>
      <c r="B52" s="19" t="s">
        <v>106</v>
      </c>
      <c r="C52" s="20">
        <v>0.22222222222222221</v>
      </c>
      <c r="D52" s="19" t="s">
        <v>43</v>
      </c>
      <c r="E52" s="19" t="s">
        <v>49</v>
      </c>
      <c r="F52" s="19" t="s">
        <v>110</v>
      </c>
      <c r="G52" s="196"/>
      <c r="H52" s="10"/>
      <c r="I52" s="11"/>
      <c r="J52" s="11"/>
      <c r="K52" s="11"/>
      <c r="L52" s="11"/>
      <c r="M52" s="11"/>
      <c r="N52" s="11"/>
      <c r="O52" s="12"/>
      <c r="P52" s="11"/>
      <c r="Q52" s="13"/>
      <c r="R52" s="14"/>
    </row>
    <row r="53" spans="1:18" ht="15" customHeight="1" x14ac:dyDescent="0.3">
      <c r="A53" s="17" t="s">
        <v>111</v>
      </c>
      <c r="B53" s="17" t="s">
        <v>112</v>
      </c>
      <c r="C53" s="18">
        <v>0.27430555555555552</v>
      </c>
      <c r="D53" s="17" t="s">
        <v>28</v>
      </c>
      <c r="E53" s="17" t="s">
        <v>113</v>
      </c>
      <c r="F53" s="17" t="s">
        <v>114</v>
      </c>
      <c r="G53" s="196"/>
      <c r="H53" s="10"/>
      <c r="I53" s="11"/>
      <c r="J53" s="11"/>
      <c r="K53" s="11"/>
      <c r="L53" s="11"/>
      <c r="M53" s="11"/>
      <c r="N53" s="11"/>
      <c r="O53" s="12"/>
      <c r="P53" s="11"/>
      <c r="Q53" s="13"/>
      <c r="R53" s="14"/>
    </row>
    <row r="54" spans="1:18" ht="15" customHeight="1" x14ac:dyDescent="0.3">
      <c r="A54" s="15" t="s">
        <v>111</v>
      </c>
      <c r="B54" s="15" t="s">
        <v>115</v>
      </c>
      <c r="C54" s="16">
        <v>0.73958333333333337</v>
      </c>
      <c r="D54" s="15" t="s">
        <v>28</v>
      </c>
      <c r="E54" s="15" t="s">
        <v>116</v>
      </c>
      <c r="F54" s="15" t="s">
        <v>117</v>
      </c>
      <c r="G54" s="196"/>
      <c r="H54" s="10"/>
      <c r="I54" s="11"/>
      <c r="J54" s="11"/>
      <c r="K54" s="11"/>
      <c r="L54" s="11"/>
      <c r="M54" s="11"/>
      <c r="N54" s="11"/>
      <c r="O54" s="12"/>
      <c r="P54" s="11"/>
      <c r="Q54" s="13"/>
      <c r="R54" s="14"/>
    </row>
    <row r="55" spans="1:18" ht="15" customHeight="1" x14ac:dyDescent="0.3">
      <c r="A55" s="17" t="s">
        <v>118</v>
      </c>
      <c r="B55" s="17" t="s">
        <v>119</v>
      </c>
      <c r="C55" s="18">
        <v>0.37847222222222232</v>
      </c>
      <c r="D55" s="17" t="s">
        <v>120</v>
      </c>
      <c r="E55" s="17" t="s">
        <v>29</v>
      </c>
      <c r="F55" s="17" t="s">
        <v>121</v>
      </c>
      <c r="G55" s="196"/>
      <c r="H55" s="10"/>
      <c r="I55" s="11"/>
      <c r="J55" s="11"/>
      <c r="K55" s="11"/>
      <c r="L55" s="11"/>
      <c r="M55" s="11"/>
      <c r="N55" s="11"/>
      <c r="O55" s="12"/>
      <c r="P55" s="11"/>
      <c r="Q55" s="13"/>
      <c r="R55" s="14"/>
    </row>
    <row r="56" spans="1:18" ht="15" customHeight="1" x14ac:dyDescent="0.3">
      <c r="A56" s="19" t="s">
        <v>118</v>
      </c>
      <c r="B56" s="19" t="s">
        <v>119</v>
      </c>
      <c r="C56" s="20">
        <v>0.37847222222222232</v>
      </c>
      <c r="D56" s="19" t="s">
        <v>122</v>
      </c>
      <c r="E56" s="19" t="s">
        <v>63</v>
      </c>
      <c r="F56" s="19" t="s">
        <v>123</v>
      </c>
      <c r="G56" s="196"/>
      <c r="H56" s="10"/>
      <c r="I56" s="11"/>
      <c r="J56" s="11"/>
      <c r="K56" s="11"/>
      <c r="L56" s="11"/>
      <c r="M56" s="11"/>
      <c r="N56" s="11"/>
      <c r="O56" s="12"/>
      <c r="P56" s="11"/>
      <c r="Q56" s="13"/>
      <c r="R56" s="14"/>
    </row>
    <row r="57" spans="1:18" ht="15" customHeight="1" x14ac:dyDescent="0.3">
      <c r="A57" s="15" t="s">
        <v>118</v>
      </c>
      <c r="B57" s="15" t="s">
        <v>124</v>
      </c>
      <c r="C57" s="16">
        <v>6.9444444444444441E-3</v>
      </c>
      <c r="D57" s="15" t="s">
        <v>120</v>
      </c>
      <c r="E57" s="15" t="s">
        <v>116</v>
      </c>
      <c r="F57" s="15" t="s">
        <v>125</v>
      </c>
      <c r="G57" s="196"/>
      <c r="H57" s="10"/>
      <c r="I57" s="11"/>
      <c r="J57" s="11"/>
      <c r="K57" s="11"/>
      <c r="L57" s="11"/>
      <c r="M57" s="11"/>
      <c r="N57" s="11"/>
      <c r="O57" s="12"/>
      <c r="P57" s="11"/>
      <c r="Q57" s="13"/>
      <c r="R57" s="14"/>
    </row>
    <row r="58" spans="1:18" ht="15" customHeight="1" x14ac:dyDescent="0.3">
      <c r="A58" s="19" t="s">
        <v>118</v>
      </c>
      <c r="B58" s="19" t="s">
        <v>124</v>
      </c>
      <c r="C58" s="20">
        <v>6.9444444444444441E-3</v>
      </c>
      <c r="D58" s="19" t="s">
        <v>122</v>
      </c>
      <c r="E58" s="19" t="s">
        <v>126</v>
      </c>
      <c r="F58" s="19" t="s">
        <v>127</v>
      </c>
      <c r="G58" s="196"/>
      <c r="H58" s="10"/>
      <c r="I58" s="11"/>
      <c r="J58" s="11"/>
      <c r="K58" s="11"/>
      <c r="L58" s="11"/>
      <c r="M58" s="11"/>
      <c r="N58" s="11"/>
      <c r="O58" s="12"/>
      <c r="P58" s="11"/>
      <c r="Q58" s="13"/>
      <c r="R58" s="14"/>
    </row>
    <row r="59" spans="1:18" ht="15" customHeight="1" x14ac:dyDescent="0.3">
      <c r="A59" s="15" t="s">
        <v>118</v>
      </c>
      <c r="B59" s="15" t="s">
        <v>128</v>
      </c>
      <c r="C59" s="16">
        <v>0.23958333333333329</v>
      </c>
      <c r="D59" s="15" t="s">
        <v>120</v>
      </c>
      <c r="E59" s="15" t="s">
        <v>116</v>
      </c>
      <c r="F59" s="15" t="s">
        <v>125</v>
      </c>
      <c r="G59" s="196"/>
      <c r="H59" s="10"/>
      <c r="I59" s="11"/>
      <c r="J59" s="11"/>
      <c r="K59" s="11"/>
      <c r="L59" s="11"/>
      <c r="M59" s="11"/>
      <c r="N59" s="11"/>
      <c r="O59" s="12"/>
      <c r="P59" s="11"/>
      <c r="Q59" s="13"/>
      <c r="R59" s="14"/>
    </row>
    <row r="60" spans="1:18" ht="15" customHeight="1" x14ac:dyDescent="0.3">
      <c r="A60" s="19" t="s">
        <v>118</v>
      </c>
      <c r="B60" s="19" t="s">
        <v>128</v>
      </c>
      <c r="C60" s="20">
        <v>0.23958333333333329</v>
      </c>
      <c r="D60" s="19" t="s">
        <v>122</v>
      </c>
      <c r="E60" s="19" t="s">
        <v>126</v>
      </c>
      <c r="F60" s="19" t="s">
        <v>127</v>
      </c>
      <c r="G60" s="196"/>
      <c r="H60" s="10"/>
      <c r="I60" s="11"/>
      <c r="J60" s="11"/>
      <c r="K60" s="11"/>
      <c r="L60" s="11"/>
      <c r="M60" s="11"/>
      <c r="N60" s="11"/>
      <c r="O60" s="12"/>
      <c r="P60" s="11"/>
      <c r="Q60" s="13"/>
      <c r="R60" s="14"/>
    </row>
    <row r="61" spans="1:18" ht="15" customHeight="1" x14ac:dyDescent="0.3">
      <c r="A61" s="15" t="s">
        <v>118</v>
      </c>
      <c r="B61" s="15" t="s">
        <v>129</v>
      </c>
      <c r="C61" s="16">
        <v>0.1423611111111111</v>
      </c>
      <c r="D61" s="15" t="s">
        <v>120</v>
      </c>
      <c r="E61" s="15" t="s">
        <v>116</v>
      </c>
      <c r="F61" s="15" t="s">
        <v>125</v>
      </c>
      <c r="G61" s="196"/>
      <c r="H61" s="10"/>
      <c r="I61" s="11"/>
      <c r="J61" s="11"/>
      <c r="K61" s="11"/>
      <c r="L61" s="11"/>
      <c r="M61" s="11"/>
      <c r="N61" s="11"/>
      <c r="O61" s="12"/>
      <c r="P61" s="11"/>
      <c r="Q61" s="13"/>
      <c r="R61" s="14"/>
    </row>
    <row r="62" spans="1:18" ht="15" customHeight="1" x14ac:dyDescent="0.3">
      <c r="A62" s="19" t="s">
        <v>118</v>
      </c>
      <c r="B62" s="19" t="s">
        <v>129</v>
      </c>
      <c r="C62" s="20">
        <v>0.1423611111111111</v>
      </c>
      <c r="D62" s="19" t="s">
        <v>122</v>
      </c>
      <c r="E62" s="19" t="s">
        <v>126</v>
      </c>
      <c r="F62" s="19" t="s">
        <v>127</v>
      </c>
      <c r="G62" s="196"/>
      <c r="H62" s="10"/>
      <c r="I62" s="11"/>
      <c r="J62" s="11"/>
      <c r="K62" s="11"/>
      <c r="L62" s="11"/>
      <c r="M62" s="11"/>
      <c r="N62" s="11"/>
      <c r="O62" s="12"/>
      <c r="P62" s="11"/>
      <c r="Q62" s="13"/>
      <c r="R62" s="14"/>
    </row>
    <row r="63" spans="1:18" ht="15" customHeight="1" x14ac:dyDescent="0.3">
      <c r="A63" s="15" t="s">
        <v>118</v>
      </c>
      <c r="B63" s="15" t="s">
        <v>130</v>
      </c>
      <c r="C63" s="16">
        <v>0.93055555555555547</v>
      </c>
      <c r="D63" s="15" t="s">
        <v>120</v>
      </c>
      <c r="E63" s="15" t="s">
        <v>116</v>
      </c>
      <c r="F63" s="15" t="s">
        <v>125</v>
      </c>
      <c r="G63" s="196"/>
      <c r="H63" s="10"/>
      <c r="I63" s="11"/>
      <c r="J63" s="11"/>
      <c r="K63" s="11"/>
      <c r="L63" s="11"/>
      <c r="M63" s="11"/>
      <c r="N63" s="11"/>
      <c r="O63" s="12"/>
      <c r="P63" s="11"/>
      <c r="Q63" s="13"/>
      <c r="R63" s="14"/>
    </row>
    <row r="64" spans="1:18" ht="15" customHeight="1" x14ac:dyDescent="0.3">
      <c r="A64" s="19" t="s">
        <v>118</v>
      </c>
      <c r="B64" s="19" t="s">
        <v>130</v>
      </c>
      <c r="C64" s="20">
        <v>0.93055555555555547</v>
      </c>
      <c r="D64" s="19" t="s">
        <v>122</v>
      </c>
      <c r="E64" s="19" t="s">
        <v>126</v>
      </c>
      <c r="F64" s="19" t="s">
        <v>127</v>
      </c>
      <c r="G64" s="196"/>
      <c r="H64" s="10"/>
      <c r="I64" s="11"/>
      <c r="J64" s="11"/>
      <c r="K64" s="11"/>
      <c r="L64" s="11"/>
      <c r="M64" s="11"/>
      <c r="N64" s="11"/>
      <c r="O64" s="12"/>
      <c r="P64" s="11"/>
      <c r="Q64" s="13"/>
      <c r="R64" s="14"/>
    </row>
    <row r="65" spans="1:18" ht="15" customHeight="1" x14ac:dyDescent="0.3">
      <c r="A65" s="15" t="s">
        <v>118</v>
      </c>
      <c r="B65" s="15" t="s">
        <v>131</v>
      </c>
      <c r="C65" s="16">
        <v>0.71875</v>
      </c>
      <c r="D65" s="15" t="s">
        <v>120</v>
      </c>
      <c r="E65" s="15" t="s">
        <v>116</v>
      </c>
      <c r="F65" s="15" t="s">
        <v>132</v>
      </c>
      <c r="G65" s="196"/>
      <c r="H65" s="10"/>
      <c r="I65" s="11"/>
      <c r="J65" s="11"/>
      <c r="K65" s="11"/>
      <c r="L65" s="11"/>
      <c r="M65" s="11"/>
      <c r="N65" s="11"/>
      <c r="O65" s="12"/>
      <c r="P65" s="11"/>
      <c r="Q65" s="13"/>
      <c r="R65" s="14"/>
    </row>
    <row r="66" spans="1:18" ht="15" customHeight="1" x14ac:dyDescent="0.3">
      <c r="A66" s="19" t="s">
        <v>118</v>
      </c>
      <c r="B66" s="19" t="s">
        <v>131</v>
      </c>
      <c r="C66" s="20">
        <v>0.71875</v>
      </c>
      <c r="D66" s="19" t="s">
        <v>122</v>
      </c>
      <c r="E66" s="19" t="s">
        <v>126</v>
      </c>
      <c r="F66" s="19" t="s">
        <v>133</v>
      </c>
      <c r="G66" s="196"/>
      <c r="H66" s="10"/>
      <c r="I66" s="11"/>
      <c r="J66" s="11"/>
      <c r="K66" s="11"/>
      <c r="L66" s="11"/>
      <c r="M66" s="11"/>
      <c r="N66" s="11"/>
      <c r="O66" s="12"/>
      <c r="P66" s="11"/>
      <c r="Q66" s="13"/>
      <c r="R66" s="14"/>
    </row>
    <row r="67" spans="1:18" ht="15" customHeight="1" x14ac:dyDescent="0.3">
      <c r="A67" s="15" t="s">
        <v>118</v>
      </c>
      <c r="B67" s="15" t="s">
        <v>134</v>
      </c>
      <c r="C67" s="16">
        <v>0.82986111111111116</v>
      </c>
      <c r="D67" s="15" t="s">
        <v>120</v>
      </c>
      <c r="E67" s="15" t="s">
        <v>116</v>
      </c>
      <c r="F67" s="15" t="s">
        <v>132</v>
      </c>
      <c r="G67" s="196"/>
      <c r="H67" s="10"/>
      <c r="I67" s="11"/>
      <c r="J67" s="11"/>
      <c r="K67" s="11"/>
      <c r="L67" s="11"/>
      <c r="M67" s="11"/>
      <c r="N67" s="11"/>
      <c r="O67" s="12"/>
      <c r="P67" s="11"/>
      <c r="Q67" s="13"/>
      <c r="R67" s="14"/>
    </row>
    <row r="68" spans="1:18" ht="15" customHeight="1" x14ac:dyDescent="0.3">
      <c r="A68" s="19" t="s">
        <v>118</v>
      </c>
      <c r="B68" s="19" t="s">
        <v>134</v>
      </c>
      <c r="C68" s="20">
        <v>0.82986111111111116</v>
      </c>
      <c r="D68" s="19" t="s">
        <v>122</v>
      </c>
      <c r="E68" s="19" t="s">
        <v>126</v>
      </c>
      <c r="F68" s="19" t="s">
        <v>133</v>
      </c>
      <c r="G68" s="196"/>
      <c r="H68" s="10"/>
      <c r="I68" s="11"/>
      <c r="J68" s="11"/>
      <c r="K68" s="11"/>
      <c r="L68" s="11"/>
      <c r="M68" s="11"/>
      <c r="N68" s="11"/>
      <c r="O68" s="12"/>
      <c r="P68" s="11"/>
      <c r="Q68" s="13"/>
      <c r="R68" s="14"/>
    </row>
    <row r="69" spans="1:18" ht="15" customHeight="1" x14ac:dyDescent="0.3">
      <c r="A69" s="15" t="s">
        <v>118</v>
      </c>
      <c r="B69" s="15" t="s">
        <v>135</v>
      </c>
      <c r="C69" s="16">
        <v>0.88888888888888884</v>
      </c>
      <c r="D69" s="15" t="s">
        <v>122</v>
      </c>
      <c r="E69" s="15" t="s">
        <v>94</v>
      </c>
      <c r="F69" s="15" t="s">
        <v>136</v>
      </c>
      <c r="G69" s="196"/>
      <c r="H69" s="10"/>
      <c r="I69" s="11"/>
      <c r="J69" s="11"/>
      <c r="K69" s="11"/>
      <c r="L69" s="11"/>
      <c r="M69" s="11"/>
      <c r="N69" s="11"/>
      <c r="O69" s="12"/>
      <c r="P69" s="11"/>
      <c r="Q69" s="13"/>
      <c r="R69" s="14"/>
    </row>
    <row r="70" spans="1:18" ht="15" customHeight="1" x14ac:dyDescent="0.3">
      <c r="A70" s="15" t="s">
        <v>118</v>
      </c>
      <c r="B70" s="15" t="s">
        <v>137</v>
      </c>
      <c r="C70" s="16">
        <v>0.30208333333333331</v>
      </c>
      <c r="D70" s="15" t="s">
        <v>122</v>
      </c>
      <c r="E70" s="15" t="s">
        <v>94</v>
      </c>
      <c r="F70" s="15" t="s">
        <v>136</v>
      </c>
      <c r="G70" s="196"/>
      <c r="H70" s="10"/>
      <c r="I70" s="11"/>
      <c r="J70" s="11"/>
      <c r="K70" s="11"/>
      <c r="L70" s="11"/>
      <c r="M70" s="11"/>
      <c r="N70" s="11"/>
      <c r="O70" s="12"/>
      <c r="P70" s="11"/>
      <c r="Q70" s="13"/>
      <c r="R70" s="14"/>
    </row>
    <row r="71" spans="1:18" ht="15" customHeight="1" x14ac:dyDescent="0.3">
      <c r="A71" s="15" t="s">
        <v>118</v>
      </c>
      <c r="B71" s="15" t="s">
        <v>138</v>
      </c>
      <c r="C71" s="16">
        <v>0.12847222222222221</v>
      </c>
      <c r="D71" s="15" t="s">
        <v>122</v>
      </c>
      <c r="E71" s="15" t="s">
        <v>94</v>
      </c>
      <c r="F71" s="15" t="s">
        <v>136</v>
      </c>
      <c r="G71" s="196"/>
      <c r="H71" s="10"/>
      <c r="I71" s="11"/>
      <c r="J71" s="11"/>
      <c r="K71" s="11"/>
      <c r="L71" s="11"/>
      <c r="M71" s="11"/>
      <c r="N71" s="11"/>
      <c r="O71" s="12"/>
      <c r="P71" s="11"/>
      <c r="Q71" s="13"/>
      <c r="R71" s="14"/>
    </row>
    <row r="72" spans="1:18" ht="15" customHeight="1" x14ac:dyDescent="0.3">
      <c r="A72" s="15" t="s">
        <v>118</v>
      </c>
      <c r="B72" s="15" t="s">
        <v>139</v>
      </c>
      <c r="C72" s="16">
        <v>0.78819444444444453</v>
      </c>
      <c r="D72" s="15" t="s">
        <v>122</v>
      </c>
      <c r="E72" s="15" t="s">
        <v>94</v>
      </c>
      <c r="F72" s="15" t="s">
        <v>136</v>
      </c>
      <c r="G72" s="196"/>
      <c r="H72" s="10"/>
      <c r="I72" s="11"/>
      <c r="J72" s="11"/>
      <c r="K72" s="11"/>
      <c r="L72" s="11"/>
      <c r="M72" s="11"/>
      <c r="N72" s="11"/>
      <c r="O72" s="12"/>
      <c r="P72" s="11"/>
      <c r="Q72" s="13"/>
      <c r="R72" s="14"/>
    </row>
    <row r="73" spans="1:18" ht="15" customHeight="1" x14ac:dyDescent="0.3">
      <c r="A73" s="17" t="s">
        <v>140</v>
      </c>
      <c r="B73" s="17" t="s">
        <v>141</v>
      </c>
      <c r="C73" s="18">
        <v>0.4861111111111111</v>
      </c>
      <c r="D73" s="17" t="s">
        <v>142</v>
      </c>
      <c r="E73" s="17" t="s">
        <v>113</v>
      </c>
      <c r="F73" s="17" t="s">
        <v>143</v>
      </c>
      <c r="G73" s="196"/>
      <c r="H73" s="10"/>
      <c r="I73" s="11"/>
      <c r="J73" s="11"/>
      <c r="K73" s="11"/>
      <c r="L73" s="11"/>
      <c r="M73" s="11"/>
      <c r="N73" s="11"/>
      <c r="O73" s="12"/>
      <c r="P73" s="11"/>
      <c r="Q73" s="13"/>
      <c r="R73" s="14"/>
    </row>
    <row r="74" spans="1:18" ht="15" customHeight="1" x14ac:dyDescent="0.3">
      <c r="A74" s="15" t="s">
        <v>140</v>
      </c>
      <c r="B74" s="15" t="s">
        <v>144</v>
      </c>
      <c r="C74" s="16">
        <v>0.51388888888888895</v>
      </c>
      <c r="D74" s="15" t="s">
        <v>142</v>
      </c>
      <c r="E74" s="15" t="s">
        <v>116</v>
      </c>
      <c r="F74" s="15" t="s">
        <v>143</v>
      </c>
      <c r="G74" s="196"/>
      <c r="H74" s="10"/>
      <c r="I74" s="11"/>
      <c r="J74" s="11"/>
      <c r="K74" s="11"/>
      <c r="L74" s="11"/>
      <c r="M74" s="11"/>
      <c r="N74" s="11"/>
      <c r="O74" s="12"/>
      <c r="P74" s="11"/>
      <c r="Q74" s="13"/>
      <c r="R74" s="14"/>
    </row>
    <row r="75" spans="1:18" ht="15" customHeight="1" x14ac:dyDescent="0.3">
      <c r="A75" s="15" t="s">
        <v>140</v>
      </c>
      <c r="B75" s="15" t="s">
        <v>145</v>
      </c>
      <c r="C75" s="16">
        <v>0.22222222222222221</v>
      </c>
      <c r="D75" s="15" t="s">
        <v>142</v>
      </c>
      <c r="E75" s="15" t="s">
        <v>116</v>
      </c>
      <c r="F75" s="15" t="s">
        <v>146</v>
      </c>
      <c r="G75" s="196"/>
      <c r="H75" s="10"/>
      <c r="I75" s="11"/>
      <c r="J75" s="11"/>
      <c r="K75" s="11"/>
      <c r="L75" s="11"/>
      <c r="M75" s="11"/>
      <c r="N75" s="11"/>
      <c r="O75" s="12"/>
      <c r="P75" s="11"/>
      <c r="Q75" s="13"/>
      <c r="R75" s="14"/>
    </row>
    <row r="76" spans="1:18" ht="15" customHeight="1" x14ac:dyDescent="0.3">
      <c r="A76" s="15" t="s">
        <v>140</v>
      </c>
      <c r="B76" s="15" t="s">
        <v>147</v>
      </c>
      <c r="C76" s="16">
        <v>1.388888888888889E-2</v>
      </c>
      <c r="D76" s="15" t="s">
        <v>142</v>
      </c>
      <c r="E76" s="15" t="s">
        <v>116</v>
      </c>
      <c r="F76" s="15" t="s">
        <v>148</v>
      </c>
      <c r="G76" s="196"/>
      <c r="H76" s="10"/>
      <c r="I76" s="11"/>
      <c r="J76" s="11"/>
      <c r="K76" s="11"/>
      <c r="L76" s="11"/>
      <c r="M76" s="11"/>
      <c r="N76" s="11"/>
      <c r="O76" s="12"/>
      <c r="P76" s="11"/>
      <c r="Q76" s="13"/>
      <c r="R76" s="14"/>
    </row>
    <row r="77" spans="1:18" ht="15" customHeight="1" x14ac:dyDescent="0.3">
      <c r="A77" s="15" t="s">
        <v>140</v>
      </c>
      <c r="B77" s="15" t="s">
        <v>149</v>
      </c>
      <c r="C77" s="16">
        <v>0.14583333333333329</v>
      </c>
      <c r="D77" s="15" t="s">
        <v>142</v>
      </c>
      <c r="E77" s="15" t="s">
        <v>116</v>
      </c>
      <c r="F77" s="15" t="s">
        <v>148</v>
      </c>
      <c r="G77" s="196"/>
      <c r="H77" s="10"/>
      <c r="I77" s="11"/>
      <c r="J77" s="11"/>
      <c r="K77" s="11"/>
      <c r="L77" s="11"/>
      <c r="M77" s="11"/>
      <c r="N77" s="11"/>
      <c r="O77" s="12"/>
      <c r="P77" s="11"/>
      <c r="Q77" s="13"/>
      <c r="R77" s="14"/>
    </row>
    <row r="78" spans="1:18" ht="15" customHeight="1" x14ac:dyDescent="0.3">
      <c r="A78" s="15" t="s">
        <v>140</v>
      </c>
      <c r="B78" s="15" t="s">
        <v>150</v>
      </c>
      <c r="C78" s="16">
        <v>0.27777777777777779</v>
      </c>
      <c r="D78" s="15" t="s">
        <v>142</v>
      </c>
      <c r="E78" s="15" t="s">
        <v>116</v>
      </c>
      <c r="F78" s="15" t="s">
        <v>151</v>
      </c>
      <c r="G78" s="196"/>
      <c r="H78" s="10"/>
      <c r="I78" s="11"/>
      <c r="J78" s="11"/>
      <c r="K78" s="11"/>
      <c r="L78" s="11"/>
      <c r="M78" s="11"/>
      <c r="N78" s="11"/>
      <c r="O78" s="12"/>
      <c r="P78" s="11"/>
      <c r="Q78" s="13"/>
      <c r="R78" s="14"/>
    </row>
    <row r="79" spans="1:18" ht="15" customHeight="1" thickBot="1" x14ac:dyDescent="0.35">
      <c r="A79" s="77" t="s">
        <v>140</v>
      </c>
      <c r="B79" s="77" t="s">
        <v>152</v>
      </c>
      <c r="C79" s="78">
        <v>0.77430555555555547</v>
      </c>
      <c r="D79" s="77" t="s">
        <v>142</v>
      </c>
      <c r="E79" s="77" t="s">
        <v>116</v>
      </c>
      <c r="F79" s="77" t="s">
        <v>153</v>
      </c>
      <c r="G79" s="197"/>
      <c r="H79" s="79"/>
      <c r="I79" s="80"/>
      <c r="J79" s="80"/>
      <c r="K79" s="80"/>
      <c r="L79" s="80"/>
      <c r="M79" s="80"/>
      <c r="N79" s="80"/>
      <c r="O79" s="81"/>
      <c r="P79" s="80"/>
      <c r="Q79" s="82"/>
      <c r="R79" s="83"/>
    </row>
    <row r="80" spans="1:18" ht="17.399999999999999" customHeight="1" thickBot="1" x14ac:dyDescent="0.35">
      <c r="A80" s="221"/>
      <c r="B80" s="222"/>
      <c r="C80" s="222"/>
      <c r="D80" s="222"/>
      <c r="E80" s="222"/>
      <c r="F80" s="222"/>
      <c r="G80" s="222"/>
      <c r="H80" s="222"/>
      <c r="I80" s="222"/>
      <c r="J80" s="222"/>
      <c r="K80" s="222"/>
      <c r="L80" s="222"/>
      <c r="M80" s="222"/>
      <c r="N80" s="222"/>
      <c r="O80" s="222"/>
      <c r="P80" s="222"/>
      <c r="Q80" s="222"/>
      <c r="R80" s="223"/>
    </row>
    <row r="81" spans="1:18" ht="22.05" customHeight="1" thickTop="1" thickBot="1" x14ac:dyDescent="0.35">
      <c r="A81" s="186" t="s">
        <v>6</v>
      </c>
      <c r="B81" s="187"/>
      <c r="C81" s="187"/>
      <c r="D81" s="187"/>
      <c r="E81" s="187"/>
      <c r="F81" s="188"/>
      <c r="G81" s="84">
        <v>45987</v>
      </c>
      <c r="H81" s="198" t="s">
        <v>7</v>
      </c>
      <c r="I81" s="187"/>
      <c r="J81" s="187"/>
      <c r="K81" s="187"/>
      <c r="L81" s="187"/>
      <c r="M81" s="187"/>
      <c r="N81" s="187"/>
      <c r="O81" s="187"/>
      <c r="P81" s="187"/>
      <c r="Q81" s="187"/>
      <c r="R81" s="188"/>
    </row>
    <row r="82" spans="1:18" ht="24" customHeight="1" x14ac:dyDescent="0.3">
      <c r="A82" s="85" t="s">
        <v>8</v>
      </c>
      <c r="B82" s="85" t="s">
        <v>9</v>
      </c>
      <c r="C82" s="86" t="s">
        <v>10</v>
      </c>
      <c r="D82" s="85" t="s">
        <v>11</v>
      </c>
      <c r="E82" s="85" t="s">
        <v>12</v>
      </c>
      <c r="F82" s="87" t="s">
        <v>13</v>
      </c>
      <c r="G82" s="88" t="s">
        <v>14</v>
      </c>
      <c r="H82" s="85" t="s">
        <v>15</v>
      </c>
      <c r="I82" s="89" t="s">
        <v>16</v>
      </c>
      <c r="J82" s="90" t="s">
        <v>17</v>
      </c>
      <c r="K82" s="91" t="s">
        <v>18</v>
      </c>
      <c r="L82" s="90" t="s">
        <v>19</v>
      </c>
      <c r="M82" s="90" t="s">
        <v>20</v>
      </c>
      <c r="N82" s="90" t="s">
        <v>21</v>
      </c>
      <c r="O82" s="85" t="s">
        <v>22</v>
      </c>
      <c r="P82" s="86" t="s">
        <v>23</v>
      </c>
      <c r="Q82" s="90" t="s">
        <v>24</v>
      </c>
      <c r="R82" s="85" t="s">
        <v>25</v>
      </c>
    </row>
    <row r="83" spans="1:18" ht="15" customHeight="1" x14ac:dyDescent="0.3">
      <c r="A83" s="8" t="s">
        <v>35</v>
      </c>
      <c r="B83" s="8" t="s">
        <v>45</v>
      </c>
      <c r="C83" s="9">
        <v>0.12847222222222221</v>
      </c>
      <c r="D83" s="8" t="s">
        <v>37</v>
      </c>
      <c r="E83" s="8" t="s">
        <v>154</v>
      </c>
      <c r="F83" s="8" t="s">
        <v>155</v>
      </c>
      <c r="G83" s="203"/>
      <c r="H83" s="10"/>
      <c r="I83" s="11"/>
      <c r="J83" s="11"/>
      <c r="K83" s="11"/>
      <c r="L83" s="11"/>
      <c r="M83" s="11"/>
      <c r="N83" s="11"/>
      <c r="O83" s="12"/>
      <c r="P83" s="11"/>
      <c r="Q83" s="13"/>
      <c r="R83" s="14"/>
    </row>
    <row r="84" spans="1:18" ht="15" customHeight="1" x14ac:dyDescent="0.3">
      <c r="A84" s="19" t="s">
        <v>35</v>
      </c>
      <c r="B84" s="19" t="s">
        <v>45</v>
      </c>
      <c r="C84" s="20">
        <v>0.12847222222222221</v>
      </c>
      <c r="D84" s="19" t="s">
        <v>40</v>
      </c>
      <c r="E84" s="19" t="s">
        <v>156</v>
      </c>
      <c r="F84" s="19" t="s">
        <v>157</v>
      </c>
      <c r="G84" s="196"/>
      <c r="H84" s="10"/>
      <c r="I84" s="11"/>
      <c r="J84" s="11"/>
      <c r="K84" s="11"/>
      <c r="L84" s="11"/>
      <c r="M84" s="11"/>
      <c r="N84" s="11"/>
      <c r="O84" s="12"/>
      <c r="P84" s="11"/>
      <c r="Q84" s="13"/>
      <c r="R84" s="14"/>
    </row>
    <row r="85" spans="1:18" ht="15" customHeight="1" x14ac:dyDescent="0.3">
      <c r="A85" s="19" t="s">
        <v>35</v>
      </c>
      <c r="B85" s="19" t="s">
        <v>45</v>
      </c>
      <c r="C85" s="20">
        <v>0.12847222222222221</v>
      </c>
      <c r="D85" s="19" t="s">
        <v>43</v>
      </c>
      <c r="E85" s="19" t="s">
        <v>156</v>
      </c>
      <c r="F85" s="19" t="s">
        <v>44</v>
      </c>
      <c r="G85" s="196"/>
      <c r="H85" s="10"/>
      <c r="I85" s="11"/>
      <c r="J85" s="11"/>
      <c r="K85" s="11"/>
      <c r="L85" s="11"/>
      <c r="M85" s="11"/>
      <c r="N85" s="11"/>
      <c r="O85" s="12"/>
      <c r="P85" s="11"/>
      <c r="Q85" s="13"/>
      <c r="R85" s="14"/>
    </row>
    <row r="86" spans="1:18" ht="15" customHeight="1" x14ac:dyDescent="0.3">
      <c r="A86" s="15" t="s">
        <v>35</v>
      </c>
      <c r="B86" s="15" t="s">
        <v>50</v>
      </c>
      <c r="C86" s="16">
        <v>0.88888888888888884</v>
      </c>
      <c r="D86" s="15" t="s">
        <v>37</v>
      </c>
      <c r="E86" s="15" t="s">
        <v>32</v>
      </c>
      <c r="F86" s="15" t="s">
        <v>155</v>
      </c>
      <c r="G86" s="196"/>
      <c r="H86" s="10"/>
      <c r="I86" s="11"/>
      <c r="J86" s="11"/>
      <c r="K86" s="11"/>
      <c r="L86" s="11"/>
      <c r="M86" s="11"/>
      <c r="N86" s="11"/>
      <c r="O86" s="12"/>
      <c r="P86" s="11"/>
      <c r="Q86" s="13"/>
      <c r="R86" s="14"/>
    </row>
    <row r="87" spans="1:18" ht="15" customHeight="1" x14ac:dyDescent="0.3">
      <c r="A87" s="19" t="s">
        <v>35</v>
      </c>
      <c r="B87" s="19" t="s">
        <v>50</v>
      </c>
      <c r="C87" s="20">
        <v>0.88888888888888884</v>
      </c>
      <c r="D87" s="19" t="s">
        <v>40</v>
      </c>
      <c r="E87" s="19" t="s">
        <v>46</v>
      </c>
      <c r="F87" s="19" t="s">
        <v>157</v>
      </c>
      <c r="G87" s="196"/>
      <c r="H87" s="10"/>
      <c r="I87" s="11"/>
      <c r="J87" s="11"/>
      <c r="K87" s="11"/>
      <c r="L87" s="11"/>
      <c r="M87" s="11"/>
      <c r="N87" s="11"/>
      <c r="O87" s="12"/>
      <c r="P87" s="11"/>
      <c r="Q87" s="13"/>
      <c r="R87" s="14"/>
    </row>
    <row r="88" spans="1:18" ht="15" customHeight="1" x14ac:dyDescent="0.3">
      <c r="A88" s="19" t="s">
        <v>35</v>
      </c>
      <c r="B88" s="19" t="s">
        <v>50</v>
      </c>
      <c r="C88" s="20">
        <v>0.88888888888888884</v>
      </c>
      <c r="D88" s="19" t="s">
        <v>43</v>
      </c>
      <c r="E88" s="19" t="s">
        <v>46</v>
      </c>
      <c r="F88" s="19" t="s">
        <v>44</v>
      </c>
      <c r="G88" s="196"/>
      <c r="H88" s="10"/>
      <c r="I88" s="11"/>
      <c r="J88" s="11"/>
      <c r="K88" s="11"/>
      <c r="L88" s="11"/>
      <c r="M88" s="11"/>
      <c r="N88" s="11"/>
      <c r="O88" s="12"/>
      <c r="P88" s="11"/>
      <c r="Q88" s="13"/>
      <c r="R88" s="14"/>
    </row>
    <row r="89" spans="1:18" ht="15" customHeight="1" x14ac:dyDescent="0.3">
      <c r="A89" s="15" t="s">
        <v>35</v>
      </c>
      <c r="B89" s="15" t="s">
        <v>36</v>
      </c>
      <c r="C89" s="16">
        <v>0.30208333333333331</v>
      </c>
      <c r="D89" s="15" t="s">
        <v>37</v>
      </c>
      <c r="E89" s="15" t="s">
        <v>158</v>
      </c>
      <c r="F89" s="15" t="s">
        <v>39</v>
      </c>
      <c r="G89" s="196"/>
      <c r="H89" s="10"/>
      <c r="I89" s="11"/>
      <c r="J89" s="11"/>
      <c r="K89" s="11"/>
      <c r="L89" s="11"/>
      <c r="M89" s="11"/>
      <c r="N89" s="11"/>
      <c r="O89" s="12"/>
      <c r="P89" s="11"/>
      <c r="Q89" s="13"/>
      <c r="R89" s="14"/>
    </row>
    <row r="90" spans="1:18" ht="15" customHeight="1" x14ac:dyDescent="0.3">
      <c r="A90" s="19" t="s">
        <v>35</v>
      </c>
      <c r="B90" s="19" t="s">
        <v>36</v>
      </c>
      <c r="C90" s="20">
        <v>0.30208333333333331</v>
      </c>
      <c r="D90" s="19" t="s">
        <v>40</v>
      </c>
      <c r="E90" s="19" t="s">
        <v>57</v>
      </c>
      <c r="F90" s="19" t="s">
        <v>42</v>
      </c>
      <c r="G90" s="196"/>
      <c r="H90" s="10"/>
      <c r="I90" s="11"/>
      <c r="J90" s="11"/>
      <c r="K90" s="11"/>
      <c r="L90" s="11"/>
      <c r="M90" s="11"/>
      <c r="N90" s="11"/>
      <c r="O90" s="12"/>
      <c r="P90" s="11"/>
      <c r="Q90" s="13"/>
      <c r="R90" s="14"/>
    </row>
    <row r="91" spans="1:18" ht="15" customHeight="1" x14ac:dyDescent="0.3">
      <c r="A91" s="19" t="s">
        <v>35</v>
      </c>
      <c r="B91" s="19" t="s">
        <v>36</v>
      </c>
      <c r="C91" s="20">
        <v>0.30208333333333331</v>
      </c>
      <c r="D91" s="19" t="s">
        <v>43</v>
      </c>
      <c r="E91" s="19" t="s">
        <v>57</v>
      </c>
      <c r="F91" s="19" t="s">
        <v>44</v>
      </c>
      <c r="G91" s="196"/>
      <c r="H91" s="10"/>
      <c r="I91" s="11"/>
      <c r="J91" s="11"/>
      <c r="K91" s="11"/>
      <c r="L91" s="11"/>
      <c r="M91" s="11"/>
      <c r="N91" s="11"/>
      <c r="O91" s="12"/>
      <c r="P91" s="11"/>
      <c r="Q91" s="13"/>
      <c r="R91" s="14"/>
    </row>
    <row r="92" spans="1:18" ht="15" customHeight="1" x14ac:dyDescent="0.3">
      <c r="A92" s="15" t="s">
        <v>35</v>
      </c>
      <c r="B92" s="15" t="s">
        <v>47</v>
      </c>
      <c r="C92" s="16">
        <v>0.78819444444444453</v>
      </c>
      <c r="D92" s="15" t="s">
        <v>37</v>
      </c>
      <c r="E92" s="15" t="s">
        <v>159</v>
      </c>
      <c r="F92" s="15" t="s">
        <v>39</v>
      </c>
      <c r="G92" s="196"/>
      <c r="H92" s="10"/>
      <c r="I92" s="11"/>
      <c r="J92" s="11"/>
      <c r="K92" s="11"/>
      <c r="L92" s="11"/>
      <c r="M92" s="11"/>
      <c r="N92" s="11"/>
      <c r="O92" s="12"/>
      <c r="P92" s="11"/>
      <c r="Q92" s="13"/>
      <c r="R92" s="14"/>
    </row>
    <row r="93" spans="1:18" ht="15" customHeight="1" x14ac:dyDescent="0.3">
      <c r="A93" s="19" t="s">
        <v>35</v>
      </c>
      <c r="B93" s="19" t="s">
        <v>47</v>
      </c>
      <c r="C93" s="20">
        <v>0.78819444444444453</v>
      </c>
      <c r="D93" s="19" t="s">
        <v>40</v>
      </c>
      <c r="E93" s="19" t="s">
        <v>160</v>
      </c>
      <c r="F93" s="19" t="s">
        <v>42</v>
      </c>
      <c r="G93" s="196"/>
      <c r="H93" s="10"/>
      <c r="I93" s="11"/>
      <c r="J93" s="11"/>
      <c r="K93" s="11"/>
      <c r="L93" s="11"/>
      <c r="M93" s="11"/>
      <c r="N93" s="11"/>
      <c r="O93" s="12"/>
      <c r="P93" s="11"/>
      <c r="Q93" s="13"/>
      <c r="R93" s="14"/>
    </row>
    <row r="94" spans="1:18" ht="15" customHeight="1" x14ac:dyDescent="0.3">
      <c r="A94" s="19" t="s">
        <v>35</v>
      </c>
      <c r="B94" s="19" t="s">
        <v>47</v>
      </c>
      <c r="C94" s="20">
        <v>0.78819444444444453</v>
      </c>
      <c r="D94" s="19" t="s">
        <v>43</v>
      </c>
      <c r="E94" s="19" t="s">
        <v>160</v>
      </c>
      <c r="F94" s="19" t="s">
        <v>44</v>
      </c>
      <c r="G94" s="196"/>
      <c r="H94" s="10"/>
      <c r="I94" s="11"/>
      <c r="J94" s="11"/>
      <c r="K94" s="11"/>
      <c r="L94" s="11"/>
      <c r="M94" s="11"/>
      <c r="N94" s="11"/>
      <c r="O94" s="12"/>
      <c r="P94" s="11"/>
      <c r="Q94" s="13"/>
      <c r="R94" s="14"/>
    </row>
    <row r="95" spans="1:18" ht="15" customHeight="1" x14ac:dyDescent="0.3">
      <c r="A95" s="17" t="s">
        <v>26</v>
      </c>
      <c r="B95" s="17" t="s">
        <v>31</v>
      </c>
      <c r="C95" s="18">
        <v>0.9375</v>
      </c>
      <c r="D95" s="17" t="s">
        <v>28</v>
      </c>
      <c r="E95" s="17" t="s">
        <v>29</v>
      </c>
      <c r="F95" s="17" t="s">
        <v>30</v>
      </c>
      <c r="G95" s="196"/>
      <c r="H95" s="10"/>
      <c r="I95" s="11"/>
      <c r="J95" s="11"/>
      <c r="K95" s="11"/>
      <c r="L95" s="11"/>
      <c r="M95" s="11"/>
      <c r="N95" s="11"/>
      <c r="O95" s="12"/>
      <c r="P95" s="11"/>
      <c r="Q95" s="13"/>
      <c r="R95" s="14"/>
    </row>
    <row r="96" spans="1:18" ht="15" customHeight="1" x14ac:dyDescent="0.3">
      <c r="A96" s="15" t="s">
        <v>26</v>
      </c>
      <c r="B96" s="15" t="s">
        <v>34</v>
      </c>
      <c r="C96" s="16">
        <v>0.37152777777777768</v>
      </c>
      <c r="D96" s="15" t="s">
        <v>28</v>
      </c>
      <c r="E96" s="15" t="s">
        <v>94</v>
      </c>
      <c r="F96" s="15" t="s">
        <v>30</v>
      </c>
      <c r="G96" s="196"/>
      <c r="H96" s="10"/>
      <c r="I96" s="11"/>
      <c r="J96" s="11"/>
      <c r="K96" s="11"/>
      <c r="L96" s="11"/>
      <c r="M96" s="11"/>
      <c r="N96" s="11"/>
      <c r="O96" s="12"/>
      <c r="P96" s="11"/>
      <c r="Q96" s="13"/>
      <c r="R96" s="14"/>
    </row>
    <row r="97" spans="1:18" ht="15" customHeight="1" x14ac:dyDescent="0.3">
      <c r="A97" s="17" t="s">
        <v>51</v>
      </c>
      <c r="B97" s="17" t="s">
        <v>71</v>
      </c>
      <c r="C97" s="18">
        <v>0.25694444444444448</v>
      </c>
      <c r="D97" s="17" t="s">
        <v>53</v>
      </c>
      <c r="E97" s="17" t="s">
        <v>161</v>
      </c>
      <c r="F97" s="17" t="s">
        <v>162</v>
      </c>
      <c r="G97" s="196"/>
      <c r="H97" s="10"/>
      <c r="I97" s="11"/>
      <c r="J97" s="11"/>
      <c r="K97" s="11"/>
      <c r="L97" s="11"/>
      <c r="M97" s="11"/>
      <c r="N97" s="11"/>
      <c r="O97" s="12"/>
      <c r="P97" s="11"/>
      <c r="Q97" s="13"/>
      <c r="R97" s="14"/>
    </row>
    <row r="98" spans="1:18" ht="15" customHeight="1" x14ac:dyDescent="0.3">
      <c r="A98" s="19" t="s">
        <v>51</v>
      </c>
      <c r="B98" s="19" t="s">
        <v>71</v>
      </c>
      <c r="C98" s="20">
        <v>0.25694444444444448</v>
      </c>
      <c r="D98" s="19" t="s">
        <v>56</v>
      </c>
      <c r="E98" s="19" t="s">
        <v>163</v>
      </c>
      <c r="F98" s="19" t="s">
        <v>164</v>
      </c>
      <c r="G98" s="196"/>
      <c r="H98" s="10"/>
      <c r="I98" s="11"/>
      <c r="J98" s="11"/>
      <c r="K98" s="11"/>
      <c r="L98" s="11"/>
      <c r="M98" s="11"/>
      <c r="N98" s="11"/>
      <c r="O98" s="12"/>
      <c r="P98" s="11"/>
      <c r="Q98" s="13"/>
      <c r="R98" s="14"/>
    </row>
    <row r="99" spans="1:18" ht="15" customHeight="1" x14ac:dyDescent="0.3">
      <c r="A99" s="19" t="s">
        <v>51</v>
      </c>
      <c r="B99" s="19" t="s">
        <v>71</v>
      </c>
      <c r="C99" s="20">
        <v>0.25694444444444448</v>
      </c>
      <c r="D99" s="19" t="s">
        <v>59</v>
      </c>
      <c r="E99" s="19" t="s">
        <v>163</v>
      </c>
      <c r="F99" s="19" t="s">
        <v>33</v>
      </c>
      <c r="G99" s="196"/>
      <c r="H99" s="10"/>
      <c r="I99" s="11"/>
      <c r="J99" s="11"/>
      <c r="K99" s="11"/>
      <c r="L99" s="11"/>
      <c r="M99" s="11"/>
      <c r="N99" s="11"/>
      <c r="O99" s="12"/>
      <c r="P99" s="11"/>
      <c r="Q99" s="13"/>
      <c r="R99" s="14"/>
    </row>
    <row r="100" spans="1:18" ht="15" customHeight="1" x14ac:dyDescent="0.3">
      <c r="A100" s="15" t="s">
        <v>51</v>
      </c>
      <c r="B100" s="15" t="s">
        <v>69</v>
      </c>
      <c r="C100" s="16">
        <v>0.30208333333333331</v>
      </c>
      <c r="D100" s="15" t="s">
        <v>53</v>
      </c>
      <c r="E100" s="15" t="s">
        <v>65</v>
      </c>
      <c r="F100" s="15" t="s">
        <v>162</v>
      </c>
      <c r="G100" s="196"/>
      <c r="H100" s="10"/>
      <c r="I100" s="11"/>
      <c r="J100" s="11"/>
      <c r="K100" s="11"/>
      <c r="L100" s="11"/>
      <c r="M100" s="11"/>
      <c r="N100" s="11"/>
      <c r="O100" s="12"/>
      <c r="P100" s="11"/>
      <c r="Q100" s="13"/>
      <c r="R100" s="14"/>
    </row>
    <row r="101" spans="1:18" ht="15" customHeight="1" x14ac:dyDescent="0.3">
      <c r="A101" s="19" t="s">
        <v>51</v>
      </c>
      <c r="B101" s="19" t="s">
        <v>69</v>
      </c>
      <c r="C101" s="20">
        <v>0.30208333333333331</v>
      </c>
      <c r="D101" s="19" t="s">
        <v>56</v>
      </c>
      <c r="E101" s="19" t="s">
        <v>41</v>
      </c>
      <c r="F101" s="19" t="s">
        <v>164</v>
      </c>
      <c r="G101" s="196"/>
      <c r="H101" s="10"/>
      <c r="I101" s="11"/>
      <c r="J101" s="11"/>
      <c r="K101" s="11"/>
      <c r="L101" s="11"/>
      <c r="M101" s="11"/>
      <c r="N101" s="11"/>
      <c r="O101" s="12"/>
      <c r="P101" s="11"/>
      <c r="Q101" s="13"/>
      <c r="R101" s="14"/>
    </row>
    <row r="102" spans="1:18" ht="15" customHeight="1" x14ac:dyDescent="0.3">
      <c r="A102" s="19" t="s">
        <v>51</v>
      </c>
      <c r="B102" s="19" t="s">
        <v>69</v>
      </c>
      <c r="C102" s="20">
        <v>0.30208333333333331</v>
      </c>
      <c r="D102" s="19" t="s">
        <v>59</v>
      </c>
      <c r="E102" s="19" t="s">
        <v>41</v>
      </c>
      <c r="F102" s="19" t="s">
        <v>33</v>
      </c>
      <c r="G102" s="196"/>
      <c r="H102" s="10"/>
      <c r="I102" s="11"/>
      <c r="J102" s="11"/>
      <c r="K102" s="11"/>
      <c r="L102" s="11"/>
      <c r="M102" s="11"/>
      <c r="N102" s="11"/>
      <c r="O102" s="12"/>
      <c r="P102" s="11"/>
      <c r="Q102" s="13"/>
      <c r="R102" s="14"/>
    </row>
    <row r="103" spans="1:18" ht="15" customHeight="1" x14ac:dyDescent="0.3">
      <c r="A103" s="15" t="s">
        <v>51</v>
      </c>
      <c r="B103" s="15" t="s">
        <v>52</v>
      </c>
      <c r="C103" s="16">
        <v>0.90277777777777779</v>
      </c>
      <c r="D103" s="15" t="s">
        <v>53</v>
      </c>
      <c r="E103" s="15" t="s">
        <v>158</v>
      </c>
      <c r="F103" s="15" t="s">
        <v>55</v>
      </c>
      <c r="G103" s="196"/>
      <c r="H103" s="10"/>
      <c r="I103" s="11"/>
      <c r="J103" s="11"/>
      <c r="K103" s="11"/>
      <c r="L103" s="11"/>
      <c r="M103" s="11"/>
      <c r="N103" s="11"/>
      <c r="O103" s="12"/>
      <c r="P103" s="11"/>
      <c r="Q103" s="13"/>
      <c r="R103" s="14"/>
    </row>
    <row r="104" spans="1:18" ht="15" customHeight="1" x14ac:dyDescent="0.3">
      <c r="A104" s="19" t="s">
        <v>51</v>
      </c>
      <c r="B104" s="19" t="s">
        <v>52</v>
      </c>
      <c r="C104" s="20">
        <v>0.90277777777777779</v>
      </c>
      <c r="D104" s="19" t="s">
        <v>56</v>
      </c>
      <c r="E104" s="19" t="s">
        <v>57</v>
      </c>
      <c r="F104" s="19" t="s">
        <v>58</v>
      </c>
      <c r="G104" s="196"/>
      <c r="H104" s="10"/>
      <c r="I104" s="11"/>
      <c r="J104" s="11"/>
      <c r="K104" s="11"/>
      <c r="L104" s="11"/>
      <c r="M104" s="11"/>
      <c r="N104" s="11"/>
      <c r="O104" s="12"/>
      <c r="P104" s="11"/>
      <c r="Q104" s="13"/>
      <c r="R104" s="14"/>
    </row>
    <row r="105" spans="1:18" ht="15" customHeight="1" x14ac:dyDescent="0.3">
      <c r="A105" s="19" t="s">
        <v>51</v>
      </c>
      <c r="B105" s="19" t="s">
        <v>52</v>
      </c>
      <c r="C105" s="20">
        <v>0.90277777777777779</v>
      </c>
      <c r="D105" s="19" t="s">
        <v>59</v>
      </c>
      <c r="E105" s="19" t="s">
        <v>57</v>
      </c>
      <c r="F105" s="19" t="s">
        <v>60</v>
      </c>
      <c r="G105" s="196"/>
      <c r="H105" s="10"/>
      <c r="I105" s="11"/>
      <c r="J105" s="11"/>
      <c r="K105" s="11"/>
      <c r="L105" s="11"/>
      <c r="M105" s="11"/>
      <c r="N105" s="11"/>
      <c r="O105" s="12"/>
      <c r="P105" s="11"/>
      <c r="Q105" s="13"/>
      <c r="R105" s="14"/>
    </row>
    <row r="106" spans="1:18" ht="15" customHeight="1" x14ac:dyDescent="0.3">
      <c r="A106" s="15" t="s">
        <v>51</v>
      </c>
      <c r="B106" s="15" t="s">
        <v>61</v>
      </c>
      <c r="C106" s="16">
        <v>0.64583333333333337</v>
      </c>
      <c r="D106" s="15" t="s">
        <v>53</v>
      </c>
      <c r="E106" s="15" t="s">
        <v>62</v>
      </c>
      <c r="F106" s="15" t="s">
        <v>55</v>
      </c>
      <c r="G106" s="196"/>
      <c r="H106" s="10"/>
      <c r="I106" s="11"/>
      <c r="J106" s="11"/>
      <c r="K106" s="11"/>
      <c r="L106" s="11"/>
      <c r="M106" s="11"/>
      <c r="N106" s="11"/>
      <c r="O106" s="12"/>
      <c r="P106" s="11"/>
      <c r="Q106" s="13"/>
      <c r="R106" s="14"/>
    </row>
    <row r="107" spans="1:18" ht="15" customHeight="1" x14ac:dyDescent="0.3">
      <c r="A107" s="19" t="s">
        <v>51</v>
      </c>
      <c r="B107" s="19" t="s">
        <v>61</v>
      </c>
      <c r="C107" s="20">
        <v>0.64583333333333337</v>
      </c>
      <c r="D107" s="19" t="s">
        <v>56</v>
      </c>
      <c r="E107" s="19" t="s">
        <v>63</v>
      </c>
      <c r="F107" s="19" t="s">
        <v>58</v>
      </c>
      <c r="G107" s="196"/>
      <c r="H107" s="10"/>
      <c r="I107" s="11"/>
      <c r="J107" s="11"/>
      <c r="K107" s="11"/>
      <c r="L107" s="11"/>
      <c r="M107" s="11"/>
      <c r="N107" s="11"/>
      <c r="O107" s="12"/>
      <c r="P107" s="11"/>
      <c r="Q107" s="13"/>
      <c r="R107" s="14"/>
    </row>
    <row r="108" spans="1:18" ht="15" customHeight="1" x14ac:dyDescent="0.3">
      <c r="A108" s="19" t="s">
        <v>51</v>
      </c>
      <c r="B108" s="19" t="s">
        <v>61</v>
      </c>
      <c r="C108" s="20">
        <v>0.64583333333333337</v>
      </c>
      <c r="D108" s="19" t="s">
        <v>59</v>
      </c>
      <c r="E108" s="19" t="s">
        <v>63</v>
      </c>
      <c r="F108" s="19" t="s">
        <v>60</v>
      </c>
      <c r="G108" s="196"/>
      <c r="H108" s="10"/>
      <c r="I108" s="11"/>
      <c r="J108" s="11"/>
      <c r="K108" s="11"/>
      <c r="L108" s="11"/>
      <c r="M108" s="11"/>
      <c r="N108" s="11"/>
      <c r="O108" s="12"/>
      <c r="P108" s="11"/>
      <c r="Q108" s="13"/>
      <c r="R108" s="14"/>
    </row>
    <row r="109" spans="1:18" ht="15" customHeight="1" x14ac:dyDescent="0.3">
      <c r="A109" s="15" t="s">
        <v>51</v>
      </c>
      <c r="B109" s="15" t="s">
        <v>64</v>
      </c>
      <c r="C109" s="16">
        <v>0.51736111111111105</v>
      </c>
      <c r="D109" s="15" t="s">
        <v>53</v>
      </c>
      <c r="E109" s="15" t="s">
        <v>65</v>
      </c>
      <c r="F109" s="15" t="s">
        <v>55</v>
      </c>
      <c r="G109" s="196"/>
      <c r="H109" s="10"/>
      <c r="I109" s="11"/>
      <c r="J109" s="11"/>
      <c r="K109" s="11"/>
      <c r="L109" s="11"/>
      <c r="M109" s="11"/>
      <c r="N109" s="11"/>
      <c r="O109" s="12"/>
      <c r="P109" s="11"/>
      <c r="Q109" s="13"/>
      <c r="R109" s="14"/>
    </row>
    <row r="110" spans="1:18" ht="15" customHeight="1" x14ac:dyDescent="0.3">
      <c r="A110" s="19" t="s">
        <v>51</v>
      </c>
      <c r="B110" s="19" t="s">
        <v>64</v>
      </c>
      <c r="C110" s="20">
        <v>0.51736111111111105</v>
      </c>
      <c r="D110" s="19" t="s">
        <v>56</v>
      </c>
      <c r="E110" s="19" t="s">
        <v>41</v>
      </c>
      <c r="F110" s="19" t="s">
        <v>58</v>
      </c>
      <c r="G110" s="196"/>
      <c r="H110" s="10"/>
      <c r="I110" s="11"/>
      <c r="J110" s="11"/>
      <c r="K110" s="11"/>
      <c r="L110" s="11"/>
      <c r="M110" s="11"/>
      <c r="N110" s="11"/>
      <c r="O110" s="12"/>
      <c r="P110" s="11"/>
      <c r="Q110" s="13"/>
      <c r="R110" s="14"/>
    </row>
    <row r="111" spans="1:18" ht="15" customHeight="1" x14ac:dyDescent="0.3">
      <c r="A111" s="19" t="s">
        <v>51</v>
      </c>
      <c r="B111" s="19" t="s">
        <v>64</v>
      </c>
      <c r="C111" s="20">
        <v>0.51736111111111105</v>
      </c>
      <c r="D111" s="19" t="s">
        <v>59</v>
      </c>
      <c r="E111" s="19" t="s">
        <v>41</v>
      </c>
      <c r="F111" s="19" t="s">
        <v>60</v>
      </c>
      <c r="G111" s="196"/>
      <c r="H111" s="10"/>
      <c r="I111" s="11"/>
      <c r="J111" s="11"/>
      <c r="K111" s="11"/>
      <c r="L111" s="11"/>
      <c r="M111" s="11"/>
      <c r="N111" s="11"/>
      <c r="O111" s="12"/>
      <c r="P111" s="11"/>
      <c r="Q111" s="13"/>
      <c r="R111" s="14"/>
    </row>
    <row r="112" spans="1:18" ht="15" customHeight="1" x14ac:dyDescent="0.3">
      <c r="A112" s="15" t="s">
        <v>51</v>
      </c>
      <c r="B112" s="15" t="s">
        <v>75</v>
      </c>
      <c r="C112" s="16">
        <v>0.39583333333333331</v>
      </c>
      <c r="D112" s="15" t="s">
        <v>53</v>
      </c>
      <c r="E112" s="15" t="s">
        <v>65</v>
      </c>
      <c r="F112" s="15" t="s">
        <v>55</v>
      </c>
      <c r="G112" s="196"/>
      <c r="H112" s="10"/>
      <c r="I112" s="11"/>
      <c r="J112" s="11"/>
      <c r="K112" s="11"/>
      <c r="L112" s="11"/>
      <c r="M112" s="11"/>
      <c r="N112" s="11"/>
      <c r="O112" s="12"/>
      <c r="P112" s="11"/>
      <c r="Q112" s="13"/>
      <c r="R112" s="14"/>
    </row>
    <row r="113" spans="1:18" ht="15" customHeight="1" x14ac:dyDescent="0.3">
      <c r="A113" s="19" t="s">
        <v>51</v>
      </c>
      <c r="B113" s="19" t="s">
        <v>75</v>
      </c>
      <c r="C113" s="20">
        <v>0.39583333333333331</v>
      </c>
      <c r="D113" s="19" t="s">
        <v>56</v>
      </c>
      <c r="E113" s="19" t="s">
        <v>41</v>
      </c>
      <c r="F113" s="19" t="s">
        <v>58</v>
      </c>
      <c r="G113" s="196"/>
      <c r="H113" s="10"/>
      <c r="I113" s="11"/>
      <c r="J113" s="11"/>
      <c r="K113" s="11"/>
      <c r="L113" s="11"/>
      <c r="M113" s="11"/>
      <c r="N113" s="11"/>
      <c r="O113" s="12"/>
      <c r="P113" s="11"/>
      <c r="Q113" s="13"/>
      <c r="R113" s="14"/>
    </row>
    <row r="114" spans="1:18" ht="15" customHeight="1" x14ac:dyDescent="0.3">
      <c r="A114" s="19" t="s">
        <v>51</v>
      </c>
      <c r="B114" s="19" t="s">
        <v>75</v>
      </c>
      <c r="C114" s="20">
        <v>0.39583333333333331</v>
      </c>
      <c r="D114" s="19" t="s">
        <v>59</v>
      </c>
      <c r="E114" s="19" t="s">
        <v>41</v>
      </c>
      <c r="F114" s="19" t="s">
        <v>60</v>
      </c>
      <c r="G114" s="196"/>
      <c r="H114" s="10"/>
      <c r="I114" s="11"/>
      <c r="J114" s="11"/>
      <c r="K114" s="11"/>
      <c r="L114" s="11"/>
      <c r="M114" s="11"/>
      <c r="N114" s="11"/>
      <c r="O114" s="12"/>
      <c r="P114" s="11"/>
      <c r="Q114" s="13"/>
      <c r="R114" s="14"/>
    </row>
    <row r="115" spans="1:18" ht="15" customHeight="1" x14ac:dyDescent="0.3">
      <c r="A115" s="15" t="s">
        <v>51</v>
      </c>
      <c r="B115" s="15" t="s">
        <v>70</v>
      </c>
      <c r="C115" s="16">
        <v>0.79861111111111116</v>
      </c>
      <c r="D115" s="15" t="s">
        <v>53</v>
      </c>
      <c r="E115" s="15" t="s">
        <v>84</v>
      </c>
      <c r="F115" s="15" t="s">
        <v>55</v>
      </c>
      <c r="G115" s="196"/>
      <c r="H115" s="10"/>
      <c r="I115" s="11"/>
      <c r="J115" s="11"/>
      <c r="K115" s="11"/>
      <c r="L115" s="11"/>
      <c r="M115" s="11"/>
      <c r="N115" s="11"/>
      <c r="O115" s="12"/>
      <c r="P115" s="11"/>
      <c r="Q115" s="13"/>
      <c r="R115" s="14"/>
    </row>
    <row r="116" spans="1:18" ht="15" customHeight="1" x14ac:dyDescent="0.3">
      <c r="A116" s="19" t="s">
        <v>51</v>
      </c>
      <c r="B116" s="19" t="s">
        <v>70</v>
      </c>
      <c r="C116" s="20">
        <v>0.79861111111111116</v>
      </c>
      <c r="D116" s="19" t="s">
        <v>56</v>
      </c>
      <c r="E116" s="19" t="s">
        <v>163</v>
      </c>
      <c r="F116" s="19" t="s">
        <v>58</v>
      </c>
      <c r="G116" s="196"/>
      <c r="H116" s="10"/>
      <c r="I116" s="11"/>
      <c r="J116" s="11"/>
      <c r="K116" s="11"/>
      <c r="L116" s="11"/>
      <c r="M116" s="11"/>
      <c r="N116" s="11"/>
      <c r="O116" s="12"/>
      <c r="P116" s="11"/>
      <c r="Q116" s="13"/>
      <c r="R116" s="14"/>
    </row>
    <row r="117" spans="1:18" ht="15" customHeight="1" x14ac:dyDescent="0.3">
      <c r="A117" s="19" t="s">
        <v>51</v>
      </c>
      <c r="B117" s="19" t="s">
        <v>70</v>
      </c>
      <c r="C117" s="20">
        <v>0.79861111111111116</v>
      </c>
      <c r="D117" s="19" t="s">
        <v>59</v>
      </c>
      <c r="E117" s="19" t="s">
        <v>163</v>
      </c>
      <c r="F117" s="19" t="s">
        <v>60</v>
      </c>
      <c r="G117" s="196"/>
      <c r="H117" s="10"/>
      <c r="I117" s="11"/>
      <c r="J117" s="11"/>
      <c r="K117" s="11"/>
      <c r="L117" s="11"/>
      <c r="M117" s="11"/>
      <c r="N117" s="11"/>
      <c r="O117" s="12"/>
      <c r="P117" s="11"/>
      <c r="Q117" s="13"/>
      <c r="R117" s="14"/>
    </row>
    <row r="118" spans="1:18" ht="15" customHeight="1" x14ac:dyDescent="0.3">
      <c r="A118" s="15" t="s">
        <v>51</v>
      </c>
      <c r="B118" s="15" t="s">
        <v>66</v>
      </c>
      <c r="C118" s="16">
        <v>0.85416666666666663</v>
      </c>
      <c r="D118" s="15" t="s">
        <v>53</v>
      </c>
      <c r="E118" s="15" t="s">
        <v>67</v>
      </c>
      <c r="F118" s="15" t="s">
        <v>72</v>
      </c>
      <c r="G118" s="196"/>
      <c r="H118" s="10"/>
      <c r="I118" s="11"/>
      <c r="J118" s="11"/>
      <c r="K118" s="11"/>
      <c r="L118" s="11"/>
      <c r="M118" s="11"/>
      <c r="N118" s="11"/>
      <c r="O118" s="12"/>
      <c r="P118" s="11"/>
      <c r="Q118" s="13"/>
      <c r="R118" s="14"/>
    </row>
    <row r="119" spans="1:18" ht="15" customHeight="1" x14ac:dyDescent="0.3">
      <c r="A119" s="19" t="s">
        <v>51</v>
      </c>
      <c r="B119" s="19" t="s">
        <v>66</v>
      </c>
      <c r="C119" s="20">
        <v>0.85416666666666663</v>
      </c>
      <c r="D119" s="19" t="s">
        <v>56</v>
      </c>
      <c r="E119" s="19" t="s">
        <v>68</v>
      </c>
      <c r="F119" s="19" t="s">
        <v>73</v>
      </c>
      <c r="G119" s="196"/>
      <c r="H119" s="10"/>
      <c r="I119" s="11"/>
      <c r="J119" s="11"/>
      <c r="K119" s="11"/>
      <c r="L119" s="11"/>
      <c r="M119" s="11"/>
      <c r="N119" s="11"/>
      <c r="O119" s="12"/>
      <c r="P119" s="11"/>
      <c r="Q119" s="13"/>
      <c r="R119" s="14"/>
    </row>
    <row r="120" spans="1:18" ht="15" customHeight="1" x14ac:dyDescent="0.3">
      <c r="A120" s="19" t="s">
        <v>51</v>
      </c>
      <c r="B120" s="19" t="s">
        <v>66</v>
      </c>
      <c r="C120" s="20">
        <v>0.85416666666666663</v>
      </c>
      <c r="D120" s="19" t="s">
        <v>59</v>
      </c>
      <c r="E120" s="19" t="s">
        <v>68</v>
      </c>
      <c r="F120" s="19" t="s">
        <v>74</v>
      </c>
      <c r="G120" s="196"/>
      <c r="H120" s="10"/>
      <c r="I120" s="11"/>
      <c r="J120" s="11"/>
      <c r="K120" s="11"/>
      <c r="L120" s="11"/>
      <c r="M120" s="11"/>
      <c r="N120" s="11"/>
      <c r="O120" s="12"/>
      <c r="P120" s="11"/>
      <c r="Q120" s="13"/>
      <c r="R120" s="14"/>
    </row>
    <row r="121" spans="1:18" ht="15" customHeight="1" x14ac:dyDescent="0.3">
      <c r="A121" s="21" t="s">
        <v>76</v>
      </c>
      <c r="B121" s="21" t="s">
        <v>165</v>
      </c>
      <c r="C121" s="22">
        <v>0.52083333333333337</v>
      </c>
      <c r="D121" s="21" t="s">
        <v>78</v>
      </c>
      <c r="E121" s="21" t="s">
        <v>113</v>
      </c>
      <c r="F121" s="21" t="s">
        <v>79</v>
      </c>
      <c r="G121" s="196"/>
      <c r="H121" s="23" t="s">
        <v>103</v>
      </c>
      <c r="I121" s="24">
        <v>0.63690000000000002</v>
      </c>
      <c r="J121" s="25">
        <v>114</v>
      </c>
      <c r="K121" s="26">
        <v>45980</v>
      </c>
      <c r="L121" s="25">
        <v>47</v>
      </c>
      <c r="M121" s="25">
        <v>0</v>
      </c>
      <c r="N121" s="25">
        <v>5</v>
      </c>
      <c r="O121" s="27" t="s">
        <v>166</v>
      </c>
      <c r="P121" s="28">
        <v>0.52083333333333337</v>
      </c>
      <c r="Q121" s="25">
        <v>179</v>
      </c>
      <c r="R121" s="29" t="s">
        <v>167</v>
      </c>
    </row>
    <row r="122" spans="1:18" ht="15" customHeight="1" x14ac:dyDescent="0.3">
      <c r="A122" s="67" t="s">
        <v>76</v>
      </c>
      <c r="B122" s="67" t="s">
        <v>77</v>
      </c>
      <c r="C122" s="68">
        <v>0.51736111111111105</v>
      </c>
      <c r="D122" s="67" t="s">
        <v>78</v>
      </c>
      <c r="E122" s="67" t="s">
        <v>116</v>
      </c>
      <c r="F122" s="67" t="s">
        <v>79</v>
      </c>
      <c r="G122" s="196"/>
      <c r="H122" s="70" t="s">
        <v>80</v>
      </c>
      <c r="I122" s="92">
        <v>0.36309999999999998</v>
      </c>
      <c r="J122" s="72">
        <v>65</v>
      </c>
      <c r="K122" s="73">
        <v>45980</v>
      </c>
      <c r="L122" s="72">
        <v>49</v>
      </c>
      <c r="M122" s="72">
        <v>0</v>
      </c>
      <c r="N122" s="72">
        <v>1</v>
      </c>
      <c r="O122" s="74" t="s">
        <v>166</v>
      </c>
      <c r="P122" s="75">
        <v>0.51736111111111105</v>
      </c>
      <c r="Q122" s="72">
        <v>179</v>
      </c>
      <c r="R122" s="76" t="s">
        <v>168</v>
      </c>
    </row>
    <row r="123" spans="1:18" ht="15" customHeight="1" x14ac:dyDescent="0.3">
      <c r="A123" s="93" t="s">
        <v>76</v>
      </c>
      <c r="B123" s="93" t="s">
        <v>93</v>
      </c>
      <c r="C123" s="94">
        <v>0.61458333333333337</v>
      </c>
      <c r="D123" s="93" t="s">
        <v>78</v>
      </c>
      <c r="E123" s="93" t="s">
        <v>62</v>
      </c>
      <c r="F123" s="93" t="s">
        <v>79</v>
      </c>
      <c r="G123" s="196"/>
      <c r="H123" s="95" t="s">
        <v>95</v>
      </c>
      <c r="I123" s="96">
        <v>0.6089</v>
      </c>
      <c r="J123" s="97">
        <v>109</v>
      </c>
      <c r="K123" s="98">
        <v>45980</v>
      </c>
      <c r="L123" s="97">
        <v>40</v>
      </c>
      <c r="M123" s="97">
        <v>0</v>
      </c>
      <c r="N123" s="97">
        <v>4</v>
      </c>
      <c r="O123" s="99" t="s">
        <v>169</v>
      </c>
      <c r="P123" s="100">
        <v>0.61458333333333337</v>
      </c>
      <c r="Q123" s="97">
        <v>179</v>
      </c>
      <c r="R123" s="101" t="s">
        <v>170</v>
      </c>
    </row>
    <row r="124" spans="1:18" ht="15" customHeight="1" x14ac:dyDescent="0.3">
      <c r="A124" s="17" t="s">
        <v>105</v>
      </c>
      <c r="B124" s="17" t="s">
        <v>171</v>
      </c>
      <c r="C124" s="18">
        <v>0.3923611111111111</v>
      </c>
      <c r="D124" s="17" t="s">
        <v>107</v>
      </c>
      <c r="E124" s="17" t="s">
        <v>108</v>
      </c>
      <c r="F124" s="17" t="s">
        <v>109</v>
      </c>
      <c r="G124" s="196"/>
      <c r="H124" s="10"/>
      <c r="I124" s="11"/>
      <c r="J124" s="11"/>
      <c r="K124" s="11"/>
      <c r="L124" s="11"/>
      <c r="M124" s="11"/>
      <c r="N124" s="11"/>
      <c r="O124" s="12"/>
      <c r="P124" s="11"/>
      <c r="Q124" s="13"/>
      <c r="R124" s="14"/>
    </row>
    <row r="125" spans="1:18" ht="15" customHeight="1" x14ac:dyDescent="0.3">
      <c r="A125" s="19" t="s">
        <v>105</v>
      </c>
      <c r="B125" s="19" t="s">
        <v>171</v>
      </c>
      <c r="C125" s="20">
        <v>0.3923611111111111</v>
      </c>
      <c r="D125" s="19" t="s">
        <v>43</v>
      </c>
      <c r="E125" s="19" t="s">
        <v>49</v>
      </c>
      <c r="F125" s="19" t="s">
        <v>172</v>
      </c>
      <c r="G125" s="196"/>
      <c r="H125" s="10"/>
      <c r="I125" s="11"/>
      <c r="J125" s="11"/>
      <c r="K125" s="11"/>
      <c r="L125" s="11"/>
      <c r="M125" s="11"/>
      <c r="N125" s="11"/>
      <c r="O125" s="12"/>
      <c r="P125" s="11"/>
      <c r="Q125" s="13"/>
      <c r="R125" s="14"/>
    </row>
    <row r="126" spans="1:18" ht="15" customHeight="1" x14ac:dyDescent="0.3">
      <c r="A126" s="17" t="s">
        <v>111</v>
      </c>
      <c r="B126" s="17" t="s">
        <v>112</v>
      </c>
      <c r="C126" s="18">
        <v>0.27083333333333331</v>
      </c>
      <c r="D126" s="17" t="s">
        <v>28</v>
      </c>
      <c r="E126" s="17" t="s">
        <v>113</v>
      </c>
      <c r="F126" s="17" t="s">
        <v>114</v>
      </c>
      <c r="G126" s="196"/>
      <c r="H126" s="10"/>
      <c r="I126" s="11"/>
      <c r="J126" s="11"/>
      <c r="K126" s="11"/>
      <c r="L126" s="11"/>
      <c r="M126" s="11"/>
      <c r="N126" s="11"/>
      <c r="O126" s="12"/>
      <c r="P126" s="11"/>
      <c r="Q126" s="13"/>
      <c r="R126" s="14"/>
    </row>
    <row r="127" spans="1:18" ht="15" customHeight="1" x14ac:dyDescent="0.3">
      <c r="A127" s="15" t="s">
        <v>111</v>
      </c>
      <c r="B127" s="15" t="s">
        <v>115</v>
      </c>
      <c r="C127" s="16">
        <v>0.86111111111111116</v>
      </c>
      <c r="D127" s="15" t="s">
        <v>28</v>
      </c>
      <c r="E127" s="15" t="s">
        <v>84</v>
      </c>
      <c r="F127" s="15" t="s">
        <v>173</v>
      </c>
      <c r="G127" s="196"/>
      <c r="H127" s="10"/>
      <c r="I127" s="11"/>
      <c r="J127" s="11"/>
      <c r="K127" s="11"/>
      <c r="L127" s="11"/>
      <c r="M127" s="11"/>
      <c r="N127" s="11"/>
      <c r="O127" s="12"/>
      <c r="P127" s="11"/>
      <c r="Q127" s="13"/>
      <c r="R127" s="14"/>
    </row>
    <row r="128" spans="1:18" ht="15" customHeight="1" x14ac:dyDescent="0.3">
      <c r="A128" s="17" t="s">
        <v>140</v>
      </c>
      <c r="B128" s="17" t="s">
        <v>174</v>
      </c>
      <c r="C128" s="18">
        <v>0.78472222222222221</v>
      </c>
      <c r="D128" s="17" t="s">
        <v>142</v>
      </c>
      <c r="E128" s="17" t="s">
        <v>113</v>
      </c>
      <c r="F128" s="17" t="s">
        <v>175</v>
      </c>
      <c r="G128" s="196"/>
      <c r="H128" s="10"/>
      <c r="I128" s="11"/>
      <c r="J128" s="11"/>
      <c r="K128" s="11"/>
      <c r="L128" s="11"/>
      <c r="M128" s="11"/>
      <c r="N128" s="11"/>
      <c r="O128" s="12"/>
      <c r="P128" s="11"/>
      <c r="Q128" s="13"/>
      <c r="R128" s="14"/>
    </row>
    <row r="129" spans="1:18" ht="15" customHeight="1" x14ac:dyDescent="0.3">
      <c r="A129" s="15" t="s">
        <v>140</v>
      </c>
      <c r="B129" s="15" t="s">
        <v>149</v>
      </c>
      <c r="C129" s="16">
        <v>0.14583333333333329</v>
      </c>
      <c r="D129" s="15" t="s">
        <v>142</v>
      </c>
      <c r="E129" s="15" t="s">
        <v>116</v>
      </c>
      <c r="F129" s="15" t="s">
        <v>176</v>
      </c>
      <c r="G129" s="196"/>
      <c r="H129" s="10"/>
      <c r="I129" s="11"/>
      <c r="J129" s="11"/>
      <c r="K129" s="11"/>
      <c r="L129" s="11"/>
      <c r="M129" s="11"/>
      <c r="N129" s="11"/>
      <c r="O129" s="12"/>
      <c r="P129" s="11"/>
      <c r="Q129" s="13"/>
      <c r="R129" s="14"/>
    </row>
    <row r="130" spans="1:18" ht="15" customHeight="1" x14ac:dyDescent="0.3">
      <c r="A130" s="15" t="s">
        <v>140</v>
      </c>
      <c r="B130" s="15" t="s">
        <v>141</v>
      </c>
      <c r="C130" s="16">
        <v>0.4861111111111111</v>
      </c>
      <c r="D130" s="15" t="s">
        <v>142</v>
      </c>
      <c r="E130" s="15" t="s">
        <v>116</v>
      </c>
      <c r="F130" s="15" t="s">
        <v>177</v>
      </c>
      <c r="G130" s="196"/>
      <c r="H130" s="10"/>
      <c r="I130" s="11"/>
      <c r="J130" s="11"/>
      <c r="K130" s="11"/>
      <c r="L130" s="11"/>
      <c r="M130" s="11"/>
      <c r="N130" s="11"/>
      <c r="O130" s="12"/>
      <c r="P130" s="11"/>
      <c r="Q130" s="13"/>
      <c r="R130" s="14"/>
    </row>
    <row r="131" spans="1:18" ht="15" customHeight="1" x14ac:dyDescent="0.3">
      <c r="A131" s="15" t="s">
        <v>140</v>
      </c>
      <c r="B131" s="15" t="s">
        <v>150</v>
      </c>
      <c r="C131" s="16">
        <v>0.27430555555555552</v>
      </c>
      <c r="D131" s="15" t="s">
        <v>142</v>
      </c>
      <c r="E131" s="15" t="s">
        <v>116</v>
      </c>
      <c r="F131" s="15" t="s">
        <v>177</v>
      </c>
      <c r="G131" s="196"/>
      <c r="H131" s="10"/>
      <c r="I131" s="11"/>
      <c r="J131" s="11"/>
      <c r="K131" s="11"/>
      <c r="L131" s="11"/>
      <c r="M131" s="11"/>
      <c r="N131" s="11"/>
      <c r="O131" s="12"/>
      <c r="P131" s="11"/>
      <c r="Q131" s="13"/>
      <c r="R131" s="14"/>
    </row>
    <row r="132" spans="1:18" ht="15" customHeight="1" x14ac:dyDescent="0.3">
      <c r="A132" s="15" t="s">
        <v>140</v>
      </c>
      <c r="B132" s="15" t="s">
        <v>144</v>
      </c>
      <c r="C132" s="16">
        <v>0.50694444444444442</v>
      </c>
      <c r="D132" s="15" t="s">
        <v>142</v>
      </c>
      <c r="E132" s="15" t="s">
        <v>116</v>
      </c>
      <c r="F132" s="15" t="s">
        <v>177</v>
      </c>
      <c r="G132" s="196"/>
      <c r="H132" s="10"/>
      <c r="I132" s="11"/>
      <c r="J132" s="11"/>
      <c r="K132" s="11"/>
      <c r="L132" s="11"/>
      <c r="M132" s="11"/>
      <c r="N132" s="11"/>
      <c r="O132" s="12"/>
      <c r="P132" s="11"/>
      <c r="Q132" s="13"/>
      <c r="R132" s="14"/>
    </row>
    <row r="133" spans="1:18" ht="15" customHeight="1" x14ac:dyDescent="0.3">
      <c r="A133" s="15" t="s">
        <v>140</v>
      </c>
      <c r="B133" s="15" t="s">
        <v>145</v>
      </c>
      <c r="C133" s="16">
        <v>0.22222222222222221</v>
      </c>
      <c r="D133" s="15" t="s">
        <v>142</v>
      </c>
      <c r="E133" s="15" t="s">
        <v>116</v>
      </c>
      <c r="F133" s="15" t="s">
        <v>177</v>
      </c>
      <c r="G133" s="196"/>
      <c r="H133" s="10"/>
      <c r="I133" s="11"/>
      <c r="J133" s="11"/>
      <c r="K133" s="11"/>
      <c r="L133" s="11"/>
      <c r="M133" s="11"/>
      <c r="N133" s="11"/>
      <c r="O133" s="12"/>
      <c r="P133" s="11"/>
      <c r="Q133" s="13"/>
      <c r="R133" s="14"/>
    </row>
    <row r="134" spans="1:18" ht="15" customHeight="1" x14ac:dyDescent="0.3">
      <c r="A134" s="15" t="s">
        <v>140</v>
      </c>
      <c r="B134" s="15" t="s">
        <v>178</v>
      </c>
      <c r="C134" s="16">
        <v>0.95833333333333337</v>
      </c>
      <c r="D134" s="15" t="s">
        <v>142</v>
      </c>
      <c r="E134" s="15" t="s">
        <v>116</v>
      </c>
      <c r="F134" s="15" t="s">
        <v>143</v>
      </c>
      <c r="G134" s="196"/>
      <c r="H134" s="10"/>
      <c r="I134" s="11"/>
      <c r="J134" s="11"/>
      <c r="K134" s="11"/>
      <c r="L134" s="11"/>
      <c r="M134" s="11"/>
      <c r="N134" s="11"/>
      <c r="O134" s="12"/>
      <c r="P134" s="11"/>
      <c r="Q134" s="13"/>
      <c r="R134" s="14"/>
    </row>
    <row r="135" spans="1:18" ht="15" customHeight="1" x14ac:dyDescent="0.3">
      <c r="A135" s="15" t="s">
        <v>140</v>
      </c>
      <c r="B135" s="15" t="s">
        <v>147</v>
      </c>
      <c r="C135" s="16">
        <v>1.388888888888889E-2</v>
      </c>
      <c r="D135" s="15" t="s">
        <v>142</v>
      </c>
      <c r="E135" s="15" t="s">
        <v>116</v>
      </c>
      <c r="F135" s="15" t="s">
        <v>148</v>
      </c>
      <c r="G135" s="196"/>
      <c r="H135" s="10"/>
      <c r="I135" s="11"/>
      <c r="J135" s="11"/>
      <c r="K135" s="11"/>
      <c r="L135" s="11"/>
      <c r="M135" s="11"/>
      <c r="N135" s="11"/>
      <c r="O135" s="12"/>
      <c r="P135" s="11"/>
      <c r="Q135" s="13"/>
      <c r="R135" s="14"/>
    </row>
    <row r="136" spans="1:18" ht="15" customHeight="1" x14ac:dyDescent="0.3">
      <c r="A136" s="15" t="s">
        <v>140</v>
      </c>
      <c r="B136" s="15" t="s">
        <v>152</v>
      </c>
      <c r="C136" s="16">
        <v>0.77430555555555547</v>
      </c>
      <c r="D136" s="15" t="s">
        <v>142</v>
      </c>
      <c r="E136" s="15" t="s">
        <v>84</v>
      </c>
      <c r="F136" s="15" t="s">
        <v>153</v>
      </c>
      <c r="G136" s="196"/>
      <c r="H136" s="10"/>
      <c r="I136" s="11"/>
      <c r="J136" s="11"/>
      <c r="K136" s="11"/>
      <c r="L136" s="11"/>
      <c r="M136" s="11"/>
      <c r="N136" s="11"/>
      <c r="O136" s="12"/>
      <c r="P136" s="11"/>
      <c r="Q136" s="13"/>
      <c r="R136" s="14"/>
    </row>
    <row r="137" spans="1:18" ht="15" customHeight="1" x14ac:dyDescent="0.3">
      <c r="A137" s="17" t="s">
        <v>118</v>
      </c>
      <c r="B137" s="17" t="s">
        <v>129</v>
      </c>
      <c r="C137" s="18">
        <v>0.1423611111111111</v>
      </c>
      <c r="D137" s="17" t="s">
        <v>120</v>
      </c>
      <c r="E137" s="17" t="s">
        <v>113</v>
      </c>
      <c r="F137" s="17" t="s">
        <v>121</v>
      </c>
      <c r="G137" s="196"/>
      <c r="H137" s="10"/>
      <c r="I137" s="11"/>
      <c r="J137" s="11"/>
      <c r="K137" s="11"/>
      <c r="L137" s="11"/>
      <c r="M137" s="11"/>
      <c r="N137" s="11"/>
      <c r="O137" s="12"/>
      <c r="P137" s="11"/>
      <c r="Q137" s="13"/>
      <c r="R137" s="14"/>
    </row>
    <row r="138" spans="1:18" ht="15" customHeight="1" x14ac:dyDescent="0.3">
      <c r="A138" s="19" t="s">
        <v>118</v>
      </c>
      <c r="B138" s="19" t="s">
        <v>129</v>
      </c>
      <c r="C138" s="20">
        <v>0.1423611111111111</v>
      </c>
      <c r="D138" s="19" t="s">
        <v>122</v>
      </c>
      <c r="E138" s="19" t="s">
        <v>126</v>
      </c>
      <c r="F138" s="19" t="s">
        <v>123</v>
      </c>
      <c r="G138" s="196"/>
      <c r="H138" s="10"/>
      <c r="I138" s="11"/>
      <c r="J138" s="11"/>
      <c r="K138" s="11"/>
      <c r="L138" s="11"/>
      <c r="M138" s="11"/>
      <c r="N138" s="11"/>
      <c r="O138" s="12"/>
      <c r="P138" s="11"/>
      <c r="Q138" s="13"/>
      <c r="R138" s="14"/>
    </row>
    <row r="139" spans="1:18" ht="15" customHeight="1" x14ac:dyDescent="0.3">
      <c r="A139" s="15" t="s">
        <v>118</v>
      </c>
      <c r="B139" s="15" t="s">
        <v>119</v>
      </c>
      <c r="C139" s="16">
        <v>0.37847222222222232</v>
      </c>
      <c r="D139" s="15" t="s">
        <v>120</v>
      </c>
      <c r="E139" s="15" t="s">
        <v>116</v>
      </c>
      <c r="F139" s="15" t="s">
        <v>125</v>
      </c>
      <c r="G139" s="196"/>
      <c r="H139" s="10"/>
      <c r="I139" s="11"/>
      <c r="J139" s="11"/>
      <c r="K139" s="11"/>
      <c r="L139" s="11"/>
      <c r="M139" s="11"/>
      <c r="N139" s="11"/>
      <c r="O139" s="12"/>
      <c r="P139" s="11"/>
      <c r="Q139" s="13"/>
      <c r="R139" s="14"/>
    </row>
    <row r="140" spans="1:18" ht="15" customHeight="1" x14ac:dyDescent="0.3">
      <c r="A140" s="19" t="s">
        <v>118</v>
      </c>
      <c r="B140" s="19" t="s">
        <v>119</v>
      </c>
      <c r="C140" s="20">
        <v>0.37847222222222232</v>
      </c>
      <c r="D140" s="19" t="s">
        <v>122</v>
      </c>
      <c r="E140" s="19" t="s">
        <v>126</v>
      </c>
      <c r="F140" s="19" t="s">
        <v>127</v>
      </c>
      <c r="G140" s="196"/>
      <c r="H140" s="10"/>
      <c r="I140" s="11"/>
      <c r="J140" s="11"/>
      <c r="K140" s="11"/>
      <c r="L140" s="11"/>
      <c r="M140" s="11"/>
      <c r="N140" s="11"/>
      <c r="O140" s="12"/>
      <c r="P140" s="11"/>
      <c r="Q140" s="13"/>
      <c r="R140" s="14"/>
    </row>
    <row r="141" spans="1:18" ht="15" customHeight="1" x14ac:dyDescent="0.3">
      <c r="A141" s="15" t="s">
        <v>118</v>
      </c>
      <c r="B141" s="15" t="s">
        <v>124</v>
      </c>
      <c r="C141" s="16">
        <v>6.9444444444444441E-3</v>
      </c>
      <c r="D141" s="15" t="s">
        <v>120</v>
      </c>
      <c r="E141" s="15" t="s">
        <v>116</v>
      </c>
      <c r="F141" s="15" t="s">
        <v>125</v>
      </c>
      <c r="G141" s="196"/>
      <c r="H141" s="10"/>
      <c r="I141" s="11"/>
      <c r="J141" s="11"/>
      <c r="K141" s="11"/>
      <c r="L141" s="11"/>
      <c r="M141" s="11"/>
      <c r="N141" s="11"/>
      <c r="O141" s="12"/>
      <c r="P141" s="11"/>
      <c r="Q141" s="13"/>
      <c r="R141" s="14"/>
    </row>
    <row r="142" spans="1:18" ht="15" customHeight="1" x14ac:dyDescent="0.3">
      <c r="A142" s="19" t="s">
        <v>118</v>
      </c>
      <c r="B142" s="19" t="s">
        <v>124</v>
      </c>
      <c r="C142" s="20">
        <v>6.9444444444444441E-3</v>
      </c>
      <c r="D142" s="19" t="s">
        <v>122</v>
      </c>
      <c r="E142" s="19" t="s">
        <v>126</v>
      </c>
      <c r="F142" s="19" t="s">
        <v>127</v>
      </c>
      <c r="G142" s="196"/>
      <c r="H142" s="10"/>
      <c r="I142" s="11"/>
      <c r="J142" s="11"/>
      <c r="K142" s="11"/>
      <c r="L142" s="11"/>
      <c r="M142" s="11"/>
      <c r="N142" s="11"/>
      <c r="O142" s="12"/>
      <c r="P142" s="11"/>
      <c r="Q142" s="13"/>
      <c r="R142" s="14"/>
    </row>
    <row r="143" spans="1:18" ht="15" customHeight="1" x14ac:dyDescent="0.3">
      <c r="A143" s="15" t="s">
        <v>118</v>
      </c>
      <c r="B143" s="15" t="s">
        <v>128</v>
      </c>
      <c r="C143" s="16">
        <v>0.23958333333333329</v>
      </c>
      <c r="D143" s="15" t="s">
        <v>120</v>
      </c>
      <c r="E143" s="15" t="s">
        <v>116</v>
      </c>
      <c r="F143" s="15" t="s">
        <v>125</v>
      </c>
      <c r="G143" s="196"/>
      <c r="H143" s="10"/>
      <c r="I143" s="11"/>
      <c r="J143" s="11"/>
      <c r="K143" s="11"/>
      <c r="L143" s="11"/>
      <c r="M143" s="11"/>
      <c r="N143" s="11"/>
      <c r="O143" s="12"/>
      <c r="P143" s="11"/>
      <c r="Q143" s="13"/>
      <c r="R143" s="14"/>
    </row>
    <row r="144" spans="1:18" ht="15" customHeight="1" x14ac:dyDescent="0.3">
      <c r="A144" s="19" t="s">
        <v>118</v>
      </c>
      <c r="B144" s="19" t="s">
        <v>128</v>
      </c>
      <c r="C144" s="20">
        <v>0.23958333333333329</v>
      </c>
      <c r="D144" s="19" t="s">
        <v>122</v>
      </c>
      <c r="E144" s="19" t="s">
        <v>126</v>
      </c>
      <c r="F144" s="19" t="s">
        <v>127</v>
      </c>
      <c r="G144" s="196"/>
      <c r="H144" s="10"/>
      <c r="I144" s="11"/>
      <c r="J144" s="11"/>
      <c r="K144" s="11"/>
      <c r="L144" s="11"/>
      <c r="M144" s="11"/>
      <c r="N144" s="11"/>
      <c r="O144" s="12"/>
      <c r="P144" s="11"/>
      <c r="Q144" s="13"/>
      <c r="R144" s="14"/>
    </row>
    <row r="145" spans="1:18" ht="15" customHeight="1" x14ac:dyDescent="0.3">
      <c r="A145" s="15" t="s">
        <v>118</v>
      </c>
      <c r="B145" s="15" t="s">
        <v>135</v>
      </c>
      <c r="C145" s="16">
        <v>0.88888888888888884</v>
      </c>
      <c r="D145" s="15" t="s">
        <v>122</v>
      </c>
      <c r="E145" s="15" t="s">
        <v>94</v>
      </c>
      <c r="F145" s="15" t="s">
        <v>179</v>
      </c>
      <c r="G145" s="196"/>
      <c r="H145" s="10"/>
      <c r="I145" s="11"/>
      <c r="J145" s="11"/>
      <c r="K145" s="11"/>
      <c r="L145" s="11"/>
      <c r="M145" s="11"/>
      <c r="N145" s="11"/>
      <c r="O145" s="12"/>
      <c r="P145" s="11"/>
      <c r="Q145" s="13"/>
      <c r="R145" s="14"/>
    </row>
    <row r="146" spans="1:18" ht="15" customHeight="1" x14ac:dyDescent="0.3">
      <c r="A146" s="15" t="s">
        <v>118</v>
      </c>
      <c r="B146" s="15" t="s">
        <v>138</v>
      </c>
      <c r="C146" s="16">
        <v>0.12847222222222221</v>
      </c>
      <c r="D146" s="15" t="s">
        <v>122</v>
      </c>
      <c r="E146" s="15" t="s">
        <v>94</v>
      </c>
      <c r="F146" s="15" t="s">
        <v>179</v>
      </c>
      <c r="G146" s="196"/>
      <c r="H146" s="10"/>
      <c r="I146" s="11"/>
      <c r="J146" s="11"/>
      <c r="K146" s="11"/>
      <c r="L146" s="11"/>
      <c r="M146" s="11"/>
      <c r="N146" s="11"/>
      <c r="O146" s="12"/>
      <c r="P146" s="11"/>
      <c r="Q146" s="13"/>
      <c r="R146" s="14"/>
    </row>
    <row r="147" spans="1:18" ht="15" customHeight="1" x14ac:dyDescent="0.3">
      <c r="A147" s="15" t="s">
        <v>118</v>
      </c>
      <c r="B147" s="15" t="s">
        <v>130</v>
      </c>
      <c r="C147" s="16">
        <v>0.93055555555555547</v>
      </c>
      <c r="D147" s="15" t="s">
        <v>120</v>
      </c>
      <c r="E147" s="15" t="s">
        <v>116</v>
      </c>
      <c r="F147" s="15" t="s">
        <v>180</v>
      </c>
      <c r="G147" s="196"/>
      <c r="H147" s="10"/>
      <c r="I147" s="11"/>
      <c r="J147" s="11"/>
      <c r="K147" s="11"/>
      <c r="L147" s="11"/>
      <c r="M147" s="11"/>
      <c r="N147" s="11"/>
      <c r="O147" s="12"/>
      <c r="P147" s="11"/>
      <c r="Q147" s="13"/>
      <c r="R147" s="14"/>
    </row>
    <row r="148" spans="1:18" ht="15" customHeight="1" x14ac:dyDescent="0.3">
      <c r="A148" s="19" t="s">
        <v>118</v>
      </c>
      <c r="B148" s="19" t="s">
        <v>130</v>
      </c>
      <c r="C148" s="20">
        <v>0.93055555555555547</v>
      </c>
      <c r="D148" s="19" t="s">
        <v>122</v>
      </c>
      <c r="E148" s="19" t="s">
        <v>126</v>
      </c>
      <c r="F148" s="19" t="s">
        <v>181</v>
      </c>
      <c r="G148" s="196"/>
      <c r="H148" s="10"/>
      <c r="I148" s="11"/>
      <c r="J148" s="11"/>
      <c r="K148" s="11"/>
      <c r="L148" s="11"/>
      <c r="M148" s="11"/>
      <c r="N148" s="11"/>
      <c r="O148" s="12"/>
      <c r="P148" s="11"/>
      <c r="Q148" s="13"/>
      <c r="R148" s="14"/>
    </row>
    <row r="149" spans="1:18" ht="15" customHeight="1" x14ac:dyDescent="0.3">
      <c r="A149" s="15" t="s">
        <v>118</v>
      </c>
      <c r="B149" s="15" t="s">
        <v>137</v>
      </c>
      <c r="C149" s="16">
        <v>0.30208333333333331</v>
      </c>
      <c r="D149" s="15" t="s">
        <v>122</v>
      </c>
      <c r="E149" s="15" t="s">
        <v>94</v>
      </c>
      <c r="F149" s="15" t="s">
        <v>136</v>
      </c>
      <c r="G149" s="196"/>
      <c r="H149" s="10"/>
      <c r="I149" s="11"/>
      <c r="J149" s="11"/>
      <c r="K149" s="11"/>
      <c r="L149" s="11"/>
      <c r="M149" s="11"/>
      <c r="N149" s="11"/>
      <c r="O149" s="12"/>
      <c r="P149" s="11"/>
      <c r="Q149" s="13"/>
      <c r="R149" s="14"/>
    </row>
    <row r="150" spans="1:18" ht="15" customHeight="1" x14ac:dyDescent="0.3">
      <c r="A150" s="15" t="s">
        <v>118</v>
      </c>
      <c r="B150" s="15" t="s">
        <v>139</v>
      </c>
      <c r="C150" s="16">
        <v>0.78819444444444453</v>
      </c>
      <c r="D150" s="15" t="s">
        <v>122</v>
      </c>
      <c r="E150" s="15" t="s">
        <v>94</v>
      </c>
      <c r="F150" s="15" t="s">
        <v>136</v>
      </c>
      <c r="G150" s="196"/>
      <c r="H150" s="10"/>
      <c r="I150" s="11"/>
      <c r="J150" s="11"/>
      <c r="K150" s="11"/>
      <c r="L150" s="11"/>
      <c r="M150" s="11"/>
      <c r="N150" s="11"/>
      <c r="O150" s="12"/>
      <c r="P150" s="11"/>
      <c r="Q150" s="13"/>
      <c r="R150" s="14"/>
    </row>
    <row r="151" spans="1:18" ht="15" customHeight="1" x14ac:dyDescent="0.3">
      <c r="A151" s="15" t="s">
        <v>118</v>
      </c>
      <c r="B151" s="15" t="s">
        <v>131</v>
      </c>
      <c r="C151" s="16">
        <v>0.71875</v>
      </c>
      <c r="D151" s="15" t="s">
        <v>120</v>
      </c>
      <c r="E151" s="15" t="s">
        <v>116</v>
      </c>
      <c r="F151" s="15" t="s">
        <v>182</v>
      </c>
      <c r="G151" s="196"/>
      <c r="H151" s="10"/>
      <c r="I151" s="11"/>
      <c r="J151" s="11"/>
      <c r="K151" s="11"/>
      <c r="L151" s="11"/>
      <c r="M151" s="11"/>
      <c r="N151" s="11"/>
      <c r="O151" s="12"/>
      <c r="P151" s="11"/>
      <c r="Q151" s="13"/>
      <c r="R151" s="14"/>
    </row>
    <row r="152" spans="1:18" ht="15" customHeight="1" x14ac:dyDescent="0.3">
      <c r="A152" s="19" t="s">
        <v>118</v>
      </c>
      <c r="B152" s="19" t="s">
        <v>131</v>
      </c>
      <c r="C152" s="20">
        <v>0.71875</v>
      </c>
      <c r="D152" s="19" t="s">
        <v>122</v>
      </c>
      <c r="E152" s="19" t="s">
        <v>126</v>
      </c>
      <c r="F152" s="19" t="s">
        <v>183</v>
      </c>
      <c r="G152" s="196"/>
      <c r="H152" s="10"/>
      <c r="I152" s="11"/>
      <c r="J152" s="11"/>
      <c r="K152" s="11"/>
      <c r="L152" s="11"/>
      <c r="M152" s="11"/>
      <c r="N152" s="11"/>
      <c r="O152" s="12"/>
      <c r="P152" s="11"/>
      <c r="Q152" s="13"/>
      <c r="R152" s="14"/>
    </row>
    <row r="153" spans="1:18" ht="15" customHeight="1" x14ac:dyDescent="0.3">
      <c r="A153" s="15" t="s">
        <v>118</v>
      </c>
      <c r="B153" s="15" t="s">
        <v>184</v>
      </c>
      <c r="C153" s="16">
        <v>0.61111111111111105</v>
      </c>
      <c r="D153" s="15" t="s">
        <v>120</v>
      </c>
      <c r="E153" s="15" t="s">
        <v>116</v>
      </c>
      <c r="F153" s="15" t="s">
        <v>182</v>
      </c>
      <c r="G153" s="196"/>
      <c r="H153" s="10"/>
      <c r="I153" s="11"/>
      <c r="J153" s="11"/>
      <c r="K153" s="11"/>
      <c r="L153" s="11"/>
      <c r="M153" s="11"/>
      <c r="N153" s="11"/>
      <c r="O153" s="12"/>
      <c r="P153" s="11"/>
      <c r="Q153" s="13"/>
      <c r="R153" s="14"/>
    </row>
    <row r="154" spans="1:18" ht="15" customHeight="1" x14ac:dyDescent="0.3">
      <c r="A154" s="19" t="s">
        <v>118</v>
      </c>
      <c r="B154" s="19" t="s">
        <v>184</v>
      </c>
      <c r="C154" s="20">
        <v>0.61111111111111105</v>
      </c>
      <c r="D154" s="19" t="s">
        <v>122</v>
      </c>
      <c r="E154" s="19" t="s">
        <v>126</v>
      </c>
      <c r="F154" s="19" t="s">
        <v>183</v>
      </c>
      <c r="G154" s="196"/>
      <c r="H154" s="10"/>
      <c r="I154" s="11"/>
      <c r="J154" s="11"/>
      <c r="K154" s="11"/>
      <c r="L154" s="11"/>
      <c r="M154" s="11"/>
      <c r="N154" s="11"/>
      <c r="O154" s="12"/>
      <c r="P154" s="11"/>
      <c r="Q154" s="13"/>
      <c r="R154" s="14"/>
    </row>
    <row r="155" spans="1:18" ht="15" customHeight="1" x14ac:dyDescent="0.3">
      <c r="A155" s="15" t="s">
        <v>118</v>
      </c>
      <c r="B155" s="15" t="s">
        <v>134</v>
      </c>
      <c r="C155" s="16">
        <v>0.82986111111111116</v>
      </c>
      <c r="D155" s="15" t="s">
        <v>120</v>
      </c>
      <c r="E155" s="15" t="s">
        <v>116</v>
      </c>
      <c r="F155" s="15" t="s">
        <v>182</v>
      </c>
      <c r="G155" s="196"/>
      <c r="H155" s="10"/>
      <c r="I155" s="11"/>
      <c r="J155" s="11"/>
      <c r="K155" s="11"/>
      <c r="L155" s="11"/>
      <c r="M155" s="11"/>
      <c r="N155" s="11"/>
      <c r="O155" s="12"/>
      <c r="P155" s="11"/>
      <c r="Q155" s="13"/>
      <c r="R155" s="14"/>
    </row>
    <row r="156" spans="1:18" ht="15" customHeight="1" thickBot="1" x14ac:dyDescent="0.35">
      <c r="A156" s="102" t="s">
        <v>118</v>
      </c>
      <c r="B156" s="102" t="s">
        <v>134</v>
      </c>
      <c r="C156" s="103">
        <v>0.82986111111111116</v>
      </c>
      <c r="D156" s="102" t="s">
        <v>122</v>
      </c>
      <c r="E156" s="102" t="s">
        <v>126</v>
      </c>
      <c r="F156" s="102" t="s">
        <v>183</v>
      </c>
      <c r="G156" s="197"/>
      <c r="H156" s="79"/>
      <c r="I156" s="80"/>
      <c r="J156" s="80"/>
      <c r="K156" s="80"/>
      <c r="L156" s="80"/>
      <c r="M156" s="80"/>
      <c r="N156" s="80"/>
      <c r="O156" s="81"/>
      <c r="P156" s="80"/>
      <c r="Q156" s="82"/>
      <c r="R156" s="83"/>
    </row>
    <row r="157" spans="1:18" ht="17.399999999999999" customHeight="1" thickBot="1" x14ac:dyDescent="0.35">
      <c r="A157" s="221"/>
      <c r="B157" s="222"/>
      <c r="C157" s="222"/>
      <c r="D157" s="222"/>
      <c r="E157" s="222"/>
      <c r="F157" s="222"/>
      <c r="G157" s="222"/>
      <c r="H157" s="222"/>
      <c r="I157" s="222"/>
      <c r="J157" s="222"/>
      <c r="K157" s="222"/>
      <c r="L157" s="222"/>
      <c r="M157" s="222"/>
      <c r="N157" s="222"/>
      <c r="O157" s="222"/>
      <c r="P157" s="222"/>
      <c r="Q157" s="222"/>
      <c r="R157" s="223"/>
    </row>
    <row r="158" spans="1:18" ht="22.05" customHeight="1" thickTop="1" thickBot="1" x14ac:dyDescent="0.35">
      <c r="A158" s="186" t="s">
        <v>6</v>
      </c>
      <c r="B158" s="187"/>
      <c r="C158" s="187"/>
      <c r="D158" s="187"/>
      <c r="E158" s="187"/>
      <c r="F158" s="188"/>
      <c r="G158" s="84">
        <v>45988</v>
      </c>
      <c r="H158" s="198" t="s">
        <v>7</v>
      </c>
      <c r="I158" s="187"/>
      <c r="J158" s="187"/>
      <c r="K158" s="187"/>
      <c r="L158" s="187"/>
      <c r="M158" s="187"/>
      <c r="N158" s="187"/>
      <c r="O158" s="187"/>
      <c r="P158" s="187"/>
      <c r="Q158" s="187"/>
      <c r="R158" s="188"/>
    </row>
    <row r="159" spans="1:18" ht="24" customHeight="1" x14ac:dyDescent="0.3">
      <c r="A159" s="85" t="s">
        <v>8</v>
      </c>
      <c r="B159" s="85" t="s">
        <v>9</v>
      </c>
      <c r="C159" s="86" t="s">
        <v>10</v>
      </c>
      <c r="D159" s="85" t="s">
        <v>11</v>
      </c>
      <c r="E159" s="85" t="s">
        <v>12</v>
      </c>
      <c r="F159" s="87" t="s">
        <v>13</v>
      </c>
      <c r="G159" s="88" t="s">
        <v>14</v>
      </c>
      <c r="H159" s="85" t="s">
        <v>15</v>
      </c>
      <c r="I159" s="89" t="s">
        <v>16</v>
      </c>
      <c r="J159" s="90" t="s">
        <v>17</v>
      </c>
      <c r="K159" s="91" t="s">
        <v>18</v>
      </c>
      <c r="L159" s="90" t="s">
        <v>19</v>
      </c>
      <c r="M159" s="90" t="s">
        <v>20</v>
      </c>
      <c r="N159" s="90" t="s">
        <v>21</v>
      </c>
      <c r="O159" s="85" t="s">
        <v>22</v>
      </c>
      <c r="P159" s="86" t="s">
        <v>23</v>
      </c>
      <c r="Q159" s="90" t="s">
        <v>24</v>
      </c>
      <c r="R159" s="85" t="s">
        <v>25</v>
      </c>
    </row>
    <row r="160" spans="1:18" ht="15" customHeight="1" x14ac:dyDescent="0.3">
      <c r="A160" s="8" t="s">
        <v>35</v>
      </c>
      <c r="B160" s="8" t="s">
        <v>45</v>
      </c>
      <c r="C160" s="9">
        <v>0.12847222222222221</v>
      </c>
      <c r="D160" s="8" t="s">
        <v>37</v>
      </c>
      <c r="E160" s="8" t="s">
        <v>54</v>
      </c>
      <c r="F160" s="8" t="s">
        <v>185</v>
      </c>
      <c r="G160" s="195"/>
      <c r="H160" s="10"/>
      <c r="I160" s="11"/>
      <c r="J160" s="11"/>
      <c r="K160" s="11"/>
      <c r="L160" s="11"/>
      <c r="M160" s="11"/>
      <c r="N160" s="11"/>
      <c r="O160" s="12"/>
      <c r="P160" s="11"/>
      <c r="Q160" s="13"/>
      <c r="R160" s="14"/>
    </row>
    <row r="161" spans="1:18" ht="15" customHeight="1" x14ac:dyDescent="0.3">
      <c r="A161" s="19" t="s">
        <v>35</v>
      </c>
      <c r="B161" s="19" t="s">
        <v>45</v>
      </c>
      <c r="C161" s="20">
        <v>0.12847222222222221</v>
      </c>
      <c r="D161" s="19" t="s">
        <v>40</v>
      </c>
      <c r="E161" s="19" t="s">
        <v>57</v>
      </c>
      <c r="F161" s="19" t="s">
        <v>164</v>
      </c>
      <c r="G161" s="196"/>
      <c r="H161" s="10"/>
      <c r="I161" s="11"/>
      <c r="J161" s="11"/>
      <c r="K161" s="11"/>
      <c r="L161" s="11"/>
      <c r="M161" s="11"/>
      <c r="N161" s="11"/>
      <c r="O161" s="12"/>
      <c r="P161" s="11"/>
      <c r="Q161" s="13"/>
      <c r="R161" s="14"/>
    </row>
    <row r="162" spans="1:18" ht="15" customHeight="1" x14ac:dyDescent="0.3">
      <c r="A162" s="19" t="s">
        <v>35</v>
      </c>
      <c r="B162" s="19" t="s">
        <v>45</v>
      </c>
      <c r="C162" s="20">
        <v>0.12847222222222221</v>
      </c>
      <c r="D162" s="19" t="s">
        <v>43</v>
      </c>
      <c r="E162" s="19" t="s">
        <v>57</v>
      </c>
      <c r="F162" s="19" t="s">
        <v>44</v>
      </c>
      <c r="G162" s="196"/>
      <c r="H162" s="10"/>
      <c r="I162" s="11"/>
      <c r="J162" s="11"/>
      <c r="K162" s="11"/>
      <c r="L162" s="11"/>
      <c r="M162" s="11"/>
      <c r="N162" s="11"/>
      <c r="O162" s="12"/>
      <c r="P162" s="11"/>
      <c r="Q162" s="13"/>
      <c r="R162" s="14"/>
    </row>
    <row r="163" spans="1:18" ht="15" customHeight="1" x14ac:dyDescent="0.3">
      <c r="A163" s="15" t="s">
        <v>35</v>
      </c>
      <c r="B163" s="15" t="s">
        <v>36</v>
      </c>
      <c r="C163" s="16">
        <v>0.30208333333333331</v>
      </c>
      <c r="D163" s="15" t="s">
        <v>37</v>
      </c>
      <c r="E163" s="15" t="s">
        <v>158</v>
      </c>
      <c r="F163" s="15" t="s">
        <v>155</v>
      </c>
      <c r="G163" s="196"/>
      <c r="H163" s="10"/>
      <c r="I163" s="11"/>
      <c r="J163" s="11"/>
      <c r="K163" s="11"/>
      <c r="L163" s="11"/>
      <c r="M163" s="11"/>
      <c r="N163" s="11"/>
      <c r="O163" s="12"/>
      <c r="P163" s="11"/>
      <c r="Q163" s="13"/>
      <c r="R163" s="14"/>
    </row>
    <row r="164" spans="1:18" ht="15" customHeight="1" x14ac:dyDescent="0.3">
      <c r="A164" s="19" t="s">
        <v>35</v>
      </c>
      <c r="B164" s="19" t="s">
        <v>36</v>
      </c>
      <c r="C164" s="20">
        <v>0.30208333333333331</v>
      </c>
      <c r="D164" s="19" t="s">
        <v>40</v>
      </c>
      <c r="E164" s="19" t="s">
        <v>57</v>
      </c>
      <c r="F164" s="19" t="s">
        <v>157</v>
      </c>
      <c r="G164" s="196"/>
      <c r="H164" s="10"/>
      <c r="I164" s="11"/>
      <c r="J164" s="11"/>
      <c r="K164" s="11"/>
      <c r="L164" s="11"/>
      <c r="M164" s="11"/>
      <c r="N164" s="11"/>
      <c r="O164" s="12"/>
      <c r="P164" s="11"/>
      <c r="Q164" s="13"/>
      <c r="R164" s="14"/>
    </row>
    <row r="165" spans="1:18" ht="15" customHeight="1" x14ac:dyDescent="0.3">
      <c r="A165" s="19" t="s">
        <v>35</v>
      </c>
      <c r="B165" s="19" t="s">
        <v>36</v>
      </c>
      <c r="C165" s="20">
        <v>0.30208333333333331</v>
      </c>
      <c r="D165" s="19" t="s">
        <v>43</v>
      </c>
      <c r="E165" s="19" t="s">
        <v>57</v>
      </c>
      <c r="F165" s="19" t="s">
        <v>44</v>
      </c>
      <c r="G165" s="196"/>
      <c r="H165" s="10"/>
      <c r="I165" s="11"/>
      <c r="J165" s="11"/>
      <c r="K165" s="11"/>
      <c r="L165" s="11"/>
      <c r="M165" s="11"/>
      <c r="N165" s="11"/>
      <c r="O165" s="12"/>
      <c r="P165" s="11"/>
      <c r="Q165" s="13"/>
      <c r="R165" s="14"/>
    </row>
    <row r="166" spans="1:18" ht="15" customHeight="1" x14ac:dyDescent="0.3">
      <c r="A166" s="15" t="s">
        <v>35</v>
      </c>
      <c r="B166" s="15" t="s">
        <v>47</v>
      </c>
      <c r="C166" s="16">
        <v>0.78819444444444453</v>
      </c>
      <c r="D166" s="15" t="s">
        <v>37</v>
      </c>
      <c r="E166" s="15" t="s">
        <v>48</v>
      </c>
      <c r="F166" s="15" t="s">
        <v>155</v>
      </c>
      <c r="G166" s="196"/>
      <c r="H166" s="10"/>
      <c r="I166" s="11"/>
      <c r="J166" s="11"/>
      <c r="K166" s="11"/>
      <c r="L166" s="11"/>
      <c r="M166" s="11"/>
      <c r="N166" s="11"/>
      <c r="O166" s="12"/>
      <c r="P166" s="11"/>
      <c r="Q166" s="13"/>
      <c r="R166" s="14"/>
    </row>
    <row r="167" spans="1:18" ht="15" customHeight="1" x14ac:dyDescent="0.3">
      <c r="A167" s="19" t="s">
        <v>35</v>
      </c>
      <c r="B167" s="19" t="s">
        <v>47</v>
      </c>
      <c r="C167" s="20">
        <v>0.78819444444444453</v>
      </c>
      <c r="D167" s="19" t="s">
        <v>40</v>
      </c>
      <c r="E167" s="19" t="s">
        <v>49</v>
      </c>
      <c r="F167" s="19" t="s">
        <v>157</v>
      </c>
      <c r="G167" s="196"/>
      <c r="H167" s="10"/>
      <c r="I167" s="11"/>
      <c r="J167" s="11"/>
      <c r="K167" s="11"/>
      <c r="L167" s="11"/>
      <c r="M167" s="11"/>
      <c r="N167" s="11"/>
      <c r="O167" s="12"/>
      <c r="P167" s="11"/>
      <c r="Q167" s="13"/>
      <c r="R167" s="14"/>
    </row>
    <row r="168" spans="1:18" ht="15" customHeight="1" x14ac:dyDescent="0.3">
      <c r="A168" s="19" t="s">
        <v>35</v>
      </c>
      <c r="B168" s="19" t="s">
        <v>47</v>
      </c>
      <c r="C168" s="20">
        <v>0.78819444444444453</v>
      </c>
      <c r="D168" s="19" t="s">
        <v>43</v>
      </c>
      <c r="E168" s="19" t="s">
        <v>49</v>
      </c>
      <c r="F168" s="19" t="s">
        <v>44</v>
      </c>
      <c r="G168" s="196"/>
      <c r="H168" s="10"/>
      <c r="I168" s="11"/>
      <c r="J168" s="11"/>
      <c r="K168" s="11"/>
      <c r="L168" s="11"/>
      <c r="M168" s="11"/>
      <c r="N168" s="11"/>
      <c r="O168" s="12"/>
      <c r="P168" s="11"/>
      <c r="Q168" s="13"/>
      <c r="R168" s="14"/>
    </row>
    <row r="169" spans="1:18" ht="15" customHeight="1" x14ac:dyDescent="0.3">
      <c r="A169" s="15" t="s">
        <v>35</v>
      </c>
      <c r="B169" s="15" t="s">
        <v>50</v>
      </c>
      <c r="C169" s="16">
        <v>0.88888888888888884</v>
      </c>
      <c r="D169" s="15" t="s">
        <v>37</v>
      </c>
      <c r="E169" s="15" t="s">
        <v>159</v>
      </c>
      <c r="F169" s="15" t="s">
        <v>155</v>
      </c>
      <c r="G169" s="196"/>
      <c r="H169" s="10"/>
      <c r="I169" s="11"/>
      <c r="J169" s="11"/>
      <c r="K169" s="11"/>
      <c r="L169" s="11"/>
      <c r="M169" s="11"/>
      <c r="N169" s="11"/>
      <c r="O169" s="12"/>
      <c r="P169" s="11"/>
      <c r="Q169" s="13"/>
      <c r="R169" s="14"/>
    </row>
    <row r="170" spans="1:18" ht="15" customHeight="1" x14ac:dyDescent="0.3">
      <c r="A170" s="19" t="s">
        <v>35</v>
      </c>
      <c r="B170" s="19" t="s">
        <v>50</v>
      </c>
      <c r="C170" s="20">
        <v>0.88888888888888884</v>
      </c>
      <c r="D170" s="19" t="s">
        <v>40</v>
      </c>
      <c r="E170" s="19" t="s">
        <v>160</v>
      </c>
      <c r="F170" s="19" t="s">
        <v>157</v>
      </c>
      <c r="G170" s="196"/>
      <c r="H170" s="10"/>
      <c r="I170" s="11"/>
      <c r="J170" s="11"/>
      <c r="K170" s="11"/>
      <c r="L170" s="11"/>
      <c r="M170" s="11"/>
      <c r="N170" s="11"/>
      <c r="O170" s="12"/>
      <c r="P170" s="11"/>
      <c r="Q170" s="13"/>
      <c r="R170" s="14"/>
    </row>
    <row r="171" spans="1:18" ht="15" customHeight="1" x14ac:dyDescent="0.3">
      <c r="A171" s="19" t="s">
        <v>35</v>
      </c>
      <c r="B171" s="19" t="s">
        <v>50</v>
      </c>
      <c r="C171" s="20">
        <v>0.88888888888888884</v>
      </c>
      <c r="D171" s="19" t="s">
        <v>43</v>
      </c>
      <c r="E171" s="19" t="s">
        <v>160</v>
      </c>
      <c r="F171" s="19" t="s">
        <v>44</v>
      </c>
      <c r="G171" s="196"/>
      <c r="H171" s="10"/>
      <c r="I171" s="11"/>
      <c r="J171" s="11"/>
      <c r="K171" s="11"/>
      <c r="L171" s="11"/>
      <c r="M171" s="11"/>
      <c r="N171" s="11"/>
      <c r="O171" s="12"/>
      <c r="P171" s="11"/>
      <c r="Q171" s="13"/>
      <c r="R171" s="14"/>
    </row>
    <row r="172" spans="1:18" ht="15" customHeight="1" x14ac:dyDescent="0.3">
      <c r="A172" s="17" t="s">
        <v>111</v>
      </c>
      <c r="B172" s="17" t="s">
        <v>112</v>
      </c>
      <c r="C172" s="18">
        <v>0.29166666666666669</v>
      </c>
      <c r="D172" s="17" t="s">
        <v>28</v>
      </c>
      <c r="E172" s="17" t="s">
        <v>113</v>
      </c>
      <c r="F172" s="17" t="s">
        <v>186</v>
      </c>
      <c r="G172" s="196"/>
      <c r="H172" s="10"/>
      <c r="I172" s="11"/>
      <c r="J172" s="11"/>
      <c r="K172" s="11"/>
      <c r="L172" s="11"/>
      <c r="M172" s="11"/>
      <c r="N172" s="11"/>
      <c r="O172" s="12"/>
      <c r="P172" s="11"/>
      <c r="Q172" s="13"/>
      <c r="R172" s="14"/>
    </row>
    <row r="173" spans="1:18" ht="15" customHeight="1" x14ac:dyDescent="0.3">
      <c r="A173" s="15" t="s">
        <v>111</v>
      </c>
      <c r="B173" s="15" t="s">
        <v>115</v>
      </c>
      <c r="C173" s="16">
        <v>0.59375</v>
      </c>
      <c r="D173" s="15" t="s">
        <v>28</v>
      </c>
      <c r="E173" s="15" t="s">
        <v>116</v>
      </c>
      <c r="F173" s="15" t="s">
        <v>186</v>
      </c>
      <c r="G173" s="196"/>
      <c r="H173" s="10"/>
      <c r="I173" s="11"/>
      <c r="J173" s="11"/>
      <c r="K173" s="11"/>
      <c r="L173" s="11"/>
      <c r="M173" s="11"/>
      <c r="N173" s="11"/>
      <c r="O173" s="12"/>
      <c r="P173" s="11"/>
      <c r="Q173" s="13"/>
      <c r="R173" s="14"/>
    </row>
    <row r="174" spans="1:18" ht="15" customHeight="1" x14ac:dyDescent="0.3">
      <c r="A174" s="104" t="s">
        <v>76</v>
      </c>
      <c r="B174" s="104" t="s">
        <v>187</v>
      </c>
      <c r="C174" s="105">
        <v>0.25347222222222221</v>
      </c>
      <c r="D174" s="104" t="s">
        <v>78</v>
      </c>
      <c r="E174" s="104" t="s">
        <v>29</v>
      </c>
      <c r="F174" s="104" t="s">
        <v>30</v>
      </c>
      <c r="G174" s="196"/>
      <c r="H174" s="41" t="s">
        <v>188</v>
      </c>
      <c r="I174" s="42">
        <v>0.28489999999999999</v>
      </c>
      <c r="J174" s="43">
        <v>51</v>
      </c>
      <c r="K174" s="44">
        <v>45980</v>
      </c>
      <c r="L174" s="43">
        <v>19</v>
      </c>
      <c r="M174" s="43">
        <v>0</v>
      </c>
      <c r="N174" s="43">
        <v>3</v>
      </c>
      <c r="O174" s="45" t="s">
        <v>189</v>
      </c>
      <c r="P174" s="46">
        <v>0.25347222222222221</v>
      </c>
      <c r="Q174" s="43">
        <v>179</v>
      </c>
      <c r="R174" s="47" t="s">
        <v>190</v>
      </c>
    </row>
    <row r="175" spans="1:18" ht="15" customHeight="1" x14ac:dyDescent="0.3">
      <c r="A175" s="48" t="s">
        <v>76</v>
      </c>
      <c r="B175" s="48" t="s">
        <v>191</v>
      </c>
      <c r="C175" s="49">
        <v>0.36458333333333331</v>
      </c>
      <c r="D175" s="48" t="s">
        <v>78</v>
      </c>
      <c r="E175" s="48" t="s">
        <v>116</v>
      </c>
      <c r="F175" s="48" t="s">
        <v>192</v>
      </c>
      <c r="G175" s="196"/>
      <c r="H175" s="50" t="s">
        <v>193</v>
      </c>
      <c r="I175" s="106">
        <v>0.2291</v>
      </c>
      <c r="J175" s="52">
        <v>41</v>
      </c>
      <c r="K175" s="53">
        <v>45980</v>
      </c>
      <c r="L175" s="52">
        <v>28</v>
      </c>
      <c r="M175" s="52">
        <v>0</v>
      </c>
      <c r="N175" s="52">
        <v>3</v>
      </c>
      <c r="O175" s="54" t="s">
        <v>194</v>
      </c>
      <c r="P175" s="55">
        <v>0.36458333333333331</v>
      </c>
      <c r="Q175" s="52">
        <v>179</v>
      </c>
      <c r="R175" s="56" t="s">
        <v>195</v>
      </c>
    </row>
    <row r="176" spans="1:18" ht="15" customHeight="1" x14ac:dyDescent="0.3">
      <c r="A176" s="107" t="s">
        <v>76</v>
      </c>
      <c r="B176" s="107" t="s">
        <v>77</v>
      </c>
      <c r="C176" s="108">
        <v>0.33333333333333331</v>
      </c>
      <c r="D176" s="107" t="s">
        <v>78</v>
      </c>
      <c r="E176" s="107" t="s">
        <v>158</v>
      </c>
      <c r="F176" s="107" t="s">
        <v>192</v>
      </c>
      <c r="G176" s="196"/>
      <c r="H176" s="23" t="s">
        <v>80</v>
      </c>
      <c r="I176" s="24">
        <v>0.79890000000000005</v>
      </c>
      <c r="J176" s="25">
        <v>143</v>
      </c>
      <c r="K176" s="26">
        <v>45976</v>
      </c>
      <c r="L176" s="25">
        <v>1</v>
      </c>
      <c r="M176" s="25">
        <v>0</v>
      </c>
      <c r="N176" s="25">
        <v>0</v>
      </c>
      <c r="O176" s="27" t="s">
        <v>196</v>
      </c>
      <c r="P176" s="28">
        <v>0.33333333333333331</v>
      </c>
      <c r="Q176" s="25">
        <v>179</v>
      </c>
      <c r="R176" s="29" t="s">
        <v>197</v>
      </c>
    </row>
    <row r="177" spans="1:18" ht="15" customHeight="1" x14ac:dyDescent="0.3">
      <c r="A177" s="93" t="s">
        <v>76</v>
      </c>
      <c r="B177" s="93" t="s">
        <v>93</v>
      </c>
      <c r="C177" s="94">
        <v>0.58333333333333337</v>
      </c>
      <c r="D177" s="93" t="s">
        <v>78</v>
      </c>
      <c r="E177" s="93" t="s">
        <v>67</v>
      </c>
      <c r="F177" s="93" t="s">
        <v>192</v>
      </c>
      <c r="G177" s="196"/>
      <c r="H177" s="95" t="s">
        <v>95</v>
      </c>
      <c r="I177" s="96">
        <v>0.72070000000000001</v>
      </c>
      <c r="J177" s="97">
        <v>129</v>
      </c>
      <c r="K177" s="98">
        <v>45980</v>
      </c>
      <c r="L177" s="97">
        <v>17</v>
      </c>
      <c r="M177" s="97">
        <v>0</v>
      </c>
      <c r="N177" s="97">
        <v>6</v>
      </c>
      <c r="O177" s="99" t="s">
        <v>198</v>
      </c>
      <c r="P177" s="100">
        <v>0.58333333333333337</v>
      </c>
      <c r="Q177" s="97">
        <v>179</v>
      </c>
      <c r="R177" s="101" t="s">
        <v>199</v>
      </c>
    </row>
    <row r="178" spans="1:18" ht="15" customHeight="1" x14ac:dyDescent="0.3">
      <c r="A178" s="67" t="s">
        <v>76</v>
      </c>
      <c r="B178" s="67" t="s">
        <v>200</v>
      </c>
      <c r="C178" s="68">
        <v>0.73958333333333337</v>
      </c>
      <c r="D178" s="67" t="s">
        <v>78</v>
      </c>
      <c r="E178" s="67" t="s">
        <v>158</v>
      </c>
      <c r="F178" s="67" t="s">
        <v>192</v>
      </c>
      <c r="G178" s="196"/>
      <c r="H178" s="70" t="s">
        <v>98</v>
      </c>
      <c r="I178" s="92">
        <v>0.44690000000000002</v>
      </c>
      <c r="J178" s="72">
        <v>80</v>
      </c>
      <c r="K178" s="73">
        <v>45980</v>
      </c>
      <c r="L178" s="72">
        <v>19</v>
      </c>
      <c r="M178" s="72">
        <v>0</v>
      </c>
      <c r="N178" s="72">
        <v>3</v>
      </c>
      <c r="O178" s="74" t="s">
        <v>196</v>
      </c>
      <c r="P178" s="75">
        <v>0.73958333333333337</v>
      </c>
      <c r="Q178" s="72">
        <v>179</v>
      </c>
      <c r="R178" s="76" t="s">
        <v>201</v>
      </c>
    </row>
    <row r="179" spans="1:18" ht="15" customHeight="1" x14ac:dyDescent="0.3">
      <c r="A179" s="30" t="s">
        <v>76</v>
      </c>
      <c r="B179" s="30" t="s">
        <v>83</v>
      </c>
      <c r="C179" s="31">
        <v>4.8611111111111112E-2</v>
      </c>
      <c r="D179" s="30" t="s">
        <v>78</v>
      </c>
      <c r="E179" s="30" t="s">
        <v>158</v>
      </c>
      <c r="F179" s="30" t="s">
        <v>79</v>
      </c>
      <c r="G179" s="196"/>
      <c r="H179" s="32" t="s">
        <v>86</v>
      </c>
      <c r="I179" s="109">
        <v>0.48039999999999999</v>
      </c>
      <c r="J179" s="34">
        <v>86</v>
      </c>
      <c r="K179" s="35">
        <v>45980</v>
      </c>
      <c r="L179" s="34">
        <v>2</v>
      </c>
      <c r="M179" s="34">
        <v>0</v>
      </c>
      <c r="N179" s="34">
        <v>2</v>
      </c>
      <c r="O179" s="36" t="s">
        <v>202</v>
      </c>
      <c r="P179" s="37">
        <v>4.8611111111111112E-2</v>
      </c>
      <c r="Q179" s="34">
        <v>179</v>
      </c>
      <c r="R179" s="38" t="s">
        <v>203</v>
      </c>
    </row>
    <row r="180" spans="1:18" ht="15" customHeight="1" x14ac:dyDescent="0.3">
      <c r="A180" s="93" t="s">
        <v>76</v>
      </c>
      <c r="B180" s="93" t="s">
        <v>89</v>
      </c>
      <c r="C180" s="94">
        <v>0.1145833333333333</v>
      </c>
      <c r="D180" s="93" t="s">
        <v>78</v>
      </c>
      <c r="E180" s="93" t="s">
        <v>116</v>
      </c>
      <c r="F180" s="93" t="s">
        <v>79</v>
      </c>
      <c r="G180" s="196"/>
      <c r="H180" s="95" t="s">
        <v>90</v>
      </c>
      <c r="I180" s="110">
        <v>0.24579999999999999</v>
      </c>
      <c r="J180" s="97">
        <v>44</v>
      </c>
      <c r="K180" s="98">
        <v>45979</v>
      </c>
      <c r="L180" s="97">
        <v>32</v>
      </c>
      <c r="M180" s="97">
        <v>0</v>
      </c>
      <c r="N180" s="97">
        <v>0</v>
      </c>
      <c r="O180" s="99" t="s">
        <v>166</v>
      </c>
      <c r="P180" s="100">
        <v>0.1145833333333333</v>
      </c>
      <c r="Q180" s="97">
        <v>179</v>
      </c>
      <c r="R180" s="101" t="s">
        <v>204</v>
      </c>
    </row>
    <row r="181" spans="1:18" ht="15" customHeight="1" x14ac:dyDescent="0.3">
      <c r="A181" s="17" t="s">
        <v>51</v>
      </c>
      <c r="B181" s="17" t="s">
        <v>52</v>
      </c>
      <c r="C181" s="18">
        <v>0.90277777777777779</v>
      </c>
      <c r="D181" s="17" t="s">
        <v>53</v>
      </c>
      <c r="E181" s="17" t="s">
        <v>29</v>
      </c>
      <c r="F181" s="17" t="s">
        <v>162</v>
      </c>
      <c r="G181" s="196"/>
      <c r="H181" s="10"/>
      <c r="I181" s="11"/>
      <c r="J181" s="11"/>
      <c r="K181" s="11"/>
      <c r="L181" s="11"/>
      <c r="M181" s="11"/>
      <c r="N181" s="11"/>
      <c r="O181" s="12"/>
      <c r="P181" s="11"/>
      <c r="Q181" s="13"/>
      <c r="R181" s="14"/>
    </row>
    <row r="182" spans="1:18" ht="15" customHeight="1" x14ac:dyDescent="0.3">
      <c r="A182" s="19" t="s">
        <v>51</v>
      </c>
      <c r="B182" s="19" t="s">
        <v>52</v>
      </c>
      <c r="C182" s="20">
        <v>0.90277777777777779</v>
      </c>
      <c r="D182" s="19" t="s">
        <v>56</v>
      </c>
      <c r="E182" s="19" t="s">
        <v>63</v>
      </c>
      <c r="F182" s="19" t="s">
        <v>164</v>
      </c>
      <c r="G182" s="196"/>
      <c r="H182" s="10"/>
      <c r="I182" s="11"/>
      <c r="J182" s="11"/>
      <c r="K182" s="11"/>
      <c r="L182" s="11"/>
      <c r="M182" s="11"/>
      <c r="N182" s="11"/>
      <c r="O182" s="12"/>
      <c r="P182" s="11"/>
      <c r="Q182" s="13"/>
      <c r="R182" s="14"/>
    </row>
    <row r="183" spans="1:18" ht="15" customHeight="1" x14ac:dyDescent="0.3">
      <c r="A183" s="19" t="s">
        <v>51</v>
      </c>
      <c r="B183" s="19" t="s">
        <v>52</v>
      </c>
      <c r="C183" s="20">
        <v>0.90277777777777779</v>
      </c>
      <c r="D183" s="19" t="s">
        <v>59</v>
      </c>
      <c r="E183" s="19" t="s">
        <v>63</v>
      </c>
      <c r="F183" s="19" t="s">
        <v>33</v>
      </c>
      <c r="G183" s="196"/>
      <c r="H183" s="10"/>
      <c r="I183" s="11"/>
      <c r="J183" s="11"/>
      <c r="K183" s="11"/>
      <c r="L183" s="11"/>
      <c r="M183" s="11"/>
      <c r="N183" s="11"/>
      <c r="O183" s="12"/>
      <c r="P183" s="11"/>
      <c r="Q183" s="13"/>
      <c r="R183" s="14"/>
    </row>
    <row r="184" spans="1:18" ht="15" customHeight="1" x14ac:dyDescent="0.3">
      <c r="A184" s="15" t="s">
        <v>51</v>
      </c>
      <c r="B184" s="15" t="s">
        <v>61</v>
      </c>
      <c r="C184" s="16">
        <v>0.65972222222222221</v>
      </c>
      <c r="D184" s="15" t="s">
        <v>53</v>
      </c>
      <c r="E184" s="15" t="s">
        <v>48</v>
      </c>
      <c r="F184" s="15" t="s">
        <v>162</v>
      </c>
      <c r="G184" s="196"/>
      <c r="H184" s="10"/>
      <c r="I184" s="11"/>
      <c r="J184" s="11"/>
      <c r="K184" s="11"/>
      <c r="L184" s="11"/>
      <c r="M184" s="11"/>
      <c r="N184" s="11"/>
      <c r="O184" s="12"/>
      <c r="P184" s="11"/>
      <c r="Q184" s="13"/>
      <c r="R184" s="14"/>
    </row>
    <row r="185" spans="1:18" ht="15" customHeight="1" x14ac:dyDescent="0.3">
      <c r="A185" s="19" t="s">
        <v>51</v>
      </c>
      <c r="B185" s="19" t="s">
        <v>61</v>
      </c>
      <c r="C185" s="20">
        <v>0.65972222222222221</v>
      </c>
      <c r="D185" s="19" t="s">
        <v>56</v>
      </c>
      <c r="E185" s="19" t="s">
        <v>49</v>
      </c>
      <c r="F185" s="19" t="s">
        <v>164</v>
      </c>
      <c r="G185" s="196"/>
      <c r="H185" s="10"/>
      <c r="I185" s="11"/>
      <c r="J185" s="11"/>
      <c r="K185" s="11"/>
      <c r="L185" s="11"/>
      <c r="M185" s="11"/>
      <c r="N185" s="11"/>
      <c r="O185" s="12"/>
      <c r="P185" s="11"/>
      <c r="Q185" s="13"/>
      <c r="R185" s="14"/>
    </row>
    <row r="186" spans="1:18" ht="15" customHeight="1" x14ac:dyDescent="0.3">
      <c r="A186" s="19" t="s">
        <v>51</v>
      </c>
      <c r="B186" s="19" t="s">
        <v>61</v>
      </c>
      <c r="C186" s="20">
        <v>0.65972222222222221</v>
      </c>
      <c r="D186" s="19" t="s">
        <v>59</v>
      </c>
      <c r="E186" s="19" t="s">
        <v>49</v>
      </c>
      <c r="F186" s="19" t="s">
        <v>33</v>
      </c>
      <c r="G186" s="196"/>
      <c r="H186" s="10"/>
      <c r="I186" s="11"/>
      <c r="J186" s="11"/>
      <c r="K186" s="11"/>
      <c r="L186" s="11"/>
      <c r="M186" s="11"/>
      <c r="N186" s="11"/>
      <c r="O186" s="12"/>
      <c r="P186" s="11"/>
      <c r="Q186" s="13"/>
      <c r="R186" s="14"/>
    </row>
    <row r="187" spans="1:18" ht="15" customHeight="1" x14ac:dyDescent="0.3">
      <c r="A187" s="15" t="s">
        <v>51</v>
      </c>
      <c r="B187" s="15" t="s">
        <v>64</v>
      </c>
      <c r="C187" s="16">
        <v>0.51736111111111105</v>
      </c>
      <c r="D187" s="15" t="s">
        <v>53</v>
      </c>
      <c r="E187" s="15" t="s">
        <v>48</v>
      </c>
      <c r="F187" s="15" t="s">
        <v>162</v>
      </c>
      <c r="G187" s="196"/>
      <c r="H187" s="10"/>
      <c r="I187" s="11"/>
      <c r="J187" s="11"/>
      <c r="K187" s="11"/>
      <c r="L187" s="11"/>
      <c r="M187" s="11"/>
      <c r="N187" s="11"/>
      <c r="O187" s="12"/>
      <c r="P187" s="11"/>
      <c r="Q187" s="13"/>
      <c r="R187" s="14"/>
    </row>
    <row r="188" spans="1:18" ht="15" customHeight="1" x14ac:dyDescent="0.3">
      <c r="A188" s="19" t="s">
        <v>51</v>
      </c>
      <c r="B188" s="19" t="s">
        <v>64</v>
      </c>
      <c r="C188" s="20">
        <v>0.51736111111111105</v>
      </c>
      <c r="D188" s="19" t="s">
        <v>56</v>
      </c>
      <c r="E188" s="19" t="s">
        <v>49</v>
      </c>
      <c r="F188" s="19" t="s">
        <v>164</v>
      </c>
      <c r="G188" s="196"/>
      <c r="H188" s="10"/>
      <c r="I188" s="11"/>
      <c r="J188" s="11"/>
      <c r="K188" s="11"/>
      <c r="L188" s="11"/>
      <c r="M188" s="11"/>
      <c r="N188" s="11"/>
      <c r="O188" s="12"/>
      <c r="P188" s="11"/>
      <c r="Q188" s="13"/>
      <c r="R188" s="14"/>
    </row>
    <row r="189" spans="1:18" ht="15" customHeight="1" x14ac:dyDescent="0.3">
      <c r="A189" s="19" t="s">
        <v>51</v>
      </c>
      <c r="B189" s="19" t="s">
        <v>64</v>
      </c>
      <c r="C189" s="20">
        <v>0.51736111111111105</v>
      </c>
      <c r="D189" s="19" t="s">
        <v>59</v>
      </c>
      <c r="E189" s="19" t="s">
        <v>49</v>
      </c>
      <c r="F189" s="19" t="s">
        <v>33</v>
      </c>
      <c r="G189" s="196"/>
      <c r="H189" s="10"/>
      <c r="I189" s="11"/>
      <c r="J189" s="11"/>
      <c r="K189" s="11"/>
      <c r="L189" s="11"/>
      <c r="M189" s="11"/>
      <c r="N189" s="11"/>
      <c r="O189" s="12"/>
      <c r="P189" s="11"/>
      <c r="Q189" s="13"/>
      <c r="R189" s="14"/>
    </row>
    <row r="190" spans="1:18" ht="15" customHeight="1" x14ac:dyDescent="0.3">
      <c r="A190" s="15" t="s">
        <v>51</v>
      </c>
      <c r="B190" s="15" t="s">
        <v>66</v>
      </c>
      <c r="C190" s="16">
        <v>0.85416666666666663</v>
      </c>
      <c r="D190" s="15" t="s">
        <v>53</v>
      </c>
      <c r="E190" s="15" t="s">
        <v>94</v>
      </c>
      <c r="F190" s="15" t="s">
        <v>162</v>
      </c>
      <c r="G190" s="196"/>
      <c r="H190" s="10"/>
      <c r="I190" s="11"/>
      <c r="J190" s="11"/>
      <c r="K190" s="11"/>
      <c r="L190" s="11"/>
      <c r="M190" s="11"/>
      <c r="N190" s="11"/>
      <c r="O190" s="12"/>
      <c r="P190" s="11"/>
      <c r="Q190" s="13"/>
      <c r="R190" s="14"/>
    </row>
    <row r="191" spans="1:18" ht="15" customHeight="1" x14ac:dyDescent="0.3">
      <c r="A191" s="19" t="s">
        <v>51</v>
      </c>
      <c r="B191" s="19" t="s">
        <v>66</v>
      </c>
      <c r="C191" s="20">
        <v>0.85416666666666663</v>
      </c>
      <c r="D191" s="19" t="s">
        <v>56</v>
      </c>
      <c r="E191" s="19" t="s">
        <v>205</v>
      </c>
      <c r="F191" s="19" t="s">
        <v>164</v>
      </c>
      <c r="G191" s="196"/>
      <c r="H191" s="10"/>
      <c r="I191" s="11"/>
      <c r="J191" s="11"/>
      <c r="K191" s="11"/>
      <c r="L191" s="11"/>
      <c r="M191" s="11"/>
      <c r="N191" s="11"/>
      <c r="O191" s="12"/>
      <c r="P191" s="11"/>
      <c r="Q191" s="13"/>
      <c r="R191" s="14"/>
    </row>
    <row r="192" spans="1:18" ht="15" customHeight="1" x14ac:dyDescent="0.3">
      <c r="A192" s="19" t="s">
        <v>51</v>
      </c>
      <c r="B192" s="19" t="s">
        <v>66</v>
      </c>
      <c r="C192" s="20">
        <v>0.85416666666666663</v>
      </c>
      <c r="D192" s="19" t="s">
        <v>59</v>
      </c>
      <c r="E192" s="19" t="s">
        <v>205</v>
      </c>
      <c r="F192" s="19" t="s">
        <v>33</v>
      </c>
      <c r="G192" s="196"/>
      <c r="H192" s="10"/>
      <c r="I192" s="11"/>
      <c r="J192" s="11"/>
      <c r="K192" s="11"/>
      <c r="L192" s="11"/>
      <c r="M192" s="11"/>
      <c r="N192" s="11"/>
      <c r="O192" s="12"/>
      <c r="P192" s="11"/>
      <c r="Q192" s="13"/>
      <c r="R192" s="14"/>
    </row>
    <row r="193" spans="1:18" ht="15" customHeight="1" x14ac:dyDescent="0.3">
      <c r="A193" s="15" t="s">
        <v>51</v>
      </c>
      <c r="B193" s="15" t="s">
        <v>69</v>
      </c>
      <c r="C193" s="16">
        <v>0.30208333333333331</v>
      </c>
      <c r="D193" s="15" t="s">
        <v>53</v>
      </c>
      <c r="E193" s="15" t="s">
        <v>67</v>
      </c>
      <c r="F193" s="15" t="s">
        <v>162</v>
      </c>
      <c r="G193" s="196"/>
      <c r="H193" s="10"/>
      <c r="I193" s="11"/>
      <c r="J193" s="11"/>
      <c r="K193" s="11"/>
      <c r="L193" s="11"/>
      <c r="M193" s="11"/>
      <c r="N193" s="11"/>
      <c r="O193" s="12"/>
      <c r="P193" s="11"/>
      <c r="Q193" s="13"/>
      <c r="R193" s="14"/>
    </row>
    <row r="194" spans="1:18" ht="15" customHeight="1" x14ac:dyDescent="0.3">
      <c r="A194" s="19" t="s">
        <v>51</v>
      </c>
      <c r="B194" s="19" t="s">
        <v>69</v>
      </c>
      <c r="C194" s="20">
        <v>0.30208333333333331</v>
      </c>
      <c r="D194" s="19" t="s">
        <v>56</v>
      </c>
      <c r="E194" s="19" t="s">
        <v>68</v>
      </c>
      <c r="F194" s="19" t="s">
        <v>164</v>
      </c>
      <c r="G194" s="196"/>
      <c r="H194" s="10"/>
      <c r="I194" s="11"/>
      <c r="J194" s="11"/>
      <c r="K194" s="11"/>
      <c r="L194" s="11"/>
      <c r="M194" s="11"/>
      <c r="N194" s="11"/>
      <c r="O194" s="12"/>
      <c r="P194" s="11"/>
      <c r="Q194" s="13"/>
      <c r="R194" s="14"/>
    </row>
    <row r="195" spans="1:18" ht="15" customHeight="1" x14ac:dyDescent="0.3">
      <c r="A195" s="19" t="s">
        <v>51</v>
      </c>
      <c r="B195" s="19" t="s">
        <v>69</v>
      </c>
      <c r="C195" s="20">
        <v>0.30208333333333331</v>
      </c>
      <c r="D195" s="19" t="s">
        <v>59</v>
      </c>
      <c r="E195" s="19" t="s">
        <v>68</v>
      </c>
      <c r="F195" s="19" t="s">
        <v>33</v>
      </c>
      <c r="G195" s="196"/>
      <c r="H195" s="10"/>
      <c r="I195" s="11"/>
      <c r="J195" s="11"/>
      <c r="K195" s="11"/>
      <c r="L195" s="11"/>
      <c r="M195" s="11"/>
      <c r="N195" s="11"/>
      <c r="O195" s="12"/>
      <c r="P195" s="11"/>
      <c r="Q195" s="13"/>
      <c r="R195" s="14"/>
    </row>
    <row r="196" spans="1:18" ht="15" customHeight="1" x14ac:dyDescent="0.3">
      <c r="A196" s="15" t="s">
        <v>51</v>
      </c>
      <c r="B196" s="15" t="s">
        <v>70</v>
      </c>
      <c r="C196" s="16">
        <v>0.79861111111111116</v>
      </c>
      <c r="D196" s="15" t="s">
        <v>53</v>
      </c>
      <c r="E196" s="15" t="s">
        <v>84</v>
      </c>
      <c r="F196" s="15" t="s">
        <v>162</v>
      </c>
      <c r="G196" s="196"/>
      <c r="H196" s="10"/>
      <c r="I196" s="11"/>
      <c r="J196" s="11"/>
      <c r="K196" s="11"/>
      <c r="L196" s="11"/>
      <c r="M196" s="11"/>
      <c r="N196" s="11"/>
      <c r="O196" s="12"/>
      <c r="P196" s="11"/>
      <c r="Q196" s="13"/>
      <c r="R196" s="14"/>
    </row>
    <row r="197" spans="1:18" ht="15" customHeight="1" x14ac:dyDescent="0.3">
      <c r="A197" s="19" t="s">
        <v>51</v>
      </c>
      <c r="B197" s="19" t="s">
        <v>70</v>
      </c>
      <c r="C197" s="20">
        <v>0.79861111111111116</v>
      </c>
      <c r="D197" s="19" t="s">
        <v>56</v>
      </c>
      <c r="E197" s="19" t="s">
        <v>163</v>
      </c>
      <c r="F197" s="19" t="s">
        <v>164</v>
      </c>
      <c r="G197" s="196"/>
      <c r="H197" s="10"/>
      <c r="I197" s="11"/>
      <c r="J197" s="11"/>
      <c r="K197" s="11"/>
      <c r="L197" s="11"/>
      <c r="M197" s="11"/>
      <c r="N197" s="11"/>
      <c r="O197" s="12"/>
      <c r="P197" s="11"/>
      <c r="Q197" s="13"/>
      <c r="R197" s="14"/>
    </row>
    <row r="198" spans="1:18" ht="15" customHeight="1" x14ac:dyDescent="0.3">
      <c r="A198" s="19" t="s">
        <v>51</v>
      </c>
      <c r="B198" s="19" t="s">
        <v>70</v>
      </c>
      <c r="C198" s="20">
        <v>0.79861111111111116</v>
      </c>
      <c r="D198" s="19" t="s">
        <v>59</v>
      </c>
      <c r="E198" s="19" t="s">
        <v>163</v>
      </c>
      <c r="F198" s="19" t="s">
        <v>33</v>
      </c>
      <c r="G198" s="196"/>
      <c r="H198" s="10"/>
      <c r="I198" s="11"/>
      <c r="J198" s="11"/>
      <c r="K198" s="11"/>
      <c r="L198" s="11"/>
      <c r="M198" s="11"/>
      <c r="N198" s="11"/>
      <c r="O198" s="12"/>
      <c r="P198" s="11"/>
      <c r="Q198" s="13"/>
      <c r="R198" s="14"/>
    </row>
    <row r="199" spans="1:18" ht="15" customHeight="1" x14ac:dyDescent="0.3">
      <c r="A199" s="15" t="s">
        <v>51</v>
      </c>
      <c r="B199" s="15" t="s">
        <v>71</v>
      </c>
      <c r="C199" s="16">
        <v>0.25694444444444448</v>
      </c>
      <c r="D199" s="15" t="s">
        <v>53</v>
      </c>
      <c r="E199" s="15" t="s">
        <v>48</v>
      </c>
      <c r="F199" s="15" t="s">
        <v>55</v>
      </c>
      <c r="G199" s="196"/>
      <c r="H199" s="10"/>
      <c r="I199" s="11"/>
      <c r="J199" s="11"/>
      <c r="K199" s="11"/>
      <c r="L199" s="11"/>
      <c r="M199" s="11"/>
      <c r="N199" s="11"/>
      <c r="O199" s="12"/>
      <c r="P199" s="11"/>
      <c r="Q199" s="13"/>
      <c r="R199" s="14"/>
    </row>
    <row r="200" spans="1:18" ht="15" customHeight="1" x14ac:dyDescent="0.3">
      <c r="A200" s="19" t="s">
        <v>51</v>
      </c>
      <c r="B200" s="19" t="s">
        <v>71</v>
      </c>
      <c r="C200" s="20">
        <v>0.25694444444444448</v>
      </c>
      <c r="D200" s="19" t="s">
        <v>56</v>
      </c>
      <c r="E200" s="19" t="s">
        <v>49</v>
      </c>
      <c r="F200" s="19" t="s">
        <v>58</v>
      </c>
      <c r="G200" s="196"/>
      <c r="H200" s="10"/>
      <c r="I200" s="11"/>
      <c r="J200" s="11"/>
      <c r="K200" s="11"/>
      <c r="L200" s="11"/>
      <c r="M200" s="11"/>
      <c r="N200" s="11"/>
      <c r="O200" s="12"/>
      <c r="P200" s="11"/>
      <c r="Q200" s="13"/>
      <c r="R200" s="14"/>
    </row>
    <row r="201" spans="1:18" ht="15" customHeight="1" x14ac:dyDescent="0.3">
      <c r="A201" s="19" t="s">
        <v>51</v>
      </c>
      <c r="B201" s="19" t="s">
        <v>71</v>
      </c>
      <c r="C201" s="20">
        <v>0.25694444444444448</v>
      </c>
      <c r="D201" s="19" t="s">
        <v>59</v>
      </c>
      <c r="E201" s="19" t="s">
        <v>49</v>
      </c>
      <c r="F201" s="19" t="s">
        <v>60</v>
      </c>
      <c r="G201" s="196"/>
      <c r="H201" s="10"/>
      <c r="I201" s="11"/>
      <c r="J201" s="11"/>
      <c r="K201" s="11"/>
      <c r="L201" s="11"/>
      <c r="M201" s="11"/>
      <c r="N201" s="11"/>
      <c r="O201" s="12"/>
      <c r="P201" s="11"/>
      <c r="Q201" s="13"/>
      <c r="R201" s="14"/>
    </row>
    <row r="202" spans="1:18" ht="15" customHeight="1" x14ac:dyDescent="0.3">
      <c r="A202" s="15" t="s">
        <v>51</v>
      </c>
      <c r="B202" s="15" t="s">
        <v>75</v>
      </c>
      <c r="C202" s="16">
        <v>0.39583333333333331</v>
      </c>
      <c r="D202" s="15" t="s">
        <v>53</v>
      </c>
      <c r="E202" s="15" t="s">
        <v>48</v>
      </c>
      <c r="F202" s="15" t="s">
        <v>55</v>
      </c>
      <c r="G202" s="196"/>
      <c r="H202" s="10"/>
      <c r="I202" s="11"/>
      <c r="J202" s="11"/>
      <c r="K202" s="11"/>
      <c r="L202" s="11"/>
      <c r="M202" s="11"/>
      <c r="N202" s="11"/>
      <c r="O202" s="12"/>
      <c r="P202" s="11"/>
      <c r="Q202" s="13"/>
      <c r="R202" s="14"/>
    </row>
    <row r="203" spans="1:18" ht="15" customHeight="1" x14ac:dyDescent="0.3">
      <c r="A203" s="19" t="s">
        <v>51</v>
      </c>
      <c r="B203" s="19" t="s">
        <v>75</v>
      </c>
      <c r="C203" s="20">
        <v>0.39583333333333331</v>
      </c>
      <c r="D203" s="19" t="s">
        <v>56</v>
      </c>
      <c r="E203" s="19" t="s">
        <v>49</v>
      </c>
      <c r="F203" s="19" t="s">
        <v>58</v>
      </c>
      <c r="G203" s="196"/>
      <c r="H203" s="10"/>
      <c r="I203" s="11"/>
      <c r="J203" s="11"/>
      <c r="K203" s="11"/>
      <c r="L203" s="11"/>
      <c r="M203" s="11"/>
      <c r="N203" s="11"/>
      <c r="O203" s="12"/>
      <c r="P203" s="11"/>
      <c r="Q203" s="13"/>
      <c r="R203" s="14"/>
    </row>
    <row r="204" spans="1:18" ht="15" customHeight="1" x14ac:dyDescent="0.3">
      <c r="A204" s="19" t="s">
        <v>51</v>
      </c>
      <c r="B204" s="19" t="s">
        <v>75</v>
      </c>
      <c r="C204" s="20">
        <v>0.39583333333333331</v>
      </c>
      <c r="D204" s="19" t="s">
        <v>59</v>
      </c>
      <c r="E204" s="19" t="s">
        <v>49</v>
      </c>
      <c r="F204" s="19" t="s">
        <v>60</v>
      </c>
      <c r="G204" s="196"/>
      <c r="H204" s="10"/>
      <c r="I204" s="11"/>
      <c r="J204" s="11"/>
      <c r="K204" s="11"/>
      <c r="L204" s="11"/>
      <c r="M204" s="11"/>
      <c r="N204" s="11"/>
      <c r="O204" s="12"/>
      <c r="P204" s="11"/>
      <c r="Q204" s="13"/>
      <c r="R204" s="14"/>
    </row>
    <row r="205" spans="1:18" ht="15" customHeight="1" x14ac:dyDescent="0.3">
      <c r="A205" s="17" t="s">
        <v>105</v>
      </c>
      <c r="B205" s="17" t="s">
        <v>171</v>
      </c>
      <c r="C205" s="18">
        <v>0.3298611111111111</v>
      </c>
      <c r="D205" s="17" t="s">
        <v>107</v>
      </c>
      <c r="E205" s="17" t="s">
        <v>108</v>
      </c>
      <c r="F205" s="17" t="s">
        <v>206</v>
      </c>
      <c r="G205" s="196"/>
      <c r="H205" s="10"/>
      <c r="I205" s="11"/>
      <c r="J205" s="11"/>
      <c r="K205" s="11"/>
      <c r="L205" s="11"/>
      <c r="M205" s="11"/>
      <c r="N205" s="11"/>
      <c r="O205" s="12"/>
      <c r="P205" s="11"/>
      <c r="Q205" s="13"/>
      <c r="R205" s="14"/>
    </row>
    <row r="206" spans="1:18" ht="15" customHeight="1" x14ac:dyDescent="0.3">
      <c r="A206" s="19" t="s">
        <v>105</v>
      </c>
      <c r="B206" s="19" t="s">
        <v>171</v>
      </c>
      <c r="C206" s="20">
        <v>0.3298611111111111</v>
      </c>
      <c r="D206" s="19" t="s">
        <v>43</v>
      </c>
      <c r="E206" s="19" t="s">
        <v>49</v>
      </c>
      <c r="F206" s="19" t="s">
        <v>207</v>
      </c>
      <c r="G206" s="196"/>
      <c r="H206" s="10"/>
      <c r="I206" s="11"/>
      <c r="J206" s="11"/>
      <c r="K206" s="11"/>
      <c r="L206" s="11"/>
      <c r="M206" s="11"/>
      <c r="N206" s="11"/>
      <c r="O206" s="12"/>
      <c r="P206" s="11"/>
      <c r="Q206" s="13"/>
      <c r="R206" s="14"/>
    </row>
    <row r="207" spans="1:18" ht="15" customHeight="1" x14ac:dyDescent="0.3">
      <c r="A207" s="17" t="s">
        <v>26</v>
      </c>
      <c r="B207" s="17" t="s">
        <v>31</v>
      </c>
      <c r="C207" s="18">
        <v>0.66666666666666663</v>
      </c>
      <c r="D207" s="17" t="s">
        <v>28</v>
      </c>
      <c r="E207" s="17" t="s">
        <v>208</v>
      </c>
      <c r="F207" s="17" t="s">
        <v>33</v>
      </c>
      <c r="G207" s="196"/>
      <c r="H207" s="10"/>
      <c r="I207" s="11"/>
      <c r="J207" s="11"/>
      <c r="K207" s="11"/>
      <c r="L207" s="11"/>
      <c r="M207" s="11"/>
      <c r="N207" s="11"/>
      <c r="O207" s="12"/>
      <c r="P207" s="11"/>
      <c r="Q207" s="13"/>
      <c r="R207" s="14"/>
    </row>
    <row r="208" spans="1:18" ht="15" customHeight="1" x14ac:dyDescent="0.3">
      <c r="A208" s="17" t="s">
        <v>140</v>
      </c>
      <c r="B208" s="17" t="s">
        <v>141</v>
      </c>
      <c r="C208" s="18">
        <v>0.4861111111111111</v>
      </c>
      <c r="D208" s="17" t="s">
        <v>142</v>
      </c>
      <c r="E208" s="17" t="s">
        <v>113</v>
      </c>
      <c r="F208" s="17" t="s">
        <v>175</v>
      </c>
      <c r="G208" s="196"/>
      <c r="H208" s="10"/>
      <c r="I208" s="11"/>
      <c r="J208" s="11"/>
      <c r="K208" s="11"/>
      <c r="L208" s="11"/>
      <c r="M208" s="11"/>
      <c r="N208" s="11"/>
      <c r="O208" s="12"/>
      <c r="P208" s="11"/>
      <c r="Q208" s="13"/>
      <c r="R208" s="14"/>
    </row>
    <row r="209" spans="1:18" ht="15" customHeight="1" x14ac:dyDescent="0.3">
      <c r="A209" s="15" t="s">
        <v>140</v>
      </c>
      <c r="B209" s="15" t="s">
        <v>149</v>
      </c>
      <c r="C209" s="16">
        <v>0.14583333333333329</v>
      </c>
      <c r="D209" s="15" t="s">
        <v>142</v>
      </c>
      <c r="E209" s="15" t="s">
        <v>116</v>
      </c>
      <c r="F209" s="15" t="s">
        <v>175</v>
      </c>
      <c r="G209" s="196"/>
      <c r="H209" s="10"/>
      <c r="I209" s="11"/>
      <c r="J209" s="11"/>
      <c r="K209" s="11"/>
      <c r="L209" s="11"/>
      <c r="M209" s="11"/>
      <c r="N209" s="11"/>
      <c r="O209" s="12"/>
      <c r="P209" s="11"/>
      <c r="Q209" s="13"/>
      <c r="R209" s="14"/>
    </row>
    <row r="210" spans="1:18" ht="15" customHeight="1" x14ac:dyDescent="0.3">
      <c r="A210" s="15" t="s">
        <v>140</v>
      </c>
      <c r="B210" s="15" t="s">
        <v>144</v>
      </c>
      <c r="C210" s="16">
        <v>0.51388888888888895</v>
      </c>
      <c r="D210" s="15" t="s">
        <v>142</v>
      </c>
      <c r="E210" s="15" t="s">
        <v>116</v>
      </c>
      <c r="F210" s="15" t="s">
        <v>175</v>
      </c>
      <c r="G210" s="196"/>
      <c r="H210" s="10"/>
      <c r="I210" s="11"/>
      <c r="J210" s="11"/>
      <c r="K210" s="11"/>
      <c r="L210" s="11"/>
      <c r="M210" s="11"/>
      <c r="N210" s="11"/>
      <c r="O210" s="12"/>
      <c r="P210" s="11"/>
      <c r="Q210" s="13"/>
      <c r="R210" s="14"/>
    </row>
    <row r="211" spans="1:18" ht="15" customHeight="1" x14ac:dyDescent="0.3">
      <c r="A211" s="15" t="s">
        <v>140</v>
      </c>
      <c r="B211" s="15" t="s">
        <v>145</v>
      </c>
      <c r="C211" s="16">
        <v>0.22222222222222221</v>
      </c>
      <c r="D211" s="15" t="s">
        <v>142</v>
      </c>
      <c r="E211" s="15" t="s">
        <v>116</v>
      </c>
      <c r="F211" s="15" t="s">
        <v>175</v>
      </c>
      <c r="G211" s="196"/>
      <c r="H211" s="10"/>
      <c r="I211" s="11"/>
      <c r="J211" s="11"/>
      <c r="K211" s="11"/>
      <c r="L211" s="11"/>
      <c r="M211" s="11"/>
      <c r="N211" s="11"/>
      <c r="O211" s="12"/>
      <c r="P211" s="11"/>
      <c r="Q211" s="13"/>
      <c r="R211" s="14"/>
    </row>
    <row r="212" spans="1:18" ht="15" customHeight="1" x14ac:dyDescent="0.3">
      <c r="A212" s="15" t="s">
        <v>140</v>
      </c>
      <c r="B212" s="15" t="s">
        <v>178</v>
      </c>
      <c r="C212" s="16">
        <v>0.95833333333333337</v>
      </c>
      <c r="D212" s="15" t="s">
        <v>142</v>
      </c>
      <c r="E212" s="15" t="s">
        <v>116</v>
      </c>
      <c r="F212" s="15" t="s">
        <v>177</v>
      </c>
      <c r="G212" s="196"/>
      <c r="H212" s="10"/>
      <c r="I212" s="11"/>
      <c r="J212" s="11"/>
      <c r="K212" s="11"/>
      <c r="L212" s="11"/>
      <c r="M212" s="11"/>
      <c r="N212" s="11"/>
      <c r="O212" s="12"/>
      <c r="P212" s="11"/>
      <c r="Q212" s="13"/>
      <c r="R212" s="14"/>
    </row>
    <row r="213" spans="1:18" ht="15" customHeight="1" x14ac:dyDescent="0.3">
      <c r="A213" s="15" t="s">
        <v>140</v>
      </c>
      <c r="B213" s="15" t="s">
        <v>147</v>
      </c>
      <c r="C213" s="16">
        <v>1.388888888888889E-2</v>
      </c>
      <c r="D213" s="15" t="s">
        <v>142</v>
      </c>
      <c r="E213" s="15" t="s">
        <v>116</v>
      </c>
      <c r="F213" s="15" t="s">
        <v>143</v>
      </c>
      <c r="G213" s="196"/>
      <c r="H213" s="10"/>
      <c r="I213" s="11"/>
      <c r="J213" s="11"/>
      <c r="K213" s="11"/>
      <c r="L213" s="11"/>
      <c r="M213" s="11"/>
      <c r="N213" s="11"/>
      <c r="O213" s="12"/>
      <c r="P213" s="11"/>
      <c r="Q213" s="13"/>
      <c r="R213" s="14"/>
    </row>
    <row r="214" spans="1:18" ht="15" customHeight="1" x14ac:dyDescent="0.3">
      <c r="A214" s="15" t="s">
        <v>140</v>
      </c>
      <c r="B214" s="15" t="s">
        <v>150</v>
      </c>
      <c r="C214" s="16">
        <v>0.27777777777777779</v>
      </c>
      <c r="D214" s="15" t="s">
        <v>142</v>
      </c>
      <c r="E214" s="15" t="s">
        <v>116</v>
      </c>
      <c r="F214" s="15" t="s">
        <v>143</v>
      </c>
      <c r="G214" s="196"/>
      <c r="H214" s="10"/>
      <c r="I214" s="11"/>
      <c r="J214" s="11"/>
      <c r="K214" s="11"/>
      <c r="L214" s="11"/>
      <c r="M214" s="11"/>
      <c r="N214" s="11"/>
      <c r="O214" s="12"/>
      <c r="P214" s="11"/>
      <c r="Q214" s="13"/>
      <c r="R214" s="14"/>
    </row>
    <row r="215" spans="1:18" ht="15" customHeight="1" x14ac:dyDescent="0.3">
      <c r="A215" s="15" t="s">
        <v>140</v>
      </c>
      <c r="B215" s="15" t="s">
        <v>152</v>
      </c>
      <c r="C215" s="16">
        <v>0.77430555555555547</v>
      </c>
      <c r="D215" s="15" t="s">
        <v>142</v>
      </c>
      <c r="E215" s="15" t="s">
        <v>116</v>
      </c>
      <c r="F215" s="15" t="s">
        <v>143</v>
      </c>
      <c r="G215" s="196"/>
      <c r="H215" s="10"/>
      <c r="I215" s="11"/>
      <c r="J215" s="11"/>
      <c r="K215" s="11"/>
      <c r="L215" s="11"/>
      <c r="M215" s="11"/>
      <c r="N215" s="11"/>
      <c r="O215" s="12"/>
      <c r="P215" s="11"/>
      <c r="Q215" s="13"/>
      <c r="R215" s="14"/>
    </row>
    <row r="216" spans="1:18" ht="15" customHeight="1" x14ac:dyDescent="0.3">
      <c r="A216" s="17" t="s">
        <v>118</v>
      </c>
      <c r="B216" s="17" t="s">
        <v>119</v>
      </c>
      <c r="C216" s="18">
        <v>0.37847222222222232</v>
      </c>
      <c r="D216" s="17" t="s">
        <v>120</v>
      </c>
      <c r="E216" s="17" t="s">
        <v>113</v>
      </c>
      <c r="F216" s="17" t="s">
        <v>121</v>
      </c>
      <c r="G216" s="196"/>
      <c r="H216" s="10"/>
      <c r="I216" s="11"/>
      <c r="J216" s="11"/>
      <c r="K216" s="11"/>
      <c r="L216" s="11"/>
      <c r="M216" s="11"/>
      <c r="N216" s="11"/>
      <c r="O216" s="12"/>
      <c r="P216" s="11"/>
      <c r="Q216" s="13"/>
      <c r="R216" s="14"/>
    </row>
    <row r="217" spans="1:18" ht="15" customHeight="1" x14ac:dyDescent="0.3">
      <c r="A217" s="19" t="s">
        <v>118</v>
      </c>
      <c r="B217" s="19" t="s">
        <v>119</v>
      </c>
      <c r="C217" s="20">
        <v>0.37847222222222232</v>
      </c>
      <c r="D217" s="19" t="s">
        <v>122</v>
      </c>
      <c r="E217" s="19" t="s">
        <v>126</v>
      </c>
      <c r="F217" s="19" t="s">
        <v>123</v>
      </c>
      <c r="G217" s="196"/>
      <c r="H217" s="10"/>
      <c r="I217" s="11"/>
      <c r="J217" s="11"/>
      <c r="K217" s="11"/>
      <c r="L217" s="11"/>
      <c r="M217" s="11"/>
      <c r="N217" s="11"/>
      <c r="O217" s="12"/>
      <c r="P217" s="11"/>
      <c r="Q217" s="13"/>
      <c r="R217" s="14"/>
    </row>
    <row r="218" spans="1:18" ht="15" customHeight="1" x14ac:dyDescent="0.3">
      <c r="A218" s="15" t="s">
        <v>118</v>
      </c>
      <c r="B218" s="15" t="s">
        <v>128</v>
      </c>
      <c r="C218" s="16">
        <v>0.24305555555555561</v>
      </c>
      <c r="D218" s="15" t="s">
        <v>120</v>
      </c>
      <c r="E218" s="15" t="s">
        <v>116</v>
      </c>
      <c r="F218" s="15" t="s">
        <v>121</v>
      </c>
      <c r="G218" s="196"/>
      <c r="H218" s="10"/>
      <c r="I218" s="11"/>
      <c r="J218" s="11"/>
      <c r="K218" s="11"/>
      <c r="L218" s="11"/>
      <c r="M218" s="11"/>
      <c r="N218" s="11"/>
      <c r="O218" s="12"/>
      <c r="P218" s="11"/>
      <c r="Q218" s="13"/>
      <c r="R218" s="14"/>
    </row>
    <row r="219" spans="1:18" ht="15" customHeight="1" x14ac:dyDescent="0.3">
      <c r="A219" s="19" t="s">
        <v>118</v>
      </c>
      <c r="B219" s="19" t="s">
        <v>128</v>
      </c>
      <c r="C219" s="20">
        <v>0.24305555555555561</v>
      </c>
      <c r="D219" s="19" t="s">
        <v>122</v>
      </c>
      <c r="E219" s="19" t="s">
        <v>126</v>
      </c>
      <c r="F219" s="19" t="s">
        <v>123</v>
      </c>
      <c r="G219" s="196"/>
      <c r="H219" s="10"/>
      <c r="I219" s="11"/>
      <c r="J219" s="11"/>
      <c r="K219" s="11"/>
      <c r="L219" s="11"/>
      <c r="M219" s="11"/>
      <c r="N219" s="11"/>
      <c r="O219" s="12"/>
      <c r="P219" s="11"/>
      <c r="Q219" s="13"/>
      <c r="R219" s="14"/>
    </row>
    <row r="220" spans="1:18" ht="15" customHeight="1" x14ac:dyDescent="0.3">
      <c r="A220" s="15" t="s">
        <v>118</v>
      </c>
      <c r="B220" s="15" t="s">
        <v>129</v>
      </c>
      <c r="C220" s="16">
        <v>0.1423611111111111</v>
      </c>
      <c r="D220" s="15" t="s">
        <v>120</v>
      </c>
      <c r="E220" s="15" t="s">
        <v>116</v>
      </c>
      <c r="F220" s="15" t="s">
        <v>121</v>
      </c>
      <c r="G220" s="196"/>
      <c r="H220" s="10"/>
      <c r="I220" s="11"/>
      <c r="J220" s="11"/>
      <c r="K220" s="11"/>
      <c r="L220" s="11"/>
      <c r="M220" s="11"/>
      <c r="N220" s="11"/>
      <c r="O220" s="12"/>
      <c r="P220" s="11"/>
      <c r="Q220" s="13"/>
      <c r="R220" s="14"/>
    </row>
    <row r="221" spans="1:18" ht="15" customHeight="1" x14ac:dyDescent="0.3">
      <c r="A221" s="19" t="s">
        <v>118</v>
      </c>
      <c r="B221" s="19" t="s">
        <v>129</v>
      </c>
      <c r="C221" s="20">
        <v>0.1423611111111111</v>
      </c>
      <c r="D221" s="19" t="s">
        <v>122</v>
      </c>
      <c r="E221" s="19" t="s">
        <v>126</v>
      </c>
      <c r="F221" s="19" t="s">
        <v>123</v>
      </c>
      <c r="G221" s="196"/>
      <c r="H221" s="10"/>
      <c r="I221" s="11"/>
      <c r="J221" s="11"/>
      <c r="K221" s="11"/>
      <c r="L221" s="11"/>
      <c r="M221" s="11"/>
      <c r="N221" s="11"/>
      <c r="O221" s="12"/>
      <c r="P221" s="11"/>
      <c r="Q221" s="13"/>
      <c r="R221" s="14"/>
    </row>
    <row r="222" spans="1:18" ht="15" customHeight="1" x14ac:dyDescent="0.3">
      <c r="A222" s="15" t="s">
        <v>118</v>
      </c>
      <c r="B222" s="15" t="s">
        <v>124</v>
      </c>
      <c r="C222" s="16">
        <v>6.9444444444444441E-3</v>
      </c>
      <c r="D222" s="15" t="s">
        <v>120</v>
      </c>
      <c r="E222" s="15" t="s">
        <v>116</v>
      </c>
      <c r="F222" s="15" t="s">
        <v>125</v>
      </c>
      <c r="G222" s="196"/>
      <c r="H222" s="10"/>
      <c r="I222" s="11"/>
      <c r="J222" s="11"/>
      <c r="K222" s="11"/>
      <c r="L222" s="11"/>
      <c r="M222" s="11"/>
      <c r="N222" s="11"/>
      <c r="O222" s="12"/>
      <c r="P222" s="11"/>
      <c r="Q222" s="13"/>
      <c r="R222" s="14"/>
    </row>
    <row r="223" spans="1:18" ht="15" customHeight="1" x14ac:dyDescent="0.3">
      <c r="A223" s="19" t="s">
        <v>118</v>
      </c>
      <c r="B223" s="19" t="s">
        <v>124</v>
      </c>
      <c r="C223" s="20">
        <v>6.9444444444444441E-3</v>
      </c>
      <c r="D223" s="19" t="s">
        <v>122</v>
      </c>
      <c r="E223" s="19" t="s">
        <v>126</v>
      </c>
      <c r="F223" s="19" t="s">
        <v>127</v>
      </c>
      <c r="G223" s="196"/>
      <c r="H223" s="10"/>
      <c r="I223" s="11"/>
      <c r="J223" s="11"/>
      <c r="K223" s="11"/>
      <c r="L223" s="11"/>
      <c r="M223" s="11"/>
      <c r="N223" s="11"/>
      <c r="O223" s="12"/>
      <c r="P223" s="11"/>
      <c r="Q223" s="13"/>
      <c r="R223" s="14"/>
    </row>
    <row r="224" spans="1:18" ht="15" customHeight="1" x14ac:dyDescent="0.3">
      <c r="A224" s="15" t="s">
        <v>118</v>
      </c>
      <c r="B224" s="15" t="s">
        <v>184</v>
      </c>
      <c r="C224" s="16">
        <v>0.61111111111111105</v>
      </c>
      <c r="D224" s="15" t="s">
        <v>120</v>
      </c>
      <c r="E224" s="15" t="s">
        <v>116</v>
      </c>
      <c r="F224" s="15" t="s">
        <v>132</v>
      </c>
      <c r="G224" s="196"/>
      <c r="H224" s="10"/>
      <c r="I224" s="11"/>
      <c r="J224" s="11"/>
      <c r="K224" s="11"/>
      <c r="L224" s="11"/>
      <c r="M224" s="11"/>
      <c r="N224" s="11"/>
      <c r="O224" s="12"/>
      <c r="P224" s="11"/>
      <c r="Q224" s="13"/>
      <c r="R224" s="14"/>
    </row>
    <row r="225" spans="1:18" ht="15" customHeight="1" x14ac:dyDescent="0.3">
      <c r="A225" s="19" t="s">
        <v>118</v>
      </c>
      <c r="B225" s="19" t="s">
        <v>184</v>
      </c>
      <c r="C225" s="20">
        <v>0.61111111111111105</v>
      </c>
      <c r="D225" s="19" t="s">
        <v>122</v>
      </c>
      <c r="E225" s="19" t="s">
        <v>126</v>
      </c>
      <c r="F225" s="19" t="s">
        <v>133</v>
      </c>
      <c r="G225" s="196"/>
      <c r="H225" s="10"/>
      <c r="I225" s="11"/>
      <c r="J225" s="11"/>
      <c r="K225" s="11"/>
      <c r="L225" s="11"/>
      <c r="M225" s="11"/>
      <c r="N225" s="11"/>
      <c r="O225" s="12"/>
      <c r="P225" s="11"/>
      <c r="Q225" s="13"/>
      <c r="R225" s="14"/>
    </row>
    <row r="226" spans="1:18" ht="15" customHeight="1" x14ac:dyDescent="0.3">
      <c r="A226" s="15" t="s">
        <v>118</v>
      </c>
      <c r="B226" s="15" t="s">
        <v>138</v>
      </c>
      <c r="C226" s="16">
        <v>0.12847222222222221</v>
      </c>
      <c r="D226" s="15" t="s">
        <v>122</v>
      </c>
      <c r="E226" s="15" t="s">
        <v>94</v>
      </c>
      <c r="F226" s="15" t="s">
        <v>209</v>
      </c>
      <c r="G226" s="196"/>
      <c r="H226" s="10"/>
      <c r="I226" s="11"/>
      <c r="J226" s="11"/>
      <c r="K226" s="11"/>
      <c r="L226" s="11"/>
      <c r="M226" s="11"/>
      <c r="N226" s="11"/>
      <c r="O226" s="12"/>
      <c r="P226" s="11"/>
      <c r="Q226" s="13"/>
      <c r="R226" s="14"/>
    </row>
    <row r="227" spans="1:18" ht="15" customHeight="1" x14ac:dyDescent="0.3">
      <c r="A227" s="15" t="s">
        <v>118</v>
      </c>
      <c r="B227" s="15" t="s">
        <v>131</v>
      </c>
      <c r="C227" s="16">
        <v>0.71875</v>
      </c>
      <c r="D227" s="15" t="s">
        <v>120</v>
      </c>
      <c r="E227" s="15" t="s">
        <v>116</v>
      </c>
      <c r="F227" s="15" t="s">
        <v>210</v>
      </c>
      <c r="G227" s="196"/>
      <c r="H227" s="10"/>
      <c r="I227" s="11"/>
      <c r="J227" s="11"/>
      <c r="K227" s="11"/>
      <c r="L227" s="11"/>
      <c r="M227" s="11"/>
      <c r="N227" s="11"/>
      <c r="O227" s="12"/>
      <c r="P227" s="11"/>
      <c r="Q227" s="13"/>
      <c r="R227" s="14"/>
    </row>
    <row r="228" spans="1:18" ht="15" customHeight="1" x14ac:dyDescent="0.3">
      <c r="A228" s="19" t="s">
        <v>118</v>
      </c>
      <c r="B228" s="19" t="s">
        <v>131</v>
      </c>
      <c r="C228" s="20">
        <v>0.71875</v>
      </c>
      <c r="D228" s="19" t="s">
        <v>122</v>
      </c>
      <c r="E228" s="19" t="s">
        <v>126</v>
      </c>
      <c r="F228" s="19" t="s">
        <v>211</v>
      </c>
      <c r="G228" s="196"/>
      <c r="H228" s="10"/>
      <c r="I228" s="11"/>
      <c r="J228" s="11"/>
      <c r="K228" s="11"/>
      <c r="L228" s="11"/>
      <c r="M228" s="11"/>
      <c r="N228" s="11"/>
      <c r="O228" s="12"/>
      <c r="P228" s="11"/>
      <c r="Q228" s="13"/>
      <c r="R228" s="14"/>
    </row>
    <row r="229" spans="1:18" ht="15" customHeight="1" x14ac:dyDescent="0.3">
      <c r="A229" s="15" t="s">
        <v>118</v>
      </c>
      <c r="B229" s="15" t="s">
        <v>135</v>
      </c>
      <c r="C229" s="16">
        <v>0.88888888888888884</v>
      </c>
      <c r="D229" s="15" t="s">
        <v>122</v>
      </c>
      <c r="E229" s="15" t="s">
        <v>94</v>
      </c>
      <c r="F229" s="15" t="s">
        <v>179</v>
      </c>
      <c r="G229" s="196"/>
      <c r="H229" s="10"/>
      <c r="I229" s="11"/>
      <c r="J229" s="11"/>
      <c r="K229" s="11"/>
      <c r="L229" s="11"/>
      <c r="M229" s="11"/>
      <c r="N229" s="11"/>
      <c r="O229" s="12"/>
      <c r="P229" s="11"/>
      <c r="Q229" s="13"/>
      <c r="R229" s="14"/>
    </row>
    <row r="230" spans="1:18" ht="15" customHeight="1" x14ac:dyDescent="0.3">
      <c r="A230" s="15" t="s">
        <v>118</v>
      </c>
      <c r="B230" s="15" t="s">
        <v>137</v>
      </c>
      <c r="C230" s="16">
        <v>0.30208333333333331</v>
      </c>
      <c r="D230" s="15" t="s">
        <v>122</v>
      </c>
      <c r="E230" s="15" t="s">
        <v>94</v>
      </c>
      <c r="F230" s="15" t="s">
        <v>179</v>
      </c>
      <c r="G230" s="196"/>
      <c r="H230" s="10"/>
      <c r="I230" s="11"/>
      <c r="J230" s="11"/>
      <c r="K230" s="11"/>
      <c r="L230" s="11"/>
      <c r="M230" s="11"/>
      <c r="N230" s="11"/>
      <c r="O230" s="12"/>
      <c r="P230" s="11"/>
      <c r="Q230" s="13"/>
      <c r="R230" s="14"/>
    </row>
    <row r="231" spans="1:18" ht="15" customHeight="1" x14ac:dyDescent="0.3">
      <c r="A231" s="15" t="s">
        <v>118</v>
      </c>
      <c r="B231" s="15" t="s">
        <v>139</v>
      </c>
      <c r="C231" s="16">
        <v>0.78819444444444453</v>
      </c>
      <c r="D231" s="15" t="s">
        <v>122</v>
      </c>
      <c r="E231" s="15" t="s">
        <v>94</v>
      </c>
      <c r="F231" s="15" t="s">
        <v>179</v>
      </c>
      <c r="G231" s="196"/>
      <c r="H231" s="10"/>
      <c r="I231" s="11"/>
      <c r="J231" s="11"/>
      <c r="K231" s="11"/>
      <c r="L231" s="11"/>
      <c r="M231" s="11"/>
      <c r="N231" s="11"/>
      <c r="O231" s="12"/>
      <c r="P231" s="11"/>
      <c r="Q231" s="13"/>
      <c r="R231" s="14"/>
    </row>
    <row r="232" spans="1:18" ht="15" customHeight="1" x14ac:dyDescent="0.3">
      <c r="A232" s="15" t="s">
        <v>118</v>
      </c>
      <c r="B232" s="15" t="s">
        <v>130</v>
      </c>
      <c r="C232" s="16">
        <v>0.93055555555555547</v>
      </c>
      <c r="D232" s="15" t="s">
        <v>120</v>
      </c>
      <c r="E232" s="15" t="s">
        <v>116</v>
      </c>
      <c r="F232" s="15" t="s">
        <v>180</v>
      </c>
      <c r="G232" s="196"/>
      <c r="H232" s="10"/>
      <c r="I232" s="11"/>
      <c r="J232" s="11"/>
      <c r="K232" s="11"/>
      <c r="L232" s="11"/>
      <c r="M232" s="11"/>
      <c r="N232" s="11"/>
      <c r="O232" s="12"/>
      <c r="P232" s="11"/>
      <c r="Q232" s="13"/>
      <c r="R232" s="14"/>
    </row>
    <row r="233" spans="1:18" ht="15" customHeight="1" x14ac:dyDescent="0.3">
      <c r="A233" s="19" t="s">
        <v>118</v>
      </c>
      <c r="B233" s="19" t="s">
        <v>130</v>
      </c>
      <c r="C233" s="20">
        <v>0.93055555555555547</v>
      </c>
      <c r="D233" s="19" t="s">
        <v>122</v>
      </c>
      <c r="E233" s="19" t="s">
        <v>126</v>
      </c>
      <c r="F233" s="19" t="s">
        <v>181</v>
      </c>
      <c r="G233" s="196"/>
      <c r="H233" s="10"/>
      <c r="I233" s="11"/>
      <c r="J233" s="11"/>
      <c r="K233" s="11"/>
      <c r="L233" s="11"/>
      <c r="M233" s="11"/>
      <c r="N233" s="11"/>
      <c r="O233" s="12"/>
      <c r="P233" s="11"/>
      <c r="Q233" s="13"/>
      <c r="R233" s="14"/>
    </row>
    <row r="234" spans="1:18" ht="15" customHeight="1" x14ac:dyDescent="0.3">
      <c r="A234" s="15" t="s">
        <v>118</v>
      </c>
      <c r="B234" s="15" t="s">
        <v>134</v>
      </c>
      <c r="C234" s="16">
        <v>0.82986111111111116</v>
      </c>
      <c r="D234" s="15" t="s">
        <v>120</v>
      </c>
      <c r="E234" s="15" t="s">
        <v>116</v>
      </c>
      <c r="F234" s="15" t="s">
        <v>212</v>
      </c>
      <c r="G234" s="196"/>
      <c r="H234" s="10"/>
      <c r="I234" s="11"/>
      <c r="J234" s="11"/>
      <c r="K234" s="11"/>
      <c r="L234" s="11"/>
      <c r="M234" s="11"/>
      <c r="N234" s="11"/>
      <c r="O234" s="12"/>
      <c r="P234" s="11"/>
      <c r="Q234" s="13"/>
      <c r="R234" s="14"/>
    </row>
    <row r="235" spans="1:18" ht="15" customHeight="1" thickBot="1" x14ac:dyDescent="0.35">
      <c r="A235" s="102" t="s">
        <v>118</v>
      </c>
      <c r="B235" s="102" t="s">
        <v>134</v>
      </c>
      <c r="C235" s="103">
        <v>0.82986111111111116</v>
      </c>
      <c r="D235" s="102" t="s">
        <v>122</v>
      </c>
      <c r="E235" s="102" t="s">
        <v>126</v>
      </c>
      <c r="F235" s="102" t="s">
        <v>213</v>
      </c>
      <c r="G235" s="197"/>
      <c r="H235" s="79"/>
      <c r="I235" s="80"/>
      <c r="J235" s="80"/>
      <c r="K235" s="80"/>
      <c r="L235" s="80"/>
      <c r="M235" s="80"/>
      <c r="N235" s="80"/>
      <c r="O235" s="81"/>
      <c r="P235" s="80"/>
      <c r="Q235" s="82"/>
      <c r="R235" s="83"/>
    </row>
    <row r="236" spans="1:18" ht="17.399999999999999" customHeight="1" thickBot="1" x14ac:dyDescent="0.35">
      <c r="A236" s="221"/>
      <c r="B236" s="222"/>
      <c r="C236" s="222"/>
      <c r="D236" s="222"/>
      <c r="E236" s="222"/>
      <c r="F236" s="222"/>
      <c r="G236" s="222"/>
      <c r="H236" s="222"/>
      <c r="I236" s="222"/>
      <c r="J236" s="222"/>
      <c r="K236" s="222"/>
      <c r="L236" s="222"/>
      <c r="M236" s="222"/>
      <c r="N236" s="222"/>
      <c r="O236" s="222"/>
      <c r="P236" s="222"/>
      <c r="Q236" s="222"/>
      <c r="R236" s="223"/>
    </row>
    <row r="237" spans="1:18" ht="22.05" customHeight="1" thickTop="1" thickBot="1" x14ac:dyDescent="0.35">
      <c r="A237" s="186" t="s">
        <v>6</v>
      </c>
      <c r="B237" s="187"/>
      <c r="C237" s="187"/>
      <c r="D237" s="187"/>
      <c r="E237" s="187"/>
      <c r="F237" s="188"/>
      <c r="G237" s="84">
        <v>45989</v>
      </c>
      <c r="H237" s="198" t="s">
        <v>7</v>
      </c>
      <c r="I237" s="187"/>
      <c r="J237" s="187"/>
      <c r="K237" s="187"/>
      <c r="L237" s="187"/>
      <c r="M237" s="187"/>
      <c r="N237" s="187"/>
      <c r="O237" s="187"/>
      <c r="P237" s="187"/>
      <c r="Q237" s="187"/>
      <c r="R237" s="188"/>
    </row>
    <row r="238" spans="1:18" ht="24" customHeight="1" x14ac:dyDescent="0.3">
      <c r="A238" s="85" t="s">
        <v>8</v>
      </c>
      <c r="B238" s="85" t="s">
        <v>9</v>
      </c>
      <c r="C238" s="86" t="s">
        <v>10</v>
      </c>
      <c r="D238" s="85" t="s">
        <v>11</v>
      </c>
      <c r="E238" s="85" t="s">
        <v>12</v>
      </c>
      <c r="F238" s="87" t="s">
        <v>13</v>
      </c>
      <c r="G238" s="88" t="s">
        <v>14</v>
      </c>
      <c r="H238" s="85" t="s">
        <v>15</v>
      </c>
      <c r="I238" s="89" t="s">
        <v>16</v>
      </c>
      <c r="J238" s="90" t="s">
        <v>17</v>
      </c>
      <c r="K238" s="91" t="s">
        <v>18</v>
      </c>
      <c r="L238" s="90" t="s">
        <v>19</v>
      </c>
      <c r="M238" s="90" t="s">
        <v>20</v>
      </c>
      <c r="N238" s="90" t="s">
        <v>21</v>
      </c>
      <c r="O238" s="85" t="s">
        <v>22</v>
      </c>
      <c r="P238" s="86" t="s">
        <v>23</v>
      </c>
      <c r="Q238" s="90" t="s">
        <v>24</v>
      </c>
      <c r="R238" s="85" t="s">
        <v>25</v>
      </c>
    </row>
    <row r="239" spans="1:18" ht="15" customHeight="1" x14ac:dyDescent="0.3">
      <c r="A239" s="8" t="s">
        <v>35</v>
      </c>
      <c r="B239" s="8" t="s">
        <v>36</v>
      </c>
      <c r="C239" s="9">
        <v>0.30208333333333331</v>
      </c>
      <c r="D239" s="8" t="s">
        <v>37</v>
      </c>
      <c r="E239" s="8" t="s">
        <v>161</v>
      </c>
      <c r="F239" s="8" t="s">
        <v>185</v>
      </c>
      <c r="G239" s="195"/>
      <c r="H239" s="10"/>
      <c r="I239" s="11"/>
      <c r="J239" s="11"/>
      <c r="K239" s="11"/>
      <c r="L239" s="11"/>
      <c r="M239" s="11"/>
      <c r="N239" s="11"/>
      <c r="O239" s="12"/>
      <c r="P239" s="11"/>
      <c r="Q239" s="13"/>
      <c r="R239" s="14"/>
    </row>
    <row r="240" spans="1:18" ht="15" customHeight="1" x14ac:dyDescent="0.3">
      <c r="A240" s="19" t="s">
        <v>35</v>
      </c>
      <c r="B240" s="19" t="s">
        <v>36</v>
      </c>
      <c r="C240" s="20">
        <v>0.30208333333333331</v>
      </c>
      <c r="D240" s="19" t="s">
        <v>40</v>
      </c>
      <c r="E240" s="19" t="s">
        <v>163</v>
      </c>
      <c r="F240" s="19" t="s">
        <v>164</v>
      </c>
      <c r="G240" s="196"/>
      <c r="H240" s="10"/>
      <c r="I240" s="11"/>
      <c r="J240" s="11"/>
      <c r="K240" s="11"/>
      <c r="L240" s="11"/>
      <c r="M240" s="11"/>
      <c r="N240" s="11"/>
      <c r="O240" s="12"/>
      <c r="P240" s="11"/>
      <c r="Q240" s="13"/>
      <c r="R240" s="14"/>
    </row>
    <row r="241" spans="1:18" ht="15" customHeight="1" x14ac:dyDescent="0.3">
      <c r="A241" s="19" t="s">
        <v>35</v>
      </c>
      <c r="B241" s="19" t="s">
        <v>36</v>
      </c>
      <c r="C241" s="20">
        <v>0.30208333333333331</v>
      </c>
      <c r="D241" s="19" t="s">
        <v>43</v>
      </c>
      <c r="E241" s="19" t="s">
        <v>163</v>
      </c>
      <c r="F241" s="19" t="s">
        <v>44</v>
      </c>
      <c r="G241" s="196"/>
      <c r="H241" s="10"/>
      <c r="I241" s="11"/>
      <c r="J241" s="11"/>
      <c r="K241" s="11"/>
      <c r="L241" s="11"/>
      <c r="M241" s="11"/>
      <c r="N241" s="11"/>
      <c r="O241" s="12"/>
      <c r="P241" s="11"/>
      <c r="Q241" s="13"/>
      <c r="R241" s="14"/>
    </row>
    <row r="242" spans="1:18" ht="15" customHeight="1" x14ac:dyDescent="0.3">
      <c r="A242" s="15" t="s">
        <v>35</v>
      </c>
      <c r="B242" s="15" t="s">
        <v>45</v>
      </c>
      <c r="C242" s="16">
        <v>0.12847222222222221</v>
      </c>
      <c r="D242" s="15" t="s">
        <v>37</v>
      </c>
      <c r="E242" s="15" t="s">
        <v>67</v>
      </c>
      <c r="F242" s="15" t="s">
        <v>185</v>
      </c>
      <c r="G242" s="196"/>
      <c r="H242" s="10"/>
      <c r="I242" s="11"/>
      <c r="J242" s="11"/>
      <c r="K242" s="11"/>
      <c r="L242" s="11"/>
      <c r="M242" s="11"/>
      <c r="N242" s="11"/>
      <c r="O242" s="12"/>
      <c r="P242" s="11"/>
      <c r="Q242" s="13"/>
      <c r="R242" s="14"/>
    </row>
    <row r="243" spans="1:18" ht="15" customHeight="1" x14ac:dyDescent="0.3">
      <c r="A243" s="19" t="s">
        <v>35</v>
      </c>
      <c r="B243" s="19" t="s">
        <v>45</v>
      </c>
      <c r="C243" s="20">
        <v>0.12847222222222221</v>
      </c>
      <c r="D243" s="19" t="s">
        <v>40</v>
      </c>
      <c r="E243" s="19" t="s">
        <v>68</v>
      </c>
      <c r="F243" s="19" t="s">
        <v>164</v>
      </c>
      <c r="G243" s="196"/>
      <c r="H243" s="10"/>
      <c r="I243" s="11"/>
      <c r="J243" s="11"/>
      <c r="K243" s="11"/>
      <c r="L243" s="11"/>
      <c r="M243" s="11"/>
      <c r="N243" s="11"/>
      <c r="O243" s="12"/>
      <c r="P243" s="11"/>
      <c r="Q243" s="13"/>
      <c r="R243" s="14"/>
    </row>
    <row r="244" spans="1:18" ht="15" customHeight="1" x14ac:dyDescent="0.3">
      <c r="A244" s="19" t="s">
        <v>35</v>
      </c>
      <c r="B244" s="19" t="s">
        <v>45</v>
      </c>
      <c r="C244" s="20">
        <v>0.12847222222222221</v>
      </c>
      <c r="D244" s="19" t="s">
        <v>43</v>
      </c>
      <c r="E244" s="19" t="s">
        <v>68</v>
      </c>
      <c r="F244" s="19" t="s">
        <v>44</v>
      </c>
      <c r="G244" s="196"/>
      <c r="H244" s="10"/>
      <c r="I244" s="11"/>
      <c r="J244" s="11"/>
      <c r="K244" s="11"/>
      <c r="L244" s="11"/>
      <c r="M244" s="11"/>
      <c r="N244" s="11"/>
      <c r="O244" s="12"/>
      <c r="P244" s="11"/>
      <c r="Q244" s="13"/>
      <c r="R244" s="14"/>
    </row>
    <row r="245" spans="1:18" ht="15" customHeight="1" x14ac:dyDescent="0.3">
      <c r="A245" s="15" t="s">
        <v>35</v>
      </c>
      <c r="B245" s="15" t="s">
        <v>47</v>
      </c>
      <c r="C245" s="16">
        <v>0.78819444444444453</v>
      </c>
      <c r="D245" s="15" t="s">
        <v>37</v>
      </c>
      <c r="E245" s="15" t="s">
        <v>94</v>
      </c>
      <c r="F245" s="15" t="s">
        <v>155</v>
      </c>
      <c r="G245" s="196"/>
      <c r="H245" s="10"/>
      <c r="I245" s="11"/>
      <c r="J245" s="11"/>
      <c r="K245" s="11"/>
      <c r="L245" s="11"/>
      <c r="M245" s="11"/>
      <c r="N245" s="11"/>
      <c r="O245" s="12"/>
      <c r="P245" s="11"/>
      <c r="Q245" s="13"/>
      <c r="R245" s="14"/>
    </row>
    <row r="246" spans="1:18" ht="15" customHeight="1" x14ac:dyDescent="0.3">
      <c r="A246" s="19" t="s">
        <v>35</v>
      </c>
      <c r="B246" s="19" t="s">
        <v>47</v>
      </c>
      <c r="C246" s="20">
        <v>0.78819444444444453</v>
      </c>
      <c r="D246" s="19" t="s">
        <v>40</v>
      </c>
      <c r="E246" s="19" t="s">
        <v>205</v>
      </c>
      <c r="F246" s="19" t="s">
        <v>157</v>
      </c>
      <c r="G246" s="196"/>
      <c r="H246" s="10"/>
      <c r="I246" s="11"/>
      <c r="J246" s="11"/>
      <c r="K246" s="11"/>
      <c r="L246" s="11"/>
      <c r="M246" s="11"/>
      <c r="N246" s="11"/>
      <c r="O246" s="12"/>
      <c r="P246" s="11"/>
      <c r="Q246" s="13"/>
      <c r="R246" s="14"/>
    </row>
    <row r="247" spans="1:18" ht="15" customHeight="1" x14ac:dyDescent="0.3">
      <c r="A247" s="19" t="s">
        <v>35</v>
      </c>
      <c r="B247" s="19" t="s">
        <v>47</v>
      </c>
      <c r="C247" s="20">
        <v>0.78819444444444453</v>
      </c>
      <c r="D247" s="19" t="s">
        <v>43</v>
      </c>
      <c r="E247" s="19" t="s">
        <v>205</v>
      </c>
      <c r="F247" s="19" t="s">
        <v>44</v>
      </c>
      <c r="G247" s="196"/>
      <c r="H247" s="10"/>
      <c r="I247" s="11"/>
      <c r="J247" s="11"/>
      <c r="K247" s="11"/>
      <c r="L247" s="11"/>
      <c r="M247" s="11"/>
      <c r="N247" s="11"/>
      <c r="O247" s="12"/>
      <c r="P247" s="11"/>
      <c r="Q247" s="13"/>
      <c r="R247" s="14"/>
    </row>
    <row r="248" spans="1:18" ht="15" customHeight="1" x14ac:dyDescent="0.3">
      <c r="A248" s="15" t="s">
        <v>35</v>
      </c>
      <c r="B248" s="15" t="s">
        <v>50</v>
      </c>
      <c r="C248" s="16">
        <v>0.88888888888888884</v>
      </c>
      <c r="D248" s="15" t="s">
        <v>37</v>
      </c>
      <c r="E248" s="15" t="s">
        <v>159</v>
      </c>
      <c r="F248" s="15" t="s">
        <v>155</v>
      </c>
      <c r="G248" s="196"/>
      <c r="H248" s="10"/>
      <c r="I248" s="11"/>
      <c r="J248" s="11"/>
      <c r="K248" s="11"/>
      <c r="L248" s="11"/>
      <c r="M248" s="11"/>
      <c r="N248" s="11"/>
      <c r="O248" s="12"/>
      <c r="P248" s="11"/>
      <c r="Q248" s="13"/>
      <c r="R248" s="14"/>
    </row>
    <row r="249" spans="1:18" ht="15" customHeight="1" x14ac:dyDescent="0.3">
      <c r="A249" s="19" t="s">
        <v>35</v>
      </c>
      <c r="B249" s="19" t="s">
        <v>50</v>
      </c>
      <c r="C249" s="20">
        <v>0.88888888888888884</v>
      </c>
      <c r="D249" s="19" t="s">
        <v>40</v>
      </c>
      <c r="E249" s="19" t="s">
        <v>160</v>
      </c>
      <c r="F249" s="19" t="s">
        <v>157</v>
      </c>
      <c r="G249" s="196"/>
      <c r="H249" s="10"/>
      <c r="I249" s="11"/>
      <c r="J249" s="11"/>
      <c r="K249" s="11"/>
      <c r="L249" s="11"/>
      <c r="M249" s="11"/>
      <c r="N249" s="11"/>
      <c r="O249" s="12"/>
      <c r="P249" s="11"/>
      <c r="Q249" s="13"/>
      <c r="R249" s="14"/>
    </row>
    <row r="250" spans="1:18" ht="15" customHeight="1" x14ac:dyDescent="0.3">
      <c r="A250" s="19" t="s">
        <v>35</v>
      </c>
      <c r="B250" s="19" t="s">
        <v>50</v>
      </c>
      <c r="C250" s="20">
        <v>0.88888888888888884</v>
      </c>
      <c r="D250" s="19" t="s">
        <v>43</v>
      </c>
      <c r="E250" s="19" t="s">
        <v>160</v>
      </c>
      <c r="F250" s="19" t="s">
        <v>44</v>
      </c>
      <c r="G250" s="196"/>
      <c r="H250" s="10"/>
      <c r="I250" s="11"/>
      <c r="J250" s="11"/>
      <c r="K250" s="11"/>
      <c r="L250" s="11"/>
      <c r="M250" s="11"/>
      <c r="N250" s="11"/>
      <c r="O250" s="12"/>
      <c r="P250" s="11"/>
      <c r="Q250" s="13"/>
      <c r="R250" s="14"/>
    </row>
    <row r="251" spans="1:18" ht="15" customHeight="1" x14ac:dyDescent="0.3">
      <c r="A251" s="17" t="s">
        <v>51</v>
      </c>
      <c r="B251" s="17" t="s">
        <v>52</v>
      </c>
      <c r="C251" s="18">
        <v>0.90277777777777779</v>
      </c>
      <c r="D251" s="17" t="s">
        <v>53</v>
      </c>
      <c r="E251" s="17" t="s">
        <v>29</v>
      </c>
      <c r="F251" s="17" t="s">
        <v>162</v>
      </c>
      <c r="G251" s="196"/>
      <c r="H251" s="10"/>
      <c r="I251" s="11"/>
      <c r="J251" s="11"/>
      <c r="K251" s="11"/>
      <c r="L251" s="11"/>
      <c r="M251" s="11"/>
      <c r="N251" s="11"/>
      <c r="O251" s="12"/>
      <c r="P251" s="11"/>
      <c r="Q251" s="13"/>
      <c r="R251" s="14"/>
    </row>
    <row r="252" spans="1:18" ht="15" customHeight="1" x14ac:dyDescent="0.3">
      <c r="A252" s="19" t="s">
        <v>51</v>
      </c>
      <c r="B252" s="19" t="s">
        <v>52</v>
      </c>
      <c r="C252" s="20">
        <v>0.90277777777777779</v>
      </c>
      <c r="D252" s="19" t="s">
        <v>56</v>
      </c>
      <c r="E252" s="19" t="s">
        <v>63</v>
      </c>
      <c r="F252" s="19" t="s">
        <v>164</v>
      </c>
      <c r="G252" s="196"/>
      <c r="H252" s="10"/>
      <c r="I252" s="11"/>
      <c r="J252" s="11"/>
      <c r="K252" s="11"/>
      <c r="L252" s="11"/>
      <c r="M252" s="11"/>
      <c r="N252" s="11"/>
      <c r="O252" s="12"/>
      <c r="P252" s="11"/>
      <c r="Q252" s="13"/>
      <c r="R252" s="14"/>
    </row>
    <row r="253" spans="1:18" ht="15" customHeight="1" x14ac:dyDescent="0.3">
      <c r="A253" s="19" t="s">
        <v>51</v>
      </c>
      <c r="B253" s="19" t="s">
        <v>52</v>
      </c>
      <c r="C253" s="20">
        <v>0.90277777777777779</v>
      </c>
      <c r="D253" s="19" t="s">
        <v>59</v>
      </c>
      <c r="E253" s="19" t="s">
        <v>63</v>
      </c>
      <c r="F253" s="19" t="s">
        <v>33</v>
      </c>
      <c r="G253" s="196"/>
      <c r="H253" s="10"/>
      <c r="I253" s="11"/>
      <c r="J253" s="11"/>
      <c r="K253" s="11"/>
      <c r="L253" s="11"/>
      <c r="M253" s="11"/>
      <c r="N253" s="11"/>
      <c r="O253" s="12"/>
      <c r="P253" s="11"/>
      <c r="Q253" s="13"/>
      <c r="R253" s="14"/>
    </row>
    <row r="254" spans="1:18" ht="15" customHeight="1" x14ac:dyDescent="0.3">
      <c r="A254" s="15" t="s">
        <v>51</v>
      </c>
      <c r="B254" s="15" t="s">
        <v>64</v>
      </c>
      <c r="C254" s="16">
        <v>0.51736111111111105</v>
      </c>
      <c r="D254" s="15" t="s">
        <v>53</v>
      </c>
      <c r="E254" s="15" t="s">
        <v>65</v>
      </c>
      <c r="F254" s="15" t="s">
        <v>162</v>
      </c>
      <c r="G254" s="196"/>
      <c r="H254" s="10"/>
      <c r="I254" s="11"/>
      <c r="J254" s="11"/>
      <c r="K254" s="11"/>
      <c r="L254" s="11"/>
      <c r="M254" s="11"/>
      <c r="N254" s="11"/>
      <c r="O254" s="12"/>
      <c r="P254" s="11"/>
      <c r="Q254" s="13"/>
      <c r="R254" s="14"/>
    </row>
    <row r="255" spans="1:18" ht="15" customHeight="1" x14ac:dyDescent="0.3">
      <c r="A255" s="19" t="s">
        <v>51</v>
      </c>
      <c r="B255" s="19" t="s">
        <v>64</v>
      </c>
      <c r="C255" s="20">
        <v>0.51736111111111105</v>
      </c>
      <c r="D255" s="19" t="s">
        <v>56</v>
      </c>
      <c r="E255" s="19" t="s">
        <v>41</v>
      </c>
      <c r="F255" s="19" t="s">
        <v>164</v>
      </c>
      <c r="G255" s="196"/>
      <c r="H255" s="10"/>
      <c r="I255" s="11"/>
      <c r="J255" s="11"/>
      <c r="K255" s="11"/>
      <c r="L255" s="11"/>
      <c r="M255" s="11"/>
      <c r="N255" s="11"/>
      <c r="O255" s="12"/>
      <c r="P255" s="11"/>
      <c r="Q255" s="13"/>
      <c r="R255" s="14"/>
    </row>
    <row r="256" spans="1:18" ht="15" customHeight="1" x14ac:dyDescent="0.3">
      <c r="A256" s="19" t="s">
        <v>51</v>
      </c>
      <c r="B256" s="19" t="s">
        <v>64</v>
      </c>
      <c r="C256" s="20">
        <v>0.51736111111111105</v>
      </c>
      <c r="D256" s="19" t="s">
        <v>59</v>
      </c>
      <c r="E256" s="19" t="s">
        <v>41</v>
      </c>
      <c r="F256" s="19" t="s">
        <v>33</v>
      </c>
      <c r="G256" s="196"/>
      <c r="H256" s="10"/>
      <c r="I256" s="11"/>
      <c r="J256" s="11"/>
      <c r="K256" s="11"/>
      <c r="L256" s="11"/>
      <c r="M256" s="11"/>
      <c r="N256" s="11"/>
      <c r="O256" s="12"/>
      <c r="P256" s="11"/>
      <c r="Q256" s="13"/>
      <c r="R256" s="14"/>
    </row>
    <row r="257" spans="1:18" ht="15" customHeight="1" x14ac:dyDescent="0.3">
      <c r="A257" s="15" t="s">
        <v>51</v>
      </c>
      <c r="B257" s="15" t="s">
        <v>75</v>
      </c>
      <c r="C257" s="16">
        <v>0.39583333333333331</v>
      </c>
      <c r="D257" s="15" t="s">
        <v>53</v>
      </c>
      <c r="E257" s="15" t="s">
        <v>65</v>
      </c>
      <c r="F257" s="15" t="s">
        <v>162</v>
      </c>
      <c r="G257" s="196"/>
      <c r="H257" s="10"/>
      <c r="I257" s="11"/>
      <c r="J257" s="11"/>
      <c r="K257" s="11"/>
      <c r="L257" s="11"/>
      <c r="M257" s="11"/>
      <c r="N257" s="11"/>
      <c r="O257" s="12"/>
      <c r="P257" s="11"/>
      <c r="Q257" s="13"/>
      <c r="R257" s="14"/>
    </row>
    <row r="258" spans="1:18" ht="15" customHeight="1" x14ac:dyDescent="0.3">
      <c r="A258" s="19" t="s">
        <v>51</v>
      </c>
      <c r="B258" s="19" t="s">
        <v>75</v>
      </c>
      <c r="C258" s="20">
        <v>0.39583333333333331</v>
      </c>
      <c r="D258" s="19" t="s">
        <v>56</v>
      </c>
      <c r="E258" s="19" t="s">
        <v>41</v>
      </c>
      <c r="F258" s="19" t="s">
        <v>164</v>
      </c>
      <c r="G258" s="196"/>
      <c r="H258" s="10"/>
      <c r="I258" s="11"/>
      <c r="J258" s="11"/>
      <c r="K258" s="11"/>
      <c r="L258" s="11"/>
      <c r="M258" s="11"/>
      <c r="N258" s="11"/>
      <c r="O258" s="12"/>
      <c r="P258" s="11"/>
      <c r="Q258" s="13"/>
      <c r="R258" s="14"/>
    </row>
    <row r="259" spans="1:18" ht="15" customHeight="1" x14ac:dyDescent="0.3">
      <c r="A259" s="19" t="s">
        <v>51</v>
      </c>
      <c r="B259" s="19" t="s">
        <v>75</v>
      </c>
      <c r="C259" s="20">
        <v>0.39583333333333331</v>
      </c>
      <c r="D259" s="19" t="s">
        <v>59</v>
      </c>
      <c r="E259" s="19" t="s">
        <v>41</v>
      </c>
      <c r="F259" s="19" t="s">
        <v>33</v>
      </c>
      <c r="G259" s="196"/>
      <c r="H259" s="10"/>
      <c r="I259" s="11"/>
      <c r="J259" s="11"/>
      <c r="K259" s="11"/>
      <c r="L259" s="11"/>
      <c r="M259" s="11"/>
      <c r="N259" s="11"/>
      <c r="O259" s="12"/>
      <c r="P259" s="11"/>
      <c r="Q259" s="13"/>
      <c r="R259" s="14"/>
    </row>
    <row r="260" spans="1:18" ht="15" customHeight="1" x14ac:dyDescent="0.3">
      <c r="A260" s="15" t="s">
        <v>51</v>
      </c>
      <c r="B260" s="15" t="s">
        <v>70</v>
      </c>
      <c r="C260" s="16">
        <v>0.79861111111111116</v>
      </c>
      <c r="D260" s="15" t="s">
        <v>53</v>
      </c>
      <c r="E260" s="15" t="s">
        <v>62</v>
      </c>
      <c r="F260" s="15" t="s">
        <v>162</v>
      </c>
      <c r="G260" s="196"/>
      <c r="H260" s="10"/>
      <c r="I260" s="11"/>
      <c r="J260" s="11"/>
      <c r="K260" s="11"/>
      <c r="L260" s="11"/>
      <c r="M260" s="11"/>
      <c r="N260" s="11"/>
      <c r="O260" s="12"/>
      <c r="P260" s="11"/>
      <c r="Q260" s="13"/>
      <c r="R260" s="14"/>
    </row>
    <row r="261" spans="1:18" ht="15" customHeight="1" x14ac:dyDescent="0.3">
      <c r="A261" s="19" t="s">
        <v>51</v>
      </c>
      <c r="B261" s="19" t="s">
        <v>70</v>
      </c>
      <c r="C261" s="20">
        <v>0.79861111111111116</v>
      </c>
      <c r="D261" s="19" t="s">
        <v>56</v>
      </c>
      <c r="E261" s="19" t="s">
        <v>63</v>
      </c>
      <c r="F261" s="19" t="s">
        <v>164</v>
      </c>
      <c r="G261" s="196"/>
      <c r="H261" s="10"/>
      <c r="I261" s="11"/>
      <c r="J261" s="11"/>
      <c r="K261" s="11"/>
      <c r="L261" s="11"/>
      <c r="M261" s="11"/>
      <c r="N261" s="11"/>
      <c r="O261" s="12"/>
      <c r="P261" s="11"/>
      <c r="Q261" s="13"/>
      <c r="R261" s="14"/>
    </row>
    <row r="262" spans="1:18" ht="15" customHeight="1" x14ac:dyDescent="0.3">
      <c r="A262" s="19" t="s">
        <v>51</v>
      </c>
      <c r="B262" s="19" t="s">
        <v>70</v>
      </c>
      <c r="C262" s="20">
        <v>0.79861111111111116</v>
      </c>
      <c r="D262" s="19" t="s">
        <v>59</v>
      </c>
      <c r="E262" s="19" t="s">
        <v>63</v>
      </c>
      <c r="F262" s="19" t="s">
        <v>33</v>
      </c>
      <c r="G262" s="196"/>
      <c r="H262" s="10"/>
      <c r="I262" s="11"/>
      <c r="J262" s="11"/>
      <c r="K262" s="11"/>
      <c r="L262" s="11"/>
      <c r="M262" s="11"/>
      <c r="N262" s="11"/>
      <c r="O262" s="12"/>
      <c r="P262" s="11"/>
      <c r="Q262" s="13"/>
      <c r="R262" s="14"/>
    </row>
    <row r="263" spans="1:18" ht="15" customHeight="1" x14ac:dyDescent="0.3">
      <c r="A263" s="15" t="s">
        <v>51</v>
      </c>
      <c r="B263" s="15" t="s">
        <v>71</v>
      </c>
      <c r="C263" s="16">
        <v>0.25694444444444448</v>
      </c>
      <c r="D263" s="15" t="s">
        <v>53</v>
      </c>
      <c r="E263" s="15" t="s">
        <v>84</v>
      </c>
      <c r="F263" s="15" t="s">
        <v>55</v>
      </c>
      <c r="G263" s="196"/>
      <c r="H263" s="10"/>
      <c r="I263" s="11"/>
      <c r="J263" s="11"/>
      <c r="K263" s="11"/>
      <c r="L263" s="11"/>
      <c r="M263" s="11"/>
      <c r="N263" s="11"/>
      <c r="O263" s="12"/>
      <c r="P263" s="11"/>
      <c r="Q263" s="13"/>
      <c r="R263" s="14"/>
    </row>
    <row r="264" spans="1:18" ht="15" customHeight="1" x14ac:dyDescent="0.3">
      <c r="A264" s="19" t="s">
        <v>51</v>
      </c>
      <c r="B264" s="19" t="s">
        <v>71</v>
      </c>
      <c r="C264" s="20">
        <v>0.25694444444444448</v>
      </c>
      <c r="D264" s="19" t="s">
        <v>56</v>
      </c>
      <c r="E264" s="19" t="s">
        <v>163</v>
      </c>
      <c r="F264" s="19" t="s">
        <v>58</v>
      </c>
      <c r="G264" s="196"/>
      <c r="H264" s="10"/>
      <c r="I264" s="11"/>
      <c r="J264" s="11"/>
      <c r="K264" s="11"/>
      <c r="L264" s="11"/>
      <c r="M264" s="11"/>
      <c r="N264" s="11"/>
      <c r="O264" s="12"/>
      <c r="P264" s="11"/>
      <c r="Q264" s="13"/>
      <c r="R264" s="14"/>
    </row>
    <row r="265" spans="1:18" ht="15" customHeight="1" x14ac:dyDescent="0.3">
      <c r="A265" s="19" t="s">
        <v>51</v>
      </c>
      <c r="B265" s="19" t="s">
        <v>71</v>
      </c>
      <c r="C265" s="20">
        <v>0.25694444444444448</v>
      </c>
      <c r="D265" s="19" t="s">
        <v>59</v>
      </c>
      <c r="E265" s="19" t="s">
        <v>163</v>
      </c>
      <c r="F265" s="19" t="s">
        <v>60</v>
      </c>
      <c r="G265" s="196"/>
      <c r="H265" s="10"/>
      <c r="I265" s="11"/>
      <c r="J265" s="11"/>
      <c r="K265" s="11"/>
      <c r="L265" s="11"/>
      <c r="M265" s="11"/>
      <c r="N265" s="11"/>
      <c r="O265" s="12"/>
      <c r="P265" s="11"/>
      <c r="Q265" s="13"/>
      <c r="R265" s="14"/>
    </row>
    <row r="266" spans="1:18" ht="15" customHeight="1" x14ac:dyDescent="0.3">
      <c r="A266" s="15" t="s">
        <v>51</v>
      </c>
      <c r="B266" s="15" t="s">
        <v>61</v>
      </c>
      <c r="C266" s="16">
        <v>0.64583333333333337</v>
      </c>
      <c r="D266" s="15" t="s">
        <v>53</v>
      </c>
      <c r="E266" s="15" t="s">
        <v>158</v>
      </c>
      <c r="F266" s="15" t="s">
        <v>55</v>
      </c>
      <c r="G266" s="196"/>
      <c r="H266" s="10"/>
      <c r="I266" s="11"/>
      <c r="J266" s="11"/>
      <c r="K266" s="11"/>
      <c r="L266" s="11"/>
      <c r="M266" s="11"/>
      <c r="N266" s="11"/>
      <c r="O266" s="12"/>
      <c r="P266" s="11"/>
      <c r="Q266" s="13"/>
      <c r="R266" s="14"/>
    </row>
    <row r="267" spans="1:18" ht="15" customHeight="1" x14ac:dyDescent="0.3">
      <c r="A267" s="19" t="s">
        <v>51</v>
      </c>
      <c r="B267" s="19" t="s">
        <v>61</v>
      </c>
      <c r="C267" s="20">
        <v>0.64583333333333337</v>
      </c>
      <c r="D267" s="19" t="s">
        <v>56</v>
      </c>
      <c r="E267" s="19" t="s">
        <v>57</v>
      </c>
      <c r="F267" s="19" t="s">
        <v>58</v>
      </c>
      <c r="G267" s="196"/>
      <c r="H267" s="10"/>
      <c r="I267" s="11"/>
      <c r="J267" s="11"/>
      <c r="K267" s="11"/>
      <c r="L267" s="11"/>
      <c r="M267" s="11"/>
      <c r="N267" s="11"/>
      <c r="O267" s="12"/>
      <c r="P267" s="11"/>
      <c r="Q267" s="13"/>
      <c r="R267" s="14"/>
    </row>
    <row r="268" spans="1:18" ht="15" customHeight="1" x14ac:dyDescent="0.3">
      <c r="A268" s="19" t="s">
        <v>51</v>
      </c>
      <c r="B268" s="19" t="s">
        <v>61</v>
      </c>
      <c r="C268" s="20">
        <v>0.64583333333333337</v>
      </c>
      <c r="D268" s="19" t="s">
        <v>59</v>
      </c>
      <c r="E268" s="19" t="s">
        <v>57</v>
      </c>
      <c r="F268" s="19" t="s">
        <v>60</v>
      </c>
      <c r="G268" s="196"/>
      <c r="H268" s="10"/>
      <c r="I268" s="11"/>
      <c r="J268" s="11"/>
      <c r="K268" s="11"/>
      <c r="L268" s="11"/>
      <c r="M268" s="11"/>
      <c r="N268" s="11"/>
      <c r="O268" s="12"/>
      <c r="P268" s="11"/>
      <c r="Q268" s="13"/>
      <c r="R268" s="14"/>
    </row>
    <row r="269" spans="1:18" ht="15" customHeight="1" x14ac:dyDescent="0.3">
      <c r="A269" s="15" t="s">
        <v>51</v>
      </c>
      <c r="B269" s="15" t="s">
        <v>66</v>
      </c>
      <c r="C269" s="16">
        <v>0.85416666666666663</v>
      </c>
      <c r="D269" s="15" t="s">
        <v>53</v>
      </c>
      <c r="E269" s="15" t="s">
        <v>158</v>
      </c>
      <c r="F269" s="15" t="s">
        <v>55</v>
      </c>
      <c r="G269" s="196"/>
      <c r="H269" s="10"/>
      <c r="I269" s="11"/>
      <c r="J269" s="11"/>
      <c r="K269" s="11"/>
      <c r="L269" s="11"/>
      <c r="M269" s="11"/>
      <c r="N269" s="11"/>
      <c r="O269" s="12"/>
      <c r="P269" s="11"/>
      <c r="Q269" s="13"/>
      <c r="R269" s="14"/>
    </row>
    <row r="270" spans="1:18" ht="15" customHeight="1" x14ac:dyDescent="0.3">
      <c r="A270" s="19" t="s">
        <v>51</v>
      </c>
      <c r="B270" s="19" t="s">
        <v>66</v>
      </c>
      <c r="C270" s="20">
        <v>0.85416666666666663</v>
      </c>
      <c r="D270" s="19" t="s">
        <v>56</v>
      </c>
      <c r="E270" s="19" t="s">
        <v>57</v>
      </c>
      <c r="F270" s="19" t="s">
        <v>58</v>
      </c>
      <c r="G270" s="196"/>
      <c r="H270" s="10"/>
      <c r="I270" s="11"/>
      <c r="J270" s="11"/>
      <c r="K270" s="11"/>
      <c r="L270" s="11"/>
      <c r="M270" s="11"/>
      <c r="N270" s="11"/>
      <c r="O270" s="12"/>
      <c r="P270" s="11"/>
      <c r="Q270" s="13"/>
      <c r="R270" s="14"/>
    </row>
    <row r="271" spans="1:18" ht="15" customHeight="1" x14ac:dyDescent="0.3">
      <c r="A271" s="19" t="s">
        <v>51</v>
      </c>
      <c r="B271" s="19" t="s">
        <v>66</v>
      </c>
      <c r="C271" s="20">
        <v>0.85416666666666663</v>
      </c>
      <c r="D271" s="19" t="s">
        <v>59</v>
      </c>
      <c r="E271" s="19" t="s">
        <v>57</v>
      </c>
      <c r="F271" s="19" t="s">
        <v>60</v>
      </c>
      <c r="G271" s="196"/>
      <c r="H271" s="10"/>
      <c r="I271" s="11"/>
      <c r="J271" s="11"/>
      <c r="K271" s="11"/>
      <c r="L271" s="11"/>
      <c r="M271" s="11"/>
      <c r="N271" s="11"/>
      <c r="O271" s="12"/>
      <c r="P271" s="11"/>
      <c r="Q271" s="13"/>
      <c r="R271" s="14"/>
    </row>
    <row r="272" spans="1:18" ht="15" customHeight="1" x14ac:dyDescent="0.3">
      <c r="A272" s="111" t="s">
        <v>76</v>
      </c>
      <c r="B272" s="111" t="s">
        <v>77</v>
      </c>
      <c r="C272" s="112">
        <v>0.31944444444444448</v>
      </c>
      <c r="D272" s="111" t="s">
        <v>78</v>
      </c>
      <c r="E272" s="111" t="s">
        <v>29</v>
      </c>
      <c r="F272" s="111" t="s">
        <v>192</v>
      </c>
      <c r="G272" s="196"/>
      <c r="H272" s="50" t="s">
        <v>80</v>
      </c>
      <c r="I272" s="106">
        <v>0.25700000000000001</v>
      </c>
      <c r="J272" s="52">
        <v>46</v>
      </c>
      <c r="K272" s="53">
        <v>45980</v>
      </c>
      <c r="L272" s="52">
        <v>37</v>
      </c>
      <c r="M272" s="52">
        <v>0</v>
      </c>
      <c r="N272" s="52">
        <v>2</v>
      </c>
      <c r="O272" s="54" t="s">
        <v>214</v>
      </c>
      <c r="P272" s="55">
        <v>0.31944444444444448</v>
      </c>
      <c r="Q272" s="52">
        <v>179</v>
      </c>
      <c r="R272" s="56" t="s">
        <v>215</v>
      </c>
    </row>
    <row r="273" spans="1:18" ht="15" customHeight="1" x14ac:dyDescent="0.3">
      <c r="A273" s="93" t="s">
        <v>76</v>
      </c>
      <c r="B273" s="93" t="s">
        <v>93</v>
      </c>
      <c r="C273" s="94">
        <v>0.45833333333333331</v>
      </c>
      <c r="D273" s="93" t="s">
        <v>78</v>
      </c>
      <c r="E273" s="93" t="s">
        <v>116</v>
      </c>
      <c r="F273" s="93" t="s">
        <v>192</v>
      </c>
      <c r="G273" s="196"/>
      <c r="H273" s="95" t="s">
        <v>95</v>
      </c>
      <c r="I273" s="110">
        <v>0.34079999999999999</v>
      </c>
      <c r="J273" s="97">
        <v>61</v>
      </c>
      <c r="K273" s="98">
        <v>45980</v>
      </c>
      <c r="L273" s="97">
        <v>11</v>
      </c>
      <c r="M273" s="97">
        <v>0</v>
      </c>
      <c r="N273" s="97">
        <v>5</v>
      </c>
      <c r="O273" s="99" t="s">
        <v>194</v>
      </c>
      <c r="P273" s="100">
        <v>0.45833333333333331</v>
      </c>
      <c r="Q273" s="97">
        <v>179</v>
      </c>
      <c r="R273" s="101" t="s">
        <v>216</v>
      </c>
    </row>
    <row r="274" spans="1:18" ht="15" customHeight="1" x14ac:dyDescent="0.3">
      <c r="A274" s="113" t="s">
        <v>76</v>
      </c>
      <c r="B274" s="113" t="s">
        <v>83</v>
      </c>
      <c r="C274" s="114">
        <v>0.1145833333333333</v>
      </c>
      <c r="D274" s="113" t="s">
        <v>78</v>
      </c>
      <c r="E274" s="113" t="s">
        <v>158</v>
      </c>
      <c r="F274" s="113" t="s">
        <v>79</v>
      </c>
      <c r="G274" s="196"/>
      <c r="H274" s="115" t="s">
        <v>86</v>
      </c>
      <c r="I274" s="116">
        <v>0.25140000000000001</v>
      </c>
      <c r="J274" s="117">
        <v>45</v>
      </c>
      <c r="K274" s="118">
        <v>45980</v>
      </c>
      <c r="L274" s="117">
        <v>26</v>
      </c>
      <c r="M274" s="117">
        <v>0</v>
      </c>
      <c r="N274" s="117">
        <v>8</v>
      </c>
      <c r="O274" s="119" t="s">
        <v>202</v>
      </c>
      <c r="P274" s="120">
        <v>0.1145833333333333</v>
      </c>
      <c r="Q274" s="117">
        <v>179</v>
      </c>
      <c r="R274" s="121" t="s">
        <v>217</v>
      </c>
    </row>
    <row r="275" spans="1:18" ht="15" customHeight="1" x14ac:dyDescent="0.3">
      <c r="A275" s="107" t="s">
        <v>76</v>
      </c>
      <c r="B275" s="107" t="s">
        <v>165</v>
      </c>
      <c r="C275" s="108">
        <v>0.9375</v>
      </c>
      <c r="D275" s="107" t="s">
        <v>78</v>
      </c>
      <c r="E275" s="107" t="s">
        <v>62</v>
      </c>
      <c r="F275" s="107" t="s">
        <v>79</v>
      </c>
      <c r="G275" s="196"/>
      <c r="H275" s="23" t="s">
        <v>103</v>
      </c>
      <c r="I275" s="122">
        <v>0.93300000000000005</v>
      </c>
      <c r="J275" s="25">
        <v>167</v>
      </c>
      <c r="K275" s="26">
        <v>45980</v>
      </c>
      <c r="L275" s="25">
        <v>21</v>
      </c>
      <c r="M275" s="25">
        <v>0</v>
      </c>
      <c r="N275" s="25">
        <v>3</v>
      </c>
      <c r="O275" s="27" t="s">
        <v>169</v>
      </c>
      <c r="P275" s="28">
        <v>0.9375</v>
      </c>
      <c r="Q275" s="25">
        <v>179</v>
      </c>
      <c r="R275" s="29" t="s">
        <v>218</v>
      </c>
    </row>
    <row r="276" spans="1:18" ht="15" customHeight="1" x14ac:dyDescent="0.3">
      <c r="A276" s="57" t="s">
        <v>76</v>
      </c>
      <c r="B276" s="57" t="s">
        <v>89</v>
      </c>
      <c r="C276" s="58">
        <v>0.73611111111111116</v>
      </c>
      <c r="D276" s="57" t="s">
        <v>78</v>
      </c>
      <c r="E276" s="57" t="s">
        <v>32</v>
      </c>
      <c r="F276" s="57" t="s">
        <v>79</v>
      </c>
      <c r="G276" s="196"/>
      <c r="H276" s="60" t="s">
        <v>90</v>
      </c>
      <c r="I276" s="123">
        <v>0.3352</v>
      </c>
      <c r="J276" s="62">
        <v>60</v>
      </c>
      <c r="K276" s="63">
        <v>45980</v>
      </c>
      <c r="L276" s="62">
        <v>24</v>
      </c>
      <c r="M276" s="62">
        <v>0</v>
      </c>
      <c r="N276" s="62">
        <v>5</v>
      </c>
      <c r="O276" s="64" t="s">
        <v>219</v>
      </c>
      <c r="P276" s="65">
        <v>0.73611111111111116</v>
      </c>
      <c r="Q276" s="62">
        <v>179</v>
      </c>
      <c r="R276" s="66" t="s">
        <v>220</v>
      </c>
    </row>
    <row r="277" spans="1:18" ht="15" customHeight="1" x14ac:dyDescent="0.3">
      <c r="A277" s="107" t="s">
        <v>76</v>
      </c>
      <c r="B277" s="107" t="s">
        <v>200</v>
      </c>
      <c r="C277" s="108">
        <v>0.61458333333333337</v>
      </c>
      <c r="D277" s="107" t="s">
        <v>78</v>
      </c>
      <c r="E277" s="107" t="s">
        <v>159</v>
      </c>
      <c r="F277" s="107" t="s">
        <v>79</v>
      </c>
      <c r="G277" s="196"/>
      <c r="H277" s="23" t="s">
        <v>98</v>
      </c>
      <c r="I277" s="24">
        <v>0.60340000000000005</v>
      </c>
      <c r="J277" s="25">
        <v>108</v>
      </c>
      <c r="K277" s="26">
        <v>45980</v>
      </c>
      <c r="L277" s="25">
        <v>25</v>
      </c>
      <c r="M277" s="25">
        <v>0</v>
      </c>
      <c r="N277" s="25">
        <v>3</v>
      </c>
      <c r="O277" s="27" t="s">
        <v>221</v>
      </c>
      <c r="P277" s="28">
        <v>0.61458333333333337</v>
      </c>
      <c r="Q277" s="25">
        <v>179</v>
      </c>
      <c r="R277" s="29" t="s">
        <v>222</v>
      </c>
    </row>
    <row r="278" spans="1:18" ht="15" customHeight="1" x14ac:dyDescent="0.3">
      <c r="A278" s="17" t="s">
        <v>105</v>
      </c>
      <c r="B278" s="17" t="s">
        <v>223</v>
      </c>
      <c r="C278" s="18">
        <v>0.97569444444444453</v>
      </c>
      <c r="D278" s="17" t="s">
        <v>107</v>
      </c>
      <c r="E278" s="17" t="s">
        <v>108</v>
      </c>
      <c r="F278" s="17" t="s">
        <v>224</v>
      </c>
      <c r="G278" s="196"/>
      <c r="H278" s="10"/>
      <c r="I278" s="11"/>
      <c r="J278" s="11"/>
      <c r="K278" s="11"/>
      <c r="L278" s="11"/>
      <c r="M278" s="11"/>
      <c r="N278" s="11"/>
      <c r="O278" s="12"/>
      <c r="P278" s="11"/>
      <c r="Q278" s="13"/>
      <c r="R278" s="14"/>
    </row>
    <row r="279" spans="1:18" ht="15" customHeight="1" x14ac:dyDescent="0.3">
      <c r="A279" s="19" t="s">
        <v>105</v>
      </c>
      <c r="B279" s="19" t="s">
        <v>223</v>
      </c>
      <c r="C279" s="20">
        <v>0.97569444444444453</v>
      </c>
      <c r="D279" s="19" t="s">
        <v>43</v>
      </c>
      <c r="E279" s="19" t="s">
        <v>49</v>
      </c>
      <c r="F279" s="19" t="s">
        <v>225</v>
      </c>
      <c r="G279" s="196"/>
      <c r="H279" s="10"/>
      <c r="I279" s="11"/>
      <c r="J279" s="11"/>
      <c r="K279" s="11"/>
      <c r="L279" s="11"/>
      <c r="M279" s="11"/>
      <c r="N279" s="11"/>
      <c r="O279" s="12"/>
      <c r="P279" s="11"/>
      <c r="Q279" s="13"/>
      <c r="R279" s="14"/>
    </row>
    <row r="280" spans="1:18" ht="15" customHeight="1" x14ac:dyDescent="0.3">
      <c r="A280" s="15" t="s">
        <v>105</v>
      </c>
      <c r="B280" s="15" t="s">
        <v>171</v>
      </c>
      <c r="C280" s="16">
        <v>0.3923611111111111</v>
      </c>
      <c r="D280" s="15" t="s">
        <v>107</v>
      </c>
      <c r="E280" s="15" t="s">
        <v>48</v>
      </c>
      <c r="F280" s="15" t="s">
        <v>55</v>
      </c>
      <c r="G280" s="196"/>
      <c r="H280" s="10"/>
      <c r="I280" s="11"/>
      <c r="J280" s="11"/>
      <c r="K280" s="11"/>
      <c r="L280" s="11"/>
      <c r="M280" s="11"/>
      <c r="N280" s="11"/>
      <c r="O280" s="12"/>
      <c r="P280" s="11"/>
      <c r="Q280" s="13"/>
      <c r="R280" s="14"/>
    </row>
    <row r="281" spans="1:18" ht="15" customHeight="1" x14ac:dyDescent="0.3">
      <c r="A281" s="19" t="s">
        <v>105</v>
      </c>
      <c r="B281" s="19" t="s">
        <v>171</v>
      </c>
      <c r="C281" s="20">
        <v>0.3923611111111111</v>
      </c>
      <c r="D281" s="19" t="s">
        <v>43</v>
      </c>
      <c r="E281" s="19" t="s">
        <v>49</v>
      </c>
      <c r="F281" s="19" t="s">
        <v>226</v>
      </c>
      <c r="G281" s="196"/>
      <c r="H281" s="10"/>
      <c r="I281" s="11"/>
      <c r="J281" s="11"/>
      <c r="K281" s="11"/>
      <c r="L281" s="11"/>
      <c r="M281" s="11"/>
      <c r="N281" s="11"/>
      <c r="O281" s="12"/>
      <c r="P281" s="11"/>
      <c r="Q281" s="13"/>
      <c r="R281" s="14"/>
    </row>
    <row r="282" spans="1:18" ht="15" customHeight="1" x14ac:dyDescent="0.3">
      <c r="A282" s="17" t="s">
        <v>26</v>
      </c>
      <c r="B282" s="17" t="s">
        <v>31</v>
      </c>
      <c r="C282" s="18">
        <v>0.66666666666666663</v>
      </c>
      <c r="D282" s="17" t="s">
        <v>28</v>
      </c>
      <c r="E282" s="17" t="s">
        <v>113</v>
      </c>
      <c r="F282" s="17" t="s">
        <v>33</v>
      </c>
      <c r="G282" s="196"/>
      <c r="H282" s="10"/>
      <c r="I282" s="11"/>
      <c r="J282" s="11"/>
      <c r="K282" s="11"/>
      <c r="L282" s="11"/>
      <c r="M282" s="11"/>
      <c r="N282" s="11"/>
      <c r="O282" s="12"/>
      <c r="P282" s="11"/>
      <c r="Q282" s="13"/>
      <c r="R282" s="14"/>
    </row>
    <row r="283" spans="1:18" ht="15" customHeight="1" x14ac:dyDescent="0.3">
      <c r="A283" s="17" t="s">
        <v>118</v>
      </c>
      <c r="B283" s="17" t="s">
        <v>119</v>
      </c>
      <c r="C283" s="18">
        <v>0.37847222222222232</v>
      </c>
      <c r="D283" s="17" t="s">
        <v>120</v>
      </c>
      <c r="E283" s="17" t="s">
        <v>113</v>
      </c>
      <c r="F283" s="17" t="s">
        <v>121</v>
      </c>
      <c r="G283" s="196"/>
      <c r="H283" s="10"/>
      <c r="I283" s="11"/>
      <c r="J283" s="11"/>
      <c r="K283" s="11"/>
      <c r="L283" s="11"/>
      <c r="M283" s="11"/>
      <c r="N283" s="11"/>
      <c r="O283" s="12"/>
      <c r="P283" s="11"/>
      <c r="Q283" s="13"/>
      <c r="R283" s="14"/>
    </row>
    <row r="284" spans="1:18" ht="15" customHeight="1" x14ac:dyDescent="0.3">
      <c r="A284" s="19" t="s">
        <v>118</v>
      </c>
      <c r="B284" s="19" t="s">
        <v>119</v>
      </c>
      <c r="C284" s="20">
        <v>0.37847222222222232</v>
      </c>
      <c r="D284" s="19" t="s">
        <v>122</v>
      </c>
      <c r="E284" s="19" t="s">
        <v>126</v>
      </c>
      <c r="F284" s="19" t="s">
        <v>123</v>
      </c>
      <c r="G284" s="196"/>
      <c r="H284" s="10"/>
      <c r="I284" s="11"/>
      <c r="J284" s="11"/>
      <c r="K284" s="11"/>
      <c r="L284" s="11"/>
      <c r="M284" s="11"/>
      <c r="N284" s="11"/>
      <c r="O284" s="12"/>
      <c r="P284" s="11"/>
      <c r="Q284" s="13"/>
      <c r="R284" s="14"/>
    </row>
    <row r="285" spans="1:18" ht="15" customHeight="1" x14ac:dyDescent="0.3">
      <c r="A285" s="15" t="s">
        <v>118</v>
      </c>
      <c r="B285" s="15" t="s">
        <v>131</v>
      </c>
      <c r="C285" s="16">
        <v>0.71875</v>
      </c>
      <c r="D285" s="15" t="s">
        <v>120</v>
      </c>
      <c r="E285" s="15" t="s">
        <v>67</v>
      </c>
      <c r="F285" s="15" t="s">
        <v>121</v>
      </c>
      <c r="G285" s="196"/>
      <c r="H285" s="10"/>
      <c r="I285" s="11"/>
      <c r="J285" s="11"/>
      <c r="K285" s="11"/>
      <c r="L285" s="11"/>
      <c r="M285" s="11"/>
      <c r="N285" s="11"/>
      <c r="O285" s="12"/>
      <c r="P285" s="11"/>
      <c r="Q285" s="13"/>
      <c r="R285" s="14"/>
    </row>
    <row r="286" spans="1:18" ht="15" customHeight="1" x14ac:dyDescent="0.3">
      <c r="A286" s="19" t="s">
        <v>118</v>
      </c>
      <c r="B286" s="19" t="s">
        <v>131</v>
      </c>
      <c r="C286" s="20">
        <v>0.71875</v>
      </c>
      <c r="D286" s="19" t="s">
        <v>122</v>
      </c>
      <c r="E286" s="19" t="s">
        <v>68</v>
      </c>
      <c r="F286" s="19" t="s">
        <v>123</v>
      </c>
      <c r="G286" s="196"/>
      <c r="H286" s="10"/>
      <c r="I286" s="11"/>
      <c r="J286" s="11"/>
      <c r="K286" s="11"/>
      <c r="L286" s="11"/>
      <c r="M286" s="11"/>
      <c r="N286" s="11"/>
      <c r="O286" s="12"/>
      <c r="P286" s="11"/>
      <c r="Q286" s="13"/>
      <c r="R286" s="14"/>
    </row>
    <row r="287" spans="1:18" ht="15" customHeight="1" x14ac:dyDescent="0.3">
      <c r="A287" s="15" t="s">
        <v>118</v>
      </c>
      <c r="B287" s="15" t="s">
        <v>184</v>
      </c>
      <c r="C287" s="16">
        <v>0.61111111111111105</v>
      </c>
      <c r="D287" s="15" t="s">
        <v>120</v>
      </c>
      <c r="E287" s="15" t="s">
        <v>116</v>
      </c>
      <c r="F287" s="15" t="s">
        <v>121</v>
      </c>
      <c r="G287" s="196"/>
      <c r="H287" s="10"/>
      <c r="I287" s="11"/>
      <c r="J287" s="11"/>
      <c r="K287" s="11"/>
      <c r="L287" s="11"/>
      <c r="M287" s="11"/>
      <c r="N287" s="11"/>
      <c r="O287" s="12"/>
      <c r="P287" s="11"/>
      <c r="Q287" s="13"/>
      <c r="R287" s="14"/>
    </row>
    <row r="288" spans="1:18" ht="15" customHeight="1" x14ac:dyDescent="0.3">
      <c r="A288" s="19" t="s">
        <v>118</v>
      </c>
      <c r="B288" s="19" t="s">
        <v>184</v>
      </c>
      <c r="C288" s="20">
        <v>0.61111111111111105</v>
      </c>
      <c r="D288" s="19" t="s">
        <v>122</v>
      </c>
      <c r="E288" s="19" t="s">
        <v>126</v>
      </c>
      <c r="F288" s="19" t="s">
        <v>123</v>
      </c>
      <c r="G288" s="196"/>
      <c r="H288" s="10"/>
      <c r="I288" s="11"/>
      <c r="J288" s="11"/>
      <c r="K288" s="11"/>
      <c r="L288" s="11"/>
      <c r="M288" s="11"/>
      <c r="N288" s="11"/>
      <c r="O288" s="12"/>
      <c r="P288" s="11"/>
      <c r="Q288" s="13"/>
      <c r="R288" s="14"/>
    </row>
    <row r="289" spans="1:18" ht="15" customHeight="1" x14ac:dyDescent="0.3">
      <c r="A289" s="15" t="s">
        <v>118</v>
      </c>
      <c r="B289" s="15" t="s">
        <v>128</v>
      </c>
      <c r="C289" s="16">
        <v>0.23958333333333329</v>
      </c>
      <c r="D289" s="15" t="s">
        <v>120</v>
      </c>
      <c r="E289" s="15" t="s">
        <v>116</v>
      </c>
      <c r="F289" s="15" t="s">
        <v>121</v>
      </c>
      <c r="G289" s="196"/>
      <c r="H289" s="10"/>
      <c r="I289" s="11"/>
      <c r="J289" s="11"/>
      <c r="K289" s="11"/>
      <c r="L289" s="11"/>
      <c r="M289" s="11"/>
      <c r="N289" s="11"/>
      <c r="O289" s="12"/>
      <c r="P289" s="11"/>
      <c r="Q289" s="13"/>
      <c r="R289" s="14"/>
    </row>
    <row r="290" spans="1:18" ht="15" customHeight="1" x14ac:dyDescent="0.3">
      <c r="A290" s="19" t="s">
        <v>118</v>
      </c>
      <c r="B290" s="19" t="s">
        <v>128</v>
      </c>
      <c r="C290" s="20">
        <v>0.23958333333333329</v>
      </c>
      <c r="D290" s="19" t="s">
        <v>122</v>
      </c>
      <c r="E290" s="19" t="s">
        <v>126</v>
      </c>
      <c r="F290" s="19" t="s">
        <v>123</v>
      </c>
      <c r="G290" s="196"/>
      <c r="H290" s="10"/>
      <c r="I290" s="11"/>
      <c r="J290" s="11"/>
      <c r="K290" s="11"/>
      <c r="L290" s="11"/>
      <c r="M290" s="11"/>
      <c r="N290" s="11"/>
      <c r="O290" s="12"/>
      <c r="P290" s="11"/>
      <c r="Q290" s="13"/>
      <c r="R290" s="14"/>
    </row>
    <row r="291" spans="1:18" ht="15" customHeight="1" x14ac:dyDescent="0.3">
      <c r="A291" s="15" t="s">
        <v>118</v>
      </c>
      <c r="B291" s="15" t="s">
        <v>129</v>
      </c>
      <c r="C291" s="16">
        <v>0.1423611111111111</v>
      </c>
      <c r="D291" s="15" t="s">
        <v>120</v>
      </c>
      <c r="E291" s="15" t="s">
        <v>116</v>
      </c>
      <c r="F291" s="15" t="s">
        <v>121</v>
      </c>
      <c r="G291" s="196"/>
      <c r="H291" s="10"/>
      <c r="I291" s="11"/>
      <c r="J291" s="11"/>
      <c r="K291" s="11"/>
      <c r="L291" s="11"/>
      <c r="M291" s="11"/>
      <c r="N291" s="11"/>
      <c r="O291" s="12"/>
      <c r="P291" s="11"/>
      <c r="Q291" s="13"/>
      <c r="R291" s="14"/>
    </row>
    <row r="292" spans="1:18" ht="15" customHeight="1" x14ac:dyDescent="0.3">
      <c r="A292" s="19" t="s">
        <v>118</v>
      </c>
      <c r="B292" s="19" t="s">
        <v>129</v>
      </c>
      <c r="C292" s="20">
        <v>0.1423611111111111</v>
      </c>
      <c r="D292" s="19" t="s">
        <v>122</v>
      </c>
      <c r="E292" s="19" t="s">
        <v>126</v>
      </c>
      <c r="F292" s="19" t="s">
        <v>123</v>
      </c>
      <c r="G292" s="196"/>
      <c r="H292" s="10"/>
      <c r="I292" s="11"/>
      <c r="J292" s="11"/>
      <c r="K292" s="11"/>
      <c r="L292" s="11"/>
      <c r="M292" s="11"/>
      <c r="N292" s="11"/>
      <c r="O292" s="12"/>
      <c r="P292" s="11"/>
      <c r="Q292" s="13"/>
      <c r="R292" s="14"/>
    </row>
    <row r="293" spans="1:18" ht="15" customHeight="1" x14ac:dyDescent="0.3">
      <c r="A293" s="15" t="s">
        <v>118</v>
      </c>
      <c r="B293" s="15" t="s">
        <v>124</v>
      </c>
      <c r="C293" s="16">
        <v>6.9444444444444441E-3</v>
      </c>
      <c r="D293" s="15" t="s">
        <v>120</v>
      </c>
      <c r="E293" s="15" t="s">
        <v>116</v>
      </c>
      <c r="F293" s="15" t="s">
        <v>125</v>
      </c>
      <c r="G293" s="196"/>
      <c r="H293" s="10"/>
      <c r="I293" s="11"/>
      <c r="J293" s="11"/>
      <c r="K293" s="11"/>
      <c r="L293" s="11"/>
      <c r="M293" s="11"/>
      <c r="N293" s="11"/>
      <c r="O293" s="12"/>
      <c r="P293" s="11"/>
      <c r="Q293" s="13"/>
      <c r="R293" s="14"/>
    </row>
    <row r="294" spans="1:18" ht="15" customHeight="1" x14ac:dyDescent="0.3">
      <c r="A294" s="19" t="s">
        <v>118</v>
      </c>
      <c r="B294" s="19" t="s">
        <v>124</v>
      </c>
      <c r="C294" s="20">
        <v>6.9444444444444441E-3</v>
      </c>
      <c r="D294" s="19" t="s">
        <v>122</v>
      </c>
      <c r="E294" s="19" t="s">
        <v>126</v>
      </c>
      <c r="F294" s="19" t="s">
        <v>127</v>
      </c>
      <c r="G294" s="196"/>
      <c r="H294" s="10"/>
      <c r="I294" s="11"/>
      <c r="J294" s="11"/>
      <c r="K294" s="11"/>
      <c r="L294" s="11"/>
      <c r="M294" s="11"/>
      <c r="N294" s="11"/>
      <c r="O294" s="12"/>
      <c r="P294" s="11"/>
      <c r="Q294" s="13"/>
      <c r="R294" s="14"/>
    </row>
    <row r="295" spans="1:18" ht="15" customHeight="1" x14ac:dyDescent="0.3">
      <c r="A295" s="15" t="s">
        <v>118</v>
      </c>
      <c r="B295" s="15" t="s">
        <v>130</v>
      </c>
      <c r="C295" s="16">
        <v>0.93055555555555547</v>
      </c>
      <c r="D295" s="15" t="s">
        <v>120</v>
      </c>
      <c r="E295" s="15" t="s">
        <v>116</v>
      </c>
      <c r="F295" s="15" t="s">
        <v>125</v>
      </c>
      <c r="G295" s="196"/>
      <c r="H295" s="10"/>
      <c r="I295" s="11"/>
      <c r="J295" s="11"/>
      <c r="K295" s="11"/>
      <c r="L295" s="11"/>
      <c r="M295" s="11"/>
      <c r="N295" s="11"/>
      <c r="O295" s="12"/>
      <c r="P295" s="11"/>
      <c r="Q295" s="13"/>
      <c r="R295" s="14"/>
    </row>
    <row r="296" spans="1:18" ht="15" customHeight="1" x14ac:dyDescent="0.3">
      <c r="A296" s="19" t="s">
        <v>118</v>
      </c>
      <c r="B296" s="19" t="s">
        <v>130</v>
      </c>
      <c r="C296" s="20">
        <v>0.93055555555555547</v>
      </c>
      <c r="D296" s="19" t="s">
        <v>122</v>
      </c>
      <c r="E296" s="19" t="s">
        <v>126</v>
      </c>
      <c r="F296" s="19" t="s">
        <v>127</v>
      </c>
      <c r="G296" s="196"/>
      <c r="H296" s="10"/>
      <c r="I296" s="11"/>
      <c r="J296" s="11"/>
      <c r="K296" s="11"/>
      <c r="L296" s="11"/>
      <c r="M296" s="11"/>
      <c r="N296" s="11"/>
      <c r="O296" s="12"/>
      <c r="P296" s="11"/>
      <c r="Q296" s="13"/>
      <c r="R296" s="14"/>
    </row>
    <row r="297" spans="1:18" ht="15" customHeight="1" x14ac:dyDescent="0.3">
      <c r="A297" s="15" t="s">
        <v>118</v>
      </c>
      <c r="B297" s="15" t="s">
        <v>134</v>
      </c>
      <c r="C297" s="16">
        <v>0.82986111111111116</v>
      </c>
      <c r="D297" s="15" t="s">
        <v>120</v>
      </c>
      <c r="E297" s="15" t="s">
        <v>116</v>
      </c>
      <c r="F297" s="15" t="s">
        <v>125</v>
      </c>
      <c r="G297" s="196"/>
      <c r="H297" s="10"/>
      <c r="I297" s="11"/>
      <c r="J297" s="11"/>
      <c r="K297" s="11"/>
      <c r="L297" s="11"/>
      <c r="M297" s="11"/>
      <c r="N297" s="11"/>
      <c r="O297" s="12"/>
      <c r="P297" s="11"/>
      <c r="Q297" s="13"/>
      <c r="R297" s="14"/>
    </row>
    <row r="298" spans="1:18" ht="15" customHeight="1" x14ac:dyDescent="0.3">
      <c r="A298" s="19" t="s">
        <v>118</v>
      </c>
      <c r="B298" s="19" t="s">
        <v>134</v>
      </c>
      <c r="C298" s="20">
        <v>0.82986111111111116</v>
      </c>
      <c r="D298" s="19" t="s">
        <v>122</v>
      </c>
      <c r="E298" s="19" t="s">
        <v>126</v>
      </c>
      <c r="F298" s="19" t="s">
        <v>127</v>
      </c>
      <c r="G298" s="196"/>
      <c r="H298" s="10"/>
      <c r="I298" s="11"/>
      <c r="J298" s="11"/>
      <c r="K298" s="11"/>
      <c r="L298" s="11"/>
      <c r="M298" s="11"/>
      <c r="N298" s="11"/>
      <c r="O298" s="12"/>
      <c r="P298" s="11"/>
      <c r="Q298" s="13"/>
      <c r="R298" s="14"/>
    </row>
    <row r="299" spans="1:18" ht="15" customHeight="1" x14ac:dyDescent="0.3">
      <c r="A299" s="15" t="s">
        <v>118</v>
      </c>
      <c r="B299" s="15" t="s">
        <v>138</v>
      </c>
      <c r="C299" s="16">
        <v>0.12847222222222221</v>
      </c>
      <c r="D299" s="15" t="s">
        <v>122</v>
      </c>
      <c r="E299" s="15" t="s">
        <v>94</v>
      </c>
      <c r="F299" s="15" t="s">
        <v>209</v>
      </c>
      <c r="G299" s="196"/>
      <c r="H299" s="10"/>
      <c r="I299" s="11"/>
      <c r="J299" s="11"/>
      <c r="K299" s="11"/>
      <c r="L299" s="11"/>
      <c r="M299" s="11"/>
      <c r="N299" s="11"/>
      <c r="O299" s="12"/>
      <c r="P299" s="11"/>
      <c r="Q299" s="13"/>
      <c r="R299" s="14"/>
    </row>
    <row r="300" spans="1:18" ht="15" customHeight="1" x14ac:dyDescent="0.3">
      <c r="A300" s="15" t="s">
        <v>118</v>
      </c>
      <c r="B300" s="15" t="s">
        <v>135</v>
      </c>
      <c r="C300" s="16">
        <v>0.88888888888888884</v>
      </c>
      <c r="D300" s="15" t="s">
        <v>122</v>
      </c>
      <c r="E300" s="15" t="s">
        <v>94</v>
      </c>
      <c r="F300" s="15" t="s">
        <v>179</v>
      </c>
      <c r="G300" s="196"/>
      <c r="H300" s="10"/>
      <c r="I300" s="11"/>
      <c r="J300" s="11"/>
      <c r="K300" s="11"/>
      <c r="L300" s="11"/>
      <c r="M300" s="11"/>
      <c r="N300" s="11"/>
      <c r="O300" s="12"/>
      <c r="P300" s="11"/>
      <c r="Q300" s="13"/>
      <c r="R300" s="14"/>
    </row>
    <row r="301" spans="1:18" ht="15" customHeight="1" x14ac:dyDescent="0.3">
      <c r="A301" s="15" t="s">
        <v>118</v>
      </c>
      <c r="B301" s="15" t="s">
        <v>137</v>
      </c>
      <c r="C301" s="16">
        <v>0.30208333333333331</v>
      </c>
      <c r="D301" s="15" t="s">
        <v>122</v>
      </c>
      <c r="E301" s="15" t="s">
        <v>94</v>
      </c>
      <c r="F301" s="15" t="s">
        <v>179</v>
      </c>
      <c r="G301" s="196"/>
      <c r="H301" s="10"/>
      <c r="I301" s="11"/>
      <c r="J301" s="11"/>
      <c r="K301" s="11"/>
      <c r="L301" s="11"/>
      <c r="M301" s="11"/>
      <c r="N301" s="11"/>
      <c r="O301" s="12"/>
      <c r="P301" s="11"/>
      <c r="Q301" s="13"/>
      <c r="R301" s="14"/>
    </row>
    <row r="302" spans="1:18" ht="15" customHeight="1" x14ac:dyDescent="0.3">
      <c r="A302" s="15" t="s">
        <v>118</v>
      </c>
      <c r="B302" s="15" t="s">
        <v>139</v>
      </c>
      <c r="C302" s="16">
        <v>0.78819444444444453</v>
      </c>
      <c r="D302" s="15" t="s">
        <v>122</v>
      </c>
      <c r="E302" s="15" t="s">
        <v>94</v>
      </c>
      <c r="F302" s="15" t="s">
        <v>179</v>
      </c>
      <c r="G302" s="196"/>
      <c r="H302" s="10"/>
      <c r="I302" s="11"/>
      <c r="J302" s="11"/>
      <c r="K302" s="11"/>
      <c r="L302" s="11"/>
      <c r="M302" s="11"/>
      <c r="N302" s="11"/>
      <c r="O302" s="12"/>
      <c r="P302" s="11"/>
      <c r="Q302" s="13"/>
      <c r="R302" s="14"/>
    </row>
    <row r="303" spans="1:18" ht="15" customHeight="1" x14ac:dyDescent="0.3">
      <c r="A303" s="17" t="s">
        <v>140</v>
      </c>
      <c r="B303" s="17" t="s">
        <v>147</v>
      </c>
      <c r="C303" s="18">
        <v>1.388888888888889E-2</v>
      </c>
      <c r="D303" s="17" t="s">
        <v>142</v>
      </c>
      <c r="E303" s="17" t="s">
        <v>113</v>
      </c>
      <c r="F303" s="17" t="s">
        <v>177</v>
      </c>
      <c r="G303" s="196"/>
      <c r="H303" s="10"/>
      <c r="I303" s="11"/>
      <c r="J303" s="11"/>
      <c r="K303" s="11"/>
      <c r="L303" s="11"/>
      <c r="M303" s="11"/>
      <c r="N303" s="11"/>
      <c r="O303" s="12"/>
      <c r="P303" s="11"/>
      <c r="Q303" s="13"/>
      <c r="R303" s="14"/>
    </row>
    <row r="304" spans="1:18" ht="15" customHeight="1" x14ac:dyDescent="0.3">
      <c r="A304" s="15" t="s">
        <v>140</v>
      </c>
      <c r="B304" s="15" t="s">
        <v>141</v>
      </c>
      <c r="C304" s="16">
        <v>0.47222222222222232</v>
      </c>
      <c r="D304" s="15" t="s">
        <v>142</v>
      </c>
      <c r="E304" s="15" t="s">
        <v>116</v>
      </c>
      <c r="F304" s="15" t="s">
        <v>177</v>
      </c>
      <c r="G304" s="196"/>
      <c r="H304" s="10"/>
      <c r="I304" s="11"/>
      <c r="J304" s="11"/>
      <c r="K304" s="11"/>
      <c r="L304" s="11"/>
      <c r="M304" s="11"/>
      <c r="N304" s="11"/>
      <c r="O304" s="12"/>
      <c r="P304" s="11"/>
      <c r="Q304" s="13"/>
      <c r="R304" s="14"/>
    </row>
    <row r="305" spans="1:18" ht="15" customHeight="1" x14ac:dyDescent="0.3">
      <c r="A305" s="15" t="s">
        <v>140</v>
      </c>
      <c r="B305" s="15" t="s">
        <v>149</v>
      </c>
      <c r="C305" s="16">
        <v>0.14583333333333329</v>
      </c>
      <c r="D305" s="15" t="s">
        <v>142</v>
      </c>
      <c r="E305" s="15" t="s">
        <v>116</v>
      </c>
      <c r="F305" s="15" t="s">
        <v>177</v>
      </c>
      <c r="G305" s="196"/>
      <c r="H305" s="10"/>
      <c r="I305" s="11"/>
      <c r="J305" s="11"/>
      <c r="K305" s="11"/>
      <c r="L305" s="11"/>
      <c r="M305" s="11"/>
      <c r="N305" s="11"/>
      <c r="O305" s="12"/>
      <c r="P305" s="11"/>
      <c r="Q305" s="13"/>
      <c r="R305" s="14"/>
    </row>
    <row r="306" spans="1:18" ht="15" customHeight="1" x14ac:dyDescent="0.3">
      <c r="A306" s="15" t="s">
        <v>140</v>
      </c>
      <c r="B306" s="15" t="s">
        <v>150</v>
      </c>
      <c r="C306" s="16">
        <v>0.27777777777777779</v>
      </c>
      <c r="D306" s="15" t="s">
        <v>142</v>
      </c>
      <c r="E306" s="15" t="s">
        <v>116</v>
      </c>
      <c r="F306" s="15" t="s">
        <v>177</v>
      </c>
      <c r="G306" s="196"/>
      <c r="H306" s="10"/>
      <c r="I306" s="11"/>
      <c r="J306" s="11"/>
      <c r="K306" s="11"/>
      <c r="L306" s="11"/>
      <c r="M306" s="11"/>
      <c r="N306" s="11"/>
      <c r="O306" s="12"/>
      <c r="P306" s="11"/>
      <c r="Q306" s="13"/>
      <c r="R306" s="14"/>
    </row>
    <row r="307" spans="1:18" ht="15" customHeight="1" x14ac:dyDescent="0.3">
      <c r="A307" s="15" t="s">
        <v>140</v>
      </c>
      <c r="B307" s="15" t="s">
        <v>145</v>
      </c>
      <c r="C307" s="16">
        <v>0.22916666666666671</v>
      </c>
      <c r="D307" s="15" t="s">
        <v>142</v>
      </c>
      <c r="E307" s="15" t="s">
        <v>116</v>
      </c>
      <c r="F307" s="15" t="s">
        <v>177</v>
      </c>
      <c r="G307" s="196"/>
      <c r="H307" s="10"/>
      <c r="I307" s="11"/>
      <c r="J307" s="11"/>
      <c r="K307" s="11"/>
      <c r="L307" s="11"/>
      <c r="M307" s="11"/>
      <c r="N307" s="11"/>
      <c r="O307" s="12"/>
      <c r="P307" s="11"/>
      <c r="Q307" s="13"/>
      <c r="R307" s="14"/>
    </row>
    <row r="308" spans="1:18" ht="15" customHeight="1" x14ac:dyDescent="0.3">
      <c r="A308" s="15" t="s">
        <v>140</v>
      </c>
      <c r="B308" s="15" t="s">
        <v>152</v>
      </c>
      <c r="C308" s="16">
        <v>0.77083333333333337</v>
      </c>
      <c r="D308" s="15" t="s">
        <v>142</v>
      </c>
      <c r="E308" s="15" t="s">
        <v>116</v>
      </c>
      <c r="F308" s="15" t="s">
        <v>148</v>
      </c>
      <c r="G308" s="196"/>
      <c r="H308" s="10"/>
      <c r="I308" s="11"/>
      <c r="J308" s="11"/>
      <c r="K308" s="11"/>
      <c r="L308" s="11"/>
      <c r="M308" s="11"/>
      <c r="N308" s="11"/>
      <c r="O308" s="12"/>
      <c r="P308" s="11"/>
      <c r="Q308" s="13"/>
      <c r="R308" s="14"/>
    </row>
    <row r="309" spans="1:18" ht="15" customHeight="1" thickBot="1" x14ac:dyDescent="0.35">
      <c r="A309" s="77" t="s">
        <v>140</v>
      </c>
      <c r="B309" s="77" t="s">
        <v>178</v>
      </c>
      <c r="C309" s="78">
        <v>0.95833333333333337</v>
      </c>
      <c r="D309" s="77" t="s">
        <v>142</v>
      </c>
      <c r="E309" s="77" t="s">
        <v>116</v>
      </c>
      <c r="F309" s="77" t="s">
        <v>151</v>
      </c>
      <c r="G309" s="197"/>
      <c r="H309" s="79"/>
      <c r="I309" s="80"/>
      <c r="J309" s="80"/>
      <c r="K309" s="80"/>
      <c r="L309" s="80"/>
      <c r="M309" s="80"/>
      <c r="N309" s="80"/>
      <c r="O309" s="81"/>
      <c r="P309" s="80"/>
      <c r="Q309" s="82"/>
      <c r="R309" s="83"/>
    </row>
    <row r="310" spans="1:18" ht="17.399999999999999" customHeight="1" thickBot="1" x14ac:dyDescent="0.35">
      <c r="A310" s="221"/>
      <c r="B310" s="222"/>
      <c r="C310" s="222"/>
      <c r="D310" s="222"/>
      <c r="E310" s="222"/>
      <c r="F310" s="222"/>
      <c r="G310" s="222"/>
      <c r="H310" s="222"/>
      <c r="I310" s="222"/>
      <c r="J310" s="222"/>
      <c r="K310" s="222"/>
      <c r="L310" s="222"/>
      <c r="M310" s="222"/>
      <c r="N310" s="222"/>
      <c r="O310" s="222"/>
      <c r="P310" s="222"/>
      <c r="Q310" s="222"/>
      <c r="R310" s="223"/>
    </row>
    <row r="311" spans="1:18" ht="22.05" customHeight="1" thickTop="1" thickBot="1" x14ac:dyDescent="0.35">
      <c r="A311" s="186" t="s">
        <v>6</v>
      </c>
      <c r="B311" s="187"/>
      <c r="C311" s="187"/>
      <c r="D311" s="187"/>
      <c r="E311" s="187"/>
      <c r="F311" s="188"/>
      <c r="G311" s="84">
        <v>45990</v>
      </c>
      <c r="H311" s="198" t="s">
        <v>7</v>
      </c>
      <c r="I311" s="187"/>
      <c r="J311" s="187"/>
      <c r="K311" s="187"/>
      <c r="L311" s="187"/>
      <c r="M311" s="187"/>
      <c r="N311" s="187"/>
      <c r="O311" s="187"/>
      <c r="P311" s="187"/>
      <c r="Q311" s="187"/>
      <c r="R311" s="188"/>
    </row>
    <row r="312" spans="1:18" ht="24" customHeight="1" x14ac:dyDescent="0.3">
      <c r="A312" s="85" t="s">
        <v>8</v>
      </c>
      <c r="B312" s="85" t="s">
        <v>9</v>
      </c>
      <c r="C312" s="86" t="s">
        <v>10</v>
      </c>
      <c r="D312" s="85" t="s">
        <v>11</v>
      </c>
      <c r="E312" s="85" t="s">
        <v>12</v>
      </c>
      <c r="F312" s="87" t="s">
        <v>13</v>
      </c>
      <c r="G312" s="88" t="s">
        <v>14</v>
      </c>
      <c r="H312" s="85" t="s">
        <v>15</v>
      </c>
      <c r="I312" s="89" t="s">
        <v>16</v>
      </c>
      <c r="J312" s="90" t="s">
        <v>17</v>
      </c>
      <c r="K312" s="91" t="s">
        <v>18</v>
      </c>
      <c r="L312" s="90" t="s">
        <v>19</v>
      </c>
      <c r="M312" s="90" t="s">
        <v>20</v>
      </c>
      <c r="N312" s="90" t="s">
        <v>21</v>
      </c>
      <c r="O312" s="85" t="s">
        <v>22</v>
      </c>
      <c r="P312" s="86" t="s">
        <v>23</v>
      </c>
      <c r="Q312" s="90" t="s">
        <v>24</v>
      </c>
      <c r="R312" s="85" t="s">
        <v>25</v>
      </c>
    </row>
    <row r="313" spans="1:18" ht="15" customHeight="1" x14ac:dyDescent="0.3">
      <c r="A313" s="8" t="s">
        <v>35</v>
      </c>
      <c r="B313" s="8" t="s">
        <v>45</v>
      </c>
      <c r="C313" s="9">
        <v>0.12847222222222221</v>
      </c>
      <c r="D313" s="8" t="s">
        <v>37</v>
      </c>
      <c r="E313" s="8" t="s">
        <v>227</v>
      </c>
      <c r="F313" s="8" t="s">
        <v>185</v>
      </c>
      <c r="G313" s="195"/>
      <c r="H313" s="10"/>
      <c r="I313" s="11"/>
      <c r="J313" s="11"/>
      <c r="K313" s="11"/>
      <c r="L313" s="11"/>
      <c r="M313" s="11"/>
      <c r="N313" s="11"/>
      <c r="O313" s="12"/>
      <c r="P313" s="11"/>
      <c r="Q313" s="13"/>
      <c r="R313" s="14"/>
    </row>
    <row r="314" spans="1:18" ht="15" customHeight="1" x14ac:dyDescent="0.3">
      <c r="A314" s="19" t="s">
        <v>35</v>
      </c>
      <c r="B314" s="19" t="s">
        <v>45</v>
      </c>
      <c r="C314" s="20">
        <v>0.12847222222222221</v>
      </c>
      <c r="D314" s="19" t="s">
        <v>40</v>
      </c>
      <c r="E314" s="19" t="s">
        <v>160</v>
      </c>
      <c r="F314" s="19" t="s">
        <v>164</v>
      </c>
      <c r="G314" s="196"/>
      <c r="H314" s="10"/>
      <c r="I314" s="11"/>
      <c r="J314" s="11"/>
      <c r="K314" s="11"/>
      <c r="L314" s="11"/>
      <c r="M314" s="11"/>
      <c r="N314" s="11"/>
      <c r="O314" s="12"/>
      <c r="P314" s="11"/>
      <c r="Q314" s="13"/>
      <c r="R314" s="14"/>
    </row>
    <row r="315" spans="1:18" ht="15" customHeight="1" x14ac:dyDescent="0.3">
      <c r="A315" s="19" t="s">
        <v>35</v>
      </c>
      <c r="B315" s="19" t="s">
        <v>45</v>
      </c>
      <c r="C315" s="20">
        <v>0.12847222222222221</v>
      </c>
      <c r="D315" s="19" t="s">
        <v>43</v>
      </c>
      <c r="E315" s="19" t="s">
        <v>160</v>
      </c>
      <c r="F315" s="19" t="s">
        <v>44</v>
      </c>
      <c r="G315" s="196"/>
      <c r="H315" s="10"/>
      <c r="I315" s="11"/>
      <c r="J315" s="11"/>
      <c r="K315" s="11"/>
      <c r="L315" s="11"/>
      <c r="M315" s="11"/>
      <c r="N315" s="11"/>
      <c r="O315" s="12"/>
      <c r="P315" s="11"/>
      <c r="Q315" s="13"/>
      <c r="R315" s="14"/>
    </row>
    <row r="316" spans="1:18" ht="15" customHeight="1" x14ac:dyDescent="0.3">
      <c r="A316" s="15" t="s">
        <v>35</v>
      </c>
      <c r="B316" s="15" t="s">
        <v>36</v>
      </c>
      <c r="C316" s="16">
        <v>0.30208333333333331</v>
      </c>
      <c r="D316" s="15" t="s">
        <v>37</v>
      </c>
      <c r="E316" s="15" t="s">
        <v>48</v>
      </c>
      <c r="F316" s="15" t="s">
        <v>155</v>
      </c>
      <c r="G316" s="196"/>
      <c r="H316" s="10"/>
      <c r="I316" s="11"/>
      <c r="J316" s="11"/>
      <c r="K316" s="11"/>
      <c r="L316" s="11"/>
      <c r="M316" s="11"/>
      <c r="N316" s="11"/>
      <c r="O316" s="12"/>
      <c r="P316" s="11"/>
      <c r="Q316" s="13"/>
      <c r="R316" s="14"/>
    </row>
    <row r="317" spans="1:18" ht="15" customHeight="1" x14ac:dyDescent="0.3">
      <c r="A317" s="19" t="s">
        <v>35</v>
      </c>
      <c r="B317" s="19" t="s">
        <v>36</v>
      </c>
      <c r="C317" s="20">
        <v>0.30208333333333331</v>
      </c>
      <c r="D317" s="19" t="s">
        <v>40</v>
      </c>
      <c r="E317" s="19" t="s">
        <v>49</v>
      </c>
      <c r="F317" s="19" t="s">
        <v>157</v>
      </c>
      <c r="G317" s="196"/>
      <c r="H317" s="10"/>
      <c r="I317" s="11"/>
      <c r="J317" s="11"/>
      <c r="K317" s="11"/>
      <c r="L317" s="11"/>
      <c r="M317" s="11"/>
      <c r="N317" s="11"/>
      <c r="O317" s="12"/>
      <c r="P317" s="11"/>
      <c r="Q317" s="13"/>
      <c r="R317" s="14"/>
    </row>
    <row r="318" spans="1:18" ht="15" customHeight="1" x14ac:dyDescent="0.3">
      <c r="A318" s="19" t="s">
        <v>35</v>
      </c>
      <c r="B318" s="19" t="s">
        <v>36</v>
      </c>
      <c r="C318" s="20">
        <v>0.30208333333333331</v>
      </c>
      <c r="D318" s="19" t="s">
        <v>43</v>
      </c>
      <c r="E318" s="19" t="s">
        <v>49</v>
      </c>
      <c r="F318" s="19" t="s">
        <v>44</v>
      </c>
      <c r="G318" s="196"/>
      <c r="H318" s="10"/>
      <c r="I318" s="11"/>
      <c r="J318" s="11"/>
      <c r="K318" s="11"/>
      <c r="L318" s="11"/>
      <c r="M318" s="11"/>
      <c r="N318" s="11"/>
      <c r="O318" s="12"/>
      <c r="P318" s="11"/>
      <c r="Q318" s="13"/>
      <c r="R318" s="14"/>
    </row>
    <row r="319" spans="1:18" ht="15" customHeight="1" x14ac:dyDescent="0.3">
      <c r="A319" s="15" t="s">
        <v>35</v>
      </c>
      <c r="B319" s="15" t="s">
        <v>47</v>
      </c>
      <c r="C319" s="16">
        <v>0.78819444444444453</v>
      </c>
      <c r="D319" s="15" t="s">
        <v>37</v>
      </c>
      <c r="E319" s="15" t="s">
        <v>67</v>
      </c>
      <c r="F319" s="15" t="s">
        <v>39</v>
      </c>
      <c r="G319" s="196"/>
      <c r="H319" s="10"/>
      <c r="I319" s="11"/>
      <c r="J319" s="11"/>
      <c r="K319" s="11"/>
      <c r="L319" s="11"/>
      <c r="M319" s="11"/>
      <c r="N319" s="11"/>
      <c r="O319" s="12"/>
      <c r="P319" s="11"/>
      <c r="Q319" s="13"/>
      <c r="R319" s="14"/>
    </row>
    <row r="320" spans="1:18" ht="15" customHeight="1" x14ac:dyDescent="0.3">
      <c r="A320" s="19" t="s">
        <v>35</v>
      </c>
      <c r="B320" s="19" t="s">
        <v>47</v>
      </c>
      <c r="C320" s="20">
        <v>0.78819444444444453</v>
      </c>
      <c r="D320" s="19" t="s">
        <v>40</v>
      </c>
      <c r="E320" s="19" t="s">
        <v>68</v>
      </c>
      <c r="F320" s="19" t="s">
        <v>42</v>
      </c>
      <c r="G320" s="196"/>
      <c r="H320" s="10"/>
      <c r="I320" s="11"/>
      <c r="J320" s="11"/>
      <c r="K320" s="11"/>
      <c r="L320" s="11"/>
      <c r="M320" s="11"/>
      <c r="N320" s="11"/>
      <c r="O320" s="12"/>
      <c r="P320" s="11"/>
      <c r="Q320" s="13"/>
      <c r="R320" s="14"/>
    </row>
    <row r="321" spans="1:18" ht="15" customHeight="1" x14ac:dyDescent="0.3">
      <c r="A321" s="19" t="s">
        <v>35</v>
      </c>
      <c r="B321" s="19" t="s">
        <v>47</v>
      </c>
      <c r="C321" s="20">
        <v>0.78819444444444453</v>
      </c>
      <c r="D321" s="19" t="s">
        <v>43</v>
      </c>
      <c r="E321" s="19" t="s">
        <v>68</v>
      </c>
      <c r="F321" s="19" t="s">
        <v>44</v>
      </c>
      <c r="G321" s="196"/>
      <c r="H321" s="10"/>
      <c r="I321" s="11"/>
      <c r="J321" s="11"/>
      <c r="K321" s="11"/>
      <c r="L321" s="11"/>
      <c r="M321" s="11"/>
      <c r="N321" s="11"/>
      <c r="O321" s="12"/>
      <c r="P321" s="11"/>
      <c r="Q321" s="13"/>
      <c r="R321" s="14"/>
    </row>
    <row r="322" spans="1:18" ht="15" customHeight="1" x14ac:dyDescent="0.3">
      <c r="A322" s="15" t="s">
        <v>35</v>
      </c>
      <c r="B322" s="15" t="s">
        <v>50</v>
      </c>
      <c r="C322" s="16">
        <v>0.88888888888888884</v>
      </c>
      <c r="D322" s="15" t="s">
        <v>37</v>
      </c>
      <c r="E322" s="15" t="s">
        <v>62</v>
      </c>
      <c r="F322" s="15" t="s">
        <v>228</v>
      </c>
      <c r="G322" s="196"/>
      <c r="H322" s="10"/>
      <c r="I322" s="11"/>
      <c r="J322" s="11"/>
      <c r="K322" s="11"/>
      <c r="L322" s="11"/>
      <c r="M322" s="11"/>
      <c r="N322" s="11"/>
      <c r="O322" s="12"/>
      <c r="P322" s="11"/>
      <c r="Q322" s="13"/>
      <c r="R322" s="14"/>
    </row>
    <row r="323" spans="1:18" ht="15" customHeight="1" x14ac:dyDescent="0.3">
      <c r="A323" s="19" t="s">
        <v>35</v>
      </c>
      <c r="B323" s="19" t="s">
        <v>50</v>
      </c>
      <c r="C323" s="20">
        <v>0.88888888888888884</v>
      </c>
      <c r="D323" s="19" t="s">
        <v>40</v>
      </c>
      <c r="E323" s="19" t="s">
        <v>63</v>
      </c>
      <c r="F323" s="19" t="s">
        <v>229</v>
      </c>
      <c r="G323" s="196"/>
      <c r="H323" s="10"/>
      <c r="I323" s="11"/>
      <c r="J323" s="11"/>
      <c r="K323" s="11"/>
      <c r="L323" s="11"/>
      <c r="M323" s="11"/>
      <c r="N323" s="11"/>
      <c r="O323" s="12"/>
      <c r="P323" s="11"/>
      <c r="Q323" s="13"/>
      <c r="R323" s="14"/>
    </row>
    <row r="324" spans="1:18" ht="15" customHeight="1" x14ac:dyDescent="0.3">
      <c r="A324" s="19" t="s">
        <v>35</v>
      </c>
      <c r="B324" s="19" t="s">
        <v>50</v>
      </c>
      <c r="C324" s="20">
        <v>0.88888888888888884</v>
      </c>
      <c r="D324" s="19" t="s">
        <v>43</v>
      </c>
      <c r="E324" s="19" t="s">
        <v>63</v>
      </c>
      <c r="F324" s="19" t="s">
        <v>44</v>
      </c>
      <c r="G324" s="196"/>
      <c r="H324" s="10"/>
      <c r="I324" s="11"/>
      <c r="J324" s="11"/>
      <c r="K324" s="11"/>
      <c r="L324" s="11"/>
      <c r="M324" s="11"/>
      <c r="N324" s="11"/>
      <c r="O324" s="12"/>
      <c r="P324" s="11"/>
      <c r="Q324" s="13"/>
      <c r="R324" s="14"/>
    </row>
    <row r="325" spans="1:18" ht="15" customHeight="1" x14ac:dyDescent="0.3">
      <c r="A325" s="17" t="s">
        <v>26</v>
      </c>
      <c r="B325" s="17" t="s">
        <v>34</v>
      </c>
      <c r="C325" s="18">
        <v>0.21875</v>
      </c>
      <c r="D325" s="17" t="s">
        <v>28</v>
      </c>
      <c r="E325" s="17" t="s">
        <v>113</v>
      </c>
      <c r="F325" s="17" t="s">
        <v>30</v>
      </c>
      <c r="G325" s="196"/>
      <c r="H325" s="10"/>
      <c r="I325" s="11"/>
      <c r="J325" s="11"/>
      <c r="K325" s="11"/>
      <c r="L325" s="11"/>
      <c r="M325" s="11"/>
      <c r="N325" s="11"/>
      <c r="O325" s="12"/>
      <c r="P325" s="11"/>
      <c r="Q325" s="13"/>
      <c r="R325" s="14"/>
    </row>
    <row r="326" spans="1:18" ht="15" customHeight="1" x14ac:dyDescent="0.3">
      <c r="A326" s="15" t="s">
        <v>26</v>
      </c>
      <c r="B326" s="15" t="s">
        <v>31</v>
      </c>
      <c r="C326" s="16">
        <v>0.66666666666666663</v>
      </c>
      <c r="D326" s="15" t="s">
        <v>28</v>
      </c>
      <c r="E326" s="15" t="s">
        <v>158</v>
      </c>
      <c r="F326" s="15" t="s">
        <v>33</v>
      </c>
      <c r="G326" s="196"/>
      <c r="H326" s="10"/>
      <c r="I326" s="11"/>
      <c r="J326" s="11"/>
      <c r="K326" s="11"/>
      <c r="L326" s="11"/>
      <c r="M326" s="11"/>
      <c r="N326" s="11"/>
      <c r="O326" s="12"/>
      <c r="P326" s="11"/>
      <c r="Q326" s="13"/>
      <c r="R326" s="14"/>
    </row>
    <row r="327" spans="1:18" ht="15" customHeight="1" x14ac:dyDescent="0.3">
      <c r="A327" s="17" t="s">
        <v>51</v>
      </c>
      <c r="B327" s="17" t="s">
        <v>52</v>
      </c>
      <c r="C327" s="18">
        <v>0.90277777777777779</v>
      </c>
      <c r="D327" s="17" t="s">
        <v>53</v>
      </c>
      <c r="E327" s="17" t="s">
        <v>108</v>
      </c>
      <c r="F327" s="17" t="s">
        <v>162</v>
      </c>
      <c r="G327" s="196"/>
      <c r="H327" s="10"/>
      <c r="I327" s="11"/>
      <c r="J327" s="11"/>
      <c r="K327" s="11"/>
      <c r="L327" s="11"/>
      <c r="M327" s="11"/>
      <c r="N327" s="11"/>
      <c r="O327" s="12"/>
      <c r="P327" s="11"/>
      <c r="Q327" s="13"/>
      <c r="R327" s="14"/>
    </row>
    <row r="328" spans="1:18" ht="15" customHeight="1" x14ac:dyDescent="0.3">
      <c r="A328" s="19" t="s">
        <v>51</v>
      </c>
      <c r="B328" s="19" t="s">
        <v>52</v>
      </c>
      <c r="C328" s="20">
        <v>0.90277777777777779</v>
      </c>
      <c r="D328" s="19" t="s">
        <v>56</v>
      </c>
      <c r="E328" s="19" t="s">
        <v>49</v>
      </c>
      <c r="F328" s="19" t="s">
        <v>164</v>
      </c>
      <c r="G328" s="196"/>
      <c r="H328" s="10"/>
      <c r="I328" s="11"/>
      <c r="J328" s="11"/>
      <c r="K328" s="11"/>
      <c r="L328" s="11"/>
      <c r="M328" s="11"/>
      <c r="N328" s="11"/>
      <c r="O328" s="12"/>
      <c r="P328" s="11"/>
      <c r="Q328" s="13"/>
      <c r="R328" s="14"/>
    </row>
    <row r="329" spans="1:18" ht="15" customHeight="1" x14ac:dyDescent="0.3">
      <c r="A329" s="19" t="s">
        <v>51</v>
      </c>
      <c r="B329" s="19" t="s">
        <v>52</v>
      </c>
      <c r="C329" s="20">
        <v>0.90277777777777779</v>
      </c>
      <c r="D329" s="19" t="s">
        <v>59</v>
      </c>
      <c r="E329" s="19" t="s">
        <v>49</v>
      </c>
      <c r="F329" s="19" t="s">
        <v>33</v>
      </c>
      <c r="G329" s="196"/>
      <c r="H329" s="10"/>
      <c r="I329" s="11"/>
      <c r="J329" s="11"/>
      <c r="K329" s="11"/>
      <c r="L329" s="11"/>
      <c r="M329" s="11"/>
      <c r="N329" s="11"/>
      <c r="O329" s="12"/>
      <c r="P329" s="11"/>
      <c r="Q329" s="13"/>
      <c r="R329" s="14"/>
    </row>
    <row r="330" spans="1:18" ht="15" customHeight="1" x14ac:dyDescent="0.3">
      <c r="A330" s="15" t="s">
        <v>51</v>
      </c>
      <c r="B330" s="15" t="s">
        <v>66</v>
      </c>
      <c r="C330" s="16">
        <v>0.85416666666666663</v>
      </c>
      <c r="D330" s="15" t="s">
        <v>53</v>
      </c>
      <c r="E330" s="15" t="s">
        <v>94</v>
      </c>
      <c r="F330" s="15" t="s">
        <v>162</v>
      </c>
      <c r="G330" s="196"/>
      <c r="H330" s="10"/>
      <c r="I330" s="11"/>
      <c r="J330" s="11"/>
      <c r="K330" s="11"/>
      <c r="L330" s="11"/>
      <c r="M330" s="11"/>
      <c r="N330" s="11"/>
      <c r="O330" s="12"/>
      <c r="P330" s="11"/>
      <c r="Q330" s="13"/>
      <c r="R330" s="14"/>
    </row>
    <row r="331" spans="1:18" ht="15" customHeight="1" x14ac:dyDescent="0.3">
      <c r="A331" s="19" t="s">
        <v>51</v>
      </c>
      <c r="B331" s="19" t="s">
        <v>66</v>
      </c>
      <c r="C331" s="20">
        <v>0.85416666666666663</v>
      </c>
      <c r="D331" s="19" t="s">
        <v>56</v>
      </c>
      <c r="E331" s="19" t="s">
        <v>205</v>
      </c>
      <c r="F331" s="19" t="s">
        <v>164</v>
      </c>
      <c r="G331" s="196"/>
      <c r="H331" s="10"/>
      <c r="I331" s="11"/>
      <c r="J331" s="11"/>
      <c r="K331" s="11"/>
      <c r="L331" s="11"/>
      <c r="M331" s="11"/>
      <c r="N331" s="11"/>
      <c r="O331" s="12"/>
      <c r="P331" s="11"/>
      <c r="Q331" s="13"/>
      <c r="R331" s="14"/>
    </row>
    <row r="332" spans="1:18" ht="15" customHeight="1" x14ac:dyDescent="0.3">
      <c r="A332" s="19" t="s">
        <v>51</v>
      </c>
      <c r="B332" s="19" t="s">
        <v>66</v>
      </c>
      <c r="C332" s="20">
        <v>0.85416666666666663</v>
      </c>
      <c r="D332" s="19" t="s">
        <v>59</v>
      </c>
      <c r="E332" s="19" t="s">
        <v>205</v>
      </c>
      <c r="F332" s="19" t="s">
        <v>33</v>
      </c>
      <c r="G332" s="196"/>
      <c r="H332" s="10"/>
      <c r="I332" s="11"/>
      <c r="J332" s="11"/>
      <c r="K332" s="11"/>
      <c r="L332" s="11"/>
      <c r="M332" s="11"/>
      <c r="N332" s="11"/>
      <c r="O332" s="12"/>
      <c r="P332" s="11"/>
      <c r="Q332" s="13"/>
      <c r="R332" s="14"/>
    </row>
    <row r="333" spans="1:18" ht="15" customHeight="1" x14ac:dyDescent="0.3">
      <c r="A333" s="15" t="s">
        <v>51</v>
      </c>
      <c r="B333" s="15" t="s">
        <v>75</v>
      </c>
      <c r="C333" s="16">
        <v>0.39583333333333331</v>
      </c>
      <c r="D333" s="15" t="s">
        <v>53</v>
      </c>
      <c r="E333" s="15" t="s">
        <v>62</v>
      </c>
      <c r="F333" s="15" t="s">
        <v>162</v>
      </c>
      <c r="G333" s="196"/>
      <c r="H333" s="10"/>
      <c r="I333" s="11"/>
      <c r="J333" s="11"/>
      <c r="K333" s="11"/>
      <c r="L333" s="11"/>
      <c r="M333" s="11"/>
      <c r="N333" s="11"/>
      <c r="O333" s="12"/>
      <c r="P333" s="11"/>
      <c r="Q333" s="13"/>
      <c r="R333" s="14"/>
    </row>
    <row r="334" spans="1:18" ht="15" customHeight="1" x14ac:dyDescent="0.3">
      <c r="A334" s="19" t="s">
        <v>51</v>
      </c>
      <c r="B334" s="19" t="s">
        <v>75</v>
      </c>
      <c r="C334" s="20">
        <v>0.39583333333333331</v>
      </c>
      <c r="D334" s="19" t="s">
        <v>56</v>
      </c>
      <c r="E334" s="19" t="s">
        <v>63</v>
      </c>
      <c r="F334" s="19" t="s">
        <v>164</v>
      </c>
      <c r="G334" s="196"/>
      <c r="H334" s="10"/>
      <c r="I334" s="11"/>
      <c r="J334" s="11"/>
      <c r="K334" s="11"/>
      <c r="L334" s="11"/>
      <c r="M334" s="11"/>
      <c r="N334" s="11"/>
      <c r="O334" s="12"/>
      <c r="P334" s="11"/>
      <c r="Q334" s="13"/>
      <c r="R334" s="14"/>
    </row>
    <row r="335" spans="1:18" ht="15" customHeight="1" x14ac:dyDescent="0.3">
      <c r="A335" s="19" t="s">
        <v>51</v>
      </c>
      <c r="B335" s="19" t="s">
        <v>75</v>
      </c>
      <c r="C335" s="20">
        <v>0.39583333333333331</v>
      </c>
      <c r="D335" s="19" t="s">
        <v>59</v>
      </c>
      <c r="E335" s="19" t="s">
        <v>63</v>
      </c>
      <c r="F335" s="19" t="s">
        <v>33</v>
      </c>
      <c r="G335" s="196"/>
      <c r="H335" s="10"/>
      <c r="I335" s="11"/>
      <c r="J335" s="11"/>
      <c r="K335" s="11"/>
      <c r="L335" s="11"/>
      <c r="M335" s="11"/>
      <c r="N335" s="11"/>
      <c r="O335" s="12"/>
      <c r="P335" s="11"/>
      <c r="Q335" s="13"/>
      <c r="R335" s="14"/>
    </row>
    <row r="336" spans="1:18" ht="15" customHeight="1" x14ac:dyDescent="0.3">
      <c r="A336" s="15" t="s">
        <v>51</v>
      </c>
      <c r="B336" s="15" t="s">
        <v>61</v>
      </c>
      <c r="C336" s="16">
        <v>0.65972222222222221</v>
      </c>
      <c r="D336" s="15" t="s">
        <v>53</v>
      </c>
      <c r="E336" s="15" t="s">
        <v>65</v>
      </c>
      <c r="F336" s="15" t="s">
        <v>55</v>
      </c>
      <c r="G336" s="196"/>
      <c r="H336" s="10"/>
      <c r="I336" s="11"/>
      <c r="J336" s="11"/>
      <c r="K336" s="11"/>
      <c r="L336" s="11"/>
      <c r="M336" s="11"/>
      <c r="N336" s="11"/>
      <c r="O336" s="12"/>
      <c r="P336" s="11"/>
      <c r="Q336" s="13"/>
      <c r="R336" s="14"/>
    </row>
    <row r="337" spans="1:18" ht="15" customHeight="1" x14ac:dyDescent="0.3">
      <c r="A337" s="19" t="s">
        <v>51</v>
      </c>
      <c r="B337" s="19" t="s">
        <v>61</v>
      </c>
      <c r="C337" s="20">
        <v>0.65972222222222221</v>
      </c>
      <c r="D337" s="19" t="s">
        <v>56</v>
      </c>
      <c r="E337" s="19" t="s">
        <v>41</v>
      </c>
      <c r="F337" s="19" t="s">
        <v>58</v>
      </c>
      <c r="G337" s="196"/>
      <c r="H337" s="10"/>
      <c r="I337" s="11"/>
      <c r="J337" s="11"/>
      <c r="K337" s="11"/>
      <c r="L337" s="11"/>
      <c r="M337" s="11"/>
      <c r="N337" s="11"/>
      <c r="O337" s="12"/>
      <c r="P337" s="11"/>
      <c r="Q337" s="13"/>
      <c r="R337" s="14"/>
    </row>
    <row r="338" spans="1:18" ht="15" customHeight="1" x14ac:dyDescent="0.3">
      <c r="A338" s="19" t="s">
        <v>51</v>
      </c>
      <c r="B338" s="19" t="s">
        <v>61</v>
      </c>
      <c r="C338" s="20">
        <v>0.65972222222222221</v>
      </c>
      <c r="D338" s="19" t="s">
        <v>59</v>
      </c>
      <c r="E338" s="19" t="s">
        <v>41</v>
      </c>
      <c r="F338" s="19" t="s">
        <v>60</v>
      </c>
      <c r="G338" s="196"/>
      <c r="H338" s="10"/>
      <c r="I338" s="11"/>
      <c r="J338" s="11"/>
      <c r="K338" s="11"/>
      <c r="L338" s="11"/>
      <c r="M338" s="11"/>
      <c r="N338" s="11"/>
      <c r="O338" s="12"/>
      <c r="P338" s="11"/>
      <c r="Q338" s="13"/>
      <c r="R338" s="14"/>
    </row>
    <row r="339" spans="1:18" ht="15" customHeight="1" x14ac:dyDescent="0.3">
      <c r="A339" s="15" t="s">
        <v>51</v>
      </c>
      <c r="B339" s="15" t="s">
        <v>64</v>
      </c>
      <c r="C339" s="16">
        <v>0.51736111111111105</v>
      </c>
      <c r="D339" s="15" t="s">
        <v>53</v>
      </c>
      <c r="E339" s="15" t="s">
        <v>48</v>
      </c>
      <c r="F339" s="15" t="s">
        <v>55</v>
      </c>
      <c r="G339" s="196"/>
      <c r="H339" s="10"/>
      <c r="I339" s="11"/>
      <c r="J339" s="11"/>
      <c r="K339" s="11"/>
      <c r="L339" s="11"/>
      <c r="M339" s="11"/>
      <c r="N339" s="11"/>
      <c r="O339" s="12"/>
      <c r="P339" s="11"/>
      <c r="Q339" s="13"/>
      <c r="R339" s="14"/>
    </row>
    <row r="340" spans="1:18" ht="15" customHeight="1" x14ac:dyDescent="0.3">
      <c r="A340" s="19" t="s">
        <v>51</v>
      </c>
      <c r="B340" s="19" t="s">
        <v>64</v>
      </c>
      <c r="C340" s="20">
        <v>0.51736111111111105</v>
      </c>
      <c r="D340" s="19" t="s">
        <v>56</v>
      </c>
      <c r="E340" s="19" t="s">
        <v>49</v>
      </c>
      <c r="F340" s="19" t="s">
        <v>58</v>
      </c>
      <c r="G340" s="196"/>
      <c r="H340" s="10"/>
      <c r="I340" s="11"/>
      <c r="J340" s="11"/>
      <c r="K340" s="11"/>
      <c r="L340" s="11"/>
      <c r="M340" s="11"/>
      <c r="N340" s="11"/>
      <c r="O340" s="12"/>
      <c r="P340" s="11"/>
      <c r="Q340" s="13"/>
      <c r="R340" s="14"/>
    </row>
    <row r="341" spans="1:18" ht="15" customHeight="1" x14ac:dyDescent="0.3">
      <c r="A341" s="19" t="s">
        <v>51</v>
      </c>
      <c r="B341" s="19" t="s">
        <v>64</v>
      </c>
      <c r="C341" s="20">
        <v>0.51736111111111105</v>
      </c>
      <c r="D341" s="19" t="s">
        <v>59</v>
      </c>
      <c r="E341" s="19" t="s">
        <v>49</v>
      </c>
      <c r="F341" s="19" t="s">
        <v>60</v>
      </c>
      <c r="G341" s="196"/>
      <c r="H341" s="10"/>
      <c r="I341" s="11"/>
      <c r="J341" s="11"/>
      <c r="K341" s="11"/>
      <c r="L341" s="11"/>
      <c r="M341" s="11"/>
      <c r="N341" s="11"/>
      <c r="O341" s="12"/>
      <c r="P341" s="11"/>
      <c r="Q341" s="13"/>
      <c r="R341" s="14"/>
    </row>
    <row r="342" spans="1:18" ht="15" customHeight="1" x14ac:dyDescent="0.3">
      <c r="A342" s="15" t="s">
        <v>51</v>
      </c>
      <c r="B342" s="15" t="s">
        <v>70</v>
      </c>
      <c r="C342" s="16">
        <v>0.79861111111111116</v>
      </c>
      <c r="D342" s="15" t="s">
        <v>53</v>
      </c>
      <c r="E342" s="15" t="s">
        <v>158</v>
      </c>
      <c r="F342" s="15" t="s">
        <v>55</v>
      </c>
      <c r="G342" s="196"/>
      <c r="H342" s="10"/>
      <c r="I342" s="11"/>
      <c r="J342" s="11"/>
      <c r="K342" s="11"/>
      <c r="L342" s="11"/>
      <c r="M342" s="11"/>
      <c r="N342" s="11"/>
      <c r="O342" s="12"/>
      <c r="P342" s="11"/>
      <c r="Q342" s="13"/>
      <c r="R342" s="14"/>
    </row>
    <row r="343" spans="1:18" ht="15" customHeight="1" x14ac:dyDescent="0.3">
      <c r="A343" s="19" t="s">
        <v>51</v>
      </c>
      <c r="B343" s="19" t="s">
        <v>70</v>
      </c>
      <c r="C343" s="20">
        <v>0.79861111111111116</v>
      </c>
      <c r="D343" s="19" t="s">
        <v>56</v>
      </c>
      <c r="E343" s="19" t="s">
        <v>57</v>
      </c>
      <c r="F343" s="19" t="s">
        <v>58</v>
      </c>
      <c r="G343" s="196"/>
      <c r="H343" s="10"/>
      <c r="I343" s="11"/>
      <c r="J343" s="11"/>
      <c r="K343" s="11"/>
      <c r="L343" s="11"/>
      <c r="M343" s="11"/>
      <c r="N343" s="11"/>
      <c r="O343" s="12"/>
      <c r="P343" s="11"/>
      <c r="Q343" s="13"/>
      <c r="R343" s="14"/>
    </row>
    <row r="344" spans="1:18" ht="15" customHeight="1" x14ac:dyDescent="0.3">
      <c r="A344" s="19" t="s">
        <v>51</v>
      </c>
      <c r="B344" s="19" t="s">
        <v>70</v>
      </c>
      <c r="C344" s="20">
        <v>0.79861111111111116</v>
      </c>
      <c r="D344" s="19" t="s">
        <v>59</v>
      </c>
      <c r="E344" s="19" t="s">
        <v>57</v>
      </c>
      <c r="F344" s="19" t="s">
        <v>60</v>
      </c>
      <c r="G344" s="196"/>
      <c r="H344" s="10"/>
      <c r="I344" s="11"/>
      <c r="J344" s="11"/>
      <c r="K344" s="11"/>
      <c r="L344" s="11"/>
      <c r="M344" s="11"/>
      <c r="N344" s="11"/>
      <c r="O344" s="12"/>
      <c r="P344" s="11"/>
      <c r="Q344" s="13"/>
      <c r="R344" s="14"/>
    </row>
    <row r="345" spans="1:18" ht="15" customHeight="1" x14ac:dyDescent="0.3">
      <c r="A345" s="15" t="s">
        <v>51</v>
      </c>
      <c r="B345" s="15" t="s">
        <v>71</v>
      </c>
      <c r="C345" s="16">
        <v>0.25694444444444448</v>
      </c>
      <c r="D345" s="15" t="s">
        <v>53</v>
      </c>
      <c r="E345" s="15" t="s">
        <v>48</v>
      </c>
      <c r="F345" s="15" t="s">
        <v>72</v>
      </c>
      <c r="G345" s="196"/>
      <c r="H345" s="10"/>
      <c r="I345" s="11"/>
      <c r="J345" s="11"/>
      <c r="K345" s="11"/>
      <c r="L345" s="11"/>
      <c r="M345" s="11"/>
      <c r="N345" s="11"/>
      <c r="O345" s="12"/>
      <c r="P345" s="11"/>
      <c r="Q345" s="13"/>
      <c r="R345" s="14"/>
    </row>
    <row r="346" spans="1:18" ht="15" customHeight="1" x14ac:dyDescent="0.3">
      <c r="A346" s="19" t="s">
        <v>51</v>
      </c>
      <c r="B346" s="19" t="s">
        <v>71</v>
      </c>
      <c r="C346" s="20">
        <v>0.25694444444444448</v>
      </c>
      <c r="D346" s="19" t="s">
        <v>56</v>
      </c>
      <c r="E346" s="19" t="s">
        <v>49</v>
      </c>
      <c r="F346" s="19" t="s">
        <v>73</v>
      </c>
      <c r="G346" s="196"/>
      <c r="H346" s="10"/>
      <c r="I346" s="11"/>
      <c r="J346" s="11"/>
      <c r="K346" s="11"/>
      <c r="L346" s="11"/>
      <c r="M346" s="11"/>
      <c r="N346" s="11"/>
      <c r="O346" s="12"/>
      <c r="P346" s="11"/>
      <c r="Q346" s="13"/>
      <c r="R346" s="14"/>
    </row>
    <row r="347" spans="1:18" ht="15" customHeight="1" x14ac:dyDescent="0.3">
      <c r="A347" s="19" t="s">
        <v>51</v>
      </c>
      <c r="B347" s="19" t="s">
        <v>71</v>
      </c>
      <c r="C347" s="20">
        <v>0.25694444444444448</v>
      </c>
      <c r="D347" s="19" t="s">
        <v>59</v>
      </c>
      <c r="E347" s="19" t="s">
        <v>49</v>
      </c>
      <c r="F347" s="19" t="s">
        <v>74</v>
      </c>
      <c r="G347" s="196"/>
      <c r="H347" s="10"/>
      <c r="I347" s="11"/>
      <c r="J347" s="11"/>
      <c r="K347" s="11"/>
      <c r="L347" s="11"/>
      <c r="M347" s="11"/>
      <c r="N347" s="11"/>
      <c r="O347" s="12"/>
      <c r="P347" s="11"/>
      <c r="Q347" s="13"/>
      <c r="R347" s="14"/>
    </row>
    <row r="348" spans="1:18" ht="15" customHeight="1" x14ac:dyDescent="0.3">
      <c r="A348" s="17" t="s">
        <v>105</v>
      </c>
      <c r="B348" s="17" t="s">
        <v>106</v>
      </c>
      <c r="C348" s="18">
        <v>0.21527777777777779</v>
      </c>
      <c r="D348" s="17" t="s">
        <v>107</v>
      </c>
      <c r="E348" s="17" t="s">
        <v>108</v>
      </c>
      <c r="F348" s="17" t="s">
        <v>39</v>
      </c>
      <c r="G348" s="196"/>
      <c r="H348" s="10"/>
      <c r="I348" s="11"/>
      <c r="J348" s="11"/>
      <c r="K348" s="11"/>
      <c r="L348" s="11"/>
      <c r="M348" s="11"/>
      <c r="N348" s="11"/>
      <c r="O348" s="12"/>
      <c r="P348" s="11"/>
      <c r="Q348" s="13"/>
      <c r="R348" s="14"/>
    </row>
    <row r="349" spans="1:18" ht="15" customHeight="1" x14ac:dyDescent="0.3">
      <c r="A349" s="19" t="s">
        <v>105</v>
      </c>
      <c r="B349" s="19" t="s">
        <v>106</v>
      </c>
      <c r="C349" s="20">
        <v>0.21527777777777779</v>
      </c>
      <c r="D349" s="19" t="s">
        <v>43</v>
      </c>
      <c r="E349" s="19" t="s">
        <v>49</v>
      </c>
      <c r="F349" s="19" t="s">
        <v>117</v>
      </c>
      <c r="G349" s="196"/>
      <c r="H349" s="10"/>
      <c r="I349" s="11"/>
      <c r="J349" s="11"/>
      <c r="K349" s="11"/>
      <c r="L349" s="11"/>
      <c r="M349" s="11"/>
      <c r="N349" s="11"/>
      <c r="O349" s="12"/>
      <c r="P349" s="11"/>
      <c r="Q349" s="13"/>
      <c r="R349" s="14"/>
    </row>
    <row r="350" spans="1:18" ht="15" customHeight="1" x14ac:dyDescent="0.3">
      <c r="A350" s="15" t="s">
        <v>105</v>
      </c>
      <c r="B350" s="15" t="s">
        <v>171</v>
      </c>
      <c r="C350" s="16">
        <v>0.3298611111111111</v>
      </c>
      <c r="D350" s="15" t="s">
        <v>107</v>
      </c>
      <c r="E350" s="15" t="s">
        <v>48</v>
      </c>
      <c r="F350" s="15" t="s">
        <v>224</v>
      </c>
      <c r="G350" s="196"/>
      <c r="H350" s="10"/>
      <c r="I350" s="11"/>
      <c r="J350" s="11"/>
      <c r="K350" s="11"/>
      <c r="L350" s="11"/>
      <c r="M350" s="11"/>
      <c r="N350" s="11"/>
      <c r="O350" s="12"/>
      <c r="P350" s="11"/>
      <c r="Q350" s="13"/>
      <c r="R350" s="14"/>
    </row>
    <row r="351" spans="1:18" ht="15" customHeight="1" x14ac:dyDescent="0.3">
      <c r="A351" s="19" t="s">
        <v>105</v>
      </c>
      <c r="B351" s="19" t="s">
        <v>171</v>
      </c>
      <c r="C351" s="20">
        <v>0.3298611111111111</v>
      </c>
      <c r="D351" s="19" t="s">
        <v>43</v>
      </c>
      <c r="E351" s="19" t="s">
        <v>49</v>
      </c>
      <c r="F351" s="19" t="s">
        <v>225</v>
      </c>
      <c r="G351" s="196"/>
      <c r="H351" s="10"/>
      <c r="I351" s="11"/>
      <c r="J351" s="11"/>
      <c r="K351" s="11"/>
      <c r="L351" s="11"/>
      <c r="M351" s="11"/>
      <c r="N351" s="11"/>
      <c r="O351" s="12"/>
      <c r="P351" s="11"/>
      <c r="Q351" s="13"/>
      <c r="R351" s="14"/>
    </row>
    <row r="352" spans="1:18" ht="15" customHeight="1" x14ac:dyDescent="0.3">
      <c r="A352" s="104" t="s">
        <v>76</v>
      </c>
      <c r="B352" s="104" t="s">
        <v>187</v>
      </c>
      <c r="C352" s="105">
        <v>0.2361111111111111</v>
      </c>
      <c r="D352" s="104" t="s">
        <v>78</v>
      </c>
      <c r="E352" s="104" t="s">
        <v>29</v>
      </c>
      <c r="F352" s="104" t="s">
        <v>192</v>
      </c>
      <c r="G352" s="196"/>
      <c r="H352" s="41" t="s">
        <v>188</v>
      </c>
      <c r="I352" s="124">
        <v>0.63690000000000002</v>
      </c>
      <c r="J352" s="43">
        <v>114</v>
      </c>
      <c r="K352" s="44">
        <v>45980</v>
      </c>
      <c r="L352" s="43">
        <v>75</v>
      </c>
      <c r="M352" s="43">
        <v>0</v>
      </c>
      <c r="N352" s="43">
        <v>4</v>
      </c>
      <c r="O352" s="45" t="s">
        <v>214</v>
      </c>
      <c r="P352" s="46">
        <v>0.2361111111111111</v>
      </c>
      <c r="Q352" s="43">
        <v>179</v>
      </c>
      <c r="R352" s="47" t="s">
        <v>230</v>
      </c>
    </row>
    <row r="353" spans="1:18" ht="15" customHeight="1" x14ac:dyDescent="0.3">
      <c r="A353" s="57" t="s">
        <v>76</v>
      </c>
      <c r="B353" s="57" t="s">
        <v>77</v>
      </c>
      <c r="C353" s="58">
        <v>0.33333333333333331</v>
      </c>
      <c r="D353" s="57" t="s">
        <v>78</v>
      </c>
      <c r="E353" s="57" t="s">
        <v>32</v>
      </c>
      <c r="F353" s="57" t="s">
        <v>79</v>
      </c>
      <c r="G353" s="196"/>
      <c r="H353" s="60" t="s">
        <v>80</v>
      </c>
      <c r="I353" s="125">
        <v>0.73180000000000001</v>
      </c>
      <c r="J353" s="62">
        <v>131</v>
      </c>
      <c r="K353" s="63">
        <v>45979</v>
      </c>
      <c r="L353" s="62">
        <v>24</v>
      </c>
      <c r="M353" s="62">
        <v>0</v>
      </c>
      <c r="N353" s="62">
        <v>0</v>
      </c>
      <c r="O353" s="64" t="s">
        <v>219</v>
      </c>
      <c r="P353" s="65">
        <v>0.33333333333333331</v>
      </c>
      <c r="Q353" s="62">
        <v>179</v>
      </c>
      <c r="R353" s="66" t="s">
        <v>231</v>
      </c>
    </row>
    <row r="354" spans="1:18" ht="15" customHeight="1" x14ac:dyDescent="0.3">
      <c r="A354" s="39" t="s">
        <v>76</v>
      </c>
      <c r="B354" s="39" t="s">
        <v>93</v>
      </c>
      <c r="C354" s="40">
        <v>0.68055555555555547</v>
      </c>
      <c r="D354" s="39" t="s">
        <v>78</v>
      </c>
      <c r="E354" s="39" t="s">
        <v>94</v>
      </c>
      <c r="F354" s="39" t="s">
        <v>85</v>
      </c>
      <c r="G354" s="196"/>
      <c r="H354" s="41" t="s">
        <v>95</v>
      </c>
      <c r="I354" s="124">
        <v>0.72629999999999995</v>
      </c>
      <c r="J354" s="43">
        <v>130</v>
      </c>
      <c r="K354" s="44">
        <v>45980</v>
      </c>
      <c r="L354" s="43">
        <v>21</v>
      </c>
      <c r="M354" s="43">
        <v>0</v>
      </c>
      <c r="N354" s="43">
        <v>5</v>
      </c>
      <c r="O354" s="45" t="s">
        <v>96</v>
      </c>
      <c r="P354" s="46">
        <v>0.68055555555555547</v>
      </c>
      <c r="Q354" s="43">
        <v>179</v>
      </c>
      <c r="R354" s="47" t="s">
        <v>232</v>
      </c>
    </row>
    <row r="355" spans="1:18" ht="15" customHeight="1" x14ac:dyDescent="0.3">
      <c r="A355" s="17" t="s">
        <v>118</v>
      </c>
      <c r="B355" s="17" t="s">
        <v>119</v>
      </c>
      <c r="C355" s="18">
        <v>0.37847222222222232</v>
      </c>
      <c r="D355" s="17" t="s">
        <v>120</v>
      </c>
      <c r="E355" s="17" t="s">
        <v>113</v>
      </c>
      <c r="F355" s="17" t="s">
        <v>121</v>
      </c>
      <c r="G355" s="196"/>
      <c r="H355" s="10"/>
      <c r="I355" s="11"/>
      <c r="J355" s="11"/>
      <c r="K355" s="11"/>
      <c r="L355" s="11"/>
      <c r="M355" s="11"/>
      <c r="N355" s="11"/>
      <c r="O355" s="12"/>
      <c r="P355" s="11"/>
      <c r="Q355" s="13"/>
      <c r="R355" s="14"/>
    </row>
    <row r="356" spans="1:18" ht="15" customHeight="1" x14ac:dyDescent="0.3">
      <c r="A356" s="19" t="s">
        <v>118</v>
      </c>
      <c r="B356" s="19" t="s">
        <v>119</v>
      </c>
      <c r="C356" s="20">
        <v>0.37847222222222232</v>
      </c>
      <c r="D356" s="19" t="s">
        <v>122</v>
      </c>
      <c r="E356" s="19" t="s">
        <v>126</v>
      </c>
      <c r="F356" s="19" t="s">
        <v>123</v>
      </c>
      <c r="G356" s="196"/>
      <c r="H356" s="10"/>
      <c r="I356" s="11"/>
      <c r="J356" s="11"/>
      <c r="K356" s="11"/>
      <c r="L356" s="11"/>
      <c r="M356" s="11"/>
      <c r="N356" s="11"/>
      <c r="O356" s="12"/>
      <c r="P356" s="11"/>
      <c r="Q356" s="13"/>
      <c r="R356" s="14"/>
    </row>
    <row r="357" spans="1:18" ht="15" customHeight="1" x14ac:dyDescent="0.3">
      <c r="A357" s="15" t="s">
        <v>118</v>
      </c>
      <c r="B357" s="15" t="s">
        <v>124</v>
      </c>
      <c r="C357" s="16">
        <v>6.9444444444444441E-3</v>
      </c>
      <c r="D357" s="15" t="s">
        <v>120</v>
      </c>
      <c r="E357" s="15" t="s">
        <v>116</v>
      </c>
      <c r="F357" s="15" t="s">
        <v>121</v>
      </c>
      <c r="G357" s="196"/>
      <c r="H357" s="10"/>
      <c r="I357" s="11"/>
      <c r="J357" s="11"/>
      <c r="K357" s="11"/>
      <c r="L357" s="11"/>
      <c r="M357" s="11"/>
      <c r="N357" s="11"/>
      <c r="O357" s="12"/>
      <c r="P357" s="11"/>
      <c r="Q357" s="13"/>
      <c r="R357" s="14"/>
    </row>
    <row r="358" spans="1:18" ht="15" customHeight="1" x14ac:dyDescent="0.3">
      <c r="A358" s="19" t="s">
        <v>118</v>
      </c>
      <c r="B358" s="19" t="s">
        <v>124</v>
      </c>
      <c r="C358" s="20">
        <v>6.9444444444444441E-3</v>
      </c>
      <c r="D358" s="19" t="s">
        <v>122</v>
      </c>
      <c r="E358" s="19" t="s">
        <v>126</v>
      </c>
      <c r="F358" s="19" t="s">
        <v>123</v>
      </c>
      <c r="G358" s="196"/>
      <c r="H358" s="10"/>
      <c r="I358" s="11"/>
      <c r="J358" s="11"/>
      <c r="K358" s="11"/>
      <c r="L358" s="11"/>
      <c r="M358" s="11"/>
      <c r="N358" s="11"/>
      <c r="O358" s="12"/>
      <c r="P358" s="11"/>
      <c r="Q358" s="13"/>
      <c r="R358" s="14"/>
    </row>
    <row r="359" spans="1:18" ht="15" customHeight="1" x14ac:dyDescent="0.3">
      <c r="A359" s="15" t="s">
        <v>118</v>
      </c>
      <c r="B359" s="15" t="s">
        <v>128</v>
      </c>
      <c r="C359" s="16">
        <v>0.24305555555555561</v>
      </c>
      <c r="D359" s="15" t="s">
        <v>120</v>
      </c>
      <c r="E359" s="15" t="s">
        <v>116</v>
      </c>
      <c r="F359" s="15" t="s">
        <v>121</v>
      </c>
      <c r="G359" s="196"/>
      <c r="H359" s="10"/>
      <c r="I359" s="11"/>
      <c r="J359" s="11"/>
      <c r="K359" s="11"/>
      <c r="L359" s="11"/>
      <c r="M359" s="11"/>
      <c r="N359" s="11"/>
      <c r="O359" s="12"/>
      <c r="P359" s="11"/>
      <c r="Q359" s="13"/>
      <c r="R359" s="14"/>
    </row>
    <row r="360" spans="1:18" ht="15" customHeight="1" x14ac:dyDescent="0.3">
      <c r="A360" s="19" t="s">
        <v>118</v>
      </c>
      <c r="B360" s="19" t="s">
        <v>128</v>
      </c>
      <c r="C360" s="20">
        <v>0.24305555555555561</v>
      </c>
      <c r="D360" s="19" t="s">
        <v>122</v>
      </c>
      <c r="E360" s="19" t="s">
        <v>126</v>
      </c>
      <c r="F360" s="19" t="s">
        <v>123</v>
      </c>
      <c r="G360" s="196"/>
      <c r="H360" s="10"/>
      <c r="I360" s="11"/>
      <c r="J360" s="11"/>
      <c r="K360" s="11"/>
      <c r="L360" s="11"/>
      <c r="M360" s="11"/>
      <c r="N360" s="11"/>
      <c r="O360" s="12"/>
      <c r="P360" s="11"/>
      <c r="Q360" s="13"/>
      <c r="R360" s="14"/>
    </row>
    <row r="361" spans="1:18" ht="15" customHeight="1" x14ac:dyDescent="0.3">
      <c r="A361" s="15" t="s">
        <v>118</v>
      </c>
      <c r="B361" s="15" t="s">
        <v>129</v>
      </c>
      <c r="C361" s="16">
        <v>0.1423611111111111</v>
      </c>
      <c r="D361" s="15" t="s">
        <v>120</v>
      </c>
      <c r="E361" s="15" t="s">
        <v>116</v>
      </c>
      <c r="F361" s="15" t="s">
        <v>121</v>
      </c>
      <c r="G361" s="196"/>
      <c r="H361" s="10"/>
      <c r="I361" s="11"/>
      <c r="J361" s="11"/>
      <c r="K361" s="11"/>
      <c r="L361" s="11"/>
      <c r="M361" s="11"/>
      <c r="N361" s="11"/>
      <c r="O361" s="12"/>
      <c r="P361" s="11"/>
      <c r="Q361" s="13"/>
      <c r="R361" s="14"/>
    </row>
    <row r="362" spans="1:18" ht="15" customHeight="1" x14ac:dyDescent="0.3">
      <c r="A362" s="19" t="s">
        <v>118</v>
      </c>
      <c r="B362" s="19" t="s">
        <v>129</v>
      </c>
      <c r="C362" s="20">
        <v>0.1423611111111111</v>
      </c>
      <c r="D362" s="19" t="s">
        <v>122</v>
      </c>
      <c r="E362" s="19" t="s">
        <v>126</v>
      </c>
      <c r="F362" s="19" t="s">
        <v>123</v>
      </c>
      <c r="G362" s="196"/>
      <c r="H362" s="10"/>
      <c r="I362" s="11"/>
      <c r="J362" s="11"/>
      <c r="K362" s="11"/>
      <c r="L362" s="11"/>
      <c r="M362" s="11"/>
      <c r="N362" s="11"/>
      <c r="O362" s="12"/>
      <c r="P362" s="11"/>
      <c r="Q362" s="13"/>
      <c r="R362" s="14"/>
    </row>
    <row r="363" spans="1:18" ht="15" customHeight="1" x14ac:dyDescent="0.3">
      <c r="A363" s="15" t="s">
        <v>118</v>
      </c>
      <c r="B363" s="15" t="s">
        <v>131</v>
      </c>
      <c r="C363" s="16">
        <v>0.71875</v>
      </c>
      <c r="D363" s="15" t="s">
        <v>120</v>
      </c>
      <c r="E363" s="15" t="s">
        <v>116</v>
      </c>
      <c r="F363" s="15" t="s">
        <v>125</v>
      </c>
      <c r="G363" s="196"/>
      <c r="H363" s="10"/>
      <c r="I363" s="11"/>
      <c r="J363" s="11"/>
      <c r="K363" s="11"/>
      <c r="L363" s="11"/>
      <c r="M363" s="11"/>
      <c r="N363" s="11"/>
      <c r="O363" s="12"/>
      <c r="P363" s="11"/>
      <c r="Q363" s="13"/>
      <c r="R363" s="14"/>
    </row>
    <row r="364" spans="1:18" ht="15" customHeight="1" x14ac:dyDescent="0.3">
      <c r="A364" s="19" t="s">
        <v>118</v>
      </c>
      <c r="B364" s="19" t="s">
        <v>131</v>
      </c>
      <c r="C364" s="20">
        <v>0.71875</v>
      </c>
      <c r="D364" s="19" t="s">
        <v>122</v>
      </c>
      <c r="E364" s="19" t="s">
        <v>126</v>
      </c>
      <c r="F364" s="19" t="s">
        <v>127</v>
      </c>
      <c r="G364" s="196"/>
      <c r="H364" s="10"/>
      <c r="I364" s="11"/>
      <c r="J364" s="11"/>
      <c r="K364" s="11"/>
      <c r="L364" s="11"/>
      <c r="M364" s="11"/>
      <c r="N364" s="11"/>
      <c r="O364" s="12"/>
      <c r="P364" s="11"/>
      <c r="Q364" s="13"/>
      <c r="R364" s="14"/>
    </row>
    <row r="365" spans="1:18" ht="15" customHeight="1" x14ac:dyDescent="0.3">
      <c r="A365" s="15" t="s">
        <v>118</v>
      </c>
      <c r="B365" s="15" t="s">
        <v>138</v>
      </c>
      <c r="C365" s="16">
        <v>0.12847222222222221</v>
      </c>
      <c r="D365" s="15" t="s">
        <v>122</v>
      </c>
      <c r="E365" s="15" t="s">
        <v>94</v>
      </c>
      <c r="F365" s="15" t="s">
        <v>209</v>
      </c>
      <c r="G365" s="196"/>
      <c r="H365" s="10"/>
      <c r="I365" s="11"/>
      <c r="J365" s="11"/>
      <c r="K365" s="11"/>
      <c r="L365" s="11"/>
      <c r="M365" s="11"/>
      <c r="N365" s="11"/>
      <c r="O365" s="12"/>
      <c r="P365" s="11"/>
      <c r="Q365" s="13"/>
      <c r="R365" s="14"/>
    </row>
    <row r="366" spans="1:18" ht="15" customHeight="1" x14ac:dyDescent="0.3">
      <c r="A366" s="15" t="s">
        <v>118</v>
      </c>
      <c r="B366" s="15" t="s">
        <v>137</v>
      </c>
      <c r="C366" s="16">
        <v>0.30208333333333331</v>
      </c>
      <c r="D366" s="15" t="s">
        <v>122</v>
      </c>
      <c r="E366" s="15" t="s">
        <v>94</v>
      </c>
      <c r="F366" s="15" t="s">
        <v>179</v>
      </c>
      <c r="G366" s="196"/>
      <c r="H366" s="10"/>
      <c r="I366" s="11"/>
      <c r="J366" s="11"/>
      <c r="K366" s="11"/>
      <c r="L366" s="11"/>
      <c r="M366" s="11"/>
      <c r="N366" s="11"/>
      <c r="O366" s="12"/>
      <c r="P366" s="11"/>
      <c r="Q366" s="13"/>
      <c r="R366" s="14"/>
    </row>
    <row r="367" spans="1:18" ht="15" customHeight="1" x14ac:dyDescent="0.3">
      <c r="A367" s="15" t="s">
        <v>118</v>
      </c>
      <c r="B367" s="15" t="s">
        <v>184</v>
      </c>
      <c r="C367" s="16">
        <v>0.61111111111111105</v>
      </c>
      <c r="D367" s="15" t="s">
        <v>120</v>
      </c>
      <c r="E367" s="15" t="s">
        <v>159</v>
      </c>
      <c r="F367" s="15" t="s">
        <v>180</v>
      </c>
      <c r="G367" s="196"/>
      <c r="H367" s="10"/>
      <c r="I367" s="11"/>
      <c r="J367" s="11"/>
      <c r="K367" s="11"/>
      <c r="L367" s="11"/>
      <c r="M367" s="11"/>
      <c r="N367" s="11"/>
      <c r="O367" s="12"/>
      <c r="P367" s="11"/>
      <c r="Q367" s="13"/>
      <c r="R367" s="14"/>
    </row>
    <row r="368" spans="1:18" ht="15" customHeight="1" x14ac:dyDescent="0.3">
      <c r="A368" s="19" t="s">
        <v>118</v>
      </c>
      <c r="B368" s="19" t="s">
        <v>184</v>
      </c>
      <c r="C368" s="20">
        <v>0.61111111111111105</v>
      </c>
      <c r="D368" s="19" t="s">
        <v>122</v>
      </c>
      <c r="E368" s="19" t="s">
        <v>160</v>
      </c>
      <c r="F368" s="19" t="s">
        <v>181</v>
      </c>
      <c r="G368" s="196"/>
      <c r="H368" s="10"/>
      <c r="I368" s="11"/>
      <c r="J368" s="11"/>
      <c r="K368" s="11"/>
      <c r="L368" s="11"/>
      <c r="M368" s="11"/>
      <c r="N368" s="11"/>
      <c r="O368" s="12"/>
      <c r="P368" s="11"/>
      <c r="Q368" s="13"/>
      <c r="R368" s="14"/>
    </row>
    <row r="369" spans="1:18" ht="15" customHeight="1" x14ac:dyDescent="0.3">
      <c r="A369" s="15" t="s">
        <v>118</v>
      </c>
      <c r="B369" s="15" t="s">
        <v>134</v>
      </c>
      <c r="C369" s="16">
        <v>0.82986111111111116</v>
      </c>
      <c r="D369" s="15" t="s">
        <v>120</v>
      </c>
      <c r="E369" s="15" t="s">
        <v>84</v>
      </c>
      <c r="F369" s="15" t="s">
        <v>180</v>
      </c>
      <c r="G369" s="196"/>
      <c r="H369" s="10"/>
      <c r="I369" s="11"/>
      <c r="J369" s="11"/>
      <c r="K369" s="11"/>
      <c r="L369" s="11"/>
      <c r="M369" s="11"/>
      <c r="N369" s="11"/>
      <c r="O369" s="12"/>
      <c r="P369" s="11"/>
      <c r="Q369" s="13"/>
      <c r="R369" s="14"/>
    </row>
    <row r="370" spans="1:18" ht="15" customHeight="1" x14ac:dyDescent="0.3">
      <c r="A370" s="19" t="s">
        <v>118</v>
      </c>
      <c r="B370" s="19" t="s">
        <v>134</v>
      </c>
      <c r="C370" s="20">
        <v>0.82986111111111116</v>
      </c>
      <c r="D370" s="19" t="s">
        <v>122</v>
      </c>
      <c r="E370" s="19" t="s">
        <v>163</v>
      </c>
      <c r="F370" s="19" t="s">
        <v>181</v>
      </c>
      <c r="G370" s="196"/>
      <c r="H370" s="10"/>
      <c r="I370" s="11"/>
      <c r="J370" s="11"/>
      <c r="K370" s="11"/>
      <c r="L370" s="11"/>
      <c r="M370" s="11"/>
      <c r="N370" s="11"/>
      <c r="O370" s="12"/>
      <c r="P370" s="11"/>
      <c r="Q370" s="13"/>
      <c r="R370" s="14"/>
    </row>
    <row r="371" spans="1:18" ht="15" customHeight="1" x14ac:dyDescent="0.3">
      <c r="A371" s="15" t="s">
        <v>118</v>
      </c>
      <c r="B371" s="15" t="s">
        <v>139</v>
      </c>
      <c r="C371" s="16">
        <v>0.78819444444444453</v>
      </c>
      <c r="D371" s="15" t="s">
        <v>122</v>
      </c>
      <c r="E371" s="15" t="s">
        <v>94</v>
      </c>
      <c r="F371" s="15" t="s">
        <v>136</v>
      </c>
      <c r="G371" s="196"/>
      <c r="H371" s="10"/>
      <c r="I371" s="11"/>
      <c r="J371" s="11"/>
      <c r="K371" s="11"/>
      <c r="L371" s="11"/>
      <c r="M371" s="11"/>
      <c r="N371" s="11"/>
      <c r="O371" s="12"/>
      <c r="P371" s="11"/>
      <c r="Q371" s="13"/>
      <c r="R371" s="14"/>
    </row>
    <row r="372" spans="1:18" ht="15" customHeight="1" x14ac:dyDescent="0.3">
      <c r="A372" s="15" t="s">
        <v>118</v>
      </c>
      <c r="B372" s="15" t="s">
        <v>135</v>
      </c>
      <c r="C372" s="16">
        <v>0.88888888888888884</v>
      </c>
      <c r="D372" s="15" t="s">
        <v>122</v>
      </c>
      <c r="E372" s="15" t="s">
        <v>94</v>
      </c>
      <c r="F372" s="15" t="s">
        <v>233</v>
      </c>
      <c r="G372" s="196"/>
      <c r="H372" s="10"/>
      <c r="I372" s="11"/>
      <c r="J372" s="11"/>
      <c r="K372" s="11"/>
      <c r="L372" s="11"/>
      <c r="M372" s="11"/>
      <c r="N372" s="11"/>
      <c r="O372" s="12"/>
      <c r="P372" s="11"/>
      <c r="Q372" s="13"/>
      <c r="R372" s="14"/>
    </row>
    <row r="373" spans="1:18" ht="15" customHeight="1" x14ac:dyDescent="0.3">
      <c r="A373" s="15" t="s">
        <v>118</v>
      </c>
      <c r="B373" s="15" t="s">
        <v>130</v>
      </c>
      <c r="C373" s="16">
        <v>0.93055555555555547</v>
      </c>
      <c r="D373" s="15" t="s">
        <v>120</v>
      </c>
      <c r="E373" s="15" t="s">
        <v>67</v>
      </c>
      <c r="F373" s="15" t="s">
        <v>234</v>
      </c>
      <c r="G373" s="196"/>
      <c r="H373" s="10"/>
      <c r="I373" s="11"/>
      <c r="J373" s="11"/>
      <c r="K373" s="11"/>
      <c r="L373" s="11"/>
      <c r="M373" s="11"/>
      <c r="N373" s="11"/>
      <c r="O373" s="12"/>
      <c r="P373" s="11"/>
      <c r="Q373" s="13"/>
      <c r="R373" s="14"/>
    </row>
    <row r="374" spans="1:18" ht="15" customHeight="1" x14ac:dyDescent="0.3">
      <c r="A374" s="19" t="s">
        <v>118</v>
      </c>
      <c r="B374" s="19" t="s">
        <v>130</v>
      </c>
      <c r="C374" s="20">
        <v>0.93055555555555547</v>
      </c>
      <c r="D374" s="19" t="s">
        <v>122</v>
      </c>
      <c r="E374" s="19" t="s">
        <v>68</v>
      </c>
      <c r="F374" s="19" t="s">
        <v>235</v>
      </c>
      <c r="G374" s="196"/>
      <c r="H374" s="10"/>
      <c r="I374" s="11"/>
      <c r="J374" s="11"/>
      <c r="K374" s="11"/>
      <c r="L374" s="11"/>
      <c r="M374" s="11"/>
      <c r="N374" s="11"/>
      <c r="O374" s="12"/>
      <c r="P374" s="11"/>
      <c r="Q374" s="13"/>
      <c r="R374" s="14"/>
    </row>
    <row r="375" spans="1:18" ht="15" customHeight="1" x14ac:dyDescent="0.3">
      <c r="A375" s="17" t="s">
        <v>140</v>
      </c>
      <c r="B375" s="17" t="s">
        <v>145</v>
      </c>
      <c r="C375" s="18">
        <v>0.22916666666666671</v>
      </c>
      <c r="D375" s="17" t="s">
        <v>142</v>
      </c>
      <c r="E375" s="17" t="s">
        <v>113</v>
      </c>
      <c r="F375" s="17" t="s">
        <v>236</v>
      </c>
      <c r="G375" s="196"/>
      <c r="H375" s="10"/>
      <c r="I375" s="11"/>
      <c r="J375" s="11"/>
      <c r="K375" s="11"/>
      <c r="L375" s="11"/>
      <c r="M375" s="11"/>
      <c r="N375" s="11"/>
      <c r="O375" s="12"/>
      <c r="P375" s="11"/>
      <c r="Q375" s="13"/>
      <c r="R375" s="14"/>
    </row>
    <row r="376" spans="1:18" ht="15" customHeight="1" x14ac:dyDescent="0.3">
      <c r="A376" s="15" t="s">
        <v>140</v>
      </c>
      <c r="B376" s="15" t="s">
        <v>149</v>
      </c>
      <c r="C376" s="16">
        <v>0.14583333333333329</v>
      </c>
      <c r="D376" s="15" t="s">
        <v>142</v>
      </c>
      <c r="E376" s="15" t="s">
        <v>116</v>
      </c>
      <c r="F376" s="15" t="s">
        <v>146</v>
      </c>
      <c r="G376" s="196"/>
      <c r="H376" s="10"/>
      <c r="I376" s="11"/>
      <c r="J376" s="11"/>
      <c r="K376" s="11"/>
      <c r="L376" s="11"/>
      <c r="M376" s="11"/>
      <c r="N376" s="11"/>
      <c r="O376" s="12"/>
      <c r="P376" s="11"/>
      <c r="Q376" s="13"/>
      <c r="R376" s="14"/>
    </row>
    <row r="377" spans="1:18" ht="15" customHeight="1" x14ac:dyDescent="0.3">
      <c r="A377" s="15" t="s">
        <v>140</v>
      </c>
      <c r="B377" s="15" t="s">
        <v>150</v>
      </c>
      <c r="C377" s="16">
        <v>0.28125</v>
      </c>
      <c r="D377" s="15" t="s">
        <v>142</v>
      </c>
      <c r="E377" s="15" t="s">
        <v>116</v>
      </c>
      <c r="F377" s="15" t="s">
        <v>237</v>
      </c>
      <c r="G377" s="196"/>
      <c r="H377" s="10"/>
      <c r="I377" s="11"/>
      <c r="J377" s="11"/>
      <c r="K377" s="11"/>
      <c r="L377" s="11"/>
      <c r="M377" s="11"/>
      <c r="N377" s="11"/>
      <c r="O377" s="12"/>
      <c r="P377" s="11"/>
      <c r="Q377" s="13"/>
      <c r="R377" s="14"/>
    </row>
    <row r="378" spans="1:18" ht="15" customHeight="1" x14ac:dyDescent="0.3">
      <c r="A378" s="77" t="s">
        <v>140</v>
      </c>
      <c r="B378" s="77" t="s">
        <v>147</v>
      </c>
      <c r="C378" s="78">
        <v>1.388888888888889E-2</v>
      </c>
      <c r="D378" s="77" t="s">
        <v>142</v>
      </c>
      <c r="E378" s="77" t="s">
        <v>116</v>
      </c>
      <c r="F378" s="77" t="s">
        <v>238</v>
      </c>
      <c r="G378" s="197"/>
      <c r="H378" s="79"/>
      <c r="I378" s="80"/>
      <c r="J378" s="80"/>
      <c r="K378" s="80"/>
      <c r="L378" s="80"/>
      <c r="M378" s="80"/>
      <c r="N378" s="80"/>
      <c r="O378" s="81"/>
      <c r="P378" s="80"/>
      <c r="Q378" s="82"/>
      <c r="R378" s="83"/>
    </row>
  </sheetData>
  <mergeCells count="26">
    <mergeCell ref="A310:R310"/>
    <mergeCell ref="G239:G309"/>
    <mergeCell ref="A237:F237"/>
    <mergeCell ref="A236:R236"/>
    <mergeCell ref="A2:F2"/>
    <mergeCell ref="A3:R3"/>
    <mergeCell ref="G313:G378"/>
    <mergeCell ref="H311:R311"/>
    <mergeCell ref="A311:F311"/>
    <mergeCell ref="G2:J2"/>
    <mergeCell ref="A4:F4"/>
    <mergeCell ref="G160:G235"/>
    <mergeCell ref="A81:F81"/>
    <mergeCell ref="K2:R2"/>
    <mergeCell ref="G6:G79"/>
    <mergeCell ref="H81:R81"/>
    <mergeCell ref="H237:R237"/>
    <mergeCell ref="G83:G156"/>
    <mergeCell ref="A157:R157"/>
    <mergeCell ref="A158:F158"/>
    <mergeCell ref="H1:L1"/>
    <mergeCell ref="A1:E1"/>
    <mergeCell ref="A80:R80"/>
    <mergeCell ref="H4:R4"/>
    <mergeCell ref="N1:R1"/>
    <mergeCell ref="H158:R1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7"/>
  <sheetViews>
    <sheetView workbookViewId="0"/>
  </sheetViews>
  <sheetFormatPr defaultRowHeight="15.6" outlineLevelCol="1" x14ac:dyDescent="0.3"/>
  <cols>
    <col min="1" max="1" width="13.77734375" style="208" bestFit="1" customWidth="1"/>
    <col min="2" max="2" width="11.109375" style="208" bestFit="1" customWidth="1"/>
    <col min="3" max="3" width="7.88671875" style="208" bestFit="1" customWidth="1"/>
    <col min="4" max="4" width="6.77734375" style="208" bestFit="1" customWidth="1"/>
    <col min="5" max="5" width="8.6640625" style="208" bestFit="1" customWidth="1"/>
    <col min="6" max="6" width="5.21875" style="208" bestFit="1" customWidth="1"/>
    <col min="7" max="7" width="10" style="208" bestFit="1" customWidth="1"/>
    <col min="8" max="10" width="8.5546875" style="208" bestFit="1" customWidth="1"/>
    <col min="11" max="11" width="12.21875" style="208" bestFit="1" customWidth="1"/>
    <col min="12" max="12" width="10.109375" style="208" bestFit="1" customWidth="1"/>
    <col min="13" max="13" width="8.77734375" style="208" bestFit="1" customWidth="1" outlineLevel="1"/>
    <col min="14" max="14" width="7.33203125" style="208" bestFit="1" customWidth="1" outlineLevel="1"/>
    <col min="15" max="15" width="9.109375" style="208" bestFit="1" customWidth="1" outlineLevel="1"/>
    <col min="16" max="16" width="15.33203125" style="208" bestFit="1" customWidth="1"/>
    <col min="17" max="17" width="3.88671875" style="208" bestFit="1" customWidth="1"/>
    <col min="18" max="18" width="4" style="208" bestFit="1" customWidth="1"/>
    <col min="19" max="24" width="3.88671875" style="208" bestFit="1" customWidth="1"/>
    <col min="25" max="25" width="4.21875" style="208" bestFit="1" customWidth="1"/>
    <col min="26" max="26" width="3.88671875" style="208" bestFit="1" customWidth="1"/>
    <col min="27" max="27" width="4.77734375" style="208" bestFit="1" customWidth="1"/>
    <col min="28" max="28" width="3.88671875" style="208" bestFit="1" customWidth="1"/>
    <col min="29" max="29" width="4" style="208" bestFit="1" customWidth="1"/>
    <col min="30" max="31" width="5.33203125" style="208" bestFit="1" customWidth="1"/>
    <col min="32" max="32" width="4.44140625" style="208" bestFit="1" customWidth="1"/>
    <col min="33" max="33" width="5" style="208" bestFit="1" customWidth="1"/>
    <col min="34" max="34" width="3.88671875" style="208" bestFit="1" customWidth="1"/>
    <col min="35" max="35" width="6.21875" style="208" bestFit="1" customWidth="1"/>
    <col min="36" max="36" width="5.33203125" style="208" bestFit="1" customWidth="1"/>
    <col min="37" max="16384" width="8.88671875" style="208"/>
  </cols>
  <sheetData>
    <row r="1" spans="1:36" x14ac:dyDescent="0.3">
      <c r="A1" s="207" t="s">
        <v>239</v>
      </c>
      <c r="B1" s="207" t="s">
        <v>240</v>
      </c>
      <c r="C1" s="207" t="s">
        <v>241</v>
      </c>
      <c r="D1" s="207" t="s">
        <v>23</v>
      </c>
      <c r="E1" s="207" t="s">
        <v>242</v>
      </c>
      <c r="F1" s="207" t="s">
        <v>243</v>
      </c>
      <c r="G1" s="207" t="s">
        <v>16</v>
      </c>
      <c r="H1" s="207" t="s">
        <v>244</v>
      </c>
      <c r="I1" s="207" t="s">
        <v>245</v>
      </c>
      <c r="J1" s="207" t="s">
        <v>246</v>
      </c>
      <c r="K1" s="207" t="s">
        <v>247</v>
      </c>
      <c r="L1" s="207" t="s">
        <v>18</v>
      </c>
      <c r="M1" s="207" t="s">
        <v>20</v>
      </c>
      <c r="N1" s="207" t="s">
        <v>21</v>
      </c>
      <c r="O1" s="207" t="s">
        <v>19</v>
      </c>
      <c r="P1" s="207" t="s">
        <v>22</v>
      </c>
      <c r="Q1" s="207" t="s">
        <v>248</v>
      </c>
      <c r="R1" s="207" t="s">
        <v>249</v>
      </c>
      <c r="S1" s="207" t="s">
        <v>250</v>
      </c>
      <c r="T1" s="207" t="s">
        <v>251</v>
      </c>
      <c r="U1" s="207" t="s">
        <v>252</v>
      </c>
      <c r="V1" s="207" t="s">
        <v>253</v>
      </c>
      <c r="W1" s="207" t="s">
        <v>254</v>
      </c>
      <c r="X1" s="207" t="s">
        <v>255</v>
      </c>
      <c r="Y1" s="207" t="s">
        <v>256</v>
      </c>
      <c r="Z1" s="207" t="s">
        <v>257</v>
      </c>
      <c r="AA1" s="207" t="s">
        <v>258</v>
      </c>
      <c r="AB1" s="207" t="s">
        <v>259</v>
      </c>
      <c r="AC1" s="207" t="s">
        <v>260</v>
      </c>
      <c r="AD1" s="207" t="s">
        <v>261</v>
      </c>
      <c r="AE1" s="207" t="s">
        <v>262</v>
      </c>
      <c r="AF1" s="207" t="s">
        <v>263</v>
      </c>
      <c r="AG1" s="207" t="s">
        <v>264</v>
      </c>
      <c r="AH1" s="207" t="s">
        <v>265</v>
      </c>
      <c r="AI1" s="207" t="s">
        <v>266</v>
      </c>
      <c r="AJ1" s="207" t="s">
        <v>267</v>
      </c>
    </row>
    <row r="2" spans="1:36" x14ac:dyDescent="0.3">
      <c r="A2" s="209" t="s">
        <v>268</v>
      </c>
      <c r="B2" s="210">
        <v>45986</v>
      </c>
      <c r="C2" s="211" t="s">
        <v>90</v>
      </c>
      <c r="D2" s="212" t="s">
        <v>269</v>
      </c>
      <c r="E2" s="211" t="s">
        <v>1</v>
      </c>
      <c r="F2" s="211" t="s">
        <v>270</v>
      </c>
      <c r="G2" s="213">
        <v>0.34079999999999999</v>
      </c>
      <c r="H2" s="214">
        <v>179</v>
      </c>
      <c r="I2" s="214">
        <v>61</v>
      </c>
      <c r="J2" s="214">
        <v>0</v>
      </c>
      <c r="K2" s="211" t="s">
        <v>271</v>
      </c>
      <c r="L2" s="215">
        <v>45980</v>
      </c>
      <c r="M2" s="214">
        <v>0</v>
      </c>
      <c r="N2" s="214">
        <v>7</v>
      </c>
      <c r="O2" s="214">
        <v>44</v>
      </c>
      <c r="P2" s="211" t="s">
        <v>91</v>
      </c>
      <c r="Q2" s="207"/>
      <c r="R2" s="207"/>
      <c r="S2" s="207"/>
      <c r="T2" s="207"/>
      <c r="U2" s="207"/>
      <c r="V2" s="207"/>
      <c r="W2" s="207"/>
      <c r="X2" s="207"/>
      <c r="Y2" s="207"/>
      <c r="Z2" s="214" t="s">
        <v>272</v>
      </c>
      <c r="AA2" s="207"/>
      <c r="AB2" s="207"/>
      <c r="AC2" s="214" t="s">
        <v>87</v>
      </c>
      <c r="AD2" s="214" t="s">
        <v>273</v>
      </c>
      <c r="AE2" s="214" t="s">
        <v>274</v>
      </c>
      <c r="AF2" s="214" t="s">
        <v>275</v>
      </c>
      <c r="AG2" s="207"/>
      <c r="AH2" s="207"/>
      <c r="AI2" s="207"/>
      <c r="AJ2" s="207"/>
    </row>
    <row r="3" spans="1:36" x14ac:dyDescent="0.3">
      <c r="A3" s="209" t="s">
        <v>268</v>
      </c>
      <c r="B3" s="210">
        <v>45986</v>
      </c>
      <c r="C3" s="211" t="s">
        <v>98</v>
      </c>
      <c r="D3" s="212" t="s">
        <v>276</v>
      </c>
      <c r="E3" s="211" t="s">
        <v>1</v>
      </c>
      <c r="F3" s="211" t="s">
        <v>270</v>
      </c>
      <c r="G3" s="213">
        <v>0.9385</v>
      </c>
      <c r="H3" s="214">
        <v>179</v>
      </c>
      <c r="I3" s="214">
        <v>168</v>
      </c>
      <c r="J3" s="214">
        <v>117</v>
      </c>
      <c r="K3" s="211" t="s">
        <v>271</v>
      </c>
      <c r="L3" s="215">
        <v>45979</v>
      </c>
      <c r="M3" s="214">
        <v>0</v>
      </c>
      <c r="N3" s="214">
        <v>0</v>
      </c>
      <c r="O3" s="214">
        <v>27</v>
      </c>
      <c r="P3" s="211" t="s">
        <v>101</v>
      </c>
      <c r="Q3" s="207"/>
      <c r="R3" s="207"/>
      <c r="S3" s="207"/>
      <c r="T3" s="207"/>
      <c r="U3" s="207"/>
      <c r="V3" s="207"/>
      <c r="W3" s="207"/>
      <c r="X3" s="207"/>
      <c r="Y3" s="207"/>
      <c r="Z3" s="214" t="s">
        <v>277</v>
      </c>
      <c r="AA3" s="207"/>
      <c r="AB3" s="207"/>
      <c r="AC3" s="214" t="s">
        <v>278</v>
      </c>
      <c r="AD3" s="214" t="s">
        <v>279</v>
      </c>
      <c r="AE3" s="214" t="s">
        <v>280</v>
      </c>
      <c r="AF3" s="214" t="s">
        <v>281</v>
      </c>
      <c r="AG3" s="207"/>
      <c r="AH3" s="207"/>
      <c r="AI3" s="214" t="s">
        <v>282</v>
      </c>
      <c r="AJ3" s="214" t="s">
        <v>283</v>
      </c>
    </row>
    <row r="4" spans="1:36" x14ac:dyDescent="0.3">
      <c r="A4" s="209" t="s">
        <v>268</v>
      </c>
      <c r="B4" s="210">
        <v>45986</v>
      </c>
      <c r="C4" s="211" t="s">
        <v>95</v>
      </c>
      <c r="D4" s="212" t="s">
        <v>284</v>
      </c>
      <c r="E4" s="211" t="s">
        <v>1</v>
      </c>
      <c r="F4" s="211" t="s">
        <v>270</v>
      </c>
      <c r="G4" s="213">
        <v>0.75980000000000003</v>
      </c>
      <c r="H4" s="214">
        <v>179</v>
      </c>
      <c r="I4" s="214">
        <v>136</v>
      </c>
      <c r="J4" s="214">
        <v>82</v>
      </c>
      <c r="K4" s="211" t="s">
        <v>271</v>
      </c>
      <c r="L4" s="215">
        <v>45980</v>
      </c>
      <c r="M4" s="214">
        <v>0</v>
      </c>
      <c r="N4" s="214">
        <v>3</v>
      </c>
      <c r="O4" s="214">
        <v>25</v>
      </c>
      <c r="P4" s="211" t="s">
        <v>96</v>
      </c>
      <c r="Q4" s="207"/>
      <c r="R4" s="207"/>
      <c r="S4" s="207"/>
      <c r="T4" s="207"/>
      <c r="U4" s="207"/>
      <c r="V4" s="207"/>
      <c r="W4" s="207"/>
      <c r="X4" s="207"/>
      <c r="Y4" s="207"/>
      <c r="Z4" s="214" t="s">
        <v>285</v>
      </c>
      <c r="AA4" s="207"/>
      <c r="AB4" s="207"/>
      <c r="AC4" s="214" t="s">
        <v>286</v>
      </c>
      <c r="AD4" s="214" t="s">
        <v>287</v>
      </c>
      <c r="AE4" s="214" t="s">
        <v>280</v>
      </c>
      <c r="AF4" s="214" t="s">
        <v>281</v>
      </c>
      <c r="AG4" s="207"/>
      <c r="AH4" s="207"/>
      <c r="AI4" s="214" t="s">
        <v>288</v>
      </c>
      <c r="AJ4" s="207"/>
    </row>
    <row r="5" spans="1:36" x14ac:dyDescent="0.3">
      <c r="A5" s="209" t="s">
        <v>268</v>
      </c>
      <c r="B5" s="210">
        <v>45986</v>
      </c>
      <c r="C5" s="211" t="s">
        <v>103</v>
      </c>
      <c r="D5" s="212" t="s">
        <v>289</v>
      </c>
      <c r="E5" s="211" t="s">
        <v>1</v>
      </c>
      <c r="F5" s="211" t="s">
        <v>270</v>
      </c>
      <c r="G5" s="213">
        <v>0.92179999999999995</v>
      </c>
      <c r="H5" s="214">
        <v>179</v>
      </c>
      <c r="I5" s="214">
        <v>165</v>
      </c>
      <c r="J5" s="214">
        <v>117</v>
      </c>
      <c r="K5" s="211" t="s">
        <v>271</v>
      </c>
      <c r="L5" s="215">
        <v>45980</v>
      </c>
      <c r="M5" s="214">
        <v>0</v>
      </c>
      <c r="N5" s="214">
        <v>4</v>
      </c>
      <c r="O5" s="214">
        <v>24</v>
      </c>
      <c r="P5" s="211" t="s">
        <v>101</v>
      </c>
      <c r="Q5" s="207"/>
      <c r="R5" s="207"/>
      <c r="S5" s="207"/>
      <c r="T5" s="207"/>
      <c r="U5" s="207"/>
      <c r="V5" s="207"/>
      <c r="W5" s="207"/>
      <c r="X5" s="207"/>
      <c r="Y5" s="207"/>
      <c r="Z5" s="214" t="s">
        <v>290</v>
      </c>
      <c r="AA5" s="214" t="s">
        <v>291</v>
      </c>
      <c r="AB5" s="207"/>
      <c r="AC5" s="214" t="s">
        <v>96</v>
      </c>
      <c r="AD5" s="214" t="s">
        <v>292</v>
      </c>
      <c r="AE5" s="214" t="s">
        <v>280</v>
      </c>
      <c r="AF5" s="214" t="s">
        <v>293</v>
      </c>
      <c r="AG5" s="207"/>
      <c r="AH5" s="207"/>
      <c r="AI5" s="214" t="s">
        <v>282</v>
      </c>
      <c r="AJ5" s="207"/>
    </row>
    <row r="6" spans="1:36" x14ac:dyDescent="0.3">
      <c r="A6" s="209" t="s">
        <v>268</v>
      </c>
      <c r="B6" s="210">
        <v>45986</v>
      </c>
      <c r="C6" s="211" t="s">
        <v>86</v>
      </c>
      <c r="D6" s="212" t="s">
        <v>294</v>
      </c>
      <c r="E6" s="211" t="s">
        <v>1</v>
      </c>
      <c r="F6" s="211" t="s">
        <v>270</v>
      </c>
      <c r="G6" s="213">
        <v>0.68159999999999998</v>
      </c>
      <c r="H6" s="214">
        <v>179</v>
      </c>
      <c r="I6" s="214">
        <v>122</v>
      </c>
      <c r="J6" s="214">
        <v>88</v>
      </c>
      <c r="K6" s="211" t="s">
        <v>271</v>
      </c>
      <c r="L6" s="215">
        <v>45980</v>
      </c>
      <c r="M6" s="214">
        <v>0</v>
      </c>
      <c r="N6" s="214">
        <v>2</v>
      </c>
      <c r="O6" s="214">
        <v>24</v>
      </c>
      <c r="P6" s="211" t="s">
        <v>87</v>
      </c>
      <c r="Q6" s="207"/>
      <c r="R6" s="207"/>
      <c r="S6" s="207"/>
      <c r="T6" s="207"/>
      <c r="U6" s="207"/>
      <c r="V6" s="207"/>
      <c r="W6" s="207"/>
      <c r="X6" s="207"/>
      <c r="Y6" s="207"/>
      <c r="Z6" s="214" t="s">
        <v>277</v>
      </c>
      <c r="AA6" s="207"/>
      <c r="AB6" s="207"/>
      <c r="AC6" s="214" t="s">
        <v>295</v>
      </c>
      <c r="AD6" s="214" t="s">
        <v>296</v>
      </c>
      <c r="AE6" s="214" t="s">
        <v>274</v>
      </c>
      <c r="AF6" s="214" t="s">
        <v>281</v>
      </c>
      <c r="AG6" s="207"/>
      <c r="AH6" s="207"/>
      <c r="AI6" s="214" t="s">
        <v>297</v>
      </c>
      <c r="AJ6" s="207"/>
    </row>
    <row r="7" spans="1:36" x14ac:dyDescent="0.3">
      <c r="A7" s="209" t="s">
        <v>268</v>
      </c>
      <c r="B7" s="210">
        <v>45986</v>
      </c>
      <c r="C7" s="211" t="s">
        <v>80</v>
      </c>
      <c r="D7" s="212" t="s">
        <v>298</v>
      </c>
      <c r="E7" s="211" t="s">
        <v>1</v>
      </c>
      <c r="F7" s="211" t="s">
        <v>270</v>
      </c>
      <c r="G7" s="213">
        <v>0.55310000000000004</v>
      </c>
      <c r="H7" s="214">
        <v>179</v>
      </c>
      <c r="I7" s="214">
        <v>99</v>
      </c>
      <c r="J7" s="214">
        <v>46</v>
      </c>
      <c r="K7" s="211" t="s">
        <v>271</v>
      </c>
      <c r="L7" s="215">
        <v>45980</v>
      </c>
      <c r="M7" s="214">
        <v>0</v>
      </c>
      <c r="N7" s="214">
        <v>6</v>
      </c>
      <c r="O7" s="214">
        <v>30</v>
      </c>
      <c r="P7" s="211" t="s">
        <v>81</v>
      </c>
      <c r="Q7" s="207"/>
      <c r="R7" s="207"/>
      <c r="S7" s="207"/>
      <c r="T7" s="207"/>
      <c r="U7" s="207"/>
      <c r="V7" s="207"/>
      <c r="W7" s="207"/>
      <c r="X7" s="207"/>
      <c r="Y7" s="207"/>
      <c r="Z7" s="207"/>
      <c r="AA7" s="207"/>
      <c r="AB7" s="207"/>
      <c r="AC7" s="207"/>
      <c r="AD7" s="214" t="s">
        <v>221</v>
      </c>
      <c r="AE7" s="214" t="s">
        <v>280</v>
      </c>
      <c r="AF7" s="214" t="s">
        <v>275</v>
      </c>
      <c r="AG7" s="207"/>
      <c r="AH7" s="207"/>
      <c r="AI7" s="214" t="s">
        <v>299</v>
      </c>
      <c r="AJ7" s="207"/>
    </row>
    <row r="8" spans="1:36" x14ac:dyDescent="0.3">
      <c r="A8" s="209" t="s">
        <v>300</v>
      </c>
      <c r="B8" s="210">
        <v>45987</v>
      </c>
      <c r="C8" s="211" t="s">
        <v>80</v>
      </c>
      <c r="D8" s="212" t="s">
        <v>301</v>
      </c>
      <c r="E8" s="211" t="s">
        <v>1</v>
      </c>
      <c r="F8" s="211" t="s">
        <v>270</v>
      </c>
      <c r="G8" s="213">
        <v>0.36309999999999998</v>
      </c>
      <c r="H8" s="214">
        <v>179</v>
      </c>
      <c r="I8" s="214">
        <v>65</v>
      </c>
      <c r="J8" s="214">
        <v>0</v>
      </c>
      <c r="K8" s="211" t="s">
        <v>271</v>
      </c>
      <c r="L8" s="215">
        <v>45980</v>
      </c>
      <c r="M8" s="214">
        <v>0</v>
      </c>
      <c r="N8" s="214">
        <v>1</v>
      </c>
      <c r="O8" s="214">
        <v>49</v>
      </c>
      <c r="P8" s="211" t="s">
        <v>166</v>
      </c>
      <c r="Q8" s="207"/>
      <c r="R8" s="207"/>
      <c r="S8" s="207"/>
      <c r="T8" s="207"/>
      <c r="U8" s="207"/>
      <c r="V8" s="207"/>
      <c r="W8" s="207"/>
      <c r="X8" s="207"/>
      <c r="Y8" s="207"/>
      <c r="Z8" s="207"/>
      <c r="AA8" s="207"/>
      <c r="AB8" s="207"/>
      <c r="AC8" s="207"/>
      <c r="AD8" s="214" t="s">
        <v>169</v>
      </c>
      <c r="AE8" s="214" t="s">
        <v>302</v>
      </c>
      <c r="AF8" s="214" t="s">
        <v>303</v>
      </c>
      <c r="AG8" s="207"/>
      <c r="AH8" s="207"/>
      <c r="AI8" s="207"/>
      <c r="AJ8" s="207"/>
    </row>
    <row r="9" spans="1:36" x14ac:dyDescent="0.3">
      <c r="A9" s="209" t="s">
        <v>300</v>
      </c>
      <c r="B9" s="210">
        <v>45987</v>
      </c>
      <c r="C9" s="211" t="s">
        <v>103</v>
      </c>
      <c r="D9" s="212" t="s">
        <v>304</v>
      </c>
      <c r="E9" s="211" t="s">
        <v>1</v>
      </c>
      <c r="F9" s="211" t="s">
        <v>270</v>
      </c>
      <c r="G9" s="213">
        <v>0.63690000000000002</v>
      </c>
      <c r="H9" s="214">
        <v>179</v>
      </c>
      <c r="I9" s="214">
        <v>114</v>
      </c>
      <c r="J9" s="214">
        <v>47</v>
      </c>
      <c r="K9" s="211" t="s">
        <v>271</v>
      </c>
      <c r="L9" s="215">
        <v>45980</v>
      </c>
      <c r="M9" s="214">
        <v>0</v>
      </c>
      <c r="N9" s="214">
        <v>5</v>
      </c>
      <c r="O9" s="214">
        <v>47</v>
      </c>
      <c r="P9" s="211" t="s">
        <v>166</v>
      </c>
      <c r="Q9" s="207"/>
      <c r="R9" s="207"/>
      <c r="S9" s="207"/>
      <c r="T9" s="207"/>
      <c r="U9" s="207"/>
      <c r="V9" s="207"/>
      <c r="W9" s="207"/>
      <c r="X9" s="207"/>
      <c r="Y9" s="207"/>
      <c r="Z9" s="214" t="s">
        <v>305</v>
      </c>
      <c r="AA9" s="214" t="s">
        <v>306</v>
      </c>
      <c r="AB9" s="207"/>
      <c r="AC9" s="207"/>
      <c r="AD9" s="214" t="s">
        <v>296</v>
      </c>
      <c r="AE9" s="214" t="s">
        <v>307</v>
      </c>
      <c r="AF9" s="214" t="s">
        <v>308</v>
      </c>
      <c r="AG9" s="207"/>
      <c r="AH9" s="207"/>
      <c r="AI9" s="214" t="s">
        <v>309</v>
      </c>
      <c r="AJ9" s="207"/>
    </row>
    <row r="10" spans="1:36" x14ac:dyDescent="0.3">
      <c r="A10" s="209" t="s">
        <v>300</v>
      </c>
      <c r="B10" s="210">
        <v>45987</v>
      </c>
      <c r="C10" s="211" t="s">
        <v>95</v>
      </c>
      <c r="D10" s="212" t="s">
        <v>284</v>
      </c>
      <c r="E10" s="211" t="s">
        <v>1</v>
      </c>
      <c r="F10" s="211" t="s">
        <v>270</v>
      </c>
      <c r="G10" s="213">
        <v>0.6089</v>
      </c>
      <c r="H10" s="214">
        <v>179</v>
      </c>
      <c r="I10" s="214">
        <v>109</v>
      </c>
      <c r="J10" s="214">
        <v>45</v>
      </c>
      <c r="K10" s="211" t="s">
        <v>271</v>
      </c>
      <c r="L10" s="215">
        <v>45980</v>
      </c>
      <c r="M10" s="214">
        <v>0</v>
      </c>
      <c r="N10" s="214">
        <v>4</v>
      </c>
      <c r="O10" s="214">
        <v>40</v>
      </c>
      <c r="P10" s="211" t="s">
        <v>169</v>
      </c>
      <c r="Q10" s="207"/>
      <c r="R10" s="207"/>
      <c r="S10" s="207"/>
      <c r="T10" s="207"/>
      <c r="U10" s="207"/>
      <c r="V10" s="207"/>
      <c r="W10" s="207"/>
      <c r="X10" s="207"/>
      <c r="Y10" s="207"/>
      <c r="Z10" s="214" t="s">
        <v>277</v>
      </c>
      <c r="AA10" s="207"/>
      <c r="AB10" s="207"/>
      <c r="AC10" s="207"/>
      <c r="AD10" s="214" t="s">
        <v>292</v>
      </c>
      <c r="AE10" s="214" t="s">
        <v>307</v>
      </c>
      <c r="AF10" s="214" t="s">
        <v>310</v>
      </c>
      <c r="AG10" s="207"/>
      <c r="AH10" s="207"/>
      <c r="AI10" s="214" t="s">
        <v>311</v>
      </c>
      <c r="AJ10" s="214" t="s">
        <v>312</v>
      </c>
    </row>
    <row r="11" spans="1:36" x14ac:dyDescent="0.3">
      <c r="A11" s="209" t="s">
        <v>313</v>
      </c>
      <c r="B11" s="210">
        <v>45988</v>
      </c>
      <c r="C11" s="211" t="s">
        <v>86</v>
      </c>
      <c r="D11" s="212" t="s">
        <v>314</v>
      </c>
      <c r="E11" s="211" t="s">
        <v>1</v>
      </c>
      <c r="F11" s="211" t="s">
        <v>270</v>
      </c>
      <c r="G11" s="213">
        <v>0.48039999999999999</v>
      </c>
      <c r="H11" s="214">
        <v>179</v>
      </c>
      <c r="I11" s="214">
        <v>86</v>
      </c>
      <c r="J11" s="214">
        <v>84</v>
      </c>
      <c r="K11" s="211" t="s">
        <v>271</v>
      </c>
      <c r="L11" s="215">
        <v>45980</v>
      </c>
      <c r="M11" s="214">
        <v>0</v>
      </c>
      <c r="N11" s="214">
        <v>2</v>
      </c>
      <c r="O11" s="214">
        <v>2</v>
      </c>
      <c r="P11" s="211" t="s">
        <v>202</v>
      </c>
      <c r="Q11" s="207"/>
      <c r="R11" s="207"/>
      <c r="S11" s="207"/>
      <c r="T11" s="207"/>
      <c r="U11" s="207"/>
      <c r="V11" s="207"/>
      <c r="W11" s="207"/>
      <c r="X11" s="207"/>
      <c r="Y11" s="207"/>
      <c r="Z11" s="207"/>
      <c r="AA11" s="207"/>
      <c r="AB11" s="207"/>
      <c r="AC11" s="214" t="s">
        <v>278</v>
      </c>
      <c r="AD11" s="214" t="s">
        <v>169</v>
      </c>
      <c r="AE11" s="207"/>
      <c r="AF11" s="207"/>
      <c r="AG11" s="207"/>
      <c r="AH11" s="207"/>
      <c r="AI11" s="214" t="s">
        <v>315</v>
      </c>
      <c r="AJ11" s="207"/>
    </row>
    <row r="12" spans="1:36" x14ac:dyDescent="0.3">
      <c r="A12" s="209" t="s">
        <v>313</v>
      </c>
      <c r="B12" s="210">
        <v>45988</v>
      </c>
      <c r="C12" s="211" t="s">
        <v>90</v>
      </c>
      <c r="D12" s="212" t="s">
        <v>316</v>
      </c>
      <c r="E12" s="211" t="s">
        <v>1</v>
      </c>
      <c r="F12" s="211" t="s">
        <v>270</v>
      </c>
      <c r="G12" s="213">
        <v>0.24579999999999999</v>
      </c>
      <c r="H12" s="214">
        <v>179</v>
      </c>
      <c r="I12" s="214">
        <v>44</v>
      </c>
      <c r="J12" s="214">
        <v>0</v>
      </c>
      <c r="K12" s="211" t="s">
        <v>271</v>
      </c>
      <c r="L12" s="215">
        <v>45979</v>
      </c>
      <c r="M12" s="214">
        <v>0</v>
      </c>
      <c r="N12" s="214">
        <v>0</v>
      </c>
      <c r="O12" s="214">
        <v>32</v>
      </c>
      <c r="P12" s="211" t="s">
        <v>166</v>
      </c>
      <c r="Q12" s="207"/>
      <c r="R12" s="207"/>
      <c r="S12" s="207"/>
      <c r="T12" s="207"/>
      <c r="U12" s="207"/>
      <c r="V12" s="207"/>
      <c r="W12" s="207"/>
      <c r="X12" s="207"/>
      <c r="Y12" s="207"/>
      <c r="Z12" s="214" t="s">
        <v>317</v>
      </c>
      <c r="AA12" s="207"/>
      <c r="AB12" s="207"/>
      <c r="AC12" s="207"/>
      <c r="AD12" s="207"/>
      <c r="AE12" s="214" t="s">
        <v>274</v>
      </c>
      <c r="AF12" s="214" t="s">
        <v>275</v>
      </c>
      <c r="AG12" s="207"/>
      <c r="AH12" s="207"/>
      <c r="AI12" s="207"/>
      <c r="AJ12" s="207"/>
    </row>
    <row r="13" spans="1:36" x14ac:dyDescent="0.3">
      <c r="A13" s="209" t="s">
        <v>313</v>
      </c>
      <c r="B13" s="210">
        <v>45988</v>
      </c>
      <c r="C13" s="211" t="s">
        <v>188</v>
      </c>
      <c r="D13" s="212" t="s">
        <v>318</v>
      </c>
      <c r="E13" s="211" t="s">
        <v>1</v>
      </c>
      <c r="F13" s="211" t="s">
        <v>270</v>
      </c>
      <c r="G13" s="213">
        <v>0.28489999999999999</v>
      </c>
      <c r="H13" s="214">
        <v>179</v>
      </c>
      <c r="I13" s="214">
        <v>51</v>
      </c>
      <c r="J13" s="214">
        <v>29</v>
      </c>
      <c r="K13" s="211" t="s">
        <v>271</v>
      </c>
      <c r="L13" s="215">
        <v>45980</v>
      </c>
      <c r="M13" s="214">
        <v>0</v>
      </c>
      <c r="N13" s="214">
        <v>3</v>
      </c>
      <c r="O13" s="214">
        <v>19</v>
      </c>
      <c r="P13" s="211" t="s">
        <v>189</v>
      </c>
      <c r="Q13" s="207"/>
      <c r="R13" s="207"/>
      <c r="S13" s="207"/>
      <c r="T13" s="207"/>
      <c r="U13" s="207"/>
      <c r="V13" s="207"/>
      <c r="W13" s="207"/>
      <c r="X13" s="207"/>
      <c r="Y13" s="207"/>
      <c r="Z13" s="207"/>
      <c r="AA13" s="207"/>
      <c r="AB13" s="207"/>
      <c r="AC13" s="207"/>
      <c r="AD13" s="207"/>
      <c r="AE13" s="207"/>
      <c r="AF13" s="214" t="s">
        <v>319</v>
      </c>
      <c r="AG13" s="214" t="s">
        <v>320</v>
      </c>
      <c r="AH13" s="207"/>
      <c r="AI13" s="207"/>
      <c r="AJ13" s="214" t="s">
        <v>321</v>
      </c>
    </row>
    <row r="14" spans="1:36" x14ac:dyDescent="0.3">
      <c r="A14" s="209" t="s">
        <v>313</v>
      </c>
      <c r="B14" s="210">
        <v>45988</v>
      </c>
      <c r="C14" s="211" t="s">
        <v>80</v>
      </c>
      <c r="D14" s="212" t="s">
        <v>322</v>
      </c>
      <c r="E14" s="211" t="s">
        <v>1</v>
      </c>
      <c r="F14" s="211" t="s">
        <v>270</v>
      </c>
      <c r="G14" s="213">
        <v>0.79890000000000005</v>
      </c>
      <c r="H14" s="214">
        <v>179</v>
      </c>
      <c r="I14" s="214">
        <v>143</v>
      </c>
      <c r="J14" s="214">
        <v>132</v>
      </c>
      <c r="K14" s="211" t="s">
        <v>271</v>
      </c>
      <c r="L14" s="215">
        <v>45976</v>
      </c>
      <c r="M14" s="214">
        <v>0</v>
      </c>
      <c r="N14" s="214">
        <v>0</v>
      </c>
      <c r="O14" s="214">
        <v>1</v>
      </c>
      <c r="P14" s="211" t="s">
        <v>196</v>
      </c>
      <c r="Q14" s="207"/>
      <c r="R14" s="207"/>
      <c r="S14" s="207"/>
      <c r="T14" s="207"/>
      <c r="U14" s="207"/>
      <c r="V14" s="207"/>
      <c r="W14" s="207"/>
      <c r="X14" s="207"/>
      <c r="Y14" s="207"/>
      <c r="Z14" s="207"/>
      <c r="AA14" s="207"/>
      <c r="AB14" s="207"/>
      <c r="AC14" s="207"/>
      <c r="AD14" s="207"/>
      <c r="AE14" s="214" t="s">
        <v>214</v>
      </c>
      <c r="AF14" s="214" t="s">
        <v>323</v>
      </c>
      <c r="AG14" s="207"/>
      <c r="AH14" s="207"/>
      <c r="AI14" s="214" t="s">
        <v>324</v>
      </c>
      <c r="AJ14" s="207"/>
    </row>
    <row r="15" spans="1:36" x14ac:dyDescent="0.3">
      <c r="A15" s="209" t="s">
        <v>313</v>
      </c>
      <c r="B15" s="210">
        <v>45988</v>
      </c>
      <c r="C15" s="211" t="s">
        <v>193</v>
      </c>
      <c r="D15" s="212" t="s">
        <v>325</v>
      </c>
      <c r="E15" s="211" t="s">
        <v>1</v>
      </c>
      <c r="F15" s="211" t="s">
        <v>270</v>
      </c>
      <c r="G15" s="213">
        <v>0.2291</v>
      </c>
      <c r="H15" s="214">
        <v>179</v>
      </c>
      <c r="I15" s="214">
        <v>41</v>
      </c>
      <c r="J15" s="214">
        <v>0</v>
      </c>
      <c r="K15" s="211" t="s">
        <v>271</v>
      </c>
      <c r="L15" s="215">
        <v>45980</v>
      </c>
      <c r="M15" s="214">
        <v>0</v>
      </c>
      <c r="N15" s="214">
        <v>3</v>
      </c>
      <c r="O15" s="214">
        <v>28</v>
      </c>
      <c r="P15" s="211" t="s">
        <v>194</v>
      </c>
      <c r="Q15" s="207"/>
      <c r="R15" s="207"/>
      <c r="S15" s="207"/>
      <c r="T15" s="207"/>
      <c r="U15" s="207"/>
      <c r="V15" s="207"/>
      <c r="W15" s="207"/>
      <c r="X15" s="207"/>
      <c r="Y15" s="207"/>
      <c r="Z15" s="207"/>
      <c r="AA15" s="207"/>
      <c r="AB15" s="207"/>
      <c r="AC15" s="207"/>
      <c r="AD15" s="207"/>
      <c r="AE15" s="214" t="s">
        <v>196</v>
      </c>
      <c r="AF15" s="214" t="s">
        <v>326</v>
      </c>
      <c r="AG15" s="207"/>
      <c r="AH15" s="207"/>
      <c r="AI15" s="207"/>
      <c r="AJ15" s="207"/>
    </row>
    <row r="16" spans="1:36" x14ac:dyDescent="0.3">
      <c r="A16" s="209" t="s">
        <v>313</v>
      </c>
      <c r="B16" s="210">
        <v>45988</v>
      </c>
      <c r="C16" s="211" t="s">
        <v>95</v>
      </c>
      <c r="D16" s="212" t="s">
        <v>327</v>
      </c>
      <c r="E16" s="211" t="s">
        <v>1</v>
      </c>
      <c r="F16" s="211" t="s">
        <v>270</v>
      </c>
      <c r="G16" s="213">
        <v>0.72070000000000001</v>
      </c>
      <c r="H16" s="214">
        <v>179</v>
      </c>
      <c r="I16" s="214">
        <v>129</v>
      </c>
      <c r="J16" s="214">
        <v>89</v>
      </c>
      <c r="K16" s="211" t="s">
        <v>271</v>
      </c>
      <c r="L16" s="215">
        <v>45980</v>
      </c>
      <c r="M16" s="214">
        <v>0</v>
      </c>
      <c r="N16" s="214">
        <v>6</v>
      </c>
      <c r="O16" s="214">
        <v>17</v>
      </c>
      <c r="P16" s="211" t="s">
        <v>198</v>
      </c>
      <c r="Q16" s="207"/>
      <c r="R16" s="207"/>
      <c r="S16" s="207"/>
      <c r="T16" s="207"/>
      <c r="U16" s="207"/>
      <c r="V16" s="207"/>
      <c r="W16" s="207"/>
      <c r="X16" s="207"/>
      <c r="Y16" s="207"/>
      <c r="Z16" s="214" t="s">
        <v>277</v>
      </c>
      <c r="AA16" s="207"/>
      <c r="AB16" s="207"/>
      <c r="AC16" s="207"/>
      <c r="AD16" s="214" t="s">
        <v>328</v>
      </c>
      <c r="AE16" s="214" t="s">
        <v>302</v>
      </c>
      <c r="AF16" s="214" t="s">
        <v>281</v>
      </c>
      <c r="AG16" s="207"/>
      <c r="AH16" s="207"/>
      <c r="AI16" s="214" t="s">
        <v>329</v>
      </c>
      <c r="AJ16" s="207"/>
    </row>
    <row r="17" spans="1:36" x14ac:dyDescent="0.3">
      <c r="A17" s="209" t="s">
        <v>313</v>
      </c>
      <c r="B17" s="210">
        <v>45988</v>
      </c>
      <c r="C17" s="211" t="s">
        <v>98</v>
      </c>
      <c r="D17" s="212" t="s">
        <v>330</v>
      </c>
      <c r="E17" s="211" t="s">
        <v>1</v>
      </c>
      <c r="F17" s="211" t="s">
        <v>270</v>
      </c>
      <c r="G17" s="213">
        <v>0.44690000000000002</v>
      </c>
      <c r="H17" s="214">
        <v>179</v>
      </c>
      <c r="I17" s="214">
        <v>80</v>
      </c>
      <c r="J17" s="214">
        <v>44</v>
      </c>
      <c r="K17" s="211" t="s">
        <v>271</v>
      </c>
      <c r="L17" s="215">
        <v>45980</v>
      </c>
      <c r="M17" s="214">
        <v>0</v>
      </c>
      <c r="N17" s="214">
        <v>3</v>
      </c>
      <c r="O17" s="214">
        <v>19</v>
      </c>
      <c r="P17" s="211" t="s">
        <v>196</v>
      </c>
      <c r="Q17" s="207"/>
      <c r="R17" s="207"/>
      <c r="S17" s="207"/>
      <c r="T17" s="207"/>
      <c r="U17" s="207"/>
      <c r="V17" s="207"/>
      <c r="W17" s="207"/>
      <c r="X17" s="207"/>
      <c r="Y17" s="207"/>
      <c r="Z17" s="214" t="s">
        <v>290</v>
      </c>
      <c r="AA17" s="207"/>
      <c r="AB17" s="207"/>
      <c r="AC17" s="207"/>
      <c r="AD17" s="214" t="s">
        <v>331</v>
      </c>
      <c r="AE17" s="214" t="s">
        <v>332</v>
      </c>
      <c r="AF17" s="214" t="s">
        <v>333</v>
      </c>
      <c r="AG17" s="214" t="s">
        <v>334</v>
      </c>
      <c r="AH17" s="207"/>
      <c r="AI17" s="207"/>
      <c r="AJ17" s="214" t="s">
        <v>312</v>
      </c>
    </row>
    <row r="18" spans="1:36" x14ac:dyDescent="0.3">
      <c r="A18" s="209" t="s">
        <v>335</v>
      </c>
      <c r="B18" s="210">
        <v>45989</v>
      </c>
      <c r="C18" s="211" t="s">
        <v>86</v>
      </c>
      <c r="D18" s="212" t="s">
        <v>316</v>
      </c>
      <c r="E18" s="211" t="s">
        <v>1</v>
      </c>
      <c r="F18" s="211" t="s">
        <v>270</v>
      </c>
      <c r="G18" s="213">
        <v>0.25140000000000001</v>
      </c>
      <c r="H18" s="214">
        <v>179</v>
      </c>
      <c r="I18" s="214">
        <v>45</v>
      </c>
      <c r="J18" s="214">
        <v>0</v>
      </c>
      <c r="K18" s="211" t="s">
        <v>271</v>
      </c>
      <c r="L18" s="215">
        <v>45980</v>
      </c>
      <c r="M18" s="214">
        <v>0</v>
      </c>
      <c r="N18" s="214">
        <v>8</v>
      </c>
      <c r="O18" s="214">
        <v>26</v>
      </c>
      <c r="P18" s="211" t="s">
        <v>202</v>
      </c>
      <c r="Q18" s="207"/>
      <c r="R18" s="214" t="s">
        <v>336</v>
      </c>
      <c r="S18" s="207"/>
      <c r="T18" s="207"/>
      <c r="U18" s="207"/>
      <c r="V18" s="207"/>
      <c r="W18" s="207"/>
      <c r="X18" s="207"/>
      <c r="Y18" s="207"/>
      <c r="Z18" s="207"/>
      <c r="AA18" s="207"/>
      <c r="AB18" s="207"/>
      <c r="AC18" s="207"/>
      <c r="AD18" s="214" t="s">
        <v>331</v>
      </c>
      <c r="AE18" s="214" t="s">
        <v>337</v>
      </c>
      <c r="AF18" s="214" t="s">
        <v>338</v>
      </c>
      <c r="AG18" s="207"/>
      <c r="AH18" s="207"/>
      <c r="AI18" s="207"/>
      <c r="AJ18" s="207"/>
    </row>
    <row r="19" spans="1:36" x14ac:dyDescent="0.3">
      <c r="A19" s="209" t="s">
        <v>335</v>
      </c>
      <c r="B19" s="210">
        <v>45989</v>
      </c>
      <c r="C19" s="211" t="s">
        <v>80</v>
      </c>
      <c r="D19" s="212" t="s">
        <v>339</v>
      </c>
      <c r="E19" s="211" t="s">
        <v>1</v>
      </c>
      <c r="F19" s="211" t="s">
        <v>270</v>
      </c>
      <c r="G19" s="213">
        <v>0.25700000000000001</v>
      </c>
      <c r="H19" s="214">
        <v>179</v>
      </c>
      <c r="I19" s="214">
        <v>46</v>
      </c>
      <c r="J19" s="214">
        <v>0</v>
      </c>
      <c r="K19" s="211" t="s">
        <v>271</v>
      </c>
      <c r="L19" s="215">
        <v>45980</v>
      </c>
      <c r="M19" s="214">
        <v>0</v>
      </c>
      <c r="N19" s="214">
        <v>2</v>
      </c>
      <c r="O19" s="214">
        <v>37</v>
      </c>
      <c r="P19" s="211" t="s">
        <v>214</v>
      </c>
      <c r="Q19" s="207"/>
      <c r="R19" s="207"/>
      <c r="S19" s="207"/>
      <c r="T19" s="207"/>
      <c r="U19" s="207"/>
      <c r="V19" s="207"/>
      <c r="W19" s="207"/>
      <c r="X19" s="207"/>
      <c r="Y19" s="207"/>
      <c r="Z19" s="214" t="s">
        <v>305</v>
      </c>
      <c r="AA19" s="207"/>
      <c r="AB19" s="207"/>
      <c r="AC19" s="207"/>
      <c r="AD19" s="207"/>
      <c r="AE19" s="214" t="s">
        <v>194</v>
      </c>
      <c r="AF19" s="214" t="s">
        <v>340</v>
      </c>
      <c r="AG19" s="207"/>
      <c r="AH19" s="207"/>
      <c r="AI19" s="207"/>
      <c r="AJ19" s="207"/>
    </row>
    <row r="20" spans="1:36" x14ac:dyDescent="0.3">
      <c r="A20" s="209" t="s">
        <v>335</v>
      </c>
      <c r="B20" s="210">
        <v>45989</v>
      </c>
      <c r="C20" s="211" t="s">
        <v>95</v>
      </c>
      <c r="D20" s="212" t="s">
        <v>341</v>
      </c>
      <c r="E20" s="211" t="s">
        <v>1</v>
      </c>
      <c r="F20" s="211" t="s">
        <v>270</v>
      </c>
      <c r="G20" s="213">
        <v>0.34079999999999999</v>
      </c>
      <c r="H20" s="214">
        <v>179</v>
      </c>
      <c r="I20" s="214">
        <v>61</v>
      </c>
      <c r="J20" s="214">
        <v>39</v>
      </c>
      <c r="K20" s="211" t="s">
        <v>271</v>
      </c>
      <c r="L20" s="215">
        <v>45980</v>
      </c>
      <c r="M20" s="214">
        <v>0</v>
      </c>
      <c r="N20" s="214">
        <v>5</v>
      </c>
      <c r="O20" s="214">
        <v>11</v>
      </c>
      <c r="P20" s="211" t="s">
        <v>194</v>
      </c>
      <c r="Q20" s="207"/>
      <c r="R20" s="207"/>
      <c r="S20" s="207"/>
      <c r="T20" s="207"/>
      <c r="U20" s="207"/>
      <c r="V20" s="207"/>
      <c r="W20" s="207"/>
      <c r="X20" s="207"/>
      <c r="Y20" s="207"/>
      <c r="Z20" s="214" t="s">
        <v>290</v>
      </c>
      <c r="AA20" s="207"/>
      <c r="AB20" s="207"/>
      <c r="AC20" s="207"/>
      <c r="AD20" s="207"/>
      <c r="AE20" s="214" t="s">
        <v>342</v>
      </c>
      <c r="AF20" s="214" t="s">
        <v>333</v>
      </c>
      <c r="AG20" s="207"/>
      <c r="AH20" s="207"/>
      <c r="AI20" s="214" t="s">
        <v>343</v>
      </c>
      <c r="AJ20" s="207"/>
    </row>
    <row r="21" spans="1:36" x14ac:dyDescent="0.3">
      <c r="A21" s="209" t="s">
        <v>335</v>
      </c>
      <c r="B21" s="210">
        <v>45989</v>
      </c>
      <c r="C21" s="211" t="s">
        <v>98</v>
      </c>
      <c r="D21" s="212" t="s">
        <v>284</v>
      </c>
      <c r="E21" s="211" t="s">
        <v>1</v>
      </c>
      <c r="F21" s="211" t="s">
        <v>270</v>
      </c>
      <c r="G21" s="213">
        <v>0.60340000000000005</v>
      </c>
      <c r="H21" s="214">
        <v>179</v>
      </c>
      <c r="I21" s="214">
        <v>108</v>
      </c>
      <c r="J21" s="214">
        <v>68</v>
      </c>
      <c r="K21" s="211" t="s">
        <v>271</v>
      </c>
      <c r="L21" s="215">
        <v>45980</v>
      </c>
      <c r="M21" s="214">
        <v>0</v>
      </c>
      <c r="N21" s="214">
        <v>3</v>
      </c>
      <c r="O21" s="214">
        <v>25</v>
      </c>
      <c r="P21" s="211" t="s">
        <v>221</v>
      </c>
      <c r="Q21" s="207"/>
      <c r="R21" s="207"/>
      <c r="S21" s="207"/>
      <c r="T21" s="207"/>
      <c r="U21" s="207"/>
      <c r="V21" s="207"/>
      <c r="W21" s="207"/>
      <c r="X21" s="214" t="s">
        <v>344</v>
      </c>
      <c r="Y21" s="214" t="s">
        <v>345</v>
      </c>
      <c r="Z21" s="214" t="s">
        <v>290</v>
      </c>
      <c r="AA21" s="207"/>
      <c r="AB21" s="207"/>
      <c r="AC21" s="207"/>
      <c r="AD21" s="214" t="s">
        <v>81</v>
      </c>
      <c r="AE21" s="214" t="s">
        <v>346</v>
      </c>
      <c r="AF21" s="214" t="s">
        <v>333</v>
      </c>
      <c r="AG21" s="207"/>
      <c r="AH21" s="207"/>
      <c r="AI21" s="214" t="s">
        <v>347</v>
      </c>
      <c r="AJ21" s="207"/>
    </row>
    <row r="22" spans="1:36" x14ac:dyDescent="0.3">
      <c r="A22" s="209" t="s">
        <v>335</v>
      </c>
      <c r="B22" s="210">
        <v>45989</v>
      </c>
      <c r="C22" s="211" t="s">
        <v>90</v>
      </c>
      <c r="D22" s="212" t="s">
        <v>348</v>
      </c>
      <c r="E22" s="211" t="s">
        <v>1</v>
      </c>
      <c r="F22" s="211" t="s">
        <v>270</v>
      </c>
      <c r="G22" s="213">
        <v>0.3352</v>
      </c>
      <c r="H22" s="214">
        <v>179</v>
      </c>
      <c r="I22" s="214">
        <v>60</v>
      </c>
      <c r="J22" s="214">
        <v>0</v>
      </c>
      <c r="K22" s="211" t="s">
        <v>271</v>
      </c>
      <c r="L22" s="215">
        <v>45980</v>
      </c>
      <c r="M22" s="214">
        <v>0</v>
      </c>
      <c r="N22" s="214">
        <v>5</v>
      </c>
      <c r="O22" s="214">
        <v>24</v>
      </c>
      <c r="P22" s="211" t="s">
        <v>219</v>
      </c>
      <c r="Q22" s="207"/>
      <c r="R22" s="207"/>
      <c r="S22" s="207"/>
      <c r="T22" s="207"/>
      <c r="U22" s="207"/>
      <c r="V22" s="207"/>
      <c r="W22" s="207"/>
      <c r="X22" s="207"/>
      <c r="Y22" s="207"/>
      <c r="Z22" s="214" t="s">
        <v>305</v>
      </c>
      <c r="AA22" s="207"/>
      <c r="AB22" s="207"/>
      <c r="AC22" s="214" t="s">
        <v>295</v>
      </c>
      <c r="AD22" s="214" t="s">
        <v>273</v>
      </c>
      <c r="AE22" s="214" t="s">
        <v>349</v>
      </c>
      <c r="AF22" s="214" t="s">
        <v>350</v>
      </c>
      <c r="AG22" s="207"/>
      <c r="AH22" s="207"/>
      <c r="AI22" s="207"/>
      <c r="AJ22" s="214" t="s">
        <v>312</v>
      </c>
    </row>
    <row r="23" spans="1:36" x14ac:dyDescent="0.3">
      <c r="A23" s="209" t="s">
        <v>335</v>
      </c>
      <c r="B23" s="210">
        <v>45989</v>
      </c>
      <c r="C23" s="211" t="s">
        <v>103</v>
      </c>
      <c r="D23" s="212" t="s">
        <v>351</v>
      </c>
      <c r="E23" s="211" t="s">
        <v>1</v>
      </c>
      <c r="F23" s="211" t="s">
        <v>270</v>
      </c>
      <c r="G23" s="213">
        <v>0.93300000000000005</v>
      </c>
      <c r="H23" s="214">
        <v>179</v>
      </c>
      <c r="I23" s="214">
        <v>167</v>
      </c>
      <c r="J23" s="214">
        <v>116</v>
      </c>
      <c r="K23" s="211" t="s">
        <v>271</v>
      </c>
      <c r="L23" s="215">
        <v>45980</v>
      </c>
      <c r="M23" s="214">
        <v>0</v>
      </c>
      <c r="N23" s="214">
        <v>3</v>
      </c>
      <c r="O23" s="214">
        <v>21</v>
      </c>
      <c r="P23" s="211" t="s">
        <v>169</v>
      </c>
      <c r="Q23" s="207"/>
      <c r="R23" s="207"/>
      <c r="S23" s="207"/>
      <c r="T23" s="207"/>
      <c r="U23" s="207"/>
      <c r="V23" s="207"/>
      <c r="W23" s="207"/>
      <c r="X23" s="207"/>
      <c r="Y23" s="207"/>
      <c r="Z23" s="214" t="s">
        <v>285</v>
      </c>
      <c r="AA23" s="214" t="s">
        <v>352</v>
      </c>
      <c r="AB23" s="207"/>
      <c r="AC23" s="207"/>
      <c r="AD23" s="214" t="s">
        <v>287</v>
      </c>
      <c r="AE23" s="214" t="s">
        <v>302</v>
      </c>
      <c r="AF23" s="214" t="s">
        <v>323</v>
      </c>
      <c r="AG23" s="207"/>
      <c r="AH23" s="207"/>
      <c r="AI23" s="214" t="s">
        <v>353</v>
      </c>
      <c r="AJ23" s="207"/>
    </row>
    <row r="24" spans="1:36" x14ac:dyDescent="0.3">
      <c r="A24" s="209" t="s">
        <v>354</v>
      </c>
      <c r="B24" s="210">
        <v>45990</v>
      </c>
      <c r="C24" s="211" t="s">
        <v>188</v>
      </c>
      <c r="D24" s="212" t="s">
        <v>355</v>
      </c>
      <c r="E24" s="211" t="s">
        <v>1</v>
      </c>
      <c r="F24" s="211" t="s">
        <v>270</v>
      </c>
      <c r="G24" s="213">
        <v>0.63690000000000002</v>
      </c>
      <c r="H24" s="214">
        <v>179</v>
      </c>
      <c r="I24" s="214">
        <v>114</v>
      </c>
      <c r="J24" s="214">
        <v>73</v>
      </c>
      <c r="K24" s="211" t="s">
        <v>271</v>
      </c>
      <c r="L24" s="215">
        <v>45980</v>
      </c>
      <c r="M24" s="214">
        <v>0</v>
      </c>
      <c r="N24" s="214">
        <v>4</v>
      </c>
      <c r="O24" s="214">
        <v>75</v>
      </c>
      <c r="P24" s="211" t="s">
        <v>214</v>
      </c>
      <c r="Q24" s="207"/>
      <c r="R24" s="207"/>
      <c r="S24" s="207"/>
      <c r="T24" s="207"/>
      <c r="U24" s="207"/>
      <c r="V24" s="207"/>
      <c r="W24" s="207"/>
      <c r="X24" s="207"/>
      <c r="Y24" s="207"/>
      <c r="Z24" s="214" t="s">
        <v>277</v>
      </c>
      <c r="AA24" s="214" t="s">
        <v>306</v>
      </c>
      <c r="AB24" s="207"/>
      <c r="AC24" s="214" t="s">
        <v>278</v>
      </c>
      <c r="AD24" s="214" t="s">
        <v>328</v>
      </c>
      <c r="AE24" s="214" t="s">
        <v>356</v>
      </c>
      <c r="AF24" s="214" t="s">
        <v>333</v>
      </c>
      <c r="AG24" s="207"/>
      <c r="AH24" s="207"/>
      <c r="AI24" s="214" t="s">
        <v>357</v>
      </c>
      <c r="AJ24" s="207"/>
    </row>
    <row r="25" spans="1:36" x14ac:dyDescent="0.3">
      <c r="A25" s="209" t="s">
        <v>354</v>
      </c>
      <c r="B25" s="210">
        <v>45990</v>
      </c>
      <c r="C25" s="211" t="s">
        <v>80</v>
      </c>
      <c r="D25" s="212" t="s">
        <v>322</v>
      </c>
      <c r="E25" s="211" t="s">
        <v>1</v>
      </c>
      <c r="F25" s="211" t="s">
        <v>270</v>
      </c>
      <c r="G25" s="213">
        <v>0.73180000000000001</v>
      </c>
      <c r="H25" s="214">
        <v>179</v>
      </c>
      <c r="I25" s="214">
        <v>131</v>
      </c>
      <c r="J25" s="214">
        <v>98</v>
      </c>
      <c r="K25" s="211" t="s">
        <v>271</v>
      </c>
      <c r="L25" s="215">
        <v>45979</v>
      </c>
      <c r="M25" s="214">
        <v>0</v>
      </c>
      <c r="N25" s="214">
        <v>0</v>
      </c>
      <c r="O25" s="214">
        <v>24</v>
      </c>
      <c r="P25" s="211" t="s">
        <v>219</v>
      </c>
      <c r="Q25" s="207"/>
      <c r="R25" s="207"/>
      <c r="S25" s="207"/>
      <c r="T25" s="207"/>
      <c r="U25" s="207"/>
      <c r="V25" s="207"/>
      <c r="W25" s="207"/>
      <c r="X25" s="207"/>
      <c r="Y25" s="207"/>
      <c r="Z25" s="214" t="s">
        <v>277</v>
      </c>
      <c r="AA25" s="207"/>
      <c r="AB25" s="207"/>
      <c r="AC25" s="214" t="s">
        <v>278</v>
      </c>
      <c r="AD25" s="214" t="s">
        <v>273</v>
      </c>
      <c r="AE25" s="214" t="s">
        <v>280</v>
      </c>
      <c r="AF25" s="214" t="s">
        <v>333</v>
      </c>
      <c r="AG25" s="214" t="s">
        <v>358</v>
      </c>
      <c r="AH25" s="207"/>
      <c r="AI25" s="214" t="s">
        <v>359</v>
      </c>
      <c r="AJ25" s="207"/>
    </row>
    <row r="26" spans="1:36" x14ac:dyDescent="0.3">
      <c r="A26" s="209" t="s">
        <v>354</v>
      </c>
      <c r="B26" s="210">
        <v>45990</v>
      </c>
      <c r="C26" s="211" t="s">
        <v>95</v>
      </c>
      <c r="D26" s="212" t="s">
        <v>360</v>
      </c>
      <c r="E26" s="211" t="s">
        <v>1</v>
      </c>
      <c r="F26" s="211" t="s">
        <v>270</v>
      </c>
      <c r="G26" s="213">
        <v>0.72629999999999995</v>
      </c>
      <c r="H26" s="214">
        <v>179</v>
      </c>
      <c r="I26" s="214">
        <v>130</v>
      </c>
      <c r="J26" s="214">
        <v>107</v>
      </c>
      <c r="K26" s="211" t="s">
        <v>271</v>
      </c>
      <c r="L26" s="215">
        <v>45980</v>
      </c>
      <c r="M26" s="214">
        <v>0</v>
      </c>
      <c r="N26" s="214">
        <v>5</v>
      </c>
      <c r="O26" s="214">
        <v>21</v>
      </c>
      <c r="P26" s="211" t="s">
        <v>96</v>
      </c>
      <c r="Q26" s="207"/>
      <c r="R26" s="207"/>
      <c r="S26" s="207"/>
      <c r="T26" s="207"/>
      <c r="U26" s="207"/>
      <c r="V26" s="207"/>
      <c r="W26" s="207"/>
      <c r="X26" s="207"/>
      <c r="Y26" s="207"/>
      <c r="Z26" s="214" t="s">
        <v>290</v>
      </c>
      <c r="AA26" s="207"/>
      <c r="AB26" s="214" t="s">
        <v>361</v>
      </c>
      <c r="AC26" s="214" t="s">
        <v>362</v>
      </c>
      <c r="AD26" s="207"/>
      <c r="AE26" s="207"/>
      <c r="AF26" s="207"/>
      <c r="AG26" s="207"/>
      <c r="AH26" s="207"/>
      <c r="AI26" s="214" t="s">
        <v>363</v>
      </c>
      <c r="AJ26" s="214" t="s">
        <v>364</v>
      </c>
    </row>
    <row r="27" spans="1:36" ht="21" x14ac:dyDescent="0.3">
      <c r="A27" s="216" t="s">
        <v>554</v>
      </c>
      <c r="B27" s="217"/>
      <c r="C27" s="216">
        <f>SUBTOTAL(103,JED_CAI_LF_LEGACY[Flt])</f>
        <v>25</v>
      </c>
      <c r="D27" s="216"/>
      <c r="E27" s="216">
        <f>SUBTOTAL(103,JED_CAI_LF_LEGACY[Brd-Off])</f>
        <v>25</v>
      </c>
      <c r="F27" s="216"/>
      <c r="G27" s="218">
        <f>SUBTOTAL(101,JED_CAI_LF_LEGACY[LF%])</f>
        <v>0.55308000000000002</v>
      </c>
      <c r="H27" s="219">
        <f>SUBTOTAL(109,JED_CAI_LF_LEGACY[CAP])</f>
        <v>4475</v>
      </c>
      <c r="I27" s="219">
        <f>SUBTOTAL(109,JED_CAI_LF_LEGACY[BKG(Y)])</f>
        <v>2475</v>
      </c>
      <c r="J27" s="219">
        <f>SUBTOTAL(109,JED_CAI_LF_LEGACY[GRP(Y)])</f>
        <v>1421</v>
      </c>
      <c r="K27" s="216"/>
      <c r="L27" s="217"/>
      <c r="M27" s="219">
        <f>SUBTOTAL(109,JED_CAI_LF_LEGACY[TO-DAY])</f>
        <v>0</v>
      </c>
      <c r="N27" s="219">
        <f>SUBTOTAL(109,JED_CAI_LF_LEGACY[Y-DAY])</f>
        <v>84</v>
      </c>
      <c r="O27" s="219">
        <f>SUBTOTAL(109,JED_CAI_LF_LEGACY[WEEKLY])</f>
        <v>692</v>
      </c>
      <c r="P27" s="220"/>
      <c r="Q27" s="216">
        <f>SUBTOTAL(109,JED_CAI_LF_LEGACY[Y])</f>
        <v>0</v>
      </c>
      <c r="R27" s="216">
        <f>SUBTOTAL(109,JED_CAI_LF_LEGACY[B])</f>
        <v>0</v>
      </c>
      <c r="S27" s="216">
        <f>SUBTOTAL(109,JED_CAI_LF_LEGACY[M])</f>
        <v>0</v>
      </c>
      <c r="T27" s="216">
        <f>SUBTOTAL(109,JED_CAI_LF_LEGACY[H])</f>
        <v>0</v>
      </c>
      <c r="U27" s="216">
        <f>SUBTOTAL(109,JED_CAI_LF_LEGACY[Q])</f>
        <v>0</v>
      </c>
      <c r="V27" s="216">
        <f>SUBTOTAL(109,JED_CAI_LF_LEGACY[K])</f>
        <v>0</v>
      </c>
      <c r="W27" s="216">
        <f>SUBTOTAL(109,JED_CAI_LF_LEGACY[V])</f>
        <v>0</v>
      </c>
      <c r="X27" s="216">
        <f>SUBTOTAL(109,JED_CAI_LF_LEGACY[L])</f>
        <v>0</v>
      </c>
      <c r="Y27" s="216">
        <f>SUBTOTAL(109,JED_CAI_LF_LEGACY[G])</f>
        <v>0</v>
      </c>
      <c r="Z27" s="219">
        <f>SUBTOTAL(109,JED_CAI_LF_LEGACY[S])</f>
        <v>0</v>
      </c>
      <c r="AA27" s="216">
        <f>SUBTOTAL(109,JED_CAI_LF_LEGACY[W])</f>
        <v>0</v>
      </c>
      <c r="AB27" s="216">
        <f>SUBTOTAL(109,JED_CAI_LF_LEGACY[T])</f>
        <v>0</v>
      </c>
      <c r="AC27" s="219">
        <f>SUBTOTAL(109,JED_CAI_LF_LEGACY[X])</f>
        <v>0</v>
      </c>
      <c r="AD27" s="219">
        <f>SUBTOTAL(109,JED_CAI_LF_LEGACY[U])</f>
        <v>0</v>
      </c>
      <c r="AE27" s="219">
        <f>SUBTOTAL(109,JED_CAI_LF_LEGACY[O])</f>
        <v>0</v>
      </c>
      <c r="AF27" s="219">
        <f>SUBTOTAL(109,JED_CAI_LF_LEGACY[I])</f>
        <v>0</v>
      </c>
      <c r="AG27" s="216">
        <f>SUBTOTAL(109,JED_CAI_LF_LEGACY[E])</f>
        <v>0</v>
      </c>
      <c r="AH27" s="216">
        <f>SUBTOTAL(109,JED_CAI_LF_LEGACY[A])</f>
        <v>0</v>
      </c>
      <c r="AI27" s="219">
        <f>SUBTOTAL(109,JED_CAI_LF_LEGACY[P])</f>
        <v>0</v>
      </c>
      <c r="AJ27" s="216">
        <f>SUBTOTAL(103,JED_CAI_LF_LEGACY[N])</f>
        <v>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127" t="s">
        <v>365</v>
      </c>
      <c r="B1" s="128" t="s">
        <v>8</v>
      </c>
      <c r="C1" s="128" t="s">
        <v>9</v>
      </c>
      <c r="D1" s="128" t="s">
        <v>366</v>
      </c>
      <c r="E1" s="128" t="s">
        <v>10</v>
      </c>
      <c r="F1" s="128" t="s">
        <v>11</v>
      </c>
      <c r="G1" s="128" t="s">
        <v>12</v>
      </c>
      <c r="H1" s="129" t="s">
        <v>13</v>
      </c>
    </row>
    <row r="2" spans="1:8" ht="19.8" customHeight="1" x14ac:dyDescent="0.3">
      <c r="A2" s="130" t="s">
        <v>367</v>
      </c>
      <c r="B2" s="131" t="s">
        <v>26</v>
      </c>
      <c r="C2" s="132" t="s">
        <v>27</v>
      </c>
      <c r="D2" s="131" t="s">
        <v>1</v>
      </c>
      <c r="E2" s="131" t="s">
        <v>368</v>
      </c>
      <c r="F2" s="131" t="s">
        <v>28</v>
      </c>
      <c r="G2" s="133">
        <v>1</v>
      </c>
      <c r="H2" s="134">
        <v>401</v>
      </c>
    </row>
    <row r="3" spans="1:8" ht="19.8" customHeight="1" x14ac:dyDescent="0.3">
      <c r="A3" s="130" t="s">
        <v>367</v>
      </c>
      <c r="B3" s="131" t="s">
        <v>35</v>
      </c>
      <c r="C3" s="132" t="s">
        <v>36</v>
      </c>
      <c r="D3" s="131" t="s">
        <v>1</v>
      </c>
      <c r="E3" s="131" t="s">
        <v>369</v>
      </c>
      <c r="F3" s="131" t="s">
        <v>37</v>
      </c>
      <c r="G3" s="133">
        <v>2</v>
      </c>
      <c r="H3" s="134">
        <v>419</v>
      </c>
    </row>
    <row r="4" spans="1:8" ht="19.8" customHeight="1" x14ac:dyDescent="0.3">
      <c r="A4" s="130" t="s">
        <v>367</v>
      </c>
      <c r="B4" s="131" t="s">
        <v>35</v>
      </c>
      <c r="C4" s="132" t="s">
        <v>45</v>
      </c>
      <c r="D4" s="131" t="s">
        <v>1</v>
      </c>
      <c r="E4" s="131" t="s">
        <v>370</v>
      </c>
      <c r="F4" s="131" t="s">
        <v>37</v>
      </c>
      <c r="G4" s="133">
        <v>7</v>
      </c>
      <c r="H4" s="134">
        <v>419</v>
      </c>
    </row>
    <row r="5" spans="1:8" ht="19.8" customHeight="1" x14ac:dyDescent="0.3">
      <c r="A5" s="130" t="s">
        <v>367</v>
      </c>
      <c r="B5" s="131" t="s">
        <v>35</v>
      </c>
      <c r="C5" s="132" t="s">
        <v>47</v>
      </c>
      <c r="D5" s="131" t="s">
        <v>1</v>
      </c>
      <c r="E5" s="131" t="s">
        <v>371</v>
      </c>
      <c r="F5" s="131" t="s">
        <v>37</v>
      </c>
      <c r="G5" s="133">
        <v>9</v>
      </c>
      <c r="H5" s="134">
        <v>419</v>
      </c>
    </row>
    <row r="6" spans="1:8" ht="19.8" customHeight="1" x14ac:dyDescent="0.3">
      <c r="A6" s="130" t="s">
        <v>367</v>
      </c>
      <c r="B6" s="131" t="s">
        <v>35</v>
      </c>
      <c r="C6" s="132" t="s">
        <v>50</v>
      </c>
      <c r="D6" s="131" t="s">
        <v>1</v>
      </c>
      <c r="E6" s="131" t="s">
        <v>372</v>
      </c>
      <c r="F6" s="131" t="s">
        <v>37</v>
      </c>
      <c r="G6" s="133">
        <v>7</v>
      </c>
      <c r="H6" s="134">
        <v>419</v>
      </c>
    </row>
    <row r="7" spans="1:8" ht="19.8" customHeight="1" x14ac:dyDescent="0.3">
      <c r="A7" s="130" t="s">
        <v>367</v>
      </c>
      <c r="B7" s="131" t="s">
        <v>51</v>
      </c>
      <c r="C7" s="132" t="s">
        <v>52</v>
      </c>
      <c r="D7" s="131" t="s">
        <v>1</v>
      </c>
      <c r="E7" s="131" t="s">
        <v>373</v>
      </c>
      <c r="F7" s="131" t="s">
        <v>53</v>
      </c>
      <c r="G7" s="133">
        <v>6</v>
      </c>
      <c r="H7" s="134">
        <v>449</v>
      </c>
    </row>
    <row r="8" spans="1:8" ht="19.8" customHeight="1" x14ac:dyDescent="0.3">
      <c r="A8" s="130" t="s">
        <v>367</v>
      </c>
      <c r="B8" s="131" t="s">
        <v>51</v>
      </c>
      <c r="C8" s="132" t="s">
        <v>61</v>
      </c>
      <c r="D8" s="131" t="s">
        <v>1</v>
      </c>
      <c r="E8" s="131" t="s">
        <v>374</v>
      </c>
      <c r="F8" s="131" t="s">
        <v>53</v>
      </c>
      <c r="G8" s="133">
        <v>1</v>
      </c>
      <c r="H8" s="134">
        <v>449</v>
      </c>
    </row>
    <row r="9" spans="1:8" ht="19.8" customHeight="1" x14ac:dyDescent="0.3">
      <c r="A9" s="130" t="s">
        <v>367</v>
      </c>
      <c r="B9" s="131" t="s">
        <v>51</v>
      </c>
      <c r="C9" s="132" t="s">
        <v>64</v>
      </c>
      <c r="D9" s="131" t="s">
        <v>1</v>
      </c>
      <c r="E9" s="131" t="s">
        <v>301</v>
      </c>
      <c r="F9" s="131" t="s">
        <v>53</v>
      </c>
      <c r="G9" s="133">
        <v>2</v>
      </c>
      <c r="H9" s="134">
        <v>449</v>
      </c>
    </row>
    <row r="10" spans="1:8" ht="19.8" customHeight="1" x14ac:dyDescent="0.3">
      <c r="A10" s="130" t="s">
        <v>367</v>
      </c>
      <c r="B10" s="131" t="s">
        <v>51</v>
      </c>
      <c r="C10" s="132" t="s">
        <v>66</v>
      </c>
      <c r="D10" s="131" t="s">
        <v>1</v>
      </c>
      <c r="E10" s="131" t="s">
        <v>375</v>
      </c>
      <c r="F10" s="131" t="s">
        <v>53</v>
      </c>
      <c r="G10" s="133">
        <v>5</v>
      </c>
      <c r="H10" s="134">
        <v>449</v>
      </c>
    </row>
    <row r="11" spans="1:8" ht="19.8" customHeight="1" x14ac:dyDescent="0.3">
      <c r="A11" s="130" t="s">
        <v>367</v>
      </c>
      <c r="B11" s="131" t="s">
        <v>51</v>
      </c>
      <c r="C11" s="132" t="s">
        <v>69</v>
      </c>
      <c r="D11" s="131" t="s">
        <v>1</v>
      </c>
      <c r="E11" s="131" t="s">
        <v>369</v>
      </c>
      <c r="F11" s="131" t="s">
        <v>53</v>
      </c>
      <c r="G11" s="133">
        <v>2</v>
      </c>
      <c r="H11" s="134">
        <v>449</v>
      </c>
    </row>
    <row r="12" spans="1:8" ht="19.8" customHeight="1" x14ac:dyDescent="0.3">
      <c r="A12" s="130" t="s">
        <v>367</v>
      </c>
      <c r="B12" s="131" t="s">
        <v>51</v>
      </c>
      <c r="C12" s="132" t="s">
        <v>70</v>
      </c>
      <c r="D12" s="131" t="s">
        <v>1</v>
      </c>
      <c r="E12" s="131" t="s">
        <v>376</v>
      </c>
      <c r="F12" s="131" t="s">
        <v>53</v>
      </c>
      <c r="G12" s="133">
        <v>5</v>
      </c>
      <c r="H12" s="134">
        <v>449</v>
      </c>
    </row>
    <row r="13" spans="1:8" ht="19.8" customHeight="1" x14ac:dyDescent="0.3">
      <c r="A13" s="135" t="s">
        <v>367</v>
      </c>
      <c r="B13" s="136" t="s">
        <v>76</v>
      </c>
      <c r="C13" s="137" t="s">
        <v>77</v>
      </c>
      <c r="D13" s="136" t="s">
        <v>1</v>
      </c>
      <c r="E13" s="136" t="s">
        <v>298</v>
      </c>
      <c r="F13" s="136" t="s">
        <v>78</v>
      </c>
      <c r="G13" s="138">
        <v>2</v>
      </c>
      <c r="H13" s="139">
        <v>471</v>
      </c>
    </row>
    <row r="14" spans="1:8" ht="19.8" customHeight="1" x14ac:dyDescent="0.3">
      <c r="A14" s="140">
        <v>45986</v>
      </c>
      <c r="B14" s="131" t="s">
        <v>51</v>
      </c>
      <c r="C14" s="132" t="s">
        <v>71</v>
      </c>
      <c r="D14" s="131" t="s">
        <v>1</v>
      </c>
      <c r="E14" s="141">
        <v>1.256944444444444</v>
      </c>
      <c r="F14" s="131" t="s">
        <v>53</v>
      </c>
      <c r="G14" s="133">
        <v>9</v>
      </c>
      <c r="H14" s="134">
        <v>489</v>
      </c>
    </row>
    <row r="15" spans="1:8" ht="19.8" customHeight="1" x14ac:dyDescent="0.3">
      <c r="A15" s="140">
        <v>45986</v>
      </c>
      <c r="B15" s="131" t="s">
        <v>51</v>
      </c>
      <c r="C15" s="132" t="s">
        <v>75</v>
      </c>
      <c r="D15" s="131" t="s">
        <v>1</v>
      </c>
      <c r="E15" s="141">
        <v>1.395833333333333</v>
      </c>
      <c r="F15" s="131" t="s">
        <v>53</v>
      </c>
      <c r="G15" s="133">
        <v>2</v>
      </c>
      <c r="H15" s="134">
        <v>489</v>
      </c>
    </row>
    <row r="16" spans="1:8" ht="19.8" customHeight="1" x14ac:dyDescent="0.3">
      <c r="A16" s="142">
        <v>45986</v>
      </c>
      <c r="B16" s="136" t="s">
        <v>76</v>
      </c>
      <c r="C16" s="137" t="s">
        <v>83</v>
      </c>
      <c r="D16" s="136" t="s">
        <v>1</v>
      </c>
      <c r="E16" s="143">
        <v>1.9340277777777779</v>
      </c>
      <c r="F16" s="136" t="s">
        <v>78</v>
      </c>
      <c r="G16" s="138">
        <v>3</v>
      </c>
      <c r="H16" s="139">
        <v>526</v>
      </c>
    </row>
    <row r="17" spans="1:8" ht="19.8" customHeight="1" x14ac:dyDescent="0.3">
      <c r="A17" s="142">
        <v>45986</v>
      </c>
      <c r="B17" s="136" t="s">
        <v>76</v>
      </c>
      <c r="C17" s="137" t="s">
        <v>89</v>
      </c>
      <c r="D17" s="136" t="s">
        <v>1</v>
      </c>
      <c r="E17" s="143">
        <v>1.229166666666667</v>
      </c>
      <c r="F17" s="136" t="s">
        <v>78</v>
      </c>
      <c r="G17" s="138">
        <v>7</v>
      </c>
      <c r="H17" s="139">
        <v>526</v>
      </c>
    </row>
    <row r="18" spans="1:8" ht="19.8" customHeight="1" x14ac:dyDescent="0.3">
      <c r="A18" s="142">
        <v>45986</v>
      </c>
      <c r="B18" s="136" t="s">
        <v>76</v>
      </c>
      <c r="C18" s="137" t="s">
        <v>93</v>
      </c>
      <c r="D18" s="136" t="s">
        <v>1</v>
      </c>
      <c r="E18" s="143">
        <v>1.614583333333333</v>
      </c>
      <c r="F18" s="136" t="s">
        <v>78</v>
      </c>
      <c r="G18" s="138">
        <v>4</v>
      </c>
      <c r="H18" s="139">
        <v>526</v>
      </c>
    </row>
    <row r="19" spans="1:8" ht="19.8" customHeight="1" x14ac:dyDescent="0.3">
      <c r="A19" s="140">
        <v>45986</v>
      </c>
      <c r="B19" s="131" t="s">
        <v>105</v>
      </c>
      <c r="C19" s="132" t="s">
        <v>106</v>
      </c>
      <c r="D19" s="131" t="s">
        <v>1</v>
      </c>
      <c r="E19" s="141">
        <v>1.2222222222222221</v>
      </c>
      <c r="F19" s="131" t="s">
        <v>107</v>
      </c>
      <c r="G19" s="133">
        <v>9</v>
      </c>
      <c r="H19" s="134">
        <v>536</v>
      </c>
    </row>
    <row r="20" spans="1:8" ht="19.8" customHeight="1" x14ac:dyDescent="0.3">
      <c r="A20" s="140">
        <v>45986</v>
      </c>
      <c r="B20" s="131" t="s">
        <v>51</v>
      </c>
      <c r="C20" s="132" t="s">
        <v>52</v>
      </c>
      <c r="D20" s="131" t="s">
        <v>1</v>
      </c>
      <c r="E20" s="141">
        <v>1.9027777777777779</v>
      </c>
      <c r="F20" s="131" t="s">
        <v>56</v>
      </c>
      <c r="G20" s="133">
        <v>6</v>
      </c>
      <c r="H20" s="134">
        <v>549</v>
      </c>
    </row>
    <row r="21" spans="1:8" ht="19.8" customHeight="1" x14ac:dyDescent="0.3">
      <c r="A21" s="140">
        <v>45986</v>
      </c>
      <c r="B21" s="131" t="s">
        <v>51</v>
      </c>
      <c r="C21" s="132" t="s">
        <v>61</v>
      </c>
      <c r="D21" s="131" t="s">
        <v>1</v>
      </c>
      <c r="E21" s="141">
        <v>1.645833333333333</v>
      </c>
      <c r="F21" s="131" t="s">
        <v>56</v>
      </c>
      <c r="G21" s="133">
        <v>1</v>
      </c>
      <c r="H21" s="134">
        <v>549</v>
      </c>
    </row>
    <row r="22" spans="1:8" ht="19.8" customHeight="1" x14ac:dyDescent="0.3">
      <c r="A22" s="140">
        <v>45986</v>
      </c>
      <c r="B22" s="131" t="s">
        <v>51</v>
      </c>
      <c r="C22" s="132" t="s">
        <v>64</v>
      </c>
      <c r="D22" s="131" t="s">
        <v>1</v>
      </c>
      <c r="E22" s="141">
        <v>1.5173611111111109</v>
      </c>
      <c r="F22" s="131" t="s">
        <v>56</v>
      </c>
      <c r="G22" s="133">
        <v>2</v>
      </c>
      <c r="H22" s="134">
        <v>549</v>
      </c>
    </row>
    <row r="23" spans="1:8" ht="19.8" customHeight="1" x14ac:dyDescent="0.3">
      <c r="A23" s="140">
        <v>45986</v>
      </c>
      <c r="B23" s="131" t="s">
        <v>51</v>
      </c>
      <c r="C23" s="132" t="s">
        <v>66</v>
      </c>
      <c r="D23" s="131" t="s">
        <v>1</v>
      </c>
      <c r="E23" s="141">
        <v>1.854166666666667</v>
      </c>
      <c r="F23" s="131" t="s">
        <v>56</v>
      </c>
      <c r="G23" s="133">
        <v>5</v>
      </c>
      <c r="H23" s="134">
        <v>549</v>
      </c>
    </row>
    <row r="24" spans="1:8" ht="19.8" customHeight="1" x14ac:dyDescent="0.3">
      <c r="A24" s="140">
        <v>45986</v>
      </c>
      <c r="B24" s="131" t="s">
        <v>51</v>
      </c>
      <c r="C24" s="132" t="s">
        <v>69</v>
      </c>
      <c r="D24" s="131" t="s">
        <v>1</v>
      </c>
      <c r="E24" s="141">
        <v>1.302083333333333</v>
      </c>
      <c r="F24" s="131" t="s">
        <v>56</v>
      </c>
      <c r="G24" s="133">
        <v>2</v>
      </c>
      <c r="H24" s="134">
        <v>549</v>
      </c>
    </row>
    <row r="25" spans="1:8" ht="19.8" customHeight="1" x14ac:dyDescent="0.3">
      <c r="A25" s="140">
        <v>45986</v>
      </c>
      <c r="B25" s="131" t="s">
        <v>51</v>
      </c>
      <c r="C25" s="132" t="s">
        <v>70</v>
      </c>
      <c r="D25" s="131" t="s">
        <v>1</v>
      </c>
      <c r="E25" s="141">
        <v>1.7986111111111109</v>
      </c>
      <c r="F25" s="131" t="s">
        <v>56</v>
      </c>
      <c r="G25" s="133">
        <v>5</v>
      </c>
      <c r="H25" s="134">
        <v>549</v>
      </c>
    </row>
    <row r="26" spans="1:8" ht="19.8" customHeight="1" x14ac:dyDescent="0.3">
      <c r="A26" s="140">
        <v>45986</v>
      </c>
      <c r="B26" s="131" t="s">
        <v>35</v>
      </c>
      <c r="C26" s="132" t="s">
        <v>36</v>
      </c>
      <c r="D26" s="131" t="s">
        <v>1</v>
      </c>
      <c r="E26" s="141">
        <v>1.302083333333333</v>
      </c>
      <c r="F26" s="131" t="s">
        <v>40</v>
      </c>
      <c r="G26" s="133">
        <v>2</v>
      </c>
      <c r="H26" s="134">
        <v>569</v>
      </c>
    </row>
    <row r="27" spans="1:8" ht="19.8" customHeight="1" x14ac:dyDescent="0.3">
      <c r="A27" s="140">
        <v>45986</v>
      </c>
      <c r="B27" s="131" t="s">
        <v>35</v>
      </c>
      <c r="C27" s="132" t="s">
        <v>45</v>
      </c>
      <c r="D27" s="131" t="s">
        <v>1</v>
      </c>
      <c r="E27" s="141">
        <v>1.1284722222222221</v>
      </c>
      <c r="F27" s="131" t="s">
        <v>40</v>
      </c>
      <c r="G27" s="133">
        <v>7</v>
      </c>
      <c r="H27" s="134">
        <v>569</v>
      </c>
    </row>
    <row r="28" spans="1:8" ht="19.8" customHeight="1" x14ac:dyDescent="0.3">
      <c r="A28" s="140">
        <v>45986</v>
      </c>
      <c r="B28" s="131" t="s">
        <v>35</v>
      </c>
      <c r="C28" s="132" t="s">
        <v>47</v>
      </c>
      <c r="D28" s="131" t="s">
        <v>1</v>
      </c>
      <c r="E28" s="141">
        <v>1.788194444444444</v>
      </c>
      <c r="F28" s="131" t="s">
        <v>40</v>
      </c>
      <c r="G28" s="133">
        <v>9</v>
      </c>
      <c r="H28" s="134">
        <v>569</v>
      </c>
    </row>
    <row r="29" spans="1:8" ht="19.8" customHeight="1" x14ac:dyDescent="0.3">
      <c r="A29" s="140">
        <v>45986</v>
      </c>
      <c r="B29" s="131" t="s">
        <v>35</v>
      </c>
      <c r="C29" s="132" t="s">
        <v>50</v>
      </c>
      <c r="D29" s="131" t="s">
        <v>1</v>
      </c>
      <c r="E29" s="141">
        <v>1.8888888888888891</v>
      </c>
      <c r="F29" s="131" t="s">
        <v>40</v>
      </c>
      <c r="G29" s="133">
        <v>7</v>
      </c>
      <c r="H29" s="134">
        <v>569</v>
      </c>
    </row>
    <row r="30" spans="1:8" ht="19.8" customHeight="1" x14ac:dyDescent="0.3">
      <c r="A30" s="140">
        <v>45986</v>
      </c>
      <c r="B30" s="131" t="s">
        <v>51</v>
      </c>
      <c r="C30" s="132" t="s">
        <v>71</v>
      </c>
      <c r="D30" s="131" t="s">
        <v>1</v>
      </c>
      <c r="E30" s="141">
        <v>1.256944444444444</v>
      </c>
      <c r="F30" s="131" t="s">
        <v>56</v>
      </c>
      <c r="G30" s="133">
        <v>9</v>
      </c>
      <c r="H30" s="134">
        <v>589</v>
      </c>
    </row>
    <row r="31" spans="1:8" ht="19.8" customHeight="1" x14ac:dyDescent="0.3">
      <c r="A31" s="140">
        <v>45986</v>
      </c>
      <c r="B31" s="131" t="s">
        <v>51</v>
      </c>
      <c r="C31" s="132" t="s">
        <v>75</v>
      </c>
      <c r="D31" s="131" t="s">
        <v>1</v>
      </c>
      <c r="E31" s="141">
        <v>1.395833333333333</v>
      </c>
      <c r="F31" s="131" t="s">
        <v>56</v>
      </c>
      <c r="G31" s="133">
        <v>2</v>
      </c>
      <c r="H31" s="134">
        <v>589</v>
      </c>
    </row>
    <row r="32" spans="1:8" ht="19.8" customHeight="1" x14ac:dyDescent="0.3">
      <c r="A32" s="140">
        <v>45986</v>
      </c>
      <c r="B32" s="131" t="s">
        <v>111</v>
      </c>
      <c r="C32" s="132" t="s">
        <v>112</v>
      </c>
      <c r="D32" s="131" t="s">
        <v>1</v>
      </c>
      <c r="E32" s="141">
        <v>1.274305555555556</v>
      </c>
      <c r="F32" s="131" t="s">
        <v>28</v>
      </c>
      <c r="G32" s="133">
        <v>9</v>
      </c>
      <c r="H32" s="134">
        <v>595</v>
      </c>
    </row>
    <row r="33" spans="1:8" ht="19.8" customHeight="1" x14ac:dyDescent="0.3">
      <c r="A33" s="140">
        <v>45986</v>
      </c>
      <c r="B33" s="131" t="s">
        <v>26</v>
      </c>
      <c r="C33" s="132" t="s">
        <v>31</v>
      </c>
      <c r="D33" s="131" t="s">
        <v>1</v>
      </c>
      <c r="E33" s="141">
        <v>1.666666666666667</v>
      </c>
      <c r="F33" s="131" t="s">
        <v>28</v>
      </c>
      <c r="G33" s="133">
        <v>7</v>
      </c>
      <c r="H33" s="134">
        <v>599</v>
      </c>
    </row>
    <row r="34" spans="1:8" ht="19.8" customHeight="1" x14ac:dyDescent="0.3">
      <c r="A34" s="140">
        <v>45986</v>
      </c>
      <c r="B34" s="131" t="s">
        <v>26</v>
      </c>
      <c r="C34" s="132" t="s">
        <v>34</v>
      </c>
      <c r="D34" s="131" t="s">
        <v>1</v>
      </c>
      <c r="E34" s="141">
        <v>1.364583333333333</v>
      </c>
      <c r="F34" s="131" t="s">
        <v>28</v>
      </c>
      <c r="G34" s="133">
        <v>7</v>
      </c>
      <c r="H34" s="134">
        <v>599</v>
      </c>
    </row>
    <row r="35" spans="1:8" ht="19.8" customHeight="1" x14ac:dyDescent="0.3">
      <c r="A35" s="140">
        <v>45986</v>
      </c>
      <c r="B35" s="131" t="s">
        <v>51</v>
      </c>
      <c r="C35" s="132" t="s">
        <v>52</v>
      </c>
      <c r="D35" s="131" t="s">
        <v>1</v>
      </c>
      <c r="E35" s="141">
        <v>1.9027777777777779</v>
      </c>
      <c r="F35" s="131" t="s">
        <v>59</v>
      </c>
      <c r="G35" s="133">
        <v>6</v>
      </c>
      <c r="H35" s="134">
        <v>639</v>
      </c>
    </row>
    <row r="36" spans="1:8" ht="19.8" customHeight="1" x14ac:dyDescent="0.3">
      <c r="A36" s="140">
        <v>45986</v>
      </c>
      <c r="B36" s="131" t="s">
        <v>51</v>
      </c>
      <c r="C36" s="132" t="s">
        <v>61</v>
      </c>
      <c r="D36" s="131" t="s">
        <v>1</v>
      </c>
      <c r="E36" s="141">
        <v>1.645833333333333</v>
      </c>
      <c r="F36" s="131" t="s">
        <v>59</v>
      </c>
      <c r="G36" s="133">
        <v>1</v>
      </c>
      <c r="H36" s="134">
        <v>639</v>
      </c>
    </row>
    <row r="37" spans="1:8" ht="19.8" customHeight="1" x14ac:dyDescent="0.3">
      <c r="A37" s="140">
        <v>45986</v>
      </c>
      <c r="B37" s="131" t="s">
        <v>51</v>
      </c>
      <c r="C37" s="132" t="s">
        <v>64</v>
      </c>
      <c r="D37" s="131" t="s">
        <v>1</v>
      </c>
      <c r="E37" s="141">
        <v>1.5173611111111109</v>
      </c>
      <c r="F37" s="131" t="s">
        <v>59</v>
      </c>
      <c r="G37" s="133">
        <v>2</v>
      </c>
      <c r="H37" s="134">
        <v>639</v>
      </c>
    </row>
    <row r="38" spans="1:8" ht="19.8" customHeight="1" x14ac:dyDescent="0.3">
      <c r="A38" s="140">
        <v>45986</v>
      </c>
      <c r="B38" s="131" t="s">
        <v>51</v>
      </c>
      <c r="C38" s="132" t="s">
        <v>66</v>
      </c>
      <c r="D38" s="131" t="s">
        <v>1</v>
      </c>
      <c r="E38" s="141">
        <v>1.854166666666667</v>
      </c>
      <c r="F38" s="131" t="s">
        <v>59</v>
      </c>
      <c r="G38" s="133">
        <v>5</v>
      </c>
      <c r="H38" s="134">
        <v>639</v>
      </c>
    </row>
    <row r="39" spans="1:8" ht="19.8" customHeight="1" x14ac:dyDescent="0.3">
      <c r="A39" s="140">
        <v>45986</v>
      </c>
      <c r="B39" s="131" t="s">
        <v>51</v>
      </c>
      <c r="C39" s="132" t="s">
        <v>69</v>
      </c>
      <c r="D39" s="131" t="s">
        <v>1</v>
      </c>
      <c r="E39" s="141">
        <v>1.302083333333333</v>
      </c>
      <c r="F39" s="131" t="s">
        <v>59</v>
      </c>
      <c r="G39" s="133">
        <v>2</v>
      </c>
      <c r="H39" s="134">
        <v>639</v>
      </c>
    </row>
    <row r="40" spans="1:8" ht="19.8" customHeight="1" x14ac:dyDescent="0.3">
      <c r="A40" s="140">
        <v>45986</v>
      </c>
      <c r="B40" s="131" t="s">
        <v>51</v>
      </c>
      <c r="C40" s="132" t="s">
        <v>70</v>
      </c>
      <c r="D40" s="131" t="s">
        <v>1</v>
      </c>
      <c r="E40" s="141">
        <v>1.7986111111111109</v>
      </c>
      <c r="F40" s="131" t="s">
        <v>59</v>
      </c>
      <c r="G40" s="133">
        <v>5</v>
      </c>
      <c r="H40" s="134">
        <v>639</v>
      </c>
    </row>
    <row r="41" spans="1:8" ht="19.8" customHeight="1" x14ac:dyDescent="0.3">
      <c r="A41" s="140">
        <v>45986</v>
      </c>
      <c r="B41" s="131" t="s">
        <v>111</v>
      </c>
      <c r="C41" s="132" t="s">
        <v>115</v>
      </c>
      <c r="D41" s="131" t="s">
        <v>1</v>
      </c>
      <c r="E41" s="141">
        <v>1.739583333333333</v>
      </c>
      <c r="F41" s="131" t="s">
        <v>28</v>
      </c>
      <c r="G41" s="133">
        <v>9</v>
      </c>
      <c r="H41" s="134">
        <v>645</v>
      </c>
    </row>
    <row r="42" spans="1:8" ht="19.8" customHeight="1" x14ac:dyDescent="0.3">
      <c r="A42" s="140">
        <v>45986</v>
      </c>
      <c r="B42" s="131" t="s">
        <v>118</v>
      </c>
      <c r="C42" s="132" t="s">
        <v>119</v>
      </c>
      <c r="D42" s="131" t="s">
        <v>1</v>
      </c>
      <c r="E42" s="141">
        <v>1.3784722222222221</v>
      </c>
      <c r="F42" s="131" t="s">
        <v>120</v>
      </c>
      <c r="G42" s="133">
        <v>1</v>
      </c>
      <c r="H42" s="134">
        <v>678</v>
      </c>
    </row>
    <row r="43" spans="1:8" ht="19.8" customHeight="1" x14ac:dyDescent="0.3">
      <c r="A43" s="140">
        <v>45986</v>
      </c>
      <c r="B43" s="131" t="s">
        <v>51</v>
      </c>
      <c r="C43" s="132" t="s">
        <v>71</v>
      </c>
      <c r="D43" s="131" t="s">
        <v>1</v>
      </c>
      <c r="E43" s="141">
        <v>1.256944444444444</v>
      </c>
      <c r="F43" s="131" t="s">
        <v>59</v>
      </c>
      <c r="G43" s="133">
        <v>9</v>
      </c>
      <c r="H43" s="134">
        <v>679</v>
      </c>
    </row>
    <row r="44" spans="1:8" ht="19.8" customHeight="1" x14ac:dyDescent="0.3">
      <c r="A44" s="140">
        <v>45986</v>
      </c>
      <c r="B44" s="131" t="s">
        <v>51</v>
      </c>
      <c r="C44" s="132" t="s">
        <v>75</v>
      </c>
      <c r="D44" s="131" t="s">
        <v>1</v>
      </c>
      <c r="E44" s="141">
        <v>1.395833333333333</v>
      </c>
      <c r="F44" s="131" t="s">
        <v>59</v>
      </c>
      <c r="G44" s="133">
        <v>2</v>
      </c>
      <c r="H44" s="134">
        <v>679</v>
      </c>
    </row>
    <row r="45" spans="1:8" ht="19.8" customHeight="1" x14ac:dyDescent="0.3">
      <c r="A45" s="140">
        <v>45986</v>
      </c>
      <c r="B45" s="131" t="s">
        <v>118</v>
      </c>
      <c r="C45" s="132" t="s">
        <v>119</v>
      </c>
      <c r="D45" s="131" t="s">
        <v>1</v>
      </c>
      <c r="E45" s="141">
        <v>1.3784722222222221</v>
      </c>
      <c r="F45" s="131" t="s">
        <v>122</v>
      </c>
      <c r="G45" s="133">
        <v>1</v>
      </c>
      <c r="H45" s="134">
        <v>723</v>
      </c>
    </row>
    <row r="46" spans="1:8" ht="19.8" customHeight="1" x14ac:dyDescent="0.3">
      <c r="A46" s="140">
        <v>45986</v>
      </c>
      <c r="B46" s="131" t="s">
        <v>105</v>
      </c>
      <c r="C46" s="132" t="s">
        <v>106</v>
      </c>
      <c r="D46" s="131" t="s">
        <v>1</v>
      </c>
      <c r="E46" s="141">
        <v>1.2222222222222221</v>
      </c>
      <c r="F46" s="131" t="s">
        <v>43</v>
      </c>
      <c r="G46" s="133">
        <v>9</v>
      </c>
      <c r="H46" s="134">
        <v>742</v>
      </c>
    </row>
    <row r="47" spans="1:8" ht="19.8" customHeight="1" x14ac:dyDescent="0.3">
      <c r="A47" s="140">
        <v>45986</v>
      </c>
      <c r="B47" s="131" t="s">
        <v>118</v>
      </c>
      <c r="C47" s="132" t="s">
        <v>124</v>
      </c>
      <c r="D47" s="131" t="s">
        <v>1</v>
      </c>
      <c r="E47" s="141">
        <v>1.006944444444444</v>
      </c>
      <c r="F47" s="131" t="s">
        <v>120</v>
      </c>
      <c r="G47" s="133">
        <v>9</v>
      </c>
      <c r="H47" s="134">
        <v>935</v>
      </c>
    </row>
    <row r="48" spans="1:8" ht="19.8" customHeight="1" x14ac:dyDescent="0.3">
      <c r="A48" s="140">
        <v>45986</v>
      </c>
      <c r="B48" s="131" t="s">
        <v>118</v>
      </c>
      <c r="C48" s="132" t="s">
        <v>128</v>
      </c>
      <c r="D48" s="131" t="s">
        <v>1</v>
      </c>
      <c r="E48" s="141">
        <v>1.239583333333333</v>
      </c>
      <c r="F48" s="131" t="s">
        <v>120</v>
      </c>
      <c r="G48" s="133">
        <v>9</v>
      </c>
      <c r="H48" s="134">
        <v>935</v>
      </c>
    </row>
    <row r="49" spans="1:8" ht="19.8" customHeight="1" x14ac:dyDescent="0.3">
      <c r="A49" s="140">
        <v>45986</v>
      </c>
      <c r="B49" s="131" t="s">
        <v>118</v>
      </c>
      <c r="C49" s="132" t="s">
        <v>129</v>
      </c>
      <c r="D49" s="131" t="s">
        <v>1</v>
      </c>
      <c r="E49" s="141">
        <v>1.1423611111111109</v>
      </c>
      <c r="F49" s="131" t="s">
        <v>120</v>
      </c>
      <c r="G49" s="133">
        <v>9</v>
      </c>
      <c r="H49" s="134">
        <v>935</v>
      </c>
    </row>
    <row r="50" spans="1:8" ht="19.8" customHeight="1" x14ac:dyDescent="0.3">
      <c r="A50" s="140">
        <v>45986</v>
      </c>
      <c r="B50" s="131" t="s">
        <v>118</v>
      </c>
      <c r="C50" s="132" t="s">
        <v>130</v>
      </c>
      <c r="D50" s="131" t="s">
        <v>1</v>
      </c>
      <c r="E50" s="141">
        <v>1.930555555555556</v>
      </c>
      <c r="F50" s="131" t="s">
        <v>120</v>
      </c>
      <c r="G50" s="133">
        <v>9</v>
      </c>
      <c r="H50" s="134">
        <v>935</v>
      </c>
    </row>
    <row r="51" spans="1:8" ht="19.8" customHeight="1" x14ac:dyDescent="0.3">
      <c r="A51" s="140">
        <v>45986</v>
      </c>
      <c r="B51" s="131" t="s">
        <v>140</v>
      </c>
      <c r="C51" s="132" t="s">
        <v>141</v>
      </c>
      <c r="D51" s="131" t="s">
        <v>1</v>
      </c>
      <c r="E51" s="141">
        <v>1.4861111111111109</v>
      </c>
      <c r="F51" s="131" t="s">
        <v>142</v>
      </c>
      <c r="G51" s="133">
        <v>9</v>
      </c>
      <c r="H51" s="134">
        <v>970</v>
      </c>
    </row>
    <row r="52" spans="1:8" ht="19.8" customHeight="1" x14ac:dyDescent="0.3">
      <c r="A52" s="140">
        <v>45986</v>
      </c>
      <c r="B52" s="131" t="s">
        <v>140</v>
      </c>
      <c r="C52" s="132" t="s">
        <v>144</v>
      </c>
      <c r="D52" s="131" t="s">
        <v>1</v>
      </c>
      <c r="E52" s="141">
        <v>1.5138888888888891</v>
      </c>
      <c r="F52" s="131" t="s">
        <v>142</v>
      </c>
      <c r="G52" s="133">
        <v>9</v>
      </c>
      <c r="H52" s="134">
        <v>970</v>
      </c>
    </row>
    <row r="53" spans="1:8" ht="19.8" customHeight="1" x14ac:dyDescent="0.3">
      <c r="A53" s="140">
        <v>45986</v>
      </c>
      <c r="B53" s="131" t="s">
        <v>118</v>
      </c>
      <c r="C53" s="132" t="s">
        <v>124</v>
      </c>
      <c r="D53" s="131" t="s">
        <v>1</v>
      </c>
      <c r="E53" s="141">
        <v>1.006944444444444</v>
      </c>
      <c r="F53" s="131" t="s">
        <v>122</v>
      </c>
      <c r="G53" s="133">
        <v>9</v>
      </c>
      <c r="H53" s="134">
        <v>980</v>
      </c>
    </row>
    <row r="54" spans="1:8" ht="19.8" customHeight="1" x14ac:dyDescent="0.3">
      <c r="A54" s="140">
        <v>45986</v>
      </c>
      <c r="B54" s="131" t="s">
        <v>118</v>
      </c>
      <c r="C54" s="132" t="s">
        <v>128</v>
      </c>
      <c r="D54" s="131" t="s">
        <v>1</v>
      </c>
      <c r="E54" s="141">
        <v>1.239583333333333</v>
      </c>
      <c r="F54" s="131" t="s">
        <v>122</v>
      </c>
      <c r="G54" s="133">
        <v>9</v>
      </c>
      <c r="H54" s="134">
        <v>980</v>
      </c>
    </row>
    <row r="55" spans="1:8" ht="19.8" customHeight="1" x14ac:dyDescent="0.3">
      <c r="A55" s="140">
        <v>45986</v>
      </c>
      <c r="B55" s="131" t="s">
        <v>118</v>
      </c>
      <c r="C55" s="132" t="s">
        <v>129</v>
      </c>
      <c r="D55" s="131" t="s">
        <v>1</v>
      </c>
      <c r="E55" s="141">
        <v>1.1423611111111109</v>
      </c>
      <c r="F55" s="131" t="s">
        <v>122</v>
      </c>
      <c r="G55" s="133">
        <v>9</v>
      </c>
      <c r="H55" s="134">
        <v>980</v>
      </c>
    </row>
    <row r="56" spans="1:8" ht="19.8" customHeight="1" x14ac:dyDescent="0.3">
      <c r="A56" s="140">
        <v>45986</v>
      </c>
      <c r="B56" s="131" t="s">
        <v>118</v>
      </c>
      <c r="C56" s="132" t="s">
        <v>130</v>
      </c>
      <c r="D56" s="131" t="s">
        <v>1</v>
      </c>
      <c r="E56" s="141">
        <v>1.930555555555556</v>
      </c>
      <c r="F56" s="131" t="s">
        <v>122</v>
      </c>
      <c r="G56" s="133">
        <v>9</v>
      </c>
      <c r="H56" s="134">
        <v>980</v>
      </c>
    </row>
    <row r="57" spans="1:8" ht="19.8" customHeight="1" x14ac:dyDescent="0.3">
      <c r="A57" s="140">
        <v>45986</v>
      </c>
      <c r="B57" s="131" t="s">
        <v>140</v>
      </c>
      <c r="C57" s="132" t="s">
        <v>145</v>
      </c>
      <c r="D57" s="131" t="s">
        <v>1</v>
      </c>
      <c r="E57" s="141">
        <v>1.2222222222222221</v>
      </c>
      <c r="F57" s="131" t="s">
        <v>142</v>
      </c>
      <c r="G57" s="133">
        <v>9</v>
      </c>
      <c r="H57" s="144" t="s">
        <v>146</v>
      </c>
    </row>
    <row r="58" spans="1:8" ht="19.8" customHeight="1" x14ac:dyDescent="0.3">
      <c r="A58" s="140">
        <v>45986</v>
      </c>
      <c r="B58" s="131" t="s">
        <v>118</v>
      </c>
      <c r="C58" s="132" t="s">
        <v>131</v>
      </c>
      <c r="D58" s="131" t="s">
        <v>1</v>
      </c>
      <c r="E58" s="141">
        <v>1.71875</v>
      </c>
      <c r="F58" s="131" t="s">
        <v>120</v>
      </c>
      <c r="G58" s="133">
        <v>9</v>
      </c>
      <c r="H58" s="144" t="s">
        <v>132</v>
      </c>
    </row>
    <row r="59" spans="1:8" ht="19.8" customHeight="1" x14ac:dyDescent="0.3">
      <c r="A59" s="140">
        <v>45986</v>
      </c>
      <c r="B59" s="131" t="s">
        <v>118</v>
      </c>
      <c r="C59" s="132" t="s">
        <v>134</v>
      </c>
      <c r="D59" s="131" t="s">
        <v>1</v>
      </c>
      <c r="E59" s="141">
        <v>1.8298611111111109</v>
      </c>
      <c r="F59" s="131" t="s">
        <v>120</v>
      </c>
      <c r="G59" s="133">
        <v>9</v>
      </c>
      <c r="H59" s="144" t="s">
        <v>132</v>
      </c>
    </row>
    <row r="60" spans="1:8" ht="19.8" customHeight="1" x14ac:dyDescent="0.3">
      <c r="A60" s="140">
        <v>45986</v>
      </c>
      <c r="B60" s="131" t="s">
        <v>35</v>
      </c>
      <c r="C60" s="132" t="s">
        <v>36</v>
      </c>
      <c r="D60" s="131" t="s">
        <v>1</v>
      </c>
      <c r="E60" s="141">
        <v>1.302083333333333</v>
      </c>
      <c r="F60" s="131" t="s">
        <v>43</v>
      </c>
      <c r="G60" s="133">
        <v>2</v>
      </c>
      <c r="H60" s="144" t="s">
        <v>44</v>
      </c>
    </row>
    <row r="61" spans="1:8" ht="19.8" customHeight="1" x14ac:dyDescent="0.3">
      <c r="A61" s="140">
        <v>45986</v>
      </c>
      <c r="B61" s="131" t="s">
        <v>35</v>
      </c>
      <c r="C61" s="132" t="s">
        <v>45</v>
      </c>
      <c r="D61" s="131" t="s">
        <v>1</v>
      </c>
      <c r="E61" s="141">
        <v>1.1284722222222221</v>
      </c>
      <c r="F61" s="131" t="s">
        <v>43</v>
      </c>
      <c r="G61" s="133">
        <v>7</v>
      </c>
      <c r="H61" s="144" t="s">
        <v>44</v>
      </c>
    </row>
    <row r="62" spans="1:8" ht="19.8" customHeight="1" x14ac:dyDescent="0.3">
      <c r="A62" s="140">
        <v>45986</v>
      </c>
      <c r="B62" s="131" t="s">
        <v>35</v>
      </c>
      <c r="C62" s="132" t="s">
        <v>47</v>
      </c>
      <c r="D62" s="131" t="s">
        <v>1</v>
      </c>
      <c r="E62" s="141">
        <v>1.788194444444444</v>
      </c>
      <c r="F62" s="131" t="s">
        <v>43</v>
      </c>
      <c r="G62" s="133">
        <v>9</v>
      </c>
      <c r="H62" s="144" t="s">
        <v>44</v>
      </c>
    </row>
    <row r="63" spans="1:8" ht="19.8" customHeight="1" x14ac:dyDescent="0.3">
      <c r="A63" s="140">
        <v>45986</v>
      </c>
      <c r="B63" s="131" t="s">
        <v>35</v>
      </c>
      <c r="C63" s="132" t="s">
        <v>50</v>
      </c>
      <c r="D63" s="131" t="s">
        <v>1</v>
      </c>
      <c r="E63" s="141">
        <v>1.8888888888888891</v>
      </c>
      <c r="F63" s="131" t="s">
        <v>43</v>
      </c>
      <c r="G63" s="133">
        <v>7</v>
      </c>
      <c r="H63" s="144" t="s">
        <v>44</v>
      </c>
    </row>
    <row r="64" spans="1:8" ht="19.8" customHeight="1" x14ac:dyDescent="0.3">
      <c r="A64" s="140">
        <v>45986</v>
      </c>
      <c r="B64" s="131" t="s">
        <v>118</v>
      </c>
      <c r="C64" s="132" t="s">
        <v>131</v>
      </c>
      <c r="D64" s="131" t="s">
        <v>1</v>
      </c>
      <c r="E64" s="141">
        <v>1.71875</v>
      </c>
      <c r="F64" s="131" t="s">
        <v>122</v>
      </c>
      <c r="G64" s="133">
        <v>9</v>
      </c>
      <c r="H64" s="144" t="s">
        <v>133</v>
      </c>
    </row>
    <row r="65" spans="1:8" ht="19.8" customHeight="1" x14ac:dyDescent="0.3">
      <c r="A65" s="140">
        <v>45986</v>
      </c>
      <c r="B65" s="131" t="s">
        <v>118</v>
      </c>
      <c r="C65" s="132" t="s">
        <v>134</v>
      </c>
      <c r="D65" s="131" t="s">
        <v>1</v>
      </c>
      <c r="E65" s="141">
        <v>1.8298611111111109</v>
      </c>
      <c r="F65" s="131" t="s">
        <v>122</v>
      </c>
      <c r="G65" s="133">
        <v>9</v>
      </c>
      <c r="H65" s="144" t="s">
        <v>133</v>
      </c>
    </row>
    <row r="66" spans="1:8" ht="19.8" customHeight="1" x14ac:dyDescent="0.3">
      <c r="A66" s="140">
        <v>45986</v>
      </c>
      <c r="B66" s="131" t="s">
        <v>140</v>
      </c>
      <c r="C66" s="132" t="s">
        <v>147</v>
      </c>
      <c r="D66" s="131" t="s">
        <v>1</v>
      </c>
      <c r="E66" s="141">
        <v>1.0138888888888891</v>
      </c>
      <c r="F66" s="131" t="s">
        <v>142</v>
      </c>
      <c r="G66" s="133">
        <v>9</v>
      </c>
      <c r="H66" s="144" t="s">
        <v>148</v>
      </c>
    </row>
    <row r="67" spans="1:8" ht="19.8" customHeight="1" x14ac:dyDescent="0.3">
      <c r="A67" s="140">
        <v>45986</v>
      </c>
      <c r="B67" s="131" t="s">
        <v>140</v>
      </c>
      <c r="C67" s="132" t="s">
        <v>149</v>
      </c>
      <c r="D67" s="131" t="s">
        <v>1</v>
      </c>
      <c r="E67" s="141">
        <v>1.145833333333333</v>
      </c>
      <c r="F67" s="131" t="s">
        <v>142</v>
      </c>
      <c r="G67" s="133">
        <v>9</v>
      </c>
      <c r="H67" s="144" t="s">
        <v>148</v>
      </c>
    </row>
    <row r="68" spans="1:8" ht="19.8" customHeight="1" x14ac:dyDescent="0.3">
      <c r="A68" s="140">
        <v>45986</v>
      </c>
      <c r="B68" s="131" t="s">
        <v>118</v>
      </c>
      <c r="C68" s="132" t="s">
        <v>135</v>
      </c>
      <c r="D68" s="131" t="s">
        <v>1</v>
      </c>
      <c r="E68" s="141">
        <v>1.8888888888888891</v>
      </c>
      <c r="F68" s="131" t="s">
        <v>122</v>
      </c>
      <c r="G68" s="133">
        <v>4</v>
      </c>
      <c r="H68" s="144" t="s">
        <v>136</v>
      </c>
    </row>
    <row r="69" spans="1:8" ht="19.8" customHeight="1" x14ac:dyDescent="0.3">
      <c r="A69" s="140">
        <v>45986</v>
      </c>
      <c r="B69" s="131" t="s">
        <v>118</v>
      </c>
      <c r="C69" s="132" t="s">
        <v>137</v>
      </c>
      <c r="D69" s="131" t="s">
        <v>1</v>
      </c>
      <c r="E69" s="141">
        <v>1.302083333333333</v>
      </c>
      <c r="F69" s="131" t="s">
        <v>122</v>
      </c>
      <c r="G69" s="133">
        <v>4</v>
      </c>
      <c r="H69" s="144" t="s">
        <v>136</v>
      </c>
    </row>
    <row r="70" spans="1:8" ht="19.8" customHeight="1" x14ac:dyDescent="0.3">
      <c r="A70" s="140">
        <v>45986</v>
      </c>
      <c r="B70" s="131" t="s">
        <v>118</v>
      </c>
      <c r="C70" s="132" t="s">
        <v>138</v>
      </c>
      <c r="D70" s="131" t="s">
        <v>1</v>
      </c>
      <c r="E70" s="141">
        <v>1.1284722222222221</v>
      </c>
      <c r="F70" s="131" t="s">
        <v>122</v>
      </c>
      <c r="G70" s="133">
        <v>4</v>
      </c>
      <c r="H70" s="144" t="s">
        <v>136</v>
      </c>
    </row>
    <row r="71" spans="1:8" ht="19.8" customHeight="1" x14ac:dyDescent="0.3">
      <c r="A71" s="140">
        <v>45986</v>
      </c>
      <c r="B71" s="131" t="s">
        <v>118</v>
      </c>
      <c r="C71" s="132" t="s">
        <v>139</v>
      </c>
      <c r="D71" s="131" t="s">
        <v>1</v>
      </c>
      <c r="E71" s="141">
        <v>1.788194444444444</v>
      </c>
      <c r="F71" s="131" t="s">
        <v>122</v>
      </c>
      <c r="G71" s="133">
        <v>4</v>
      </c>
      <c r="H71" s="144" t="s">
        <v>136</v>
      </c>
    </row>
    <row r="72" spans="1:8" ht="19.8" customHeight="1" x14ac:dyDescent="0.3">
      <c r="A72" s="140">
        <v>45986</v>
      </c>
      <c r="B72" s="131" t="s">
        <v>140</v>
      </c>
      <c r="C72" s="132" t="s">
        <v>150</v>
      </c>
      <c r="D72" s="131" t="s">
        <v>1</v>
      </c>
      <c r="E72" s="141">
        <v>1.2777777777777779</v>
      </c>
      <c r="F72" s="131" t="s">
        <v>142</v>
      </c>
      <c r="G72" s="133">
        <v>9</v>
      </c>
      <c r="H72" s="144" t="s">
        <v>151</v>
      </c>
    </row>
    <row r="73" spans="1:8" ht="19.8" customHeight="1" x14ac:dyDescent="0.3">
      <c r="A73" s="140">
        <v>45986</v>
      </c>
      <c r="B73" s="131" t="s">
        <v>140</v>
      </c>
      <c r="C73" s="132" t="s">
        <v>152</v>
      </c>
      <c r="D73" s="131" t="s">
        <v>1</v>
      </c>
      <c r="E73" s="141">
        <v>1.774305555555556</v>
      </c>
      <c r="F73" s="131" t="s">
        <v>142</v>
      </c>
      <c r="G73" s="133">
        <v>9</v>
      </c>
      <c r="H73" s="144" t="s">
        <v>153</v>
      </c>
    </row>
    <row r="74" spans="1:8" ht="19.8" customHeight="1" x14ac:dyDescent="0.3">
      <c r="A74" s="142">
        <v>45986</v>
      </c>
      <c r="B74" s="136" t="s">
        <v>76</v>
      </c>
      <c r="C74" s="137" t="s">
        <v>98</v>
      </c>
      <c r="D74" s="136" t="s">
        <v>1</v>
      </c>
      <c r="E74" s="143">
        <v>1.5590277777777779</v>
      </c>
      <c r="F74" s="136" t="s">
        <v>99</v>
      </c>
      <c r="G74" s="136"/>
      <c r="H74" s="145" t="s">
        <v>100</v>
      </c>
    </row>
    <row r="75" spans="1:8" ht="19.8" customHeight="1" x14ac:dyDescent="0.3">
      <c r="A75" s="146">
        <v>45986</v>
      </c>
      <c r="B75" s="147" t="s">
        <v>76</v>
      </c>
      <c r="C75" s="148" t="s">
        <v>103</v>
      </c>
      <c r="D75" s="147" t="s">
        <v>1</v>
      </c>
      <c r="E75" s="149">
        <v>1.729166666666667</v>
      </c>
      <c r="F75" s="147" t="s">
        <v>99</v>
      </c>
      <c r="G75" s="147"/>
      <c r="H75" s="150" t="s">
        <v>100</v>
      </c>
    </row>
    <row r="76" spans="1:8" ht="19.8" customHeight="1" x14ac:dyDescent="0.3">
      <c r="A76" s="140">
        <v>45987</v>
      </c>
      <c r="B76" s="131" t="s">
        <v>35</v>
      </c>
      <c r="C76" s="132" t="s">
        <v>45</v>
      </c>
      <c r="D76" s="131" t="s">
        <v>1</v>
      </c>
      <c r="E76" s="141">
        <v>1.1284722222222221</v>
      </c>
      <c r="F76" s="131" t="s">
        <v>37</v>
      </c>
      <c r="G76" s="133">
        <v>10</v>
      </c>
      <c r="H76" s="134">
        <v>389</v>
      </c>
    </row>
    <row r="77" spans="1:8" ht="19.8" customHeight="1" x14ac:dyDescent="0.3">
      <c r="A77" s="140">
        <v>45987</v>
      </c>
      <c r="B77" s="131" t="s">
        <v>35</v>
      </c>
      <c r="C77" s="132" t="s">
        <v>50</v>
      </c>
      <c r="D77" s="131" t="s">
        <v>1</v>
      </c>
      <c r="E77" s="141">
        <v>1.8888888888888891</v>
      </c>
      <c r="F77" s="131" t="s">
        <v>37</v>
      </c>
      <c r="G77" s="133">
        <v>7</v>
      </c>
      <c r="H77" s="134">
        <v>389</v>
      </c>
    </row>
    <row r="78" spans="1:8" ht="19.8" customHeight="1" x14ac:dyDescent="0.3">
      <c r="A78" s="140">
        <v>45987</v>
      </c>
      <c r="B78" s="131" t="s">
        <v>26</v>
      </c>
      <c r="C78" s="132" t="s">
        <v>31</v>
      </c>
      <c r="D78" s="131" t="s">
        <v>1</v>
      </c>
      <c r="E78" s="141">
        <v>1.9375</v>
      </c>
      <c r="F78" s="131" t="s">
        <v>28</v>
      </c>
      <c r="G78" s="133">
        <v>1</v>
      </c>
      <c r="H78" s="134">
        <v>401</v>
      </c>
    </row>
    <row r="79" spans="1:8" ht="19.8" customHeight="1" x14ac:dyDescent="0.3">
      <c r="A79" s="140">
        <v>45987</v>
      </c>
      <c r="B79" s="131" t="s">
        <v>26</v>
      </c>
      <c r="C79" s="132" t="s">
        <v>34</v>
      </c>
      <c r="D79" s="131" t="s">
        <v>1</v>
      </c>
      <c r="E79" s="141">
        <v>1.3715277777777779</v>
      </c>
      <c r="F79" s="131" t="s">
        <v>28</v>
      </c>
      <c r="G79" s="133">
        <v>4</v>
      </c>
      <c r="H79" s="134">
        <v>401</v>
      </c>
    </row>
    <row r="80" spans="1:8" ht="19.8" customHeight="1" x14ac:dyDescent="0.3">
      <c r="A80" s="140">
        <v>45987</v>
      </c>
      <c r="B80" s="131" t="s">
        <v>51</v>
      </c>
      <c r="C80" s="132" t="s">
        <v>71</v>
      </c>
      <c r="D80" s="131" t="s">
        <v>1</v>
      </c>
      <c r="E80" s="141">
        <v>1.256944444444444</v>
      </c>
      <c r="F80" s="131" t="s">
        <v>53</v>
      </c>
      <c r="G80" s="133">
        <v>3</v>
      </c>
      <c r="H80" s="134">
        <v>409</v>
      </c>
    </row>
    <row r="81" spans="1:8" ht="19.8" customHeight="1" x14ac:dyDescent="0.3">
      <c r="A81" s="140">
        <v>45987</v>
      </c>
      <c r="B81" s="131" t="s">
        <v>51</v>
      </c>
      <c r="C81" s="132" t="s">
        <v>69</v>
      </c>
      <c r="D81" s="131" t="s">
        <v>1</v>
      </c>
      <c r="E81" s="141">
        <v>1.302083333333333</v>
      </c>
      <c r="F81" s="131" t="s">
        <v>53</v>
      </c>
      <c r="G81" s="133">
        <v>2</v>
      </c>
      <c r="H81" s="134">
        <v>409</v>
      </c>
    </row>
    <row r="82" spans="1:8" ht="19.8" customHeight="1" x14ac:dyDescent="0.3">
      <c r="A82" s="140">
        <v>45987</v>
      </c>
      <c r="B82" s="131" t="s">
        <v>35</v>
      </c>
      <c r="C82" s="132" t="s">
        <v>36</v>
      </c>
      <c r="D82" s="131" t="s">
        <v>1</v>
      </c>
      <c r="E82" s="141">
        <v>1.302083333333333</v>
      </c>
      <c r="F82" s="131" t="s">
        <v>37</v>
      </c>
      <c r="G82" s="133">
        <v>6</v>
      </c>
      <c r="H82" s="134">
        <v>419</v>
      </c>
    </row>
    <row r="83" spans="1:8" ht="19.8" customHeight="1" x14ac:dyDescent="0.3">
      <c r="A83" s="140">
        <v>45987</v>
      </c>
      <c r="B83" s="131" t="s">
        <v>35</v>
      </c>
      <c r="C83" s="132" t="s">
        <v>47</v>
      </c>
      <c r="D83" s="131" t="s">
        <v>1</v>
      </c>
      <c r="E83" s="141">
        <v>1.788194444444444</v>
      </c>
      <c r="F83" s="131" t="s">
        <v>37</v>
      </c>
      <c r="G83" s="133">
        <v>8</v>
      </c>
      <c r="H83" s="134">
        <v>419</v>
      </c>
    </row>
    <row r="84" spans="1:8" ht="19.8" customHeight="1" x14ac:dyDescent="0.3">
      <c r="A84" s="140">
        <v>45987</v>
      </c>
      <c r="B84" s="131" t="s">
        <v>51</v>
      </c>
      <c r="C84" s="132" t="s">
        <v>52</v>
      </c>
      <c r="D84" s="131" t="s">
        <v>1</v>
      </c>
      <c r="E84" s="141">
        <v>1.9027777777777779</v>
      </c>
      <c r="F84" s="131" t="s">
        <v>53</v>
      </c>
      <c r="G84" s="133">
        <v>6</v>
      </c>
      <c r="H84" s="134">
        <v>449</v>
      </c>
    </row>
    <row r="85" spans="1:8" ht="19.8" customHeight="1" x14ac:dyDescent="0.3">
      <c r="A85" s="140">
        <v>45987</v>
      </c>
      <c r="B85" s="131" t="s">
        <v>51</v>
      </c>
      <c r="C85" s="132" t="s">
        <v>61</v>
      </c>
      <c r="D85" s="131" t="s">
        <v>1</v>
      </c>
      <c r="E85" s="141">
        <v>1.645833333333333</v>
      </c>
      <c r="F85" s="131" t="s">
        <v>53</v>
      </c>
      <c r="G85" s="133">
        <v>1</v>
      </c>
      <c r="H85" s="134">
        <v>449</v>
      </c>
    </row>
    <row r="86" spans="1:8" ht="19.8" customHeight="1" x14ac:dyDescent="0.3">
      <c r="A86" s="140">
        <v>45987</v>
      </c>
      <c r="B86" s="131" t="s">
        <v>51</v>
      </c>
      <c r="C86" s="132" t="s">
        <v>64</v>
      </c>
      <c r="D86" s="131" t="s">
        <v>1</v>
      </c>
      <c r="E86" s="141">
        <v>1.5173611111111109</v>
      </c>
      <c r="F86" s="131" t="s">
        <v>53</v>
      </c>
      <c r="G86" s="133">
        <v>2</v>
      </c>
      <c r="H86" s="134">
        <v>449</v>
      </c>
    </row>
    <row r="87" spans="1:8" ht="19.8" customHeight="1" x14ac:dyDescent="0.3">
      <c r="A87" s="140">
        <v>45987</v>
      </c>
      <c r="B87" s="131" t="s">
        <v>51</v>
      </c>
      <c r="C87" s="132" t="s">
        <v>75</v>
      </c>
      <c r="D87" s="131" t="s">
        <v>1</v>
      </c>
      <c r="E87" s="141">
        <v>1.395833333333333</v>
      </c>
      <c r="F87" s="131" t="s">
        <v>53</v>
      </c>
      <c r="G87" s="133">
        <v>2</v>
      </c>
      <c r="H87" s="134">
        <v>449</v>
      </c>
    </row>
    <row r="88" spans="1:8" ht="19.8" customHeight="1" x14ac:dyDescent="0.3">
      <c r="A88" s="140">
        <v>45987</v>
      </c>
      <c r="B88" s="131" t="s">
        <v>51</v>
      </c>
      <c r="C88" s="132" t="s">
        <v>70</v>
      </c>
      <c r="D88" s="131" t="s">
        <v>1</v>
      </c>
      <c r="E88" s="141">
        <v>1.7986111111111109</v>
      </c>
      <c r="F88" s="131" t="s">
        <v>53</v>
      </c>
      <c r="G88" s="133">
        <v>3</v>
      </c>
      <c r="H88" s="134">
        <v>449</v>
      </c>
    </row>
    <row r="89" spans="1:8" ht="19.8" customHeight="1" x14ac:dyDescent="0.3">
      <c r="A89" s="142">
        <v>45987</v>
      </c>
      <c r="B89" s="136" t="s">
        <v>76</v>
      </c>
      <c r="C89" s="137" t="s">
        <v>165</v>
      </c>
      <c r="D89" s="136" t="s">
        <v>1</v>
      </c>
      <c r="E89" s="143">
        <v>1.520833333333333</v>
      </c>
      <c r="F89" s="136" t="s">
        <v>78</v>
      </c>
      <c r="G89" s="138">
        <v>9</v>
      </c>
      <c r="H89" s="139">
        <v>471</v>
      </c>
    </row>
    <row r="90" spans="1:8" ht="19.8" customHeight="1" x14ac:dyDescent="0.3">
      <c r="A90" s="142">
        <v>45987</v>
      </c>
      <c r="B90" s="136" t="s">
        <v>76</v>
      </c>
      <c r="C90" s="137" t="s">
        <v>77</v>
      </c>
      <c r="D90" s="136" t="s">
        <v>1</v>
      </c>
      <c r="E90" s="143">
        <v>1.5173611111111109</v>
      </c>
      <c r="F90" s="136" t="s">
        <v>78</v>
      </c>
      <c r="G90" s="138">
        <v>9</v>
      </c>
      <c r="H90" s="139">
        <v>471</v>
      </c>
    </row>
    <row r="91" spans="1:8" ht="19.8" customHeight="1" x14ac:dyDescent="0.3">
      <c r="A91" s="142">
        <v>45987</v>
      </c>
      <c r="B91" s="136" t="s">
        <v>76</v>
      </c>
      <c r="C91" s="137" t="s">
        <v>93</v>
      </c>
      <c r="D91" s="136" t="s">
        <v>1</v>
      </c>
      <c r="E91" s="143">
        <v>1.614583333333333</v>
      </c>
      <c r="F91" s="136" t="s">
        <v>78</v>
      </c>
      <c r="G91" s="138">
        <v>1</v>
      </c>
      <c r="H91" s="139">
        <v>471</v>
      </c>
    </row>
    <row r="92" spans="1:8" ht="19.8" customHeight="1" x14ac:dyDescent="0.3">
      <c r="A92" s="140">
        <v>45987</v>
      </c>
      <c r="B92" s="131" t="s">
        <v>51</v>
      </c>
      <c r="C92" s="132" t="s">
        <v>66</v>
      </c>
      <c r="D92" s="131" t="s">
        <v>1</v>
      </c>
      <c r="E92" s="141">
        <v>1.854166666666667</v>
      </c>
      <c r="F92" s="131" t="s">
        <v>53</v>
      </c>
      <c r="G92" s="133">
        <v>5</v>
      </c>
      <c r="H92" s="134">
        <v>489</v>
      </c>
    </row>
    <row r="93" spans="1:8" ht="19.8" customHeight="1" x14ac:dyDescent="0.3">
      <c r="A93" s="140">
        <v>45987</v>
      </c>
      <c r="B93" s="131" t="s">
        <v>51</v>
      </c>
      <c r="C93" s="132" t="s">
        <v>71</v>
      </c>
      <c r="D93" s="131" t="s">
        <v>1</v>
      </c>
      <c r="E93" s="141">
        <v>1.256944444444444</v>
      </c>
      <c r="F93" s="131" t="s">
        <v>56</v>
      </c>
      <c r="G93" s="133">
        <v>3</v>
      </c>
      <c r="H93" s="134">
        <v>509</v>
      </c>
    </row>
    <row r="94" spans="1:8" ht="19.8" customHeight="1" x14ac:dyDescent="0.3">
      <c r="A94" s="140">
        <v>45987</v>
      </c>
      <c r="B94" s="131" t="s">
        <v>51</v>
      </c>
      <c r="C94" s="132" t="s">
        <v>69</v>
      </c>
      <c r="D94" s="131" t="s">
        <v>1</v>
      </c>
      <c r="E94" s="141">
        <v>1.302083333333333</v>
      </c>
      <c r="F94" s="131" t="s">
        <v>56</v>
      </c>
      <c r="G94" s="133">
        <v>2</v>
      </c>
      <c r="H94" s="134">
        <v>509</v>
      </c>
    </row>
    <row r="95" spans="1:8" ht="19.8" customHeight="1" x14ac:dyDescent="0.3">
      <c r="A95" s="140">
        <v>45987</v>
      </c>
      <c r="B95" s="131" t="s">
        <v>105</v>
      </c>
      <c r="C95" s="132" t="s">
        <v>171</v>
      </c>
      <c r="D95" s="131" t="s">
        <v>1</v>
      </c>
      <c r="E95" s="141">
        <v>1.3923611111111109</v>
      </c>
      <c r="F95" s="131" t="s">
        <v>107</v>
      </c>
      <c r="G95" s="133">
        <v>9</v>
      </c>
      <c r="H95" s="134">
        <v>536</v>
      </c>
    </row>
    <row r="96" spans="1:8" ht="19.8" customHeight="1" x14ac:dyDescent="0.3">
      <c r="A96" s="140">
        <v>45987</v>
      </c>
      <c r="B96" s="131" t="s">
        <v>35</v>
      </c>
      <c r="C96" s="132" t="s">
        <v>45</v>
      </c>
      <c r="D96" s="131" t="s">
        <v>1</v>
      </c>
      <c r="E96" s="141">
        <v>1.1284722222222221</v>
      </c>
      <c r="F96" s="131" t="s">
        <v>40</v>
      </c>
      <c r="G96" s="133">
        <v>10</v>
      </c>
      <c r="H96" s="134">
        <v>539</v>
      </c>
    </row>
    <row r="97" spans="1:8" ht="19.8" customHeight="1" x14ac:dyDescent="0.3">
      <c r="A97" s="140">
        <v>45987</v>
      </c>
      <c r="B97" s="131" t="s">
        <v>35</v>
      </c>
      <c r="C97" s="132" t="s">
        <v>50</v>
      </c>
      <c r="D97" s="131" t="s">
        <v>1</v>
      </c>
      <c r="E97" s="141">
        <v>1.8888888888888891</v>
      </c>
      <c r="F97" s="131" t="s">
        <v>40</v>
      </c>
      <c r="G97" s="133">
        <v>7</v>
      </c>
      <c r="H97" s="134">
        <v>539</v>
      </c>
    </row>
    <row r="98" spans="1:8" ht="19.8" customHeight="1" x14ac:dyDescent="0.3">
      <c r="A98" s="140">
        <v>45987</v>
      </c>
      <c r="B98" s="131" t="s">
        <v>51</v>
      </c>
      <c r="C98" s="132" t="s">
        <v>52</v>
      </c>
      <c r="D98" s="131" t="s">
        <v>1</v>
      </c>
      <c r="E98" s="141">
        <v>1.9027777777777779</v>
      </c>
      <c r="F98" s="131" t="s">
        <v>56</v>
      </c>
      <c r="G98" s="133">
        <v>6</v>
      </c>
      <c r="H98" s="134">
        <v>549</v>
      </c>
    </row>
    <row r="99" spans="1:8" ht="19.8" customHeight="1" x14ac:dyDescent="0.3">
      <c r="A99" s="140">
        <v>45987</v>
      </c>
      <c r="B99" s="131" t="s">
        <v>51</v>
      </c>
      <c r="C99" s="132" t="s">
        <v>61</v>
      </c>
      <c r="D99" s="131" t="s">
        <v>1</v>
      </c>
      <c r="E99" s="141">
        <v>1.645833333333333</v>
      </c>
      <c r="F99" s="131" t="s">
        <v>56</v>
      </c>
      <c r="G99" s="133">
        <v>1</v>
      </c>
      <c r="H99" s="134">
        <v>549</v>
      </c>
    </row>
    <row r="100" spans="1:8" ht="19.8" customHeight="1" x14ac:dyDescent="0.3">
      <c r="A100" s="140">
        <v>45987</v>
      </c>
      <c r="B100" s="131" t="s">
        <v>51</v>
      </c>
      <c r="C100" s="132" t="s">
        <v>64</v>
      </c>
      <c r="D100" s="131" t="s">
        <v>1</v>
      </c>
      <c r="E100" s="141">
        <v>1.5173611111111109</v>
      </c>
      <c r="F100" s="131" t="s">
        <v>56</v>
      </c>
      <c r="G100" s="133">
        <v>2</v>
      </c>
      <c r="H100" s="134">
        <v>549</v>
      </c>
    </row>
    <row r="101" spans="1:8" ht="19.8" customHeight="1" x14ac:dyDescent="0.3">
      <c r="A101" s="140">
        <v>45987</v>
      </c>
      <c r="B101" s="131" t="s">
        <v>51</v>
      </c>
      <c r="C101" s="132" t="s">
        <v>75</v>
      </c>
      <c r="D101" s="131" t="s">
        <v>1</v>
      </c>
      <c r="E101" s="141">
        <v>1.395833333333333</v>
      </c>
      <c r="F101" s="131" t="s">
        <v>56</v>
      </c>
      <c r="G101" s="133">
        <v>2</v>
      </c>
      <c r="H101" s="134">
        <v>549</v>
      </c>
    </row>
    <row r="102" spans="1:8" ht="19.8" customHeight="1" x14ac:dyDescent="0.3">
      <c r="A102" s="140">
        <v>45987</v>
      </c>
      <c r="B102" s="131" t="s">
        <v>51</v>
      </c>
      <c r="C102" s="132" t="s">
        <v>70</v>
      </c>
      <c r="D102" s="131" t="s">
        <v>1</v>
      </c>
      <c r="E102" s="141">
        <v>1.7986111111111109</v>
      </c>
      <c r="F102" s="131" t="s">
        <v>56</v>
      </c>
      <c r="G102" s="133">
        <v>3</v>
      </c>
      <c r="H102" s="134">
        <v>549</v>
      </c>
    </row>
    <row r="103" spans="1:8" ht="19.8" customHeight="1" x14ac:dyDescent="0.3">
      <c r="A103" s="140">
        <v>45987</v>
      </c>
      <c r="B103" s="131" t="s">
        <v>35</v>
      </c>
      <c r="C103" s="132" t="s">
        <v>36</v>
      </c>
      <c r="D103" s="131" t="s">
        <v>1</v>
      </c>
      <c r="E103" s="141">
        <v>1.302083333333333</v>
      </c>
      <c r="F103" s="131" t="s">
        <v>40</v>
      </c>
      <c r="G103" s="133">
        <v>6</v>
      </c>
      <c r="H103" s="134">
        <v>569</v>
      </c>
    </row>
    <row r="104" spans="1:8" ht="19.8" customHeight="1" x14ac:dyDescent="0.3">
      <c r="A104" s="140">
        <v>45987</v>
      </c>
      <c r="B104" s="131" t="s">
        <v>35</v>
      </c>
      <c r="C104" s="132" t="s">
        <v>47</v>
      </c>
      <c r="D104" s="131" t="s">
        <v>1</v>
      </c>
      <c r="E104" s="141">
        <v>1.788194444444444</v>
      </c>
      <c r="F104" s="131" t="s">
        <v>40</v>
      </c>
      <c r="G104" s="133">
        <v>8</v>
      </c>
      <c r="H104" s="134">
        <v>569</v>
      </c>
    </row>
    <row r="105" spans="1:8" ht="19.8" customHeight="1" x14ac:dyDescent="0.3">
      <c r="A105" s="140">
        <v>45987</v>
      </c>
      <c r="B105" s="131" t="s">
        <v>51</v>
      </c>
      <c r="C105" s="132" t="s">
        <v>66</v>
      </c>
      <c r="D105" s="131" t="s">
        <v>1</v>
      </c>
      <c r="E105" s="141">
        <v>1.854166666666667</v>
      </c>
      <c r="F105" s="131" t="s">
        <v>56</v>
      </c>
      <c r="G105" s="133">
        <v>5</v>
      </c>
      <c r="H105" s="134">
        <v>589</v>
      </c>
    </row>
    <row r="106" spans="1:8" ht="19.8" customHeight="1" x14ac:dyDescent="0.3">
      <c r="A106" s="140">
        <v>45987</v>
      </c>
      <c r="B106" s="131" t="s">
        <v>111</v>
      </c>
      <c r="C106" s="132" t="s">
        <v>112</v>
      </c>
      <c r="D106" s="131" t="s">
        <v>1</v>
      </c>
      <c r="E106" s="141">
        <v>1.270833333333333</v>
      </c>
      <c r="F106" s="131" t="s">
        <v>28</v>
      </c>
      <c r="G106" s="133">
        <v>9</v>
      </c>
      <c r="H106" s="134">
        <v>595</v>
      </c>
    </row>
    <row r="107" spans="1:8" ht="19.8" customHeight="1" x14ac:dyDescent="0.3">
      <c r="A107" s="140">
        <v>45987</v>
      </c>
      <c r="B107" s="131" t="s">
        <v>51</v>
      </c>
      <c r="C107" s="132" t="s">
        <v>71</v>
      </c>
      <c r="D107" s="131" t="s">
        <v>1</v>
      </c>
      <c r="E107" s="141">
        <v>1.256944444444444</v>
      </c>
      <c r="F107" s="131" t="s">
        <v>59</v>
      </c>
      <c r="G107" s="133">
        <v>3</v>
      </c>
      <c r="H107" s="134">
        <v>599</v>
      </c>
    </row>
    <row r="108" spans="1:8" ht="19.8" customHeight="1" x14ac:dyDescent="0.3">
      <c r="A108" s="140">
        <v>45987</v>
      </c>
      <c r="B108" s="131" t="s">
        <v>51</v>
      </c>
      <c r="C108" s="132" t="s">
        <v>69</v>
      </c>
      <c r="D108" s="131" t="s">
        <v>1</v>
      </c>
      <c r="E108" s="141">
        <v>1.302083333333333</v>
      </c>
      <c r="F108" s="131" t="s">
        <v>59</v>
      </c>
      <c r="G108" s="133">
        <v>2</v>
      </c>
      <c r="H108" s="134">
        <v>599</v>
      </c>
    </row>
    <row r="109" spans="1:8" ht="19.8" customHeight="1" x14ac:dyDescent="0.3">
      <c r="A109" s="140">
        <v>45987</v>
      </c>
      <c r="B109" s="131" t="s">
        <v>51</v>
      </c>
      <c r="C109" s="132" t="s">
        <v>52</v>
      </c>
      <c r="D109" s="131" t="s">
        <v>1</v>
      </c>
      <c r="E109" s="141">
        <v>1.9027777777777779</v>
      </c>
      <c r="F109" s="131" t="s">
        <v>59</v>
      </c>
      <c r="G109" s="133">
        <v>6</v>
      </c>
      <c r="H109" s="134">
        <v>639</v>
      </c>
    </row>
    <row r="110" spans="1:8" ht="19.8" customHeight="1" x14ac:dyDescent="0.3">
      <c r="A110" s="140">
        <v>45987</v>
      </c>
      <c r="B110" s="131" t="s">
        <v>51</v>
      </c>
      <c r="C110" s="132" t="s">
        <v>61</v>
      </c>
      <c r="D110" s="131" t="s">
        <v>1</v>
      </c>
      <c r="E110" s="141">
        <v>1.645833333333333</v>
      </c>
      <c r="F110" s="131" t="s">
        <v>59</v>
      </c>
      <c r="G110" s="133">
        <v>1</v>
      </c>
      <c r="H110" s="134">
        <v>639</v>
      </c>
    </row>
    <row r="111" spans="1:8" ht="19.8" customHeight="1" x14ac:dyDescent="0.3">
      <c r="A111" s="140">
        <v>45987</v>
      </c>
      <c r="B111" s="131" t="s">
        <v>51</v>
      </c>
      <c r="C111" s="132" t="s">
        <v>64</v>
      </c>
      <c r="D111" s="131" t="s">
        <v>1</v>
      </c>
      <c r="E111" s="141">
        <v>1.5173611111111109</v>
      </c>
      <c r="F111" s="131" t="s">
        <v>59</v>
      </c>
      <c r="G111" s="133">
        <v>2</v>
      </c>
      <c r="H111" s="134">
        <v>639</v>
      </c>
    </row>
    <row r="112" spans="1:8" ht="19.8" customHeight="1" x14ac:dyDescent="0.3">
      <c r="A112" s="140">
        <v>45987</v>
      </c>
      <c r="B112" s="131" t="s">
        <v>51</v>
      </c>
      <c r="C112" s="132" t="s">
        <v>75</v>
      </c>
      <c r="D112" s="131" t="s">
        <v>1</v>
      </c>
      <c r="E112" s="141">
        <v>1.395833333333333</v>
      </c>
      <c r="F112" s="131" t="s">
        <v>59</v>
      </c>
      <c r="G112" s="133">
        <v>2</v>
      </c>
      <c r="H112" s="134">
        <v>639</v>
      </c>
    </row>
    <row r="113" spans="1:8" ht="19.8" customHeight="1" x14ac:dyDescent="0.3">
      <c r="A113" s="140">
        <v>45987</v>
      </c>
      <c r="B113" s="131" t="s">
        <v>51</v>
      </c>
      <c r="C113" s="132" t="s">
        <v>70</v>
      </c>
      <c r="D113" s="131" t="s">
        <v>1</v>
      </c>
      <c r="E113" s="141">
        <v>1.7986111111111109</v>
      </c>
      <c r="F113" s="131" t="s">
        <v>59</v>
      </c>
      <c r="G113" s="133">
        <v>3</v>
      </c>
      <c r="H113" s="134">
        <v>639</v>
      </c>
    </row>
    <row r="114" spans="1:8" ht="19.8" customHeight="1" x14ac:dyDescent="0.3">
      <c r="A114" s="140">
        <v>45987</v>
      </c>
      <c r="B114" s="131" t="s">
        <v>105</v>
      </c>
      <c r="C114" s="132" t="s">
        <v>171</v>
      </c>
      <c r="D114" s="131" t="s">
        <v>1</v>
      </c>
      <c r="E114" s="141">
        <v>1.3923611111111109</v>
      </c>
      <c r="F114" s="131" t="s">
        <v>43</v>
      </c>
      <c r="G114" s="133">
        <v>9</v>
      </c>
      <c r="H114" s="134">
        <v>660</v>
      </c>
    </row>
    <row r="115" spans="1:8" ht="19.8" customHeight="1" x14ac:dyDescent="0.3">
      <c r="A115" s="140">
        <v>45987</v>
      </c>
      <c r="B115" s="131" t="s">
        <v>140</v>
      </c>
      <c r="C115" s="132" t="s">
        <v>174</v>
      </c>
      <c r="D115" s="131" t="s">
        <v>1</v>
      </c>
      <c r="E115" s="141">
        <v>1.7847222222222221</v>
      </c>
      <c r="F115" s="131" t="s">
        <v>142</v>
      </c>
      <c r="G115" s="133">
        <v>9</v>
      </c>
      <c r="H115" s="134">
        <v>673</v>
      </c>
    </row>
    <row r="116" spans="1:8" ht="19.8" customHeight="1" x14ac:dyDescent="0.3">
      <c r="A116" s="140">
        <v>45987</v>
      </c>
      <c r="B116" s="131" t="s">
        <v>118</v>
      </c>
      <c r="C116" s="132" t="s">
        <v>129</v>
      </c>
      <c r="D116" s="131" t="s">
        <v>1</v>
      </c>
      <c r="E116" s="141">
        <v>1.1423611111111109</v>
      </c>
      <c r="F116" s="131" t="s">
        <v>120</v>
      </c>
      <c r="G116" s="133">
        <v>9</v>
      </c>
      <c r="H116" s="134">
        <v>678</v>
      </c>
    </row>
    <row r="117" spans="1:8" ht="19.8" customHeight="1" x14ac:dyDescent="0.3">
      <c r="A117" s="140">
        <v>45987</v>
      </c>
      <c r="B117" s="131" t="s">
        <v>51</v>
      </c>
      <c r="C117" s="132" t="s">
        <v>66</v>
      </c>
      <c r="D117" s="131" t="s">
        <v>1</v>
      </c>
      <c r="E117" s="141">
        <v>1.854166666666667</v>
      </c>
      <c r="F117" s="131" t="s">
        <v>59</v>
      </c>
      <c r="G117" s="133">
        <v>5</v>
      </c>
      <c r="H117" s="134">
        <v>679</v>
      </c>
    </row>
    <row r="118" spans="1:8" ht="19.8" customHeight="1" x14ac:dyDescent="0.3">
      <c r="A118" s="140">
        <v>45987</v>
      </c>
      <c r="B118" s="131" t="s">
        <v>111</v>
      </c>
      <c r="C118" s="132" t="s">
        <v>115</v>
      </c>
      <c r="D118" s="131" t="s">
        <v>1</v>
      </c>
      <c r="E118" s="141">
        <v>1.8611111111111109</v>
      </c>
      <c r="F118" s="131" t="s">
        <v>28</v>
      </c>
      <c r="G118" s="133">
        <v>3</v>
      </c>
      <c r="H118" s="134">
        <v>695</v>
      </c>
    </row>
    <row r="119" spans="1:8" ht="19.8" customHeight="1" x14ac:dyDescent="0.3">
      <c r="A119" s="140">
        <v>45987</v>
      </c>
      <c r="B119" s="131" t="s">
        <v>118</v>
      </c>
      <c r="C119" s="132" t="s">
        <v>129</v>
      </c>
      <c r="D119" s="131" t="s">
        <v>1</v>
      </c>
      <c r="E119" s="141">
        <v>1.1423611111111109</v>
      </c>
      <c r="F119" s="131" t="s">
        <v>122</v>
      </c>
      <c r="G119" s="133">
        <v>9</v>
      </c>
      <c r="H119" s="134">
        <v>723</v>
      </c>
    </row>
    <row r="120" spans="1:8" ht="19.8" customHeight="1" x14ac:dyDescent="0.3">
      <c r="A120" s="140">
        <v>45987</v>
      </c>
      <c r="B120" s="131" t="s">
        <v>140</v>
      </c>
      <c r="C120" s="132" t="s">
        <v>149</v>
      </c>
      <c r="D120" s="131" t="s">
        <v>1</v>
      </c>
      <c r="E120" s="141">
        <v>1.145833333333333</v>
      </c>
      <c r="F120" s="131" t="s">
        <v>142</v>
      </c>
      <c r="G120" s="133">
        <v>9</v>
      </c>
      <c r="H120" s="134">
        <v>765</v>
      </c>
    </row>
    <row r="121" spans="1:8" ht="19.8" customHeight="1" x14ac:dyDescent="0.3">
      <c r="A121" s="140">
        <v>45987</v>
      </c>
      <c r="B121" s="131" t="s">
        <v>140</v>
      </c>
      <c r="C121" s="132" t="s">
        <v>141</v>
      </c>
      <c r="D121" s="131" t="s">
        <v>1</v>
      </c>
      <c r="E121" s="141">
        <v>1.4861111111111109</v>
      </c>
      <c r="F121" s="131" t="s">
        <v>142</v>
      </c>
      <c r="G121" s="133">
        <v>9</v>
      </c>
      <c r="H121" s="134">
        <v>842</v>
      </c>
    </row>
    <row r="122" spans="1:8" ht="19.8" customHeight="1" x14ac:dyDescent="0.3">
      <c r="A122" s="140">
        <v>45987</v>
      </c>
      <c r="B122" s="131" t="s">
        <v>140</v>
      </c>
      <c r="C122" s="132" t="s">
        <v>150</v>
      </c>
      <c r="D122" s="131" t="s">
        <v>1</v>
      </c>
      <c r="E122" s="141">
        <v>1.274305555555556</v>
      </c>
      <c r="F122" s="131" t="s">
        <v>142</v>
      </c>
      <c r="G122" s="133">
        <v>9</v>
      </c>
      <c r="H122" s="134">
        <v>842</v>
      </c>
    </row>
    <row r="123" spans="1:8" ht="19.8" customHeight="1" x14ac:dyDescent="0.3">
      <c r="A123" s="140">
        <v>45987</v>
      </c>
      <c r="B123" s="131" t="s">
        <v>140</v>
      </c>
      <c r="C123" s="132" t="s">
        <v>144</v>
      </c>
      <c r="D123" s="131" t="s">
        <v>1</v>
      </c>
      <c r="E123" s="141">
        <v>1.506944444444444</v>
      </c>
      <c r="F123" s="131" t="s">
        <v>142</v>
      </c>
      <c r="G123" s="133">
        <v>9</v>
      </c>
      <c r="H123" s="134">
        <v>842</v>
      </c>
    </row>
    <row r="124" spans="1:8" ht="19.8" customHeight="1" x14ac:dyDescent="0.3">
      <c r="A124" s="140">
        <v>45987</v>
      </c>
      <c r="B124" s="131" t="s">
        <v>140</v>
      </c>
      <c r="C124" s="132" t="s">
        <v>145</v>
      </c>
      <c r="D124" s="131" t="s">
        <v>1</v>
      </c>
      <c r="E124" s="141">
        <v>1.2222222222222221</v>
      </c>
      <c r="F124" s="131" t="s">
        <v>142</v>
      </c>
      <c r="G124" s="133">
        <v>9</v>
      </c>
      <c r="H124" s="134">
        <v>842</v>
      </c>
    </row>
    <row r="125" spans="1:8" ht="19.8" customHeight="1" x14ac:dyDescent="0.3">
      <c r="A125" s="140">
        <v>45987</v>
      </c>
      <c r="B125" s="131" t="s">
        <v>118</v>
      </c>
      <c r="C125" s="132" t="s">
        <v>119</v>
      </c>
      <c r="D125" s="131" t="s">
        <v>1</v>
      </c>
      <c r="E125" s="141">
        <v>1.3784722222222221</v>
      </c>
      <c r="F125" s="131" t="s">
        <v>120</v>
      </c>
      <c r="G125" s="133">
        <v>9</v>
      </c>
      <c r="H125" s="134">
        <v>935</v>
      </c>
    </row>
    <row r="126" spans="1:8" ht="19.8" customHeight="1" x14ac:dyDescent="0.3">
      <c r="A126" s="140">
        <v>45987</v>
      </c>
      <c r="B126" s="131" t="s">
        <v>118</v>
      </c>
      <c r="C126" s="132" t="s">
        <v>124</v>
      </c>
      <c r="D126" s="131" t="s">
        <v>1</v>
      </c>
      <c r="E126" s="141">
        <v>1.006944444444444</v>
      </c>
      <c r="F126" s="131" t="s">
        <v>120</v>
      </c>
      <c r="G126" s="133">
        <v>9</v>
      </c>
      <c r="H126" s="134">
        <v>935</v>
      </c>
    </row>
    <row r="127" spans="1:8" ht="19.8" customHeight="1" x14ac:dyDescent="0.3">
      <c r="A127" s="140">
        <v>45987</v>
      </c>
      <c r="B127" s="131" t="s">
        <v>118</v>
      </c>
      <c r="C127" s="132" t="s">
        <v>128</v>
      </c>
      <c r="D127" s="131" t="s">
        <v>1</v>
      </c>
      <c r="E127" s="141">
        <v>1.239583333333333</v>
      </c>
      <c r="F127" s="131" t="s">
        <v>120</v>
      </c>
      <c r="G127" s="133">
        <v>9</v>
      </c>
      <c r="H127" s="134">
        <v>935</v>
      </c>
    </row>
    <row r="128" spans="1:8" ht="19.8" customHeight="1" x14ac:dyDescent="0.3">
      <c r="A128" s="140">
        <v>45987</v>
      </c>
      <c r="B128" s="131" t="s">
        <v>140</v>
      </c>
      <c r="C128" s="132" t="s">
        <v>178</v>
      </c>
      <c r="D128" s="131" t="s">
        <v>1</v>
      </c>
      <c r="E128" s="141">
        <v>1.958333333333333</v>
      </c>
      <c r="F128" s="131" t="s">
        <v>142</v>
      </c>
      <c r="G128" s="133">
        <v>9</v>
      </c>
      <c r="H128" s="134">
        <v>970</v>
      </c>
    </row>
    <row r="129" spans="1:8" ht="19.8" customHeight="1" x14ac:dyDescent="0.3">
      <c r="A129" s="140">
        <v>45987</v>
      </c>
      <c r="B129" s="131" t="s">
        <v>118</v>
      </c>
      <c r="C129" s="132" t="s">
        <v>119</v>
      </c>
      <c r="D129" s="131" t="s">
        <v>1</v>
      </c>
      <c r="E129" s="141">
        <v>1.3784722222222221</v>
      </c>
      <c r="F129" s="131" t="s">
        <v>122</v>
      </c>
      <c r="G129" s="133">
        <v>9</v>
      </c>
      <c r="H129" s="134">
        <v>980</v>
      </c>
    </row>
    <row r="130" spans="1:8" ht="19.8" customHeight="1" x14ac:dyDescent="0.3">
      <c r="A130" s="140">
        <v>45987</v>
      </c>
      <c r="B130" s="131" t="s">
        <v>118</v>
      </c>
      <c r="C130" s="132" t="s">
        <v>124</v>
      </c>
      <c r="D130" s="131" t="s">
        <v>1</v>
      </c>
      <c r="E130" s="141">
        <v>1.006944444444444</v>
      </c>
      <c r="F130" s="131" t="s">
        <v>122</v>
      </c>
      <c r="G130" s="133">
        <v>9</v>
      </c>
      <c r="H130" s="134">
        <v>980</v>
      </c>
    </row>
    <row r="131" spans="1:8" ht="19.8" customHeight="1" x14ac:dyDescent="0.3">
      <c r="A131" s="140">
        <v>45987</v>
      </c>
      <c r="B131" s="131" t="s">
        <v>118</v>
      </c>
      <c r="C131" s="132" t="s">
        <v>128</v>
      </c>
      <c r="D131" s="131" t="s">
        <v>1</v>
      </c>
      <c r="E131" s="141">
        <v>1.239583333333333</v>
      </c>
      <c r="F131" s="131" t="s">
        <v>122</v>
      </c>
      <c r="G131" s="133">
        <v>9</v>
      </c>
      <c r="H131" s="134">
        <v>980</v>
      </c>
    </row>
    <row r="132" spans="1:8" ht="19.8" customHeight="1" x14ac:dyDescent="0.3">
      <c r="A132" s="140">
        <v>45987</v>
      </c>
      <c r="B132" s="131" t="s">
        <v>35</v>
      </c>
      <c r="C132" s="132" t="s">
        <v>36</v>
      </c>
      <c r="D132" s="131" t="s">
        <v>1</v>
      </c>
      <c r="E132" s="141">
        <v>1.302083333333333</v>
      </c>
      <c r="F132" s="131" t="s">
        <v>43</v>
      </c>
      <c r="G132" s="133">
        <v>6</v>
      </c>
      <c r="H132" s="144" t="s">
        <v>44</v>
      </c>
    </row>
    <row r="133" spans="1:8" ht="19.8" customHeight="1" x14ac:dyDescent="0.3">
      <c r="A133" s="140">
        <v>45987</v>
      </c>
      <c r="B133" s="131" t="s">
        <v>35</v>
      </c>
      <c r="C133" s="132" t="s">
        <v>45</v>
      </c>
      <c r="D133" s="131" t="s">
        <v>1</v>
      </c>
      <c r="E133" s="141">
        <v>1.1284722222222221</v>
      </c>
      <c r="F133" s="131" t="s">
        <v>43</v>
      </c>
      <c r="G133" s="133">
        <v>10</v>
      </c>
      <c r="H133" s="144" t="s">
        <v>44</v>
      </c>
    </row>
    <row r="134" spans="1:8" ht="19.8" customHeight="1" x14ac:dyDescent="0.3">
      <c r="A134" s="140">
        <v>45987</v>
      </c>
      <c r="B134" s="131" t="s">
        <v>35</v>
      </c>
      <c r="C134" s="132" t="s">
        <v>47</v>
      </c>
      <c r="D134" s="131" t="s">
        <v>1</v>
      </c>
      <c r="E134" s="141">
        <v>1.788194444444444</v>
      </c>
      <c r="F134" s="131" t="s">
        <v>43</v>
      </c>
      <c r="G134" s="133">
        <v>8</v>
      </c>
      <c r="H134" s="144" t="s">
        <v>44</v>
      </c>
    </row>
    <row r="135" spans="1:8" ht="19.8" customHeight="1" x14ac:dyDescent="0.3">
      <c r="A135" s="140">
        <v>45987</v>
      </c>
      <c r="B135" s="131" t="s">
        <v>35</v>
      </c>
      <c r="C135" s="132" t="s">
        <v>50</v>
      </c>
      <c r="D135" s="131" t="s">
        <v>1</v>
      </c>
      <c r="E135" s="141">
        <v>1.8888888888888891</v>
      </c>
      <c r="F135" s="131" t="s">
        <v>43</v>
      </c>
      <c r="G135" s="133">
        <v>7</v>
      </c>
      <c r="H135" s="144" t="s">
        <v>44</v>
      </c>
    </row>
    <row r="136" spans="1:8" ht="19.8" customHeight="1" x14ac:dyDescent="0.3">
      <c r="A136" s="140">
        <v>45987</v>
      </c>
      <c r="B136" s="131" t="s">
        <v>118</v>
      </c>
      <c r="C136" s="132" t="s">
        <v>135</v>
      </c>
      <c r="D136" s="131" t="s">
        <v>1</v>
      </c>
      <c r="E136" s="141">
        <v>1.8888888888888891</v>
      </c>
      <c r="F136" s="131" t="s">
        <v>122</v>
      </c>
      <c r="G136" s="133">
        <v>4</v>
      </c>
      <c r="H136" s="144" t="s">
        <v>179</v>
      </c>
    </row>
    <row r="137" spans="1:8" ht="19.8" customHeight="1" x14ac:dyDescent="0.3">
      <c r="A137" s="140">
        <v>45987</v>
      </c>
      <c r="B137" s="131" t="s">
        <v>118</v>
      </c>
      <c r="C137" s="132" t="s">
        <v>138</v>
      </c>
      <c r="D137" s="131" t="s">
        <v>1</v>
      </c>
      <c r="E137" s="141">
        <v>1.1284722222222221</v>
      </c>
      <c r="F137" s="131" t="s">
        <v>122</v>
      </c>
      <c r="G137" s="133">
        <v>4</v>
      </c>
      <c r="H137" s="144" t="s">
        <v>179</v>
      </c>
    </row>
    <row r="138" spans="1:8" ht="19.8" customHeight="1" x14ac:dyDescent="0.3">
      <c r="A138" s="140">
        <v>45987</v>
      </c>
      <c r="B138" s="131" t="s">
        <v>140</v>
      </c>
      <c r="C138" s="132" t="s">
        <v>147</v>
      </c>
      <c r="D138" s="131" t="s">
        <v>1</v>
      </c>
      <c r="E138" s="141">
        <v>1.0138888888888891</v>
      </c>
      <c r="F138" s="131" t="s">
        <v>142</v>
      </c>
      <c r="G138" s="133">
        <v>9</v>
      </c>
      <c r="H138" s="144" t="s">
        <v>148</v>
      </c>
    </row>
    <row r="139" spans="1:8" ht="19.8" customHeight="1" x14ac:dyDescent="0.3">
      <c r="A139" s="140">
        <v>45987</v>
      </c>
      <c r="B139" s="131" t="s">
        <v>118</v>
      </c>
      <c r="C139" s="132" t="s">
        <v>130</v>
      </c>
      <c r="D139" s="131" t="s">
        <v>1</v>
      </c>
      <c r="E139" s="141">
        <v>1.930555555555556</v>
      </c>
      <c r="F139" s="131" t="s">
        <v>120</v>
      </c>
      <c r="G139" s="133">
        <v>9</v>
      </c>
      <c r="H139" s="144" t="s">
        <v>180</v>
      </c>
    </row>
    <row r="140" spans="1:8" ht="19.8" customHeight="1" x14ac:dyDescent="0.3">
      <c r="A140" s="140">
        <v>45987</v>
      </c>
      <c r="B140" s="131" t="s">
        <v>118</v>
      </c>
      <c r="C140" s="132" t="s">
        <v>130</v>
      </c>
      <c r="D140" s="131" t="s">
        <v>1</v>
      </c>
      <c r="E140" s="141">
        <v>1.930555555555556</v>
      </c>
      <c r="F140" s="131" t="s">
        <v>122</v>
      </c>
      <c r="G140" s="133">
        <v>9</v>
      </c>
      <c r="H140" s="144" t="s">
        <v>181</v>
      </c>
    </row>
    <row r="141" spans="1:8" ht="19.8" customHeight="1" x14ac:dyDescent="0.3">
      <c r="A141" s="140">
        <v>45987</v>
      </c>
      <c r="B141" s="131" t="s">
        <v>118</v>
      </c>
      <c r="C141" s="132" t="s">
        <v>137</v>
      </c>
      <c r="D141" s="131" t="s">
        <v>1</v>
      </c>
      <c r="E141" s="141">
        <v>1.302083333333333</v>
      </c>
      <c r="F141" s="131" t="s">
        <v>122</v>
      </c>
      <c r="G141" s="133">
        <v>4</v>
      </c>
      <c r="H141" s="144" t="s">
        <v>136</v>
      </c>
    </row>
    <row r="142" spans="1:8" ht="19.8" customHeight="1" x14ac:dyDescent="0.3">
      <c r="A142" s="140">
        <v>45987</v>
      </c>
      <c r="B142" s="131" t="s">
        <v>118</v>
      </c>
      <c r="C142" s="132" t="s">
        <v>139</v>
      </c>
      <c r="D142" s="131" t="s">
        <v>1</v>
      </c>
      <c r="E142" s="141">
        <v>1.788194444444444</v>
      </c>
      <c r="F142" s="131" t="s">
        <v>122</v>
      </c>
      <c r="G142" s="133">
        <v>4</v>
      </c>
      <c r="H142" s="144" t="s">
        <v>136</v>
      </c>
    </row>
    <row r="143" spans="1:8" ht="19.8" customHeight="1" x14ac:dyDescent="0.3">
      <c r="A143" s="140">
        <v>45987</v>
      </c>
      <c r="B143" s="131" t="s">
        <v>118</v>
      </c>
      <c r="C143" s="132" t="s">
        <v>131</v>
      </c>
      <c r="D143" s="131" t="s">
        <v>1</v>
      </c>
      <c r="E143" s="141">
        <v>1.71875</v>
      </c>
      <c r="F143" s="131" t="s">
        <v>120</v>
      </c>
      <c r="G143" s="133">
        <v>9</v>
      </c>
      <c r="H143" s="144" t="s">
        <v>182</v>
      </c>
    </row>
    <row r="144" spans="1:8" ht="19.8" customHeight="1" x14ac:dyDescent="0.3">
      <c r="A144" s="140">
        <v>45987</v>
      </c>
      <c r="B144" s="131" t="s">
        <v>118</v>
      </c>
      <c r="C144" s="132" t="s">
        <v>184</v>
      </c>
      <c r="D144" s="131" t="s">
        <v>1</v>
      </c>
      <c r="E144" s="141">
        <v>1.6111111111111109</v>
      </c>
      <c r="F144" s="131" t="s">
        <v>120</v>
      </c>
      <c r="G144" s="133">
        <v>9</v>
      </c>
      <c r="H144" s="144" t="s">
        <v>182</v>
      </c>
    </row>
    <row r="145" spans="1:8" ht="19.8" customHeight="1" x14ac:dyDescent="0.3">
      <c r="A145" s="140">
        <v>45987</v>
      </c>
      <c r="B145" s="131" t="s">
        <v>118</v>
      </c>
      <c r="C145" s="132" t="s">
        <v>134</v>
      </c>
      <c r="D145" s="131" t="s">
        <v>1</v>
      </c>
      <c r="E145" s="141">
        <v>1.8298611111111109</v>
      </c>
      <c r="F145" s="131" t="s">
        <v>120</v>
      </c>
      <c r="G145" s="133">
        <v>9</v>
      </c>
      <c r="H145" s="144" t="s">
        <v>182</v>
      </c>
    </row>
    <row r="146" spans="1:8" ht="19.8" customHeight="1" x14ac:dyDescent="0.3">
      <c r="A146" s="140">
        <v>45987</v>
      </c>
      <c r="B146" s="131" t="s">
        <v>118</v>
      </c>
      <c r="C146" s="132" t="s">
        <v>131</v>
      </c>
      <c r="D146" s="131" t="s">
        <v>1</v>
      </c>
      <c r="E146" s="141">
        <v>1.71875</v>
      </c>
      <c r="F146" s="131" t="s">
        <v>122</v>
      </c>
      <c r="G146" s="133">
        <v>9</v>
      </c>
      <c r="H146" s="144" t="s">
        <v>183</v>
      </c>
    </row>
    <row r="147" spans="1:8" ht="19.8" customHeight="1" x14ac:dyDescent="0.3">
      <c r="A147" s="140">
        <v>45987</v>
      </c>
      <c r="B147" s="131" t="s">
        <v>118</v>
      </c>
      <c r="C147" s="132" t="s">
        <v>184</v>
      </c>
      <c r="D147" s="131" t="s">
        <v>1</v>
      </c>
      <c r="E147" s="141">
        <v>1.6111111111111109</v>
      </c>
      <c r="F147" s="131" t="s">
        <v>122</v>
      </c>
      <c r="G147" s="133">
        <v>9</v>
      </c>
      <c r="H147" s="144" t="s">
        <v>183</v>
      </c>
    </row>
    <row r="148" spans="1:8" ht="19.8" customHeight="1" x14ac:dyDescent="0.3">
      <c r="A148" s="140">
        <v>45987</v>
      </c>
      <c r="B148" s="131" t="s">
        <v>118</v>
      </c>
      <c r="C148" s="132" t="s">
        <v>134</v>
      </c>
      <c r="D148" s="131" t="s">
        <v>1</v>
      </c>
      <c r="E148" s="141">
        <v>1.8298611111111109</v>
      </c>
      <c r="F148" s="131" t="s">
        <v>122</v>
      </c>
      <c r="G148" s="133">
        <v>9</v>
      </c>
      <c r="H148" s="144" t="s">
        <v>183</v>
      </c>
    </row>
    <row r="149" spans="1:8" ht="19.8" customHeight="1" x14ac:dyDescent="0.3">
      <c r="A149" s="151">
        <v>45987</v>
      </c>
      <c r="B149" s="152" t="s">
        <v>140</v>
      </c>
      <c r="C149" s="153" t="s">
        <v>152</v>
      </c>
      <c r="D149" s="152" t="s">
        <v>1</v>
      </c>
      <c r="E149" s="154">
        <v>1.774305555555556</v>
      </c>
      <c r="F149" s="152" t="s">
        <v>142</v>
      </c>
      <c r="G149" s="155">
        <v>3</v>
      </c>
      <c r="H149" s="156" t="s">
        <v>153</v>
      </c>
    </row>
    <row r="150" spans="1:8" ht="19.8" customHeight="1" x14ac:dyDescent="0.3">
      <c r="A150" s="140">
        <v>45988</v>
      </c>
      <c r="B150" s="131" t="s">
        <v>35</v>
      </c>
      <c r="C150" s="132" t="s">
        <v>45</v>
      </c>
      <c r="D150" s="131" t="s">
        <v>1</v>
      </c>
      <c r="E150" s="141">
        <v>1.1284722222222221</v>
      </c>
      <c r="F150" s="131" t="s">
        <v>37</v>
      </c>
      <c r="G150" s="133">
        <v>6</v>
      </c>
      <c r="H150" s="134">
        <v>359</v>
      </c>
    </row>
    <row r="151" spans="1:8" ht="19.8" customHeight="1" x14ac:dyDescent="0.3">
      <c r="A151" s="140">
        <v>45988</v>
      </c>
      <c r="B151" s="131" t="s">
        <v>35</v>
      </c>
      <c r="C151" s="132" t="s">
        <v>36</v>
      </c>
      <c r="D151" s="131" t="s">
        <v>1</v>
      </c>
      <c r="E151" s="141">
        <v>1.302083333333333</v>
      </c>
      <c r="F151" s="131" t="s">
        <v>37</v>
      </c>
      <c r="G151" s="133">
        <v>6</v>
      </c>
      <c r="H151" s="134">
        <v>389</v>
      </c>
    </row>
    <row r="152" spans="1:8" ht="19.8" customHeight="1" x14ac:dyDescent="0.3">
      <c r="A152" s="140">
        <v>45988</v>
      </c>
      <c r="B152" s="131" t="s">
        <v>35</v>
      </c>
      <c r="C152" s="132" t="s">
        <v>47</v>
      </c>
      <c r="D152" s="131" t="s">
        <v>1</v>
      </c>
      <c r="E152" s="141">
        <v>1.788194444444444</v>
      </c>
      <c r="F152" s="131" t="s">
        <v>37</v>
      </c>
      <c r="G152" s="133">
        <v>9</v>
      </c>
      <c r="H152" s="134">
        <v>389</v>
      </c>
    </row>
    <row r="153" spans="1:8" ht="19.8" customHeight="1" x14ac:dyDescent="0.3">
      <c r="A153" s="140">
        <v>45988</v>
      </c>
      <c r="B153" s="131" t="s">
        <v>35</v>
      </c>
      <c r="C153" s="132" t="s">
        <v>50</v>
      </c>
      <c r="D153" s="131" t="s">
        <v>1</v>
      </c>
      <c r="E153" s="141">
        <v>1.8888888888888891</v>
      </c>
      <c r="F153" s="131" t="s">
        <v>37</v>
      </c>
      <c r="G153" s="133">
        <v>8</v>
      </c>
      <c r="H153" s="134">
        <v>389</v>
      </c>
    </row>
    <row r="154" spans="1:8" ht="19.8" customHeight="1" x14ac:dyDescent="0.3">
      <c r="A154" s="140">
        <v>45988</v>
      </c>
      <c r="B154" s="131" t="s">
        <v>111</v>
      </c>
      <c r="C154" s="132" t="s">
        <v>112</v>
      </c>
      <c r="D154" s="131" t="s">
        <v>1</v>
      </c>
      <c r="E154" s="141">
        <v>1.291666666666667</v>
      </c>
      <c r="F154" s="131" t="s">
        <v>28</v>
      </c>
      <c r="G154" s="133">
        <v>9</v>
      </c>
      <c r="H154" s="134">
        <v>400</v>
      </c>
    </row>
    <row r="155" spans="1:8" ht="19.8" customHeight="1" x14ac:dyDescent="0.3">
      <c r="A155" s="140">
        <v>45988</v>
      </c>
      <c r="B155" s="131" t="s">
        <v>111</v>
      </c>
      <c r="C155" s="132" t="s">
        <v>115</v>
      </c>
      <c r="D155" s="131" t="s">
        <v>1</v>
      </c>
      <c r="E155" s="141">
        <v>1.59375</v>
      </c>
      <c r="F155" s="131" t="s">
        <v>28</v>
      </c>
      <c r="G155" s="133">
        <v>9</v>
      </c>
      <c r="H155" s="134">
        <v>400</v>
      </c>
    </row>
    <row r="156" spans="1:8" ht="19.8" customHeight="1" x14ac:dyDescent="0.3">
      <c r="A156" s="142">
        <v>45988</v>
      </c>
      <c r="B156" s="136" t="s">
        <v>76</v>
      </c>
      <c r="C156" s="137" t="s">
        <v>187</v>
      </c>
      <c r="D156" s="136" t="s">
        <v>1</v>
      </c>
      <c r="E156" s="143">
        <v>1.2534722222222221</v>
      </c>
      <c r="F156" s="136" t="s">
        <v>78</v>
      </c>
      <c r="G156" s="138">
        <v>1</v>
      </c>
      <c r="H156" s="139">
        <v>401</v>
      </c>
    </row>
    <row r="157" spans="1:8" ht="19.8" customHeight="1" x14ac:dyDescent="0.3">
      <c r="A157" s="140">
        <v>45988</v>
      </c>
      <c r="B157" s="131" t="s">
        <v>51</v>
      </c>
      <c r="C157" s="132" t="s">
        <v>52</v>
      </c>
      <c r="D157" s="131" t="s">
        <v>1</v>
      </c>
      <c r="E157" s="141">
        <v>1.9027777777777779</v>
      </c>
      <c r="F157" s="131" t="s">
        <v>53</v>
      </c>
      <c r="G157" s="133">
        <v>1</v>
      </c>
      <c r="H157" s="134">
        <v>409</v>
      </c>
    </row>
    <row r="158" spans="1:8" ht="19.8" customHeight="1" x14ac:dyDescent="0.3">
      <c r="A158" s="140">
        <v>45988</v>
      </c>
      <c r="B158" s="131" t="s">
        <v>51</v>
      </c>
      <c r="C158" s="132" t="s">
        <v>61</v>
      </c>
      <c r="D158" s="131" t="s">
        <v>1</v>
      </c>
      <c r="E158" s="141">
        <v>1.6597222222222221</v>
      </c>
      <c r="F158" s="131" t="s">
        <v>53</v>
      </c>
      <c r="G158" s="133">
        <v>9</v>
      </c>
      <c r="H158" s="134">
        <v>409</v>
      </c>
    </row>
    <row r="159" spans="1:8" ht="19.8" customHeight="1" x14ac:dyDescent="0.3">
      <c r="A159" s="140">
        <v>45988</v>
      </c>
      <c r="B159" s="131" t="s">
        <v>51</v>
      </c>
      <c r="C159" s="132" t="s">
        <v>64</v>
      </c>
      <c r="D159" s="131" t="s">
        <v>1</v>
      </c>
      <c r="E159" s="141">
        <v>1.5173611111111109</v>
      </c>
      <c r="F159" s="131" t="s">
        <v>53</v>
      </c>
      <c r="G159" s="133">
        <v>9</v>
      </c>
      <c r="H159" s="134">
        <v>409</v>
      </c>
    </row>
    <row r="160" spans="1:8" ht="19.8" customHeight="1" x14ac:dyDescent="0.3">
      <c r="A160" s="140">
        <v>45988</v>
      </c>
      <c r="B160" s="131" t="s">
        <v>51</v>
      </c>
      <c r="C160" s="132" t="s">
        <v>66</v>
      </c>
      <c r="D160" s="131" t="s">
        <v>1</v>
      </c>
      <c r="E160" s="141">
        <v>1.854166666666667</v>
      </c>
      <c r="F160" s="131" t="s">
        <v>53</v>
      </c>
      <c r="G160" s="133">
        <v>4</v>
      </c>
      <c r="H160" s="134">
        <v>409</v>
      </c>
    </row>
    <row r="161" spans="1:8" ht="19.8" customHeight="1" x14ac:dyDescent="0.3">
      <c r="A161" s="140">
        <v>45988</v>
      </c>
      <c r="B161" s="131" t="s">
        <v>51</v>
      </c>
      <c r="C161" s="132" t="s">
        <v>69</v>
      </c>
      <c r="D161" s="131" t="s">
        <v>1</v>
      </c>
      <c r="E161" s="141">
        <v>1.302083333333333</v>
      </c>
      <c r="F161" s="131" t="s">
        <v>53</v>
      </c>
      <c r="G161" s="133">
        <v>5</v>
      </c>
      <c r="H161" s="134">
        <v>409</v>
      </c>
    </row>
    <row r="162" spans="1:8" ht="19.8" customHeight="1" x14ac:dyDescent="0.3">
      <c r="A162" s="140">
        <v>45988</v>
      </c>
      <c r="B162" s="131" t="s">
        <v>51</v>
      </c>
      <c r="C162" s="132" t="s">
        <v>70</v>
      </c>
      <c r="D162" s="131" t="s">
        <v>1</v>
      </c>
      <c r="E162" s="141">
        <v>1.7986111111111109</v>
      </c>
      <c r="F162" s="131" t="s">
        <v>53</v>
      </c>
      <c r="G162" s="133">
        <v>3</v>
      </c>
      <c r="H162" s="134">
        <v>409</v>
      </c>
    </row>
    <row r="163" spans="1:8" ht="19.8" customHeight="1" x14ac:dyDescent="0.3">
      <c r="A163" s="142">
        <v>45988</v>
      </c>
      <c r="B163" s="136" t="s">
        <v>76</v>
      </c>
      <c r="C163" s="137" t="s">
        <v>191</v>
      </c>
      <c r="D163" s="136" t="s">
        <v>1</v>
      </c>
      <c r="E163" s="143">
        <v>1.364583333333333</v>
      </c>
      <c r="F163" s="136" t="s">
        <v>78</v>
      </c>
      <c r="G163" s="138">
        <v>9</v>
      </c>
      <c r="H163" s="139">
        <v>436</v>
      </c>
    </row>
    <row r="164" spans="1:8" ht="19.8" customHeight="1" x14ac:dyDescent="0.3">
      <c r="A164" s="142">
        <v>45988</v>
      </c>
      <c r="B164" s="136" t="s">
        <v>76</v>
      </c>
      <c r="C164" s="137" t="s">
        <v>77</v>
      </c>
      <c r="D164" s="136" t="s">
        <v>1</v>
      </c>
      <c r="E164" s="143">
        <v>1.333333333333333</v>
      </c>
      <c r="F164" s="136" t="s">
        <v>78</v>
      </c>
      <c r="G164" s="138">
        <v>6</v>
      </c>
      <c r="H164" s="139">
        <v>436</v>
      </c>
    </row>
    <row r="165" spans="1:8" ht="19.8" customHeight="1" x14ac:dyDescent="0.3">
      <c r="A165" s="142">
        <v>45988</v>
      </c>
      <c r="B165" s="136" t="s">
        <v>76</v>
      </c>
      <c r="C165" s="137" t="s">
        <v>93</v>
      </c>
      <c r="D165" s="136" t="s">
        <v>1</v>
      </c>
      <c r="E165" s="143">
        <v>1.583333333333333</v>
      </c>
      <c r="F165" s="136" t="s">
        <v>78</v>
      </c>
      <c r="G165" s="138">
        <v>5</v>
      </c>
      <c r="H165" s="139">
        <v>436</v>
      </c>
    </row>
    <row r="166" spans="1:8" ht="19.8" customHeight="1" x14ac:dyDescent="0.3">
      <c r="A166" s="142">
        <v>45988</v>
      </c>
      <c r="B166" s="136" t="s">
        <v>76</v>
      </c>
      <c r="C166" s="137" t="s">
        <v>200</v>
      </c>
      <c r="D166" s="136" t="s">
        <v>1</v>
      </c>
      <c r="E166" s="143">
        <v>1.739583333333333</v>
      </c>
      <c r="F166" s="136" t="s">
        <v>78</v>
      </c>
      <c r="G166" s="138">
        <v>6</v>
      </c>
      <c r="H166" s="139">
        <v>436</v>
      </c>
    </row>
    <row r="167" spans="1:8" ht="19.8" customHeight="1" x14ac:dyDescent="0.3">
      <c r="A167" s="140">
        <v>45988</v>
      </c>
      <c r="B167" s="131" t="s">
        <v>105</v>
      </c>
      <c r="C167" s="132" t="s">
        <v>171</v>
      </c>
      <c r="D167" s="131" t="s">
        <v>1</v>
      </c>
      <c r="E167" s="141">
        <v>1.3298611111111109</v>
      </c>
      <c r="F167" s="131" t="s">
        <v>107</v>
      </c>
      <c r="G167" s="133">
        <v>9</v>
      </c>
      <c r="H167" s="134">
        <v>439</v>
      </c>
    </row>
    <row r="168" spans="1:8" ht="19.8" customHeight="1" x14ac:dyDescent="0.3">
      <c r="A168" s="140">
        <v>45988</v>
      </c>
      <c r="B168" s="131" t="s">
        <v>51</v>
      </c>
      <c r="C168" s="132" t="s">
        <v>71</v>
      </c>
      <c r="D168" s="131" t="s">
        <v>1</v>
      </c>
      <c r="E168" s="141">
        <v>1.256944444444444</v>
      </c>
      <c r="F168" s="131" t="s">
        <v>53</v>
      </c>
      <c r="G168" s="133">
        <v>9</v>
      </c>
      <c r="H168" s="134">
        <v>449</v>
      </c>
    </row>
    <row r="169" spans="1:8" ht="19.8" customHeight="1" x14ac:dyDescent="0.3">
      <c r="A169" s="140">
        <v>45988</v>
      </c>
      <c r="B169" s="131" t="s">
        <v>51</v>
      </c>
      <c r="C169" s="132" t="s">
        <v>75</v>
      </c>
      <c r="D169" s="131" t="s">
        <v>1</v>
      </c>
      <c r="E169" s="141">
        <v>1.395833333333333</v>
      </c>
      <c r="F169" s="131" t="s">
        <v>53</v>
      </c>
      <c r="G169" s="133">
        <v>9</v>
      </c>
      <c r="H169" s="134">
        <v>449</v>
      </c>
    </row>
    <row r="170" spans="1:8" ht="19.8" customHeight="1" x14ac:dyDescent="0.3">
      <c r="A170" s="142">
        <v>45988</v>
      </c>
      <c r="B170" s="136" t="s">
        <v>76</v>
      </c>
      <c r="C170" s="137" t="s">
        <v>83</v>
      </c>
      <c r="D170" s="136" t="s">
        <v>1</v>
      </c>
      <c r="E170" s="143">
        <v>1.0486111111111109</v>
      </c>
      <c r="F170" s="136" t="s">
        <v>78</v>
      </c>
      <c r="G170" s="138">
        <v>6</v>
      </c>
      <c r="H170" s="139">
        <v>471</v>
      </c>
    </row>
    <row r="171" spans="1:8" ht="19.8" customHeight="1" x14ac:dyDescent="0.3">
      <c r="A171" s="142">
        <v>45988</v>
      </c>
      <c r="B171" s="136" t="s">
        <v>76</v>
      </c>
      <c r="C171" s="137" t="s">
        <v>89</v>
      </c>
      <c r="D171" s="136" t="s">
        <v>1</v>
      </c>
      <c r="E171" s="143">
        <v>1.114583333333333</v>
      </c>
      <c r="F171" s="136" t="s">
        <v>78</v>
      </c>
      <c r="G171" s="138">
        <v>9</v>
      </c>
      <c r="H171" s="139">
        <v>471</v>
      </c>
    </row>
    <row r="172" spans="1:8" ht="19.8" customHeight="1" x14ac:dyDescent="0.3">
      <c r="A172" s="140">
        <v>45988</v>
      </c>
      <c r="B172" s="131" t="s">
        <v>35</v>
      </c>
      <c r="C172" s="132" t="s">
        <v>45</v>
      </c>
      <c r="D172" s="131" t="s">
        <v>1</v>
      </c>
      <c r="E172" s="141">
        <v>1.1284722222222221</v>
      </c>
      <c r="F172" s="131" t="s">
        <v>40</v>
      </c>
      <c r="G172" s="133">
        <v>6</v>
      </c>
      <c r="H172" s="134">
        <v>509</v>
      </c>
    </row>
    <row r="173" spans="1:8" ht="19.8" customHeight="1" x14ac:dyDescent="0.3">
      <c r="A173" s="140">
        <v>45988</v>
      </c>
      <c r="B173" s="131" t="s">
        <v>51</v>
      </c>
      <c r="C173" s="132" t="s">
        <v>52</v>
      </c>
      <c r="D173" s="131" t="s">
        <v>1</v>
      </c>
      <c r="E173" s="141">
        <v>1.9027777777777779</v>
      </c>
      <c r="F173" s="131" t="s">
        <v>56</v>
      </c>
      <c r="G173" s="133">
        <v>1</v>
      </c>
      <c r="H173" s="134">
        <v>509</v>
      </c>
    </row>
    <row r="174" spans="1:8" ht="19.8" customHeight="1" x14ac:dyDescent="0.3">
      <c r="A174" s="140">
        <v>45988</v>
      </c>
      <c r="B174" s="131" t="s">
        <v>51</v>
      </c>
      <c r="C174" s="132" t="s">
        <v>61</v>
      </c>
      <c r="D174" s="131" t="s">
        <v>1</v>
      </c>
      <c r="E174" s="141">
        <v>1.6597222222222221</v>
      </c>
      <c r="F174" s="131" t="s">
        <v>56</v>
      </c>
      <c r="G174" s="133">
        <v>9</v>
      </c>
      <c r="H174" s="134">
        <v>509</v>
      </c>
    </row>
    <row r="175" spans="1:8" ht="19.8" customHeight="1" x14ac:dyDescent="0.3">
      <c r="A175" s="140">
        <v>45988</v>
      </c>
      <c r="B175" s="131" t="s">
        <v>51</v>
      </c>
      <c r="C175" s="132" t="s">
        <v>64</v>
      </c>
      <c r="D175" s="131" t="s">
        <v>1</v>
      </c>
      <c r="E175" s="141">
        <v>1.5173611111111109</v>
      </c>
      <c r="F175" s="131" t="s">
        <v>56</v>
      </c>
      <c r="G175" s="133">
        <v>9</v>
      </c>
      <c r="H175" s="134">
        <v>509</v>
      </c>
    </row>
    <row r="176" spans="1:8" ht="19.8" customHeight="1" x14ac:dyDescent="0.3">
      <c r="A176" s="140">
        <v>45988</v>
      </c>
      <c r="B176" s="131" t="s">
        <v>51</v>
      </c>
      <c r="C176" s="132" t="s">
        <v>66</v>
      </c>
      <c r="D176" s="131" t="s">
        <v>1</v>
      </c>
      <c r="E176" s="141">
        <v>1.854166666666667</v>
      </c>
      <c r="F176" s="131" t="s">
        <v>56</v>
      </c>
      <c r="G176" s="133">
        <v>4</v>
      </c>
      <c r="H176" s="134">
        <v>509</v>
      </c>
    </row>
    <row r="177" spans="1:8" ht="19.8" customHeight="1" x14ac:dyDescent="0.3">
      <c r="A177" s="140">
        <v>45988</v>
      </c>
      <c r="B177" s="131" t="s">
        <v>51</v>
      </c>
      <c r="C177" s="132" t="s">
        <v>69</v>
      </c>
      <c r="D177" s="131" t="s">
        <v>1</v>
      </c>
      <c r="E177" s="141">
        <v>1.302083333333333</v>
      </c>
      <c r="F177" s="131" t="s">
        <v>56</v>
      </c>
      <c r="G177" s="133">
        <v>5</v>
      </c>
      <c r="H177" s="134">
        <v>509</v>
      </c>
    </row>
    <row r="178" spans="1:8" ht="19.8" customHeight="1" x14ac:dyDescent="0.3">
      <c r="A178" s="140">
        <v>45988</v>
      </c>
      <c r="B178" s="131" t="s">
        <v>51</v>
      </c>
      <c r="C178" s="132" t="s">
        <v>70</v>
      </c>
      <c r="D178" s="131" t="s">
        <v>1</v>
      </c>
      <c r="E178" s="141">
        <v>1.7986111111111109</v>
      </c>
      <c r="F178" s="131" t="s">
        <v>56</v>
      </c>
      <c r="G178" s="133">
        <v>3</v>
      </c>
      <c r="H178" s="134">
        <v>509</v>
      </c>
    </row>
    <row r="179" spans="1:8" ht="19.8" customHeight="1" x14ac:dyDescent="0.3">
      <c r="A179" s="140">
        <v>45988</v>
      </c>
      <c r="B179" s="131" t="s">
        <v>35</v>
      </c>
      <c r="C179" s="132" t="s">
        <v>36</v>
      </c>
      <c r="D179" s="131" t="s">
        <v>1</v>
      </c>
      <c r="E179" s="141">
        <v>1.302083333333333</v>
      </c>
      <c r="F179" s="131" t="s">
        <v>40</v>
      </c>
      <c r="G179" s="133">
        <v>6</v>
      </c>
      <c r="H179" s="134">
        <v>539</v>
      </c>
    </row>
    <row r="180" spans="1:8" ht="19.8" customHeight="1" x14ac:dyDescent="0.3">
      <c r="A180" s="140">
        <v>45988</v>
      </c>
      <c r="B180" s="131" t="s">
        <v>35</v>
      </c>
      <c r="C180" s="132" t="s">
        <v>47</v>
      </c>
      <c r="D180" s="131" t="s">
        <v>1</v>
      </c>
      <c r="E180" s="141">
        <v>1.788194444444444</v>
      </c>
      <c r="F180" s="131" t="s">
        <v>40</v>
      </c>
      <c r="G180" s="133">
        <v>9</v>
      </c>
      <c r="H180" s="134">
        <v>539</v>
      </c>
    </row>
    <row r="181" spans="1:8" ht="19.8" customHeight="1" x14ac:dyDescent="0.3">
      <c r="A181" s="140">
        <v>45988</v>
      </c>
      <c r="B181" s="131" t="s">
        <v>35</v>
      </c>
      <c r="C181" s="132" t="s">
        <v>50</v>
      </c>
      <c r="D181" s="131" t="s">
        <v>1</v>
      </c>
      <c r="E181" s="141">
        <v>1.8888888888888891</v>
      </c>
      <c r="F181" s="131" t="s">
        <v>40</v>
      </c>
      <c r="G181" s="133">
        <v>8</v>
      </c>
      <c r="H181" s="134">
        <v>539</v>
      </c>
    </row>
    <row r="182" spans="1:8" ht="19.8" customHeight="1" x14ac:dyDescent="0.3">
      <c r="A182" s="140">
        <v>45988</v>
      </c>
      <c r="B182" s="131" t="s">
        <v>51</v>
      </c>
      <c r="C182" s="132" t="s">
        <v>71</v>
      </c>
      <c r="D182" s="131" t="s">
        <v>1</v>
      </c>
      <c r="E182" s="141">
        <v>1.256944444444444</v>
      </c>
      <c r="F182" s="131" t="s">
        <v>56</v>
      </c>
      <c r="G182" s="133">
        <v>9</v>
      </c>
      <c r="H182" s="134">
        <v>549</v>
      </c>
    </row>
    <row r="183" spans="1:8" ht="19.8" customHeight="1" x14ac:dyDescent="0.3">
      <c r="A183" s="140">
        <v>45988</v>
      </c>
      <c r="B183" s="131" t="s">
        <v>51</v>
      </c>
      <c r="C183" s="132" t="s">
        <v>75</v>
      </c>
      <c r="D183" s="131" t="s">
        <v>1</v>
      </c>
      <c r="E183" s="141">
        <v>1.395833333333333</v>
      </c>
      <c r="F183" s="131" t="s">
        <v>56</v>
      </c>
      <c r="G183" s="133">
        <v>9</v>
      </c>
      <c r="H183" s="134">
        <v>549</v>
      </c>
    </row>
    <row r="184" spans="1:8" ht="19.8" customHeight="1" x14ac:dyDescent="0.3">
      <c r="A184" s="140">
        <v>45988</v>
      </c>
      <c r="B184" s="131" t="s">
        <v>105</v>
      </c>
      <c r="C184" s="132" t="s">
        <v>171</v>
      </c>
      <c r="D184" s="131" t="s">
        <v>1</v>
      </c>
      <c r="E184" s="141">
        <v>1.3298611111111109</v>
      </c>
      <c r="F184" s="131" t="s">
        <v>43</v>
      </c>
      <c r="G184" s="133">
        <v>9</v>
      </c>
      <c r="H184" s="134">
        <v>562</v>
      </c>
    </row>
    <row r="185" spans="1:8" ht="19.8" customHeight="1" x14ac:dyDescent="0.3">
      <c r="A185" s="140">
        <v>45988</v>
      </c>
      <c r="B185" s="131" t="s">
        <v>26</v>
      </c>
      <c r="C185" s="132" t="s">
        <v>31</v>
      </c>
      <c r="D185" s="131" t="s">
        <v>1</v>
      </c>
      <c r="E185" s="141">
        <v>1.666666666666667</v>
      </c>
      <c r="F185" s="131" t="s">
        <v>28</v>
      </c>
      <c r="G185" s="133">
        <v>7</v>
      </c>
      <c r="H185" s="134">
        <v>599</v>
      </c>
    </row>
    <row r="186" spans="1:8" ht="19.8" customHeight="1" x14ac:dyDescent="0.3">
      <c r="A186" s="140">
        <v>45988</v>
      </c>
      <c r="B186" s="131" t="s">
        <v>51</v>
      </c>
      <c r="C186" s="132" t="s">
        <v>52</v>
      </c>
      <c r="D186" s="131" t="s">
        <v>1</v>
      </c>
      <c r="E186" s="141">
        <v>1.9027777777777779</v>
      </c>
      <c r="F186" s="131" t="s">
        <v>59</v>
      </c>
      <c r="G186" s="133">
        <v>1</v>
      </c>
      <c r="H186" s="134">
        <v>599</v>
      </c>
    </row>
    <row r="187" spans="1:8" ht="19.8" customHeight="1" x14ac:dyDescent="0.3">
      <c r="A187" s="140">
        <v>45988</v>
      </c>
      <c r="B187" s="131" t="s">
        <v>51</v>
      </c>
      <c r="C187" s="132" t="s">
        <v>61</v>
      </c>
      <c r="D187" s="131" t="s">
        <v>1</v>
      </c>
      <c r="E187" s="141">
        <v>1.6597222222222221</v>
      </c>
      <c r="F187" s="131" t="s">
        <v>59</v>
      </c>
      <c r="G187" s="133">
        <v>9</v>
      </c>
      <c r="H187" s="134">
        <v>599</v>
      </c>
    </row>
    <row r="188" spans="1:8" ht="19.8" customHeight="1" x14ac:dyDescent="0.3">
      <c r="A188" s="140">
        <v>45988</v>
      </c>
      <c r="B188" s="131" t="s">
        <v>51</v>
      </c>
      <c r="C188" s="132" t="s">
        <v>64</v>
      </c>
      <c r="D188" s="131" t="s">
        <v>1</v>
      </c>
      <c r="E188" s="141">
        <v>1.5173611111111109</v>
      </c>
      <c r="F188" s="131" t="s">
        <v>59</v>
      </c>
      <c r="G188" s="133">
        <v>9</v>
      </c>
      <c r="H188" s="134">
        <v>599</v>
      </c>
    </row>
    <row r="189" spans="1:8" ht="19.8" customHeight="1" x14ac:dyDescent="0.3">
      <c r="A189" s="140">
        <v>45988</v>
      </c>
      <c r="B189" s="131" t="s">
        <v>51</v>
      </c>
      <c r="C189" s="132" t="s">
        <v>66</v>
      </c>
      <c r="D189" s="131" t="s">
        <v>1</v>
      </c>
      <c r="E189" s="141">
        <v>1.854166666666667</v>
      </c>
      <c r="F189" s="131" t="s">
        <v>59</v>
      </c>
      <c r="G189" s="133">
        <v>4</v>
      </c>
      <c r="H189" s="134">
        <v>599</v>
      </c>
    </row>
    <row r="190" spans="1:8" ht="19.8" customHeight="1" x14ac:dyDescent="0.3">
      <c r="A190" s="140">
        <v>45988</v>
      </c>
      <c r="B190" s="131" t="s">
        <v>51</v>
      </c>
      <c r="C190" s="132" t="s">
        <v>69</v>
      </c>
      <c r="D190" s="131" t="s">
        <v>1</v>
      </c>
      <c r="E190" s="141">
        <v>1.302083333333333</v>
      </c>
      <c r="F190" s="131" t="s">
        <v>59</v>
      </c>
      <c r="G190" s="133">
        <v>5</v>
      </c>
      <c r="H190" s="134">
        <v>599</v>
      </c>
    </row>
    <row r="191" spans="1:8" ht="19.8" customHeight="1" x14ac:dyDescent="0.3">
      <c r="A191" s="140">
        <v>45988</v>
      </c>
      <c r="B191" s="131" t="s">
        <v>51</v>
      </c>
      <c r="C191" s="132" t="s">
        <v>70</v>
      </c>
      <c r="D191" s="131" t="s">
        <v>1</v>
      </c>
      <c r="E191" s="141">
        <v>1.7986111111111109</v>
      </c>
      <c r="F191" s="131" t="s">
        <v>59</v>
      </c>
      <c r="G191" s="133">
        <v>3</v>
      </c>
      <c r="H191" s="134">
        <v>599</v>
      </c>
    </row>
    <row r="192" spans="1:8" ht="19.8" customHeight="1" x14ac:dyDescent="0.3">
      <c r="A192" s="140">
        <v>45988</v>
      </c>
      <c r="B192" s="131" t="s">
        <v>51</v>
      </c>
      <c r="C192" s="132" t="s">
        <v>71</v>
      </c>
      <c r="D192" s="131" t="s">
        <v>1</v>
      </c>
      <c r="E192" s="141">
        <v>1.256944444444444</v>
      </c>
      <c r="F192" s="131" t="s">
        <v>59</v>
      </c>
      <c r="G192" s="133">
        <v>9</v>
      </c>
      <c r="H192" s="134">
        <v>639</v>
      </c>
    </row>
    <row r="193" spans="1:8" ht="19.8" customHeight="1" x14ac:dyDescent="0.3">
      <c r="A193" s="140">
        <v>45988</v>
      </c>
      <c r="B193" s="131" t="s">
        <v>51</v>
      </c>
      <c r="C193" s="132" t="s">
        <v>75</v>
      </c>
      <c r="D193" s="131" t="s">
        <v>1</v>
      </c>
      <c r="E193" s="141">
        <v>1.395833333333333</v>
      </c>
      <c r="F193" s="131" t="s">
        <v>59</v>
      </c>
      <c r="G193" s="133">
        <v>9</v>
      </c>
      <c r="H193" s="134">
        <v>639</v>
      </c>
    </row>
    <row r="194" spans="1:8" ht="19.8" customHeight="1" x14ac:dyDescent="0.3">
      <c r="A194" s="140">
        <v>45988</v>
      </c>
      <c r="B194" s="131" t="s">
        <v>140</v>
      </c>
      <c r="C194" s="132" t="s">
        <v>141</v>
      </c>
      <c r="D194" s="131" t="s">
        <v>1</v>
      </c>
      <c r="E194" s="141">
        <v>1.4861111111111109</v>
      </c>
      <c r="F194" s="131" t="s">
        <v>142</v>
      </c>
      <c r="G194" s="133">
        <v>9</v>
      </c>
      <c r="H194" s="134">
        <v>673</v>
      </c>
    </row>
    <row r="195" spans="1:8" ht="19.8" customHeight="1" x14ac:dyDescent="0.3">
      <c r="A195" s="140">
        <v>45988</v>
      </c>
      <c r="B195" s="131" t="s">
        <v>140</v>
      </c>
      <c r="C195" s="132" t="s">
        <v>149</v>
      </c>
      <c r="D195" s="131" t="s">
        <v>1</v>
      </c>
      <c r="E195" s="141">
        <v>1.145833333333333</v>
      </c>
      <c r="F195" s="131" t="s">
        <v>142</v>
      </c>
      <c r="G195" s="133">
        <v>9</v>
      </c>
      <c r="H195" s="134">
        <v>673</v>
      </c>
    </row>
    <row r="196" spans="1:8" ht="19.8" customHeight="1" x14ac:dyDescent="0.3">
      <c r="A196" s="140">
        <v>45988</v>
      </c>
      <c r="B196" s="131" t="s">
        <v>140</v>
      </c>
      <c r="C196" s="132" t="s">
        <v>144</v>
      </c>
      <c r="D196" s="131" t="s">
        <v>1</v>
      </c>
      <c r="E196" s="141">
        <v>1.5138888888888891</v>
      </c>
      <c r="F196" s="131" t="s">
        <v>142</v>
      </c>
      <c r="G196" s="133">
        <v>9</v>
      </c>
      <c r="H196" s="134">
        <v>673</v>
      </c>
    </row>
    <row r="197" spans="1:8" ht="19.8" customHeight="1" x14ac:dyDescent="0.3">
      <c r="A197" s="140">
        <v>45988</v>
      </c>
      <c r="B197" s="131" t="s">
        <v>140</v>
      </c>
      <c r="C197" s="132" t="s">
        <v>145</v>
      </c>
      <c r="D197" s="131" t="s">
        <v>1</v>
      </c>
      <c r="E197" s="141">
        <v>1.2222222222222221</v>
      </c>
      <c r="F197" s="131" t="s">
        <v>142</v>
      </c>
      <c r="G197" s="133">
        <v>9</v>
      </c>
      <c r="H197" s="134">
        <v>673</v>
      </c>
    </row>
    <row r="198" spans="1:8" ht="19.8" customHeight="1" x14ac:dyDescent="0.3">
      <c r="A198" s="140">
        <v>45988</v>
      </c>
      <c r="B198" s="131" t="s">
        <v>118</v>
      </c>
      <c r="C198" s="132" t="s">
        <v>119</v>
      </c>
      <c r="D198" s="131" t="s">
        <v>1</v>
      </c>
      <c r="E198" s="141">
        <v>1.3784722222222221</v>
      </c>
      <c r="F198" s="131" t="s">
        <v>120</v>
      </c>
      <c r="G198" s="133">
        <v>9</v>
      </c>
      <c r="H198" s="134">
        <v>678</v>
      </c>
    </row>
    <row r="199" spans="1:8" ht="19.8" customHeight="1" x14ac:dyDescent="0.3">
      <c r="A199" s="140">
        <v>45988</v>
      </c>
      <c r="B199" s="131" t="s">
        <v>118</v>
      </c>
      <c r="C199" s="132" t="s">
        <v>128</v>
      </c>
      <c r="D199" s="131" t="s">
        <v>1</v>
      </c>
      <c r="E199" s="141">
        <v>1.243055555555556</v>
      </c>
      <c r="F199" s="131" t="s">
        <v>120</v>
      </c>
      <c r="G199" s="133">
        <v>9</v>
      </c>
      <c r="H199" s="134">
        <v>678</v>
      </c>
    </row>
    <row r="200" spans="1:8" ht="19.8" customHeight="1" x14ac:dyDescent="0.3">
      <c r="A200" s="140">
        <v>45988</v>
      </c>
      <c r="B200" s="131" t="s">
        <v>118</v>
      </c>
      <c r="C200" s="132" t="s">
        <v>129</v>
      </c>
      <c r="D200" s="131" t="s">
        <v>1</v>
      </c>
      <c r="E200" s="141">
        <v>1.1423611111111109</v>
      </c>
      <c r="F200" s="131" t="s">
        <v>120</v>
      </c>
      <c r="G200" s="133">
        <v>9</v>
      </c>
      <c r="H200" s="134">
        <v>678</v>
      </c>
    </row>
    <row r="201" spans="1:8" ht="19.8" customHeight="1" x14ac:dyDescent="0.3">
      <c r="A201" s="140">
        <v>45988</v>
      </c>
      <c r="B201" s="131" t="s">
        <v>118</v>
      </c>
      <c r="C201" s="132" t="s">
        <v>119</v>
      </c>
      <c r="D201" s="131" t="s">
        <v>1</v>
      </c>
      <c r="E201" s="141">
        <v>1.3784722222222221</v>
      </c>
      <c r="F201" s="131" t="s">
        <v>122</v>
      </c>
      <c r="G201" s="133">
        <v>9</v>
      </c>
      <c r="H201" s="134">
        <v>723</v>
      </c>
    </row>
    <row r="202" spans="1:8" ht="19.8" customHeight="1" x14ac:dyDescent="0.3">
      <c r="A202" s="140">
        <v>45988</v>
      </c>
      <c r="B202" s="131" t="s">
        <v>118</v>
      </c>
      <c r="C202" s="132" t="s">
        <v>128</v>
      </c>
      <c r="D202" s="131" t="s">
        <v>1</v>
      </c>
      <c r="E202" s="141">
        <v>1.243055555555556</v>
      </c>
      <c r="F202" s="131" t="s">
        <v>122</v>
      </c>
      <c r="G202" s="133">
        <v>9</v>
      </c>
      <c r="H202" s="134">
        <v>723</v>
      </c>
    </row>
    <row r="203" spans="1:8" ht="19.8" customHeight="1" x14ac:dyDescent="0.3">
      <c r="A203" s="140">
        <v>45988</v>
      </c>
      <c r="B203" s="131" t="s">
        <v>118</v>
      </c>
      <c r="C203" s="132" t="s">
        <v>129</v>
      </c>
      <c r="D203" s="131" t="s">
        <v>1</v>
      </c>
      <c r="E203" s="141">
        <v>1.1423611111111109</v>
      </c>
      <c r="F203" s="131" t="s">
        <v>122</v>
      </c>
      <c r="G203" s="133">
        <v>9</v>
      </c>
      <c r="H203" s="134">
        <v>723</v>
      </c>
    </row>
    <row r="204" spans="1:8" ht="19.8" customHeight="1" x14ac:dyDescent="0.3">
      <c r="A204" s="140">
        <v>45988</v>
      </c>
      <c r="B204" s="131" t="s">
        <v>140</v>
      </c>
      <c r="C204" s="132" t="s">
        <v>178</v>
      </c>
      <c r="D204" s="131" t="s">
        <v>1</v>
      </c>
      <c r="E204" s="141">
        <v>1.958333333333333</v>
      </c>
      <c r="F204" s="131" t="s">
        <v>142</v>
      </c>
      <c r="G204" s="133">
        <v>9</v>
      </c>
      <c r="H204" s="134">
        <v>842</v>
      </c>
    </row>
    <row r="205" spans="1:8" ht="19.8" customHeight="1" x14ac:dyDescent="0.3">
      <c r="A205" s="140">
        <v>45988</v>
      </c>
      <c r="B205" s="131" t="s">
        <v>118</v>
      </c>
      <c r="C205" s="132" t="s">
        <v>124</v>
      </c>
      <c r="D205" s="131" t="s">
        <v>1</v>
      </c>
      <c r="E205" s="141">
        <v>1.006944444444444</v>
      </c>
      <c r="F205" s="131" t="s">
        <v>120</v>
      </c>
      <c r="G205" s="133">
        <v>9</v>
      </c>
      <c r="H205" s="134">
        <v>935</v>
      </c>
    </row>
    <row r="206" spans="1:8" ht="19.8" customHeight="1" x14ac:dyDescent="0.3">
      <c r="A206" s="140">
        <v>45988</v>
      </c>
      <c r="B206" s="131" t="s">
        <v>140</v>
      </c>
      <c r="C206" s="132" t="s">
        <v>147</v>
      </c>
      <c r="D206" s="131" t="s">
        <v>1</v>
      </c>
      <c r="E206" s="141">
        <v>1.0138888888888891</v>
      </c>
      <c r="F206" s="131" t="s">
        <v>142</v>
      </c>
      <c r="G206" s="133">
        <v>9</v>
      </c>
      <c r="H206" s="134">
        <v>970</v>
      </c>
    </row>
    <row r="207" spans="1:8" ht="19.8" customHeight="1" x14ac:dyDescent="0.3">
      <c r="A207" s="140">
        <v>45988</v>
      </c>
      <c r="B207" s="131" t="s">
        <v>140</v>
      </c>
      <c r="C207" s="132" t="s">
        <v>150</v>
      </c>
      <c r="D207" s="131" t="s">
        <v>1</v>
      </c>
      <c r="E207" s="141">
        <v>1.2777777777777779</v>
      </c>
      <c r="F207" s="131" t="s">
        <v>142</v>
      </c>
      <c r="G207" s="133">
        <v>9</v>
      </c>
      <c r="H207" s="134">
        <v>970</v>
      </c>
    </row>
    <row r="208" spans="1:8" ht="19.8" customHeight="1" x14ac:dyDescent="0.3">
      <c r="A208" s="140">
        <v>45988</v>
      </c>
      <c r="B208" s="131" t="s">
        <v>140</v>
      </c>
      <c r="C208" s="132" t="s">
        <v>152</v>
      </c>
      <c r="D208" s="131" t="s">
        <v>1</v>
      </c>
      <c r="E208" s="141">
        <v>1.774305555555556</v>
      </c>
      <c r="F208" s="131" t="s">
        <v>142</v>
      </c>
      <c r="G208" s="133">
        <v>9</v>
      </c>
      <c r="H208" s="134">
        <v>970</v>
      </c>
    </row>
    <row r="209" spans="1:8" ht="19.8" customHeight="1" x14ac:dyDescent="0.3">
      <c r="A209" s="140">
        <v>45988</v>
      </c>
      <c r="B209" s="131" t="s">
        <v>118</v>
      </c>
      <c r="C209" s="132" t="s">
        <v>124</v>
      </c>
      <c r="D209" s="131" t="s">
        <v>1</v>
      </c>
      <c r="E209" s="141">
        <v>1.006944444444444</v>
      </c>
      <c r="F209" s="131" t="s">
        <v>122</v>
      </c>
      <c r="G209" s="133">
        <v>9</v>
      </c>
      <c r="H209" s="134">
        <v>980</v>
      </c>
    </row>
    <row r="210" spans="1:8" ht="19.8" customHeight="1" x14ac:dyDescent="0.3">
      <c r="A210" s="140">
        <v>45988</v>
      </c>
      <c r="B210" s="131" t="s">
        <v>118</v>
      </c>
      <c r="C210" s="132" t="s">
        <v>184</v>
      </c>
      <c r="D210" s="131" t="s">
        <v>1</v>
      </c>
      <c r="E210" s="141">
        <v>1.6111111111111109</v>
      </c>
      <c r="F210" s="131" t="s">
        <v>120</v>
      </c>
      <c r="G210" s="133">
        <v>9</v>
      </c>
      <c r="H210" s="144" t="s">
        <v>132</v>
      </c>
    </row>
    <row r="211" spans="1:8" ht="19.8" customHeight="1" x14ac:dyDescent="0.3">
      <c r="A211" s="140">
        <v>45988</v>
      </c>
      <c r="B211" s="131" t="s">
        <v>35</v>
      </c>
      <c r="C211" s="132" t="s">
        <v>36</v>
      </c>
      <c r="D211" s="131" t="s">
        <v>1</v>
      </c>
      <c r="E211" s="141">
        <v>1.302083333333333</v>
      </c>
      <c r="F211" s="131" t="s">
        <v>43</v>
      </c>
      <c r="G211" s="133">
        <v>6</v>
      </c>
      <c r="H211" s="144" t="s">
        <v>44</v>
      </c>
    </row>
    <row r="212" spans="1:8" ht="19.8" customHeight="1" x14ac:dyDescent="0.3">
      <c r="A212" s="140">
        <v>45988</v>
      </c>
      <c r="B212" s="131" t="s">
        <v>35</v>
      </c>
      <c r="C212" s="132" t="s">
        <v>45</v>
      </c>
      <c r="D212" s="131" t="s">
        <v>1</v>
      </c>
      <c r="E212" s="141">
        <v>1.1284722222222221</v>
      </c>
      <c r="F212" s="131" t="s">
        <v>43</v>
      </c>
      <c r="G212" s="133">
        <v>6</v>
      </c>
      <c r="H212" s="144" t="s">
        <v>44</v>
      </c>
    </row>
    <row r="213" spans="1:8" ht="19.8" customHeight="1" x14ac:dyDescent="0.3">
      <c r="A213" s="140">
        <v>45988</v>
      </c>
      <c r="B213" s="131" t="s">
        <v>35</v>
      </c>
      <c r="C213" s="132" t="s">
        <v>47</v>
      </c>
      <c r="D213" s="131" t="s">
        <v>1</v>
      </c>
      <c r="E213" s="141">
        <v>1.788194444444444</v>
      </c>
      <c r="F213" s="131" t="s">
        <v>43</v>
      </c>
      <c r="G213" s="133">
        <v>9</v>
      </c>
      <c r="H213" s="144" t="s">
        <v>44</v>
      </c>
    </row>
    <row r="214" spans="1:8" ht="19.8" customHeight="1" x14ac:dyDescent="0.3">
      <c r="A214" s="140">
        <v>45988</v>
      </c>
      <c r="B214" s="131" t="s">
        <v>35</v>
      </c>
      <c r="C214" s="132" t="s">
        <v>50</v>
      </c>
      <c r="D214" s="131" t="s">
        <v>1</v>
      </c>
      <c r="E214" s="141">
        <v>1.8888888888888891</v>
      </c>
      <c r="F214" s="131" t="s">
        <v>43</v>
      </c>
      <c r="G214" s="133">
        <v>8</v>
      </c>
      <c r="H214" s="144" t="s">
        <v>44</v>
      </c>
    </row>
    <row r="215" spans="1:8" ht="19.8" customHeight="1" x14ac:dyDescent="0.3">
      <c r="A215" s="140">
        <v>45988</v>
      </c>
      <c r="B215" s="131" t="s">
        <v>118</v>
      </c>
      <c r="C215" s="132" t="s">
        <v>184</v>
      </c>
      <c r="D215" s="131" t="s">
        <v>1</v>
      </c>
      <c r="E215" s="141">
        <v>1.6111111111111109</v>
      </c>
      <c r="F215" s="131" t="s">
        <v>122</v>
      </c>
      <c r="G215" s="133">
        <v>9</v>
      </c>
      <c r="H215" s="144" t="s">
        <v>133</v>
      </c>
    </row>
    <row r="216" spans="1:8" ht="19.8" customHeight="1" x14ac:dyDescent="0.3">
      <c r="A216" s="140">
        <v>45988</v>
      </c>
      <c r="B216" s="131" t="s">
        <v>118</v>
      </c>
      <c r="C216" s="132" t="s">
        <v>138</v>
      </c>
      <c r="D216" s="131" t="s">
        <v>1</v>
      </c>
      <c r="E216" s="141">
        <v>1.1284722222222221</v>
      </c>
      <c r="F216" s="131" t="s">
        <v>122</v>
      </c>
      <c r="G216" s="133">
        <v>4</v>
      </c>
      <c r="H216" s="144" t="s">
        <v>209</v>
      </c>
    </row>
    <row r="217" spans="1:8" ht="19.8" customHeight="1" x14ac:dyDescent="0.3">
      <c r="A217" s="140">
        <v>45988</v>
      </c>
      <c r="B217" s="131" t="s">
        <v>118</v>
      </c>
      <c r="C217" s="132" t="s">
        <v>131</v>
      </c>
      <c r="D217" s="131" t="s">
        <v>1</v>
      </c>
      <c r="E217" s="141">
        <v>1.71875</v>
      </c>
      <c r="F217" s="131" t="s">
        <v>120</v>
      </c>
      <c r="G217" s="133">
        <v>9</v>
      </c>
      <c r="H217" s="144" t="s">
        <v>210</v>
      </c>
    </row>
    <row r="218" spans="1:8" ht="19.8" customHeight="1" x14ac:dyDescent="0.3">
      <c r="A218" s="140">
        <v>45988</v>
      </c>
      <c r="B218" s="131" t="s">
        <v>118</v>
      </c>
      <c r="C218" s="132" t="s">
        <v>135</v>
      </c>
      <c r="D218" s="131" t="s">
        <v>1</v>
      </c>
      <c r="E218" s="141">
        <v>1.8888888888888891</v>
      </c>
      <c r="F218" s="131" t="s">
        <v>122</v>
      </c>
      <c r="G218" s="133">
        <v>4</v>
      </c>
      <c r="H218" s="144" t="s">
        <v>179</v>
      </c>
    </row>
    <row r="219" spans="1:8" ht="19.8" customHeight="1" x14ac:dyDescent="0.3">
      <c r="A219" s="140">
        <v>45988</v>
      </c>
      <c r="B219" s="131" t="s">
        <v>118</v>
      </c>
      <c r="C219" s="132" t="s">
        <v>137</v>
      </c>
      <c r="D219" s="131" t="s">
        <v>1</v>
      </c>
      <c r="E219" s="141">
        <v>1.302083333333333</v>
      </c>
      <c r="F219" s="131" t="s">
        <v>122</v>
      </c>
      <c r="G219" s="133">
        <v>4</v>
      </c>
      <c r="H219" s="144" t="s">
        <v>179</v>
      </c>
    </row>
    <row r="220" spans="1:8" ht="19.8" customHeight="1" x14ac:dyDescent="0.3">
      <c r="A220" s="140">
        <v>45988</v>
      </c>
      <c r="B220" s="131" t="s">
        <v>118</v>
      </c>
      <c r="C220" s="132" t="s">
        <v>139</v>
      </c>
      <c r="D220" s="131" t="s">
        <v>1</v>
      </c>
      <c r="E220" s="141">
        <v>1.788194444444444</v>
      </c>
      <c r="F220" s="131" t="s">
        <v>122</v>
      </c>
      <c r="G220" s="133">
        <v>4</v>
      </c>
      <c r="H220" s="144" t="s">
        <v>179</v>
      </c>
    </row>
    <row r="221" spans="1:8" ht="19.8" customHeight="1" x14ac:dyDescent="0.3">
      <c r="A221" s="140">
        <v>45988</v>
      </c>
      <c r="B221" s="131" t="s">
        <v>118</v>
      </c>
      <c r="C221" s="132" t="s">
        <v>131</v>
      </c>
      <c r="D221" s="131" t="s">
        <v>1</v>
      </c>
      <c r="E221" s="141">
        <v>1.71875</v>
      </c>
      <c r="F221" s="131" t="s">
        <v>122</v>
      </c>
      <c r="G221" s="133">
        <v>9</v>
      </c>
      <c r="H221" s="144" t="s">
        <v>211</v>
      </c>
    </row>
    <row r="222" spans="1:8" ht="19.8" customHeight="1" x14ac:dyDescent="0.3">
      <c r="A222" s="140">
        <v>45988</v>
      </c>
      <c r="B222" s="131" t="s">
        <v>118</v>
      </c>
      <c r="C222" s="132" t="s">
        <v>130</v>
      </c>
      <c r="D222" s="131" t="s">
        <v>1</v>
      </c>
      <c r="E222" s="141">
        <v>1.930555555555556</v>
      </c>
      <c r="F222" s="131" t="s">
        <v>120</v>
      </c>
      <c r="G222" s="133">
        <v>9</v>
      </c>
      <c r="H222" s="144" t="s">
        <v>180</v>
      </c>
    </row>
    <row r="223" spans="1:8" ht="19.8" customHeight="1" x14ac:dyDescent="0.3">
      <c r="A223" s="140">
        <v>45988</v>
      </c>
      <c r="B223" s="131" t="s">
        <v>118</v>
      </c>
      <c r="C223" s="132" t="s">
        <v>130</v>
      </c>
      <c r="D223" s="131" t="s">
        <v>1</v>
      </c>
      <c r="E223" s="141">
        <v>1.930555555555556</v>
      </c>
      <c r="F223" s="131" t="s">
        <v>122</v>
      </c>
      <c r="G223" s="133">
        <v>9</v>
      </c>
      <c r="H223" s="144" t="s">
        <v>181</v>
      </c>
    </row>
    <row r="224" spans="1:8" ht="19.8" customHeight="1" x14ac:dyDescent="0.3">
      <c r="A224" s="140">
        <v>45988</v>
      </c>
      <c r="B224" s="131" t="s">
        <v>118</v>
      </c>
      <c r="C224" s="132" t="s">
        <v>134</v>
      </c>
      <c r="D224" s="131" t="s">
        <v>1</v>
      </c>
      <c r="E224" s="141">
        <v>1.8298611111111109</v>
      </c>
      <c r="F224" s="131" t="s">
        <v>120</v>
      </c>
      <c r="G224" s="133">
        <v>9</v>
      </c>
      <c r="H224" s="144" t="s">
        <v>212</v>
      </c>
    </row>
    <row r="225" spans="1:8" ht="19.8" customHeight="1" x14ac:dyDescent="0.3">
      <c r="A225" s="151">
        <v>45988</v>
      </c>
      <c r="B225" s="152" t="s">
        <v>118</v>
      </c>
      <c r="C225" s="153" t="s">
        <v>134</v>
      </c>
      <c r="D225" s="152" t="s">
        <v>1</v>
      </c>
      <c r="E225" s="154">
        <v>1.8298611111111109</v>
      </c>
      <c r="F225" s="152" t="s">
        <v>122</v>
      </c>
      <c r="G225" s="155">
        <v>9</v>
      </c>
      <c r="H225" s="156" t="s">
        <v>213</v>
      </c>
    </row>
    <row r="226" spans="1:8" ht="19.8" customHeight="1" x14ac:dyDescent="0.3">
      <c r="A226" s="140">
        <v>45989</v>
      </c>
      <c r="B226" s="131" t="s">
        <v>35</v>
      </c>
      <c r="C226" s="132" t="s">
        <v>36</v>
      </c>
      <c r="D226" s="131" t="s">
        <v>1</v>
      </c>
      <c r="E226" s="141">
        <v>1.302083333333333</v>
      </c>
      <c r="F226" s="131" t="s">
        <v>37</v>
      </c>
      <c r="G226" s="133">
        <v>3</v>
      </c>
      <c r="H226" s="134">
        <v>359</v>
      </c>
    </row>
    <row r="227" spans="1:8" ht="19.8" customHeight="1" x14ac:dyDescent="0.3">
      <c r="A227" s="140">
        <v>45989</v>
      </c>
      <c r="B227" s="131" t="s">
        <v>35</v>
      </c>
      <c r="C227" s="132" t="s">
        <v>45</v>
      </c>
      <c r="D227" s="131" t="s">
        <v>1</v>
      </c>
      <c r="E227" s="141">
        <v>1.1284722222222221</v>
      </c>
      <c r="F227" s="131" t="s">
        <v>37</v>
      </c>
      <c r="G227" s="133">
        <v>5</v>
      </c>
      <c r="H227" s="134">
        <v>359</v>
      </c>
    </row>
    <row r="228" spans="1:8" ht="19.8" customHeight="1" x14ac:dyDescent="0.3">
      <c r="A228" s="140">
        <v>45989</v>
      </c>
      <c r="B228" s="131" t="s">
        <v>35</v>
      </c>
      <c r="C228" s="132" t="s">
        <v>47</v>
      </c>
      <c r="D228" s="131" t="s">
        <v>1</v>
      </c>
      <c r="E228" s="141">
        <v>1.788194444444444</v>
      </c>
      <c r="F228" s="131" t="s">
        <v>37</v>
      </c>
      <c r="G228" s="133">
        <v>4</v>
      </c>
      <c r="H228" s="134">
        <v>389</v>
      </c>
    </row>
    <row r="229" spans="1:8" ht="19.8" customHeight="1" x14ac:dyDescent="0.3">
      <c r="A229" s="140">
        <v>45989</v>
      </c>
      <c r="B229" s="131" t="s">
        <v>35</v>
      </c>
      <c r="C229" s="132" t="s">
        <v>50</v>
      </c>
      <c r="D229" s="131" t="s">
        <v>1</v>
      </c>
      <c r="E229" s="141">
        <v>1.8888888888888891</v>
      </c>
      <c r="F229" s="131" t="s">
        <v>37</v>
      </c>
      <c r="G229" s="133">
        <v>8</v>
      </c>
      <c r="H229" s="134">
        <v>389</v>
      </c>
    </row>
    <row r="230" spans="1:8" ht="19.8" customHeight="1" x14ac:dyDescent="0.3">
      <c r="A230" s="140">
        <v>45989</v>
      </c>
      <c r="B230" s="131" t="s">
        <v>51</v>
      </c>
      <c r="C230" s="132" t="s">
        <v>52</v>
      </c>
      <c r="D230" s="131" t="s">
        <v>1</v>
      </c>
      <c r="E230" s="141">
        <v>1.9027777777777779</v>
      </c>
      <c r="F230" s="131" t="s">
        <v>53</v>
      </c>
      <c r="G230" s="133">
        <v>1</v>
      </c>
      <c r="H230" s="134">
        <v>409</v>
      </c>
    </row>
    <row r="231" spans="1:8" ht="19.8" customHeight="1" x14ac:dyDescent="0.3">
      <c r="A231" s="140">
        <v>45989</v>
      </c>
      <c r="B231" s="131" t="s">
        <v>51</v>
      </c>
      <c r="C231" s="132" t="s">
        <v>64</v>
      </c>
      <c r="D231" s="131" t="s">
        <v>1</v>
      </c>
      <c r="E231" s="141">
        <v>1.5173611111111109</v>
      </c>
      <c r="F231" s="131" t="s">
        <v>53</v>
      </c>
      <c r="G231" s="133">
        <v>2</v>
      </c>
      <c r="H231" s="134">
        <v>409</v>
      </c>
    </row>
    <row r="232" spans="1:8" ht="19.8" customHeight="1" x14ac:dyDescent="0.3">
      <c r="A232" s="140">
        <v>45989</v>
      </c>
      <c r="B232" s="131" t="s">
        <v>51</v>
      </c>
      <c r="C232" s="132" t="s">
        <v>75</v>
      </c>
      <c r="D232" s="131" t="s">
        <v>1</v>
      </c>
      <c r="E232" s="141">
        <v>1.395833333333333</v>
      </c>
      <c r="F232" s="131" t="s">
        <v>53</v>
      </c>
      <c r="G232" s="133">
        <v>2</v>
      </c>
      <c r="H232" s="134">
        <v>409</v>
      </c>
    </row>
    <row r="233" spans="1:8" ht="19.8" customHeight="1" x14ac:dyDescent="0.3">
      <c r="A233" s="140">
        <v>45989</v>
      </c>
      <c r="B233" s="131" t="s">
        <v>51</v>
      </c>
      <c r="C233" s="132" t="s">
        <v>70</v>
      </c>
      <c r="D233" s="131" t="s">
        <v>1</v>
      </c>
      <c r="E233" s="141">
        <v>1.7986111111111109</v>
      </c>
      <c r="F233" s="131" t="s">
        <v>53</v>
      </c>
      <c r="G233" s="133">
        <v>1</v>
      </c>
      <c r="H233" s="134">
        <v>409</v>
      </c>
    </row>
    <row r="234" spans="1:8" ht="19.8" customHeight="1" x14ac:dyDescent="0.3">
      <c r="A234" s="142">
        <v>45989</v>
      </c>
      <c r="B234" s="136" t="s">
        <v>76</v>
      </c>
      <c r="C234" s="137" t="s">
        <v>77</v>
      </c>
      <c r="D234" s="136" t="s">
        <v>1</v>
      </c>
      <c r="E234" s="143">
        <v>1.319444444444444</v>
      </c>
      <c r="F234" s="136" t="s">
        <v>78</v>
      </c>
      <c r="G234" s="138">
        <v>1</v>
      </c>
      <c r="H234" s="139">
        <v>436</v>
      </c>
    </row>
    <row r="235" spans="1:8" ht="19.8" customHeight="1" x14ac:dyDescent="0.3">
      <c r="A235" s="142">
        <v>45989</v>
      </c>
      <c r="B235" s="136" t="s">
        <v>76</v>
      </c>
      <c r="C235" s="137" t="s">
        <v>93</v>
      </c>
      <c r="D235" s="136" t="s">
        <v>1</v>
      </c>
      <c r="E235" s="143">
        <v>1.458333333333333</v>
      </c>
      <c r="F235" s="136" t="s">
        <v>78</v>
      </c>
      <c r="G235" s="138">
        <v>9</v>
      </c>
      <c r="H235" s="139">
        <v>436</v>
      </c>
    </row>
    <row r="236" spans="1:8" ht="19.8" customHeight="1" x14ac:dyDescent="0.3">
      <c r="A236" s="140">
        <v>45989</v>
      </c>
      <c r="B236" s="131" t="s">
        <v>105</v>
      </c>
      <c r="C236" s="132" t="s">
        <v>223</v>
      </c>
      <c r="D236" s="131" t="s">
        <v>1</v>
      </c>
      <c r="E236" s="141">
        <v>1.975694444444444</v>
      </c>
      <c r="F236" s="131" t="s">
        <v>107</v>
      </c>
      <c r="G236" s="133">
        <v>9</v>
      </c>
      <c r="H236" s="134">
        <v>437</v>
      </c>
    </row>
    <row r="237" spans="1:8" ht="19.8" customHeight="1" x14ac:dyDescent="0.3">
      <c r="A237" s="140">
        <v>45989</v>
      </c>
      <c r="B237" s="131" t="s">
        <v>105</v>
      </c>
      <c r="C237" s="132" t="s">
        <v>171</v>
      </c>
      <c r="D237" s="131" t="s">
        <v>1</v>
      </c>
      <c r="E237" s="141">
        <v>1.3923611111111109</v>
      </c>
      <c r="F237" s="131" t="s">
        <v>107</v>
      </c>
      <c r="G237" s="133">
        <v>9</v>
      </c>
      <c r="H237" s="134">
        <v>449</v>
      </c>
    </row>
    <row r="238" spans="1:8" ht="19.8" customHeight="1" x14ac:dyDescent="0.3">
      <c r="A238" s="140">
        <v>45989</v>
      </c>
      <c r="B238" s="131" t="s">
        <v>51</v>
      </c>
      <c r="C238" s="132" t="s">
        <v>71</v>
      </c>
      <c r="D238" s="131" t="s">
        <v>1</v>
      </c>
      <c r="E238" s="141">
        <v>1.256944444444444</v>
      </c>
      <c r="F238" s="131" t="s">
        <v>53</v>
      </c>
      <c r="G238" s="133">
        <v>3</v>
      </c>
      <c r="H238" s="134">
        <v>449</v>
      </c>
    </row>
    <row r="239" spans="1:8" ht="19.8" customHeight="1" x14ac:dyDescent="0.3">
      <c r="A239" s="140">
        <v>45989</v>
      </c>
      <c r="B239" s="131" t="s">
        <v>51</v>
      </c>
      <c r="C239" s="132" t="s">
        <v>61</v>
      </c>
      <c r="D239" s="131" t="s">
        <v>1</v>
      </c>
      <c r="E239" s="141">
        <v>1.645833333333333</v>
      </c>
      <c r="F239" s="131" t="s">
        <v>53</v>
      </c>
      <c r="G239" s="133">
        <v>6</v>
      </c>
      <c r="H239" s="134">
        <v>449</v>
      </c>
    </row>
    <row r="240" spans="1:8" ht="19.8" customHeight="1" x14ac:dyDescent="0.3">
      <c r="A240" s="140">
        <v>45989</v>
      </c>
      <c r="B240" s="131" t="s">
        <v>51</v>
      </c>
      <c r="C240" s="132" t="s">
        <v>66</v>
      </c>
      <c r="D240" s="131" t="s">
        <v>1</v>
      </c>
      <c r="E240" s="141">
        <v>1.854166666666667</v>
      </c>
      <c r="F240" s="131" t="s">
        <v>53</v>
      </c>
      <c r="G240" s="133">
        <v>6</v>
      </c>
      <c r="H240" s="134">
        <v>449</v>
      </c>
    </row>
    <row r="241" spans="1:8" ht="19.8" customHeight="1" x14ac:dyDescent="0.3">
      <c r="A241" s="142">
        <v>45989</v>
      </c>
      <c r="B241" s="136" t="s">
        <v>76</v>
      </c>
      <c r="C241" s="137" t="s">
        <v>83</v>
      </c>
      <c r="D241" s="136" t="s">
        <v>1</v>
      </c>
      <c r="E241" s="143">
        <v>1.114583333333333</v>
      </c>
      <c r="F241" s="136" t="s">
        <v>78</v>
      </c>
      <c r="G241" s="138">
        <v>6</v>
      </c>
      <c r="H241" s="139">
        <v>471</v>
      </c>
    </row>
    <row r="242" spans="1:8" ht="19.8" customHeight="1" x14ac:dyDescent="0.3">
      <c r="A242" s="142">
        <v>45989</v>
      </c>
      <c r="B242" s="136" t="s">
        <v>76</v>
      </c>
      <c r="C242" s="137" t="s">
        <v>165</v>
      </c>
      <c r="D242" s="136" t="s">
        <v>1</v>
      </c>
      <c r="E242" s="143">
        <v>1.9375</v>
      </c>
      <c r="F242" s="136" t="s">
        <v>78</v>
      </c>
      <c r="G242" s="138">
        <v>1</v>
      </c>
      <c r="H242" s="139">
        <v>471</v>
      </c>
    </row>
    <row r="243" spans="1:8" ht="19.8" customHeight="1" x14ac:dyDescent="0.3">
      <c r="A243" s="142">
        <v>45989</v>
      </c>
      <c r="B243" s="136" t="s">
        <v>76</v>
      </c>
      <c r="C243" s="137" t="s">
        <v>89</v>
      </c>
      <c r="D243" s="136" t="s">
        <v>1</v>
      </c>
      <c r="E243" s="143">
        <v>1.7361111111111109</v>
      </c>
      <c r="F243" s="136" t="s">
        <v>78</v>
      </c>
      <c r="G243" s="138">
        <v>7</v>
      </c>
      <c r="H243" s="139">
        <v>471</v>
      </c>
    </row>
    <row r="244" spans="1:8" ht="19.8" customHeight="1" x14ac:dyDescent="0.3">
      <c r="A244" s="142">
        <v>45989</v>
      </c>
      <c r="B244" s="136" t="s">
        <v>76</v>
      </c>
      <c r="C244" s="137" t="s">
        <v>200</v>
      </c>
      <c r="D244" s="136" t="s">
        <v>1</v>
      </c>
      <c r="E244" s="143">
        <v>1.614583333333333</v>
      </c>
      <c r="F244" s="136" t="s">
        <v>78</v>
      </c>
      <c r="G244" s="138">
        <v>8</v>
      </c>
      <c r="H244" s="139">
        <v>471</v>
      </c>
    </row>
    <row r="245" spans="1:8" ht="19.8" customHeight="1" x14ac:dyDescent="0.3">
      <c r="A245" s="140">
        <v>45989</v>
      </c>
      <c r="B245" s="131" t="s">
        <v>35</v>
      </c>
      <c r="C245" s="132" t="s">
        <v>36</v>
      </c>
      <c r="D245" s="131" t="s">
        <v>1</v>
      </c>
      <c r="E245" s="141">
        <v>1.302083333333333</v>
      </c>
      <c r="F245" s="131" t="s">
        <v>40</v>
      </c>
      <c r="G245" s="133">
        <v>3</v>
      </c>
      <c r="H245" s="134">
        <v>509</v>
      </c>
    </row>
    <row r="246" spans="1:8" ht="19.8" customHeight="1" x14ac:dyDescent="0.3">
      <c r="A246" s="140">
        <v>45989</v>
      </c>
      <c r="B246" s="131" t="s">
        <v>35</v>
      </c>
      <c r="C246" s="132" t="s">
        <v>45</v>
      </c>
      <c r="D246" s="131" t="s">
        <v>1</v>
      </c>
      <c r="E246" s="141">
        <v>1.1284722222222221</v>
      </c>
      <c r="F246" s="131" t="s">
        <v>40</v>
      </c>
      <c r="G246" s="133">
        <v>5</v>
      </c>
      <c r="H246" s="134">
        <v>509</v>
      </c>
    </row>
    <row r="247" spans="1:8" ht="19.8" customHeight="1" x14ac:dyDescent="0.3">
      <c r="A247" s="140">
        <v>45989</v>
      </c>
      <c r="B247" s="131" t="s">
        <v>51</v>
      </c>
      <c r="C247" s="132" t="s">
        <v>52</v>
      </c>
      <c r="D247" s="131" t="s">
        <v>1</v>
      </c>
      <c r="E247" s="141">
        <v>1.9027777777777779</v>
      </c>
      <c r="F247" s="131" t="s">
        <v>56</v>
      </c>
      <c r="G247" s="133">
        <v>1</v>
      </c>
      <c r="H247" s="134">
        <v>509</v>
      </c>
    </row>
    <row r="248" spans="1:8" ht="19.8" customHeight="1" x14ac:dyDescent="0.3">
      <c r="A248" s="140">
        <v>45989</v>
      </c>
      <c r="B248" s="131" t="s">
        <v>51</v>
      </c>
      <c r="C248" s="132" t="s">
        <v>64</v>
      </c>
      <c r="D248" s="131" t="s">
        <v>1</v>
      </c>
      <c r="E248" s="141">
        <v>1.5173611111111109</v>
      </c>
      <c r="F248" s="131" t="s">
        <v>56</v>
      </c>
      <c r="G248" s="133">
        <v>2</v>
      </c>
      <c r="H248" s="134">
        <v>509</v>
      </c>
    </row>
    <row r="249" spans="1:8" ht="19.8" customHeight="1" x14ac:dyDescent="0.3">
      <c r="A249" s="140">
        <v>45989</v>
      </c>
      <c r="B249" s="131" t="s">
        <v>51</v>
      </c>
      <c r="C249" s="132" t="s">
        <v>75</v>
      </c>
      <c r="D249" s="131" t="s">
        <v>1</v>
      </c>
      <c r="E249" s="141">
        <v>1.395833333333333</v>
      </c>
      <c r="F249" s="131" t="s">
        <v>56</v>
      </c>
      <c r="G249" s="133">
        <v>2</v>
      </c>
      <c r="H249" s="134">
        <v>509</v>
      </c>
    </row>
    <row r="250" spans="1:8" ht="19.8" customHeight="1" x14ac:dyDescent="0.3">
      <c r="A250" s="140">
        <v>45989</v>
      </c>
      <c r="B250" s="131" t="s">
        <v>51</v>
      </c>
      <c r="C250" s="132" t="s">
        <v>70</v>
      </c>
      <c r="D250" s="131" t="s">
        <v>1</v>
      </c>
      <c r="E250" s="141">
        <v>1.7986111111111109</v>
      </c>
      <c r="F250" s="131" t="s">
        <v>56</v>
      </c>
      <c r="G250" s="133">
        <v>1</v>
      </c>
      <c r="H250" s="134">
        <v>509</v>
      </c>
    </row>
    <row r="251" spans="1:8" ht="19.8" customHeight="1" x14ac:dyDescent="0.3">
      <c r="A251" s="140">
        <v>45989</v>
      </c>
      <c r="B251" s="131" t="s">
        <v>35</v>
      </c>
      <c r="C251" s="132" t="s">
        <v>47</v>
      </c>
      <c r="D251" s="131" t="s">
        <v>1</v>
      </c>
      <c r="E251" s="141">
        <v>1.788194444444444</v>
      </c>
      <c r="F251" s="131" t="s">
        <v>40</v>
      </c>
      <c r="G251" s="133">
        <v>4</v>
      </c>
      <c r="H251" s="134">
        <v>539</v>
      </c>
    </row>
    <row r="252" spans="1:8" ht="19.8" customHeight="1" x14ac:dyDescent="0.3">
      <c r="A252" s="140">
        <v>45989</v>
      </c>
      <c r="B252" s="131" t="s">
        <v>35</v>
      </c>
      <c r="C252" s="132" t="s">
        <v>50</v>
      </c>
      <c r="D252" s="131" t="s">
        <v>1</v>
      </c>
      <c r="E252" s="141">
        <v>1.8888888888888891</v>
      </c>
      <c r="F252" s="131" t="s">
        <v>40</v>
      </c>
      <c r="G252" s="133">
        <v>8</v>
      </c>
      <c r="H252" s="134">
        <v>539</v>
      </c>
    </row>
    <row r="253" spans="1:8" ht="19.8" customHeight="1" x14ac:dyDescent="0.3">
      <c r="A253" s="140">
        <v>45989</v>
      </c>
      <c r="B253" s="131" t="s">
        <v>51</v>
      </c>
      <c r="C253" s="132" t="s">
        <v>71</v>
      </c>
      <c r="D253" s="131" t="s">
        <v>1</v>
      </c>
      <c r="E253" s="141">
        <v>1.256944444444444</v>
      </c>
      <c r="F253" s="131" t="s">
        <v>56</v>
      </c>
      <c r="G253" s="133">
        <v>3</v>
      </c>
      <c r="H253" s="134">
        <v>549</v>
      </c>
    </row>
    <row r="254" spans="1:8" ht="19.8" customHeight="1" x14ac:dyDescent="0.3">
      <c r="A254" s="140">
        <v>45989</v>
      </c>
      <c r="B254" s="131" t="s">
        <v>51</v>
      </c>
      <c r="C254" s="132" t="s">
        <v>61</v>
      </c>
      <c r="D254" s="131" t="s">
        <v>1</v>
      </c>
      <c r="E254" s="141">
        <v>1.645833333333333</v>
      </c>
      <c r="F254" s="131" t="s">
        <v>56</v>
      </c>
      <c r="G254" s="133">
        <v>6</v>
      </c>
      <c r="H254" s="134">
        <v>549</v>
      </c>
    </row>
    <row r="255" spans="1:8" ht="19.8" customHeight="1" x14ac:dyDescent="0.3">
      <c r="A255" s="140">
        <v>45989</v>
      </c>
      <c r="B255" s="131" t="s">
        <v>51</v>
      </c>
      <c r="C255" s="132" t="s">
        <v>66</v>
      </c>
      <c r="D255" s="131" t="s">
        <v>1</v>
      </c>
      <c r="E255" s="141">
        <v>1.854166666666667</v>
      </c>
      <c r="F255" s="131" t="s">
        <v>56</v>
      </c>
      <c r="G255" s="133">
        <v>6</v>
      </c>
      <c r="H255" s="134">
        <v>549</v>
      </c>
    </row>
    <row r="256" spans="1:8" ht="19.8" customHeight="1" x14ac:dyDescent="0.3">
      <c r="A256" s="140">
        <v>45989</v>
      </c>
      <c r="B256" s="131" t="s">
        <v>26</v>
      </c>
      <c r="C256" s="132" t="s">
        <v>31</v>
      </c>
      <c r="D256" s="131" t="s">
        <v>1</v>
      </c>
      <c r="E256" s="141">
        <v>1.666666666666667</v>
      </c>
      <c r="F256" s="131" t="s">
        <v>28</v>
      </c>
      <c r="G256" s="133">
        <v>9</v>
      </c>
      <c r="H256" s="134">
        <v>599</v>
      </c>
    </row>
    <row r="257" spans="1:8" ht="19.8" customHeight="1" x14ac:dyDescent="0.3">
      <c r="A257" s="140">
        <v>45989</v>
      </c>
      <c r="B257" s="131" t="s">
        <v>51</v>
      </c>
      <c r="C257" s="132" t="s">
        <v>52</v>
      </c>
      <c r="D257" s="131" t="s">
        <v>1</v>
      </c>
      <c r="E257" s="141">
        <v>1.9027777777777779</v>
      </c>
      <c r="F257" s="131" t="s">
        <v>59</v>
      </c>
      <c r="G257" s="133">
        <v>1</v>
      </c>
      <c r="H257" s="134">
        <v>599</v>
      </c>
    </row>
    <row r="258" spans="1:8" ht="19.8" customHeight="1" x14ac:dyDescent="0.3">
      <c r="A258" s="140">
        <v>45989</v>
      </c>
      <c r="B258" s="131" t="s">
        <v>51</v>
      </c>
      <c r="C258" s="132" t="s">
        <v>64</v>
      </c>
      <c r="D258" s="131" t="s">
        <v>1</v>
      </c>
      <c r="E258" s="141">
        <v>1.5173611111111109</v>
      </c>
      <c r="F258" s="131" t="s">
        <v>59</v>
      </c>
      <c r="G258" s="133">
        <v>2</v>
      </c>
      <c r="H258" s="134">
        <v>599</v>
      </c>
    </row>
    <row r="259" spans="1:8" ht="19.8" customHeight="1" x14ac:dyDescent="0.3">
      <c r="A259" s="140">
        <v>45989</v>
      </c>
      <c r="B259" s="131" t="s">
        <v>51</v>
      </c>
      <c r="C259" s="132" t="s">
        <v>75</v>
      </c>
      <c r="D259" s="131" t="s">
        <v>1</v>
      </c>
      <c r="E259" s="141">
        <v>1.395833333333333</v>
      </c>
      <c r="F259" s="131" t="s">
        <v>59</v>
      </c>
      <c r="G259" s="133">
        <v>2</v>
      </c>
      <c r="H259" s="134">
        <v>599</v>
      </c>
    </row>
    <row r="260" spans="1:8" ht="19.8" customHeight="1" x14ac:dyDescent="0.3">
      <c r="A260" s="140">
        <v>45989</v>
      </c>
      <c r="B260" s="131" t="s">
        <v>51</v>
      </c>
      <c r="C260" s="132" t="s">
        <v>70</v>
      </c>
      <c r="D260" s="131" t="s">
        <v>1</v>
      </c>
      <c r="E260" s="141">
        <v>1.7986111111111109</v>
      </c>
      <c r="F260" s="131" t="s">
        <v>59</v>
      </c>
      <c r="G260" s="133">
        <v>1</v>
      </c>
      <c r="H260" s="134">
        <v>599</v>
      </c>
    </row>
    <row r="261" spans="1:8" ht="19.8" customHeight="1" x14ac:dyDescent="0.3">
      <c r="A261" s="140">
        <v>45989</v>
      </c>
      <c r="B261" s="131" t="s">
        <v>51</v>
      </c>
      <c r="C261" s="132" t="s">
        <v>71</v>
      </c>
      <c r="D261" s="131" t="s">
        <v>1</v>
      </c>
      <c r="E261" s="141">
        <v>1.256944444444444</v>
      </c>
      <c r="F261" s="131" t="s">
        <v>59</v>
      </c>
      <c r="G261" s="133">
        <v>3</v>
      </c>
      <c r="H261" s="134">
        <v>639</v>
      </c>
    </row>
    <row r="262" spans="1:8" ht="19.8" customHeight="1" x14ac:dyDescent="0.3">
      <c r="A262" s="140">
        <v>45989</v>
      </c>
      <c r="B262" s="131" t="s">
        <v>51</v>
      </c>
      <c r="C262" s="132" t="s">
        <v>61</v>
      </c>
      <c r="D262" s="131" t="s">
        <v>1</v>
      </c>
      <c r="E262" s="141">
        <v>1.645833333333333</v>
      </c>
      <c r="F262" s="131" t="s">
        <v>59</v>
      </c>
      <c r="G262" s="133">
        <v>6</v>
      </c>
      <c r="H262" s="134">
        <v>639</v>
      </c>
    </row>
    <row r="263" spans="1:8" ht="19.8" customHeight="1" x14ac:dyDescent="0.3">
      <c r="A263" s="140">
        <v>45989</v>
      </c>
      <c r="B263" s="131" t="s">
        <v>51</v>
      </c>
      <c r="C263" s="132" t="s">
        <v>66</v>
      </c>
      <c r="D263" s="131" t="s">
        <v>1</v>
      </c>
      <c r="E263" s="141">
        <v>1.854166666666667</v>
      </c>
      <c r="F263" s="131" t="s">
        <v>59</v>
      </c>
      <c r="G263" s="133">
        <v>6</v>
      </c>
      <c r="H263" s="134">
        <v>639</v>
      </c>
    </row>
    <row r="264" spans="1:8" ht="19.8" customHeight="1" x14ac:dyDescent="0.3">
      <c r="A264" s="140">
        <v>45989</v>
      </c>
      <c r="B264" s="131" t="s">
        <v>105</v>
      </c>
      <c r="C264" s="132" t="s">
        <v>223</v>
      </c>
      <c r="D264" s="131" t="s">
        <v>1</v>
      </c>
      <c r="E264" s="141">
        <v>1.975694444444444</v>
      </c>
      <c r="F264" s="131" t="s">
        <v>43</v>
      </c>
      <c r="G264" s="133">
        <v>9</v>
      </c>
      <c r="H264" s="134">
        <v>663</v>
      </c>
    </row>
    <row r="265" spans="1:8" ht="19.8" customHeight="1" x14ac:dyDescent="0.3">
      <c r="A265" s="140">
        <v>45989</v>
      </c>
      <c r="B265" s="131" t="s">
        <v>105</v>
      </c>
      <c r="C265" s="132" t="s">
        <v>171</v>
      </c>
      <c r="D265" s="131" t="s">
        <v>1</v>
      </c>
      <c r="E265" s="141">
        <v>1.3923611111111109</v>
      </c>
      <c r="F265" s="131" t="s">
        <v>43</v>
      </c>
      <c r="G265" s="133">
        <v>9</v>
      </c>
      <c r="H265" s="134">
        <v>675</v>
      </c>
    </row>
    <row r="266" spans="1:8" ht="19.8" customHeight="1" x14ac:dyDescent="0.3">
      <c r="A266" s="140">
        <v>45989</v>
      </c>
      <c r="B266" s="131" t="s">
        <v>118</v>
      </c>
      <c r="C266" s="132" t="s">
        <v>119</v>
      </c>
      <c r="D266" s="131" t="s">
        <v>1</v>
      </c>
      <c r="E266" s="141">
        <v>1.3784722222222221</v>
      </c>
      <c r="F266" s="131" t="s">
        <v>120</v>
      </c>
      <c r="G266" s="133">
        <v>9</v>
      </c>
      <c r="H266" s="134">
        <v>678</v>
      </c>
    </row>
    <row r="267" spans="1:8" ht="19.8" customHeight="1" x14ac:dyDescent="0.3">
      <c r="A267" s="140">
        <v>45989</v>
      </c>
      <c r="B267" s="131" t="s">
        <v>118</v>
      </c>
      <c r="C267" s="132" t="s">
        <v>131</v>
      </c>
      <c r="D267" s="131" t="s">
        <v>1</v>
      </c>
      <c r="E267" s="141">
        <v>1.71875</v>
      </c>
      <c r="F267" s="131" t="s">
        <v>120</v>
      </c>
      <c r="G267" s="133">
        <v>5</v>
      </c>
      <c r="H267" s="134">
        <v>678</v>
      </c>
    </row>
    <row r="268" spans="1:8" ht="19.8" customHeight="1" x14ac:dyDescent="0.3">
      <c r="A268" s="140">
        <v>45989</v>
      </c>
      <c r="B268" s="131" t="s">
        <v>118</v>
      </c>
      <c r="C268" s="132" t="s">
        <v>184</v>
      </c>
      <c r="D268" s="131" t="s">
        <v>1</v>
      </c>
      <c r="E268" s="141">
        <v>1.6111111111111109</v>
      </c>
      <c r="F268" s="131" t="s">
        <v>120</v>
      </c>
      <c r="G268" s="133">
        <v>9</v>
      </c>
      <c r="H268" s="134">
        <v>678</v>
      </c>
    </row>
    <row r="269" spans="1:8" ht="19.8" customHeight="1" x14ac:dyDescent="0.3">
      <c r="A269" s="140">
        <v>45989</v>
      </c>
      <c r="B269" s="131" t="s">
        <v>118</v>
      </c>
      <c r="C269" s="132" t="s">
        <v>128</v>
      </c>
      <c r="D269" s="131" t="s">
        <v>1</v>
      </c>
      <c r="E269" s="141">
        <v>1.239583333333333</v>
      </c>
      <c r="F269" s="131" t="s">
        <v>120</v>
      </c>
      <c r="G269" s="133">
        <v>9</v>
      </c>
      <c r="H269" s="134">
        <v>678</v>
      </c>
    </row>
    <row r="270" spans="1:8" ht="19.8" customHeight="1" x14ac:dyDescent="0.3">
      <c r="A270" s="140">
        <v>45989</v>
      </c>
      <c r="B270" s="131" t="s">
        <v>118</v>
      </c>
      <c r="C270" s="132" t="s">
        <v>129</v>
      </c>
      <c r="D270" s="131" t="s">
        <v>1</v>
      </c>
      <c r="E270" s="141">
        <v>1.1423611111111109</v>
      </c>
      <c r="F270" s="131" t="s">
        <v>120</v>
      </c>
      <c r="G270" s="133">
        <v>9</v>
      </c>
      <c r="H270" s="134">
        <v>678</v>
      </c>
    </row>
    <row r="271" spans="1:8" ht="19.8" customHeight="1" x14ac:dyDescent="0.3">
      <c r="A271" s="140">
        <v>45989</v>
      </c>
      <c r="B271" s="131" t="s">
        <v>118</v>
      </c>
      <c r="C271" s="132" t="s">
        <v>119</v>
      </c>
      <c r="D271" s="131" t="s">
        <v>1</v>
      </c>
      <c r="E271" s="141">
        <v>1.3784722222222221</v>
      </c>
      <c r="F271" s="131" t="s">
        <v>122</v>
      </c>
      <c r="G271" s="133">
        <v>9</v>
      </c>
      <c r="H271" s="134">
        <v>723</v>
      </c>
    </row>
    <row r="272" spans="1:8" ht="19.8" customHeight="1" x14ac:dyDescent="0.3">
      <c r="A272" s="140">
        <v>45989</v>
      </c>
      <c r="B272" s="131" t="s">
        <v>118</v>
      </c>
      <c r="C272" s="132" t="s">
        <v>131</v>
      </c>
      <c r="D272" s="131" t="s">
        <v>1</v>
      </c>
      <c r="E272" s="141">
        <v>1.71875</v>
      </c>
      <c r="F272" s="131" t="s">
        <v>122</v>
      </c>
      <c r="G272" s="133">
        <v>5</v>
      </c>
      <c r="H272" s="134">
        <v>723</v>
      </c>
    </row>
    <row r="273" spans="1:8" ht="19.8" customHeight="1" x14ac:dyDescent="0.3">
      <c r="A273" s="140">
        <v>45989</v>
      </c>
      <c r="B273" s="131" t="s">
        <v>118</v>
      </c>
      <c r="C273" s="132" t="s">
        <v>184</v>
      </c>
      <c r="D273" s="131" t="s">
        <v>1</v>
      </c>
      <c r="E273" s="141">
        <v>1.6111111111111109</v>
      </c>
      <c r="F273" s="131" t="s">
        <v>122</v>
      </c>
      <c r="G273" s="133">
        <v>9</v>
      </c>
      <c r="H273" s="134">
        <v>723</v>
      </c>
    </row>
    <row r="274" spans="1:8" ht="19.8" customHeight="1" x14ac:dyDescent="0.3">
      <c r="A274" s="140">
        <v>45989</v>
      </c>
      <c r="B274" s="131" t="s">
        <v>118</v>
      </c>
      <c r="C274" s="132" t="s">
        <v>128</v>
      </c>
      <c r="D274" s="131" t="s">
        <v>1</v>
      </c>
      <c r="E274" s="141">
        <v>1.239583333333333</v>
      </c>
      <c r="F274" s="131" t="s">
        <v>122</v>
      </c>
      <c r="G274" s="133">
        <v>9</v>
      </c>
      <c r="H274" s="134">
        <v>723</v>
      </c>
    </row>
    <row r="275" spans="1:8" ht="19.8" customHeight="1" x14ac:dyDescent="0.3">
      <c r="A275" s="140">
        <v>45989</v>
      </c>
      <c r="B275" s="131" t="s">
        <v>118</v>
      </c>
      <c r="C275" s="132" t="s">
        <v>129</v>
      </c>
      <c r="D275" s="131" t="s">
        <v>1</v>
      </c>
      <c r="E275" s="141">
        <v>1.1423611111111109</v>
      </c>
      <c r="F275" s="131" t="s">
        <v>122</v>
      </c>
      <c r="G275" s="133">
        <v>9</v>
      </c>
      <c r="H275" s="134">
        <v>723</v>
      </c>
    </row>
    <row r="276" spans="1:8" ht="19.8" customHeight="1" x14ac:dyDescent="0.3">
      <c r="A276" s="140">
        <v>45989</v>
      </c>
      <c r="B276" s="131" t="s">
        <v>140</v>
      </c>
      <c r="C276" s="132" t="s">
        <v>147</v>
      </c>
      <c r="D276" s="131" t="s">
        <v>1</v>
      </c>
      <c r="E276" s="141">
        <v>1.0138888888888891</v>
      </c>
      <c r="F276" s="131" t="s">
        <v>142</v>
      </c>
      <c r="G276" s="133">
        <v>9</v>
      </c>
      <c r="H276" s="134">
        <v>842</v>
      </c>
    </row>
    <row r="277" spans="1:8" ht="19.8" customHeight="1" x14ac:dyDescent="0.3">
      <c r="A277" s="140">
        <v>45989</v>
      </c>
      <c r="B277" s="131" t="s">
        <v>140</v>
      </c>
      <c r="C277" s="132" t="s">
        <v>141</v>
      </c>
      <c r="D277" s="131" t="s">
        <v>1</v>
      </c>
      <c r="E277" s="141">
        <v>1.4722222222222221</v>
      </c>
      <c r="F277" s="131" t="s">
        <v>142</v>
      </c>
      <c r="G277" s="133">
        <v>9</v>
      </c>
      <c r="H277" s="134">
        <v>842</v>
      </c>
    </row>
    <row r="278" spans="1:8" ht="19.8" customHeight="1" x14ac:dyDescent="0.3">
      <c r="A278" s="140">
        <v>45989</v>
      </c>
      <c r="B278" s="131" t="s">
        <v>140</v>
      </c>
      <c r="C278" s="132" t="s">
        <v>149</v>
      </c>
      <c r="D278" s="131" t="s">
        <v>1</v>
      </c>
      <c r="E278" s="141">
        <v>1.145833333333333</v>
      </c>
      <c r="F278" s="131" t="s">
        <v>142</v>
      </c>
      <c r="G278" s="133">
        <v>9</v>
      </c>
      <c r="H278" s="134">
        <v>842</v>
      </c>
    </row>
    <row r="279" spans="1:8" ht="19.8" customHeight="1" x14ac:dyDescent="0.3">
      <c r="A279" s="140">
        <v>45989</v>
      </c>
      <c r="B279" s="131" t="s">
        <v>140</v>
      </c>
      <c r="C279" s="132" t="s">
        <v>150</v>
      </c>
      <c r="D279" s="131" t="s">
        <v>1</v>
      </c>
      <c r="E279" s="141">
        <v>1.2777777777777779</v>
      </c>
      <c r="F279" s="131" t="s">
        <v>142</v>
      </c>
      <c r="G279" s="133">
        <v>9</v>
      </c>
      <c r="H279" s="134">
        <v>842</v>
      </c>
    </row>
    <row r="280" spans="1:8" ht="19.8" customHeight="1" x14ac:dyDescent="0.3">
      <c r="A280" s="140">
        <v>45989</v>
      </c>
      <c r="B280" s="131" t="s">
        <v>140</v>
      </c>
      <c r="C280" s="132" t="s">
        <v>145</v>
      </c>
      <c r="D280" s="131" t="s">
        <v>1</v>
      </c>
      <c r="E280" s="141">
        <v>1.229166666666667</v>
      </c>
      <c r="F280" s="131" t="s">
        <v>142</v>
      </c>
      <c r="G280" s="133">
        <v>9</v>
      </c>
      <c r="H280" s="134">
        <v>842</v>
      </c>
    </row>
    <row r="281" spans="1:8" ht="19.8" customHeight="1" x14ac:dyDescent="0.3">
      <c r="A281" s="140">
        <v>45989</v>
      </c>
      <c r="B281" s="131" t="s">
        <v>118</v>
      </c>
      <c r="C281" s="132" t="s">
        <v>124</v>
      </c>
      <c r="D281" s="131" t="s">
        <v>1</v>
      </c>
      <c r="E281" s="141">
        <v>1.006944444444444</v>
      </c>
      <c r="F281" s="131" t="s">
        <v>120</v>
      </c>
      <c r="G281" s="133">
        <v>9</v>
      </c>
      <c r="H281" s="134">
        <v>935</v>
      </c>
    </row>
    <row r="282" spans="1:8" ht="19.8" customHeight="1" x14ac:dyDescent="0.3">
      <c r="A282" s="140">
        <v>45989</v>
      </c>
      <c r="B282" s="131" t="s">
        <v>118</v>
      </c>
      <c r="C282" s="132" t="s">
        <v>130</v>
      </c>
      <c r="D282" s="131" t="s">
        <v>1</v>
      </c>
      <c r="E282" s="141">
        <v>1.930555555555556</v>
      </c>
      <c r="F282" s="131" t="s">
        <v>120</v>
      </c>
      <c r="G282" s="133">
        <v>9</v>
      </c>
      <c r="H282" s="134">
        <v>935</v>
      </c>
    </row>
    <row r="283" spans="1:8" ht="19.8" customHeight="1" x14ac:dyDescent="0.3">
      <c r="A283" s="140">
        <v>45989</v>
      </c>
      <c r="B283" s="131" t="s">
        <v>118</v>
      </c>
      <c r="C283" s="132" t="s">
        <v>134</v>
      </c>
      <c r="D283" s="131" t="s">
        <v>1</v>
      </c>
      <c r="E283" s="141">
        <v>1.8298611111111109</v>
      </c>
      <c r="F283" s="131" t="s">
        <v>120</v>
      </c>
      <c r="G283" s="133">
        <v>9</v>
      </c>
      <c r="H283" s="134">
        <v>935</v>
      </c>
    </row>
    <row r="284" spans="1:8" ht="19.8" customHeight="1" x14ac:dyDescent="0.3">
      <c r="A284" s="140">
        <v>45989</v>
      </c>
      <c r="B284" s="131" t="s">
        <v>118</v>
      </c>
      <c r="C284" s="132" t="s">
        <v>124</v>
      </c>
      <c r="D284" s="131" t="s">
        <v>1</v>
      </c>
      <c r="E284" s="141">
        <v>1.006944444444444</v>
      </c>
      <c r="F284" s="131" t="s">
        <v>122</v>
      </c>
      <c r="G284" s="133">
        <v>9</v>
      </c>
      <c r="H284" s="134">
        <v>980</v>
      </c>
    </row>
    <row r="285" spans="1:8" ht="19.8" customHeight="1" x14ac:dyDescent="0.3">
      <c r="A285" s="140">
        <v>45989</v>
      </c>
      <c r="B285" s="131" t="s">
        <v>118</v>
      </c>
      <c r="C285" s="132" t="s">
        <v>130</v>
      </c>
      <c r="D285" s="131" t="s">
        <v>1</v>
      </c>
      <c r="E285" s="141">
        <v>1.930555555555556</v>
      </c>
      <c r="F285" s="131" t="s">
        <v>122</v>
      </c>
      <c r="G285" s="133">
        <v>9</v>
      </c>
      <c r="H285" s="134">
        <v>980</v>
      </c>
    </row>
    <row r="286" spans="1:8" ht="19.8" customHeight="1" x14ac:dyDescent="0.3">
      <c r="A286" s="140">
        <v>45989</v>
      </c>
      <c r="B286" s="131" t="s">
        <v>118</v>
      </c>
      <c r="C286" s="132" t="s">
        <v>134</v>
      </c>
      <c r="D286" s="131" t="s">
        <v>1</v>
      </c>
      <c r="E286" s="141">
        <v>1.8298611111111109</v>
      </c>
      <c r="F286" s="131" t="s">
        <v>122</v>
      </c>
      <c r="G286" s="133">
        <v>9</v>
      </c>
      <c r="H286" s="134">
        <v>980</v>
      </c>
    </row>
    <row r="287" spans="1:8" ht="19.8" customHeight="1" x14ac:dyDescent="0.3">
      <c r="A287" s="140">
        <v>45989</v>
      </c>
      <c r="B287" s="131" t="s">
        <v>35</v>
      </c>
      <c r="C287" s="132" t="s">
        <v>36</v>
      </c>
      <c r="D287" s="131" t="s">
        <v>1</v>
      </c>
      <c r="E287" s="141">
        <v>1.302083333333333</v>
      </c>
      <c r="F287" s="131" t="s">
        <v>43</v>
      </c>
      <c r="G287" s="133">
        <v>3</v>
      </c>
      <c r="H287" s="144" t="s">
        <v>44</v>
      </c>
    </row>
    <row r="288" spans="1:8" ht="19.8" customHeight="1" x14ac:dyDescent="0.3">
      <c r="A288" s="140">
        <v>45989</v>
      </c>
      <c r="B288" s="131" t="s">
        <v>35</v>
      </c>
      <c r="C288" s="132" t="s">
        <v>45</v>
      </c>
      <c r="D288" s="131" t="s">
        <v>1</v>
      </c>
      <c r="E288" s="141">
        <v>1.1284722222222221</v>
      </c>
      <c r="F288" s="131" t="s">
        <v>43</v>
      </c>
      <c r="G288" s="133">
        <v>5</v>
      </c>
      <c r="H288" s="144" t="s">
        <v>44</v>
      </c>
    </row>
    <row r="289" spans="1:8" ht="19.8" customHeight="1" x14ac:dyDescent="0.3">
      <c r="A289" s="140">
        <v>45989</v>
      </c>
      <c r="B289" s="131" t="s">
        <v>35</v>
      </c>
      <c r="C289" s="132" t="s">
        <v>47</v>
      </c>
      <c r="D289" s="131" t="s">
        <v>1</v>
      </c>
      <c r="E289" s="141">
        <v>1.788194444444444</v>
      </c>
      <c r="F289" s="131" t="s">
        <v>43</v>
      </c>
      <c r="G289" s="133">
        <v>4</v>
      </c>
      <c r="H289" s="144" t="s">
        <v>44</v>
      </c>
    </row>
    <row r="290" spans="1:8" ht="19.8" customHeight="1" x14ac:dyDescent="0.3">
      <c r="A290" s="140">
        <v>45989</v>
      </c>
      <c r="B290" s="131" t="s">
        <v>35</v>
      </c>
      <c r="C290" s="132" t="s">
        <v>50</v>
      </c>
      <c r="D290" s="131" t="s">
        <v>1</v>
      </c>
      <c r="E290" s="141">
        <v>1.8888888888888891</v>
      </c>
      <c r="F290" s="131" t="s">
        <v>43</v>
      </c>
      <c r="G290" s="133">
        <v>8</v>
      </c>
      <c r="H290" s="144" t="s">
        <v>44</v>
      </c>
    </row>
    <row r="291" spans="1:8" ht="19.8" customHeight="1" x14ac:dyDescent="0.3">
      <c r="A291" s="140">
        <v>45989</v>
      </c>
      <c r="B291" s="131" t="s">
        <v>118</v>
      </c>
      <c r="C291" s="132" t="s">
        <v>138</v>
      </c>
      <c r="D291" s="131" t="s">
        <v>1</v>
      </c>
      <c r="E291" s="141">
        <v>1.1284722222222221</v>
      </c>
      <c r="F291" s="131" t="s">
        <v>122</v>
      </c>
      <c r="G291" s="133">
        <v>4</v>
      </c>
      <c r="H291" s="144" t="s">
        <v>209</v>
      </c>
    </row>
    <row r="292" spans="1:8" ht="19.8" customHeight="1" x14ac:dyDescent="0.3">
      <c r="A292" s="140">
        <v>45989</v>
      </c>
      <c r="B292" s="131" t="s">
        <v>118</v>
      </c>
      <c r="C292" s="132" t="s">
        <v>135</v>
      </c>
      <c r="D292" s="131" t="s">
        <v>1</v>
      </c>
      <c r="E292" s="141">
        <v>1.8888888888888891</v>
      </c>
      <c r="F292" s="131" t="s">
        <v>122</v>
      </c>
      <c r="G292" s="133">
        <v>4</v>
      </c>
      <c r="H292" s="144" t="s">
        <v>179</v>
      </c>
    </row>
    <row r="293" spans="1:8" ht="19.8" customHeight="1" x14ac:dyDescent="0.3">
      <c r="A293" s="140">
        <v>45989</v>
      </c>
      <c r="B293" s="131" t="s">
        <v>118</v>
      </c>
      <c r="C293" s="132" t="s">
        <v>137</v>
      </c>
      <c r="D293" s="131" t="s">
        <v>1</v>
      </c>
      <c r="E293" s="141">
        <v>1.302083333333333</v>
      </c>
      <c r="F293" s="131" t="s">
        <v>122</v>
      </c>
      <c r="G293" s="133">
        <v>4</v>
      </c>
      <c r="H293" s="144" t="s">
        <v>179</v>
      </c>
    </row>
    <row r="294" spans="1:8" ht="19.8" customHeight="1" x14ac:dyDescent="0.3">
      <c r="A294" s="140">
        <v>45989</v>
      </c>
      <c r="B294" s="131" t="s">
        <v>118</v>
      </c>
      <c r="C294" s="132" t="s">
        <v>139</v>
      </c>
      <c r="D294" s="131" t="s">
        <v>1</v>
      </c>
      <c r="E294" s="141">
        <v>1.788194444444444</v>
      </c>
      <c r="F294" s="131" t="s">
        <v>122</v>
      </c>
      <c r="G294" s="133">
        <v>4</v>
      </c>
      <c r="H294" s="144" t="s">
        <v>179</v>
      </c>
    </row>
    <row r="295" spans="1:8" ht="19.8" customHeight="1" x14ac:dyDescent="0.3">
      <c r="A295" s="140">
        <v>45989</v>
      </c>
      <c r="B295" s="131" t="s">
        <v>140</v>
      </c>
      <c r="C295" s="132" t="s">
        <v>152</v>
      </c>
      <c r="D295" s="131" t="s">
        <v>1</v>
      </c>
      <c r="E295" s="141">
        <v>1.770833333333333</v>
      </c>
      <c r="F295" s="131" t="s">
        <v>142</v>
      </c>
      <c r="G295" s="133">
        <v>9</v>
      </c>
      <c r="H295" s="144" t="s">
        <v>148</v>
      </c>
    </row>
    <row r="296" spans="1:8" ht="19.8" customHeight="1" x14ac:dyDescent="0.3">
      <c r="A296" s="151">
        <v>45989</v>
      </c>
      <c r="B296" s="152" t="s">
        <v>140</v>
      </c>
      <c r="C296" s="153" t="s">
        <v>178</v>
      </c>
      <c r="D296" s="152" t="s">
        <v>1</v>
      </c>
      <c r="E296" s="154">
        <v>1.958333333333333</v>
      </c>
      <c r="F296" s="152" t="s">
        <v>142</v>
      </c>
      <c r="G296" s="155">
        <v>9</v>
      </c>
      <c r="H296" s="156" t="s">
        <v>151</v>
      </c>
    </row>
    <row r="297" spans="1:8" ht="19.8" customHeight="1" x14ac:dyDescent="0.3">
      <c r="A297" s="140">
        <v>45990</v>
      </c>
      <c r="B297" s="131" t="s">
        <v>35</v>
      </c>
      <c r="C297" s="132" t="s">
        <v>45</v>
      </c>
      <c r="D297" s="131" t="s">
        <v>1</v>
      </c>
      <c r="E297" s="141">
        <v>1.1284722222222221</v>
      </c>
      <c r="F297" s="131" t="s">
        <v>37</v>
      </c>
      <c r="G297" s="133">
        <v>8</v>
      </c>
      <c r="H297" s="134">
        <v>359</v>
      </c>
    </row>
    <row r="298" spans="1:8" ht="19.8" customHeight="1" x14ac:dyDescent="0.3">
      <c r="A298" s="140">
        <v>45990</v>
      </c>
      <c r="B298" s="131" t="s">
        <v>35</v>
      </c>
      <c r="C298" s="132" t="s">
        <v>36</v>
      </c>
      <c r="D298" s="131" t="s">
        <v>1</v>
      </c>
      <c r="E298" s="141">
        <v>1.302083333333333</v>
      </c>
      <c r="F298" s="131" t="s">
        <v>37</v>
      </c>
      <c r="G298" s="133">
        <v>9</v>
      </c>
      <c r="H298" s="134">
        <v>389</v>
      </c>
    </row>
    <row r="299" spans="1:8" ht="19.8" customHeight="1" x14ac:dyDescent="0.3">
      <c r="A299" s="140">
        <v>45990</v>
      </c>
      <c r="B299" s="131" t="s">
        <v>26</v>
      </c>
      <c r="C299" s="132" t="s">
        <v>34</v>
      </c>
      <c r="D299" s="131" t="s">
        <v>1</v>
      </c>
      <c r="E299" s="141">
        <v>1.21875</v>
      </c>
      <c r="F299" s="131" t="s">
        <v>28</v>
      </c>
      <c r="G299" s="133">
        <v>9</v>
      </c>
      <c r="H299" s="134">
        <v>401</v>
      </c>
    </row>
    <row r="300" spans="1:8" ht="19.8" customHeight="1" x14ac:dyDescent="0.3">
      <c r="A300" s="140">
        <v>45990</v>
      </c>
      <c r="B300" s="131" t="s">
        <v>51</v>
      </c>
      <c r="C300" s="132" t="s">
        <v>52</v>
      </c>
      <c r="D300" s="131" t="s">
        <v>1</v>
      </c>
      <c r="E300" s="141">
        <v>1.9027777777777779</v>
      </c>
      <c r="F300" s="131" t="s">
        <v>53</v>
      </c>
      <c r="G300" s="133">
        <v>9</v>
      </c>
      <c r="H300" s="134">
        <v>409</v>
      </c>
    </row>
    <row r="301" spans="1:8" ht="19.8" customHeight="1" x14ac:dyDescent="0.3">
      <c r="A301" s="140">
        <v>45990</v>
      </c>
      <c r="B301" s="131" t="s">
        <v>51</v>
      </c>
      <c r="C301" s="132" t="s">
        <v>66</v>
      </c>
      <c r="D301" s="131" t="s">
        <v>1</v>
      </c>
      <c r="E301" s="141">
        <v>1.854166666666667</v>
      </c>
      <c r="F301" s="131" t="s">
        <v>53</v>
      </c>
      <c r="G301" s="133">
        <v>4</v>
      </c>
      <c r="H301" s="134">
        <v>409</v>
      </c>
    </row>
    <row r="302" spans="1:8" ht="19.8" customHeight="1" x14ac:dyDescent="0.3">
      <c r="A302" s="140">
        <v>45990</v>
      </c>
      <c r="B302" s="131" t="s">
        <v>51</v>
      </c>
      <c r="C302" s="132" t="s">
        <v>75</v>
      </c>
      <c r="D302" s="131" t="s">
        <v>1</v>
      </c>
      <c r="E302" s="141">
        <v>1.395833333333333</v>
      </c>
      <c r="F302" s="131" t="s">
        <v>53</v>
      </c>
      <c r="G302" s="133">
        <v>1</v>
      </c>
      <c r="H302" s="134">
        <v>409</v>
      </c>
    </row>
    <row r="303" spans="1:8" ht="19.8" customHeight="1" x14ac:dyDescent="0.3">
      <c r="A303" s="140">
        <v>45990</v>
      </c>
      <c r="B303" s="131" t="s">
        <v>35</v>
      </c>
      <c r="C303" s="132" t="s">
        <v>47</v>
      </c>
      <c r="D303" s="131" t="s">
        <v>1</v>
      </c>
      <c r="E303" s="141">
        <v>1.788194444444444</v>
      </c>
      <c r="F303" s="131" t="s">
        <v>37</v>
      </c>
      <c r="G303" s="133">
        <v>5</v>
      </c>
      <c r="H303" s="134">
        <v>419</v>
      </c>
    </row>
    <row r="304" spans="1:8" ht="19.8" customHeight="1" x14ac:dyDescent="0.3">
      <c r="A304" s="140">
        <v>45990</v>
      </c>
      <c r="B304" s="131" t="s">
        <v>105</v>
      </c>
      <c r="C304" s="132" t="s">
        <v>106</v>
      </c>
      <c r="D304" s="131" t="s">
        <v>1</v>
      </c>
      <c r="E304" s="141">
        <v>1.2152777777777779</v>
      </c>
      <c r="F304" s="131" t="s">
        <v>107</v>
      </c>
      <c r="G304" s="133">
        <v>9</v>
      </c>
      <c r="H304" s="134">
        <v>419</v>
      </c>
    </row>
    <row r="305" spans="1:8" ht="19.8" customHeight="1" x14ac:dyDescent="0.3">
      <c r="A305" s="142">
        <v>45990</v>
      </c>
      <c r="B305" s="136" t="s">
        <v>76</v>
      </c>
      <c r="C305" s="137" t="s">
        <v>187</v>
      </c>
      <c r="D305" s="136" t="s">
        <v>1</v>
      </c>
      <c r="E305" s="143">
        <v>1.2361111111111109</v>
      </c>
      <c r="F305" s="136" t="s">
        <v>78</v>
      </c>
      <c r="G305" s="138">
        <v>1</v>
      </c>
      <c r="H305" s="139">
        <v>436</v>
      </c>
    </row>
    <row r="306" spans="1:8" ht="19.8" customHeight="1" x14ac:dyDescent="0.3">
      <c r="A306" s="140">
        <v>45990</v>
      </c>
      <c r="B306" s="131" t="s">
        <v>105</v>
      </c>
      <c r="C306" s="132" t="s">
        <v>171</v>
      </c>
      <c r="D306" s="131" t="s">
        <v>1</v>
      </c>
      <c r="E306" s="141">
        <v>1.3298611111111109</v>
      </c>
      <c r="F306" s="131" t="s">
        <v>107</v>
      </c>
      <c r="G306" s="133">
        <v>9</v>
      </c>
      <c r="H306" s="134">
        <v>437</v>
      </c>
    </row>
    <row r="307" spans="1:8" ht="19.8" customHeight="1" x14ac:dyDescent="0.3">
      <c r="A307" s="140">
        <v>45990</v>
      </c>
      <c r="B307" s="131" t="s">
        <v>51</v>
      </c>
      <c r="C307" s="132" t="s">
        <v>61</v>
      </c>
      <c r="D307" s="131" t="s">
        <v>1</v>
      </c>
      <c r="E307" s="141">
        <v>1.6597222222222221</v>
      </c>
      <c r="F307" s="131" t="s">
        <v>53</v>
      </c>
      <c r="G307" s="133">
        <v>2</v>
      </c>
      <c r="H307" s="134">
        <v>449</v>
      </c>
    </row>
    <row r="308" spans="1:8" ht="19.8" customHeight="1" x14ac:dyDescent="0.3">
      <c r="A308" s="140">
        <v>45990</v>
      </c>
      <c r="B308" s="131" t="s">
        <v>51</v>
      </c>
      <c r="C308" s="132" t="s">
        <v>64</v>
      </c>
      <c r="D308" s="131" t="s">
        <v>1</v>
      </c>
      <c r="E308" s="141">
        <v>1.5173611111111109</v>
      </c>
      <c r="F308" s="131" t="s">
        <v>53</v>
      </c>
      <c r="G308" s="133">
        <v>9</v>
      </c>
      <c r="H308" s="134">
        <v>449</v>
      </c>
    </row>
    <row r="309" spans="1:8" ht="19.8" customHeight="1" x14ac:dyDescent="0.3">
      <c r="A309" s="140">
        <v>45990</v>
      </c>
      <c r="B309" s="131" t="s">
        <v>51</v>
      </c>
      <c r="C309" s="132" t="s">
        <v>70</v>
      </c>
      <c r="D309" s="131" t="s">
        <v>1</v>
      </c>
      <c r="E309" s="141">
        <v>1.7986111111111109</v>
      </c>
      <c r="F309" s="131" t="s">
        <v>53</v>
      </c>
      <c r="G309" s="133">
        <v>6</v>
      </c>
      <c r="H309" s="134">
        <v>449</v>
      </c>
    </row>
    <row r="310" spans="1:8" ht="19.8" customHeight="1" x14ac:dyDescent="0.3">
      <c r="A310" s="140">
        <v>45990</v>
      </c>
      <c r="B310" s="131" t="s">
        <v>35</v>
      </c>
      <c r="C310" s="132" t="s">
        <v>50</v>
      </c>
      <c r="D310" s="131" t="s">
        <v>1</v>
      </c>
      <c r="E310" s="141">
        <v>1.8888888888888891</v>
      </c>
      <c r="F310" s="131" t="s">
        <v>37</v>
      </c>
      <c r="G310" s="133">
        <v>1</v>
      </c>
      <c r="H310" s="134">
        <v>459</v>
      </c>
    </row>
    <row r="311" spans="1:8" ht="19.8" customHeight="1" x14ac:dyDescent="0.3">
      <c r="A311" s="142">
        <v>45990</v>
      </c>
      <c r="B311" s="136" t="s">
        <v>76</v>
      </c>
      <c r="C311" s="137" t="s">
        <v>77</v>
      </c>
      <c r="D311" s="136" t="s">
        <v>1</v>
      </c>
      <c r="E311" s="143">
        <v>1.333333333333333</v>
      </c>
      <c r="F311" s="136" t="s">
        <v>78</v>
      </c>
      <c r="G311" s="138">
        <v>7</v>
      </c>
      <c r="H311" s="139">
        <v>471</v>
      </c>
    </row>
    <row r="312" spans="1:8" ht="19.8" customHeight="1" x14ac:dyDescent="0.3">
      <c r="A312" s="140">
        <v>45990</v>
      </c>
      <c r="B312" s="131" t="s">
        <v>51</v>
      </c>
      <c r="C312" s="132" t="s">
        <v>71</v>
      </c>
      <c r="D312" s="131" t="s">
        <v>1</v>
      </c>
      <c r="E312" s="141">
        <v>1.256944444444444</v>
      </c>
      <c r="F312" s="131" t="s">
        <v>53</v>
      </c>
      <c r="G312" s="133">
        <v>9</v>
      </c>
      <c r="H312" s="134">
        <v>489</v>
      </c>
    </row>
    <row r="313" spans="1:8" ht="19.8" customHeight="1" x14ac:dyDescent="0.3">
      <c r="A313" s="140">
        <v>45990</v>
      </c>
      <c r="B313" s="131" t="s">
        <v>35</v>
      </c>
      <c r="C313" s="132" t="s">
        <v>45</v>
      </c>
      <c r="D313" s="131" t="s">
        <v>1</v>
      </c>
      <c r="E313" s="141">
        <v>1.1284722222222221</v>
      </c>
      <c r="F313" s="131" t="s">
        <v>40</v>
      </c>
      <c r="G313" s="133">
        <v>8</v>
      </c>
      <c r="H313" s="134">
        <v>509</v>
      </c>
    </row>
    <row r="314" spans="1:8" ht="19.8" customHeight="1" x14ac:dyDescent="0.3">
      <c r="A314" s="140">
        <v>45990</v>
      </c>
      <c r="B314" s="131" t="s">
        <v>51</v>
      </c>
      <c r="C314" s="132" t="s">
        <v>52</v>
      </c>
      <c r="D314" s="131" t="s">
        <v>1</v>
      </c>
      <c r="E314" s="141">
        <v>1.9027777777777779</v>
      </c>
      <c r="F314" s="131" t="s">
        <v>56</v>
      </c>
      <c r="G314" s="133">
        <v>9</v>
      </c>
      <c r="H314" s="134">
        <v>509</v>
      </c>
    </row>
    <row r="315" spans="1:8" ht="19.8" customHeight="1" x14ac:dyDescent="0.3">
      <c r="A315" s="140">
        <v>45990</v>
      </c>
      <c r="B315" s="131" t="s">
        <v>51</v>
      </c>
      <c r="C315" s="132" t="s">
        <v>66</v>
      </c>
      <c r="D315" s="131" t="s">
        <v>1</v>
      </c>
      <c r="E315" s="141">
        <v>1.854166666666667</v>
      </c>
      <c r="F315" s="131" t="s">
        <v>56</v>
      </c>
      <c r="G315" s="133">
        <v>4</v>
      </c>
      <c r="H315" s="134">
        <v>509</v>
      </c>
    </row>
    <row r="316" spans="1:8" ht="19.8" customHeight="1" x14ac:dyDescent="0.3">
      <c r="A316" s="140">
        <v>45990</v>
      </c>
      <c r="B316" s="131" t="s">
        <v>51</v>
      </c>
      <c r="C316" s="132" t="s">
        <v>75</v>
      </c>
      <c r="D316" s="131" t="s">
        <v>1</v>
      </c>
      <c r="E316" s="141">
        <v>1.395833333333333</v>
      </c>
      <c r="F316" s="131" t="s">
        <v>56</v>
      </c>
      <c r="G316" s="133">
        <v>1</v>
      </c>
      <c r="H316" s="134">
        <v>509</v>
      </c>
    </row>
    <row r="317" spans="1:8" ht="19.8" customHeight="1" x14ac:dyDescent="0.3">
      <c r="A317" s="142">
        <v>45990</v>
      </c>
      <c r="B317" s="136" t="s">
        <v>76</v>
      </c>
      <c r="C317" s="137" t="s">
        <v>93</v>
      </c>
      <c r="D317" s="136" t="s">
        <v>1</v>
      </c>
      <c r="E317" s="143">
        <v>1.680555555555556</v>
      </c>
      <c r="F317" s="136" t="s">
        <v>78</v>
      </c>
      <c r="G317" s="138">
        <v>4</v>
      </c>
      <c r="H317" s="139">
        <v>526</v>
      </c>
    </row>
    <row r="318" spans="1:8" ht="19.8" customHeight="1" x14ac:dyDescent="0.3">
      <c r="A318" s="140">
        <v>45990</v>
      </c>
      <c r="B318" s="131" t="s">
        <v>35</v>
      </c>
      <c r="C318" s="132" t="s">
        <v>36</v>
      </c>
      <c r="D318" s="131" t="s">
        <v>1</v>
      </c>
      <c r="E318" s="141">
        <v>1.302083333333333</v>
      </c>
      <c r="F318" s="131" t="s">
        <v>40</v>
      </c>
      <c r="G318" s="133">
        <v>9</v>
      </c>
      <c r="H318" s="134">
        <v>539</v>
      </c>
    </row>
    <row r="319" spans="1:8" ht="19.8" customHeight="1" x14ac:dyDescent="0.3">
      <c r="A319" s="140">
        <v>45990</v>
      </c>
      <c r="B319" s="131" t="s">
        <v>51</v>
      </c>
      <c r="C319" s="132" t="s">
        <v>61</v>
      </c>
      <c r="D319" s="131" t="s">
        <v>1</v>
      </c>
      <c r="E319" s="141">
        <v>1.6597222222222221</v>
      </c>
      <c r="F319" s="131" t="s">
        <v>56</v>
      </c>
      <c r="G319" s="133">
        <v>2</v>
      </c>
      <c r="H319" s="134">
        <v>549</v>
      </c>
    </row>
    <row r="320" spans="1:8" ht="19.8" customHeight="1" x14ac:dyDescent="0.3">
      <c r="A320" s="140">
        <v>45990</v>
      </c>
      <c r="B320" s="131" t="s">
        <v>51</v>
      </c>
      <c r="C320" s="132" t="s">
        <v>64</v>
      </c>
      <c r="D320" s="131" t="s">
        <v>1</v>
      </c>
      <c r="E320" s="141">
        <v>1.5173611111111109</v>
      </c>
      <c r="F320" s="131" t="s">
        <v>56</v>
      </c>
      <c r="G320" s="133">
        <v>9</v>
      </c>
      <c r="H320" s="134">
        <v>549</v>
      </c>
    </row>
    <row r="321" spans="1:8" ht="19.8" customHeight="1" x14ac:dyDescent="0.3">
      <c r="A321" s="140">
        <v>45990</v>
      </c>
      <c r="B321" s="131" t="s">
        <v>51</v>
      </c>
      <c r="C321" s="132" t="s">
        <v>70</v>
      </c>
      <c r="D321" s="131" t="s">
        <v>1</v>
      </c>
      <c r="E321" s="141">
        <v>1.7986111111111109</v>
      </c>
      <c r="F321" s="131" t="s">
        <v>56</v>
      </c>
      <c r="G321" s="133">
        <v>6</v>
      </c>
      <c r="H321" s="134">
        <v>549</v>
      </c>
    </row>
    <row r="322" spans="1:8" ht="19.8" customHeight="1" x14ac:dyDescent="0.3">
      <c r="A322" s="140">
        <v>45990</v>
      </c>
      <c r="B322" s="131" t="s">
        <v>35</v>
      </c>
      <c r="C322" s="132" t="s">
        <v>47</v>
      </c>
      <c r="D322" s="131" t="s">
        <v>1</v>
      </c>
      <c r="E322" s="141">
        <v>1.788194444444444</v>
      </c>
      <c r="F322" s="131" t="s">
        <v>40</v>
      </c>
      <c r="G322" s="133">
        <v>5</v>
      </c>
      <c r="H322" s="134">
        <v>569</v>
      </c>
    </row>
    <row r="323" spans="1:8" ht="19.8" customHeight="1" x14ac:dyDescent="0.3">
      <c r="A323" s="140">
        <v>45990</v>
      </c>
      <c r="B323" s="131" t="s">
        <v>51</v>
      </c>
      <c r="C323" s="132" t="s">
        <v>71</v>
      </c>
      <c r="D323" s="131" t="s">
        <v>1</v>
      </c>
      <c r="E323" s="141">
        <v>1.256944444444444</v>
      </c>
      <c r="F323" s="131" t="s">
        <v>56</v>
      </c>
      <c r="G323" s="133">
        <v>9</v>
      </c>
      <c r="H323" s="134">
        <v>589</v>
      </c>
    </row>
    <row r="324" spans="1:8" ht="19.8" customHeight="1" x14ac:dyDescent="0.3">
      <c r="A324" s="140">
        <v>45990</v>
      </c>
      <c r="B324" s="131" t="s">
        <v>26</v>
      </c>
      <c r="C324" s="132" t="s">
        <v>31</v>
      </c>
      <c r="D324" s="131" t="s">
        <v>1</v>
      </c>
      <c r="E324" s="141">
        <v>1.666666666666667</v>
      </c>
      <c r="F324" s="131" t="s">
        <v>28</v>
      </c>
      <c r="G324" s="133">
        <v>6</v>
      </c>
      <c r="H324" s="134">
        <v>599</v>
      </c>
    </row>
    <row r="325" spans="1:8" ht="19.8" customHeight="1" x14ac:dyDescent="0.3">
      <c r="A325" s="140">
        <v>45990</v>
      </c>
      <c r="B325" s="131" t="s">
        <v>51</v>
      </c>
      <c r="C325" s="132" t="s">
        <v>52</v>
      </c>
      <c r="D325" s="131" t="s">
        <v>1</v>
      </c>
      <c r="E325" s="141">
        <v>1.9027777777777779</v>
      </c>
      <c r="F325" s="131" t="s">
        <v>59</v>
      </c>
      <c r="G325" s="133">
        <v>9</v>
      </c>
      <c r="H325" s="134">
        <v>599</v>
      </c>
    </row>
    <row r="326" spans="1:8" ht="19.8" customHeight="1" x14ac:dyDescent="0.3">
      <c r="A326" s="140">
        <v>45990</v>
      </c>
      <c r="B326" s="131" t="s">
        <v>51</v>
      </c>
      <c r="C326" s="132" t="s">
        <v>66</v>
      </c>
      <c r="D326" s="131" t="s">
        <v>1</v>
      </c>
      <c r="E326" s="141">
        <v>1.854166666666667</v>
      </c>
      <c r="F326" s="131" t="s">
        <v>59</v>
      </c>
      <c r="G326" s="133">
        <v>4</v>
      </c>
      <c r="H326" s="134">
        <v>599</v>
      </c>
    </row>
    <row r="327" spans="1:8" ht="19.8" customHeight="1" x14ac:dyDescent="0.3">
      <c r="A327" s="140">
        <v>45990</v>
      </c>
      <c r="B327" s="131" t="s">
        <v>51</v>
      </c>
      <c r="C327" s="132" t="s">
        <v>75</v>
      </c>
      <c r="D327" s="131" t="s">
        <v>1</v>
      </c>
      <c r="E327" s="141">
        <v>1.395833333333333</v>
      </c>
      <c r="F327" s="131" t="s">
        <v>59</v>
      </c>
      <c r="G327" s="133">
        <v>1</v>
      </c>
      <c r="H327" s="134">
        <v>599</v>
      </c>
    </row>
    <row r="328" spans="1:8" ht="19.8" customHeight="1" x14ac:dyDescent="0.3">
      <c r="A328" s="140">
        <v>45990</v>
      </c>
      <c r="B328" s="131" t="s">
        <v>35</v>
      </c>
      <c r="C328" s="132" t="s">
        <v>50</v>
      </c>
      <c r="D328" s="131" t="s">
        <v>1</v>
      </c>
      <c r="E328" s="141">
        <v>1.8888888888888891</v>
      </c>
      <c r="F328" s="131" t="s">
        <v>40</v>
      </c>
      <c r="G328" s="133">
        <v>1</v>
      </c>
      <c r="H328" s="134">
        <v>609</v>
      </c>
    </row>
    <row r="329" spans="1:8" ht="19.8" customHeight="1" x14ac:dyDescent="0.3">
      <c r="A329" s="140">
        <v>45990</v>
      </c>
      <c r="B329" s="131" t="s">
        <v>51</v>
      </c>
      <c r="C329" s="132" t="s">
        <v>61</v>
      </c>
      <c r="D329" s="131" t="s">
        <v>1</v>
      </c>
      <c r="E329" s="141">
        <v>1.6597222222222221</v>
      </c>
      <c r="F329" s="131" t="s">
        <v>59</v>
      </c>
      <c r="G329" s="133">
        <v>2</v>
      </c>
      <c r="H329" s="134">
        <v>639</v>
      </c>
    </row>
    <row r="330" spans="1:8" ht="19.8" customHeight="1" x14ac:dyDescent="0.3">
      <c r="A330" s="140">
        <v>45990</v>
      </c>
      <c r="B330" s="131" t="s">
        <v>51</v>
      </c>
      <c r="C330" s="132" t="s">
        <v>64</v>
      </c>
      <c r="D330" s="131" t="s">
        <v>1</v>
      </c>
      <c r="E330" s="141">
        <v>1.5173611111111109</v>
      </c>
      <c r="F330" s="131" t="s">
        <v>59</v>
      </c>
      <c r="G330" s="133">
        <v>9</v>
      </c>
      <c r="H330" s="134">
        <v>639</v>
      </c>
    </row>
    <row r="331" spans="1:8" ht="19.8" customHeight="1" x14ac:dyDescent="0.3">
      <c r="A331" s="140">
        <v>45990</v>
      </c>
      <c r="B331" s="131" t="s">
        <v>51</v>
      </c>
      <c r="C331" s="132" t="s">
        <v>70</v>
      </c>
      <c r="D331" s="131" t="s">
        <v>1</v>
      </c>
      <c r="E331" s="141">
        <v>1.7986111111111109</v>
      </c>
      <c r="F331" s="131" t="s">
        <v>59</v>
      </c>
      <c r="G331" s="133">
        <v>6</v>
      </c>
      <c r="H331" s="134">
        <v>639</v>
      </c>
    </row>
    <row r="332" spans="1:8" ht="19.8" customHeight="1" x14ac:dyDescent="0.3">
      <c r="A332" s="140">
        <v>45990</v>
      </c>
      <c r="B332" s="131" t="s">
        <v>105</v>
      </c>
      <c r="C332" s="132" t="s">
        <v>106</v>
      </c>
      <c r="D332" s="131" t="s">
        <v>1</v>
      </c>
      <c r="E332" s="141">
        <v>1.2152777777777779</v>
      </c>
      <c r="F332" s="131" t="s">
        <v>43</v>
      </c>
      <c r="G332" s="133">
        <v>9</v>
      </c>
      <c r="H332" s="134">
        <v>645</v>
      </c>
    </row>
    <row r="333" spans="1:8" ht="19.8" customHeight="1" x14ac:dyDescent="0.3">
      <c r="A333" s="140">
        <v>45990</v>
      </c>
      <c r="B333" s="131" t="s">
        <v>105</v>
      </c>
      <c r="C333" s="132" t="s">
        <v>171</v>
      </c>
      <c r="D333" s="131" t="s">
        <v>1</v>
      </c>
      <c r="E333" s="141">
        <v>1.3298611111111109</v>
      </c>
      <c r="F333" s="131" t="s">
        <v>43</v>
      </c>
      <c r="G333" s="133">
        <v>9</v>
      </c>
      <c r="H333" s="134">
        <v>663</v>
      </c>
    </row>
    <row r="334" spans="1:8" ht="19.8" customHeight="1" x14ac:dyDescent="0.3">
      <c r="A334" s="140">
        <v>45990</v>
      </c>
      <c r="B334" s="131" t="s">
        <v>118</v>
      </c>
      <c r="C334" s="132" t="s">
        <v>119</v>
      </c>
      <c r="D334" s="131" t="s">
        <v>1</v>
      </c>
      <c r="E334" s="141">
        <v>1.3784722222222221</v>
      </c>
      <c r="F334" s="131" t="s">
        <v>120</v>
      </c>
      <c r="G334" s="133">
        <v>9</v>
      </c>
      <c r="H334" s="134">
        <v>678</v>
      </c>
    </row>
    <row r="335" spans="1:8" ht="19.8" customHeight="1" x14ac:dyDescent="0.3">
      <c r="A335" s="140">
        <v>45990</v>
      </c>
      <c r="B335" s="131" t="s">
        <v>118</v>
      </c>
      <c r="C335" s="132" t="s">
        <v>124</v>
      </c>
      <c r="D335" s="131" t="s">
        <v>1</v>
      </c>
      <c r="E335" s="141">
        <v>1.006944444444444</v>
      </c>
      <c r="F335" s="131" t="s">
        <v>120</v>
      </c>
      <c r="G335" s="133">
        <v>9</v>
      </c>
      <c r="H335" s="134">
        <v>678</v>
      </c>
    </row>
    <row r="336" spans="1:8" ht="19.8" customHeight="1" x14ac:dyDescent="0.3">
      <c r="A336" s="140">
        <v>45990</v>
      </c>
      <c r="B336" s="131" t="s">
        <v>118</v>
      </c>
      <c r="C336" s="132" t="s">
        <v>128</v>
      </c>
      <c r="D336" s="131" t="s">
        <v>1</v>
      </c>
      <c r="E336" s="141">
        <v>1.243055555555556</v>
      </c>
      <c r="F336" s="131" t="s">
        <v>120</v>
      </c>
      <c r="G336" s="133">
        <v>9</v>
      </c>
      <c r="H336" s="134">
        <v>678</v>
      </c>
    </row>
    <row r="337" spans="1:8" ht="19.8" customHeight="1" x14ac:dyDescent="0.3">
      <c r="A337" s="140">
        <v>45990</v>
      </c>
      <c r="B337" s="131" t="s">
        <v>118</v>
      </c>
      <c r="C337" s="132" t="s">
        <v>129</v>
      </c>
      <c r="D337" s="131" t="s">
        <v>1</v>
      </c>
      <c r="E337" s="141">
        <v>1.1423611111111109</v>
      </c>
      <c r="F337" s="131" t="s">
        <v>120</v>
      </c>
      <c r="G337" s="133">
        <v>9</v>
      </c>
      <c r="H337" s="134">
        <v>678</v>
      </c>
    </row>
    <row r="338" spans="1:8" ht="19.8" customHeight="1" x14ac:dyDescent="0.3">
      <c r="A338" s="140">
        <v>45990</v>
      </c>
      <c r="B338" s="131" t="s">
        <v>51</v>
      </c>
      <c r="C338" s="132" t="s">
        <v>71</v>
      </c>
      <c r="D338" s="131" t="s">
        <v>1</v>
      </c>
      <c r="E338" s="141">
        <v>1.256944444444444</v>
      </c>
      <c r="F338" s="131" t="s">
        <v>59</v>
      </c>
      <c r="G338" s="133">
        <v>9</v>
      </c>
      <c r="H338" s="134">
        <v>679</v>
      </c>
    </row>
    <row r="339" spans="1:8" ht="19.8" customHeight="1" x14ac:dyDescent="0.3">
      <c r="A339" s="140">
        <v>45990</v>
      </c>
      <c r="B339" s="131" t="s">
        <v>118</v>
      </c>
      <c r="C339" s="132" t="s">
        <v>119</v>
      </c>
      <c r="D339" s="131" t="s">
        <v>1</v>
      </c>
      <c r="E339" s="141">
        <v>1.3784722222222221</v>
      </c>
      <c r="F339" s="131" t="s">
        <v>122</v>
      </c>
      <c r="G339" s="133">
        <v>9</v>
      </c>
      <c r="H339" s="134">
        <v>723</v>
      </c>
    </row>
    <row r="340" spans="1:8" ht="19.8" customHeight="1" x14ac:dyDescent="0.3">
      <c r="A340" s="140">
        <v>45990</v>
      </c>
      <c r="B340" s="131" t="s">
        <v>118</v>
      </c>
      <c r="C340" s="132" t="s">
        <v>124</v>
      </c>
      <c r="D340" s="131" t="s">
        <v>1</v>
      </c>
      <c r="E340" s="141">
        <v>1.006944444444444</v>
      </c>
      <c r="F340" s="131" t="s">
        <v>122</v>
      </c>
      <c r="G340" s="133">
        <v>9</v>
      </c>
      <c r="H340" s="134">
        <v>723</v>
      </c>
    </row>
    <row r="341" spans="1:8" ht="19.8" customHeight="1" x14ac:dyDescent="0.3">
      <c r="A341" s="140">
        <v>45990</v>
      </c>
      <c r="B341" s="131" t="s">
        <v>118</v>
      </c>
      <c r="C341" s="132" t="s">
        <v>128</v>
      </c>
      <c r="D341" s="131" t="s">
        <v>1</v>
      </c>
      <c r="E341" s="141">
        <v>1.243055555555556</v>
      </c>
      <c r="F341" s="131" t="s">
        <v>122</v>
      </c>
      <c r="G341" s="133">
        <v>9</v>
      </c>
      <c r="H341" s="134">
        <v>723</v>
      </c>
    </row>
    <row r="342" spans="1:8" ht="19.8" customHeight="1" x14ac:dyDescent="0.3">
      <c r="A342" s="140">
        <v>45990</v>
      </c>
      <c r="B342" s="131" t="s">
        <v>118</v>
      </c>
      <c r="C342" s="132" t="s">
        <v>129</v>
      </c>
      <c r="D342" s="131" t="s">
        <v>1</v>
      </c>
      <c r="E342" s="141">
        <v>1.1423611111111109</v>
      </c>
      <c r="F342" s="131" t="s">
        <v>122</v>
      </c>
      <c r="G342" s="133">
        <v>9</v>
      </c>
      <c r="H342" s="134">
        <v>723</v>
      </c>
    </row>
    <row r="343" spans="1:8" ht="19.8" customHeight="1" x14ac:dyDescent="0.3">
      <c r="A343" s="140">
        <v>45990</v>
      </c>
      <c r="B343" s="131" t="s">
        <v>118</v>
      </c>
      <c r="C343" s="132" t="s">
        <v>131</v>
      </c>
      <c r="D343" s="131" t="s">
        <v>1</v>
      </c>
      <c r="E343" s="141">
        <v>1.71875</v>
      </c>
      <c r="F343" s="131" t="s">
        <v>120</v>
      </c>
      <c r="G343" s="133">
        <v>9</v>
      </c>
      <c r="H343" s="134">
        <v>935</v>
      </c>
    </row>
    <row r="344" spans="1:8" ht="19.8" customHeight="1" x14ac:dyDescent="0.3">
      <c r="A344" s="140">
        <v>45990</v>
      </c>
      <c r="B344" s="131" t="s">
        <v>140</v>
      </c>
      <c r="C344" s="132" t="s">
        <v>145</v>
      </c>
      <c r="D344" s="131" t="s">
        <v>1</v>
      </c>
      <c r="E344" s="141">
        <v>1.229166666666667</v>
      </c>
      <c r="F344" s="131" t="s">
        <v>142</v>
      </c>
      <c r="G344" s="133">
        <v>9</v>
      </c>
      <c r="H344" s="134">
        <v>974</v>
      </c>
    </row>
    <row r="345" spans="1:8" ht="19.8" customHeight="1" x14ac:dyDescent="0.3">
      <c r="A345" s="140">
        <v>45990</v>
      </c>
      <c r="B345" s="131" t="s">
        <v>118</v>
      </c>
      <c r="C345" s="132" t="s">
        <v>131</v>
      </c>
      <c r="D345" s="131" t="s">
        <v>1</v>
      </c>
      <c r="E345" s="141">
        <v>1.71875</v>
      </c>
      <c r="F345" s="131" t="s">
        <v>122</v>
      </c>
      <c r="G345" s="133">
        <v>9</v>
      </c>
      <c r="H345" s="134">
        <v>980</v>
      </c>
    </row>
    <row r="346" spans="1:8" ht="19.8" customHeight="1" x14ac:dyDescent="0.3">
      <c r="A346" s="140">
        <v>45990</v>
      </c>
      <c r="B346" s="131" t="s">
        <v>140</v>
      </c>
      <c r="C346" s="132" t="s">
        <v>149</v>
      </c>
      <c r="D346" s="131" t="s">
        <v>1</v>
      </c>
      <c r="E346" s="141">
        <v>1.145833333333333</v>
      </c>
      <c r="F346" s="131" t="s">
        <v>142</v>
      </c>
      <c r="G346" s="133">
        <v>9</v>
      </c>
      <c r="H346" s="144" t="s">
        <v>146</v>
      </c>
    </row>
    <row r="347" spans="1:8" ht="19.8" customHeight="1" x14ac:dyDescent="0.3">
      <c r="A347" s="140">
        <v>45990</v>
      </c>
      <c r="B347" s="131" t="s">
        <v>35</v>
      </c>
      <c r="C347" s="132" t="s">
        <v>36</v>
      </c>
      <c r="D347" s="131" t="s">
        <v>1</v>
      </c>
      <c r="E347" s="141">
        <v>1.302083333333333</v>
      </c>
      <c r="F347" s="131" t="s">
        <v>43</v>
      </c>
      <c r="G347" s="133">
        <v>9</v>
      </c>
      <c r="H347" s="144" t="s">
        <v>44</v>
      </c>
    </row>
    <row r="348" spans="1:8" ht="19.8" customHeight="1" x14ac:dyDescent="0.3">
      <c r="A348" s="140">
        <v>45990</v>
      </c>
      <c r="B348" s="131" t="s">
        <v>35</v>
      </c>
      <c r="C348" s="132" t="s">
        <v>45</v>
      </c>
      <c r="D348" s="131" t="s">
        <v>1</v>
      </c>
      <c r="E348" s="141">
        <v>1.1284722222222221</v>
      </c>
      <c r="F348" s="131" t="s">
        <v>43</v>
      </c>
      <c r="G348" s="133">
        <v>8</v>
      </c>
      <c r="H348" s="144" t="s">
        <v>44</v>
      </c>
    </row>
    <row r="349" spans="1:8" ht="19.8" customHeight="1" x14ac:dyDescent="0.3">
      <c r="A349" s="140">
        <v>45990</v>
      </c>
      <c r="B349" s="131" t="s">
        <v>35</v>
      </c>
      <c r="C349" s="132" t="s">
        <v>47</v>
      </c>
      <c r="D349" s="131" t="s">
        <v>1</v>
      </c>
      <c r="E349" s="141">
        <v>1.788194444444444</v>
      </c>
      <c r="F349" s="131" t="s">
        <v>43</v>
      </c>
      <c r="G349" s="133">
        <v>5</v>
      </c>
      <c r="H349" s="144" t="s">
        <v>44</v>
      </c>
    </row>
    <row r="350" spans="1:8" ht="19.8" customHeight="1" x14ac:dyDescent="0.3">
      <c r="A350" s="140">
        <v>45990</v>
      </c>
      <c r="B350" s="131" t="s">
        <v>35</v>
      </c>
      <c r="C350" s="132" t="s">
        <v>50</v>
      </c>
      <c r="D350" s="131" t="s">
        <v>1</v>
      </c>
      <c r="E350" s="141">
        <v>1.8888888888888891</v>
      </c>
      <c r="F350" s="131" t="s">
        <v>43</v>
      </c>
      <c r="G350" s="133">
        <v>1</v>
      </c>
      <c r="H350" s="144" t="s">
        <v>44</v>
      </c>
    </row>
    <row r="351" spans="1:8" ht="19.8" customHeight="1" x14ac:dyDescent="0.3">
      <c r="A351" s="140">
        <v>45990</v>
      </c>
      <c r="B351" s="131" t="s">
        <v>118</v>
      </c>
      <c r="C351" s="132" t="s">
        <v>138</v>
      </c>
      <c r="D351" s="131" t="s">
        <v>1</v>
      </c>
      <c r="E351" s="141">
        <v>1.1284722222222221</v>
      </c>
      <c r="F351" s="131" t="s">
        <v>122</v>
      </c>
      <c r="G351" s="133">
        <v>4</v>
      </c>
      <c r="H351" s="144" t="s">
        <v>209</v>
      </c>
    </row>
    <row r="352" spans="1:8" ht="19.8" customHeight="1" x14ac:dyDescent="0.3">
      <c r="A352" s="140">
        <v>45990</v>
      </c>
      <c r="B352" s="131" t="s">
        <v>118</v>
      </c>
      <c r="C352" s="132" t="s">
        <v>137</v>
      </c>
      <c r="D352" s="131" t="s">
        <v>1</v>
      </c>
      <c r="E352" s="141">
        <v>1.302083333333333</v>
      </c>
      <c r="F352" s="131" t="s">
        <v>122</v>
      </c>
      <c r="G352" s="133">
        <v>4</v>
      </c>
      <c r="H352" s="144" t="s">
        <v>179</v>
      </c>
    </row>
    <row r="353" spans="1:8" ht="19.8" customHeight="1" x14ac:dyDescent="0.3">
      <c r="A353" s="140">
        <v>45990</v>
      </c>
      <c r="B353" s="131" t="s">
        <v>140</v>
      </c>
      <c r="C353" s="132" t="s">
        <v>150</v>
      </c>
      <c r="D353" s="131" t="s">
        <v>1</v>
      </c>
      <c r="E353" s="141">
        <v>1.28125</v>
      </c>
      <c r="F353" s="131" t="s">
        <v>142</v>
      </c>
      <c r="G353" s="133">
        <v>9</v>
      </c>
      <c r="H353" s="144" t="s">
        <v>237</v>
      </c>
    </row>
    <row r="354" spans="1:8" ht="19.8" customHeight="1" x14ac:dyDescent="0.3">
      <c r="A354" s="140">
        <v>45990</v>
      </c>
      <c r="B354" s="131" t="s">
        <v>118</v>
      </c>
      <c r="C354" s="132" t="s">
        <v>184</v>
      </c>
      <c r="D354" s="131" t="s">
        <v>1</v>
      </c>
      <c r="E354" s="141">
        <v>1.6111111111111109</v>
      </c>
      <c r="F354" s="131" t="s">
        <v>120</v>
      </c>
      <c r="G354" s="133">
        <v>8</v>
      </c>
      <c r="H354" s="144" t="s">
        <v>180</v>
      </c>
    </row>
    <row r="355" spans="1:8" ht="19.8" customHeight="1" x14ac:dyDescent="0.3">
      <c r="A355" s="140">
        <v>45990</v>
      </c>
      <c r="B355" s="131" t="s">
        <v>118</v>
      </c>
      <c r="C355" s="132" t="s">
        <v>134</v>
      </c>
      <c r="D355" s="131" t="s">
        <v>1</v>
      </c>
      <c r="E355" s="141">
        <v>1.8298611111111109</v>
      </c>
      <c r="F355" s="131" t="s">
        <v>120</v>
      </c>
      <c r="G355" s="133">
        <v>3</v>
      </c>
      <c r="H355" s="144" t="s">
        <v>180</v>
      </c>
    </row>
    <row r="356" spans="1:8" ht="19.8" customHeight="1" x14ac:dyDescent="0.3">
      <c r="A356" s="140">
        <v>45990</v>
      </c>
      <c r="B356" s="131" t="s">
        <v>118</v>
      </c>
      <c r="C356" s="132" t="s">
        <v>184</v>
      </c>
      <c r="D356" s="131" t="s">
        <v>1</v>
      </c>
      <c r="E356" s="141">
        <v>1.6111111111111109</v>
      </c>
      <c r="F356" s="131" t="s">
        <v>122</v>
      </c>
      <c r="G356" s="133">
        <v>8</v>
      </c>
      <c r="H356" s="144" t="s">
        <v>181</v>
      </c>
    </row>
    <row r="357" spans="1:8" ht="19.8" customHeight="1" x14ac:dyDescent="0.3">
      <c r="A357" s="140">
        <v>45990</v>
      </c>
      <c r="B357" s="131" t="s">
        <v>118</v>
      </c>
      <c r="C357" s="132" t="s">
        <v>134</v>
      </c>
      <c r="D357" s="131" t="s">
        <v>1</v>
      </c>
      <c r="E357" s="141">
        <v>1.8298611111111109</v>
      </c>
      <c r="F357" s="131" t="s">
        <v>122</v>
      </c>
      <c r="G357" s="133">
        <v>3</v>
      </c>
      <c r="H357" s="144" t="s">
        <v>181</v>
      </c>
    </row>
    <row r="358" spans="1:8" ht="19.8" customHeight="1" x14ac:dyDescent="0.3">
      <c r="A358" s="140">
        <v>45990</v>
      </c>
      <c r="B358" s="131" t="s">
        <v>118</v>
      </c>
      <c r="C358" s="132" t="s">
        <v>139</v>
      </c>
      <c r="D358" s="131" t="s">
        <v>1</v>
      </c>
      <c r="E358" s="141">
        <v>1.788194444444444</v>
      </c>
      <c r="F358" s="131" t="s">
        <v>122</v>
      </c>
      <c r="G358" s="133">
        <v>4</v>
      </c>
      <c r="H358" s="144" t="s">
        <v>136</v>
      </c>
    </row>
    <row r="359" spans="1:8" ht="19.8" customHeight="1" x14ac:dyDescent="0.3">
      <c r="A359" s="140">
        <v>45990</v>
      </c>
      <c r="B359" s="131" t="s">
        <v>118</v>
      </c>
      <c r="C359" s="132" t="s">
        <v>135</v>
      </c>
      <c r="D359" s="131" t="s">
        <v>1</v>
      </c>
      <c r="E359" s="141">
        <v>1.8888888888888891</v>
      </c>
      <c r="F359" s="131" t="s">
        <v>122</v>
      </c>
      <c r="G359" s="133">
        <v>4</v>
      </c>
      <c r="H359" s="144" t="s">
        <v>233</v>
      </c>
    </row>
    <row r="360" spans="1:8" ht="19.8" customHeight="1" x14ac:dyDescent="0.3">
      <c r="A360" s="140">
        <v>45990</v>
      </c>
      <c r="B360" s="131" t="s">
        <v>118</v>
      </c>
      <c r="C360" s="132" t="s">
        <v>130</v>
      </c>
      <c r="D360" s="131" t="s">
        <v>1</v>
      </c>
      <c r="E360" s="141">
        <v>1.930555555555556</v>
      </c>
      <c r="F360" s="131" t="s">
        <v>120</v>
      </c>
      <c r="G360" s="133">
        <v>5</v>
      </c>
      <c r="H360" s="144" t="s">
        <v>234</v>
      </c>
    </row>
    <row r="361" spans="1:8" ht="19.8" customHeight="1" x14ac:dyDescent="0.3">
      <c r="A361" s="140">
        <v>45990</v>
      </c>
      <c r="B361" s="131" t="s">
        <v>118</v>
      </c>
      <c r="C361" s="132" t="s">
        <v>130</v>
      </c>
      <c r="D361" s="131" t="s">
        <v>1</v>
      </c>
      <c r="E361" s="141">
        <v>1.930555555555556</v>
      </c>
      <c r="F361" s="131" t="s">
        <v>122</v>
      </c>
      <c r="G361" s="133">
        <v>5</v>
      </c>
      <c r="H361" s="144" t="s">
        <v>235</v>
      </c>
    </row>
    <row r="362" spans="1:8" ht="19.8" customHeight="1" x14ac:dyDescent="0.3">
      <c r="A362" s="151">
        <v>45990</v>
      </c>
      <c r="B362" s="152" t="s">
        <v>140</v>
      </c>
      <c r="C362" s="153" t="s">
        <v>147</v>
      </c>
      <c r="D362" s="152" t="s">
        <v>1</v>
      </c>
      <c r="E362" s="154">
        <v>1.0138888888888891</v>
      </c>
      <c r="F362" s="152" t="s">
        <v>142</v>
      </c>
      <c r="G362" s="155">
        <v>9</v>
      </c>
      <c r="H362" s="156" t="s">
        <v>238</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0" hidden="1" customWidth="1"/>
  </cols>
  <sheetData>
    <row r="1" spans="1:8" ht="18" x14ac:dyDescent="0.3">
      <c r="A1" s="127" t="s">
        <v>365</v>
      </c>
      <c r="B1" s="128" t="s">
        <v>8</v>
      </c>
      <c r="C1" s="128" t="s">
        <v>9</v>
      </c>
      <c r="D1" s="128" t="s">
        <v>366</v>
      </c>
      <c r="E1" s="128" t="s">
        <v>10</v>
      </c>
      <c r="F1" s="128" t="s">
        <v>11</v>
      </c>
      <c r="G1" s="128" t="s">
        <v>12</v>
      </c>
      <c r="H1" s="129" t="s">
        <v>13</v>
      </c>
    </row>
    <row r="2" spans="1:8" ht="19.8" customHeight="1" x14ac:dyDescent="0.3">
      <c r="A2" s="130" t="s">
        <v>367</v>
      </c>
      <c r="B2" s="131" t="s">
        <v>26</v>
      </c>
      <c r="C2" s="132" t="s">
        <v>27</v>
      </c>
      <c r="D2" s="131" t="s">
        <v>1</v>
      </c>
      <c r="E2" s="131" t="s">
        <v>368</v>
      </c>
      <c r="F2" s="131" t="s">
        <v>28</v>
      </c>
      <c r="G2" s="133">
        <v>1</v>
      </c>
      <c r="H2" s="134">
        <v>401</v>
      </c>
    </row>
    <row r="3" spans="1:8" ht="19.8" customHeight="1" x14ac:dyDescent="0.3">
      <c r="A3" s="135" t="s">
        <v>367</v>
      </c>
      <c r="B3" s="136" t="s">
        <v>76</v>
      </c>
      <c r="C3" s="137" t="s">
        <v>77</v>
      </c>
      <c r="D3" s="136" t="s">
        <v>1</v>
      </c>
      <c r="E3" s="136" t="s">
        <v>298</v>
      </c>
      <c r="F3" s="136" t="s">
        <v>78</v>
      </c>
      <c r="G3" s="138">
        <v>2</v>
      </c>
      <c r="H3" s="139">
        <v>471</v>
      </c>
    </row>
    <row r="4" spans="1:8" ht="19.8" customHeight="1" x14ac:dyDescent="0.3">
      <c r="A4" s="142">
        <v>45986</v>
      </c>
      <c r="B4" s="136" t="s">
        <v>76</v>
      </c>
      <c r="C4" s="137" t="s">
        <v>83</v>
      </c>
      <c r="D4" s="136" t="s">
        <v>1</v>
      </c>
      <c r="E4" s="143">
        <v>1.9340277777777779</v>
      </c>
      <c r="F4" s="136" t="s">
        <v>78</v>
      </c>
      <c r="G4" s="138">
        <v>3</v>
      </c>
      <c r="H4" s="139">
        <v>526</v>
      </c>
    </row>
    <row r="5" spans="1:8" ht="19.8" customHeight="1" x14ac:dyDescent="0.3">
      <c r="A5" s="142">
        <v>45986</v>
      </c>
      <c r="B5" s="136" t="s">
        <v>76</v>
      </c>
      <c r="C5" s="137" t="s">
        <v>89</v>
      </c>
      <c r="D5" s="136" t="s">
        <v>1</v>
      </c>
      <c r="E5" s="143">
        <v>1.229166666666667</v>
      </c>
      <c r="F5" s="136" t="s">
        <v>78</v>
      </c>
      <c r="G5" s="138">
        <v>7</v>
      </c>
      <c r="H5" s="139">
        <v>526</v>
      </c>
    </row>
    <row r="6" spans="1:8" ht="19.8" customHeight="1" x14ac:dyDescent="0.3">
      <c r="A6" s="142">
        <v>45986</v>
      </c>
      <c r="B6" s="136" t="s">
        <v>76</v>
      </c>
      <c r="C6" s="137" t="s">
        <v>93</v>
      </c>
      <c r="D6" s="136" t="s">
        <v>1</v>
      </c>
      <c r="E6" s="143">
        <v>1.614583333333333</v>
      </c>
      <c r="F6" s="136" t="s">
        <v>78</v>
      </c>
      <c r="G6" s="138">
        <v>4</v>
      </c>
      <c r="H6" s="139">
        <v>526</v>
      </c>
    </row>
    <row r="7" spans="1:8" ht="19.8" customHeight="1" x14ac:dyDescent="0.3">
      <c r="A7" s="142">
        <v>45986</v>
      </c>
      <c r="B7" s="136" t="s">
        <v>76</v>
      </c>
      <c r="C7" s="137" t="s">
        <v>98</v>
      </c>
      <c r="D7" s="136" t="s">
        <v>1</v>
      </c>
      <c r="E7" s="143">
        <v>1.5590277777777779</v>
      </c>
      <c r="F7" s="136" t="s">
        <v>99</v>
      </c>
      <c r="G7" s="136"/>
      <c r="H7" s="145" t="s">
        <v>100</v>
      </c>
    </row>
    <row r="8" spans="1:8" ht="19.8" customHeight="1" x14ac:dyDescent="0.3">
      <c r="A8" s="146">
        <v>45986</v>
      </c>
      <c r="B8" s="147" t="s">
        <v>76</v>
      </c>
      <c r="C8" s="148" t="s">
        <v>103</v>
      </c>
      <c r="D8" s="147" t="s">
        <v>1</v>
      </c>
      <c r="E8" s="149">
        <v>1.729166666666667</v>
      </c>
      <c r="F8" s="147" t="s">
        <v>99</v>
      </c>
      <c r="G8" s="147"/>
      <c r="H8" s="150" t="s">
        <v>100</v>
      </c>
    </row>
    <row r="9" spans="1:8" ht="19.8" customHeight="1" x14ac:dyDescent="0.3">
      <c r="A9" s="140">
        <v>45987</v>
      </c>
      <c r="B9" s="131" t="s">
        <v>26</v>
      </c>
      <c r="C9" s="132" t="s">
        <v>31</v>
      </c>
      <c r="D9" s="131" t="s">
        <v>1</v>
      </c>
      <c r="E9" s="141">
        <v>1.9375</v>
      </c>
      <c r="F9" s="131" t="s">
        <v>28</v>
      </c>
      <c r="G9" s="133">
        <v>1</v>
      </c>
      <c r="H9" s="134">
        <v>401</v>
      </c>
    </row>
    <row r="10" spans="1:8" ht="19.8" customHeight="1" x14ac:dyDescent="0.3">
      <c r="A10" s="140">
        <v>45987</v>
      </c>
      <c r="B10" s="131" t="s">
        <v>26</v>
      </c>
      <c r="C10" s="132" t="s">
        <v>34</v>
      </c>
      <c r="D10" s="131" t="s">
        <v>1</v>
      </c>
      <c r="E10" s="141">
        <v>1.3715277777777779</v>
      </c>
      <c r="F10" s="131" t="s">
        <v>28</v>
      </c>
      <c r="G10" s="133">
        <v>4</v>
      </c>
      <c r="H10" s="134">
        <v>401</v>
      </c>
    </row>
    <row r="11" spans="1:8" ht="19.8" customHeight="1" x14ac:dyDescent="0.3">
      <c r="A11" s="142">
        <v>45987</v>
      </c>
      <c r="B11" s="136" t="s">
        <v>76</v>
      </c>
      <c r="C11" s="137" t="s">
        <v>165</v>
      </c>
      <c r="D11" s="136" t="s">
        <v>1</v>
      </c>
      <c r="E11" s="143">
        <v>1.520833333333333</v>
      </c>
      <c r="F11" s="136" t="s">
        <v>78</v>
      </c>
      <c r="G11" s="138">
        <v>9</v>
      </c>
      <c r="H11" s="139">
        <v>471</v>
      </c>
    </row>
    <row r="12" spans="1:8" ht="19.8" customHeight="1" x14ac:dyDescent="0.3">
      <c r="A12" s="142">
        <v>45987</v>
      </c>
      <c r="B12" s="136" t="s">
        <v>76</v>
      </c>
      <c r="C12" s="137" t="s">
        <v>77</v>
      </c>
      <c r="D12" s="136" t="s">
        <v>1</v>
      </c>
      <c r="E12" s="143">
        <v>1.5173611111111109</v>
      </c>
      <c r="F12" s="136" t="s">
        <v>78</v>
      </c>
      <c r="G12" s="138">
        <v>9</v>
      </c>
      <c r="H12" s="139">
        <v>471</v>
      </c>
    </row>
    <row r="13" spans="1:8" ht="19.8" customHeight="1" x14ac:dyDescent="0.3">
      <c r="A13" s="146">
        <v>45987</v>
      </c>
      <c r="B13" s="147" t="s">
        <v>76</v>
      </c>
      <c r="C13" s="148" t="s">
        <v>93</v>
      </c>
      <c r="D13" s="147" t="s">
        <v>1</v>
      </c>
      <c r="E13" s="149">
        <v>1.614583333333333</v>
      </c>
      <c r="F13" s="147" t="s">
        <v>78</v>
      </c>
      <c r="G13" s="157">
        <v>1</v>
      </c>
      <c r="H13" s="158">
        <v>471</v>
      </c>
    </row>
    <row r="14" spans="1:8" ht="19.8" customHeight="1" x14ac:dyDescent="0.3">
      <c r="A14" s="140">
        <v>45988</v>
      </c>
      <c r="B14" s="131" t="s">
        <v>111</v>
      </c>
      <c r="C14" s="132" t="s">
        <v>112</v>
      </c>
      <c r="D14" s="131" t="s">
        <v>1</v>
      </c>
      <c r="E14" s="141">
        <v>1.291666666666667</v>
      </c>
      <c r="F14" s="131" t="s">
        <v>28</v>
      </c>
      <c r="G14" s="133">
        <v>9</v>
      </c>
      <c r="H14" s="134">
        <v>400</v>
      </c>
    </row>
    <row r="15" spans="1:8" ht="19.8" customHeight="1" x14ac:dyDescent="0.3">
      <c r="A15" s="140">
        <v>45988</v>
      </c>
      <c r="B15" s="131" t="s">
        <v>111</v>
      </c>
      <c r="C15" s="132" t="s">
        <v>115</v>
      </c>
      <c r="D15" s="131" t="s">
        <v>1</v>
      </c>
      <c r="E15" s="141">
        <v>1.59375</v>
      </c>
      <c r="F15" s="131" t="s">
        <v>28</v>
      </c>
      <c r="G15" s="133">
        <v>9</v>
      </c>
      <c r="H15" s="134">
        <v>400</v>
      </c>
    </row>
    <row r="16" spans="1:8" ht="19.8" customHeight="1" x14ac:dyDescent="0.3">
      <c r="A16" s="142">
        <v>45988</v>
      </c>
      <c r="B16" s="136" t="s">
        <v>76</v>
      </c>
      <c r="C16" s="137" t="s">
        <v>187</v>
      </c>
      <c r="D16" s="136" t="s">
        <v>1</v>
      </c>
      <c r="E16" s="143">
        <v>1.2534722222222221</v>
      </c>
      <c r="F16" s="136" t="s">
        <v>78</v>
      </c>
      <c r="G16" s="138">
        <v>1</v>
      </c>
      <c r="H16" s="139">
        <v>401</v>
      </c>
    </row>
    <row r="17" spans="1:8" ht="19.8" customHeight="1" x14ac:dyDescent="0.3">
      <c r="A17" s="142">
        <v>45988</v>
      </c>
      <c r="B17" s="136" t="s">
        <v>76</v>
      </c>
      <c r="C17" s="137" t="s">
        <v>191</v>
      </c>
      <c r="D17" s="136" t="s">
        <v>1</v>
      </c>
      <c r="E17" s="143">
        <v>1.364583333333333</v>
      </c>
      <c r="F17" s="136" t="s">
        <v>78</v>
      </c>
      <c r="G17" s="138">
        <v>9</v>
      </c>
      <c r="H17" s="139">
        <v>436</v>
      </c>
    </row>
    <row r="18" spans="1:8" ht="19.8" customHeight="1" x14ac:dyDescent="0.3">
      <c r="A18" s="142">
        <v>45988</v>
      </c>
      <c r="B18" s="136" t="s">
        <v>76</v>
      </c>
      <c r="C18" s="137" t="s">
        <v>77</v>
      </c>
      <c r="D18" s="136" t="s">
        <v>1</v>
      </c>
      <c r="E18" s="143">
        <v>1.333333333333333</v>
      </c>
      <c r="F18" s="136" t="s">
        <v>78</v>
      </c>
      <c r="G18" s="138">
        <v>6</v>
      </c>
      <c r="H18" s="139">
        <v>436</v>
      </c>
    </row>
    <row r="19" spans="1:8" ht="19.8" customHeight="1" x14ac:dyDescent="0.3">
      <c r="A19" s="142">
        <v>45988</v>
      </c>
      <c r="B19" s="136" t="s">
        <v>76</v>
      </c>
      <c r="C19" s="137" t="s">
        <v>93</v>
      </c>
      <c r="D19" s="136" t="s">
        <v>1</v>
      </c>
      <c r="E19" s="143">
        <v>1.583333333333333</v>
      </c>
      <c r="F19" s="136" t="s">
        <v>78</v>
      </c>
      <c r="G19" s="138">
        <v>5</v>
      </c>
      <c r="H19" s="139">
        <v>436</v>
      </c>
    </row>
    <row r="20" spans="1:8" ht="19.8" customHeight="1" x14ac:dyDescent="0.3">
      <c r="A20" s="142">
        <v>45988</v>
      </c>
      <c r="B20" s="136" t="s">
        <v>76</v>
      </c>
      <c r="C20" s="137" t="s">
        <v>200</v>
      </c>
      <c r="D20" s="136" t="s">
        <v>1</v>
      </c>
      <c r="E20" s="143">
        <v>1.739583333333333</v>
      </c>
      <c r="F20" s="136" t="s">
        <v>78</v>
      </c>
      <c r="G20" s="138">
        <v>6</v>
      </c>
      <c r="H20" s="139">
        <v>436</v>
      </c>
    </row>
    <row r="21" spans="1:8" ht="19.8" customHeight="1" x14ac:dyDescent="0.3">
      <c r="A21" s="140">
        <v>45988</v>
      </c>
      <c r="B21" s="131" t="s">
        <v>105</v>
      </c>
      <c r="C21" s="132" t="s">
        <v>171</v>
      </c>
      <c r="D21" s="131" t="s">
        <v>1</v>
      </c>
      <c r="E21" s="141">
        <v>1.3298611111111109</v>
      </c>
      <c r="F21" s="131" t="s">
        <v>107</v>
      </c>
      <c r="G21" s="133">
        <v>9</v>
      </c>
      <c r="H21" s="134">
        <v>439</v>
      </c>
    </row>
    <row r="22" spans="1:8" ht="19.8" customHeight="1" x14ac:dyDescent="0.3">
      <c r="A22" s="142">
        <v>45988</v>
      </c>
      <c r="B22" s="136" t="s">
        <v>76</v>
      </c>
      <c r="C22" s="137" t="s">
        <v>83</v>
      </c>
      <c r="D22" s="136" t="s">
        <v>1</v>
      </c>
      <c r="E22" s="143">
        <v>1.0486111111111109</v>
      </c>
      <c r="F22" s="136" t="s">
        <v>78</v>
      </c>
      <c r="G22" s="138">
        <v>6</v>
      </c>
      <c r="H22" s="139">
        <v>471</v>
      </c>
    </row>
    <row r="23" spans="1:8" ht="19.8" customHeight="1" x14ac:dyDescent="0.3">
      <c r="A23" s="146">
        <v>45988</v>
      </c>
      <c r="B23" s="147" t="s">
        <v>76</v>
      </c>
      <c r="C23" s="148" t="s">
        <v>89</v>
      </c>
      <c r="D23" s="147" t="s">
        <v>1</v>
      </c>
      <c r="E23" s="149">
        <v>1.114583333333333</v>
      </c>
      <c r="F23" s="147" t="s">
        <v>78</v>
      </c>
      <c r="G23" s="157">
        <v>9</v>
      </c>
      <c r="H23" s="158">
        <v>471</v>
      </c>
    </row>
    <row r="24" spans="1:8" ht="19.8" customHeight="1" x14ac:dyDescent="0.3">
      <c r="A24" s="142">
        <v>45989</v>
      </c>
      <c r="B24" s="136" t="s">
        <v>76</v>
      </c>
      <c r="C24" s="137" t="s">
        <v>77</v>
      </c>
      <c r="D24" s="136" t="s">
        <v>1</v>
      </c>
      <c r="E24" s="143">
        <v>1.319444444444444</v>
      </c>
      <c r="F24" s="136" t="s">
        <v>78</v>
      </c>
      <c r="G24" s="138">
        <v>1</v>
      </c>
      <c r="H24" s="139">
        <v>436</v>
      </c>
    </row>
    <row r="25" spans="1:8" ht="19.8" customHeight="1" x14ac:dyDescent="0.3">
      <c r="A25" s="142">
        <v>45989</v>
      </c>
      <c r="B25" s="136" t="s">
        <v>76</v>
      </c>
      <c r="C25" s="137" t="s">
        <v>93</v>
      </c>
      <c r="D25" s="136" t="s">
        <v>1</v>
      </c>
      <c r="E25" s="143">
        <v>1.458333333333333</v>
      </c>
      <c r="F25" s="136" t="s">
        <v>78</v>
      </c>
      <c r="G25" s="138">
        <v>9</v>
      </c>
      <c r="H25" s="139">
        <v>436</v>
      </c>
    </row>
    <row r="26" spans="1:8" ht="19.8" customHeight="1" x14ac:dyDescent="0.3">
      <c r="A26" s="140">
        <v>45989</v>
      </c>
      <c r="B26" s="131" t="s">
        <v>105</v>
      </c>
      <c r="C26" s="132" t="s">
        <v>223</v>
      </c>
      <c r="D26" s="131" t="s">
        <v>1</v>
      </c>
      <c r="E26" s="141">
        <v>1.975694444444444</v>
      </c>
      <c r="F26" s="131" t="s">
        <v>107</v>
      </c>
      <c r="G26" s="133">
        <v>9</v>
      </c>
      <c r="H26" s="134">
        <v>437</v>
      </c>
    </row>
    <row r="27" spans="1:8" ht="19.8" customHeight="1" x14ac:dyDescent="0.3">
      <c r="A27" s="140">
        <v>45989</v>
      </c>
      <c r="B27" s="131" t="s">
        <v>105</v>
      </c>
      <c r="C27" s="132" t="s">
        <v>171</v>
      </c>
      <c r="D27" s="131" t="s">
        <v>1</v>
      </c>
      <c r="E27" s="141">
        <v>1.3923611111111109</v>
      </c>
      <c r="F27" s="131" t="s">
        <v>107</v>
      </c>
      <c r="G27" s="133">
        <v>9</v>
      </c>
      <c r="H27" s="134">
        <v>449</v>
      </c>
    </row>
    <row r="28" spans="1:8" ht="19.8" customHeight="1" x14ac:dyDescent="0.3">
      <c r="A28" s="142">
        <v>45989</v>
      </c>
      <c r="B28" s="136" t="s">
        <v>76</v>
      </c>
      <c r="C28" s="137" t="s">
        <v>83</v>
      </c>
      <c r="D28" s="136" t="s">
        <v>1</v>
      </c>
      <c r="E28" s="143">
        <v>1.114583333333333</v>
      </c>
      <c r="F28" s="136" t="s">
        <v>78</v>
      </c>
      <c r="G28" s="138">
        <v>6</v>
      </c>
      <c r="H28" s="139">
        <v>471</v>
      </c>
    </row>
    <row r="29" spans="1:8" ht="19.8" customHeight="1" x14ac:dyDescent="0.3">
      <c r="A29" s="142">
        <v>45989</v>
      </c>
      <c r="B29" s="136" t="s">
        <v>76</v>
      </c>
      <c r="C29" s="137" t="s">
        <v>165</v>
      </c>
      <c r="D29" s="136" t="s">
        <v>1</v>
      </c>
      <c r="E29" s="143">
        <v>1.9375</v>
      </c>
      <c r="F29" s="136" t="s">
        <v>78</v>
      </c>
      <c r="G29" s="138">
        <v>1</v>
      </c>
      <c r="H29" s="139">
        <v>471</v>
      </c>
    </row>
    <row r="30" spans="1:8" ht="19.8" customHeight="1" x14ac:dyDescent="0.3">
      <c r="A30" s="142">
        <v>45989</v>
      </c>
      <c r="B30" s="136" t="s">
        <v>76</v>
      </c>
      <c r="C30" s="137" t="s">
        <v>89</v>
      </c>
      <c r="D30" s="136" t="s">
        <v>1</v>
      </c>
      <c r="E30" s="143">
        <v>1.7361111111111109</v>
      </c>
      <c r="F30" s="136" t="s">
        <v>78</v>
      </c>
      <c r="G30" s="138">
        <v>7</v>
      </c>
      <c r="H30" s="139">
        <v>471</v>
      </c>
    </row>
    <row r="31" spans="1:8" ht="19.8" customHeight="1" x14ac:dyDescent="0.3">
      <c r="A31" s="146">
        <v>45989</v>
      </c>
      <c r="B31" s="147" t="s">
        <v>76</v>
      </c>
      <c r="C31" s="148" t="s">
        <v>200</v>
      </c>
      <c r="D31" s="147" t="s">
        <v>1</v>
      </c>
      <c r="E31" s="149">
        <v>1.614583333333333</v>
      </c>
      <c r="F31" s="147" t="s">
        <v>78</v>
      </c>
      <c r="G31" s="157">
        <v>8</v>
      </c>
      <c r="H31" s="158">
        <v>471</v>
      </c>
    </row>
    <row r="32" spans="1:8" ht="19.8" customHeight="1" x14ac:dyDescent="0.3">
      <c r="A32" s="140">
        <v>45990</v>
      </c>
      <c r="B32" s="131" t="s">
        <v>26</v>
      </c>
      <c r="C32" s="132" t="s">
        <v>34</v>
      </c>
      <c r="D32" s="131" t="s">
        <v>1</v>
      </c>
      <c r="E32" s="141">
        <v>1.21875</v>
      </c>
      <c r="F32" s="131" t="s">
        <v>28</v>
      </c>
      <c r="G32" s="133">
        <v>9</v>
      </c>
      <c r="H32" s="134">
        <v>401</v>
      </c>
    </row>
    <row r="33" spans="1:8" ht="19.8" customHeight="1" x14ac:dyDescent="0.3">
      <c r="A33" s="140">
        <v>45990</v>
      </c>
      <c r="B33" s="131" t="s">
        <v>105</v>
      </c>
      <c r="C33" s="132" t="s">
        <v>106</v>
      </c>
      <c r="D33" s="131" t="s">
        <v>1</v>
      </c>
      <c r="E33" s="141">
        <v>1.2152777777777779</v>
      </c>
      <c r="F33" s="131" t="s">
        <v>107</v>
      </c>
      <c r="G33" s="133">
        <v>9</v>
      </c>
      <c r="H33" s="134">
        <v>419</v>
      </c>
    </row>
    <row r="34" spans="1:8" ht="19.8" customHeight="1" x14ac:dyDescent="0.3">
      <c r="A34" s="142">
        <v>45990</v>
      </c>
      <c r="B34" s="136" t="s">
        <v>76</v>
      </c>
      <c r="C34" s="137" t="s">
        <v>187</v>
      </c>
      <c r="D34" s="136" t="s">
        <v>1</v>
      </c>
      <c r="E34" s="143">
        <v>1.2361111111111109</v>
      </c>
      <c r="F34" s="136" t="s">
        <v>78</v>
      </c>
      <c r="G34" s="138">
        <v>1</v>
      </c>
      <c r="H34" s="139">
        <v>436</v>
      </c>
    </row>
    <row r="35" spans="1:8" ht="19.8" customHeight="1" x14ac:dyDescent="0.3">
      <c r="A35" s="140">
        <v>45990</v>
      </c>
      <c r="B35" s="131" t="s">
        <v>105</v>
      </c>
      <c r="C35" s="132" t="s">
        <v>171</v>
      </c>
      <c r="D35" s="131" t="s">
        <v>1</v>
      </c>
      <c r="E35" s="141">
        <v>1.3298611111111109</v>
      </c>
      <c r="F35" s="131" t="s">
        <v>107</v>
      </c>
      <c r="G35" s="133">
        <v>9</v>
      </c>
      <c r="H35" s="134">
        <v>437</v>
      </c>
    </row>
    <row r="36" spans="1:8" ht="19.8" customHeight="1" x14ac:dyDescent="0.3">
      <c r="A36" s="142">
        <v>45990</v>
      </c>
      <c r="B36" s="136" t="s">
        <v>76</v>
      </c>
      <c r="C36" s="137" t="s">
        <v>77</v>
      </c>
      <c r="D36" s="136" t="s">
        <v>1</v>
      </c>
      <c r="E36" s="143">
        <v>1.333333333333333</v>
      </c>
      <c r="F36" s="136" t="s">
        <v>78</v>
      </c>
      <c r="G36" s="138">
        <v>7</v>
      </c>
      <c r="H36" s="139">
        <v>471</v>
      </c>
    </row>
    <row r="37" spans="1:8" ht="19.8" customHeight="1" x14ac:dyDescent="0.3">
      <c r="A37" s="140">
        <v>45990</v>
      </c>
      <c r="B37" s="131" t="s">
        <v>51</v>
      </c>
      <c r="C37" s="132" t="s">
        <v>52</v>
      </c>
      <c r="D37" s="131" t="s">
        <v>1</v>
      </c>
      <c r="E37" s="141">
        <v>1.9027777777777779</v>
      </c>
      <c r="F37" s="131" t="s">
        <v>56</v>
      </c>
      <c r="G37" s="133">
        <v>9</v>
      </c>
      <c r="H37" s="134">
        <v>509</v>
      </c>
    </row>
    <row r="38" spans="1:8" ht="19.8" customHeight="1" x14ac:dyDescent="0.3">
      <c r="A38" s="140">
        <v>45990</v>
      </c>
      <c r="B38" s="131" t="s">
        <v>51</v>
      </c>
      <c r="C38" s="132" t="s">
        <v>66</v>
      </c>
      <c r="D38" s="131" t="s">
        <v>1</v>
      </c>
      <c r="E38" s="141">
        <v>1.854166666666667</v>
      </c>
      <c r="F38" s="131" t="s">
        <v>56</v>
      </c>
      <c r="G38" s="133">
        <v>4</v>
      </c>
      <c r="H38" s="134">
        <v>509</v>
      </c>
    </row>
    <row r="39" spans="1:8" ht="19.8" customHeight="1" x14ac:dyDescent="0.3">
      <c r="A39" s="140">
        <v>45990</v>
      </c>
      <c r="B39" s="131" t="s">
        <v>51</v>
      </c>
      <c r="C39" s="132" t="s">
        <v>75</v>
      </c>
      <c r="D39" s="131" t="s">
        <v>1</v>
      </c>
      <c r="E39" s="141">
        <v>1.395833333333333</v>
      </c>
      <c r="F39" s="131" t="s">
        <v>56</v>
      </c>
      <c r="G39" s="133">
        <v>1</v>
      </c>
      <c r="H39" s="134">
        <v>509</v>
      </c>
    </row>
    <row r="40" spans="1:8" ht="19.8" customHeight="1" x14ac:dyDescent="0.3">
      <c r="A40" s="146">
        <v>45990</v>
      </c>
      <c r="B40" s="147" t="s">
        <v>76</v>
      </c>
      <c r="C40" s="148" t="s">
        <v>93</v>
      </c>
      <c r="D40" s="147" t="s">
        <v>1</v>
      </c>
      <c r="E40" s="149">
        <v>1.680555555555556</v>
      </c>
      <c r="F40" s="147" t="s">
        <v>78</v>
      </c>
      <c r="G40" s="157">
        <v>4</v>
      </c>
      <c r="H40" s="158">
        <v>526</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127"/>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20.109375" bestFit="1" customWidth="1"/>
    <col min="6" max="6" width="23.44140625" bestFit="1" customWidth="1"/>
    <col min="7" max="7" width="48.3320312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9.21875" bestFit="1" customWidth="1"/>
  </cols>
  <sheetData>
    <row r="1" spans="1:92" ht="28.8" customHeight="1" x14ac:dyDescent="0.3">
      <c r="A1" s="191" t="s">
        <v>0</v>
      </c>
      <c r="B1" s="190"/>
      <c r="C1" s="190"/>
      <c r="D1" s="190"/>
      <c r="E1" s="190"/>
      <c r="F1" s="1" t="s">
        <v>377</v>
      </c>
      <c r="G1" s="2" t="s">
        <v>2</v>
      </c>
      <c r="H1" s="189">
        <v>45986</v>
      </c>
      <c r="I1" s="190"/>
      <c r="J1" s="190"/>
      <c r="K1" s="190"/>
      <c r="L1" s="190"/>
      <c r="M1" s="1" t="s">
        <v>3</v>
      </c>
      <c r="N1" s="201">
        <v>45990</v>
      </c>
      <c r="O1" s="190"/>
      <c r="P1" s="190"/>
      <c r="Q1" s="190"/>
      <c r="R1" s="190"/>
      <c r="CA1" s="3"/>
      <c r="CB1" s="3"/>
      <c r="CC1" s="3"/>
      <c r="CD1" s="3"/>
      <c r="CE1" s="3"/>
      <c r="CF1" s="3"/>
      <c r="CG1" s="3"/>
      <c r="CH1" s="3"/>
      <c r="CI1" s="3"/>
      <c r="CJ1" s="3"/>
      <c r="CK1" s="3"/>
      <c r="CL1" s="3"/>
      <c r="CM1" s="3"/>
      <c r="CN1" s="3"/>
    </row>
    <row r="2" spans="1:92" ht="23.4" customHeight="1" x14ac:dyDescent="0.3">
      <c r="A2" s="193" t="s">
        <v>4</v>
      </c>
      <c r="B2" s="190"/>
      <c r="C2" s="190"/>
      <c r="D2" s="190"/>
      <c r="E2" s="190"/>
      <c r="F2" s="190"/>
      <c r="G2" s="199">
        <v>45981.049630256202</v>
      </c>
      <c r="H2" s="190"/>
      <c r="I2" s="190"/>
      <c r="J2" s="190"/>
      <c r="K2" s="202">
        <v>45981.049630256493</v>
      </c>
      <c r="L2" s="190"/>
      <c r="M2" s="190"/>
      <c r="N2" s="190"/>
      <c r="O2" s="190"/>
      <c r="P2" s="190"/>
      <c r="Q2" s="190"/>
      <c r="R2" s="190"/>
      <c r="CA2" s="3"/>
      <c r="CB2" s="3"/>
      <c r="CC2" s="3"/>
      <c r="CD2" s="3"/>
      <c r="CE2" s="3"/>
      <c r="CF2" s="3"/>
      <c r="CG2" s="3"/>
      <c r="CH2" s="3"/>
      <c r="CI2" s="3"/>
      <c r="CJ2" s="3"/>
      <c r="CK2" s="3"/>
      <c r="CL2" s="3"/>
      <c r="CM2" s="3"/>
      <c r="CN2" s="3"/>
    </row>
    <row r="3" spans="1:92" ht="24" customHeight="1" x14ac:dyDescent="0.3">
      <c r="A3" s="194" t="s">
        <v>5</v>
      </c>
      <c r="B3" s="190"/>
      <c r="C3" s="190"/>
      <c r="D3" s="190"/>
      <c r="E3" s="190"/>
      <c r="F3" s="190"/>
      <c r="G3" s="190"/>
      <c r="H3" s="190"/>
      <c r="I3" s="190"/>
      <c r="J3" s="190"/>
      <c r="K3" s="190"/>
      <c r="L3" s="190"/>
      <c r="M3" s="190"/>
      <c r="N3" s="190"/>
      <c r="O3" s="190"/>
      <c r="P3" s="190"/>
      <c r="Q3" s="190"/>
      <c r="R3" s="190"/>
      <c r="CA3" s="3"/>
      <c r="CB3" s="3"/>
      <c r="CC3" s="3"/>
      <c r="CD3" s="3"/>
      <c r="CE3" s="3"/>
      <c r="CF3" s="3"/>
      <c r="CG3" s="3"/>
      <c r="CH3" s="3"/>
      <c r="CI3" s="3"/>
      <c r="CJ3" s="3"/>
      <c r="CK3" s="3"/>
      <c r="CL3" s="3"/>
      <c r="CM3" s="3"/>
      <c r="CN3" s="3"/>
    </row>
    <row r="4" spans="1:92" ht="22.05" customHeight="1" x14ac:dyDescent="0.3">
      <c r="A4" s="200" t="s">
        <v>6</v>
      </c>
      <c r="B4" s="187"/>
      <c r="C4" s="187"/>
      <c r="D4" s="187"/>
      <c r="E4" s="187"/>
      <c r="F4" s="188"/>
      <c r="G4" s="4">
        <v>45986</v>
      </c>
      <c r="H4" s="192" t="s">
        <v>7</v>
      </c>
      <c r="I4" s="187"/>
      <c r="J4" s="187"/>
      <c r="K4" s="187"/>
      <c r="L4" s="187"/>
      <c r="M4" s="187"/>
      <c r="N4" s="187"/>
      <c r="O4" s="187"/>
      <c r="P4" s="187"/>
      <c r="Q4" s="187"/>
      <c r="R4" s="188"/>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105</v>
      </c>
      <c r="B6" s="8" t="s">
        <v>378</v>
      </c>
      <c r="C6" s="9">
        <v>0.1875</v>
      </c>
      <c r="D6" s="8" t="s">
        <v>379</v>
      </c>
      <c r="E6" s="8" t="s">
        <v>108</v>
      </c>
      <c r="F6" s="8" t="s">
        <v>380</v>
      </c>
      <c r="G6" s="203"/>
      <c r="H6" s="10"/>
      <c r="I6" s="11"/>
      <c r="J6" s="11"/>
      <c r="K6" s="11"/>
      <c r="L6" s="11"/>
      <c r="M6" s="11"/>
      <c r="N6" s="11"/>
      <c r="O6" s="12"/>
      <c r="P6" s="11"/>
      <c r="Q6" s="13"/>
      <c r="R6" s="14"/>
    </row>
    <row r="7" spans="1:92" ht="15" customHeight="1" x14ac:dyDescent="0.3">
      <c r="A7" s="19" t="s">
        <v>105</v>
      </c>
      <c r="B7" s="19" t="s">
        <v>378</v>
      </c>
      <c r="C7" s="20">
        <v>0.1875</v>
      </c>
      <c r="D7" s="19" t="s">
        <v>381</v>
      </c>
      <c r="E7" s="19" t="s">
        <v>49</v>
      </c>
      <c r="F7" s="19" t="s">
        <v>382</v>
      </c>
      <c r="G7" s="196"/>
      <c r="H7" s="10"/>
      <c r="I7" s="11"/>
      <c r="J7" s="11"/>
      <c r="K7" s="11"/>
      <c r="L7" s="11"/>
      <c r="M7" s="11"/>
      <c r="N7" s="11"/>
      <c r="O7" s="12"/>
      <c r="P7" s="11"/>
      <c r="Q7" s="13"/>
      <c r="R7" s="14"/>
    </row>
    <row r="8" spans="1:92" ht="15" customHeight="1" x14ac:dyDescent="0.3">
      <c r="A8" s="19" t="s">
        <v>105</v>
      </c>
      <c r="B8" s="19" t="s">
        <v>378</v>
      </c>
      <c r="C8" s="20">
        <v>0.1875</v>
      </c>
      <c r="D8" s="19" t="s">
        <v>43</v>
      </c>
      <c r="E8" s="19" t="s">
        <v>49</v>
      </c>
      <c r="F8" s="19" t="s">
        <v>383</v>
      </c>
      <c r="G8" s="196"/>
      <c r="H8" s="10"/>
      <c r="I8" s="11"/>
      <c r="J8" s="11"/>
      <c r="K8" s="11"/>
      <c r="L8" s="11"/>
      <c r="M8" s="11"/>
      <c r="N8" s="11"/>
      <c r="O8" s="12"/>
      <c r="P8" s="11"/>
      <c r="Q8" s="13"/>
      <c r="R8" s="14"/>
    </row>
    <row r="9" spans="1:92" ht="15" customHeight="1" x14ac:dyDescent="0.3">
      <c r="A9" s="15" t="s">
        <v>105</v>
      </c>
      <c r="B9" s="15" t="s">
        <v>384</v>
      </c>
      <c r="C9" s="16">
        <v>0.52777777777777779</v>
      </c>
      <c r="D9" s="15" t="s">
        <v>379</v>
      </c>
      <c r="E9" s="15" t="s">
        <v>48</v>
      </c>
      <c r="F9" s="15" t="s">
        <v>172</v>
      </c>
      <c r="G9" s="196"/>
      <c r="H9" s="10"/>
      <c r="I9" s="11"/>
      <c r="J9" s="11"/>
      <c r="K9" s="11"/>
      <c r="L9" s="11"/>
      <c r="M9" s="11"/>
      <c r="N9" s="11"/>
      <c r="O9" s="12"/>
      <c r="P9" s="11"/>
      <c r="Q9" s="13"/>
      <c r="R9" s="14"/>
    </row>
    <row r="10" spans="1:92" ht="15" customHeight="1" x14ac:dyDescent="0.3">
      <c r="A10" s="19" t="s">
        <v>105</v>
      </c>
      <c r="B10" s="19" t="s">
        <v>384</v>
      </c>
      <c r="C10" s="20">
        <v>0.52777777777777779</v>
      </c>
      <c r="D10" s="19" t="s">
        <v>381</v>
      </c>
      <c r="E10" s="19" t="s">
        <v>49</v>
      </c>
      <c r="F10" s="19" t="s">
        <v>385</v>
      </c>
      <c r="G10" s="196"/>
      <c r="H10" s="10"/>
      <c r="I10" s="11"/>
      <c r="J10" s="11"/>
      <c r="K10" s="11"/>
      <c r="L10" s="11"/>
      <c r="M10" s="11"/>
      <c r="N10" s="11"/>
      <c r="O10" s="12"/>
      <c r="P10" s="11"/>
      <c r="Q10" s="13"/>
      <c r="R10" s="14"/>
    </row>
    <row r="11" spans="1:92" ht="15" customHeight="1" x14ac:dyDescent="0.3">
      <c r="A11" s="19" t="s">
        <v>105</v>
      </c>
      <c r="B11" s="19" t="s">
        <v>384</v>
      </c>
      <c r="C11" s="20">
        <v>0.52777777777777779</v>
      </c>
      <c r="D11" s="19" t="s">
        <v>43</v>
      </c>
      <c r="E11" s="19" t="s">
        <v>49</v>
      </c>
      <c r="F11" s="19" t="s">
        <v>386</v>
      </c>
      <c r="G11" s="196"/>
      <c r="H11" s="10"/>
      <c r="I11" s="11"/>
      <c r="J11" s="11"/>
      <c r="K11" s="11"/>
      <c r="L11" s="11"/>
      <c r="M11" s="11"/>
      <c r="N11" s="11"/>
      <c r="O11" s="12"/>
      <c r="P11" s="11"/>
      <c r="Q11" s="13"/>
      <c r="R11" s="14"/>
    </row>
    <row r="12" spans="1:92" ht="15" customHeight="1" x14ac:dyDescent="0.3">
      <c r="A12" s="17" t="s">
        <v>35</v>
      </c>
      <c r="B12" s="17" t="s">
        <v>387</v>
      </c>
      <c r="C12" s="18">
        <v>0.25694444444444448</v>
      </c>
      <c r="D12" s="17" t="s">
        <v>388</v>
      </c>
      <c r="E12" s="17" t="s">
        <v>161</v>
      </c>
      <c r="F12" s="17" t="s">
        <v>389</v>
      </c>
      <c r="G12" s="196"/>
      <c r="H12" s="10"/>
      <c r="I12" s="11"/>
      <c r="J12" s="11"/>
      <c r="K12" s="11"/>
      <c r="L12" s="11"/>
      <c r="M12" s="11"/>
      <c r="N12" s="11"/>
      <c r="O12" s="12"/>
      <c r="P12" s="11"/>
      <c r="Q12" s="13"/>
      <c r="R12" s="14"/>
    </row>
    <row r="13" spans="1:92" ht="15" customHeight="1" x14ac:dyDescent="0.3">
      <c r="A13" s="19" t="s">
        <v>35</v>
      </c>
      <c r="B13" s="19" t="s">
        <v>387</v>
      </c>
      <c r="C13" s="20">
        <v>0.25694444444444448</v>
      </c>
      <c r="D13" s="19" t="s">
        <v>379</v>
      </c>
      <c r="E13" s="19" t="s">
        <v>163</v>
      </c>
      <c r="F13" s="19" t="s">
        <v>390</v>
      </c>
      <c r="G13" s="196"/>
      <c r="H13" s="10"/>
      <c r="I13" s="11"/>
      <c r="J13" s="11"/>
      <c r="K13" s="11"/>
      <c r="L13" s="11"/>
      <c r="M13" s="11"/>
      <c r="N13" s="11"/>
      <c r="O13" s="12"/>
      <c r="P13" s="11"/>
      <c r="Q13" s="13"/>
      <c r="R13" s="14"/>
    </row>
    <row r="14" spans="1:92" ht="15" customHeight="1" x14ac:dyDescent="0.3">
      <c r="A14" s="19" t="s">
        <v>35</v>
      </c>
      <c r="B14" s="19" t="s">
        <v>387</v>
      </c>
      <c r="C14" s="20">
        <v>0.25694444444444448</v>
      </c>
      <c r="D14" s="19" t="s">
        <v>381</v>
      </c>
      <c r="E14" s="19" t="s">
        <v>163</v>
      </c>
      <c r="F14" s="19" t="s">
        <v>391</v>
      </c>
      <c r="G14" s="196"/>
      <c r="H14" s="10"/>
      <c r="I14" s="11"/>
      <c r="J14" s="11"/>
      <c r="K14" s="11"/>
      <c r="L14" s="11"/>
      <c r="M14" s="11"/>
      <c r="N14" s="11"/>
      <c r="O14" s="12"/>
      <c r="P14" s="11"/>
      <c r="Q14" s="13"/>
      <c r="R14" s="14"/>
    </row>
    <row r="15" spans="1:92" ht="15" customHeight="1" x14ac:dyDescent="0.3">
      <c r="A15" s="19" t="s">
        <v>35</v>
      </c>
      <c r="B15" s="19" t="s">
        <v>387</v>
      </c>
      <c r="C15" s="20">
        <v>0.25694444444444448</v>
      </c>
      <c r="D15" s="19" t="s">
        <v>392</v>
      </c>
      <c r="E15" s="19" t="s">
        <v>163</v>
      </c>
      <c r="F15" s="19" t="s">
        <v>393</v>
      </c>
      <c r="G15" s="196"/>
      <c r="H15" s="10"/>
      <c r="I15" s="11"/>
      <c r="J15" s="11"/>
      <c r="K15" s="11"/>
      <c r="L15" s="11"/>
      <c r="M15" s="11"/>
      <c r="N15" s="11"/>
      <c r="O15" s="12"/>
      <c r="P15" s="11"/>
      <c r="Q15" s="13"/>
      <c r="R15" s="14"/>
    </row>
    <row r="16" spans="1:92" ht="15" customHeight="1" x14ac:dyDescent="0.3">
      <c r="A16" s="104" t="s">
        <v>76</v>
      </c>
      <c r="B16" s="104" t="s">
        <v>394</v>
      </c>
      <c r="C16" s="105">
        <v>0.70833333333333337</v>
      </c>
      <c r="D16" s="104" t="s">
        <v>78</v>
      </c>
      <c r="E16" s="104" t="s">
        <v>29</v>
      </c>
      <c r="F16" s="104" t="s">
        <v>395</v>
      </c>
      <c r="G16" s="196"/>
      <c r="H16" s="41" t="s">
        <v>396</v>
      </c>
      <c r="I16" s="159">
        <v>0.99439999999999995</v>
      </c>
      <c r="J16" s="43">
        <v>178</v>
      </c>
      <c r="K16" s="44">
        <v>45980</v>
      </c>
      <c r="L16" s="43">
        <v>7</v>
      </c>
      <c r="M16" s="43">
        <v>0</v>
      </c>
      <c r="N16" s="43">
        <v>5</v>
      </c>
      <c r="O16" s="45" t="s">
        <v>344</v>
      </c>
      <c r="P16" s="46">
        <v>0.70833333333333337</v>
      </c>
      <c r="Q16" s="43">
        <v>179</v>
      </c>
      <c r="R16" s="47" t="s">
        <v>397</v>
      </c>
    </row>
    <row r="17" spans="1:18" ht="15" customHeight="1" x14ac:dyDescent="0.3">
      <c r="A17" s="17" t="s">
        <v>140</v>
      </c>
      <c r="B17" s="17" t="s">
        <v>398</v>
      </c>
      <c r="C17" s="18">
        <v>0.60416666666666663</v>
      </c>
      <c r="D17" s="17" t="s">
        <v>142</v>
      </c>
      <c r="E17" s="17" t="s">
        <v>113</v>
      </c>
      <c r="F17" s="17" t="s">
        <v>399</v>
      </c>
      <c r="G17" s="196"/>
      <c r="H17" s="10"/>
      <c r="I17" s="11"/>
      <c r="J17" s="11"/>
      <c r="K17" s="11"/>
      <c r="L17" s="11"/>
      <c r="M17" s="11"/>
      <c r="N17" s="11"/>
      <c r="O17" s="12"/>
      <c r="P17" s="11"/>
      <c r="Q17" s="13"/>
      <c r="R17" s="14"/>
    </row>
    <row r="18" spans="1:18" ht="15" customHeight="1" x14ac:dyDescent="0.3">
      <c r="A18" s="17" t="s">
        <v>118</v>
      </c>
      <c r="B18" s="17" t="s">
        <v>400</v>
      </c>
      <c r="C18" s="18">
        <v>0.34027777777777768</v>
      </c>
      <c r="D18" s="17" t="s">
        <v>120</v>
      </c>
      <c r="E18" s="17" t="s">
        <v>113</v>
      </c>
      <c r="F18" s="17" t="s">
        <v>401</v>
      </c>
      <c r="G18" s="196"/>
      <c r="H18" s="10"/>
      <c r="I18" s="11"/>
      <c r="J18" s="11"/>
      <c r="K18" s="11"/>
      <c r="L18" s="11"/>
      <c r="M18" s="11"/>
      <c r="N18" s="11"/>
      <c r="O18" s="12"/>
      <c r="P18" s="11"/>
      <c r="Q18" s="13"/>
      <c r="R18" s="14"/>
    </row>
    <row r="19" spans="1:18" ht="15" customHeight="1" x14ac:dyDescent="0.3">
      <c r="A19" s="19" t="s">
        <v>118</v>
      </c>
      <c r="B19" s="19" t="s">
        <v>400</v>
      </c>
      <c r="C19" s="20">
        <v>0.34027777777777768</v>
      </c>
      <c r="D19" s="19" t="s">
        <v>122</v>
      </c>
      <c r="E19" s="19" t="s">
        <v>126</v>
      </c>
      <c r="F19" s="19" t="s">
        <v>402</v>
      </c>
      <c r="G19" s="196"/>
      <c r="H19" s="10"/>
      <c r="I19" s="11"/>
      <c r="J19" s="11"/>
      <c r="K19" s="11"/>
      <c r="L19" s="11"/>
      <c r="M19" s="11"/>
      <c r="N19" s="11"/>
      <c r="O19" s="12"/>
      <c r="P19" s="11"/>
      <c r="Q19" s="13"/>
      <c r="R19" s="14"/>
    </row>
    <row r="20" spans="1:18" ht="15" customHeight="1" x14ac:dyDescent="0.3">
      <c r="A20" s="15" t="s">
        <v>118</v>
      </c>
      <c r="B20" s="15" t="s">
        <v>403</v>
      </c>
      <c r="C20" s="16">
        <v>0.71180555555555547</v>
      </c>
      <c r="D20" s="15" t="s">
        <v>120</v>
      </c>
      <c r="E20" s="15" t="s">
        <v>116</v>
      </c>
      <c r="F20" s="15" t="s">
        <v>401</v>
      </c>
      <c r="G20" s="196"/>
      <c r="H20" s="10"/>
      <c r="I20" s="11"/>
      <c r="J20" s="11"/>
      <c r="K20" s="11"/>
      <c r="L20" s="11"/>
      <c r="M20" s="11"/>
      <c r="N20" s="11"/>
      <c r="O20" s="12"/>
      <c r="P20" s="11"/>
      <c r="Q20" s="13"/>
      <c r="R20" s="14"/>
    </row>
    <row r="21" spans="1:18" ht="15" customHeight="1" x14ac:dyDescent="0.3">
      <c r="A21" s="19" t="s">
        <v>118</v>
      </c>
      <c r="B21" s="19" t="s">
        <v>403</v>
      </c>
      <c r="C21" s="20">
        <v>0.71180555555555547</v>
      </c>
      <c r="D21" s="19" t="s">
        <v>122</v>
      </c>
      <c r="E21" s="19" t="s">
        <v>126</v>
      </c>
      <c r="F21" s="19" t="s">
        <v>402</v>
      </c>
      <c r="G21" s="196"/>
      <c r="H21" s="10"/>
      <c r="I21" s="11"/>
      <c r="J21" s="11"/>
      <c r="K21" s="11"/>
      <c r="L21" s="11"/>
      <c r="M21" s="11"/>
      <c r="N21" s="11"/>
      <c r="O21" s="12"/>
      <c r="P21" s="11"/>
      <c r="Q21" s="13"/>
      <c r="R21" s="14"/>
    </row>
    <row r="22" spans="1:18" ht="18" x14ac:dyDescent="0.3">
      <c r="A22" s="204" t="s">
        <v>404</v>
      </c>
      <c r="B22" s="205"/>
      <c r="C22" s="205"/>
      <c r="D22" s="205"/>
      <c r="E22" s="205"/>
      <c r="F22" s="206"/>
      <c r="G22" s="196"/>
      <c r="H22" s="160"/>
      <c r="I22" s="160"/>
      <c r="J22" s="160"/>
      <c r="K22" s="160"/>
      <c r="L22" s="160"/>
      <c r="M22" s="160"/>
      <c r="N22" s="160"/>
      <c r="O22" s="161"/>
      <c r="P22" s="160"/>
      <c r="Q22" s="126"/>
      <c r="R22" s="126"/>
    </row>
    <row r="23" spans="1:18" ht="15" customHeight="1" x14ac:dyDescent="0.3">
      <c r="A23" s="15" t="s">
        <v>26</v>
      </c>
      <c r="B23" s="15" t="s">
        <v>27</v>
      </c>
      <c r="C23" s="16" t="s">
        <v>368</v>
      </c>
      <c r="D23" s="15" t="s">
        <v>28</v>
      </c>
      <c r="E23" s="15" t="s">
        <v>405</v>
      </c>
      <c r="F23" s="15" t="s">
        <v>30</v>
      </c>
      <c r="G23" s="196"/>
      <c r="H23" s="160"/>
      <c r="I23" s="160"/>
      <c r="J23" s="160"/>
      <c r="K23" s="160"/>
      <c r="L23" s="160"/>
      <c r="M23" s="160"/>
      <c r="N23" s="160"/>
      <c r="O23" s="161"/>
      <c r="P23" s="160"/>
      <c r="Q23" s="126"/>
      <c r="R23" s="126"/>
    </row>
    <row r="24" spans="1:18" ht="15" customHeight="1" x14ac:dyDescent="0.3">
      <c r="A24" s="15" t="s">
        <v>35</v>
      </c>
      <c r="B24" s="15" t="s">
        <v>36</v>
      </c>
      <c r="C24" s="16" t="s">
        <v>369</v>
      </c>
      <c r="D24" s="15" t="s">
        <v>37</v>
      </c>
      <c r="E24" s="15" t="s">
        <v>406</v>
      </c>
      <c r="F24" s="15" t="s">
        <v>39</v>
      </c>
      <c r="G24" s="196"/>
      <c r="H24" s="160"/>
      <c r="I24" s="160"/>
      <c r="J24" s="160"/>
      <c r="K24" s="160"/>
      <c r="L24" s="160"/>
      <c r="M24" s="160"/>
      <c r="N24" s="160"/>
      <c r="O24" s="161"/>
      <c r="P24" s="160"/>
      <c r="Q24" s="126"/>
      <c r="R24" s="126"/>
    </row>
    <row r="25" spans="1:18" ht="15" customHeight="1" x14ac:dyDescent="0.3">
      <c r="A25" s="15" t="s">
        <v>35</v>
      </c>
      <c r="B25" s="15" t="s">
        <v>45</v>
      </c>
      <c r="C25" s="16" t="s">
        <v>370</v>
      </c>
      <c r="D25" s="15" t="s">
        <v>37</v>
      </c>
      <c r="E25" s="15" t="s">
        <v>407</v>
      </c>
      <c r="F25" s="15" t="s">
        <v>39</v>
      </c>
      <c r="G25" s="196"/>
      <c r="H25" s="160"/>
      <c r="I25" s="160"/>
      <c r="J25" s="160"/>
      <c r="K25" s="160"/>
      <c r="L25" s="160"/>
      <c r="M25" s="160"/>
      <c r="N25" s="160"/>
      <c r="O25" s="161"/>
      <c r="P25" s="160"/>
      <c r="Q25" s="126"/>
      <c r="R25" s="126"/>
    </row>
    <row r="26" spans="1:18" ht="15" customHeight="1" x14ac:dyDescent="0.3">
      <c r="A26" s="15" t="s">
        <v>35</v>
      </c>
      <c r="B26" s="15" t="s">
        <v>47</v>
      </c>
      <c r="C26" s="16" t="s">
        <v>371</v>
      </c>
      <c r="D26" s="15" t="s">
        <v>37</v>
      </c>
      <c r="E26" s="15" t="s">
        <v>408</v>
      </c>
      <c r="F26" s="15" t="s">
        <v>39</v>
      </c>
      <c r="G26" s="196"/>
      <c r="H26" s="160"/>
      <c r="I26" s="160"/>
      <c r="J26" s="160"/>
      <c r="K26" s="160"/>
      <c r="L26" s="160"/>
      <c r="M26" s="160"/>
      <c r="N26" s="160"/>
      <c r="O26" s="161"/>
      <c r="P26" s="160"/>
      <c r="Q26" s="126"/>
      <c r="R26" s="126"/>
    </row>
    <row r="27" spans="1:18" ht="15" customHeight="1" x14ac:dyDescent="0.3">
      <c r="A27" s="15" t="s">
        <v>35</v>
      </c>
      <c r="B27" s="15" t="s">
        <v>50</v>
      </c>
      <c r="C27" s="16" t="s">
        <v>372</v>
      </c>
      <c r="D27" s="15" t="s">
        <v>37</v>
      </c>
      <c r="E27" s="15" t="s">
        <v>407</v>
      </c>
      <c r="F27" s="15" t="s">
        <v>39</v>
      </c>
      <c r="G27" s="196"/>
      <c r="H27" s="160"/>
      <c r="I27" s="160"/>
      <c r="J27" s="160"/>
      <c r="K27" s="160"/>
      <c r="L27" s="160"/>
      <c r="M27" s="160"/>
      <c r="N27" s="160"/>
      <c r="O27" s="161"/>
      <c r="P27" s="160"/>
      <c r="Q27" s="126"/>
      <c r="R27" s="126"/>
    </row>
    <row r="28" spans="1:18" ht="15" customHeight="1" x14ac:dyDescent="0.3">
      <c r="A28" s="15" t="s">
        <v>51</v>
      </c>
      <c r="B28" s="15" t="s">
        <v>52</v>
      </c>
      <c r="C28" s="16" t="s">
        <v>373</v>
      </c>
      <c r="D28" s="15" t="s">
        <v>53</v>
      </c>
      <c r="E28" s="15" t="s">
        <v>409</v>
      </c>
      <c r="F28" s="15" t="s">
        <v>55</v>
      </c>
      <c r="G28" s="196"/>
      <c r="H28" s="160"/>
      <c r="I28" s="160"/>
      <c r="J28" s="160"/>
      <c r="K28" s="160"/>
      <c r="L28" s="160"/>
      <c r="M28" s="160"/>
      <c r="N28" s="160"/>
      <c r="O28" s="161"/>
      <c r="P28" s="160"/>
      <c r="Q28" s="126"/>
      <c r="R28" s="126"/>
    </row>
    <row r="29" spans="1:18" ht="15" customHeight="1" x14ac:dyDescent="0.3">
      <c r="A29" s="15" t="s">
        <v>51</v>
      </c>
      <c r="B29" s="15" t="s">
        <v>61</v>
      </c>
      <c r="C29" s="16" t="s">
        <v>374</v>
      </c>
      <c r="D29" s="15" t="s">
        <v>53</v>
      </c>
      <c r="E29" s="15" t="s">
        <v>405</v>
      </c>
      <c r="F29" s="15" t="s">
        <v>55</v>
      </c>
      <c r="G29" s="196"/>
      <c r="H29" s="160"/>
      <c r="I29" s="160"/>
      <c r="J29" s="160"/>
      <c r="K29" s="160"/>
      <c r="L29" s="160"/>
      <c r="M29" s="160"/>
      <c r="N29" s="160"/>
      <c r="O29" s="161"/>
      <c r="P29" s="160"/>
      <c r="Q29" s="126"/>
      <c r="R29" s="126"/>
    </row>
    <row r="30" spans="1:18" ht="15" customHeight="1" x14ac:dyDescent="0.3">
      <c r="A30" s="15" t="s">
        <v>51</v>
      </c>
      <c r="B30" s="15" t="s">
        <v>64</v>
      </c>
      <c r="C30" s="16" t="s">
        <v>301</v>
      </c>
      <c r="D30" s="15" t="s">
        <v>53</v>
      </c>
      <c r="E30" s="15" t="s">
        <v>406</v>
      </c>
      <c r="F30" s="15" t="s">
        <v>55</v>
      </c>
      <c r="G30" s="196"/>
      <c r="H30" s="160"/>
      <c r="I30" s="160"/>
      <c r="J30" s="160"/>
      <c r="K30" s="160"/>
      <c r="L30" s="160"/>
      <c r="M30" s="160"/>
      <c r="N30" s="160"/>
      <c r="O30" s="161"/>
      <c r="P30" s="160"/>
      <c r="Q30" s="126"/>
      <c r="R30" s="126"/>
    </row>
    <row r="31" spans="1:18" ht="15" customHeight="1" x14ac:dyDescent="0.3">
      <c r="A31" s="15" t="s">
        <v>51</v>
      </c>
      <c r="B31" s="15" t="s">
        <v>66</v>
      </c>
      <c r="C31" s="16" t="s">
        <v>375</v>
      </c>
      <c r="D31" s="15" t="s">
        <v>53</v>
      </c>
      <c r="E31" s="15" t="s">
        <v>410</v>
      </c>
      <c r="F31" s="15" t="s">
        <v>55</v>
      </c>
      <c r="G31" s="196"/>
      <c r="H31" s="160"/>
      <c r="I31" s="160"/>
      <c r="J31" s="160"/>
      <c r="K31" s="160"/>
      <c r="L31" s="160"/>
      <c r="M31" s="160"/>
      <c r="N31" s="160"/>
      <c r="O31" s="161"/>
      <c r="P31" s="160"/>
      <c r="Q31" s="126"/>
      <c r="R31" s="126"/>
    </row>
    <row r="32" spans="1:18" ht="15" customHeight="1" thickBot="1" x14ac:dyDescent="0.35">
      <c r="A32" s="77" t="s">
        <v>51</v>
      </c>
      <c r="B32" s="77" t="s">
        <v>69</v>
      </c>
      <c r="C32" s="78" t="s">
        <v>369</v>
      </c>
      <c r="D32" s="77" t="s">
        <v>53</v>
      </c>
      <c r="E32" s="77" t="s">
        <v>406</v>
      </c>
      <c r="F32" s="77" t="s">
        <v>55</v>
      </c>
      <c r="G32" s="197"/>
      <c r="H32" s="162"/>
      <c r="I32" s="162"/>
      <c r="J32" s="162"/>
      <c r="K32" s="162"/>
      <c r="L32" s="162"/>
      <c r="M32" s="162"/>
      <c r="N32" s="162"/>
      <c r="O32" s="163"/>
      <c r="P32" s="162"/>
      <c r="Q32" s="164"/>
      <c r="R32" s="164"/>
    </row>
    <row r="33" spans="1:18" ht="17.399999999999999" customHeight="1" thickBot="1" x14ac:dyDescent="0.35">
      <c r="A33" s="221"/>
      <c r="B33" s="222"/>
      <c r="C33" s="222"/>
      <c r="D33" s="222"/>
      <c r="E33" s="222"/>
      <c r="F33" s="222"/>
      <c r="G33" s="222"/>
      <c r="H33" s="222"/>
      <c r="I33" s="222"/>
      <c r="J33" s="222"/>
      <c r="K33" s="222"/>
      <c r="L33" s="222"/>
      <c r="M33" s="222"/>
      <c r="N33" s="222"/>
      <c r="O33" s="222"/>
      <c r="P33" s="222"/>
      <c r="Q33" s="222"/>
      <c r="R33" s="223"/>
    </row>
    <row r="34" spans="1:18" ht="22.05" customHeight="1" thickTop="1" thickBot="1" x14ac:dyDescent="0.35">
      <c r="A34" s="186" t="s">
        <v>6</v>
      </c>
      <c r="B34" s="187"/>
      <c r="C34" s="187"/>
      <c r="D34" s="187"/>
      <c r="E34" s="187"/>
      <c r="F34" s="188"/>
      <c r="G34" s="84">
        <v>45987</v>
      </c>
      <c r="H34" s="198" t="s">
        <v>7</v>
      </c>
      <c r="I34" s="187"/>
      <c r="J34" s="187"/>
      <c r="K34" s="187"/>
      <c r="L34" s="187"/>
      <c r="M34" s="187"/>
      <c r="N34" s="187"/>
      <c r="O34" s="187"/>
      <c r="P34" s="187"/>
      <c r="Q34" s="187"/>
      <c r="R34" s="188"/>
    </row>
    <row r="35" spans="1:18" ht="24" customHeight="1" x14ac:dyDescent="0.3">
      <c r="A35" s="85" t="s">
        <v>8</v>
      </c>
      <c r="B35" s="85" t="s">
        <v>9</v>
      </c>
      <c r="C35" s="86" t="s">
        <v>10</v>
      </c>
      <c r="D35" s="85" t="s">
        <v>11</v>
      </c>
      <c r="E35" s="85" t="s">
        <v>12</v>
      </c>
      <c r="F35" s="87" t="s">
        <v>13</v>
      </c>
      <c r="G35" s="88" t="s">
        <v>14</v>
      </c>
      <c r="H35" s="85" t="s">
        <v>15</v>
      </c>
      <c r="I35" s="89" t="s">
        <v>16</v>
      </c>
      <c r="J35" s="90" t="s">
        <v>17</v>
      </c>
      <c r="K35" s="91" t="s">
        <v>18</v>
      </c>
      <c r="L35" s="90" t="s">
        <v>19</v>
      </c>
      <c r="M35" s="90" t="s">
        <v>20</v>
      </c>
      <c r="N35" s="90" t="s">
        <v>21</v>
      </c>
      <c r="O35" s="85" t="s">
        <v>22</v>
      </c>
      <c r="P35" s="86" t="s">
        <v>23</v>
      </c>
      <c r="Q35" s="90" t="s">
        <v>24</v>
      </c>
      <c r="R35" s="85" t="s">
        <v>25</v>
      </c>
    </row>
    <row r="36" spans="1:18" ht="15" customHeight="1" x14ac:dyDescent="0.3">
      <c r="A36" s="8" t="s">
        <v>105</v>
      </c>
      <c r="B36" s="8" t="s">
        <v>378</v>
      </c>
      <c r="C36" s="9">
        <v>0.3298611111111111</v>
      </c>
      <c r="D36" s="8" t="s">
        <v>379</v>
      </c>
      <c r="E36" s="8" t="s">
        <v>108</v>
      </c>
      <c r="F36" s="8" t="s">
        <v>380</v>
      </c>
      <c r="G36" s="203"/>
      <c r="H36" s="10"/>
      <c r="I36" s="11"/>
      <c r="J36" s="11"/>
      <c r="K36" s="11"/>
      <c r="L36" s="11"/>
      <c r="M36" s="11"/>
      <c r="N36" s="11"/>
      <c r="O36" s="12"/>
      <c r="P36" s="11"/>
      <c r="Q36" s="13"/>
      <c r="R36" s="14"/>
    </row>
    <row r="37" spans="1:18" ht="15" customHeight="1" x14ac:dyDescent="0.3">
      <c r="A37" s="19" t="s">
        <v>105</v>
      </c>
      <c r="B37" s="19" t="s">
        <v>378</v>
      </c>
      <c r="C37" s="20">
        <v>0.3298611111111111</v>
      </c>
      <c r="D37" s="19" t="s">
        <v>381</v>
      </c>
      <c r="E37" s="19" t="s">
        <v>49</v>
      </c>
      <c r="F37" s="19" t="s">
        <v>382</v>
      </c>
      <c r="G37" s="196"/>
      <c r="H37" s="10"/>
      <c r="I37" s="11"/>
      <c r="J37" s="11"/>
      <c r="K37" s="11"/>
      <c r="L37" s="11"/>
      <c r="M37" s="11"/>
      <c r="N37" s="11"/>
      <c r="O37" s="12"/>
      <c r="P37" s="11"/>
      <c r="Q37" s="13"/>
      <c r="R37" s="14"/>
    </row>
    <row r="38" spans="1:18" ht="15" customHeight="1" x14ac:dyDescent="0.3">
      <c r="A38" s="19" t="s">
        <v>105</v>
      </c>
      <c r="B38" s="19" t="s">
        <v>378</v>
      </c>
      <c r="C38" s="20">
        <v>0.3298611111111111</v>
      </c>
      <c r="D38" s="19" t="s">
        <v>43</v>
      </c>
      <c r="E38" s="19" t="s">
        <v>49</v>
      </c>
      <c r="F38" s="19" t="s">
        <v>383</v>
      </c>
      <c r="G38" s="196"/>
      <c r="H38" s="10"/>
      <c r="I38" s="11"/>
      <c r="J38" s="11"/>
      <c r="K38" s="11"/>
      <c r="L38" s="11"/>
      <c r="M38" s="11"/>
      <c r="N38" s="11"/>
      <c r="O38" s="12"/>
      <c r="P38" s="11"/>
      <c r="Q38" s="13"/>
      <c r="R38" s="14"/>
    </row>
    <row r="39" spans="1:18" ht="15" customHeight="1" x14ac:dyDescent="0.3">
      <c r="A39" s="17" t="s">
        <v>118</v>
      </c>
      <c r="B39" s="17" t="s">
        <v>403</v>
      </c>
      <c r="C39" s="18">
        <v>0.71180555555555547</v>
      </c>
      <c r="D39" s="17" t="s">
        <v>411</v>
      </c>
      <c r="E39" s="17" t="s">
        <v>29</v>
      </c>
      <c r="F39" s="17" t="s">
        <v>412</v>
      </c>
      <c r="G39" s="196"/>
      <c r="H39" s="10"/>
      <c r="I39" s="11"/>
      <c r="J39" s="11"/>
      <c r="K39" s="11"/>
      <c r="L39" s="11"/>
      <c r="M39" s="11"/>
      <c r="N39" s="11"/>
      <c r="O39" s="12"/>
      <c r="P39" s="11"/>
      <c r="Q39" s="13"/>
      <c r="R39" s="14"/>
    </row>
    <row r="40" spans="1:18" ht="15" customHeight="1" x14ac:dyDescent="0.3">
      <c r="A40" s="19" t="s">
        <v>118</v>
      </c>
      <c r="B40" s="19" t="s">
        <v>403</v>
      </c>
      <c r="C40" s="20">
        <v>0.71180555555555547</v>
      </c>
      <c r="D40" s="19" t="s">
        <v>120</v>
      </c>
      <c r="E40" s="19" t="s">
        <v>63</v>
      </c>
      <c r="F40" s="19" t="s">
        <v>413</v>
      </c>
      <c r="G40" s="196"/>
      <c r="H40" s="10"/>
      <c r="I40" s="11"/>
      <c r="J40" s="11"/>
      <c r="K40" s="11"/>
      <c r="L40" s="11"/>
      <c r="M40" s="11"/>
      <c r="N40" s="11"/>
      <c r="O40" s="12"/>
      <c r="P40" s="11"/>
      <c r="Q40" s="13"/>
      <c r="R40" s="14"/>
    </row>
    <row r="41" spans="1:18" ht="15" customHeight="1" x14ac:dyDescent="0.3">
      <c r="A41" s="19" t="s">
        <v>118</v>
      </c>
      <c r="B41" s="19" t="s">
        <v>403</v>
      </c>
      <c r="C41" s="20">
        <v>0.71180555555555547</v>
      </c>
      <c r="D41" s="19" t="s">
        <v>122</v>
      </c>
      <c r="E41" s="19" t="s">
        <v>63</v>
      </c>
      <c r="F41" s="19" t="s">
        <v>414</v>
      </c>
      <c r="G41" s="196"/>
      <c r="H41" s="10"/>
      <c r="I41" s="11"/>
      <c r="J41" s="11"/>
      <c r="K41" s="11"/>
      <c r="L41" s="11"/>
      <c r="M41" s="11"/>
      <c r="N41" s="11"/>
      <c r="O41" s="12"/>
      <c r="P41" s="11"/>
      <c r="Q41" s="13"/>
      <c r="R41" s="14"/>
    </row>
    <row r="42" spans="1:18" ht="15" customHeight="1" x14ac:dyDescent="0.3">
      <c r="A42" s="17" t="s">
        <v>140</v>
      </c>
      <c r="B42" s="17" t="s">
        <v>398</v>
      </c>
      <c r="C42" s="18">
        <v>0.60416666666666663</v>
      </c>
      <c r="D42" s="17" t="s">
        <v>142</v>
      </c>
      <c r="E42" s="17" t="s">
        <v>113</v>
      </c>
      <c r="F42" s="17" t="s">
        <v>399</v>
      </c>
      <c r="G42" s="196"/>
      <c r="H42" s="10"/>
      <c r="I42" s="11"/>
      <c r="J42" s="11"/>
      <c r="K42" s="11"/>
      <c r="L42" s="11"/>
      <c r="M42" s="11"/>
      <c r="N42" s="11"/>
      <c r="O42" s="12"/>
      <c r="P42" s="11"/>
      <c r="Q42" s="13"/>
      <c r="R42" s="14"/>
    </row>
    <row r="43" spans="1:18" ht="15" customHeight="1" x14ac:dyDescent="0.3">
      <c r="A43" s="111" t="s">
        <v>76</v>
      </c>
      <c r="B43" s="111" t="s">
        <v>415</v>
      </c>
      <c r="C43" s="112">
        <v>0.40972222222222232</v>
      </c>
      <c r="D43" s="111" t="s">
        <v>78</v>
      </c>
      <c r="E43" s="111" t="s">
        <v>416</v>
      </c>
      <c r="F43" s="111" t="s">
        <v>417</v>
      </c>
      <c r="G43" s="196"/>
      <c r="H43" s="50" t="s">
        <v>418</v>
      </c>
      <c r="I43" s="165">
        <v>0.97209999999999996</v>
      </c>
      <c r="J43" s="52">
        <v>174</v>
      </c>
      <c r="K43" s="53">
        <v>45980</v>
      </c>
      <c r="L43" s="52">
        <v>11</v>
      </c>
      <c r="M43" s="52">
        <v>0</v>
      </c>
      <c r="N43" s="52">
        <v>10</v>
      </c>
      <c r="O43" s="54" t="s">
        <v>419</v>
      </c>
      <c r="P43" s="55">
        <v>0.40972222222222232</v>
      </c>
      <c r="Q43" s="52">
        <v>179</v>
      </c>
      <c r="R43" s="56" t="s">
        <v>420</v>
      </c>
    </row>
    <row r="44" spans="1:18" ht="15" customHeight="1" x14ac:dyDescent="0.3">
      <c r="A44" s="113" t="s">
        <v>76</v>
      </c>
      <c r="B44" s="113" t="s">
        <v>396</v>
      </c>
      <c r="C44" s="114">
        <v>0.65625</v>
      </c>
      <c r="D44" s="113" t="s">
        <v>99</v>
      </c>
      <c r="E44" s="166"/>
      <c r="F44" s="113" t="s">
        <v>100</v>
      </c>
      <c r="G44" s="196"/>
      <c r="H44" s="115" t="s">
        <v>396</v>
      </c>
      <c r="I44" s="167">
        <v>1</v>
      </c>
      <c r="J44" s="117">
        <v>179</v>
      </c>
      <c r="K44" s="118">
        <v>45979</v>
      </c>
      <c r="L44" s="117">
        <v>16</v>
      </c>
      <c r="M44" s="117">
        <v>0</v>
      </c>
      <c r="N44" s="117">
        <v>0</v>
      </c>
      <c r="O44" s="119" t="s">
        <v>101</v>
      </c>
      <c r="P44" s="120">
        <v>0.65625</v>
      </c>
      <c r="Q44" s="117">
        <v>179</v>
      </c>
      <c r="R44" s="121" t="s">
        <v>421</v>
      </c>
    </row>
    <row r="45" spans="1:18" ht="15" customHeight="1" x14ac:dyDescent="0.3">
      <c r="A45" s="67" t="s">
        <v>76</v>
      </c>
      <c r="B45" s="67" t="s">
        <v>422</v>
      </c>
      <c r="C45" s="68">
        <v>0.71875</v>
      </c>
      <c r="D45" s="67" t="s">
        <v>99</v>
      </c>
      <c r="E45" s="69"/>
      <c r="F45" s="67" t="s">
        <v>100</v>
      </c>
      <c r="G45" s="196"/>
      <c r="H45" s="70" t="s">
        <v>422</v>
      </c>
      <c r="I45" s="71">
        <v>1</v>
      </c>
      <c r="J45" s="72">
        <v>179</v>
      </c>
      <c r="K45" s="73">
        <v>45980</v>
      </c>
      <c r="L45" s="72">
        <v>12</v>
      </c>
      <c r="M45" s="72">
        <v>0</v>
      </c>
      <c r="N45" s="72">
        <v>2</v>
      </c>
      <c r="O45" s="74" t="s">
        <v>101</v>
      </c>
      <c r="P45" s="75">
        <v>0.71875</v>
      </c>
      <c r="Q45" s="72">
        <v>179</v>
      </c>
      <c r="R45" s="76" t="s">
        <v>423</v>
      </c>
    </row>
    <row r="46" spans="1:18" ht="18" x14ac:dyDescent="0.3">
      <c r="A46" s="204" t="s">
        <v>404</v>
      </c>
      <c r="B46" s="205"/>
      <c r="C46" s="205"/>
      <c r="D46" s="205"/>
      <c r="E46" s="205"/>
      <c r="F46" s="206"/>
      <c r="G46" s="196"/>
      <c r="H46" s="160"/>
      <c r="I46" s="160"/>
      <c r="J46" s="160"/>
      <c r="K46" s="160"/>
      <c r="L46" s="160"/>
      <c r="M46" s="160"/>
      <c r="N46" s="160"/>
      <c r="O46" s="161"/>
      <c r="P46" s="160"/>
      <c r="Q46" s="126"/>
      <c r="R46" s="126"/>
    </row>
    <row r="47" spans="1:18" ht="15" customHeight="1" x14ac:dyDescent="0.3">
      <c r="A47" s="15" t="s">
        <v>35</v>
      </c>
      <c r="B47" s="15" t="s">
        <v>45</v>
      </c>
      <c r="C47" s="16" t="s">
        <v>370</v>
      </c>
      <c r="D47" s="15" t="s">
        <v>37</v>
      </c>
      <c r="E47" s="15" t="s">
        <v>424</v>
      </c>
      <c r="F47" s="15" t="s">
        <v>155</v>
      </c>
      <c r="G47" s="196"/>
      <c r="H47" s="160"/>
      <c r="I47" s="160"/>
      <c r="J47" s="160"/>
      <c r="K47" s="160"/>
      <c r="L47" s="160"/>
      <c r="M47" s="160"/>
      <c r="N47" s="160"/>
      <c r="O47" s="161"/>
      <c r="P47" s="160"/>
      <c r="Q47" s="126"/>
      <c r="R47" s="126"/>
    </row>
    <row r="48" spans="1:18" ht="15" customHeight="1" x14ac:dyDescent="0.3">
      <c r="A48" s="15" t="s">
        <v>35</v>
      </c>
      <c r="B48" s="15" t="s">
        <v>50</v>
      </c>
      <c r="C48" s="16" t="s">
        <v>372</v>
      </c>
      <c r="D48" s="15" t="s">
        <v>37</v>
      </c>
      <c r="E48" s="15" t="s">
        <v>407</v>
      </c>
      <c r="F48" s="15" t="s">
        <v>155</v>
      </c>
      <c r="G48" s="196"/>
      <c r="H48" s="160"/>
      <c r="I48" s="160"/>
      <c r="J48" s="160"/>
      <c r="K48" s="160"/>
      <c r="L48" s="160"/>
      <c r="M48" s="160"/>
      <c r="N48" s="160"/>
      <c r="O48" s="161"/>
      <c r="P48" s="160"/>
      <c r="Q48" s="126"/>
      <c r="R48" s="126"/>
    </row>
    <row r="49" spans="1:18" ht="15" customHeight="1" x14ac:dyDescent="0.3">
      <c r="A49" s="15" t="s">
        <v>26</v>
      </c>
      <c r="B49" s="15" t="s">
        <v>31</v>
      </c>
      <c r="C49" s="16" t="s">
        <v>351</v>
      </c>
      <c r="D49" s="15" t="s">
        <v>28</v>
      </c>
      <c r="E49" s="15" t="s">
        <v>405</v>
      </c>
      <c r="F49" s="15" t="s">
        <v>30</v>
      </c>
      <c r="G49" s="196"/>
      <c r="H49" s="160"/>
      <c r="I49" s="160"/>
      <c r="J49" s="160"/>
      <c r="K49" s="160"/>
      <c r="L49" s="160"/>
      <c r="M49" s="160"/>
      <c r="N49" s="160"/>
      <c r="O49" s="161"/>
      <c r="P49" s="160"/>
      <c r="Q49" s="126"/>
      <c r="R49" s="126"/>
    </row>
    <row r="50" spans="1:18" ht="15" customHeight="1" x14ac:dyDescent="0.3">
      <c r="A50" s="15" t="s">
        <v>26</v>
      </c>
      <c r="B50" s="15" t="s">
        <v>34</v>
      </c>
      <c r="C50" s="16" t="s">
        <v>425</v>
      </c>
      <c r="D50" s="15" t="s">
        <v>28</v>
      </c>
      <c r="E50" s="15" t="s">
        <v>426</v>
      </c>
      <c r="F50" s="15" t="s">
        <v>30</v>
      </c>
      <c r="G50" s="196"/>
      <c r="H50" s="160"/>
      <c r="I50" s="160"/>
      <c r="J50" s="160"/>
      <c r="K50" s="160"/>
      <c r="L50" s="160"/>
      <c r="M50" s="160"/>
      <c r="N50" s="160"/>
      <c r="O50" s="161"/>
      <c r="P50" s="160"/>
      <c r="Q50" s="126"/>
      <c r="R50" s="126"/>
    </row>
    <row r="51" spans="1:18" ht="15" customHeight="1" x14ac:dyDescent="0.3">
      <c r="A51" s="15" t="s">
        <v>51</v>
      </c>
      <c r="B51" s="15" t="s">
        <v>71</v>
      </c>
      <c r="C51" s="16" t="s">
        <v>427</v>
      </c>
      <c r="D51" s="15" t="s">
        <v>53</v>
      </c>
      <c r="E51" s="15" t="s">
        <v>428</v>
      </c>
      <c r="F51" s="15" t="s">
        <v>162</v>
      </c>
      <c r="G51" s="196"/>
      <c r="H51" s="160"/>
      <c r="I51" s="160"/>
      <c r="J51" s="160"/>
      <c r="K51" s="160"/>
      <c r="L51" s="160"/>
      <c r="M51" s="160"/>
      <c r="N51" s="160"/>
      <c r="O51" s="161"/>
      <c r="P51" s="160"/>
      <c r="Q51" s="126"/>
      <c r="R51" s="126"/>
    </row>
    <row r="52" spans="1:18" ht="15" customHeight="1" x14ac:dyDescent="0.3">
      <c r="A52" s="15" t="s">
        <v>51</v>
      </c>
      <c r="B52" s="15" t="s">
        <v>69</v>
      </c>
      <c r="C52" s="16" t="s">
        <v>369</v>
      </c>
      <c r="D52" s="15" t="s">
        <v>53</v>
      </c>
      <c r="E52" s="15" t="s">
        <v>406</v>
      </c>
      <c r="F52" s="15" t="s">
        <v>162</v>
      </c>
      <c r="G52" s="196"/>
      <c r="H52" s="160"/>
      <c r="I52" s="160"/>
      <c r="J52" s="160"/>
      <c r="K52" s="160"/>
      <c r="L52" s="160"/>
      <c r="M52" s="160"/>
      <c r="N52" s="160"/>
      <c r="O52" s="161"/>
      <c r="P52" s="160"/>
      <c r="Q52" s="126"/>
      <c r="R52" s="126"/>
    </row>
    <row r="53" spans="1:18" ht="15" customHeight="1" x14ac:dyDescent="0.3">
      <c r="A53" s="15" t="s">
        <v>35</v>
      </c>
      <c r="B53" s="15" t="s">
        <v>36</v>
      </c>
      <c r="C53" s="16" t="s">
        <v>369</v>
      </c>
      <c r="D53" s="15" t="s">
        <v>37</v>
      </c>
      <c r="E53" s="15" t="s">
        <v>409</v>
      </c>
      <c r="F53" s="15" t="s">
        <v>39</v>
      </c>
      <c r="G53" s="196"/>
      <c r="H53" s="160"/>
      <c r="I53" s="160"/>
      <c r="J53" s="160"/>
      <c r="K53" s="160"/>
      <c r="L53" s="160"/>
      <c r="M53" s="160"/>
      <c r="N53" s="160"/>
      <c r="O53" s="161"/>
      <c r="P53" s="160"/>
      <c r="Q53" s="126"/>
      <c r="R53" s="126"/>
    </row>
    <row r="54" spans="1:18" ht="15" customHeight="1" x14ac:dyDescent="0.3">
      <c r="A54" s="15" t="s">
        <v>35</v>
      </c>
      <c r="B54" s="15" t="s">
        <v>47</v>
      </c>
      <c r="C54" s="16" t="s">
        <v>371</v>
      </c>
      <c r="D54" s="15" t="s">
        <v>37</v>
      </c>
      <c r="E54" s="15" t="s">
        <v>429</v>
      </c>
      <c r="F54" s="15" t="s">
        <v>39</v>
      </c>
      <c r="G54" s="196"/>
      <c r="H54" s="160"/>
      <c r="I54" s="160"/>
      <c r="J54" s="160"/>
      <c r="K54" s="160"/>
      <c r="L54" s="160"/>
      <c r="M54" s="160"/>
      <c r="N54" s="160"/>
      <c r="O54" s="161"/>
      <c r="P54" s="160"/>
      <c r="Q54" s="126"/>
      <c r="R54" s="126"/>
    </row>
    <row r="55" spans="1:18" ht="15" customHeight="1" x14ac:dyDescent="0.3">
      <c r="A55" s="15" t="s">
        <v>51</v>
      </c>
      <c r="B55" s="15" t="s">
        <v>52</v>
      </c>
      <c r="C55" s="16" t="s">
        <v>373</v>
      </c>
      <c r="D55" s="15" t="s">
        <v>53</v>
      </c>
      <c r="E55" s="15" t="s">
        <v>409</v>
      </c>
      <c r="F55" s="15" t="s">
        <v>55</v>
      </c>
      <c r="G55" s="196"/>
      <c r="H55" s="160"/>
      <c r="I55" s="160"/>
      <c r="J55" s="160"/>
      <c r="K55" s="160"/>
      <c r="L55" s="160"/>
      <c r="M55" s="160"/>
      <c r="N55" s="160"/>
      <c r="O55" s="161"/>
      <c r="P55" s="160"/>
      <c r="Q55" s="126"/>
      <c r="R55" s="126"/>
    </row>
    <row r="56" spans="1:18" ht="15" customHeight="1" thickBot="1" x14ac:dyDescent="0.35">
      <c r="A56" s="77" t="s">
        <v>51</v>
      </c>
      <c r="B56" s="77" t="s">
        <v>61</v>
      </c>
      <c r="C56" s="78" t="s">
        <v>374</v>
      </c>
      <c r="D56" s="77" t="s">
        <v>53</v>
      </c>
      <c r="E56" s="77" t="s">
        <v>405</v>
      </c>
      <c r="F56" s="77" t="s">
        <v>55</v>
      </c>
      <c r="G56" s="197"/>
      <c r="H56" s="162"/>
      <c r="I56" s="162"/>
      <c r="J56" s="162"/>
      <c r="K56" s="162"/>
      <c r="L56" s="162"/>
      <c r="M56" s="162"/>
      <c r="N56" s="162"/>
      <c r="O56" s="163"/>
      <c r="P56" s="162"/>
      <c r="Q56" s="164"/>
      <c r="R56" s="164"/>
    </row>
    <row r="57" spans="1:18" ht="17.399999999999999" customHeight="1" thickBot="1" x14ac:dyDescent="0.35">
      <c r="A57" s="221"/>
      <c r="B57" s="222"/>
      <c r="C57" s="222"/>
      <c r="D57" s="222"/>
      <c r="E57" s="222"/>
      <c r="F57" s="222"/>
      <c r="G57" s="222"/>
      <c r="H57" s="222"/>
      <c r="I57" s="222"/>
      <c r="J57" s="222"/>
      <c r="K57" s="222"/>
      <c r="L57" s="222"/>
      <c r="M57" s="222"/>
      <c r="N57" s="222"/>
      <c r="O57" s="222"/>
      <c r="P57" s="222"/>
      <c r="Q57" s="222"/>
      <c r="R57" s="223"/>
    </row>
    <row r="58" spans="1:18" ht="22.05" customHeight="1" thickTop="1" thickBot="1" x14ac:dyDescent="0.35">
      <c r="A58" s="186" t="s">
        <v>6</v>
      </c>
      <c r="B58" s="187"/>
      <c r="C58" s="187"/>
      <c r="D58" s="187"/>
      <c r="E58" s="187"/>
      <c r="F58" s="188"/>
      <c r="G58" s="84">
        <v>45988</v>
      </c>
      <c r="H58" s="198" t="s">
        <v>7</v>
      </c>
      <c r="I58" s="187"/>
      <c r="J58" s="187"/>
      <c r="K58" s="187"/>
      <c r="L58" s="187"/>
      <c r="M58" s="187"/>
      <c r="N58" s="187"/>
      <c r="O58" s="187"/>
      <c r="P58" s="187"/>
      <c r="Q58" s="187"/>
      <c r="R58" s="188"/>
    </row>
    <row r="59" spans="1:18" ht="24" customHeight="1" x14ac:dyDescent="0.3">
      <c r="A59" s="85" t="s">
        <v>8</v>
      </c>
      <c r="B59" s="85" t="s">
        <v>9</v>
      </c>
      <c r="C59" s="86" t="s">
        <v>10</v>
      </c>
      <c r="D59" s="85" t="s">
        <v>11</v>
      </c>
      <c r="E59" s="85" t="s">
        <v>12</v>
      </c>
      <c r="F59" s="87" t="s">
        <v>13</v>
      </c>
      <c r="G59" s="88" t="s">
        <v>14</v>
      </c>
      <c r="H59" s="85" t="s">
        <v>15</v>
      </c>
      <c r="I59" s="89" t="s">
        <v>16</v>
      </c>
      <c r="J59" s="90" t="s">
        <v>17</v>
      </c>
      <c r="K59" s="91" t="s">
        <v>18</v>
      </c>
      <c r="L59" s="90" t="s">
        <v>19</v>
      </c>
      <c r="M59" s="90" t="s">
        <v>20</v>
      </c>
      <c r="N59" s="90" t="s">
        <v>21</v>
      </c>
      <c r="O59" s="85" t="s">
        <v>22</v>
      </c>
      <c r="P59" s="86" t="s">
        <v>23</v>
      </c>
      <c r="Q59" s="90" t="s">
        <v>24</v>
      </c>
      <c r="R59" s="85" t="s">
        <v>25</v>
      </c>
    </row>
    <row r="60" spans="1:18" ht="15" customHeight="1" x14ac:dyDescent="0.3">
      <c r="A60" s="8" t="s">
        <v>105</v>
      </c>
      <c r="B60" s="8" t="s">
        <v>384</v>
      </c>
      <c r="C60" s="9">
        <v>0.52777777777777779</v>
      </c>
      <c r="D60" s="8" t="s">
        <v>379</v>
      </c>
      <c r="E60" s="8" t="s">
        <v>108</v>
      </c>
      <c r="F60" s="8" t="s">
        <v>228</v>
      </c>
      <c r="G60" s="203"/>
      <c r="H60" s="10"/>
      <c r="I60" s="11"/>
      <c r="J60" s="11"/>
      <c r="K60" s="11"/>
      <c r="L60" s="11"/>
      <c r="M60" s="11"/>
      <c r="N60" s="11"/>
      <c r="O60" s="12"/>
      <c r="P60" s="11"/>
      <c r="Q60" s="13"/>
      <c r="R60" s="14"/>
    </row>
    <row r="61" spans="1:18" ht="15" customHeight="1" x14ac:dyDescent="0.3">
      <c r="A61" s="19" t="s">
        <v>105</v>
      </c>
      <c r="B61" s="19" t="s">
        <v>384</v>
      </c>
      <c r="C61" s="20">
        <v>0.52777777777777779</v>
      </c>
      <c r="D61" s="19" t="s">
        <v>381</v>
      </c>
      <c r="E61" s="19" t="s">
        <v>49</v>
      </c>
      <c r="F61" s="19" t="s">
        <v>430</v>
      </c>
      <c r="G61" s="196"/>
      <c r="H61" s="10"/>
      <c r="I61" s="11"/>
      <c r="J61" s="11"/>
      <c r="K61" s="11"/>
      <c r="L61" s="11"/>
      <c r="M61" s="11"/>
      <c r="N61" s="11"/>
      <c r="O61" s="12"/>
      <c r="P61" s="11"/>
      <c r="Q61" s="13"/>
      <c r="R61" s="14"/>
    </row>
    <row r="62" spans="1:18" ht="15" customHeight="1" x14ac:dyDescent="0.3">
      <c r="A62" s="19" t="s">
        <v>105</v>
      </c>
      <c r="B62" s="19" t="s">
        <v>384</v>
      </c>
      <c r="C62" s="20">
        <v>0.52777777777777779</v>
      </c>
      <c r="D62" s="19" t="s">
        <v>43</v>
      </c>
      <c r="E62" s="19" t="s">
        <v>49</v>
      </c>
      <c r="F62" s="19" t="s">
        <v>431</v>
      </c>
      <c r="G62" s="196"/>
      <c r="H62" s="10"/>
      <c r="I62" s="11"/>
      <c r="J62" s="11"/>
      <c r="K62" s="11"/>
      <c r="L62" s="11"/>
      <c r="M62" s="11"/>
      <c r="N62" s="11"/>
      <c r="O62" s="12"/>
      <c r="P62" s="11"/>
      <c r="Q62" s="13"/>
      <c r="R62" s="14"/>
    </row>
    <row r="63" spans="1:18" ht="15" customHeight="1" x14ac:dyDescent="0.3">
      <c r="A63" s="15" t="s">
        <v>105</v>
      </c>
      <c r="B63" s="15" t="s">
        <v>432</v>
      </c>
      <c r="C63" s="16">
        <v>0.79861111111111116</v>
      </c>
      <c r="D63" s="15" t="s">
        <v>379</v>
      </c>
      <c r="E63" s="15" t="s">
        <v>48</v>
      </c>
      <c r="F63" s="15" t="s">
        <v>433</v>
      </c>
      <c r="G63" s="196"/>
      <c r="H63" s="10"/>
      <c r="I63" s="11"/>
      <c r="J63" s="11"/>
      <c r="K63" s="11"/>
      <c r="L63" s="11"/>
      <c r="M63" s="11"/>
      <c r="N63" s="11"/>
      <c r="O63" s="12"/>
      <c r="P63" s="11"/>
      <c r="Q63" s="13"/>
      <c r="R63" s="14"/>
    </row>
    <row r="64" spans="1:18" ht="15" customHeight="1" x14ac:dyDescent="0.3">
      <c r="A64" s="19" t="s">
        <v>105</v>
      </c>
      <c r="B64" s="19" t="s">
        <v>432</v>
      </c>
      <c r="C64" s="20">
        <v>0.79861111111111116</v>
      </c>
      <c r="D64" s="19" t="s">
        <v>381</v>
      </c>
      <c r="E64" s="19" t="s">
        <v>49</v>
      </c>
      <c r="F64" s="19" t="s">
        <v>434</v>
      </c>
      <c r="G64" s="196"/>
      <c r="H64" s="10"/>
      <c r="I64" s="11"/>
      <c r="J64" s="11"/>
      <c r="K64" s="11"/>
      <c r="L64" s="11"/>
      <c r="M64" s="11"/>
      <c r="N64" s="11"/>
      <c r="O64" s="12"/>
      <c r="P64" s="11"/>
      <c r="Q64" s="13"/>
      <c r="R64" s="14"/>
    </row>
    <row r="65" spans="1:18" ht="15" customHeight="1" x14ac:dyDescent="0.3">
      <c r="A65" s="19" t="s">
        <v>105</v>
      </c>
      <c r="B65" s="19" t="s">
        <v>432</v>
      </c>
      <c r="C65" s="20">
        <v>0.79861111111111116</v>
      </c>
      <c r="D65" s="19" t="s">
        <v>43</v>
      </c>
      <c r="E65" s="19" t="s">
        <v>49</v>
      </c>
      <c r="F65" s="19" t="s">
        <v>435</v>
      </c>
      <c r="G65" s="196"/>
      <c r="H65" s="10"/>
      <c r="I65" s="11"/>
      <c r="J65" s="11"/>
      <c r="K65" s="11"/>
      <c r="L65" s="11"/>
      <c r="M65" s="11"/>
      <c r="N65" s="11"/>
      <c r="O65" s="12"/>
      <c r="P65" s="11"/>
      <c r="Q65" s="13"/>
      <c r="R65" s="14"/>
    </row>
    <row r="66" spans="1:18" ht="15" customHeight="1" x14ac:dyDescent="0.3">
      <c r="A66" s="17" t="s">
        <v>118</v>
      </c>
      <c r="B66" s="17" t="s">
        <v>400</v>
      </c>
      <c r="C66" s="18">
        <v>0.34027777777777768</v>
      </c>
      <c r="D66" s="17" t="s">
        <v>411</v>
      </c>
      <c r="E66" s="17" t="s">
        <v>113</v>
      </c>
      <c r="F66" s="17" t="s">
        <v>412</v>
      </c>
      <c r="G66" s="196"/>
      <c r="H66" s="10"/>
      <c r="I66" s="11"/>
      <c r="J66" s="11"/>
      <c r="K66" s="11"/>
      <c r="L66" s="11"/>
      <c r="M66" s="11"/>
      <c r="N66" s="11"/>
      <c r="O66" s="12"/>
      <c r="P66" s="11"/>
      <c r="Q66" s="13"/>
      <c r="R66" s="14"/>
    </row>
    <row r="67" spans="1:18" ht="15" customHeight="1" x14ac:dyDescent="0.3">
      <c r="A67" s="19" t="s">
        <v>118</v>
      </c>
      <c r="B67" s="19" t="s">
        <v>400</v>
      </c>
      <c r="C67" s="20">
        <v>0.34027777777777768</v>
      </c>
      <c r="D67" s="19" t="s">
        <v>120</v>
      </c>
      <c r="E67" s="19" t="s">
        <v>126</v>
      </c>
      <c r="F67" s="19" t="s">
        <v>413</v>
      </c>
      <c r="G67" s="196"/>
      <c r="H67" s="10"/>
      <c r="I67" s="11"/>
      <c r="J67" s="11"/>
      <c r="K67" s="11"/>
      <c r="L67" s="11"/>
      <c r="M67" s="11"/>
      <c r="N67" s="11"/>
      <c r="O67" s="12"/>
      <c r="P67" s="11"/>
      <c r="Q67" s="13"/>
      <c r="R67" s="14"/>
    </row>
    <row r="68" spans="1:18" ht="15" customHeight="1" x14ac:dyDescent="0.3">
      <c r="A68" s="19" t="s">
        <v>118</v>
      </c>
      <c r="B68" s="19" t="s">
        <v>400</v>
      </c>
      <c r="C68" s="20">
        <v>0.34027777777777768</v>
      </c>
      <c r="D68" s="19" t="s">
        <v>122</v>
      </c>
      <c r="E68" s="19" t="s">
        <v>126</v>
      </c>
      <c r="F68" s="19" t="s">
        <v>414</v>
      </c>
      <c r="G68" s="196"/>
      <c r="H68" s="10"/>
      <c r="I68" s="11"/>
      <c r="J68" s="11"/>
      <c r="K68" s="11"/>
      <c r="L68" s="11"/>
      <c r="M68" s="11"/>
      <c r="N68" s="11"/>
      <c r="O68" s="12"/>
      <c r="P68" s="11"/>
      <c r="Q68" s="13"/>
      <c r="R68" s="14"/>
    </row>
    <row r="69" spans="1:18" ht="15" customHeight="1" x14ac:dyDescent="0.3">
      <c r="A69" s="168" t="s">
        <v>76</v>
      </c>
      <c r="B69" s="168" t="s">
        <v>394</v>
      </c>
      <c r="C69" s="169">
        <v>0.27430555555555552</v>
      </c>
      <c r="D69" s="168" t="s">
        <v>78</v>
      </c>
      <c r="E69" s="168" t="s">
        <v>54</v>
      </c>
      <c r="F69" s="168" t="s">
        <v>395</v>
      </c>
      <c r="G69" s="196"/>
      <c r="H69" s="60" t="s">
        <v>396</v>
      </c>
      <c r="I69" s="61">
        <v>0.96650000000000003</v>
      </c>
      <c r="J69" s="62">
        <v>173</v>
      </c>
      <c r="K69" s="63">
        <v>45971</v>
      </c>
      <c r="L69" s="62">
        <v>0</v>
      </c>
      <c r="M69" s="62">
        <v>0</v>
      </c>
      <c r="N69" s="62">
        <v>0</v>
      </c>
      <c r="O69" s="64" t="s">
        <v>436</v>
      </c>
      <c r="P69" s="65">
        <v>0.27430555555555552</v>
      </c>
      <c r="Q69" s="62">
        <v>179</v>
      </c>
      <c r="R69" s="66" t="s">
        <v>437</v>
      </c>
    </row>
    <row r="70" spans="1:18" ht="18" x14ac:dyDescent="0.3">
      <c r="A70" s="204" t="s">
        <v>404</v>
      </c>
      <c r="B70" s="205"/>
      <c r="C70" s="205"/>
      <c r="D70" s="205"/>
      <c r="E70" s="205"/>
      <c r="F70" s="206"/>
      <c r="G70" s="196"/>
      <c r="H70" s="160"/>
      <c r="I70" s="160"/>
      <c r="J70" s="160"/>
      <c r="K70" s="160"/>
      <c r="L70" s="160"/>
      <c r="M70" s="160"/>
      <c r="N70" s="160"/>
      <c r="O70" s="161"/>
      <c r="P70" s="160"/>
      <c r="Q70" s="126"/>
      <c r="R70" s="126"/>
    </row>
    <row r="71" spans="1:18" ht="15" customHeight="1" x14ac:dyDescent="0.3">
      <c r="A71" s="15" t="s">
        <v>35</v>
      </c>
      <c r="B71" s="15" t="s">
        <v>45</v>
      </c>
      <c r="C71" s="16" t="s">
        <v>370</v>
      </c>
      <c r="D71" s="15" t="s">
        <v>37</v>
      </c>
      <c r="E71" s="15" t="s">
        <v>409</v>
      </c>
      <c r="F71" s="15" t="s">
        <v>185</v>
      </c>
      <c r="G71" s="196"/>
      <c r="H71" s="160"/>
      <c r="I71" s="160"/>
      <c r="J71" s="160"/>
      <c r="K71" s="160"/>
      <c r="L71" s="160"/>
      <c r="M71" s="160"/>
      <c r="N71" s="160"/>
      <c r="O71" s="161"/>
      <c r="P71" s="160"/>
      <c r="Q71" s="126"/>
      <c r="R71" s="126"/>
    </row>
    <row r="72" spans="1:18" ht="15" customHeight="1" x14ac:dyDescent="0.3">
      <c r="A72" s="15" t="s">
        <v>35</v>
      </c>
      <c r="B72" s="15" t="s">
        <v>36</v>
      </c>
      <c r="C72" s="16" t="s">
        <v>369</v>
      </c>
      <c r="D72" s="15" t="s">
        <v>37</v>
      </c>
      <c r="E72" s="15" t="s">
        <v>409</v>
      </c>
      <c r="F72" s="15" t="s">
        <v>155</v>
      </c>
      <c r="G72" s="196"/>
      <c r="H72" s="160"/>
      <c r="I72" s="160"/>
      <c r="J72" s="160"/>
      <c r="K72" s="160"/>
      <c r="L72" s="160"/>
      <c r="M72" s="160"/>
      <c r="N72" s="160"/>
      <c r="O72" s="161"/>
      <c r="P72" s="160"/>
      <c r="Q72" s="126"/>
      <c r="R72" s="126"/>
    </row>
    <row r="73" spans="1:18" ht="15" customHeight="1" x14ac:dyDescent="0.3">
      <c r="A73" s="15" t="s">
        <v>35</v>
      </c>
      <c r="B73" s="15" t="s">
        <v>47</v>
      </c>
      <c r="C73" s="16" t="s">
        <v>371</v>
      </c>
      <c r="D73" s="15" t="s">
        <v>37</v>
      </c>
      <c r="E73" s="15" t="s">
        <v>408</v>
      </c>
      <c r="F73" s="15" t="s">
        <v>155</v>
      </c>
      <c r="G73" s="196"/>
      <c r="H73" s="160"/>
      <c r="I73" s="160"/>
      <c r="J73" s="160"/>
      <c r="K73" s="160"/>
      <c r="L73" s="160"/>
      <c r="M73" s="160"/>
      <c r="N73" s="160"/>
      <c r="O73" s="161"/>
      <c r="P73" s="160"/>
      <c r="Q73" s="126"/>
      <c r="R73" s="126"/>
    </row>
    <row r="74" spans="1:18" ht="15" customHeight="1" x14ac:dyDescent="0.3">
      <c r="A74" s="15" t="s">
        <v>35</v>
      </c>
      <c r="B74" s="15" t="s">
        <v>50</v>
      </c>
      <c r="C74" s="16" t="s">
        <v>372</v>
      </c>
      <c r="D74" s="15" t="s">
        <v>37</v>
      </c>
      <c r="E74" s="15" t="s">
        <v>429</v>
      </c>
      <c r="F74" s="15" t="s">
        <v>155</v>
      </c>
      <c r="G74" s="196"/>
      <c r="H74" s="160"/>
      <c r="I74" s="160"/>
      <c r="J74" s="160"/>
      <c r="K74" s="160"/>
      <c r="L74" s="160"/>
      <c r="M74" s="160"/>
      <c r="N74" s="160"/>
      <c r="O74" s="161"/>
      <c r="P74" s="160"/>
      <c r="Q74" s="126"/>
      <c r="R74" s="126"/>
    </row>
    <row r="75" spans="1:18" ht="15" customHeight="1" x14ac:dyDescent="0.3">
      <c r="A75" s="15" t="s">
        <v>111</v>
      </c>
      <c r="B75" s="15" t="s">
        <v>112</v>
      </c>
      <c r="C75" s="16" t="s">
        <v>438</v>
      </c>
      <c r="D75" s="15" t="s">
        <v>28</v>
      </c>
      <c r="E75" s="15" t="s">
        <v>439</v>
      </c>
      <c r="F75" s="15" t="s">
        <v>186</v>
      </c>
      <c r="G75" s="196"/>
      <c r="H75" s="160"/>
      <c r="I75" s="160"/>
      <c r="J75" s="160"/>
      <c r="K75" s="160"/>
      <c r="L75" s="160"/>
      <c r="M75" s="160"/>
      <c r="N75" s="160"/>
      <c r="O75" s="161"/>
      <c r="P75" s="160"/>
      <c r="Q75" s="126"/>
      <c r="R75" s="126"/>
    </row>
    <row r="76" spans="1:18" ht="15" customHeight="1" x14ac:dyDescent="0.3">
      <c r="A76" s="15" t="s">
        <v>111</v>
      </c>
      <c r="B76" s="15" t="s">
        <v>115</v>
      </c>
      <c r="C76" s="16" t="s">
        <v>440</v>
      </c>
      <c r="D76" s="15" t="s">
        <v>28</v>
      </c>
      <c r="E76" s="15" t="s">
        <v>439</v>
      </c>
      <c r="F76" s="15" t="s">
        <v>186</v>
      </c>
      <c r="G76" s="196"/>
      <c r="H76" s="160"/>
      <c r="I76" s="160"/>
      <c r="J76" s="160"/>
      <c r="K76" s="160"/>
      <c r="L76" s="160"/>
      <c r="M76" s="160"/>
      <c r="N76" s="160"/>
      <c r="O76" s="161"/>
      <c r="P76" s="160"/>
      <c r="Q76" s="126"/>
      <c r="R76" s="126"/>
    </row>
    <row r="77" spans="1:18" ht="15" customHeight="1" x14ac:dyDescent="0.3">
      <c r="A77" s="15" t="s">
        <v>76</v>
      </c>
      <c r="B77" s="15" t="s">
        <v>187</v>
      </c>
      <c r="C77" s="16" t="s">
        <v>318</v>
      </c>
      <c r="D77" s="15" t="s">
        <v>78</v>
      </c>
      <c r="E77" s="15" t="s">
        <v>405</v>
      </c>
      <c r="F77" s="15" t="s">
        <v>30</v>
      </c>
      <c r="G77" s="196"/>
      <c r="H77" s="160"/>
      <c r="I77" s="160"/>
      <c r="J77" s="160"/>
      <c r="K77" s="160"/>
      <c r="L77" s="160"/>
      <c r="M77" s="160"/>
      <c r="N77" s="160"/>
      <c r="O77" s="161"/>
      <c r="P77" s="160"/>
      <c r="Q77" s="126"/>
      <c r="R77" s="126"/>
    </row>
    <row r="78" spans="1:18" ht="15" customHeight="1" x14ac:dyDescent="0.3">
      <c r="A78" s="15" t="s">
        <v>51</v>
      </c>
      <c r="B78" s="15" t="s">
        <v>52</v>
      </c>
      <c r="C78" s="16" t="s">
        <v>373</v>
      </c>
      <c r="D78" s="15" t="s">
        <v>53</v>
      </c>
      <c r="E78" s="15" t="s">
        <v>405</v>
      </c>
      <c r="F78" s="15" t="s">
        <v>162</v>
      </c>
      <c r="G78" s="196"/>
      <c r="H78" s="160"/>
      <c r="I78" s="160"/>
      <c r="J78" s="160"/>
      <c r="K78" s="160"/>
      <c r="L78" s="160"/>
      <c r="M78" s="160"/>
      <c r="N78" s="160"/>
      <c r="O78" s="161"/>
      <c r="P78" s="160"/>
      <c r="Q78" s="126"/>
      <c r="R78" s="126"/>
    </row>
    <row r="79" spans="1:18" ht="15" customHeight="1" x14ac:dyDescent="0.3">
      <c r="A79" s="15" t="s">
        <v>51</v>
      </c>
      <c r="B79" s="15" t="s">
        <v>61</v>
      </c>
      <c r="C79" s="16" t="s">
        <v>441</v>
      </c>
      <c r="D79" s="15" t="s">
        <v>53</v>
      </c>
      <c r="E79" s="15" t="s">
        <v>408</v>
      </c>
      <c r="F79" s="15" t="s">
        <v>162</v>
      </c>
      <c r="G79" s="196"/>
      <c r="H79" s="160"/>
      <c r="I79" s="160"/>
      <c r="J79" s="160"/>
      <c r="K79" s="160"/>
      <c r="L79" s="160"/>
      <c r="M79" s="160"/>
      <c r="N79" s="160"/>
      <c r="O79" s="161"/>
      <c r="P79" s="160"/>
      <c r="Q79" s="126"/>
      <c r="R79" s="126"/>
    </row>
    <row r="80" spans="1:18" ht="15" customHeight="1" thickBot="1" x14ac:dyDescent="0.35">
      <c r="A80" s="77" t="s">
        <v>51</v>
      </c>
      <c r="B80" s="77" t="s">
        <v>64</v>
      </c>
      <c r="C80" s="78" t="s">
        <v>301</v>
      </c>
      <c r="D80" s="77" t="s">
        <v>53</v>
      </c>
      <c r="E80" s="77" t="s">
        <v>408</v>
      </c>
      <c r="F80" s="77" t="s">
        <v>162</v>
      </c>
      <c r="G80" s="197"/>
      <c r="H80" s="162"/>
      <c r="I80" s="162"/>
      <c r="J80" s="162"/>
      <c r="K80" s="162"/>
      <c r="L80" s="162"/>
      <c r="M80" s="162"/>
      <c r="N80" s="162"/>
      <c r="O80" s="163"/>
      <c r="P80" s="162"/>
      <c r="Q80" s="164"/>
      <c r="R80" s="164"/>
    </row>
    <row r="81" spans="1:18" ht="17.399999999999999" customHeight="1" thickBot="1" x14ac:dyDescent="0.35">
      <c r="A81" s="221"/>
      <c r="B81" s="222"/>
      <c r="C81" s="222"/>
      <c r="D81" s="222"/>
      <c r="E81" s="222"/>
      <c r="F81" s="222"/>
      <c r="G81" s="222"/>
      <c r="H81" s="222"/>
      <c r="I81" s="222"/>
      <c r="J81" s="222"/>
      <c r="K81" s="222"/>
      <c r="L81" s="222"/>
      <c r="M81" s="222"/>
      <c r="N81" s="222"/>
      <c r="O81" s="222"/>
      <c r="P81" s="222"/>
      <c r="Q81" s="222"/>
      <c r="R81" s="223"/>
    </row>
    <row r="82" spans="1:18" ht="22.05" customHeight="1" thickTop="1" thickBot="1" x14ac:dyDescent="0.35">
      <c r="A82" s="186" t="s">
        <v>6</v>
      </c>
      <c r="B82" s="187"/>
      <c r="C82" s="187"/>
      <c r="D82" s="187"/>
      <c r="E82" s="187"/>
      <c r="F82" s="188"/>
      <c r="G82" s="84">
        <v>45989</v>
      </c>
      <c r="H82" s="198" t="s">
        <v>7</v>
      </c>
      <c r="I82" s="187"/>
      <c r="J82" s="187"/>
      <c r="K82" s="187"/>
      <c r="L82" s="187"/>
      <c r="M82" s="187"/>
      <c r="N82" s="187"/>
      <c r="O82" s="187"/>
      <c r="P82" s="187"/>
      <c r="Q82" s="187"/>
      <c r="R82" s="188"/>
    </row>
    <row r="83" spans="1:18" ht="24" customHeight="1" x14ac:dyDescent="0.3">
      <c r="A83" s="85" t="s">
        <v>8</v>
      </c>
      <c r="B83" s="85" t="s">
        <v>9</v>
      </c>
      <c r="C83" s="86" t="s">
        <v>10</v>
      </c>
      <c r="D83" s="85" t="s">
        <v>11</v>
      </c>
      <c r="E83" s="85" t="s">
        <v>12</v>
      </c>
      <c r="F83" s="87" t="s">
        <v>13</v>
      </c>
      <c r="G83" s="88" t="s">
        <v>14</v>
      </c>
      <c r="H83" s="85" t="s">
        <v>15</v>
      </c>
      <c r="I83" s="89" t="s">
        <v>16</v>
      </c>
      <c r="J83" s="90" t="s">
        <v>17</v>
      </c>
      <c r="K83" s="91" t="s">
        <v>18</v>
      </c>
      <c r="L83" s="90" t="s">
        <v>19</v>
      </c>
      <c r="M83" s="90" t="s">
        <v>20</v>
      </c>
      <c r="N83" s="90" t="s">
        <v>21</v>
      </c>
      <c r="O83" s="85" t="s">
        <v>22</v>
      </c>
      <c r="P83" s="86" t="s">
        <v>23</v>
      </c>
      <c r="Q83" s="90" t="s">
        <v>24</v>
      </c>
      <c r="R83" s="85" t="s">
        <v>25</v>
      </c>
    </row>
    <row r="84" spans="1:18" ht="15" customHeight="1" x14ac:dyDescent="0.3">
      <c r="A84" s="8" t="s">
        <v>105</v>
      </c>
      <c r="B84" s="8" t="s">
        <v>378</v>
      </c>
      <c r="C84" s="9">
        <v>0.1875</v>
      </c>
      <c r="D84" s="8" t="s">
        <v>379</v>
      </c>
      <c r="E84" s="8" t="s">
        <v>108</v>
      </c>
      <c r="F84" s="8" t="s">
        <v>442</v>
      </c>
      <c r="G84" s="195"/>
      <c r="H84" s="10"/>
      <c r="I84" s="11"/>
      <c r="J84" s="11"/>
      <c r="K84" s="11"/>
      <c r="L84" s="11"/>
      <c r="M84" s="11"/>
      <c r="N84" s="11"/>
      <c r="O84" s="12"/>
      <c r="P84" s="11"/>
      <c r="Q84" s="13"/>
      <c r="R84" s="14"/>
    </row>
    <row r="85" spans="1:18" ht="15" customHeight="1" x14ac:dyDescent="0.3">
      <c r="A85" s="19" t="s">
        <v>105</v>
      </c>
      <c r="B85" s="19" t="s">
        <v>378</v>
      </c>
      <c r="C85" s="20">
        <v>0.1875</v>
      </c>
      <c r="D85" s="19" t="s">
        <v>381</v>
      </c>
      <c r="E85" s="19" t="s">
        <v>49</v>
      </c>
      <c r="F85" s="19" t="s">
        <v>164</v>
      </c>
      <c r="G85" s="196"/>
      <c r="H85" s="10"/>
      <c r="I85" s="11"/>
      <c r="J85" s="11"/>
      <c r="K85" s="11"/>
      <c r="L85" s="11"/>
      <c r="M85" s="11"/>
      <c r="N85" s="11"/>
      <c r="O85" s="12"/>
      <c r="P85" s="11"/>
      <c r="Q85" s="13"/>
      <c r="R85" s="14"/>
    </row>
    <row r="86" spans="1:18" ht="15" customHeight="1" x14ac:dyDescent="0.3">
      <c r="A86" s="19" t="s">
        <v>105</v>
      </c>
      <c r="B86" s="19" t="s">
        <v>378</v>
      </c>
      <c r="C86" s="20">
        <v>0.1875</v>
      </c>
      <c r="D86" s="19" t="s">
        <v>43</v>
      </c>
      <c r="E86" s="19" t="s">
        <v>49</v>
      </c>
      <c r="F86" s="19" t="s">
        <v>443</v>
      </c>
      <c r="G86" s="196"/>
      <c r="H86" s="10"/>
      <c r="I86" s="11"/>
      <c r="J86" s="11"/>
      <c r="K86" s="11"/>
      <c r="L86" s="11"/>
      <c r="M86" s="11"/>
      <c r="N86" s="11"/>
      <c r="O86" s="12"/>
      <c r="P86" s="11"/>
      <c r="Q86" s="13"/>
      <c r="R86" s="14"/>
    </row>
    <row r="87" spans="1:18" ht="15" customHeight="1" x14ac:dyDescent="0.3">
      <c r="A87" s="168" t="s">
        <v>76</v>
      </c>
      <c r="B87" s="168" t="s">
        <v>394</v>
      </c>
      <c r="C87" s="169">
        <v>0.41666666666666669</v>
      </c>
      <c r="D87" s="168" t="s">
        <v>78</v>
      </c>
      <c r="E87" s="168" t="s">
        <v>208</v>
      </c>
      <c r="F87" s="168" t="s">
        <v>444</v>
      </c>
      <c r="G87" s="196"/>
      <c r="H87" s="60" t="s">
        <v>396</v>
      </c>
      <c r="I87" s="123">
        <v>0.38690000000000002</v>
      </c>
      <c r="J87" s="62">
        <v>65</v>
      </c>
      <c r="K87" s="63">
        <v>45980</v>
      </c>
      <c r="L87" s="62">
        <v>39</v>
      </c>
      <c r="M87" s="62">
        <v>0</v>
      </c>
      <c r="N87" s="62">
        <v>12</v>
      </c>
      <c r="O87" s="64" t="s">
        <v>445</v>
      </c>
      <c r="P87" s="65">
        <v>0.41666666666666669</v>
      </c>
      <c r="Q87" s="62">
        <v>168</v>
      </c>
      <c r="R87" s="66" t="s">
        <v>446</v>
      </c>
    </row>
    <row r="88" spans="1:18" ht="15" customHeight="1" x14ac:dyDescent="0.3">
      <c r="A88" s="17" t="s">
        <v>118</v>
      </c>
      <c r="B88" s="17" t="s">
        <v>403</v>
      </c>
      <c r="C88" s="18">
        <v>0.71180555555555547</v>
      </c>
      <c r="D88" s="17" t="s">
        <v>120</v>
      </c>
      <c r="E88" s="17" t="s">
        <v>447</v>
      </c>
      <c r="F88" s="17" t="s">
        <v>401</v>
      </c>
      <c r="G88" s="196"/>
      <c r="H88" s="10"/>
      <c r="I88" s="11"/>
      <c r="J88" s="11"/>
      <c r="K88" s="11"/>
      <c r="L88" s="11"/>
      <c r="M88" s="11"/>
      <c r="N88" s="11"/>
      <c r="O88" s="12"/>
      <c r="P88" s="11"/>
      <c r="Q88" s="13"/>
      <c r="R88" s="14"/>
    </row>
    <row r="89" spans="1:18" ht="15" customHeight="1" x14ac:dyDescent="0.3">
      <c r="A89" s="19" t="s">
        <v>118</v>
      </c>
      <c r="B89" s="19" t="s">
        <v>403</v>
      </c>
      <c r="C89" s="20">
        <v>0.71180555555555547</v>
      </c>
      <c r="D89" s="19" t="s">
        <v>122</v>
      </c>
      <c r="E89" s="19" t="s">
        <v>205</v>
      </c>
      <c r="F89" s="19" t="s">
        <v>402</v>
      </c>
      <c r="G89" s="196"/>
      <c r="H89" s="10"/>
      <c r="I89" s="11"/>
      <c r="J89" s="11"/>
      <c r="K89" s="11"/>
      <c r="L89" s="11"/>
      <c r="M89" s="11"/>
      <c r="N89" s="11"/>
      <c r="O89" s="12"/>
      <c r="P89" s="11"/>
      <c r="Q89" s="13"/>
      <c r="R89" s="14"/>
    </row>
    <row r="90" spans="1:18" ht="18" x14ac:dyDescent="0.3">
      <c r="A90" s="204" t="s">
        <v>404</v>
      </c>
      <c r="B90" s="205"/>
      <c r="C90" s="205"/>
      <c r="D90" s="205"/>
      <c r="E90" s="205"/>
      <c r="F90" s="206"/>
      <c r="G90" s="196"/>
      <c r="H90" s="160"/>
      <c r="I90" s="160"/>
      <c r="J90" s="160"/>
      <c r="K90" s="160"/>
      <c r="L90" s="160"/>
      <c r="M90" s="160"/>
      <c r="N90" s="160"/>
      <c r="O90" s="161"/>
      <c r="P90" s="160"/>
      <c r="Q90" s="126"/>
      <c r="R90" s="126"/>
    </row>
    <row r="91" spans="1:18" ht="15" customHeight="1" x14ac:dyDescent="0.3">
      <c r="A91" s="15" t="s">
        <v>35</v>
      </c>
      <c r="B91" s="15" t="s">
        <v>36</v>
      </c>
      <c r="C91" s="16" t="s">
        <v>369</v>
      </c>
      <c r="D91" s="15" t="s">
        <v>37</v>
      </c>
      <c r="E91" s="15" t="s">
        <v>428</v>
      </c>
      <c r="F91" s="15" t="s">
        <v>185</v>
      </c>
      <c r="G91" s="196"/>
      <c r="H91" s="160"/>
      <c r="I91" s="160"/>
      <c r="J91" s="160"/>
      <c r="K91" s="160"/>
      <c r="L91" s="160"/>
      <c r="M91" s="160"/>
      <c r="N91" s="160"/>
      <c r="O91" s="161"/>
      <c r="P91" s="160"/>
      <c r="Q91" s="126"/>
      <c r="R91" s="126"/>
    </row>
    <row r="92" spans="1:18" ht="15" customHeight="1" x14ac:dyDescent="0.3">
      <c r="A92" s="15" t="s">
        <v>35</v>
      </c>
      <c r="B92" s="15" t="s">
        <v>45</v>
      </c>
      <c r="C92" s="16" t="s">
        <v>370</v>
      </c>
      <c r="D92" s="15" t="s">
        <v>37</v>
      </c>
      <c r="E92" s="15" t="s">
        <v>410</v>
      </c>
      <c r="F92" s="15" t="s">
        <v>185</v>
      </c>
      <c r="G92" s="196"/>
      <c r="H92" s="160"/>
      <c r="I92" s="160"/>
      <c r="J92" s="160"/>
      <c r="K92" s="160"/>
      <c r="L92" s="160"/>
      <c r="M92" s="160"/>
      <c r="N92" s="160"/>
      <c r="O92" s="161"/>
      <c r="P92" s="160"/>
      <c r="Q92" s="126"/>
      <c r="R92" s="126"/>
    </row>
    <row r="93" spans="1:18" ht="15" customHeight="1" x14ac:dyDescent="0.3">
      <c r="A93" s="15" t="s">
        <v>35</v>
      </c>
      <c r="B93" s="15" t="s">
        <v>47</v>
      </c>
      <c r="C93" s="16" t="s">
        <v>371</v>
      </c>
      <c r="D93" s="15" t="s">
        <v>37</v>
      </c>
      <c r="E93" s="15" t="s">
        <v>426</v>
      </c>
      <c r="F93" s="15" t="s">
        <v>155</v>
      </c>
      <c r="G93" s="196"/>
      <c r="H93" s="160"/>
      <c r="I93" s="160"/>
      <c r="J93" s="160"/>
      <c r="K93" s="160"/>
      <c r="L93" s="160"/>
      <c r="M93" s="160"/>
      <c r="N93" s="160"/>
      <c r="O93" s="161"/>
      <c r="P93" s="160"/>
      <c r="Q93" s="126"/>
      <c r="R93" s="126"/>
    </row>
    <row r="94" spans="1:18" ht="15" customHeight="1" x14ac:dyDescent="0.3">
      <c r="A94" s="15" t="s">
        <v>35</v>
      </c>
      <c r="B94" s="15" t="s">
        <v>50</v>
      </c>
      <c r="C94" s="16" t="s">
        <v>372</v>
      </c>
      <c r="D94" s="15" t="s">
        <v>37</v>
      </c>
      <c r="E94" s="15" t="s">
        <v>429</v>
      </c>
      <c r="F94" s="15" t="s">
        <v>155</v>
      </c>
      <c r="G94" s="196"/>
      <c r="H94" s="160"/>
      <c r="I94" s="160"/>
      <c r="J94" s="160"/>
      <c r="K94" s="160"/>
      <c r="L94" s="160"/>
      <c r="M94" s="160"/>
      <c r="N94" s="160"/>
      <c r="O94" s="161"/>
      <c r="P94" s="160"/>
      <c r="Q94" s="126"/>
      <c r="R94" s="126"/>
    </row>
    <row r="95" spans="1:18" ht="15" customHeight="1" x14ac:dyDescent="0.3">
      <c r="A95" s="15" t="s">
        <v>51</v>
      </c>
      <c r="B95" s="15" t="s">
        <v>52</v>
      </c>
      <c r="C95" s="16" t="s">
        <v>373</v>
      </c>
      <c r="D95" s="15" t="s">
        <v>53</v>
      </c>
      <c r="E95" s="15" t="s">
        <v>405</v>
      </c>
      <c r="F95" s="15" t="s">
        <v>162</v>
      </c>
      <c r="G95" s="196"/>
      <c r="H95" s="160"/>
      <c r="I95" s="160"/>
      <c r="J95" s="160"/>
      <c r="K95" s="160"/>
      <c r="L95" s="160"/>
      <c r="M95" s="160"/>
      <c r="N95" s="160"/>
      <c r="O95" s="161"/>
      <c r="P95" s="160"/>
      <c r="Q95" s="126"/>
      <c r="R95" s="126"/>
    </row>
    <row r="96" spans="1:18" ht="15" customHeight="1" x14ac:dyDescent="0.3">
      <c r="A96" s="15" t="s">
        <v>51</v>
      </c>
      <c r="B96" s="15" t="s">
        <v>64</v>
      </c>
      <c r="C96" s="16" t="s">
        <v>301</v>
      </c>
      <c r="D96" s="15" t="s">
        <v>53</v>
      </c>
      <c r="E96" s="15" t="s">
        <v>406</v>
      </c>
      <c r="F96" s="15" t="s">
        <v>162</v>
      </c>
      <c r="G96" s="196"/>
      <c r="H96" s="160"/>
      <c r="I96" s="160"/>
      <c r="J96" s="160"/>
      <c r="K96" s="160"/>
      <c r="L96" s="160"/>
      <c r="M96" s="160"/>
      <c r="N96" s="160"/>
      <c r="O96" s="161"/>
      <c r="P96" s="160"/>
      <c r="Q96" s="126"/>
      <c r="R96" s="126"/>
    </row>
    <row r="97" spans="1:18" ht="15" customHeight="1" x14ac:dyDescent="0.3">
      <c r="A97" s="15" t="s">
        <v>51</v>
      </c>
      <c r="B97" s="15" t="s">
        <v>75</v>
      </c>
      <c r="C97" s="16" t="s">
        <v>448</v>
      </c>
      <c r="D97" s="15" t="s">
        <v>53</v>
      </c>
      <c r="E97" s="15" t="s">
        <v>406</v>
      </c>
      <c r="F97" s="15" t="s">
        <v>162</v>
      </c>
      <c r="G97" s="196"/>
      <c r="H97" s="160"/>
      <c r="I97" s="160"/>
      <c r="J97" s="160"/>
      <c r="K97" s="160"/>
      <c r="L97" s="160"/>
      <c r="M97" s="160"/>
      <c r="N97" s="160"/>
      <c r="O97" s="161"/>
      <c r="P97" s="160"/>
      <c r="Q97" s="126"/>
      <c r="R97" s="126"/>
    </row>
    <row r="98" spans="1:18" ht="15" customHeight="1" x14ac:dyDescent="0.3">
      <c r="A98" s="15" t="s">
        <v>51</v>
      </c>
      <c r="B98" s="15" t="s">
        <v>70</v>
      </c>
      <c r="C98" s="16" t="s">
        <v>376</v>
      </c>
      <c r="D98" s="15" t="s">
        <v>53</v>
      </c>
      <c r="E98" s="15" t="s">
        <v>405</v>
      </c>
      <c r="F98" s="15" t="s">
        <v>162</v>
      </c>
      <c r="G98" s="196"/>
      <c r="H98" s="160"/>
      <c r="I98" s="160"/>
      <c r="J98" s="160"/>
      <c r="K98" s="160"/>
      <c r="L98" s="160"/>
      <c r="M98" s="160"/>
      <c r="N98" s="160"/>
      <c r="O98" s="161"/>
      <c r="P98" s="160"/>
      <c r="Q98" s="126"/>
      <c r="R98" s="126"/>
    </row>
    <row r="99" spans="1:18" ht="15" customHeight="1" x14ac:dyDescent="0.3">
      <c r="A99" s="15" t="s">
        <v>76</v>
      </c>
      <c r="B99" s="15" t="s">
        <v>77</v>
      </c>
      <c r="C99" s="16" t="s">
        <v>339</v>
      </c>
      <c r="D99" s="15" t="s">
        <v>78</v>
      </c>
      <c r="E99" s="15" t="s">
        <v>405</v>
      </c>
      <c r="F99" s="15" t="s">
        <v>192</v>
      </c>
      <c r="G99" s="196"/>
      <c r="H99" s="160"/>
      <c r="I99" s="160"/>
      <c r="J99" s="160"/>
      <c r="K99" s="160"/>
      <c r="L99" s="160"/>
      <c r="M99" s="160"/>
      <c r="N99" s="160"/>
      <c r="O99" s="161"/>
      <c r="P99" s="160"/>
      <c r="Q99" s="126"/>
      <c r="R99" s="126"/>
    </row>
    <row r="100" spans="1:18" ht="15" customHeight="1" thickBot="1" x14ac:dyDescent="0.35">
      <c r="A100" s="77" t="s">
        <v>76</v>
      </c>
      <c r="B100" s="77" t="s">
        <v>93</v>
      </c>
      <c r="C100" s="78" t="s">
        <v>341</v>
      </c>
      <c r="D100" s="77" t="s">
        <v>78</v>
      </c>
      <c r="E100" s="77" t="s">
        <v>439</v>
      </c>
      <c r="F100" s="77" t="s">
        <v>192</v>
      </c>
      <c r="G100" s="197"/>
      <c r="H100" s="162"/>
      <c r="I100" s="162"/>
      <c r="J100" s="162"/>
      <c r="K100" s="162"/>
      <c r="L100" s="162"/>
      <c r="M100" s="162"/>
      <c r="N100" s="162"/>
      <c r="O100" s="163"/>
      <c r="P100" s="162"/>
      <c r="Q100" s="164"/>
      <c r="R100" s="164"/>
    </row>
    <row r="101" spans="1:18" ht="17.399999999999999" customHeight="1" thickBot="1" x14ac:dyDescent="0.35">
      <c r="A101" s="221"/>
      <c r="B101" s="222"/>
      <c r="C101" s="222"/>
      <c r="D101" s="222"/>
      <c r="E101" s="222"/>
      <c r="F101" s="222"/>
      <c r="G101" s="222"/>
      <c r="H101" s="222"/>
      <c r="I101" s="222"/>
      <c r="J101" s="222"/>
      <c r="K101" s="222"/>
      <c r="L101" s="222"/>
      <c r="M101" s="222"/>
      <c r="N101" s="222"/>
      <c r="O101" s="222"/>
      <c r="P101" s="222"/>
      <c r="Q101" s="222"/>
      <c r="R101" s="223"/>
    </row>
    <row r="102" spans="1:18" ht="22.05" customHeight="1" thickTop="1" thickBot="1" x14ac:dyDescent="0.35">
      <c r="A102" s="186" t="s">
        <v>6</v>
      </c>
      <c r="B102" s="187"/>
      <c r="C102" s="187"/>
      <c r="D102" s="187"/>
      <c r="E102" s="187"/>
      <c r="F102" s="188"/>
      <c r="G102" s="84">
        <v>45990</v>
      </c>
      <c r="H102" s="198" t="s">
        <v>7</v>
      </c>
      <c r="I102" s="187"/>
      <c r="J102" s="187"/>
      <c r="K102" s="187"/>
      <c r="L102" s="187"/>
      <c r="M102" s="187"/>
      <c r="N102" s="187"/>
      <c r="O102" s="187"/>
      <c r="P102" s="187"/>
      <c r="Q102" s="187"/>
      <c r="R102" s="188"/>
    </row>
    <row r="103" spans="1:18" ht="24" customHeight="1" x14ac:dyDescent="0.3">
      <c r="A103" s="85" t="s">
        <v>8</v>
      </c>
      <c r="B103" s="85" t="s">
        <v>9</v>
      </c>
      <c r="C103" s="86" t="s">
        <v>10</v>
      </c>
      <c r="D103" s="85" t="s">
        <v>11</v>
      </c>
      <c r="E103" s="85" t="s">
        <v>12</v>
      </c>
      <c r="F103" s="87" t="s">
        <v>13</v>
      </c>
      <c r="G103" s="88" t="s">
        <v>14</v>
      </c>
      <c r="H103" s="85" t="s">
        <v>15</v>
      </c>
      <c r="I103" s="89" t="s">
        <v>16</v>
      </c>
      <c r="J103" s="90" t="s">
        <v>17</v>
      </c>
      <c r="K103" s="91" t="s">
        <v>18</v>
      </c>
      <c r="L103" s="90" t="s">
        <v>19</v>
      </c>
      <c r="M103" s="90" t="s">
        <v>20</v>
      </c>
      <c r="N103" s="90" t="s">
        <v>21</v>
      </c>
      <c r="O103" s="85" t="s">
        <v>22</v>
      </c>
      <c r="P103" s="86" t="s">
        <v>23</v>
      </c>
      <c r="Q103" s="90" t="s">
        <v>24</v>
      </c>
      <c r="R103" s="85" t="s">
        <v>25</v>
      </c>
    </row>
    <row r="104" spans="1:18" ht="15" customHeight="1" x14ac:dyDescent="0.3">
      <c r="A104" s="8" t="s">
        <v>35</v>
      </c>
      <c r="B104" s="8" t="s">
        <v>387</v>
      </c>
      <c r="C104" s="9">
        <v>0.25694444444444448</v>
      </c>
      <c r="D104" s="8" t="s">
        <v>388</v>
      </c>
      <c r="E104" s="8" t="s">
        <v>38</v>
      </c>
      <c r="F104" s="8" t="s">
        <v>449</v>
      </c>
      <c r="G104" s="195"/>
      <c r="H104" s="10"/>
      <c r="I104" s="11"/>
      <c r="J104" s="11"/>
      <c r="K104" s="11"/>
      <c r="L104" s="11"/>
      <c r="M104" s="11"/>
      <c r="N104" s="11"/>
      <c r="O104" s="12"/>
      <c r="P104" s="11"/>
      <c r="Q104" s="13"/>
      <c r="R104" s="14"/>
    </row>
    <row r="105" spans="1:18" ht="15" customHeight="1" x14ac:dyDescent="0.3">
      <c r="A105" s="19" t="s">
        <v>35</v>
      </c>
      <c r="B105" s="19" t="s">
        <v>387</v>
      </c>
      <c r="C105" s="20">
        <v>0.25694444444444448</v>
      </c>
      <c r="D105" s="19" t="s">
        <v>379</v>
      </c>
      <c r="E105" s="19" t="s">
        <v>41</v>
      </c>
      <c r="F105" s="19" t="s">
        <v>450</v>
      </c>
      <c r="G105" s="196"/>
      <c r="H105" s="10"/>
      <c r="I105" s="11"/>
      <c r="J105" s="11"/>
      <c r="K105" s="11"/>
      <c r="L105" s="11"/>
      <c r="M105" s="11"/>
      <c r="N105" s="11"/>
      <c r="O105" s="12"/>
      <c r="P105" s="11"/>
      <c r="Q105" s="13"/>
      <c r="R105" s="14"/>
    </row>
    <row r="106" spans="1:18" ht="15" customHeight="1" x14ac:dyDescent="0.3">
      <c r="A106" s="19" t="s">
        <v>35</v>
      </c>
      <c r="B106" s="19" t="s">
        <v>387</v>
      </c>
      <c r="C106" s="20">
        <v>0.25694444444444448</v>
      </c>
      <c r="D106" s="19" t="s">
        <v>381</v>
      </c>
      <c r="E106" s="19" t="s">
        <v>41</v>
      </c>
      <c r="F106" s="19" t="s">
        <v>451</v>
      </c>
      <c r="G106" s="196"/>
      <c r="H106" s="10"/>
      <c r="I106" s="11"/>
      <c r="J106" s="11"/>
      <c r="K106" s="11"/>
      <c r="L106" s="11"/>
      <c r="M106" s="11"/>
      <c r="N106" s="11"/>
      <c r="O106" s="12"/>
      <c r="P106" s="11"/>
      <c r="Q106" s="13"/>
      <c r="R106" s="14"/>
    </row>
    <row r="107" spans="1:18" ht="15" customHeight="1" x14ac:dyDescent="0.3">
      <c r="A107" s="19" t="s">
        <v>35</v>
      </c>
      <c r="B107" s="19" t="s">
        <v>387</v>
      </c>
      <c r="C107" s="20">
        <v>0.25694444444444448</v>
      </c>
      <c r="D107" s="19" t="s">
        <v>392</v>
      </c>
      <c r="E107" s="19" t="s">
        <v>41</v>
      </c>
      <c r="F107" s="19" t="s">
        <v>74</v>
      </c>
      <c r="G107" s="196"/>
      <c r="H107" s="10"/>
      <c r="I107" s="11"/>
      <c r="J107" s="11"/>
      <c r="K107" s="11"/>
      <c r="L107" s="11"/>
      <c r="M107" s="11"/>
      <c r="N107" s="11"/>
      <c r="O107" s="12"/>
      <c r="P107" s="11"/>
      <c r="Q107" s="13"/>
      <c r="R107" s="14"/>
    </row>
    <row r="108" spans="1:18" ht="15" customHeight="1" x14ac:dyDescent="0.3">
      <c r="A108" s="17" t="s">
        <v>105</v>
      </c>
      <c r="B108" s="17" t="s">
        <v>384</v>
      </c>
      <c r="C108" s="18">
        <v>0.52777777777777779</v>
      </c>
      <c r="D108" s="17" t="s">
        <v>379</v>
      </c>
      <c r="E108" s="17" t="s">
        <v>108</v>
      </c>
      <c r="F108" s="17" t="s">
        <v>452</v>
      </c>
      <c r="G108" s="196"/>
      <c r="H108" s="10"/>
      <c r="I108" s="11"/>
      <c r="J108" s="11"/>
      <c r="K108" s="11"/>
      <c r="L108" s="11"/>
      <c r="M108" s="11"/>
      <c r="N108" s="11"/>
      <c r="O108" s="12"/>
      <c r="P108" s="11"/>
      <c r="Q108" s="13"/>
      <c r="R108" s="14"/>
    </row>
    <row r="109" spans="1:18" ht="15" customHeight="1" x14ac:dyDescent="0.3">
      <c r="A109" s="19" t="s">
        <v>105</v>
      </c>
      <c r="B109" s="19" t="s">
        <v>384</v>
      </c>
      <c r="C109" s="20">
        <v>0.52777777777777779</v>
      </c>
      <c r="D109" s="19" t="s">
        <v>381</v>
      </c>
      <c r="E109" s="19" t="s">
        <v>49</v>
      </c>
      <c r="F109" s="19" t="s">
        <v>453</v>
      </c>
      <c r="G109" s="196"/>
      <c r="H109" s="10"/>
      <c r="I109" s="11"/>
      <c r="J109" s="11"/>
      <c r="K109" s="11"/>
      <c r="L109" s="11"/>
      <c r="M109" s="11"/>
      <c r="N109" s="11"/>
      <c r="O109" s="12"/>
      <c r="P109" s="11"/>
      <c r="Q109" s="13"/>
      <c r="R109" s="14"/>
    </row>
    <row r="110" spans="1:18" ht="15" customHeight="1" x14ac:dyDescent="0.3">
      <c r="A110" s="19" t="s">
        <v>105</v>
      </c>
      <c r="B110" s="19" t="s">
        <v>384</v>
      </c>
      <c r="C110" s="20">
        <v>0.52777777777777779</v>
      </c>
      <c r="D110" s="19" t="s">
        <v>43</v>
      </c>
      <c r="E110" s="19" t="s">
        <v>49</v>
      </c>
      <c r="F110" s="19" t="s">
        <v>454</v>
      </c>
      <c r="G110" s="196"/>
      <c r="H110" s="10"/>
      <c r="I110" s="11"/>
      <c r="J110" s="11"/>
      <c r="K110" s="11"/>
      <c r="L110" s="11"/>
      <c r="M110" s="11"/>
      <c r="N110" s="11"/>
      <c r="O110" s="12"/>
      <c r="P110" s="11"/>
      <c r="Q110" s="13"/>
      <c r="R110" s="14"/>
    </row>
    <row r="111" spans="1:18" ht="15" customHeight="1" x14ac:dyDescent="0.3">
      <c r="A111" s="170" t="s">
        <v>76</v>
      </c>
      <c r="B111" s="170" t="s">
        <v>394</v>
      </c>
      <c r="C111" s="171">
        <v>0.79166666666666663</v>
      </c>
      <c r="D111" s="170" t="s">
        <v>78</v>
      </c>
      <c r="E111" s="170" t="s">
        <v>227</v>
      </c>
      <c r="F111" s="170" t="s">
        <v>455</v>
      </c>
      <c r="G111" s="196"/>
      <c r="H111" s="70" t="s">
        <v>396</v>
      </c>
      <c r="I111" s="71">
        <v>0.95240000000000002</v>
      </c>
      <c r="J111" s="72">
        <v>160</v>
      </c>
      <c r="K111" s="73">
        <v>45977</v>
      </c>
      <c r="L111" s="72">
        <v>1</v>
      </c>
      <c r="M111" s="72">
        <v>0</v>
      </c>
      <c r="N111" s="72">
        <v>0</v>
      </c>
      <c r="O111" s="74" t="s">
        <v>456</v>
      </c>
      <c r="P111" s="75">
        <v>0.79166666666666663</v>
      </c>
      <c r="Q111" s="72">
        <v>168</v>
      </c>
      <c r="R111" s="76" t="s">
        <v>457</v>
      </c>
    </row>
    <row r="112" spans="1:18" ht="15" customHeight="1" x14ac:dyDescent="0.3">
      <c r="A112" s="48" t="s">
        <v>76</v>
      </c>
      <c r="B112" s="48" t="s">
        <v>458</v>
      </c>
      <c r="C112" s="49">
        <v>0.45833333333333331</v>
      </c>
      <c r="D112" s="48" t="s">
        <v>78</v>
      </c>
      <c r="E112" s="48" t="s">
        <v>94</v>
      </c>
      <c r="F112" s="48" t="s">
        <v>455</v>
      </c>
      <c r="G112" s="196"/>
      <c r="H112" s="50" t="s">
        <v>422</v>
      </c>
      <c r="I112" s="165">
        <v>0.97619999999999996</v>
      </c>
      <c r="J112" s="52">
        <v>164</v>
      </c>
      <c r="K112" s="53">
        <v>45979</v>
      </c>
      <c r="L112" s="52">
        <v>2</v>
      </c>
      <c r="M112" s="52">
        <v>0</v>
      </c>
      <c r="N112" s="52">
        <v>0</v>
      </c>
      <c r="O112" s="54" t="s">
        <v>459</v>
      </c>
      <c r="P112" s="55">
        <v>0.45833333333333331</v>
      </c>
      <c r="Q112" s="52">
        <v>168</v>
      </c>
      <c r="R112" s="56" t="s">
        <v>460</v>
      </c>
    </row>
    <row r="113" spans="1:18" ht="15" customHeight="1" x14ac:dyDescent="0.3">
      <c r="A113" s="17" t="s">
        <v>118</v>
      </c>
      <c r="B113" s="17" t="s">
        <v>400</v>
      </c>
      <c r="C113" s="18">
        <v>0.34027777777777768</v>
      </c>
      <c r="D113" s="17" t="s">
        <v>120</v>
      </c>
      <c r="E113" s="17" t="s">
        <v>113</v>
      </c>
      <c r="F113" s="17" t="s">
        <v>401</v>
      </c>
      <c r="G113" s="196"/>
      <c r="H113" s="10"/>
      <c r="I113" s="11"/>
      <c r="J113" s="11"/>
      <c r="K113" s="11"/>
      <c r="L113" s="11"/>
      <c r="M113" s="11"/>
      <c r="N113" s="11"/>
      <c r="O113" s="12"/>
      <c r="P113" s="11"/>
      <c r="Q113" s="13"/>
      <c r="R113" s="14"/>
    </row>
    <row r="114" spans="1:18" ht="15" customHeight="1" x14ac:dyDescent="0.3">
      <c r="A114" s="19" t="s">
        <v>118</v>
      </c>
      <c r="B114" s="19" t="s">
        <v>400</v>
      </c>
      <c r="C114" s="20">
        <v>0.34027777777777768</v>
      </c>
      <c r="D114" s="19" t="s">
        <v>122</v>
      </c>
      <c r="E114" s="19" t="s">
        <v>126</v>
      </c>
      <c r="F114" s="19" t="s">
        <v>402</v>
      </c>
      <c r="G114" s="196"/>
      <c r="H114" s="10"/>
      <c r="I114" s="11"/>
      <c r="J114" s="11"/>
      <c r="K114" s="11"/>
      <c r="L114" s="11"/>
      <c r="M114" s="11"/>
      <c r="N114" s="11"/>
      <c r="O114" s="12"/>
      <c r="P114" s="11"/>
      <c r="Q114" s="13"/>
      <c r="R114" s="14"/>
    </row>
    <row r="115" spans="1:18" ht="15" customHeight="1" x14ac:dyDescent="0.3">
      <c r="A115" s="15" t="s">
        <v>118</v>
      </c>
      <c r="B115" s="15" t="s">
        <v>403</v>
      </c>
      <c r="C115" s="16">
        <v>0.71180555555555547</v>
      </c>
      <c r="D115" s="15" t="s">
        <v>120</v>
      </c>
      <c r="E115" s="15" t="s">
        <v>116</v>
      </c>
      <c r="F115" s="15" t="s">
        <v>401</v>
      </c>
      <c r="G115" s="196"/>
      <c r="H115" s="10"/>
      <c r="I115" s="11"/>
      <c r="J115" s="11"/>
      <c r="K115" s="11"/>
      <c r="L115" s="11"/>
      <c r="M115" s="11"/>
      <c r="N115" s="11"/>
      <c r="O115" s="12"/>
      <c r="P115" s="11"/>
      <c r="Q115" s="13"/>
      <c r="R115" s="14"/>
    </row>
    <row r="116" spans="1:18" ht="15" customHeight="1" x14ac:dyDescent="0.3">
      <c r="A116" s="19" t="s">
        <v>118</v>
      </c>
      <c r="B116" s="19" t="s">
        <v>403</v>
      </c>
      <c r="C116" s="20">
        <v>0.71180555555555547</v>
      </c>
      <c r="D116" s="19" t="s">
        <v>122</v>
      </c>
      <c r="E116" s="19" t="s">
        <v>126</v>
      </c>
      <c r="F116" s="19" t="s">
        <v>402</v>
      </c>
      <c r="G116" s="196"/>
      <c r="H116" s="10"/>
      <c r="I116" s="11"/>
      <c r="J116" s="11"/>
      <c r="K116" s="11"/>
      <c r="L116" s="11"/>
      <c r="M116" s="11"/>
      <c r="N116" s="11"/>
      <c r="O116" s="12"/>
      <c r="P116" s="11"/>
      <c r="Q116" s="13"/>
      <c r="R116" s="14"/>
    </row>
    <row r="117" spans="1:18" ht="18" x14ac:dyDescent="0.3">
      <c r="A117" s="204" t="s">
        <v>404</v>
      </c>
      <c r="B117" s="205"/>
      <c r="C117" s="205"/>
      <c r="D117" s="205"/>
      <c r="E117" s="205"/>
      <c r="F117" s="206"/>
      <c r="G117" s="196"/>
      <c r="H117" s="160"/>
      <c r="I117" s="160"/>
      <c r="J117" s="160"/>
      <c r="K117" s="160"/>
      <c r="L117" s="160"/>
      <c r="M117" s="160"/>
      <c r="N117" s="160"/>
      <c r="O117" s="161"/>
      <c r="P117" s="160"/>
      <c r="Q117" s="126"/>
      <c r="R117" s="126"/>
    </row>
    <row r="118" spans="1:18" ht="15" customHeight="1" x14ac:dyDescent="0.3">
      <c r="A118" s="15" t="s">
        <v>35</v>
      </c>
      <c r="B118" s="15" t="s">
        <v>45</v>
      </c>
      <c r="C118" s="16" t="s">
        <v>370</v>
      </c>
      <c r="D118" s="15" t="s">
        <v>37</v>
      </c>
      <c r="E118" s="15" t="s">
        <v>429</v>
      </c>
      <c r="F118" s="15" t="s">
        <v>185</v>
      </c>
      <c r="G118" s="196"/>
      <c r="H118" s="160"/>
      <c r="I118" s="160"/>
      <c r="J118" s="160"/>
      <c r="K118" s="160"/>
      <c r="L118" s="160"/>
      <c r="M118" s="160"/>
      <c r="N118" s="160"/>
      <c r="O118" s="161"/>
      <c r="P118" s="160"/>
      <c r="Q118" s="126"/>
      <c r="R118" s="126"/>
    </row>
    <row r="119" spans="1:18" ht="15" customHeight="1" x14ac:dyDescent="0.3">
      <c r="A119" s="15" t="s">
        <v>35</v>
      </c>
      <c r="B119" s="15" t="s">
        <v>36</v>
      </c>
      <c r="C119" s="16" t="s">
        <v>369</v>
      </c>
      <c r="D119" s="15" t="s">
        <v>37</v>
      </c>
      <c r="E119" s="15" t="s">
        <v>408</v>
      </c>
      <c r="F119" s="15" t="s">
        <v>155</v>
      </c>
      <c r="G119" s="196"/>
      <c r="H119" s="160"/>
      <c r="I119" s="160"/>
      <c r="J119" s="160"/>
      <c r="K119" s="160"/>
      <c r="L119" s="160"/>
      <c r="M119" s="160"/>
      <c r="N119" s="160"/>
      <c r="O119" s="161"/>
      <c r="P119" s="160"/>
      <c r="Q119" s="126"/>
      <c r="R119" s="126"/>
    </row>
    <row r="120" spans="1:18" ht="15" customHeight="1" x14ac:dyDescent="0.3">
      <c r="A120" s="15" t="s">
        <v>26</v>
      </c>
      <c r="B120" s="15" t="s">
        <v>34</v>
      </c>
      <c r="C120" s="16" t="s">
        <v>461</v>
      </c>
      <c r="D120" s="15" t="s">
        <v>28</v>
      </c>
      <c r="E120" s="15" t="s">
        <v>439</v>
      </c>
      <c r="F120" s="15" t="s">
        <v>30</v>
      </c>
      <c r="G120" s="196"/>
      <c r="H120" s="160"/>
      <c r="I120" s="160"/>
      <c r="J120" s="160"/>
      <c r="K120" s="160"/>
      <c r="L120" s="160"/>
      <c r="M120" s="160"/>
      <c r="N120" s="160"/>
      <c r="O120" s="161"/>
      <c r="P120" s="160"/>
      <c r="Q120" s="126"/>
      <c r="R120" s="126"/>
    </row>
    <row r="121" spans="1:18" ht="15" customHeight="1" x14ac:dyDescent="0.3">
      <c r="A121" s="15" t="s">
        <v>51</v>
      </c>
      <c r="B121" s="15" t="s">
        <v>52</v>
      </c>
      <c r="C121" s="16" t="s">
        <v>373</v>
      </c>
      <c r="D121" s="15" t="s">
        <v>53</v>
      </c>
      <c r="E121" s="15" t="s">
        <v>408</v>
      </c>
      <c r="F121" s="15" t="s">
        <v>162</v>
      </c>
      <c r="G121" s="196"/>
      <c r="H121" s="160"/>
      <c r="I121" s="160"/>
      <c r="J121" s="160"/>
      <c r="K121" s="160"/>
      <c r="L121" s="160"/>
      <c r="M121" s="160"/>
      <c r="N121" s="160"/>
      <c r="O121" s="161"/>
      <c r="P121" s="160"/>
      <c r="Q121" s="126"/>
      <c r="R121" s="126"/>
    </row>
    <row r="122" spans="1:18" ht="15" customHeight="1" x14ac:dyDescent="0.3">
      <c r="A122" s="15" t="s">
        <v>51</v>
      </c>
      <c r="B122" s="15" t="s">
        <v>66</v>
      </c>
      <c r="C122" s="16" t="s">
        <v>375</v>
      </c>
      <c r="D122" s="15" t="s">
        <v>53</v>
      </c>
      <c r="E122" s="15" t="s">
        <v>426</v>
      </c>
      <c r="F122" s="15" t="s">
        <v>162</v>
      </c>
      <c r="G122" s="196"/>
      <c r="H122" s="160"/>
      <c r="I122" s="160"/>
      <c r="J122" s="160"/>
      <c r="K122" s="160"/>
      <c r="L122" s="160"/>
      <c r="M122" s="160"/>
      <c r="N122" s="160"/>
      <c r="O122" s="161"/>
      <c r="P122" s="160"/>
      <c r="Q122" s="126"/>
      <c r="R122" s="126"/>
    </row>
    <row r="123" spans="1:18" ht="15" customHeight="1" x14ac:dyDescent="0.3">
      <c r="A123" s="15" t="s">
        <v>51</v>
      </c>
      <c r="B123" s="15" t="s">
        <v>75</v>
      </c>
      <c r="C123" s="16" t="s">
        <v>448</v>
      </c>
      <c r="D123" s="15" t="s">
        <v>53</v>
      </c>
      <c r="E123" s="15" t="s">
        <v>405</v>
      </c>
      <c r="F123" s="15" t="s">
        <v>162</v>
      </c>
      <c r="G123" s="196"/>
      <c r="H123" s="160"/>
      <c r="I123" s="160"/>
      <c r="J123" s="160"/>
      <c r="K123" s="160"/>
      <c r="L123" s="160"/>
      <c r="M123" s="160"/>
      <c r="N123" s="160"/>
      <c r="O123" s="161"/>
      <c r="P123" s="160"/>
      <c r="Q123" s="126"/>
      <c r="R123" s="126"/>
    </row>
    <row r="124" spans="1:18" ht="15" customHeight="1" x14ac:dyDescent="0.3">
      <c r="A124" s="15" t="s">
        <v>35</v>
      </c>
      <c r="B124" s="15" t="s">
        <v>47</v>
      </c>
      <c r="C124" s="16" t="s">
        <v>371</v>
      </c>
      <c r="D124" s="15" t="s">
        <v>37</v>
      </c>
      <c r="E124" s="15" t="s">
        <v>410</v>
      </c>
      <c r="F124" s="15" t="s">
        <v>39</v>
      </c>
      <c r="G124" s="196"/>
      <c r="H124" s="160"/>
      <c r="I124" s="160"/>
      <c r="J124" s="160"/>
      <c r="K124" s="160"/>
      <c r="L124" s="160"/>
      <c r="M124" s="160"/>
      <c r="N124" s="160"/>
      <c r="O124" s="161"/>
      <c r="P124" s="160"/>
      <c r="Q124" s="126"/>
      <c r="R124" s="126"/>
    </row>
    <row r="125" spans="1:18" ht="15" customHeight="1" x14ac:dyDescent="0.3">
      <c r="A125" s="15" t="s">
        <v>105</v>
      </c>
      <c r="B125" s="15" t="s">
        <v>106</v>
      </c>
      <c r="C125" s="16" t="s">
        <v>462</v>
      </c>
      <c r="D125" s="15" t="s">
        <v>107</v>
      </c>
      <c r="E125" s="15" t="s">
        <v>408</v>
      </c>
      <c r="F125" s="15" t="s">
        <v>39</v>
      </c>
      <c r="G125" s="196"/>
      <c r="H125" s="160"/>
      <c r="I125" s="160"/>
      <c r="J125" s="160"/>
      <c r="K125" s="160"/>
      <c r="L125" s="160"/>
      <c r="M125" s="160"/>
      <c r="N125" s="160"/>
      <c r="O125" s="161"/>
      <c r="P125" s="160"/>
      <c r="Q125" s="126"/>
      <c r="R125" s="126"/>
    </row>
    <row r="126" spans="1:18" ht="15" customHeight="1" x14ac:dyDescent="0.3">
      <c r="A126" s="15" t="s">
        <v>76</v>
      </c>
      <c r="B126" s="15" t="s">
        <v>187</v>
      </c>
      <c r="C126" s="16" t="s">
        <v>355</v>
      </c>
      <c r="D126" s="15" t="s">
        <v>78</v>
      </c>
      <c r="E126" s="15" t="s">
        <v>405</v>
      </c>
      <c r="F126" s="15" t="s">
        <v>192</v>
      </c>
      <c r="G126" s="196"/>
      <c r="H126" s="160"/>
      <c r="I126" s="160"/>
      <c r="J126" s="160"/>
      <c r="K126" s="160"/>
      <c r="L126" s="160"/>
      <c r="M126" s="160"/>
      <c r="N126" s="160"/>
      <c r="O126" s="161"/>
      <c r="P126" s="160"/>
      <c r="Q126" s="126"/>
      <c r="R126" s="126"/>
    </row>
    <row r="127" spans="1:18" ht="15" customHeight="1" x14ac:dyDescent="0.3">
      <c r="A127" s="77" t="s">
        <v>105</v>
      </c>
      <c r="B127" s="77" t="s">
        <v>171</v>
      </c>
      <c r="C127" s="78" t="s">
        <v>463</v>
      </c>
      <c r="D127" s="77" t="s">
        <v>107</v>
      </c>
      <c r="E127" s="77" t="s">
        <v>408</v>
      </c>
      <c r="F127" s="77" t="s">
        <v>224</v>
      </c>
      <c r="G127" s="197"/>
      <c r="H127" s="162"/>
      <c r="I127" s="162"/>
      <c r="J127" s="162"/>
      <c r="K127" s="162"/>
      <c r="L127" s="162"/>
      <c r="M127" s="162"/>
      <c r="N127" s="162"/>
      <c r="O127" s="163"/>
      <c r="P127" s="162"/>
      <c r="Q127" s="164"/>
      <c r="R127" s="164"/>
    </row>
  </sheetData>
  <mergeCells count="31">
    <mergeCell ref="A117:F117"/>
    <mergeCell ref="G104:G127"/>
    <mergeCell ref="A58:F58"/>
    <mergeCell ref="K2:R2"/>
    <mergeCell ref="A34:F34"/>
    <mergeCell ref="A82:F82"/>
    <mergeCell ref="A70:F70"/>
    <mergeCell ref="G6:G32"/>
    <mergeCell ref="G84:G100"/>
    <mergeCell ref="H102:R102"/>
    <mergeCell ref="A2:F2"/>
    <mergeCell ref="A3:R3"/>
    <mergeCell ref="A101:R101"/>
    <mergeCell ref="H34:R34"/>
    <mergeCell ref="A57:R57"/>
    <mergeCell ref="A33:R33"/>
    <mergeCell ref="A22:F22"/>
    <mergeCell ref="G2:J2"/>
    <mergeCell ref="G36:G56"/>
    <mergeCell ref="A4:F4"/>
    <mergeCell ref="A81:R81"/>
    <mergeCell ref="A102:F102"/>
    <mergeCell ref="A46:F46"/>
    <mergeCell ref="A90:F90"/>
    <mergeCell ref="G60:G80"/>
    <mergeCell ref="H82:R82"/>
    <mergeCell ref="H1:L1"/>
    <mergeCell ref="A1:E1"/>
    <mergeCell ref="H4:R4"/>
    <mergeCell ref="H58:R58"/>
    <mergeCell ref="N1:R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
  <sheetViews>
    <sheetView workbookViewId="0"/>
  </sheetViews>
  <sheetFormatPr defaultRowHeight="15.6" outlineLevelCol="1" x14ac:dyDescent="0.3"/>
  <cols>
    <col min="1" max="1" width="13.77734375" style="208" bestFit="1" customWidth="1"/>
    <col min="2" max="2" width="11.109375" style="208" bestFit="1" customWidth="1"/>
    <col min="3" max="3" width="7.88671875" style="208" bestFit="1" customWidth="1"/>
    <col min="4" max="4" width="6.77734375" style="208" bestFit="1" customWidth="1"/>
    <col min="5" max="5" width="9.44140625" style="208" bestFit="1" customWidth="1"/>
    <col min="6" max="6" width="5.21875" style="208" bestFit="1" customWidth="1"/>
    <col min="7" max="7" width="10" style="208" bestFit="1" customWidth="1"/>
    <col min="8" max="10" width="8.5546875" style="208" bestFit="1" customWidth="1"/>
    <col min="11" max="11" width="12.21875" style="208" bestFit="1" customWidth="1"/>
    <col min="12" max="12" width="10.109375" style="208" bestFit="1" customWidth="1"/>
    <col min="13" max="13" width="8.77734375" style="208" bestFit="1" customWidth="1" outlineLevel="1"/>
    <col min="14" max="14" width="7.33203125" style="208" bestFit="1" customWidth="1" outlineLevel="1"/>
    <col min="15" max="15" width="9.109375" style="208" bestFit="1" customWidth="1" outlineLevel="1"/>
    <col min="16" max="16" width="15.33203125" style="208" bestFit="1" customWidth="1"/>
    <col min="17" max="24" width="3.88671875" style="208" bestFit="1" customWidth="1"/>
    <col min="25" max="25" width="4.21875" style="208" bestFit="1" customWidth="1"/>
    <col min="26" max="26" width="4.88671875" style="208" bestFit="1" customWidth="1"/>
    <col min="27" max="27" width="5.88671875" style="208" bestFit="1" customWidth="1"/>
    <col min="28" max="28" width="5" style="208" bestFit="1" customWidth="1"/>
    <col min="29" max="29" width="5.109375" style="208" bestFit="1" customWidth="1"/>
    <col min="30" max="31" width="5.33203125" style="208" bestFit="1" customWidth="1"/>
    <col min="32" max="34" width="3.88671875" style="208" bestFit="1" customWidth="1"/>
    <col min="35" max="35" width="6.21875" style="208" bestFit="1" customWidth="1"/>
    <col min="36" max="36" width="3.88671875" style="208" bestFit="1" customWidth="1"/>
    <col min="37" max="16384" width="8.88671875" style="208"/>
  </cols>
  <sheetData>
    <row r="1" spans="1:36" x14ac:dyDescent="0.3">
      <c r="A1" s="207" t="s">
        <v>239</v>
      </c>
      <c r="B1" s="207" t="s">
        <v>240</v>
      </c>
      <c r="C1" s="207" t="s">
        <v>241</v>
      </c>
      <c r="D1" s="207" t="s">
        <v>23</v>
      </c>
      <c r="E1" s="207" t="s">
        <v>242</v>
      </c>
      <c r="F1" s="207" t="s">
        <v>243</v>
      </c>
      <c r="G1" s="207" t="s">
        <v>16</v>
      </c>
      <c r="H1" s="207" t="s">
        <v>244</v>
      </c>
      <c r="I1" s="207" t="s">
        <v>245</v>
      </c>
      <c r="J1" s="207" t="s">
        <v>246</v>
      </c>
      <c r="K1" s="207" t="s">
        <v>247</v>
      </c>
      <c r="L1" s="207" t="s">
        <v>18</v>
      </c>
      <c r="M1" s="207" t="s">
        <v>20</v>
      </c>
      <c r="N1" s="207" t="s">
        <v>21</v>
      </c>
      <c r="O1" s="207" t="s">
        <v>19</v>
      </c>
      <c r="P1" s="207" t="s">
        <v>22</v>
      </c>
      <c r="Q1" s="207" t="s">
        <v>248</v>
      </c>
      <c r="R1" s="207" t="s">
        <v>249</v>
      </c>
      <c r="S1" s="207" t="s">
        <v>250</v>
      </c>
      <c r="T1" s="207" t="s">
        <v>251</v>
      </c>
      <c r="U1" s="207" t="s">
        <v>252</v>
      </c>
      <c r="V1" s="207" t="s">
        <v>253</v>
      </c>
      <c r="W1" s="207" t="s">
        <v>254</v>
      </c>
      <c r="X1" s="207" t="s">
        <v>255</v>
      </c>
      <c r="Y1" s="207" t="s">
        <v>256</v>
      </c>
      <c r="Z1" s="207" t="s">
        <v>257</v>
      </c>
      <c r="AA1" s="207" t="s">
        <v>258</v>
      </c>
      <c r="AB1" s="207" t="s">
        <v>259</v>
      </c>
      <c r="AC1" s="207" t="s">
        <v>260</v>
      </c>
      <c r="AD1" s="207" t="s">
        <v>261</v>
      </c>
      <c r="AE1" s="207" t="s">
        <v>262</v>
      </c>
      <c r="AF1" s="207" t="s">
        <v>263</v>
      </c>
      <c r="AG1" s="207" t="s">
        <v>264</v>
      </c>
      <c r="AH1" s="207" t="s">
        <v>265</v>
      </c>
      <c r="AI1" s="207" t="s">
        <v>266</v>
      </c>
      <c r="AJ1" s="207" t="s">
        <v>267</v>
      </c>
    </row>
    <row r="2" spans="1:36" x14ac:dyDescent="0.3">
      <c r="A2" s="209" t="s">
        <v>268</v>
      </c>
      <c r="B2" s="210">
        <v>45986</v>
      </c>
      <c r="C2" s="211" t="s">
        <v>396</v>
      </c>
      <c r="D2" s="212" t="s">
        <v>464</v>
      </c>
      <c r="E2" s="211" t="s">
        <v>377</v>
      </c>
      <c r="F2" s="211" t="s">
        <v>270</v>
      </c>
      <c r="G2" s="213">
        <v>0.99439999999999995</v>
      </c>
      <c r="H2" s="214">
        <v>179</v>
      </c>
      <c r="I2" s="214">
        <v>178</v>
      </c>
      <c r="J2" s="214">
        <v>159</v>
      </c>
      <c r="K2" s="211" t="s">
        <v>271</v>
      </c>
      <c r="L2" s="215">
        <v>45980</v>
      </c>
      <c r="M2" s="214">
        <v>0</v>
      </c>
      <c r="N2" s="214">
        <v>5</v>
      </c>
      <c r="O2" s="214">
        <v>7</v>
      </c>
      <c r="P2" s="211" t="s">
        <v>344</v>
      </c>
      <c r="Q2" s="207"/>
      <c r="R2" s="207"/>
      <c r="S2" s="207"/>
      <c r="T2" s="207"/>
      <c r="U2" s="207"/>
      <c r="V2" s="207"/>
      <c r="W2" s="207"/>
      <c r="X2" s="214" t="s">
        <v>465</v>
      </c>
      <c r="Y2" s="207"/>
      <c r="Z2" s="214" t="s">
        <v>290</v>
      </c>
      <c r="AA2" s="207"/>
      <c r="AB2" s="207"/>
      <c r="AC2" s="214" t="s">
        <v>466</v>
      </c>
      <c r="AD2" s="207"/>
      <c r="AE2" s="207"/>
      <c r="AF2" s="207"/>
      <c r="AG2" s="207"/>
      <c r="AH2" s="207"/>
      <c r="AI2" s="214" t="s">
        <v>467</v>
      </c>
      <c r="AJ2" s="207"/>
    </row>
    <row r="3" spans="1:36" x14ac:dyDescent="0.3">
      <c r="A3" s="209" t="s">
        <v>300</v>
      </c>
      <c r="B3" s="210">
        <v>45987</v>
      </c>
      <c r="C3" s="211" t="s">
        <v>418</v>
      </c>
      <c r="D3" s="212" t="s">
        <v>468</v>
      </c>
      <c r="E3" s="211" t="s">
        <v>377</v>
      </c>
      <c r="F3" s="211" t="s">
        <v>270</v>
      </c>
      <c r="G3" s="213">
        <v>0.97209999999999996</v>
      </c>
      <c r="H3" s="214">
        <v>179</v>
      </c>
      <c r="I3" s="214">
        <v>174</v>
      </c>
      <c r="J3" s="214">
        <v>159</v>
      </c>
      <c r="K3" s="211" t="s">
        <v>271</v>
      </c>
      <c r="L3" s="215">
        <v>45980</v>
      </c>
      <c r="M3" s="214">
        <v>0</v>
      </c>
      <c r="N3" s="214">
        <v>10</v>
      </c>
      <c r="O3" s="214">
        <v>11</v>
      </c>
      <c r="P3" s="211" t="s">
        <v>419</v>
      </c>
      <c r="Q3" s="207"/>
      <c r="R3" s="207"/>
      <c r="S3" s="207"/>
      <c r="T3" s="207"/>
      <c r="U3" s="207"/>
      <c r="V3" s="207"/>
      <c r="W3" s="207"/>
      <c r="X3" s="214" t="s">
        <v>469</v>
      </c>
      <c r="Y3" s="214" t="s">
        <v>470</v>
      </c>
      <c r="Z3" s="214" t="s">
        <v>305</v>
      </c>
      <c r="AA3" s="207"/>
      <c r="AB3" s="207"/>
      <c r="AC3" s="214" t="s">
        <v>295</v>
      </c>
      <c r="AD3" s="207"/>
      <c r="AE3" s="207"/>
      <c r="AF3" s="207"/>
      <c r="AG3" s="207"/>
      <c r="AH3" s="207"/>
      <c r="AI3" s="214" t="s">
        <v>467</v>
      </c>
      <c r="AJ3" s="207"/>
    </row>
    <row r="4" spans="1:36" x14ac:dyDescent="0.3">
      <c r="A4" s="209" t="s">
        <v>300</v>
      </c>
      <c r="B4" s="210">
        <v>45987</v>
      </c>
      <c r="C4" s="211" t="s">
        <v>396</v>
      </c>
      <c r="D4" s="212" t="s">
        <v>471</v>
      </c>
      <c r="E4" s="211" t="s">
        <v>377</v>
      </c>
      <c r="F4" s="211" t="s">
        <v>270</v>
      </c>
      <c r="G4" s="213">
        <v>1</v>
      </c>
      <c r="H4" s="214">
        <v>179</v>
      </c>
      <c r="I4" s="214">
        <v>179</v>
      </c>
      <c r="J4" s="214">
        <v>126</v>
      </c>
      <c r="K4" s="211" t="s">
        <v>271</v>
      </c>
      <c r="L4" s="215">
        <v>45979</v>
      </c>
      <c r="M4" s="214">
        <v>0</v>
      </c>
      <c r="N4" s="214">
        <v>0</v>
      </c>
      <c r="O4" s="214">
        <v>16</v>
      </c>
      <c r="P4" s="211" t="s">
        <v>101</v>
      </c>
      <c r="Q4" s="207"/>
      <c r="R4" s="207"/>
      <c r="S4" s="207"/>
      <c r="T4" s="207"/>
      <c r="U4" s="207"/>
      <c r="V4" s="207"/>
      <c r="W4" s="207"/>
      <c r="X4" s="207"/>
      <c r="Y4" s="214" t="s">
        <v>459</v>
      </c>
      <c r="Z4" s="214" t="s">
        <v>285</v>
      </c>
      <c r="AA4" s="214" t="s">
        <v>472</v>
      </c>
      <c r="AB4" s="207"/>
      <c r="AC4" s="214" t="s">
        <v>91</v>
      </c>
      <c r="AD4" s="214" t="s">
        <v>221</v>
      </c>
      <c r="AE4" s="214" t="s">
        <v>274</v>
      </c>
      <c r="AF4" s="214" t="s">
        <v>293</v>
      </c>
      <c r="AG4" s="207"/>
      <c r="AH4" s="207"/>
      <c r="AI4" s="214" t="s">
        <v>473</v>
      </c>
      <c r="AJ4" s="207"/>
    </row>
    <row r="5" spans="1:36" x14ac:dyDescent="0.3">
      <c r="A5" s="209" t="s">
        <v>300</v>
      </c>
      <c r="B5" s="210">
        <v>45987</v>
      </c>
      <c r="C5" s="211" t="s">
        <v>422</v>
      </c>
      <c r="D5" s="212" t="s">
        <v>474</v>
      </c>
      <c r="E5" s="211" t="s">
        <v>377</v>
      </c>
      <c r="F5" s="211" t="s">
        <v>270</v>
      </c>
      <c r="G5" s="213">
        <v>1</v>
      </c>
      <c r="H5" s="214">
        <v>179</v>
      </c>
      <c r="I5" s="214">
        <v>179</v>
      </c>
      <c r="J5" s="214">
        <v>129</v>
      </c>
      <c r="K5" s="211" t="s">
        <v>271</v>
      </c>
      <c r="L5" s="215">
        <v>45980</v>
      </c>
      <c r="M5" s="214">
        <v>0</v>
      </c>
      <c r="N5" s="214">
        <v>2</v>
      </c>
      <c r="O5" s="214">
        <v>12</v>
      </c>
      <c r="P5" s="211" t="s">
        <v>101</v>
      </c>
      <c r="Q5" s="207"/>
      <c r="R5" s="207"/>
      <c r="S5" s="207"/>
      <c r="T5" s="207"/>
      <c r="U5" s="207"/>
      <c r="V5" s="207"/>
      <c r="W5" s="207"/>
      <c r="X5" s="207"/>
      <c r="Y5" s="207"/>
      <c r="Z5" s="214" t="s">
        <v>475</v>
      </c>
      <c r="AA5" s="214" t="s">
        <v>476</v>
      </c>
      <c r="AB5" s="207"/>
      <c r="AC5" s="214" t="s">
        <v>91</v>
      </c>
      <c r="AD5" s="214" t="s">
        <v>219</v>
      </c>
      <c r="AE5" s="214" t="s">
        <v>477</v>
      </c>
      <c r="AF5" s="214" t="s">
        <v>478</v>
      </c>
      <c r="AG5" s="207"/>
      <c r="AH5" s="207"/>
      <c r="AI5" s="214" t="s">
        <v>479</v>
      </c>
      <c r="AJ5" s="207"/>
    </row>
    <row r="6" spans="1:36" x14ac:dyDescent="0.3">
      <c r="A6" s="209" t="s">
        <v>313</v>
      </c>
      <c r="B6" s="210">
        <v>45988</v>
      </c>
      <c r="C6" s="211" t="s">
        <v>396</v>
      </c>
      <c r="D6" s="212" t="s">
        <v>480</v>
      </c>
      <c r="E6" s="211" t="s">
        <v>377</v>
      </c>
      <c r="F6" s="211" t="s">
        <v>270</v>
      </c>
      <c r="G6" s="213">
        <v>0.96650000000000003</v>
      </c>
      <c r="H6" s="214">
        <v>179</v>
      </c>
      <c r="I6" s="214">
        <v>173</v>
      </c>
      <c r="J6" s="214">
        <v>171</v>
      </c>
      <c r="K6" s="211" t="s">
        <v>271</v>
      </c>
      <c r="L6" s="215">
        <v>45971</v>
      </c>
      <c r="M6" s="214">
        <v>0</v>
      </c>
      <c r="N6" s="214">
        <v>0</v>
      </c>
      <c r="O6" s="214">
        <v>0</v>
      </c>
      <c r="P6" s="211" t="s">
        <v>436</v>
      </c>
      <c r="Q6" s="207"/>
      <c r="R6" s="207"/>
      <c r="S6" s="207"/>
      <c r="T6" s="207"/>
      <c r="U6" s="207"/>
      <c r="V6" s="207"/>
      <c r="W6" s="207"/>
      <c r="X6" s="207"/>
      <c r="Y6" s="207"/>
      <c r="Z6" s="214" t="s">
        <v>290</v>
      </c>
      <c r="AA6" s="207"/>
      <c r="AB6" s="207"/>
      <c r="AC6" s="214" t="s">
        <v>278</v>
      </c>
      <c r="AD6" s="207"/>
      <c r="AE6" s="207"/>
      <c r="AF6" s="207"/>
      <c r="AG6" s="207"/>
      <c r="AH6" s="207"/>
      <c r="AI6" s="214" t="s">
        <v>481</v>
      </c>
      <c r="AJ6" s="207"/>
    </row>
    <row r="7" spans="1:36" x14ac:dyDescent="0.3">
      <c r="A7" s="209" t="s">
        <v>335</v>
      </c>
      <c r="B7" s="210">
        <v>45989</v>
      </c>
      <c r="C7" s="211" t="s">
        <v>396</v>
      </c>
      <c r="D7" s="212" t="s">
        <v>482</v>
      </c>
      <c r="E7" s="211" t="s">
        <v>377</v>
      </c>
      <c r="F7" s="211" t="s">
        <v>270</v>
      </c>
      <c r="G7" s="213">
        <v>0.38690000000000002</v>
      </c>
      <c r="H7" s="214">
        <v>168</v>
      </c>
      <c r="I7" s="214">
        <v>65</v>
      </c>
      <c r="J7" s="214">
        <v>0</v>
      </c>
      <c r="K7" s="211" t="s">
        <v>271</v>
      </c>
      <c r="L7" s="215">
        <v>45980</v>
      </c>
      <c r="M7" s="214">
        <v>0</v>
      </c>
      <c r="N7" s="214">
        <v>12</v>
      </c>
      <c r="O7" s="214">
        <v>39</v>
      </c>
      <c r="P7" s="211" t="s">
        <v>445</v>
      </c>
      <c r="Q7" s="207"/>
      <c r="R7" s="207"/>
      <c r="S7" s="207"/>
      <c r="T7" s="207"/>
      <c r="U7" s="207"/>
      <c r="V7" s="207"/>
      <c r="W7" s="207"/>
      <c r="X7" s="207"/>
      <c r="Y7" s="207"/>
      <c r="Z7" s="214" t="s">
        <v>285</v>
      </c>
      <c r="AA7" s="214" t="s">
        <v>306</v>
      </c>
      <c r="AB7" s="214" t="s">
        <v>483</v>
      </c>
      <c r="AC7" s="214" t="s">
        <v>484</v>
      </c>
      <c r="AD7" s="214" t="s">
        <v>279</v>
      </c>
      <c r="AE7" s="207"/>
      <c r="AF7" s="207"/>
      <c r="AG7" s="207"/>
      <c r="AH7" s="207"/>
      <c r="AI7" s="207"/>
      <c r="AJ7" s="207"/>
    </row>
    <row r="8" spans="1:36" x14ac:dyDescent="0.3">
      <c r="A8" s="209" t="s">
        <v>354</v>
      </c>
      <c r="B8" s="210">
        <v>45990</v>
      </c>
      <c r="C8" s="211" t="s">
        <v>422</v>
      </c>
      <c r="D8" s="212" t="s">
        <v>341</v>
      </c>
      <c r="E8" s="211" t="s">
        <v>377</v>
      </c>
      <c r="F8" s="211" t="s">
        <v>270</v>
      </c>
      <c r="G8" s="213">
        <v>0.97619999999999996</v>
      </c>
      <c r="H8" s="214">
        <v>168</v>
      </c>
      <c r="I8" s="214">
        <v>164</v>
      </c>
      <c r="J8" s="214">
        <v>138</v>
      </c>
      <c r="K8" s="211" t="s">
        <v>271</v>
      </c>
      <c r="L8" s="215">
        <v>45979</v>
      </c>
      <c r="M8" s="214">
        <v>0</v>
      </c>
      <c r="N8" s="214">
        <v>0</v>
      </c>
      <c r="O8" s="214">
        <v>2</v>
      </c>
      <c r="P8" s="211" t="s">
        <v>459</v>
      </c>
      <c r="Q8" s="207"/>
      <c r="R8" s="207"/>
      <c r="S8" s="207"/>
      <c r="T8" s="207"/>
      <c r="U8" s="207"/>
      <c r="V8" s="207"/>
      <c r="W8" s="207"/>
      <c r="X8" s="207"/>
      <c r="Y8" s="214" t="s">
        <v>459</v>
      </c>
      <c r="Z8" s="214" t="s">
        <v>305</v>
      </c>
      <c r="AA8" s="207"/>
      <c r="AB8" s="214" t="s">
        <v>485</v>
      </c>
      <c r="AC8" s="214" t="s">
        <v>486</v>
      </c>
      <c r="AD8" s="207"/>
      <c r="AE8" s="207"/>
      <c r="AF8" s="207"/>
      <c r="AG8" s="207"/>
      <c r="AH8" s="207"/>
      <c r="AI8" s="214" t="s">
        <v>487</v>
      </c>
      <c r="AJ8" s="207"/>
    </row>
    <row r="9" spans="1:36" x14ac:dyDescent="0.3">
      <c r="A9" s="209" t="s">
        <v>354</v>
      </c>
      <c r="B9" s="210">
        <v>45990</v>
      </c>
      <c r="C9" s="211" t="s">
        <v>396</v>
      </c>
      <c r="D9" s="212" t="s">
        <v>488</v>
      </c>
      <c r="E9" s="211" t="s">
        <v>377</v>
      </c>
      <c r="F9" s="211" t="s">
        <v>270</v>
      </c>
      <c r="G9" s="213">
        <v>0.95240000000000002</v>
      </c>
      <c r="H9" s="214">
        <v>168</v>
      </c>
      <c r="I9" s="214">
        <v>160</v>
      </c>
      <c r="J9" s="214">
        <v>119</v>
      </c>
      <c r="K9" s="211" t="s">
        <v>271</v>
      </c>
      <c r="L9" s="215">
        <v>45977</v>
      </c>
      <c r="M9" s="214">
        <v>0</v>
      </c>
      <c r="N9" s="214">
        <v>0</v>
      </c>
      <c r="O9" s="214">
        <v>1</v>
      </c>
      <c r="P9" s="211" t="s">
        <v>456</v>
      </c>
      <c r="Q9" s="207"/>
      <c r="R9" s="207"/>
      <c r="S9" s="207"/>
      <c r="T9" s="207"/>
      <c r="U9" s="207"/>
      <c r="V9" s="207"/>
      <c r="W9" s="207"/>
      <c r="X9" s="207"/>
      <c r="Y9" s="214" t="s">
        <v>489</v>
      </c>
      <c r="Z9" s="214" t="s">
        <v>490</v>
      </c>
      <c r="AA9" s="207"/>
      <c r="AB9" s="207"/>
      <c r="AC9" s="214" t="s">
        <v>91</v>
      </c>
      <c r="AD9" s="214" t="s">
        <v>219</v>
      </c>
      <c r="AE9" s="214" t="s">
        <v>196</v>
      </c>
      <c r="AF9" s="214" t="s">
        <v>478</v>
      </c>
      <c r="AG9" s="207"/>
      <c r="AH9" s="207"/>
      <c r="AI9" s="214" t="s">
        <v>491</v>
      </c>
      <c r="AJ9" s="207"/>
    </row>
    <row r="10" spans="1:36" ht="21" x14ac:dyDescent="0.3">
      <c r="A10" s="216" t="s">
        <v>554</v>
      </c>
      <c r="B10" s="217"/>
      <c r="C10" s="216">
        <f>SUBTOTAL(103,JED_HBE_LF_LEGACY[Flt])</f>
        <v>8</v>
      </c>
      <c r="D10" s="216"/>
      <c r="E10" s="216">
        <f>SUBTOTAL(103,JED_HBE_LF_LEGACY[Brd-Off])</f>
        <v>8</v>
      </c>
      <c r="F10" s="216"/>
      <c r="G10" s="218">
        <f>SUBTOTAL(101,JED_HBE_LF_LEGACY[LF%])</f>
        <v>0.90606249999999988</v>
      </c>
      <c r="H10" s="219">
        <f>SUBTOTAL(109,JED_HBE_LF_LEGACY[CAP])</f>
        <v>1399</v>
      </c>
      <c r="I10" s="219">
        <f>SUBTOTAL(109,JED_HBE_LF_LEGACY[BKG(Y)])</f>
        <v>1272</v>
      </c>
      <c r="J10" s="219">
        <f>SUBTOTAL(109,JED_HBE_LF_LEGACY[GRP(Y)])</f>
        <v>1001</v>
      </c>
      <c r="K10" s="216"/>
      <c r="L10" s="217"/>
      <c r="M10" s="219">
        <f>SUBTOTAL(109,JED_HBE_LF_LEGACY[TO-DAY])</f>
        <v>0</v>
      </c>
      <c r="N10" s="219">
        <f>SUBTOTAL(109,JED_HBE_LF_LEGACY[Y-DAY])</f>
        <v>29</v>
      </c>
      <c r="O10" s="219">
        <f>SUBTOTAL(109,JED_HBE_LF_LEGACY[WEEKLY])</f>
        <v>88</v>
      </c>
      <c r="P10" s="220"/>
      <c r="Q10" s="216">
        <f>SUBTOTAL(109,JED_HBE_LF_LEGACY[Y])</f>
        <v>0</v>
      </c>
      <c r="R10" s="216">
        <f>SUBTOTAL(109,JED_HBE_LF_LEGACY[B])</f>
        <v>0</v>
      </c>
      <c r="S10" s="216">
        <f>SUBTOTAL(109,JED_HBE_LF_LEGACY[M])</f>
        <v>0</v>
      </c>
      <c r="T10" s="216">
        <f>SUBTOTAL(109,JED_HBE_LF_LEGACY[H])</f>
        <v>0</v>
      </c>
      <c r="U10" s="216">
        <f>SUBTOTAL(109,JED_HBE_LF_LEGACY[Q])</f>
        <v>0</v>
      </c>
      <c r="V10" s="216">
        <f>SUBTOTAL(109,JED_HBE_LF_LEGACY[K])</f>
        <v>0</v>
      </c>
      <c r="W10" s="216">
        <f>SUBTOTAL(109,JED_HBE_LF_LEGACY[V])</f>
        <v>0</v>
      </c>
      <c r="X10" s="216">
        <f>SUBTOTAL(109,JED_HBE_LF_LEGACY[L])</f>
        <v>0</v>
      </c>
      <c r="Y10" s="216">
        <f>SUBTOTAL(109,JED_HBE_LF_LEGACY[G])</f>
        <v>0</v>
      </c>
      <c r="Z10" s="219">
        <f>SUBTOTAL(109,JED_HBE_LF_LEGACY[S])</f>
        <v>0</v>
      </c>
      <c r="AA10" s="216">
        <f>SUBTOTAL(109,JED_HBE_LF_LEGACY[W])</f>
        <v>0</v>
      </c>
      <c r="AB10" s="216">
        <f>SUBTOTAL(109,JED_HBE_LF_LEGACY[T])</f>
        <v>0</v>
      </c>
      <c r="AC10" s="219">
        <f>SUBTOTAL(109,JED_HBE_LF_LEGACY[X])</f>
        <v>0</v>
      </c>
      <c r="AD10" s="219">
        <f>SUBTOTAL(109,JED_HBE_LF_LEGACY[U])</f>
        <v>0</v>
      </c>
      <c r="AE10" s="216">
        <f>SUBTOTAL(109,JED_HBE_LF_LEGACY[O])</f>
        <v>0</v>
      </c>
      <c r="AF10" s="216">
        <f>SUBTOTAL(109,JED_HBE_LF_LEGACY[I])</f>
        <v>0</v>
      </c>
      <c r="AG10" s="216">
        <f>SUBTOTAL(109,JED_HBE_LF_LEGACY[E])</f>
        <v>0</v>
      </c>
      <c r="AH10" s="216">
        <f>SUBTOTAL(109,JED_HBE_LF_LEGACY[A])</f>
        <v>0</v>
      </c>
      <c r="AI10" s="219">
        <f>SUBTOTAL(109,JED_HBE_LF_LEGACY[P])</f>
        <v>0</v>
      </c>
      <c r="AJ10" s="216">
        <f>SUBTOTAL(103,JED_HBE_LF_LEGACY[N])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1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127" t="s">
        <v>365</v>
      </c>
      <c r="B1" s="128" t="s">
        <v>8</v>
      </c>
      <c r="C1" s="128" t="s">
        <v>9</v>
      </c>
      <c r="D1" s="128" t="s">
        <v>366</v>
      </c>
      <c r="E1" s="128" t="s">
        <v>10</v>
      </c>
      <c r="F1" s="128" t="s">
        <v>11</v>
      </c>
      <c r="G1" s="128" t="s">
        <v>12</v>
      </c>
      <c r="H1" s="129" t="s">
        <v>13</v>
      </c>
    </row>
    <row r="2" spans="1:8" ht="19.8" customHeight="1" x14ac:dyDescent="0.3">
      <c r="A2" s="130" t="s">
        <v>367</v>
      </c>
      <c r="B2" s="131" t="s">
        <v>105</v>
      </c>
      <c r="C2" s="132" t="s">
        <v>378</v>
      </c>
      <c r="D2" s="131" t="s">
        <v>377</v>
      </c>
      <c r="E2" s="131" t="s">
        <v>492</v>
      </c>
      <c r="F2" s="131" t="s">
        <v>379</v>
      </c>
      <c r="G2" s="133">
        <v>9</v>
      </c>
      <c r="H2" s="134">
        <v>496</v>
      </c>
    </row>
    <row r="3" spans="1:8" ht="19.8" customHeight="1" x14ac:dyDescent="0.3">
      <c r="A3" s="130" t="s">
        <v>367</v>
      </c>
      <c r="B3" s="131" t="s">
        <v>35</v>
      </c>
      <c r="C3" s="132" t="s">
        <v>387</v>
      </c>
      <c r="D3" s="131" t="s">
        <v>377</v>
      </c>
      <c r="E3" s="131" t="s">
        <v>427</v>
      </c>
      <c r="F3" s="131" t="s">
        <v>388</v>
      </c>
      <c r="G3" s="133">
        <v>3</v>
      </c>
      <c r="H3" s="134">
        <v>519</v>
      </c>
    </row>
    <row r="4" spans="1:8" ht="19.8" customHeight="1" x14ac:dyDescent="0.3">
      <c r="A4" s="130" t="s">
        <v>367</v>
      </c>
      <c r="B4" s="131" t="s">
        <v>105</v>
      </c>
      <c r="C4" s="132" t="s">
        <v>378</v>
      </c>
      <c r="D4" s="131" t="s">
        <v>377</v>
      </c>
      <c r="E4" s="131" t="s">
        <v>492</v>
      </c>
      <c r="F4" s="131" t="s">
        <v>381</v>
      </c>
      <c r="G4" s="133">
        <v>9</v>
      </c>
      <c r="H4" s="134">
        <v>550</v>
      </c>
    </row>
    <row r="5" spans="1:8" ht="19.8" customHeight="1" x14ac:dyDescent="0.3">
      <c r="A5" s="130" t="s">
        <v>367</v>
      </c>
      <c r="B5" s="131" t="s">
        <v>35</v>
      </c>
      <c r="C5" s="132" t="s">
        <v>387</v>
      </c>
      <c r="D5" s="131" t="s">
        <v>377</v>
      </c>
      <c r="E5" s="131" t="s">
        <v>427</v>
      </c>
      <c r="F5" s="131" t="s">
        <v>379</v>
      </c>
      <c r="G5" s="133">
        <v>3</v>
      </c>
      <c r="H5" s="134">
        <v>578</v>
      </c>
    </row>
    <row r="6" spans="1:8" ht="19.8" customHeight="1" x14ac:dyDescent="0.3">
      <c r="A6" s="130" t="s">
        <v>367</v>
      </c>
      <c r="B6" s="131" t="s">
        <v>35</v>
      </c>
      <c r="C6" s="132" t="s">
        <v>387</v>
      </c>
      <c r="D6" s="131" t="s">
        <v>377</v>
      </c>
      <c r="E6" s="131" t="s">
        <v>427</v>
      </c>
      <c r="F6" s="131" t="s">
        <v>381</v>
      </c>
      <c r="G6" s="133">
        <v>3</v>
      </c>
      <c r="H6" s="134">
        <v>602</v>
      </c>
    </row>
    <row r="7" spans="1:8" ht="19.8" customHeight="1" x14ac:dyDescent="0.3">
      <c r="A7" s="130" t="s">
        <v>367</v>
      </c>
      <c r="B7" s="131" t="s">
        <v>105</v>
      </c>
      <c r="C7" s="132" t="s">
        <v>378</v>
      </c>
      <c r="D7" s="131" t="s">
        <v>377</v>
      </c>
      <c r="E7" s="131" t="s">
        <v>492</v>
      </c>
      <c r="F7" s="131" t="s">
        <v>43</v>
      </c>
      <c r="G7" s="133">
        <v>9</v>
      </c>
      <c r="H7" s="134">
        <v>620</v>
      </c>
    </row>
    <row r="8" spans="1:8" ht="19.8" customHeight="1" x14ac:dyDescent="0.3">
      <c r="A8" s="130" t="s">
        <v>367</v>
      </c>
      <c r="B8" s="131" t="s">
        <v>105</v>
      </c>
      <c r="C8" s="132" t="s">
        <v>384</v>
      </c>
      <c r="D8" s="131" t="s">
        <v>377</v>
      </c>
      <c r="E8" s="131" t="s">
        <v>493</v>
      </c>
      <c r="F8" s="131" t="s">
        <v>379</v>
      </c>
      <c r="G8" s="133">
        <v>9</v>
      </c>
      <c r="H8" s="134">
        <v>660</v>
      </c>
    </row>
    <row r="9" spans="1:8" ht="19.8" customHeight="1" x14ac:dyDescent="0.3">
      <c r="A9" s="130" t="s">
        <v>367</v>
      </c>
      <c r="B9" s="131" t="s">
        <v>105</v>
      </c>
      <c r="C9" s="132" t="s">
        <v>384</v>
      </c>
      <c r="D9" s="131" t="s">
        <v>377</v>
      </c>
      <c r="E9" s="131" t="s">
        <v>493</v>
      </c>
      <c r="F9" s="131" t="s">
        <v>381</v>
      </c>
      <c r="G9" s="133">
        <v>9</v>
      </c>
      <c r="H9" s="134">
        <v>726</v>
      </c>
    </row>
    <row r="10" spans="1:8" ht="19.8" customHeight="1" x14ac:dyDescent="0.3">
      <c r="A10" s="130" t="s">
        <v>367</v>
      </c>
      <c r="B10" s="131" t="s">
        <v>35</v>
      </c>
      <c r="C10" s="132" t="s">
        <v>387</v>
      </c>
      <c r="D10" s="131" t="s">
        <v>377</v>
      </c>
      <c r="E10" s="131" t="s">
        <v>427</v>
      </c>
      <c r="F10" s="131" t="s">
        <v>392</v>
      </c>
      <c r="G10" s="133">
        <v>3</v>
      </c>
      <c r="H10" s="134">
        <v>769</v>
      </c>
    </row>
    <row r="11" spans="1:8" ht="19.8" customHeight="1" x14ac:dyDescent="0.3">
      <c r="A11" s="130" t="s">
        <v>367</v>
      </c>
      <c r="B11" s="131" t="s">
        <v>105</v>
      </c>
      <c r="C11" s="132" t="s">
        <v>384</v>
      </c>
      <c r="D11" s="131" t="s">
        <v>377</v>
      </c>
      <c r="E11" s="131" t="s">
        <v>493</v>
      </c>
      <c r="F11" s="131" t="s">
        <v>43</v>
      </c>
      <c r="G11" s="133">
        <v>9</v>
      </c>
      <c r="H11" s="134">
        <v>788</v>
      </c>
    </row>
    <row r="12" spans="1:8" ht="19.8" customHeight="1" x14ac:dyDescent="0.3">
      <c r="A12" s="135" t="s">
        <v>367</v>
      </c>
      <c r="B12" s="136" t="s">
        <v>76</v>
      </c>
      <c r="C12" s="137" t="s">
        <v>394</v>
      </c>
      <c r="D12" s="136" t="s">
        <v>377</v>
      </c>
      <c r="E12" s="136" t="s">
        <v>464</v>
      </c>
      <c r="F12" s="136" t="s">
        <v>78</v>
      </c>
      <c r="G12" s="138">
        <v>1</v>
      </c>
      <c r="H12" s="139">
        <v>856</v>
      </c>
    </row>
    <row r="13" spans="1:8" ht="19.8" customHeight="1" x14ac:dyDescent="0.3">
      <c r="A13" s="140">
        <v>45986</v>
      </c>
      <c r="B13" s="131" t="s">
        <v>140</v>
      </c>
      <c r="C13" s="132" t="s">
        <v>398</v>
      </c>
      <c r="D13" s="131" t="s">
        <v>377</v>
      </c>
      <c r="E13" s="141">
        <v>1.604166666666667</v>
      </c>
      <c r="F13" s="131" t="s">
        <v>142</v>
      </c>
      <c r="G13" s="133">
        <v>9</v>
      </c>
      <c r="H13" s="134">
        <v>906</v>
      </c>
    </row>
    <row r="14" spans="1:8" ht="19.8" customHeight="1" x14ac:dyDescent="0.3">
      <c r="A14" s="140">
        <v>45986</v>
      </c>
      <c r="B14" s="131" t="s">
        <v>118</v>
      </c>
      <c r="C14" s="132" t="s">
        <v>400</v>
      </c>
      <c r="D14" s="131" t="s">
        <v>377</v>
      </c>
      <c r="E14" s="141">
        <v>1.3402777777777779</v>
      </c>
      <c r="F14" s="131" t="s">
        <v>120</v>
      </c>
      <c r="G14" s="133">
        <v>9</v>
      </c>
      <c r="H14" s="144" t="s">
        <v>401</v>
      </c>
    </row>
    <row r="15" spans="1:8" ht="19.8" customHeight="1" x14ac:dyDescent="0.3">
      <c r="A15" s="140">
        <v>45986</v>
      </c>
      <c r="B15" s="131" t="s">
        <v>118</v>
      </c>
      <c r="C15" s="132" t="s">
        <v>403</v>
      </c>
      <c r="D15" s="131" t="s">
        <v>377</v>
      </c>
      <c r="E15" s="141">
        <v>1.711805555555556</v>
      </c>
      <c r="F15" s="131" t="s">
        <v>120</v>
      </c>
      <c r="G15" s="133">
        <v>9</v>
      </c>
      <c r="H15" s="144" t="s">
        <v>401</v>
      </c>
    </row>
    <row r="16" spans="1:8" ht="19.8" customHeight="1" x14ac:dyDescent="0.3">
      <c r="A16" s="140">
        <v>45986</v>
      </c>
      <c r="B16" s="131" t="s">
        <v>118</v>
      </c>
      <c r="C16" s="132" t="s">
        <v>400</v>
      </c>
      <c r="D16" s="131" t="s">
        <v>377</v>
      </c>
      <c r="E16" s="141">
        <v>1.3402777777777779</v>
      </c>
      <c r="F16" s="131" t="s">
        <v>122</v>
      </c>
      <c r="G16" s="133">
        <v>9</v>
      </c>
      <c r="H16" s="144" t="s">
        <v>402</v>
      </c>
    </row>
    <row r="17" spans="1:8" ht="19.8" customHeight="1" x14ac:dyDescent="0.3">
      <c r="A17" s="140">
        <v>45986</v>
      </c>
      <c r="B17" s="131" t="s">
        <v>118</v>
      </c>
      <c r="C17" s="132" t="s">
        <v>403</v>
      </c>
      <c r="D17" s="131" t="s">
        <v>377</v>
      </c>
      <c r="E17" s="141">
        <v>1.711805555555556</v>
      </c>
      <c r="F17" s="131" t="s">
        <v>122</v>
      </c>
      <c r="G17" s="133">
        <v>9</v>
      </c>
      <c r="H17" s="144" t="s">
        <v>402</v>
      </c>
    </row>
    <row r="18" spans="1:8" ht="19.8" customHeight="1" x14ac:dyDescent="0.3">
      <c r="A18" s="172"/>
      <c r="B18" s="173"/>
      <c r="C18" s="173"/>
      <c r="D18" s="173"/>
      <c r="E18" s="173"/>
      <c r="F18" s="174" t="s">
        <v>494</v>
      </c>
      <c r="G18" s="173"/>
      <c r="H18" s="175"/>
    </row>
    <row r="19" spans="1:8" ht="19.8" customHeight="1" x14ac:dyDescent="0.3">
      <c r="A19" s="140">
        <v>45986</v>
      </c>
      <c r="B19" s="131" t="s">
        <v>26</v>
      </c>
      <c r="C19" s="132" t="s">
        <v>27</v>
      </c>
      <c r="D19" s="131" t="s">
        <v>1</v>
      </c>
      <c r="E19" s="141">
        <v>1.0451388888888891</v>
      </c>
      <c r="F19" s="131" t="s">
        <v>28</v>
      </c>
      <c r="G19" s="133">
        <v>1</v>
      </c>
      <c r="H19" s="134">
        <v>401</v>
      </c>
    </row>
    <row r="20" spans="1:8" ht="19.8" customHeight="1" x14ac:dyDescent="0.3">
      <c r="A20" s="140">
        <v>45986</v>
      </c>
      <c r="B20" s="131" t="s">
        <v>35</v>
      </c>
      <c r="C20" s="132" t="s">
        <v>36</v>
      </c>
      <c r="D20" s="131" t="s">
        <v>1</v>
      </c>
      <c r="E20" s="141">
        <v>1.302083333333333</v>
      </c>
      <c r="F20" s="131" t="s">
        <v>37</v>
      </c>
      <c r="G20" s="133">
        <v>2</v>
      </c>
      <c r="H20" s="134">
        <v>419</v>
      </c>
    </row>
    <row r="21" spans="1:8" ht="19.8" customHeight="1" x14ac:dyDescent="0.3">
      <c r="A21" s="140">
        <v>45986</v>
      </c>
      <c r="B21" s="131" t="s">
        <v>35</v>
      </c>
      <c r="C21" s="132" t="s">
        <v>45</v>
      </c>
      <c r="D21" s="131" t="s">
        <v>1</v>
      </c>
      <c r="E21" s="141">
        <v>1.1284722222222221</v>
      </c>
      <c r="F21" s="131" t="s">
        <v>37</v>
      </c>
      <c r="G21" s="133">
        <v>7</v>
      </c>
      <c r="H21" s="134">
        <v>419</v>
      </c>
    </row>
    <row r="22" spans="1:8" ht="19.8" customHeight="1" x14ac:dyDescent="0.3">
      <c r="A22" s="140">
        <v>45986</v>
      </c>
      <c r="B22" s="131" t="s">
        <v>35</v>
      </c>
      <c r="C22" s="132" t="s">
        <v>47</v>
      </c>
      <c r="D22" s="131" t="s">
        <v>1</v>
      </c>
      <c r="E22" s="141">
        <v>1.788194444444444</v>
      </c>
      <c r="F22" s="131" t="s">
        <v>37</v>
      </c>
      <c r="G22" s="133">
        <v>9</v>
      </c>
      <c r="H22" s="134">
        <v>419</v>
      </c>
    </row>
    <row r="23" spans="1:8" ht="19.8" customHeight="1" x14ac:dyDescent="0.3">
      <c r="A23" s="140">
        <v>45986</v>
      </c>
      <c r="B23" s="131" t="s">
        <v>35</v>
      </c>
      <c r="C23" s="132" t="s">
        <v>50</v>
      </c>
      <c r="D23" s="131" t="s">
        <v>1</v>
      </c>
      <c r="E23" s="141">
        <v>1.8888888888888891</v>
      </c>
      <c r="F23" s="131" t="s">
        <v>37</v>
      </c>
      <c r="G23" s="133">
        <v>7</v>
      </c>
      <c r="H23" s="134">
        <v>419</v>
      </c>
    </row>
    <row r="24" spans="1:8" ht="19.8" customHeight="1" x14ac:dyDescent="0.3">
      <c r="A24" s="140">
        <v>45986</v>
      </c>
      <c r="B24" s="131" t="s">
        <v>51</v>
      </c>
      <c r="C24" s="132" t="s">
        <v>52</v>
      </c>
      <c r="D24" s="131" t="s">
        <v>1</v>
      </c>
      <c r="E24" s="141">
        <v>1.9027777777777779</v>
      </c>
      <c r="F24" s="131" t="s">
        <v>53</v>
      </c>
      <c r="G24" s="133">
        <v>6</v>
      </c>
      <c r="H24" s="134">
        <v>449</v>
      </c>
    </row>
    <row r="25" spans="1:8" ht="19.8" customHeight="1" x14ac:dyDescent="0.3">
      <c r="A25" s="140">
        <v>45986</v>
      </c>
      <c r="B25" s="131" t="s">
        <v>51</v>
      </c>
      <c r="C25" s="132" t="s">
        <v>61</v>
      </c>
      <c r="D25" s="131" t="s">
        <v>1</v>
      </c>
      <c r="E25" s="141">
        <v>1.645833333333333</v>
      </c>
      <c r="F25" s="131" t="s">
        <v>53</v>
      </c>
      <c r="G25" s="133">
        <v>1</v>
      </c>
      <c r="H25" s="134">
        <v>449</v>
      </c>
    </row>
    <row r="26" spans="1:8" ht="19.8" customHeight="1" x14ac:dyDescent="0.3">
      <c r="A26" s="140">
        <v>45986</v>
      </c>
      <c r="B26" s="131" t="s">
        <v>51</v>
      </c>
      <c r="C26" s="132" t="s">
        <v>64</v>
      </c>
      <c r="D26" s="131" t="s">
        <v>1</v>
      </c>
      <c r="E26" s="141">
        <v>1.5173611111111109</v>
      </c>
      <c r="F26" s="131" t="s">
        <v>53</v>
      </c>
      <c r="G26" s="133">
        <v>2</v>
      </c>
      <c r="H26" s="134">
        <v>449</v>
      </c>
    </row>
    <row r="27" spans="1:8" ht="19.8" customHeight="1" x14ac:dyDescent="0.3">
      <c r="A27" s="140">
        <v>45986</v>
      </c>
      <c r="B27" s="131" t="s">
        <v>51</v>
      </c>
      <c r="C27" s="132" t="s">
        <v>66</v>
      </c>
      <c r="D27" s="131" t="s">
        <v>1</v>
      </c>
      <c r="E27" s="141">
        <v>1.854166666666667</v>
      </c>
      <c r="F27" s="131" t="s">
        <v>53</v>
      </c>
      <c r="G27" s="133">
        <v>5</v>
      </c>
      <c r="H27" s="134">
        <v>449</v>
      </c>
    </row>
    <row r="28" spans="1:8" ht="19.8" customHeight="1" x14ac:dyDescent="0.3">
      <c r="A28" s="151">
        <v>45986</v>
      </c>
      <c r="B28" s="152" t="s">
        <v>51</v>
      </c>
      <c r="C28" s="153" t="s">
        <v>69</v>
      </c>
      <c r="D28" s="152" t="s">
        <v>1</v>
      </c>
      <c r="E28" s="154">
        <v>1.302083333333333</v>
      </c>
      <c r="F28" s="152" t="s">
        <v>53</v>
      </c>
      <c r="G28" s="155">
        <v>2</v>
      </c>
      <c r="H28" s="176">
        <v>449</v>
      </c>
    </row>
    <row r="29" spans="1:8" ht="19.8" customHeight="1" x14ac:dyDescent="0.3">
      <c r="A29" s="140">
        <v>45987</v>
      </c>
      <c r="B29" s="131" t="s">
        <v>105</v>
      </c>
      <c r="C29" s="132" t="s">
        <v>378</v>
      </c>
      <c r="D29" s="131" t="s">
        <v>377</v>
      </c>
      <c r="E29" s="141">
        <v>1.3298611111111109</v>
      </c>
      <c r="F29" s="131" t="s">
        <v>379</v>
      </c>
      <c r="G29" s="133">
        <v>9</v>
      </c>
      <c r="H29" s="134">
        <v>496</v>
      </c>
    </row>
    <row r="30" spans="1:8" ht="19.8" customHeight="1" x14ac:dyDescent="0.3">
      <c r="A30" s="140">
        <v>45987</v>
      </c>
      <c r="B30" s="131" t="s">
        <v>105</v>
      </c>
      <c r="C30" s="132" t="s">
        <v>378</v>
      </c>
      <c r="D30" s="131" t="s">
        <v>377</v>
      </c>
      <c r="E30" s="141">
        <v>1.3298611111111109</v>
      </c>
      <c r="F30" s="131" t="s">
        <v>381</v>
      </c>
      <c r="G30" s="133">
        <v>9</v>
      </c>
      <c r="H30" s="134">
        <v>550</v>
      </c>
    </row>
    <row r="31" spans="1:8" ht="19.8" customHeight="1" x14ac:dyDescent="0.3">
      <c r="A31" s="140">
        <v>45987</v>
      </c>
      <c r="B31" s="131" t="s">
        <v>118</v>
      </c>
      <c r="C31" s="132" t="s">
        <v>403</v>
      </c>
      <c r="D31" s="131" t="s">
        <v>377</v>
      </c>
      <c r="E31" s="141">
        <v>1.711805555555556</v>
      </c>
      <c r="F31" s="131" t="s">
        <v>411</v>
      </c>
      <c r="G31" s="133">
        <v>1</v>
      </c>
      <c r="H31" s="134">
        <v>560</v>
      </c>
    </row>
    <row r="32" spans="1:8" ht="19.8" customHeight="1" x14ac:dyDescent="0.3">
      <c r="A32" s="140">
        <v>45987</v>
      </c>
      <c r="B32" s="131" t="s">
        <v>105</v>
      </c>
      <c r="C32" s="132" t="s">
        <v>378</v>
      </c>
      <c r="D32" s="131" t="s">
        <v>377</v>
      </c>
      <c r="E32" s="141">
        <v>1.3298611111111109</v>
      </c>
      <c r="F32" s="131" t="s">
        <v>43</v>
      </c>
      <c r="G32" s="133">
        <v>9</v>
      </c>
      <c r="H32" s="134">
        <v>620</v>
      </c>
    </row>
    <row r="33" spans="1:8" ht="19.8" customHeight="1" x14ac:dyDescent="0.3">
      <c r="A33" s="140">
        <v>45987</v>
      </c>
      <c r="B33" s="131" t="s">
        <v>118</v>
      </c>
      <c r="C33" s="132" t="s">
        <v>403</v>
      </c>
      <c r="D33" s="131" t="s">
        <v>377</v>
      </c>
      <c r="E33" s="141">
        <v>1.711805555555556</v>
      </c>
      <c r="F33" s="131" t="s">
        <v>120</v>
      </c>
      <c r="G33" s="133">
        <v>1</v>
      </c>
      <c r="H33" s="134">
        <v>704</v>
      </c>
    </row>
    <row r="34" spans="1:8" ht="19.8" customHeight="1" x14ac:dyDescent="0.3">
      <c r="A34" s="140">
        <v>45987</v>
      </c>
      <c r="B34" s="131" t="s">
        <v>118</v>
      </c>
      <c r="C34" s="132" t="s">
        <v>403</v>
      </c>
      <c r="D34" s="131" t="s">
        <v>377</v>
      </c>
      <c r="E34" s="141">
        <v>1.711805555555556</v>
      </c>
      <c r="F34" s="131" t="s">
        <v>122</v>
      </c>
      <c r="G34" s="133">
        <v>1</v>
      </c>
      <c r="H34" s="134">
        <v>776</v>
      </c>
    </row>
    <row r="35" spans="1:8" ht="19.8" customHeight="1" x14ac:dyDescent="0.3">
      <c r="A35" s="140">
        <v>45987</v>
      </c>
      <c r="B35" s="131" t="s">
        <v>140</v>
      </c>
      <c r="C35" s="132" t="s">
        <v>398</v>
      </c>
      <c r="D35" s="131" t="s">
        <v>377</v>
      </c>
      <c r="E35" s="141">
        <v>1.604166666666667</v>
      </c>
      <c r="F35" s="131" t="s">
        <v>142</v>
      </c>
      <c r="G35" s="133">
        <v>9</v>
      </c>
      <c r="H35" s="134">
        <v>906</v>
      </c>
    </row>
    <row r="36" spans="1:8" ht="19.8" customHeight="1" x14ac:dyDescent="0.3">
      <c r="A36" s="142">
        <v>45987</v>
      </c>
      <c r="B36" s="136" t="s">
        <v>76</v>
      </c>
      <c r="C36" s="137" t="s">
        <v>415</v>
      </c>
      <c r="D36" s="136" t="s">
        <v>377</v>
      </c>
      <c r="E36" s="143">
        <v>1.4097222222222221</v>
      </c>
      <c r="F36" s="136" t="s">
        <v>78</v>
      </c>
      <c r="G36" s="138">
        <v>5</v>
      </c>
      <c r="H36" s="139">
        <v>952</v>
      </c>
    </row>
    <row r="37" spans="1:8" ht="19.8" customHeight="1" x14ac:dyDescent="0.3">
      <c r="A37" s="142">
        <v>45987</v>
      </c>
      <c r="B37" s="136" t="s">
        <v>76</v>
      </c>
      <c r="C37" s="137" t="s">
        <v>396</v>
      </c>
      <c r="D37" s="136" t="s">
        <v>377</v>
      </c>
      <c r="E37" s="143">
        <v>1.65625</v>
      </c>
      <c r="F37" s="136" t="s">
        <v>99</v>
      </c>
      <c r="G37" s="136"/>
      <c r="H37" s="145" t="s">
        <v>100</v>
      </c>
    </row>
    <row r="38" spans="1:8" ht="19.8" customHeight="1" x14ac:dyDescent="0.3">
      <c r="A38" s="142">
        <v>45987</v>
      </c>
      <c r="B38" s="136" t="s">
        <v>76</v>
      </c>
      <c r="C38" s="137" t="s">
        <v>422</v>
      </c>
      <c r="D38" s="136" t="s">
        <v>377</v>
      </c>
      <c r="E38" s="143">
        <v>1.71875</v>
      </c>
      <c r="F38" s="136" t="s">
        <v>99</v>
      </c>
      <c r="G38" s="136"/>
      <c r="H38" s="145" t="s">
        <v>100</v>
      </c>
    </row>
    <row r="39" spans="1:8" ht="19.8" customHeight="1" x14ac:dyDescent="0.3">
      <c r="A39" s="172"/>
      <c r="B39" s="173"/>
      <c r="C39" s="173"/>
      <c r="D39" s="173"/>
      <c r="E39" s="173"/>
      <c r="F39" s="174" t="s">
        <v>494</v>
      </c>
      <c r="G39" s="173"/>
      <c r="H39" s="175"/>
    </row>
    <row r="40" spans="1:8" ht="19.8" customHeight="1" x14ac:dyDescent="0.3">
      <c r="A40" s="140">
        <v>45987</v>
      </c>
      <c r="B40" s="131" t="s">
        <v>35</v>
      </c>
      <c r="C40" s="132" t="s">
        <v>45</v>
      </c>
      <c r="D40" s="131" t="s">
        <v>1</v>
      </c>
      <c r="E40" s="141">
        <v>1.1284722222222221</v>
      </c>
      <c r="F40" s="131" t="s">
        <v>37</v>
      </c>
      <c r="G40" s="133">
        <v>10</v>
      </c>
      <c r="H40" s="134">
        <v>389</v>
      </c>
    </row>
    <row r="41" spans="1:8" ht="19.8" customHeight="1" x14ac:dyDescent="0.3">
      <c r="A41" s="140">
        <v>45987</v>
      </c>
      <c r="B41" s="131" t="s">
        <v>35</v>
      </c>
      <c r="C41" s="132" t="s">
        <v>50</v>
      </c>
      <c r="D41" s="131" t="s">
        <v>1</v>
      </c>
      <c r="E41" s="141">
        <v>1.8888888888888891</v>
      </c>
      <c r="F41" s="131" t="s">
        <v>37</v>
      </c>
      <c r="G41" s="133">
        <v>7</v>
      </c>
      <c r="H41" s="134">
        <v>389</v>
      </c>
    </row>
    <row r="42" spans="1:8" ht="19.8" customHeight="1" x14ac:dyDescent="0.3">
      <c r="A42" s="140">
        <v>45987</v>
      </c>
      <c r="B42" s="131" t="s">
        <v>26</v>
      </c>
      <c r="C42" s="132" t="s">
        <v>31</v>
      </c>
      <c r="D42" s="131" t="s">
        <v>1</v>
      </c>
      <c r="E42" s="141">
        <v>1.9375</v>
      </c>
      <c r="F42" s="131" t="s">
        <v>28</v>
      </c>
      <c r="G42" s="133">
        <v>1</v>
      </c>
      <c r="H42" s="134">
        <v>401</v>
      </c>
    </row>
    <row r="43" spans="1:8" ht="19.8" customHeight="1" x14ac:dyDescent="0.3">
      <c r="A43" s="140">
        <v>45987</v>
      </c>
      <c r="B43" s="131" t="s">
        <v>26</v>
      </c>
      <c r="C43" s="132" t="s">
        <v>34</v>
      </c>
      <c r="D43" s="131" t="s">
        <v>1</v>
      </c>
      <c r="E43" s="141">
        <v>1.3715277777777779</v>
      </c>
      <c r="F43" s="131" t="s">
        <v>28</v>
      </c>
      <c r="G43" s="133">
        <v>4</v>
      </c>
      <c r="H43" s="134">
        <v>401</v>
      </c>
    </row>
    <row r="44" spans="1:8" ht="19.8" customHeight="1" x14ac:dyDescent="0.3">
      <c r="A44" s="140">
        <v>45987</v>
      </c>
      <c r="B44" s="131" t="s">
        <v>51</v>
      </c>
      <c r="C44" s="132" t="s">
        <v>71</v>
      </c>
      <c r="D44" s="131" t="s">
        <v>1</v>
      </c>
      <c r="E44" s="141">
        <v>1.256944444444444</v>
      </c>
      <c r="F44" s="131" t="s">
        <v>53</v>
      </c>
      <c r="G44" s="133">
        <v>3</v>
      </c>
      <c r="H44" s="134">
        <v>409</v>
      </c>
    </row>
    <row r="45" spans="1:8" ht="19.8" customHeight="1" x14ac:dyDescent="0.3">
      <c r="A45" s="140">
        <v>45987</v>
      </c>
      <c r="B45" s="131" t="s">
        <v>51</v>
      </c>
      <c r="C45" s="132" t="s">
        <v>69</v>
      </c>
      <c r="D45" s="131" t="s">
        <v>1</v>
      </c>
      <c r="E45" s="141">
        <v>1.302083333333333</v>
      </c>
      <c r="F45" s="131" t="s">
        <v>53</v>
      </c>
      <c r="G45" s="133">
        <v>2</v>
      </c>
      <c r="H45" s="134">
        <v>409</v>
      </c>
    </row>
    <row r="46" spans="1:8" ht="19.8" customHeight="1" x14ac:dyDescent="0.3">
      <c r="A46" s="140">
        <v>45987</v>
      </c>
      <c r="B46" s="131" t="s">
        <v>35</v>
      </c>
      <c r="C46" s="132" t="s">
        <v>36</v>
      </c>
      <c r="D46" s="131" t="s">
        <v>1</v>
      </c>
      <c r="E46" s="141">
        <v>1.302083333333333</v>
      </c>
      <c r="F46" s="131" t="s">
        <v>37</v>
      </c>
      <c r="G46" s="133">
        <v>6</v>
      </c>
      <c r="H46" s="134">
        <v>419</v>
      </c>
    </row>
    <row r="47" spans="1:8" ht="19.8" customHeight="1" x14ac:dyDescent="0.3">
      <c r="A47" s="140">
        <v>45987</v>
      </c>
      <c r="B47" s="131" t="s">
        <v>35</v>
      </c>
      <c r="C47" s="132" t="s">
        <v>47</v>
      </c>
      <c r="D47" s="131" t="s">
        <v>1</v>
      </c>
      <c r="E47" s="141">
        <v>1.788194444444444</v>
      </c>
      <c r="F47" s="131" t="s">
        <v>37</v>
      </c>
      <c r="G47" s="133">
        <v>8</v>
      </c>
      <c r="H47" s="134">
        <v>419</v>
      </c>
    </row>
    <row r="48" spans="1:8" ht="19.8" customHeight="1" x14ac:dyDescent="0.3">
      <c r="A48" s="140">
        <v>45987</v>
      </c>
      <c r="B48" s="131" t="s">
        <v>51</v>
      </c>
      <c r="C48" s="132" t="s">
        <v>52</v>
      </c>
      <c r="D48" s="131" t="s">
        <v>1</v>
      </c>
      <c r="E48" s="141">
        <v>1.9027777777777779</v>
      </c>
      <c r="F48" s="131" t="s">
        <v>53</v>
      </c>
      <c r="G48" s="133">
        <v>6</v>
      </c>
      <c r="H48" s="134">
        <v>449</v>
      </c>
    </row>
    <row r="49" spans="1:8" ht="19.8" customHeight="1" x14ac:dyDescent="0.3">
      <c r="A49" s="151">
        <v>45987</v>
      </c>
      <c r="B49" s="152" t="s">
        <v>51</v>
      </c>
      <c r="C49" s="153" t="s">
        <v>61</v>
      </c>
      <c r="D49" s="152" t="s">
        <v>1</v>
      </c>
      <c r="E49" s="154">
        <v>1.645833333333333</v>
      </c>
      <c r="F49" s="152" t="s">
        <v>53</v>
      </c>
      <c r="G49" s="155">
        <v>1</v>
      </c>
      <c r="H49" s="176">
        <v>449</v>
      </c>
    </row>
    <row r="50" spans="1:8" ht="19.8" customHeight="1" x14ac:dyDescent="0.3">
      <c r="A50" s="140">
        <v>45988</v>
      </c>
      <c r="B50" s="131" t="s">
        <v>105</v>
      </c>
      <c r="C50" s="132" t="s">
        <v>384</v>
      </c>
      <c r="D50" s="131" t="s">
        <v>377</v>
      </c>
      <c r="E50" s="141">
        <v>1.5277777777777779</v>
      </c>
      <c r="F50" s="131" t="s">
        <v>379</v>
      </c>
      <c r="G50" s="133">
        <v>9</v>
      </c>
      <c r="H50" s="134">
        <v>459</v>
      </c>
    </row>
    <row r="51" spans="1:8" ht="19.8" customHeight="1" x14ac:dyDescent="0.3">
      <c r="A51" s="140">
        <v>45988</v>
      </c>
      <c r="B51" s="131" t="s">
        <v>105</v>
      </c>
      <c r="C51" s="132" t="s">
        <v>432</v>
      </c>
      <c r="D51" s="131" t="s">
        <v>377</v>
      </c>
      <c r="E51" s="141">
        <v>1.7986111111111109</v>
      </c>
      <c r="F51" s="131" t="s">
        <v>379</v>
      </c>
      <c r="G51" s="133">
        <v>9</v>
      </c>
      <c r="H51" s="134">
        <v>470</v>
      </c>
    </row>
    <row r="52" spans="1:8" ht="19.8" customHeight="1" x14ac:dyDescent="0.3">
      <c r="A52" s="140">
        <v>45988</v>
      </c>
      <c r="B52" s="131" t="s">
        <v>105</v>
      </c>
      <c r="C52" s="132" t="s">
        <v>384</v>
      </c>
      <c r="D52" s="131" t="s">
        <v>377</v>
      </c>
      <c r="E52" s="141">
        <v>1.5277777777777779</v>
      </c>
      <c r="F52" s="131" t="s">
        <v>381</v>
      </c>
      <c r="G52" s="133">
        <v>9</v>
      </c>
      <c r="H52" s="134">
        <v>513</v>
      </c>
    </row>
    <row r="53" spans="1:8" ht="19.8" customHeight="1" x14ac:dyDescent="0.3">
      <c r="A53" s="140">
        <v>45988</v>
      </c>
      <c r="B53" s="131" t="s">
        <v>105</v>
      </c>
      <c r="C53" s="132" t="s">
        <v>432</v>
      </c>
      <c r="D53" s="131" t="s">
        <v>377</v>
      </c>
      <c r="E53" s="141">
        <v>1.7986111111111109</v>
      </c>
      <c r="F53" s="131" t="s">
        <v>381</v>
      </c>
      <c r="G53" s="133">
        <v>9</v>
      </c>
      <c r="H53" s="134">
        <v>524</v>
      </c>
    </row>
    <row r="54" spans="1:8" ht="19.8" customHeight="1" x14ac:dyDescent="0.3">
      <c r="A54" s="140">
        <v>45988</v>
      </c>
      <c r="B54" s="131" t="s">
        <v>118</v>
      </c>
      <c r="C54" s="132" t="s">
        <v>400</v>
      </c>
      <c r="D54" s="131" t="s">
        <v>377</v>
      </c>
      <c r="E54" s="141">
        <v>1.3402777777777779</v>
      </c>
      <c r="F54" s="131" t="s">
        <v>411</v>
      </c>
      <c r="G54" s="133">
        <v>9</v>
      </c>
      <c r="H54" s="134">
        <v>560</v>
      </c>
    </row>
    <row r="55" spans="1:8" ht="19.8" customHeight="1" x14ac:dyDescent="0.3">
      <c r="A55" s="140">
        <v>45988</v>
      </c>
      <c r="B55" s="131" t="s">
        <v>105</v>
      </c>
      <c r="C55" s="132" t="s">
        <v>384</v>
      </c>
      <c r="D55" s="131" t="s">
        <v>377</v>
      </c>
      <c r="E55" s="141">
        <v>1.5277777777777779</v>
      </c>
      <c r="F55" s="131" t="s">
        <v>43</v>
      </c>
      <c r="G55" s="133">
        <v>9</v>
      </c>
      <c r="H55" s="134">
        <v>582</v>
      </c>
    </row>
    <row r="56" spans="1:8" ht="19.8" customHeight="1" x14ac:dyDescent="0.3">
      <c r="A56" s="140">
        <v>45988</v>
      </c>
      <c r="B56" s="131" t="s">
        <v>105</v>
      </c>
      <c r="C56" s="132" t="s">
        <v>432</v>
      </c>
      <c r="D56" s="131" t="s">
        <v>377</v>
      </c>
      <c r="E56" s="141">
        <v>1.7986111111111109</v>
      </c>
      <c r="F56" s="131" t="s">
        <v>43</v>
      </c>
      <c r="G56" s="133">
        <v>9</v>
      </c>
      <c r="H56" s="134">
        <v>593</v>
      </c>
    </row>
    <row r="57" spans="1:8" ht="19.8" customHeight="1" x14ac:dyDescent="0.3">
      <c r="A57" s="140">
        <v>45988</v>
      </c>
      <c r="B57" s="131" t="s">
        <v>118</v>
      </c>
      <c r="C57" s="132" t="s">
        <v>400</v>
      </c>
      <c r="D57" s="131" t="s">
        <v>377</v>
      </c>
      <c r="E57" s="141">
        <v>1.3402777777777779</v>
      </c>
      <c r="F57" s="131" t="s">
        <v>120</v>
      </c>
      <c r="G57" s="133">
        <v>9</v>
      </c>
      <c r="H57" s="134">
        <v>704</v>
      </c>
    </row>
    <row r="58" spans="1:8" ht="19.8" customHeight="1" x14ac:dyDescent="0.3">
      <c r="A58" s="140">
        <v>45988</v>
      </c>
      <c r="B58" s="131" t="s">
        <v>118</v>
      </c>
      <c r="C58" s="132" t="s">
        <v>400</v>
      </c>
      <c r="D58" s="131" t="s">
        <v>377</v>
      </c>
      <c r="E58" s="141">
        <v>1.3402777777777779</v>
      </c>
      <c r="F58" s="131" t="s">
        <v>122</v>
      </c>
      <c r="G58" s="133">
        <v>9</v>
      </c>
      <c r="H58" s="134">
        <v>776</v>
      </c>
    </row>
    <row r="59" spans="1:8" ht="19.8" customHeight="1" x14ac:dyDescent="0.3">
      <c r="A59" s="142">
        <v>45988</v>
      </c>
      <c r="B59" s="136" t="s">
        <v>76</v>
      </c>
      <c r="C59" s="137" t="s">
        <v>394</v>
      </c>
      <c r="D59" s="136" t="s">
        <v>377</v>
      </c>
      <c r="E59" s="143">
        <v>1.274305555555556</v>
      </c>
      <c r="F59" s="136" t="s">
        <v>78</v>
      </c>
      <c r="G59" s="138">
        <v>6</v>
      </c>
      <c r="H59" s="139">
        <v>856</v>
      </c>
    </row>
    <row r="60" spans="1:8" ht="19.8" customHeight="1" x14ac:dyDescent="0.3">
      <c r="A60" s="172"/>
      <c r="B60" s="173"/>
      <c r="C60" s="173"/>
      <c r="D60" s="173"/>
      <c r="E60" s="173"/>
      <c r="F60" s="174" t="s">
        <v>494</v>
      </c>
      <c r="G60" s="173"/>
      <c r="H60" s="175"/>
    </row>
    <row r="61" spans="1:8" ht="19.8" customHeight="1" x14ac:dyDescent="0.3">
      <c r="A61" s="140">
        <v>45988</v>
      </c>
      <c r="B61" s="131" t="s">
        <v>35</v>
      </c>
      <c r="C61" s="132" t="s">
        <v>45</v>
      </c>
      <c r="D61" s="131" t="s">
        <v>1</v>
      </c>
      <c r="E61" s="141">
        <v>1.1284722222222221</v>
      </c>
      <c r="F61" s="131" t="s">
        <v>37</v>
      </c>
      <c r="G61" s="133">
        <v>6</v>
      </c>
      <c r="H61" s="134">
        <v>359</v>
      </c>
    </row>
    <row r="62" spans="1:8" ht="19.8" customHeight="1" x14ac:dyDescent="0.3">
      <c r="A62" s="140">
        <v>45988</v>
      </c>
      <c r="B62" s="131" t="s">
        <v>35</v>
      </c>
      <c r="C62" s="132" t="s">
        <v>36</v>
      </c>
      <c r="D62" s="131" t="s">
        <v>1</v>
      </c>
      <c r="E62" s="141">
        <v>1.302083333333333</v>
      </c>
      <c r="F62" s="131" t="s">
        <v>37</v>
      </c>
      <c r="G62" s="133">
        <v>6</v>
      </c>
      <c r="H62" s="134">
        <v>389</v>
      </c>
    </row>
    <row r="63" spans="1:8" ht="19.8" customHeight="1" x14ac:dyDescent="0.3">
      <c r="A63" s="140">
        <v>45988</v>
      </c>
      <c r="B63" s="131" t="s">
        <v>35</v>
      </c>
      <c r="C63" s="132" t="s">
        <v>47</v>
      </c>
      <c r="D63" s="131" t="s">
        <v>1</v>
      </c>
      <c r="E63" s="141">
        <v>1.788194444444444</v>
      </c>
      <c r="F63" s="131" t="s">
        <v>37</v>
      </c>
      <c r="G63" s="133">
        <v>9</v>
      </c>
      <c r="H63" s="134">
        <v>389</v>
      </c>
    </row>
    <row r="64" spans="1:8" ht="19.8" customHeight="1" x14ac:dyDescent="0.3">
      <c r="A64" s="140">
        <v>45988</v>
      </c>
      <c r="B64" s="131" t="s">
        <v>35</v>
      </c>
      <c r="C64" s="132" t="s">
        <v>50</v>
      </c>
      <c r="D64" s="131" t="s">
        <v>1</v>
      </c>
      <c r="E64" s="141">
        <v>1.8888888888888891</v>
      </c>
      <c r="F64" s="131" t="s">
        <v>37</v>
      </c>
      <c r="G64" s="133">
        <v>8</v>
      </c>
      <c r="H64" s="134">
        <v>389</v>
      </c>
    </row>
    <row r="65" spans="1:8" ht="19.8" customHeight="1" x14ac:dyDescent="0.3">
      <c r="A65" s="140">
        <v>45988</v>
      </c>
      <c r="B65" s="131" t="s">
        <v>111</v>
      </c>
      <c r="C65" s="132" t="s">
        <v>112</v>
      </c>
      <c r="D65" s="131" t="s">
        <v>1</v>
      </c>
      <c r="E65" s="141">
        <v>1.291666666666667</v>
      </c>
      <c r="F65" s="131" t="s">
        <v>28</v>
      </c>
      <c r="G65" s="133">
        <v>9</v>
      </c>
      <c r="H65" s="134">
        <v>400</v>
      </c>
    </row>
    <row r="66" spans="1:8" ht="19.8" customHeight="1" x14ac:dyDescent="0.3">
      <c r="A66" s="140">
        <v>45988</v>
      </c>
      <c r="B66" s="131" t="s">
        <v>111</v>
      </c>
      <c r="C66" s="132" t="s">
        <v>115</v>
      </c>
      <c r="D66" s="131" t="s">
        <v>1</v>
      </c>
      <c r="E66" s="141">
        <v>1.59375</v>
      </c>
      <c r="F66" s="131" t="s">
        <v>28</v>
      </c>
      <c r="G66" s="133">
        <v>9</v>
      </c>
      <c r="H66" s="134">
        <v>400</v>
      </c>
    </row>
    <row r="67" spans="1:8" ht="19.8" customHeight="1" x14ac:dyDescent="0.3">
      <c r="A67" s="140">
        <v>45988</v>
      </c>
      <c r="B67" s="131" t="s">
        <v>76</v>
      </c>
      <c r="C67" s="132" t="s">
        <v>187</v>
      </c>
      <c r="D67" s="131" t="s">
        <v>1</v>
      </c>
      <c r="E67" s="141">
        <v>1.2534722222222221</v>
      </c>
      <c r="F67" s="131" t="s">
        <v>78</v>
      </c>
      <c r="G67" s="133">
        <v>1</v>
      </c>
      <c r="H67" s="134">
        <v>401</v>
      </c>
    </row>
    <row r="68" spans="1:8" ht="19.8" customHeight="1" x14ac:dyDescent="0.3">
      <c r="A68" s="140">
        <v>45988</v>
      </c>
      <c r="B68" s="131" t="s">
        <v>51</v>
      </c>
      <c r="C68" s="132" t="s">
        <v>52</v>
      </c>
      <c r="D68" s="131" t="s">
        <v>1</v>
      </c>
      <c r="E68" s="141">
        <v>1.9027777777777779</v>
      </c>
      <c r="F68" s="131" t="s">
        <v>53</v>
      </c>
      <c r="G68" s="133">
        <v>1</v>
      </c>
      <c r="H68" s="134">
        <v>409</v>
      </c>
    </row>
    <row r="69" spans="1:8" ht="19.8" customHeight="1" x14ac:dyDescent="0.3">
      <c r="A69" s="140">
        <v>45988</v>
      </c>
      <c r="B69" s="131" t="s">
        <v>51</v>
      </c>
      <c r="C69" s="132" t="s">
        <v>61</v>
      </c>
      <c r="D69" s="131" t="s">
        <v>1</v>
      </c>
      <c r="E69" s="141">
        <v>1.6597222222222221</v>
      </c>
      <c r="F69" s="131" t="s">
        <v>53</v>
      </c>
      <c r="G69" s="133">
        <v>9</v>
      </c>
      <c r="H69" s="134">
        <v>409</v>
      </c>
    </row>
    <row r="70" spans="1:8" ht="19.8" customHeight="1" x14ac:dyDescent="0.3">
      <c r="A70" s="151">
        <v>45988</v>
      </c>
      <c r="B70" s="152" t="s">
        <v>51</v>
      </c>
      <c r="C70" s="153" t="s">
        <v>64</v>
      </c>
      <c r="D70" s="152" t="s">
        <v>1</v>
      </c>
      <c r="E70" s="154">
        <v>1.5173611111111109</v>
      </c>
      <c r="F70" s="152" t="s">
        <v>53</v>
      </c>
      <c r="G70" s="155">
        <v>9</v>
      </c>
      <c r="H70" s="176">
        <v>409</v>
      </c>
    </row>
    <row r="71" spans="1:8" ht="19.8" customHeight="1" x14ac:dyDescent="0.3">
      <c r="A71" s="140">
        <v>45989</v>
      </c>
      <c r="B71" s="131" t="s">
        <v>105</v>
      </c>
      <c r="C71" s="132" t="s">
        <v>378</v>
      </c>
      <c r="D71" s="131" t="s">
        <v>377</v>
      </c>
      <c r="E71" s="141">
        <v>1.1875</v>
      </c>
      <c r="F71" s="131" t="s">
        <v>379</v>
      </c>
      <c r="G71" s="133">
        <v>9</v>
      </c>
      <c r="H71" s="134">
        <v>465</v>
      </c>
    </row>
    <row r="72" spans="1:8" ht="19.8" customHeight="1" x14ac:dyDescent="0.3">
      <c r="A72" s="140">
        <v>45989</v>
      </c>
      <c r="B72" s="131" t="s">
        <v>105</v>
      </c>
      <c r="C72" s="132" t="s">
        <v>378</v>
      </c>
      <c r="D72" s="131" t="s">
        <v>377</v>
      </c>
      <c r="E72" s="141">
        <v>1.1875</v>
      </c>
      <c r="F72" s="131" t="s">
        <v>381</v>
      </c>
      <c r="G72" s="133">
        <v>9</v>
      </c>
      <c r="H72" s="134">
        <v>509</v>
      </c>
    </row>
    <row r="73" spans="1:8" ht="19.8" customHeight="1" x14ac:dyDescent="0.3">
      <c r="A73" s="142">
        <v>45989</v>
      </c>
      <c r="B73" s="136" t="s">
        <v>76</v>
      </c>
      <c r="C73" s="137" t="s">
        <v>394</v>
      </c>
      <c r="D73" s="136" t="s">
        <v>377</v>
      </c>
      <c r="E73" s="143">
        <v>1.416666666666667</v>
      </c>
      <c r="F73" s="136" t="s">
        <v>78</v>
      </c>
      <c r="G73" s="138">
        <v>7</v>
      </c>
      <c r="H73" s="139">
        <v>646</v>
      </c>
    </row>
    <row r="74" spans="1:8" ht="19.8" customHeight="1" x14ac:dyDescent="0.3">
      <c r="A74" s="140">
        <v>45989</v>
      </c>
      <c r="B74" s="131" t="s">
        <v>105</v>
      </c>
      <c r="C74" s="132" t="s">
        <v>378</v>
      </c>
      <c r="D74" s="131" t="s">
        <v>377</v>
      </c>
      <c r="E74" s="141">
        <v>1.1875</v>
      </c>
      <c r="F74" s="131" t="s">
        <v>43</v>
      </c>
      <c r="G74" s="133">
        <v>9</v>
      </c>
      <c r="H74" s="134">
        <v>691</v>
      </c>
    </row>
    <row r="75" spans="1:8" ht="19.8" customHeight="1" x14ac:dyDescent="0.3">
      <c r="A75" s="140">
        <v>45989</v>
      </c>
      <c r="B75" s="131" t="s">
        <v>118</v>
      </c>
      <c r="C75" s="132" t="s">
        <v>403</v>
      </c>
      <c r="D75" s="131" t="s">
        <v>377</v>
      </c>
      <c r="E75" s="141">
        <v>1.711805555555556</v>
      </c>
      <c r="F75" s="131" t="s">
        <v>120</v>
      </c>
      <c r="G75" s="133">
        <v>4</v>
      </c>
      <c r="H75" s="144" t="s">
        <v>401</v>
      </c>
    </row>
    <row r="76" spans="1:8" ht="19.8" customHeight="1" x14ac:dyDescent="0.3">
      <c r="A76" s="140">
        <v>45989</v>
      </c>
      <c r="B76" s="131" t="s">
        <v>118</v>
      </c>
      <c r="C76" s="132" t="s">
        <v>403</v>
      </c>
      <c r="D76" s="131" t="s">
        <v>377</v>
      </c>
      <c r="E76" s="141">
        <v>1.711805555555556</v>
      </c>
      <c r="F76" s="131" t="s">
        <v>122</v>
      </c>
      <c r="G76" s="133">
        <v>4</v>
      </c>
      <c r="H76" s="144" t="s">
        <v>402</v>
      </c>
    </row>
    <row r="77" spans="1:8" ht="19.8" customHeight="1" x14ac:dyDescent="0.3">
      <c r="A77" s="172"/>
      <c r="B77" s="173"/>
      <c r="C77" s="173"/>
      <c r="D77" s="173"/>
      <c r="E77" s="173"/>
      <c r="F77" s="174" t="s">
        <v>494</v>
      </c>
      <c r="G77" s="173"/>
      <c r="H77" s="175"/>
    </row>
    <row r="78" spans="1:8" ht="19.8" customHeight="1" x14ac:dyDescent="0.3">
      <c r="A78" s="140">
        <v>45989</v>
      </c>
      <c r="B78" s="131" t="s">
        <v>35</v>
      </c>
      <c r="C78" s="132" t="s">
        <v>36</v>
      </c>
      <c r="D78" s="131" t="s">
        <v>1</v>
      </c>
      <c r="E78" s="141">
        <v>1.302083333333333</v>
      </c>
      <c r="F78" s="131" t="s">
        <v>37</v>
      </c>
      <c r="G78" s="133">
        <v>3</v>
      </c>
      <c r="H78" s="134">
        <v>359</v>
      </c>
    </row>
    <row r="79" spans="1:8" ht="19.8" customHeight="1" x14ac:dyDescent="0.3">
      <c r="A79" s="140">
        <v>45989</v>
      </c>
      <c r="B79" s="131" t="s">
        <v>35</v>
      </c>
      <c r="C79" s="132" t="s">
        <v>45</v>
      </c>
      <c r="D79" s="131" t="s">
        <v>1</v>
      </c>
      <c r="E79" s="141">
        <v>1.1284722222222221</v>
      </c>
      <c r="F79" s="131" t="s">
        <v>37</v>
      </c>
      <c r="G79" s="133">
        <v>5</v>
      </c>
      <c r="H79" s="134">
        <v>359</v>
      </c>
    </row>
    <row r="80" spans="1:8" ht="19.8" customHeight="1" x14ac:dyDescent="0.3">
      <c r="A80" s="140">
        <v>45989</v>
      </c>
      <c r="B80" s="131" t="s">
        <v>35</v>
      </c>
      <c r="C80" s="132" t="s">
        <v>47</v>
      </c>
      <c r="D80" s="131" t="s">
        <v>1</v>
      </c>
      <c r="E80" s="141">
        <v>1.788194444444444</v>
      </c>
      <c r="F80" s="131" t="s">
        <v>37</v>
      </c>
      <c r="G80" s="133">
        <v>4</v>
      </c>
      <c r="H80" s="134">
        <v>389</v>
      </c>
    </row>
    <row r="81" spans="1:8" ht="19.8" customHeight="1" x14ac:dyDescent="0.3">
      <c r="A81" s="140">
        <v>45989</v>
      </c>
      <c r="B81" s="131" t="s">
        <v>35</v>
      </c>
      <c r="C81" s="132" t="s">
        <v>50</v>
      </c>
      <c r="D81" s="131" t="s">
        <v>1</v>
      </c>
      <c r="E81" s="141">
        <v>1.8888888888888891</v>
      </c>
      <c r="F81" s="131" t="s">
        <v>37</v>
      </c>
      <c r="G81" s="133">
        <v>8</v>
      </c>
      <c r="H81" s="134">
        <v>389</v>
      </c>
    </row>
    <row r="82" spans="1:8" ht="19.8" customHeight="1" x14ac:dyDescent="0.3">
      <c r="A82" s="140">
        <v>45989</v>
      </c>
      <c r="B82" s="131" t="s">
        <v>51</v>
      </c>
      <c r="C82" s="132" t="s">
        <v>52</v>
      </c>
      <c r="D82" s="131" t="s">
        <v>1</v>
      </c>
      <c r="E82" s="141">
        <v>1.9027777777777779</v>
      </c>
      <c r="F82" s="131" t="s">
        <v>53</v>
      </c>
      <c r="G82" s="133">
        <v>1</v>
      </c>
      <c r="H82" s="134">
        <v>409</v>
      </c>
    </row>
    <row r="83" spans="1:8" ht="19.8" customHeight="1" x14ac:dyDescent="0.3">
      <c r="A83" s="140">
        <v>45989</v>
      </c>
      <c r="B83" s="131" t="s">
        <v>51</v>
      </c>
      <c r="C83" s="132" t="s">
        <v>64</v>
      </c>
      <c r="D83" s="131" t="s">
        <v>1</v>
      </c>
      <c r="E83" s="141">
        <v>1.5173611111111109</v>
      </c>
      <c r="F83" s="131" t="s">
        <v>53</v>
      </c>
      <c r="G83" s="133">
        <v>2</v>
      </c>
      <c r="H83" s="134">
        <v>409</v>
      </c>
    </row>
    <row r="84" spans="1:8" ht="19.8" customHeight="1" x14ac:dyDescent="0.3">
      <c r="A84" s="140">
        <v>45989</v>
      </c>
      <c r="B84" s="131" t="s">
        <v>51</v>
      </c>
      <c r="C84" s="132" t="s">
        <v>75</v>
      </c>
      <c r="D84" s="131" t="s">
        <v>1</v>
      </c>
      <c r="E84" s="141">
        <v>1.395833333333333</v>
      </c>
      <c r="F84" s="131" t="s">
        <v>53</v>
      </c>
      <c r="G84" s="133">
        <v>2</v>
      </c>
      <c r="H84" s="134">
        <v>409</v>
      </c>
    </row>
    <row r="85" spans="1:8" ht="19.8" customHeight="1" x14ac:dyDescent="0.3">
      <c r="A85" s="140">
        <v>45989</v>
      </c>
      <c r="B85" s="131" t="s">
        <v>51</v>
      </c>
      <c r="C85" s="132" t="s">
        <v>70</v>
      </c>
      <c r="D85" s="131" t="s">
        <v>1</v>
      </c>
      <c r="E85" s="141">
        <v>1.7986111111111109</v>
      </c>
      <c r="F85" s="131" t="s">
        <v>53</v>
      </c>
      <c r="G85" s="133">
        <v>1</v>
      </c>
      <c r="H85" s="134">
        <v>409</v>
      </c>
    </row>
    <row r="86" spans="1:8" ht="19.8" customHeight="1" x14ac:dyDescent="0.3">
      <c r="A86" s="140">
        <v>45989</v>
      </c>
      <c r="B86" s="131" t="s">
        <v>76</v>
      </c>
      <c r="C86" s="132" t="s">
        <v>77</v>
      </c>
      <c r="D86" s="131" t="s">
        <v>1</v>
      </c>
      <c r="E86" s="141">
        <v>1.319444444444444</v>
      </c>
      <c r="F86" s="131" t="s">
        <v>78</v>
      </c>
      <c r="G86" s="133">
        <v>1</v>
      </c>
      <c r="H86" s="134">
        <v>436</v>
      </c>
    </row>
    <row r="87" spans="1:8" ht="19.8" customHeight="1" x14ac:dyDescent="0.3">
      <c r="A87" s="151">
        <v>45989</v>
      </c>
      <c r="B87" s="152" t="s">
        <v>76</v>
      </c>
      <c r="C87" s="153" t="s">
        <v>93</v>
      </c>
      <c r="D87" s="152" t="s">
        <v>1</v>
      </c>
      <c r="E87" s="154">
        <v>1.458333333333333</v>
      </c>
      <c r="F87" s="152" t="s">
        <v>78</v>
      </c>
      <c r="G87" s="155">
        <v>9</v>
      </c>
      <c r="H87" s="176">
        <v>436</v>
      </c>
    </row>
    <row r="88" spans="1:8" ht="19.8" customHeight="1" x14ac:dyDescent="0.3">
      <c r="A88" s="140">
        <v>45990</v>
      </c>
      <c r="B88" s="131" t="s">
        <v>35</v>
      </c>
      <c r="C88" s="132" t="s">
        <v>387</v>
      </c>
      <c r="D88" s="131" t="s">
        <v>377</v>
      </c>
      <c r="E88" s="141">
        <v>1.256944444444444</v>
      </c>
      <c r="F88" s="131" t="s">
        <v>388</v>
      </c>
      <c r="G88" s="133">
        <v>2</v>
      </c>
      <c r="H88" s="134">
        <v>429</v>
      </c>
    </row>
    <row r="89" spans="1:8" ht="19.8" customHeight="1" x14ac:dyDescent="0.3">
      <c r="A89" s="140">
        <v>45990</v>
      </c>
      <c r="B89" s="131" t="s">
        <v>35</v>
      </c>
      <c r="C89" s="132" t="s">
        <v>387</v>
      </c>
      <c r="D89" s="131" t="s">
        <v>377</v>
      </c>
      <c r="E89" s="141">
        <v>1.256944444444444</v>
      </c>
      <c r="F89" s="131" t="s">
        <v>379</v>
      </c>
      <c r="G89" s="133">
        <v>2</v>
      </c>
      <c r="H89" s="134">
        <v>488</v>
      </c>
    </row>
    <row r="90" spans="1:8" ht="19.8" customHeight="1" x14ac:dyDescent="0.3">
      <c r="A90" s="140">
        <v>45990</v>
      </c>
      <c r="B90" s="131" t="s">
        <v>35</v>
      </c>
      <c r="C90" s="132" t="s">
        <v>387</v>
      </c>
      <c r="D90" s="131" t="s">
        <v>377</v>
      </c>
      <c r="E90" s="141">
        <v>1.256944444444444</v>
      </c>
      <c r="F90" s="131" t="s">
        <v>381</v>
      </c>
      <c r="G90" s="133">
        <v>2</v>
      </c>
      <c r="H90" s="134">
        <v>512</v>
      </c>
    </row>
    <row r="91" spans="1:8" ht="19.8" customHeight="1" x14ac:dyDescent="0.3">
      <c r="A91" s="140">
        <v>45990</v>
      </c>
      <c r="B91" s="131" t="s">
        <v>105</v>
      </c>
      <c r="C91" s="132" t="s">
        <v>384</v>
      </c>
      <c r="D91" s="131" t="s">
        <v>377</v>
      </c>
      <c r="E91" s="141">
        <v>1.5277777777777779</v>
      </c>
      <c r="F91" s="131" t="s">
        <v>379</v>
      </c>
      <c r="G91" s="133">
        <v>9</v>
      </c>
      <c r="H91" s="134">
        <v>575</v>
      </c>
    </row>
    <row r="92" spans="1:8" ht="19.8" customHeight="1" x14ac:dyDescent="0.3">
      <c r="A92" s="140">
        <v>45990</v>
      </c>
      <c r="B92" s="131" t="s">
        <v>105</v>
      </c>
      <c r="C92" s="132" t="s">
        <v>384</v>
      </c>
      <c r="D92" s="131" t="s">
        <v>377</v>
      </c>
      <c r="E92" s="141">
        <v>1.5277777777777779</v>
      </c>
      <c r="F92" s="131" t="s">
        <v>381</v>
      </c>
      <c r="G92" s="133">
        <v>9</v>
      </c>
      <c r="H92" s="134">
        <v>629</v>
      </c>
    </row>
    <row r="93" spans="1:8" ht="19.8" customHeight="1" x14ac:dyDescent="0.3">
      <c r="A93" s="140">
        <v>45990</v>
      </c>
      <c r="B93" s="131" t="s">
        <v>35</v>
      </c>
      <c r="C93" s="132" t="s">
        <v>387</v>
      </c>
      <c r="D93" s="131" t="s">
        <v>377</v>
      </c>
      <c r="E93" s="141">
        <v>1.256944444444444</v>
      </c>
      <c r="F93" s="131" t="s">
        <v>392</v>
      </c>
      <c r="G93" s="133">
        <v>2</v>
      </c>
      <c r="H93" s="134">
        <v>679</v>
      </c>
    </row>
    <row r="94" spans="1:8" ht="19.8" customHeight="1" x14ac:dyDescent="0.3">
      <c r="A94" s="142">
        <v>45990</v>
      </c>
      <c r="B94" s="136" t="s">
        <v>76</v>
      </c>
      <c r="C94" s="137" t="s">
        <v>394</v>
      </c>
      <c r="D94" s="136" t="s">
        <v>377</v>
      </c>
      <c r="E94" s="143">
        <v>1.791666666666667</v>
      </c>
      <c r="F94" s="136" t="s">
        <v>78</v>
      </c>
      <c r="G94" s="138">
        <v>8</v>
      </c>
      <c r="H94" s="139">
        <v>781</v>
      </c>
    </row>
    <row r="95" spans="1:8" ht="19.8" customHeight="1" x14ac:dyDescent="0.3">
      <c r="A95" s="142">
        <v>45990</v>
      </c>
      <c r="B95" s="136" t="s">
        <v>76</v>
      </c>
      <c r="C95" s="137" t="s">
        <v>458</v>
      </c>
      <c r="D95" s="136" t="s">
        <v>377</v>
      </c>
      <c r="E95" s="143">
        <v>1.458333333333333</v>
      </c>
      <c r="F95" s="136" t="s">
        <v>78</v>
      </c>
      <c r="G95" s="138">
        <v>4</v>
      </c>
      <c r="H95" s="139">
        <v>781</v>
      </c>
    </row>
    <row r="96" spans="1:8" ht="19.8" customHeight="1" x14ac:dyDescent="0.3">
      <c r="A96" s="140">
        <v>45990</v>
      </c>
      <c r="B96" s="131" t="s">
        <v>105</v>
      </c>
      <c r="C96" s="132" t="s">
        <v>384</v>
      </c>
      <c r="D96" s="131" t="s">
        <v>377</v>
      </c>
      <c r="E96" s="141">
        <v>1.5277777777777779</v>
      </c>
      <c r="F96" s="131" t="s">
        <v>43</v>
      </c>
      <c r="G96" s="133">
        <v>9</v>
      </c>
      <c r="H96" s="134">
        <v>801</v>
      </c>
    </row>
    <row r="97" spans="1:8" ht="19.8" customHeight="1" x14ac:dyDescent="0.3">
      <c r="A97" s="140">
        <v>45990</v>
      </c>
      <c r="B97" s="131" t="s">
        <v>118</v>
      </c>
      <c r="C97" s="132" t="s">
        <v>400</v>
      </c>
      <c r="D97" s="131" t="s">
        <v>377</v>
      </c>
      <c r="E97" s="141">
        <v>1.3402777777777779</v>
      </c>
      <c r="F97" s="131" t="s">
        <v>120</v>
      </c>
      <c r="G97" s="133">
        <v>9</v>
      </c>
      <c r="H97" s="144" t="s">
        <v>401</v>
      </c>
    </row>
    <row r="98" spans="1:8" ht="19.8" customHeight="1" x14ac:dyDescent="0.3">
      <c r="A98" s="140">
        <v>45990</v>
      </c>
      <c r="B98" s="131" t="s">
        <v>118</v>
      </c>
      <c r="C98" s="132" t="s">
        <v>403</v>
      </c>
      <c r="D98" s="131" t="s">
        <v>377</v>
      </c>
      <c r="E98" s="141">
        <v>1.711805555555556</v>
      </c>
      <c r="F98" s="131" t="s">
        <v>120</v>
      </c>
      <c r="G98" s="133">
        <v>9</v>
      </c>
      <c r="H98" s="144" t="s">
        <v>401</v>
      </c>
    </row>
    <row r="99" spans="1:8" ht="19.8" customHeight="1" x14ac:dyDescent="0.3">
      <c r="A99" s="140">
        <v>45990</v>
      </c>
      <c r="B99" s="131" t="s">
        <v>118</v>
      </c>
      <c r="C99" s="132" t="s">
        <v>400</v>
      </c>
      <c r="D99" s="131" t="s">
        <v>377</v>
      </c>
      <c r="E99" s="141">
        <v>1.3402777777777779</v>
      </c>
      <c r="F99" s="131" t="s">
        <v>122</v>
      </c>
      <c r="G99" s="133">
        <v>9</v>
      </c>
      <c r="H99" s="144" t="s">
        <v>402</v>
      </c>
    </row>
    <row r="100" spans="1:8" ht="19.8" customHeight="1" x14ac:dyDescent="0.3">
      <c r="A100" s="140">
        <v>45990</v>
      </c>
      <c r="B100" s="131" t="s">
        <v>118</v>
      </c>
      <c r="C100" s="132" t="s">
        <v>403</v>
      </c>
      <c r="D100" s="131" t="s">
        <v>377</v>
      </c>
      <c r="E100" s="141">
        <v>1.711805555555556</v>
      </c>
      <c r="F100" s="131" t="s">
        <v>122</v>
      </c>
      <c r="G100" s="133">
        <v>9</v>
      </c>
      <c r="H100" s="144" t="s">
        <v>402</v>
      </c>
    </row>
    <row r="101" spans="1:8" ht="19.8" customHeight="1" x14ac:dyDescent="0.3">
      <c r="A101" s="172"/>
      <c r="B101" s="173"/>
      <c r="C101" s="173"/>
      <c r="D101" s="173"/>
      <c r="E101" s="173"/>
      <c r="F101" s="174" t="s">
        <v>494</v>
      </c>
      <c r="G101" s="173"/>
      <c r="H101" s="175"/>
    </row>
    <row r="102" spans="1:8" ht="19.8" customHeight="1" x14ac:dyDescent="0.3">
      <c r="A102" s="140">
        <v>45990</v>
      </c>
      <c r="B102" s="131" t="s">
        <v>35</v>
      </c>
      <c r="C102" s="132" t="s">
        <v>45</v>
      </c>
      <c r="D102" s="131" t="s">
        <v>1</v>
      </c>
      <c r="E102" s="141">
        <v>1.1284722222222221</v>
      </c>
      <c r="F102" s="131" t="s">
        <v>37</v>
      </c>
      <c r="G102" s="133">
        <v>8</v>
      </c>
      <c r="H102" s="134">
        <v>359</v>
      </c>
    </row>
    <row r="103" spans="1:8" ht="19.8" customHeight="1" x14ac:dyDescent="0.3">
      <c r="A103" s="140">
        <v>45990</v>
      </c>
      <c r="B103" s="131" t="s">
        <v>35</v>
      </c>
      <c r="C103" s="132" t="s">
        <v>36</v>
      </c>
      <c r="D103" s="131" t="s">
        <v>1</v>
      </c>
      <c r="E103" s="141">
        <v>1.302083333333333</v>
      </c>
      <c r="F103" s="131" t="s">
        <v>37</v>
      </c>
      <c r="G103" s="133">
        <v>9</v>
      </c>
      <c r="H103" s="134">
        <v>389</v>
      </c>
    </row>
    <row r="104" spans="1:8" ht="19.8" customHeight="1" x14ac:dyDescent="0.3">
      <c r="A104" s="140">
        <v>45990</v>
      </c>
      <c r="B104" s="131" t="s">
        <v>26</v>
      </c>
      <c r="C104" s="132" t="s">
        <v>34</v>
      </c>
      <c r="D104" s="131" t="s">
        <v>1</v>
      </c>
      <c r="E104" s="141">
        <v>1.21875</v>
      </c>
      <c r="F104" s="131" t="s">
        <v>28</v>
      </c>
      <c r="G104" s="133">
        <v>9</v>
      </c>
      <c r="H104" s="134">
        <v>401</v>
      </c>
    </row>
    <row r="105" spans="1:8" ht="19.8" customHeight="1" x14ac:dyDescent="0.3">
      <c r="A105" s="140">
        <v>45990</v>
      </c>
      <c r="B105" s="131" t="s">
        <v>51</v>
      </c>
      <c r="C105" s="132" t="s">
        <v>52</v>
      </c>
      <c r="D105" s="131" t="s">
        <v>1</v>
      </c>
      <c r="E105" s="141">
        <v>1.9027777777777779</v>
      </c>
      <c r="F105" s="131" t="s">
        <v>53</v>
      </c>
      <c r="G105" s="133">
        <v>9</v>
      </c>
      <c r="H105" s="134">
        <v>409</v>
      </c>
    </row>
    <row r="106" spans="1:8" ht="19.8" customHeight="1" x14ac:dyDescent="0.3">
      <c r="A106" s="140">
        <v>45990</v>
      </c>
      <c r="B106" s="131" t="s">
        <v>51</v>
      </c>
      <c r="C106" s="132" t="s">
        <v>66</v>
      </c>
      <c r="D106" s="131" t="s">
        <v>1</v>
      </c>
      <c r="E106" s="141">
        <v>1.854166666666667</v>
      </c>
      <c r="F106" s="131" t="s">
        <v>53</v>
      </c>
      <c r="G106" s="133">
        <v>4</v>
      </c>
      <c r="H106" s="134">
        <v>409</v>
      </c>
    </row>
    <row r="107" spans="1:8" ht="19.8" customHeight="1" x14ac:dyDescent="0.3">
      <c r="A107" s="140">
        <v>45990</v>
      </c>
      <c r="B107" s="131" t="s">
        <v>51</v>
      </c>
      <c r="C107" s="132" t="s">
        <v>75</v>
      </c>
      <c r="D107" s="131" t="s">
        <v>1</v>
      </c>
      <c r="E107" s="141">
        <v>1.395833333333333</v>
      </c>
      <c r="F107" s="131" t="s">
        <v>53</v>
      </c>
      <c r="G107" s="133">
        <v>1</v>
      </c>
      <c r="H107" s="134">
        <v>409</v>
      </c>
    </row>
    <row r="108" spans="1:8" ht="19.8" customHeight="1" x14ac:dyDescent="0.3">
      <c r="A108" s="140">
        <v>45990</v>
      </c>
      <c r="B108" s="131" t="s">
        <v>35</v>
      </c>
      <c r="C108" s="132" t="s">
        <v>47</v>
      </c>
      <c r="D108" s="131" t="s">
        <v>1</v>
      </c>
      <c r="E108" s="141">
        <v>1.788194444444444</v>
      </c>
      <c r="F108" s="131" t="s">
        <v>37</v>
      </c>
      <c r="G108" s="133">
        <v>5</v>
      </c>
      <c r="H108" s="134">
        <v>419</v>
      </c>
    </row>
    <row r="109" spans="1:8" ht="19.8" customHeight="1" x14ac:dyDescent="0.3">
      <c r="A109" s="140">
        <v>45990</v>
      </c>
      <c r="B109" s="131" t="s">
        <v>105</v>
      </c>
      <c r="C109" s="132" t="s">
        <v>106</v>
      </c>
      <c r="D109" s="131" t="s">
        <v>1</v>
      </c>
      <c r="E109" s="141">
        <v>1.2152777777777779</v>
      </c>
      <c r="F109" s="131" t="s">
        <v>107</v>
      </c>
      <c r="G109" s="133">
        <v>9</v>
      </c>
      <c r="H109" s="134">
        <v>419</v>
      </c>
    </row>
    <row r="110" spans="1:8" ht="19.8" customHeight="1" x14ac:dyDescent="0.3">
      <c r="A110" s="140">
        <v>45990</v>
      </c>
      <c r="B110" s="131" t="s">
        <v>76</v>
      </c>
      <c r="C110" s="132" t="s">
        <v>187</v>
      </c>
      <c r="D110" s="131" t="s">
        <v>1</v>
      </c>
      <c r="E110" s="141">
        <v>1.2361111111111109</v>
      </c>
      <c r="F110" s="131" t="s">
        <v>78</v>
      </c>
      <c r="G110" s="133">
        <v>1</v>
      </c>
      <c r="H110" s="134">
        <v>436</v>
      </c>
    </row>
    <row r="111" spans="1:8" ht="19.8" customHeight="1" x14ac:dyDescent="0.3">
      <c r="A111" s="151">
        <v>45990</v>
      </c>
      <c r="B111" s="152" t="s">
        <v>105</v>
      </c>
      <c r="C111" s="153" t="s">
        <v>171</v>
      </c>
      <c r="D111" s="152" t="s">
        <v>1</v>
      </c>
      <c r="E111" s="154">
        <v>1.3298611111111109</v>
      </c>
      <c r="F111" s="152" t="s">
        <v>107</v>
      </c>
      <c r="G111" s="155">
        <v>9</v>
      </c>
      <c r="H111" s="176">
        <v>437</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0" hidden="1" customWidth="1"/>
  </cols>
  <sheetData>
    <row r="1" spans="1:8" ht="18" x14ac:dyDescent="0.3">
      <c r="A1" s="127" t="s">
        <v>365</v>
      </c>
      <c r="B1" s="128" t="s">
        <v>8</v>
      </c>
      <c r="C1" s="128" t="s">
        <v>9</v>
      </c>
      <c r="D1" s="128" t="s">
        <v>366</v>
      </c>
      <c r="E1" s="128" t="s">
        <v>10</v>
      </c>
      <c r="F1" s="128" t="s">
        <v>11</v>
      </c>
      <c r="G1" s="128" t="s">
        <v>12</v>
      </c>
      <c r="H1" s="129" t="s">
        <v>13</v>
      </c>
    </row>
    <row r="2" spans="1:8" ht="19.8" customHeight="1" x14ac:dyDescent="0.3">
      <c r="A2" s="130" t="s">
        <v>367</v>
      </c>
      <c r="B2" s="131" t="s">
        <v>35</v>
      </c>
      <c r="C2" s="132" t="s">
        <v>387</v>
      </c>
      <c r="D2" s="131" t="s">
        <v>377</v>
      </c>
      <c r="E2" s="131" t="s">
        <v>427</v>
      </c>
      <c r="F2" s="131" t="s">
        <v>392</v>
      </c>
      <c r="G2" s="133">
        <v>3</v>
      </c>
      <c r="H2" s="134">
        <v>769</v>
      </c>
    </row>
    <row r="3" spans="1:8" ht="19.8" customHeight="1" x14ac:dyDescent="0.3">
      <c r="A3" s="135" t="s">
        <v>367</v>
      </c>
      <c r="B3" s="136" t="s">
        <v>76</v>
      </c>
      <c r="C3" s="137" t="s">
        <v>394</v>
      </c>
      <c r="D3" s="136" t="s">
        <v>377</v>
      </c>
      <c r="E3" s="136" t="s">
        <v>464</v>
      </c>
      <c r="F3" s="136" t="s">
        <v>78</v>
      </c>
      <c r="G3" s="138">
        <v>1</v>
      </c>
      <c r="H3" s="139">
        <v>856</v>
      </c>
    </row>
    <row r="4" spans="1:8" ht="19.8" customHeight="1" x14ac:dyDescent="0.3">
      <c r="A4" s="140">
        <v>45986</v>
      </c>
      <c r="B4" s="131" t="s">
        <v>140</v>
      </c>
      <c r="C4" s="132" t="s">
        <v>398</v>
      </c>
      <c r="D4" s="131" t="s">
        <v>377</v>
      </c>
      <c r="E4" s="141">
        <v>1.604166666666667</v>
      </c>
      <c r="F4" s="131" t="s">
        <v>142</v>
      </c>
      <c r="G4" s="133">
        <v>9</v>
      </c>
      <c r="H4" s="134">
        <v>906</v>
      </c>
    </row>
    <row r="5" spans="1:8" ht="19.8" customHeight="1" x14ac:dyDescent="0.3">
      <c r="A5" s="172"/>
      <c r="B5" s="173"/>
      <c r="C5" s="173"/>
      <c r="D5" s="173"/>
      <c r="E5" s="173"/>
      <c r="F5" s="174" t="s">
        <v>494</v>
      </c>
      <c r="G5" s="173"/>
      <c r="H5" s="175"/>
    </row>
    <row r="6" spans="1:8" ht="19.8" customHeight="1" x14ac:dyDescent="0.3">
      <c r="A6" s="140">
        <v>45986</v>
      </c>
      <c r="B6" s="131" t="s">
        <v>26</v>
      </c>
      <c r="C6" s="132" t="s">
        <v>27</v>
      </c>
      <c r="D6" s="131" t="s">
        <v>1</v>
      </c>
      <c r="E6" s="141">
        <v>1.0451388888888891</v>
      </c>
      <c r="F6" s="131" t="s">
        <v>28</v>
      </c>
      <c r="G6" s="133">
        <v>1</v>
      </c>
      <c r="H6" s="134">
        <v>401</v>
      </c>
    </row>
    <row r="7" spans="1:8" ht="19.8" customHeight="1" x14ac:dyDescent="0.3">
      <c r="A7" s="140">
        <v>45986</v>
      </c>
      <c r="B7" s="131" t="s">
        <v>35</v>
      </c>
      <c r="C7" s="132" t="s">
        <v>36</v>
      </c>
      <c r="D7" s="131" t="s">
        <v>1</v>
      </c>
      <c r="E7" s="141">
        <v>1.302083333333333</v>
      </c>
      <c r="F7" s="131" t="s">
        <v>37</v>
      </c>
      <c r="G7" s="133">
        <v>2</v>
      </c>
      <c r="H7" s="134">
        <v>419</v>
      </c>
    </row>
    <row r="8" spans="1:8" ht="19.8" customHeight="1" x14ac:dyDescent="0.3">
      <c r="A8" s="140">
        <v>45986</v>
      </c>
      <c r="B8" s="131" t="s">
        <v>35</v>
      </c>
      <c r="C8" s="132" t="s">
        <v>45</v>
      </c>
      <c r="D8" s="131" t="s">
        <v>1</v>
      </c>
      <c r="E8" s="141">
        <v>1.1284722222222221</v>
      </c>
      <c r="F8" s="131" t="s">
        <v>37</v>
      </c>
      <c r="G8" s="133">
        <v>7</v>
      </c>
      <c r="H8" s="134">
        <v>419</v>
      </c>
    </row>
    <row r="9" spans="1:8" ht="19.8" customHeight="1" x14ac:dyDescent="0.3">
      <c r="A9" s="140">
        <v>45986</v>
      </c>
      <c r="B9" s="131" t="s">
        <v>35</v>
      </c>
      <c r="C9" s="132" t="s">
        <v>47</v>
      </c>
      <c r="D9" s="131" t="s">
        <v>1</v>
      </c>
      <c r="E9" s="141">
        <v>1.788194444444444</v>
      </c>
      <c r="F9" s="131" t="s">
        <v>37</v>
      </c>
      <c r="G9" s="133">
        <v>9</v>
      </c>
      <c r="H9" s="134">
        <v>419</v>
      </c>
    </row>
    <row r="10" spans="1:8" ht="19.8" customHeight="1" x14ac:dyDescent="0.3">
      <c r="A10" s="140">
        <v>45986</v>
      </c>
      <c r="B10" s="131" t="s">
        <v>35</v>
      </c>
      <c r="C10" s="132" t="s">
        <v>50</v>
      </c>
      <c r="D10" s="131" t="s">
        <v>1</v>
      </c>
      <c r="E10" s="141">
        <v>1.8888888888888891</v>
      </c>
      <c r="F10" s="131" t="s">
        <v>37</v>
      </c>
      <c r="G10" s="133">
        <v>7</v>
      </c>
      <c r="H10" s="134">
        <v>419</v>
      </c>
    </row>
    <row r="11" spans="1:8" ht="19.8" customHeight="1" x14ac:dyDescent="0.3">
      <c r="A11" s="140">
        <v>45986</v>
      </c>
      <c r="B11" s="131" t="s">
        <v>51</v>
      </c>
      <c r="C11" s="132" t="s">
        <v>52</v>
      </c>
      <c r="D11" s="131" t="s">
        <v>1</v>
      </c>
      <c r="E11" s="141">
        <v>1.9027777777777779</v>
      </c>
      <c r="F11" s="131" t="s">
        <v>53</v>
      </c>
      <c r="G11" s="133">
        <v>6</v>
      </c>
      <c r="H11" s="134">
        <v>449</v>
      </c>
    </row>
    <row r="12" spans="1:8" ht="19.8" customHeight="1" x14ac:dyDescent="0.3">
      <c r="A12" s="140">
        <v>45986</v>
      </c>
      <c r="B12" s="131" t="s">
        <v>51</v>
      </c>
      <c r="C12" s="132" t="s">
        <v>61</v>
      </c>
      <c r="D12" s="131" t="s">
        <v>1</v>
      </c>
      <c r="E12" s="141">
        <v>1.645833333333333</v>
      </c>
      <c r="F12" s="131" t="s">
        <v>53</v>
      </c>
      <c r="G12" s="133">
        <v>1</v>
      </c>
      <c r="H12" s="134">
        <v>449</v>
      </c>
    </row>
    <row r="13" spans="1:8" ht="19.8" customHeight="1" x14ac:dyDescent="0.3">
      <c r="A13" s="140">
        <v>45986</v>
      </c>
      <c r="B13" s="131" t="s">
        <v>51</v>
      </c>
      <c r="C13" s="132" t="s">
        <v>64</v>
      </c>
      <c r="D13" s="131" t="s">
        <v>1</v>
      </c>
      <c r="E13" s="141">
        <v>1.5173611111111109</v>
      </c>
      <c r="F13" s="131" t="s">
        <v>53</v>
      </c>
      <c r="G13" s="133">
        <v>2</v>
      </c>
      <c r="H13" s="134">
        <v>449</v>
      </c>
    </row>
    <row r="14" spans="1:8" ht="19.8" customHeight="1" x14ac:dyDescent="0.3">
      <c r="A14" s="140">
        <v>45986</v>
      </c>
      <c r="B14" s="131" t="s">
        <v>51</v>
      </c>
      <c r="C14" s="132" t="s">
        <v>66</v>
      </c>
      <c r="D14" s="131" t="s">
        <v>1</v>
      </c>
      <c r="E14" s="141">
        <v>1.854166666666667</v>
      </c>
      <c r="F14" s="131" t="s">
        <v>53</v>
      </c>
      <c r="G14" s="133">
        <v>5</v>
      </c>
      <c r="H14" s="134">
        <v>449</v>
      </c>
    </row>
    <row r="15" spans="1:8" ht="19.8" customHeight="1" x14ac:dyDescent="0.3">
      <c r="A15" s="151">
        <v>45986</v>
      </c>
      <c r="B15" s="152" t="s">
        <v>51</v>
      </c>
      <c r="C15" s="153" t="s">
        <v>69</v>
      </c>
      <c r="D15" s="152" t="s">
        <v>1</v>
      </c>
      <c r="E15" s="154">
        <v>1.302083333333333</v>
      </c>
      <c r="F15" s="152" t="s">
        <v>53</v>
      </c>
      <c r="G15" s="155">
        <v>2</v>
      </c>
      <c r="H15" s="176">
        <v>449</v>
      </c>
    </row>
    <row r="16" spans="1:8" ht="19.8" customHeight="1" x14ac:dyDescent="0.3">
      <c r="A16" s="140">
        <v>45987</v>
      </c>
      <c r="B16" s="131" t="s">
        <v>140</v>
      </c>
      <c r="C16" s="132" t="s">
        <v>398</v>
      </c>
      <c r="D16" s="131" t="s">
        <v>377</v>
      </c>
      <c r="E16" s="141">
        <v>1.604166666666667</v>
      </c>
      <c r="F16" s="131" t="s">
        <v>142</v>
      </c>
      <c r="G16" s="133">
        <v>9</v>
      </c>
      <c r="H16" s="134">
        <v>906</v>
      </c>
    </row>
    <row r="17" spans="1:8" ht="19.8" customHeight="1" x14ac:dyDescent="0.3">
      <c r="A17" s="142">
        <v>45987</v>
      </c>
      <c r="B17" s="136" t="s">
        <v>76</v>
      </c>
      <c r="C17" s="137" t="s">
        <v>415</v>
      </c>
      <c r="D17" s="136" t="s">
        <v>377</v>
      </c>
      <c r="E17" s="143">
        <v>1.4097222222222221</v>
      </c>
      <c r="F17" s="136" t="s">
        <v>78</v>
      </c>
      <c r="G17" s="138">
        <v>5</v>
      </c>
      <c r="H17" s="139">
        <v>952</v>
      </c>
    </row>
    <row r="18" spans="1:8" ht="19.8" customHeight="1" x14ac:dyDescent="0.3">
      <c r="A18" s="142">
        <v>45987</v>
      </c>
      <c r="B18" s="136" t="s">
        <v>76</v>
      </c>
      <c r="C18" s="137" t="s">
        <v>396</v>
      </c>
      <c r="D18" s="136" t="s">
        <v>377</v>
      </c>
      <c r="E18" s="143">
        <v>1.65625</v>
      </c>
      <c r="F18" s="136" t="s">
        <v>99</v>
      </c>
      <c r="G18" s="136"/>
      <c r="H18" s="145" t="s">
        <v>100</v>
      </c>
    </row>
    <row r="19" spans="1:8" ht="19.8" customHeight="1" x14ac:dyDescent="0.3">
      <c r="A19" s="142">
        <v>45987</v>
      </c>
      <c r="B19" s="136" t="s">
        <v>76</v>
      </c>
      <c r="C19" s="137" t="s">
        <v>422</v>
      </c>
      <c r="D19" s="136" t="s">
        <v>377</v>
      </c>
      <c r="E19" s="143">
        <v>1.71875</v>
      </c>
      <c r="F19" s="136" t="s">
        <v>99</v>
      </c>
      <c r="G19" s="136"/>
      <c r="H19" s="145" t="s">
        <v>100</v>
      </c>
    </row>
    <row r="20" spans="1:8" ht="19.8" customHeight="1" x14ac:dyDescent="0.3">
      <c r="A20" s="172"/>
      <c r="B20" s="173"/>
      <c r="C20" s="173"/>
      <c r="D20" s="173"/>
      <c r="E20" s="173"/>
      <c r="F20" s="174" t="s">
        <v>494</v>
      </c>
      <c r="G20" s="173"/>
      <c r="H20" s="175"/>
    </row>
    <row r="21" spans="1:8" ht="19.8" customHeight="1" x14ac:dyDescent="0.3">
      <c r="A21" s="140">
        <v>45987</v>
      </c>
      <c r="B21" s="131" t="s">
        <v>35</v>
      </c>
      <c r="C21" s="132" t="s">
        <v>45</v>
      </c>
      <c r="D21" s="131" t="s">
        <v>1</v>
      </c>
      <c r="E21" s="141">
        <v>1.1284722222222221</v>
      </c>
      <c r="F21" s="131" t="s">
        <v>37</v>
      </c>
      <c r="G21" s="133">
        <v>10</v>
      </c>
      <c r="H21" s="134">
        <v>389</v>
      </c>
    </row>
    <row r="22" spans="1:8" ht="19.8" customHeight="1" x14ac:dyDescent="0.3">
      <c r="A22" s="140">
        <v>45987</v>
      </c>
      <c r="B22" s="131" t="s">
        <v>35</v>
      </c>
      <c r="C22" s="132" t="s">
        <v>50</v>
      </c>
      <c r="D22" s="131" t="s">
        <v>1</v>
      </c>
      <c r="E22" s="141">
        <v>1.8888888888888891</v>
      </c>
      <c r="F22" s="131" t="s">
        <v>37</v>
      </c>
      <c r="G22" s="133">
        <v>7</v>
      </c>
      <c r="H22" s="134">
        <v>389</v>
      </c>
    </row>
    <row r="23" spans="1:8" ht="19.8" customHeight="1" x14ac:dyDescent="0.3">
      <c r="A23" s="140">
        <v>45987</v>
      </c>
      <c r="B23" s="131" t="s">
        <v>26</v>
      </c>
      <c r="C23" s="132" t="s">
        <v>31</v>
      </c>
      <c r="D23" s="131" t="s">
        <v>1</v>
      </c>
      <c r="E23" s="141">
        <v>1.9375</v>
      </c>
      <c r="F23" s="131" t="s">
        <v>28</v>
      </c>
      <c r="G23" s="133">
        <v>1</v>
      </c>
      <c r="H23" s="134">
        <v>401</v>
      </c>
    </row>
    <row r="24" spans="1:8" ht="19.8" customHeight="1" x14ac:dyDescent="0.3">
      <c r="A24" s="140">
        <v>45987</v>
      </c>
      <c r="B24" s="131" t="s">
        <v>26</v>
      </c>
      <c r="C24" s="132" t="s">
        <v>34</v>
      </c>
      <c r="D24" s="131" t="s">
        <v>1</v>
      </c>
      <c r="E24" s="141">
        <v>1.3715277777777779</v>
      </c>
      <c r="F24" s="131" t="s">
        <v>28</v>
      </c>
      <c r="G24" s="133">
        <v>4</v>
      </c>
      <c r="H24" s="134">
        <v>401</v>
      </c>
    </row>
    <row r="25" spans="1:8" ht="19.8" customHeight="1" x14ac:dyDescent="0.3">
      <c r="A25" s="140">
        <v>45987</v>
      </c>
      <c r="B25" s="131" t="s">
        <v>51</v>
      </c>
      <c r="C25" s="132" t="s">
        <v>71</v>
      </c>
      <c r="D25" s="131" t="s">
        <v>1</v>
      </c>
      <c r="E25" s="141">
        <v>1.256944444444444</v>
      </c>
      <c r="F25" s="131" t="s">
        <v>53</v>
      </c>
      <c r="G25" s="133">
        <v>3</v>
      </c>
      <c r="H25" s="134">
        <v>409</v>
      </c>
    </row>
    <row r="26" spans="1:8" ht="19.8" customHeight="1" x14ac:dyDescent="0.3">
      <c r="A26" s="140">
        <v>45987</v>
      </c>
      <c r="B26" s="131" t="s">
        <v>51</v>
      </c>
      <c r="C26" s="132" t="s">
        <v>69</v>
      </c>
      <c r="D26" s="131" t="s">
        <v>1</v>
      </c>
      <c r="E26" s="141">
        <v>1.302083333333333</v>
      </c>
      <c r="F26" s="131" t="s">
        <v>53</v>
      </c>
      <c r="G26" s="133">
        <v>2</v>
      </c>
      <c r="H26" s="134">
        <v>409</v>
      </c>
    </row>
    <row r="27" spans="1:8" ht="19.8" customHeight="1" x14ac:dyDescent="0.3">
      <c r="A27" s="140">
        <v>45987</v>
      </c>
      <c r="B27" s="131" t="s">
        <v>35</v>
      </c>
      <c r="C27" s="132" t="s">
        <v>36</v>
      </c>
      <c r="D27" s="131" t="s">
        <v>1</v>
      </c>
      <c r="E27" s="141">
        <v>1.302083333333333</v>
      </c>
      <c r="F27" s="131" t="s">
        <v>37</v>
      </c>
      <c r="G27" s="133">
        <v>6</v>
      </c>
      <c r="H27" s="134">
        <v>419</v>
      </c>
    </row>
    <row r="28" spans="1:8" ht="19.8" customHeight="1" x14ac:dyDescent="0.3">
      <c r="A28" s="140">
        <v>45987</v>
      </c>
      <c r="B28" s="131" t="s">
        <v>35</v>
      </c>
      <c r="C28" s="132" t="s">
        <v>47</v>
      </c>
      <c r="D28" s="131" t="s">
        <v>1</v>
      </c>
      <c r="E28" s="141">
        <v>1.788194444444444</v>
      </c>
      <c r="F28" s="131" t="s">
        <v>37</v>
      </c>
      <c r="G28" s="133">
        <v>8</v>
      </c>
      <c r="H28" s="134">
        <v>419</v>
      </c>
    </row>
    <row r="29" spans="1:8" ht="19.8" customHeight="1" x14ac:dyDescent="0.3">
      <c r="A29" s="140">
        <v>45987</v>
      </c>
      <c r="B29" s="131" t="s">
        <v>51</v>
      </c>
      <c r="C29" s="132" t="s">
        <v>52</v>
      </c>
      <c r="D29" s="131" t="s">
        <v>1</v>
      </c>
      <c r="E29" s="141">
        <v>1.9027777777777779</v>
      </c>
      <c r="F29" s="131" t="s">
        <v>53</v>
      </c>
      <c r="G29" s="133">
        <v>6</v>
      </c>
      <c r="H29" s="134">
        <v>449</v>
      </c>
    </row>
    <row r="30" spans="1:8" ht="19.8" customHeight="1" x14ac:dyDescent="0.3">
      <c r="A30" s="151">
        <v>45987</v>
      </c>
      <c r="B30" s="152" t="s">
        <v>51</v>
      </c>
      <c r="C30" s="153" t="s">
        <v>61</v>
      </c>
      <c r="D30" s="152" t="s">
        <v>1</v>
      </c>
      <c r="E30" s="154">
        <v>1.645833333333333</v>
      </c>
      <c r="F30" s="152" t="s">
        <v>53</v>
      </c>
      <c r="G30" s="155">
        <v>1</v>
      </c>
      <c r="H30" s="176">
        <v>449</v>
      </c>
    </row>
    <row r="31" spans="1:8" ht="19.8" customHeight="1" x14ac:dyDescent="0.3">
      <c r="A31" s="142">
        <v>45988</v>
      </c>
      <c r="B31" s="136" t="s">
        <v>76</v>
      </c>
      <c r="C31" s="137" t="s">
        <v>394</v>
      </c>
      <c r="D31" s="136" t="s">
        <v>377</v>
      </c>
      <c r="E31" s="143">
        <v>1.274305555555556</v>
      </c>
      <c r="F31" s="136" t="s">
        <v>78</v>
      </c>
      <c r="G31" s="138">
        <v>6</v>
      </c>
      <c r="H31" s="139">
        <v>856</v>
      </c>
    </row>
    <row r="32" spans="1:8" ht="19.8" customHeight="1" x14ac:dyDescent="0.3">
      <c r="A32" s="172"/>
      <c r="B32" s="173"/>
      <c r="C32" s="173"/>
      <c r="D32" s="173"/>
      <c r="E32" s="173"/>
      <c r="F32" s="174" t="s">
        <v>494</v>
      </c>
      <c r="G32" s="173"/>
      <c r="H32" s="175"/>
    </row>
    <row r="33" spans="1:8" ht="19.8" customHeight="1" x14ac:dyDescent="0.3">
      <c r="A33" s="140">
        <v>45988</v>
      </c>
      <c r="B33" s="131" t="s">
        <v>35</v>
      </c>
      <c r="C33" s="132" t="s">
        <v>45</v>
      </c>
      <c r="D33" s="131" t="s">
        <v>1</v>
      </c>
      <c r="E33" s="141">
        <v>1.1284722222222221</v>
      </c>
      <c r="F33" s="131" t="s">
        <v>37</v>
      </c>
      <c r="G33" s="133">
        <v>6</v>
      </c>
      <c r="H33" s="134">
        <v>359</v>
      </c>
    </row>
    <row r="34" spans="1:8" ht="19.8" customHeight="1" x14ac:dyDescent="0.3">
      <c r="A34" s="140">
        <v>45988</v>
      </c>
      <c r="B34" s="131" t="s">
        <v>35</v>
      </c>
      <c r="C34" s="132" t="s">
        <v>36</v>
      </c>
      <c r="D34" s="131" t="s">
        <v>1</v>
      </c>
      <c r="E34" s="141">
        <v>1.302083333333333</v>
      </c>
      <c r="F34" s="131" t="s">
        <v>37</v>
      </c>
      <c r="G34" s="133">
        <v>6</v>
      </c>
      <c r="H34" s="134">
        <v>389</v>
      </c>
    </row>
    <row r="35" spans="1:8" ht="19.8" customHeight="1" x14ac:dyDescent="0.3">
      <c r="A35" s="140">
        <v>45988</v>
      </c>
      <c r="B35" s="131" t="s">
        <v>35</v>
      </c>
      <c r="C35" s="132" t="s">
        <v>47</v>
      </c>
      <c r="D35" s="131" t="s">
        <v>1</v>
      </c>
      <c r="E35" s="141">
        <v>1.788194444444444</v>
      </c>
      <c r="F35" s="131" t="s">
        <v>37</v>
      </c>
      <c r="G35" s="133">
        <v>9</v>
      </c>
      <c r="H35" s="134">
        <v>389</v>
      </c>
    </row>
    <row r="36" spans="1:8" ht="19.8" customHeight="1" x14ac:dyDescent="0.3">
      <c r="A36" s="140">
        <v>45988</v>
      </c>
      <c r="B36" s="131" t="s">
        <v>35</v>
      </c>
      <c r="C36" s="132" t="s">
        <v>50</v>
      </c>
      <c r="D36" s="131" t="s">
        <v>1</v>
      </c>
      <c r="E36" s="141">
        <v>1.8888888888888891</v>
      </c>
      <c r="F36" s="131" t="s">
        <v>37</v>
      </c>
      <c r="G36" s="133">
        <v>8</v>
      </c>
      <c r="H36" s="134">
        <v>389</v>
      </c>
    </row>
    <row r="37" spans="1:8" ht="19.8" customHeight="1" x14ac:dyDescent="0.3">
      <c r="A37" s="140">
        <v>45988</v>
      </c>
      <c r="B37" s="131" t="s">
        <v>111</v>
      </c>
      <c r="C37" s="132" t="s">
        <v>112</v>
      </c>
      <c r="D37" s="131" t="s">
        <v>1</v>
      </c>
      <c r="E37" s="141">
        <v>1.291666666666667</v>
      </c>
      <c r="F37" s="131" t="s">
        <v>28</v>
      </c>
      <c r="G37" s="133">
        <v>9</v>
      </c>
      <c r="H37" s="134">
        <v>400</v>
      </c>
    </row>
    <row r="38" spans="1:8" ht="19.8" customHeight="1" x14ac:dyDescent="0.3">
      <c r="A38" s="140">
        <v>45988</v>
      </c>
      <c r="B38" s="131" t="s">
        <v>111</v>
      </c>
      <c r="C38" s="132" t="s">
        <v>115</v>
      </c>
      <c r="D38" s="131" t="s">
        <v>1</v>
      </c>
      <c r="E38" s="141">
        <v>1.59375</v>
      </c>
      <c r="F38" s="131" t="s">
        <v>28</v>
      </c>
      <c r="G38" s="133">
        <v>9</v>
      </c>
      <c r="H38" s="134">
        <v>400</v>
      </c>
    </row>
    <row r="39" spans="1:8" ht="19.8" customHeight="1" x14ac:dyDescent="0.3">
      <c r="A39" s="140">
        <v>45988</v>
      </c>
      <c r="B39" s="131" t="s">
        <v>76</v>
      </c>
      <c r="C39" s="132" t="s">
        <v>187</v>
      </c>
      <c r="D39" s="131" t="s">
        <v>1</v>
      </c>
      <c r="E39" s="141">
        <v>1.2534722222222221</v>
      </c>
      <c r="F39" s="131" t="s">
        <v>78</v>
      </c>
      <c r="G39" s="133">
        <v>1</v>
      </c>
      <c r="H39" s="134">
        <v>401</v>
      </c>
    </row>
    <row r="40" spans="1:8" ht="19.8" customHeight="1" x14ac:dyDescent="0.3">
      <c r="A40" s="140">
        <v>45988</v>
      </c>
      <c r="B40" s="131" t="s">
        <v>51</v>
      </c>
      <c r="C40" s="132" t="s">
        <v>52</v>
      </c>
      <c r="D40" s="131" t="s">
        <v>1</v>
      </c>
      <c r="E40" s="141">
        <v>1.9027777777777779</v>
      </c>
      <c r="F40" s="131" t="s">
        <v>53</v>
      </c>
      <c r="G40" s="133">
        <v>1</v>
      </c>
      <c r="H40" s="134">
        <v>409</v>
      </c>
    </row>
    <row r="41" spans="1:8" ht="19.8" customHeight="1" x14ac:dyDescent="0.3">
      <c r="A41" s="140">
        <v>45988</v>
      </c>
      <c r="B41" s="131" t="s">
        <v>51</v>
      </c>
      <c r="C41" s="132" t="s">
        <v>61</v>
      </c>
      <c r="D41" s="131" t="s">
        <v>1</v>
      </c>
      <c r="E41" s="141">
        <v>1.6597222222222221</v>
      </c>
      <c r="F41" s="131" t="s">
        <v>53</v>
      </c>
      <c r="G41" s="133">
        <v>9</v>
      </c>
      <c r="H41" s="134">
        <v>409</v>
      </c>
    </row>
    <row r="42" spans="1:8" ht="19.8" customHeight="1" x14ac:dyDescent="0.3">
      <c r="A42" s="151">
        <v>45988</v>
      </c>
      <c r="B42" s="152" t="s">
        <v>51</v>
      </c>
      <c r="C42" s="153" t="s">
        <v>64</v>
      </c>
      <c r="D42" s="152" t="s">
        <v>1</v>
      </c>
      <c r="E42" s="154">
        <v>1.5173611111111109</v>
      </c>
      <c r="F42" s="152" t="s">
        <v>53</v>
      </c>
      <c r="G42" s="155">
        <v>9</v>
      </c>
      <c r="H42" s="176">
        <v>409</v>
      </c>
    </row>
    <row r="43" spans="1:8" ht="19.8" customHeight="1" x14ac:dyDescent="0.3">
      <c r="A43" s="142">
        <v>45989</v>
      </c>
      <c r="B43" s="136" t="s">
        <v>76</v>
      </c>
      <c r="C43" s="137" t="s">
        <v>394</v>
      </c>
      <c r="D43" s="136" t="s">
        <v>377</v>
      </c>
      <c r="E43" s="143">
        <v>1.416666666666667</v>
      </c>
      <c r="F43" s="136" t="s">
        <v>78</v>
      </c>
      <c r="G43" s="138">
        <v>7</v>
      </c>
      <c r="H43" s="139">
        <v>646</v>
      </c>
    </row>
    <row r="44" spans="1:8" ht="19.8" customHeight="1" x14ac:dyDescent="0.3">
      <c r="A44" s="172"/>
      <c r="B44" s="173"/>
      <c r="C44" s="173"/>
      <c r="D44" s="173"/>
      <c r="E44" s="173"/>
      <c r="F44" s="174" t="s">
        <v>494</v>
      </c>
      <c r="G44" s="173"/>
      <c r="H44" s="175"/>
    </row>
    <row r="45" spans="1:8" ht="19.8" customHeight="1" x14ac:dyDescent="0.3">
      <c r="A45" s="140">
        <v>45989</v>
      </c>
      <c r="B45" s="131" t="s">
        <v>35</v>
      </c>
      <c r="C45" s="132" t="s">
        <v>36</v>
      </c>
      <c r="D45" s="131" t="s">
        <v>1</v>
      </c>
      <c r="E45" s="141">
        <v>1.302083333333333</v>
      </c>
      <c r="F45" s="131" t="s">
        <v>37</v>
      </c>
      <c r="G45" s="133">
        <v>3</v>
      </c>
      <c r="H45" s="134">
        <v>359</v>
      </c>
    </row>
    <row r="46" spans="1:8" ht="19.8" customHeight="1" x14ac:dyDescent="0.3">
      <c r="A46" s="140">
        <v>45989</v>
      </c>
      <c r="B46" s="131" t="s">
        <v>35</v>
      </c>
      <c r="C46" s="132" t="s">
        <v>45</v>
      </c>
      <c r="D46" s="131" t="s">
        <v>1</v>
      </c>
      <c r="E46" s="141">
        <v>1.1284722222222221</v>
      </c>
      <c r="F46" s="131" t="s">
        <v>37</v>
      </c>
      <c r="G46" s="133">
        <v>5</v>
      </c>
      <c r="H46" s="134">
        <v>359</v>
      </c>
    </row>
    <row r="47" spans="1:8" ht="19.8" customHeight="1" x14ac:dyDescent="0.3">
      <c r="A47" s="140">
        <v>45989</v>
      </c>
      <c r="B47" s="131" t="s">
        <v>35</v>
      </c>
      <c r="C47" s="132" t="s">
        <v>47</v>
      </c>
      <c r="D47" s="131" t="s">
        <v>1</v>
      </c>
      <c r="E47" s="141">
        <v>1.788194444444444</v>
      </c>
      <c r="F47" s="131" t="s">
        <v>37</v>
      </c>
      <c r="G47" s="133">
        <v>4</v>
      </c>
      <c r="H47" s="134">
        <v>389</v>
      </c>
    </row>
    <row r="48" spans="1:8" ht="19.8" customHeight="1" x14ac:dyDescent="0.3">
      <c r="A48" s="140">
        <v>45989</v>
      </c>
      <c r="B48" s="131" t="s">
        <v>35</v>
      </c>
      <c r="C48" s="132" t="s">
        <v>50</v>
      </c>
      <c r="D48" s="131" t="s">
        <v>1</v>
      </c>
      <c r="E48" s="141">
        <v>1.8888888888888891</v>
      </c>
      <c r="F48" s="131" t="s">
        <v>37</v>
      </c>
      <c r="G48" s="133">
        <v>8</v>
      </c>
      <c r="H48" s="134">
        <v>389</v>
      </c>
    </row>
    <row r="49" spans="1:8" ht="19.8" customHeight="1" x14ac:dyDescent="0.3">
      <c r="A49" s="140">
        <v>45989</v>
      </c>
      <c r="B49" s="131" t="s">
        <v>51</v>
      </c>
      <c r="C49" s="132" t="s">
        <v>52</v>
      </c>
      <c r="D49" s="131" t="s">
        <v>1</v>
      </c>
      <c r="E49" s="141">
        <v>1.9027777777777779</v>
      </c>
      <c r="F49" s="131" t="s">
        <v>53</v>
      </c>
      <c r="G49" s="133">
        <v>1</v>
      </c>
      <c r="H49" s="134">
        <v>409</v>
      </c>
    </row>
    <row r="50" spans="1:8" ht="19.8" customHeight="1" x14ac:dyDescent="0.3">
      <c r="A50" s="140">
        <v>45989</v>
      </c>
      <c r="B50" s="131" t="s">
        <v>51</v>
      </c>
      <c r="C50" s="132" t="s">
        <v>64</v>
      </c>
      <c r="D50" s="131" t="s">
        <v>1</v>
      </c>
      <c r="E50" s="141">
        <v>1.5173611111111109</v>
      </c>
      <c r="F50" s="131" t="s">
        <v>53</v>
      </c>
      <c r="G50" s="133">
        <v>2</v>
      </c>
      <c r="H50" s="134">
        <v>409</v>
      </c>
    </row>
    <row r="51" spans="1:8" ht="19.8" customHeight="1" x14ac:dyDescent="0.3">
      <c r="A51" s="140">
        <v>45989</v>
      </c>
      <c r="B51" s="131" t="s">
        <v>51</v>
      </c>
      <c r="C51" s="132" t="s">
        <v>75</v>
      </c>
      <c r="D51" s="131" t="s">
        <v>1</v>
      </c>
      <c r="E51" s="141">
        <v>1.395833333333333</v>
      </c>
      <c r="F51" s="131" t="s">
        <v>53</v>
      </c>
      <c r="G51" s="133">
        <v>2</v>
      </c>
      <c r="H51" s="134">
        <v>409</v>
      </c>
    </row>
    <row r="52" spans="1:8" ht="19.8" customHeight="1" x14ac:dyDescent="0.3">
      <c r="A52" s="140">
        <v>45989</v>
      </c>
      <c r="B52" s="131" t="s">
        <v>51</v>
      </c>
      <c r="C52" s="132" t="s">
        <v>70</v>
      </c>
      <c r="D52" s="131" t="s">
        <v>1</v>
      </c>
      <c r="E52" s="141">
        <v>1.7986111111111109</v>
      </c>
      <c r="F52" s="131" t="s">
        <v>53</v>
      </c>
      <c r="G52" s="133">
        <v>1</v>
      </c>
      <c r="H52" s="134">
        <v>409</v>
      </c>
    </row>
    <row r="53" spans="1:8" ht="19.8" customHeight="1" x14ac:dyDescent="0.3">
      <c r="A53" s="140">
        <v>45989</v>
      </c>
      <c r="B53" s="131" t="s">
        <v>76</v>
      </c>
      <c r="C53" s="132" t="s">
        <v>77</v>
      </c>
      <c r="D53" s="131" t="s">
        <v>1</v>
      </c>
      <c r="E53" s="141">
        <v>1.319444444444444</v>
      </c>
      <c r="F53" s="131" t="s">
        <v>78</v>
      </c>
      <c r="G53" s="133">
        <v>1</v>
      </c>
      <c r="H53" s="134">
        <v>436</v>
      </c>
    </row>
    <row r="54" spans="1:8" ht="19.8" customHeight="1" x14ac:dyDescent="0.3">
      <c r="A54" s="151">
        <v>45989</v>
      </c>
      <c r="B54" s="152" t="s">
        <v>76</v>
      </c>
      <c r="C54" s="153" t="s">
        <v>93</v>
      </c>
      <c r="D54" s="152" t="s">
        <v>1</v>
      </c>
      <c r="E54" s="154">
        <v>1.458333333333333</v>
      </c>
      <c r="F54" s="152" t="s">
        <v>78</v>
      </c>
      <c r="G54" s="155">
        <v>9</v>
      </c>
      <c r="H54" s="176">
        <v>436</v>
      </c>
    </row>
    <row r="55" spans="1:8" ht="19.8" customHeight="1" x14ac:dyDescent="0.3">
      <c r="A55" s="142">
        <v>45990</v>
      </c>
      <c r="B55" s="136" t="s">
        <v>76</v>
      </c>
      <c r="C55" s="137" t="s">
        <v>394</v>
      </c>
      <c r="D55" s="136" t="s">
        <v>377</v>
      </c>
      <c r="E55" s="143">
        <v>1.791666666666667</v>
      </c>
      <c r="F55" s="136" t="s">
        <v>78</v>
      </c>
      <c r="G55" s="138">
        <v>8</v>
      </c>
      <c r="H55" s="139">
        <v>781</v>
      </c>
    </row>
    <row r="56" spans="1:8" ht="19.8" customHeight="1" x14ac:dyDescent="0.3">
      <c r="A56" s="142">
        <v>45990</v>
      </c>
      <c r="B56" s="136" t="s">
        <v>76</v>
      </c>
      <c r="C56" s="137" t="s">
        <v>458</v>
      </c>
      <c r="D56" s="136" t="s">
        <v>377</v>
      </c>
      <c r="E56" s="143">
        <v>1.458333333333333</v>
      </c>
      <c r="F56" s="136" t="s">
        <v>78</v>
      </c>
      <c r="G56" s="138">
        <v>4</v>
      </c>
      <c r="H56" s="139">
        <v>781</v>
      </c>
    </row>
    <row r="57" spans="1:8" ht="19.8" customHeight="1" x14ac:dyDescent="0.3">
      <c r="A57" s="172"/>
      <c r="B57" s="173"/>
      <c r="C57" s="173"/>
      <c r="D57" s="173"/>
      <c r="E57" s="173"/>
      <c r="F57" s="174" t="s">
        <v>494</v>
      </c>
      <c r="G57" s="173"/>
      <c r="H57" s="175"/>
    </row>
    <row r="58" spans="1:8" ht="19.8" customHeight="1" x14ac:dyDescent="0.3">
      <c r="A58" s="140">
        <v>45990</v>
      </c>
      <c r="B58" s="131" t="s">
        <v>35</v>
      </c>
      <c r="C58" s="132" t="s">
        <v>45</v>
      </c>
      <c r="D58" s="131" t="s">
        <v>1</v>
      </c>
      <c r="E58" s="141">
        <v>1.1284722222222221</v>
      </c>
      <c r="F58" s="131" t="s">
        <v>37</v>
      </c>
      <c r="G58" s="133">
        <v>8</v>
      </c>
      <c r="H58" s="134">
        <v>359</v>
      </c>
    </row>
    <row r="59" spans="1:8" ht="19.8" customHeight="1" x14ac:dyDescent="0.3">
      <c r="A59" s="140">
        <v>45990</v>
      </c>
      <c r="B59" s="131" t="s">
        <v>35</v>
      </c>
      <c r="C59" s="132" t="s">
        <v>36</v>
      </c>
      <c r="D59" s="131" t="s">
        <v>1</v>
      </c>
      <c r="E59" s="141">
        <v>1.302083333333333</v>
      </c>
      <c r="F59" s="131" t="s">
        <v>37</v>
      </c>
      <c r="G59" s="133">
        <v>9</v>
      </c>
      <c r="H59" s="134">
        <v>389</v>
      </c>
    </row>
    <row r="60" spans="1:8" ht="19.8" customHeight="1" x14ac:dyDescent="0.3">
      <c r="A60" s="140">
        <v>45990</v>
      </c>
      <c r="B60" s="131" t="s">
        <v>26</v>
      </c>
      <c r="C60" s="132" t="s">
        <v>34</v>
      </c>
      <c r="D60" s="131" t="s">
        <v>1</v>
      </c>
      <c r="E60" s="141">
        <v>1.21875</v>
      </c>
      <c r="F60" s="131" t="s">
        <v>28</v>
      </c>
      <c r="G60" s="133">
        <v>9</v>
      </c>
      <c r="H60" s="134">
        <v>401</v>
      </c>
    </row>
    <row r="61" spans="1:8" ht="19.8" customHeight="1" x14ac:dyDescent="0.3">
      <c r="A61" s="140">
        <v>45990</v>
      </c>
      <c r="B61" s="131" t="s">
        <v>51</v>
      </c>
      <c r="C61" s="132" t="s">
        <v>52</v>
      </c>
      <c r="D61" s="131" t="s">
        <v>1</v>
      </c>
      <c r="E61" s="141">
        <v>1.9027777777777779</v>
      </c>
      <c r="F61" s="131" t="s">
        <v>53</v>
      </c>
      <c r="G61" s="133">
        <v>9</v>
      </c>
      <c r="H61" s="134">
        <v>409</v>
      </c>
    </row>
    <row r="62" spans="1:8" ht="19.8" customHeight="1" x14ac:dyDescent="0.3">
      <c r="A62" s="140">
        <v>45990</v>
      </c>
      <c r="B62" s="131" t="s">
        <v>51</v>
      </c>
      <c r="C62" s="132" t="s">
        <v>66</v>
      </c>
      <c r="D62" s="131" t="s">
        <v>1</v>
      </c>
      <c r="E62" s="141">
        <v>1.854166666666667</v>
      </c>
      <c r="F62" s="131" t="s">
        <v>53</v>
      </c>
      <c r="G62" s="133">
        <v>4</v>
      </c>
      <c r="H62" s="134">
        <v>409</v>
      </c>
    </row>
    <row r="63" spans="1:8" ht="19.8" customHeight="1" x14ac:dyDescent="0.3">
      <c r="A63" s="140">
        <v>45990</v>
      </c>
      <c r="B63" s="131" t="s">
        <v>51</v>
      </c>
      <c r="C63" s="132" t="s">
        <v>75</v>
      </c>
      <c r="D63" s="131" t="s">
        <v>1</v>
      </c>
      <c r="E63" s="141">
        <v>1.395833333333333</v>
      </c>
      <c r="F63" s="131" t="s">
        <v>53</v>
      </c>
      <c r="G63" s="133">
        <v>1</v>
      </c>
      <c r="H63" s="134">
        <v>409</v>
      </c>
    </row>
    <row r="64" spans="1:8" ht="19.8" customHeight="1" x14ac:dyDescent="0.3">
      <c r="A64" s="140">
        <v>45990</v>
      </c>
      <c r="B64" s="131" t="s">
        <v>35</v>
      </c>
      <c r="C64" s="132" t="s">
        <v>47</v>
      </c>
      <c r="D64" s="131" t="s">
        <v>1</v>
      </c>
      <c r="E64" s="141">
        <v>1.788194444444444</v>
      </c>
      <c r="F64" s="131" t="s">
        <v>37</v>
      </c>
      <c r="G64" s="133">
        <v>5</v>
      </c>
      <c r="H64" s="134">
        <v>419</v>
      </c>
    </row>
    <row r="65" spans="1:8" ht="19.8" customHeight="1" x14ac:dyDescent="0.3">
      <c r="A65" s="140">
        <v>45990</v>
      </c>
      <c r="B65" s="131" t="s">
        <v>105</v>
      </c>
      <c r="C65" s="132" t="s">
        <v>106</v>
      </c>
      <c r="D65" s="131" t="s">
        <v>1</v>
      </c>
      <c r="E65" s="141">
        <v>1.2152777777777779</v>
      </c>
      <c r="F65" s="131" t="s">
        <v>107</v>
      </c>
      <c r="G65" s="133">
        <v>9</v>
      </c>
      <c r="H65" s="134">
        <v>419</v>
      </c>
    </row>
    <row r="66" spans="1:8" ht="19.8" customHeight="1" x14ac:dyDescent="0.3">
      <c r="A66" s="140">
        <v>45990</v>
      </c>
      <c r="B66" s="131" t="s">
        <v>76</v>
      </c>
      <c r="C66" s="132" t="s">
        <v>187</v>
      </c>
      <c r="D66" s="131" t="s">
        <v>1</v>
      </c>
      <c r="E66" s="141">
        <v>1.2361111111111109</v>
      </c>
      <c r="F66" s="131" t="s">
        <v>78</v>
      </c>
      <c r="G66" s="133">
        <v>1</v>
      </c>
      <c r="H66" s="134">
        <v>436</v>
      </c>
    </row>
    <row r="67" spans="1:8" ht="19.8" customHeight="1" x14ac:dyDescent="0.3">
      <c r="A67" s="151">
        <v>45990</v>
      </c>
      <c r="B67" s="152" t="s">
        <v>105</v>
      </c>
      <c r="C67" s="153" t="s">
        <v>171</v>
      </c>
      <c r="D67" s="152" t="s">
        <v>1</v>
      </c>
      <c r="E67" s="154">
        <v>1.3298611111111109</v>
      </c>
      <c r="F67" s="152" t="s">
        <v>107</v>
      </c>
      <c r="G67" s="155">
        <v>9</v>
      </c>
      <c r="H67" s="176">
        <v>437</v>
      </c>
    </row>
  </sheetData>
  <pageMargins left="0.75" right="0.75" top="1" bottom="1" header="0.5" footer="0.5"/>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N89"/>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8.3320312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2.109375" bestFit="1" customWidth="1"/>
  </cols>
  <sheetData>
    <row r="1" spans="1:92" ht="28.8" customHeight="1" x14ac:dyDescent="0.3">
      <c r="A1" s="191" t="s">
        <v>0</v>
      </c>
      <c r="B1" s="190"/>
      <c r="C1" s="190"/>
      <c r="D1" s="190"/>
      <c r="E1" s="190"/>
      <c r="F1" s="1" t="s">
        <v>495</v>
      </c>
      <c r="G1" s="2" t="s">
        <v>2</v>
      </c>
      <c r="H1" s="189">
        <v>45986</v>
      </c>
      <c r="I1" s="190"/>
      <c r="J1" s="190"/>
      <c r="K1" s="190"/>
      <c r="L1" s="190"/>
      <c r="M1" s="1" t="s">
        <v>3</v>
      </c>
      <c r="N1" s="201">
        <v>45990</v>
      </c>
      <c r="O1" s="190"/>
      <c r="P1" s="190"/>
      <c r="Q1" s="190"/>
      <c r="R1" s="190"/>
      <c r="CA1" s="3"/>
      <c r="CB1" s="3"/>
      <c r="CC1" s="3"/>
      <c r="CD1" s="3"/>
      <c r="CE1" s="3"/>
      <c r="CF1" s="3"/>
      <c r="CG1" s="3"/>
      <c r="CH1" s="3"/>
      <c r="CI1" s="3"/>
      <c r="CJ1" s="3"/>
      <c r="CK1" s="3"/>
      <c r="CL1" s="3"/>
      <c r="CM1" s="3"/>
      <c r="CN1" s="3"/>
    </row>
    <row r="2" spans="1:92" ht="23.4" customHeight="1" x14ac:dyDescent="0.3">
      <c r="A2" s="193" t="s">
        <v>4</v>
      </c>
      <c r="B2" s="190"/>
      <c r="C2" s="190"/>
      <c r="D2" s="190"/>
      <c r="E2" s="190"/>
      <c r="F2" s="190"/>
      <c r="G2" s="199">
        <v>45981.049653979651</v>
      </c>
      <c r="H2" s="190"/>
      <c r="I2" s="190"/>
      <c r="J2" s="190"/>
      <c r="K2" s="202">
        <v>45981.049653979979</v>
      </c>
      <c r="L2" s="190"/>
      <c r="M2" s="190"/>
      <c r="N2" s="190"/>
      <c r="O2" s="190"/>
      <c r="P2" s="190"/>
      <c r="Q2" s="190"/>
      <c r="R2" s="190"/>
      <c r="CA2" s="3"/>
      <c r="CB2" s="3"/>
      <c r="CC2" s="3"/>
      <c r="CD2" s="3"/>
      <c r="CE2" s="3"/>
      <c r="CF2" s="3"/>
      <c r="CG2" s="3"/>
      <c r="CH2" s="3"/>
      <c r="CI2" s="3"/>
      <c r="CJ2" s="3"/>
      <c r="CK2" s="3"/>
      <c r="CL2" s="3"/>
      <c r="CM2" s="3"/>
      <c r="CN2" s="3"/>
    </row>
    <row r="3" spans="1:92" ht="24" customHeight="1" x14ac:dyDescent="0.3">
      <c r="A3" s="194" t="s">
        <v>5</v>
      </c>
      <c r="B3" s="190"/>
      <c r="C3" s="190"/>
      <c r="D3" s="190"/>
      <c r="E3" s="190"/>
      <c r="F3" s="190"/>
      <c r="G3" s="190"/>
      <c r="H3" s="190"/>
      <c r="I3" s="190"/>
      <c r="J3" s="190"/>
      <c r="K3" s="190"/>
      <c r="L3" s="190"/>
      <c r="M3" s="190"/>
      <c r="N3" s="190"/>
      <c r="O3" s="190"/>
      <c r="P3" s="190"/>
      <c r="Q3" s="190"/>
      <c r="R3" s="190"/>
      <c r="CA3" s="3"/>
      <c r="CB3" s="3"/>
      <c r="CC3" s="3"/>
      <c r="CD3" s="3"/>
      <c r="CE3" s="3"/>
      <c r="CF3" s="3"/>
      <c r="CG3" s="3"/>
      <c r="CH3" s="3"/>
      <c r="CI3" s="3"/>
      <c r="CJ3" s="3"/>
      <c r="CK3" s="3"/>
      <c r="CL3" s="3"/>
      <c r="CM3" s="3"/>
      <c r="CN3" s="3"/>
    </row>
    <row r="4" spans="1:92" ht="22.05" customHeight="1" x14ac:dyDescent="0.3">
      <c r="A4" s="200" t="s">
        <v>6</v>
      </c>
      <c r="B4" s="187"/>
      <c r="C4" s="187"/>
      <c r="D4" s="187"/>
      <c r="E4" s="187"/>
      <c r="F4" s="188"/>
      <c r="G4" s="4">
        <v>45986</v>
      </c>
      <c r="H4" s="192" t="s">
        <v>7</v>
      </c>
      <c r="I4" s="187"/>
      <c r="J4" s="187"/>
      <c r="K4" s="187"/>
      <c r="L4" s="187"/>
      <c r="M4" s="187"/>
      <c r="N4" s="187"/>
      <c r="O4" s="187"/>
      <c r="P4" s="187"/>
      <c r="Q4" s="187"/>
      <c r="R4" s="188"/>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77" t="s">
        <v>76</v>
      </c>
      <c r="B6" s="177" t="s">
        <v>496</v>
      </c>
      <c r="C6" s="178">
        <v>0.32291666666666669</v>
      </c>
      <c r="D6" s="177" t="s">
        <v>78</v>
      </c>
      <c r="E6" s="177" t="s">
        <v>161</v>
      </c>
      <c r="F6" s="177" t="s">
        <v>455</v>
      </c>
      <c r="G6" s="203"/>
      <c r="H6" s="95" t="s">
        <v>497</v>
      </c>
      <c r="I6" s="179">
        <v>0.93300000000000005</v>
      </c>
      <c r="J6" s="97">
        <v>167</v>
      </c>
      <c r="K6" s="98">
        <v>45971</v>
      </c>
      <c r="L6" s="97">
        <v>0</v>
      </c>
      <c r="M6" s="97">
        <v>0</v>
      </c>
      <c r="N6" s="97">
        <v>0</v>
      </c>
      <c r="O6" s="99" t="s">
        <v>498</v>
      </c>
      <c r="P6" s="100">
        <v>0.32291666666666669</v>
      </c>
      <c r="Q6" s="97">
        <v>179</v>
      </c>
      <c r="R6" s="101" t="s">
        <v>499</v>
      </c>
    </row>
    <row r="7" spans="1:92" ht="15" customHeight="1" x14ac:dyDescent="0.3">
      <c r="A7" s="48" t="s">
        <v>76</v>
      </c>
      <c r="B7" s="48" t="s">
        <v>500</v>
      </c>
      <c r="C7" s="49">
        <v>0.95138888888888884</v>
      </c>
      <c r="D7" s="48" t="s">
        <v>78</v>
      </c>
      <c r="E7" s="48" t="s">
        <v>94</v>
      </c>
      <c r="F7" s="48" t="s">
        <v>395</v>
      </c>
      <c r="G7" s="196"/>
      <c r="H7" s="50" t="s">
        <v>501</v>
      </c>
      <c r="I7" s="165">
        <v>0.97770000000000001</v>
      </c>
      <c r="J7" s="52">
        <v>175</v>
      </c>
      <c r="K7" s="53">
        <v>45973</v>
      </c>
      <c r="L7" s="52">
        <v>0</v>
      </c>
      <c r="M7" s="52">
        <v>0</v>
      </c>
      <c r="N7" s="52">
        <v>0</v>
      </c>
      <c r="O7" s="54" t="s">
        <v>502</v>
      </c>
      <c r="P7" s="55">
        <v>0.95138888888888884</v>
      </c>
      <c r="Q7" s="52">
        <v>179</v>
      </c>
      <c r="R7" s="56" t="s">
        <v>503</v>
      </c>
    </row>
    <row r="8" spans="1:92" ht="15" customHeight="1" x14ac:dyDescent="0.3">
      <c r="A8" s="17" t="s">
        <v>140</v>
      </c>
      <c r="B8" s="17" t="s">
        <v>504</v>
      </c>
      <c r="C8" s="18">
        <v>0.32291666666666669</v>
      </c>
      <c r="D8" s="17" t="s">
        <v>142</v>
      </c>
      <c r="E8" s="17" t="s">
        <v>447</v>
      </c>
      <c r="F8" s="17" t="s">
        <v>505</v>
      </c>
      <c r="G8" s="196"/>
      <c r="H8" s="10"/>
      <c r="I8" s="11"/>
      <c r="J8" s="11"/>
      <c r="K8" s="11"/>
      <c r="L8" s="11"/>
      <c r="M8" s="11"/>
      <c r="N8" s="11"/>
      <c r="O8" s="12"/>
      <c r="P8" s="11"/>
      <c r="Q8" s="13"/>
      <c r="R8" s="14"/>
    </row>
    <row r="9" spans="1:92" ht="18" x14ac:dyDescent="0.3">
      <c r="A9" s="204" t="s">
        <v>404</v>
      </c>
      <c r="B9" s="205"/>
      <c r="C9" s="205"/>
      <c r="D9" s="205"/>
      <c r="E9" s="205"/>
      <c r="F9" s="206"/>
      <c r="G9" s="196"/>
      <c r="H9" s="160"/>
      <c r="I9" s="160"/>
      <c r="J9" s="160"/>
      <c r="K9" s="160"/>
      <c r="L9" s="160"/>
      <c r="M9" s="160"/>
      <c r="N9" s="160"/>
      <c r="O9" s="161"/>
      <c r="P9" s="160"/>
      <c r="Q9" s="126"/>
      <c r="R9" s="126"/>
    </row>
    <row r="10" spans="1:92" ht="15" customHeight="1" x14ac:dyDescent="0.3">
      <c r="A10" s="15" t="s">
        <v>26</v>
      </c>
      <c r="B10" s="15" t="s">
        <v>27</v>
      </c>
      <c r="C10" s="16" t="s">
        <v>368</v>
      </c>
      <c r="D10" s="15" t="s">
        <v>28</v>
      </c>
      <c r="E10" s="15" t="s">
        <v>405</v>
      </c>
      <c r="F10" s="15" t="s">
        <v>30</v>
      </c>
      <c r="G10" s="196"/>
      <c r="H10" s="160"/>
      <c r="I10" s="160"/>
      <c r="J10" s="160"/>
      <c r="K10" s="160"/>
      <c r="L10" s="160"/>
      <c r="M10" s="160"/>
      <c r="N10" s="160"/>
      <c r="O10" s="161"/>
      <c r="P10" s="160"/>
      <c r="Q10" s="126"/>
      <c r="R10" s="126"/>
    </row>
    <row r="11" spans="1:92" ht="15" customHeight="1" x14ac:dyDescent="0.3">
      <c r="A11" s="15" t="s">
        <v>35</v>
      </c>
      <c r="B11" s="15" t="s">
        <v>36</v>
      </c>
      <c r="C11" s="16" t="s">
        <v>369</v>
      </c>
      <c r="D11" s="15" t="s">
        <v>37</v>
      </c>
      <c r="E11" s="15" t="s">
        <v>406</v>
      </c>
      <c r="F11" s="15" t="s">
        <v>39</v>
      </c>
      <c r="G11" s="196"/>
      <c r="H11" s="160"/>
      <c r="I11" s="160"/>
      <c r="J11" s="160"/>
      <c r="K11" s="160"/>
      <c r="L11" s="160"/>
      <c r="M11" s="160"/>
      <c r="N11" s="160"/>
      <c r="O11" s="161"/>
      <c r="P11" s="160"/>
      <c r="Q11" s="126"/>
      <c r="R11" s="126"/>
    </row>
    <row r="12" spans="1:92" ht="15" customHeight="1" x14ac:dyDescent="0.3">
      <c r="A12" s="15" t="s">
        <v>35</v>
      </c>
      <c r="B12" s="15" t="s">
        <v>45</v>
      </c>
      <c r="C12" s="16" t="s">
        <v>370</v>
      </c>
      <c r="D12" s="15" t="s">
        <v>37</v>
      </c>
      <c r="E12" s="15" t="s">
        <v>407</v>
      </c>
      <c r="F12" s="15" t="s">
        <v>39</v>
      </c>
      <c r="G12" s="196"/>
      <c r="H12" s="160"/>
      <c r="I12" s="160"/>
      <c r="J12" s="160"/>
      <c r="K12" s="160"/>
      <c r="L12" s="160"/>
      <c r="M12" s="160"/>
      <c r="N12" s="160"/>
      <c r="O12" s="161"/>
      <c r="P12" s="160"/>
      <c r="Q12" s="126"/>
      <c r="R12" s="126"/>
    </row>
    <row r="13" spans="1:92" ht="15" customHeight="1" x14ac:dyDescent="0.3">
      <c r="A13" s="15" t="s">
        <v>35</v>
      </c>
      <c r="B13" s="15" t="s">
        <v>47</v>
      </c>
      <c r="C13" s="16" t="s">
        <v>371</v>
      </c>
      <c r="D13" s="15" t="s">
        <v>37</v>
      </c>
      <c r="E13" s="15" t="s">
        <v>408</v>
      </c>
      <c r="F13" s="15" t="s">
        <v>39</v>
      </c>
      <c r="G13" s="196"/>
      <c r="H13" s="160"/>
      <c r="I13" s="160"/>
      <c r="J13" s="160"/>
      <c r="K13" s="160"/>
      <c r="L13" s="160"/>
      <c r="M13" s="160"/>
      <c r="N13" s="160"/>
      <c r="O13" s="161"/>
      <c r="P13" s="160"/>
      <c r="Q13" s="126"/>
      <c r="R13" s="126"/>
    </row>
    <row r="14" spans="1:92" ht="15" customHeight="1" x14ac:dyDescent="0.3">
      <c r="A14" s="15" t="s">
        <v>35</v>
      </c>
      <c r="B14" s="15" t="s">
        <v>50</v>
      </c>
      <c r="C14" s="16" t="s">
        <v>372</v>
      </c>
      <c r="D14" s="15" t="s">
        <v>37</v>
      </c>
      <c r="E14" s="15" t="s">
        <v>407</v>
      </c>
      <c r="F14" s="15" t="s">
        <v>39</v>
      </c>
      <c r="G14" s="196"/>
      <c r="H14" s="160"/>
      <c r="I14" s="160"/>
      <c r="J14" s="160"/>
      <c r="K14" s="160"/>
      <c r="L14" s="160"/>
      <c r="M14" s="160"/>
      <c r="N14" s="160"/>
      <c r="O14" s="161"/>
      <c r="P14" s="160"/>
      <c r="Q14" s="126"/>
      <c r="R14" s="126"/>
    </row>
    <row r="15" spans="1:92" ht="15" customHeight="1" x14ac:dyDescent="0.3">
      <c r="A15" s="15" t="s">
        <v>51</v>
      </c>
      <c r="B15" s="15" t="s">
        <v>52</v>
      </c>
      <c r="C15" s="16" t="s">
        <v>373</v>
      </c>
      <c r="D15" s="15" t="s">
        <v>53</v>
      </c>
      <c r="E15" s="15" t="s">
        <v>409</v>
      </c>
      <c r="F15" s="15" t="s">
        <v>55</v>
      </c>
      <c r="G15" s="196"/>
      <c r="H15" s="160"/>
      <c r="I15" s="160"/>
      <c r="J15" s="160"/>
      <c r="K15" s="160"/>
      <c r="L15" s="160"/>
      <c r="M15" s="160"/>
      <c r="N15" s="160"/>
      <c r="O15" s="161"/>
      <c r="P15" s="160"/>
      <c r="Q15" s="126"/>
      <c r="R15" s="126"/>
    </row>
    <row r="16" spans="1:92" ht="15" customHeight="1" x14ac:dyDescent="0.3">
      <c r="A16" s="15" t="s">
        <v>51</v>
      </c>
      <c r="B16" s="15" t="s">
        <v>61</v>
      </c>
      <c r="C16" s="16" t="s">
        <v>374</v>
      </c>
      <c r="D16" s="15" t="s">
        <v>53</v>
      </c>
      <c r="E16" s="15" t="s">
        <v>405</v>
      </c>
      <c r="F16" s="15" t="s">
        <v>55</v>
      </c>
      <c r="G16" s="196"/>
      <c r="H16" s="160"/>
      <c r="I16" s="160"/>
      <c r="J16" s="160"/>
      <c r="K16" s="160"/>
      <c r="L16" s="160"/>
      <c r="M16" s="160"/>
      <c r="N16" s="160"/>
      <c r="O16" s="161"/>
      <c r="P16" s="160"/>
      <c r="Q16" s="126"/>
      <c r="R16" s="126"/>
    </row>
    <row r="17" spans="1:18" ht="15" customHeight="1" x14ac:dyDescent="0.3">
      <c r="A17" s="15" t="s">
        <v>51</v>
      </c>
      <c r="B17" s="15" t="s">
        <v>64</v>
      </c>
      <c r="C17" s="16" t="s">
        <v>301</v>
      </c>
      <c r="D17" s="15" t="s">
        <v>53</v>
      </c>
      <c r="E17" s="15" t="s">
        <v>406</v>
      </c>
      <c r="F17" s="15" t="s">
        <v>55</v>
      </c>
      <c r="G17" s="196"/>
      <c r="H17" s="160"/>
      <c r="I17" s="160"/>
      <c r="J17" s="160"/>
      <c r="K17" s="160"/>
      <c r="L17" s="160"/>
      <c r="M17" s="160"/>
      <c r="N17" s="160"/>
      <c r="O17" s="161"/>
      <c r="P17" s="160"/>
      <c r="Q17" s="126"/>
      <c r="R17" s="126"/>
    </row>
    <row r="18" spans="1:18" ht="15" customHeight="1" x14ac:dyDescent="0.3">
      <c r="A18" s="15" t="s">
        <v>51</v>
      </c>
      <c r="B18" s="15" t="s">
        <v>66</v>
      </c>
      <c r="C18" s="16" t="s">
        <v>375</v>
      </c>
      <c r="D18" s="15" t="s">
        <v>53</v>
      </c>
      <c r="E18" s="15" t="s">
        <v>410</v>
      </c>
      <c r="F18" s="15" t="s">
        <v>55</v>
      </c>
      <c r="G18" s="196"/>
      <c r="H18" s="160"/>
      <c r="I18" s="160"/>
      <c r="J18" s="160"/>
      <c r="K18" s="160"/>
      <c r="L18" s="160"/>
      <c r="M18" s="160"/>
      <c r="N18" s="160"/>
      <c r="O18" s="161"/>
      <c r="P18" s="160"/>
      <c r="Q18" s="126"/>
      <c r="R18" s="126"/>
    </row>
    <row r="19" spans="1:18" ht="15" customHeight="1" thickBot="1" x14ac:dyDescent="0.35">
      <c r="A19" s="77" t="s">
        <v>51</v>
      </c>
      <c r="B19" s="77" t="s">
        <v>69</v>
      </c>
      <c r="C19" s="78" t="s">
        <v>369</v>
      </c>
      <c r="D19" s="77" t="s">
        <v>53</v>
      </c>
      <c r="E19" s="77" t="s">
        <v>406</v>
      </c>
      <c r="F19" s="77" t="s">
        <v>55</v>
      </c>
      <c r="G19" s="197"/>
      <c r="H19" s="162"/>
      <c r="I19" s="162"/>
      <c r="J19" s="162"/>
      <c r="K19" s="162"/>
      <c r="L19" s="162"/>
      <c r="M19" s="162"/>
      <c r="N19" s="162"/>
      <c r="O19" s="163"/>
      <c r="P19" s="162"/>
      <c r="Q19" s="164"/>
      <c r="R19" s="164"/>
    </row>
    <row r="20" spans="1:18" ht="17.399999999999999" customHeight="1" thickBot="1" x14ac:dyDescent="0.35">
      <c r="A20" s="221"/>
      <c r="B20" s="222"/>
      <c r="C20" s="222"/>
      <c r="D20" s="222"/>
      <c r="E20" s="222"/>
      <c r="F20" s="222"/>
      <c r="G20" s="222"/>
      <c r="H20" s="222"/>
      <c r="I20" s="222"/>
      <c r="J20" s="222"/>
      <c r="K20" s="222"/>
      <c r="L20" s="222"/>
      <c r="M20" s="222"/>
      <c r="N20" s="222"/>
      <c r="O20" s="222"/>
      <c r="P20" s="222"/>
      <c r="Q20" s="222"/>
      <c r="R20" s="223"/>
    </row>
    <row r="21" spans="1:18" ht="22.05" customHeight="1" thickTop="1" thickBot="1" x14ac:dyDescent="0.35">
      <c r="A21" s="186" t="s">
        <v>6</v>
      </c>
      <c r="B21" s="187"/>
      <c r="C21" s="187"/>
      <c r="D21" s="187"/>
      <c r="E21" s="187"/>
      <c r="F21" s="188"/>
      <c r="G21" s="84">
        <v>45987</v>
      </c>
      <c r="H21" s="198" t="s">
        <v>7</v>
      </c>
      <c r="I21" s="187"/>
      <c r="J21" s="187"/>
      <c r="K21" s="187"/>
      <c r="L21" s="187"/>
      <c r="M21" s="187"/>
      <c r="N21" s="187"/>
      <c r="O21" s="187"/>
      <c r="P21" s="187"/>
      <c r="Q21" s="187"/>
      <c r="R21" s="188"/>
    </row>
    <row r="22" spans="1:18" ht="24" customHeight="1" x14ac:dyDescent="0.3">
      <c r="A22" s="85" t="s">
        <v>8</v>
      </c>
      <c r="B22" s="85" t="s">
        <v>9</v>
      </c>
      <c r="C22" s="86" t="s">
        <v>10</v>
      </c>
      <c r="D22" s="85" t="s">
        <v>11</v>
      </c>
      <c r="E22" s="85" t="s">
        <v>12</v>
      </c>
      <c r="F22" s="87" t="s">
        <v>13</v>
      </c>
      <c r="G22" s="88" t="s">
        <v>14</v>
      </c>
      <c r="H22" s="85" t="s">
        <v>15</v>
      </c>
      <c r="I22" s="89" t="s">
        <v>16</v>
      </c>
      <c r="J22" s="90" t="s">
        <v>17</v>
      </c>
      <c r="K22" s="91" t="s">
        <v>18</v>
      </c>
      <c r="L22" s="90" t="s">
        <v>19</v>
      </c>
      <c r="M22" s="90" t="s">
        <v>20</v>
      </c>
      <c r="N22" s="90" t="s">
        <v>21</v>
      </c>
      <c r="O22" s="85" t="s">
        <v>22</v>
      </c>
      <c r="P22" s="86" t="s">
        <v>23</v>
      </c>
      <c r="Q22" s="90" t="s">
        <v>24</v>
      </c>
      <c r="R22" s="85" t="s">
        <v>25</v>
      </c>
    </row>
    <row r="23" spans="1:18" ht="15" customHeight="1" x14ac:dyDescent="0.3">
      <c r="A23" s="8" t="s">
        <v>35</v>
      </c>
      <c r="B23" s="8" t="s">
        <v>506</v>
      </c>
      <c r="C23" s="9">
        <v>0.28472222222222221</v>
      </c>
      <c r="D23" s="8" t="s">
        <v>388</v>
      </c>
      <c r="E23" s="8" t="s">
        <v>507</v>
      </c>
      <c r="F23" s="8" t="s">
        <v>508</v>
      </c>
      <c r="G23" s="195"/>
      <c r="H23" s="10"/>
      <c r="I23" s="11"/>
      <c r="J23" s="11"/>
      <c r="K23" s="11"/>
      <c r="L23" s="11"/>
      <c r="M23" s="11"/>
      <c r="N23" s="11"/>
      <c r="O23" s="12"/>
      <c r="P23" s="11"/>
      <c r="Q23" s="13"/>
      <c r="R23" s="14"/>
    </row>
    <row r="24" spans="1:18" ht="15" customHeight="1" x14ac:dyDescent="0.3">
      <c r="A24" s="19" t="s">
        <v>35</v>
      </c>
      <c r="B24" s="19" t="s">
        <v>506</v>
      </c>
      <c r="C24" s="20">
        <v>0.28472222222222221</v>
      </c>
      <c r="D24" s="19" t="s">
        <v>379</v>
      </c>
      <c r="E24" s="19" t="s">
        <v>509</v>
      </c>
      <c r="F24" s="19" t="s">
        <v>510</v>
      </c>
      <c r="G24" s="196"/>
      <c r="H24" s="10"/>
      <c r="I24" s="11"/>
      <c r="J24" s="11"/>
      <c r="K24" s="11"/>
      <c r="L24" s="11"/>
      <c r="M24" s="11"/>
      <c r="N24" s="11"/>
      <c r="O24" s="12"/>
      <c r="P24" s="11"/>
      <c r="Q24" s="13"/>
      <c r="R24" s="14"/>
    </row>
    <row r="25" spans="1:18" ht="15" customHeight="1" x14ac:dyDescent="0.3">
      <c r="A25" s="19" t="s">
        <v>35</v>
      </c>
      <c r="B25" s="19" t="s">
        <v>506</v>
      </c>
      <c r="C25" s="20">
        <v>0.28472222222222221</v>
      </c>
      <c r="D25" s="19" t="s">
        <v>381</v>
      </c>
      <c r="E25" s="19" t="s">
        <v>509</v>
      </c>
      <c r="F25" s="19" t="s">
        <v>511</v>
      </c>
      <c r="G25" s="196"/>
      <c r="H25" s="10"/>
      <c r="I25" s="11"/>
      <c r="J25" s="11"/>
      <c r="K25" s="11"/>
      <c r="L25" s="11"/>
      <c r="M25" s="11"/>
      <c r="N25" s="11"/>
      <c r="O25" s="12"/>
      <c r="P25" s="11"/>
      <c r="Q25" s="13"/>
      <c r="R25" s="14"/>
    </row>
    <row r="26" spans="1:18" ht="15" customHeight="1" x14ac:dyDescent="0.3">
      <c r="A26" s="19" t="s">
        <v>35</v>
      </c>
      <c r="B26" s="19" t="s">
        <v>506</v>
      </c>
      <c r="C26" s="20">
        <v>0.28472222222222221</v>
      </c>
      <c r="D26" s="19" t="s">
        <v>392</v>
      </c>
      <c r="E26" s="19" t="s">
        <v>509</v>
      </c>
      <c r="F26" s="19" t="s">
        <v>58</v>
      </c>
      <c r="G26" s="196"/>
      <c r="H26" s="10"/>
      <c r="I26" s="11"/>
      <c r="J26" s="11"/>
      <c r="K26" s="11"/>
      <c r="L26" s="11"/>
      <c r="M26" s="11"/>
      <c r="N26" s="11"/>
      <c r="O26" s="12"/>
      <c r="P26" s="11"/>
      <c r="Q26" s="13"/>
      <c r="R26" s="14"/>
    </row>
    <row r="27" spans="1:18" ht="15" customHeight="1" x14ac:dyDescent="0.3">
      <c r="A27" s="180" t="s">
        <v>76</v>
      </c>
      <c r="B27" s="180" t="s">
        <v>496</v>
      </c>
      <c r="C27" s="181">
        <v>0.2673611111111111</v>
      </c>
      <c r="D27" s="180" t="s">
        <v>78</v>
      </c>
      <c r="E27" s="180" t="s">
        <v>113</v>
      </c>
      <c r="F27" s="180" t="s">
        <v>192</v>
      </c>
      <c r="G27" s="196"/>
      <c r="H27" s="115" t="s">
        <v>497</v>
      </c>
      <c r="I27" s="182">
        <v>0.61450000000000005</v>
      </c>
      <c r="J27" s="117">
        <v>110</v>
      </c>
      <c r="K27" s="118">
        <v>45980</v>
      </c>
      <c r="L27" s="117">
        <v>10</v>
      </c>
      <c r="M27" s="117">
        <v>0</v>
      </c>
      <c r="N27" s="117">
        <v>1</v>
      </c>
      <c r="O27" s="119" t="s">
        <v>194</v>
      </c>
      <c r="P27" s="120">
        <v>0.2673611111111111</v>
      </c>
      <c r="Q27" s="117">
        <v>179</v>
      </c>
      <c r="R27" s="121" t="s">
        <v>512</v>
      </c>
    </row>
    <row r="28" spans="1:18" ht="15" customHeight="1" x14ac:dyDescent="0.3">
      <c r="A28" s="48" t="s">
        <v>76</v>
      </c>
      <c r="B28" s="48" t="s">
        <v>513</v>
      </c>
      <c r="C28" s="49">
        <v>0.33333333333333331</v>
      </c>
      <c r="D28" s="48" t="s">
        <v>78</v>
      </c>
      <c r="E28" s="48" t="s">
        <v>116</v>
      </c>
      <c r="F28" s="48" t="s">
        <v>192</v>
      </c>
      <c r="G28" s="196"/>
      <c r="H28" s="50" t="s">
        <v>514</v>
      </c>
      <c r="I28" s="51">
        <v>0.83330000000000004</v>
      </c>
      <c r="J28" s="52">
        <v>140</v>
      </c>
      <c r="K28" s="53">
        <v>45979</v>
      </c>
      <c r="L28" s="52">
        <v>15</v>
      </c>
      <c r="M28" s="52">
        <v>0</v>
      </c>
      <c r="N28" s="52">
        <v>0</v>
      </c>
      <c r="O28" s="54" t="s">
        <v>194</v>
      </c>
      <c r="P28" s="55">
        <v>0.33333333333333331</v>
      </c>
      <c r="Q28" s="52">
        <v>168</v>
      </c>
      <c r="R28" s="56" t="s">
        <v>515</v>
      </c>
    </row>
    <row r="29" spans="1:18" ht="15" customHeight="1" x14ac:dyDescent="0.3">
      <c r="A29" s="17" t="s">
        <v>140</v>
      </c>
      <c r="B29" s="17" t="s">
        <v>504</v>
      </c>
      <c r="C29" s="18">
        <v>0.2673611111111111</v>
      </c>
      <c r="D29" s="17" t="s">
        <v>516</v>
      </c>
      <c r="E29" s="17" t="s">
        <v>447</v>
      </c>
      <c r="F29" s="17" t="s">
        <v>517</v>
      </c>
      <c r="G29" s="196"/>
      <c r="H29" s="10"/>
      <c r="I29" s="11"/>
      <c r="J29" s="11"/>
      <c r="K29" s="11"/>
      <c r="L29" s="11"/>
      <c r="M29" s="11"/>
      <c r="N29" s="11"/>
      <c r="O29" s="12"/>
      <c r="P29" s="11"/>
      <c r="Q29" s="13"/>
      <c r="R29" s="14"/>
    </row>
    <row r="30" spans="1:18" ht="18" x14ac:dyDescent="0.3">
      <c r="A30" s="204" t="s">
        <v>404</v>
      </c>
      <c r="B30" s="205"/>
      <c r="C30" s="205"/>
      <c r="D30" s="205"/>
      <c r="E30" s="205"/>
      <c r="F30" s="206"/>
      <c r="G30" s="196"/>
      <c r="H30" s="160"/>
      <c r="I30" s="160"/>
      <c r="J30" s="160"/>
      <c r="K30" s="160"/>
      <c r="L30" s="160"/>
      <c r="M30" s="160"/>
      <c r="N30" s="160"/>
      <c r="O30" s="161"/>
      <c r="P30" s="160"/>
      <c r="Q30" s="126"/>
      <c r="R30" s="126"/>
    </row>
    <row r="31" spans="1:18" ht="15" customHeight="1" x14ac:dyDescent="0.3">
      <c r="A31" s="15" t="s">
        <v>35</v>
      </c>
      <c r="B31" s="15" t="s">
        <v>45</v>
      </c>
      <c r="C31" s="16" t="s">
        <v>370</v>
      </c>
      <c r="D31" s="15" t="s">
        <v>37</v>
      </c>
      <c r="E31" s="15" t="s">
        <v>424</v>
      </c>
      <c r="F31" s="15" t="s">
        <v>155</v>
      </c>
      <c r="G31" s="196"/>
      <c r="H31" s="160"/>
      <c r="I31" s="160"/>
      <c r="J31" s="160"/>
      <c r="K31" s="160"/>
      <c r="L31" s="160"/>
      <c r="M31" s="160"/>
      <c r="N31" s="160"/>
      <c r="O31" s="161"/>
      <c r="P31" s="160"/>
      <c r="Q31" s="126"/>
      <c r="R31" s="126"/>
    </row>
    <row r="32" spans="1:18" ht="15" customHeight="1" x14ac:dyDescent="0.3">
      <c r="A32" s="15" t="s">
        <v>35</v>
      </c>
      <c r="B32" s="15" t="s">
        <v>50</v>
      </c>
      <c r="C32" s="16" t="s">
        <v>372</v>
      </c>
      <c r="D32" s="15" t="s">
        <v>37</v>
      </c>
      <c r="E32" s="15" t="s">
        <v>407</v>
      </c>
      <c r="F32" s="15" t="s">
        <v>155</v>
      </c>
      <c r="G32" s="196"/>
      <c r="H32" s="160"/>
      <c r="I32" s="160"/>
      <c r="J32" s="160"/>
      <c r="K32" s="160"/>
      <c r="L32" s="160"/>
      <c r="M32" s="160"/>
      <c r="N32" s="160"/>
      <c r="O32" s="161"/>
      <c r="P32" s="160"/>
      <c r="Q32" s="126"/>
      <c r="R32" s="126"/>
    </row>
    <row r="33" spans="1:18" ht="15" customHeight="1" x14ac:dyDescent="0.3">
      <c r="A33" s="15" t="s">
        <v>26</v>
      </c>
      <c r="B33" s="15" t="s">
        <v>31</v>
      </c>
      <c r="C33" s="16" t="s">
        <v>351</v>
      </c>
      <c r="D33" s="15" t="s">
        <v>28</v>
      </c>
      <c r="E33" s="15" t="s">
        <v>405</v>
      </c>
      <c r="F33" s="15" t="s">
        <v>30</v>
      </c>
      <c r="G33" s="196"/>
      <c r="H33" s="160"/>
      <c r="I33" s="160"/>
      <c r="J33" s="160"/>
      <c r="K33" s="160"/>
      <c r="L33" s="160"/>
      <c r="M33" s="160"/>
      <c r="N33" s="160"/>
      <c r="O33" s="161"/>
      <c r="P33" s="160"/>
      <c r="Q33" s="126"/>
      <c r="R33" s="126"/>
    </row>
    <row r="34" spans="1:18" ht="15" customHeight="1" x14ac:dyDescent="0.3">
      <c r="A34" s="15" t="s">
        <v>26</v>
      </c>
      <c r="B34" s="15" t="s">
        <v>34</v>
      </c>
      <c r="C34" s="16" t="s">
        <v>425</v>
      </c>
      <c r="D34" s="15" t="s">
        <v>28</v>
      </c>
      <c r="E34" s="15" t="s">
        <v>426</v>
      </c>
      <c r="F34" s="15" t="s">
        <v>30</v>
      </c>
      <c r="G34" s="196"/>
      <c r="H34" s="160"/>
      <c r="I34" s="160"/>
      <c r="J34" s="160"/>
      <c r="K34" s="160"/>
      <c r="L34" s="160"/>
      <c r="M34" s="160"/>
      <c r="N34" s="160"/>
      <c r="O34" s="161"/>
      <c r="P34" s="160"/>
      <c r="Q34" s="126"/>
      <c r="R34" s="126"/>
    </row>
    <row r="35" spans="1:18" ht="15" customHeight="1" x14ac:dyDescent="0.3">
      <c r="A35" s="15" t="s">
        <v>51</v>
      </c>
      <c r="B35" s="15" t="s">
        <v>71</v>
      </c>
      <c r="C35" s="16" t="s">
        <v>427</v>
      </c>
      <c r="D35" s="15" t="s">
        <v>53</v>
      </c>
      <c r="E35" s="15" t="s">
        <v>428</v>
      </c>
      <c r="F35" s="15" t="s">
        <v>162</v>
      </c>
      <c r="G35" s="196"/>
      <c r="H35" s="160"/>
      <c r="I35" s="160"/>
      <c r="J35" s="160"/>
      <c r="K35" s="160"/>
      <c r="L35" s="160"/>
      <c r="M35" s="160"/>
      <c r="N35" s="160"/>
      <c r="O35" s="161"/>
      <c r="P35" s="160"/>
      <c r="Q35" s="126"/>
      <c r="R35" s="126"/>
    </row>
    <row r="36" spans="1:18" ht="15" customHeight="1" x14ac:dyDescent="0.3">
      <c r="A36" s="15" t="s">
        <v>51</v>
      </c>
      <c r="B36" s="15" t="s">
        <v>69</v>
      </c>
      <c r="C36" s="16" t="s">
        <v>369</v>
      </c>
      <c r="D36" s="15" t="s">
        <v>53</v>
      </c>
      <c r="E36" s="15" t="s">
        <v>406</v>
      </c>
      <c r="F36" s="15" t="s">
        <v>162</v>
      </c>
      <c r="G36" s="196"/>
      <c r="H36" s="160"/>
      <c r="I36" s="160"/>
      <c r="J36" s="160"/>
      <c r="K36" s="160"/>
      <c r="L36" s="160"/>
      <c r="M36" s="160"/>
      <c r="N36" s="160"/>
      <c r="O36" s="161"/>
      <c r="P36" s="160"/>
      <c r="Q36" s="126"/>
      <c r="R36" s="126"/>
    </row>
    <row r="37" spans="1:18" ht="15" customHeight="1" x14ac:dyDescent="0.3">
      <c r="A37" s="15" t="s">
        <v>35</v>
      </c>
      <c r="B37" s="15" t="s">
        <v>36</v>
      </c>
      <c r="C37" s="16" t="s">
        <v>369</v>
      </c>
      <c r="D37" s="15" t="s">
        <v>37</v>
      </c>
      <c r="E37" s="15" t="s">
        <v>409</v>
      </c>
      <c r="F37" s="15" t="s">
        <v>39</v>
      </c>
      <c r="G37" s="196"/>
      <c r="H37" s="160"/>
      <c r="I37" s="160"/>
      <c r="J37" s="160"/>
      <c r="K37" s="160"/>
      <c r="L37" s="160"/>
      <c r="M37" s="160"/>
      <c r="N37" s="160"/>
      <c r="O37" s="161"/>
      <c r="P37" s="160"/>
      <c r="Q37" s="126"/>
      <c r="R37" s="126"/>
    </row>
    <row r="38" spans="1:18" ht="15" customHeight="1" x14ac:dyDescent="0.3">
      <c r="A38" s="15" t="s">
        <v>35</v>
      </c>
      <c r="B38" s="15" t="s">
        <v>47</v>
      </c>
      <c r="C38" s="16" t="s">
        <v>371</v>
      </c>
      <c r="D38" s="15" t="s">
        <v>37</v>
      </c>
      <c r="E38" s="15" t="s">
        <v>429</v>
      </c>
      <c r="F38" s="15" t="s">
        <v>39</v>
      </c>
      <c r="G38" s="196"/>
      <c r="H38" s="160"/>
      <c r="I38" s="160"/>
      <c r="J38" s="160"/>
      <c r="K38" s="160"/>
      <c r="L38" s="160"/>
      <c r="M38" s="160"/>
      <c r="N38" s="160"/>
      <c r="O38" s="161"/>
      <c r="P38" s="160"/>
      <c r="Q38" s="126"/>
      <c r="R38" s="126"/>
    </row>
    <row r="39" spans="1:18" ht="15" customHeight="1" x14ac:dyDescent="0.3">
      <c r="A39" s="15" t="s">
        <v>51</v>
      </c>
      <c r="B39" s="15" t="s">
        <v>52</v>
      </c>
      <c r="C39" s="16" t="s">
        <v>373</v>
      </c>
      <c r="D39" s="15" t="s">
        <v>53</v>
      </c>
      <c r="E39" s="15" t="s">
        <v>409</v>
      </c>
      <c r="F39" s="15" t="s">
        <v>55</v>
      </c>
      <c r="G39" s="196"/>
      <c r="H39" s="160"/>
      <c r="I39" s="160"/>
      <c r="J39" s="160"/>
      <c r="K39" s="160"/>
      <c r="L39" s="160"/>
      <c r="M39" s="160"/>
      <c r="N39" s="160"/>
      <c r="O39" s="161"/>
      <c r="P39" s="160"/>
      <c r="Q39" s="126"/>
      <c r="R39" s="126"/>
    </row>
    <row r="40" spans="1:18" ht="15" customHeight="1" thickBot="1" x14ac:dyDescent="0.35">
      <c r="A40" s="77" t="s">
        <v>51</v>
      </c>
      <c r="B40" s="77" t="s">
        <v>61</v>
      </c>
      <c r="C40" s="78" t="s">
        <v>374</v>
      </c>
      <c r="D40" s="77" t="s">
        <v>53</v>
      </c>
      <c r="E40" s="77" t="s">
        <v>405</v>
      </c>
      <c r="F40" s="77" t="s">
        <v>55</v>
      </c>
      <c r="G40" s="197"/>
      <c r="H40" s="162"/>
      <c r="I40" s="162"/>
      <c r="J40" s="162"/>
      <c r="K40" s="162"/>
      <c r="L40" s="162"/>
      <c r="M40" s="162"/>
      <c r="N40" s="162"/>
      <c r="O40" s="163"/>
      <c r="P40" s="162"/>
      <c r="Q40" s="164"/>
      <c r="R40" s="164"/>
    </row>
    <row r="41" spans="1:18" ht="17.399999999999999" customHeight="1" thickBot="1" x14ac:dyDescent="0.35">
      <c r="A41" s="221"/>
      <c r="B41" s="222"/>
      <c r="C41" s="222"/>
      <c r="D41" s="222"/>
      <c r="E41" s="222"/>
      <c r="F41" s="222"/>
      <c r="G41" s="222"/>
      <c r="H41" s="222"/>
      <c r="I41" s="222"/>
      <c r="J41" s="222"/>
      <c r="K41" s="222"/>
      <c r="L41" s="222"/>
      <c r="M41" s="222"/>
      <c r="N41" s="222"/>
      <c r="O41" s="222"/>
      <c r="P41" s="222"/>
      <c r="Q41" s="222"/>
      <c r="R41" s="223"/>
    </row>
    <row r="42" spans="1:18" ht="22.05" customHeight="1" thickTop="1" thickBot="1" x14ac:dyDescent="0.35">
      <c r="A42" s="186" t="s">
        <v>6</v>
      </c>
      <c r="B42" s="187"/>
      <c r="C42" s="187"/>
      <c r="D42" s="187"/>
      <c r="E42" s="187"/>
      <c r="F42" s="188"/>
      <c r="G42" s="84">
        <v>45988</v>
      </c>
      <c r="H42" s="198" t="s">
        <v>7</v>
      </c>
      <c r="I42" s="187"/>
      <c r="J42" s="187"/>
      <c r="K42" s="187"/>
      <c r="L42" s="187"/>
      <c r="M42" s="187"/>
      <c r="N42" s="187"/>
      <c r="O42" s="187"/>
      <c r="P42" s="187"/>
      <c r="Q42" s="187"/>
      <c r="R42" s="188"/>
    </row>
    <row r="43" spans="1:18" ht="24" customHeight="1" x14ac:dyDescent="0.3">
      <c r="A43" s="85" t="s">
        <v>8</v>
      </c>
      <c r="B43" s="85" t="s">
        <v>9</v>
      </c>
      <c r="C43" s="86" t="s">
        <v>10</v>
      </c>
      <c r="D43" s="85" t="s">
        <v>11</v>
      </c>
      <c r="E43" s="85" t="s">
        <v>12</v>
      </c>
      <c r="F43" s="87" t="s">
        <v>13</v>
      </c>
      <c r="G43" s="88" t="s">
        <v>14</v>
      </c>
      <c r="H43" s="85" t="s">
        <v>15</v>
      </c>
      <c r="I43" s="89" t="s">
        <v>16</v>
      </c>
      <c r="J43" s="90" t="s">
        <v>17</v>
      </c>
      <c r="K43" s="91" t="s">
        <v>18</v>
      </c>
      <c r="L43" s="90" t="s">
        <v>19</v>
      </c>
      <c r="M43" s="90" t="s">
        <v>20</v>
      </c>
      <c r="N43" s="90" t="s">
        <v>21</v>
      </c>
      <c r="O43" s="85" t="s">
        <v>22</v>
      </c>
      <c r="P43" s="86" t="s">
        <v>23</v>
      </c>
      <c r="Q43" s="90" t="s">
        <v>24</v>
      </c>
      <c r="R43" s="85" t="s">
        <v>25</v>
      </c>
    </row>
    <row r="44" spans="1:18" ht="15" customHeight="1" x14ac:dyDescent="0.3">
      <c r="A44" s="168" t="s">
        <v>76</v>
      </c>
      <c r="B44" s="168" t="s">
        <v>518</v>
      </c>
      <c r="C44" s="169">
        <v>8.3333333333333329E-2</v>
      </c>
      <c r="D44" s="168" t="s">
        <v>78</v>
      </c>
      <c r="E44" s="168" t="s">
        <v>113</v>
      </c>
      <c r="F44" s="168" t="s">
        <v>30</v>
      </c>
      <c r="G44" s="203"/>
      <c r="H44" s="60" t="s">
        <v>519</v>
      </c>
      <c r="I44" s="123">
        <v>0.13689999999999999</v>
      </c>
      <c r="J44" s="62">
        <v>23</v>
      </c>
      <c r="K44" s="63">
        <v>45980</v>
      </c>
      <c r="L44" s="62">
        <v>4</v>
      </c>
      <c r="M44" s="62">
        <v>0</v>
      </c>
      <c r="N44" s="62">
        <v>1</v>
      </c>
      <c r="O44" s="64" t="s">
        <v>293</v>
      </c>
      <c r="P44" s="65">
        <v>8.3333333333333329E-2</v>
      </c>
      <c r="Q44" s="62">
        <v>168</v>
      </c>
      <c r="R44" s="66" t="s">
        <v>520</v>
      </c>
    </row>
    <row r="45" spans="1:18" ht="15" customHeight="1" x14ac:dyDescent="0.3">
      <c r="A45" s="39" t="s">
        <v>76</v>
      </c>
      <c r="B45" s="39" t="s">
        <v>496</v>
      </c>
      <c r="C45" s="40">
        <v>0.48958333333333331</v>
      </c>
      <c r="D45" s="39" t="s">
        <v>78</v>
      </c>
      <c r="E45" s="39" t="s">
        <v>116</v>
      </c>
      <c r="F45" s="39" t="s">
        <v>30</v>
      </c>
      <c r="G45" s="196"/>
      <c r="H45" s="41" t="s">
        <v>497</v>
      </c>
      <c r="I45" s="124">
        <v>0.67859999999999998</v>
      </c>
      <c r="J45" s="43">
        <v>114</v>
      </c>
      <c r="K45" s="44">
        <v>45980</v>
      </c>
      <c r="L45" s="43">
        <v>14</v>
      </c>
      <c r="M45" s="43">
        <v>0</v>
      </c>
      <c r="N45" s="43">
        <v>1</v>
      </c>
      <c r="O45" s="45" t="s">
        <v>293</v>
      </c>
      <c r="P45" s="46">
        <v>0.48958333333333331</v>
      </c>
      <c r="Q45" s="43">
        <v>168</v>
      </c>
      <c r="R45" s="47" t="s">
        <v>521</v>
      </c>
    </row>
    <row r="46" spans="1:18" ht="15" customHeight="1" x14ac:dyDescent="0.3">
      <c r="A46" s="107" t="s">
        <v>76</v>
      </c>
      <c r="B46" s="107" t="s">
        <v>500</v>
      </c>
      <c r="C46" s="108">
        <v>0.70833333333333337</v>
      </c>
      <c r="D46" s="107" t="s">
        <v>78</v>
      </c>
      <c r="E46" s="107" t="s">
        <v>158</v>
      </c>
      <c r="F46" s="107" t="s">
        <v>30</v>
      </c>
      <c r="G46" s="196"/>
      <c r="H46" s="23" t="s">
        <v>501</v>
      </c>
      <c r="I46" s="183">
        <v>0.42459999999999998</v>
      </c>
      <c r="J46" s="25">
        <v>76</v>
      </c>
      <c r="K46" s="26">
        <v>45980</v>
      </c>
      <c r="L46" s="25">
        <v>27</v>
      </c>
      <c r="M46" s="25">
        <v>0</v>
      </c>
      <c r="N46" s="25">
        <v>5</v>
      </c>
      <c r="O46" s="27" t="s">
        <v>522</v>
      </c>
      <c r="P46" s="28">
        <v>0.70833333333333337</v>
      </c>
      <c r="Q46" s="25">
        <v>179</v>
      </c>
      <c r="R46" s="29" t="s">
        <v>523</v>
      </c>
    </row>
    <row r="47" spans="1:18" ht="15" customHeight="1" x14ac:dyDescent="0.3">
      <c r="A47" s="17" t="s">
        <v>140</v>
      </c>
      <c r="B47" s="17" t="s">
        <v>504</v>
      </c>
      <c r="C47" s="18">
        <v>0.48958333333333331</v>
      </c>
      <c r="D47" s="17" t="s">
        <v>516</v>
      </c>
      <c r="E47" s="17" t="s">
        <v>447</v>
      </c>
      <c r="F47" s="17" t="s">
        <v>517</v>
      </c>
      <c r="G47" s="196"/>
      <c r="H47" s="10"/>
      <c r="I47" s="11"/>
      <c r="J47" s="11"/>
      <c r="K47" s="11"/>
      <c r="L47" s="11"/>
      <c r="M47" s="11"/>
      <c r="N47" s="11"/>
      <c r="O47" s="12"/>
      <c r="P47" s="11"/>
      <c r="Q47" s="13"/>
      <c r="R47" s="14"/>
    </row>
    <row r="48" spans="1:18" ht="18" x14ac:dyDescent="0.3">
      <c r="A48" s="204" t="s">
        <v>404</v>
      </c>
      <c r="B48" s="205"/>
      <c r="C48" s="205"/>
      <c r="D48" s="205"/>
      <c r="E48" s="205"/>
      <c r="F48" s="206"/>
      <c r="G48" s="196"/>
      <c r="H48" s="160"/>
      <c r="I48" s="160"/>
      <c r="J48" s="160"/>
      <c r="K48" s="160"/>
      <c r="L48" s="160"/>
      <c r="M48" s="160"/>
      <c r="N48" s="160"/>
      <c r="O48" s="161"/>
      <c r="P48" s="160"/>
      <c r="Q48" s="126"/>
      <c r="R48" s="126"/>
    </row>
    <row r="49" spans="1:18" ht="15" customHeight="1" x14ac:dyDescent="0.3">
      <c r="A49" s="15" t="s">
        <v>35</v>
      </c>
      <c r="B49" s="15" t="s">
        <v>45</v>
      </c>
      <c r="C49" s="16" t="s">
        <v>370</v>
      </c>
      <c r="D49" s="15" t="s">
        <v>37</v>
      </c>
      <c r="E49" s="15" t="s">
        <v>409</v>
      </c>
      <c r="F49" s="15" t="s">
        <v>185</v>
      </c>
      <c r="G49" s="196"/>
      <c r="H49" s="160"/>
      <c r="I49" s="160"/>
      <c r="J49" s="160"/>
      <c r="K49" s="160"/>
      <c r="L49" s="160"/>
      <c r="M49" s="160"/>
      <c r="N49" s="160"/>
      <c r="O49" s="161"/>
      <c r="P49" s="160"/>
      <c r="Q49" s="126"/>
      <c r="R49" s="126"/>
    </row>
    <row r="50" spans="1:18" ht="15" customHeight="1" x14ac:dyDescent="0.3">
      <c r="A50" s="15" t="s">
        <v>35</v>
      </c>
      <c r="B50" s="15" t="s">
        <v>36</v>
      </c>
      <c r="C50" s="16" t="s">
        <v>369</v>
      </c>
      <c r="D50" s="15" t="s">
        <v>37</v>
      </c>
      <c r="E50" s="15" t="s">
        <v>409</v>
      </c>
      <c r="F50" s="15" t="s">
        <v>155</v>
      </c>
      <c r="G50" s="196"/>
      <c r="H50" s="160"/>
      <c r="I50" s="160"/>
      <c r="J50" s="160"/>
      <c r="K50" s="160"/>
      <c r="L50" s="160"/>
      <c r="M50" s="160"/>
      <c r="N50" s="160"/>
      <c r="O50" s="161"/>
      <c r="P50" s="160"/>
      <c r="Q50" s="126"/>
      <c r="R50" s="126"/>
    </row>
    <row r="51" spans="1:18" ht="15" customHeight="1" x14ac:dyDescent="0.3">
      <c r="A51" s="15" t="s">
        <v>35</v>
      </c>
      <c r="B51" s="15" t="s">
        <v>47</v>
      </c>
      <c r="C51" s="16" t="s">
        <v>371</v>
      </c>
      <c r="D51" s="15" t="s">
        <v>37</v>
      </c>
      <c r="E51" s="15" t="s">
        <v>408</v>
      </c>
      <c r="F51" s="15" t="s">
        <v>155</v>
      </c>
      <c r="G51" s="196"/>
      <c r="H51" s="160"/>
      <c r="I51" s="160"/>
      <c r="J51" s="160"/>
      <c r="K51" s="160"/>
      <c r="L51" s="160"/>
      <c r="M51" s="160"/>
      <c r="N51" s="160"/>
      <c r="O51" s="161"/>
      <c r="P51" s="160"/>
      <c r="Q51" s="126"/>
      <c r="R51" s="126"/>
    </row>
    <row r="52" spans="1:18" ht="15" customHeight="1" x14ac:dyDescent="0.3">
      <c r="A52" s="15" t="s">
        <v>35</v>
      </c>
      <c r="B52" s="15" t="s">
        <v>50</v>
      </c>
      <c r="C52" s="16" t="s">
        <v>372</v>
      </c>
      <c r="D52" s="15" t="s">
        <v>37</v>
      </c>
      <c r="E52" s="15" t="s">
        <v>429</v>
      </c>
      <c r="F52" s="15" t="s">
        <v>155</v>
      </c>
      <c r="G52" s="196"/>
      <c r="H52" s="160"/>
      <c r="I52" s="160"/>
      <c r="J52" s="160"/>
      <c r="K52" s="160"/>
      <c r="L52" s="160"/>
      <c r="M52" s="160"/>
      <c r="N52" s="160"/>
      <c r="O52" s="161"/>
      <c r="P52" s="160"/>
      <c r="Q52" s="126"/>
      <c r="R52" s="126"/>
    </row>
    <row r="53" spans="1:18" ht="15" customHeight="1" x14ac:dyDescent="0.3">
      <c r="A53" s="15" t="s">
        <v>111</v>
      </c>
      <c r="B53" s="15" t="s">
        <v>112</v>
      </c>
      <c r="C53" s="16" t="s">
        <v>438</v>
      </c>
      <c r="D53" s="15" t="s">
        <v>28</v>
      </c>
      <c r="E53" s="15" t="s">
        <v>439</v>
      </c>
      <c r="F53" s="15" t="s">
        <v>186</v>
      </c>
      <c r="G53" s="196"/>
      <c r="H53" s="160"/>
      <c r="I53" s="160"/>
      <c r="J53" s="160"/>
      <c r="K53" s="160"/>
      <c r="L53" s="160"/>
      <c r="M53" s="160"/>
      <c r="N53" s="160"/>
      <c r="O53" s="161"/>
      <c r="P53" s="160"/>
      <c r="Q53" s="126"/>
      <c r="R53" s="126"/>
    </row>
    <row r="54" spans="1:18" ht="15" customHeight="1" x14ac:dyDescent="0.3">
      <c r="A54" s="15" t="s">
        <v>111</v>
      </c>
      <c r="B54" s="15" t="s">
        <v>115</v>
      </c>
      <c r="C54" s="16" t="s">
        <v>440</v>
      </c>
      <c r="D54" s="15" t="s">
        <v>28</v>
      </c>
      <c r="E54" s="15" t="s">
        <v>439</v>
      </c>
      <c r="F54" s="15" t="s">
        <v>186</v>
      </c>
      <c r="G54" s="196"/>
      <c r="H54" s="160"/>
      <c r="I54" s="160"/>
      <c r="J54" s="160"/>
      <c r="K54" s="160"/>
      <c r="L54" s="160"/>
      <c r="M54" s="160"/>
      <c r="N54" s="160"/>
      <c r="O54" s="161"/>
      <c r="P54" s="160"/>
      <c r="Q54" s="126"/>
      <c r="R54" s="126"/>
    </row>
    <row r="55" spans="1:18" ht="15" customHeight="1" x14ac:dyDescent="0.3">
      <c r="A55" s="15" t="s">
        <v>76</v>
      </c>
      <c r="B55" s="15" t="s">
        <v>187</v>
      </c>
      <c r="C55" s="16" t="s">
        <v>318</v>
      </c>
      <c r="D55" s="15" t="s">
        <v>78</v>
      </c>
      <c r="E55" s="15" t="s">
        <v>405</v>
      </c>
      <c r="F55" s="15" t="s">
        <v>30</v>
      </c>
      <c r="G55" s="196"/>
      <c r="H55" s="160"/>
      <c r="I55" s="160"/>
      <c r="J55" s="160"/>
      <c r="K55" s="160"/>
      <c r="L55" s="160"/>
      <c r="M55" s="160"/>
      <c r="N55" s="160"/>
      <c r="O55" s="161"/>
      <c r="P55" s="160"/>
      <c r="Q55" s="126"/>
      <c r="R55" s="126"/>
    </row>
    <row r="56" spans="1:18" ht="15" customHeight="1" x14ac:dyDescent="0.3">
      <c r="A56" s="15" t="s">
        <v>51</v>
      </c>
      <c r="B56" s="15" t="s">
        <v>52</v>
      </c>
      <c r="C56" s="16" t="s">
        <v>373</v>
      </c>
      <c r="D56" s="15" t="s">
        <v>53</v>
      </c>
      <c r="E56" s="15" t="s">
        <v>405</v>
      </c>
      <c r="F56" s="15" t="s">
        <v>162</v>
      </c>
      <c r="G56" s="196"/>
      <c r="H56" s="160"/>
      <c r="I56" s="160"/>
      <c r="J56" s="160"/>
      <c r="K56" s="160"/>
      <c r="L56" s="160"/>
      <c r="M56" s="160"/>
      <c r="N56" s="160"/>
      <c r="O56" s="161"/>
      <c r="P56" s="160"/>
      <c r="Q56" s="126"/>
      <c r="R56" s="126"/>
    </row>
    <row r="57" spans="1:18" ht="15" customHeight="1" x14ac:dyDescent="0.3">
      <c r="A57" s="15" t="s">
        <v>51</v>
      </c>
      <c r="B57" s="15" t="s">
        <v>61</v>
      </c>
      <c r="C57" s="16" t="s">
        <v>441</v>
      </c>
      <c r="D57" s="15" t="s">
        <v>53</v>
      </c>
      <c r="E57" s="15" t="s">
        <v>408</v>
      </c>
      <c r="F57" s="15" t="s">
        <v>162</v>
      </c>
      <c r="G57" s="196"/>
      <c r="H57" s="160"/>
      <c r="I57" s="160"/>
      <c r="J57" s="160"/>
      <c r="K57" s="160"/>
      <c r="L57" s="160"/>
      <c r="M57" s="160"/>
      <c r="N57" s="160"/>
      <c r="O57" s="161"/>
      <c r="P57" s="160"/>
      <c r="Q57" s="126"/>
      <c r="R57" s="126"/>
    </row>
    <row r="58" spans="1:18" ht="15" customHeight="1" thickBot="1" x14ac:dyDescent="0.35">
      <c r="A58" s="77" t="s">
        <v>51</v>
      </c>
      <c r="B58" s="77" t="s">
        <v>64</v>
      </c>
      <c r="C58" s="78" t="s">
        <v>301</v>
      </c>
      <c r="D58" s="77" t="s">
        <v>53</v>
      </c>
      <c r="E58" s="77" t="s">
        <v>408</v>
      </c>
      <c r="F58" s="77" t="s">
        <v>162</v>
      </c>
      <c r="G58" s="197"/>
      <c r="H58" s="162"/>
      <c r="I58" s="162"/>
      <c r="J58" s="162"/>
      <c r="K58" s="162"/>
      <c r="L58" s="162"/>
      <c r="M58" s="162"/>
      <c r="N58" s="162"/>
      <c r="O58" s="163"/>
      <c r="P58" s="162"/>
      <c r="Q58" s="164"/>
      <c r="R58" s="164"/>
    </row>
    <row r="59" spans="1:18" ht="17.399999999999999" customHeight="1" thickBot="1" x14ac:dyDescent="0.35">
      <c r="A59" s="221"/>
      <c r="B59" s="222"/>
      <c r="C59" s="222"/>
      <c r="D59" s="222"/>
      <c r="E59" s="222"/>
      <c r="F59" s="222"/>
      <c r="G59" s="222"/>
      <c r="H59" s="222"/>
      <c r="I59" s="222"/>
      <c r="J59" s="222"/>
      <c r="K59" s="222"/>
      <c r="L59" s="222"/>
      <c r="M59" s="222"/>
      <c r="N59" s="222"/>
      <c r="O59" s="222"/>
      <c r="P59" s="222"/>
      <c r="Q59" s="222"/>
      <c r="R59" s="223"/>
    </row>
    <row r="60" spans="1:18" ht="22.05" customHeight="1" thickTop="1" thickBot="1" x14ac:dyDescent="0.35">
      <c r="A60" s="186" t="s">
        <v>6</v>
      </c>
      <c r="B60" s="187"/>
      <c r="C60" s="187"/>
      <c r="D60" s="187"/>
      <c r="E60" s="187"/>
      <c r="F60" s="188"/>
      <c r="G60" s="84">
        <v>45989</v>
      </c>
      <c r="H60" s="198" t="s">
        <v>7</v>
      </c>
      <c r="I60" s="187"/>
      <c r="J60" s="187"/>
      <c r="K60" s="187"/>
      <c r="L60" s="187"/>
      <c r="M60" s="187"/>
      <c r="N60" s="187"/>
      <c r="O60" s="187"/>
      <c r="P60" s="187"/>
      <c r="Q60" s="187"/>
      <c r="R60" s="188"/>
    </row>
    <row r="61" spans="1:18" ht="24" customHeight="1" x14ac:dyDescent="0.3">
      <c r="A61" s="85" t="s">
        <v>8</v>
      </c>
      <c r="B61" s="85" t="s">
        <v>9</v>
      </c>
      <c r="C61" s="86" t="s">
        <v>10</v>
      </c>
      <c r="D61" s="85" t="s">
        <v>11</v>
      </c>
      <c r="E61" s="85" t="s">
        <v>12</v>
      </c>
      <c r="F61" s="87" t="s">
        <v>13</v>
      </c>
      <c r="G61" s="88" t="s">
        <v>14</v>
      </c>
      <c r="H61" s="85" t="s">
        <v>15</v>
      </c>
      <c r="I61" s="89" t="s">
        <v>16</v>
      </c>
      <c r="J61" s="90" t="s">
        <v>17</v>
      </c>
      <c r="K61" s="91" t="s">
        <v>18</v>
      </c>
      <c r="L61" s="90" t="s">
        <v>19</v>
      </c>
      <c r="M61" s="90" t="s">
        <v>20</v>
      </c>
      <c r="N61" s="90" t="s">
        <v>21</v>
      </c>
      <c r="O61" s="85" t="s">
        <v>22</v>
      </c>
      <c r="P61" s="86" t="s">
        <v>23</v>
      </c>
      <c r="Q61" s="90" t="s">
        <v>24</v>
      </c>
      <c r="R61" s="85" t="s">
        <v>25</v>
      </c>
    </row>
    <row r="62" spans="1:18" ht="15" customHeight="1" x14ac:dyDescent="0.3">
      <c r="A62" s="184" t="s">
        <v>76</v>
      </c>
      <c r="B62" s="184" t="s">
        <v>513</v>
      </c>
      <c r="C62" s="185">
        <v>0.29166666666666669</v>
      </c>
      <c r="D62" s="184" t="s">
        <v>78</v>
      </c>
      <c r="E62" s="184" t="s">
        <v>54</v>
      </c>
      <c r="F62" s="184" t="s">
        <v>30</v>
      </c>
      <c r="G62" s="195"/>
      <c r="H62" s="32" t="s">
        <v>514</v>
      </c>
      <c r="I62" s="109">
        <v>0.42259999999999998</v>
      </c>
      <c r="J62" s="34">
        <v>71</v>
      </c>
      <c r="K62" s="35">
        <v>45980</v>
      </c>
      <c r="L62" s="34">
        <v>40</v>
      </c>
      <c r="M62" s="34">
        <v>0</v>
      </c>
      <c r="N62" s="34">
        <v>6</v>
      </c>
      <c r="O62" s="36" t="s">
        <v>522</v>
      </c>
      <c r="P62" s="37">
        <v>0.29166666666666669</v>
      </c>
      <c r="Q62" s="34">
        <v>168</v>
      </c>
      <c r="R62" s="38" t="s">
        <v>524</v>
      </c>
    </row>
    <row r="63" spans="1:18" ht="18" x14ac:dyDescent="0.3">
      <c r="A63" s="204" t="s">
        <v>404</v>
      </c>
      <c r="B63" s="205"/>
      <c r="C63" s="205"/>
      <c r="D63" s="205"/>
      <c r="E63" s="205"/>
      <c r="F63" s="206"/>
      <c r="G63" s="196"/>
      <c r="H63" s="160"/>
      <c r="I63" s="160"/>
      <c r="J63" s="160"/>
      <c r="K63" s="160"/>
      <c r="L63" s="160"/>
      <c r="M63" s="160"/>
      <c r="N63" s="160"/>
      <c r="O63" s="161"/>
      <c r="P63" s="160"/>
      <c r="Q63" s="126"/>
      <c r="R63" s="126"/>
    </row>
    <row r="64" spans="1:18" ht="15" customHeight="1" x14ac:dyDescent="0.3">
      <c r="A64" s="15" t="s">
        <v>35</v>
      </c>
      <c r="B64" s="15" t="s">
        <v>36</v>
      </c>
      <c r="C64" s="16" t="s">
        <v>369</v>
      </c>
      <c r="D64" s="15" t="s">
        <v>37</v>
      </c>
      <c r="E64" s="15" t="s">
        <v>428</v>
      </c>
      <c r="F64" s="15" t="s">
        <v>185</v>
      </c>
      <c r="G64" s="196"/>
      <c r="H64" s="160"/>
      <c r="I64" s="160"/>
      <c r="J64" s="160"/>
      <c r="K64" s="160"/>
      <c r="L64" s="160"/>
      <c r="M64" s="160"/>
      <c r="N64" s="160"/>
      <c r="O64" s="161"/>
      <c r="P64" s="160"/>
      <c r="Q64" s="126"/>
      <c r="R64" s="126"/>
    </row>
    <row r="65" spans="1:18" ht="15" customHeight="1" x14ac:dyDescent="0.3">
      <c r="A65" s="15" t="s">
        <v>35</v>
      </c>
      <c r="B65" s="15" t="s">
        <v>45</v>
      </c>
      <c r="C65" s="16" t="s">
        <v>370</v>
      </c>
      <c r="D65" s="15" t="s">
        <v>37</v>
      </c>
      <c r="E65" s="15" t="s">
        <v>410</v>
      </c>
      <c r="F65" s="15" t="s">
        <v>185</v>
      </c>
      <c r="G65" s="196"/>
      <c r="H65" s="160"/>
      <c r="I65" s="160"/>
      <c r="J65" s="160"/>
      <c r="K65" s="160"/>
      <c r="L65" s="160"/>
      <c r="M65" s="160"/>
      <c r="N65" s="160"/>
      <c r="O65" s="161"/>
      <c r="P65" s="160"/>
      <c r="Q65" s="126"/>
      <c r="R65" s="126"/>
    </row>
    <row r="66" spans="1:18" ht="15" customHeight="1" x14ac:dyDescent="0.3">
      <c r="A66" s="15" t="s">
        <v>35</v>
      </c>
      <c r="B66" s="15" t="s">
        <v>47</v>
      </c>
      <c r="C66" s="16" t="s">
        <v>371</v>
      </c>
      <c r="D66" s="15" t="s">
        <v>37</v>
      </c>
      <c r="E66" s="15" t="s">
        <v>426</v>
      </c>
      <c r="F66" s="15" t="s">
        <v>155</v>
      </c>
      <c r="G66" s="196"/>
      <c r="H66" s="160"/>
      <c r="I66" s="160"/>
      <c r="J66" s="160"/>
      <c r="K66" s="160"/>
      <c r="L66" s="160"/>
      <c r="M66" s="160"/>
      <c r="N66" s="160"/>
      <c r="O66" s="161"/>
      <c r="P66" s="160"/>
      <c r="Q66" s="126"/>
      <c r="R66" s="126"/>
    </row>
    <row r="67" spans="1:18" ht="15" customHeight="1" x14ac:dyDescent="0.3">
      <c r="A67" s="15" t="s">
        <v>35</v>
      </c>
      <c r="B67" s="15" t="s">
        <v>50</v>
      </c>
      <c r="C67" s="16" t="s">
        <v>372</v>
      </c>
      <c r="D67" s="15" t="s">
        <v>37</v>
      </c>
      <c r="E67" s="15" t="s">
        <v>429</v>
      </c>
      <c r="F67" s="15" t="s">
        <v>155</v>
      </c>
      <c r="G67" s="196"/>
      <c r="H67" s="160"/>
      <c r="I67" s="160"/>
      <c r="J67" s="160"/>
      <c r="K67" s="160"/>
      <c r="L67" s="160"/>
      <c r="M67" s="160"/>
      <c r="N67" s="160"/>
      <c r="O67" s="161"/>
      <c r="P67" s="160"/>
      <c r="Q67" s="126"/>
      <c r="R67" s="126"/>
    </row>
    <row r="68" spans="1:18" ht="15" customHeight="1" x14ac:dyDescent="0.3">
      <c r="A68" s="15" t="s">
        <v>51</v>
      </c>
      <c r="B68" s="15" t="s">
        <v>52</v>
      </c>
      <c r="C68" s="16" t="s">
        <v>373</v>
      </c>
      <c r="D68" s="15" t="s">
        <v>53</v>
      </c>
      <c r="E68" s="15" t="s">
        <v>405</v>
      </c>
      <c r="F68" s="15" t="s">
        <v>162</v>
      </c>
      <c r="G68" s="196"/>
      <c r="H68" s="160"/>
      <c r="I68" s="160"/>
      <c r="J68" s="160"/>
      <c r="K68" s="160"/>
      <c r="L68" s="160"/>
      <c r="M68" s="160"/>
      <c r="N68" s="160"/>
      <c r="O68" s="161"/>
      <c r="P68" s="160"/>
      <c r="Q68" s="126"/>
      <c r="R68" s="126"/>
    </row>
    <row r="69" spans="1:18" ht="15" customHeight="1" x14ac:dyDescent="0.3">
      <c r="A69" s="15" t="s">
        <v>51</v>
      </c>
      <c r="B69" s="15" t="s">
        <v>64</v>
      </c>
      <c r="C69" s="16" t="s">
        <v>301</v>
      </c>
      <c r="D69" s="15" t="s">
        <v>53</v>
      </c>
      <c r="E69" s="15" t="s">
        <v>406</v>
      </c>
      <c r="F69" s="15" t="s">
        <v>162</v>
      </c>
      <c r="G69" s="196"/>
      <c r="H69" s="160"/>
      <c r="I69" s="160"/>
      <c r="J69" s="160"/>
      <c r="K69" s="160"/>
      <c r="L69" s="160"/>
      <c r="M69" s="160"/>
      <c r="N69" s="160"/>
      <c r="O69" s="161"/>
      <c r="P69" s="160"/>
      <c r="Q69" s="126"/>
      <c r="R69" s="126"/>
    </row>
    <row r="70" spans="1:18" ht="15" customHeight="1" x14ac:dyDescent="0.3">
      <c r="A70" s="15" t="s">
        <v>51</v>
      </c>
      <c r="B70" s="15" t="s">
        <v>75</v>
      </c>
      <c r="C70" s="16" t="s">
        <v>448</v>
      </c>
      <c r="D70" s="15" t="s">
        <v>53</v>
      </c>
      <c r="E70" s="15" t="s">
        <v>406</v>
      </c>
      <c r="F70" s="15" t="s">
        <v>162</v>
      </c>
      <c r="G70" s="196"/>
      <c r="H70" s="160"/>
      <c r="I70" s="160"/>
      <c r="J70" s="160"/>
      <c r="K70" s="160"/>
      <c r="L70" s="160"/>
      <c r="M70" s="160"/>
      <c r="N70" s="160"/>
      <c r="O70" s="161"/>
      <c r="P70" s="160"/>
      <c r="Q70" s="126"/>
      <c r="R70" s="126"/>
    </row>
    <row r="71" spans="1:18" ht="15" customHeight="1" x14ac:dyDescent="0.3">
      <c r="A71" s="15" t="s">
        <v>51</v>
      </c>
      <c r="B71" s="15" t="s">
        <v>70</v>
      </c>
      <c r="C71" s="16" t="s">
        <v>376</v>
      </c>
      <c r="D71" s="15" t="s">
        <v>53</v>
      </c>
      <c r="E71" s="15" t="s">
        <v>405</v>
      </c>
      <c r="F71" s="15" t="s">
        <v>162</v>
      </c>
      <c r="G71" s="196"/>
      <c r="H71" s="160"/>
      <c r="I71" s="160"/>
      <c r="J71" s="160"/>
      <c r="K71" s="160"/>
      <c r="L71" s="160"/>
      <c r="M71" s="160"/>
      <c r="N71" s="160"/>
      <c r="O71" s="161"/>
      <c r="P71" s="160"/>
      <c r="Q71" s="126"/>
      <c r="R71" s="126"/>
    </row>
    <row r="72" spans="1:18" ht="15" customHeight="1" x14ac:dyDescent="0.3">
      <c r="A72" s="15" t="s">
        <v>76</v>
      </c>
      <c r="B72" s="15" t="s">
        <v>77</v>
      </c>
      <c r="C72" s="16" t="s">
        <v>339</v>
      </c>
      <c r="D72" s="15" t="s">
        <v>78</v>
      </c>
      <c r="E72" s="15" t="s">
        <v>405</v>
      </c>
      <c r="F72" s="15" t="s">
        <v>192</v>
      </c>
      <c r="G72" s="196"/>
      <c r="H72" s="160"/>
      <c r="I72" s="160"/>
      <c r="J72" s="160"/>
      <c r="K72" s="160"/>
      <c r="L72" s="160"/>
      <c r="M72" s="160"/>
      <c r="N72" s="160"/>
      <c r="O72" s="161"/>
      <c r="P72" s="160"/>
      <c r="Q72" s="126"/>
      <c r="R72" s="126"/>
    </row>
    <row r="73" spans="1:18" ht="15" customHeight="1" thickBot="1" x14ac:dyDescent="0.35">
      <c r="A73" s="77" t="s">
        <v>76</v>
      </c>
      <c r="B73" s="77" t="s">
        <v>93</v>
      </c>
      <c r="C73" s="78" t="s">
        <v>341</v>
      </c>
      <c r="D73" s="77" t="s">
        <v>78</v>
      </c>
      <c r="E73" s="77" t="s">
        <v>439</v>
      </c>
      <c r="F73" s="77" t="s">
        <v>192</v>
      </c>
      <c r="G73" s="197"/>
      <c r="H73" s="162"/>
      <c r="I73" s="162"/>
      <c r="J73" s="162"/>
      <c r="K73" s="162"/>
      <c r="L73" s="162"/>
      <c r="M73" s="162"/>
      <c r="N73" s="162"/>
      <c r="O73" s="163"/>
      <c r="P73" s="162"/>
      <c r="Q73" s="164"/>
      <c r="R73" s="164"/>
    </row>
    <row r="74" spans="1:18" ht="17.399999999999999" customHeight="1" thickBot="1" x14ac:dyDescent="0.35">
      <c r="A74" s="221"/>
      <c r="B74" s="222"/>
      <c r="C74" s="222"/>
      <c r="D74" s="222"/>
      <c r="E74" s="222"/>
      <c r="F74" s="222"/>
      <c r="G74" s="222"/>
      <c r="H74" s="222"/>
      <c r="I74" s="222"/>
      <c r="J74" s="222"/>
      <c r="K74" s="222"/>
      <c r="L74" s="222"/>
      <c r="M74" s="222"/>
      <c r="N74" s="222"/>
      <c r="O74" s="222"/>
      <c r="P74" s="222"/>
      <c r="Q74" s="222"/>
      <c r="R74" s="223"/>
    </row>
    <row r="75" spans="1:18" ht="22.05" customHeight="1" thickTop="1" thickBot="1" x14ac:dyDescent="0.35">
      <c r="A75" s="186" t="s">
        <v>6</v>
      </c>
      <c r="B75" s="187"/>
      <c r="C75" s="187"/>
      <c r="D75" s="187"/>
      <c r="E75" s="187"/>
      <c r="F75" s="188"/>
      <c r="G75" s="84">
        <v>45990</v>
      </c>
      <c r="H75" s="198" t="s">
        <v>7</v>
      </c>
      <c r="I75" s="187"/>
      <c r="J75" s="187"/>
      <c r="K75" s="187"/>
      <c r="L75" s="187"/>
      <c r="M75" s="187"/>
      <c r="N75" s="187"/>
      <c r="O75" s="187"/>
      <c r="P75" s="187"/>
      <c r="Q75" s="187"/>
      <c r="R75" s="188"/>
    </row>
    <row r="76" spans="1:18" ht="24" customHeight="1" x14ac:dyDescent="0.3">
      <c r="A76" s="85" t="s">
        <v>8</v>
      </c>
      <c r="B76" s="85" t="s">
        <v>9</v>
      </c>
      <c r="C76" s="86" t="s">
        <v>10</v>
      </c>
      <c r="D76" s="85" t="s">
        <v>11</v>
      </c>
      <c r="E76" s="85" t="s">
        <v>12</v>
      </c>
      <c r="F76" s="87" t="s">
        <v>13</v>
      </c>
      <c r="G76" s="88" t="s">
        <v>14</v>
      </c>
      <c r="H76" s="85" t="s">
        <v>15</v>
      </c>
      <c r="I76" s="89" t="s">
        <v>16</v>
      </c>
      <c r="J76" s="90" t="s">
        <v>17</v>
      </c>
      <c r="K76" s="91" t="s">
        <v>18</v>
      </c>
      <c r="L76" s="90" t="s">
        <v>19</v>
      </c>
      <c r="M76" s="90" t="s">
        <v>20</v>
      </c>
      <c r="N76" s="90" t="s">
        <v>21</v>
      </c>
      <c r="O76" s="85" t="s">
        <v>22</v>
      </c>
      <c r="P76" s="86" t="s">
        <v>23</v>
      </c>
      <c r="Q76" s="90" t="s">
        <v>24</v>
      </c>
      <c r="R76" s="85" t="s">
        <v>25</v>
      </c>
    </row>
    <row r="77" spans="1:18" ht="15" customHeight="1" x14ac:dyDescent="0.3">
      <c r="A77" s="184" t="s">
        <v>76</v>
      </c>
      <c r="B77" s="184" t="s">
        <v>513</v>
      </c>
      <c r="C77" s="185">
        <v>0.30208333333333331</v>
      </c>
      <c r="D77" s="184" t="s">
        <v>78</v>
      </c>
      <c r="E77" s="184" t="s">
        <v>113</v>
      </c>
      <c r="F77" s="184" t="s">
        <v>85</v>
      </c>
      <c r="G77" s="195"/>
      <c r="H77" s="32" t="s">
        <v>514</v>
      </c>
      <c r="I77" s="33">
        <v>0.70240000000000002</v>
      </c>
      <c r="J77" s="34">
        <v>118</v>
      </c>
      <c r="K77" s="35">
        <v>45978</v>
      </c>
      <c r="L77" s="34">
        <v>1</v>
      </c>
      <c r="M77" s="34">
        <v>0</v>
      </c>
      <c r="N77" s="34">
        <v>0</v>
      </c>
      <c r="O77" s="36" t="s">
        <v>525</v>
      </c>
      <c r="P77" s="37">
        <v>0.30208333333333331</v>
      </c>
      <c r="Q77" s="34">
        <v>168</v>
      </c>
      <c r="R77" s="38" t="s">
        <v>526</v>
      </c>
    </row>
    <row r="78" spans="1:18" ht="15" customHeight="1" x14ac:dyDescent="0.3">
      <c r="A78" s="57" t="s">
        <v>76</v>
      </c>
      <c r="B78" s="57" t="s">
        <v>500</v>
      </c>
      <c r="C78" s="58">
        <v>0.6875</v>
      </c>
      <c r="D78" s="57" t="s">
        <v>78</v>
      </c>
      <c r="E78" s="57" t="s">
        <v>116</v>
      </c>
      <c r="F78" s="57" t="s">
        <v>527</v>
      </c>
      <c r="G78" s="196"/>
      <c r="H78" s="60" t="s">
        <v>501</v>
      </c>
      <c r="I78" s="61">
        <v>0.91069999999999995</v>
      </c>
      <c r="J78" s="62">
        <v>153</v>
      </c>
      <c r="K78" s="63">
        <v>45980</v>
      </c>
      <c r="L78" s="62">
        <v>35</v>
      </c>
      <c r="M78" s="62">
        <v>0</v>
      </c>
      <c r="N78" s="62">
        <v>1</v>
      </c>
      <c r="O78" s="64" t="s">
        <v>361</v>
      </c>
      <c r="P78" s="65">
        <v>0.6875</v>
      </c>
      <c r="Q78" s="62">
        <v>168</v>
      </c>
      <c r="R78" s="66" t="s">
        <v>528</v>
      </c>
    </row>
    <row r="79" spans="1:18" ht="18" x14ac:dyDescent="0.3">
      <c r="A79" s="204" t="s">
        <v>404</v>
      </c>
      <c r="B79" s="205"/>
      <c r="C79" s="205"/>
      <c r="D79" s="205"/>
      <c r="E79" s="205"/>
      <c r="F79" s="206"/>
      <c r="G79" s="196"/>
      <c r="H79" s="160"/>
      <c r="I79" s="160"/>
      <c r="J79" s="160"/>
      <c r="K79" s="160"/>
      <c r="L79" s="160"/>
      <c r="M79" s="160"/>
      <c r="N79" s="160"/>
      <c r="O79" s="161"/>
      <c r="P79" s="160"/>
      <c r="Q79" s="126"/>
      <c r="R79" s="126"/>
    </row>
    <row r="80" spans="1:18" ht="15" customHeight="1" x14ac:dyDescent="0.3">
      <c r="A80" s="15" t="s">
        <v>35</v>
      </c>
      <c r="B80" s="15" t="s">
        <v>45</v>
      </c>
      <c r="C80" s="16" t="s">
        <v>370</v>
      </c>
      <c r="D80" s="15" t="s">
        <v>37</v>
      </c>
      <c r="E80" s="15" t="s">
        <v>429</v>
      </c>
      <c r="F80" s="15" t="s">
        <v>185</v>
      </c>
      <c r="G80" s="196"/>
      <c r="H80" s="160"/>
      <c r="I80" s="160"/>
      <c r="J80" s="160"/>
      <c r="K80" s="160"/>
      <c r="L80" s="160"/>
      <c r="M80" s="160"/>
      <c r="N80" s="160"/>
      <c r="O80" s="161"/>
      <c r="P80" s="160"/>
      <c r="Q80" s="126"/>
      <c r="R80" s="126"/>
    </row>
    <row r="81" spans="1:18" ht="15" customHeight="1" x14ac:dyDescent="0.3">
      <c r="A81" s="15" t="s">
        <v>35</v>
      </c>
      <c r="B81" s="15" t="s">
        <v>36</v>
      </c>
      <c r="C81" s="16" t="s">
        <v>369</v>
      </c>
      <c r="D81" s="15" t="s">
        <v>37</v>
      </c>
      <c r="E81" s="15" t="s">
        <v>408</v>
      </c>
      <c r="F81" s="15" t="s">
        <v>155</v>
      </c>
      <c r="G81" s="196"/>
      <c r="H81" s="160"/>
      <c r="I81" s="160"/>
      <c r="J81" s="160"/>
      <c r="K81" s="160"/>
      <c r="L81" s="160"/>
      <c r="M81" s="160"/>
      <c r="N81" s="160"/>
      <c r="O81" s="161"/>
      <c r="P81" s="160"/>
      <c r="Q81" s="126"/>
      <c r="R81" s="126"/>
    </row>
    <row r="82" spans="1:18" ht="15" customHeight="1" x14ac:dyDescent="0.3">
      <c r="A82" s="15" t="s">
        <v>26</v>
      </c>
      <c r="B82" s="15" t="s">
        <v>34</v>
      </c>
      <c r="C82" s="16" t="s">
        <v>461</v>
      </c>
      <c r="D82" s="15" t="s">
        <v>28</v>
      </c>
      <c r="E82" s="15" t="s">
        <v>439</v>
      </c>
      <c r="F82" s="15" t="s">
        <v>30</v>
      </c>
      <c r="G82" s="196"/>
      <c r="H82" s="160"/>
      <c r="I82" s="160"/>
      <c r="J82" s="160"/>
      <c r="K82" s="160"/>
      <c r="L82" s="160"/>
      <c r="M82" s="160"/>
      <c r="N82" s="160"/>
      <c r="O82" s="161"/>
      <c r="P82" s="160"/>
      <c r="Q82" s="126"/>
      <c r="R82" s="126"/>
    </row>
    <row r="83" spans="1:18" ht="15" customHeight="1" x14ac:dyDescent="0.3">
      <c r="A83" s="15" t="s">
        <v>51</v>
      </c>
      <c r="B83" s="15" t="s">
        <v>52</v>
      </c>
      <c r="C83" s="16" t="s">
        <v>373</v>
      </c>
      <c r="D83" s="15" t="s">
        <v>53</v>
      </c>
      <c r="E83" s="15" t="s">
        <v>408</v>
      </c>
      <c r="F83" s="15" t="s">
        <v>162</v>
      </c>
      <c r="G83" s="196"/>
      <c r="H83" s="160"/>
      <c r="I83" s="160"/>
      <c r="J83" s="160"/>
      <c r="K83" s="160"/>
      <c r="L83" s="160"/>
      <c r="M83" s="160"/>
      <c r="N83" s="160"/>
      <c r="O83" s="161"/>
      <c r="P83" s="160"/>
      <c r="Q83" s="126"/>
      <c r="R83" s="126"/>
    </row>
    <row r="84" spans="1:18" ht="15" customHeight="1" x14ac:dyDescent="0.3">
      <c r="A84" s="15" t="s">
        <v>51</v>
      </c>
      <c r="B84" s="15" t="s">
        <v>66</v>
      </c>
      <c r="C84" s="16" t="s">
        <v>375</v>
      </c>
      <c r="D84" s="15" t="s">
        <v>53</v>
      </c>
      <c r="E84" s="15" t="s">
        <v>426</v>
      </c>
      <c r="F84" s="15" t="s">
        <v>162</v>
      </c>
      <c r="G84" s="196"/>
      <c r="H84" s="160"/>
      <c r="I84" s="160"/>
      <c r="J84" s="160"/>
      <c r="K84" s="160"/>
      <c r="L84" s="160"/>
      <c r="M84" s="160"/>
      <c r="N84" s="160"/>
      <c r="O84" s="161"/>
      <c r="P84" s="160"/>
      <c r="Q84" s="126"/>
      <c r="R84" s="126"/>
    </row>
    <row r="85" spans="1:18" ht="15" customHeight="1" x14ac:dyDescent="0.3">
      <c r="A85" s="15" t="s">
        <v>51</v>
      </c>
      <c r="B85" s="15" t="s">
        <v>75</v>
      </c>
      <c r="C85" s="16" t="s">
        <v>448</v>
      </c>
      <c r="D85" s="15" t="s">
        <v>53</v>
      </c>
      <c r="E85" s="15" t="s">
        <v>405</v>
      </c>
      <c r="F85" s="15" t="s">
        <v>162</v>
      </c>
      <c r="G85" s="196"/>
      <c r="H85" s="160"/>
      <c r="I85" s="160"/>
      <c r="J85" s="160"/>
      <c r="K85" s="160"/>
      <c r="L85" s="160"/>
      <c r="M85" s="160"/>
      <c r="N85" s="160"/>
      <c r="O85" s="161"/>
      <c r="P85" s="160"/>
      <c r="Q85" s="126"/>
      <c r="R85" s="126"/>
    </row>
    <row r="86" spans="1:18" ht="15" customHeight="1" x14ac:dyDescent="0.3">
      <c r="A86" s="15" t="s">
        <v>35</v>
      </c>
      <c r="B86" s="15" t="s">
        <v>47</v>
      </c>
      <c r="C86" s="16" t="s">
        <v>371</v>
      </c>
      <c r="D86" s="15" t="s">
        <v>37</v>
      </c>
      <c r="E86" s="15" t="s">
        <v>410</v>
      </c>
      <c r="F86" s="15" t="s">
        <v>39</v>
      </c>
      <c r="G86" s="196"/>
      <c r="H86" s="160"/>
      <c r="I86" s="160"/>
      <c r="J86" s="160"/>
      <c r="K86" s="160"/>
      <c r="L86" s="160"/>
      <c r="M86" s="160"/>
      <c r="N86" s="160"/>
      <c r="O86" s="161"/>
      <c r="P86" s="160"/>
      <c r="Q86" s="126"/>
      <c r="R86" s="126"/>
    </row>
    <row r="87" spans="1:18" ht="15" customHeight="1" x14ac:dyDescent="0.3">
      <c r="A87" s="15" t="s">
        <v>105</v>
      </c>
      <c r="B87" s="15" t="s">
        <v>106</v>
      </c>
      <c r="C87" s="16" t="s">
        <v>462</v>
      </c>
      <c r="D87" s="15" t="s">
        <v>107</v>
      </c>
      <c r="E87" s="15" t="s">
        <v>408</v>
      </c>
      <c r="F87" s="15" t="s">
        <v>39</v>
      </c>
      <c r="G87" s="196"/>
      <c r="H87" s="160"/>
      <c r="I87" s="160"/>
      <c r="J87" s="160"/>
      <c r="K87" s="160"/>
      <c r="L87" s="160"/>
      <c r="M87" s="160"/>
      <c r="N87" s="160"/>
      <c r="O87" s="161"/>
      <c r="P87" s="160"/>
      <c r="Q87" s="126"/>
      <c r="R87" s="126"/>
    </row>
    <row r="88" spans="1:18" ht="15" customHeight="1" x14ac:dyDescent="0.3">
      <c r="A88" s="15" t="s">
        <v>76</v>
      </c>
      <c r="B88" s="15" t="s">
        <v>187</v>
      </c>
      <c r="C88" s="16" t="s">
        <v>355</v>
      </c>
      <c r="D88" s="15" t="s">
        <v>78</v>
      </c>
      <c r="E88" s="15" t="s">
        <v>405</v>
      </c>
      <c r="F88" s="15" t="s">
        <v>192</v>
      </c>
      <c r="G88" s="196"/>
      <c r="H88" s="160"/>
      <c r="I88" s="160"/>
      <c r="J88" s="160"/>
      <c r="K88" s="160"/>
      <c r="L88" s="160"/>
      <c r="M88" s="160"/>
      <c r="N88" s="160"/>
      <c r="O88" s="161"/>
      <c r="P88" s="160"/>
      <c r="Q88" s="126"/>
      <c r="R88" s="126"/>
    </row>
    <row r="89" spans="1:18" ht="15" customHeight="1" x14ac:dyDescent="0.3">
      <c r="A89" s="77" t="s">
        <v>105</v>
      </c>
      <c r="B89" s="77" t="s">
        <v>171</v>
      </c>
      <c r="C89" s="78" t="s">
        <v>463</v>
      </c>
      <c r="D89" s="77" t="s">
        <v>107</v>
      </c>
      <c r="E89" s="77" t="s">
        <v>408</v>
      </c>
      <c r="F89" s="77" t="s">
        <v>224</v>
      </c>
      <c r="G89" s="197"/>
      <c r="H89" s="162"/>
      <c r="I89" s="162"/>
      <c r="J89" s="162"/>
      <c r="K89" s="162"/>
      <c r="L89" s="162"/>
      <c r="M89" s="162"/>
      <c r="N89" s="162"/>
      <c r="O89" s="163"/>
      <c r="P89" s="162"/>
      <c r="Q89" s="164"/>
      <c r="R89" s="164"/>
    </row>
  </sheetData>
  <mergeCells count="31">
    <mergeCell ref="A79:F79"/>
    <mergeCell ref="G6:G19"/>
    <mergeCell ref="G77:G89"/>
    <mergeCell ref="H42:R42"/>
    <mergeCell ref="H75:R75"/>
    <mergeCell ref="G62:G73"/>
    <mergeCell ref="G23:G40"/>
    <mergeCell ref="G44:G58"/>
    <mergeCell ref="A59:R59"/>
    <mergeCell ref="A60:F60"/>
    <mergeCell ref="A63:F63"/>
    <mergeCell ref="A9:F9"/>
    <mergeCell ref="K2:R2"/>
    <mergeCell ref="A48:F48"/>
    <mergeCell ref="A30:F30"/>
    <mergeCell ref="A41:R41"/>
    <mergeCell ref="A75:F75"/>
    <mergeCell ref="H1:L1"/>
    <mergeCell ref="A1:E1"/>
    <mergeCell ref="A21:F21"/>
    <mergeCell ref="H4:R4"/>
    <mergeCell ref="A74:R74"/>
    <mergeCell ref="A2:F2"/>
    <mergeCell ref="A3:R3"/>
    <mergeCell ref="A42:F42"/>
    <mergeCell ref="H21:R21"/>
    <mergeCell ref="H60:R60"/>
    <mergeCell ref="G2:J2"/>
    <mergeCell ref="A4:F4"/>
    <mergeCell ref="N1:R1"/>
    <mergeCell ref="A20:R2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2"/>
  <sheetViews>
    <sheetView workbookViewId="0"/>
  </sheetViews>
  <sheetFormatPr defaultRowHeight="15.6" outlineLevelCol="1" x14ac:dyDescent="0.3"/>
  <cols>
    <col min="1" max="1" width="13.77734375" style="208" bestFit="1" customWidth="1"/>
    <col min="2" max="2" width="11.109375" style="208" bestFit="1" customWidth="1"/>
    <col min="3" max="3" width="7.88671875" style="208" bestFit="1" customWidth="1"/>
    <col min="4" max="4" width="6.77734375" style="208" bestFit="1" customWidth="1"/>
    <col min="5" max="5" width="9.21875" style="208" bestFit="1" customWidth="1"/>
    <col min="6" max="6" width="5.21875" style="208" bestFit="1" customWidth="1"/>
    <col min="7" max="7" width="10" style="208" bestFit="1" customWidth="1"/>
    <col min="8" max="9" width="8.5546875" style="208" bestFit="1" customWidth="1"/>
    <col min="10" max="10" width="8" style="208" bestFit="1" customWidth="1"/>
    <col min="11" max="11" width="12.21875" style="208" bestFit="1" customWidth="1"/>
    <col min="12" max="12" width="10.109375" style="208" bestFit="1" customWidth="1"/>
    <col min="13" max="13" width="8.77734375" style="208" bestFit="1" customWidth="1" outlineLevel="1"/>
    <col min="14" max="14" width="7.33203125" style="208" bestFit="1" customWidth="1" outlineLevel="1"/>
    <col min="15" max="15" width="9.109375" style="208" bestFit="1" customWidth="1" outlineLevel="1"/>
    <col min="16" max="16" width="15.33203125" style="208" bestFit="1" customWidth="1"/>
    <col min="17" max="26" width="3.88671875" style="208" bestFit="1" customWidth="1"/>
    <col min="27" max="27" width="4.77734375" style="208" bestFit="1" customWidth="1"/>
    <col min="28" max="28" width="3.88671875" style="208" bestFit="1" customWidth="1"/>
    <col min="29" max="29" width="5.109375" style="208" bestFit="1" customWidth="1"/>
    <col min="30" max="31" width="5.33203125" style="208" bestFit="1" customWidth="1"/>
    <col min="32" max="32" width="4.44140625" style="208" bestFit="1" customWidth="1"/>
    <col min="33" max="33" width="5" style="208" bestFit="1" customWidth="1"/>
    <col min="34" max="34" width="3.88671875" style="208" bestFit="1" customWidth="1"/>
    <col min="35" max="35" width="6.21875" style="208" bestFit="1" customWidth="1"/>
    <col min="36" max="36" width="3.88671875" style="208" bestFit="1" customWidth="1"/>
    <col min="37" max="16384" width="8.88671875" style="208"/>
  </cols>
  <sheetData>
    <row r="1" spans="1:36" x14ac:dyDescent="0.3">
      <c r="A1" s="207" t="s">
        <v>239</v>
      </c>
      <c r="B1" s="207" t="s">
        <v>240</v>
      </c>
      <c r="C1" s="207" t="s">
        <v>241</v>
      </c>
      <c r="D1" s="207" t="s">
        <v>23</v>
      </c>
      <c r="E1" s="207" t="s">
        <v>242</v>
      </c>
      <c r="F1" s="207" t="s">
        <v>243</v>
      </c>
      <c r="G1" s="207" t="s">
        <v>16</v>
      </c>
      <c r="H1" s="207" t="s">
        <v>244</v>
      </c>
      <c r="I1" s="207" t="s">
        <v>245</v>
      </c>
      <c r="J1" s="207" t="s">
        <v>246</v>
      </c>
      <c r="K1" s="207" t="s">
        <v>247</v>
      </c>
      <c r="L1" s="207" t="s">
        <v>18</v>
      </c>
      <c r="M1" s="207" t="s">
        <v>20</v>
      </c>
      <c r="N1" s="207" t="s">
        <v>21</v>
      </c>
      <c r="O1" s="207" t="s">
        <v>19</v>
      </c>
      <c r="P1" s="207" t="s">
        <v>22</v>
      </c>
      <c r="Q1" s="207" t="s">
        <v>248</v>
      </c>
      <c r="R1" s="207" t="s">
        <v>249</v>
      </c>
      <c r="S1" s="207" t="s">
        <v>250</v>
      </c>
      <c r="T1" s="207" t="s">
        <v>251</v>
      </c>
      <c r="U1" s="207" t="s">
        <v>252</v>
      </c>
      <c r="V1" s="207" t="s">
        <v>253</v>
      </c>
      <c r="W1" s="207" t="s">
        <v>254</v>
      </c>
      <c r="X1" s="207" t="s">
        <v>255</v>
      </c>
      <c r="Y1" s="207" t="s">
        <v>256</v>
      </c>
      <c r="Z1" s="207" t="s">
        <v>257</v>
      </c>
      <c r="AA1" s="207" t="s">
        <v>258</v>
      </c>
      <c r="AB1" s="207" t="s">
        <v>259</v>
      </c>
      <c r="AC1" s="207" t="s">
        <v>260</v>
      </c>
      <c r="AD1" s="207" t="s">
        <v>261</v>
      </c>
      <c r="AE1" s="207" t="s">
        <v>262</v>
      </c>
      <c r="AF1" s="207" t="s">
        <v>263</v>
      </c>
      <c r="AG1" s="207" t="s">
        <v>264</v>
      </c>
      <c r="AH1" s="207" t="s">
        <v>265</v>
      </c>
      <c r="AI1" s="207" t="s">
        <v>266</v>
      </c>
      <c r="AJ1" s="207" t="s">
        <v>267</v>
      </c>
    </row>
    <row r="2" spans="1:36" x14ac:dyDescent="0.3">
      <c r="A2" s="209" t="s">
        <v>268</v>
      </c>
      <c r="B2" s="210">
        <v>45986</v>
      </c>
      <c r="C2" s="211" t="s">
        <v>497</v>
      </c>
      <c r="D2" s="212" t="s">
        <v>529</v>
      </c>
      <c r="E2" s="211" t="s">
        <v>495</v>
      </c>
      <c r="F2" s="211" t="s">
        <v>270</v>
      </c>
      <c r="G2" s="213">
        <v>0.93300000000000005</v>
      </c>
      <c r="H2" s="214">
        <v>179</v>
      </c>
      <c r="I2" s="214">
        <v>167</v>
      </c>
      <c r="J2" s="214">
        <v>155</v>
      </c>
      <c r="K2" s="211" t="s">
        <v>271</v>
      </c>
      <c r="L2" s="215">
        <v>45971</v>
      </c>
      <c r="M2" s="214">
        <v>0</v>
      </c>
      <c r="N2" s="214">
        <v>0</v>
      </c>
      <c r="O2" s="214">
        <v>0</v>
      </c>
      <c r="P2" s="211" t="s">
        <v>498</v>
      </c>
      <c r="Q2" s="207"/>
      <c r="R2" s="207"/>
      <c r="S2" s="207"/>
      <c r="T2" s="207"/>
      <c r="U2" s="207"/>
      <c r="V2" s="207"/>
      <c r="W2" s="207"/>
      <c r="X2" s="207"/>
      <c r="Y2" s="207"/>
      <c r="Z2" s="214" t="s">
        <v>317</v>
      </c>
      <c r="AA2" s="207"/>
      <c r="AB2" s="207"/>
      <c r="AC2" s="207"/>
      <c r="AD2" s="214" t="s">
        <v>221</v>
      </c>
      <c r="AE2" s="207"/>
      <c r="AF2" s="207"/>
      <c r="AG2" s="207"/>
      <c r="AH2" s="207"/>
      <c r="AI2" s="214" t="s">
        <v>530</v>
      </c>
      <c r="AJ2" s="207"/>
    </row>
    <row r="3" spans="1:36" x14ac:dyDescent="0.3">
      <c r="A3" s="209" t="s">
        <v>268</v>
      </c>
      <c r="B3" s="210">
        <v>45986</v>
      </c>
      <c r="C3" s="211" t="s">
        <v>501</v>
      </c>
      <c r="D3" s="212" t="s">
        <v>531</v>
      </c>
      <c r="E3" s="211" t="s">
        <v>495</v>
      </c>
      <c r="F3" s="211" t="s">
        <v>270</v>
      </c>
      <c r="G3" s="213">
        <v>0.97770000000000001</v>
      </c>
      <c r="H3" s="214">
        <v>179</v>
      </c>
      <c r="I3" s="214">
        <v>175</v>
      </c>
      <c r="J3" s="214">
        <v>167</v>
      </c>
      <c r="K3" s="211" t="s">
        <v>271</v>
      </c>
      <c r="L3" s="215">
        <v>45973</v>
      </c>
      <c r="M3" s="214">
        <v>0</v>
      </c>
      <c r="N3" s="214">
        <v>0</v>
      </c>
      <c r="O3" s="214">
        <v>0</v>
      </c>
      <c r="P3" s="211" t="s">
        <v>502</v>
      </c>
      <c r="Q3" s="207"/>
      <c r="R3" s="207"/>
      <c r="S3" s="207"/>
      <c r="T3" s="207"/>
      <c r="U3" s="207"/>
      <c r="V3" s="207"/>
      <c r="W3" s="207"/>
      <c r="X3" s="214" t="s">
        <v>344</v>
      </c>
      <c r="Y3" s="207"/>
      <c r="Z3" s="214" t="s">
        <v>290</v>
      </c>
      <c r="AA3" s="207"/>
      <c r="AB3" s="207"/>
      <c r="AC3" s="214" t="s">
        <v>87</v>
      </c>
      <c r="AD3" s="207"/>
      <c r="AE3" s="207"/>
      <c r="AF3" s="214" t="s">
        <v>532</v>
      </c>
      <c r="AG3" s="207"/>
      <c r="AH3" s="207"/>
      <c r="AI3" s="214" t="s">
        <v>533</v>
      </c>
      <c r="AJ3" s="207"/>
    </row>
    <row r="4" spans="1:36" x14ac:dyDescent="0.3">
      <c r="A4" s="209" t="s">
        <v>300</v>
      </c>
      <c r="B4" s="210">
        <v>45987</v>
      </c>
      <c r="C4" s="211" t="s">
        <v>497</v>
      </c>
      <c r="D4" s="212" t="s">
        <v>534</v>
      </c>
      <c r="E4" s="211" t="s">
        <v>495</v>
      </c>
      <c r="F4" s="211" t="s">
        <v>270</v>
      </c>
      <c r="G4" s="213">
        <v>0.61450000000000005</v>
      </c>
      <c r="H4" s="214">
        <v>179</v>
      </c>
      <c r="I4" s="214">
        <v>110</v>
      </c>
      <c r="J4" s="214">
        <v>84</v>
      </c>
      <c r="K4" s="211" t="s">
        <v>271</v>
      </c>
      <c r="L4" s="215">
        <v>45980</v>
      </c>
      <c r="M4" s="214">
        <v>0</v>
      </c>
      <c r="N4" s="214">
        <v>1</v>
      </c>
      <c r="O4" s="214">
        <v>10</v>
      </c>
      <c r="P4" s="211" t="s">
        <v>194</v>
      </c>
      <c r="Q4" s="207"/>
      <c r="R4" s="207"/>
      <c r="S4" s="207"/>
      <c r="T4" s="207"/>
      <c r="U4" s="207"/>
      <c r="V4" s="207"/>
      <c r="W4" s="207"/>
      <c r="X4" s="207"/>
      <c r="Y4" s="207"/>
      <c r="Z4" s="207"/>
      <c r="AA4" s="207"/>
      <c r="AB4" s="207"/>
      <c r="AC4" s="207"/>
      <c r="AD4" s="214" t="s">
        <v>328</v>
      </c>
      <c r="AE4" s="214" t="s">
        <v>535</v>
      </c>
      <c r="AF4" s="214" t="s">
        <v>281</v>
      </c>
      <c r="AG4" s="214" t="s">
        <v>536</v>
      </c>
      <c r="AH4" s="207"/>
      <c r="AI4" s="214" t="s">
        <v>537</v>
      </c>
      <c r="AJ4" s="207"/>
    </row>
    <row r="5" spans="1:36" x14ac:dyDescent="0.3">
      <c r="A5" s="209" t="s">
        <v>300</v>
      </c>
      <c r="B5" s="210">
        <v>45987</v>
      </c>
      <c r="C5" s="211" t="s">
        <v>514</v>
      </c>
      <c r="D5" s="212" t="s">
        <v>322</v>
      </c>
      <c r="E5" s="211" t="s">
        <v>495</v>
      </c>
      <c r="F5" s="211" t="s">
        <v>270</v>
      </c>
      <c r="G5" s="213">
        <v>0.83330000000000004</v>
      </c>
      <c r="H5" s="214">
        <v>168</v>
      </c>
      <c r="I5" s="214">
        <v>140</v>
      </c>
      <c r="J5" s="214">
        <v>108</v>
      </c>
      <c r="K5" s="211" t="s">
        <v>271</v>
      </c>
      <c r="L5" s="215">
        <v>45979</v>
      </c>
      <c r="M5" s="214">
        <v>0</v>
      </c>
      <c r="N5" s="214">
        <v>0</v>
      </c>
      <c r="O5" s="214">
        <v>15</v>
      </c>
      <c r="P5" s="211" t="s">
        <v>194</v>
      </c>
      <c r="Q5" s="207"/>
      <c r="R5" s="207"/>
      <c r="S5" s="207"/>
      <c r="T5" s="207"/>
      <c r="U5" s="207"/>
      <c r="V5" s="207"/>
      <c r="W5" s="207"/>
      <c r="X5" s="207"/>
      <c r="Y5" s="207"/>
      <c r="Z5" s="207"/>
      <c r="AA5" s="207"/>
      <c r="AB5" s="207"/>
      <c r="AC5" s="207"/>
      <c r="AD5" s="214" t="s">
        <v>219</v>
      </c>
      <c r="AE5" s="214" t="s">
        <v>274</v>
      </c>
      <c r="AF5" s="214" t="s">
        <v>281</v>
      </c>
      <c r="AG5" s="214" t="s">
        <v>538</v>
      </c>
      <c r="AH5" s="207"/>
      <c r="AI5" s="214" t="s">
        <v>539</v>
      </c>
      <c r="AJ5" s="207"/>
    </row>
    <row r="6" spans="1:36" x14ac:dyDescent="0.3">
      <c r="A6" s="209" t="s">
        <v>313</v>
      </c>
      <c r="B6" s="210">
        <v>45988</v>
      </c>
      <c r="C6" s="211" t="s">
        <v>519</v>
      </c>
      <c r="D6" s="212" t="s">
        <v>540</v>
      </c>
      <c r="E6" s="211" t="s">
        <v>495</v>
      </c>
      <c r="F6" s="211" t="s">
        <v>270</v>
      </c>
      <c r="G6" s="213">
        <v>0.13689999999999999</v>
      </c>
      <c r="H6" s="214">
        <v>168</v>
      </c>
      <c r="I6" s="214">
        <v>23</v>
      </c>
      <c r="J6" s="214">
        <v>0</v>
      </c>
      <c r="K6" s="211" t="s">
        <v>271</v>
      </c>
      <c r="L6" s="215">
        <v>45980</v>
      </c>
      <c r="M6" s="214">
        <v>0</v>
      </c>
      <c r="N6" s="214">
        <v>1</v>
      </c>
      <c r="O6" s="214">
        <v>4</v>
      </c>
      <c r="P6" s="211" t="s">
        <v>293</v>
      </c>
      <c r="Q6" s="207"/>
      <c r="R6" s="207"/>
      <c r="S6" s="207"/>
      <c r="T6" s="207"/>
      <c r="U6" s="207"/>
      <c r="V6" s="207"/>
      <c r="W6" s="207"/>
      <c r="X6" s="207"/>
      <c r="Y6" s="207"/>
      <c r="Z6" s="214" t="s">
        <v>290</v>
      </c>
      <c r="AA6" s="207"/>
      <c r="AB6" s="207"/>
      <c r="AC6" s="207"/>
      <c r="AD6" s="214" t="s">
        <v>219</v>
      </c>
      <c r="AE6" s="214" t="s">
        <v>541</v>
      </c>
      <c r="AF6" s="214" t="s">
        <v>542</v>
      </c>
      <c r="AG6" s="207"/>
      <c r="AH6" s="207"/>
      <c r="AI6" s="207"/>
      <c r="AJ6" s="207"/>
    </row>
    <row r="7" spans="1:36" x14ac:dyDescent="0.3">
      <c r="A7" s="209" t="s">
        <v>313</v>
      </c>
      <c r="B7" s="210">
        <v>45988</v>
      </c>
      <c r="C7" s="211" t="s">
        <v>497</v>
      </c>
      <c r="D7" s="212" t="s">
        <v>543</v>
      </c>
      <c r="E7" s="211" t="s">
        <v>495</v>
      </c>
      <c r="F7" s="211" t="s">
        <v>270</v>
      </c>
      <c r="G7" s="213">
        <v>0.67859999999999998</v>
      </c>
      <c r="H7" s="214">
        <v>168</v>
      </c>
      <c r="I7" s="214">
        <v>114</v>
      </c>
      <c r="J7" s="214">
        <v>96</v>
      </c>
      <c r="K7" s="211" t="s">
        <v>271</v>
      </c>
      <c r="L7" s="215">
        <v>45980</v>
      </c>
      <c r="M7" s="214">
        <v>0</v>
      </c>
      <c r="N7" s="214">
        <v>1</v>
      </c>
      <c r="O7" s="214">
        <v>14</v>
      </c>
      <c r="P7" s="211" t="s">
        <v>293</v>
      </c>
      <c r="Q7" s="207"/>
      <c r="R7" s="207"/>
      <c r="S7" s="207"/>
      <c r="T7" s="207"/>
      <c r="U7" s="207"/>
      <c r="V7" s="207"/>
      <c r="W7" s="207"/>
      <c r="X7" s="207"/>
      <c r="Y7" s="207"/>
      <c r="Z7" s="207"/>
      <c r="AA7" s="207"/>
      <c r="AB7" s="207"/>
      <c r="AC7" s="207"/>
      <c r="AD7" s="214" t="s">
        <v>169</v>
      </c>
      <c r="AE7" s="214" t="s">
        <v>535</v>
      </c>
      <c r="AF7" s="214" t="s">
        <v>293</v>
      </c>
      <c r="AG7" s="214" t="s">
        <v>544</v>
      </c>
      <c r="AH7" s="207"/>
      <c r="AI7" s="214" t="s">
        <v>359</v>
      </c>
      <c r="AJ7" s="207"/>
    </row>
    <row r="8" spans="1:36" x14ac:dyDescent="0.3">
      <c r="A8" s="209" t="s">
        <v>313</v>
      </c>
      <c r="B8" s="210">
        <v>45988</v>
      </c>
      <c r="C8" s="211" t="s">
        <v>501</v>
      </c>
      <c r="D8" s="212" t="s">
        <v>464</v>
      </c>
      <c r="E8" s="211" t="s">
        <v>495</v>
      </c>
      <c r="F8" s="211" t="s">
        <v>270</v>
      </c>
      <c r="G8" s="213">
        <v>0.42459999999999998</v>
      </c>
      <c r="H8" s="214">
        <v>179</v>
      </c>
      <c r="I8" s="214">
        <v>76</v>
      </c>
      <c r="J8" s="214">
        <v>44</v>
      </c>
      <c r="K8" s="211" t="s">
        <v>271</v>
      </c>
      <c r="L8" s="215">
        <v>45980</v>
      </c>
      <c r="M8" s="214">
        <v>0</v>
      </c>
      <c r="N8" s="214">
        <v>5</v>
      </c>
      <c r="O8" s="214">
        <v>27</v>
      </c>
      <c r="P8" s="211" t="s">
        <v>522</v>
      </c>
      <c r="Q8" s="207"/>
      <c r="R8" s="207"/>
      <c r="S8" s="207"/>
      <c r="T8" s="207"/>
      <c r="U8" s="207"/>
      <c r="V8" s="207"/>
      <c r="W8" s="207"/>
      <c r="X8" s="207"/>
      <c r="Y8" s="207"/>
      <c r="Z8" s="207"/>
      <c r="AA8" s="207"/>
      <c r="AB8" s="214" t="s">
        <v>545</v>
      </c>
      <c r="AC8" s="214" t="s">
        <v>295</v>
      </c>
      <c r="AD8" s="214" t="s">
        <v>166</v>
      </c>
      <c r="AE8" s="214" t="s">
        <v>198</v>
      </c>
      <c r="AF8" s="214" t="s">
        <v>546</v>
      </c>
      <c r="AG8" s="207"/>
      <c r="AH8" s="207"/>
      <c r="AI8" s="214" t="s">
        <v>547</v>
      </c>
      <c r="AJ8" s="207"/>
    </row>
    <row r="9" spans="1:36" x14ac:dyDescent="0.3">
      <c r="A9" s="209" t="s">
        <v>335</v>
      </c>
      <c r="B9" s="210">
        <v>45989</v>
      </c>
      <c r="C9" s="211" t="s">
        <v>514</v>
      </c>
      <c r="D9" s="212" t="s">
        <v>438</v>
      </c>
      <c r="E9" s="211" t="s">
        <v>495</v>
      </c>
      <c r="F9" s="211" t="s">
        <v>270</v>
      </c>
      <c r="G9" s="213">
        <v>0.42259999999999998</v>
      </c>
      <c r="H9" s="214">
        <v>168</v>
      </c>
      <c r="I9" s="214">
        <v>71</v>
      </c>
      <c r="J9" s="214">
        <v>2</v>
      </c>
      <c r="K9" s="211" t="s">
        <v>271</v>
      </c>
      <c r="L9" s="215">
        <v>45980</v>
      </c>
      <c r="M9" s="214">
        <v>0</v>
      </c>
      <c r="N9" s="214">
        <v>6</v>
      </c>
      <c r="O9" s="214">
        <v>40</v>
      </c>
      <c r="P9" s="211" t="s">
        <v>522</v>
      </c>
      <c r="Q9" s="207"/>
      <c r="R9" s="207"/>
      <c r="S9" s="207"/>
      <c r="T9" s="207"/>
      <c r="U9" s="207"/>
      <c r="V9" s="207"/>
      <c r="W9" s="207"/>
      <c r="X9" s="207"/>
      <c r="Y9" s="207"/>
      <c r="Z9" s="214" t="s">
        <v>305</v>
      </c>
      <c r="AA9" s="214" t="s">
        <v>306</v>
      </c>
      <c r="AB9" s="207"/>
      <c r="AC9" s="214" t="s">
        <v>286</v>
      </c>
      <c r="AD9" s="214" t="s">
        <v>548</v>
      </c>
      <c r="AE9" s="214" t="s">
        <v>302</v>
      </c>
      <c r="AF9" s="214" t="s">
        <v>338</v>
      </c>
      <c r="AG9" s="207"/>
      <c r="AH9" s="207"/>
      <c r="AI9" s="214" t="s">
        <v>549</v>
      </c>
      <c r="AJ9" s="207"/>
    </row>
    <row r="10" spans="1:36" x14ac:dyDescent="0.3">
      <c r="A10" s="209" t="s">
        <v>354</v>
      </c>
      <c r="B10" s="210">
        <v>45990</v>
      </c>
      <c r="C10" s="211" t="s">
        <v>514</v>
      </c>
      <c r="D10" s="212" t="s">
        <v>369</v>
      </c>
      <c r="E10" s="211" t="s">
        <v>495</v>
      </c>
      <c r="F10" s="211" t="s">
        <v>270</v>
      </c>
      <c r="G10" s="213">
        <v>0.70240000000000002</v>
      </c>
      <c r="H10" s="214">
        <v>168</v>
      </c>
      <c r="I10" s="214">
        <v>118</v>
      </c>
      <c r="J10" s="214">
        <v>95</v>
      </c>
      <c r="K10" s="211" t="s">
        <v>271</v>
      </c>
      <c r="L10" s="215">
        <v>45978</v>
      </c>
      <c r="M10" s="214">
        <v>0</v>
      </c>
      <c r="N10" s="214">
        <v>0</v>
      </c>
      <c r="O10" s="214">
        <v>1</v>
      </c>
      <c r="P10" s="211" t="s">
        <v>525</v>
      </c>
      <c r="Q10" s="207"/>
      <c r="R10" s="207"/>
      <c r="S10" s="207"/>
      <c r="T10" s="207"/>
      <c r="U10" s="207"/>
      <c r="V10" s="207"/>
      <c r="W10" s="207"/>
      <c r="X10" s="207"/>
      <c r="Y10" s="207"/>
      <c r="Z10" s="214" t="s">
        <v>317</v>
      </c>
      <c r="AA10" s="214" t="s">
        <v>306</v>
      </c>
      <c r="AB10" s="207"/>
      <c r="AC10" s="214" t="s">
        <v>466</v>
      </c>
      <c r="AD10" s="214" t="s">
        <v>169</v>
      </c>
      <c r="AE10" s="214" t="s">
        <v>541</v>
      </c>
      <c r="AF10" s="214" t="s">
        <v>550</v>
      </c>
      <c r="AG10" s="207"/>
      <c r="AH10" s="207"/>
      <c r="AI10" s="214" t="s">
        <v>359</v>
      </c>
      <c r="AJ10" s="207"/>
    </row>
    <row r="11" spans="1:36" x14ac:dyDescent="0.3">
      <c r="A11" s="209" t="s">
        <v>354</v>
      </c>
      <c r="B11" s="210">
        <v>45990</v>
      </c>
      <c r="C11" s="211" t="s">
        <v>501</v>
      </c>
      <c r="D11" s="212" t="s">
        <v>551</v>
      </c>
      <c r="E11" s="211" t="s">
        <v>495</v>
      </c>
      <c r="F11" s="211" t="s">
        <v>270</v>
      </c>
      <c r="G11" s="213">
        <v>0.91069999999999995</v>
      </c>
      <c r="H11" s="214">
        <v>168</v>
      </c>
      <c r="I11" s="214">
        <v>153</v>
      </c>
      <c r="J11" s="214">
        <v>135</v>
      </c>
      <c r="K11" s="211" t="s">
        <v>271</v>
      </c>
      <c r="L11" s="215">
        <v>45980</v>
      </c>
      <c r="M11" s="214">
        <v>0</v>
      </c>
      <c r="N11" s="214">
        <v>1</v>
      </c>
      <c r="O11" s="214">
        <v>35</v>
      </c>
      <c r="P11" s="211" t="s">
        <v>361</v>
      </c>
      <c r="Q11" s="207"/>
      <c r="R11" s="207"/>
      <c r="S11" s="207"/>
      <c r="T11" s="207"/>
      <c r="U11" s="207"/>
      <c r="V11" s="207"/>
      <c r="W11" s="207"/>
      <c r="X11" s="207"/>
      <c r="Y11" s="207"/>
      <c r="Z11" s="207"/>
      <c r="AA11" s="214" t="s">
        <v>306</v>
      </c>
      <c r="AB11" s="214" t="s">
        <v>485</v>
      </c>
      <c r="AC11" s="207"/>
      <c r="AD11" s="214" t="s">
        <v>552</v>
      </c>
      <c r="AE11" s="207"/>
      <c r="AF11" s="214" t="s">
        <v>550</v>
      </c>
      <c r="AG11" s="207"/>
      <c r="AH11" s="207"/>
      <c r="AI11" s="214" t="s">
        <v>553</v>
      </c>
      <c r="AJ11" s="207"/>
    </row>
    <row r="12" spans="1:36" ht="21" x14ac:dyDescent="0.3">
      <c r="A12" s="216" t="s">
        <v>554</v>
      </c>
      <c r="B12" s="217"/>
      <c r="C12" s="216">
        <f>SUBTOTAL(103,JED_ATZ_LF_LEGACY[Flt])</f>
        <v>10</v>
      </c>
      <c r="D12" s="216"/>
      <c r="E12" s="216">
        <f>SUBTOTAL(103,JED_ATZ_LF_LEGACY[Brd-Off])</f>
        <v>10</v>
      </c>
      <c r="F12" s="216"/>
      <c r="G12" s="218">
        <f>SUBTOTAL(101,JED_ATZ_LF_LEGACY[LF%])</f>
        <v>0.66342999999999996</v>
      </c>
      <c r="H12" s="219">
        <f>SUBTOTAL(109,JED_ATZ_LF_LEGACY[CAP])</f>
        <v>1724</v>
      </c>
      <c r="I12" s="219">
        <f>SUBTOTAL(109,JED_ATZ_LF_LEGACY[BKG(Y)])</f>
        <v>1147</v>
      </c>
      <c r="J12" s="219">
        <f>SUBTOTAL(109,JED_ATZ_LF_LEGACY[GRP(Y)])</f>
        <v>886</v>
      </c>
      <c r="K12" s="216"/>
      <c r="L12" s="217"/>
      <c r="M12" s="219">
        <f>SUBTOTAL(109,JED_ATZ_LF_LEGACY[TO-DAY])</f>
        <v>0</v>
      </c>
      <c r="N12" s="219">
        <f>SUBTOTAL(109,JED_ATZ_LF_LEGACY[Y-DAY])</f>
        <v>15</v>
      </c>
      <c r="O12" s="219">
        <f>SUBTOTAL(109,JED_ATZ_LF_LEGACY[WEEKLY])</f>
        <v>146</v>
      </c>
      <c r="P12" s="220"/>
      <c r="Q12" s="216">
        <f>SUBTOTAL(109,JED_ATZ_LF_LEGACY[Y])</f>
        <v>0</v>
      </c>
      <c r="R12" s="216">
        <f>SUBTOTAL(109,JED_ATZ_LF_LEGACY[B])</f>
        <v>0</v>
      </c>
      <c r="S12" s="216">
        <f>SUBTOTAL(109,JED_ATZ_LF_LEGACY[M])</f>
        <v>0</v>
      </c>
      <c r="T12" s="216">
        <f>SUBTOTAL(109,JED_ATZ_LF_LEGACY[H])</f>
        <v>0</v>
      </c>
      <c r="U12" s="216">
        <f>SUBTOTAL(109,JED_ATZ_LF_LEGACY[Q])</f>
        <v>0</v>
      </c>
      <c r="V12" s="216">
        <f>SUBTOTAL(109,JED_ATZ_LF_LEGACY[K])</f>
        <v>0</v>
      </c>
      <c r="W12" s="216">
        <f>SUBTOTAL(109,JED_ATZ_LF_LEGACY[V])</f>
        <v>0</v>
      </c>
      <c r="X12" s="216">
        <f>SUBTOTAL(109,JED_ATZ_LF_LEGACY[L])</f>
        <v>0</v>
      </c>
      <c r="Y12" s="216">
        <f>SUBTOTAL(109,JED_ATZ_LF_LEGACY[G])</f>
        <v>0</v>
      </c>
      <c r="Z12" s="216">
        <f>SUBTOTAL(109,JED_ATZ_LF_LEGACY[S])</f>
        <v>0</v>
      </c>
      <c r="AA12" s="219">
        <f>SUBTOTAL(109,JED_ATZ_LF_LEGACY[W])</f>
        <v>0</v>
      </c>
      <c r="AB12" s="216">
        <f>SUBTOTAL(109,JED_ATZ_LF_LEGACY[T])</f>
        <v>0</v>
      </c>
      <c r="AC12" s="219">
        <f>SUBTOTAL(109,JED_ATZ_LF_LEGACY[X])</f>
        <v>0</v>
      </c>
      <c r="AD12" s="219">
        <f>SUBTOTAL(109,JED_ATZ_LF_LEGACY[U])</f>
        <v>0</v>
      </c>
      <c r="AE12" s="219">
        <f>SUBTOTAL(109,JED_ATZ_LF_LEGACY[O])</f>
        <v>0</v>
      </c>
      <c r="AF12" s="219">
        <f>SUBTOTAL(109,JED_ATZ_LF_LEGACY[I])</f>
        <v>0</v>
      </c>
      <c r="AG12" s="216">
        <f>SUBTOTAL(109,JED_ATZ_LF_LEGACY[E])</f>
        <v>0</v>
      </c>
      <c r="AH12" s="216">
        <f>SUBTOTAL(109,JED_ATZ_LF_LEGACY[A])</f>
        <v>0</v>
      </c>
      <c r="AI12" s="219">
        <f>SUBTOTAL(109,JED_ATZ_LF_LEGACY[P])</f>
        <v>0</v>
      </c>
      <c r="AJ12" s="216">
        <f>SUBTOTAL(103,JED_ATZ_LF_LEGACY[N])</f>
        <v>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3"/>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0" hidden="1" customWidth="1"/>
  </cols>
  <sheetData>
    <row r="1" spans="1:8" ht="18" x14ac:dyDescent="0.3">
      <c r="A1" s="127" t="s">
        <v>365</v>
      </c>
      <c r="B1" s="128" t="s">
        <v>8</v>
      </c>
      <c r="C1" s="128" t="s">
        <v>9</v>
      </c>
      <c r="D1" s="128" t="s">
        <v>366</v>
      </c>
      <c r="E1" s="128" t="s">
        <v>10</v>
      </c>
      <c r="F1" s="128" t="s">
        <v>11</v>
      </c>
      <c r="G1" s="128" t="s">
        <v>12</v>
      </c>
      <c r="H1" s="129" t="s">
        <v>13</v>
      </c>
    </row>
    <row r="2" spans="1:8" ht="19.8" customHeight="1" x14ac:dyDescent="0.3">
      <c r="A2" s="135" t="s">
        <v>367</v>
      </c>
      <c r="B2" s="136" t="s">
        <v>76</v>
      </c>
      <c r="C2" s="137" t="s">
        <v>496</v>
      </c>
      <c r="D2" s="136" t="s">
        <v>495</v>
      </c>
      <c r="E2" s="136" t="s">
        <v>529</v>
      </c>
      <c r="F2" s="136" t="s">
        <v>78</v>
      </c>
      <c r="G2" s="138">
        <v>3</v>
      </c>
      <c r="H2" s="139">
        <v>781</v>
      </c>
    </row>
    <row r="3" spans="1:8" ht="19.8" customHeight="1" x14ac:dyDescent="0.3">
      <c r="A3" s="142">
        <v>45986</v>
      </c>
      <c r="B3" s="136" t="s">
        <v>76</v>
      </c>
      <c r="C3" s="137" t="s">
        <v>500</v>
      </c>
      <c r="D3" s="136" t="s">
        <v>495</v>
      </c>
      <c r="E3" s="143">
        <v>1.9513888888888891</v>
      </c>
      <c r="F3" s="136" t="s">
        <v>78</v>
      </c>
      <c r="G3" s="138">
        <v>4</v>
      </c>
      <c r="H3" s="139">
        <v>856</v>
      </c>
    </row>
    <row r="4" spans="1:8" ht="19.8" customHeight="1" x14ac:dyDescent="0.3">
      <c r="A4" s="140">
        <v>45986</v>
      </c>
      <c r="B4" s="131" t="s">
        <v>140</v>
      </c>
      <c r="C4" s="132" t="s">
        <v>504</v>
      </c>
      <c r="D4" s="131" t="s">
        <v>495</v>
      </c>
      <c r="E4" s="141">
        <v>1.322916666666667</v>
      </c>
      <c r="F4" s="131" t="s">
        <v>142</v>
      </c>
      <c r="G4" s="133">
        <v>4</v>
      </c>
      <c r="H4" s="134">
        <v>938</v>
      </c>
    </row>
    <row r="5" spans="1:8" ht="19.8" customHeight="1" x14ac:dyDescent="0.3">
      <c r="A5" s="172"/>
      <c r="B5" s="173"/>
      <c r="C5" s="173"/>
      <c r="D5" s="173"/>
      <c r="E5" s="173"/>
      <c r="F5" s="174" t="s">
        <v>494</v>
      </c>
      <c r="G5" s="173"/>
      <c r="H5" s="175"/>
    </row>
    <row r="6" spans="1:8" ht="19.8" customHeight="1" x14ac:dyDescent="0.3">
      <c r="A6" s="140">
        <v>45986</v>
      </c>
      <c r="B6" s="131" t="s">
        <v>26</v>
      </c>
      <c r="C6" s="132" t="s">
        <v>27</v>
      </c>
      <c r="D6" s="131" t="s">
        <v>1</v>
      </c>
      <c r="E6" s="141">
        <v>1.0451388888888891</v>
      </c>
      <c r="F6" s="131" t="s">
        <v>28</v>
      </c>
      <c r="G6" s="133">
        <v>1</v>
      </c>
      <c r="H6" s="134">
        <v>401</v>
      </c>
    </row>
    <row r="7" spans="1:8" ht="19.8" customHeight="1" x14ac:dyDescent="0.3">
      <c r="A7" s="140">
        <v>45986</v>
      </c>
      <c r="B7" s="131" t="s">
        <v>35</v>
      </c>
      <c r="C7" s="132" t="s">
        <v>36</v>
      </c>
      <c r="D7" s="131" t="s">
        <v>1</v>
      </c>
      <c r="E7" s="141">
        <v>1.302083333333333</v>
      </c>
      <c r="F7" s="131" t="s">
        <v>37</v>
      </c>
      <c r="G7" s="133">
        <v>2</v>
      </c>
      <c r="H7" s="134">
        <v>419</v>
      </c>
    </row>
    <row r="8" spans="1:8" ht="19.8" customHeight="1" x14ac:dyDescent="0.3">
      <c r="A8" s="140">
        <v>45986</v>
      </c>
      <c r="B8" s="131" t="s">
        <v>35</v>
      </c>
      <c r="C8" s="132" t="s">
        <v>45</v>
      </c>
      <c r="D8" s="131" t="s">
        <v>1</v>
      </c>
      <c r="E8" s="141">
        <v>1.1284722222222221</v>
      </c>
      <c r="F8" s="131" t="s">
        <v>37</v>
      </c>
      <c r="G8" s="133">
        <v>7</v>
      </c>
      <c r="H8" s="134">
        <v>419</v>
      </c>
    </row>
    <row r="9" spans="1:8" ht="19.8" customHeight="1" x14ac:dyDescent="0.3">
      <c r="A9" s="140">
        <v>45986</v>
      </c>
      <c r="B9" s="131" t="s">
        <v>35</v>
      </c>
      <c r="C9" s="132" t="s">
        <v>47</v>
      </c>
      <c r="D9" s="131" t="s">
        <v>1</v>
      </c>
      <c r="E9" s="141">
        <v>1.788194444444444</v>
      </c>
      <c r="F9" s="131" t="s">
        <v>37</v>
      </c>
      <c r="G9" s="133">
        <v>9</v>
      </c>
      <c r="H9" s="134">
        <v>419</v>
      </c>
    </row>
    <row r="10" spans="1:8" ht="19.8" customHeight="1" x14ac:dyDescent="0.3">
      <c r="A10" s="140">
        <v>45986</v>
      </c>
      <c r="B10" s="131" t="s">
        <v>35</v>
      </c>
      <c r="C10" s="132" t="s">
        <v>50</v>
      </c>
      <c r="D10" s="131" t="s">
        <v>1</v>
      </c>
      <c r="E10" s="141">
        <v>1.8888888888888891</v>
      </c>
      <c r="F10" s="131" t="s">
        <v>37</v>
      </c>
      <c r="G10" s="133">
        <v>7</v>
      </c>
      <c r="H10" s="134">
        <v>419</v>
      </c>
    </row>
    <row r="11" spans="1:8" ht="19.8" customHeight="1" x14ac:dyDescent="0.3">
      <c r="A11" s="140">
        <v>45986</v>
      </c>
      <c r="B11" s="131" t="s">
        <v>51</v>
      </c>
      <c r="C11" s="132" t="s">
        <v>52</v>
      </c>
      <c r="D11" s="131" t="s">
        <v>1</v>
      </c>
      <c r="E11" s="141">
        <v>1.9027777777777779</v>
      </c>
      <c r="F11" s="131" t="s">
        <v>53</v>
      </c>
      <c r="G11" s="133">
        <v>6</v>
      </c>
      <c r="H11" s="134">
        <v>449</v>
      </c>
    </row>
    <row r="12" spans="1:8" ht="19.8" customHeight="1" x14ac:dyDescent="0.3">
      <c r="A12" s="140">
        <v>45986</v>
      </c>
      <c r="B12" s="131" t="s">
        <v>51</v>
      </c>
      <c r="C12" s="132" t="s">
        <v>61</v>
      </c>
      <c r="D12" s="131" t="s">
        <v>1</v>
      </c>
      <c r="E12" s="141">
        <v>1.645833333333333</v>
      </c>
      <c r="F12" s="131" t="s">
        <v>53</v>
      </c>
      <c r="G12" s="133">
        <v>1</v>
      </c>
      <c r="H12" s="134">
        <v>449</v>
      </c>
    </row>
    <row r="13" spans="1:8" ht="19.8" customHeight="1" x14ac:dyDescent="0.3">
      <c r="A13" s="140">
        <v>45986</v>
      </c>
      <c r="B13" s="131" t="s">
        <v>51</v>
      </c>
      <c r="C13" s="132" t="s">
        <v>64</v>
      </c>
      <c r="D13" s="131" t="s">
        <v>1</v>
      </c>
      <c r="E13" s="141">
        <v>1.5173611111111109</v>
      </c>
      <c r="F13" s="131" t="s">
        <v>53</v>
      </c>
      <c r="G13" s="133">
        <v>2</v>
      </c>
      <c r="H13" s="134">
        <v>449</v>
      </c>
    </row>
    <row r="14" spans="1:8" ht="19.8" customHeight="1" x14ac:dyDescent="0.3">
      <c r="A14" s="140">
        <v>45986</v>
      </c>
      <c r="B14" s="131" t="s">
        <v>51</v>
      </c>
      <c r="C14" s="132" t="s">
        <v>66</v>
      </c>
      <c r="D14" s="131" t="s">
        <v>1</v>
      </c>
      <c r="E14" s="141">
        <v>1.854166666666667</v>
      </c>
      <c r="F14" s="131" t="s">
        <v>53</v>
      </c>
      <c r="G14" s="133">
        <v>5</v>
      </c>
      <c r="H14" s="134">
        <v>449</v>
      </c>
    </row>
    <row r="15" spans="1:8" ht="19.8" customHeight="1" x14ac:dyDescent="0.3">
      <c r="A15" s="151">
        <v>45986</v>
      </c>
      <c r="B15" s="152" t="s">
        <v>51</v>
      </c>
      <c r="C15" s="153" t="s">
        <v>69</v>
      </c>
      <c r="D15" s="152" t="s">
        <v>1</v>
      </c>
      <c r="E15" s="154">
        <v>1.302083333333333</v>
      </c>
      <c r="F15" s="152" t="s">
        <v>53</v>
      </c>
      <c r="G15" s="155">
        <v>2</v>
      </c>
      <c r="H15" s="176">
        <v>449</v>
      </c>
    </row>
    <row r="16" spans="1:8" ht="19.8" customHeight="1" x14ac:dyDescent="0.3">
      <c r="A16" s="140">
        <v>45987</v>
      </c>
      <c r="B16" s="131" t="s">
        <v>35</v>
      </c>
      <c r="C16" s="132" t="s">
        <v>506</v>
      </c>
      <c r="D16" s="131" t="s">
        <v>495</v>
      </c>
      <c r="E16" s="141">
        <v>1.2847222222222221</v>
      </c>
      <c r="F16" s="131" t="s">
        <v>388</v>
      </c>
      <c r="G16" s="133">
        <v>16</v>
      </c>
      <c r="H16" s="134">
        <v>299</v>
      </c>
    </row>
    <row r="17" spans="1:8" ht="19.8" customHeight="1" x14ac:dyDescent="0.3">
      <c r="A17" s="140">
        <v>45987</v>
      </c>
      <c r="B17" s="131" t="s">
        <v>35</v>
      </c>
      <c r="C17" s="132" t="s">
        <v>506</v>
      </c>
      <c r="D17" s="131" t="s">
        <v>495</v>
      </c>
      <c r="E17" s="141">
        <v>1.2847222222222221</v>
      </c>
      <c r="F17" s="131" t="s">
        <v>379</v>
      </c>
      <c r="G17" s="133">
        <v>16</v>
      </c>
      <c r="H17" s="134">
        <v>358</v>
      </c>
    </row>
    <row r="18" spans="1:8" ht="19.8" customHeight="1" x14ac:dyDescent="0.3">
      <c r="A18" s="140">
        <v>45987</v>
      </c>
      <c r="B18" s="131" t="s">
        <v>35</v>
      </c>
      <c r="C18" s="132" t="s">
        <v>506</v>
      </c>
      <c r="D18" s="131" t="s">
        <v>495</v>
      </c>
      <c r="E18" s="141">
        <v>1.2847222222222221</v>
      </c>
      <c r="F18" s="131" t="s">
        <v>381</v>
      </c>
      <c r="G18" s="133">
        <v>16</v>
      </c>
      <c r="H18" s="134">
        <v>382</v>
      </c>
    </row>
    <row r="19" spans="1:8" ht="19.8" customHeight="1" x14ac:dyDescent="0.3">
      <c r="A19" s="142">
        <v>45987</v>
      </c>
      <c r="B19" s="136" t="s">
        <v>76</v>
      </c>
      <c r="C19" s="137" t="s">
        <v>496</v>
      </c>
      <c r="D19" s="136" t="s">
        <v>495</v>
      </c>
      <c r="E19" s="143">
        <v>1.2673611111111109</v>
      </c>
      <c r="F19" s="136" t="s">
        <v>78</v>
      </c>
      <c r="G19" s="138">
        <v>9</v>
      </c>
      <c r="H19" s="139">
        <v>436</v>
      </c>
    </row>
    <row r="20" spans="1:8" ht="19.8" customHeight="1" x14ac:dyDescent="0.3">
      <c r="A20" s="142">
        <v>45987</v>
      </c>
      <c r="B20" s="136" t="s">
        <v>76</v>
      </c>
      <c r="C20" s="137" t="s">
        <v>513</v>
      </c>
      <c r="D20" s="136" t="s">
        <v>495</v>
      </c>
      <c r="E20" s="143">
        <v>1.333333333333333</v>
      </c>
      <c r="F20" s="136" t="s">
        <v>78</v>
      </c>
      <c r="G20" s="138">
        <v>9</v>
      </c>
      <c r="H20" s="139">
        <v>436</v>
      </c>
    </row>
    <row r="21" spans="1:8" ht="19.8" customHeight="1" x14ac:dyDescent="0.3">
      <c r="A21" s="140">
        <v>45987</v>
      </c>
      <c r="B21" s="131" t="s">
        <v>35</v>
      </c>
      <c r="C21" s="132" t="s">
        <v>506</v>
      </c>
      <c r="D21" s="131" t="s">
        <v>495</v>
      </c>
      <c r="E21" s="141">
        <v>1.2847222222222221</v>
      </c>
      <c r="F21" s="131" t="s">
        <v>392</v>
      </c>
      <c r="G21" s="133">
        <v>16</v>
      </c>
      <c r="H21" s="134">
        <v>549</v>
      </c>
    </row>
    <row r="22" spans="1:8" ht="19.8" customHeight="1" x14ac:dyDescent="0.3">
      <c r="A22" s="140">
        <v>45987</v>
      </c>
      <c r="B22" s="131" t="s">
        <v>140</v>
      </c>
      <c r="C22" s="132" t="s">
        <v>504</v>
      </c>
      <c r="D22" s="131" t="s">
        <v>495</v>
      </c>
      <c r="E22" s="141">
        <v>1.2673611111111109</v>
      </c>
      <c r="F22" s="131" t="s">
        <v>516</v>
      </c>
      <c r="G22" s="133">
        <v>4</v>
      </c>
      <c r="H22" s="134">
        <v>640</v>
      </c>
    </row>
    <row r="23" spans="1:8" ht="19.8" customHeight="1" x14ac:dyDescent="0.3">
      <c r="A23" s="172"/>
      <c r="B23" s="173"/>
      <c r="C23" s="173"/>
      <c r="D23" s="173"/>
      <c r="E23" s="173"/>
      <c r="F23" s="174" t="s">
        <v>494</v>
      </c>
      <c r="G23" s="173"/>
      <c r="H23" s="175"/>
    </row>
    <row r="24" spans="1:8" ht="19.8" customHeight="1" x14ac:dyDescent="0.3">
      <c r="A24" s="140">
        <v>45987</v>
      </c>
      <c r="B24" s="131" t="s">
        <v>35</v>
      </c>
      <c r="C24" s="132" t="s">
        <v>45</v>
      </c>
      <c r="D24" s="131" t="s">
        <v>1</v>
      </c>
      <c r="E24" s="141">
        <v>1.1284722222222221</v>
      </c>
      <c r="F24" s="131" t="s">
        <v>37</v>
      </c>
      <c r="G24" s="133">
        <v>10</v>
      </c>
      <c r="H24" s="134">
        <v>389</v>
      </c>
    </row>
    <row r="25" spans="1:8" ht="19.8" customHeight="1" x14ac:dyDescent="0.3">
      <c r="A25" s="140">
        <v>45987</v>
      </c>
      <c r="B25" s="131" t="s">
        <v>35</v>
      </c>
      <c r="C25" s="132" t="s">
        <v>50</v>
      </c>
      <c r="D25" s="131" t="s">
        <v>1</v>
      </c>
      <c r="E25" s="141">
        <v>1.8888888888888891</v>
      </c>
      <c r="F25" s="131" t="s">
        <v>37</v>
      </c>
      <c r="G25" s="133">
        <v>7</v>
      </c>
      <c r="H25" s="134">
        <v>389</v>
      </c>
    </row>
    <row r="26" spans="1:8" ht="19.8" customHeight="1" x14ac:dyDescent="0.3">
      <c r="A26" s="140">
        <v>45987</v>
      </c>
      <c r="B26" s="131" t="s">
        <v>26</v>
      </c>
      <c r="C26" s="132" t="s">
        <v>31</v>
      </c>
      <c r="D26" s="131" t="s">
        <v>1</v>
      </c>
      <c r="E26" s="141">
        <v>1.9375</v>
      </c>
      <c r="F26" s="131" t="s">
        <v>28</v>
      </c>
      <c r="G26" s="133">
        <v>1</v>
      </c>
      <c r="H26" s="134">
        <v>401</v>
      </c>
    </row>
    <row r="27" spans="1:8" ht="19.8" customHeight="1" x14ac:dyDescent="0.3">
      <c r="A27" s="140">
        <v>45987</v>
      </c>
      <c r="B27" s="131" t="s">
        <v>26</v>
      </c>
      <c r="C27" s="132" t="s">
        <v>34</v>
      </c>
      <c r="D27" s="131" t="s">
        <v>1</v>
      </c>
      <c r="E27" s="141">
        <v>1.3715277777777779</v>
      </c>
      <c r="F27" s="131" t="s">
        <v>28</v>
      </c>
      <c r="G27" s="133">
        <v>4</v>
      </c>
      <c r="H27" s="134">
        <v>401</v>
      </c>
    </row>
    <row r="28" spans="1:8" ht="19.8" customHeight="1" x14ac:dyDescent="0.3">
      <c r="A28" s="140">
        <v>45987</v>
      </c>
      <c r="B28" s="131" t="s">
        <v>51</v>
      </c>
      <c r="C28" s="132" t="s">
        <v>71</v>
      </c>
      <c r="D28" s="131" t="s">
        <v>1</v>
      </c>
      <c r="E28" s="141">
        <v>1.256944444444444</v>
      </c>
      <c r="F28" s="131" t="s">
        <v>53</v>
      </c>
      <c r="G28" s="133">
        <v>3</v>
      </c>
      <c r="H28" s="134">
        <v>409</v>
      </c>
    </row>
    <row r="29" spans="1:8" ht="19.8" customHeight="1" x14ac:dyDescent="0.3">
      <c r="A29" s="140">
        <v>45987</v>
      </c>
      <c r="B29" s="131" t="s">
        <v>51</v>
      </c>
      <c r="C29" s="132" t="s">
        <v>69</v>
      </c>
      <c r="D29" s="131" t="s">
        <v>1</v>
      </c>
      <c r="E29" s="141">
        <v>1.302083333333333</v>
      </c>
      <c r="F29" s="131" t="s">
        <v>53</v>
      </c>
      <c r="G29" s="133">
        <v>2</v>
      </c>
      <c r="H29" s="134">
        <v>409</v>
      </c>
    </row>
    <row r="30" spans="1:8" ht="19.8" customHeight="1" x14ac:dyDescent="0.3">
      <c r="A30" s="140">
        <v>45987</v>
      </c>
      <c r="B30" s="131" t="s">
        <v>35</v>
      </c>
      <c r="C30" s="132" t="s">
        <v>36</v>
      </c>
      <c r="D30" s="131" t="s">
        <v>1</v>
      </c>
      <c r="E30" s="141">
        <v>1.302083333333333</v>
      </c>
      <c r="F30" s="131" t="s">
        <v>37</v>
      </c>
      <c r="G30" s="133">
        <v>6</v>
      </c>
      <c r="H30" s="134">
        <v>419</v>
      </c>
    </row>
    <row r="31" spans="1:8" ht="19.8" customHeight="1" x14ac:dyDescent="0.3">
      <c r="A31" s="140">
        <v>45987</v>
      </c>
      <c r="B31" s="131" t="s">
        <v>35</v>
      </c>
      <c r="C31" s="132" t="s">
        <v>47</v>
      </c>
      <c r="D31" s="131" t="s">
        <v>1</v>
      </c>
      <c r="E31" s="141">
        <v>1.788194444444444</v>
      </c>
      <c r="F31" s="131" t="s">
        <v>37</v>
      </c>
      <c r="G31" s="133">
        <v>8</v>
      </c>
      <c r="H31" s="134">
        <v>419</v>
      </c>
    </row>
    <row r="32" spans="1:8" ht="19.8" customHeight="1" x14ac:dyDescent="0.3">
      <c r="A32" s="140">
        <v>45987</v>
      </c>
      <c r="B32" s="131" t="s">
        <v>51</v>
      </c>
      <c r="C32" s="132" t="s">
        <v>52</v>
      </c>
      <c r="D32" s="131" t="s">
        <v>1</v>
      </c>
      <c r="E32" s="141">
        <v>1.9027777777777779</v>
      </c>
      <c r="F32" s="131" t="s">
        <v>53</v>
      </c>
      <c r="G32" s="133">
        <v>6</v>
      </c>
      <c r="H32" s="134">
        <v>449</v>
      </c>
    </row>
    <row r="33" spans="1:8" ht="19.8" customHeight="1" x14ac:dyDescent="0.3">
      <c r="A33" s="151">
        <v>45987</v>
      </c>
      <c r="B33" s="152" t="s">
        <v>51</v>
      </c>
      <c r="C33" s="153" t="s">
        <v>61</v>
      </c>
      <c r="D33" s="152" t="s">
        <v>1</v>
      </c>
      <c r="E33" s="154">
        <v>1.645833333333333</v>
      </c>
      <c r="F33" s="152" t="s">
        <v>53</v>
      </c>
      <c r="G33" s="155">
        <v>1</v>
      </c>
      <c r="H33" s="176">
        <v>449</v>
      </c>
    </row>
    <row r="34" spans="1:8" ht="19.8" customHeight="1" x14ac:dyDescent="0.3">
      <c r="A34" s="142">
        <v>45988</v>
      </c>
      <c r="B34" s="136" t="s">
        <v>76</v>
      </c>
      <c r="C34" s="137" t="s">
        <v>518</v>
      </c>
      <c r="D34" s="136" t="s">
        <v>495</v>
      </c>
      <c r="E34" s="143">
        <v>1.083333333333333</v>
      </c>
      <c r="F34" s="136" t="s">
        <v>78</v>
      </c>
      <c r="G34" s="138">
        <v>9</v>
      </c>
      <c r="H34" s="139">
        <v>401</v>
      </c>
    </row>
    <row r="35" spans="1:8" ht="19.8" customHeight="1" x14ac:dyDescent="0.3">
      <c r="A35" s="142">
        <v>45988</v>
      </c>
      <c r="B35" s="136" t="s">
        <v>76</v>
      </c>
      <c r="C35" s="137" t="s">
        <v>496</v>
      </c>
      <c r="D35" s="136" t="s">
        <v>495</v>
      </c>
      <c r="E35" s="143">
        <v>1.489583333333333</v>
      </c>
      <c r="F35" s="136" t="s">
        <v>78</v>
      </c>
      <c r="G35" s="138">
        <v>9</v>
      </c>
      <c r="H35" s="139">
        <v>401</v>
      </c>
    </row>
    <row r="36" spans="1:8" ht="19.8" customHeight="1" x14ac:dyDescent="0.3">
      <c r="A36" s="142">
        <v>45988</v>
      </c>
      <c r="B36" s="136" t="s">
        <v>76</v>
      </c>
      <c r="C36" s="137" t="s">
        <v>500</v>
      </c>
      <c r="D36" s="136" t="s">
        <v>495</v>
      </c>
      <c r="E36" s="143">
        <v>1.708333333333333</v>
      </c>
      <c r="F36" s="136" t="s">
        <v>78</v>
      </c>
      <c r="G36" s="138">
        <v>6</v>
      </c>
      <c r="H36" s="139">
        <v>401</v>
      </c>
    </row>
    <row r="37" spans="1:8" ht="19.8" customHeight="1" x14ac:dyDescent="0.3">
      <c r="A37" s="140">
        <v>45988</v>
      </c>
      <c r="B37" s="131" t="s">
        <v>140</v>
      </c>
      <c r="C37" s="132" t="s">
        <v>504</v>
      </c>
      <c r="D37" s="131" t="s">
        <v>495</v>
      </c>
      <c r="E37" s="141">
        <v>1.489583333333333</v>
      </c>
      <c r="F37" s="131" t="s">
        <v>516</v>
      </c>
      <c r="G37" s="133">
        <v>4</v>
      </c>
      <c r="H37" s="134">
        <v>640</v>
      </c>
    </row>
    <row r="38" spans="1:8" ht="19.8" customHeight="1" x14ac:dyDescent="0.3">
      <c r="A38" s="172"/>
      <c r="B38" s="173"/>
      <c r="C38" s="173"/>
      <c r="D38" s="173"/>
      <c r="E38" s="173"/>
      <c r="F38" s="174" t="s">
        <v>494</v>
      </c>
      <c r="G38" s="173"/>
      <c r="H38" s="175"/>
    </row>
    <row r="39" spans="1:8" ht="19.8" customHeight="1" x14ac:dyDescent="0.3">
      <c r="A39" s="140">
        <v>45988</v>
      </c>
      <c r="B39" s="131" t="s">
        <v>35</v>
      </c>
      <c r="C39" s="132" t="s">
        <v>45</v>
      </c>
      <c r="D39" s="131" t="s">
        <v>1</v>
      </c>
      <c r="E39" s="141">
        <v>1.1284722222222221</v>
      </c>
      <c r="F39" s="131" t="s">
        <v>37</v>
      </c>
      <c r="G39" s="133">
        <v>6</v>
      </c>
      <c r="H39" s="134">
        <v>359</v>
      </c>
    </row>
    <row r="40" spans="1:8" ht="19.8" customHeight="1" x14ac:dyDescent="0.3">
      <c r="A40" s="140">
        <v>45988</v>
      </c>
      <c r="B40" s="131" t="s">
        <v>35</v>
      </c>
      <c r="C40" s="132" t="s">
        <v>36</v>
      </c>
      <c r="D40" s="131" t="s">
        <v>1</v>
      </c>
      <c r="E40" s="141">
        <v>1.302083333333333</v>
      </c>
      <c r="F40" s="131" t="s">
        <v>37</v>
      </c>
      <c r="G40" s="133">
        <v>6</v>
      </c>
      <c r="H40" s="134">
        <v>389</v>
      </c>
    </row>
    <row r="41" spans="1:8" ht="19.8" customHeight="1" x14ac:dyDescent="0.3">
      <c r="A41" s="140">
        <v>45988</v>
      </c>
      <c r="B41" s="131" t="s">
        <v>35</v>
      </c>
      <c r="C41" s="132" t="s">
        <v>47</v>
      </c>
      <c r="D41" s="131" t="s">
        <v>1</v>
      </c>
      <c r="E41" s="141">
        <v>1.788194444444444</v>
      </c>
      <c r="F41" s="131" t="s">
        <v>37</v>
      </c>
      <c r="G41" s="133">
        <v>9</v>
      </c>
      <c r="H41" s="134">
        <v>389</v>
      </c>
    </row>
    <row r="42" spans="1:8" ht="19.8" customHeight="1" x14ac:dyDescent="0.3">
      <c r="A42" s="140">
        <v>45988</v>
      </c>
      <c r="B42" s="131" t="s">
        <v>35</v>
      </c>
      <c r="C42" s="132" t="s">
        <v>50</v>
      </c>
      <c r="D42" s="131" t="s">
        <v>1</v>
      </c>
      <c r="E42" s="141">
        <v>1.8888888888888891</v>
      </c>
      <c r="F42" s="131" t="s">
        <v>37</v>
      </c>
      <c r="G42" s="133">
        <v>8</v>
      </c>
      <c r="H42" s="134">
        <v>389</v>
      </c>
    </row>
    <row r="43" spans="1:8" ht="19.8" customHeight="1" x14ac:dyDescent="0.3">
      <c r="A43" s="140">
        <v>45988</v>
      </c>
      <c r="B43" s="131" t="s">
        <v>111</v>
      </c>
      <c r="C43" s="132" t="s">
        <v>112</v>
      </c>
      <c r="D43" s="131" t="s">
        <v>1</v>
      </c>
      <c r="E43" s="141">
        <v>1.291666666666667</v>
      </c>
      <c r="F43" s="131" t="s">
        <v>28</v>
      </c>
      <c r="G43" s="133">
        <v>9</v>
      </c>
      <c r="H43" s="134">
        <v>400</v>
      </c>
    </row>
    <row r="44" spans="1:8" ht="19.8" customHeight="1" x14ac:dyDescent="0.3">
      <c r="A44" s="140">
        <v>45988</v>
      </c>
      <c r="B44" s="131" t="s">
        <v>111</v>
      </c>
      <c r="C44" s="132" t="s">
        <v>115</v>
      </c>
      <c r="D44" s="131" t="s">
        <v>1</v>
      </c>
      <c r="E44" s="141">
        <v>1.59375</v>
      </c>
      <c r="F44" s="131" t="s">
        <v>28</v>
      </c>
      <c r="G44" s="133">
        <v>9</v>
      </c>
      <c r="H44" s="134">
        <v>400</v>
      </c>
    </row>
    <row r="45" spans="1:8" ht="19.8" customHeight="1" x14ac:dyDescent="0.3">
      <c r="A45" s="140">
        <v>45988</v>
      </c>
      <c r="B45" s="131" t="s">
        <v>76</v>
      </c>
      <c r="C45" s="132" t="s">
        <v>187</v>
      </c>
      <c r="D45" s="131" t="s">
        <v>1</v>
      </c>
      <c r="E45" s="141">
        <v>1.2534722222222221</v>
      </c>
      <c r="F45" s="131" t="s">
        <v>78</v>
      </c>
      <c r="G45" s="133">
        <v>1</v>
      </c>
      <c r="H45" s="134">
        <v>401</v>
      </c>
    </row>
    <row r="46" spans="1:8" ht="19.8" customHeight="1" x14ac:dyDescent="0.3">
      <c r="A46" s="140">
        <v>45988</v>
      </c>
      <c r="B46" s="131" t="s">
        <v>51</v>
      </c>
      <c r="C46" s="132" t="s">
        <v>52</v>
      </c>
      <c r="D46" s="131" t="s">
        <v>1</v>
      </c>
      <c r="E46" s="141">
        <v>1.9027777777777779</v>
      </c>
      <c r="F46" s="131" t="s">
        <v>53</v>
      </c>
      <c r="G46" s="133">
        <v>1</v>
      </c>
      <c r="H46" s="134">
        <v>409</v>
      </c>
    </row>
    <row r="47" spans="1:8" ht="19.8" customHeight="1" x14ac:dyDescent="0.3">
      <c r="A47" s="140">
        <v>45988</v>
      </c>
      <c r="B47" s="131" t="s">
        <v>51</v>
      </c>
      <c r="C47" s="132" t="s">
        <v>61</v>
      </c>
      <c r="D47" s="131" t="s">
        <v>1</v>
      </c>
      <c r="E47" s="141">
        <v>1.6597222222222221</v>
      </c>
      <c r="F47" s="131" t="s">
        <v>53</v>
      </c>
      <c r="G47" s="133">
        <v>9</v>
      </c>
      <c r="H47" s="134">
        <v>409</v>
      </c>
    </row>
    <row r="48" spans="1:8" ht="19.8" customHeight="1" x14ac:dyDescent="0.3">
      <c r="A48" s="151">
        <v>45988</v>
      </c>
      <c r="B48" s="152" t="s">
        <v>51</v>
      </c>
      <c r="C48" s="153" t="s">
        <v>64</v>
      </c>
      <c r="D48" s="152" t="s">
        <v>1</v>
      </c>
      <c r="E48" s="154">
        <v>1.5173611111111109</v>
      </c>
      <c r="F48" s="152" t="s">
        <v>53</v>
      </c>
      <c r="G48" s="155">
        <v>9</v>
      </c>
      <c r="H48" s="176">
        <v>409</v>
      </c>
    </row>
    <row r="49" spans="1:8" ht="19.8" customHeight="1" x14ac:dyDescent="0.3">
      <c r="A49" s="142">
        <v>45989</v>
      </c>
      <c r="B49" s="136" t="s">
        <v>76</v>
      </c>
      <c r="C49" s="137" t="s">
        <v>513</v>
      </c>
      <c r="D49" s="136" t="s">
        <v>495</v>
      </c>
      <c r="E49" s="143">
        <v>1.291666666666667</v>
      </c>
      <c r="F49" s="136" t="s">
        <v>78</v>
      </c>
      <c r="G49" s="138">
        <v>6</v>
      </c>
      <c r="H49" s="139">
        <v>401</v>
      </c>
    </row>
    <row r="50" spans="1:8" ht="19.8" customHeight="1" x14ac:dyDescent="0.3">
      <c r="A50" s="172"/>
      <c r="B50" s="173"/>
      <c r="C50" s="173"/>
      <c r="D50" s="173"/>
      <c r="E50" s="173"/>
      <c r="F50" s="174" t="s">
        <v>494</v>
      </c>
      <c r="G50" s="173"/>
      <c r="H50" s="175"/>
    </row>
    <row r="51" spans="1:8" ht="19.8" customHeight="1" x14ac:dyDescent="0.3">
      <c r="A51" s="140">
        <v>45989</v>
      </c>
      <c r="B51" s="131" t="s">
        <v>35</v>
      </c>
      <c r="C51" s="132" t="s">
        <v>36</v>
      </c>
      <c r="D51" s="131" t="s">
        <v>1</v>
      </c>
      <c r="E51" s="141">
        <v>1.302083333333333</v>
      </c>
      <c r="F51" s="131" t="s">
        <v>37</v>
      </c>
      <c r="G51" s="133">
        <v>3</v>
      </c>
      <c r="H51" s="134">
        <v>359</v>
      </c>
    </row>
    <row r="52" spans="1:8" ht="19.8" customHeight="1" x14ac:dyDescent="0.3">
      <c r="A52" s="140">
        <v>45989</v>
      </c>
      <c r="B52" s="131" t="s">
        <v>35</v>
      </c>
      <c r="C52" s="132" t="s">
        <v>45</v>
      </c>
      <c r="D52" s="131" t="s">
        <v>1</v>
      </c>
      <c r="E52" s="141">
        <v>1.1284722222222221</v>
      </c>
      <c r="F52" s="131" t="s">
        <v>37</v>
      </c>
      <c r="G52" s="133">
        <v>5</v>
      </c>
      <c r="H52" s="134">
        <v>359</v>
      </c>
    </row>
    <row r="53" spans="1:8" ht="19.8" customHeight="1" x14ac:dyDescent="0.3">
      <c r="A53" s="140">
        <v>45989</v>
      </c>
      <c r="B53" s="131" t="s">
        <v>35</v>
      </c>
      <c r="C53" s="132" t="s">
        <v>47</v>
      </c>
      <c r="D53" s="131" t="s">
        <v>1</v>
      </c>
      <c r="E53" s="141">
        <v>1.788194444444444</v>
      </c>
      <c r="F53" s="131" t="s">
        <v>37</v>
      </c>
      <c r="G53" s="133">
        <v>4</v>
      </c>
      <c r="H53" s="134">
        <v>389</v>
      </c>
    </row>
    <row r="54" spans="1:8" ht="19.8" customHeight="1" x14ac:dyDescent="0.3">
      <c r="A54" s="140">
        <v>45989</v>
      </c>
      <c r="B54" s="131" t="s">
        <v>35</v>
      </c>
      <c r="C54" s="132" t="s">
        <v>50</v>
      </c>
      <c r="D54" s="131" t="s">
        <v>1</v>
      </c>
      <c r="E54" s="141">
        <v>1.8888888888888891</v>
      </c>
      <c r="F54" s="131" t="s">
        <v>37</v>
      </c>
      <c r="G54" s="133">
        <v>8</v>
      </c>
      <c r="H54" s="134">
        <v>389</v>
      </c>
    </row>
    <row r="55" spans="1:8" ht="19.8" customHeight="1" x14ac:dyDescent="0.3">
      <c r="A55" s="140">
        <v>45989</v>
      </c>
      <c r="B55" s="131" t="s">
        <v>51</v>
      </c>
      <c r="C55" s="132" t="s">
        <v>52</v>
      </c>
      <c r="D55" s="131" t="s">
        <v>1</v>
      </c>
      <c r="E55" s="141">
        <v>1.9027777777777779</v>
      </c>
      <c r="F55" s="131" t="s">
        <v>53</v>
      </c>
      <c r="G55" s="133">
        <v>1</v>
      </c>
      <c r="H55" s="134">
        <v>409</v>
      </c>
    </row>
    <row r="56" spans="1:8" ht="19.8" customHeight="1" x14ac:dyDescent="0.3">
      <c r="A56" s="140">
        <v>45989</v>
      </c>
      <c r="B56" s="131" t="s">
        <v>51</v>
      </c>
      <c r="C56" s="132" t="s">
        <v>64</v>
      </c>
      <c r="D56" s="131" t="s">
        <v>1</v>
      </c>
      <c r="E56" s="141">
        <v>1.5173611111111109</v>
      </c>
      <c r="F56" s="131" t="s">
        <v>53</v>
      </c>
      <c r="G56" s="133">
        <v>2</v>
      </c>
      <c r="H56" s="134">
        <v>409</v>
      </c>
    </row>
    <row r="57" spans="1:8" ht="19.8" customHeight="1" x14ac:dyDescent="0.3">
      <c r="A57" s="140">
        <v>45989</v>
      </c>
      <c r="B57" s="131" t="s">
        <v>51</v>
      </c>
      <c r="C57" s="132" t="s">
        <v>75</v>
      </c>
      <c r="D57" s="131" t="s">
        <v>1</v>
      </c>
      <c r="E57" s="141">
        <v>1.395833333333333</v>
      </c>
      <c r="F57" s="131" t="s">
        <v>53</v>
      </c>
      <c r="G57" s="133">
        <v>2</v>
      </c>
      <c r="H57" s="134">
        <v>409</v>
      </c>
    </row>
    <row r="58" spans="1:8" ht="19.8" customHeight="1" x14ac:dyDescent="0.3">
      <c r="A58" s="140">
        <v>45989</v>
      </c>
      <c r="B58" s="131" t="s">
        <v>51</v>
      </c>
      <c r="C58" s="132" t="s">
        <v>70</v>
      </c>
      <c r="D58" s="131" t="s">
        <v>1</v>
      </c>
      <c r="E58" s="141">
        <v>1.7986111111111109</v>
      </c>
      <c r="F58" s="131" t="s">
        <v>53</v>
      </c>
      <c r="G58" s="133">
        <v>1</v>
      </c>
      <c r="H58" s="134">
        <v>409</v>
      </c>
    </row>
    <row r="59" spans="1:8" ht="19.8" customHeight="1" x14ac:dyDescent="0.3">
      <c r="A59" s="140">
        <v>45989</v>
      </c>
      <c r="B59" s="131" t="s">
        <v>76</v>
      </c>
      <c r="C59" s="132" t="s">
        <v>77</v>
      </c>
      <c r="D59" s="131" t="s">
        <v>1</v>
      </c>
      <c r="E59" s="141">
        <v>1.319444444444444</v>
      </c>
      <c r="F59" s="131" t="s">
        <v>78</v>
      </c>
      <c r="G59" s="133">
        <v>1</v>
      </c>
      <c r="H59" s="134">
        <v>436</v>
      </c>
    </row>
    <row r="60" spans="1:8" ht="19.8" customHeight="1" x14ac:dyDescent="0.3">
      <c r="A60" s="151">
        <v>45989</v>
      </c>
      <c r="B60" s="152" t="s">
        <v>76</v>
      </c>
      <c r="C60" s="153" t="s">
        <v>93</v>
      </c>
      <c r="D60" s="152" t="s">
        <v>1</v>
      </c>
      <c r="E60" s="154">
        <v>1.458333333333333</v>
      </c>
      <c r="F60" s="152" t="s">
        <v>78</v>
      </c>
      <c r="G60" s="155">
        <v>9</v>
      </c>
      <c r="H60" s="176">
        <v>436</v>
      </c>
    </row>
    <row r="61" spans="1:8" ht="19.8" customHeight="1" x14ac:dyDescent="0.3">
      <c r="A61" s="142">
        <v>45990</v>
      </c>
      <c r="B61" s="136" t="s">
        <v>76</v>
      </c>
      <c r="C61" s="137" t="s">
        <v>513</v>
      </c>
      <c r="D61" s="136" t="s">
        <v>495</v>
      </c>
      <c r="E61" s="143">
        <v>1.302083333333333</v>
      </c>
      <c r="F61" s="136" t="s">
        <v>78</v>
      </c>
      <c r="G61" s="138">
        <v>9</v>
      </c>
      <c r="H61" s="139">
        <v>526</v>
      </c>
    </row>
    <row r="62" spans="1:8" ht="19.8" customHeight="1" x14ac:dyDescent="0.3">
      <c r="A62" s="142">
        <v>45990</v>
      </c>
      <c r="B62" s="136" t="s">
        <v>76</v>
      </c>
      <c r="C62" s="137" t="s">
        <v>500</v>
      </c>
      <c r="D62" s="136" t="s">
        <v>495</v>
      </c>
      <c r="E62" s="143">
        <v>1.6875</v>
      </c>
      <c r="F62" s="136" t="s">
        <v>78</v>
      </c>
      <c r="G62" s="138">
        <v>9</v>
      </c>
      <c r="H62" s="139">
        <v>586</v>
      </c>
    </row>
    <row r="63" spans="1:8" ht="19.8" customHeight="1" x14ac:dyDescent="0.3">
      <c r="A63" s="172"/>
      <c r="B63" s="173"/>
      <c r="C63" s="173"/>
      <c r="D63" s="173"/>
      <c r="E63" s="173"/>
      <c r="F63" s="174" t="s">
        <v>494</v>
      </c>
      <c r="G63" s="173"/>
      <c r="H63" s="175"/>
    </row>
    <row r="64" spans="1:8" ht="19.8" customHeight="1" x14ac:dyDescent="0.3">
      <c r="A64" s="140">
        <v>45990</v>
      </c>
      <c r="B64" s="131" t="s">
        <v>35</v>
      </c>
      <c r="C64" s="132" t="s">
        <v>45</v>
      </c>
      <c r="D64" s="131" t="s">
        <v>1</v>
      </c>
      <c r="E64" s="141">
        <v>1.1284722222222221</v>
      </c>
      <c r="F64" s="131" t="s">
        <v>37</v>
      </c>
      <c r="G64" s="133">
        <v>8</v>
      </c>
      <c r="H64" s="134">
        <v>359</v>
      </c>
    </row>
    <row r="65" spans="1:8" ht="19.8" customHeight="1" x14ac:dyDescent="0.3">
      <c r="A65" s="140">
        <v>45990</v>
      </c>
      <c r="B65" s="131" t="s">
        <v>35</v>
      </c>
      <c r="C65" s="132" t="s">
        <v>36</v>
      </c>
      <c r="D65" s="131" t="s">
        <v>1</v>
      </c>
      <c r="E65" s="141">
        <v>1.302083333333333</v>
      </c>
      <c r="F65" s="131" t="s">
        <v>37</v>
      </c>
      <c r="G65" s="133">
        <v>9</v>
      </c>
      <c r="H65" s="134">
        <v>389</v>
      </c>
    </row>
    <row r="66" spans="1:8" ht="19.8" customHeight="1" x14ac:dyDescent="0.3">
      <c r="A66" s="140">
        <v>45990</v>
      </c>
      <c r="B66" s="131" t="s">
        <v>26</v>
      </c>
      <c r="C66" s="132" t="s">
        <v>34</v>
      </c>
      <c r="D66" s="131" t="s">
        <v>1</v>
      </c>
      <c r="E66" s="141">
        <v>1.21875</v>
      </c>
      <c r="F66" s="131" t="s">
        <v>28</v>
      </c>
      <c r="G66" s="133">
        <v>9</v>
      </c>
      <c r="H66" s="134">
        <v>401</v>
      </c>
    </row>
    <row r="67" spans="1:8" ht="19.8" customHeight="1" x14ac:dyDescent="0.3">
      <c r="A67" s="140">
        <v>45990</v>
      </c>
      <c r="B67" s="131" t="s">
        <v>51</v>
      </c>
      <c r="C67" s="132" t="s">
        <v>52</v>
      </c>
      <c r="D67" s="131" t="s">
        <v>1</v>
      </c>
      <c r="E67" s="141">
        <v>1.9027777777777779</v>
      </c>
      <c r="F67" s="131" t="s">
        <v>53</v>
      </c>
      <c r="G67" s="133">
        <v>9</v>
      </c>
      <c r="H67" s="134">
        <v>409</v>
      </c>
    </row>
    <row r="68" spans="1:8" ht="19.8" customHeight="1" x14ac:dyDescent="0.3">
      <c r="A68" s="140">
        <v>45990</v>
      </c>
      <c r="B68" s="131" t="s">
        <v>51</v>
      </c>
      <c r="C68" s="132" t="s">
        <v>66</v>
      </c>
      <c r="D68" s="131" t="s">
        <v>1</v>
      </c>
      <c r="E68" s="141">
        <v>1.854166666666667</v>
      </c>
      <c r="F68" s="131" t="s">
        <v>53</v>
      </c>
      <c r="G68" s="133">
        <v>4</v>
      </c>
      <c r="H68" s="134">
        <v>409</v>
      </c>
    </row>
    <row r="69" spans="1:8" ht="19.8" customHeight="1" x14ac:dyDescent="0.3">
      <c r="A69" s="140">
        <v>45990</v>
      </c>
      <c r="B69" s="131" t="s">
        <v>51</v>
      </c>
      <c r="C69" s="132" t="s">
        <v>75</v>
      </c>
      <c r="D69" s="131" t="s">
        <v>1</v>
      </c>
      <c r="E69" s="141">
        <v>1.395833333333333</v>
      </c>
      <c r="F69" s="131" t="s">
        <v>53</v>
      </c>
      <c r="G69" s="133">
        <v>1</v>
      </c>
      <c r="H69" s="134">
        <v>409</v>
      </c>
    </row>
    <row r="70" spans="1:8" ht="19.8" customHeight="1" x14ac:dyDescent="0.3">
      <c r="A70" s="140">
        <v>45990</v>
      </c>
      <c r="B70" s="131" t="s">
        <v>35</v>
      </c>
      <c r="C70" s="132" t="s">
        <v>47</v>
      </c>
      <c r="D70" s="131" t="s">
        <v>1</v>
      </c>
      <c r="E70" s="141">
        <v>1.788194444444444</v>
      </c>
      <c r="F70" s="131" t="s">
        <v>37</v>
      </c>
      <c r="G70" s="133">
        <v>5</v>
      </c>
      <c r="H70" s="134">
        <v>419</v>
      </c>
    </row>
    <row r="71" spans="1:8" ht="19.8" customHeight="1" x14ac:dyDescent="0.3">
      <c r="A71" s="140">
        <v>45990</v>
      </c>
      <c r="B71" s="131" t="s">
        <v>105</v>
      </c>
      <c r="C71" s="132" t="s">
        <v>106</v>
      </c>
      <c r="D71" s="131" t="s">
        <v>1</v>
      </c>
      <c r="E71" s="141">
        <v>1.2152777777777779</v>
      </c>
      <c r="F71" s="131" t="s">
        <v>107</v>
      </c>
      <c r="G71" s="133">
        <v>9</v>
      </c>
      <c r="H71" s="134">
        <v>419</v>
      </c>
    </row>
    <row r="72" spans="1:8" ht="19.8" customHeight="1" x14ac:dyDescent="0.3">
      <c r="A72" s="140">
        <v>45990</v>
      </c>
      <c r="B72" s="131" t="s">
        <v>76</v>
      </c>
      <c r="C72" s="132" t="s">
        <v>187</v>
      </c>
      <c r="D72" s="131" t="s">
        <v>1</v>
      </c>
      <c r="E72" s="141">
        <v>1.2361111111111109</v>
      </c>
      <c r="F72" s="131" t="s">
        <v>78</v>
      </c>
      <c r="G72" s="133">
        <v>1</v>
      </c>
      <c r="H72" s="134">
        <v>436</v>
      </c>
    </row>
    <row r="73" spans="1:8" ht="19.8" customHeight="1" x14ac:dyDescent="0.3">
      <c r="A73" s="151">
        <v>45990</v>
      </c>
      <c r="B73" s="152" t="s">
        <v>105</v>
      </c>
      <c r="C73" s="153" t="s">
        <v>171</v>
      </c>
      <c r="D73" s="152" t="s">
        <v>1</v>
      </c>
      <c r="E73" s="154">
        <v>1.3298611111111109</v>
      </c>
      <c r="F73" s="152" t="s">
        <v>107</v>
      </c>
      <c r="G73" s="155">
        <v>9</v>
      </c>
      <c r="H73" s="176">
        <v>437</v>
      </c>
    </row>
  </sheetData>
  <pageMargins left="0.75" right="0.75" top="1" bottom="1" header="0.5" footer="0.5"/>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7"/>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0" hidden="1" customWidth="1"/>
  </cols>
  <sheetData>
    <row r="1" spans="1:8" ht="18" x14ac:dyDescent="0.3">
      <c r="A1" s="127" t="s">
        <v>365</v>
      </c>
      <c r="B1" s="128" t="s">
        <v>8</v>
      </c>
      <c r="C1" s="128" t="s">
        <v>9</v>
      </c>
      <c r="D1" s="128" t="s">
        <v>366</v>
      </c>
      <c r="E1" s="128" t="s">
        <v>10</v>
      </c>
      <c r="F1" s="128" t="s">
        <v>11</v>
      </c>
      <c r="G1" s="128" t="s">
        <v>12</v>
      </c>
      <c r="H1" s="129" t="s">
        <v>13</v>
      </c>
    </row>
    <row r="2" spans="1:8" ht="19.8" customHeight="1" x14ac:dyDescent="0.3">
      <c r="A2" s="135" t="s">
        <v>367</v>
      </c>
      <c r="B2" s="136" t="s">
        <v>76</v>
      </c>
      <c r="C2" s="137" t="s">
        <v>496</v>
      </c>
      <c r="D2" s="136" t="s">
        <v>495</v>
      </c>
      <c r="E2" s="136" t="s">
        <v>529</v>
      </c>
      <c r="F2" s="136" t="s">
        <v>78</v>
      </c>
      <c r="G2" s="138">
        <v>3</v>
      </c>
      <c r="H2" s="139">
        <v>781</v>
      </c>
    </row>
    <row r="3" spans="1:8" ht="19.8" customHeight="1" x14ac:dyDescent="0.3">
      <c r="A3" s="142">
        <v>45986</v>
      </c>
      <c r="B3" s="136" t="s">
        <v>76</v>
      </c>
      <c r="C3" s="137" t="s">
        <v>500</v>
      </c>
      <c r="D3" s="136" t="s">
        <v>495</v>
      </c>
      <c r="E3" s="143">
        <v>1.9513888888888891</v>
      </c>
      <c r="F3" s="136" t="s">
        <v>78</v>
      </c>
      <c r="G3" s="138">
        <v>4</v>
      </c>
      <c r="H3" s="139">
        <v>856</v>
      </c>
    </row>
    <row r="4" spans="1:8" ht="19.8" customHeight="1" x14ac:dyDescent="0.3">
      <c r="A4" s="140">
        <v>45986</v>
      </c>
      <c r="B4" s="131" t="s">
        <v>140</v>
      </c>
      <c r="C4" s="132" t="s">
        <v>504</v>
      </c>
      <c r="D4" s="131" t="s">
        <v>495</v>
      </c>
      <c r="E4" s="141">
        <v>1.322916666666667</v>
      </c>
      <c r="F4" s="131" t="s">
        <v>142</v>
      </c>
      <c r="G4" s="133">
        <v>4</v>
      </c>
      <c r="H4" s="134">
        <v>938</v>
      </c>
    </row>
    <row r="5" spans="1:8" ht="19.8" customHeight="1" x14ac:dyDescent="0.3">
      <c r="A5" s="172"/>
      <c r="B5" s="173"/>
      <c r="C5" s="173"/>
      <c r="D5" s="173"/>
      <c r="E5" s="173"/>
      <c r="F5" s="174" t="s">
        <v>494</v>
      </c>
      <c r="G5" s="173"/>
      <c r="H5" s="175"/>
    </row>
    <row r="6" spans="1:8" ht="19.8" customHeight="1" x14ac:dyDescent="0.3">
      <c r="A6" s="140">
        <v>45986</v>
      </c>
      <c r="B6" s="131" t="s">
        <v>26</v>
      </c>
      <c r="C6" s="132" t="s">
        <v>27</v>
      </c>
      <c r="D6" s="131" t="s">
        <v>1</v>
      </c>
      <c r="E6" s="141">
        <v>1.0451388888888891</v>
      </c>
      <c r="F6" s="131" t="s">
        <v>28</v>
      </c>
      <c r="G6" s="133">
        <v>1</v>
      </c>
      <c r="H6" s="134">
        <v>401</v>
      </c>
    </row>
    <row r="7" spans="1:8" ht="19.8" customHeight="1" x14ac:dyDescent="0.3">
      <c r="A7" s="140">
        <v>45986</v>
      </c>
      <c r="B7" s="131" t="s">
        <v>35</v>
      </c>
      <c r="C7" s="132" t="s">
        <v>36</v>
      </c>
      <c r="D7" s="131" t="s">
        <v>1</v>
      </c>
      <c r="E7" s="141">
        <v>1.302083333333333</v>
      </c>
      <c r="F7" s="131" t="s">
        <v>37</v>
      </c>
      <c r="G7" s="133">
        <v>2</v>
      </c>
      <c r="H7" s="134">
        <v>419</v>
      </c>
    </row>
    <row r="8" spans="1:8" ht="19.8" customHeight="1" x14ac:dyDescent="0.3">
      <c r="A8" s="140">
        <v>45986</v>
      </c>
      <c r="B8" s="131" t="s">
        <v>35</v>
      </c>
      <c r="C8" s="132" t="s">
        <v>45</v>
      </c>
      <c r="D8" s="131" t="s">
        <v>1</v>
      </c>
      <c r="E8" s="141">
        <v>1.1284722222222221</v>
      </c>
      <c r="F8" s="131" t="s">
        <v>37</v>
      </c>
      <c r="G8" s="133">
        <v>7</v>
      </c>
      <c r="H8" s="134">
        <v>419</v>
      </c>
    </row>
    <row r="9" spans="1:8" ht="19.8" customHeight="1" x14ac:dyDescent="0.3">
      <c r="A9" s="140">
        <v>45986</v>
      </c>
      <c r="B9" s="131" t="s">
        <v>35</v>
      </c>
      <c r="C9" s="132" t="s">
        <v>47</v>
      </c>
      <c r="D9" s="131" t="s">
        <v>1</v>
      </c>
      <c r="E9" s="141">
        <v>1.788194444444444</v>
      </c>
      <c r="F9" s="131" t="s">
        <v>37</v>
      </c>
      <c r="G9" s="133">
        <v>9</v>
      </c>
      <c r="H9" s="134">
        <v>419</v>
      </c>
    </row>
    <row r="10" spans="1:8" ht="19.8" customHeight="1" x14ac:dyDescent="0.3">
      <c r="A10" s="140">
        <v>45986</v>
      </c>
      <c r="B10" s="131" t="s">
        <v>35</v>
      </c>
      <c r="C10" s="132" t="s">
        <v>50</v>
      </c>
      <c r="D10" s="131" t="s">
        <v>1</v>
      </c>
      <c r="E10" s="141">
        <v>1.8888888888888891</v>
      </c>
      <c r="F10" s="131" t="s">
        <v>37</v>
      </c>
      <c r="G10" s="133">
        <v>7</v>
      </c>
      <c r="H10" s="134">
        <v>419</v>
      </c>
    </row>
    <row r="11" spans="1:8" ht="19.8" customHeight="1" x14ac:dyDescent="0.3">
      <c r="A11" s="140">
        <v>45986</v>
      </c>
      <c r="B11" s="131" t="s">
        <v>51</v>
      </c>
      <c r="C11" s="132" t="s">
        <v>52</v>
      </c>
      <c r="D11" s="131" t="s">
        <v>1</v>
      </c>
      <c r="E11" s="141">
        <v>1.9027777777777779</v>
      </c>
      <c r="F11" s="131" t="s">
        <v>53</v>
      </c>
      <c r="G11" s="133">
        <v>6</v>
      </c>
      <c r="H11" s="134">
        <v>449</v>
      </c>
    </row>
    <row r="12" spans="1:8" ht="19.8" customHeight="1" x14ac:dyDescent="0.3">
      <c r="A12" s="140">
        <v>45986</v>
      </c>
      <c r="B12" s="131" t="s">
        <v>51</v>
      </c>
      <c r="C12" s="132" t="s">
        <v>61</v>
      </c>
      <c r="D12" s="131" t="s">
        <v>1</v>
      </c>
      <c r="E12" s="141">
        <v>1.645833333333333</v>
      </c>
      <c r="F12" s="131" t="s">
        <v>53</v>
      </c>
      <c r="G12" s="133">
        <v>1</v>
      </c>
      <c r="H12" s="134">
        <v>449</v>
      </c>
    </row>
    <row r="13" spans="1:8" ht="19.8" customHeight="1" x14ac:dyDescent="0.3">
      <c r="A13" s="140">
        <v>45986</v>
      </c>
      <c r="B13" s="131" t="s">
        <v>51</v>
      </c>
      <c r="C13" s="132" t="s">
        <v>64</v>
      </c>
      <c r="D13" s="131" t="s">
        <v>1</v>
      </c>
      <c r="E13" s="141">
        <v>1.5173611111111109</v>
      </c>
      <c r="F13" s="131" t="s">
        <v>53</v>
      </c>
      <c r="G13" s="133">
        <v>2</v>
      </c>
      <c r="H13" s="134">
        <v>449</v>
      </c>
    </row>
    <row r="14" spans="1:8" ht="19.8" customHeight="1" x14ac:dyDescent="0.3">
      <c r="A14" s="140">
        <v>45986</v>
      </c>
      <c r="B14" s="131" t="s">
        <v>51</v>
      </c>
      <c r="C14" s="132" t="s">
        <v>66</v>
      </c>
      <c r="D14" s="131" t="s">
        <v>1</v>
      </c>
      <c r="E14" s="141">
        <v>1.854166666666667</v>
      </c>
      <c r="F14" s="131" t="s">
        <v>53</v>
      </c>
      <c r="G14" s="133">
        <v>5</v>
      </c>
      <c r="H14" s="134">
        <v>449</v>
      </c>
    </row>
    <row r="15" spans="1:8" ht="19.8" customHeight="1" x14ac:dyDescent="0.3">
      <c r="A15" s="151">
        <v>45986</v>
      </c>
      <c r="B15" s="152" t="s">
        <v>51</v>
      </c>
      <c r="C15" s="153" t="s">
        <v>69</v>
      </c>
      <c r="D15" s="152" t="s">
        <v>1</v>
      </c>
      <c r="E15" s="154">
        <v>1.302083333333333</v>
      </c>
      <c r="F15" s="152" t="s">
        <v>53</v>
      </c>
      <c r="G15" s="155">
        <v>2</v>
      </c>
      <c r="H15" s="176">
        <v>449</v>
      </c>
    </row>
    <row r="16" spans="1:8" ht="19.8" customHeight="1" x14ac:dyDescent="0.3">
      <c r="A16" s="142">
        <v>45987</v>
      </c>
      <c r="B16" s="136" t="s">
        <v>76</v>
      </c>
      <c r="C16" s="137" t="s">
        <v>496</v>
      </c>
      <c r="D16" s="136" t="s">
        <v>495</v>
      </c>
      <c r="E16" s="143">
        <v>1.2673611111111109</v>
      </c>
      <c r="F16" s="136" t="s">
        <v>78</v>
      </c>
      <c r="G16" s="138">
        <v>9</v>
      </c>
      <c r="H16" s="139">
        <v>436</v>
      </c>
    </row>
    <row r="17" spans="1:8" ht="19.8" customHeight="1" x14ac:dyDescent="0.3">
      <c r="A17" s="142">
        <v>45987</v>
      </c>
      <c r="B17" s="136" t="s">
        <v>76</v>
      </c>
      <c r="C17" s="137" t="s">
        <v>513</v>
      </c>
      <c r="D17" s="136" t="s">
        <v>495</v>
      </c>
      <c r="E17" s="143">
        <v>1.333333333333333</v>
      </c>
      <c r="F17" s="136" t="s">
        <v>78</v>
      </c>
      <c r="G17" s="138">
        <v>9</v>
      </c>
      <c r="H17" s="139">
        <v>436</v>
      </c>
    </row>
    <row r="18" spans="1:8" ht="19.8" customHeight="1" x14ac:dyDescent="0.3">
      <c r="A18" s="172"/>
      <c r="B18" s="173"/>
      <c r="C18" s="173"/>
      <c r="D18" s="173"/>
      <c r="E18" s="173"/>
      <c r="F18" s="174" t="s">
        <v>494</v>
      </c>
      <c r="G18" s="173"/>
      <c r="H18" s="175"/>
    </row>
    <row r="19" spans="1:8" ht="19.8" customHeight="1" x14ac:dyDescent="0.3">
      <c r="A19" s="140">
        <v>45987</v>
      </c>
      <c r="B19" s="131" t="s">
        <v>35</v>
      </c>
      <c r="C19" s="132" t="s">
        <v>45</v>
      </c>
      <c r="D19" s="131" t="s">
        <v>1</v>
      </c>
      <c r="E19" s="141">
        <v>1.1284722222222221</v>
      </c>
      <c r="F19" s="131" t="s">
        <v>37</v>
      </c>
      <c r="G19" s="133">
        <v>10</v>
      </c>
      <c r="H19" s="134">
        <v>389</v>
      </c>
    </row>
    <row r="20" spans="1:8" ht="19.8" customHeight="1" x14ac:dyDescent="0.3">
      <c r="A20" s="140">
        <v>45987</v>
      </c>
      <c r="B20" s="131" t="s">
        <v>35</v>
      </c>
      <c r="C20" s="132" t="s">
        <v>50</v>
      </c>
      <c r="D20" s="131" t="s">
        <v>1</v>
      </c>
      <c r="E20" s="141">
        <v>1.8888888888888891</v>
      </c>
      <c r="F20" s="131" t="s">
        <v>37</v>
      </c>
      <c r="G20" s="133">
        <v>7</v>
      </c>
      <c r="H20" s="134">
        <v>389</v>
      </c>
    </row>
    <row r="21" spans="1:8" ht="19.8" customHeight="1" x14ac:dyDescent="0.3">
      <c r="A21" s="140">
        <v>45987</v>
      </c>
      <c r="B21" s="131" t="s">
        <v>26</v>
      </c>
      <c r="C21" s="132" t="s">
        <v>31</v>
      </c>
      <c r="D21" s="131" t="s">
        <v>1</v>
      </c>
      <c r="E21" s="141">
        <v>1.9375</v>
      </c>
      <c r="F21" s="131" t="s">
        <v>28</v>
      </c>
      <c r="G21" s="133">
        <v>1</v>
      </c>
      <c r="H21" s="134">
        <v>401</v>
      </c>
    </row>
    <row r="22" spans="1:8" ht="19.8" customHeight="1" x14ac:dyDescent="0.3">
      <c r="A22" s="140">
        <v>45987</v>
      </c>
      <c r="B22" s="131" t="s">
        <v>26</v>
      </c>
      <c r="C22" s="132" t="s">
        <v>34</v>
      </c>
      <c r="D22" s="131" t="s">
        <v>1</v>
      </c>
      <c r="E22" s="141">
        <v>1.3715277777777779</v>
      </c>
      <c r="F22" s="131" t="s">
        <v>28</v>
      </c>
      <c r="G22" s="133">
        <v>4</v>
      </c>
      <c r="H22" s="134">
        <v>401</v>
      </c>
    </row>
    <row r="23" spans="1:8" ht="19.8" customHeight="1" x14ac:dyDescent="0.3">
      <c r="A23" s="140">
        <v>45987</v>
      </c>
      <c r="B23" s="131" t="s">
        <v>51</v>
      </c>
      <c r="C23" s="132" t="s">
        <v>71</v>
      </c>
      <c r="D23" s="131" t="s">
        <v>1</v>
      </c>
      <c r="E23" s="141">
        <v>1.256944444444444</v>
      </c>
      <c r="F23" s="131" t="s">
        <v>53</v>
      </c>
      <c r="G23" s="133">
        <v>3</v>
      </c>
      <c r="H23" s="134">
        <v>409</v>
      </c>
    </row>
    <row r="24" spans="1:8" ht="19.8" customHeight="1" x14ac:dyDescent="0.3">
      <c r="A24" s="140">
        <v>45987</v>
      </c>
      <c r="B24" s="131" t="s">
        <v>51</v>
      </c>
      <c r="C24" s="132" t="s">
        <v>69</v>
      </c>
      <c r="D24" s="131" t="s">
        <v>1</v>
      </c>
      <c r="E24" s="141">
        <v>1.302083333333333</v>
      </c>
      <c r="F24" s="131" t="s">
        <v>53</v>
      </c>
      <c r="G24" s="133">
        <v>2</v>
      </c>
      <c r="H24" s="134">
        <v>409</v>
      </c>
    </row>
    <row r="25" spans="1:8" ht="19.8" customHeight="1" x14ac:dyDescent="0.3">
      <c r="A25" s="140">
        <v>45987</v>
      </c>
      <c r="B25" s="131" t="s">
        <v>35</v>
      </c>
      <c r="C25" s="132" t="s">
        <v>36</v>
      </c>
      <c r="D25" s="131" t="s">
        <v>1</v>
      </c>
      <c r="E25" s="141">
        <v>1.302083333333333</v>
      </c>
      <c r="F25" s="131" t="s">
        <v>37</v>
      </c>
      <c r="G25" s="133">
        <v>6</v>
      </c>
      <c r="H25" s="134">
        <v>419</v>
      </c>
    </row>
    <row r="26" spans="1:8" ht="19.8" customHeight="1" x14ac:dyDescent="0.3">
      <c r="A26" s="140">
        <v>45987</v>
      </c>
      <c r="B26" s="131" t="s">
        <v>35</v>
      </c>
      <c r="C26" s="132" t="s">
        <v>47</v>
      </c>
      <c r="D26" s="131" t="s">
        <v>1</v>
      </c>
      <c r="E26" s="141">
        <v>1.788194444444444</v>
      </c>
      <c r="F26" s="131" t="s">
        <v>37</v>
      </c>
      <c r="G26" s="133">
        <v>8</v>
      </c>
      <c r="H26" s="134">
        <v>419</v>
      </c>
    </row>
    <row r="27" spans="1:8" ht="19.8" customHeight="1" x14ac:dyDescent="0.3">
      <c r="A27" s="140">
        <v>45987</v>
      </c>
      <c r="B27" s="131" t="s">
        <v>51</v>
      </c>
      <c r="C27" s="132" t="s">
        <v>52</v>
      </c>
      <c r="D27" s="131" t="s">
        <v>1</v>
      </c>
      <c r="E27" s="141">
        <v>1.9027777777777779</v>
      </c>
      <c r="F27" s="131" t="s">
        <v>53</v>
      </c>
      <c r="G27" s="133">
        <v>6</v>
      </c>
      <c r="H27" s="134">
        <v>449</v>
      </c>
    </row>
    <row r="28" spans="1:8" ht="19.8" customHeight="1" x14ac:dyDescent="0.3">
      <c r="A28" s="151">
        <v>45987</v>
      </c>
      <c r="B28" s="152" t="s">
        <v>51</v>
      </c>
      <c r="C28" s="153" t="s">
        <v>61</v>
      </c>
      <c r="D28" s="152" t="s">
        <v>1</v>
      </c>
      <c r="E28" s="154">
        <v>1.645833333333333</v>
      </c>
      <c r="F28" s="152" t="s">
        <v>53</v>
      </c>
      <c r="G28" s="155">
        <v>1</v>
      </c>
      <c r="H28" s="176">
        <v>449</v>
      </c>
    </row>
    <row r="29" spans="1:8" ht="19.8" customHeight="1" x14ac:dyDescent="0.3">
      <c r="A29" s="142">
        <v>45988</v>
      </c>
      <c r="B29" s="136" t="s">
        <v>76</v>
      </c>
      <c r="C29" s="137" t="s">
        <v>518</v>
      </c>
      <c r="D29" s="136" t="s">
        <v>495</v>
      </c>
      <c r="E29" s="143">
        <v>1.083333333333333</v>
      </c>
      <c r="F29" s="136" t="s">
        <v>78</v>
      </c>
      <c r="G29" s="138">
        <v>9</v>
      </c>
      <c r="H29" s="139">
        <v>401</v>
      </c>
    </row>
    <row r="30" spans="1:8" ht="19.8" customHeight="1" x14ac:dyDescent="0.3">
      <c r="A30" s="142">
        <v>45988</v>
      </c>
      <c r="B30" s="136" t="s">
        <v>76</v>
      </c>
      <c r="C30" s="137" t="s">
        <v>496</v>
      </c>
      <c r="D30" s="136" t="s">
        <v>495</v>
      </c>
      <c r="E30" s="143">
        <v>1.489583333333333</v>
      </c>
      <c r="F30" s="136" t="s">
        <v>78</v>
      </c>
      <c r="G30" s="138">
        <v>9</v>
      </c>
      <c r="H30" s="139">
        <v>401</v>
      </c>
    </row>
    <row r="31" spans="1:8" ht="19.8" customHeight="1" x14ac:dyDescent="0.3">
      <c r="A31" s="142">
        <v>45988</v>
      </c>
      <c r="B31" s="136" t="s">
        <v>76</v>
      </c>
      <c r="C31" s="137" t="s">
        <v>500</v>
      </c>
      <c r="D31" s="136" t="s">
        <v>495</v>
      </c>
      <c r="E31" s="143">
        <v>1.708333333333333</v>
      </c>
      <c r="F31" s="136" t="s">
        <v>78</v>
      </c>
      <c r="G31" s="138">
        <v>6</v>
      </c>
      <c r="H31" s="139">
        <v>401</v>
      </c>
    </row>
    <row r="32" spans="1:8" ht="19.8" customHeight="1" x14ac:dyDescent="0.3">
      <c r="A32" s="172"/>
      <c r="B32" s="173"/>
      <c r="C32" s="173"/>
      <c r="D32" s="173"/>
      <c r="E32" s="173"/>
      <c r="F32" s="174" t="s">
        <v>494</v>
      </c>
      <c r="G32" s="173"/>
      <c r="H32" s="175"/>
    </row>
    <row r="33" spans="1:8" ht="19.8" customHeight="1" x14ac:dyDescent="0.3">
      <c r="A33" s="140">
        <v>45988</v>
      </c>
      <c r="B33" s="131" t="s">
        <v>35</v>
      </c>
      <c r="C33" s="132" t="s">
        <v>45</v>
      </c>
      <c r="D33" s="131" t="s">
        <v>1</v>
      </c>
      <c r="E33" s="141">
        <v>1.1284722222222221</v>
      </c>
      <c r="F33" s="131" t="s">
        <v>37</v>
      </c>
      <c r="G33" s="133">
        <v>6</v>
      </c>
      <c r="H33" s="134">
        <v>359</v>
      </c>
    </row>
    <row r="34" spans="1:8" ht="19.8" customHeight="1" x14ac:dyDescent="0.3">
      <c r="A34" s="140">
        <v>45988</v>
      </c>
      <c r="B34" s="131" t="s">
        <v>35</v>
      </c>
      <c r="C34" s="132" t="s">
        <v>36</v>
      </c>
      <c r="D34" s="131" t="s">
        <v>1</v>
      </c>
      <c r="E34" s="141">
        <v>1.302083333333333</v>
      </c>
      <c r="F34" s="131" t="s">
        <v>37</v>
      </c>
      <c r="G34" s="133">
        <v>6</v>
      </c>
      <c r="H34" s="134">
        <v>389</v>
      </c>
    </row>
    <row r="35" spans="1:8" ht="19.8" customHeight="1" x14ac:dyDescent="0.3">
      <c r="A35" s="140">
        <v>45988</v>
      </c>
      <c r="B35" s="131" t="s">
        <v>35</v>
      </c>
      <c r="C35" s="132" t="s">
        <v>47</v>
      </c>
      <c r="D35" s="131" t="s">
        <v>1</v>
      </c>
      <c r="E35" s="141">
        <v>1.788194444444444</v>
      </c>
      <c r="F35" s="131" t="s">
        <v>37</v>
      </c>
      <c r="G35" s="133">
        <v>9</v>
      </c>
      <c r="H35" s="134">
        <v>389</v>
      </c>
    </row>
    <row r="36" spans="1:8" ht="19.8" customHeight="1" x14ac:dyDescent="0.3">
      <c r="A36" s="140">
        <v>45988</v>
      </c>
      <c r="B36" s="131" t="s">
        <v>35</v>
      </c>
      <c r="C36" s="132" t="s">
        <v>50</v>
      </c>
      <c r="D36" s="131" t="s">
        <v>1</v>
      </c>
      <c r="E36" s="141">
        <v>1.8888888888888891</v>
      </c>
      <c r="F36" s="131" t="s">
        <v>37</v>
      </c>
      <c r="G36" s="133">
        <v>8</v>
      </c>
      <c r="H36" s="134">
        <v>389</v>
      </c>
    </row>
    <row r="37" spans="1:8" ht="19.8" customHeight="1" x14ac:dyDescent="0.3">
      <c r="A37" s="140">
        <v>45988</v>
      </c>
      <c r="B37" s="131" t="s">
        <v>111</v>
      </c>
      <c r="C37" s="132" t="s">
        <v>112</v>
      </c>
      <c r="D37" s="131" t="s">
        <v>1</v>
      </c>
      <c r="E37" s="141">
        <v>1.291666666666667</v>
      </c>
      <c r="F37" s="131" t="s">
        <v>28</v>
      </c>
      <c r="G37" s="133">
        <v>9</v>
      </c>
      <c r="H37" s="134">
        <v>400</v>
      </c>
    </row>
    <row r="38" spans="1:8" ht="19.8" customHeight="1" x14ac:dyDescent="0.3">
      <c r="A38" s="140">
        <v>45988</v>
      </c>
      <c r="B38" s="131" t="s">
        <v>111</v>
      </c>
      <c r="C38" s="132" t="s">
        <v>115</v>
      </c>
      <c r="D38" s="131" t="s">
        <v>1</v>
      </c>
      <c r="E38" s="141">
        <v>1.59375</v>
      </c>
      <c r="F38" s="131" t="s">
        <v>28</v>
      </c>
      <c r="G38" s="133">
        <v>9</v>
      </c>
      <c r="H38" s="134">
        <v>400</v>
      </c>
    </row>
    <row r="39" spans="1:8" ht="19.8" customHeight="1" x14ac:dyDescent="0.3">
      <c r="A39" s="140">
        <v>45988</v>
      </c>
      <c r="B39" s="131" t="s">
        <v>76</v>
      </c>
      <c r="C39" s="132" t="s">
        <v>187</v>
      </c>
      <c r="D39" s="131" t="s">
        <v>1</v>
      </c>
      <c r="E39" s="141">
        <v>1.2534722222222221</v>
      </c>
      <c r="F39" s="131" t="s">
        <v>78</v>
      </c>
      <c r="G39" s="133">
        <v>1</v>
      </c>
      <c r="H39" s="134">
        <v>401</v>
      </c>
    </row>
    <row r="40" spans="1:8" ht="19.8" customHeight="1" x14ac:dyDescent="0.3">
      <c r="A40" s="140">
        <v>45988</v>
      </c>
      <c r="B40" s="131" t="s">
        <v>51</v>
      </c>
      <c r="C40" s="132" t="s">
        <v>52</v>
      </c>
      <c r="D40" s="131" t="s">
        <v>1</v>
      </c>
      <c r="E40" s="141">
        <v>1.9027777777777779</v>
      </c>
      <c r="F40" s="131" t="s">
        <v>53</v>
      </c>
      <c r="G40" s="133">
        <v>1</v>
      </c>
      <c r="H40" s="134">
        <v>409</v>
      </c>
    </row>
    <row r="41" spans="1:8" ht="19.8" customHeight="1" x14ac:dyDescent="0.3">
      <c r="A41" s="140">
        <v>45988</v>
      </c>
      <c r="B41" s="131" t="s">
        <v>51</v>
      </c>
      <c r="C41" s="132" t="s">
        <v>61</v>
      </c>
      <c r="D41" s="131" t="s">
        <v>1</v>
      </c>
      <c r="E41" s="141">
        <v>1.6597222222222221</v>
      </c>
      <c r="F41" s="131" t="s">
        <v>53</v>
      </c>
      <c r="G41" s="133">
        <v>9</v>
      </c>
      <c r="H41" s="134">
        <v>409</v>
      </c>
    </row>
    <row r="42" spans="1:8" ht="19.8" customHeight="1" x14ac:dyDescent="0.3">
      <c r="A42" s="151">
        <v>45988</v>
      </c>
      <c r="B42" s="152" t="s">
        <v>51</v>
      </c>
      <c r="C42" s="153" t="s">
        <v>64</v>
      </c>
      <c r="D42" s="152" t="s">
        <v>1</v>
      </c>
      <c r="E42" s="154">
        <v>1.5173611111111109</v>
      </c>
      <c r="F42" s="152" t="s">
        <v>53</v>
      </c>
      <c r="G42" s="155">
        <v>9</v>
      </c>
      <c r="H42" s="176">
        <v>409</v>
      </c>
    </row>
    <row r="43" spans="1:8" ht="19.8" customHeight="1" x14ac:dyDescent="0.3">
      <c r="A43" s="142">
        <v>45989</v>
      </c>
      <c r="B43" s="136" t="s">
        <v>76</v>
      </c>
      <c r="C43" s="137" t="s">
        <v>513</v>
      </c>
      <c r="D43" s="136" t="s">
        <v>495</v>
      </c>
      <c r="E43" s="143">
        <v>1.291666666666667</v>
      </c>
      <c r="F43" s="136" t="s">
        <v>78</v>
      </c>
      <c r="G43" s="138">
        <v>6</v>
      </c>
      <c r="H43" s="139">
        <v>401</v>
      </c>
    </row>
    <row r="44" spans="1:8" ht="19.8" customHeight="1" x14ac:dyDescent="0.3">
      <c r="A44" s="172"/>
      <c r="B44" s="173"/>
      <c r="C44" s="173"/>
      <c r="D44" s="173"/>
      <c r="E44" s="173"/>
      <c r="F44" s="174" t="s">
        <v>494</v>
      </c>
      <c r="G44" s="173"/>
      <c r="H44" s="175"/>
    </row>
    <row r="45" spans="1:8" ht="19.8" customHeight="1" x14ac:dyDescent="0.3">
      <c r="A45" s="140">
        <v>45989</v>
      </c>
      <c r="B45" s="131" t="s">
        <v>35</v>
      </c>
      <c r="C45" s="132" t="s">
        <v>36</v>
      </c>
      <c r="D45" s="131" t="s">
        <v>1</v>
      </c>
      <c r="E45" s="141">
        <v>1.302083333333333</v>
      </c>
      <c r="F45" s="131" t="s">
        <v>37</v>
      </c>
      <c r="G45" s="133">
        <v>3</v>
      </c>
      <c r="H45" s="134">
        <v>359</v>
      </c>
    </row>
    <row r="46" spans="1:8" ht="19.8" customHeight="1" x14ac:dyDescent="0.3">
      <c r="A46" s="140">
        <v>45989</v>
      </c>
      <c r="B46" s="131" t="s">
        <v>35</v>
      </c>
      <c r="C46" s="132" t="s">
        <v>45</v>
      </c>
      <c r="D46" s="131" t="s">
        <v>1</v>
      </c>
      <c r="E46" s="141">
        <v>1.1284722222222221</v>
      </c>
      <c r="F46" s="131" t="s">
        <v>37</v>
      </c>
      <c r="G46" s="133">
        <v>5</v>
      </c>
      <c r="H46" s="134">
        <v>359</v>
      </c>
    </row>
    <row r="47" spans="1:8" ht="19.8" customHeight="1" x14ac:dyDescent="0.3">
      <c r="A47" s="140">
        <v>45989</v>
      </c>
      <c r="B47" s="131" t="s">
        <v>35</v>
      </c>
      <c r="C47" s="132" t="s">
        <v>47</v>
      </c>
      <c r="D47" s="131" t="s">
        <v>1</v>
      </c>
      <c r="E47" s="141">
        <v>1.788194444444444</v>
      </c>
      <c r="F47" s="131" t="s">
        <v>37</v>
      </c>
      <c r="G47" s="133">
        <v>4</v>
      </c>
      <c r="H47" s="134">
        <v>389</v>
      </c>
    </row>
    <row r="48" spans="1:8" ht="19.8" customHeight="1" x14ac:dyDescent="0.3">
      <c r="A48" s="140">
        <v>45989</v>
      </c>
      <c r="B48" s="131" t="s">
        <v>35</v>
      </c>
      <c r="C48" s="132" t="s">
        <v>50</v>
      </c>
      <c r="D48" s="131" t="s">
        <v>1</v>
      </c>
      <c r="E48" s="141">
        <v>1.8888888888888891</v>
      </c>
      <c r="F48" s="131" t="s">
        <v>37</v>
      </c>
      <c r="G48" s="133">
        <v>8</v>
      </c>
      <c r="H48" s="134">
        <v>389</v>
      </c>
    </row>
    <row r="49" spans="1:8" ht="19.8" customHeight="1" x14ac:dyDescent="0.3">
      <c r="A49" s="140">
        <v>45989</v>
      </c>
      <c r="B49" s="131" t="s">
        <v>51</v>
      </c>
      <c r="C49" s="132" t="s">
        <v>52</v>
      </c>
      <c r="D49" s="131" t="s">
        <v>1</v>
      </c>
      <c r="E49" s="141">
        <v>1.9027777777777779</v>
      </c>
      <c r="F49" s="131" t="s">
        <v>53</v>
      </c>
      <c r="G49" s="133">
        <v>1</v>
      </c>
      <c r="H49" s="134">
        <v>409</v>
      </c>
    </row>
    <row r="50" spans="1:8" ht="19.8" customHeight="1" x14ac:dyDescent="0.3">
      <c r="A50" s="140">
        <v>45989</v>
      </c>
      <c r="B50" s="131" t="s">
        <v>51</v>
      </c>
      <c r="C50" s="132" t="s">
        <v>64</v>
      </c>
      <c r="D50" s="131" t="s">
        <v>1</v>
      </c>
      <c r="E50" s="141">
        <v>1.5173611111111109</v>
      </c>
      <c r="F50" s="131" t="s">
        <v>53</v>
      </c>
      <c r="G50" s="133">
        <v>2</v>
      </c>
      <c r="H50" s="134">
        <v>409</v>
      </c>
    </row>
    <row r="51" spans="1:8" ht="19.8" customHeight="1" x14ac:dyDescent="0.3">
      <c r="A51" s="140">
        <v>45989</v>
      </c>
      <c r="B51" s="131" t="s">
        <v>51</v>
      </c>
      <c r="C51" s="132" t="s">
        <v>75</v>
      </c>
      <c r="D51" s="131" t="s">
        <v>1</v>
      </c>
      <c r="E51" s="141">
        <v>1.395833333333333</v>
      </c>
      <c r="F51" s="131" t="s">
        <v>53</v>
      </c>
      <c r="G51" s="133">
        <v>2</v>
      </c>
      <c r="H51" s="134">
        <v>409</v>
      </c>
    </row>
    <row r="52" spans="1:8" ht="19.8" customHeight="1" x14ac:dyDescent="0.3">
      <c r="A52" s="140">
        <v>45989</v>
      </c>
      <c r="B52" s="131" t="s">
        <v>51</v>
      </c>
      <c r="C52" s="132" t="s">
        <v>70</v>
      </c>
      <c r="D52" s="131" t="s">
        <v>1</v>
      </c>
      <c r="E52" s="141">
        <v>1.7986111111111109</v>
      </c>
      <c r="F52" s="131" t="s">
        <v>53</v>
      </c>
      <c r="G52" s="133">
        <v>1</v>
      </c>
      <c r="H52" s="134">
        <v>409</v>
      </c>
    </row>
    <row r="53" spans="1:8" ht="19.8" customHeight="1" x14ac:dyDescent="0.3">
      <c r="A53" s="140">
        <v>45989</v>
      </c>
      <c r="B53" s="131" t="s">
        <v>76</v>
      </c>
      <c r="C53" s="132" t="s">
        <v>77</v>
      </c>
      <c r="D53" s="131" t="s">
        <v>1</v>
      </c>
      <c r="E53" s="141">
        <v>1.319444444444444</v>
      </c>
      <c r="F53" s="131" t="s">
        <v>78</v>
      </c>
      <c r="G53" s="133">
        <v>1</v>
      </c>
      <c r="H53" s="134">
        <v>436</v>
      </c>
    </row>
    <row r="54" spans="1:8" ht="19.8" customHeight="1" x14ac:dyDescent="0.3">
      <c r="A54" s="151">
        <v>45989</v>
      </c>
      <c r="B54" s="152" t="s">
        <v>76</v>
      </c>
      <c r="C54" s="153" t="s">
        <v>93</v>
      </c>
      <c r="D54" s="152" t="s">
        <v>1</v>
      </c>
      <c r="E54" s="154">
        <v>1.458333333333333</v>
      </c>
      <c r="F54" s="152" t="s">
        <v>78</v>
      </c>
      <c r="G54" s="155">
        <v>9</v>
      </c>
      <c r="H54" s="176">
        <v>436</v>
      </c>
    </row>
    <row r="55" spans="1:8" ht="19.8" customHeight="1" x14ac:dyDescent="0.3">
      <c r="A55" s="142">
        <v>45990</v>
      </c>
      <c r="B55" s="136" t="s">
        <v>76</v>
      </c>
      <c r="C55" s="137" t="s">
        <v>513</v>
      </c>
      <c r="D55" s="136" t="s">
        <v>495</v>
      </c>
      <c r="E55" s="143">
        <v>1.302083333333333</v>
      </c>
      <c r="F55" s="136" t="s">
        <v>78</v>
      </c>
      <c r="G55" s="138">
        <v>9</v>
      </c>
      <c r="H55" s="139">
        <v>526</v>
      </c>
    </row>
    <row r="56" spans="1:8" ht="19.8" customHeight="1" x14ac:dyDescent="0.3">
      <c r="A56" s="142">
        <v>45990</v>
      </c>
      <c r="B56" s="136" t="s">
        <v>76</v>
      </c>
      <c r="C56" s="137" t="s">
        <v>500</v>
      </c>
      <c r="D56" s="136" t="s">
        <v>495</v>
      </c>
      <c r="E56" s="143">
        <v>1.6875</v>
      </c>
      <c r="F56" s="136" t="s">
        <v>78</v>
      </c>
      <c r="G56" s="138">
        <v>9</v>
      </c>
      <c r="H56" s="139">
        <v>586</v>
      </c>
    </row>
    <row r="57" spans="1:8" ht="19.8" customHeight="1" x14ac:dyDescent="0.3">
      <c r="A57" s="172"/>
      <c r="B57" s="173"/>
      <c r="C57" s="173"/>
      <c r="D57" s="173"/>
      <c r="E57" s="173"/>
      <c r="F57" s="174" t="s">
        <v>494</v>
      </c>
      <c r="G57" s="173"/>
      <c r="H57" s="175"/>
    </row>
    <row r="58" spans="1:8" ht="19.8" customHeight="1" x14ac:dyDescent="0.3">
      <c r="A58" s="140">
        <v>45990</v>
      </c>
      <c r="B58" s="131" t="s">
        <v>35</v>
      </c>
      <c r="C58" s="132" t="s">
        <v>45</v>
      </c>
      <c r="D58" s="131" t="s">
        <v>1</v>
      </c>
      <c r="E58" s="141">
        <v>1.1284722222222221</v>
      </c>
      <c r="F58" s="131" t="s">
        <v>37</v>
      </c>
      <c r="G58" s="133">
        <v>8</v>
      </c>
      <c r="H58" s="134">
        <v>359</v>
      </c>
    </row>
    <row r="59" spans="1:8" ht="19.8" customHeight="1" x14ac:dyDescent="0.3">
      <c r="A59" s="140">
        <v>45990</v>
      </c>
      <c r="B59" s="131" t="s">
        <v>35</v>
      </c>
      <c r="C59" s="132" t="s">
        <v>36</v>
      </c>
      <c r="D59" s="131" t="s">
        <v>1</v>
      </c>
      <c r="E59" s="141">
        <v>1.302083333333333</v>
      </c>
      <c r="F59" s="131" t="s">
        <v>37</v>
      </c>
      <c r="G59" s="133">
        <v>9</v>
      </c>
      <c r="H59" s="134">
        <v>389</v>
      </c>
    </row>
    <row r="60" spans="1:8" ht="19.8" customHeight="1" x14ac:dyDescent="0.3">
      <c r="A60" s="140">
        <v>45990</v>
      </c>
      <c r="B60" s="131" t="s">
        <v>26</v>
      </c>
      <c r="C60" s="132" t="s">
        <v>34</v>
      </c>
      <c r="D60" s="131" t="s">
        <v>1</v>
      </c>
      <c r="E60" s="141">
        <v>1.21875</v>
      </c>
      <c r="F60" s="131" t="s">
        <v>28</v>
      </c>
      <c r="G60" s="133">
        <v>9</v>
      </c>
      <c r="H60" s="134">
        <v>401</v>
      </c>
    </row>
    <row r="61" spans="1:8" ht="19.8" customHeight="1" x14ac:dyDescent="0.3">
      <c r="A61" s="140">
        <v>45990</v>
      </c>
      <c r="B61" s="131" t="s">
        <v>51</v>
      </c>
      <c r="C61" s="132" t="s">
        <v>52</v>
      </c>
      <c r="D61" s="131" t="s">
        <v>1</v>
      </c>
      <c r="E61" s="141">
        <v>1.9027777777777779</v>
      </c>
      <c r="F61" s="131" t="s">
        <v>53</v>
      </c>
      <c r="G61" s="133">
        <v>9</v>
      </c>
      <c r="H61" s="134">
        <v>409</v>
      </c>
    </row>
    <row r="62" spans="1:8" ht="19.8" customHeight="1" x14ac:dyDescent="0.3">
      <c r="A62" s="140">
        <v>45990</v>
      </c>
      <c r="B62" s="131" t="s">
        <v>51</v>
      </c>
      <c r="C62" s="132" t="s">
        <v>66</v>
      </c>
      <c r="D62" s="131" t="s">
        <v>1</v>
      </c>
      <c r="E62" s="141">
        <v>1.854166666666667</v>
      </c>
      <c r="F62" s="131" t="s">
        <v>53</v>
      </c>
      <c r="G62" s="133">
        <v>4</v>
      </c>
      <c r="H62" s="134">
        <v>409</v>
      </c>
    </row>
    <row r="63" spans="1:8" ht="19.8" customHeight="1" x14ac:dyDescent="0.3">
      <c r="A63" s="140">
        <v>45990</v>
      </c>
      <c r="B63" s="131" t="s">
        <v>51</v>
      </c>
      <c r="C63" s="132" t="s">
        <v>75</v>
      </c>
      <c r="D63" s="131" t="s">
        <v>1</v>
      </c>
      <c r="E63" s="141">
        <v>1.395833333333333</v>
      </c>
      <c r="F63" s="131" t="s">
        <v>53</v>
      </c>
      <c r="G63" s="133">
        <v>1</v>
      </c>
      <c r="H63" s="134">
        <v>409</v>
      </c>
    </row>
    <row r="64" spans="1:8" ht="19.8" customHeight="1" x14ac:dyDescent="0.3">
      <c r="A64" s="140">
        <v>45990</v>
      </c>
      <c r="B64" s="131" t="s">
        <v>35</v>
      </c>
      <c r="C64" s="132" t="s">
        <v>47</v>
      </c>
      <c r="D64" s="131" t="s">
        <v>1</v>
      </c>
      <c r="E64" s="141">
        <v>1.788194444444444</v>
      </c>
      <c r="F64" s="131" t="s">
        <v>37</v>
      </c>
      <c r="G64" s="133">
        <v>5</v>
      </c>
      <c r="H64" s="134">
        <v>419</v>
      </c>
    </row>
    <row r="65" spans="1:8" ht="19.8" customHeight="1" x14ac:dyDescent="0.3">
      <c r="A65" s="140">
        <v>45990</v>
      </c>
      <c r="B65" s="131" t="s">
        <v>105</v>
      </c>
      <c r="C65" s="132" t="s">
        <v>106</v>
      </c>
      <c r="D65" s="131" t="s">
        <v>1</v>
      </c>
      <c r="E65" s="141">
        <v>1.2152777777777779</v>
      </c>
      <c r="F65" s="131" t="s">
        <v>107</v>
      </c>
      <c r="G65" s="133">
        <v>9</v>
      </c>
      <c r="H65" s="134">
        <v>419</v>
      </c>
    </row>
    <row r="66" spans="1:8" ht="19.8" customHeight="1" x14ac:dyDescent="0.3">
      <c r="A66" s="140">
        <v>45990</v>
      </c>
      <c r="B66" s="131" t="s">
        <v>76</v>
      </c>
      <c r="C66" s="132" t="s">
        <v>187</v>
      </c>
      <c r="D66" s="131" t="s">
        <v>1</v>
      </c>
      <c r="E66" s="141">
        <v>1.2361111111111109</v>
      </c>
      <c r="F66" s="131" t="s">
        <v>78</v>
      </c>
      <c r="G66" s="133">
        <v>1</v>
      </c>
      <c r="H66" s="134">
        <v>436</v>
      </c>
    </row>
    <row r="67" spans="1:8" ht="19.8" customHeight="1" x14ac:dyDescent="0.3">
      <c r="A67" s="151">
        <v>45990</v>
      </c>
      <c r="B67" s="152" t="s">
        <v>105</v>
      </c>
      <c r="C67" s="153" t="s">
        <v>171</v>
      </c>
      <c r="D67" s="152" t="s">
        <v>1</v>
      </c>
      <c r="E67" s="154">
        <v>1.3298611111111109</v>
      </c>
      <c r="F67" s="152" t="s">
        <v>107</v>
      </c>
      <c r="G67" s="155">
        <v>9</v>
      </c>
      <c r="H67" s="176">
        <v>437</v>
      </c>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JED-CAI</vt:lpstr>
      <vt:lpstr>JED-CAI LF LEGACY</vt:lpstr>
      <vt:lpstr>JED-CAI - FOCUS MODE</vt:lpstr>
      <vt:lpstr>JED-CAI - OAL Threats Alert</vt:lpstr>
      <vt:lpstr>JED-HBE</vt:lpstr>
      <vt:lpstr>JED-HBE LF LEGACY</vt:lpstr>
      <vt:lpstr>JED-HBE - FOCUS MODE</vt:lpstr>
      <vt:lpstr>JED-HBE - OAL Threats Alert</vt:lpstr>
      <vt:lpstr>JED-ATZ</vt:lpstr>
      <vt:lpstr>JED-ATZ LF LEGACY</vt:lpstr>
      <vt:lpstr>JED-ATZ - FOCUS MODE</vt:lpstr>
      <vt:lpstr>JED-ATZ - OAL Threats Alert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2025-11-19T22:11:22Z</dcterms:created>
  <dcterms:modified xsi:type="dcterms:W3CDTF">2025-11-19T22:17:09Z</dcterms:modified>
</cp:coreProperties>
</file>