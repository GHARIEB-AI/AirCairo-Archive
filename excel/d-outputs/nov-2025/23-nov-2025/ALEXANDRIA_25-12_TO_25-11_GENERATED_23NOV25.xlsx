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A502CBB-31C6-4788-A73E-CB986C758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BE-MED" sheetId="1" r:id="rId1"/>
    <sheet name="HBE-MED LF LEGACY" sheetId="2" r:id="rId2"/>
    <sheet name="HBE-JED" sheetId="3" r:id="rId3"/>
    <sheet name="HBE-JED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0" i="4" l="1"/>
  <c r="E60" i="4"/>
  <c r="G60" i="4"/>
  <c r="H60" i="4"/>
  <c r="I60" i="4"/>
  <c r="J60" i="4"/>
  <c r="M60" i="4"/>
  <c r="N60" i="4"/>
  <c r="O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C22" i="2"/>
  <c r="E22" i="2"/>
  <c r="G22" i="2"/>
  <c r="H22" i="2"/>
  <c r="I22" i="2"/>
  <c r="J22" i="2"/>
  <c r="M22" i="2"/>
  <c r="N22" i="2"/>
  <c r="O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</calcChain>
</file>

<file path=xl/sharedStrings.xml><?xml version="1.0" encoding="utf-8"?>
<sst xmlns="http://schemas.openxmlformats.org/spreadsheetml/2006/main" count="2741" uniqueCount="321">
  <si>
    <t>COMPREHENSIVE REPORT</t>
  </si>
  <si>
    <t>HBE-MED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</si>
  <si>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</si>
  <si>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</si>
  <si>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</si>
  <si>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</si>
  <si>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</si>
  <si>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</si>
  <si>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</si>
  <si>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</si>
  <si>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</si>
  <si>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</si>
  <si>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</si>
  <si>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</si>
  <si>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</si>
  <si>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</si>
  <si>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</si>
  <si>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</si>
  <si>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</si>
  <si>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</si>
  <si>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</si>
  <si>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</si>
  <si>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</si>
  <si>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</si>
  <si>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</si>
  <si>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</si>
  <si>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</si>
  <si>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</si>
  <si>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</si>
  <si>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SM485</t>
  </si>
  <si>
    <t>30KG + 7KG CABIN</t>
  </si>
  <si>
    <t>FULLY BOOKED</t>
  </si>
  <si>
    <t>2025-10-29 00:00:00</t>
  </si>
  <si>
    <t>CLOSED</t>
  </si>
  <si>
    <t>S1 &amp; X2 &amp; O8 &amp; I8 &amp; P162</t>
  </si>
  <si>
    <t>2025-11-22 00:00:00</t>
  </si>
  <si>
    <t>V5 &amp; T5 &amp; X4 &amp; E41 &amp; P125</t>
  </si>
  <si>
    <t>2025-11-15 00:00:00</t>
  </si>
  <si>
    <t>G1 &amp; I3 &amp; P175</t>
  </si>
  <si>
    <t>2025-11-19 00:00:00</t>
  </si>
  <si>
    <t>G3 &amp; X3 &amp; I8 &amp; P166</t>
  </si>
  <si>
    <t>2025-11-16 00:00:00</t>
  </si>
  <si>
    <t>L3 &amp; X10 &amp; U11 &amp; O11 &amp; I10 &amp; P135</t>
  </si>
  <si>
    <t>S9 &amp; T11 &amp; X10 &amp; U8 &amp; O7 &amp; I5 &amp; P130</t>
  </si>
  <si>
    <t>V2 &amp; S3 &amp; X7 &amp; U11 &amp; O11 &amp; I10 &amp; P135</t>
  </si>
  <si>
    <t>LAST SEATS</t>
  </si>
  <si>
    <t>2025-11-17 00:00:00</t>
  </si>
  <si>
    <t>M5</t>
  </si>
  <si>
    <t>Q3 &amp; L3 &amp; G5 &amp; S5 &amp; X4 &amp; U5 &amp; O5 &amp; I5 &amp; E45 &amp; P94</t>
  </si>
  <si>
    <t>V2</t>
  </si>
  <si>
    <t>V1 &amp; S12 &amp; U9 &amp; O11 &amp; I10 &amp; P135</t>
  </si>
  <si>
    <t>HIGH DEMAND</t>
  </si>
  <si>
    <t>T9</t>
  </si>
  <si>
    <t>S11 &amp; T4 &amp; X10 &amp; U5 &amp; P135</t>
  </si>
  <si>
    <t>T1</t>
  </si>
  <si>
    <t>S1 &amp; T4 &amp; X5 &amp; U5 &amp; O5 &amp; I5 &amp; P140</t>
  </si>
  <si>
    <t>G3</t>
  </si>
  <si>
    <t>S6 &amp; O8 &amp; I8 &amp; P155</t>
  </si>
  <si>
    <t>2025-11-20 00:00:00</t>
  </si>
  <si>
    <t>O1</t>
  </si>
  <si>
    <t>S7 &amp; U5 &amp; O10 &amp; I10 &amp; P135</t>
  </si>
  <si>
    <t>O4</t>
  </si>
  <si>
    <t>U7 &amp; O4 &amp; I5 &amp; E30 &amp; P130</t>
  </si>
  <si>
    <t>SEATS AVAILABLE</t>
  </si>
  <si>
    <t>2025-11-10 00:00:00</t>
  </si>
  <si>
    <t>W4</t>
  </si>
  <si>
    <t>W6 &amp; P135</t>
  </si>
  <si>
    <t>W5</t>
  </si>
  <si>
    <t>W2 &amp; P170</t>
  </si>
  <si>
    <t>2025-11-03 00:00:00</t>
  </si>
  <si>
    <t>W6</t>
  </si>
  <si>
    <t>W4 &amp; P135</t>
  </si>
  <si>
    <t>O2</t>
  </si>
  <si>
    <t>S3 &amp; O8 &amp; I5 &amp; P130</t>
  </si>
  <si>
    <t>W8</t>
  </si>
  <si>
    <t>W2 &amp; P135</t>
  </si>
  <si>
    <t>2025-07-10 00:00:00</t>
  </si>
  <si>
    <t>W9</t>
  </si>
  <si>
    <t>P135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</si>
  <si>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</si>
  <si>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</si>
  <si>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</si>
  <si>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</si>
  <si>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</si>
  <si>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</si>
  <si>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</si>
  <si>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</si>
  <si>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</si>
  <si>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</si>
  <si>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</si>
  <si>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</si>
  <si>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</si>
  <si>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</si>
  <si>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</si>
  <si>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</si>
  <si>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</si>
  <si>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</si>
  <si>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</si>
  <si>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</si>
  <si>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</si>
  <si>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</si>
  <si>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</si>
  <si>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</si>
  <si>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</si>
  <si>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</si>
  <si>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</si>
  <si>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</si>
  <si>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</si>
  <si>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</si>
  <si>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05:40</t>
  </si>
  <si>
    <t>320</t>
  </si>
  <si>
    <t>UPCOMING</t>
  </si>
  <si>
    <t>S1</t>
  </si>
  <si>
    <t>X2</t>
  </si>
  <si>
    <t>O8</t>
  </si>
  <si>
    <t>I8</t>
  </si>
  <si>
    <t>P162</t>
  </si>
  <si>
    <t>TUESDAY</t>
  </si>
  <si>
    <t>03:50</t>
  </si>
  <si>
    <t>V5</t>
  </si>
  <si>
    <t>T5</t>
  </si>
  <si>
    <t>X4</t>
  </si>
  <si>
    <t>E41</t>
  </si>
  <si>
    <t>P125</t>
  </si>
  <si>
    <t>WEDNESDAY</t>
  </si>
  <si>
    <t>18:40</t>
  </si>
  <si>
    <t>G1</t>
  </si>
  <si>
    <t>I3</t>
  </si>
  <si>
    <t>P175</t>
  </si>
  <si>
    <t>THURSDAY</t>
  </si>
  <si>
    <t>11:30</t>
  </si>
  <si>
    <t>X3</t>
  </si>
  <si>
    <t>P166</t>
  </si>
  <si>
    <t>L3</t>
  </si>
  <si>
    <t>X10</t>
  </si>
  <si>
    <t>U11</t>
  </si>
  <si>
    <t>O11</t>
  </si>
  <si>
    <t>I10</t>
  </si>
  <si>
    <t>S9</t>
  </si>
  <si>
    <t>T11</t>
  </si>
  <si>
    <t>U8</t>
  </si>
  <si>
    <t>O7</t>
  </si>
  <si>
    <t>I5</t>
  </si>
  <si>
    <t>P130</t>
  </si>
  <si>
    <t>S3</t>
  </si>
  <si>
    <t>X7</t>
  </si>
  <si>
    <t>Q3</t>
  </si>
  <si>
    <t>G5</t>
  </si>
  <si>
    <t>S5</t>
  </si>
  <si>
    <t>U5</t>
  </si>
  <si>
    <t>O5</t>
  </si>
  <si>
    <t>E45</t>
  </si>
  <si>
    <t>P94</t>
  </si>
  <si>
    <t>V1</t>
  </si>
  <si>
    <t>S12</t>
  </si>
  <si>
    <t>U9</t>
  </si>
  <si>
    <t>S11</t>
  </si>
  <si>
    <t>T4</t>
  </si>
  <si>
    <t>X5</t>
  </si>
  <si>
    <t>P140</t>
  </si>
  <si>
    <t>S6</t>
  </si>
  <si>
    <t>P155</t>
  </si>
  <si>
    <t>S7</t>
  </si>
  <si>
    <t>O10</t>
  </si>
  <si>
    <t>U7</t>
  </si>
  <si>
    <t>E30</t>
  </si>
  <si>
    <t>W2</t>
  </si>
  <si>
    <t>P170</t>
  </si>
  <si>
    <t>HBE-JED</t>
  </si>
  <si>
    <t>SM451</t>
  </si>
  <si>
    <t>L4 &amp; S6 &amp; W9 &amp; T9 &amp; X9 &amp; U2 &amp; O3 &amp; I3 &amp; P134</t>
  </si>
  <si>
    <t>SM457</t>
  </si>
  <si>
    <t>S17 &amp; W13 &amp; T9 &amp; X17 &amp; P122</t>
  </si>
  <si>
    <t>S1 &amp; X14 &amp; U12 &amp; O9 &amp; I9 &amp; P134</t>
  </si>
  <si>
    <t>S6 &amp; W2 &amp; T8 &amp; X13 &amp; U4 &amp; O8 &amp; I8 &amp; P131</t>
  </si>
  <si>
    <t>2025-10-31 00:00:00</t>
  </si>
  <si>
    <t>X5 &amp; U4 &amp; O5 &amp; I5 &amp; P161</t>
  </si>
  <si>
    <t>K1 &amp; S3 &amp; W9 &amp; T19 &amp; X17 &amp; P130</t>
  </si>
  <si>
    <t>2025-11-11 00:00:00</t>
  </si>
  <si>
    <t>T9 &amp; X9 &amp; U9 &amp; O9 &amp; I9 &amp; P135</t>
  </si>
  <si>
    <t>SM473</t>
  </si>
  <si>
    <t>S1 &amp; T4 &amp; X9 &amp; P166</t>
  </si>
  <si>
    <t>S13 &amp; W10 &amp; T5 &amp; X5 &amp; U5 &amp; O5 &amp; I5 &amp; P126 &amp; N5</t>
  </si>
  <si>
    <t>G8 &amp; S40 &amp; W28 &amp; T33 &amp; X18 &amp; P50 &amp; N2</t>
  </si>
  <si>
    <t>L2 &amp; S8 &amp; W17 &amp; T9 &amp; X9 &amp; P135</t>
  </si>
  <si>
    <t>K4 &amp; V9 &amp; L11 &amp; G7 &amp; S18 &amp; W18 &amp; T9 &amp; X9 &amp; P95</t>
  </si>
  <si>
    <t>G5 &amp; S11 &amp; W4 &amp; T5 &amp; X5 &amp; U5 &amp; O5 &amp; I4 &amp; P135</t>
  </si>
  <si>
    <t>2025-11-21 00:00:00</t>
  </si>
  <si>
    <t>G6 &amp; S3 &amp; W1 &amp; T18 &amp; X17 &amp; P135</t>
  </si>
  <si>
    <t>W5 &amp; T8 &amp; X8 &amp; U8 &amp; O8 &amp; I8 &amp; P136</t>
  </si>
  <si>
    <t>2025-11-18 00:00:00</t>
  </si>
  <si>
    <t>L7 &amp; S7 &amp; W6 &amp; T7 &amp; X13 &amp; U10 &amp; P130</t>
  </si>
  <si>
    <t>K2 &amp; S16 &amp; W10 &amp; U2 &amp; P145</t>
  </si>
  <si>
    <t>S1 &amp; X8 &amp; U10 &amp; O13 &amp; I12 &amp; P135</t>
  </si>
  <si>
    <t>S7 &amp; T5 &amp; X17 &amp; U13 &amp; P137</t>
  </si>
  <si>
    <t>S1 &amp; T13 &amp; X13 &amp; U10 &amp; P125</t>
  </si>
  <si>
    <t>S2 &amp; X13 &amp; U15 &amp; P135</t>
  </si>
  <si>
    <t>LOW DEMAND</t>
  </si>
  <si>
    <t>X1</t>
  </si>
  <si>
    <t>S3 &amp; X25 &amp; U10</t>
  </si>
  <si>
    <t>X6 &amp; U10 &amp; P143</t>
  </si>
  <si>
    <t>X13 &amp; U10 &amp; P90</t>
  </si>
  <si>
    <t>U2</t>
  </si>
  <si>
    <t>U21 &amp; P139</t>
  </si>
  <si>
    <t>X9</t>
  </si>
  <si>
    <t>U13 &amp; P142</t>
  </si>
  <si>
    <t>U10 &amp; P135</t>
  </si>
  <si>
    <t>S24 &amp; X4 &amp; U10 &amp; P135</t>
  </si>
  <si>
    <t>2025-08-25 00:00:00</t>
  </si>
  <si>
    <t>G9</t>
  </si>
  <si>
    <t>2025-11-14 00:00:00</t>
  </si>
  <si>
    <t>X9 &amp; U10 &amp; O13 &amp; I13 &amp; P135</t>
  </si>
  <si>
    <t>G6 &amp; X17 &amp; U10 &amp; P135</t>
  </si>
  <si>
    <t>X7 &amp; P170</t>
  </si>
  <si>
    <t>S5 &amp; X8 &amp; U10 &amp; P135</t>
  </si>
  <si>
    <t>S10 &amp; T1 &amp; X10</t>
  </si>
  <si>
    <t>S3 &amp; X4 &amp; U10 &amp; P135</t>
  </si>
  <si>
    <t>X13 &amp; U10 &amp; P135</t>
  </si>
  <si>
    <t>S3 &amp; X1 &amp; U8 &amp; O8 &amp; I8 &amp; P135</t>
  </si>
  <si>
    <t>T13 &amp; X10 &amp; P90</t>
  </si>
  <si>
    <t>X10 &amp; E45 &amp; P45</t>
  </si>
  <si>
    <t>X1 &amp; E40 &amp; P135</t>
  </si>
  <si>
    <t>S2 &amp; T2 &amp; X9 &amp; P155</t>
  </si>
  <si>
    <t>X5 &amp; P135</t>
  </si>
  <si>
    <t>S2 &amp; X7</t>
  </si>
  <si>
    <t>X8</t>
  </si>
  <si>
    <t>X2 &amp; P135</t>
  </si>
  <si>
    <t>X6 &amp; P135</t>
  </si>
  <si>
    <t>U3</t>
  </si>
  <si>
    <t>U5 &amp; O8 &amp; I8 &amp; P135</t>
  </si>
  <si>
    <t>U3 &amp; O8 &amp; I8 &amp; P135</t>
  </si>
  <si>
    <t>2025-10-30 00:00:00</t>
  </si>
  <si>
    <t>P180</t>
  </si>
  <si>
    <t>X8 &amp; P135</t>
  </si>
  <si>
    <t>X1 &amp; P170</t>
  </si>
  <si>
    <t>X6</t>
  </si>
  <si>
    <t>11:55</t>
  </si>
  <si>
    <t>L4</t>
  </si>
  <si>
    <t>O3</t>
  </si>
  <si>
    <t>P134</t>
  </si>
  <si>
    <t>13:55</t>
  </si>
  <si>
    <t>S17</t>
  </si>
  <si>
    <t>W13</t>
  </si>
  <si>
    <t>X17</t>
  </si>
  <si>
    <t>P122</t>
  </si>
  <si>
    <t>MONDAY</t>
  </si>
  <si>
    <t>03:35</t>
  </si>
  <si>
    <t>X14</t>
  </si>
  <si>
    <t>U12</t>
  </si>
  <si>
    <t>O9</t>
  </si>
  <si>
    <t>I9</t>
  </si>
  <si>
    <t>11:00</t>
  </si>
  <si>
    <t>T8</t>
  </si>
  <si>
    <t>X13</t>
  </si>
  <si>
    <t>U4</t>
  </si>
  <si>
    <t>P131</t>
  </si>
  <si>
    <t>12:30</t>
  </si>
  <si>
    <t>P161</t>
  </si>
  <si>
    <t>03:30</t>
  </si>
  <si>
    <t>K1</t>
  </si>
  <si>
    <t>T19</t>
  </si>
  <si>
    <t>12:45</t>
  </si>
  <si>
    <t>20:40</t>
  </si>
  <si>
    <t>02:05</t>
  </si>
  <si>
    <t>S13</t>
  </si>
  <si>
    <t>W10</t>
  </si>
  <si>
    <t>P126</t>
  </si>
  <si>
    <t>N5</t>
  </si>
  <si>
    <t>FRIDAY</t>
  </si>
  <si>
    <t>05:30</t>
  </si>
  <si>
    <t>G8</t>
  </si>
  <si>
    <t>S40</t>
  </si>
  <si>
    <t>W28</t>
  </si>
  <si>
    <t>T33</t>
  </si>
  <si>
    <t>X18</t>
  </si>
  <si>
    <t>P50</t>
  </si>
  <si>
    <t>N2</t>
  </si>
  <si>
    <t>SATURDAY</t>
  </si>
  <si>
    <t>06:30</t>
  </si>
  <si>
    <t>L2</t>
  </si>
  <si>
    <t>S8</t>
  </si>
  <si>
    <t>W17</t>
  </si>
  <si>
    <t>14:30</t>
  </si>
  <si>
    <t>K4</t>
  </si>
  <si>
    <t>V9</t>
  </si>
  <si>
    <t>L11</t>
  </si>
  <si>
    <t>G7</t>
  </si>
  <si>
    <t>S18</t>
  </si>
  <si>
    <t>W18</t>
  </si>
  <si>
    <t>P95</t>
  </si>
  <si>
    <t>I4</t>
  </si>
  <si>
    <t>G6</t>
  </si>
  <si>
    <t>W1</t>
  </si>
  <si>
    <t>T18</t>
  </si>
  <si>
    <t>P136</t>
  </si>
  <si>
    <t>L7</t>
  </si>
  <si>
    <t>T7</t>
  </si>
  <si>
    <t>U10</t>
  </si>
  <si>
    <t>K2</t>
  </si>
  <si>
    <t>S16</t>
  </si>
  <si>
    <t>P145</t>
  </si>
  <si>
    <t>O13</t>
  </si>
  <si>
    <t>I12</t>
  </si>
  <si>
    <t>U13</t>
  </si>
  <si>
    <t>P137</t>
  </si>
  <si>
    <t>T13</t>
  </si>
  <si>
    <t>S2</t>
  </si>
  <si>
    <t>U15</t>
  </si>
  <si>
    <t>X25</t>
  </si>
  <si>
    <t>P143</t>
  </si>
  <si>
    <t>P90</t>
  </si>
  <si>
    <t>U21</t>
  </si>
  <si>
    <t>P139</t>
  </si>
  <si>
    <t>P142</t>
  </si>
  <si>
    <t>S24</t>
  </si>
  <si>
    <t>I13</t>
  </si>
  <si>
    <t>S10</t>
  </si>
  <si>
    <t>P45</t>
  </si>
  <si>
    <t>E40</t>
  </si>
  <si>
    <t>T2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</si>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</sst>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3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168" fontId="13" fillId="12" borderId="6" xfId="0" applyNumberFormat="1" applyFont="1" applyFill="1" applyBorder="1" applyAlignment="1">
      <alignment horizontal="center" vertical="center"/>
    </xf>
    <xf numFmtId="168" fontId="13" fillId="11" borderId="6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10" xfId="0" applyNumberFormat="1" applyFont="1" applyFill="1" applyBorder="1" applyAlignment="1">
      <alignment horizontal="center" vertical="center"/>
    </xf>
    <xf numFmtId="168" fontId="14" fillId="16" borderId="11" xfId="0" applyNumberFormat="1" applyFont="1" applyFill="1" applyBorder="1" applyAlignment="1">
      <alignment horizontal="center" vertical="center"/>
    </xf>
    <xf numFmtId="1" fontId="13" fillId="16" borderId="11" xfId="0" applyNumberFormat="1" applyFont="1" applyFill="1" applyBorder="1" applyAlignment="1">
      <alignment horizontal="center" vertical="center"/>
    </xf>
    <xf numFmtId="16" fontId="13" fillId="16" borderId="11" xfId="0" applyNumberFormat="1" applyFont="1" applyFill="1" applyBorder="1" applyAlignment="1">
      <alignment horizontal="center" vertical="center"/>
    </xf>
    <xf numFmtId="49" fontId="15" fillId="16" borderId="11" xfId="0" applyNumberFormat="1" applyFont="1" applyFill="1" applyBorder="1" applyAlignment="1">
      <alignment horizontal="center" vertical="center"/>
    </xf>
    <xf numFmtId="167" fontId="13" fillId="16" borderId="11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17" fillId="13" borderId="13" xfId="0" applyNumberFormat="1" applyFont="1" applyFill="1" applyBorder="1" applyAlignment="1">
      <alignment horizontal="center" vertical="center"/>
    </xf>
    <xf numFmtId="167" fontId="17" fillId="13" borderId="13" xfId="0" applyNumberFormat="1" applyFont="1" applyFill="1" applyBorder="1" applyAlignment="1">
      <alignment horizontal="center" vertical="center"/>
    </xf>
    <xf numFmtId="0" fontId="17" fillId="13" borderId="13" xfId="0" applyFont="1" applyFill="1" applyBorder="1" applyAlignment="1">
      <alignment horizontal="center" vertical="center"/>
    </xf>
    <xf numFmtId="49" fontId="13" fillId="11" borderId="10" xfId="0" applyNumberFormat="1" applyFont="1" applyFill="1" applyBorder="1" applyAlignment="1">
      <alignment horizontal="center" vertical="center"/>
    </xf>
    <xf numFmtId="168" fontId="14" fillId="11" borderId="11" xfId="0" applyNumberFormat="1" applyFont="1" applyFill="1" applyBorder="1" applyAlignment="1">
      <alignment horizontal="center" vertical="center"/>
    </xf>
    <xf numFmtId="1" fontId="13" fillId="11" borderId="11" xfId="0" applyNumberFormat="1" applyFont="1" applyFill="1" applyBorder="1" applyAlignment="1">
      <alignment horizontal="center" vertical="center"/>
    </xf>
    <xf numFmtId="16" fontId="13" fillId="11" borderId="11" xfId="0" applyNumberFormat="1" applyFont="1" applyFill="1" applyBorder="1" applyAlignment="1">
      <alignment horizontal="center" vertical="center"/>
    </xf>
    <xf numFmtId="49" fontId="15" fillId="11" borderId="11" xfId="0" applyNumberFormat="1" applyFont="1" applyFill="1" applyBorder="1" applyAlignment="1">
      <alignment horizontal="center" vertical="center"/>
    </xf>
    <xf numFmtId="167" fontId="13" fillId="11" borderId="11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17" fillId="14" borderId="13" xfId="0" applyNumberFormat="1" applyFont="1" applyFill="1" applyBorder="1" applyAlignment="1">
      <alignment horizontal="center" vertical="center"/>
    </xf>
    <xf numFmtId="167" fontId="17" fillId="14" borderId="13" xfId="0" applyNumberFormat="1" applyFont="1" applyFill="1" applyBorder="1" applyAlignment="1">
      <alignment horizontal="center" vertical="center"/>
    </xf>
    <xf numFmtId="0" fontId="17" fillId="14" borderId="13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13" fillId="10" borderId="10" xfId="0" applyNumberFormat="1" applyFont="1" applyFill="1" applyBorder="1" applyAlignment="1">
      <alignment horizontal="center" vertical="center"/>
    </xf>
    <xf numFmtId="168" fontId="14" fillId="10" borderId="11" xfId="0" applyNumberFormat="1" applyFont="1" applyFill="1" applyBorder="1" applyAlignment="1">
      <alignment horizontal="center" vertical="center"/>
    </xf>
    <xf numFmtId="1" fontId="13" fillId="10" borderId="11" xfId="0" applyNumberFormat="1" applyFont="1" applyFill="1" applyBorder="1" applyAlignment="1">
      <alignment horizontal="center" vertical="center"/>
    </xf>
    <xf numFmtId="16" fontId="13" fillId="10" borderId="11" xfId="0" applyNumberFormat="1" applyFont="1" applyFill="1" applyBorder="1" applyAlignment="1">
      <alignment horizontal="center" vertical="center"/>
    </xf>
    <xf numFmtId="49" fontId="15" fillId="10" borderId="11" xfId="0" applyNumberFormat="1" applyFont="1" applyFill="1" applyBorder="1" applyAlignment="1">
      <alignment horizontal="center" vertical="center"/>
    </xf>
    <xf numFmtId="167" fontId="13" fillId="10" borderId="11" xfId="0" applyNumberFormat="1" applyFont="1" applyFill="1" applyBorder="1" applyAlignment="1">
      <alignment horizontal="center" vertical="center"/>
    </xf>
    <xf numFmtId="49" fontId="13" fillId="10" borderId="12" xfId="0" applyNumberFormat="1" applyFont="1" applyFill="1" applyBorder="1" applyAlignment="1">
      <alignment horizontal="center" vertical="center"/>
    </xf>
    <xf numFmtId="49" fontId="17" fillId="15" borderId="2" xfId="0" applyNumberFormat="1" applyFont="1" applyFill="1" applyBorder="1" applyAlignment="1">
      <alignment horizontal="center" vertical="center"/>
    </xf>
    <xf numFmtId="167" fontId="17" fillId="15" borderId="2" xfId="0" applyNumberFormat="1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49" fontId="13" fillId="15" borderId="10" xfId="0" applyNumberFormat="1" applyFont="1" applyFill="1" applyBorder="1" applyAlignment="1">
      <alignment horizontal="center" vertical="center"/>
    </xf>
    <xf numFmtId="168" fontId="14" fillId="15" borderId="11" xfId="0" applyNumberFormat="1" applyFont="1" applyFill="1" applyBorder="1" applyAlignment="1">
      <alignment horizontal="center" vertical="center"/>
    </xf>
    <xf numFmtId="1" fontId="13" fillId="15" borderId="11" xfId="0" applyNumberFormat="1" applyFont="1" applyFill="1" applyBorder="1" applyAlignment="1">
      <alignment horizontal="center" vertical="center"/>
    </xf>
    <xf numFmtId="16" fontId="13" fillId="15" borderId="11" xfId="0" applyNumberFormat="1" applyFont="1" applyFill="1" applyBorder="1" applyAlignment="1">
      <alignment horizontal="center" vertical="center"/>
    </xf>
    <xf numFmtId="49" fontId="15" fillId="15" borderId="11" xfId="0" applyNumberFormat="1" applyFont="1" applyFill="1" applyBorder="1" applyAlignment="1">
      <alignment horizontal="center" vertical="center"/>
    </xf>
    <xf numFmtId="167" fontId="13" fillId="15" borderId="11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17" fillId="10" borderId="13" xfId="0" applyNumberFormat="1" applyFont="1" applyFill="1" applyBorder="1" applyAlignment="1">
      <alignment horizontal="center" vertical="center"/>
    </xf>
    <xf numFmtId="167" fontId="17" fillId="10" borderId="13" xfId="0" applyNumberFormat="1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49" fontId="17" fillId="11" borderId="13" xfId="0" applyNumberFormat="1" applyFont="1" applyFill="1" applyBorder="1" applyAlignment="1">
      <alignment horizontal="center" vertical="center"/>
    </xf>
    <xf numFmtId="167" fontId="17" fillId="11" borderId="13" xfId="0" applyNumberFormat="1" applyFont="1" applyFill="1" applyBorder="1" applyAlignment="1">
      <alignment horizontal="center" vertical="center"/>
    </xf>
    <xf numFmtId="0" fontId="17" fillId="11" borderId="13" xfId="0" applyFont="1" applyFill="1" applyBorder="1" applyAlignment="1">
      <alignment horizontal="center" vertical="center"/>
    </xf>
    <xf numFmtId="49" fontId="17" fillId="12" borderId="13" xfId="0" applyNumberFormat="1" applyFont="1" applyFill="1" applyBorder="1" applyAlignment="1">
      <alignment horizontal="center" vertical="center"/>
    </xf>
    <xf numFmtId="167" fontId="17" fillId="12" borderId="13" xfId="0" applyNumberFormat="1" applyFont="1" applyFill="1" applyBorder="1" applyAlignment="1">
      <alignment horizontal="center" vertical="center"/>
    </xf>
    <xf numFmtId="0" fontId="17" fillId="12" borderId="13" xfId="0" applyFont="1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center" vertical="center"/>
    </xf>
    <xf numFmtId="168" fontId="14" fillId="14" borderId="11" xfId="0" applyNumberFormat="1" applyFont="1" applyFill="1" applyBorder="1" applyAlignment="1">
      <alignment horizontal="center" vertical="center"/>
    </xf>
    <xf numFmtId="1" fontId="13" fillId="14" borderId="11" xfId="0" applyNumberFormat="1" applyFont="1" applyFill="1" applyBorder="1" applyAlignment="1">
      <alignment horizontal="center" vertical="center"/>
    </xf>
    <xf numFmtId="16" fontId="13" fillId="14" borderId="11" xfId="0" applyNumberFormat="1" applyFont="1" applyFill="1" applyBorder="1" applyAlignment="1">
      <alignment horizontal="center" vertical="center"/>
    </xf>
    <xf numFmtId="49" fontId="15" fillId="14" borderId="11" xfId="0" applyNumberFormat="1" applyFont="1" applyFill="1" applyBorder="1" applyAlignment="1">
      <alignment horizontal="center" vertical="center"/>
    </xf>
    <xf numFmtId="167" fontId="13" fillId="14" borderId="11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17" fillId="15" borderId="13" xfId="0" applyNumberFormat="1" applyFont="1" applyFill="1" applyBorder="1" applyAlignment="1">
      <alignment horizontal="center" vertical="center"/>
    </xf>
    <xf numFmtId="167" fontId="17" fillId="15" borderId="13" xfId="0" applyNumberFormat="1" applyFont="1" applyFill="1" applyBorder="1" applyAlignment="1">
      <alignment horizontal="center" vertical="center"/>
    </xf>
    <xf numFmtId="0" fontId="17" fillId="15" borderId="13" xfId="0" applyFont="1" applyFill="1" applyBorder="1" applyAlignment="1">
      <alignment horizontal="center" vertical="center"/>
    </xf>
    <xf numFmtId="49" fontId="17" fillId="10" borderId="2" xfId="0" applyNumberFormat="1" applyFont="1" applyFill="1" applyBorder="1" applyAlignment="1">
      <alignment horizontal="center" vertical="center"/>
    </xf>
    <xf numFmtId="167" fontId="17" fillId="10" borderId="2" xfId="0" applyNumberFormat="1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168" fontId="18" fillId="12" borderId="6" xfId="0" applyNumberFormat="1" applyFont="1" applyFill="1" applyBorder="1" applyAlignment="1">
      <alignment horizontal="center" vertical="center"/>
    </xf>
    <xf numFmtId="168" fontId="13" fillId="10" borderId="6" xfId="0" applyNumberFormat="1" applyFont="1" applyFill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center" vertical="center"/>
    </xf>
    <xf numFmtId="168" fontId="14" fillId="8" borderId="11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/>
    </xf>
    <xf numFmtId="16" fontId="13" fillId="8" borderId="11" xfId="0" applyNumberFormat="1" applyFont="1" applyFill="1" applyBorder="1" applyAlignment="1">
      <alignment horizontal="center" vertical="center"/>
    </xf>
    <xf numFmtId="49" fontId="15" fillId="8" borderId="11" xfId="0" applyNumberFormat="1" applyFont="1" applyFill="1" applyBorder="1" applyAlignment="1">
      <alignment horizontal="center" vertical="center"/>
    </xf>
    <xf numFmtId="167" fontId="13" fillId="8" borderId="11" xfId="0" applyNumberFormat="1" applyFont="1" applyFill="1" applyBorder="1" applyAlignment="1">
      <alignment horizontal="center" vertical="center"/>
    </xf>
    <xf numFmtId="49" fontId="13" fillId="8" borderId="12" xfId="0" applyNumberFormat="1" applyFont="1" applyFill="1" applyBorder="1" applyAlignment="1">
      <alignment horizontal="center" vertical="center"/>
    </xf>
    <xf numFmtId="49" fontId="13" fillId="13" borderId="10" xfId="0" applyNumberFormat="1" applyFont="1" applyFill="1" applyBorder="1" applyAlignment="1">
      <alignment horizontal="center" vertical="center"/>
    </xf>
    <xf numFmtId="168" fontId="13" fillId="13" borderId="11" xfId="0" applyNumberFormat="1" applyFont="1" applyFill="1" applyBorder="1" applyAlignment="1">
      <alignment horizontal="center" vertical="center"/>
    </xf>
    <xf numFmtId="1" fontId="13" fillId="13" borderId="11" xfId="0" applyNumberFormat="1" applyFont="1" applyFill="1" applyBorder="1" applyAlignment="1">
      <alignment horizontal="center" vertical="center"/>
    </xf>
    <xf numFmtId="16" fontId="13" fillId="13" borderId="11" xfId="0" applyNumberFormat="1" applyFont="1" applyFill="1" applyBorder="1" applyAlignment="1">
      <alignment horizontal="center" vertical="center"/>
    </xf>
    <xf numFmtId="49" fontId="15" fillId="13" borderId="11" xfId="0" applyNumberFormat="1" applyFont="1" applyFill="1" applyBorder="1" applyAlignment="1">
      <alignment horizontal="center" vertical="center"/>
    </xf>
    <xf numFmtId="167" fontId="13" fillId="13" borderId="11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center" vertical="center"/>
    </xf>
    <xf numFmtId="168" fontId="14" fillId="12" borderId="11" xfId="0" applyNumberFormat="1" applyFont="1" applyFill="1" applyBorder="1" applyAlignment="1">
      <alignment horizontal="center" vertical="center"/>
    </xf>
    <xf numFmtId="1" fontId="13" fillId="12" borderId="11" xfId="0" applyNumberFormat="1" applyFont="1" applyFill="1" applyBorder="1" applyAlignment="1">
      <alignment horizontal="center" vertical="center"/>
    </xf>
    <xf numFmtId="16" fontId="13" fillId="12" borderId="11" xfId="0" applyNumberFormat="1" applyFont="1" applyFill="1" applyBorder="1" applyAlignment="1">
      <alignment horizontal="center" vertical="center"/>
    </xf>
    <xf numFmtId="49" fontId="15" fillId="12" borderId="11" xfId="0" applyNumberFormat="1" applyFont="1" applyFill="1" applyBorder="1" applyAlignment="1">
      <alignment horizontal="center" vertical="center"/>
    </xf>
    <xf numFmtId="167" fontId="13" fillId="12" borderId="11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17" fillId="16" borderId="2" xfId="0" applyNumberFormat="1" applyFont="1" applyFill="1" applyBorder="1" applyAlignment="1">
      <alignment horizontal="center" vertical="center"/>
    </xf>
    <xf numFmtId="167" fontId="17" fillId="16" borderId="2" xfId="0" applyNumberFormat="1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168" fontId="18" fillId="13" borderId="6" xfId="0" applyNumberFormat="1" applyFont="1" applyFill="1" applyBorder="1" applyAlignment="1">
      <alignment horizontal="center" vertical="center"/>
    </xf>
    <xf numFmtId="168" fontId="13" fillId="8" borderId="11" xfId="0" applyNumberFormat="1" applyFont="1" applyFill="1" applyBorder="1" applyAlignment="1">
      <alignment horizontal="center" vertical="center"/>
    </xf>
    <xf numFmtId="168" fontId="13" fillId="8" borderId="6" xfId="0" applyNumberFormat="1" applyFont="1" applyFill="1" applyBorder="1" applyAlignment="1">
      <alignment horizontal="center" vertical="center"/>
    </xf>
    <xf numFmtId="168" fontId="14" fillId="13" borderId="11" xfId="0" applyNumberFormat="1" applyFont="1" applyFill="1" applyBorder="1" applyAlignment="1">
      <alignment horizontal="center" vertical="center"/>
    </xf>
    <xf numFmtId="168" fontId="13" fillId="14" borderId="6" xfId="0" applyNumberFormat="1" applyFont="1" applyFill="1" applyBorder="1" applyAlignment="1">
      <alignment horizontal="center" vertical="center"/>
    </xf>
    <xf numFmtId="168" fontId="18" fillId="8" borderId="6" xfId="0" applyNumberFormat="1" applyFont="1" applyFill="1" applyBorder="1" applyAlignment="1">
      <alignment horizontal="center" vertical="center"/>
    </xf>
    <xf numFmtId="168" fontId="13" fillId="14" borderId="11" xfId="0" applyNumberFormat="1" applyFont="1" applyFill="1" applyBorder="1" applyAlignment="1">
      <alignment horizontal="center" vertical="center"/>
    </xf>
    <xf numFmtId="49" fontId="17" fillId="16" borderId="13" xfId="0" applyNumberFormat="1" applyFont="1" applyFill="1" applyBorder="1" applyAlignment="1">
      <alignment horizontal="center" vertical="center"/>
    </xf>
    <xf numFmtId="167" fontId="17" fillId="16" borderId="13" xfId="0" applyNumberFormat="1" applyFont="1" applyFill="1" applyBorder="1" applyAlignment="1">
      <alignment horizontal="center" vertical="center"/>
    </xf>
    <xf numFmtId="0" fontId="17" fillId="16" borderId="13" xfId="0" applyFont="1" applyFill="1" applyBorder="1" applyAlignment="1">
      <alignment horizontal="center" vertical="center"/>
    </xf>
    <xf numFmtId="168" fontId="13" fillId="16" borderId="6" xfId="0" applyNumberFormat="1" applyFont="1" applyFill="1" applyBorder="1" applyAlignment="1">
      <alignment horizontal="center" vertical="center"/>
    </xf>
    <xf numFmtId="168" fontId="13" fillId="11" borderId="11" xfId="0" applyNumberFormat="1" applyFont="1" applyFill="1" applyBorder="1" applyAlignment="1">
      <alignment horizontal="center" vertical="center"/>
    </xf>
    <xf numFmtId="49" fontId="17" fillId="13" borderId="2" xfId="0" applyNumberFormat="1" applyFont="1" applyFill="1" applyBorder="1" applyAlignment="1">
      <alignment horizontal="center" vertical="center"/>
    </xf>
    <xf numFmtId="167" fontId="17" fillId="13" borderId="2" xfId="0" applyNumberFormat="1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168" fontId="13" fillId="13" borderId="6" xfId="0" applyNumberFormat="1" applyFont="1" applyFill="1" applyBorder="1" applyAlignment="1">
      <alignment horizontal="center" vertical="center"/>
    </xf>
    <xf numFmtId="168" fontId="18" fillId="10" borderId="6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19" fillId="0" borderId="0" xfId="0" applyFont="1" applyAlignment="1">
      <alignment horizontal="center" vertical="center"/>
    </xf>
    <xf numFmtId="0" fontId="19" fillId="0" borderId="0" xfId="0" applyFont="1"/>
    <xf numFmtId="169" fontId="19" fillId="0" borderId="0" xfId="0" applyNumberFormat="1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" fontId="19" fillId="0" borderId="0" xfId="0" applyNumberFormat="1" applyFont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15" fontId="20" fillId="17" borderId="0" xfId="0" applyNumberFormat="1" applyFont="1" applyFill="1" applyAlignment="1">
      <alignment horizontal="center" vertical="center"/>
    </xf>
    <xf numFmtId="168" fontId="20" fillId="17" borderId="0" xfId="0" applyNumberFormat="1" applyFont="1" applyFill="1" applyAlignment="1">
      <alignment horizontal="center" vertical="center"/>
    </xf>
    <xf numFmtId="1" fontId="20" fillId="17" borderId="0" xfId="0" applyNumberFormat="1" applyFont="1" applyFill="1" applyAlignment="1">
      <alignment horizontal="center" vertical="center"/>
    </xf>
    <xf numFmtId="0" fontId="20" fillId="17" borderId="0" xfId="0" applyNumberFormat="1" applyFont="1" applyFill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E_MED_LF_LEGACY" displayName="HBE_MED_LF_LEGACY" ref="A1:AJ22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BE_JED_LF_LEGACY" displayName="HBE_JED_LF_LEGACY" ref="A1:AJ60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4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6.88671875" bestFit="1" customWidth="1"/>
  </cols>
  <sheetData>
    <row r="1" spans="1:92" ht="28.8" customHeight="1" x14ac:dyDescent="0.3">
      <c r="A1" s="204" t="s">
        <v>0</v>
      </c>
      <c r="B1" s="203"/>
      <c r="C1" s="203"/>
      <c r="D1" s="203"/>
      <c r="E1" s="203"/>
      <c r="F1" s="1" t="s">
        <v>1</v>
      </c>
      <c r="G1" s="2" t="s">
        <v>2</v>
      </c>
      <c r="H1" s="202" t="s">
        <v>3</v>
      </c>
      <c r="I1" s="203"/>
      <c r="J1" s="203"/>
      <c r="K1" s="203"/>
      <c r="L1" s="203"/>
      <c r="M1" s="1" t="s">
        <v>4</v>
      </c>
      <c r="N1" s="212" t="s">
        <v>5</v>
      </c>
      <c r="O1" s="203"/>
      <c r="P1" s="203"/>
      <c r="Q1" s="203"/>
      <c r="R1" s="20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3"/>
      <c r="C2" s="203"/>
      <c r="D2" s="203"/>
      <c r="E2" s="203"/>
      <c r="F2" s="203"/>
      <c r="G2" s="211">
        <v>45984.228721211548</v>
      </c>
      <c r="H2" s="203"/>
      <c r="I2" s="203"/>
      <c r="J2" s="203"/>
      <c r="K2" s="213">
        <v>45984.228721211941</v>
      </c>
      <c r="L2" s="203"/>
      <c r="M2" s="203"/>
      <c r="N2" s="203"/>
      <c r="O2" s="203"/>
      <c r="P2" s="203"/>
      <c r="Q2" s="203"/>
      <c r="R2" s="20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7"/>
      <c r="C4" s="207"/>
      <c r="D4" s="207"/>
      <c r="E4" s="207"/>
      <c r="F4" s="208"/>
      <c r="G4" s="4">
        <v>45984</v>
      </c>
      <c r="H4" s="214" t="s">
        <v>9</v>
      </c>
      <c r="I4" s="207"/>
      <c r="J4" s="207"/>
      <c r="K4" s="207"/>
      <c r="L4" s="207"/>
      <c r="M4" s="207"/>
      <c r="N4" s="207"/>
      <c r="O4" s="207"/>
      <c r="P4" s="207"/>
      <c r="Q4" s="207"/>
      <c r="R4" s="20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0.2361111111111111</v>
      </c>
      <c r="D6" s="8" t="s">
        <v>30</v>
      </c>
      <c r="E6" s="10"/>
      <c r="F6" s="8" t="s">
        <v>31</v>
      </c>
      <c r="G6" s="201"/>
      <c r="H6" s="11" t="s">
        <v>29</v>
      </c>
      <c r="I6" s="12">
        <v>1.0056</v>
      </c>
      <c r="J6" s="13">
        <v>181</v>
      </c>
      <c r="K6" s="14" t="s">
        <v>32</v>
      </c>
      <c r="L6" s="13">
        <v>0</v>
      </c>
      <c r="M6" s="13">
        <v>0</v>
      </c>
      <c r="N6" s="13">
        <v>0</v>
      </c>
      <c r="O6" s="15" t="s">
        <v>33</v>
      </c>
      <c r="P6" s="16">
        <v>0.2361111111111111</v>
      </c>
      <c r="Q6" s="13">
        <v>180</v>
      </c>
      <c r="R6" s="17" t="s">
        <v>34</v>
      </c>
    </row>
    <row r="7" spans="1:92" ht="17.399999999999999" customHeight="1" thickBot="1" x14ac:dyDescent="0.35">
      <c r="A7" s="233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5"/>
    </row>
    <row r="8" spans="1:92" ht="22.05" customHeight="1" thickTop="1" thickBot="1" x14ac:dyDescent="0.35">
      <c r="A8" s="206" t="s">
        <v>8</v>
      </c>
      <c r="B8" s="207"/>
      <c r="C8" s="207"/>
      <c r="D8" s="207"/>
      <c r="E8" s="207"/>
      <c r="F8" s="208"/>
      <c r="G8" s="18">
        <v>45986</v>
      </c>
      <c r="H8" s="209" t="s">
        <v>9</v>
      </c>
      <c r="I8" s="207"/>
      <c r="J8" s="207"/>
      <c r="K8" s="207"/>
      <c r="L8" s="207"/>
      <c r="M8" s="207"/>
      <c r="N8" s="207"/>
      <c r="O8" s="207"/>
      <c r="P8" s="207"/>
      <c r="Q8" s="207"/>
      <c r="R8" s="20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0.15972222222222221</v>
      </c>
      <c r="D10" s="26" t="s">
        <v>30</v>
      </c>
      <c r="E10" s="28"/>
      <c r="F10" s="26" t="s">
        <v>31</v>
      </c>
      <c r="G10" s="205"/>
      <c r="H10" s="29" t="s">
        <v>29</v>
      </c>
      <c r="I10" s="30">
        <v>1</v>
      </c>
      <c r="J10" s="31">
        <v>180</v>
      </c>
      <c r="K10" s="32" t="s">
        <v>35</v>
      </c>
      <c r="L10" s="31">
        <v>47</v>
      </c>
      <c r="M10" s="31">
        <v>0</v>
      </c>
      <c r="N10" s="31">
        <v>3</v>
      </c>
      <c r="O10" s="33" t="s">
        <v>33</v>
      </c>
      <c r="P10" s="34">
        <v>0.15972222222222221</v>
      </c>
      <c r="Q10" s="31">
        <v>180</v>
      </c>
      <c r="R10" s="35" t="s">
        <v>36</v>
      </c>
    </row>
    <row r="11" spans="1:92" ht="17.399999999999999" customHeight="1" thickBot="1" x14ac:dyDescent="0.3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2.05" customHeight="1" thickTop="1" thickBot="1" x14ac:dyDescent="0.35">
      <c r="A12" s="206" t="s">
        <v>8</v>
      </c>
      <c r="B12" s="207"/>
      <c r="C12" s="207"/>
      <c r="D12" s="207"/>
      <c r="E12" s="207"/>
      <c r="F12" s="208"/>
      <c r="G12" s="18">
        <v>45987</v>
      </c>
      <c r="H12" s="209" t="s">
        <v>9</v>
      </c>
      <c r="I12" s="207"/>
      <c r="J12" s="207"/>
      <c r="K12" s="207"/>
      <c r="L12" s="207"/>
      <c r="M12" s="207"/>
      <c r="N12" s="207"/>
      <c r="O12" s="207"/>
      <c r="P12" s="207"/>
      <c r="Q12" s="207"/>
      <c r="R12" s="20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8" t="s">
        <v>28</v>
      </c>
      <c r="B14" s="8" t="s">
        <v>29</v>
      </c>
      <c r="C14" s="9">
        <v>0.77777777777777779</v>
      </c>
      <c r="D14" s="8" t="s">
        <v>30</v>
      </c>
      <c r="E14" s="10"/>
      <c r="F14" s="8" t="s">
        <v>31</v>
      </c>
      <c r="G14" s="205"/>
      <c r="H14" s="11" t="s">
        <v>29</v>
      </c>
      <c r="I14" s="12">
        <v>0.99439999999999995</v>
      </c>
      <c r="J14" s="13">
        <v>179</v>
      </c>
      <c r="K14" s="14" t="s">
        <v>37</v>
      </c>
      <c r="L14" s="13">
        <v>0</v>
      </c>
      <c r="M14" s="13">
        <v>0</v>
      </c>
      <c r="N14" s="13">
        <v>0</v>
      </c>
      <c r="O14" s="15" t="s">
        <v>33</v>
      </c>
      <c r="P14" s="16">
        <v>0.77777777777777779</v>
      </c>
      <c r="Q14" s="13">
        <v>180</v>
      </c>
      <c r="R14" s="17" t="s">
        <v>38</v>
      </c>
    </row>
    <row r="15" spans="1:92" ht="17.399999999999999" customHeight="1" thickBot="1" x14ac:dyDescent="0.35">
      <c r="A15" s="233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2.05" customHeight="1" thickTop="1" thickBot="1" x14ac:dyDescent="0.35">
      <c r="A16" s="206" t="s">
        <v>8</v>
      </c>
      <c r="B16" s="207"/>
      <c r="C16" s="207"/>
      <c r="D16" s="207"/>
      <c r="E16" s="207"/>
      <c r="F16" s="208"/>
      <c r="G16" s="18">
        <v>45988</v>
      </c>
      <c r="H16" s="209" t="s">
        <v>9</v>
      </c>
      <c r="I16" s="207"/>
      <c r="J16" s="207"/>
      <c r="K16" s="207"/>
      <c r="L16" s="207"/>
      <c r="M16" s="207"/>
      <c r="N16" s="207"/>
      <c r="O16" s="207"/>
      <c r="P16" s="207"/>
      <c r="Q16" s="207"/>
      <c r="R16" s="20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36" t="s">
        <v>28</v>
      </c>
      <c r="B18" s="36" t="s">
        <v>29</v>
      </c>
      <c r="C18" s="37">
        <v>0.47916666666666669</v>
      </c>
      <c r="D18" s="36" t="s">
        <v>30</v>
      </c>
      <c r="E18" s="38"/>
      <c r="F18" s="36" t="s">
        <v>31</v>
      </c>
      <c r="G18" s="205"/>
      <c r="H18" s="39" t="s">
        <v>29</v>
      </c>
      <c r="I18" s="40">
        <v>1</v>
      </c>
      <c r="J18" s="41">
        <v>180</v>
      </c>
      <c r="K18" s="42" t="s">
        <v>39</v>
      </c>
      <c r="L18" s="41">
        <v>2</v>
      </c>
      <c r="M18" s="41">
        <v>0</v>
      </c>
      <c r="N18" s="41">
        <v>0</v>
      </c>
      <c r="O18" s="43" t="s">
        <v>33</v>
      </c>
      <c r="P18" s="44">
        <v>0.47916666666666669</v>
      </c>
      <c r="Q18" s="41">
        <v>180</v>
      </c>
      <c r="R18" s="45" t="s">
        <v>40</v>
      </c>
    </row>
    <row r="19" spans="1:18" ht="17.399999999999999" customHeight="1" thickBot="1" x14ac:dyDescent="0.35">
      <c r="A19" s="233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2.05" customHeight="1" thickTop="1" thickBot="1" x14ac:dyDescent="0.35">
      <c r="A20" s="206" t="s">
        <v>8</v>
      </c>
      <c r="B20" s="207"/>
      <c r="C20" s="207"/>
      <c r="D20" s="207"/>
      <c r="E20" s="207"/>
      <c r="F20" s="208"/>
      <c r="G20" s="18">
        <v>45991</v>
      </c>
      <c r="H20" s="209" t="s">
        <v>9</v>
      </c>
      <c r="I20" s="207"/>
      <c r="J20" s="207"/>
      <c r="K20" s="207"/>
      <c r="L20" s="207"/>
      <c r="M20" s="207"/>
      <c r="N20" s="207"/>
      <c r="O20" s="207"/>
      <c r="P20" s="207"/>
      <c r="Q20" s="207"/>
      <c r="R20" s="20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46" t="s">
        <v>28</v>
      </c>
      <c r="B22" s="46" t="s">
        <v>29</v>
      </c>
      <c r="C22" s="47">
        <v>0.2361111111111111</v>
      </c>
      <c r="D22" s="46" t="s">
        <v>30</v>
      </c>
      <c r="E22" s="48"/>
      <c r="F22" s="46" t="s">
        <v>31</v>
      </c>
      <c r="G22" s="205"/>
      <c r="H22" s="49" t="s">
        <v>29</v>
      </c>
      <c r="I22" s="50">
        <v>1</v>
      </c>
      <c r="J22" s="51">
        <v>180</v>
      </c>
      <c r="K22" s="52" t="s">
        <v>41</v>
      </c>
      <c r="L22" s="51">
        <v>2</v>
      </c>
      <c r="M22" s="51">
        <v>0</v>
      </c>
      <c r="N22" s="51">
        <v>0</v>
      </c>
      <c r="O22" s="53" t="s">
        <v>33</v>
      </c>
      <c r="P22" s="54">
        <v>0.2361111111111111</v>
      </c>
      <c r="Q22" s="51">
        <v>180</v>
      </c>
      <c r="R22" s="55" t="s">
        <v>42</v>
      </c>
    </row>
    <row r="23" spans="1:18" ht="17.399999999999999" customHeight="1" thickBot="1" x14ac:dyDescent="0.3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2.05" customHeight="1" thickTop="1" thickBot="1" x14ac:dyDescent="0.35">
      <c r="A24" s="206" t="s">
        <v>8</v>
      </c>
      <c r="B24" s="207"/>
      <c r="C24" s="207"/>
      <c r="D24" s="207"/>
      <c r="E24" s="207"/>
      <c r="F24" s="208"/>
      <c r="G24" s="18">
        <v>45993</v>
      </c>
      <c r="H24" s="209" t="s">
        <v>9</v>
      </c>
      <c r="I24" s="207"/>
      <c r="J24" s="207"/>
      <c r="K24" s="207"/>
      <c r="L24" s="207"/>
      <c r="M24" s="207"/>
      <c r="N24" s="207"/>
      <c r="O24" s="207"/>
      <c r="P24" s="207"/>
      <c r="Q24" s="207"/>
      <c r="R24" s="20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56" t="s">
        <v>28</v>
      </c>
      <c r="B26" s="56" t="s">
        <v>29</v>
      </c>
      <c r="C26" s="57">
        <v>0.15972222222222221</v>
      </c>
      <c r="D26" s="56" t="s">
        <v>30</v>
      </c>
      <c r="E26" s="58"/>
      <c r="F26" s="56" t="s">
        <v>31</v>
      </c>
      <c r="G26" s="201"/>
      <c r="H26" s="59" t="s">
        <v>29</v>
      </c>
      <c r="I26" s="60">
        <v>1</v>
      </c>
      <c r="J26" s="61">
        <v>180</v>
      </c>
      <c r="K26" s="62" t="s">
        <v>37</v>
      </c>
      <c r="L26" s="61">
        <v>0</v>
      </c>
      <c r="M26" s="61">
        <v>0</v>
      </c>
      <c r="N26" s="61">
        <v>0</v>
      </c>
      <c r="O26" s="63" t="s">
        <v>33</v>
      </c>
      <c r="P26" s="64">
        <v>0.15972222222222221</v>
      </c>
      <c r="Q26" s="61">
        <v>180</v>
      </c>
      <c r="R26" s="65" t="s">
        <v>43</v>
      </c>
    </row>
    <row r="27" spans="1:18" ht="17.399999999999999" customHeight="1" thickBot="1" x14ac:dyDescent="0.35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2.05" customHeight="1" thickTop="1" thickBot="1" x14ac:dyDescent="0.35">
      <c r="A28" s="206" t="s">
        <v>8</v>
      </c>
      <c r="B28" s="207"/>
      <c r="C28" s="207"/>
      <c r="D28" s="207"/>
      <c r="E28" s="207"/>
      <c r="F28" s="208"/>
      <c r="G28" s="18">
        <v>45994</v>
      </c>
      <c r="H28" s="209" t="s">
        <v>9</v>
      </c>
      <c r="I28" s="207"/>
      <c r="J28" s="207"/>
      <c r="K28" s="207"/>
      <c r="L28" s="207"/>
      <c r="M28" s="207"/>
      <c r="N28" s="207"/>
      <c r="O28" s="207"/>
      <c r="P28" s="207"/>
      <c r="Q28" s="207"/>
      <c r="R28" s="20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66" t="s">
        <v>28</v>
      </c>
      <c r="B30" s="66" t="s">
        <v>29</v>
      </c>
      <c r="C30" s="67">
        <v>0.77777777777777779</v>
      </c>
      <c r="D30" s="66" t="s">
        <v>30</v>
      </c>
      <c r="E30" s="68"/>
      <c r="F30" s="66" t="s">
        <v>31</v>
      </c>
      <c r="G30" s="205"/>
      <c r="H30" s="69" t="s">
        <v>29</v>
      </c>
      <c r="I30" s="70">
        <v>0.99439999999999995</v>
      </c>
      <c r="J30" s="71">
        <v>179</v>
      </c>
      <c r="K30" s="72" t="s">
        <v>35</v>
      </c>
      <c r="L30" s="71">
        <v>5</v>
      </c>
      <c r="M30" s="71">
        <v>0</v>
      </c>
      <c r="N30" s="71">
        <v>1</v>
      </c>
      <c r="O30" s="73" t="s">
        <v>33</v>
      </c>
      <c r="P30" s="74">
        <v>0.77777777777777779</v>
      </c>
      <c r="Q30" s="71">
        <v>180</v>
      </c>
      <c r="R30" s="75" t="s">
        <v>44</v>
      </c>
    </row>
    <row r="31" spans="1:18" ht="17.399999999999999" customHeight="1" thickBot="1" x14ac:dyDescent="0.3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</row>
    <row r="32" spans="1:18" ht="22.05" customHeight="1" thickTop="1" thickBot="1" x14ac:dyDescent="0.35">
      <c r="A32" s="206" t="s">
        <v>8</v>
      </c>
      <c r="B32" s="207"/>
      <c r="C32" s="207"/>
      <c r="D32" s="207"/>
      <c r="E32" s="207"/>
      <c r="F32" s="208"/>
      <c r="G32" s="18">
        <v>45995</v>
      </c>
      <c r="H32" s="209" t="s">
        <v>9</v>
      </c>
      <c r="I32" s="207"/>
      <c r="J32" s="207"/>
      <c r="K32" s="207"/>
      <c r="L32" s="207"/>
      <c r="M32" s="207"/>
      <c r="N32" s="207"/>
      <c r="O32" s="207"/>
      <c r="P32" s="207"/>
      <c r="Q32" s="207"/>
      <c r="R32" s="20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46" t="s">
        <v>28</v>
      </c>
      <c r="B34" s="46" t="s">
        <v>29</v>
      </c>
      <c r="C34" s="47">
        <v>0.47916666666666669</v>
      </c>
      <c r="D34" s="46" t="s">
        <v>30</v>
      </c>
      <c r="E34" s="48"/>
      <c r="F34" s="46" t="s">
        <v>45</v>
      </c>
      <c r="G34" s="201"/>
      <c r="H34" s="49" t="s">
        <v>29</v>
      </c>
      <c r="I34" s="50">
        <v>0.9667</v>
      </c>
      <c r="J34" s="51">
        <v>174</v>
      </c>
      <c r="K34" s="52" t="s">
        <v>46</v>
      </c>
      <c r="L34" s="51">
        <v>3</v>
      </c>
      <c r="M34" s="51">
        <v>0</v>
      </c>
      <c r="N34" s="51">
        <v>0</v>
      </c>
      <c r="O34" s="53" t="s">
        <v>47</v>
      </c>
      <c r="P34" s="54">
        <v>0.47916666666666669</v>
      </c>
      <c r="Q34" s="51">
        <v>180</v>
      </c>
      <c r="R34" s="55" t="s">
        <v>48</v>
      </c>
    </row>
    <row r="35" spans="1:18" ht="17.399999999999999" customHeight="1" thickBot="1" x14ac:dyDescent="0.35">
      <c r="A35" s="233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</row>
    <row r="36" spans="1:18" ht="22.05" customHeight="1" thickTop="1" thickBot="1" x14ac:dyDescent="0.35">
      <c r="A36" s="206" t="s">
        <v>8</v>
      </c>
      <c r="B36" s="207"/>
      <c r="C36" s="207"/>
      <c r="D36" s="207"/>
      <c r="E36" s="207"/>
      <c r="F36" s="208"/>
      <c r="G36" s="18">
        <v>45998</v>
      </c>
      <c r="H36" s="209" t="s">
        <v>9</v>
      </c>
      <c r="I36" s="207"/>
      <c r="J36" s="207"/>
      <c r="K36" s="207"/>
      <c r="L36" s="207"/>
      <c r="M36" s="207"/>
      <c r="N36" s="207"/>
      <c r="O36" s="207"/>
      <c r="P36" s="207"/>
      <c r="Q36" s="207"/>
      <c r="R36" s="20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26" t="s">
        <v>28</v>
      </c>
      <c r="B38" s="26" t="s">
        <v>29</v>
      </c>
      <c r="C38" s="27">
        <v>0.2361111111111111</v>
      </c>
      <c r="D38" s="26" t="s">
        <v>30</v>
      </c>
      <c r="E38" s="28"/>
      <c r="F38" s="26" t="s">
        <v>45</v>
      </c>
      <c r="G38" s="205"/>
      <c r="H38" s="29" t="s">
        <v>29</v>
      </c>
      <c r="I38" s="30">
        <v>0.9889</v>
      </c>
      <c r="J38" s="31">
        <v>178</v>
      </c>
      <c r="K38" s="32" t="s">
        <v>35</v>
      </c>
      <c r="L38" s="31">
        <v>1</v>
      </c>
      <c r="M38" s="31">
        <v>0</v>
      </c>
      <c r="N38" s="31">
        <v>1</v>
      </c>
      <c r="O38" s="33" t="s">
        <v>49</v>
      </c>
      <c r="P38" s="34">
        <v>0.2361111111111111</v>
      </c>
      <c r="Q38" s="31">
        <v>180</v>
      </c>
      <c r="R38" s="35" t="s">
        <v>50</v>
      </c>
    </row>
    <row r="39" spans="1:18" ht="17.399999999999999" customHeight="1" thickBot="1" x14ac:dyDescent="0.35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</row>
    <row r="40" spans="1:18" ht="22.05" customHeight="1" thickTop="1" thickBot="1" x14ac:dyDescent="0.35">
      <c r="A40" s="206" t="s">
        <v>8</v>
      </c>
      <c r="B40" s="207"/>
      <c r="C40" s="207"/>
      <c r="D40" s="207"/>
      <c r="E40" s="207"/>
      <c r="F40" s="208"/>
      <c r="G40" s="18">
        <v>46000</v>
      </c>
      <c r="H40" s="209" t="s">
        <v>9</v>
      </c>
      <c r="I40" s="207"/>
      <c r="J40" s="207"/>
      <c r="K40" s="207"/>
      <c r="L40" s="207"/>
      <c r="M40" s="207"/>
      <c r="N40" s="207"/>
      <c r="O40" s="207"/>
      <c r="P40" s="207"/>
      <c r="Q40" s="207"/>
      <c r="R40" s="20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36" t="s">
        <v>28</v>
      </c>
      <c r="B42" s="36" t="s">
        <v>29</v>
      </c>
      <c r="C42" s="37">
        <v>0.15972222222222221</v>
      </c>
      <c r="D42" s="36" t="s">
        <v>30</v>
      </c>
      <c r="E42" s="38"/>
      <c r="F42" s="36" t="s">
        <v>51</v>
      </c>
      <c r="G42" s="205"/>
      <c r="H42" s="39" t="s">
        <v>29</v>
      </c>
      <c r="I42" s="40">
        <v>0.91669999999999996</v>
      </c>
      <c r="J42" s="41">
        <v>165</v>
      </c>
      <c r="K42" s="42" t="s">
        <v>35</v>
      </c>
      <c r="L42" s="41">
        <v>11</v>
      </c>
      <c r="M42" s="41">
        <v>0</v>
      </c>
      <c r="N42" s="41">
        <v>3</v>
      </c>
      <c r="O42" s="43" t="s">
        <v>52</v>
      </c>
      <c r="P42" s="44">
        <v>0.15972222222222221</v>
      </c>
      <c r="Q42" s="41">
        <v>180</v>
      </c>
      <c r="R42" s="45" t="s">
        <v>53</v>
      </c>
    </row>
    <row r="43" spans="1:18" ht="17.399999999999999" customHeight="1" thickBot="1" x14ac:dyDescent="0.3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</row>
    <row r="44" spans="1:18" ht="22.05" customHeight="1" thickTop="1" thickBot="1" x14ac:dyDescent="0.35">
      <c r="A44" s="206" t="s">
        <v>8</v>
      </c>
      <c r="B44" s="207"/>
      <c r="C44" s="207"/>
      <c r="D44" s="207"/>
      <c r="E44" s="207"/>
      <c r="F44" s="208"/>
      <c r="G44" s="18">
        <v>46001</v>
      </c>
      <c r="H44" s="209" t="s">
        <v>9</v>
      </c>
      <c r="I44" s="207"/>
      <c r="J44" s="207"/>
      <c r="K44" s="207"/>
      <c r="L44" s="207"/>
      <c r="M44" s="207"/>
      <c r="N44" s="207"/>
      <c r="O44" s="207"/>
      <c r="P44" s="207"/>
      <c r="Q44" s="207"/>
      <c r="R44" s="208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26" t="s">
        <v>28</v>
      </c>
      <c r="B46" s="26" t="s">
        <v>29</v>
      </c>
      <c r="C46" s="27">
        <v>0.77777777777777779</v>
      </c>
      <c r="D46" s="26" t="s">
        <v>30</v>
      </c>
      <c r="E46" s="28"/>
      <c r="F46" s="26" t="s">
        <v>51</v>
      </c>
      <c r="G46" s="205"/>
      <c r="H46" s="29" t="s">
        <v>29</v>
      </c>
      <c r="I46" s="30">
        <v>0.91669999999999996</v>
      </c>
      <c r="J46" s="31">
        <v>165</v>
      </c>
      <c r="K46" s="32" t="s">
        <v>35</v>
      </c>
      <c r="L46" s="31">
        <v>10</v>
      </c>
      <c r="M46" s="31">
        <v>0</v>
      </c>
      <c r="N46" s="31">
        <v>1</v>
      </c>
      <c r="O46" s="33" t="s">
        <v>54</v>
      </c>
      <c r="P46" s="34">
        <v>0.77777777777777779</v>
      </c>
      <c r="Q46" s="31">
        <v>180</v>
      </c>
      <c r="R46" s="35" t="s">
        <v>55</v>
      </c>
    </row>
    <row r="47" spans="1:18" ht="17.399999999999999" customHeight="1" thickBot="1" x14ac:dyDescent="0.35">
      <c r="A47" s="233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5"/>
    </row>
    <row r="48" spans="1:18" ht="22.05" customHeight="1" thickTop="1" thickBot="1" x14ac:dyDescent="0.35">
      <c r="A48" s="206" t="s">
        <v>8</v>
      </c>
      <c r="B48" s="207"/>
      <c r="C48" s="207"/>
      <c r="D48" s="207"/>
      <c r="E48" s="207"/>
      <c r="F48" s="208"/>
      <c r="G48" s="18">
        <v>46002</v>
      </c>
      <c r="H48" s="209" t="s">
        <v>9</v>
      </c>
      <c r="I48" s="207"/>
      <c r="J48" s="207"/>
      <c r="K48" s="207"/>
      <c r="L48" s="207"/>
      <c r="M48" s="207"/>
      <c r="N48" s="207"/>
      <c r="O48" s="207"/>
      <c r="P48" s="207"/>
      <c r="Q48" s="207"/>
      <c r="R48" s="208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8" t="s">
        <v>28</v>
      </c>
      <c r="B50" s="8" t="s">
        <v>29</v>
      </c>
      <c r="C50" s="9">
        <v>0.47916666666666669</v>
      </c>
      <c r="D50" s="8" t="s">
        <v>30</v>
      </c>
      <c r="E50" s="10"/>
      <c r="F50" s="8" t="s">
        <v>45</v>
      </c>
      <c r="G50" s="205"/>
      <c r="H50" s="11" t="s">
        <v>29</v>
      </c>
      <c r="I50" s="12">
        <v>0.98329999999999995</v>
      </c>
      <c r="J50" s="13">
        <v>177</v>
      </c>
      <c r="K50" s="14" t="s">
        <v>41</v>
      </c>
      <c r="L50" s="13">
        <v>1</v>
      </c>
      <c r="M50" s="13">
        <v>0</v>
      </c>
      <c r="N50" s="13">
        <v>0</v>
      </c>
      <c r="O50" s="15" t="s">
        <v>56</v>
      </c>
      <c r="P50" s="16">
        <v>0.47916666666666669</v>
      </c>
      <c r="Q50" s="13">
        <v>180</v>
      </c>
      <c r="R50" s="17" t="s">
        <v>57</v>
      </c>
    </row>
    <row r="51" spans="1:18" ht="17.399999999999999" customHeight="1" thickBot="1" x14ac:dyDescent="0.3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5"/>
    </row>
    <row r="52" spans="1:18" ht="22.05" customHeight="1" thickTop="1" thickBot="1" x14ac:dyDescent="0.35">
      <c r="A52" s="206" t="s">
        <v>8</v>
      </c>
      <c r="B52" s="207"/>
      <c r="C52" s="207"/>
      <c r="D52" s="207"/>
      <c r="E52" s="207"/>
      <c r="F52" s="208"/>
      <c r="G52" s="18">
        <v>46005</v>
      </c>
      <c r="H52" s="209" t="s">
        <v>9</v>
      </c>
      <c r="I52" s="207"/>
      <c r="J52" s="207"/>
      <c r="K52" s="207"/>
      <c r="L52" s="207"/>
      <c r="M52" s="207"/>
      <c r="N52" s="207"/>
      <c r="O52" s="207"/>
      <c r="P52" s="207"/>
      <c r="Q52" s="207"/>
      <c r="R52" s="208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8" t="s">
        <v>28</v>
      </c>
      <c r="B54" s="8" t="s">
        <v>29</v>
      </c>
      <c r="C54" s="9">
        <v>0.2361111111111111</v>
      </c>
      <c r="D54" s="8" t="s">
        <v>30</v>
      </c>
      <c r="E54" s="10"/>
      <c r="F54" s="8" t="s">
        <v>51</v>
      </c>
      <c r="G54" s="205"/>
      <c r="H54" s="11" t="s">
        <v>29</v>
      </c>
      <c r="I54" s="12">
        <v>0.92779999999999996</v>
      </c>
      <c r="J54" s="13">
        <v>167</v>
      </c>
      <c r="K54" s="14" t="s">
        <v>58</v>
      </c>
      <c r="L54" s="13">
        <v>13</v>
      </c>
      <c r="M54" s="13">
        <v>0</v>
      </c>
      <c r="N54" s="13">
        <v>0</v>
      </c>
      <c r="O54" s="15" t="s">
        <v>59</v>
      </c>
      <c r="P54" s="16">
        <v>0.2361111111111111</v>
      </c>
      <c r="Q54" s="13">
        <v>180</v>
      </c>
      <c r="R54" s="17" t="s">
        <v>60</v>
      </c>
    </row>
    <row r="55" spans="1:18" ht="17.399999999999999" customHeight="1" thickBot="1" x14ac:dyDescent="0.3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5"/>
    </row>
    <row r="56" spans="1:18" ht="22.05" customHeight="1" thickTop="1" thickBot="1" x14ac:dyDescent="0.35">
      <c r="A56" s="206" t="s">
        <v>8</v>
      </c>
      <c r="B56" s="207"/>
      <c r="C56" s="207"/>
      <c r="D56" s="207"/>
      <c r="E56" s="207"/>
      <c r="F56" s="208"/>
      <c r="G56" s="18">
        <v>46007</v>
      </c>
      <c r="H56" s="209" t="s">
        <v>9</v>
      </c>
      <c r="I56" s="207"/>
      <c r="J56" s="207"/>
      <c r="K56" s="207"/>
      <c r="L56" s="207"/>
      <c r="M56" s="207"/>
      <c r="N56" s="207"/>
      <c r="O56" s="207"/>
      <c r="P56" s="207"/>
      <c r="Q56" s="207"/>
      <c r="R56" s="208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56" t="s">
        <v>28</v>
      </c>
      <c r="B58" s="56" t="s">
        <v>29</v>
      </c>
      <c r="C58" s="57">
        <v>0.15972222222222221</v>
      </c>
      <c r="D58" s="56" t="s">
        <v>30</v>
      </c>
      <c r="E58" s="58"/>
      <c r="F58" s="56" t="s">
        <v>45</v>
      </c>
      <c r="G58" s="201"/>
      <c r="H58" s="59" t="s">
        <v>29</v>
      </c>
      <c r="I58" s="60">
        <v>0.9778</v>
      </c>
      <c r="J58" s="61">
        <v>176</v>
      </c>
      <c r="K58" s="62" t="s">
        <v>35</v>
      </c>
      <c r="L58" s="61">
        <v>13</v>
      </c>
      <c r="M58" s="61">
        <v>0</v>
      </c>
      <c r="N58" s="61">
        <v>7</v>
      </c>
      <c r="O58" s="63" t="s">
        <v>61</v>
      </c>
      <c r="P58" s="64">
        <v>0.15972222222222221</v>
      </c>
      <c r="Q58" s="61">
        <v>180</v>
      </c>
      <c r="R58" s="65" t="s">
        <v>62</v>
      </c>
    </row>
    <row r="59" spans="1:18" ht="17.399999999999999" customHeight="1" thickBot="1" x14ac:dyDescent="0.3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5"/>
    </row>
    <row r="60" spans="1:18" ht="22.05" customHeight="1" thickTop="1" thickBot="1" x14ac:dyDescent="0.35">
      <c r="A60" s="206" t="s">
        <v>8</v>
      </c>
      <c r="B60" s="207"/>
      <c r="C60" s="207"/>
      <c r="D60" s="207"/>
      <c r="E60" s="207"/>
      <c r="F60" s="208"/>
      <c r="G60" s="18">
        <v>46008</v>
      </c>
      <c r="H60" s="209" t="s">
        <v>9</v>
      </c>
      <c r="I60" s="207"/>
      <c r="J60" s="207"/>
      <c r="K60" s="207"/>
      <c r="L60" s="207"/>
      <c r="M60" s="207"/>
      <c r="N60" s="207"/>
      <c r="O60" s="207"/>
      <c r="P60" s="207"/>
      <c r="Q60" s="207"/>
      <c r="R60" s="208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76" t="s">
        <v>28</v>
      </c>
      <c r="B62" s="76" t="s">
        <v>29</v>
      </c>
      <c r="C62" s="77">
        <v>0.77777777777777779</v>
      </c>
      <c r="D62" s="76" t="s">
        <v>30</v>
      </c>
      <c r="E62" s="78"/>
      <c r="F62" s="76" t="s">
        <v>63</v>
      </c>
      <c r="G62" s="205"/>
      <c r="H62" s="79" t="s">
        <v>29</v>
      </c>
      <c r="I62" s="80">
        <v>0.7833</v>
      </c>
      <c r="J62" s="81">
        <v>141</v>
      </c>
      <c r="K62" s="82" t="s">
        <v>64</v>
      </c>
      <c r="L62" s="81">
        <v>0</v>
      </c>
      <c r="M62" s="81">
        <v>0</v>
      </c>
      <c r="N62" s="81">
        <v>0</v>
      </c>
      <c r="O62" s="83" t="s">
        <v>65</v>
      </c>
      <c r="P62" s="84">
        <v>0.77777777777777779</v>
      </c>
      <c r="Q62" s="81">
        <v>180</v>
      </c>
      <c r="R62" s="85" t="s">
        <v>66</v>
      </c>
    </row>
    <row r="63" spans="1:18" ht="17.399999999999999" customHeight="1" thickBot="1" x14ac:dyDescent="0.35">
      <c r="A63" s="233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5"/>
    </row>
    <row r="64" spans="1:18" ht="22.05" customHeight="1" thickTop="1" thickBot="1" x14ac:dyDescent="0.35">
      <c r="A64" s="206" t="s">
        <v>8</v>
      </c>
      <c r="B64" s="207"/>
      <c r="C64" s="207"/>
      <c r="D64" s="207"/>
      <c r="E64" s="207"/>
      <c r="F64" s="208"/>
      <c r="G64" s="18">
        <v>46009</v>
      </c>
      <c r="H64" s="209" t="s">
        <v>9</v>
      </c>
      <c r="I64" s="207"/>
      <c r="J64" s="207"/>
      <c r="K64" s="207"/>
      <c r="L64" s="207"/>
      <c r="M64" s="207"/>
      <c r="N64" s="207"/>
      <c r="O64" s="207"/>
      <c r="P64" s="207"/>
      <c r="Q64" s="207"/>
      <c r="R64" s="208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46" t="s">
        <v>28</v>
      </c>
      <c r="B66" s="46" t="s">
        <v>29</v>
      </c>
      <c r="C66" s="47">
        <v>0.47916666666666669</v>
      </c>
      <c r="D66" s="46" t="s">
        <v>30</v>
      </c>
      <c r="E66" s="48"/>
      <c r="F66" s="46" t="s">
        <v>45</v>
      </c>
      <c r="G66" s="205"/>
      <c r="H66" s="49" t="s">
        <v>29</v>
      </c>
      <c r="I66" s="50">
        <v>0.9556</v>
      </c>
      <c r="J66" s="51">
        <v>172</v>
      </c>
      <c r="K66" s="52" t="s">
        <v>35</v>
      </c>
      <c r="L66" s="51">
        <v>1</v>
      </c>
      <c r="M66" s="51">
        <v>0</v>
      </c>
      <c r="N66" s="51">
        <v>1</v>
      </c>
      <c r="O66" s="53" t="s">
        <v>67</v>
      </c>
      <c r="P66" s="54">
        <v>0.47916666666666669</v>
      </c>
      <c r="Q66" s="51">
        <v>180</v>
      </c>
      <c r="R66" s="55" t="s">
        <v>68</v>
      </c>
    </row>
    <row r="67" spans="1:18" ht="17.399999999999999" customHeight="1" thickBot="1" x14ac:dyDescent="0.3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5"/>
    </row>
    <row r="68" spans="1:18" ht="22.05" customHeight="1" thickTop="1" thickBot="1" x14ac:dyDescent="0.35">
      <c r="A68" s="206" t="s">
        <v>8</v>
      </c>
      <c r="B68" s="207"/>
      <c r="C68" s="207"/>
      <c r="D68" s="207"/>
      <c r="E68" s="207"/>
      <c r="F68" s="208"/>
      <c r="G68" s="18">
        <v>46012</v>
      </c>
      <c r="H68" s="209" t="s">
        <v>9</v>
      </c>
      <c r="I68" s="207"/>
      <c r="J68" s="207"/>
      <c r="K68" s="207"/>
      <c r="L68" s="207"/>
      <c r="M68" s="207"/>
      <c r="N68" s="207"/>
      <c r="O68" s="207"/>
      <c r="P68" s="207"/>
      <c r="Q68" s="207"/>
      <c r="R68" s="208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46" t="s">
        <v>28</v>
      </c>
      <c r="B70" s="46" t="s">
        <v>29</v>
      </c>
      <c r="C70" s="47">
        <v>0.2361111111111111</v>
      </c>
      <c r="D70" s="46" t="s">
        <v>30</v>
      </c>
      <c r="E70" s="48"/>
      <c r="F70" s="46" t="s">
        <v>63</v>
      </c>
      <c r="G70" s="205"/>
      <c r="H70" s="49" t="s">
        <v>29</v>
      </c>
      <c r="I70" s="86">
        <v>0.7722</v>
      </c>
      <c r="J70" s="51">
        <v>139</v>
      </c>
      <c r="K70" s="52" t="s">
        <v>69</v>
      </c>
      <c r="L70" s="51">
        <v>0</v>
      </c>
      <c r="M70" s="51">
        <v>0</v>
      </c>
      <c r="N70" s="51">
        <v>0</v>
      </c>
      <c r="O70" s="53" t="s">
        <v>70</v>
      </c>
      <c r="P70" s="54">
        <v>0.2361111111111111</v>
      </c>
      <c r="Q70" s="51">
        <v>180</v>
      </c>
      <c r="R70" s="55" t="s">
        <v>71</v>
      </c>
    </row>
    <row r="71" spans="1:18" ht="17.399999999999999" customHeight="1" thickBot="1" x14ac:dyDescent="0.35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5"/>
    </row>
    <row r="72" spans="1:18" ht="22.05" customHeight="1" thickTop="1" thickBot="1" x14ac:dyDescent="0.35">
      <c r="A72" s="206" t="s">
        <v>8</v>
      </c>
      <c r="B72" s="207"/>
      <c r="C72" s="207"/>
      <c r="D72" s="207"/>
      <c r="E72" s="207"/>
      <c r="F72" s="208"/>
      <c r="G72" s="18">
        <v>46014</v>
      </c>
      <c r="H72" s="209" t="s">
        <v>9</v>
      </c>
      <c r="I72" s="207"/>
      <c r="J72" s="207"/>
      <c r="K72" s="207"/>
      <c r="L72" s="207"/>
      <c r="M72" s="207"/>
      <c r="N72" s="207"/>
      <c r="O72" s="207"/>
      <c r="P72" s="207"/>
      <c r="Q72" s="207"/>
      <c r="R72" s="208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36" t="s">
        <v>28</v>
      </c>
      <c r="B74" s="36" t="s">
        <v>29</v>
      </c>
      <c r="C74" s="37">
        <v>0.15972222222222221</v>
      </c>
      <c r="D74" s="36" t="s">
        <v>30</v>
      </c>
      <c r="E74" s="38"/>
      <c r="F74" s="36" t="s">
        <v>63</v>
      </c>
      <c r="G74" s="205"/>
      <c r="H74" s="39" t="s">
        <v>29</v>
      </c>
      <c r="I74" s="87">
        <v>0.81110000000000004</v>
      </c>
      <c r="J74" s="41">
        <v>146</v>
      </c>
      <c r="K74" s="42" t="s">
        <v>35</v>
      </c>
      <c r="L74" s="41">
        <v>2</v>
      </c>
      <c r="M74" s="41">
        <v>0</v>
      </c>
      <c r="N74" s="41">
        <v>2</v>
      </c>
      <c r="O74" s="43" t="s">
        <v>72</v>
      </c>
      <c r="P74" s="44">
        <v>0.15972222222222221</v>
      </c>
      <c r="Q74" s="41">
        <v>180</v>
      </c>
      <c r="R74" s="45" t="s">
        <v>73</v>
      </c>
    </row>
    <row r="75" spans="1:18" ht="17.399999999999999" customHeight="1" thickBot="1" x14ac:dyDescent="0.35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5"/>
    </row>
    <row r="76" spans="1:18" ht="22.05" customHeight="1" thickTop="1" thickBot="1" x14ac:dyDescent="0.35">
      <c r="A76" s="206" t="s">
        <v>8</v>
      </c>
      <c r="B76" s="207"/>
      <c r="C76" s="207"/>
      <c r="D76" s="207"/>
      <c r="E76" s="207"/>
      <c r="F76" s="208"/>
      <c r="G76" s="18">
        <v>46015</v>
      </c>
      <c r="H76" s="209" t="s">
        <v>9</v>
      </c>
      <c r="I76" s="207"/>
      <c r="J76" s="207"/>
      <c r="K76" s="207"/>
      <c r="L76" s="207"/>
      <c r="M76" s="207"/>
      <c r="N76" s="207"/>
      <c r="O76" s="207"/>
      <c r="P76" s="207"/>
      <c r="Q76" s="207"/>
      <c r="R76" s="208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5">
      <c r="A78" s="36" t="s">
        <v>28</v>
      </c>
      <c r="B78" s="36" t="s">
        <v>29</v>
      </c>
      <c r="C78" s="37">
        <v>0.77777777777777779</v>
      </c>
      <c r="D78" s="36" t="s">
        <v>30</v>
      </c>
      <c r="E78" s="38"/>
      <c r="F78" s="36" t="s">
        <v>63</v>
      </c>
      <c r="G78" s="201"/>
      <c r="H78" s="39" t="s">
        <v>29</v>
      </c>
      <c r="I78" s="87">
        <v>0.7611</v>
      </c>
      <c r="J78" s="41">
        <v>137</v>
      </c>
      <c r="K78" s="42" t="s">
        <v>41</v>
      </c>
      <c r="L78" s="41">
        <v>1</v>
      </c>
      <c r="M78" s="41">
        <v>0</v>
      </c>
      <c r="N78" s="41">
        <v>0</v>
      </c>
      <c r="O78" s="43" t="s">
        <v>74</v>
      </c>
      <c r="P78" s="44">
        <v>0.77777777777777779</v>
      </c>
      <c r="Q78" s="41">
        <v>180</v>
      </c>
      <c r="R78" s="45" t="s">
        <v>75</v>
      </c>
    </row>
    <row r="79" spans="1:18" ht="17.399999999999999" customHeight="1" thickBot="1" x14ac:dyDescent="0.35">
      <c r="A79" s="233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5"/>
    </row>
    <row r="80" spans="1:18" ht="22.05" customHeight="1" thickTop="1" thickBot="1" x14ac:dyDescent="0.35">
      <c r="A80" s="206" t="s">
        <v>8</v>
      </c>
      <c r="B80" s="207"/>
      <c r="C80" s="207"/>
      <c r="D80" s="207"/>
      <c r="E80" s="207"/>
      <c r="F80" s="208"/>
      <c r="G80" s="18">
        <v>46016</v>
      </c>
      <c r="H80" s="209" t="s">
        <v>9</v>
      </c>
      <c r="I80" s="207"/>
      <c r="J80" s="207"/>
      <c r="K80" s="207"/>
      <c r="L80" s="207"/>
      <c r="M80" s="207"/>
      <c r="N80" s="207"/>
      <c r="O80" s="207"/>
      <c r="P80" s="207"/>
      <c r="Q80" s="207"/>
      <c r="R80" s="208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thickTop="1" thickBot="1" x14ac:dyDescent="0.5">
      <c r="A82" s="36" t="s">
        <v>28</v>
      </c>
      <c r="B82" s="36" t="s">
        <v>29</v>
      </c>
      <c r="C82" s="37">
        <v>0.47916666666666669</v>
      </c>
      <c r="D82" s="36" t="s">
        <v>30</v>
      </c>
      <c r="E82" s="38"/>
      <c r="F82" s="36" t="s">
        <v>63</v>
      </c>
      <c r="G82" s="201"/>
      <c r="H82" s="39" t="s">
        <v>29</v>
      </c>
      <c r="I82" s="87">
        <v>0.75</v>
      </c>
      <c r="J82" s="41">
        <v>135</v>
      </c>
      <c r="K82" s="42" t="s">
        <v>76</v>
      </c>
      <c r="L82" s="41">
        <v>0</v>
      </c>
      <c r="M82" s="41">
        <v>0</v>
      </c>
      <c r="N82" s="41">
        <v>0</v>
      </c>
      <c r="O82" s="43" t="s">
        <v>77</v>
      </c>
      <c r="P82" s="44">
        <v>0.47916666666666669</v>
      </c>
      <c r="Q82" s="41">
        <v>180</v>
      </c>
      <c r="R82" s="45" t="s">
        <v>78</v>
      </c>
    </row>
    <row r="83" spans="1:18" ht="17.399999999999999" customHeight="1" thickBot="1" x14ac:dyDescent="0.35">
      <c r="A83" s="233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5"/>
    </row>
    <row r="84" spans="1:18" ht="15" thickTop="1" x14ac:dyDescent="0.3"/>
  </sheetData>
  <mergeCells count="87">
    <mergeCell ref="A52:F52"/>
    <mergeCell ref="G38"/>
    <mergeCell ref="A31:R31"/>
    <mergeCell ref="G78"/>
    <mergeCell ref="A15:R15"/>
    <mergeCell ref="A51:R51"/>
    <mergeCell ref="H24:R24"/>
    <mergeCell ref="H76:R76"/>
    <mergeCell ref="A83:R83"/>
    <mergeCell ref="H80:R80"/>
    <mergeCell ref="G18"/>
    <mergeCell ref="A39:R39"/>
    <mergeCell ref="H12:R12"/>
    <mergeCell ref="G34"/>
    <mergeCell ref="G74"/>
    <mergeCell ref="H48:R48"/>
    <mergeCell ref="G58"/>
    <mergeCell ref="A56:F56"/>
    <mergeCell ref="G22"/>
    <mergeCell ref="H40:R40"/>
    <mergeCell ref="A76:F76"/>
    <mergeCell ref="H68:R68"/>
    <mergeCell ref="H60:R60"/>
    <mergeCell ref="A23:R23"/>
    <mergeCell ref="G82"/>
    <mergeCell ref="A48:F48"/>
    <mergeCell ref="G10"/>
    <mergeCell ref="G66"/>
    <mergeCell ref="H28:R28"/>
    <mergeCell ref="G70"/>
    <mergeCell ref="A43:R43"/>
    <mergeCell ref="A68:F68"/>
    <mergeCell ref="H16:R16"/>
    <mergeCell ref="A67:R67"/>
    <mergeCell ref="G62"/>
    <mergeCell ref="A36:F36"/>
    <mergeCell ref="H20:R20"/>
    <mergeCell ref="A80:F80"/>
    <mergeCell ref="A12:F12"/>
    <mergeCell ref="A75:R75"/>
    <mergeCell ref="A79:R79"/>
    <mergeCell ref="G14"/>
    <mergeCell ref="A16:F16"/>
    <mergeCell ref="H8:R8"/>
    <mergeCell ref="G54"/>
    <mergeCell ref="G46"/>
    <mergeCell ref="H56:R56"/>
    <mergeCell ref="A71:R71"/>
    <mergeCell ref="H36:R36"/>
    <mergeCell ref="A28:F28"/>
    <mergeCell ref="A63:R63"/>
    <mergeCell ref="A8:F8"/>
    <mergeCell ref="H44:R44"/>
    <mergeCell ref="A55:R55"/>
    <mergeCell ref="A47:R47"/>
    <mergeCell ref="H64:R64"/>
    <mergeCell ref="G50"/>
    <mergeCell ref="A32:F32"/>
    <mergeCell ref="A20:F20"/>
    <mergeCell ref="A72:F72"/>
    <mergeCell ref="G42"/>
    <mergeCell ref="A35:R35"/>
    <mergeCell ref="H52:R52"/>
    <mergeCell ref="A44:F44"/>
    <mergeCell ref="H72:R72"/>
    <mergeCell ref="A40:F40"/>
    <mergeCell ref="H32:R32"/>
    <mergeCell ref="A64:F64"/>
    <mergeCell ref="A24:F24"/>
    <mergeCell ref="A59:R59"/>
    <mergeCell ref="A60:F60"/>
    <mergeCell ref="G30"/>
    <mergeCell ref="A7:R7"/>
    <mergeCell ref="G26"/>
    <mergeCell ref="H1:L1"/>
    <mergeCell ref="A1:E1"/>
    <mergeCell ref="A27:R27"/>
    <mergeCell ref="A19:R19"/>
    <mergeCell ref="G6"/>
    <mergeCell ref="A11:R11"/>
    <mergeCell ref="A2:F2"/>
    <mergeCell ref="G2:J2"/>
    <mergeCell ref="N1:R1"/>
    <mergeCell ref="K2:R2"/>
    <mergeCell ref="H4:R4"/>
    <mergeCell ref="A3:R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2"/>
  <sheetViews>
    <sheetView workbookViewId="0"/>
  </sheetViews>
  <sheetFormatPr defaultRowHeight="15.6" outlineLevelCol="1" x14ac:dyDescent="0.3"/>
  <cols>
    <col min="1" max="1" width="11.5546875" style="220" bestFit="1" customWidth="1"/>
    <col min="2" max="2" width="10.44140625" style="220" bestFit="1" customWidth="1"/>
    <col min="3" max="3" width="6.77734375" style="220" bestFit="1" customWidth="1"/>
    <col min="4" max="4" width="5.5546875" style="220" bestFit="1" customWidth="1"/>
    <col min="5" max="5" width="9.109375" style="220" bestFit="1" customWidth="1"/>
    <col min="6" max="6" width="4.21875" style="220" bestFit="1" customWidth="1"/>
    <col min="7" max="7" width="10" style="220" bestFit="1" customWidth="1"/>
    <col min="8" max="10" width="8.5546875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25" width="3.88671875" style="220" bestFit="1" customWidth="1"/>
    <col min="26" max="26" width="4.109375" style="220" bestFit="1" customWidth="1"/>
    <col min="27" max="27" width="4" style="220" bestFit="1" customWidth="1"/>
    <col min="28" max="29" width="4.21875" style="220" bestFit="1" customWidth="1"/>
    <col min="30" max="31" width="4.5546875" style="220" bestFit="1" customWidth="1"/>
    <col min="32" max="32" width="3.88671875" style="220" bestFit="1" customWidth="1"/>
    <col min="33" max="33" width="4.21875" style="220" bestFit="1" customWidth="1"/>
    <col min="34" max="34" width="3.88671875" style="220" bestFit="1" customWidth="1"/>
    <col min="35" max="35" width="5.21875" style="220" bestFit="1" customWidth="1"/>
    <col min="36" max="36" width="3.88671875" style="220" bestFit="1" customWidth="1"/>
    <col min="37" max="16384" width="8.88671875" style="220"/>
  </cols>
  <sheetData>
    <row r="1" spans="1:36" x14ac:dyDescent="0.3">
      <c r="A1" s="219" t="s">
        <v>79</v>
      </c>
      <c r="B1" s="219" t="s">
        <v>80</v>
      </c>
      <c r="C1" s="219" t="s">
        <v>81</v>
      </c>
      <c r="D1" s="219" t="s">
        <v>25</v>
      </c>
      <c r="E1" s="219" t="s">
        <v>82</v>
      </c>
      <c r="F1" s="219" t="s">
        <v>83</v>
      </c>
      <c r="G1" s="219" t="s">
        <v>18</v>
      </c>
      <c r="H1" s="219" t="s">
        <v>84</v>
      </c>
      <c r="I1" s="219" t="s">
        <v>85</v>
      </c>
      <c r="J1" s="219" t="s">
        <v>86</v>
      </c>
      <c r="K1" s="219" t="s">
        <v>87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88</v>
      </c>
      <c r="R1" s="219" t="s">
        <v>89</v>
      </c>
      <c r="S1" s="219" t="s">
        <v>90</v>
      </c>
      <c r="T1" s="219" t="s">
        <v>91</v>
      </c>
      <c r="U1" s="219" t="s">
        <v>92</v>
      </c>
      <c r="V1" s="219" t="s">
        <v>93</v>
      </c>
      <c r="W1" s="219" t="s">
        <v>94</v>
      </c>
      <c r="X1" s="219" t="s">
        <v>95</v>
      </c>
      <c r="Y1" s="219" t="s">
        <v>96</v>
      </c>
      <c r="Z1" s="219" t="s">
        <v>97</v>
      </c>
      <c r="AA1" s="219" t="s">
        <v>98</v>
      </c>
      <c r="AB1" s="219" t="s">
        <v>99</v>
      </c>
      <c r="AC1" s="219" t="s">
        <v>100</v>
      </c>
      <c r="AD1" s="219" t="s">
        <v>101</v>
      </c>
      <c r="AE1" s="219" t="s">
        <v>102</v>
      </c>
      <c r="AF1" s="219" t="s">
        <v>103</v>
      </c>
      <c r="AG1" s="219" t="s">
        <v>104</v>
      </c>
      <c r="AH1" s="219" t="s">
        <v>105</v>
      </c>
      <c r="AI1" s="219" t="s">
        <v>106</v>
      </c>
      <c r="AJ1" s="219" t="s">
        <v>107</v>
      </c>
    </row>
    <row r="2" spans="1:36" x14ac:dyDescent="0.3">
      <c r="A2" s="221" t="s">
        <v>108</v>
      </c>
      <c r="B2" s="222">
        <v>45984</v>
      </c>
      <c r="C2" s="223" t="s">
        <v>29</v>
      </c>
      <c r="D2" s="224" t="s">
        <v>109</v>
      </c>
      <c r="E2" s="223" t="s">
        <v>1</v>
      </c>
      <c r="F2" s="223" t="s">
        <v>110</v>
      </c>
      <c r="G2" s="225">
        <v>1.0056</v>
      </c>
      <c r="H2" s="226">
        <v>180</v>
      </c>
      <c r="I2" s="226">
        <v>181</v>
      </c>
      <c r="J2" s="226">
        <v>162</v>
      </c>
      <c r="K2" s="223" t="s">
        <v>111</v>
      </c>
      <c r="L2" s="227" t="s">
        <v>32</v>
      </c>
      <c r="M2" s="226">
        <v>0</v>
      </c>
      <c r="N2" s="226">
        <v>0</v>
      </c>
      <c r="O2" s="226">
        <v>0</v>
      </c>
      <c r="P2" s="223" t="s">
        <v>33</v>
      </c>
      <c r="Q2" s="219"/>
      <c r="R2" s="219"/>
      <c r="S2" s="219"/>
      <c r="T2" s="219"/>
      <c r="U2" s="219"/>
      <c r="V2" s="219"/>
      <c r="W2" s="219"/>
      <c r="X2" s="219"/>
      <c r="Y2" s="219"/>
      <c r="Z2" s="226" t="s">
        <v>112</v>
      </c>
      <c r="AA2" s="219"/>
      <c r="AB2" s="219"/>
      <c r="AC2" s="226" t="s">
        <v>113</v>
      </c>
      <c r="AD2" s="219"/>
      <c r="AE2" s="226" t="s">
        <v>114</v>
      </c>
      <c r="AF2" s="226" t="s">
        <v>115</v>
      </c>
      <c r="AG2" s="219"/>
      <c r="AH2" s="219"/>
      <c r="AI2" s="226" t="s">
        <v>116</v>
      </c>
      <c r="AJ2" s="219"/>
    </row>
    <row r="3" spans="1:36" x14ac:dyDescent="0.3">
      <c r="A3" s="221" t="s">
        <v>117</v>
      </c>
      <c r="B3" s="222">
        <v>45986</v>
      </c>
      <c r="C3" s="223" t="s">
        <v>29</v>
      </c>
      <c r="D3" s="224" t="s">
        <v>118</v>
      </c>
      <c r="E3" s="223" t="s">
        <v>1</v>
      </c>
      <c r="F3" s="223" t="s">
        <v>110</v>
      </c>
      <c r="G3" s="225">
        <v>1</v>
      </c>
      <c r="H3" s="226">
        <v>180</v>
      </c>
      <c r="I3" s="226">
        <v>180</v>
      </c>
      <c r="J3" s="226">
        <v>166</v>
      </c>
      <c r="K3" s="223" t="s">
        <v>111</v>
      </c>
      <c r="L3" s="227" t="s">
        <v>35</v>
      </c>
      <c r="M3" s="226">
        <v>0</v>
      </c>
      <c r="N3" s="226">
        <v>3</v>
      </c>
      <c r="O3" s="226">
        <v>47</v>
      </c>
      <c r="P3" s="223" t="s">
        <v>33</v>
      </c>
      <c r="Q3" s="219"/>
      <c r="R3" s="219"/>
      <c r="S3" s="219"/>
      <c r="T3" s="219"/>
      <c r="U3" s="219"/>
      <c r="V3" s="219"/>
      <c r="W3" s="226" t="s">
        <v>119</v>
      </c>
      <c r="X3" s="219"/>
      <c r="Y3" s="219"/>
      <c r="Z3" s="219"/>
      <c r="AA3" s="219"/>
      <c r="AB3" s="226" t="s">
        <v>120</v>
      </c>
      <c r="AC3" s="226" t="s">
        <v>121</v>
      </c>
      <c r="AD3" s="219"/>
      <c r="AE3" s="219"/>
      <c r="AF3" s="219"/>
      <c r="AG3" s="226" t="s">
        <v>122</v>
      </c>
      <c r="AH3" s="219"/>
      <c r="AI3" s="226" t="s">
        <v>123</v>
      </c>
      <c r="AJ3" s="219"/>
    </row>
    <row r="4" spans="1:36" x14ac:dyDescent="0.3">
      <c r="A4" s="221" t="s">
        <v>124</v>
      </c>
      <c r="B4" s="222">
        <v>45987</v>
      </c>
      <c r="C4" s="223" t="s">
        <v>29</v>
      </c>
      <c r="D4" s="224" t="s">
        <v>125</v>
      </c>
      <c r="E4" s="223" t="s">
        <v>1</v>
      </c>
      <c r="F4" s="223" t="s">
        <v>110</v>
      </c>
      <c r="G4" s="225">
        <v>0.99439999999999995</v>
      </c>
      <c r="H4" s="226">
        <v>180</v>
      </c>
      <c r="I4" s="226">
        <v>179</v>
      </c>
      <c r="J4" s="226">
        <v>175</v>
      </c>
      <c r="K4" s="223" t="s">
        <v>111</v>
      </c>
      <c r="L4" s="227" t="s">
        <v>37</v>
      </c>
      <c r="M4" s="226">
        <v>0</v>
      </c>
      <c r="N4" s="226">
        <v>0</v>
      </c>
      <c r="O4" s="226">
        <v>0</v>
      </c>
      <c r="P4" s="223" t="s">
        <v>33</v>
      </c>
      <c r="Q4" s="219"/>
      <c r="R4" s="219"/>
      <c r="S4" s="219"/>
      <c r="T4" s="219"/>
      <c r="U4" s="219"/>
      <c r="V4" s="219"/>
      <c r="W4" s="219"/>
      <c r="X4" s="219"/>
      <c r="Y4" s="226" t="s">
        <v>126</v>
      </c>
      <c r="Z4" s="219"/>
      <c r="AA4" s="219"/>
      <c r="AB4" s="219"/>
      <c r="AC4" s="219"/>
      <c r="AD4" s="219"/>
      <c r="AE4" s="219"/>
      <c r="AF4" s="226" t="s">
        <v>127</v>
      </c>
      <c r="AG4" s="219"/>
      <c r="AH4" s="219"/>
      <c r="AI4" s="226" t="s">
        <v>128</v>
      </c>
      <c r="AJ4" s="219"/>
    </row>
    <row r="5" spans="1:36" x14ac:dyDescent="0.3">
      <c r="A5" s="221" t="s">
        <v>129</v>
      </c>
      <c r="B5" s="222">
        <v>45988</v>
      </c>
      <c r="C5" s="223" t="s">
        <v>29</v>
      </c>
      <c r="D5" s="224" t="s">
        <v>130</v>
      </c>
      <c r="E5" s="223" t="s">
        <v>1</v>
      </c>
      <c r="F5" s="223" t="s">
        <v>110</v>
      </c>
      <c r="G5" s="225">
        <v>1</v>
      </c>
      <c r="H5" s="226">
        <v>180</v>
      </c>
      <c r="I5" s="226">
        <v>180</v>
      </c>
      <c r="J5" s="226">
        <v>166</v>
      </c>
      <c r="K5" s="223" t="s">
        <v>111</v>
      </c>
      <c r="L5" s="227" t="s">
        <v>39</v>
      </c>
      <c r="M5" s="226">
        <v>0</v>
      </c>
      <c r="N5" s="226">
        <v>0</v>
      </c>
      <c r="O5" s="226">
        <v>2</v>
      </c>
      <c r="P5" s="223" t="s">
        <v>33</v>
      </c>
      <c r="Q5" s="219"/>
      <c r="R5" s="219"/>
      <c r="S5" s="219"/>
      <c r="T5" s="219"/>
      <c r="U5" s="219"/>
      <c r="V5" s="219"/>
      <c r="W5" s="219"/>
      <c r="X5" s="219"/>
      <c r="Y5" s="226" t="s">
        <v>56</v>
      </c>
      <c r="Z5" s="219"/>
      <c r="AA5" s="219"/>
      <c r="AB5" s="219"/>
      <c r="AC5" s="226" t="s">
        <v>131</v>
      </c>
      <c r="AD5" s="219"/>
      <c r="AE5" s="219"/>
      <c r="AF5" s="226" t="s">
        <v>115</v>
      </c>
      <c r="AG5" s="219"/>
      <c r="AH5" s="219"/>
      <c r="AI5" s="226" t="s">
        <v>132</v>
      </c>
      <c r="AJ5" s="219"/>
    </row>
    <row r="6" spans="1:36" x14ac:dyDescent="0.3">
      <c r="A6" s="221" t="s">
        <v>108</v>
      </c>
      <c r="B6" s="222">
        <v>45991</v>
      </c>
      <c r="C6" s="223" t="s">
        <v>29</v>
      </c>
      <c r="D6" s="224" t="s">
        <v>109</v>
      </c>
      <c r="E6" s="223" t="s">
        <v>1</v>
      </c>
      <c r="F6" s="223" t="s">
        <v>110</v>
      </c>
      <c r="G6" s="225">
        <v>1</v>
      </c>
      <c r="H6" s="226">
        <v>180</v>
      </c>
      <c r="I6" s="226">
        <v>180</v>
      </c>
      <c r="J6" s="226">
        <v>135</v>
      </c>
      <c r="K6" s="223" t="s">
        <v>111</v>
      </c>
      <c r="L6" s="227" t="s">
        <v>41</v>
      </c>
      <c r="M6" s="226">
        <v>0</v>
      </c>
      <c r="N6" s="226">
        <v>0</v>
      </c>
      <c r="O6" s="226">
        <v>2</v>
      </c>
      <c r="P6" s="223" t="s">
        <v>33</v>
      </c>
      <c r="Q6" s="219"/>
      <c r="R6" s="219"/>
      <c r="S6" s="219"/>
      <c r="T6" s="219"/>
      <c r="U6" s="219"/>
      <c r="V6" s="219"/>
      <c r="W6" s="219"/>
      <c r="X6" s="226" t="s">
        <v>133</v>
      </c>
      <c r="Y6" s="219"/>
      <c r="Z6" s="219"/>
      <c r="AA6" s="219"/>
      <c r="AB6" s="219"/>
      <c r="AC6" s="226" t="s">
        <v>134</v>
      </c>
      <c r="AD6" s="226" t="s">
        <v>135</v>
      </c>
      <c r="AE6" s="226" t="s">
        <v>136</v>
      </c>
      <c r="AF6" s="226" t="s">
        <v>137</v>
      </c>
      <c r="AG6" s="219"/>
      <c r="AH6" s="219"/>
      <c r="AI6" s="226" t="s">
        <v>78</v>
      </c>
      <c r="AJ6" s="219"/>
    </row>
    <row r="7" spans="1:36" x14ac:dyDescent="0.3">
      <c r="A7" s="221" t="s">
        <v>117</v>
      </c>
      <c r="B7" s="222">
        <v>45993</v>
      </c>
      <c r="C7" s="223" t="s">
        <v>29</v>
      </c>
      <c r="D7" s="224" t="s">
        <v>118</v>
      </c>
      <c r="E7" s="223" t="s">
        <v>1</v>
      </c>
      <c r="F7" s="223" t="s">
        <v>110</v>
      </c>
      <c r="G7" s="225">
        <v>1</v>
      </c>
      <c r="H7" s="226">
        <v>180</v>
      </c>
      <c r="I7" s="226">
        <v>180</v>
      </c>
      <c r="J7" s="226">
        <v>130</v>
      </c>
      <c r="K7" s="223" t="s">
        <v>111</v>
      </c>
      <c r="L7" s="227" t="s">
        <v>37</v>
      </c>
      <c r="M7" s="226">
        <v>0</v>
      </c>
      <c r="N7" s="226">
        <v>0</v>
      </c>
      <c r="O7" s="226">
        <v>0</v>
      </c>
      <c r="P7" s="223" t="s">
        <v>33</v>
      </c>
      <c r="Q7" s="219"/>
      <c r="R7" s="219"/>
      <c r="S7" s="219"/>
      <c r="T7" s="219"/>
      <c r="U7" s="219"/>
      <c r="V7" s="219"/>
      <c r="W7" s="219"/>
      <c r="X7" s="219"/>
      <c r="Y7" s="219"/>
      <c r="Z7" s="226" t="s">
        <v>138</v>
      </c>
      <c r="AA7" s="219"/>
      <c r="AB7" s="226" t="s">
        <v>139</v>
      </c>
      <c r="AC7" s="226" t="s">
        <v>134</v>
      </c>
      <c r="AD7" s="226" t="s">
        <v>140</v>
      </c>
      <c r="AE7" s="226" t="s">
        <v>141</v>
      </c>
      <c r="AF7" s="226" t="s">
        <v>142</v>
      </c>
      <c r="AG7" s="219"/>
      <c r="AH7" s="219"/>
      <c r="AI7" s="226" t="s">
        <v>143</v>
      </c>
      <c r="AJ7" s="219"/>
    </row>
    <row r="8" spans="1:36" x14ac:dyDescent="0.3">
      <c r="A8" s="221" t="s">
        <v>124</v>
      </c>
      <c r="B8" s="222">
        <v>45994</v>
      </c>
      <c r="C8" s="223" t="s">
        <v>29</v>
      </c>
      <c r="D8" s="224" t="s">
        <v>125</v>
      </c>
      <c r="E8" s="223" t="s">
        <v>1</v>
      </c>
      <c r="F8" s="223" t="s">
        <v>110</v>
      </c>
      <c r="G8" s="225">
        <v>0.99439999999999995</v>
      </c>
      <c r="H8" s="226">
        <v>180</v>
      </c>
      <c r="I8" s="226">
        <v>179</v>
      </c>
      <c r="J8" s="226">
        <v>135</v>
      </c>
      <c r="K8" s="223" t="s">
        <v>111</v>
      </c>
      <c r="L8" s="227" t="s">
        <v>35</v>
      </c>
      <c r="M8" s="226">
        <v>0</v>
      </c>
      <c r="N8" s="226">
        <v>1</v>
      </c>
      <c r="O8" s="226">
        <v>5</v>
      </c>
      <c r="P8" s="223" t="s">
        <v>33</v>
      </c>
      <c r="Q8" s="219"/>
      <c r="R8" s="219"/>
      <c r="S8" s="219"/>
      <c r="T8" s="219"/>
      <c r="U8" s="219"/>
      <c r="V8" s="219"/>
      <c r="W8" s="226" t="s">
        <v>49</v>
      </c>
      <c r="X8" s="219"/>
      <c r="Y8" s="219"/>
      <c r="Z8" s="226" t="s">
        <v>144</v>
      </c>
      <c r="AA8" s="219"/>
      <c r="AB8" s="219"/>
      <c r="AC8" s="226" t="s">
        <v>145</v>
      </c>
      <c r="AD8" s="226" t="s">
        <v>135</v>
      </c>
      <c r="AE8" s="226" t="s">
        <v>136</v>
      </c>
      <c r="AF8" s="226" t="s">
        <v>137</v>
      </c>
      <c r="AG8" s="219"/>
      <c r="AH8" s="219"/>
      <c r="AI8" s="226" t="s">
        <v>78</v>
      </c>
      <c r="AJ8" s="219"/>
    </row>
    <row r="9" spans="1:36" x14ac:dyDescent="0.3">
      <c r="A9" s="221" t="s">
        <v>129</v>
      </c>
      <c r="B9" s="222">
        <v>45995</v>
      </c>
      <c r="C9" s="223" t="s">
        <v>29</v>
      </c>
      <c r="D9" s="224" t="s">
        <v>130</v>
      </c>
      <c r="E9" s="223" t="s">
        <v>1</v>
      </c>
      <c r="F9" s="223" t="s">
        <v>110</v>
      </c>
      <c r="G9" s="225">
        <v>0.9667</v>
      </c>
      <c r="H9" s="226">
        <v>180</v>
      </c>
      <c r="I9" s="226">
        <v>174</v>
      </c>
      <c r="J9" s="226">
        <v>139</v>
      </c>
      <c r="K9" s="223" t="s">
        <v>111</v>
      </c>
      <c r="L9" s="227" t="s">
        <v>46</v>
      </c>
      <c r="M9" s="226">
        <v>0</v>
      </c>
      <c r="N9" s="226">
        <v>0</v>
      </c>
      <c r="O9" s="226">
        <v>3</v>
      </c>
      <c r="P9" s="223" t="s">
        <v>47</v>
      </c>
      <c r="Q9" s="219"/>
      <c r="R9" s="219"/>
      <c r="S9" s="219"/>
      <c r="T9" s="219"/>
      <c r="U9" s="226" t="s">
        <v>146</v>
      </c>
      <c r="V9" s="219"/>
      <c r="W9" s="219"/>
      <c r="X9" s="226" t="s">
        <v>133</v>
      </c>
      <c r="Y9" s="226" t="s">
        <v>147</v>
      </c>
      <c r="Z9" s="226" t="s">
        <v>148</v>
      </c>
      <c r="AA9" s="219"/>
      <c r="AB9" s="219"/>
      <c r="AC9" s="226" t="s">
        <v>121</v>
      </c>
      <c r="AD9" s="226" t="s">
        <v>149</v>
      </c>
      <c r="AE9" s="226" t="s">
        <v>150</v>
      </c>
      <c r="AF9" s="226" t="s">
        <v>142</v>
      </c>
      <c r="AG9" s="226" t="s">
        <v>151</v>
      </c>
      <c r="AH9" s="219"/>
      <c r="AI9" s="226" t="s">
        <v>152</v>
      </c>
      <c r="AJ9" s="219"/>
    </row>
    <row r="10" spans="1:36" x14ac:dyDescent="0.3">
      <c r="A10" s="221" t="s">
        <v>108</v>
      </c>
      <c r="B10" s="222">
        <v>45998</v>
      </c>
      <c r="C10" s="223" t="s">
        <v>29</v>
      </c>
      <c r="D10" s="224" t="s">
        <v>109</v>
      </c>
      <c r="E10" s="223" t="s">
        <v>1</v>
      </c>
      <c r="F10" s="223" t="s">
        <v>110</v>
      </c>
      <c r="G10" s="225">
        <v>0.9889</v>
      </c>
      <c r="H10" s="226">
        <v>180</v>
      </c>
      <c r="I10" s="226">
        <v>178</v>
      </c>
      <c r="J10" s="226">
        <v>135</v>
      </c>
      <c r="K10" s="223" t="s">
        <v>111</v>
      </c>
      <c r="L10" s="227" t="s">
        <v>35</v>
      </c>
      <c r="M10" s="226">
        <v>0</v>
      </c>
      <c r="N10" s="226">
        <v>1</v>
      </c>
      <c r="O10" s="226">
        <v>1</v>
      </c>
      <c r="P10" s="223" t="s">
        <v>49</v>
      </c>
      <c r="Q10" s="219"/>
      <c r="R10" s="219"/>
      <c r="S10" s="219"/>
      <c r="T10" s="219"/>
      <c r="U10" s="219"/>
      <c r="V10" s="219"/>
      <c r="W10" s="226" t="s">
        <v>153</v>
      </c>
      <c r="X10" s="219"/>
      <c r="Y10" s="219"/>
      <c r="Z10" s="226" t="s">
        <v>154</v>
      </c>
      <c r="AA10" s="219"/>
      <c r="AB10" s="219"/>
      <c r="AC10" s="219"/>
      <c r="AD10" s="226" t="s">
        <v>155</v>
      </c>
      <c r="AE10" s="226" t="s">
        <v>136</v>
      </c>
      <c r="AF10" s="226" t="s">
        <v>137</v>
      </c>
      <c r="AG10" s="219"/>
      <c r="AH10" s="219"/>
      <c r="AI10" s="226" t="s">
        <v>78</v>
      </c>
      <c r="AJ10" s="219"/>
    </row>
    <row r="11" spans="1:36" x14ac:dyDescent="0.3">
      <c r="A11" s="221" t="s">
        <v>117</v>
      </c>
      <c r="B11" s="222">
        <v>46000</v>
      </c>
      <c r="C11" s="223" t="s">
        <v>29</v>
      </c>
      <c r="D11" s="224" t="s">
        <v>118</v>
      </c>
      <c r="E11" s="223" t="s">
        <v>1</v>
      </c>
      <c r="F11" s="223" t="s">
        <v>110</v>
      </c>
      <c r="G11" s="225">
        <v>0.91669999999999996</v>
      </c>
      <c r="H11" s="226">
        <v>180</v>
      </c>
      <c r="I11" s="226">
        <v>165</v>
      </c>
      <c r="J11" s="226">
        <v>135</v>
      </c>
      <c r="K11" s="223" t="s">
        <v>111</v>
      </c>
      <c r="L11" s="227" t="s">
        <v>35</v>
      </c>
      <c r="M11" s="226">
        <v>0</v>
      </c>
      <c r="N11" s="226">
        <v>3</v>
      </c>
      <c r="O11" s="226">
        <v>11</v>
      </c>
      <c r="P11" s="223" t="s">
        <v>52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26" t="s">
        <v>156</v>
      </c>
      <c r="AA11" s="219"/>
      <c r="AB11" s="226" t="s">
        <v>157</v>
      </c>
      <c r="AC11" s="226" t="s">
        <v>134</v>
      </c>
      <c r="AD11" s="226" t="s">
        <v>149</v>
      </c>
      <c r="AE11" s="219"/>
      <c r="AF11" s="219"/>
      <c r="AG11" s="219"/>
      <c r="AH11" s="219"/>
      <c r="AI11" s="226" t="s">
        <v>78</v>
      </c>
      <c r="AJ11" s="219"/>
    </row>
    <row r="12" spans="1:36" x14ac:dyDescent="0.3">
      <c r="A12" s="221" t="s">
        <v>124</v>
      </c>
      <c r="B12" s="222">
        <v>46001</v>
      </c>
      <c r="C12" s="223" t="s">
        <v>29</v>
      </c>
      <c r="D12" s="224" t="s">
        <v>125</v>
      </c>
      <c r="E12" s="223" t="s">
        <v>1</v>
      </c>
      <c r="F12" s="223" t="s">
        <v>110</v>
      </c>
      <c r="G12" s="225">
        <v>0.91669999999999996</v>
      </c>
      <c r="H12" s="226">
        <v>180</v>
      </c>
      <c r="I12" s="226">
        <v>165</v>
      </c>
      <c r="J12" s="226">
        <v>140</v>
      </c>
      <c r="K12" s="223" t="s">
        <v>111</v>
      </c>
      <c r="L12" s="227" t="s">
        <v>35</v>
      </c>
      <c r="M12" s="226">
        <v>0</v>
      </c>
      <c r="N12" s="226">
        <v>1</v>
      </c>
      <c r="O12" s="226">
        <v>10</v>
      </c>
      <c r="P12" s="223" t="s">
        <v>54</v>
      </c>
      <c r="Q12" s="219"/>
      <c r="R12" s="219"/>
      <c r="S12" s="219"/>
      <c r="T12" s="219"/>
      <c r="U12" s="219"/>
      <c r="V12" s="219"/>
      <c r="W12" s="219"/>
      <c r="X12" s="219"/>
      <c r="Y12" s="219"/>
      <c r="Z12" s="226" t="s">
        <v>112</v>
      </c>
      <c r="AA12" s="219"/>
      <c r="AB12" s="226" t="s">
        <v>157</v>
      </c>
      <c r="AC12" s="226" t="s">
        <v>158</v>
      </c>
      <c r="AD12" s="226" t="s">
        <v>149</v>
      </c>
      <c r="AE12" s="226" t="s">
        <v>150</v>
      </c>
      <c r="AF12" s="226" t="s">
        <v>142</v>
      </c>
      <c r="AG12" s="219"/>
      <c r="AH12" s="219"/>
      <c r="AI12" s="226" t="s">
        <v>159</v>
      </c>
      <c r="AJ12" s="219"/>
    </row>
    <row r="13" spans="1:36" x14ac:dyDescent="0.3">
      <c r="A13" s="221" t="s">
        <v>129</v>
      </c>
      <c r="B13" s="222">
        <v>46002</v>
      </c>
      <c r="C13" s="223" t="s">
        <v>29</v>
      </c>
      <c r="D13" s="224" t="s">
        <v>130</v>
      </c>
      <c r="E13" s="223" t="s">
        <v>1</v>
      </c>
      <c r="F13" s="223" t="s">
        <v>110</v>
      </c>
      <c r="G13" s="225">
        <v>0.98329999999999995</v>
      </c>
      <c r="H13" s="226">
        <v>180</v>
      </c>
      <c r="I13" s="226">
        <v>177</v>
      </c>
      <c r="J13" s="226">
        <v>155</v>
      </c>
      <c r="K13" s="223" t="s">
        <v>111</v>
      </c>
      <c r="L13" s="227" t="s">
        <v>41</v>
      </c>
      <c r="M13" s="226">
        <v>0</v>
      </c>
      <c r="N13" s="226">
        <v>0</v>
      </c>
      <c r="O13" s="226">
        <v>1</v>
      </c>
      <c r="P13" s="223" t="s">
        <v>56</v>
      </c>
      <c r="Q13" s="219"/>
      <c r="R13" s="219"/>
      <c r="S13" s="219"/>
      <c r="T13" s="219"/>
      <c r="U13" s="219"/>
      <c r="V13" s="219"/>
      <c r="W13" s="219"/>
      <c r="X13" s="219"/>
      <c r="Y13" s="219"/>
      <c r="Z13" s="226" t="s">
        <v>160</v>
      </c>
      <c r="AA13" s="219"/>
      <c r="AB13" s="219"/>
      <c r="AC13" s="219"/>
      <c r="AD13" s="219"/>
      <c r="AE13" s="226" t="s">
        <v>114</v>
      </c>
      <c r="AF13" s="226" t="s">
        <v>115</v>
      </c>
      <c r="AG13" s="219"/>
      <c r="AH13" s="219"/>
      <c r="AI13" s="226" t="s">
        <v>161</v>
      </c>
      <c r="AJ13" s="219"/>
    </row>
    <row r="14" spans="1:36" x14ac:dyDescent="0.3">
      <c r="A14" s="221" t="s">
        <v>108</v>
      </c>
      <c r="B14" s="222">
        <v>46005</v>
      </c>
      <c r="C14" s="223" t="s">
        <v>29</v>
      </c>
      <c r="D14" s="224" t="s">
        <v>109</v>
      </c>
      <c r="E14" s="223" t="s">
        <v>1</v>
      </c>
      <c r="F14" s="223" t="s">
        <v>110</v>
      </c>
      <c r="G14" s="225">
        <v>0.92779999999999996</v>
      </c>
      <c r="H14" s="226">
        <v>180</v>
      </c>
      <c r="I14" s="226">
        <v>167</v>
      </c>
      <c r="J14" s="226">
        <v>135</v>
      </c>
      <c r="K14" s="223" t="s">
        <v>111</v>
      </c>
      <c r="L14" s="227" t="s">
        <v>58</v>
      </c>
      <c r="M14" s="226">
        <v>0</v>
      </c>
      <c r="N14" s="226">
        <v>0</v>
      </c>
      <c r="O14" s="226">
        <v>13</v>
      </c>
      <c r="P14" s="223" t="s">
        <v>59</v>
      </c>
      <c r="Q14" s="219"/>
      <c r="R14" s="219"/>
      <c r="S14" s="219"/>
      <c r="T14" s="219"/>
      <c r="U14" s="219"/>
      <c r="V14" s="219"/>
      <c r="W14" s="219"/>
      <c r="X14" s="219"/>
      <c r="Y14" s="219"/>
      <c r="Z14" s="226" t="s">
        <v>162</v>
      </c>
      <c r="AA14" s="219"/>
      <c r="AB14" s="219"/>
      <c r="AC14" s="219"/>
      <c r="AD14" s="226" t="s">
        <v>149</v>
      </c>
      <c r="AE14" s="226" t="s">
        <v>163</v>
      </c>
      <c r="AF14" s="226" t="s">
        <v>137</v>
      </c>
      <c r="AG14" s="219"/>
      <c r="AH14" s="219"/>
      <c r="AI14" s="226" t="s">
        <v>78</v>
      </c>
      <c r="AJ14" s="219"/>
    </row>
    <row r="15" spans="1:36" x14ac:dyDescent="0.3">
      <c r="A15" s="221" t="s">
        <v>117</v>
      </c>
      <c r="B15" s="222">
        <v>46007</v>
      </c>
      <c r="C15" s="223" t="s">
        <v>29</v>
      </c>
      <c r="D15" s="224" t="s">
        <v>118</v>
      </c>
      <c r="E15" s="223" t="s">
        <v>1</v>
      </c>
      <c r="F15" s="223" t="s">
        <v>110</v>
      </c>
      <c r="G15" s="225">
        <v>0.9778</v>
      </c>
      <c r="H15" s="226">
        <v>180</v>
      </c>
      <c r="I15" s="226">
        <v>176</v>
      </c>
      <c r="J15" s="226">
        <v>160</v>
      </c>
      <c r="K15" s="223" t="s">
        <v>111</v>
      </c>
      <c r="L15" s="227" t="s">
        <v>35</v>
      </c>
      <c r="M15" s="226">
        <v>0</v>
      </c>
      <c r="N15" s="226">
        <v>7</v>
      </c>
      <c r="O15" s="226">
        <v>13</v>
      </c>
      <c r="P15" s="223" t="s">
        <v>61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26" t="s">
        <v>164</v>
      </c>
      <c r="AE15" s="226" t="s">
        <v>61</v>
      </c>
      <c r="AF15" s="226" t="s">
        <v>142</v>
      </c>
      <c r="AG15" s="226" t="s">
        <v>165</v>
      </c>
      <c r="AH15" s="219"/>
      <c r="AI15" s="226" t="s">
        <v>143</v>
      </c>
      <c r="AJ15" s="219"/>
    </row>
    <row r="16" spans="1:36" x14ac:dyDescent="0.3">
      <c r="A16" s="221" t="s">
        <v>124</v>
      </c>
      <c r="B16" s="222">
        <v>46008</v>
      </c>
      <c r="C16" s="223" t="s">
        <v>29</v>
      </c>
      <c r="D16" s="224" t="s">
        <v>125</v>
      </c>
      <c r="E16" s="223" t="s">
        <v>1</v>
      </c>
      <c r="F16" s="223" t="s">
        <v>110</v>
      </c>
      <c r="G16" s="225">
        <v>0.7833</v>
      </c>
      <c r="H16" s="226">
        <v>180</v>
      </c>
      <c r="I16" s="226">
        <v>141</v>
      </c>
      <c r="J16" s="226">
        <v>135</v>
      </c>
      <c r="K16" s="223" t="s">
        <v>111</v>
      </c>
      <c r="L16" s="227" t="s">
        <v>64</v>
      </c>
      <c r="M16" s="226">
        <v>0</v>
      </c>
      <c r="N16" s="226">
        <v>0</v>
      </c>
      <c r="O16" s="226">
        <v>0</v>
      </c>
      <c r="P16" s="223" t="s">
        <v>65</v>
      </c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26" t="s">
        <v>70</v>
      </c>
      <c r="AB16" s="219"/>
      <c r="AC16" s="219"/>
      <c r="AD16" s="219"/>
      <c r="AE16" s="219"/>
      <c r="AF16" s="219"/>
      <c r="AG16" s="219"/>
      <c r="AH16" s="219"/>
      <c r="AI16" s="226" t="s">
        <v>78</v>
      </c>
      <c r="AJ16" s="219"/>
    </row>
    <row r="17" spans="1:36" x14ac:dyDescent="0.3">
      <c r="A17" s="221" t="s">
        <v>129</v>
      </c>
      <c r="B17" s="222">
        <v>46009</v>
      </c>
      <c r="C17" s="223" t="s">
        <v>29</v>
      </c>
      <c r="D17" s="224" t="s">
        <v>130</v>
      </c>
      <c r="E17" s="223" t="s">
        <v>1</v>
      </c>
      <c r="F17" s="223" t="s">
        <v>110</v>
      </c>
      <c r="G17" s="225">
        <v>0.9556</v>
      </c>
      <c r="H17" s="226">
        <v>180</v>
      </c>
      <c r="I17" s="226">
        <v>172</v>
      </c>
      <c r="J17" s="226">
        <v>170</v>
      </c>
      <c r="K17" s="223" t="s">
        <v>111</v>
      </c>
      <c r="L17" s="227" t="s">
        <v>35</v>
      </c>
      <c r="M17" s="226">
        <v>0</v>
      </c>
      <c r="N17" s="226">
        <v>1</v>
      </c>
      <c r="O17" s="226">
        <v>1</v>
      </c>
      <c r="P17" s="223" t="s">
        <v>67</v>
      </c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26" t="s">
        <v>166</v>
      </c>
      <c r="AB17" s="219"/>
      <c r="AC17" s="219"/>
      <c r="AD17" s="219"/>
      <c r="AE17" s="219"/>
      <c r="AF17" s="219"/>
      <c r="AG17" s="219"/>
      <c r="AH17" s="219"/>
      <c r="AI17" s="226" t="s">
        <v>167</v>
      </c>
      <c r="AJ17" s="219"/>
    </row>
    <row r="18" spans="1:36" x14ac:dyDescent="0.3">
      <c r="A18" s="221" t="s">
        <v>108</v>
      </c>
      <c r="B18" s="222">
        <v>46012</v>
      </c>
      <c r="C18" s="223" t="s">
        <v>29</v>
      </c>
      <c r="D18" s="224" t="s">
        <v>109</v>
      </c>
      <c r="E18" s="223" t="s">
        <v>1</v>
      </c>
      <c r="F18" s="223" t="s">
        <v>110</v>
      </c>
      <c r="G18" s="225">
        <v>0.7722</v>
      </c>
      <c r="H18" s="226">
        <v>180</v>
      </c>
      <c r="I18" s="226">
        <v>139</v>
      </c>
      <c r="J18" s="226">
        <v>135</v>
      </c>
      <c r="K18" s="223" t="s">
        <v>111</v>
      </c>
      <c r="L18" s="227" t="s">
        <v>69</v>
      </c>
      <c r="M18" s="226">
        <v>0</v>
      </c>
      <c r="N18" s="226">
        <v>0</v>
      </c>
      <c r="O18" s="226">
        <v>0</v>
      </c>
      <c r="P18" s="223" t="s">
        <v>70</v>
      </c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26" t="s">
        <v>65</v>
      </c>
      <c r="AB18" s="219"/>
      <c r="AC18" s="219"/>
      <c r="AD18" s="219"/>
      <c r="AE18" s="219"/>
      <c r="AF18" s="219"/>
      <c r="AG18" s="219"/>
      <c r="AH18" s="219"/>
      <c r="AI18" s="226" t="s">
        <v>78</v>
      </c>
      <c r="AJ18" s="219"/>
    </row>
    <row r="19" spans="1:36" x14ac:dyDescent="0.3">
      <c r="A19" s="221" t="s">
        <v>117</v>
      </c>
      <c r="B19" s="222">
        <v>46014</v>
      </c>
      <c r="C19" s="223" t="s">
        <v>29</v>
      </c>
      <c r="D19" s="224" t="s">
        <v>118</v>
      </c>
      <c r="E19" s="223" t="s">
        <v>1</v>
      </c>
      <c r="F19" s="223" t="s">
        <v>110</v>
      </c>
      <c r="G19" s="225">
        <v>0.81110000000000004</v>
      </c>
      <c r="H19" s="226">
        <v>180</v>
      </c>
      <c r="I19" s="226">
        <v>146</v>
      </c>
      <c r="J19" s="226">
        <v>130</v>
      </c>
      <c r="K19" s="223" t="s">
        <v>111</v>
      </c>
      <c r="L19" s="227" t="s">
        <v>35</v>
      </c>
      <c r="M19" s="226">
        <v>0</v>
      </c>
      <c r="N19" s="226">
        <v>2</v>
      </c>
      <c r="O19" s="226">
        <v>2</v>
      </c>
      <c r="P19" s="223" t="s">
        <v>72</v>
      </c>
      <c r="Q19" s="219"/>
      <c r="R19" s="219"/>
      <c r="S19" s="219"/>
      <c r="T19" s="219"/>
      <c r="U19" s="219"/>
      <c r="V19" s="219"/>
      <c r="W19" s="219"/>
      <c r="X19" s="219"/>
      <c r="Y19" s="219"/>
      <c r="Z19" s="226" t="s">
        <v>144</v>
      </c>
      <c r="AA19" s="219"/>
      <c r="AB19" s="219"/>
      <c r="AC19" s="219"/>
      <c r="AD19" s="219"/>
      <c r="AE19" s="226" t="s">
        <v>114</v>
      </c>
      <c r="AF19" s="226" t="s">
        <v>142</v>
      </c>
      <c r="AG19" s="219"/>
      <c r="AH19" s="219"/>
      <c r="AI19" s="226" t="s">
        <v>143</v>
      </c>
      <c r="AJ19" s="219"/>
    </row>
    <row r="20" spans="1:36" x14ac:dyDescent="0.3">
      <c r="A20" s="221" t="s">
        <v>124</v>
      </c>
      <c r="B20" s="222">
        <v>46015</v>
      </c>
      <c r="C20" s="223" t="s">
        <v>29</v>
      </c>
      <c r="D20" s="224" t="s">
        <v>125</v>
      </c>
      <c r="E20" s="223" t="s">
        <v>1</v>
      </c>
      <c r="F20" s="223" t="s">
        <v>110</v>
      </c>
      <c r="G20" s="225">
        <v>0.7611</v>
      </c>
      <c r="H20" s="226">
        <v>180</v>
      </c>
      <c r="I20" s="226">
        <v>137</v>
      </c>
      <c r="J20" s="226">
        <v>135</v>
      </c>
      <c r="K20" s="223" t="s">
        <v>111</v>
      </c>
      <c r="L20" s="227" t="s">
        <v>41</v>
      </c>
      <c r="M20" s="226">
        <v>0</v>
      </c>
      <c r="N20" s="226">
        <v>0</v>
      </c>
      <c r="O20" s="226">
        <v>1</v>
      </c>
      <c r="P20" s="223" t="s">
        <v>74</v>
      </c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26" t="s">
        <v>166</v>
      </c>
      <c r="AB20" s="219"/>
      <c r="AC20" s="219"/>
      <c r="AD20" s="219"/>
      <c r="AE20" s="219"/>
      <c r="AF20" s="219"/>
      <c r="AG20" s="219"/>
      <c r="AH20" s="219"/>
      <c r="AI20" s="226" t="s">
        <v>78</v>
      </c>
      <c r="AJ20" s="219"/>
    </row>
    <row r="21" spans="1:36" x14ac:dyDescent="0.3">
      <c r="A21" s="221" t="s">
        <v>129</v>
      </c>
      <c r="B21" s="222">
        <v>46016</v>
      </c>
      <c r="C21" s="223" t="s">
        <v>29</v>
      </c>
      <c r="D21" s="224" t="s">
        <v>130</v>
      </c>
      <c r="E21" s="223" t="s">
        <v>1</v>
      </c>
      <c r="F21" s="223" t="s">
        <v>110</v>
      </c>
      <c r="G21" s="225">
        <v>0.75</v>
      </c>
      <c r="H21" s="226">
        <v>180</v>
      </c>
      <c r="I21" s="226">
        <v>135</v>
      </c>
      <c r="J21" s="226">
        <v>135</v>
      </c>
      <c r="K21" s="223" t="s">
        <v>111</v>
      </c>
      <c r="L21" s="227" t="s">
        <v>76</v>
      </c>
      <c r="M21" s="226">
        <v>0</v>
      </c>
      <c r="N21" s="226">
        <v>0</v>
      </c>
      <c r="O21" s="226">
        <v>0</v>
      </c>
      <c r="P21" s="223" t="s">
        <v>77</v>
      </c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26" t="s">
        <v>78</v>
      </c>
      <c r="AJ21" s="219"/>
    </row>
    <row r="22" spans="1:36" ht="21" x14ac:dyDescent="0.3">
      <c r="A22" s="228" t="s">
        <v>320</v>
      </c>
      <c r="B22" s="229"/>
      <c r="C22" s="228">
        <f>SUBTOTAL(103,HBE_MED_LF_LEGACY[Flt])</f>
        <v>20</v>
      </c>
      <c r="D22" s="228"/>
      <c r="E22" s="228">
        <f>SUBTOTAL(103,HBE_MED_LF_LEGACY[Brd-Off])</f>
        <v>20</v>
      </c>
      <c r="F22" s="228"/>
      <c r="G22" s="230">
        <f>SUBTOTAL(101,HBE_MED_LF_LEGACY[LF%])</f>
        <v>0.9252800000000001</v>
      </c>
      <c r="H22" s="231">
        <f>SUBTOTAL(109,HBE_MED_LF_LEGACY[CAP])</f>
        <v>3600</v>
      </c>
      <c r="I22" s="231">
        <f>SUBTOTAL(109,HBE_MED_LF_LEGACY[BKG(Y)])</f>
        <v>3331</v>
      </c>
      <c r="J22" s="231">
        <f>SUBTOTAL(109,HBE_MED_LF_LEGACY[GRP(Y)])</f>
        <v>2908</v>
      </c>
      <c r="K22" s="228"/>
      <c r="L22" s="229"/>
      <c r="M22" s="231">
        <f>SUBTOTAL(109,HBE_MED_LF_LEGACY[TO-DAY])</f>
        <v>0</v>
      </c>
      <c r="N22" s="231">
        <f>SUBTOTAL(109,HBE_MED_LF_LEGACY[Y-DAY])</f>
        <v>19</v>
      </c>
      <c r="O22" s="231">
        <f>SUBTOTAL(109,HBE_MED_LF_LEGACY[WEEKLY])</f>
        <v>112</v>
      </c>
      <c r="P22" s="232"/>
      <c r="Q22" s="231">
        <f>SUBTOTAL(109,HBE_MED_LF_LEGACY[Y])</f>
        <v>0</v>
      </c>
      <c r="R22" s="231">
        <f>SUBTOTAL(109,HBE_MED_LF_LEGACY[B])</f>
        <v>0</v>
      </c>
      <c r="S22" s="231">
        <f>SUBTOTAL(109,HBE_MED_LF_LEGACY[M])</f>
        <v>0</v>
      </c>
      <c r="T22" s="231">
        <f>SUBTOTAL(109,HBE_MED_LF_LEGACY[H])</f>
        <v>0</v>
      </c>
      <c r="U22" s="231">
        <f>SUBTOTAL(109,HBE_MED_LF_LEGACY[Q])</f>
        <v>0</v>
      </c>
      <c r="V22" s="231">
        <f>SUBTOTAL(109,HBE_MED_LF_LEGACY[K])</f>
        <v>0</v>
      </c>
      <c r="W22" s="231">
        <f>SUBTOTAL(109,HBE_MED_LF_LEGACY[V])</f>
        <v>0</v>
      </c>
      <c r="X22" s="231">
        <f>SUBTOTAL(109,HBE_MED_LF_LEGACY[L])</f>
        <v>0</v>
      </c>
      <c r="Y22" s="231">
        <f>SUBTOTAL(109,HBE_MED_LF_LEGACY[G])</f>
        <v>0</v>
      </c>
      <c r="Z22" s="231">
        <f>SUBTOTAL(109,HBE_MED_LF_LEGACY[S])</f>
        <v>0</v>
      </c>
      <c r="AA22" s="231">
        <f>SUBTOTAL(109,HBE_MED_LF_LEGACY[W])</f>
        <v>0</v>
      </c>
      <c r="AB22" s="231">
        <f>SUBTOTAL(109,HBE_MED_LF_LEGACY[T])</f>
        <v>0</v>
      </c>
      <c r="AC22" s="231">
        <f>SUBTOTAL(109,HBE_MED_LF_LEGACY[X])</f>
        <v>0</v>
      </c>
      <c r="AD22" s="231">
        <f>SUBTOTAL(109,HBE_MED_LF_LEGACY[U])</f>
        <v>0</v>
      </c>
      <c r="AE22" s="231">
        <f>SUBTOTAL(109,HBE_MED_LF_LEGACY[O])</f>
        <v>0</v>
      </c>
      <c r="AF22" s="231">
        <f>SUBTOTAL(109,HBE_MED_LF_LEGACY[I])</f>
        <v>0</v>
      </c>
      <c r="AG22" s="231">
        <f>SUBTOTAL(109,HBE_MED_LF_LEGACY[E])</f>
        <v>0</v>
      </c>
      <c r="AH22" s="231">
        <f>SUBTOTAL(109,HBE_MED_LF_LEGACY[A])</f>
        <v>0</v>
      </c>
      <c r="AI22" s="231">
        <f>SUBTOTAL(109,HBE_MED_LF_LEGACY[P])</f>
        <v>0</v>
      </c>
      <c r="AJ22" s="231">
        <f>SUBTOTAL(103,HBE_MED_LF_LEGACY[N])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6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4.77734375" bestFit="1" customWidth="1"/>
  </cols>
  <sheetData>
    <row r="1" spans="1:92" ht="28.8" customHeight="1" x14ac:dyDescent="0.3">
      <c r="A1" s="204" t="s">
        <v>0</v>
      </c>
      <c r="B1" s="203"/>
      <c r="C1" s="203"/>
      <c r="D1" s="203"/>
      <c r="E1" s="203"/>
      <c r="F1" s="1" t="s">
        <v>168</v>
      </c>
      <c r="G1" s="2" t="s">
        <v>2</v>
      </c>
      <c r="H1" s="202" t="s">
        <v>3</v>
      </c>
      <c r="I1" s="203"/>
      <c r="J1" s="203"/>
      <c r="K1" s="203"/>
      <c r="L1" s="203"/>
      <c r="M1" s="1" t="s">
        <v>4</v>
      </c>
      <c r="N1" s="212" t="s">
        <v>5</v>
      </c>
      <c r="O1" s="203"/>
      <c r="P1" s="203"/>
      <c r="Q1" s="203"/>
      <c r="R1" s="20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3"/>
      <c r="C2" s="203"/>
      <c r="D2" s="203"/>
      <c r="E2" s="203"/>
      <c r="F2" s="203"/>
      <c r="G2" s="211">
        <v>45984.228737943042</v>
      </c>
      <c r="H2" s="203"/>
      <c r="I2" s="203"/>
      <c r="J2" s="203"/>
      <c r="K2" s="213">
        <v>45984.228737943631</v>
      </c>
      <c r="L2" s="203"/>
      <c r="M2" s="203"/>
      <c r="N2" s="203"/>
      <c r="O2" s="203"/>
      <c r="P2" s="203"/>
      <c r="Q2" s="203"/>
      <c r="R2" s="20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7"/>
      <c r="C4" s="207"/>
      <c r="D4" s="207"/>
      <c r="E4" s="207"/>
      <c r="F4" s="208"/>
      <c r="G4" s="4">
        <v>45984</v>
      </c>
      <c r="H4" s="214" t="s">
        <v>9</v>
      </c>
      <c r="I4" s="207"/>
      <c r="J4" s="207"/>
      <c r="K4" s="207"/>
      <c r="L4" s="207"/>
      <c r="M4" s="207"/>
      <c r="N4" s="207"/>
      <c r="O4" s="207"/>
      <c r="P4" s="207"/>
      <c r="Q4" s="207"/>
      <c r="R4" s="20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8" t="s">
        <v>28</v>
      </c>
      <c r="B6" s="88" t="s">
        <v>169</v>
      </c>
      <c r="C6" s="89">
        <v>0.49652777777777768</v>
      </c>
      <c r="D6" s="88" t="s">
        <v>30</v>
      </c>
      <c r="E6" s="90"/>
      <c r="F6" s="88" t="s">
        <v>31</v>
      </c>
      <c r="G6" s="205"/>
      <c r="H6" s="91" t="s">
        <v>169</v>
      </c>
      <c r="I6" s="92">
        <v>0.99439999999999995</v>
      </c>
      <c r="J6" s="93">
        <v>179</v>
      </c>
      <c r="K6" s="94" t="s">
        <v>35</v>
      </c>
      <c r="L6" s="93">
        <v>29</v>
      </c>
      <c r="M6" s="93">
        <v>0</v>
      </c>
      <c r="N6" s="93">
        <v>1</v>
      </c>
      <c r="O6" s="95" t="s">
        <v>33</v>
      </c>
      <c r="P6" s="96">
        <v>0.49652777777777768</v>
      </c>
      <c r="Q6" s="93">
        <v>180</v>
      </c>
      <c r="R6" s="97" t="s">
        <v>170</v>
      </c>
    </row>
    <row r="7" spans="1:92" ht="49.95" customHeight="1" thickBot="1" x14ac:dyDescent="0.35">
      <c r="A7" s="98" t="s">
        <v>28</v>
      </c>
      <c r="B7" s="98" t="s">
        <v>171</v>
      </c>
      <c r="C7" s="99">
        <v>0.57986111111111105</v>
      </c>
      <c r="D7" s="98" t="s">
        <v>30</v>
      </c>
      <c r="E7" s="100"/>
      <c r="F7" s="98" t="s">
        <v>45</v>
      </c>
      <c r="G7" s="217"/>
      <c r="H7" s="59" t="s">
        <v>171</v>
      </c>
      <c r="I7" s="60">
        <v>0.9889</v>
      </c>
      <c r="J7" s="61">
        <v>178</v>
      </c>
      <c r="K7" s="62" t="s">
        <v>35</v>
      </c>
      <c r="L7" s="61">
        <v>47</v>
      </c>
      <c r="M7" s="61">
        <v>0</v>
      </c>
      <c r="N7" s="61">
        <v>4</v>
      </c>
      <c r="O7" s="63" t="s">
        <v>112</v>
      </c>
      <c r="P7" s="64">
        <v>0.57986111111111105</v>
      </c>
      <c r="Q7" s="61">
        <v>180</v>
      </c>
      <c r="R7" s="65" t="s">
        <v>172</v>
      </c>
    </row>
    <row r="8" spans="1:92" ht="17.399999999999999" customHeight="1" thickBot="1" x14ac:dyDescent="0.35">
      <c r="A8" s="233"/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5"/>
    </row>
    <row r="9" spans="1:92" ht="22.05" customHeight="1" thickTop="1" thickBot="1" x14ac:dyDescent="0.35">
      <c r="A9" s="206" t="s">
        <v>8</v>
      </c>
      <c r="B9" s="207"/>
      <c r="C9" s="207"/>
      <c r="D9" s="207"/>
      <c r="E9" s="207"/>
      <c r="F9" s="208"/>
      <c r="G9" s="18">
        <v>45985</v>
      </c>
      <c r="H9" s="209" t="s">
        <v>9</v>
      </c>
      <c r="I9" s="207"/>
      <c r="J9" s="207"/>
      <c r="K9" s="207"/>
      <c r="L9" s="207"/>
      <c r="M9" s="207"/>
      <c r="N9" s="207"/>
      <c r="O9" s="207"/>
      <c r="P9" s="207"/>
      <c r="Q9" s="207"/>
      <c r="R9" s="208"/>
    </row>
    <row r="10" spans="1:92" ht="24" customHeight="1" x14ac:dyDescent="0.3">
      <c r="A10" s="19" t="s">
        <v>10</v>
      </c>
      <c r="B10" s="19" t="s">
        <v>11</v>
      </c>
      <c r="C10" s="20" t="s">
        <v>12</v>
      </c>
      <c r="D10" s="19" t="s">
        <v>13</v>
      </c>
      <c r="E10" s="19" t="s">
        <v>14</v>
      </c>
      <c r="F10" s="21" t="s">
        <v>15</v>
      </c>
      <c r="G10" s="22" t="s">
        <v>16</v>
      </c>
      <c r="H10" s="19" t="s">
        <v>17</v>
      </c>
      <c r="I10" s="23" t="s">
        <v>18</v>
      </c>
      <c r="J10" s="24" t="s">
        <v>19</v>
      </c>
      <c r="K10" s="25" t="s">
        <v>20</v>
      </c>
      <c r="L10" s="24" t="s">
        <v>21</v>
      </c>
      <c r="M10" s="24" t="s">
        <v>22</v>
      </c>
      <c r="N10" s="24" t="s">
        <v>23</v>
      </c>
      <c r="O10" s="19" t="s">
        <v>24</v>
      </c>
      <c r="P10" s="20" t="s">
        <v>25</v>
      </c>
      <c r="Q10" s="24" t="s">
        <v>26</v>
      </c>
      <c r="R10" s="19" t="s">
        <v>27</v>
      </c>
    </row>
    <row r="11" spans="1:92" ht="49.95" customHeight="1" x14ac:dyDescent="0.3">
      <c r="A11" s="36" t="s">
        <v>28</v>
      </c>
      <c r="B11" s="36" t="s">
        <v>171</v>
      </c>
      <c r="C11" s="37">
        <v>0.14930555555555561</v>
      </c>
      <c r="D11" s="36" t="s">
        <v>30</v>
      </c>
      <c r="E11" s="38"/>
      <c r="F11" s="36" t="s">
        <v>31</v>
      </c>
      <c r="G11" s="205"/>
      <c r="H11" s="101" t="s">
        <v>171</v>
      </c>
      <c r="I11" s="102">
        <v>0.99439999999999995</v>
      </c>
      <c r="J11" s="103">
        <v>179</v>
      </c>
      <c r="K11" s="104" t="s">
        <v>39</v>
      </c>
      <c r="L11" s="103">
        <v>7</v>
      </c>
      <c r="M11" s="103">
        <v>0</v>
      </c>
      <c r="N11" s="103">
        <v>0</v>
      </c>
      <c r="O11" s="105" t="s">
        <v>33</v>
      </c>
      <c r="P11" s="106">
        <v>0.14930555555555561</v>
      </c>
      <c r="Q11" s="103">
        <v>180</v>
      </c>
      <c r="R11" s="107" t="s">
        <v>173</v>
      </c>
    </row>
    <row r="12" spans="1:92" ht="49.95" customHeight="1" thickBot="1" x14ac:dyDescent="0.35">
      <c r="A12" s="108" t="s">
        <v>28</v>
      </c>
      <c r="B12" s="108" t="s">
        <v>169</v>
      </c>
      <c r="C12" s="109">
        <v>0.45833333333333331</v>
      </c>
      <c r="D12" s="108" t="s">
        <v>30</v>
      </c>
      <c r="E12" s="110"/>
      <c r="F12" s="108" t="s">
        <v>31</v>
      </c>
      <c r="G12" s="217"/>
      <c r="H12" s="69" t="s">
        <v>169</v>
      </c>
      <c r="I12" s="70">
        <v>1</v>
      </c>
      <c r="J12" s="71">
        <v>180</v>
      </c>
      <c r="K12" s="72" t="s">
        <v>35</v>
      </c>
      <c r="L12" s="71">
        <v>12</v>
      </c>
      <c r="M12" s="71">
        <v>0</v>
      </c>
      <c r="N12" s="71">
        <v>1</v>
      </c>
      <c r="O12" s="73" t="s">
        <v>33</v>
      </c>
      <c r="P12" s="74">
        <v>0.45833333333333331</v>
      </c>
      <c r="Q12" s="71">
        <v>180</v>
      </c>
      <c r="R12" s="75" t="s">
        <v>174</v>
      </c>
    </row>
    <row r="13" spans="1:92" ht="17.399999999999999" customHeight="1" thickBot="1" x14ac:dyDescent="0.3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5"/>
    </row>
    <row r="14" spans="1:92" ht="22.05" customHeight="1" thickTop="1" thickBot="1" x14ac:dyDescent="0.35">
      <c r="A14" s="206" t="s">
        <v>8</v>
      </c>
      <c r="B14" s="207"/>
      <c r="C14" s="207"/>
      <c r="D14" s="207"/>
      <c r="E14" s="207"/>
      <c r="F14" s="208"/>
      <c r="G14" s="18">
        <v>45986</v>
      </c>
      <c r="H14" s="209" t="s">
        <v>9</v>
      </c>
      <c r="I14" s="207"/>
      <c r="J14" s="207"/>
      <c r="K14" s="207"/>
      <c r="L14" s="207"/>
      <c r="M14" s="207"/>
      <c r="N14" s="207"/>
      <c r="O14" s="207"/>
      <c r="P14" s="207"/>
      <c r="Q14" s="207"/>
      <c r="R14" s="208"/>
    </row>
    <row r="15" spans="1:92" ht="24" customHeight="1" x14ac:dyDescent="0.3">
      <c r="A15" s="19" t="s">
        <v>10</v>
      </c>
      <c r="B15" s="19" t="s">
        <v>11</v>
      </c>
      <c r="C15" s="20" t="s">
        <v>12</v>
      </c>
      <c r="D15" s="19" t="s">
        <v>13</v>
      </c>
      <c r="E15" s="19" t="s">
        <v>14</v>
      </c>
      <c r="F15" s="21" t="s">
        <v>15</v>
      </c>
      <c r="G15" s="22" t="s">
        <v>16</v>
      </c>
      <c r="H15" s="19" t="s">
        <v>17</v>
      </c>
      <c r="I15" s="23" t="s">
        <v>18</v>
      </c>
      <c r="J15" s="24" t="s">
        <v>19</v>
      </c>
      <c r="K15" s="25" t="s">
        <v>20</v>
      </c>
      <c r="L15" s="24" t="s">
        <v>21</v>
      </c>
      <c r="M15" s="24" t="s">
        <v>22</v>
      </c>
      <c r="N15" s="24" t="s">
        <v>23</v>
      </c>
      <c r="O15" s="19" t="s">
        <v>24</v>
      </c>
      <c r="P15" s="20" t="s">
        <v>25</v>
      </c>
      <c r="Q15" s="24" t="s">
        <v>26</v>
      </c>
      <c r="R15" s="19" t="s">
        <v>27</v>
      </c>
    </row>
    <row r="16" spans="1:92" ht="49.95" customHeight="1" thickTop="1" thickBot="1" x14ac:dyDescent="0.35">
      <c r="A16" s="88" t="s">
        <v>28</v>
      </c>
      <c r="B16" s="88" t="s">
        <v>169</v>
      </c>
      <c r="C16" s="89">
        <v>0.52083333333333337</v>
      </c>
      <c r="D16" s="88" t="s">
        <v>30</v>
      </c>
      <c r="E16" s="90"/>
      <c r="F16" s="88" t="s">
        <v>31</v>
      </c>
      <c r="G16" s="205"/>
      <c r="H16" s="111" t="s">
        <v>169</v>
      </c>
      <c r="I16" s="112">
        <v>1</v>
      </c>
      <c r="J16" s="113">
        <v>180</v>
      </c>
      <c r="K16" s="114" t="s">
        <v>175</v>
      </c>
      <c r="L16" s="113">
        <v>0</v>
      </c>
      <c r="M16" s="113">
        <v>0</v>
      </c>
      <c r="N16" s="113">
        <v>0</v>
      </c>
      <c r="O16" s="115" t="s">
        <v>33</v>
      </c>
      <c r="P16" s="116">
        <v>0.52083333333333337</v>
      </c>
      <c r="Q16" s="113">
        <v>180</v>
      </c>
      <c r="R16" s="117" t="s">
        <v>176</v>
      </c>
    </row>
    <row r="17" spans="1:18" ht="17.399999999999999" customHeight="1" thickBot="1" x14ac:dyDescent="0.35">
      <c r="A17" s="233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5"/>
    </row>
    <row r="18" spans="1:18" ht="22.05" customHeight="1" thickTop="1" thickBot="1" x14ac:dyDescent="0.35">
      <c r="A18" s="206" t="s">
        <v>8</v>
      </c>
      <c r="B18" s="207"/>
      <c r="C18" s="207"/>
      <c r="D18" s="207"/>
      <c r="E18" s="207"/>
      <c r="F18" s="208"/>
      <c r="G18" s="18">
        <v>45987</v>
      </c>
      <c r="H18" s="209" t="s">
        <v>9</v>
      </c>
      <c r="I18" s="207"/>
      <c r="J18" s="207"/>
      <c r="K18" s="207"/>
      <c r="L18" s="207"/>
      <c r="M18" s="207"/>
      <c r="N18" s="207"/>
      <c r="O18" s="207"/>
      <c r="P18" s="207"/>
      <c r="Q18" s="207"/>
      <c r="R18" s="208"/>
    </row>
    <row r="19" spans="1:18" ht="24" customHeight="1" x14ac:dyDescent="0.3">
      <c r="A19" s="19" t="s">
        <v>10</v>
      </c>
      <c r="B19" s="19" t="s">
        <v>11</v>
      </c>
      <c r="C19" s="20" t="s">
        <v>12</v>
      </c>
      <c r="D19" s="19" t="s">
        <v>13</v>
      </c>
      <c r="E19" s="19" t="s">
        <v>14</v>
      </c>
      <c r="F19" s="21" t="s">
        <v>15</v>
      </c>
      <c r="G19" s="22" t="s">
        <v>16</v>
      </c>
      <c r="H19" s="19" t="s">
        <v>17</v>
      </c>
      <c r="I19" s="23" t="s">
        <v>18</v>
      </c>
      <c r="J19" s="24" t="s">
        <v>19</v>
      </c>
      <c r="K19" s="25" t="s">
        <v>20</v>
      </c>
      <c r="L19" s="24" t="s">
        <v>21</v>
      </c>
      <c r="M19" s="24" t="s">
        <v>22</v>
      </c>
      <c r="N19" s="24" t="s">
        <v>23</v>
      </c>
      <c r="O19" s="19" t="s">
        <v>24</v>
      </c>
      <c r="P19" s="20" t="s">
        <v>25</v>
      </c>
      <c r="Q19" s="24" t="s">
        <v>26</v>
      </c>
      <c r="R19" s="19" t="s">
        <v>27</v>
      </c>
    </row>
    <row r="20" spans="1:18" ht="49.95" customHeight="1" x14ac:dyDescent="0.3">
      <c r="A20" s="26" t="s">
        <v>28</v>
      </c>
      <c r="B20" s="26" t="s">
        <v>169</v>
      </c>
      <c r="C20" s="27">
        <v>0.14583333333333329</v>
      </c>
      <c r="D20" s="26" t="s">
        <v>30</v>
      </c>
      <c r="E20" s="28"/>
      <c r="F20" s="26" t="s">
        <v>31</v>
      </c>
      <c r="G20" s="205"/>
      <c r="H20" s="118" t="s">
        <v>169</v>
      </c>
      <c r="I20" s="119">
        <v>0.99439999999999995</v>
      </c>
      <c r="J20" s="120">
        <v>179</v>
      </c>
      <c r="K20" s="121" t="s">
        <v>35</v>
      </c>
      <c r="L20" s="120">
        <v>13</v>
      </c>
      <c r="M20" s="120">
        <v>0</v>
      </c>
      <c r="N20" s="120">
        <v>2</v>
      </c>
      <c r="O20" s="122" t="s">
        <v>33</v>
      </c>
      <c r="P20" s="123">
        <v>0.14583333333333329</v>
      </c>
      <c r="Q20" s="120">
        <v>180</v>
      </c>
      <c r="R20" s="124" t="s">
        <v>177</v>
      </c>
    </row>
    <row r="21" spans="1:18" ht="49.95" customHeight="1" x14ac:dyDescent="0.3">
      <c r="A21" s="125" t="s">
        <v>28</v>
      </c>
      <c r="B21" s="125" t="s">
        <v>171</v>
      </c>
      <c r="C21" s="126">
        <v>0.53125</v>
      </c>
      <c r="D21" s="125" t="s">
        <v>30</v>
      </c>
      <c r="E21" s="127"/>
      <c r="F21" s="125" t="s">
        <v>31</v>
      </c>
      <c r="G21" s="218"/>
      <c r="H21" s="128" t="s">
        <v>171</v>
      </c>
      <c r="I21" s="129">
        <v>1</v>
      </c>
      <c r="J21" s="130">
        <v>180</v>
      </c>
      <c r="K21" s="131" t="s">
        <v>178</v>
      </c>
      <c r="L21" s="130">
        <v>0</v>
      </c>
      <c r="M21" s="130">
        <v>0</v>
      </c>
      <c r="N21" s="130">
        <v>0</v>
      </c>
      <c r="O21" s="132" t="s">
        <v>33</v>
      </c>
      <c r="P21" s="133">
        <v>0.53125</v>
      </c>
      <c r="Q21" s="130">
        <v>180</v>
      </c>
      <c r="R21" s="134" t="s">
        <v>179</v>
      </c>
    </row>
    <row r="22" spans="1:18" ht="49.95" customHeight="1" thickBot="1" x14ac:dyDescent="0.35">
      <c r="A22" s="135" t="s">
        <v>28</v>
      </c>
      <c r="B22" s="135" t="s">
        <v>180</v>
      </c>
      <c r="C22" s="136">
        <v>0.86111111111111116</v>
      </c>
      <c r="D22" s="135" t="s">
        <v>30</v>
      </c>
      <c r="E22" s="137"/>
      <c r="F22" s="135" t="s">
        <v>31</v>
      </c>
      <c r="G22" s="217"/>
      <c r="H22" s="29" t="s">
        <v>180</v>
      </c>
      <c r="I22" s="30">
        <v>1</v>
      </c>
      <c r="J22" s="31">
        <v>180</v>
      </c>
      <c r="K22" s="32" t="s">
        <v>64</v>
      </c>
      <c r="L22" s="31">
        <v>0</v>
      </c>
      <c r="M22" s="31">
        <v>0</v>
      </c>
      <c r="N22" s="31">
        <v>0</v>
      </c>
      <c r="O22" s="33" t="s">
        <v>33</v>
      </c>
      <c r="P22" s="34">
        <v>0.86111111111111116</v>
      </c>
      <c r="Q22" s="31">
        <v>180</v>
      </c>
      <c r="R22" s="35" t="s">
        <v>181</v>
      </c>
    </row>
    <row r="23" spans="1:18" ht="17.399999999999999" customHeight="1" thickBot="1" x14ac:dyDescent="0.3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2.05" customHeight="1" thickTop="1" thickBot="1" x14ac:dyDescent="0.35">
      <c r="A24" s="206" t="s">
        <v>8</v>
      </c>
      <c r="B24" s="207"/>
      <c r="C24" s="207"/>
      <c r="D24" s="207"/>
      <c r="E24" s="207"/>
      <c r="F24" s="208"/>
      <c r="G24" s="18">
        <v>45988</v>
      </c>
      <c r="H24" s="209" t="s">
        <v>9</v>
      </c>
      <c r="I24" s="207"/>
      <c r="J24" s="207"/>
      <c r="K24" s="207"/>
      <c r="L24" s="207"/>
      <c r="M24" s="207"/>
      <c r="N24" s="207"/>
      <c r="O24" s="207"/>
      <c r="P24" s="207"/>
      <c r="Q24" s="207"/>
      <c r="R24" s="20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35">
      <c r="A26" s="76" t="s">
        <v>28</v>
      </c>
      <c r="B26" s="76" t="s">
        <v>169</v>
      </c>
      <c r="C26" s="77">
        <v>8.6805555555555566E-2</v>
      </c>
      <c r="D26" s="76" t="s">
        <v>30</v>
      </c>
      <c r="E26" s="78"/>
      <c r="F26" s="76" t="s">
        <v>31</v>
      </c>
      <c r="G26" s="205"/>
      <c r="H26" s="79" t="s">
        <v>169</v>
      </c>
      <c r="I26" s="138">
        <v>0.99439999999999995</v>
      </c>
      <c r="J26" s="81">
        <v>179</v>
      </c>
      <c r="K26" s="82" t="s">
        <v>39</v>
      </c>
      <c r="L26" s="81">
        <v>13</v>
      </c>
      <c r="M26" s="81">
        <v>0</v>
      </c>
      <c r="N26" s="81">
        <v>0</v>
      </c>
      <c r="O26" s="83" t="s">
        <v>33</v>
      </c>
      <c r="P26" s="84">
        <v>8.6805555555555566E-2</v>
      </c>
      <c r="Q26" s="81">
        <v>180</v>
      </c>
      <c r="R26" s="85" t="s">
        <v>182</v>
      </c>
    </row>
    <row r="27" spans="1:18" ht="17.399999999999999" customHeight="1" thickBot="1" x14ac:dyDescent="0.35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2.05" customHeight="1" thickTop="1" thickBot="1" x14ac:dyDescent="0.35">
      <c r="A28" s="206" t="s">
        <v>8</v>
      </c>
      <c r="B28" s="207"/>
      <c r="C28" s="207"/>
      <c r="D28" s="207"/>
      <c r="E28" s="207"/>
      <c r="F28" s="208"/>
      <c r="G28" s="18">
        <v>45989</v>
      </c>
      <c r="H28" s="209" t="s">
        <v>9</v>
      </c>
      <c r="I28" s="207"/>
      <c r="J28" s="207"/>
      <c r="K28" s="207"/>
      <c r="L28" s="207"/>
      <c r="M28" s="207"/>
      <c r="N28" s="207"/>
      <c r="O28" s="207"/>
      <c r="P28" s="207"/>
      <c r="Q28" s="207"/>
      <c r="R28" s="20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66" t="s">
        <v>28</v>
      </c>
      <c r="B30" s="66" t="s">
        <v>169</v>
      </c>
      <c r="C30" s="67">
        <v>0.22916666666666671</v>
      </c>
      <c r="D30" s="66" t="s">
        <v>30</v>
      </c>
      <c r="E30" s="68"/>
      <c r="F30" s="66" t="s">
        <v>31</v>
      </c>
      <c r="G30" s="205"/>
      <c r="H30" s="69" t="s">
        <v>169</v>
      </c>
      <c r="I30" s="70">
        <v>0.99439999999999995</v>
      </c>
      <c r="J30" s="71">
        <v>179</v>
      </c>
      <c r="K30" s="72" t="s">
        <v>35</v>
      </c>
      <c r="L30" s="71">
        <v>65</v>
      </c>
      <c r="M30" s="71">
        <v>0</v>
      </c>
      <c r="N30" s="71">
        <v>11</v>
      </c>
      <c r="O30" s="73" t="s">
        <v>33</v>
      </c>
      <c r="P30" s="74">
        <v>0.22916666666666671</v>
      </c>
      <c r="Q30" s="71">
        <v>180</v>
      </c>
      <c r="R30" s="75" t="s">
        <v>183</v>
      </c>
    </row>
    <row r="31" spans="1:18" ht="17.399999999999999" customHeight="1" thickBot="1" x14ac:dyDescent="0.3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</row>
    <row r="32" spans="1:18" ht="22.05" customHeight="1" thickTop="1" thickBot="1" x14ac:dyDescent="0.35">
      <c r="A32" s="206" t="s">
        <v>8</v>
      </c>
      <c r="B32" s="207"/>
      <c r="C32" s="207"/>
      <c r="D32" s="207"/>
      <c r="E32" s="207"/>
      <c r="F32" s="208"/>
      <c r="G32" s="18">
        <v>45990</v>
      </c>
      <c r="H32" s="209" t="s">
        <v>9</v>
      </c>
      <c r="I32" s="207"/>
      <c r="J32" s="207"/>
      <c r="K32" s="207"/>
      <c r="L32" s="207"/>
      <c r="M32" s="207"/>
      <c r="N32" s="207"/>
      <c r="O32" s="207"/>
      <c r="P32" s="207"/>
      <c r="Q32" s="207"/>
      <c r="R32" s="20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x14ac:dyDescent="0.3">
      <c r="A34" s="26" t="s">
        <v>28</v>
      </c>
      <c r="B34" s="26" t="s">
        <v>171</v>
      </c>
      <c r="C34" s="27">
        <v>0.27083333333333331</v>
      </c>
      <c r="D34" s="26" t="s">
        <v>30</v>
      </c>
      <c r="E34" s="28"/>
      <c r="F34" s="26" t="s">
        <v>31</v>
      </c>
      <c r="G34" s="205"/>
      <c r="H34" s="118" t="s">
        <v>171</v>
      </c>
      <c r="I34" s="119">
        <v>1</v>
      </c>
      <c r="J34" s="120">
        <v>180</v>
      </c>
      <c r="K34" s="121" t="s">
        <v>37</v>
      </c>
      <c r="L34" s="120">
        <v>0</v>
      </c>
      <c r="M34" s="120">
        <v>0</v>
      </c>
      <c r="N34" s="120">
        <v>0</v>
      </c>
      <c r="O34" s="122" t="s">
        <v>33</v>
      </c>
      <c r="P34" s="123">
        <v>0.27083333333333331</v>
      </c>
      <c r="Q34" s="120">
        <v>180</v>
      </c>
      <c r="R34" s="124" t="s">
        <v>184</v>
      </c>
    </row>
    <row r="35" spans="1:18" ht="49.95" customHeight="1" thickBot="1" x14ac:dyDescent="0.35">
      <c r="A35" s="139" t="s">
        <v>28</v>
      </c>
      <c r="B35" s="139" t="s">
        <v>169</v>
      </c>
      <c r="C35" s="140">
        <v>0.60416666666666663</v>
      </c>
      <c r="D35" s="139" t="s">
        <v>30</v>
      </c>
      <c r="E35" s="141"/>
      <c r="F35" s="139" t="s">
        <v>31</v>
      </c>
      <c r="G35" s="217"/>
      <c r="H35" s="39" t="s">
        <v>169</v>
      </c>
      <c r="I35" s="40">
        <v>1</v>
      </c>
      <c r="J35" s="41">
        <v>180</v>
      </c>
      <c r="K35" s="42" t="s">
        <v>35</v>
      </c>
      <c r="L35" s="41">
        <v>17</v>
      </c>
      <c r="M35" s="41">
        <v>0</v>
      </c>
      <c r="N35" s="41">
        <v>5</v>
      </c>
      <c r="O35" s="43" t="s">
        <v>33</v>
      </c>
      <c r="P35" s="44">
        <v>0.60416666666666663</v>
      </c>
      <c r="Q35" s="41">
        <v>180</v>
      </c>
      <c r="R35" s="45" t="s">
        <v>185</v>
      </c>
    </row>
    <row r="36" spans="1:18" ht="17.399999999999999" customHeight="1" thickBot="1" x14ac:dyDescent="0.35">
      <c r="A36" s="233"/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5"/>
    </row>
    <row r="37" spans="1:18" ht="22.05" customHeight="1" thickTop="1" thickBot="1" x14ac:dyDescent="0.35">
      <c r="A37" s="206" t="s">
        <v>8</v>
      </c>
      <c r="B37" s="207"/>
      <c r="C37" s="207"/>
      <c r="D37" s="207"/>
      <c r="E37" s="207"/>
      <c r="F37" s="208"/>
      <c r="G37" s="18">
        <v>45991</v>
      </c>
      <c r="H37" s="209" t="s">
        <v>9</v>
      </c>
      <c r="I37" s="207"/>
      <c r="J37" s="207"/>
      <c r="K37" s="207"/>
      <c r="L37" s="207"/>
      <c r="M37" s="207"/>
      <c r="N37" s="207"/>
      <c r="O37" s="207"/>
      <c r="P37" s="207"/>
      <c r="Q37" s="207"/>
      <c r="R37" s="208"/>
    </row>
    <row r="38" spans="1:18" ht="24" customHeight="1" x14ac:dyDescent="0.3">
      <c r="A38" s="19" t="s">
        <v>10</v>
      </c>
      <c r="B38" s="19" t="s">
        <v>11</v>
      </c>
      <c r="C38" s="20" t="s">
        <v>12</v>
      </c>
      <c r="D38" s="19" t="s">
        <v>13</v>
      </c>
      <c r="E38" s="19" t="s">
        <v>14</v>
      </c>
      <c r="F38" s="21" t="s">
        <v>15</v>
      </c>
      <c r="G38" s="22" t="s">
        <v>16</v>
      </c>
      <c r="H38" s="19" t="s">
        <v>17</v>
      </c>
      <c r="I38" s="23" t="s">
        <v>18</v>
      </c>
      <c r="J38" s="24" t="s">
        <v>19</v>
      </c>
      <c r="K38" s="25" t="s">
        <v>20</v>
      </c>
      <c r="L38" s="24" t="s">
        <v>21</v>
      </c>
      <c r="M38" s="24" t="s">
        <v>22</v>
      </c>
      <c r="N38" s="24" t="s">
        <v>23</v>
      </c>
      <c r="O38" s="19" t="s">
        <v>24</v>
      </c>
      <c r="P38" s="20" t="s">
        <v>25</v>
      </c>
      <c r="Q38" s="24" t="s">
        <v>26</v>
      </c>
      <c r="R38" s="19" t="s">
        <v>27</v>
      </c>
    </row>
    <row r="39" spans="1:18" ht="49.95" customHeight="1" x14ac:dyDescent="0.3">
      <c r="A39" s="88" t="s">
        <v>28</v>
      </c>
      <c r="B39" s="88" t="s">
        <v>169</v>
      </c>
      <c r="C39" s="89">
        <v>0.49652777777777768</v>
      </c>
      <c r="D39" s="88" t="s">
        <v>30</v>
      </c>
      <c r="E39" s="90"/>
      <c r="F39" s="88" t="s">
        <v>31</v>
      </c>
      <c r="G39" s="201"/>
      <c r="H39" s="91" t="s">
        <v>169</v>
      </c>
      <c r="I39" s="92">
        <v>0.99439999999999995</v>
      </c>
      <c r="J39" s="93">
        <v>179</v>
      </c>
      <c r="K39" s="94" t="s">
        <v>35</v>
      </c>
      <c r="L39" s="93">
        <v>12</v>
      </c>
      <c r="M39" s="93">
        <v>0</v>
      </c>
      <c r="N39" s="93">
        <v>1</v>
      </c>
      <c r="O39" s="95" t="s">
        <v>33</v>
      </c>
      <c r="P39" s="96">
        <v>0.49652777777777768</v>
      </c>
      <c r="Q39" s="93">
        <v>180</v>
      </c>
      <c r="R39" s="97" t="s">
        <v>186</v>
      </c>
    </row>
    <row r="40" spans="1:18" ht="49.95" customHeight="1" thickBot="1" x14ac:dyDescent="0.35">
      <c r="A40" s="142" t="s">
        <v>28</v>
      </c>
      <c r="B40" s="142" t="s">
        <v>171</v>
      </c>
      <c r="C40" s="143">
        <v>0.57986111111111105</v>
      </c>
      <c r="D40" s="142" t="s">
        <v>30</v>
      </c>
      <c r="E40" s="144"/>
      <c r="F40" s="142" t="s">
        <v>31</v>
      </c>
      <c r="G40" s="217"/>
      <c r="H40" s="49" t="s">
        <v>171</v>
      </c>
      <c r="I40" s="50">
        <v>1</v>
      </c>
      <c r="J40" s="51">
        <v>180</v>
      </c>
      <c r="K40" s="52" t="s">
        <v>187</v>
      </c>
      <c r="L40" s="51">
        <v>2</v>
      </c>
      <c r="M40" s="51">
        <v>0</v>
      </c>
      <c r="N40" s="51">
        <v>0</v>
      </c>
      <c r="O40" s="53" t="s">
        <v>33</v>
      </c>
      <c r="P40" s="54">
        <v>0.57986111111111105</v>
      </c>
      <c r="Q40" s="51">
        <v>180</v>
      </c>
      <c r="R40" s="55" t="s">
        <v>188</v>
      </c>
    </row>
    <row r="41" spans="1:18" ht="17.399999999999999" customHeight="1" thickBot="1" x14ac:dyDescent="0.35">
      <c r="A41" s="233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5"/>
    </row>
    <row r="42" spans="1:18" ht="22.05" customHeight="1" thickTop="1" thickBot="1" x14ac:dyDescent="0.35">
      <c r="A42" s="206" t="s">
        <v>8</v>
      </c>
      <c r="B42" s="207"/>
      <c r="C42" s="207"/>
      <c r="D42" s="207"/>
      <c r="E42" s="207"/>
      <c r="F42" s="208"/>
      <c r="G42" s="18">
        <v>45992</v>
      </c>
      <c r="H42" s="209" t="s">
        <v>9</v>
      </c>
      <c r="I42" s="207"/>
      <c r="J42" s="207"/>
      <c r="K42" s="207"/>
      <c r="L42" s="207"/>
      <c r="M42" s="207"/>
      <c r="N42" s="207"/>
      <c r="O42" s="207"/>
      <c r="P42" s="207"/>
      <c r="Q42" s="207"/>
      <c r="R42" s="208"/>
    </row>
    <row r="43" spans="1:18" ht="24" customHeight="1" x14ac:dyDescent="0.3">
      <c r="A43" s="19" t="s">
        <v>10</v>
      </c>
      <c r="B43" s="19" t="s">
        <v>11</v>
      </c>
      <c r="C43" s="20" t="s">
        <v>12</v>
      </c>
      <c r="D43" s="19" t="s">
        <v>13</v>
      </c>
      <c r="E43" s="19" t="s">
        <v>14</v>
      </c>
      <c r="F43" s="21" t="s">
        <v>15</v>
      </c>
      <c r="G43" s="22" t="s">
        <v>16</v>
      </c>
      <c r="H43" s="19" t="s">
        <v>17</v>
      </c>
      <c r="I43" s="23" t="s">
        <v>18</v>
      </c>
      <c r="J43" s="24" t="s">
        <v>19</v>
      </c>
      <c r="K43" s="25" t="s">
        <v>20</v>
      </c>
      <c r="L43" s="24" t="s">
        <v>21</v>
      </c>
      <c r="M43" s="24" t="s">
        <v>22</v>
      </c>
      <c r="N43" s="24" t="s">
        <v>23</v>
      </c>
      <c r="O43" s="19" t="s">
        <v>24</v>
      </c>
      <c r="P43" s="20" t="s">
        <v>25</v>
      </c>
      <c r="Q43" s="24" t="s">
        <v>26</v>
      </c>
      <c r="R43" s="19" t="s">
        <v>27</v>
      </c>
    </row>
    <row r="44" spans="1:18" ht="49.95" customHeight="1" x14ac:dyDescent="0.3">
      <c r="A44" s="66" t="s">
        <v>28</v>
      </c>
      <c r="B44" s="66" t="s">
        <v>171</v>
      </c>
      <c r="C44" s="67">
        <v>0.14930555555555561</v>
      </c>
      <c r="D44" s="66" t="s">
        <v>30</v>
      </c>
      <c r="E44" s="68"/>
      <c r="F44" s="66" t="s">
        <v>31</v>
      </c>
      <c r="G44" s="205"/>
      <c r="H44" s="145" t="s">
        <v>171</v>
      </c>
      <c r="I44" s="146">
        <v>1.0056</v>
      </c>
      <c r="J44" s="147">
        <v>181</v>
      </c>
      <c r="K44" s="148" t="s">
        <v>58</v>
      </c>
      <c r="L44" s="147">
        <v>8</v>
      </c>
      <c r="M44" s="147">
        <v>0</v>
      </c>
      <c r="N44" s="147">
        <v>0</v>
      </c>
      <c r="O44" s="149" t="s">
        <v>33</v>
      </c>
      <c r="P44" s="150">
        <v>0.14930555555555561</v>
      </c>
      <c r="Q44" s="147">
        <v>180</v>
      </c>
      <c r="R44" s="151" t="s">
        <v>189</v>
      </c>
    </row>
    <row r="45" spans="1:18" ht="49.95" customHeight="1" thickBot="1" x14ac:dyDescent="0.35">
      <c r="A45" s="152" t="s">
        <v>28</v>
      </c>
      <c r="B45" s="152" t="s">
        <v>169</v>
      </c>
      <c r="C45" s="153">
        <v>0.45833333333333331</v>
      </c>
      <c r="D45" s="152" t="s">
        <v>30</v>
      </c>
      <c r="E45" s="154"/>
      <c r="F45" s="152" t="s">
        <v>31</v>
      </c>
      <c r="G45" s="217"/>
      <c r="H45" s="79" t="s">
        <v>169</v>
      </c>
      <c r="I45" s="138">
        <v>1</v>
      </c>
      <c r="J45" s="81">
        <v>180</v>
      </c>
      <c r="K45" s="82" t="s">
        <v>190</v>
      </c>
      <c r="L45" s="81">
        <v>5</v>
      </c>
      <c r="M45" s="81">
        <v>0</v>
      </c>
      <c r="N45" s="81">
        <v>0</v>
      </c>
      <c r="O45" s="83" t="s">
        <v>33</v>
      </c>
      <c r="P45" s="84">
        <v>0.45833333333333331</v>
      </c>
      <c r="Q45" s="81">
        <v>180</v>
      </c>
      <c r="R45" s="85" t="s">
        <v>191</v>
      </c>
    </row>
    <row r="46" spans="1:18" ht="17.399999999999999" customHeight="1" thickBot="1" x14ac:dyDescent="0.35">
      <c r="A46" s="233"/>
      <c r="B46" s="234"/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5"/>
    </row>
    <row r="47" spans="1:18" ht="22.05" customHeight="1" thickTop="1" thickBot="1" x14ac:dyDescent="0.35">
      <c r="A47" s="206" t="s">
        <v>8</v>
      </c>
      <c r="B47" s="207"/>
      <c r="C47" s="207"/>
      <c r="D47" s="207"/>
      <c r="E47" s="207"/>
      <c r="F47" s="208"/>
      <c r="G47" s="18">
        <v>45993</v>
      </c>
      <c r="H47" s="209" t="s">
        <v>9</v>
      </c>
      <c r="I47" s="207"/>
      <c r="J47" s="207"/>
      <c r="K47" s="207"/>
      <c r="L47" s="207"/>
      <c r="M47" s="207"/>
      <c r="N47" s="207"/>
      <c r="O47" s="207"/>
      <c r="P47" s="207"/>
      <c r="Q47" s="207"/>
      <c r="R47" s="208"/>
    </row>
    <row r="48" spans="1:18" ht="24" customHeight="1" x14ac:dyDescent="0.3">
      <c r="A48" s="19" t="s">
        <v>10</v>
      </c>
      <c r="B48" s="19" t="s">
        <v>11</v>
      </c>
      <c r="C48" s="20" t="s">
        <v>12</v>
      </c>
      <c r="D48" s="19" t="s">
        <v>13</v>
      </c>
      <c r="E48" s="19" t="s">
        <v>14</v>
      </c>
      <c r="F48" s="21" t="s">
        <v>15</v>
      </c>
      <c r="G48" s="22" t="s">
        <v>16</v>
      </c>
      <c r="H48" s="19" t="s">
        <v>17</v>
      </c>
      <c r="I48" s="23" t="s">
        <v>18</v>
      </c>
      <c r="J48" s="24" t="s">
        <v>19</v>
      </c>
      <c r="K48" s="25" t="s">
        <v>20</v>
      </c>
      <c r="L48" s="24" t="s">
        <v>21</v>
      </c>
      <c r="M48" s="24" t="s">
        <v>22</v>
      </c>
      <c r="N48" s="24" t="s">
        <v>23</v>
      </c>
      <c r="O48" s="19" t="s">
        <v>24</v>
      </c>
      <c r="P48" s="20" t="s">
        <v>25</v>
      </c>
      <c r="Q48" s="24" t="s">
        <v>26</v>
      </c>
      <c r="R48" s="19" t="s">
        <v>27</v>
      </c>
    </row>
    <row r="49" spans="1:18" ht="49.95" customHeight="1" thickTop="1" thickBot="1" x14ac:dyDescent="0.35">
      <c r="A49" s="56" t="s">
        <v>28</v>
      </c>
      <c r="B49" s="56" t="s">
        <v>169</v>
      </c>
      <c r="C49" s="57">
        <v>0.52083333333333337</v>
      </c>
      <c r="D49" s="56" t="s">
        <v>30</v>
      </c>
      <c r="E49" s="58"/>
      <c r="F49" s="56" t="s">
        <v>45</v>
      </c>
      <c r="G49" s="205"/>
      <c r="H49" s="59" t="s">
        <v>169</v>
      </c>
      <c r="I49" s="60">
        <v>0.97219999999999995</v>
      </c>
      <c r="J49" s="61">
        <v>175</v>
      </c>
      <c r="K49" s="62" t="s">
        <v>35</v>
      </c>
      <c r="L49" s="61">
        <v>26</v>
      </c>
      <c r="M49" s="61">
        <v>0</v>
      </c>
      <c r="N49" s="61">
        <v>10</v>
      </c>
      <c r="O49" s="63" t="s">
        <v>148</v>
      </c>
      <c r="P49" s="64">
        <v>0.52083333333333337</v>
      </c>
      <c r="Q49" s="61">
        <v>180</v>
      </c>
      <c r="R49" s="65" t="s">
        <v>192</v>
      </c>
    </row>
    <row r="50" spans="1:18" ht="17.399999999999999" customHeight="1" thickBot="1" x14ac:dyDescent="0.35">
      <c r="A50" s="233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5"/>
    </row>
    <row r="51" spans="1:18" ht="22.05" customHeight="1" thickTop="1" thickBot="1" x14ac:dyDescent="0.35">
      <c r="A51" s="206" t="s">
        <v>8</v>
      </c>
      <c r="B51" s="207"/>
      <c r="C51" s="207"/>
      <c r="D51" s="207"/>
      <c r="E51" s="207"/>
      <c r="F51" s="208"/>
      <c r="G51" s="18">
        <v>45994</v>
      </c>
      <c r="H51" s="209" t="s">
        <v>9</v>
      </c>
      <c r="I51" s="207"/>
      <c r="J51" s="207"/>
      <c r="K51" s="207"/>
      <c r="L51" s="207"/>
      <c r="M51" s="207"/>
      <c r="N51" s="207"/>
      <c r="O51" s="207"/>
      <c r="P51" s="207"/>
      <c r="Q51" s="207"/>
      <c r="R51" s="208"/>
    </row>
    <row r="52" spans="1:18" ht="24" customHeight="1" x14ac:dyDescent="0.3">
      <c r="A52" s="19" t="s">
        <v>10</v>
      </c>
      <c r="B52" s="19" t="s">
        <v>11</v>
      </c>
      <c r="C52" s="20" t="s">
        <v>12</v>
      </c>
      <c r="D52" s="19" t="s">
        <v>13</v>
      </c>
      <c r="E52" s="19" t="s">
        <v>14</v>
      </c>
      <c r="F52" s="21" t="s">
        <v>15</v>
      </c>
      <c r="G52" s="22" t="s">
        <v>16</v>
      </c>
      <c r="H52" s="19" t="s">
        <v>17</v>
      </c>
      <c r="I52" s="23" t="s">
        <v>18</v>
      </c>
      <c r="J52" s="24" t="s">
        <v>19</v>
      </c>
      <c r="K52" s="25" t="s">
        <v>20</v>
      </c>
      <c r="L52" s="24" t="s">
        <v>21</v>
      </c>
      <c r="M52" s="24" t="s">
        <v>22</v>
      </c>
      <c r="N52" s="24" t="s">
        <v>23</v>
      </c>
      <c r="O52" s="19" t="s">
        <v>24</v>
      </c>
      <c r="P52" s="20" t="s">
        <v>25</v>
      </c>
      <c r="Q52" s="24" t="s">
        <v>26</v>
      </c>
      <c r="R52" s="19" t="s">
        <v>27</v>
      </c>
    </row>
    <row r="53" spans="1:18" ht="49.95" customHeight="1" x14ac:dyDescent="0.3">
      <c r="A53" s="88" t="s">
        <v>28</v>
      </c>
      <c r="B53" s="88" t="s">
        <v>169</v>
      </c>
      <c r="C53" s="89">
        <v>0.14583333333333329</v>
      </c>
      <c r="D53" s="88" t="s">
        <v>30</v>
      </c>
      <c r="E53" s="90"/>
      <c r="F53" s="88" t="s">
        <v>31</v>
      </c>
      <c r="G53" s="205"/>
      <c r="H53" s="91" t="s">
        <v>169</v>
      </c>
      <c r="I53" s="92">
        <v>0.99439999999999995</v>
      </c>
      <c r="J53" s="93">
        <v>179</v>
      </c>
      <c r="K53" s="94" t="s">
        <v>46</v>
      </c>
      <c r="L53" s="93">
        <v>4</v>
      </c>
      <c r="M53" s="93">
        <v>0</v>
      </c>
      <c r="N53" s="93">
        <v>0</v>
      </c>
      <c r="O53" s="95" t="s">
        <v>33</v>
      </c>
      <c r="P53" s="96">
        <v>0.14583333333333329</v>
      </c>
      <c r="Q53" s="93">
        <v>180</v>
      </c>
      <c r="R53" s="97" t="s">
        <v>193</v>
      </c>
    </row>
    <row r="54" spans="1:18" ht="49.95" customHeight="1" x14ac:dyDescent="0.3">
      <c r="A54" s="155" t="s">
        <v>28</v>
      </c>
      <c r="B54" s="155" t="s">
        <v>171</v>
      </c>
      <c r="C54" s="156">
        <v>0.53125</v>
      </c>
      <c r="D54" s="155" t="s">
        <v>30</v>
      </c>
      <c r="E54" s="157"/>
      <c r="F54" s="155" t="s">
        <v>31</v>
      </c>
      <c r="G54" s="218"/>
      <c r="H54" s="118" t="s">
        <v>171</v>
      </c>
      <c r="I54" s="119">
        <v>0.99439999999999995</v>
      </c>
      <c r="J54" s="120">
        <v>179</v>
      </c>
      <c r="K54" s="121" t="s">
        <v>187</v>
      </c>
      <c r="L54" s="120">
        <v>20</v>
      </c>
      <c r="M54" s="120">
        <v>0</v>
      </c>
      <c r="N54" s="120">
        <v>0</v>
      </c>
      <c r="O54" s="122" t="s">
        <v>33</v>
      </c>
      <c r="P54" s="123">
        <v>0.53125</v>
      </c>
      <c r="Q54" s="120">
        <v>180</v>
      </c>
      <c r="R54" s="124" t="s">
        <v>194</v>
      </c>
    </row>
    <row r="55" spans="1:18" ht="49.95" customHeight="1" thickBot="1" x14ac:dyDescent="0.35">
      <c r="A55" s="139" t="s">
        <v>28</v>
      </c>
      <c r="B55" s="139" t="s">
        <v>180</v>
      </c>
      <c r="C55" s="140">
        <v>0.86111111111111116</v>
      </c>
      <c r="D55" s="139" t="s">
        <v>30</v>
      </c>
      <c r="E55" s="141"/>
      <c r="F55" s="139" t="s">
        <v>51</v>
      </c>
      <c r="G55" s="217"/>
      <c r="H55" s="39" t="s">
        <v>180</v>
      </c>
      <c r="I55" s="40">
        <v>0.9</v>
      </c>
      <c r="J55" s="41">
        <v>162</v>
      </c>
      <c r="K55" s="42" t="s">
        <v>35</v>
      </c>
      <c r="L55" s="41">
        <v>24</v>
      </c>
      <c r="M55" s="41">
        <v>0</v>
      </c>
      <c r="N55" s="41">
        <v>14</v>
      </c>
      <c r="O55" s="43" t="s">
        <v>77</v>
      </c>
      <c r="P55" s="44">
        <v>0.86111111111111116</v>
      </c>
      <c r="Q55" s="41">
        <v>180</v>
      </c>
      <c r="R55" s="45" t="s">
        <v>195</v>
      </c>
    </row>
    <row r="56" spans="1:18" ht="17.399999999999999" customHeight="1" thickBot="1" x14ac:dyDescent="0.35">
      <c r="A56" s="233"/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5"/>
    </row>
    <row r="57" spans="1:18" ht="22.05" customHeight="1" thickTop="1" thickBot="1" x14ac:dyDescent="0.35">
      <c r="A57" s="206" t="s">
        <v>8</v>
      </c>
      <c r="B57" s="207"/>
      <c r="C57" s="207"/>
      <c r="D57" s="207"/>
      <c r="E57" s="207"/>
      <c r="F57" s="208"/>
      <c r="G57" s="18">
        <v>45995</v>
      </c>
      <c r="H57" s="209" t="s">
        <v>9</v>
      </c>
      <c r="I57" s="207"/>
      <c r="J57" s="207"/>
      <c r="K57" s="207"/>
      <c r="L57" s="207"/>
      <c r="M57" s="207"/>
      <c r="N57" s="207"/>
      <c r="O57" s="207"/>
      <c r="P57" s="207"/>
      <c r="Q57" s="207"/>
      <c r="R57" s="208"/>
    </row>
    <row r="58" spans="1:18" ht="24" customHeight="1" x14ac:dyDescent="0.3">
      <c r="A58" s="19" t="s">
        <v>10</v>
      </c>
      <c r="B58" s="19" t="s">
        <v>11</v>
      </c>
      <c r="C58" s="20" t="s">
        <v>12</v>
      </c>
      <c r="D58" s="19" t="s">
        <v>13</v>
      </c>
      <c r="E58" s="19" t="s">
        <v>14</v>
      </c>
      <c r="F58" s="21" t="s">
        <v>15</v>
      </c>
      <c r="G58" s="22" t="s">
        <v>16</v>
      </c>
      <c r="H58" s="19" t="s">
        <v>17</v>
      </c>
      <c r="I58" s="23" t="s">
        <v>18</v>
      </c>
      <c r="J58" s="24" t="s">
        <v>19</v>
      </c>
      <c r="K58" s="25" t="s">
        <v>20</v>
      </c>
      <c r="L58" s="24" t="s">
        <v>21</v>
      </c>
      <c r="M58" s="24" t="s">
        <v>22</v>
      </c>
      <c r="N58" s="24" t="s">
        <v>23</v>
      </c>
      <c r="O58" s="19" t="s">
        <v>24</v>
      </c>
      <c r="P58" s="20" t="s">
        <v>25</v>
      </c>
      <c r="Q58" s="24" t="s">
        <v>26</v>
      </c>
      <c r="R58" s="19" t="s">
        <v>27</v>
      </c>
    </row>
    <row r="59" spans="1:18" ht="49.95" customHeight="1" thickTop="1" thickBot="1" x14ac:dyDescent="0.35">
      <c r="A59" s="36" t="s">
        <v>28</v>
      </c>
      <c r="B59" s="36" t="s">
        <v>169</v>
      </c>
      <c r="C59" s="37">
        <v>8.6805555555555566E-2</v>
      </c>
      <c r="D59" s="36" t="s">
        <v>30</v>
      </c>
      <c r="E59" s="38"/>
      <c r="F59" s="36" t="s">
        <v>51</v>
      </c>
      <c r="G59" s="205"/>
      <c r="H59" s="39" t="s">
        <v>169</v>
      </c>
      <c r="I59" s="40">
        <v>0.91669999999999996</v>
      </c>
      <c r="J59" s="41">
        <v>165</v>
      </c>
      <c r="K59" s="42" t="s">
        <v>35</v>
      </c>
      <c r="L59" s="41">
        <v>14</v>
      </c>
      <c r="M59" s="41">
        <v>0</v>
      </c>
      <c r="N59" s="41">
        <v>3</v>
      </c>
      <c r="O59" s="43" t="s">
        <v>52</v>
      </c>
      <c r="P59" s="44">
        <v>8.6805555555555566E-2</v>
      </c>
      <c r="Q59" s="41">
        <v>180</v>
      </c>
      <c r="R59" s="45" t="s">
        <v>196</v>
      </c>
    </row>
    <row r="60" spans="1:18" ht="17.399999999999999" customHeight="1" thickBot="1" x14ac:dyDescent="0.35">
      <c r="A60" s="233"/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5"/>
    </row>
    <row r="61" spans="1:18" ht="22.05" customHeight="1" thickTop="1" thickBot="1" x14ac:dyDescent="0.35">
      <c r="A61" s="206" t="s">
        <v>8</v>
      </c>
      <c r="B61" s="207"/>
      <c r="C61" s="207"/>
      <c r="D61" s="207"/>
      <c r="E61" s="207"/>
      <c r="F61" s="208"/>
      <c r="G61" s="18">
        <v>45996</v>
      </c>
      <c r="H61" s="209" t="s">
        <v>9</v>
      </c>
      <c r="I61" s="207"/>
      <c r="J61" s="207"/>
      <c r="K61" s="207"/>
      <c r="L61" s="207"/>
      <c r="M61" s="207"/>
      <c r="N61" s="207"/>
      <c r="O61" s="207"/>
      <c r="P61" s="207"/>
      <c r="Q61" s="207"/>
      <c r="R61" s="208"/>
    </row>
    <row r="62" spans="1:18" ht="24" customHeight="1" x14ac:dyDescent="0.3">
      <c r="A62" s="19" t="s">
        <v>10</v>
      </c>
      <c r="B62" s="19" t="s">
        <v>11</v>
      </c>
      <c r="C62" s="20" t="s">
        <v>12</v>
      </c>
      <c r="D62" s="19" t="s">
        <v>13</v>
      </c>
      <c r="E62" s="19" t="s">
        <v>14</v>
      </c>
      <c r="F62" s="21" t="s">
        <v>15</v>
      </c>
      <c r="G62" s="22" t="s">
        <v>16</v>
      </c>
      <c r="H62" s="19" t="s">
        <v>17</v>
      </c>
      <c r="I62" s="23" t="s">
        <v>18</v>
      </c>
      <c r="J62" s="24" t="s">
        <v>19</v>
      </c>
      <c r="K62" s="25" t="s">
        <v>20</v>
      </c>
      <c r="L62" s="24" t="s">
        <v>21</v>
      </c>
      <c r="M62" s="24" t="s">
        <v>22</v>
      </c>
      <c r="N62" s="24" t="s">
        <v>23</v>
      </c>
      <c r="O62" s="19" t="s">
        <v>24</v>
      </c>
      <c r="P62" s="20" t="s">
        <v>25</v>
      </c>
      <c r="Q62" s="24" t="s">
        <v>26</v>
      </c>
      <c r="R62" s="19" t="s">
        <v>27</v>
      </c>
    </row>
    <row r="63" spans="1:18" ht="49.95" customHeight="1" thickTop="1" thickBot="1" x14ac:dyDescent="0.35">
      <c r="A63" s="46" t="s">
        <v>28</v>
      </c>
      <c r="B63" s="46" t="s">
        <v>169</v>
      </c>
      <c r="C63" s="47">
        <v>0.22916666666666671</v>
      </c>
      <c r="D63" s="46" t="s">
        <v>30</v>
      </c>
      <c r="E63" s="48"/>
      <c r="F63" s="46" t="s">
        <v>197</v>
      </c>
      <c r="G63" s="205"/>
      <c r="H63" s="49" t="s">
        <v>169</v>
      </c>
      <c r="I63" s="158">
        <v>0.21110000000000001</v>
      </c>
      <c r="J63" s="51">
        <v>38</v>
      </c>
      <c r="K63" s="52" t="s">
        <v>187</v>
      </c>
      <c r="L63" s="51">
        <v>17</v>
      </c>
      <c r="M63" s="51">
        <v>0</v>
      </c>
      <c r="N63" s="51">
        <v>0</v>
      </c>
      <c r="O63" s="53" t="s">
        <v>198</v>
      </c>
      <c r="P63" s="54">
        <v>0.22916666666666671</v>
      </c>
      <c r="Q63" s="51">
        <v>180</v>
      </c>
      <c r="R63" s="55" t="s">
        <v>199</v>
      </c>
    </row>
    <row r="64" spans="1:18" ht="17.399999999999999" customHeight="1" thickBot="1" x14ac:dyDescent="0.35">
      <c r="A64" s="233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5"/>
    </row>
    <row r="65" spans="1:18" ht="22.05" customHeight="1" thickTop="1" thickBot="1" x14ac:dyDescent="0.35">
      <c r="A65" s="206" t="s">
        <v>8</v>
      </c>
      <c r="B65" s="207"/>
      <c r="C65" s="207"/>
      <c r="D65" s="207"/>
      <c r="E65" s="207"/>
      <c r="F65" s="208"/>
      <c r="G65" s="18">
        <v>45997</v>
      </c>
      <c r="H65" s="209" t="s">
        <v>9</v>
      </c>
      <c r="I65" s="207"/>
      <c r="J65" s="207"/>
      <c r="K65" s="207"/>
      <c r="L65" s="207"/>
      <c r="M65" s="207"/>
      <c r="N65" s="207"/>
      <c r="O65" s="207"/>
      <c r="P65" s="207"/>
      <c r="Q65" s="207"/>
      <c r="R65" s="208"/>
    </row>
    <row r="66" spans="1:18" ht="24" customHeight="1" x14ac:dyDescent="0.3">
      <c r="A66" s="19" t="s">
        <v>10</v>
      </c>
      <c r="B66" s="19" t="s">
        <v>11</v>
      </c>
      <c r="C66" s="20" t="s">
        <v>12</v>
      </c>
      <c r="D66" s="19" t="s">
        <v>13</v>
      </c>
      <c r="E66" s="19" t="s">
        <v>14</v>
      </c>
      <c r="F66" s="21" t="s">
        <v>15</v>
      </c>
      <c r="G66" s="22" t="s">
        <v>16</v>
      </c>
      <c r="H66" s="19" t="s">
        <v>17</v>
      </c>
      <c r="I66" s="23" t="s">
        <v>18</v>
      </c>
      <c r="J66" s="24" t="s">
        <v>19</v>
      </c>
      <c r="K66" s="25" t="s">
        <v>20</v>
      </c>
      <c r="L66" s="24" t="s">
        <v>21</v>
      </c>
      <c r="M66" s="24" t="s">
        <v>22</v>
      </c>
      <c r="N66" s="24" t="s">
        <v>23</v>
      </c>
      <c r="O66" s="19" t="s">
        <v>24</v>
      </c>
      <c r="P66" s="20" t="s">
        <v>25</v>
      </c>
      <c r="Q66" s="24" t="s">
        <v>26</v>
      </c>
      <c r="R66" s="19" t="s">
        <v>27</v>
      </c>
    </row>
    <row r="67" spans="1:18" ht="49.95" customHeight="1" x14ac:dyDescent="0.3">
      <c r="A67" s="66" t="s">
        <v>28</v>
      </c>
      <c r="B67" s="66" t="s">
        <v>171</v>
      </c>
      <c r="C67" s="67">
        <v>0.27083333333333331</v>
      </c>
      <c r="D67" s="66" t="s">
        <v>30</v>
      </c>
      <c r="E67" s="68"/>
      <c r="F67" s="66" t="s">
        <v>51</v>
      </c>
      <c r="G67" s="205"/>
      <c r="H67" s="145" t="s">
        <v>171</v>
      </c>
      <c r="I67" s="146">
        <v>0.88329999999999997</v>
      </c>
      <c r="J67" s="147">
        <v>159</v>
      </c>
      <c r="K67" s="148" t="s">
        <v>58</v>
      </c>
      <c r="L67" s="147">
        <v>14</v>
      </c>
      <c r="M67" s="147">
        <v>0</v>
      </c>
      <c r="N67" s="147">
        <v>0</v>
      </c>
      <c r="O67" s="149" t="s">
        <v>145</v>
      </c>
      <c r="P67" s="150">
        <v>0.27083333333333331</v>
      </c>
      <c r="Q67" s="147">
        <v>180</v>
      </c>
      <c r="R67" s="151" t="s">
        <v>200</v>
      </c>
    </row>
    <row r="68" spans="1:18" ht="49.95" customHeight="1" thickBot="1" x14ac:dyDescent="0.35">
      <c r="A68" s="135" t="s">
        <v>28</v>
      </c>
      <c r="B68" s="135" t="s">
        <v>169</v>
      </c>
      <c r="C68" s="136">
        <v>0.60416666666666663</v>
      </c>
      <c r="D68" s="135" t="s">
        <v>30</v>
      </c>
      <c r="E68" s="137"/>
      <c r="F68" s="135" t="s">
        <v>63</v>
      </c>
      <c r="G68" s="217"/>
      <c r="H68" s="29" t="s">
        <v>169</v>
      </c>
      <c r="I68" s="159">
        <v>0.62780000000000002</v>
      </c>
      <c r="J68" s="31">
        <v>113</v>
      </c>
      <c r="K68" s="32" t="s">
        <v>35</v>
      </c>
      <c r="L68" s="31">
        <v>9</v>
      </c>
      <c r="M68" s="31">
        <v>0</v>
      </c>
      <c r="N68" s="31">
        <v>2</v>
      </c>
      <c r="O68" s="33" t="s">
        <v>52</v>
      </c>
      <c r="P68" s="34">
        <v>0.60416666666666663</v>
      </c>
      <c r="Q68" s="31">
        <v>180</v>
      </c>
      <c r="R68" s="35" t="s">
        <v>201</v>
      </c>
    </row>
    <row r="69" spans="1:18" ht="17.399999999999999" customHeight="1" thickBot="1" x14ac:dyDescent="0.35">
      <c r="A69" s="233"/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5"/>
    </row>
    <row r="70" spans="1:18" ht="22.05" customHeight="1" thickTop="1" thickBot="1" x14ac:dyDescent="0.35">
      <c r="A70" s="206" t="s">
        <v>8</v>
      </c>
      <c r="B70" s="207"/>
      <c r="C70" s="207"/>
      <c r="D70" s="207"/>
      <c r="E70" s="207"/>
      <c r="F70" s="208"/>
      <c r="G70" s="18">
        <v>45998</v>
      </c>
      <c r="H70" s="209" t="s">
        <v>9</v>
      </c>
      <c r="I70" s="207"/>
      <c r="J70" s="207"/>
      <c r="K70" s="207"/>
      <c r="L70" s="207"/>
      <c r="M70" s="207"/>
      <c r="N70" s="207"/>
      <c r="O70" s="207"/>
      <c r="P70" s="207"/>
      <c r="Q70" s="207"/>
      <c r="R70" s="208"/>
    </row>
    <row r="71" spans="1:18" ht="24" customHeight="1" x14ac:dyDescent="0.3">
      <c r="A71" s="19" t="s">
        <v>10</v>
      </c>
      <c r="B71" s="19" t="s">
        <v>11</v>
      </c>
      <c r="C71" s="20" t="s">
        <v>12</v>
      </c>
      <c r="D71" s="19" t="s">
        <v>13</v>
      </c>
      <c r="E71" s="19" t="s">
        <v>14</v>
      </c>
      <c r="F71" s="21" t="s">
        <v>15</v>
      </c>
      <c r="G71" s="22" t="s">
        <v>16</v>
      </c>
      <c r="H71" s="19" t="s">
        <v>17</v>
      </c>
      <c r="I71" s="23" t="s">
        <v>18</v>
      </c>
      <c r="J71" s="24" t="s">
        <v>19</v>
      </c>
      <c r="K71" s="25" t="s">
        <v>20</v>
      </c>
      <c r="L71" s="24" t="s">
        <v>21</v>
      </c>
      <c r="M71" s="24" t="s">
        <v>22</v>
      </c>
      <c r="N71" s="24" t="s">
        <v>23</v>
      </c>
      <c r="O71" s="19" t="s">
        <v>24</v>
      </c>
      <c r="P71" s="20" t="s">
        <v>25</v>
      </c>
      <c r="Q71" s="24" t="s">
        <v>26</v>
      </c>
      <c r="R71" s="19" t="s">
        <v>27</v>
      </c>
    </row>
    <row r="72" spans="1:18" ht="49.95" customHeight="1" x14ac:dyDescent="0.3">
      <c r="A72" s="8" t="s">
        <v>28</v>
      </c>
      <c r="B72" s="8" t="s">
        <v>169</v>
      </c>
      <c r="C72" s="9">
        <v>0.49652777777777768</v>
      </c>
      <c r="D72" s="8" t="s">
        <v>30</v>
      </c>
      <c r="E72" s="10"/>
      <c r="F72" s="8" t="s">
        <v>51</v>
      </c>
      <c r="G72" s="205"/>
      <c r="H72" s="160" t="s">
        <v>169</v>
      </c>
      <c r="I72" s="161">
        <v>0.88890000000000002</v>
      </c>
      <c r="J72" s="162">
        <v>160</v>
      </c>
      <c r="K72" s="163" t="s">
        <v>35</v>
      </c>
      <c r="L72" s="162">
        <v>19</v>
      </c>
      <c r="M72" s="162">
        <v>0</v>
      </c>
      <c r="N72" s="162">
        <v>2</v>
      </c>
      <c r="O72" s="164" t="s">
        <v>202</v>
      </c>
      <c r="P72" s="165">
        <v>0.49652777777777768</v>
      </c>
      <c r="Q72" s="162">
        <v>180</v>
      </c>
      <c r="R72" s="166" t="s">
        <v>203</v>
      </c>
    </row>
    <row r="73" spans="1:18" ht="49.95" customHeight="1" thickBot="1" x14ac:dyDescent="0.35">
      <c r="A73" s="108" t="s">
        <v>28</v>
      </c>
      <c r="B73" s="108" t="s">
        <v>171</v>
      </c>
      <c r="C73" s="109">
        <v>0.57986111111111105</v>
      </c>
      <c r="D73" s="108" t="s">
        <v>30</v>
      </c>
      <c r="E73" s="110"/>
      <c r="F73" s="108" t="s">
        <v>51</v>
      </c>
      <c r="G73" s="217"/>
      <c r="H73" s="69" t="s">
        <v>171</v>
      </c>
      <c r="I73" s="70">
        <v>0.86109999999999998</v>
      </c>
      <c r="J73" s="71">
        <v>155</v>
      </c>
      <c r="K73" s="72" t="s">
        <v>35</v>
      </c>
      <c r="L73" s="71">
        <v>12</v>
      </c>
      <c r="M73" s="71">
        <v>0</v>
      </c>
      <c r="N73" s="71">
        <v>1</v>
      </c>
      <c r="O73" s="73" t="s">
        <v>204</v>
      </c>
      <c r="P73" s="74">
        <v>0.57986111111111105</v>
      </c>
      <c r="Q73" s="71">
        <v>180</v>
      </c>
      <c r="R73" s="75" t="s">
        <v>205</v>
      </c>
    </row>
    <row r="74" spans="1:18" ht="17.399999999999999" customHeight="1" thickBot="1" x14ac:dyDescent="0.35">
      <c r="A74" s="233"/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5"/>
    </row>
    <row r="75" spans="1:18" ht="22.05" customHeight="1" thickTop="1" thickBot="1" x14ac:dyDescent="0.35">
      <c r="A75" s="206" t="s">
        <v>8</v>
      </c>
      <c r="B75" s="207"/>
      <c r="C75" s="207"/>
      <c r="D75" s="207"/>
      <c r="E75" s="207"/>
      <c r="F75" s="208"/>
      <c r="G75" s="18">
        <v>45999</v>
      </c>
      <c r="H75" s="209" t="s">
        <v>9</v>
      </c>
      <c r="I75" s="207"/>
      <c r="J75" s="207"/>
      <c r="K75" s="207"/>
      <c r="L75" s="207"/>
      <c r="M75" s="207"/>
      <c r="N75" s="207"/>
      <c r="O75" s="207"/>
      <c r="P75" s="207"/>
      <c r="Q75" s="207"/>
      <c r="R75" s="208"/>
    </row>
    <row r="76" spans="1:18" ht="24" customHeight="1" x14ac:dyDescent="0.3">
      <c r="A76" s="19" t="s">
        <v>10</v>
      </c>
      <c r="B76" s="19" t="s">
        <v>11</v>
      </c>
      <c r="C76" s="20" t="s">
        <v>12</v>
      </c>
      <c r="D76" s="19" t="s">
        <v>13</v>
      </c>
      <c r="E76" s="19" t="s">
        <v>14</v>
      </c>
      <c r="F76" s="21" t="s">
        <v>15</v>
      </c>
      <c r="G76" s="22" t="s">
        <v>16</v>
      </c>
      <c r="H76" s="19" t="s">
        <v>17</v>
      </c>
      <c r="I76" s="23" t="s">
        <v>18</v>
      </c>
      <c r="J76" s="24" t="s">
        <v>19</v>
      </c>
      <c r="K76" s="25" t="s">
        <v>20</v>
      </c>
      <c r="L76" s="24" t="s">
        <v>21</v>
      </c>
      <c r="M76" s="24" t="s">
        <v>22</v>
      </c>
      <c r="N76" s="24" t="s">
        <v>23</v>
      </c>
      <c r="O76" s="19" t="s">
        <v>24</v>
      </c>
      <c r="P76" s="20" t="s">
        <v>25</v>
      </c>
      <c r="Q76" s="24" t="s">
        <v>26</v>
      </c>
      <c r="R76" s="19" t="s">
        <v>27</v>
      </c>
    </row>
    <row r="77" spans="1:18" ht="49.95" customHeight="1" x14ac:dyDescent="0.3">
      <c r="A77" s="56" t="s">
        <v>28</v>
      </c>
      <c r="B77" s="56" t="s">
        <v>171</v>
      </c>
      <c r="C77" s="57">
        <v>0.14930555555555561</v>
      </c>
      <c r="D77" s="56" t="s">
        <v>30</v>
      </c>
      <c r="E77" s="58"/>
      <c r="F77" s="56" t="s">
        <v>63</v>
      </c>
      <c r="G77" s="205"/>
      <c r="H77" s="167" t="s">
        <v>171</v>
      </c>
      <c r="I77" s="168">
        <v>0.80559999999999998</v>
      </c>
      <c r="J77" s="169">
        <v>145</v>
      </c>
      <c r="K77" s="170" t="s">
        <v>35</v>
      </c>
      <c r="L77" s="169">
        <v>6</v>
      </c>
      <c r="M77" s="169">
        <v>0</v>
      </c>
      <c r="N77" s="169">
        <v>2</v>
      </c>
      <c r="O77" s="171" t="s">
        <v>204</v>
      </c>
      <c r="P77" s="172">
        <v>0.14930555555555561</v>
      </c>
      <c r="Q77" s="169">
        <v>180</v>
      </c>
      <c r="R77" s="173" t="s">
        <v>206</v>
      </c>
    </row>
    <row r="78" spans="1:18" ht="49.95" customHeight="1" thickBot="1" x14ac:dyDescent="0.35">
      <c r="A78" s="135" t="s">
        <v>28</v>
      </c>
      <c r="B78" s="135" t="s">
        <v>169</v>
      </c>
      <c r="C78" s="136">
        <v>0.45833333333333331</v>
      </c>
      <c r="D78" s="135" t="s">
        <v>30</v>
      </c>
      <c r="E78" s="137"/>
      <c r="F78" s="135" t="s">
        <v>45</v>
      </c>
      <c r="G78" s="217"/>
      <c r="H78" s="29" t="s">
        <v>169</v>
      </c>
      <c r="I78" s="30">
        <v>0.96109999999999995</v>
      </c>
      <c r="J78" s="31">
        <v>173</v>
      </c>
      <c r="K78" s="32" t="s">
        <v>37</v>
      </c>
      <c r="L78" s="31">
        <v>0</v>
      </c>
      <c r="M78" s="31">
        <v>0</v>
      </c>
      <c r="N78" s="31">
        <v>0</v>
      </c>
      <c r="O78" s="33" t="s">
        <v>162</v>
      </c>
      <c r="P78" s="34">
        <v>0.45833333333333331</v>
      </c>
      <c r="Q78" s="31">
        <v>180</v>
      </c>
      <c r="R78" s="35" t="s">
        <v>207</v>
      </c>
    </row>
    <row r="79" spans="1:18" ht="17.399999999999999" customHeight="1" thickBot="1" x14ac:dyDescent="0.35">
      <c r="A79" s="233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5"/>
    </row>
    <row r="80" spans="1:18" ht="22.05" customHeight="1" thickTop="1" thickBot="1" x14ac:dyDescent="0.35">
      <c r="A80" s="206" t="s">
        <v>8</v>
      </c>
      <c r="B80" s="207"/>
      <c r="C80" s="207"/>
      <c r="D80" s="207"/>
      <c r="E80" s="207"/>
      <c r="F80" s="208"/>
      <c r="G80" s="18">
        <v>46000</v>
      </c>
      <c r="H80" s="209" t="s">
        <v>9</v>
      </c>
      <c r="I80" s="207"/>
      <c r="J80" s="207"/>
      <c r="K80" s="207"/>
      <c r="L80" s="207"/>
      <c r="M80" s="207"/>
      <c r="N80" s="207"/>
      <c r="O80" s="207"/>
      <c r="P80" s="207"/>
      <c r="Q80" s="207"/>
      <c r="R80" s="208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thickTop="1" thickBot="1" x14ac:dyDescent="0.35">
      <c r="A82" s="46" t="s">
        <v>28</v>
      </c>
      <c r="B82" s="46" t="s">
        <v>169</v>
      </c>
      <c r="C82" s="47">
        <v>0.52083333333333337</v>
      </c>
      <c r="D82" s="46" t="s">
        <v>30</v>
      </c>
      <c r="E82" s="48"/>
      <c r="F82" s="46" t="s">
        <v>63</v>
      </c>
      <c r="G82" s="205"/>
      <c r="H82" s="49" t="s">
        <v>169</v>
      </c>
      <c r="I82" s="86">
        <v>0.75</v>
      </c>
      <c r="J82" s="51">
        <v>135</v>
      </c>
      <c r="K82" s="52" t="s">
        <v>208</v>
      </c>
      <c r="L82" s="51">
        <v>0</v>
      </c>
      <c r="M82" s="51">
        <v>0</v>
      </c>
      <c r="N82" s="51">
        <v>0</v>
      </c>
      <c r="O82" s="53" t="s">
        <v>209</v>
      </c>
      <c r="P82" s="54">
        <v>0.52083333333333337</v>
      </c>
      <c r="Q82" s="51">
        <v>180</v>
      </c>
      <c r="R82" s="55" t="s">
        <v>78</v>
      </c>
    </row>
    <row r="83" spans="1:18" ht="17.399999999999999" customHeight="1" thickBot="1" x14ac:dyDescent="0.35">
      <c r="A83" s="233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5"/>
    </row>
    <row r="84" spans="1:18" ht="22.05" customHeight="1" thickTop="1" thickBot="1" x14ac:dyDescent="0.35">
      <c r="A84" s="206" t="s">
        <v>8</v>
      </c>
      <c r="B84" s="207"/>
      <c r="C84" s="207"/>
      <c r="D84" s="207"/>
      <c r="E84" s="207"/>
      <c r="F84" s="208"/>
      <c r="G84" s="18">
        <v>46001</v>
      </c>
      <c r="H84" s="209" t="s">
        <v>9</v>
      </c>
      <c r="I84" s="207"/>
      <c r="J84" s="207"/>
      <c r="K84" s="207"/>
      <c r="L84" s="207"/>
      <c r="M84" s="207"/>
      <c r="N84" s="207"/>
      <c r="O84" s="207"/>
      <c r="P84" s="207"/>
      <c r="Q84" s="207"/>
      <c r="R84" s="208"/>
    </row>
    <row r="85" spans="1:18" ht="24" customHeight="1" x14ac:dyDescent="0.3">
      <c r="A85" s="19" t="s">
        <v>10</v>
      </c>
      <c r="B85" s="19" t="s">
        <v>11</v>
      </c>
      <c r="C85" s="20" t="s">
        <v>12</v>
      </c>
      <c r="D85" s="19" t="s">
        <v>13</v>
      </c>
      <c r="E85" s="19" t="s">
        <v>14</v>
      </c>
      <c r="F85" s="21" t="s">
        <v>15</v>
      </c>
      <c r="G85" s="22" t="s">
        <v>16</v>
      </c>
      <c r="H85" s="19" t="s">
        <v>17</v>
      </c>
      <c r="I85" s="23" t="s">
        <v>18</v>
      </c>
      <c r="J85" s="24" t="s">
        <v>19</v>
      </c>
      <c r="K85" s="25" t="s">
        <v>20</v>
      </c>
      <c r="L85" s="24" t="s">
        <v>21</v>
      </c>
      <c r="M85" s="24" t="s">
        <v>22</v>
      </c>
      <c r="N85" s="24" t="s">
        <v>23</v>
      </c>
      <c r="O85" s="19" t="s">
        <v>24</v>
      </c>
      <c r="P85" s="20" t="s">
        <v>25</v>
      </c>
      <c r="Q85" s="24" t="s">
        <v>26</v>
      </c>
      <c r="R85" s="19" t="s">
        <v>27</v>
      </c>
    </row>
    <row r="86" spans="1:18" ht="49.95" customHeight="1" x14ac:dyDescent="0.3">
      <c r="A86" s="46" t="s">
        <v>28</v>
      </c>
      <c r="B86" s="46" t="s">
        <v>169</v>
      </c>
      <c r="C86" s="47">
        <v>0.14583333333333329</v>
      </c>
      <c r="D86" s="46" t="s">
        <v>30</v>
      </c>
      <c r="E86" s="48"/>
      <c r="F86" s="46" t="s">
        <v>31</v>
      </c>
      <c r="G86" s="205"/>
      <c r="H86" s="174" t="s">
        <v>169</v>
      </c>
      <c r="I86" s="175">
        <v>1</v>
      </c>
      <c r="J86" s="176">
        <v>180</v>
      </c>
      <c r="K86" s="177" t="s">
        <v>210</v>
      </c>
      <c r="L86" s="176">
        <v>0</v>
      </c>
      <c r="M86" s="176">
        <v>0</v>
      </c>
      <c r="N86" s="176">
        <v>0</v>
      </c>
      <c r="O86" s="178" t="s">
        <v>33</v>
      </c>
      <c r="P86" s="179">
        <v>0.14583333333333329</v>
      </c>
      <c r="Q86" s="176">
        <v>180</v>
      </c>
      <c r="R86" s="180" t="s">
        <v>211</v>
      </c>
    </row>
    <row r="87" spans="1:18" ht="49.95" customHeight="1" x14ac:dyDescent="0.3">
      <c r="A87" s="181" t="s">
        <v>28</v>
      </c>
      <c r="B87" s="181" t="s">
        <v>171</v>
      </c>
      <c r="C87" s="182">
        <v>0.53125</v>
      </c>
      <c r="D87" s="181" t="s">
        <v>30</v>
      </c>
      <c r="E87" s="183"/>
      <c r="F87" s="181" t="s">
        <v>51</v>
      </c>
      <c r="G87" s="218"/>
      <c r="H87" s="91" t="s">
        <v>171</v>
      </c>
      <c r="I87" s="92">
        <v>0.93330000000000002</v>
      </c>
      <c r="J87" s="93">
        <v>168</v>
      </c>
      <c r="K87" s="94" t="s">
        <v>35</v>
      </c>
      <c r="L87" s="93">
        <v>7</v>
      </c>
      <c r="M87" s="93">
        <v>0</v>
      </c>
      <c r="N87" s="93">
        <v>1</v>
      </c>
      <c r="O87" s="95" t="s">
        <v>204</v>
      </c>
      <c r="P87" s="96">
        <v>0.53125</v>
      </c>
      <c r="Q87" s="93">
        <v>180</v>
      </c>
      <c r="R87" s="97" t="s">
        <v>212</v>
      </c>
    </row>
    <row r="88" spans="1:18" ht="49.95" customHeight="1" thickBot="1" x14ac:dyDescent="0.35">
      <c r="A88" s="98" t="s">
        <v>28</v>
      </c>
      <c r="B88" s="98" t="s">
        <v>180</v>
      </c>
      <c r="C88" s="99">
        <v>0.86111111111111116</v>
      </c>
      <c r="D88" s="98" t="s">
        <v>30</v>
      </c>
      <c r="E88" s="100"/>
      <c r="F88" s="98" t="s">
        <v>45</v>
      </c>
      <c r="G88" s="217"/>
      <c r="H88" s="59" t="s">
        <v>180</v>
      </c>
      <c r="I88" s="60">
        <v>0.98329999999999995</v>
      </c>
      <c r="J88" s="61">
        <v>177</v>
      </c>
      <c r="K88" s="62" t="s">
        <v>58</v>
      </c>
      <c r="L88" s="61">
        <v>7</v>
      </c>
      <c r="M88" s="61">
        <v>0</v>
      </c>
      <c r="N88" s="61">
        <v>0</v>
      </c>
      <c r="O88" s="63" t="s">
        <v>113</v>
      </c>
      <c r="P88" s="64">
        <v>0.86111111111111116</v>
      </c>
      <c r="Q88" s="61">
        <v>180</v>
      </c>
      <c r="R88" s="65" t="s">
        <v>213</v>
      </c>
    </row>
    <row r="89" spans="1:18" ht="17.399999999999999" customHeight="1" thickBot="1" x14ac:dyDescent="0.35">
      <c r="A89" s="233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5"/>
    </row>
    <row r="90" spans="1:18" ht="22.05" customHeight="1" thickTop="1" thickBot="1" x14ac:dyDescent="0.35">
      <c r="A90" s="206" t="s">
        <v>8</v>
      </c>
      <c r="B90" s="207"/>
      <c r="C90" s="207"/>
      <c r="D90" s="207"/>
      <c r="E90" s="207"/>
      <c r="F90" s="208"/>
      <c r="G90" s="18">
        <v>46002</v>
      </c>
      <c r="H90" s="209" t="s">
        <v>9</v>
      </c>
      <c r="I90" s="207"/>
      <c r="J90" s="207"/>
      <c r="K90" s="207"/>
      <c r="L90" s="207"/>
      <c r="M90" s="207"/>
      <c r="N90" s="207"/>
      <c r="O90" s="207"/>
      <c r="P90" s="207"/>
      <c r="Q90" s="207"/>
      <c r="R90" s="208"/>
    </row>
    <row r="91" spans="1:18" ht="24" customHeight="1" x14ac:dyDescent="0.3">
      <c r="A91" s="19" t="s">
        <v>10</v>
      </c>
      <c r="B91" s="19" t="s">
        <v>11</v>
      </c>
      <c r="C91" s="20" t="s">
        <v>12</v>
      </c>
      <c r="D91" s="19" t="s">
        <v>13</v>
      </c>
      <c r="E91" s="19" t="s">
        <v>14</v>
      </c>
      <c r="F91" s="21" t="s">
        <v>15</v>
      </c>
      <c r="G91" s="22" t="s">
        <v>16</v>
      </c>
      <c r="H91" s="19" t="s">
        <v>17</v>
      </c>
      <c r="I91" s="23" t="s">
        <v>18</v>
      </c>
      <c r="J91" s="24" t="s">
        <v>19</v>
      </c>
      <c r="K91" s="25" t="s">
        <v>20</v>
      </c>
      <c r="L91" s="24" t="s">
        <v>21</v>
      </c>
      <c r="M91" s="24" t="s">
        <v>22</v>
      </c>
      <c r="N91" s="24" t="s">
        <v>23</v>
      </c>
      <c r="O91" s="19" t="s">
        <v>24</v>
      </c>
      <c r="P91" s="20" t="s">
        <v>25</v>
      </c>
      <c r="Q91" s="24" t="s">
        <v>26</v>
      </c>
      <c r="R91" s="19" t="s">
        <v>27</v>
      </c>
    </row>
    <row r="92" spans="1:18" ht="49.95" customHeight="1" thickTop="1" thickBot="1" x14ac:dyDescent="0.35">
      <c r="A92" s="46" t="s">
        <v>28</v>
      </c>
      <c r="B92" s="46" t="s">
        <v>169</v>
      </c>
      <c r="C92" s="47">
        <v>8.6805555555555566E-2</v>
      </c>
      <c r="D92" s="46" t="s">
        <v>30</v>
      </c>
      <c r="E92" s="48"/>
      <c r="F92" s="46" t="s">
        <v>51</v>
      </c>
      <c r="G92" s="205"/>
      <c r="H92" s="49" t="s">
        <v>169</v>
      </c>
      <c r="I92" s="50">
        <v>0.87780000000000002</v>
      </c>
      <c r="J92" s="51">
        <v>158</v>
      </c>
      <c r="K92" s="52" t="s">
        <v>35</v>
      </c>
      <c r="L92" s="51">
        <v>15</v>
      </c>
      <c r="M92" s="51">
        <v>0</v>
      </c>
      <c r="N92" s="51">
        <v>10</v>
      </c>
      <c r="O92" s="53" t="s">
        <v>158</v>
      </c>
      <c r="P92" s="54">
        <v>8.6805555555555566E-2</v>
      </c>
      <c r="Q92" s="51">
        <v>180</v>
      </c>
      <c r="R92" s="55" t="s">
        <v>214</v>
      </c>
    </row>
    <row r="93" spans="1:18" ht="17.399999999999999" customHeight="1" thickBot="1" x14ac:dyDescent="0.35">
      <c r="A93" s="233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5"/>
    </row>
    <row r="94" spans="1:18" ht="22.05" customHeight="1" thickTop="1" thickBot="1" x14ac:dyDescent="0.35">
      <c r="A94" s="206" t="s">
        <v>8</v>
      </c>
      <c r="B94" s="207"/>
      <c r="C94" s="207"/>
      <c r="D94" s="207"/>
      <c r="E94" s="207"/>
      <c r="F94" s="208"/>
      <c r="G94" s="18">
        <v>46003</v>
      </c>
      <c r="H94" s="209" t="s">
        <v>9</v>
      </c>
      <c r="I94" s="207"/>
      <c r="J94" s="207"/>
      <c r="K94" s="207"/>
      <c r="L94" s="207"/>
      <c r="M94" s="207"/>
      <c r="N94" s="207"/>
      <c r="O94" s="207"/>
      <c r="P94" s="207"/>
      <c r="Q94" s="207"/>
      <c r="R94" s="208"/>
    </row>
    <row r="95" spans="1:18" ht="24" customHeight="1" x14ac:dyDescent="0.3">
      <c r="A95" s="19" t="s">
        <v>10</v>
      </c>
      <c r="B95" s="19" t="s">
        <v>11</v>
      </c>
      <c r="C95" s="20" t="s">
        <v>12</v>
      </c>
      <c r="D95" s="19" t="s">
        <v>13</v>
      </c>
      <c r="E95" s="19" t="s">
        <v>14</v>
      </c>
      <c r="F95" s="21" t="s">
        <v>15</v>
      </c>
      <c r="G95" s="22" t="s">
        <v>16</v>
      </c>
      <c r="H95" s="19" t="s">
        <v>17</v>
      </c>
      <c r="I95" s="23" t="s">
        <v>18</v>
      </c>
      <c r="J95" s="24" t="s">
        <v>19</v>
      </c>
      <c r="K95" s="25" t="s">
        <v>20</v>
      </c>
      <c r="L95" s="24" t="s">
        <v>21</v>
      </c>
      <c r="M95" s="24" t="s">
        <v>22</v>
      </c>
      <c r="N95" s="24" t="s">
        <v>23</v>
      </c>
      <c r="O95" s="19" t="s">
        <v>24</v>
      </c>
      <c r="P95" s="20" t="s">
        <v>25</v>
      </c>
      <c r="Q95" s="24" t="s">
        <v>26</v>
      </c>
      <c r="R95" s="19" t="s">
        <v>27</v>
      </c>
    </row>
    <row r="96" spans="1:18" ht="49.95" customHeight="1" thickTop="1" thickBot="1" x14ac:dyDescent="0.35">
      <c r="A96" s="56" t="s">
        <v>28</v>
      </c>
      <c r="B96" s="56" t="s">
        <v>169</v>
      </c>
      <c r="C96" s="57">
        <v>0.22916666666666671</v>
      </c>
      <c r="D96" s="56" t="s">
        <v>30</v>
      </c>
      <c r="E96" s="58"/>
      <c r="F96" s="56" t="s">
        <v>197</v>
      </c>
      <c r="G96" s="205"/>
      <c r="H96" s="59" t="s">
        <v>169</v>
      </c>
      <c r="I96" s="184">
        <v>0.1167</v>
      </c>
      <c r="J96" s="61">
        <v>21</v>
      </c>
      <c r="K96" s="62" t="s">
        <v>39</v>
      </c>
      <c r="L96" s="61">
        <v>2</v>
      </c>
      <c r="M96" s="61">
        <v>0</v>
      </c>
      <c r="N96" s="61">
        <v>0</v>
      </c>
      <c r="O96" s="63" t="s">
        <v>52</v>
      </c>
      <c r="P96" s="64">
        <v>0.22916666666666671</v>
      </c>
      <c r="Q96" s="61">
        <v>180</v>
      </c>
      <c r="R96" s="65" t="s">
        <v>215</v>
      </c>
    </row>
    <row r="97" spans="1:18" ht="17.399999999999999" customHeight="1" thickBot="1" x14ac:dyDescent="0.35">
      <c r="A97" s="233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5"/>
    </row>
    <row r="98" spans="1:18" ht="22.05" customHeight="1" thickTop="1" thickBot="1" x14ac:dyDescent="0.35">
      <c r="A98" s="206" t="s">
        <v>8</v>
      </c>
      <c r="B98" s="207"/>
      <c r="C98" s="207"/>
      <c r="D98" s="207"/>
      <c r="E98" s="207"/>
      <c r="F98" s="208"/>
      <c r="G98" s="18">
        <v>46004</v>
      </c>
      <c r="H98" s="209" t="s">
        <v>9</v>
      </c>
      <c r="I98" s="207"/>
      <c r="J98" s="207"/>
      <c r="K98" s="207"/>
      <c r="L98" s="207"/>
      <c r="M98" s="207"/>
      <c r="N98" s="207"/>
      <c r="O98" s="207"/>
      <c r="P98" s="207"/>
      <c r="Q98" s="207"/>
      <c r="R98" s="208"/>
    </row>
    <row r="99" spans="1:18" ht="24" customHeight="1" x14ac:dyDescent="0.3">
      <c r="A99" s="19" t="s">
        <v>10</v>
      </c>
      <c r="B99" s="19" t="s">
        <v>11</v>
      </c>
      <c r="C99" s="20" t="s">
        <v>12</v>
      </c>
      <c r="D99" s="19" t="s">
        <v>13</v>
      </c>
      <c r="E99" s="19" t="s">
        <v>14</v>
      </c>
      <c r="F99" s="21" t="s">
        <v>15</v>
      </c>
      <c r="G99" s="22" t="s">
        <v>16</v>
      </c>
      <c r="H99" s="19" t="s">
        <v>17</v>
      </c>
      <c r="I99" s="23" t="s">
        <v>18</v>
      </c>
      <c r="J99" s="24" t="s">
        <v>19</v>
      </c>
      <c r="K99" s="25" t="s">
        <v>20</v>
      </c>
      <c r="L99" s="24" t="s">
        <v>21</v>
      </c>
      <c r="M99" s="24" t="s">
        <v>22</v>
      </c>
      <c r="N99" s="24" t="s">
        <v>23</v>
      </c>
      <c r="O99" s="19" t="s">
        <v>24</v>
      </c>
      <c r="P99" s="20" t="s">
        <v>25</v>
      </c>
      <c r="Q99" s="24" t="s">
        <v>26</v>
      </c>
      <c r="R99" s="19" t="s">
        <v>27</v>
      </c>
    </row>
    <row r="100" spans="1:18" ht="49.95" customHeight="1" x14ac:dyDescent="0.3">
      <c r="A100" s="8" t="s">
        <v>28</v>
      </c>
      <c r="B100" s="8" t="s">
        <v>171</v>
      </c>
      <c r="C100" s="9">
        <v>0.27083333333333331</v>
      </c>
      <c r="D100" s="8" t="s">
        <v>30</v>
      </c>
      <c r="E100" s="10"/>
      <c r="F100" s="8" t="s">
        <v>63</v>
      </c>
      <c r="G100" s="205"/>
      <c r="H100" s="160" t="s">
        <v>171</v>
      </c>
      <c r="I100" s="185">
        <v>0.84440000000000004</v>
      </c>
      <c r="J100" s="162">
        <v>152</v>
      </c>
      <c r="K100" s="163" t="s">
        <v>35</v>
      </c>
      <c r="L100" s="162">
        <v>7</v>
      </c>
      <c r="M100" s="162">
        <v>0</v>
      </c>
      <c r="N100" s="162">
        <v>2</v>
      </c>
      <c r="O100" s="164" t="s">
        <v>204</v>
      </c>
      <c r="P100" s="165">
        <v>0.27083333333333331</v>
      </c>
      <c r="Q100" s="162">
        <v>180</v>
      </c>
      <c r="R100" s="166" t="s">
        <v>216</v>
      </c>
    </row>
    <row r="101" spans="1:18" ht="49.95" customHeight="1" thickBot="1" x14ac:dyDescent="0.35">
      <c r="A101" s="152" t="s">
        <v>28</v>
      </c>
      <c r="B101" s="152" t="s">
        <v>169</v>
      </c>
      <c r="C101" s="153">
        <v>0.60416666666666663</v>
      </c>
      <c r="D101" s="152" t="s">
        <v>30</v>
      </c>
      <c r="E101" s="154"/>
      <c r="F101" s="152" t="s">
        <v>51</v>
      </c>
      <c r="G101" s="217"/>
      <c r="H101" s="79" t="s">
        <v>169</v>
      </c>
      <c r="I101" s="138">
        <v>0.87780000000000002</v>
      </c>
      <c r="J101" s="81">
        <v>158</v>
      </c>
      <c r="K101" s="82" t="s">
        <v>35</v>
      </c>
      <c r="L101" s="81">
        <v>4</v>
      </c>
      <c r="M101" s="81">
        <v>0</v>
      </c>
      <c r="N101" s="81">
        <v>1</v>
      </c>
      <c r="O101" s="83" t="s">
        <v>52</v>
      </c>
      <c r="P101" s="84">
        <v>0.60416666666666663</v>
      </c>
      <c r="Q101" s="81">
        <v>180</v>
      </c>
      <c r="R101" s="85" t="s">
        <v>217</v>
      </c>
    </row>
    <row r="102" spans="1:18" ht="17.399999999999999" customHeight="1" thickBot="1" x14ac:dyDescent="0.3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5"/>
    </row>
    <row r="103" spans="1:18" ht="22.05" customHeight="1" thickTop="1" thickBot="1" x14ac:dyDescent="0.35">
      <c r="A103" s="206" t="s">
        <v>8</v>
      </c>
      <c r="B103" s="207"/>
      <c r="C103" s="207"/>
      <c r="D103" s="207"/>
      <c r="E103" s="207"/>
      <c r="F103" s="208"/>
      <c r="G103" s="18">
        <v>46005</v>
      </c>
      <c r="H103" s="209" t="s">
        <v>9</v>
      </c>
      <c r="I103" s="207"/>
      <c r="J103" s="207"/>
      <c r="K103" s="207"/>
      <c r="L103" s="207"/>
      <c r="M103" s="207"/>
      <c r="N103" s="207"/>
      <c r="O103" s="207"/>
      <c r="P103" s="207"/>
      <c r="Q103" s="207"/>
      <c r="R103" s="208"/>
    </row>
    <row r="104" spans="1:18" ht="24" customHeight="1" x14ac:dyDescent="0.3">
      <c r="A104" s="19" t="s">
        <v>10</v>
      </c>
      <c r="B104" s="19" t="s">
        <v>11</v>
      </c>
      <c r="C104" s="20" t="s">
        <v>12</v>
      </c>
      <c r="D104" s="19" t="s">
        <v>13</v>
      </c>
      <c r="E104" s="19" t="s">
        <v>14</v>
      </c>
      <c r="F104" s="21" t="s">
        <v>15</v>
      </c>
      <c r="G104" s="22" t="s">
        <v>16</v>
      </c>
      <c r="H104" s="19" t="s">
        <v>17</v>
      </c>
      <c r="I104" s="23" t="s">
        <v>18</v>
      </c>
      <c r="J104" s="24" t="s">
        <v>19</v>
      </c>
      <c r="K104" s="25" t="s">
        <v>20</v>
      </c>
      <c r="L104" s="24" t="s">
        <v>21</v>
      </c>
      <c r="M104" s="24" t="s">
        <v>22</v>
      </c>
      <c r="N104" s="24" t="s">
        <v>23</v>
      </c>
      <c r="O104" s="19" t="s">
        <v>24</v>
      </c>
      <c r="P104" s="20" t="s">
        <v>25</v>
      </c>
      <c r="Q104" s="24" t="s">
        <v>26</v>
      </c>
      <c r="R104" s="19" t="s">
        <v>27</v>
      </c>
    </row>
    <row r="105" spans="1:18" ht="49.95" customHeight="1" x14ac:dyDescent="0.3">
      <c r="A105" s="8" t="s">
        <v>28</v>
      </c>
      <c r="B105" s="8" t="s">
        <v>169</v>
      </c>
      <c r="C105" s="9">
        <v>0.49652777777777768</v>
      </c>
      <c r="D105" s="8" t="s">
        <v>30</v>
      </c>
      <c r="E105" s="10"/>
      <c r="F105" s="8" t="s">
        <v>63</v>
      </c>
      <c r="G105" s="205"/>
      <c r="H105" s="160" t="s">
        <v>169</v>
      </c>
      <c r="I105" s="185">
        <v>0.7611</v>
      </c>
      <c r="J105" s="162">
        <v>137</v>
      </c>
      <c r="K105" s="163" t="s">
        <v>210</v>
      </c>
      <c r="L105" s="162">
        <v>0</v>
      </c>
      <c r="M105" s="162">
        <v>0</v>
      </c>
      <c r="N105" s="162">
        <v>0</v>
      </c>
      <c r="O105" s="164" t="s">
        <v>74</v>
      </c>
      <c r="P105" s="165">
        <v>0.49652777777777768</v>
      </c>
      <c r="Q105" s="162">
        <v>180</v>
      </c>
      <c r="R105" s="166" t="s">
        <v>75</v>
      </c>
    </row>
    <row r="106" spans="1:18" ht="49.95" customHeight="1" thickBot="1" x14ac:dyDescent="0.35">
      <c r="A106" s="135" t="s">
        <v>28</v>
      </c>
      <c r="B106" s="135" t="s">
        <v>171</v>
      </c>
      <c r="C106" s="136">
        <v>0.57986111111111105</v>
      </c>
      <c r="D106" s="135" t="s">
        <v>30</v>
      </c>
      <c r="E106" s="137"/>
      <c r="F106" s="135" t="s">
        <v>63</v>
      </c>
      <c r="G106" s="217"/>
      <c r="H106" s="29" t="s">
        <v>171</v>
      </c>
      <c r="I106" s="159">
        <v>0.7722</v>
      </c>
      <c r="J106" s="31">
        <v>139</v>
      </c>
      <c r="K106" s="32" t="s">
        <v>35</v>
      </c>
      <c r="L106" s="31">
        <v>1</v>
      </c>
      <c r="M106" s="31">
        <v>0</v>
      </c>
      <c r="N106" s="31">
        <v>1</v>
      </c>
      <c r="O106" s="33" t="s">
        <v>70</v>
      </c>
      <c r="P106" s="34">
        <v>0.57986111111111105</v>
      </c>
      <c r="Q106" s="31">
        <v>180</v>
      </c>
      <c r="R106" s="35" t="s">
        <v>71</v>
      </c>
    </row>
    <row r="107" spans="1:18" ht="17.399999999999999" customHeight="1" thickBot="1" x14ac:dyDescent="0.35">
      <c r="A107" s="233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5"/>
    </row>
    <row r="108" spans="1:18" ht="22.05" customHeight="1" thickTop="1" thickBot="1" x14ac:dyDescent="0.35">
      <c r="A108" s="206" t="s">
        <v>8</v>
      </c>
      <c r="B108" s="207"/>
      <c r="C108" s="207"/>
      <c r="D108" s="207"/>
      <c r="E108" s="207"/>
      <c r="F108" s="208"/>
      <c r="G108" s="18">
        <v>46006</v>
      </c>
      <c r="H108" s="209" t="s">
        <v>9</v>
      </c>
      <c r="I108" s="207"/>
      <c r="J108" s="207"/>
      <c r="K108" s="207"/>
      <c r="L108" s="207"/>
      <c r="M108" s="207"/>
      <c r="N108" s="207"/>
      <c r="O108" s="207"/>
      <c r="P108" s="207"/>
      <c r="Q108" s="207"/>
      <c r="R108" s="208"/>
    </row>
    <row r="109" spans="1:18" ht="24" customHeight="1" x14ac:dyDescent="0.3">
      <c r="A109" s="19" t="s">
        <v>10</v>
      </c>
      <c r="B109" s="19" t="s">
        <v>11</v>
      </c>
      <c r="C109" s="20" t="s">
        <v>12</v>
      </c>
      <c r="D109" s="19" t="s">
        <v>13</v>
      </c>
      <c r="E109" s="19" t="s">
        <v>14</v>
      </c>
      <c r="F109" s="21" t="s">
        <v>15</v>
      </c>
      <c r="G109" s="22" t="s">
        <v>16</v>
      </c>
      <c r="H109" s="19" t="s">
        <v>17</v>
      </c>
      <c r="I109" s="23" t="s">
        <v>18</v>
      </c>
      <c r="J109" s="24" t="s">
        <v>19</v>
      </c>
      <c r="K109" s="25" t="s">
        <v>20</v>
      </c>
      <c r="L109" s="24" t="s">
        <v>21</v>
      </c>
      <c r="M109" s="24" t="s">
        <v>22</v>
      </c>
      <c r="N109" s="24" t="s">
        <v>23</v>
      </c>
      <c r="O109" s="19" t="s">
        <v>24</v>
      </c>
      <c r="P109" s="20" t="s">
        <v>25</v>
      </c>
      <c r="Q109" s="24" t="s">
        <v>26</v>
      </c>
      <c r="R109" s="19" t="s">
        <v>27</v>
      </c>
    </row>
    <row r="110" spans="1:18" ht="49.95" customHeight="1" x14ac:dyDescent="0.3">
      <c r="A110" s="8" t="s">
        <v>28</v>
      </c>
      <c r="B110" s="8" t="s">
        <v>171</v>
      </c>
      <c r="C110" s="9">
        <v>0.14930555555555561</v>
      </c>
      <c r="D110" s="8" t="s">
        <v>30</v>
      </c>
      <c r="E110" s="10"/>
      <c r="F110" s="8" t="s">
        <v>51</v>
      </c>
      <c r="G110" s="205"/>
      <c r="H110" s="160" t="s">
        <v>171</v>
      </c>
      <c r="I110" s="161">
        <v>0.90559999999999996</v>
      </c>
      <c r="J110" s="162">
        <v>163</v>
      </c>
      <c r="K110" s="163" t="s">
        <v>35</v>
      </c>
      <c r="L110" s="162">
        <v>6</v>
      </c>
      <c r="M110" s="162">
        <v>0</v>
      </c>
      <c r="N110" s="162">
        <v>3</v>
      </c>
      <c r="O110" s="164" t="s">
        <v>145</v>
      </c>
      <c r="P110" s="165">
        <v>0.14930555555555561</v>
      </c>
      <c r="Q110" s="162">
        <v>180</v>
      </c>
      <c r="R110" s="166" t="s">
        <v>218</v>
      </c>
    </row>
    <row r="111" spans="1:18" ht="49.95" customHeight="1" thickBot="1" x14ac:dyDescent="0.35">
      <c r="A111" s="152" t="s">
        <v>28</v>
      </c>
      <c r="B111" s="152" t="s">
        <v>169</v>
      </c>
      <c r="C111" s="153">
        <v>0.45833333333333331</v>
      </c>
      <c r="D111" s="152" t="s">
        <v>30</v>
      </c>
      <c r="E111" s="154"/>
      <c r="F111" s="152" t="s">
        <v>63</v>
      </c>
      <c r="G111" s="217"/>
      <c r="H111" s="79" t="s">
        <v>169</v>
      </c>
      <c r="I111" s="80">
        <v>0.62780000000000002</v>
      </c>
      <c r="J111" s="81">
        <v>113</v>
      </c>
      <c r="K111" s="82" t="s">
        <v>35</v>
      </c>
      <c r="L111" s="81">
        <v>7</v>
      </c>
      <c r="M111" s="81">
        <v>0</v>
      </c>
      <c r="N111" s="81">
        <v>1</v>
      </c>
      <c r="O111" s="83" t="s">
        <v>54</v>
      </c>
      <c r="P111" s="84">
        <v>0.45833333333333331</v>
      </c>
      <c r="Q111" s="81">
        <v>180</v>
      </c>
      <c r="R111" s="85" t="s">
        <v>219</v>
      </c>
    </row>
    <row r="112" spans="1:18" ht="17.399999999999999" customHeight="1" thickBot="1" x14ac:dyDescent="0.35">
      <c r="A112" s="233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5"/>
    </row>
    <row r="113" spans="1:18" ht="22.05" customHeight="1" thickTop="1" thickBot="1" x14ac:dyDescent="0.35">
      <c r="A113" s="206" t="s">
        <v>8</v>
      </c>
      <c r="B113" s="207"/>
      <c r="C113" s="207"/>
      <c r="D113" s="207"/>
      <c r="E113" s="207"/>
      <c r="F113" s="208"/>
      <c r="G113" s="18">
        <v>46007</v>
      </c>
      <c r="H113" s="209" t="s">
        <v>9</v>
      </c>
      <c r="I113" s="207"/>
      <c r="J113" s="207"/>
      <c r="K113" s="207"/>
      <c r="L113" s="207"/>
      <c r="M113" s="207"/>
      <c r="N113" s="207"/>
      <c r="O113" s="207"/>
      <c r="P113" s="207"/>
      <c r="Q113" s="207"/>
      <c r="R113" s="208"/>
    </row>
    <row r="114" spans="1:18" ht="24" customHeight="1" x14ac:dyDescent="0.3">
      <c r="A114" s="19" t="s">
        <v>10</v>
      </c>
      <c r="B114" s="19" t="s">
        <v>11</v>
      </c>
      <c r="C114" s="20" t="s">
        <v>12</v>
      </c>
      <c r="D114" s="19" t="s">
        <v>13</v>
      </c>
      <c r="E114" s="19" t="s">
        <v>14</v>
      </c>
      <c r="F114" s="21" t="s">
        <v>15</v>
      </c>
      <c r="G114" s="22" t="s">
        <v>16</v>
      </c>
      <c r="H114" s="19" t="s">
        <v>17</v>
      </c>
      <c r="I114" s="23" t="s">
        <v>18</v>
      </c>
      <c r="J114" s="24" t="s">
        <v>19</v>
      </c>
      <c r="K114" s="25" t="s">
        <v>20</v>
      </c>
      <c r="L114" s="24" t="s">
        <v>21</v>
      </c>
      <c r="M114" s="24" t="s">
        <v>22</v>
      </c>
      <c r="N114" s="24" t="s">
        <v>23</v>
      </c>
      <c r="O114" s="19" t="s">
        <v>24</v>
      </c>
      <c r="P114" s="20" t="s">
        <v>25</v>
      </c>
      <c r="Q114" s="24" t="s">
        <v>26</v>
      </c>
      <c r="R114" s="19" t="s">
        <v>27</v>
      </c>
    </row>
    <row r="115" spans="1:18" ht="49.95" customHeight="1" thickTop="1" thickBot="1" x14ac:dyDescent="0.35">
      <c r="A115" s="8" t="s">
        <v>28</v>
      </c>
      <c r="B115" s="8" t="s">
        <v>169</v>
      </c>
      <c r="C115" s="9">
        <v>0.52083333333333337</v>
      </c>
      <c r="D115" s="8" t="s">
        <v>30</v>
      </c>
      <c r="E115" s="10"/>
      <c r="F115" s="8" t="s">
        <v>63</v>
      </c>
      <c r="G115" s="205"/>
      <c r="H115" s="11" t="s">
        <v>169</v>
      </c>
      <c r="I115" s="186">
        <v>0.55559999999999998</v>
      </c>
      <c r="J115" s="13">
        <v>100</v>
      </c>
      <c r="K115" s="14" t="s">
        <v>35</v>
      </c>
      <c r="L115" s="13">
        <v>2</v>
      </c>
      <c r="M115" s="13">
        <v>0</v>
      </c>
      <c r="N115" s="13">
        <v>2</v>
      </c>
      <c r="O115" s="15" t="s">
        <v>113</v>
      </c>
      <c r="P115" s="16">
        <v>0.52083333333333337</v>
      </c>
      <c r="Q115" s="13">
        <v>180</v>
      </c>
      <c r="R115" s="17" t="s">
        <v>220</v>
      </c>
    </row>
    <row r="116" spans="1:18" ht="17.399999999999999" customHeight="1" thickBot="1" x14ac:dyDescent="0.35">
      <c r="A116" s="233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5"/>
    </row>
    <row r="117" spans="1:18" ht="22.05" customHeight="1" thickTop="1" thickBot="1" x14ac:dyDescent="0.35">
      <c r="A117" s="206" t="s">
        <v>8</v>
      </c>
      <c r="B117" s="207"/>
      <c r="C117" s="207"/>
      <c r="D117" s="207"/>
      <c r="E117" s="207"/>
      <c r="F117" s="208"/>
      <c r="G117" s="18">
        <v>46008</v>
      </c>
      <c r="H117" s="209" t="s">
        <v>9</v>
      </c>
      <c r="I117" s="207"/>
      <c r="J117" s="207"/>
      <c r="K117" s="207"/>
      <c r="L117" s="207"/>
      <c r="M117" s="207"/>
      <c r="N117" s="207"/>
      <c r="O117" s="207"/>
      <c r="P117" s="207"/>
      <c r="Q117" s="207"/>
      <c r="R117" s="208"/>
    </row>
    <row r="118" spans="1:18" ht="24" customHeight="1" x14ac:dyDescent="0.3">
      <c r="A118" s="19" t="s">
        <v>10</v>
      </c>
      <c r="B118" s="19" t="s">
        <v>11</v>
      </c>
      <c r="C118" s="20" t="s">
        <v>12</v>
      </c>
      <c r="D118" s="19" t="s">
        <v>13</v>
      </c>
      <c r="E118" s="19" t="s">
        <v>14</v>
      </c>
      <c r="F118" s="21" t="s">
        <v>15</v>
      </c>
      <c r="G118" s="22" t="s">
        <v>16</v>
      </c>
      <c r="H118" s="19" t="s">
        <v>17</v>
      </c>
      <c r="I118" s="23" t="s">
        <v>18</v>
      </c>
      <c r="J118" s="24" t="s">
        <v>19</v>
      </c>
      <c r="K118" s="25" t="s">
        <v>20</v>
      </c>
      <c r="L118" s="24" t="s">
        <v>21</v>
      </c>
      <c r="M118" s="24" t="s">
        <v>22</v>
      </c>
      <c r="N118" s="24" t="s">
        <v>23</v>
      </c>
      <c r="O118" s="19" t="s">
        <v>24</v>
      </c>
      <c r="P118" s="20" t="s">
        <v>25</v>
      </c>
      <c r="Q118" s="24" t="s">
        <v>26</v>
      </c>
      <c r="R118" s="19" t="s">
        <v>27</v>
      </c>
    </row>
    <row r="119" spans="1:18" ht="49.95" customHeight="1" x14ac:dyDescent="0.3">
      <c r="A119" s="56" t="s">
        <v>28</v>
      </c>
      <c r="B119" s="56" t="s">
        <v>169</v>
      </c>
      <c r="C119" s="57">
        <v>0.14583333333333329</v>
      </c>
      <c r="D119" s="56" t="s">
        <v>30</v>
      </c>
      <c r="E119" s="58"/>
      <c r="F119" s="56" t="s">
        <v>45</v>
      </c>
      <c r="G119" s="205"/>
      <c r="H119" s="167" t="s">
        <v>169</v>
      </c>
      <c r="I119" s="187">
        <v>0.9778</v>
      </c>
      <c r="J119" s="169">
        <v>176</v>
      </c>
      <c r="K119" s="170" t="s">
        <v>41</v>
      </c>
      <c r="L119" s="169">
        <v>1</v>
      </c>
      <c r="M119" s="169">
        <v>0</v>
      </c>
      <c r="N119" s="169">
        <v>0</v>
      </c>
      <c r="O119" s="171" t="s">
        <v>121</v>
      </c>
      <c r="P119" s="172">
        <v>0.14583333333333329</v>
      </c>
      <c r="Q119" s="169">
        <v>180</v>
      </c>
      <c r="R119" s="173" t="s">
        <v>221</v>
      </c>
    </row>
    <row r="120" spans="1:18" ht="49.95" customHeight="1" x14ac:dyDescent="0.3">
      <c r="A120" s="181" t="s">
        <v>28</v>
      </c>
      <c r="B120" s="181" t="s">
        <v>171</v>
      </c>
      <c r="C120" s="182">
        <v>0.53125</v>
      </c>
      <c r="D120" s="181" t="s">
        <v>30</v>
      </c>
      <c r="E120" s="183"/>
      <c r="F120" s="181" t="s">
        <v>51</v>
      </c>
      <c r="G120" s="218"/>
      <c r="H120" s="91" t="s">
        <v>171</v>
      </c>
      <c r="I120" s="92">
        <v>0.93330000000000002</v>
      </c>
      <c r="J120" s="93">
        <v>168</v>
      </c>
      <c r="K120" s="94" t="s">
        <v>187</v>
      </c>
      <c r="L120" s="93">
        <v>5</v>
      </c>
      <c r="M120" s="93">
        <v>0</v>
      </c>
      <c r="N120" s="93">
        <v>0</v>
      </c>
      <c r="O120" s="95" t="s">
        <v>198</v>
      </c>
      <c r="P120" s="96">
        <v>0.53125</v>
      </c>
      <c r="Q120" s="93">
        <v>180</v>
      </c>
      <c r="R120" s="97" t="s">
        <v>222</v>
      </c>
    </row>
    <row r="121" spans="1:18" ht="49.95" customHeight="1" thickBot="1" x14ac:dyDescent="0.35">
      <c r="A121" s="108" t="s">
        <v>28</v>
      </c>
      <c r="B121" s="108" t="s">
        <v>180</v>
      </c>
      <c r="C121" s="109">
        <v>0.86111111111111116</v>
      </c>
      <c r="D121" s="108" t="s">
        <v>30</v>
      </c>
      <c r="E121" s="110"/>
      <c r="F121" s="108" t="s">
        <v>63</v>
      </c>
      <c r="G121" s="217"/>
      <c r="H121" s="69" t="s">
        <v>180</v>
      </c>
      <c r="I121" s="188">
        <v>0.69440000000000002</v>
      </c>
      <c r="J121" s="71">
        <v>125</v>
      </c>
      <c r="K121" s="72" t="s">
        <v>175</v>
      </c>
      <c r="L121" s="71">
        <v>0</v>
      </c>
      <c r="M121" s="71">
        <v>0</v>
      </c>
      <c r="N121" s="71">
        <v>0</v>
      </c>
      <c r="O121" s="73" t="s">
        <v>204</v>
      </c>
      <c r="P121" s="74">
        <v>0.86111111111111116</v>
      </c>
      <c r="Q121" s="71">
        <v>180</v>
      </c>
      <c r="R121" s="75" t="s">
        <v>123</v>
      </c>
    </row>
    <row r="122" spans="1:18" ht="17.399999999999999" customHeight="1" thickBot="1" x14ac:dyDescent="0.35">
      <c r="A122" s="233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5"/>
    </row>
    <row r="123" spans="1:18" ht="22.05" customHeight="1" thickTop="1" thickBot="1" x14ac:dyDescent="0.35">
      <c r="A123" s="206" t="s">
        <v>8</v>
      </c>
      <c r="B123" s="207"/>
      <c r="C123" s="207"/>
      <c r="D123" s="207"/>
      <c r="E123" s="207"/>
      <c r="F123" s="208"/>
      <c r="G123" s="18">
        <v>46009</v>
      </c>
      <c r="H123" s="209" t="s">
        <v>9</v>
      </c>
      <c r="I123" s="207"/>
      <c r="J123" s="207"/>
      <c r="K123" s="207"/>
      <c r="L123" s="207"/>
      <c r="M123" s="207"/>
      <c r="N123" s="207"/>
      <c r="O123" s="207"/>
      <c r="P123" s="207"/>
      <c r="Q123" s="207"/>
      <c r="R123" s="208"/>
    </row>
    <row r="124" spans="1:18" ht="24" customHeight="1" x14ac:dyDescent="0.3">
      <c r="A124" s="19" t="s">
        <v>10</v>
      </c>
      <c r="B124" s="19" t="s">
        <v>11</v>
      </c>
      <c r="C124" s="20" t="s">
        <v>12</v>
      </c>
      <c r="D124" s="19" t="s">
        <v>13</v>
      </c>
      <c r="E124" s="19" t="s">
        <v>14</v>
      </c>
      <c r="F124" s="21" t="s">
        <v>15</v>
      </c>
      <c r="G124" s="22" t="s">
        <v>16</v>
      </c>
      <c r="H124" s="19" t="s">
        <v>17</v>
      </c>
      <c r="I124" s="23" t="s">
        <v>18</v>
      </c>
      <c r="J124" s="24" t="s">
        <v>19</v>
      </c>
      <c r="K124" s="25" t="s">
        <v>20</v>
      </c>
      <c r="L124" s="24" t="s">
        <v>21</v>
      </c>
      <c r="M124" s="24" t="s">
        <v>22</v>
      </c>
      <c r="N124" s="24" t="s">
        <v>23</v>
      </c>
      <c r="O124" s="19" t="s">
        <v>24</v>
      </c>
      <c r="P124" s="20" t="s">
        <v>25</v>
      </c>
      <c r="Q124" s="24" t="s">
        <v>26</v>
      </c>
      <c r="R124" s="19" t="s">
        <v>27</v>
      </c>
    </row>
    <row r="125" spans="1:18" ht="49.95" customHeight="1" thickTop="1" thickBot="1" x14ac:dyDescent="0.35">
      <c r="A125" s="8" t="s">
        <v>28</v>
      </c>
      <c r="B125" s="8" t="s">
        <v>169</v>
      </c>
      <c r="C125" s="9">
        <v>8.6805555555555566E-2</v>
      </c>
      <c r="D125" s="8" t="s">
        <v>30</v>
      </c>
      <c r="E125" s="10"/>
      <c r="F125" s="8" t="s">
        <v>63</v>
      </c>
      <c r="G125" s="205"/>
      <c r="H125" s="11" t="s">
        <v>169</v>
      </c>
      <c r="I125" s="186">
        <v>0.77780000000000005</v>
      </c>
      <c r="J125" s="13">
        <v>140</v>
      </c>
      <c r="K125" s="14" t="s">
        <v>64</v>
      </c>
      <c r="L125" s="13">
        <v>0</v>
      </c>
      <c r="M125" s="13">
        <v>0</v>
      </c>
      <c r="N125" s="13">
        <v>0</v>
      </c>
      <c r="O125" s="15" t="s">
        <v>158</v>
      </c>
      <c r="P125" s="16">
        <v>8.6805555555555566E-2</v>
      </c>
      <c r="Q125" s="13">
        <v>180</v>
      </c>
      <c r="R125" s="17" t="s">
        <v>223</v>
      </c>
    </row>
    <row r="126" spans="1:18" ht="17.399999999999999" customHeight="1" thickBot="1" x14ac:dyDescent="0.35">
      <c r="A126" s="233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5"/>
    </row>
    <row r="127" spans="1:18" ht="22.05" customHeight="1" thickTop="1" thickBot="1" x14ac:dyDescent="0.35">
      <c r="A127" s="206" t="s">
        <v>8</v>
      </c>
      <c r="B127" s="207"/>
      <c r="C127" s="207"/>
      <c r="D127" s="207"/>
      <c r="E127" s="207"/>
      <c r="F127" s="208"/>
      <c r="G127" s="18">
        <v>46010</v>
      </c>
      <c r="H127" s="209" t="s">
        <v>9</v>
      </c>
      <c r="I127" s="207"/>
      <c r="J127" s="207"/>
      <c r="K127" s="207"/>
      <c r="L127" s="207"/>
      <c r="M127" s="207"/>
      <c r="N127" s="207"/>
      <c r="O127" s="207"/>
      <c r="P127" s="207"/>
      <c r="Q127" s="207"/>
      <c r="R127" s="208"/>
    </row>
    <row r="128" spans="1:18" ht="24" customHeight="1" x14ac:dyDescent="0.3">
      <c r="A128" s="19" t="s">
        <v>10</v>
      </c>
      <c r="B128" s="19" t="s">
        <v>11</v>
      </c>
      <c r="C128" s="20" t="s">
        <v>12</v>
      </c>
      <c r="D128" s="19" t="s">
        <v>13</v>
      </c>
      <c r="E128" s="19" t="s">
        <v>14</v>
      </c>
      <c r="F128" s="21" t="s">
        <v>15</v>
      </c>
      <c r="G128" s="22" t="s">
        <v>16</v>
      </c>
      <c r="H128" s="19" t="s">
        <v>17</v>
      </c>
      <c r="I128" s="23" t="s">
        <v>18</v>
      </c>
      <c r="J128" s="24" t="s">
        <v>19</v>
      </c>
      <c r="K128" s="25" t="s">
        <v>20</v>
      </c>
      <c r="L128" s="24" t="s">
        <v>21</v>
      </c>
      <c r="M128" s="24" t="s">
        <v>22</v>
      </c>
      <c r="N128" s="24" t="s">
        <v>23</v>
      </c>
      <c r="O128" s="19" t="s">
        <v>24</v>
      </c>
      <c r="P128" s="20" t="s">
        <v>25</v>
      </c>
      <c r="Q128" s="24" t="s">
        <v>26</v>
      </c>
      <c r="R128" s="19" t="s">
        <v>27</v>
      </c>
    </row>
    <row r="129" spans="1:18" ht="49.95" customHeight="1" thickTop="1" thickBot="1" x14ac:dyDescent="0.35">
      <c r="A129" s="8" t="s">
        <v>28</v>
      </c>
      <c r="B129" s="8" t="s">
        <v>169</v>
      </c>
      <c r="C129" s="9">
        <v>0.22916666666666671</v>
      </c>
      <c r="D129" s="8" t="s">
        <v>30</v>
      </c>
      <c r="E129" s="10"/>
      <c r="F129" s="8" t="s">
        <v>197</v>
      </c>
      <c r="G129" s="205"/>
      <c r="H129" s="11" t="s">
        <v>169</v>
      </c>
      <c r="I129" s="189">
        <v>0.05</v>
      </c>
      <c r="J129" s="13">
        <v>9</v>
      </c>
      <c r="K129" s="14" t="s">
        <v>58</v>
      </c>
      <c r="L129" s="13">
        <v>3</v>
      </c>
      <c r="M129" s="13">
        <v>0</v>
      </c>
      <c r="N129" s="13">
        <v>0</v>
      </c>
      <c r="O129" s="15" t="s">
        <v>131</v>
      </c>
      <c r="P129" s="16">
        <v>0.22916666666666671</v>
      </c>
      <c r="Q129" s="13">
        <v>180</v>
      </c>
      <c r="R129" s="17" t="s">
        <v>224</v>
      </c>
    </row>
    <row r="130" spans="1:18" ht="17.399999999999999" customHeight="1" thickBot="1" x14ac:dyDescent="0.35">
      <c r="A130" s="233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5"/>
    </row>
    <row r="131" spans="1:18" ht="22.05" customHeight="1" thickTop="1" thickBot="1" x14ac:dyDescent="0.35">
      <c r="A131" s="206" t="s">
        <v>8</v>
      </c>
      <c r="B131" s="207"/>
      <c r="C131" s="207"/>
      <c r="D131" s="207"/>
      <c r="E131" s="207"/>
      <c r="F131" s="208"/>
      <c r="G131" s="18">
        <v>46011</v>
      </c>
      <c r="H131" s="209" t="s">
        <v>9</v>
      </c>
      <c r="I131" s="207"/>
      <c r="J131" s="207"/>
      <c r="K131" s="207"/>
      <c r="L131" s="207"/>
      <c r="M131" s="207"/>
      <c r="N131" s="207"/>
      <c r="O131" s="207"/>
      <c r="P131" s="207"/>
      <c r="Q131" s="207"/>
      <c r="R131" s="208"/>
    </row>
    <row r="132" spans="1:18" ht="24" customHeight="1" x14ac:dyDescent="0.3">
      <c r="A132" s="19" t="s">
        <v>10</v>
      </c>
      <c r="B132" s="19" t="s">
        <v>11</v>
      </c>
      <c r="C132" s="20" t="s">
        <v>12</v>
      </c>
      <c r="D132" s="19" t="s">
        <v>13</v>
      </c>
      <c r="E132" s="19" t="s">
        <v>14</v>
      </c>
      <c r="F132" s="21" t="s">
        <v>15</v>
      </c>
      <c r="G132" s="22" t="s">
        <v>16</v>
      </c>
      <c r="H132" s="19" t="s">
        <v>17</v>
      </c>
      <c r="I132" s="23" t="s">
        <v>18</v>
      </c>
      <c r="J132" s="24" t="s">
        <v>19</v>
      </c>
      <c r="K132" s="25" t="s">
        <v>20</v>
      </c>
      <c r="L132" s="24" t="s">
        <v>21</v>
      </c>
      <c r="M132" s="24" t="s">
        <v>22</v>
      </c>
      <c r="N132" s="24" t="s">
        <v>23</v>
      </c>
      <c r="O132" s="19" t="s">
        <v>24</v>
      </c>
      <c r="P132" s="20" t="s">
        <v>25</v>
      </c>
      <c r="Q132" s="24" t="s">
        <v>26</v>
      </c>
      <c r="R132" s="19" t="s">
        <v>27</v>
      </c>
    </row>
    <row r="133" spans="1:18" ht="49.95" customHeight="1" x14ac:dyDescent="0.3">
      <c r="A133" s="66" t="s">
        <v>28</v>
      </c>
      <c r="B133" s="66" t="s">
        <v>171</v>
      </c>
      <c r="C133" s="67">
        <v>0.27083333333333331</v>
      </c>
      <c r="D133" s="66" t="s">
        <v>30</v>
      </c>
      <c r="E133" s="68"/>
      <c r="F133" s="66" t="s">
        <v>63</v>
      </c>
      <c r="G133" s="205"/>
      <c r="H133" s="145" t="s">
        <v>171</v>
      </c>
      <c r="I133" s="190">
        <v>0.7611</v>
      </c>
      <c r="J133" s="147">
        <v>137</v>
      </c>
      <c r="K133" s="148" t="s">
        <v>210</v>
      </c>
      <c r="L133" s="147">
        <v>0</v>
      </c>
      <c r="M133" s="147">
        <v>0</v>
      </c>
      <c r="N133" s="147">
        <v>0</v>
      </c>
      <c r="O133" s="149" t="s">
        <v>225</v>
      </c>
      <c r="P133" s="150">
        <v>0.27083333333333331</v>
      </c>
      <c r="Q133" s="147">
        <v>180</v>
      </c>
      <c r="R133" s="151" t="s">
        <v>226</v>
      </c>
    </row>
    <row r="134" spans="1:18" ht="49.95" customHeight="1" thickBot="1" x14ac:dyDescent="0.35">
      <c r="A134" s="191" t="s">
        <v>28</v>
      </c>
      <c r="B134" s="191" t="s">
        <v>169</v>
      </c>
      <c r="C134" s="192">
        <v>0.60416666666666663</v>
      </c>
      <c r="D134" s="191" t="s">
        <v>30</v>
      </c>
      <c r="E134" s="193"/>
      <c r="F134" s="191" t="s">
        <v>63</v>
      </c>
      <c r="G134" s="217"/>
      <c r="H134" s="111" t="s">
        <v>169</v>
      </c>
      <c r="I134" s="194">
        <v>0.7833</v>
      </c>
      <c r="J134" s="113">
        <v>141</v>
      </c>
      <c r="K134" s="114" t="s">
        <v>58</v>
      </c>
      <c r="L134" s="113">
        <v>1</v>
      </c>
      <c r="M134" s="113">
        <v>0</v>
      </c>
      <c r="N134" s="113">
        <v>0</v>
      </c>
      <c r="O134" s="115" t="s">
        <v>121</v>
      </c>
      <c r="P134" s="116">
        <v>0.60416666666666663</v>
      </c>
      <c r="Q134" s="113">
        <v>180</v>
      </c>
      <c r="R134" s="117" t="s">
        <v>227</v>
      </c>
    </row>
    <row r="135" spans="1:18" ht="17.399999999999999" customHeight="1" thickBot="1" x14ac:dyDescent="0.3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5"/>
    </row>
    <row r="136" spans="1:18" ht="22.05" customHeight="1" thickTop="1" thickBot="1" x14ac:dyDescent="0.35">
      <c r="A136" s="206" t="s">
        <v>8</v>
      </c>
      <c r="B136" s="207"/>
      <c r="C136" s="207"/>
      <c r="D136" s="207"/>
      <c r="E136" s="207"/>
      <c r="F136" s="208"/>
      <c r="G136" s="18">
        <v>46012</v>
      </c>
      <c r="H136" s="209" t="s">
        <v>9</v>
      </c>
      <c r="I136" s="207"/>
      <c r="J136" s="207"/>
      <c r="K136" s="207"/>
      <c r="L136" s="207"/>
      <c r="M136" s="207"/>
      <c r="N136" s="207"/>
      <c r="O136" s="207"/>
      <c r="P136" s="207"/>
      <c r="Q136" s="207"/>
      <c r="R136" s="208"/>
    </row>
    <row r="137" spans="1:18" ht="24" customHeight="1" x14ac:dyDescent="0.3">
      <c r="A137" s="19" t="s">
        <v>10</v>
      </c>
      <c r="B137" s="19" t="s">
        <v>11</v>
      </c>
      <c r="C137" s="20" t="s">
        <v>12</v>
      </c>
      <c r="D137" s="19" t="s">
        <v>13</v>
      </c>
      <c r="E137" s="19" t="s">
        <v>14</v>
      </c>
      <c r="F137" s="21" t="s">
        <v>15</v>
      </c>
      <c r="G137" s="22" t="s">
        <v>16</v>
      </c>
      <c r="H137" s="19" t="s">
        <v>17</v>
      </c>
      <c r="I137" s="23" t="s">
        <v>18</v>
      </c>
      <c r="J137" s="24" t="s">
        <v>19</v>
      </c>
      <c r="K137" s="25" t="s">
        <v>20</v>
      </c>
      <c r="L137" s="24" t="s">
        <v>21</v>
      </c>
      <c r="M137" s="24" t="s">
        <v>22</v>
      </c>
      <c r="N137" s="24" t="s">
        <v>23</v>
      </c>
      <c r="O137" s="19" t="s">
        <v>24</v>
      </c>
      <c r="P137" s="20" t="s">
        <v>25</v>
      </c>
      <c r="Q137" s="24" t="s">
        <v>26</v>
      </c>
      <c r="R137" s="19" t="s">
        <v>27</v>
      </c>
    </row>
    <row r="138" spans="1:18" ht="49.95" customHeight="1" x14ac:dyDescent="0.3">
      <c r="A138" s="88" t="s">
        <v>28</v>
      </c>
      <c r="B138" s="88" t="s">
        <v>169</v>
      </c>
      <c r="C138" s="89">
        <v>0.49652777777777768</v>
      </c>
      <c r="D138" s="88" t="s">
        <v>30</v>
      </c>
      <c r="E138" s="90"/>
      <c r="F138" s="88" t="s">
        <v>51</v>
      </c>
      <c r="G138" s="205"/>
      <c r="H138" s="91" t="s">
        <v>169</v>
      </c>
      <c r="I138" s="92">
        <v>0.86670000000000003</v>
      </c>
      <c r="J138" s="93">
        <v>156</v>
      </c>
      <c r="K138" s="94" t="s">
        <v>35</v>
      </c>
      <c r="L138" s="93">
        <v>4</v>
      </c>
      <c r="M138" s="93">
        <v>0</v>
      </c>
      <c r="N138" s="93">
        <v>1</v>
      </c>
      <c r="O138" s="95" t="s">
        <v>228</v>
      </c>
      <c r="P138" s="96">
        <v>0.49652777777777768</v>
      </c>
      <c r="Q138" s="93">
        <v>180</v>
      </c>
      <c r="R138" s="97" t="s">
        <v>229</v>
      </c>
    </row>
    <row r="139" spans="1:18" ht="49.95" customHeight="1" thickBot="1" x14ac:dyDescent="0.35">
      <c r="A139" s="142" t="s">
        <v>28</v>
      </c>
      <c r="B139" s="142" t="s">
        <v>171</v>
      </c>
      <c r="C139" s="143">
        <v>0.57986111111111105</v>
      </c>
      <c r="D139" s="142" t="s">
        <v>30</v>
      </c>
      <c r="E139" s="144"/>
      <c r="F139" s="142" t="s">
        <v>63</v>
      </c>
      <c r="G139" s="217"/>
      <c r="H139" s="49" t="s">
        <v>171</v>
      </c>
      <c r="I139" s="86">
        <v>0.69440000000000002</v>
      </c>
      <c r="J139" s="51">
        <v>125</v>
      </c>
      <c r="K139" s="52" t="s">
        <v>37</v>
      </c>
      <c r="L139" s="51">
        <v>0</v>
      </c>
      <c r="M139" s="51">
        <v>0</v>
      </c>
      <c r="N139" s="51">
        <v>0</v>
      </c>
      <c r="O139" s="53" t="s">
        <v>52</v>
      </c>
      <c r="P139" s="54">
        <v>0.57986111111111105</v>
      </c>
      <c r="Q139" s="51">
        <v>180</v>
      </c>
      <c r="R139" s="55" t="s">
        <v>123</v>
      </c>
    </row>
    <row r="140" spans="1:18" ht="17.399999999999999" customHeight="1" thickBot="1" x14ac:dyDescent="0.35">
      <c r="A140" s="233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5"/>
    </row>
    <row r="141" spans="1:18" ht="22.05" customHeight="1" thickTop="1" thickBot="1" x14ac:dyDescent="0.35">
      <c r="A141" s="206" t="s">
        <v>8</v>
      </c>
      <c r="B141" s="207"/>
      <c r="C141" s="207"/>
      <c r="D141" s="207"/>
      <c r="E141" s="207"/>
      <c r="F141" s="208"/>
      <c r="G141" s="18">
        <v>46013</v>
      </c>
      <c r="H141" s="209" t="s">
        <v>9</v>
      </c>
      <c r="I141" s="207"/>
      <c r="J141" s="207"/>
      <c r="K141" s="207"/>
      <c r="L141" s="207"/>
      <c r="M141" s="207"/>
      <c r="N141" s="207"/>
      <c r="O141" s="207"/>
      <c r="P141" s="207"/>
      <c r="Q141" s="207"/>
      <c r="R141" s="208"/>
    </row>
    <row r="142" spans="1:18" ht="24" customHeight="1" x14ac:dyDescent="0.3">
      <c r="A142" s="19" t="s">
        <v>10</v>
      </c>
      <c r="B142" s="19" t="s">
        <v>11</v>
      </c>
      <c r="C142" s="20" t="s">
        <v>12</v>
      </c>
      <c r="D142" s="19" t="s">
        <v>13</v>
      </c>
      <c r="E142" s="19" t="s">
        <v>14</v>
      </c>
      <c r="F142" s="21" t="s">
        <v>15</v>
      </c>
      <c r="G142" s="22" t="s">
        <v>16</v>
      </c>
      <c r="H142" s="19" t="s">
        <v>17</v>
      </c>
      <c r="I142" s="23" t="s">
        <v>18</v>
      </c>
      <c r="J142" s="24" t="s">
        <v>19</v>
      </c>
      <c r="K142" s="25" t="s">
        <v>20</v>
      </c>
      <c r="L142" s="24" t="s">
        <v>21</v>
      </c>
      <c r="M142" s="24" t="s">
        <v>22</v>
      </c>
      <c r="N142" s="24" t="s">
        <v>23</v>
      </c>
      <c r="O142" s="19" t="s">
        <v>24</v>
      </c>
      <c r="P142" s="20" t="s">
        <v>25</v>
      </c>
      <c r="Q142" s="24" t="s">
        <v>26</v>
      </c>
      <c r="R142" s="19" t="s">
        <v>27</v>
      </c>
    </row>
    <row r="143" spans="1:18" ht="49.95" customHeight="1" x14ac:dyDescent="0.3">
      <c r="A143" s="36" t="s">
        <v>28</v>
      </c>
      <c r="B143" s="36" t="s">
        <v>171</v>
      </c>
      <c r="C143" s="37">
        <v>0.14930555555555561</v>
      </c>
      <c r="D143" s="36" t="s">
        <v>30</v>
      </c>
      <c r="E143" s="38"/>
      <c r="F143" s="36" t="s">
        <v>51</v>
      </c>
      <c r="G143" s="205"/>
      <c r="H143" s="101" t="s">
        <v>171</v>
      </c>
      <c r="I143" s="102">
        <v>0.85560000000000003</v>
      </c>
      <c r="J143" s="103">
        <v>154</v>
      </c>
      <c r="K143" s="104" t="s">
        <v>187</v>
      </c>
      <c r="L143" s="103">
        <v>4</v>
      </c>
      <c r="M143" s="103">
        <v>0</v>
      </c>
      <c r="N143" s="103">
        <v>0</v>
      </c>
      <c r="O143" s="105" t="s">
        <v>149</v>
      </c>
      <c r="P143" s="106">
        <v>0.14930555555555561</v>
      </c>
      <c r="Q143" s="103">
        <v>180</v>
      </c>
      <c r="R143" s="107" t="s">
        <v>230</v>
      </c>
    </row>
    <row r="144" spans="1:18" ht="49.95" customHeight="1" thickBot="1" x14ac:dyDescent="0.35">
      <c r="A144" s="191" t="s">
        <v>28</v>
      </c>
      <c r="B144" s="191" t="s">
        <v>169</v>
      </c>
      <c r="C144" s="192">
        <v>0.45833333333333331</v>
      </c>
      <c r="D144" s="191" t="s">
        <v>30</v>
      </c>
      <c r="E144" s="193"/>
      <c r="F144" s="191" t="s">
        <v>63</v>
      </c>
      <c r="G144" s="217"/>
      <c r="H144" s="111" t="s">
        <v>169</v>
      </c>
      <c r="I144" s="194">
        <v>0.75</v>
      </c>
      <c r="J144" s="113">
        <v>135</v>
      </c>
      <c r="K144" s="114" t="s">
        <v>175</v>
      </c>
      <c r="L144" s="113">
        <v>0</v>
      </c>
      <c r="M144" s="113">
        <v>0</v>
      </c>
      <c r="N144" s="113">
        <v>0</v>
      </c>
      <c r="O144" s="115" t="s">
        <v>204</v>
      </c>
      <c r="P144" s="116">
        <v>0.45833333333333331</v>
      </c>
      <c r="Q144" s="113">
        <v>180</v>
      </c>
      <c r="R144" s="117" t="s">
        <v>78</v>
      </c>
    </row>
    <row r="145" spans="1:18" ht="17.399999999999999" customHeight="1" thickBot="1" x14ac:dyDescent="0.35">
      <c r="A145" s="233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5"/>
    </row>
    <row r="146" spans="1:18" ht="22.05" customHeight="1" thickTop="1" thickBot="1" x14ac:dyDescent="0.35">
      <c r="A146" s="206" t="s">
        <v>8</v>
      </c>
      <c r="B146" s="207"/>
      <c r="C146" s="207"/>
      <c r="D146" s="207"/>
      <c r="E146" s="207"/>
      <c r="F146" s="208"/>
      <c r="G146" s="18">
        <v>46014</v>
      </c>
      <c r="H146" s="209" t="s">
        <v>9</v>
      </c>
      <c r="I146" s="207"/>
      <c r="J146" s="207"/>
      <c r="K146" s="207"/>
      <c r="L146" s="207"/>
      <c r="M146" s="207"/>
      <c r="N146" s="207"/>
      <c r="O146" s="207"/>
      <c r="P146" s="207"/>
      <c r="Q146" s="207"/>
      <c r="R146" s="208"/>
    </row>
    <row r="147" spans="1:18" ht="24" customHeight="1" x14ac:dyDescent="0.3">
      <c r="A147" s="19" t="s">
        <v>10</v>
      </c>
      <c r="B147" s="19" t="s">
        <v>11</v>
      </c>
      <c r="C147" s="20" t="s">
        <v>12</v>
      </c>
      <c r="D147" s="19" t="s">
        <v>13</v>
      </c>
      <c r="E147" s="19" t="s">
        <v>14</v>
      </c>
      <c r="F147" s="21" t="s">
        <v>15</v>
      </c>
      <c r="G147" s="22" t="s">
        <v>16</v>
      </c>
      <c r="H147" s="19" t="s">
        <v>17</v>
      </c>
      <c r="I147" s="23" t="s">
        <v>18</v>
      </c>
      <c r="J147" s="24" t="s">
        <v>19</v>
      </c>
      <c r="K147" s="25" t="s">
        <v>20</v>
      </c>
      <c r="L147" s="24" t="s">
        <v>21</v>
      </c>
      <c r="M147" s="24" t="s">
        <v>22</v>
      </c>
      <c r="N147" s="24" t="s">
        <v>23</v>
      </c>
      <c r="O147" s="19" t="s">
        <v>24</v>
      </c>
      <c r="P147" s="20" t="s">
        <v>25</v>
      </c>
      <c r="Q147" s="24" t="s">
        <v>26</v>
      </c>
      <c r="R147" s="19" t="s">
        <v>27</v>
      </c>
    </row>
    <row r="148" spans="1:18" ht="49.95" customHeight="1" thickTop="1" thickBot="1" x14ac:dyDescent="0.5">
      <c r="A148" s="66" t="s">
        <v>28</v>
      </c>
      <c r="B148" s="66" t="s">
        <v>169</v>
      </c>
      <c r="C148" s="67">
        <v>0.52083333333333337</v>
      </c>
      <c r="D148" s="66" t="s">
        <v>30</v>
      </c>
      <c r="E148" s="68"/>
      <c r="F148" s="66" t="s">
        <v>31</v>
      </c>
      <c r="G148" s="201"/>
      <c r="H148" s="69" t="s">
        <v>169</v>
      </c>
      <c r="I148" s="70">
        <v>1</v>
      </c>
      <c r="J148" s="71">
        <v>180</v>
      </c>
      <c r="K148" s="72" t="s">
        <v>231</v>
      </c>
      <c r="L148" s="71">
        <v>0</v>
      </c>
      <c r="M148" s="71">
        <v>0</v>
      </c>
      <c r="N148" s="71">
        <v>0</v>
      </c>
      <c r="O148" s="73" t="s">
        <v>33</v>
      </c>
      <c r="P148" s="74">
        <v>0.52083333333333337</v>
      </c>
      <c r="Q148" s="71">
        <v>180</v>
      </c>
      <c r="R148" s="75" t="s">
        <v>232</v>
      </c>
    </row>
    <row r="149" spans="1:18" ht="17.399999999999999" customHeight="1" thickBot="1" x14ac:dyDescent="0.35">
      <c r="A149" s="233"/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5"/>
    </row>
    <row r="150" spans="1:18" ht="22.05" customHeight="1" thickTop="1" thickBot="1" x14ac:dyDescent="0.35">
      <c r="A150" s="206" t="s">
        <v>8</v>
      </c>
      <c r="B150" s="207"/>
      <c r="C150" s="207"/>
      <c r="D150" s="207"/>
      <c r="E150" s="207"/>
      <c r="F150" s="208"/>
      <c r="G150" s="18">
        <v>46015</v>
      </c>
      <c r="H150" s="209" t="s">
        <v>9</v>
      </c>
      <c r="I150" s="207"/>
      <c r="J150" s="207"/>
      <c r="K150" s="207"/>
      <c r="L150" s="207"/>
      <c r="M150" s="207"/>
      <c r="N150" s="207"/>
      <c r="O150" s="207"/>
      <c r="P150" s="207"/>
      <c r="Q150" s="207"/>
      <c r="R150" s="208"/>
    </row>
    <row r="151" spans="1:18" ht="24" customHeight="1" x14ac:dyDescent="0.3">
      <c r="A151" s="19" t="s">
        <v>10</v>
      </c>
      <c r="B151" s="19" t="s">
        <v>11</v>
      </c>
      <c r="C151" s="20" t="s">
        <v>12</v>
      </c>
      <c r="D151" s="19" t="s">
        <v>13</v>
      </c>
      <c r="E151" s="19" t="s">
        <v>14</v>
      </c>
      <c r="F151" s="21" t="s">
        <v>15</v>
      </c>
      <c r="G151" s="22" t="s">
        <v>16</v>
      </c>
      <c r="H151" s="19" t="s">
        <v>17</v>
      </c>
      <c r="I151" s="23" t="s">
        <v>18</v>
      </c>
      <c r="J151" s="24" t="s">
        <v>19</v>
      </c>
      <c r="K151" s="25" t="s">
        <v>20</v>
      </c>
      <c r="L151" s="24" t="s">
        <v>21</v>
      </c>
      <c r="M151" s="24" t="s">
        <v>22</v>
      </c>
      <c r="N151" s="24" t="s">
        <v>23</v>
      </c>
      <c r="O151" s="19" t="s">
        <v>24</v>
      </c>
      <c r="P151" s="20" t="s">
        <v>25</v>
      </c>
      <c r="Q151" s="24" t="s">
        <v>26</v>
      </c>
      <c r="R151" s="19" t="s">
        <v>27</v>
      </c>
    </row>
    <row r="152" spans="1:18" ht="49.95" customHeight="1" x14ac:dyDescent="0.3">
      <c r="A152" s="36" t="s">
        <v>28</v>
      </c>
      <c r="B152" s="36" t="s">
        <v>169</v>
      </c>
      <c r="C152" s="37">
        <v>0.14583333333333329</v>
      </c>
      <c r="D152" s="36" t="s">
        <v>30</v>
      </c>
      <c r="E152" s="38"/>
      <c r="F152" s="36" t="s">
        <v>63</v>
      </c>
      <c r="G152" s="201"/>
      <c r="H152" s="101" t="s">
        <v>169</v>
      </c>
      <c r="I152" s="195">
        <v>0.7944</v>
      </c>
      <c r="J152" s="103">
        <v>143</v>
      </c>
      <c r="K152" s="104" t="s">
        <v>190</v>
      </c>
      <c r="L152" s="103">
        <v>1</v>
      </c>
      <c r="M152" s="103">
        <v>0</v>
      </c>
      <c r="N152" s="103">
        <v>0</v>
      </c>
      <c r="O152" s="105" t="s">
        <v>113</v>
      </c>
      <c r="P152" s="106">
        <v>0.14583333333333329</v>
      </c>
      <c r="Q152" s="103">
        <v>180</v>
      </c>
      <c r="R152" s="107" t="s">
        <v>233</v>
      </c>
    </row>
    <row r="153" spans="1:18" ht="49.95" customHeight="1" x14ac:dyDescent="0.3">
      <c r="A153" s="196" t="s">
        <v>28</v>
      </c>
      <c r="B153" s="196" t="s">
        <v>171</v>
      </c>
      <c r="C153" s="197">
        <v>0.53125</v>
      </c>
      <c r="D153" s="196" t="s">
        <v>30</v>
      </c>
      <c r="E153" s="198"/>
      <c r="F153" s="196" t="s">
        <v>63</v>
      </c>
      <c r="G153" s="218"/>
      <c r="H153" s="167" t="s">
        <v>171</v>
      </c>
      <c r="I153" s="168">
        <v>0.77780000000000005</v>
      </c>
      <c r="J153" s="169">
        <v>140</v>
      </c>
      <c r="K153" s="170" t="s">
        <v>64</v>
      </c>
      <c r="L153" s="169">
        <v>0</v>
      </c>
      <c r="M153" s="169">
        <v>0</v>
      </c>
      <c r="N153" s="169">
        <v>0</v>
      </c>
      <c r="O153" s="171" t="s">
        <v>158</v>
      </c>
      <c r="P153" s="172">
        <v>0.53125</v>
      </c>
      <c r="Q153" s="169">
        <v>180</v>
      </c>
      <c r="R153" s="173" t="s">
        <v>223</v>
      </c>
    </row>
    <row r="154" spans="1:18" ht="49.95" customHeight="1" thickBot="1" x14ac:dyDescent="0.35">
      <c r="A154" s="191" t="s">
        <v>28</v>
      </c>
      <c r="B154" s="191" t="s">
        <v>180</v>
      </c>
      <c r="C154" s="192">
        <v>0.86111111111111116</v>
      </c>
      <c r="D154" s="191" t="s">
        <v>30</v>
      </c>
      <c r="E154" s="193"/>
      <c r="F154" s="191" t="s">
        <v>45</v>
      </c>
      <c r="G154" s="217"/>
      <c r="H154" s="111" t="s">
        <v>180</v>
      </c>
      <c r="I154" s="112">
        <v>0.95</v>
      </c>
      <c r="J154" s="113">
        <v>171</v>
      </c>
      <c r="K154" s="114" t="s">
        <v>187</v>
      </c>
      <c r="L154" s="113">
        <v>1</v>
      </c>
      <c r="M154" s="113">
        <v>0</v>
      </c>
      <c r="N154" s="113">
        <v>0</v>
      </c>
      <c r="O154" s="115" t="s">
        <v>225</v>
      </c>
      <c r="P154" s="116">
        <v>0.86111111111111116</v>
      </c>
      <c r="Q154" s="113">
        <v>180</v>
      </c>
      <c r="R154" s="117" t="s">
        <v>234</v>
      </c>
    </row>
    <row r="155" spans="1:18" ht="17.399999999999999" customHeight="1" thickBot="1" x14ac:dyDescent="0.35">
      <c r="A155" s="233"/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5"/>
    </row>
    <row r="156" spans="1:18" ht="22.05" customHeight="1" thickTop="1" thickBot="1" x14ac:dyDescent="0.35">
      <c r="A156" s="206" t="s">
        <v>8</v>
      </c>
      <c r="B156" s="207"/>
      <c r="C156" s="207"/>
      <c r="D156" s="207"/>
      <c r="E156" s="207"/>
      <c r="F156" s="208"/>
      <c r="G156" s="18">
        <v>46016</v>
      </c>
      <c r="H156" s="209" t="s">
        <v>9</v>
      </c>
      <c r="I156" s="207"/>
      <c r="J156" s="207"/>
      <c r="K156" s="207"/>
      <c r="L156" s="207"/>
      <c r="M156" s="207"/>
      <c r="N156" s="207"/>
      <c r="O156" s="207"/>
      <c r="P156" s="207"/>
      <c r="Q156" s="207"/>
      <c r="R156" s="208"/>
    </row>
    <row r="157" spans="1:18" ht="24" customHeight="1" x14ac:dyDescent="0.3">
      <c r="A157" s="19" t="s">
        <v>10</v>
      </c>
      <c r="B157" s="19" t="s">
        <v>11</v>
      </c>
      <c r="C157" s="20" t="s">
        <v>12</v>
      </c>
      <c r="D157" s="19" t="s">
        <v>13</v>
      </c>
      <c r="E157" s="19" t="s">
        <v>14</v>
      </c>
      <c r="F157" s="21" t="s">
        <v>15</v>
      </c>
      <c r="G157" s="22" t="s">
        <v>16</v>
      </c>
      <c r="H157" s="19" t="s">
        <v>17</v>
      </c>
      <c r="I157" s="23" t="s">
        <v>18</v>
      </c>
      <c r="J157" s="24" t="s">
        <v>19</v>
      </c>
      <c r="K157" s="25" t="s">
        <v>20</v>
      </c>
      <c r="L157" s="24" t="s">
        <v>21</v>
      </c>
      <c r="M157" s="24" t="s">
        <v>22</v>
      </c>
      <c r="N157" s="24" t="s">
        <v>23</v>
      </c>
      <c r="O157" s="19" t="s">
        <v>24</v>
      </c>
      <c r="P157" s="20" t="s">
        <v>25</v>
      </c>
      <c r="Q157" s="24" t="s">
        <v>26</v>
      </c>
      <c r="R157" s="19" t="s">
        <v>27</v>
      </c>
    </row>
    <row r="158" spans="1:18" ht="49.95" customHeight="1" thickTop="1" thickBot="1" x14ac:dyDescent="0.5">
      <c r="A158" s="56" t="s">
        <v>28</v>
      </c>
      <c r="B158" s="56" t="s">
        <v>169</v>
      </c>
      <c r="C158" s="57">
        <v>8.6805555555555566E-2</v>
      </c>
      <c r="D158" s="56" t="s">
        <v>30</v>
      </c>
      <c r="E158" s="58"/>
      <c r="F158" s="56" t="s">
        <v>63</v>
      </c>
      <c r="G158" s="201"/>
      <c r="H158" s="59" t="s">
        <v>169</v>
      </c>
      <c r="I158" s="199">
        <v>0.7611</v>
      </c>
      <c r="J158" s="61">
        <v>137</v>
      </c>
      <c r="K158" s="62" t="s">
        <v>58</v>
      </c>
      <c r="L158" s="61">
        <v>1</v>
      </c>
      <c r="M158" s="61">
        <v>0</v>
      </c>
      <c r="N158" s="61">
        <v>0</v>
      </c>
      <c r="O158" s="63" t="s">
        <v>225</v>
      </c>
      <c r="P158" s="64">
        <v>8.6805555555555566E-2</v>
      </c>
      <c r="Q158" s="61">
        <v>180</v>
      </c>
      <c r="R158" s="65" t="s">
        <v>226</v>
      </c>
    </row>
    <row r="159" spans="1:18" ht="17.399999999999999" customHeight="1" thickBot="1" x14ac:dyDescent="0.35">
      <c r="A159" s="233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5"/>
    </row>
    <row r="160" spans="1:18" ht="22.05" customHeight="1" thickTop="1" thickBot="1" x14ac:dyDescent="0.35">
      <c r="A160" s="206" t="s">
        <v>8</v>
      </c>
      <c r="B160" s="207"/>
      <c r="C160" s="207"/>
      <c r="D160" s="207"/>
      <c r="E160" s="207"/>
      <c r="F160" s="208"/>
      <c r="G160" s="18">
        <v>46017</v>
      </c>
      <c r="H160" s="209" t="s">
        <v>9</v>
      </c>
      <c r="I160" s="207"/>
      <c r="J160" s="207"/>
      <c r="K160" s="207"/>
      <c r="L160" s="207"/>
      <c r="M160" s="207"/>
      <c r="N160" s="207"/>
      <c r="O160" s="207"/>
      <c r="P160" s="207"/>
      <c r="Q160" s="207"/>
      <c r="R160" s="208"/>
    </row>
    <row r="161" spans="1:18" ht="24" customHeight="1" x14ac:dyDescent="0.3">
      <c r="A161" s="19" t="s">
        <v>10</v>
      </c>
      <c r="B161" s="19" t="s">
        <v>11</v>
      </c>
      <c r="C161" s="20" t="s">
        <v>12</v>
      </c>
      <c r="D161" s="19" t="s">
        <v>13</v>
      </c>
      <c r="E161" s="19" t="s">
        <v>14</v>
      </c>
      <c r="F161" s="21" t="s">
        <v>15</v>
      </c>
      <c r="G161" s="22" t="s">
        <v>16</v>
      </c>
      <c r="H161" s="19" t="s">
        <v>17</v>
      </c>
      <c r="I161" s="23" t="s">
        <v>18</v>
      </c>
      <c r="J161" s="24" t="s">
        <v>19</v>
      </c>
      <c r="K161" s="25" t="s">
        <v>20</v>
      </c>
      <c r="L161" s="24" t="s">
        <v>21</v>
      </c>
      <c r="M161" s="24" t="s">
        <v>22</v>
      </c>
      <c r="N161" s="24" t="s">
        <v>23</v>
      </c>
      <c r="O161" s="19" t="s">
        <v>24</v>
      </c>
      <c r="P161" s="20" t="s">
        <v>25</v>
      </c>
      <c r="Q161" s="24" t="s">
        <v>26</v>
      </c>
      <c r="R161" s="19" t="s">
        <v>27</v>
      </c>
    </row>
    <row r="162" spans="1:18" ht="49.95" customHeight="1" x14ac:dyDescent="0.45">
      <c r="A162" s="26" t="s">
        <v>28</v>
      </c>
      <c r="B162" s="26" t="s">
        <v>169</v>
      </c>
      <c r="C162" s="27">
        <v>0.22916666666666671</v>
      </c>
      <c r="D162" s="26" t="s">
        <v>30</v>
      </c>
      <c r="E162" s="28"/>
      <c r="F162" s="26" t="s">
        <v>197</v>
      </c>
      <c r="G162" s="201"/>
      <c r="H162" s="29" t="s">
        <v>169</v>
      </c>
      <c r="I162" s="200">
        <v>3.8899999999999997E-2</v>
      </c>
      <c r="J162" s="31">
        <v>7</v>
      </c>
      <c r="K162" s="32" t="s">
        <v>35</v>
      </c>
      <c r="L162" s="31">
        <v>2</v>
      </c>
      <c r="M162" s="31">
        <v>0</v>
      </c>
      <c r="N162" s="31">
        <v>2</v>
      </c>
      <c r="O162" s="33" t="s">
        <v>235</v>
      </c>
      <c r="P162" s="34">
        <v>0.22916666666666671</v>
      </c>
      <c r="Q162" s="31">
        <v>180</v>
      </c>
      <c r="R162" s="35" t="s">
        <v>145</v>
      </c>
    </row>
  </sheetData>
  <mergeCells count="142">
    <mergeCell ref="A146:F146"/>
    <mergeCell ref="H42:R42"/>
    <mergeCell ref="G162"/>
    <mergeCell ref="G49"/>
    <mergeCell ref="A94:F94"/>
    <mergeCell ref="A103:F103"/>
    <mergeCell ref="G152:G154"/>
    <mergeCell ref="G148"/>
    <mergeCell ref="H160:R160"/>
    <mergeCell ref="H141:R141"/>
    <mergeCell ref="A65:F65"/>
    <mergeCell ref="H150:R150"/>
    <mergeCell ref="G105:G106"/>
    <mergeCell ref="A69:R69"/>
    <mergeCell ref="A80:F80"/>
    <mergeCell ref="A50:R50"/>
    <mergeCell ref="A57:F57"/>
    <mergeCell ref="A113:F113"/>
    <mergeCell ref="H127:R127"/>
    <mergeCell ref="G59"/>
    <mergeCell ref="H98:R98"/>
    <mergeCell ref="H51:R51"/>
    <mergeCell ref="A159:R159"/>
    <mergeCell ref="G133:G134"/>
    <mergeCell ref="A97:R97"/>
    <mergeCell ref="A156:F156"/>
    <mergeCell ref="H156:R156"/>
    <mergeCell ref="A89:R89"/>
    <mergeCell ref="H146:R146"/>
    <mergeCell ref="G158"/>
    <mergeCell ref="G6:G7"/>
    <mergeCell ref="G2:J2"/>
    <mergeCell ref="A131:F131"/>
    <mergeCell ref="A23:R23"/>
    <mergeCell ref="H123:R123"/>
    <mergeCell ref="G86:G88"/>
    <mergeCell ref="A117:F117"/>
    <mergeCell ref="K2:R2"/>
    <mergeCell ref="G72:G73"/>
    <mergeCell ref="H57:R57"/>
    <mergeCell ref="H84:R84"/>
    <mergeCell ref="A130:R130"/>
    <mergeCell ref="A37:F37"/>
    <mergeCell ref="H4:R4"/>
    <mergeCell ref="G34:G35"/>
    <mergeCell ref="A3:R3"/>
    <mergeCell ref="A14:F14"/>
    <mergeCell ref="A4:F4"/>
    <mergeCell ref="H70:R70"/>
    <mergeCell ref="A13:R13"/>
    <mergeCell ref="A155:R155"/>
    <mergeCell ref="G138:G139"/>
    <mergeCell ref="A102:R102"/>
    <mergeCell ref="A127:F127"/>
    <mergeCell ref="H75:R75"/>
    <mergeCell ref="H28:R28"/>
    <mergeCell ref="A83:R83"/>
    <mergeCell ref="H80:R80"/>
    <mergeCell ref="A98:F98"/>
    <mergeCell ref="A36:R36"/>
    <mergeCell ref="A61:F61"/>
    <mergeCell ref="G77:G78"/>
    <mergeCell ref="H136:R136"/>
    <mergeCell ref="G67:G68"/>
    <mergeCell ref="A90:F90"/>
    <mergeCell ref="A136:F136"/>
    <mergeCell ref="H90:R90"/>
    <mergeCell ref="G125"/>
    <mergeCell ref="G110:G111"/>
    <mergeCell ref="A31:R31"/>
    <mergeCell ref="H131:R131"/>
    <mergeCell ref="G100:G101"/>
    <mergeCell ref="A64:R64"/>
    <mergeCell ref="A123:F123"/>
    <mergeCell ref="A145:R145"/>
    <mergeCell ref="A2:F2"/>
    <mergeCell ref="A42:F42"/>
    <mergeCell ref="H117:R117"/>
    <mergeCell ref="G96"/>
    <mergeCell ref="G119:G121"/>
    <mergeCell ref="A141:F141"/>
    <mergeCell ref="A116:R116"/>
    <mergeCell ref="A8:R8"/>
    <mergeCell ref="H94:R94"/>
    <mergeCell ref="A140:R140"/>
    <mergeCell ref="A28:F28"/>
    <mergeCell ref="A9:F9"/>
    <mergeCell ref="G82"/>
    <mergeCell ref="A93:R93"/>
    <mergeCell ref="G11:G12"/>
    <mergeCell ref="H14:R14"/>
    <mergeCell ref="A107:R107"/>
    <mergeCell ref="A60:R60"/>
    <mergeCell ref="H24:R24"/>
    <mergeCell ref="A149:R149"/>
    <mergeCell ref="H113:R113"/>
    <mergeCell ref="H9:R9"/>
    <mergeCell ref="A47:F47"/>
    <mergeCell ref="A160:F160"/>
    <mergeCell ref="A150:F150"/>
    <mergeCell ref="A32:F32"/>
    <mergeCell ref="A17:R17"/>
    <mergeCell ref="G115"/>
    <mergeCell ref="A126:R126"/>
    <mergeCell ref="A135:R135"/>
    <mergeCell ref="H108:R108"/>
    <mergeCell ref="A122:R122"/>
    <mergeCell ref="H61:R61"/>
    <mergeCell ref="A112:R112"/>
    <mergeCell ref="G143:G144"/>
    <mergeCell ref="H32:R32"/>
    <mergeCell ref="H37:R37"/>
    <mergeCell ref="G44:G45"/>
    <mergeCell ref="A24:F24"/>
    <mergeCell ref="A51:F51"/>
    <mergeCell ref="H65:R65"/>
    <mergeCell ref="H47:R47"/>
    <mergeCell ref="G53:G55"/>
    <mergeCell ref="A84:F84"/>
    <mergeCell ref="A41:R41"/>
    <mergeCell ref="G26"/>
    <mergeCell ref="A75:F75"/>
    <mergeCell ref="H1:L1"/>
    <mergeCell ref="A1:E1"/>
    <mergeCell ref="G63"/>
    <mergeCell ref="H103:R103"/>
    <mergeCell ref="G129"/>
    <mergeCell ref="G16"/>
    <mergeCell ref="A27:R27"/>
    <mergeCell ref="G92"/>
    <mergeCell ref="A70:F70"/>
    <mergeCell ref="G30"/>
    <mergeCell ref="A79:R79"/>
    <mergeCell ref="H18:R18"/>
    <mergeCell ref="A108:F108"/>
    <mergeCell ref="G20:G22"/>
    <mergeCell ref="A46:R46"/>
    <mergeCell ref="A18:F18"/>
    <mergeCell ref="G39:G40"/>
    <mergeCell ref="A74:R74"/>
    <mergeCell ref="A56:R56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"/>
  <sheetViews>
    <sheetView workbookViewId="0"/>
  </sheetViews>
  <sheetFormatPr defaultRowHeight="15.6" outlineLevelCol="1" x14ac:dyDescent="0.3"/>
  <cols>
    <col min="1" max="1" width="11.5546875" style="220" bestFit="1" customWidth="1"/>
    <col min="2" max="2" width="10.44140625" style="220" bestFit="1" customWidth="1"/>
    <col min="3" max="3" width="6.77734375" style="220" bestFit="1" customWidth="1"/>
    <col min="4" max="4" width="5.5546875" style="220" bestFit="1" customWidth="1"/>
    <col min="5" max="5" width="8.109375" style="220" bestFit="1" customWidth="1"/>
    <col min="6" max="6" width="4.21875" style="220" bestFit="1" customWidth="1"/>
    <col min="7" max="7" width="10" style="220" bestFit="1" customWidth="1"/>
    <col min="8" max="8" width="10.109375" style="220" bestFit="1" customWidth="1"/>
    <col min="9" max="10" width="8.5546875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23" width="3.88671875" style="220" bestFit="1" customWidth="1"/>
    <col min="24" max="24" width="4.109375" style="220" bestFit="1" customWidth="1"/>
    <col min="25" max="25" width="3.88671875" style="220" bestFit="1" customWidth="1"/>
    <col min="26" max="26" width="4.109375" style="220" bestFit="1" customWidth="1"/>
    <col min="27" max="27" width="5" style="220" bestFit="1" customWidth="1"/>
    <col min="28" max="29" width="4.21875" style="220" bestFit="1" customWidth="1"/>
    <col min="30" max="31" width="4.5546875" style="220" bestFit="1" customWidth="1"/>
    <col min="32" max="32" width="3.88671875" style="220" bestFit="1" customWidth="1"/>
    <col min="33" max="33" width="4.21875" style="220" bestFit="1" customWidth="1"/>
    <col min="34" max="34" width="3.88671875" style="220" bestFit="1" customWidth="1"/>
    <col min="35" max="35" width="5.21875" style="220" bestFit="1" customWidth="1"/>
    <col min="36" max="36" width="3.88671875" style="220" bestFit="1" customWidth="1"/>
    <col min="37" max="16384" width="8.88671875" style="220"/>
  </cols>
  <sheetData>
    <row r="1" spans="1:36" x14ac:dyDescent="0.3">
      <c r="A1" s="219" t="s">
        <v>79</v>
      </c>
      <c r="B1" s="219" t="s">
        <v>80</v>
      </c>
      <c r="C1" s="219" t="s">
        <v>81</v>
      </c>
      <c r="D1" s="219" t="s">
        <v>25</v>
      </c>
      <c r="E1" s="219" t="s">
        <v>82</v>
      </c>
      <c r="F1" s="219" t="s">
        <v>83</v>
      </c>
      <c r="G1" s="219" t="s">
        <v>18</v>
      </c>
      <c r="H1" s="219" t="s">
        <v>84</v>
      </c>
      <c r="I1" s="219" t="s">
        <v>85</v>
      </c>
      <c r="J1" s="219" t="s">
        <v>86</v>
      </c>
      <c r="K1" s="219" t="s">
        <v>87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88</v>
      </c>
      <c r="R1" s="219" t="s">
        <v>89</v>
      </c>
      <c r="S1" s="219" t="s">
        <v>90</v>
      </c>
      <c r="T1" s="219" t="s">
        <v>91</v>
      </c>
      <c r="U1" s="219" t="s">
        <v>92</v>
      </c>
      <c r="V1" s="219" t="s">
        <v>93</v>
      </c>
      <c r="W1" s="219" t="s">
        <v>94</v>
      </c>
      <c r="X1" s="219" t="s">
        <v>95</v>
      </c>
      <c r="Y1" s="219" t="s">
        <v>96</v>
      </c>
      <c r="Z1" s="219" t="s">
        <v>97</v>
      </c>
      <c r="AA1" s="219" t="s">
        <v>98</v>
      </c>
      <c r="AB1" s="219" t="s">
        <v>99</v>
      </c>
      <c r="AC1" s="219" t="s">
        <v>100</v>
      </c>
      <c r="AD1" s="219" t="s">
        <v>101</v>
      </c>
      <c r="AE1" s="219" t="s">
        <v>102</v>
      </c>
      <c r="AF1" s="219" t="s">
        <v>103</v>
      </c>
      <c r="AG1" s="219" t="s">
        <v>104</v>
      </c>
      <c r="AH1" s="219" t="s">
        <v>105</v>
      </c>
      <c r="AI1" s="219" t="s">
        <v>106</v>
      </c>
      <c r="AJ1" s="219" t="s">
        <v>107</v>
      </c>
    </row>
    <row r="2" spans="1:36" x14ac:dyDescent="0.3">
      <c r="A2" s="221" t="s">
        <v>108</v>
      </c>
      <c r="B2" s="222">
        <v>45984</v>
      </c>
      <c r="C2" s="223" t="s">
        <v>169</v>
      </c>
      <c r="D2" s="224" t="s">
        <v>236</v>
      </c>
      <c r="E2" s="223" t="s">
        <v>168</v>
      </c>
      <c r="F2" s="223" t="s">
        <v>110</v>
      </c>
      <c r="G2" s="225">
        <v>0.99439999999999995</v>
      </c>
      <c r="H2" s="226">
        <v>180</v>
      </c>
      <c r="I2" s="226">
        <v>179</v>
      </c>
      <c r="J2" s="226">
        <v>134</v>
      </c>
      <c r="K2" s="223" t="s">
        <v>111</v>
      </c>
      <c r="L2" s="227" t="s">
        <v>35</v>
      </c>
      <c r="M2" s="226">
        <v>0</v>
      </c>
      <c r="N2" s="226">
        <v>1</v>
      </c>
      <c r="O2" s="226">
        <v>29</v>
      </c>
      <c r="P2" s="223" t="s">
        <v>33</v>
      </c>
      <c r="Q2" s="219"/>
      <c r="R2" s="219"/>
      <c r="S2" s="219"/>
      <c r="T2" s="219"/>
      <c r="U2" s="219"/>
      <c r="V2" s="219"/>
      <c r="W2" s="219"/>
      <c r="X2" s="226" t="s">
        <v>237</v>
      </c>
      <c r="Y2" s="219"/>
      <c r="Z2" s="226" t="s">
        <v>160</v>
      </c>
      <c r="AA2" s="226" t="s">
        <v>77</v>
      </c>
      <c r="AB2" s="226" t="s">
        <v>52</v>
      </c>
      <c r="AC2" s="226" t="s">
        <v>204</v>
      </c>
      <c r="AD2" s="226" t="s">
        <v>202</v>
      </c>
      <c r="AE2" s="226" t="s">
        <v>238</v>
      </c>
      <c r="AF2" s="226" t="s">
        <v>127</v>
      </c>
      <c r="AG2" s="219"/>
      <c r="AH2" s="219"/>
      <c r="AI2" s="226" t="s">
        <v>239</v>
      </c>
      <c r="AJ2" s="219"/>
    </row>
    <row r="3" spans="1:36" x14ac:dyDescent="0.3">
      <c r="A3" s="221" t="s">
        <v>108</v>
      </c>
      <c r="B3" s="222">
        <v>45984</v>
      </c>
      <c r="C3" s="223" t="s">
        <v>171</v>
      </c>
      <c r="D3" s="224" t="s">
        <v>240</v>
      </c>
      <c r="E3" s="223" t="s">
        <v>168</v>
      </c>
      <c r="F3" s="223" t="s">
        <v>110</v>
      </c>
      <c r="G3" s="225">
        <v>0.9889</v>
      </c>
      <c r="H3" s="226">
        <v>180</v>
      </c>
      <c r="I3" s="226">
        <v>178</v>
      </c>
      <c r="J3" s="226">
        <v>122</v>
      </c>
      <c r="K3" s="223" t="s">
        <v>111</v>
      </c>
      <c r="L3" s="227" t="s">
        <v>35</v>
      </c>
      <c r="M3" s="226">
        <v>0</v>
      </c>
      <c r="N3" s="226">
        <v>4</v>
      </c>
      <c r="O3" s="226">
        <v>47</v>
      </c>
      <c r="P3" s="223" t="s">
        <v>112</v>
      </c>
      <c r="Q3" s="219"/>
      <c r="R3" s="219"/>
      <c r="S3" s="219"/>
      <c r="T3" s="219"/>
      <c r="U3" s="219"/>
      <c r="V3" s="219"/>
      <c r="W3" s="219"/>
      <c r="X3" s="219"/>
      <c r="Y3" s="219"/>
      <c r="Z3" s="226" t="s">
        <v>241</v>
      </c>
      <c r="AA3" s="226" t="s">
        <v>242</v>
      </c>
      <c r="AB3" s="226" t="s">
        <v>52</v>
      </c>
      <c r="AC3" s="226" t="s">
        <v>243</v>
      </c>
      <c r="AD3" s="219"/>
      <c r="AE3" s="219"/>
      <c r="AF3" s="219"/>
      <c r="AG3" s="219"/>
      <c r="AH3" s="219"/>
      <c r="AI3" s="226" t="s">
        <v>244</v>
      </c>
      <c r="AJ3" s="219"/>
    </row>
    <row r="4" spans="1:36" x14ac:dyDescent="0.3">
      <c r="A4" s="221" t="s">
        <v>245</v>
      </c>
      <c r="B4" s="222">
        <v>45985</v>
      </c>
      <c r="C4" s="223" t="s">
        <v>171</v>
      </c>
      <c r="D4" s="224" t="s">
        <v>246</v>
      </c>
      <c r="E4" s="223" t="s">
        <v>168</v>
      </c>
      <c r="F4" s="223" t="s">
        <v>110</v>
      </c>
      <c r="G4" s="225">
        <v>0.99439999999999995</v>
      </c>
      <c r="H4" s="226">
        <v>180</v>
      </c>
      <c r="I4" s="226">
        <v>179</v>
      </c>
      <c r="J4" s="226">
        <v>134</v>
      </c>
      <c r="K4" s="223" t="s">
        <v>111</v>
      </c>
      <c r="L4" s="227" t="s">
        <v>39</v>
      </c>
      <c r="M4" s="226">
        <v>0</v>
      </c>
      <c r="N4" s="226">
        <v>0</v>
      </c>
      <c r="O4" s="226">
        <v>7</v>
      </c>
      <c r="P4" s="223" t="s">
        <v>33</v>
      </c>
      <c r="Q4" s="219"/>
      <c r="R4" s="219"/>
      <c r="S4" s="219"/>
      <c r="T4" s="219"/>
      <c r="U4" s="219"/>
      <c r="V4" s="219"/>
      <c r="W4" s="219"/>
      <c r="X4" s="219"/>
      <c r="Y4" s="219"/>
      <c r="Z4" s="226" t="s">
        <v>112</v>
      </c>
      <c r="AA4" s="219"/>
      <c r="AB4" s="219"/>
      <c r="AC4" s="226" t="s">
        <v>247</v>
      </c>
      <c r="AD4" s="226" t="s">
        <v>248</v>
      </c>
      <c r="AE4" s="226" t="s">
        <v>249</v>
      </c>
      <c r="AF4" s="226" t="s">
        <v>250</v>
      </c>
      <c r="AG4" s="219"/>
      <c r="AH4" s="219"/>
      <c r="AI4" s="226" t="s">
        <v>239</v>
      </c>
      <c r="AJ4" s="219"/>
    </row>
    <row r="5" spans="1:36" x14ac:dyDescent="0.3">
      <c r="A5" s="221" t="s">
        <v>245</v>
      </c>
      <c r="B5" s="222">
        <v>45985</v>
      </c>
      <c r="C5" s="223" t="s">
        <v>169</v>
      </c>
      <c r="D5" s="224" t="s">
        <v>251</v>
      </c>
      <c r="E5" s="223" t="s">
        <v>168</v>
      </c>
      <c r="F5" s="223" t="s">
        <v>110</v>
      </c>
      <c r="G5" s="225">
        <v>1</v>
      </c>
      <c r="H5" s="226">
        <v>180</v>
      </c>
      <c r="I5" s="226">
        <v>180</v>
      </c>
      <c r="J5" s="226">
        <v>131</v>
      </c>
      <c r="K5" s="223" t="s">
        <v>111</v>
      </c>
      <c r="L5" s="227" t="s">
        <v>35</v>
      </c>
      <c r="M5" s="226">
        <v>0</v>
      </c>
      <c r="N5" s="226">
        <v>1</v>
      </c>
      <c r="O5" s="226">
        <v>12</v>
      </c>
      <c r="P5" s="223" t="s">
        <v>33</v>
      </c>
      <c r="Q5" s="219"/>
      <c r="R5" s="219"/>
      <c r="S5" s="219"/>
      <c r="T5" s="219"/>
      <c r="U5" s="219"/>
      <c r="V5" s="219"/>
      <c r="W5" s="219"/>
      <c r="X5" s="219"/>
      <c r="Y5" s="219"/>
      <c r="Z5" s="226" t="s">
        <v>160</v>
      </c>
      <c r="AA5" s="226" t="s">
        <v>166</v>
      </c>
      <c r="AB5" s="226" t="s">
        <v>252</v>
      </c>
      <c r="AC5" s="226" t="s">
        <v>253</v>
      </c>
      <c r="AD5" s="226" t="s">
        <v>254</v>
      </c>
      <c r="AE5" s="226" t="s">
        <v>114</v>
      </c>
      <c r="AF5" s="226" t="s">
        <v>115</v>
      </c>
      <c r="AG5" s="219"/>
      <c r="AH5" s="219"/>
      <c r="AI5" s="226" t="s">
        <v>255</v>
      </c>
      <c r="AJ5" s="219"/>
    </row>
    <row r="6" spans="1:36" x14ac:dyDescent="0.3">
      <c r="A6" s="221" t="s">
        <v>117</v>
      </c>
      <c r="B6" s="222">
        <v>45986</v>
      </c>
      <c r="C6" s="223" t="s">
        <v>169</v>
      </c>
      <c r="D6" s="224" t="s">
        <v>256</v>
      </c>
      <c r="E6" s="223" t="s">
        <v>168</v>
      </c>
      <c r="F6" s="223" t="s">
        <v>110</v>
      </c>
      <c r="G6" s="225">
        <v>1</v>
      </c>
      <c r="H6" s="226">
        <v>180</v>
      </c>
      <c r="I6" s="226">
        <v>180</v>
      </c>
      <c r="J6" s="226">
        <v>161</v>
      </c>
      <c r="K6" s="223" t="s">
        <v>111</v>
      </c>
      <c r="L6" s="227" t="s">
        <v>175</v>
      </c>
      <c r="M6" s="226">
        <v>0</v>
      </c>
      <c r="N6" s="226">
        <v>0</v>
      </c>
      <c r="O6" s="226">
        <v>0</v>
      </c>
      <c r="P6" s="223" t="s">
        <v>33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26" t="s">
        <v>158</v>
      </c>
      <c r="AD6" s="226" t="s">
        <v>254</v>
      </c>
      <c r="AE6" s="226" t="s">
        <v>150</v>
      </c>
      <c r="AF6" s="226" t="s">
        <v>142</v>
      </c>
      <c r="AG6" s="219"/>
      <c r="AH6" s="219"/>
      <c r="AI6" s="226" t="s">
        <v>257</v>
      </c>
      <c r="AJ6" s="219"/>
    </row>
    <row r="7" spans="1:36" x14ac:dyDescent="0.3">
      <c r="A7" s="221" t="s">
        <v>124</v>
      </c>
      <c r="B7" s="222">
        <v>45987</v>
      </c>
      <c r="C7" s="223" t="s">
        <v>169</v>
      </c>
      <c r="D7" s="224" t="s">
        <v>258</v>
      </c>
      <c r="E7" s="223" t="s">
        <v>168</v>
      </c>
      <c r="F7" s="223" t="s">
        <v>110</v>
      </c>
      <c r="G7" s="225">
        <v>0.99439999999999995</v>
      </c>
      <c r="H7" s="226">
        <v>180</v>
      </c>
      <c r="I7" s="226">
        <v>179</v>
      </c>
      <c r="J7" s="226">
        <v>130</v>
      </c>
      <c r="K7" s="223" t="s">
        <v>111</v>
      </c>
      <c r="L7" s="227" t="s">
        <v>35</v>
      </c>
      <c r="M7" s="226">
        <v>0</v>
      </c>
      <c r="N7" s="226">
        <v>2</v>
      </c>
      <c r="O7" s="226">
        <v>13</v>
      </c>
      <c r="P7" s="223" t="s">
        <v>33</v>
      </c>
      <c r="Q7" s="219"/>
      <c r="R7" s="219"/>
      <c r="S7" s="219"/>
      <c r="T7" s="219"/>
      <c r="U7" s="219"/>
      <c r="V7" s="226" t="s">
        <v>259</v>
      </c>
      <c r="W7" s="219"/>
      <c r="X7" s="219"/>
      <c r="Y7" s="219"/>
      <c r="Z7" s="226" t="s">
        <v>144</v>
      </c>
      <c r="AA7" s="226" t="s">
        <v>77</v>
      </c>
      <c r="AB7" s="226" t="s">
        <v>260</v>
      </c>
      <c r="AC7" s="226" t="s">
        <v>243</v>
      </c>
      <c r="AD7" s="219"/>
      <c r="AE7" s="219"/>
      <c r="AF7" s="219"/>
      <c r="AG7" s="219"/>
      <c r="AH7" s="219"/>
      <c r="AI7" s="226" t="s">
        <v>143</v>
      </c>
      <c r="AJ7" s="219"/>
    </row>
    <row r="8" spans="1:36" x14ac:dyDescent="0.3">
      <c r="A8" s="221" t="s">
        <v>124</v>
      </c>
      <c r="B8" s="222">
        <v>45987</v>
      </c>
      <c r="C8" s="223" t="s">
        <v>171</v>
      </c>
      <c r="D8" s="224" t="s">
        <v>261</v>
      </c>
      <c r="E8" s="223" t="s">
        <v>168</v>
      </c>
      <c r="F8" s="223" t="s">
        <v>110</v>
      </c>
      <c r="G8" s="225">
        <v>1</v>
      </c>
      <c r="H8" s="226">
        <v>180</v>
      </c>
      <c r="I8" s="226">
        <v>180</v>
      </c>
      <c r="J8" s="226">
        <v>135</v>
      </c>
      <c r="K8" s="223" t="s">
        <v>111</v>
      </c>
      <c r="L8" s="227" t="s">
        <v>178</v>
      </c>
      <c r="M8" s="226">
        <v>0</v>
      </c>
      <c r="N8" s="226">
        <v>0</v>
      </c>
      <c r="O8" s="226">
        <v>0</v>
      </c>
      <c r="P8" s="223" t="s">
        <v>33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26" t="s">
        <v>52</v>
      </c>
      <c r="AC8" s="226" t="s">
        <v>204</v>
      </c>
      <c r="AD8" s="226" t="s">
        <v>155</v>
      </c>
      <c r="AE8" s="226" t="s">
        <v>249</v>
      </c>
      <c r="AF8" s="226" t="s">
        <v>250</v>
      </c>
      <c r="AG8" s="219"/>
      <c r="AH8" s="219"/>
      <c r="AI8" s="226" t="s">
        <v>78</v>
      </c>
      <c r="AJ8" s="219"/>
    </row>
    <row r="9" spans="1:36" x14ac:dyDescent="0.3">
      <c r="A9" s="221" t="s">
        <v>124</v>
      </c>
      <c r="B9" s="222">
        <v>45987</v>
      </c>
      <c r="C9" s="223" t="s">
        <v>180</v>
      </c>
      <c r="D9" s="224" t="s">
        <v>262</v>
      </c>
      <c r="E9" s="223" t="s">
        <v>168</v>
      </c>
      <c r="F9" s="223" t="s">
        <v>110</v>
      </c>
      <c r="G9" s="225">
        <v>1</v>
      </c>
      <c r="H9" s="226">
        <v>180</v>
      </c>
      <c r="I9" s="226">
        <v>180</v>
      </c>
      <c r="J9" s="226">
        <v>166</v>
      </c>
      <c r="K9" s="223" t="s">
        <v>111</v>
      </c>
      <c r="L9" s="227" t="s">
        <v>64</v>
      </c>
      <c r="M9" s="226">
        <v>0</v>
      </c>
      <c r="N9" s="226">
        <v>0</v>
      </c>
      <c r="O9" s="226">
        <v>0</v>
      </c>
      <c r="P9" s="223" t="s">
        <v>33</v>
      </c>
      <c r="Q9" s="219"/>
      <c r="R9" s="219"/>
      <c r="S9" s="219"/>
      <c r="T9" s="219"/>
      <c r="U9" s="219"/>
      <c r="V9" s="219"/>
      <c r="W9" s="219"/>
      <c r="X9" s="219"/>
      <c r="Y9" s="219"/>
      <c r="Z9" s="226" t="s">
        <v>112</v>
      </c>
      <c r="AA9" s="219"/>
      <c r="AB9" s="226" t="s">
        <v>157</v>
      </c>
      <c r="AC9" s="226" t="s">
        <v>204</v>
      </c>
      <c r="AD9" s="219"/>
      <c r="AE9" s="219"/>
      <c r="AF9" s="219"/>
      <c r="AG9" s="219"/>
      <c r="AH9" s="219"/>
      <c r="AI9" s="226" t="s">
        <v>132</v>
      </c>
      <c r="AJ9" s="219"/>
    </row>
    <row r="10" spans="1:36" x14ac:dyDescent="0.3">
      <c r="A10" s="221" t="s">
        <v>129</v>
      </c>
      <c r="B10" s="222">
        <v>45988</v>
      </c>
      <c r="C10" s="223" t="s">
        <v>169</v>
      </c>
      <c r="D10" s="224" t="s">
        <v>263</v>
      </c>
      <c r="E10" s="223" t="s">
        <v>168</v>
      </c>
      <c r="F10" s="223" t="s">
        <v>110</v>
      </c>
      <c r="G10" s="225">
        <v>0.99439999999999995</v>
      </c>
      <c r="H10" s="226">
        <v>180</v>
      </c>
      <c r="I10" s="226">
        <v>179</v>
      </c>
      <c r="J10" s="226">
        <v>126</v>
      </c>
      <c r="K10" s="223" t="s">
        <v>111</v>
      </c>
      <c r="L10" s="227" t="s">
        <v>39</v>
      </c>
      <c r="M10" s="226">
        <v>0</v>
      </c>
      <c r="N10" s="226">
        <v>0</v>
      </c>
      <c r="O10" s="226">
        <v>13</v>
      </c>
      <c r="P10" s="223" t="s">
        <v>33</v>
      </c>
      <c r="Q10" s="219"/>
      <c r="R10" s="219"/>
      <c r="S10" s="219"/>
      <c r="T10" s="219"/>
      <c r="U10" s="219"/>
      <c r="V10" s="219"/>
      <c r="W10" s="219"/>
      <c r="X10" s="219"/>
      <c r="Y10" s="219"/>
      <c r="Z10" s="226" t="s">
        <v>264</v>
      </c>
      <c r="AA10" s="226" t="s">
        <v>265</v>
      </c>
      <c r="AB10" s="226" t="s">
        <v>120</v>
      </c>
      <c r="AC10" s="226" t="s">
        <v>158</v>
      </c>
      <c r="AD10" s="226" t="s">
        <v>149</v>
      </c>
      <c r="AE10" s="226" t="s">
        <v>150</v>
      </c>
      <c r="AF10" s="226" t="s">
        <v>142</v>
      </c>
      <c r="AG10" s="219"/>
      <c r="AH10" s="219"/>
      <c r="AI10" s="226" t="s">
        <v>266</v>
      </c>
      <c r="AJ10" s="226" t="s">
        <v>267</v>
      </c>
    </row>
    <row r="11" spans="1:36" x14ac:dyDescent="0.3">
      <c r="A11" s="221" t="s">
        <v>268</v>
      </c>
      <c r="B11" s="222">
        <v>45989</v>
      </c>
      <c r="C11" s="223" t="s">
        <v>169</v>
      </c>
      <c r="D11" s="224" t="s">
        <v>269</v>
      </c>
      <c r="E11" s="223" t="s">
        <v>168</v>
      </c>
      <c r="F11" s="223" t="s">
        <v>110</v>
      </c>
      <c r="G11" s="225">
        <v>0.99439999999999995</v>
      </c>
      <c r="H11" s="226">
        <v>180</v>
      </c>
      <c r="I11" s="226">
        <v>179</v>
      </c>
      <c r="J11" s="226">
        <v>50</v>
      </c>
      <c r="K11" s="223" t="s">
        <v>111</v>
      </c>
      <c r="L11" s="227" t="s">
        <v>35</v>
      </c>
      <c r="M11" s="226">
        <v>0</v>
      </c>
      <c r="N11" s="226">
        <v>11</v>
      </c>
      <c r="O11" s="226">
        <v>65</v>
      </c>
      <c r="P11" s="223" t="s">
        <v>33</v>
      </c>
      <c r="Q11" s="219"/>
      <c r="R11" s="219"/>
      <c r="S11" s="219"/>
      <c r="T11" s="219"/>
      <c r="U11" s="219"/>
      <c r="V11" s="219"/>
      <c r="W11" s="219"/>
      <c r="X11" s="219"/>
      <c r="Y11" s="226" t="s">
        <v>270</v>
      </c>
      <c r="Z11" s="226" t="s">
        <v>271</v>
      </c>
      <c r="AA11" s="226" t="s">
        <v>272</v>
      </c>
      <c r="AB11" s="226" t="s">
        <v>273</v>
      </c>
      <c r="AC11" s="226" t="s">
        <v>274</v>
      </c>
      <c r="AD11" s="219"/>
      <c r="AE11" s="219"/>
      <c r="AF11" s="219"/>
      <c r="AG11" s="219"/>
      <c r="AH11" s="219"/>
      <c r="AI11" s="226" t="s">
        <v>275</v>
      </c>
      <c r="AJ11" s="226" t="s">
        <v>276</v>
      </c>
    </row>
    <row r="12" spans="1:36" x14ac:dyDescent="0.3">
      <c r="A12" s="221" t="s">
        <v>277</v>
      </c>
      <c r="B12" s="222">
        <v>45990</v>
      </c>
      <c r="C12" s="223" t="s">
        <v>171</v>
      </c>
      <c r="D12" s="224" t="s">
        <v>278</v>
      </c>
      <c r="E12" s="223" t="s">
        <v>168</v>
      </c>
      <c r="F12" s="223" t="s">
        <v>110</v>
      </c>
      <c r="G12" s="225">
        <v>1</v>
      </c>
      <c r="H12" s="226">
        <v>180</v>
      </c>
      <c r="I12" s="226">
        <v>180</v>
      </c>
      <c r="J12" s="226">
        <v>135</v>
      </c>
      <c r="K12" s="223" t="s">
        <v>111</v>
      </c>
      <c r="L12" s="227" t="s">
        <v>37</v>
      </c>
      <c r="M12" s="226">
        <v>0</v>
      </c>
      <c r="N12" s="226">
        <v>0</v>
      </c>
      <c r="O12" s="226">
        <v>0</v>
      </c>
      <c r="P12" s="223" t="s">
        <v>33</v>
      </c>
      <c r="Q12" s="219"/>
      <c r="R12" s="219"/>
      <c r="S12" s="219"/>
      <c r="T12" s="219"/>
      <c r="U12" s="219"/>
      <c r="V12" s="219"/>
      <c r="W12" s="219"/>
      <c r="X12" s="226" t="s">
        <v>279</v>
      </c>
      <c r="Y12" s="219"/>
      <c r="Z12" s="226" t="s">
        <v>280</v>
      </c>
      <c r="AA12" s="226" t="s">
        <v>281</v>
      </c>
      <c r="AB12" s="226" t="s">
        <v>52</v>
      </c>
      <c r="AC12" s="226" t="s">
        <v>204</v>
      </c>
      <c r="AD12" s="219"/>
      <c r="AE12" s="219"/>
      <c r="AF12" s="219"/>
      <c r="AG12" s="219"/>
      <c r="AH12" s="219"/>
      <c r="AI12" s="226" t="s">
        <v>78</v>
      </c>
      <c r="AJ12" s="219"/>
    </row>
    <row r="13" spans="1:36" x14ac:dyDescent="0.3">
      <c r="A13" s="221" t="s">
        <v>277</v>
      </c>
      <c r="B13" s="222">
        <v>45990</v>
      </c>
      <c r="C13" s="223" t="s">
        <v>169</v>
      </c>
      <c r="D13" s="224" t="s">
        <v>282</v>
      </c>
      <c r="E13" s="223" t="s">
        <v>168</v>
      </c>
      <c r="F13" s="223" t="s">
        <v>110</v>
      </c>
      <c r="G13" s="225">
        <v>1</v>
      </c>
      <c r="H13" s="226">
        <v>180</v>
      </c>
      <c r="I13" s="226">
        <v>180</v>
      </c>
      <c r="J13" s="226">
        <v>95</v>
      </c>
      <c r="K13" s="223" t="s">
        <v>111</v>
      </c>
      <c r="L13" s="227" t="s">
        <v>35</v>
      </c>
      <c r="M13" s="226">
        <v>0</v>
      </c>
      <c r="N13" s="226">
        <v>5</v>
      </c>
      <c r="O13" s="226">
        <v>17</v>
      </c>
      <c r="P13" s="223" t="s">
        <v>33</v>
      </c>
      <c r="Q13" s="219"/>
      <c r="R13" s="219"/>
      <c r="S13" s="219"/>
      <c r="T13" s="219"/>
      <c r="U13" s="219"/>
      <c r="V13" s="226" t="s">
        <v>283</v>
      </c>
      <c r="W13" s="226" t="s">
        <v>284</v>
      </c>
      <c r="X13" s="226" t="s">
        <v>285</v>
      </c>
      <c r="Y13" s="226" t="s">
        <v>286</v>
      </c>
      <c r="Z13" s="226" t="s">
        <v>287</v>
      </c>
      <c r="AA13" s="226" t="s">
        <v>288</v>
      </c>
      <c r="AB13" s="226" t="s">
        <v>52</v>
      </c>
      <c r="AC13" s="226" t="s">
        <v>204</v>
      </c>
      <c r="AD13" s="219"/>
      <c r="AE13" s="219"/>
      <c r="AF13" s="219"/>
      <c r="AG13" s="219"/>
      <c r="AH13" s="219"/>
      <c r="AI13" s="226" t="s">
        <v>289</v>
      </c>
      <c r="AJ13" s="219"/>
    </row>
    <row r="14" spans="1:36" x14ac:dyDescent="0.3">
      <c r="A14" s="221" t="s">
        <v>108</v>
      </c>
      <c r="B14" s="222">
        <v>45991</v>
      </c>
      <c r="C14" s="223" t="s">
        <v>169</v>
      </c>
      <c r="D14" s="224" t="s">
        <v>236</v>
      </c>
      <c r="E14" s="223" t="s">
        <v>168</v>
      </c>
      <c r="F14" s="223" t="s">
        <v>110</v>
      </c>
      <c r="G14" s="225">
        <v>0.99439999999999995</v>
      </c>
      <c r="H14" s="226">
        <v>180</v>
      </c>
      <c r="I14" s="226">
        <v>179</v>
      </c>
      <c r="J14" s="226">
        <v>135</v>
      </c>
      <c r="K14" s="223" t="s">
        <v>111</v>
      </c>
      <c r="L14" s="227" t="s">
        <v>35</v>
      </c>
      <c r="M14" s="226">
        <v>0</v>
      </c>
      <c r="N14" s="226">
        <v>1</v>
      </c>
      <c r="O14" s="226">
        <v>12</v>
      </c>
      <c r="P14" s="223" t="s">
        <v>33</v>
      </c>
      <c r="Q14" s="219"/>
      <c r="R14" s="219"/>
      <c r="S14" s="219"/>
      <c r="T14" s="219"/>
      <c r="U14" s="219"/>
      <c r="V14" s="219"/>
      <c r="W14" s="219"/>
      <c r="X14" s="219"/>
      <c r="Y14" s="226" t="s">
        <v>147</v>
      </c>
      <c r="Z14" s="226" t="s">
        <v>156</v>
      </c>
      <c r="AA14" s="226" t="s">
        <v>65</v>
      </c>
      <c r="AB14" s="226" t="s">
        <v>120</v>
      </c>
      <c r="AC14" s="226" t="s">
        <v>158</v>
      </c>
      <c r="AD14" s="226" t="s">
        <v>149</v>
      </c>
      <c r="AE14" s="226" t="s">
        <v>150</v>
      </c>
      <c r="AF14" s="226" t="s">
        <v>290</v>
      </c>
      <c r="AG14" s="219"/>
      <c r="AH14" s="219"/>
      <c r="AI14" s="226" t="s">
        <v>78</v>
      </c>
      <c r="AJ14" s="219"/>
    </row>
    <row r="15" spans="1:36" x14ac:dyDescent="0.3">
      <c r="A15" s="221" t="s">
        <v>108</v>
      </c>
      <c r="B15" s="222">
        <v>45991</v>
      </c>
      <c r="C15" s="223" t="s">
        <v>171</v>
      </c>
      <c r="D15" s="224" t="s">
        <v>240</v>
      </c>
      <c r="E15" s="223" t="s">
        <v>168</v>
      </c>
      <c r="F15" s="223" t="s">
        <v>110</v>
      </c>
      <c r="G15" s="225">
        <v>1</v>
      </c>
      <c r="H15" s="226">
        <v>180</v>
      </c>
      <c r="I15" s="226">
        <v>180</v>
      </c>
      <c r="J15" s="226">
        <v>135</v>
      </c>
      <c r="K15" s="223" t="s">
        <v>111</v>
      </c>
      <c r="L15" s="227" t="s">
        <v>187</v>
      </c>
      <c r="M15" s="226">
        <v>0</v>
      </c>
      <c r="N15" s="226">
        <v>0</v>
      </c>
      <c r="O15" s="226">
        <v>2</v>
      </c>
      <c r="P15" s="223" t="s">
        <v>33</v>
      </c>
      <c r="Q15" s="219"/>
      <c r="R15" s="219"/>
      <c r="S15" s="219"/>
      <c r="T15" s="219"/>
      <c r="U15" s="219"/>
      <c r="V15" s="219"/>
      <c r="W15" s="219"/>
      <c r="X15" s="219"/>
      <c r="Y15" s="226" t="s">
        <v>291</v>
      </c>
      <c r="Z15" s="226" t="s">
        <v>144</v>
      </c>
      <c r="AA15" s="226" t="s">
        <v>292</v>
      </c>
      <c r="AB15" s="226" t="s">
        <v>293</v>
      </c>
      <c r="AC15" s="226" t="s">
        <v>243</v>
      </c>
      <c r="AD15" s="219"/>
      <c r="AE15" s="219"/>
      <c r="AF15" s="219"/>
      <c r="AG15" s="219"/>
      <c r="AH15" s="219"/>
      <c r="AI15" s="226" t="s">
        <v>78</v>
      </c>
      <c r="AJ15" s="219"/>
    </row>
    <row r="16" spans="1:36" x14ac:dyDescent="0.3">
      <c r="A16" s="221" t="s">
        <v>245</v>
      </c>
      <c r="B16" s="222">
        <v>45992</v>
      </c>
      <c r="C16" s="223" t="s">
        <v>171</v>
      </c>
      <c r="D16" s="224" t="s">
        <v>246</v>
      </c>
      <c r="E16" s="223" t="s">
        <v>168</v>
      </c>
      <c r="F16" s="223" t="s">
        <v>110</v>
      </c>
      <c r="G16" s="225">
        <v>1.0056</v>
      </c>
      <c r="H16" s="226">
        <v>180</v>
      </c>
      <c r="I16" s="226">
        <v>181</v>
      </c>
      <c r="J16" s="226">
        <v>136</v>
      </c>
      <c r="K16" s="223" t="s">
        <v>111</v>
      </c>
      <c r="L16" s="227" t="s">
        <v>58</v>
      </c>
      <c r="M16" s="226">
        <v>0</v>
      </c>
      <c r="N16" s="226">
        <v>0</v>
      </c>
      <c r="O16" s="226">
        <v>8</v>
      </c>
      <c r="P16" s="223" t="s">
        <v>33</v>
      </c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26" t="s">
        <v>67</v>
      </c>
      <c r="AB16" s="226" t="s">
        <v>252</v>
      </c>
      <c r="AC16" s="226" t="s">
        <v>225</v>
      </c>
      <c r="AD16" s="226" t="s">
        <v>140</v>
      </c>
      <c r="AE16" s="226" t="s">
        <v>114</v>
      </c>
      <c r="AF16" s="226" t="s">
        <v>115</v>
      </c>
      <c r="AG16" s="219"/>
      <c r="AH16" s="219"/>
      <c r="AI16" s="226" t="s">
        <v>294</v>
      </c>
      <c r="AJ16" s="219"/>
    </row>
    <row r="17" spans="1:36" x14ac:dyDescent="0.3">
      <c r="A17" s="221" t="s">
        <v>245</v>
      </c>
      <c r="B17" s="222">
        <v>45992</v>
      </c>
      <c r="C17" s="223" t="s">
        <v>169</v>
      </c>
      <c r="D17" s="224" t="s">
        <v>251</v>
      </c>
      <c r="E17" s="223" t="s">
        <v>168</v>
      </c>
      <c r="F17" s="223" t="s">
        <v>110</v>
      </c>
      <c r="G17" s="225">
        <v>1</v>
      </c>
      <c r="H17" s="226">
        <v>180</v>
      </c>
      <c r="I17" s="226">
        <v>180</v>
      </c>
      <c r="J17" s="226">
        <v>130</v>
      </c>
      <c r="K17" s="223" t="s">
        <v>111</v>
      </c>
      <c r="L17" s="227" t="s">
        <v>190</v>
      </c>
      <c r="M17" s="226">
        <v>0</v>
      </c>
      <c r="N17" s="226">
        <v>0</v>
      </c>
      <c r="O17" s="226">
        <v>5</v>
      </c>
      <c r="P17" s="223" t="s">
        <v>33</v>
      </c>
      <c r="Q17" s="219"/>
      <c r="R17" s="219"/>
      <c r="S17" s="219"/>
      <c r="T17" s="219"/>
      <c r="U17" s="219"/>
      <c r="V17" s="219"/>
      <c r="W17" s="219"/>
      <c r="X17" s="226" t="s">
        <v>295</v>
      </c>
      <c r="Y17" s="219"/>
      <c r="Z17" s="226" t="s">
        <v>162</v>
      </c>
      <c r="AA17" s="226" t="s">
        <v>70</v>
      </c>
      <c r="AB17" s="226" t="s">
        <v>296</v>
      </c>
      <c r="AC17" s="226" t="s">
        <v>253</v>
      </c>
      <c r="AD17" s="226" t="s">
        <v>297</v>
      </c>
      <c r="AE17" s="219"/>
      <c r="AF17" s="219"/>
      <c r="AG17" s="219"/>
      <c r="AH17" s="219"/>
      <c r="AI17" s="226" t="s">
        <v>143</v>
      </c>
      <c r="AJ17" s="219"/>
    </row>
    <row r="18" spans="1:36" x14ac:dyDescent="0.3">
      <c r="A18" s="221" t="s">
        <v>117</v>
      </c>
      <c r="B18" s="222">
        <v>45993</v>
      </c>
      <c r="C18" s="223" t="s">
        <v>169</v>
      </c>
      <c r="D18" s="224" t="s">
        <v>256</v>
      </c>
      <c r="E18" s="223" t="s">
        <v>168</v>
      </c>
      <c r="F18" s="223" t="s">
        <v>110</v>
      </c>
      <c r="G18" s="225">
        <v>0.97219999999999995</v>
      </c>
      <c r="H18" s="226">
        <v>180</v>
      </c>
      <c r="I18" s="226">
        <v>175</v>
      </c>
      <c r="J18" s="226">
        <v>145</v>
      </c>
      <c r="K18" s="223" t="s">
        <v>111</v>
      </c>
      <c r="L18" s="227" t="s">
        <v>35</v>
      </c>
      <c r="M18" s="226">
        <v>0</v>
      </c>
      <c r="N18" s="226">
        <v>10</v>
      </c>
      <c r="O18" s="226">
        <v>26</v>
      </c>
      <c r="P18" s="223" t="s">
        <v>148</v>
      </c>
      <c r="Q18" s="219"/>
      <c r="R18" s="219"/>
      <c r="S18" s="219"/>
      <c r="T18" s="219"/>
      <c r="U18" s="219"/>
      <c r="V18" s="226" t="s">
        <v>298</v>
      </c>
      <c r="W18" s="219"/>
      <c r="X18" s="219"/>
      <c r="Y18" s="219"/>
      <c r="Z18" s="226" t="s">
        <v>299</v>
      </c>
      <c r="AA18" s="226" t="s">
        <v>265</v>
      </c>
      <c r="AB18" s="219"/>
      <c r="AC18" s="219"/>
      <c r="AD18" s="226" t="s">
        <v>202</v>
      </c>
      <c r="AE18" s="219"/>
      <c r="AF18" s="219"/>
      <c r="AG18" s="219"/>
      <c r="AH18" s="219"/>
      <c r="AI18" s="226" t="s">
        <v>300</v>
      </c>
      <c r="AJ18" s="219"/>
    </row>
    <row r="19" spans="1:36" x14ac:dyDescent="0.3">
      <c r="A19" s="221" t="s">
        <v>124</v>
      </c>
      <c r="B19" s="222">
        <v>45994</v>
      </c>
      <c r="C19" s="223" t="s">
        <v>169</v>
      </c>
      <c r="D19" s="224" t="s">
        <v>258</v>
      </c>
      <c r="E19" s="223" t="s">
        <v>168</v>
      </c>
      <c r="F19" s="223" t="s">
        <v>110</v>
      </c>
      <c r="G19" s="225">
        <v>0.99439999999999995</v>
      </c>
      <c r="H19" s="226">
        <v>180</v>
      </c>
      <c r="I19" s="226">
        <v>179</v>
      </c>
      <c r="J19" s="226">
        <v>135</v>
      </c>
      <c r="K19" s="223" t="s">
        <v>111</v>
      </c>
      <c r="L19" s="227" t="s">
        <v>46</v>
      </c>
      <c r="M19" s="226">
        <v>0</v>
      </c>
      <c r="N19" s="226">
        <v>0</v>
      </c>
      <c r="O19" s="226">
        <v>4</v>
      </c>
      <c r="P19" s="223" t="s">
        <v>33</v>
      </c>
      <c r="Q19" s="219"/>
      <c r="R19" s="219"/>
      <c r="S19" s="219"/>
      <c r="T19" s="219"/>
      <c r="U19" s="219"/>
      <c r="V19" s="219"/>
      <c r="W19" s="219"/>
      <c r="X19" s="219"/>
      <c r="Y19" s="219"/>
      <c r="Z19" s="226" t="s">
        <v>112</v>
      </c>
      <c r="AA19" s="219"/>
      <c r="AB19" s="219"/>
      <c r="AC19" s="226" t="s">
        <v>225</v>
      </c>
      <c r="AD19" s="226" t="s">
        <v>297</v>
      </c>
      <c r="AE19" s="226" t="s">
        <v>301</v>
      </c>
      <c r="AF19" s="226" t="s">
        <v>302</v>
      </c>
      <c r="AG19" s="219"/>
      <c r="AH19" s="219"/>
      <c r="AI19" s="226" t="s">
        <v>78</v>
      </c>
      <c r="AJ19" s="219"/>
    </row>
    <row r="20" spans="1:36" x14ac:dyDescent="0.3">
      <c r="A20" s="221" t="s">
        <v>124</v>
      </c>
      <c r="B20" s="222">
        <v>45994</v>
      </c>
      <c r="C20" s="223" t="s">
        <v>171</v>
      </c>
      <c r="D20" s="224" t="s">
        <v>261</v>
      </c>
      <c r="E20" s="223" t="s">
        <v>168</v>
      </c>
      <c r="F20" s="223" t="s">
        <v>110</v>
      </c>
      <c r="G20" s="225">
        <v>0.99439999999999995</v>
      </c>
      <c r="H20" s="226">
        <v>180</v>
      </c>
      <c r="I20" s="226">
        <v>179</v>
      </c>
      <c r="J20" s="226">
        <v>137</v>
      </c>
      <c r="K20" s="223" t="s">
        <v>111</v>
      </c>
      <c r="L20" s="227" t="s">
        <v>187</v>
      </c>
      <c r="M20" s="226">
        <v>0</v>
      </c>
      <c r="N20" s="226">
        <v>0</v>
      </c>
      <c r="O20" s="226">
        <v>20</v>
      </c>
      <c r="P20" s="223" t="s">
        <v>33</v>
      </c>
      <c r="Q20" s="219"/>
      <c r="R20" s="219"/>
      <c r="S20" s="219"/>
      <c r="T20" s="219"/>
      <c r="U20" s="219"/>
      <c r="V20" s="219"/>
      <c r="W20" s="219"/>
      <c r="X20" s="219"/>
      <c r="Y20" s="219"/>
      <c r="Z20" s="226" t="s">
        <v>162</v>
      </c>
      <c r="AA20" s="219"/>
      <c r="AB20" s="226" t="s">
        <v>120</v>
      </c>
      <c r="AC20" s="226" t="s">
        <v>243</v>
      </c>
      <c r="AD20" s="226" t="s">
        <v>303</v>
      </c>
      <c r="AE20" s="219"/>
      <c r="AF20" s="219"/>
      <c r="AG20" s="219"/>
      <c r="AH20" s="219"/>
      <c r="AI20" s="226" t="s">
        <v>304</v>
      </c>
      <c r="AJ20" s="219"/>
    </row>
    <row r="21" spans="1:36" x14ac:dyDescent="0.3">
      <c r="A21" s="221" t="s">
        <v>124</v>
      </c>
      <c r="B21" s="222">
        <v>45994</v>
      </c>
      <c r="C21" s="223" t="s">
        <v>180</v>
      </c>
      <c r="D21" s="224" t="s">
        <v>262</v>
      </c>
      <c r="E21" s="223" t="s">
        <v>168</v>
      </c>
      <c r="F21" s="223" t="s">
        <v>110</v>
      </c>
      <c r="G21" s="225">
        <v>0.9</v>
      </c>
      <c r="H21" s="226">
        <v>180</v>
      </c>
      <c r="I21" s="226">
        <v>162</v>
      </c>
      <c r="J21" s="226">
        <v>125</v>
      </c>
      <c r="K21" s="223" t="s">
        <v>111</v>
      </c>
      <c r="L21" s="227" t="s">
        <v>35</v>
      </c>
      <c r="M21" s="226">
        <v>0</v>
      </c>
      <c r="N21" s="226">
        <v>14</v>
      </c>
      <c r="O21" s="226">
        <v>24</v>
      </c>
      <c r="P21" s="223" t="s">
        <v>77</v>
      </c>
      <c r="Q21" s="219"/>
      <c r="R21" s="219"/>
      <c r="S21" s="219"/>
      <c r="T21" s="219"/>
      <c r="U21" s="219"/>
      <c r="V21" s="219"/>
      <c r="W21" s="219"/>
      <c r="X21" s="219"/>
      <c r="Y21" s="219"/>
      <c r="Z21" s="226" t="s">
        <v>112</v>
      </c>
      <c r="AA21" s="219"/>
      <c r="AB21" s="226" t="s">
        <v>305</v>
      </c>
      <c r="AC21" s="226" t="s">
        <v>253</v>
      </c>
      <c r="AD21" s="226" t="s">
        <v>297</v>
      </c>
      <c r="AE21" s="219"/>
      <c r="AF21" s="219"/>
      <c r="AG21" s="219"/>
      <c r="AH21" s="219"/>
      <c r="AI21" s="226" t="s">
        <v>123</v>
      </c>
      <c r="AJ21" s="219"/>
    </row>
    <row r="22" spans="1:36" x14ac:dyDescent="0.3">
      <c r="A22" s="221" t="s">
        <v>129</v>
      </c>
      <c r="B22" s="222">
        <v>45995</v>
      </c>
      <c r="C22" s="223" t="s">
        <v>169</v>
      </c>
      <c r="D22" s="224" t="s">
        <v>263</v>
      </c>
      <c r="E22" s="223" t="s">
        <v>168</v>
      </c>
      <c r="F22" s="223" t="s">
        <v>110</v>
      </c>
      <c r="G22" s="225">
        <v>0.91669999999999996</v>
      </c>
      <c r="H22" s="226">
        <v>180</v>
      </c>
      <c r="I22" s="226">
        <v>165</v>
      </c>
      <c r="J22" s="226">
        <v>135</v>
      </c>
      <c r="K22" s="223" t="s">
        <v>111</v>
      </c>
      <c r="L22" s="227" t="s">
        <v>35</v>
      </c>
      <c r="M22" s="226">
        <v>0</v>
      </c>
      <c r="N22" s="226">
        <v>3</v>
      </c>
      <c r="O22" s="226">
        <v>14</v>
      </c>
      <c r="P22" s="223" t="s">
        <v>52</v>
      </c>
      <c r="Q22" s="219"/>
      <c r="R22" s="219"/>
      <c r="S22" s="219"/>
      <c r="T22" s="219"/>
      <c r="U22" s="219"/>
      <c r="V22" s="219"/>
      <c r="W22" s="219"/>
      <c r="X22" s="219"/>
      <c r="Y22" s="219"/>
      <c r="Z22" s="226" t="s">
        <v>306</v>
      </c>
      <c r="AA22" s="219"/>
      <c r="AB22" s="219"/>
      <c r="AC22" s="226" t="s">
        <v>253</v>
      </c>
      <c r="AD22" s="226" t="s">
        <v>307</v>
      </c>
      <c r="AE22" s="219"/>
      <c r="AF22" s="219"/>
      <c r="AG22" s="219"/>
      <c r="AH22" s="219"/>
      <c r="AI22" s="226" t="s">
        <v>78</v>
      </c>
      <c r="AJ22" s="219"/>
    </row>
    <row r="23" spans="1:36" x14ac:dyDescent="0.3">
      <c r="A23" s="221" t="s">
        <v>268</v>
      </c>
      <c r="B23" s="222">
        <v>45996</v>
      </c>
      <c r="C23" s="223" t="s">
        <v>169</v>
      </c>
      <c r="D23" s="224" t="s">
        <v>269</v>
      </c>
      <c r="E23" s="223" t="s">
        <v>168</v>
      </c>
      <c r="F23" s="223" t="s">
        <v>110</v>
      </c>
      <c r="G23" s="225">
        <v>0.21110000000000001</v>
      </c>
      <c r="H23" s="226">
        <v>180</v>
      </c>
      <c r="I23" s="226">
        <v>38</v>
      </c>
      <c r="J23" s="226">
        <v>0</v>
      </c>
      <c r="K23" s="223" t="s">
        <v>111</v>
      </c>
      <c r="L23" s="227" t="s">
        <v>187</v>
      </c>
      <c r="M23" s="226">
        <v>0</v>
      </c>
      <c r="N23" s="226">
        <v>0</v>
      </c>
      <c r="O23" s="226">
        <v>17</v>
      </c>
      <c r="P23" s="223" t="s">
        <v>198</v>
      </c>
      <c r="Q23" s="219"/>
      <c r="R23" s="219"/>
      <c r="S23" s="219"/>
      <c r="T23" s="219"/>
      <c r="U23" s="219"/>
      <c r="V23" s="219"/>
      <c r="W23" s="219"/>
      <c r="X23" s="219"/>
      <c r="Y23" s="219"/>
      <c r="Z23" s="226" t="s">
        <v>144</v>
      </c>
      <c r="AA23" s="219"/>
      <c r="AB23" s="219"/>
      <c r="AC23" s="226" t="s">
        <v>308</v>
      </c>
      <c r="AD23" s="226" t="s">
        <v>297</v>
      </c>
      <c r="AE23" s="219"/>
      <c r="AF23" s="219"/>
      <c r="AG23" s="219"/>
      <c r="AH23" s="219"/>
      <c r="AI23" s="219"/>
      <c r="AJ23" s="219"/>
    </row>
    <row r="24" spans="1:36" x14ac:dyDescent="0.3">
      <c r="A24" s="221" t="s">
        <v>277</v>
      </c>
      <c r="B24" s="222">
        <v>45997</v>
      </c>
      <c r="C24" s="223" t="s">
        <v>171</v>
      </c>
      <c r="D24" s="224" t="s">
        <v>278</v>
      </c>
      <c r="E24" s="223" t="s">
        <v>168</v>
      </c>
      <c r="F24" s="223" t="s">
        <v>110</v>
      </c>
      <c r="G24" s="225">
        <v>0.88329999999999997</v>
      </c>
      <c r="H24" s="226">
        <v>180</v>
      </c>
      <c r="I24" s="226">
        <v>159</v>
      </c>
      <c r="J24" s="226">
        <v>143</v>
      </c>
      <c r="K24" s="223" t="s">
        <v>111</v>
      </c>
      <c r="L24" s="227" t="s">
        <v>58</v>
      </c>
      <c r="M24" s="226">
        <v>0</v>
      </c>
      <c r="N24" s="226">
        <v>0</v>
      </c>
      <c r="O24" s="226">
        <v>14</v>
      </c>
      <c r="P24" s="223" t="s">
        <v>145</v>
      </c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26" t="s">
        <v>235</v>
      </c>
      <c r="AD24" s="226" t="s">
        <v>297</v>
      </c>
      <c r="AE24" s="219"/>
      <c r="AF24" s="219"/>
      <c r="AG24" s="219"/>
      <c r="AH24" s="219"/>
      <c r="AI24" s="226" t="s">
        <v>309</v>
      </c>
      <c r="AJ24" s="219"/>
    </row>
    <row r="25" spans="1:36" x14ac:dyDescent="0.3">
      <c r="A25" s="221" t="s">
        <v>277</v>
      </c>
      <c r="B25" s="222">
        <v>45997</v>
      </c>
      <c r="C25" s="223" t="s">
        <v>169</v>
      </c>
      <c r="D25" s="224" t="s">
        <v>282</v>
      </c>
      <c r="E25" s="223" t="s">
        <v>168</v>
      </c>
      <c r="F25" s="223" t="s">
        <v>110</v>
      </c>
      <c r="G25" s="225">
        <v>0.62780000000000002</v>
      </c>
      <c r="H25" s="226">
        <v>180</v>
      </c>
      <c r="I25" s="226">
        <v>113</v>
      </c>
      <c r="J25" s="226">
        <v>90</v>
      </c>
      <c r="K25" s="223" t="s">
        <v>111</v>
      </c>
      <c r="L25" s="227" t="s">
        <v>35</v>
      </c>
      <c r="M25" s="226">
        <v>0</v>
      </c>
      <c r="N25" s="226">
        <v>2</v>
      </c>
      <c r="O25" s="226">
        <v>9</v>
      </c>
      <c r="P25" s="223" t="s">
        <v>52</v>
      </c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26" t="s">
        <v>253</v>
      </c>
      <c r="AD25" s="226" t="s">
        <v>297</v>
      </c>
      <c r="AE25" s="219"/>
      <c r="AF25" s="219"/>
      <c r="AG25" s="219"/>
      <c r="AH25" s="219"/>
      <c r="AI25" s="226" t="s">
        <v>310</v>
      </c>
      <c r="AJ25" s="219"/>
    </row>
    <row r="26" spans="1:36" x14ac:dyDescent="0.3">
      <c r="A26" s="221" t="s">
        <v>108</v>
      </c>
      <c r="B26" s="222">
        <v>45998</v>
      </c>
      <c r="C26" s="223" t="s">
        <v>169</v>
      </c>
      <c r="D26" s="224" t="s">
        <v>236</v>
      </c>
      <c r="E26" s="223" t="s">
        <v>168</v>
      </c>
      <c r="F26" s="223" t="s">
        <v>110</v>
      </c>
      <c r="G26" s="225">
        <v>0.88890000000000002</v>
      </c>
      <c r="H26" s="226">
        <v>180</v>
      </c>
      <c r="I26" s="226">
        <v>160</v>
      </c>
      <c r="J26" s="226">
        <v>139</v>
      </c>
      <c r="K26" s="223" t="s">
        <v>111</v>
      </c>
      <c r="L26" s="227" t="s">
        <v>35</v>
      </c>
      <c r="M26" s="226">
        <v>0</v>
      </c>
      <c r="N26" s="226">
        <v>2</v>
      </c>
      <c r="O26" s="226">
        <v>19</v>
      </c>
      <c r="P26" s="223" t="s">
        <v>202</v>
      </c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26" t="s">
        <v>311</v>
      </c>
      <c r="AE26" s="219"/>
      <c r="AF26" s="219"/>
      <c r="AG26" s="219"/>
      <c r="AH26" s="219"/>
      <c r="AI26" s="226" t="s">
        <v>312</v>
      </c>
      <c r="AJ26" s="219"/>
    </row>
    <row r="27" spans="1:36" x14ac:dyDescent="0.3">
      <c r="A27" s="221" t="s">
        <v>108</v>
      </c>
      <c r="B27" s="222">
        <v>45998</v>
      </c>
      <c r="C27" s="223" t="s">
        <v>171</v>
      </c>
      <c r="D27" s="224" t="s">
        <v>240</v>
      </c>
      <c r="E27" s="223" t="s">
        <v>168</v>
      </c>
      <c r="F27" s="223" t="s">
        <v>110</v>
      </c>
      <c r="G27" s="225">
        <v>0.86109999999999998</v>
      </c>
      <c r="H27" s="226">
        <v>180</v>
      </c>
      <c r="I27" s="226">
        <v>155</v>
      </c>
      <c r="J27" s="226">
        <v>142</v>
      </c>
      <c r="K27" s="223" t="s">
        <v>111</v>
      </c>
      <c r="L27" s="227" t="s">
        <v>35</v>
      </c>
      <c r="M27" s="226">
        <v>0</v>
      </c>
      <c r="N27" s="226">
        <v>1</v>
      </c>
      <c r="O27" s="226">
        <v>12</v>
      </c>
      <c r="P27" s="223" t="s">
        <v>204</v>
      </c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26" t="s">
        <v>303</v>
      </c>
      <c r="AE27" s="219"/>
      <c r="AF27" s="219"/>
      <c r="AG27" s="219"/>
      <c r="AH27" s="219"/>
      <c r="AI27" s="226" t="s">
        <v>313</v>
      </c>
      <c r="AJ27" s="219"/>
    </row>
    <row r="28" spans="1:36" x14ac:dyDescent="0.3">
      <c r="A28" s="221" t="s">
        <v>245</v>
      </c>
      <c r="B28" s="222">
        <v>45999</v>
      </c>
      <c r="C28" s="223" t="s">
        <v>171</v>
      </c>
      <c r="D28" s="224" t="s">
        <v>246</v>
      </c>
      <c r="E28" s="223" t="s">
        <v>168</v>
      </c>
      <c r="F28" s="223" t="s">
        <v>110</v>
      </c>
      <c r="G28" s="225">
        <v>0.80559999999999998</v>
      </c>
      <c r="H28" s="226">
        <v>180</v>
      </c>
      <c r="I28" s="226">
        <v>145</v>
      </c>
      <c r="J28" s="226">
        <v>135</v>
      </c>
      <c r="K28" s="223" t="s">
        <v>111</v>
      </c>
      <c r="L28" s="227" t="s">
        <v>35</v>
      </c>
      <c r="M28" s="226">
        <v>0</v>
      </c>
      <c r="N28" s="226">
        <v>2</v>
      </c>
      <c r="O28" s="226">
        <v>6</v>
      </c>
      <c r="P28" s="223" t="s">
        <v>204</v>
      </c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26" t="s">
        <v>297</v>
      </c>
      <c r="AE28" s="219"/>
      <c r="AF28" s="219"/>
      <c r="AG28" s="219"/>
      <c r="AH28" s="219"/>
      <c r="AI28" s="226" t="s">
        <v>78</v>
      </c>
      <c r="AJ28" s="219"/>
    </row>
    <row r="29" spans="1:36" x14ac:dyDescent="0.3">
      <c r="A29" s="221" t="s">
        <v>245</v>
      </c>
      <c r="B29" s="222">
        <v>45999</v>
      </c>
      <c r="C29" s="223" t="s">
        <v>169</v>
      </c>
      <c r="D29" s="224" t="s">
        <v>251</v>
      </c>
      <c r="E29" s="223" t="s">
        <v>168</v>
      </c>
      <c r="F29" s="223" t="s">
        <v>110</v>
      </c>
      <c r="G29" s="225">
        <v>0.96109999999999995</v>
      </c>
      <c r="H29" s="226">
        <v>180</v>
      </c>
      <c r="I29" s="226">
        <v>173</v>
      </c>
      <c r="J29" s="226">
        <v>135</v>
      </c>
      <c r="K29" s="223" t="s">
        <v>111</v>
      </c>
      <c r="L29" s="227" t="s">
        <v>37</v>
      </c>
      <c r="M29" s="226">
        <v>0</v>
      </c>
      <c r="N29" s="226">
        <v>0</v>
      </c>
      <c r="O29" s="226">
        <v>0</v>
      </c>
      <c r="P29" s="223" t="s">
        <v>162</v>
      </c>
      <c r="Q29" s="219"/>
      <c r="R29" s="219"/>
      <c r="S29" s="219"/>
      <c r="T29" s="219"/>
      <c r="U29" s="219"/>
      <c r="V29" s="219"/>
      <c r="W29" s="219"/>
      <c r="X29" s="219"/>
      <c r="Y29" s="219"/>
      <c r="Z29" s="226" t="s">
        <v>314</v>
      </c>
      <c r="AA29" s="219"/>
      <c r="AB29" s="219"/>
      <c r="AC29" s="226" t="s">
        <v>121</v>
      </c>
      <c r="AD29" s="226" t="s">
        <v>297</v>
      </c>
      <c r="AE29" s="219"/>
      <c r="AF29" s="219"/>
      <c r="AG29" s="219"/>
      <c r="AH29" s="219"/>
      <c r="AI29" s="226" t="s">
        <v>78</v>
      </c>
      <c r="AJ29" s="219"/>
    </row>
    <row r="30" spans="1:36" x14ac:dyDescent="0.3">
      <c r="A30" s="221" t="s">
        <v>117</v>
      </c>
      <c r="B30" s="222">
        <v>46000</v>
      </c>
      <c r="C30" s="223" t="s">
        <v>169</v>
      </c>
      <c r="D30" s="224" t="s">
        <v>256</v>
      </c>
      <c r="E30" s="223" t="s">
        <v>168</v>
      </c>
      <c r="F30" s="223" t="s">
        <v>110</v>
      </c>
      <c r="G30" s="225">
        <v>0.75</v>
      </c>
      <c r="H30" s="226">
        <v>180</v>
      </c>
      <c r="I30" s="226">
        <v>135</v>
      </c>
      <c r="J30" s="226">
        <v>135</v>
      </c>
      <c r="K30" s="223" t="s">
        <v>111</v>
      </c>
      <c r="L30" s="227" t="s">
        <v>208</v>
      </c>
      <c r="M30" s="226">
        <v>0</v>
      </c>
      <c r="N30" s="226">
        <v>0</v>
      </c>
      <c r="O30" s="226">
        <v>0</v>
      </c>
      <c r="P30" s="223" t="s">
        <v>209</v>
      </c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26" t="s">
        <v>78</v>
      </c>
      <c r="AJ30" s="219"/>
    </row>
    <row r="31" spans="1:36" x14ac:dyDescent="0.3">
      <c r="A31" s="221" t="s">
        <v>124</v>
      </c>
      <c r="B31" s="222">
        <v>46001</v>
      </c>
      <c r="C31" s="223" t="s">
        <v>169</v>
      </c>
      <c r="D31" s="224" t="s">
        <v>258</v>
      </c>
      <c r="E31" s="223" t="s">
        <v>168</v>
      </c>
      <c r="F31" s="223" t="s">
        <v>110</v>
      </c>
      <c r="G31" s="225">
        <v>1</v>
      </c>
      <c r="H31" s="226">
        <v>180</v>
      </c>
      <c r="I31" s="226">
        <v>180</v>
      </c>
      <c r="J31" s="226">
        <v>135</v>
      </c>
      <c r="K31" s="223" t="s">
        <v>111</v>
      </c>
      <c r="L31" s="227" t="s">
        <v>210</v>
      </c>
      <c r="M31" s="226">
        <v>0</v>
      </c>
      <c r="N31" s="226">
        <v>0</v>
      </c>
      <c r="O31" s="226">
        <v>0</v>
      </c>
      <c r="P31" s="223" t="s">
        <v>33</v>
      </c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26" t="s">
        <v>204</v>
      </c>
      <c r="AD31" s="226" t="s">
        <v>297</v>
      </c>
      <c r="AE31" s="226" t="s">
        <v>301</v>
      </c>
      <c r="AF31" s="226" t="s">
        <v>315</v>
      </c>
      <c r="AG31" s="219"/>
      <c r="AH31" s="219"/>
      <c r="AI31" s="226" t="s">
        <v>78</v>
      </c>
      <c r="AJ31" s="219"/>
    </row>
    <row r="32" spans="1:36" x14ac:dyDescent="0.3">
      <c r="A32" s="221" t="s">
        <v>124</v>
      </c>
      <c r="B32" s="222">
        <v>46001</v>
      </c>
      <c r="C32" s="223" t="s">
        <v>171</v>
      </c>
      <c r="D32" s="224" t="s">
        <v>261</v>
      </c>
      <c r="E32" s="223" t="s">
        <v>168</v>
      </c>
      <c r="F32" s="223" t="s">
        <v>110</v>
      </c>
      <c r="G32" s="225">
        <v>0.93330000000000002</v>
      </c>
      <c r="H32" s="226">
        <v>180</v>
      </c>
      <c r="I32" s="226">
        <v>168</v>
      </c>
      <c r="J32" s="226">
        <v>135</v>
      </c>
      <c r="K32" s="223" t="s">
        <v>111</v>
      </c>
      <c r="L32" s="227" t="s">
        <v>35</v>
      </c>
      <c r="M32" s="226">
        <v>0</v>
      </c>
      <c r="N32" s="226">
        <v>1</v>
      </c>
      <c r="O32" s="226">
        <v>7</v>
      </c>
      <c r="P32" s="223" t="s">
        <v>204</v>
      </c>
      <c r="Q32" s="219"/>
      <c r="R32" s="219"/>
      <c r="S32" s="219"/>
      <c r="T32" s="219"/>
      <c r="U32" s="219"/>
      <c r="V32" s="219"/>
      <c r="W32" s="219"/>
      <c r="X32" s="219"/>
      <c r="Y32" s="226" t="s">
        <v>291</v>
      </c>
      <c r="Z32" s="219"/>
      <c r="AA32" s="219"/>
      <c r="AB32" s="219"/>
      <c r="AC32" s="226" t="s">
        <v>243</v>
      </c>
      <c r="AD32" s="226" t="s">
        <v>297</v>
      </c>
      <c r="AE32" s="219"/>
      <c r="AF32" s="219"/>
      <c r="AG32" s="219"/>
      <c r="AH32" s="219"/>
      <c r="AI32" s="226" t="s">
        <v>78</v>
      </c>
      <c r="AJ32" s="219"/>
    </row>
    <row r="33" spans="1:36" x14ac:dyDescent="0.3">
      <c r="A33" s="221" t="s">
        <v>124</v>
      </c>
      <c r="B33" s="222">
        <v>46001</v>
      </c>
      <c r="C33" s="223" t="s">
        <v>180</v>
      </c>
      <c r="D33" s="224" t="s">
        <v>262</v>
      </c>
      <c r="E33" s="223" t="s">
        <v>168</v>
      </c>
      <c r="F33" s="223" t="s">
        <v>110</v>
      </c>
      <c r="G33" s="225">
        <v>0.98329999999999995</v>
      </c>
      <c r="H33" s="226">
        <v>180</v>
      </c>
      <c r="I33" s="226">
        <v>177</v>
      </c>
      <c r="J33" s="226">
        <v>170</v>
      </c>
      <c r="K33" s="223" t="s">
        <v>111</v>
      </c>
      <c r="L33" s="227" t="s">
        <v>58</v>
      </c>
      <c r="M33" s="226">
        <v>0</v>
      </c>
      <c r="N33" s="226">
        <v>0</v>
      </c>
      <c r="O33" s="226">
        <v>7</v>
      </c>
      <c r="P33" s="223" t="s">
        <v>113</v>
      </c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26" t="s">
        <v>145</v>
      </c>
      <c r="AD33" s="219"/>
      <c r="AE33" s="219"/>
      <c r="AF33" s="219"/>
      <c r="AG33" s="219"/>
      <c r="AH33" s="219"/>
      <c r="AI33" s="226" t="s">
        <v>167</v>
      </c>
      <c r="AJ33" s="219"/>
    </row>
    <row r="34" spans="1:36" x14ac:dyDescent="0.3">
      <c r="A34" s="221" t="s">
        <v>129</v>
      </c>
      <c r="B34" s="222">
        <v>46002</v>
      </c>
      <c r="C34" s="223" t="s">
        <v>169</v>
      </c>
      <c r="D34" s="224" t="s">
        <v>263</v>
      </c>
      <c r="E34" s="223" t="s">
        <v>168</v>
      </c>
      <c r="F34" s="223" t="s">
        <v>110</v>
      </c>
      <c r="G34" s="225">
        <v>0.87780000000000002</v>
      </c>
      <c r="H34" s="226">
        <v>180</v>
      </c>
      <c r="I34" s="226">
        <v>158</v>
      </c>
      <c r="J34" s="226">
        <v>135</v>
      </c>
      <c r="K34" s="223" t="s">
        <v>111</v>
      </c>
      <c r="L34" s="227" t="s">
        <v>35</v>
      </c>
      <c r="M34" s="226">
        <v>0</v>
      </c>
      <c r="N34" s="226">
        <v>10</v>
      </c>
      <c r="O34" s="226">
        <v>15</v>
      </c>
      <c r="P34" s="223" t="s">
        <v>158</v>
      </c>
      <c r="Q34" s="219"/>
      <c r="R34" s="219"/>
      <c r="S34" s="219"/>
      <c r="T34" s="219"/>
      <c r="U34" s="219"/>
      <c r="V34" s="219"/>
      <c r="W34" s="219"/>
      <c r="X34" s="219"/>
      <c r="Y34" s="219"/>
      <c r="Z34" s="226" t="s">
        <v>148</v>
      </c>
      <c r="AA34" s="219"/>
      <c r="AB34" s="219"/>
      <c r="AC34" s="226" t="s">
        <v>225</v>
      </c>
      <c r="AD34" s="226" t="s">
        <v>297</v>
      </c>
      <c r="AE34" s="219"/>
      <c r="AF34" s="219"/>
      <c r="AG34" s="219"/>
      <c r="AH34" s="219"/>
      <c r="AI34" s="226" t="s">
        <v>78</v>
      </c>
      <c r="AJ34" s="219"/>
    </row>
    <row r="35" spans="1:36" x14ac:dyDescent="0.3">
      <c r="A35" s="221" t="s">
        <v>268</v>
      </c>
      <c r="B35" s="222">
        <v>46003</v>
      </c>
      <c r="C35" s="223" t="s">
        <v>169</v>
      </c>
      <c r="D35" s="224" t="s">
        <v>269</v>
      </c>
      <c r="E35" s="223" t="s">
        <v>168</v>
      </c>
      <c r="F35" s="223" t="s">
        <v>110</v>
      </c>
      <c r="G35" s="225">
        <v>0.1167</v>
      </c>
      <c r="H35" s="226">
        <v>180</v>
      </c>
      <c r="I35" s="226">
        <v>21</v>
      </c>
      <c r="J35" s="226">
        <v>0</v>
      </c>
      <c r="K35" s="223" t="s">
        <v>111</v>
      </c>
      <c r="L35" s="227" t="s">
        <v>39</v>
      </c>
      <c r="M35" s="226">
        <v>0</v>
      </c>
      <c r="N35" s="226">
        <v>0</v>
      </c>
      <c r="O35" s="226">
        <v>2</v>
      </c>
      <c r="P35" s="223" t="s">
        <v>52</v>
      </c>
      <c r="Q35" s="219"/>
      <c r="R35" s="219"/>
      <c r="S35" s="219"/>
      <c r="T35" s="219"/>
      <c r="U35" s="219"/>
      <c r="V35" s="219"/>
      <c r="W35" s="219"/>
      <c r="X35" s="219"/>
      <c r="Y35" s="219"/>
      <c r="Z35" s="226" t="s">
        <v>316</v>
      </c>
      <c r="AA35" s="219"/>
      <c r="AB35" s="226" t="s">
        <v>54</v>
      </c>
      <c r="AC35" s="226" t="s">
        <v>134</v>
      </c>
      <c r="AD35" s="219"/>
      <c r="AE35" s="219"/>
      <c r="AF35" s="219"/>
      <c r="AG35" s="219"/>
      <c r="AH35" s="219"/>
      <c r="AI35" s="219"/>
      <c r="AJ35" s="219"/>
    </row>
    <row r="36" spans="1:36" x14ac:dyDescent="0.3">
      <c r="A36" s="221" t="s">
        <v>277</v>
      </c>
      <c r="B36" s="222">
        <v>46004</v>
      </c>
      <c r="C36" s="223" t="s">
        <v>171</v>
      </c>
      <c r="D36" s="224" t="s">
        <v>278</v>
      </c>
      <c r="E36" s="223" t="s">
        <v>168</v>
      </c>
      <c r="F36" s="223" t="s">
        <v>110</v>
      </c>
      <c r="G36" s="225">
        <v>0.84440000000000004</v>
      </c>
      <c r="H36" s="226">
        <v>180</v>
      </c>
      <c r="I36" s="226">
        <v>152</v>
      </c>
      <c r="J36" s="226">
        <v>135</v>
      </c>
      <c r="K36" s="223" t="s">
        <v>111</v>
      </c>
      <c r="L36" s="227" t="s">
        <v>35</v>
      </c>
      <c r="M36" s="226">
        <v>0</v>
      </c>
      <c r="N36" s="226">
        <v>2</v>
      </c>
      <c r="O36" s="226">
        <v>7</v>
      </c>
      <c r="P36" s="223" t="s">
        <v>204</v>
      </c>
      <c r="Q36" s="219"/>
      <c r="R36" s="219"/>
      <c r="S36" s="219"/>
      <c r="T36" s="219"/>
      <c r="U36" s="219"/>
      <c r="V36" s="219"/>
      <c r="W36" s="219"/>
      <c r="X36" s="219"/>
      <c r="Y36" s="219"/>
      <c r="Z36" s="226" t="s">
        <v>144</v>
      </c>
      <c r="AA36" s="219"/>
      <c r="AB36" s="219"/>
      <c r="AC36" s="226" t="s">
        <v>121</v>
      </c>
      <c r="AD36" s="226" t="s">
        <v>297</v>
      </c>
      <c r="AE36" s="219"/>
      <c r="AF36" s="219"/>
      <c r="AG36" s="219"/>
      <c r="AH36" s="219"/>
      <c r="AI36" s="226" t="s">
        <v>78</v>
      </c>
      <c r="AJ36" s="219"/>
    </row>
    <row r="37" spans="1:36" x14ac:dyDescent="0.3">
      <c r="A37" s="221" t="s">
        <v>277</v>
      </c>
      <c r="B37" s="222">
        <v>46004</v>
      </c>
      <c r="C37" s="223" t="s">
        <v>169</v>
      </c>
      <c r="D37" s="224" t="s">
        <v>282</v>
      </c>
      <c r="E37" s="223" t="s">
        <v>168</v>
      </c>
      <c r="F37" s="223" t="s">
        <v>110</v>
      </c>
      <c r="G37" s="225">
        <v>0.87780000000000002</v>
      </c>
      <c r="H37" s="226">
        <v>180</v>
      </c>
      <c r="I37" s="226">
        <v>158</v>
      </c>
      <c r="J37" s="226">
        <v>135</v>
      </c>
      <c r="K37" s="223" t="s">
        <v>111</v>
      </c>
      <c r="L37" s="227" t="s">
        <v>35</v>
      </c>
      <c r="M37" s="226">
        <v>0</v>
      </c>
      <c r="N37" s="226">
        <v>1</v>
      </c>
      <c r="O37" s="226">
        <v>4</v>
      </c>
      <c r="P37" s="223" t="s">
        <v>52</v>
      </c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26" t="s">
        <v>253</v>
      </c>
      <c r="AD37" s="226" t="s">
        <v>297</v>
      </c>
      <c r="AE37" s="219"/>
      <c r="AF37" s="219"/>
      <c r="AG37" s="219"/>
      <c r="AH37" s="219"/>
      <c r="AI37" s="226" t="s">
        <v>78</v>
      </c>
      <c r="AJ37" s="219"/>
    </row>
    <row r="38" spans="1:36" x14ac:dyDescent="0.3">
      <c r="A38" s="221" t="s">
        <v>108</v>
      </c>
      <c r="B38" s="222">
        <v>46005</v>
      </c>
      <c r="C38" s="223" t="s">
        <v>169</v>
      </c>
      <c r="D38" s="224" t="s">
        <v>236</v>
      </c>
      <c r="E38" s="223" t="s">
        <v>168</v>
      </c>
      <c r="F38" s="223" t="s">
        <v>110</v>
      </c>
      <c r="G38" s="225">
        <v>0.7611</v>
      </c>
      <c r="H38" s="226">
        <v>180</v>
      </c>
      <c r="I38" s="226">
        <v>137</v>
      </c>
      <c r="J38" s="226">
        <v>135</v>
      </c>
      <c r="K38" s="223" t="s">
        <v>111</v>
      </c>
      <c r="L38" s="227" t="s">
        <v>210</v>
      </c>
      <c r="M38" s="226">
        <v>0</v>
      </c>
      <c r="N38" s="226">
        <v>0</v>
      </c>
      <c r="O38" s="226">
        <v>0</v>
      </c>
      <c r="P38" s="223" t="s">
        <v>74</v>
      </c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26" t="s">
        <v>166</v>
      </c>
      <c r="AB38" s="219"/>
      <c r="AC38" s="219"/>
      <c r="AD38" s="219"/>
      <c r="AE38" s="219"/>
      <c r="AF38" s="219"/>
      <c r="AG38" s="219"/>
      <c r="AH38" s="219"/>
      <c r="AI38" s="226" t="s">
        <v>78</v>
      </c>
      <c r="AJ38" s="219"/>
    </row>
    <row r="39" spans="1:36" x14ac:dyDescent="0.3">
      <c r="A39" s="221" t="s">
        <v>108</v>
      </c>
      <c r="B39" s="222">
        <v>46005</v>
      </c>
      <c r="C39" s="223" t="s">
        <v>171</v>
      </c>
      <c r="D39" s="224" t="s">
        <v>240</v>
      </c>
      <c r="E39" s="223" t="s">
        <v>168</v>
      </c>
      <c r="F39" s="223" t="s">
        <v>110</v>
      </c>
      <c r="G39" s="225">
        <v>0.7722</v>
      </c>
      <c r="H39" s="226">
        <v>180</v>
      </c>
      <c r="I39" s="226">
        <v>139</v>
      </c>
      <c r="J39" s="226">
        <v>135</v>
      </c>
      <c r="K39" s="223" t="s">
        <v>111</v>
      </c>
      <c r="L39" s="227" t="s">
        <v>35</v>
      </c>
      <c r="M39" s="226">
        <v>0</v>
      </c>
      <c r="N39" s="226">
        <v>1</v>
      </c>
      <c r="O39" s="226">
        <v>1</v>
      </c>
      <c r="P39" s="223" t="s">
        <v>70</v>
      </c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26" t="s">
        <v>65</v>
      </c>
      <c r="AB39" s="219"/>
      <c r="AC39" s="219"/>
      <c r="AD39" s="219"/>
      <c r="AE39" s="219"/>
      <c r="AF39" s="219"/>
      <c r="AG39" s="219"/>
      <c r="AH39" s="219"/>
      <c r="AI39" s="226" t="s">
        <v>78</v>
      </c>
      <c r="AJ39" s="219"/>
    </row>
    <row r="40" spans="1:36" x14ac:dyDescent="0.3">
      <c r="A40" s="221" t="s">
        <v>245</v>
      </c>
      <c r="B40" s="222">
        <v>46006</v>
      </c>
      <c r="C40" s="223" t="s">
        <v>171</v>
      </c>
      <c r="D40" s="224" t="s">
        <v>246</v>
      </c>
      <c r="E40" s="223" t="s">
        <v>168</v>
      </c>
      <c r="F40" s="223" t="s">
        <v>110</v>
      </c>
      <c r="G40" s="225">
        <v>0.90559999999999996</v>
      </c>
      <c r="H40" s="226">
        <v>180</v>
      </c>
      <c r="I40" s="226">
        <v>163</v>
      </c>
      <c r="J40" s="226">
        <v>135</v>
      </c>
      <c r="K40" s="223" t="s">
        <v>111</v>
      </c>
      <c r="L40" s="227" t="s">
        <v>35</v>
      </c>
      <c r="M40" s="226">
        <v>0</v>
      </c>
      <c r="N40" s="226">
        <v>3</v>
      </c>
      <c r="O40" s="226">
        <v>6</v>
      </c>
      <c r="P40" s="223" t="s">
        <v>145</v>
      </c>
      <c r="Q40" s="219"/>
      <c r="R40" s="219"/>
      <c r="S40" s="219"/>
      <c r="T40" s="219"/>
      <c r="U40" s="219"/>
      <c r="V40" s="219"/>
      <c r="W40" s="219"/>
      <c r="X40" s="219"/>
      <c r="Y40" s="219"/>
      <c r="Z40" s="226" t="s">
        <v>144</v>
      </c>
      <c r="AA40" s="219"/>
      <c r="AB40" s="219"/>
      <c r="AC40" s="226" t="s">
        <v>198</v>
      </c>
      <c r="AD40" s="226" t="s">
        <v>140</v>
      </c>
      <c r="AE40" s="226" t="s">
        <v>114</v>
      </c>
      <c r="AF40" s="226" t="s">
        <v>115</v>
      </c>
      <c r="AG40" s="219"/>
      <c r="AH40" s="219"/>
      <c r="AI40" s="226" t="s">
        <v>78</v>
      </c>
      <c r="AJ40" s="219"/>
    </row>
    <row r="41" spans="1:36" x14ac:dyDescent="0.3">
      <c r="A41" s="221" t="s">
        <v>245</v>
      </c>
      <c r="B41" s="222">
        <v>46006</v>
      </c>
      <c r="C41" s="223" t="s">
        <v>169</v>
      </c>
      <c r="D41" s="224" t="s">
        <v>251</v>
      </c>
      <c r="E41" s="223" t="s">
        <v>168</v>
      </c>
      <c r="F41" s="223" t="s">
        <v>110</v>
      </c>
      <c r="G41" s="225">
        <v>0.62780000000000002</v>
      </c>
      <c r="H41" s="226">
        <v>180</v>
      </c>
      <c r="I41" s="226">
        <v>113</v>
      </c>
      <c r="J41" s="226">
        <v>90</v>
      </c>
      <c r="K41" s="223" t="s">
        <v>111</v>
      </c>
      <c r="L41" s="227" t="s">
        <v>35</v>
      </c>
      <c r="M41" s="226">
        <v>0</v>
      </c>
      <c r="N41" s="226">
        <v>1</v>
      </c>
      <c r="O41" s="226">
        <v>7</v>
      </c>
      <c r="P41" s="223" t="s">
        <v>54</v>
      </c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26" t="s">
        <v>305</v>
      </c>
      <c r="AC41" s="226" t="s">
        <v>134</v>
      </c>
      <c r="AD41" s="219"/>
      <c r="AE41" s="219"/>
      <c r="AF41" s="219"/>
      <c r="AG41" s="219"/>
      <c r="AH41" s="219"/>
      <c r="AI41" s="226" t="s">
        <v>310</v>
      </c>
      <c r="AJ41" s="219"/>
    </row>
    <row r="42" spans="1:36" x14ac:dyDescent="0.3">
      <c r="A42" s="221" t="s">
        <v>117</v>
      </c>
      <c r="B42" s="222">
        <v>46007</v>
      </c>
      <c r="C42" s="223" t="s">
        <v>169</v>
      </c>
      <c r="D42" s="224" t="s">
        <v>256</v>
      </c>
      <c r="E42" s="223" t="s">
        <v>168</v>
      </c>
      <c r="F42" s="223" t="s">
        <v>110</v>
      </c>
      <c r="G42" s="225">
        <v>0.55559999999999998</v>
      </c>
      <c r="H42" s="226">
        <v>180</v>
      </c>
      <c r="I42" s="226">
        <v>100</v>
      </c>
      <c r="J42" s="226">
        <v>90</v>
      </c>
      <c r="K42" s="223" t="s">
        <v>111</v>
      </c>
      <c r="L42" s="227" t="s">
        <v>35</v>
      </c>
      <c r="M42" s="226">
        <v>0</v>
      </c>
      <c r="N42" s="226">
        <v>2</v>
      </c>
      <c r="O42" s="226">
        <v>2</v>
      </c>
      <c r="P42" s="223" t="s">
        <v>113</v>
      </c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26" t="s">
        <v>134</v>
      </c>
      <c r="AD42" s="219"/>
      <c r="AE42" s="219"/>
      <c r="AF42" s="219"/>
      <c r="AG42" s="226" t="s">
        <v>151</v>
      </c>
      <c r="AH42" s="219"/>
      <c r="AI42" s="226" t="s">
        <v>317</v>
      </c>
      <c r="AJ42" s="219"/>
    </row>
    <row r="43" spans="1:36" x14ac:dyDescent="0.3">
      <c r="A43" s="221" t="s">
        <v>124</v>
      </c>
      <c r="B43" s="222">
        <v>46008</v>
      </c>
      <c r="C43" s="223" t="s">
        <v>169</v>
      </c>
      <c r="D43" s="224" t="s">
        <v>258</v>
      </c>
      <c r="E43" s="223" t="s">
        <v>168</v>
      </c>
      <c r="F43" s="223" t="s">
        <v>110</v>
      </c>
      <c r="G43" s="225">
        <v>0.9778</v>
      </c>
      <c r="H43" s="226">
        <v>180</v>
      </c>
      <c r="I43" s="226">
        <v>176</v>
      </c>
      <c r="J43" s="226">
        <v>175</v>
      </c>
      <c r="K43" s="223" t="s">
        <v>111</v>
      </c>
      <c r="L43" s="227" t="s">
        <v>41</v>
      </c>
      <c r="M43" s="226">
        <v>0</v>
      </c>
      <c r="N43" s="226">
        <v>0</v>
      </c>
      <c r="O43" s="226">
        <v>1</v>
      </c>
      <c r="P43" s="223" t="s">
        <v>121</v>
      </c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26" t="s">
        <v>198</v>
      </c>
      <c r="AD43" s="219"/>
      <c r="AE43" s="219"/>
      <c r="AF43" s="219"/>
      <c r="AG43" s="226" t="s">
        <v>318</v>
      </c>
      <c r="AH43" s="219"/>
      <c r="AI43" s="226" t="s">
        <v>78</v>
      </c>
      <c r="AJ43" s="219"/>
    </row>
    <row r="44" spans="1:36" x14ac:dyDescent="0.3">
      <c r="A44" s="221" t="s">
        <v>124</v>
      </c>
      <c r="B44" s="222">
        <v>46008</v>
      </c>
      <c r="C44" s="223" t="s">
        <v>171</v>
      </c>
      <c r="D44" s="224" t="s">
        <v>261</v>
      </c>
      <c r="E44" s="223" t="s">
        <v>168</v>
      </c>
      <c r="F44" s="223" t="s">
        <v>110</v>
      </c>
      <c r="G44" s="225">
        <v>0.93330000000000002</v>
      </c>
      <c r="H44" s="226">
        <v>180</v>
      </c>
      <c r="I44" s="226">
        <v>168</v>
      </c>
      <c r="J44" s="226">
        <v>155</v>
      </c>
      <c r="K44" s="223" t="s">
        <v>111</v>
      </c>
      <c r="L44" s="227" t="s">
        <v>187</v>
      </c>
      <c r="M44" s="226">
        <v>0</v>
      </c>
      <c r="N44" s="226">
        <v>0</v>
      </c>
      <c r="O44" s="226">
        <v>5</v>
      </c>
      <c r="P44" s="223" t="s">
        <v>198</v>
      </c>
      <c r="Q44" s="219"/>
      <c r="R44" s="219"/>
      <c r="S44" s="219"/>
      <c r="T44" s="219"/>
      <c r="U44" s="219"/>
      <c r="V44" s="219"/>
      <c r="W44" s="219"/>
      <c r="X44" s="219"/>
      <c r="Y44" s="219"/>
      <c r="Z44" s="226" t="s">
        <v>306</v>
      </c>
      <c r="AA44" s="219"/>
      <c r="AB44" s="226" t="s">
        <v>319</v>
      </c>
      <c r="AC44" s="226" t="s">
        <v>204</v>
      </c>
      <c r="AD44" s="219"/>
      <c r="AE44" s="219"/>
      <c r="AF44" s="219"/>
      <c r="AG44" s="219"/>
      <c r="AH44" s="219"/>
      <c r="AI44" s="226" t="s">
        <v>161</v>
      </c>
      <c r="AJ44" s="219"/>
    </row>
    <row r="45" spans="1:36" x14ac:dyDescent="0.3">
      <c r="A45" s="221" t="s">
        <v>124</v>
      </c>
      <c r="B45" s="222">
        <v>46008</v>
      </c>
      <c r="C45" s="223" t="s">
        <v>180</v>
      </c>
      <c r="D45" s="224" t="s">
        <v>262</v>
      </c>
      <c r="E45" s="223" t="s">
        <v>168</v>
      </c>
      <c r="F45" s="223" t="s">
        <v>110</v>
      </c>
      <c r="G45" s="225">
        <v>0.69440000000000002</v>
      </c>
      <c r="H45" s="226">
        <v>180</v>
      </c>
      <c r="I45" s="226">
        <v>125</v>
      </c>
      <c r="J45" s="226">
        <v>125</v>
      </c>
      <c r="K45" s="223" t="s">
        <v>111</v>
      </c>
      <c r="L45" s="227" t="s">
        <v>175</v>
      </c>
      <c r="M45" s="226">
        <v>0</v>
      </c>
      <c r="N45" s="226">
        <v>0</v>
      </c>
      <c r="O45" s="226">
        <v>0</v>
      </c>
      <c r="P45" s="223" t="s">
        <v>204</v>
      </c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  <c r="AI45" s="226" t="s">
        <v>123</v>
      </c>
      <c r="AJ45" s="219"/>
    </row>
    <row r="46" spans="1:36" x14ac:dyDescent="0.3">
      <c r="A46" s="221" t="s">
        <v>129</v>
      </c>
      <c r="B46" s="222">
        <v>46009</v>
      </c>
      <c r="C46" s="223" t="s">
        <v>169</v>
      </c>
      <c r="D46" s="224" t="s">
        <v>263</v>
      </c>
      <c r="E46" s="223" t="s">
        <v>168</v>
      </c>
      <c r="F46" s="223" t="s">
        <v>110</v>
      </c>
      <c r="G46" s="225">
        <v>0.77780000000000005</v>
      </c>
      <c r="H46" s="226">
        <v>180</v>
      </c>
      <c r="I46" s="226">
        <v>140</v>
      </c>
      <c r="J46" s="226">
        <v>135</v>
      </c>
      <c r="K46" s="223" t="s">
        <v>111</v>
      </c>
      <c r="L46" s="227" t="s">
        <v>64</v>
      </c>
      <c r="M46" s="226">
        <v>0</v>
      </c>
      <c r="N46" s="226">
        <v>0</v>
      </c>
      <c r="O46" s="226">
        <v>0</v>
      </c>
      <c r="P46" s="223" t="s">
        <v>158</v>
      </c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26" t="s">
        <v>158</v>
      </c>
      <c r="AD46" s="219"/>
      <c r="AE46" s="219"/>
      <c r="AF46" s="219"/>
      <c r="AG46" s="219"/>
      <c r="AH46" s="219"/>
      <c r="AI46" s="226" t="s">
        <v>78</v>
      </c>
      <c r="AJ46" s="219"/>
    </row>
    <row r="47" spans="1:36" x14ac:dyDescent="0.3">
      <c r="A47" s="221" t="s">
        <v>268</v>
      </c>
      <c r="B47" s="222">
        <v>46010</v>
      </c>
      <c r="C47" s="223" t="s">
        <v>169</v>
      </c>
      <c r="D47" s="224" t="s">
        <v>269</v>
      </c>
      <c r="E47" s="223" t="s">
        <v>168</v>
      </c>
      <c r="F47" s="223" t="s">
        <v>110</v>
      </c>
      <c r="G47" s="225">
        <v>0.05</v>
      </c>
      <c r="H47" s="226">
        <v>180</v>
      </c>
      <c r="I47" s="226">
        <v>9</v>
      </c>
      <c r="J47" s="226">
        <v>0</v>
      </c>
      <c r="K47" s="223" t="s">
        <v>111</v>
      </c>
      <c r="L47" s="227" t="s">
        <v>58</v>
      </c>
      <c r="M47" s="226">
        <v>0</v>
      </c>
      <c r="N47" s="226">
        <v>0</v>
      </c>
      <c r="O47" s="226">
        <v>3</v>
      </c>
      <c r="P47" s="223" t="s">
        <v>131</v>
      </c>
      <c r="Q47" s="219"/>
      <c r="R47" s="219"/>
      <c r="S47" s="219"/>
      <c r="T47" s="219"/>
      <c r="U47" s="219"/>
      <c r="V47" s="219"/>
      <c r="W47" s="219"/>
      <c r="X47" s="219"/>
      <c r="Y47" s="219"/>
      <c r="Z47" s="226" t="s">
        <v>306</v>
      </c>
      <c r="AA47" s="219"/>
      <c r="AB47" s="219"/>
      <c r="AC47" s="226" t="s">
        <v>145</v>
      </c>
      <c r="AD47" s="219"/>
      <c r="AE47" s="219"/>
      <c r="AF47" s="219"/>
      <c r="AG47" s="219"/>
      <c r="AH47" s="219"/>
      <c r="AI47" s="219"/>
      <c r="AJ47" s="219"/>
    </row>
    <row r="48" spans="1:36" x14ac:dyDescent="0.3">
      <c r="A48" s="221" t="s">
        <v>277</v>
      </c>
      <c r="B48" s="222">
        <v>46011</v>
      </c>
      <c r="C48" s="223" t="s">
        <v>171</v>
      </c>
      <c r="D48" s="224" t="s">
        <v>278</v>
      </c>
      <c r="E48" s="223" t="s">
        <v>168</v>
      </c>
      <c r="F48" s="223" t="s">
        <v>110</v>
      </c>
      <c r="G48" s="225">
        <v>0.7611</v>
      </c>
      <c r="H48" s="226">
        <v>180</v>
      </c>
      <c r="I48" s="226">
        <v>137</v>
      </c>
      <c r="J48" s="226">
        <v>135</v>
      </c>
      <c r="K48" s="223" t="s">
        <v>111</v>
      </c>
      <c r="L48" s="227" t="s">
        <v>210</v>
      </c>
      <c r="M48" s="226">
        <v>0</v>
      </c>
      <c r="N48" s="226">
        <v>0</v>
      </c>
      <c r="O48" s="226">
        <v>0</v>
      </c>
      <c r="P48" s="223" t="s">
        <v>225</v>
      </c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26" t="s">
        <v>113</v>
      </c>
      <c r="AD48" s="219"/>
      <c r="AE48" s="219"/>
      <c r="AF48" s="219"/>
      <c r="AG48" s="219"/>
      <c r="AH48" s="219"/>
      <c r="AI48" s="226" t="s">
        <v>78</v>
      </c>
      <c r="AJ48" s="219"/>
    </row>
    <row r="49" spans="1:36" x14ac:dyDescent="0.3">
      <c r="A49" s="221" t="s">
        <v>277</v>
      </c>
      <c r="B49" s="222">
        <v>46011</v>
      </c>
      <c r="C49" s="223" t="s">
        <v>169</v>
      </c>
      <c r="D49" s="224" t="s">
        <v>282</v>
      </c>
      <c r="E49" s="223" t="s">
        <v>168</v>
      </c>
      <c r="F49" s="223" t="s">
        <v>110</v>
      </c>
      <c r="G49" s="225">
        <v>0.7833</v>
      </c>
      <c r="H49" s="226">
        <v>180</v>
      </c>
      <c r="I49" s="226">
        <v>141</v>
      </c>
      <c r="J49" s="226">
        <v>135</v>
      </c>
      <c r="K49" s="223" t="s">
        <v>111</v>
      </c>
      <c r="L49" s="227" t="s">
        <v>58</v>
      </c>
      <c r="M49" s="226">
        <v>0</v>
      </c>
      <c r="N49" s="226">
        <v>0</v>
      </c>
      <c r="O49" s="226">
        <v>1</v>
      </c>
      <c r="P49" s="223" t="s">
        <v>121</v>
      </c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26" t="s">
        <v>235</v>
      </c>
      <c r="AD49" s="219"/>
      <c r="AE49" s="219"/>
      <c r="AF49" s="219"/>
      <c r="AG49" s="219"/>
      <c r="AH49" s="219"/>
      <c r="AI49" s="226" t="s">
        <v>78</v>
      </c>
      <c r="AJ49" s="219"/>
    </row>
    <row r="50" spans="1:36" x14ac:dyDescent="0.3">
      <c r="A50" s="221" t="s">
        <v>108</v>
      </c>
      <c r="B50" s="222">
        <v>46012</v>
      </c>
      <c r="C50" s="223" t="s">
        <v>169</v>
      </c>
      <c r="D50" s="224" t="s">
        <v>236</v>
      </c>
      <c r="E50" s="223" t="s">
        <v>168</v>
      </c>
      <c r="F50" s="223" t="s">
        <v>110</v>
      </c>
      <c r="G50" s="225">
        <v>0.86670000000000003</v>
      </c>
      <c r="H50" s="226">
        <v>180</v>
      </c>
      <c r="I50" s="226">
        <v>156</v>
      </c>
      <c r="J50" s="226">
        <v>135</v>
      </c>
      <c r="K50" s="223" t="s">
        <v>111</v>
      </c>
      <c r="L50" s="227" t="s">
        <v>35</v>
      </c>
      <c r="M50" s="226">
        <v>0</v>
      </c>
      <c r="N50" s="226">
        <v>1</v>
      </c>
      <c r="O50" s="226">
        <v>4</v>
      </c>
      <c r="P50" s="223" t="s">
        <v>228</v>
      </c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26" t="s">
        <v>149</v>
      </c>
      <c r="AE50" s="226" t="s">
        <v>114</v>
      </c>
      <c r="AF50" s="226" t="s">
        <v>115</v>
      </c>
      <c r="AG50" s="219"/>
      <c r="AH50" s="219"/>
      <c r="AI50" s="226" t="s">
        <v>78</v>
      </c>
      <c r="AJ50" s="219"/>
    </row>
    <row r="51" spans="1:36" x14ac:dyDescent="0.3">
      <c r="A51" s="221" t="s">
        <v>108</v>
      </c>
      <c r="B51" s="222">
        <v>46012</v>
      </c>
      <c r="C51" s="223" t="s">
        <v>171</v>
      </c>
      <c r="D51" s="224" t="s">
        <v>240</v>
      </c>
      <c r="E51" s="223" t="s">
        <v>168</v>
      </c>
      <c r="F51" s="223" t="s">
        <v>110</v>
      </c>
      <c r="G51" s="225">
        <v>0.69440000000000002</v>
      </c>
      <c r="H51" s="226">
        <v>180</v>
      </c>
      <c r="I51" s="226">
        <v>125</v>
      </c>
      <c r="J51" s="226">
        <v>125</v>
      </c>
      <c r="K51" s="223" t="s">
        <v>111</v>
      </c>
      <c r="L51" s="227" t="s">
        <v>37</v>
      </c>
      <c r="M51" s="226">
        <v>0</v>
      </c>
      <c r="N51" s="226">
        <v>0</v>
      </c>
      <c r="O51" s="226">
        <v>0</v>
      </c>
      <c r="P51" s="223" t="s">
        <v>52</v>
      </c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219"/>
      <c r="AH51" s="219"/>
      <c r="AI51" s="226" t="s">
        <v>123</v>
      </c>
      <c r="AJ51" s="219"/>
    </row>
    <row r="52" spans="1:36" x14ac:dyDescent="0.3">
      <c r="A52" s="221" t="s">
        <v>245</v>
      </c>
      <c r="B52" s="222">
        <v>46013</v>
      </c>
      <c r="C52" s="223" t="s">
        <v>171</v>
      </c>
      <c r="D52" s="224" t="s">
        <v>246</v>
      </c>
      <c r="E52" s="223" t="s">
        <v>168</v>
      </c>
      <c r="F52" s="223" t="s">
        <v>110</v>
      </c>
      <c r="G52" s="225">
        <v>0.85560000000000003</v>
      </c>
      <c r="H52" s="226">
        <v>180</v>
      </c>
      <c r="I52" s="226">
        <v>154</v>
      </c>
      <c r="J52" s="226">
        <v>135</v>
      </c>
      <c r="K52" s="223" t="s">
        <v>111</v>
      </c>
      <c r="L52" s="227" t="s">
        <v>187</v>
      </c>
      <c r="M52" s="226">
        <v>0</v>
      </c>
      <c r="N52" s="226">
        <v>0</v>
      </c>
      <c r="O52" s="226">
        <v>4</v>
      </c>
      <c r="P52" s="223" t="s">
        <v>149</v>
      </c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26" t="s">
        <v>228</v>
      </c>
      <c r="AE52" s="226" t="s">
        <v>114</v>
      </c>
      <c r="AF52" s="226" t="s">
        <v>115</v>
      </c>
      <c r="AG52" s="219"/>
      <c r="AH52" s="219"/>
      <c r="AI52" s="226" t="s">
        <v>78</v>
      </c>
      <c r="AJ52" s="219"/>
    </row>
    <row r="53" spans="1:36" x14ac:dyDescent="0.3">
      <c r="A53" s="221" t="s">
        <v>245</v>
      </c>
      <c r="B53" s="222">
        <v>46013</v>
      </c>
      <c r="C53" s="223" t="s">
        <v>169</v>
      </c>
      <c r="D53" s="224" t="s">
        <v>251</v>
      </c>
      <c r="E53" s="223" t="s">
        <v>168</v>
      </c>
      <c r="F53" s="223" t="s">
        <v>110</v>
      </c>
      <c r="G53" s="225">
        <v>0.75</v>
      </c>
      <c r="H53" s="226">
        <v>180</v>
      </c>
      <c r="I53" s="226">
        <v>135</v>
      </c>
      <c r="J53" s="226">
        <v>135</v>
      </c>
      <c r="K53" s="223" t="s">
        <v>111</v>
      </c>
      <c r="L53" s="227" t="s">
        <v>175</v>
      </c>
      <c r="M53" s="226">
        <v>0</v>
      </c>
      <c r="N53" s="226">
        <v>0</v>
      </c>
      <c r="O53" s="226">
        <v>0</v>
      </c>
      <c r="P53" s="223" t="s">
        <v>204</v>
      </c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219"/>
      <c r="AH53" s="219"/>
      <c r="AI53" s="226" t="s">
        <v>78</v>
      </c>
      <c r="AJ53" s="219"/>
    </row>
    <row r="54" spans="1:36" x14ac:dyDescent="0.3">
      <c r="A54" s="221" t="s">
        <v>117</v>
      </c>
      <c r="B54" s="222">
        <v>46014</v>
      </c>
      <c r="C54" s="223" t="s">
        <v>169</v>
      </c>
      <c r="D54" s="224" t="s">
        <v>256</v>
      </c>
      <c r="E54" s="223" t="s">
        <v>168</v>
      </c>
      <c r="F54" s="223" t="s">
        <v>110</v>
      </c>
      <c r="G54" s="225">
        <v>1</v>
      </c>
      <c r="H54" s="226">
        <v>180</v>
      </c>
      <c r="I54" s="226">
        <v>180</v>
      </c>
      <c r="J54" s="226">
        <v>180</v>
      </c>
      <c r="K54" s="223" t="s">
        <v>111</v>
      </c>
      <c r="L54" s="227" t="s">
        <v>231</v>
      </c>
      <c r="M54" s="226">
        <v>0</v>
      </c>
      <c r="N54" s="226">
        <v>0</v>
      </c>
      <c r="O54" s="226">
        <v>0</v>
      </c>
      <c r="P54" s="223" t="s">
        <v>33</v>
      </c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219"/>
      <c r="AH54" s="219"/>
      <c r="AI54" s="226" t="s">
        <v>232</v>
      </c>
      <c r="AJ54" s="219"/>
    </row>
    <row r="55" spans="1:36" x14ac:dyDescent="0.3">
      <c r="A55" s="221" t="s">
        <v>124</v>
      </c>
      <c r="B55" s="222">
        <v>46015</v>
      </c>
      <c r="C55" s="223" t="s">
        <v>169</v>
      </c>
      <c r="D55" s="224" t="s">
        <v>258</v>
      </c>
      <c r="E55" s="223" t="s">
        <v>168</v>
      </c>
      <c r="F55" s="223" t="s">
        <v>110</v>
      </c>
      <c r="G55" s="225">
        <v>0.7944</v>
      </c>
      <c r="H55" s="226">
        <v>180</v>
      </c>
      <c r="I55" s="226">
        <v>143</v>
      </c>
      <c r="J55" s="226">
        <v>135</v>
      </c>
      <c r="K55" s="223" t="s">
        <v>111</v>
      </c>
      <c r="L55" s="227" t="s">
        <v>190</v>
      </c>
      <c r="M55" s="226">
        <v>0</v>
      </c>
      <c r="N55" s="226">
        <v>0</v>
      </c>
      <c r="O55" s="226">
        <v>1</v>
      </c>
      <c r="P55" s="223" t="s">
        <v>113</v>
      </c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26" t="s">
        <v>225</v>
      </c>
      <c r="AD55" s="219"/>
      <c r="AE55" s="219"/>
      <c r="AF55" s="219"/>
      <c r="AG55" s="219"/>
      <c r="AH55" s="219"/>
      <c r="AI55" s="226" t="s">
        <v>78</v>
      </c>
      <c r="AJ55" s="219"/>
    </row>
    <row r="56" spans="1:36" x14ac:dyDescent="0.3">
      <c r="A56" s="221" t="s">
        <v>124</v>
      </c>
      <c r="B56" s="222">
        <v>46015</v>
      </c>
      <c r="C56" s="223" t="s">
        <v>171</v>
      </c>
      <c r="D56" s="224" t="s">
        <v>261</v>
      </c>
      <c r="E56" s="223" t="s">
        <v>168</v>
      </c>
      <c r="F56" s="223" t="s">
        <v>110</v>
      </c>
      <c r="G56" s="225">
        <v>0.77780000000000005</v>
      </c>
      <c r="H56" s="226">
        <v>180</v>
      </c>
      <c r="I56" s="226">
        <v>140</v>
      </c>
      <c r="J56" s="226">
        <v>135</v>
      </c>
      <c r="K56" s="223" t="s">
        <v>111</v>
      </c>
      <c r="L56" s="227" t="s">
        <v>64</v>
      </c>
      <c r="M56" s="226">
        <v>0</v>
      </c>
      <c r="N56" s="226">
        <v>0</v>
      </c>
      <c r="O56" s="226">
        <v>0</v>
      </c>
      <c r="P56" s="223" t="s">
        <v>158</v>
      </c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26" t="s">
        <v>158</v>
      </c>
      <c r="AD56" s="219"/>
      <c r="AE56" s="219"/>
      <c r="AF56" s="219"/>
      <c r="AG56" s="219"/>
      <c r="AH56" s="219"/>
      <c r="AI56" s="226" t="s">
        <v>78</v>
      </c>
      <c r="AJ56" s="219"/>
    </row>
    <row r="57" spans="1:36" x14ac:dyDescent="0.3">
      <c r="A57" s="221" t="s">
        <v>124</v>
      </c>
      <c r="B57" s="222">
        <v>46015</v>
      </c>
      <c r="C57" s="223" t="s">
        <v>180</v>
      </c>
      <c r="D57" s="224" t="s">
        <v>262</v>
      </c>
      <c r="E57" s="223" t="s">
        <v>168</v>
      </c>
      <c r="F57" s="223" t="s">
        <v>110</v>
      </c>
      <c r="G57" s="225">
        <v>0.95</v>
      </c>
      <c r="H57" s="226">
        <v>180</v>
      </c>
      <c r="I57" s="226">
        <v>171</v>
      </c>
      <c r="J57" s="226">
        <v>170</v>
      </c>
      <c r="K57" s="223" t="s">
        <v>111</v>
      </c>
      <c r="L57" s="227" t="s">
        <v>187</v>
      </c>
      <c r="M57" s="226">
        <v>0</v>
      </c>
      <c r="N57" s="226">
        <v>0</v>
      </c>
      <c r="O57" s="226">
        <v>1</v>
      </c>
      <c r="P57" s="223" t="s">
        <v>225</v>
      </c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26" t="s">
        <v>198</v>
      </c>
      <c r="AD57" s="219"/>
      <c r="AE57" s="219"/>
      <c r="AF57" s="219"/>
      <c r="AG57" s="219"/>
      <c r="AH57" s="219"/>
      <c r="AI57" s="226" t="s">
        <v>167</v>
      </c>
      <c r="AJ57" s="219"/>
    </row>
    <row r="58" spans="1:36" x14ac:dyDescent="0.3">
      <c r="A58" s="221" t="s">
        <v>129</v>
      </c>
      <c r="B58" s="222">
        <v>46016</v>
      </c>
      <c r="C58" s="223" t="s">
        <v>169</v>
      </c>
      <c r="D58" s="224" t="s">
        <v>263</v>
      </c>
      <c r="E58" s="223" t="s">
        <v>168</v>
      </c>
      <c r="F58" s="223" t="s">
        <v>110</v>
      </c>
      <c r="G58" s="225">
        <v>0.7611</v>
      </c>
      <c r="H58" s="226">
        <v>180</v>
      </c>
      <c r="I58" s="226">
        <v>137</v>
      </c>
      <c r="J58" s="226">
        <v>135</v>
      </c>
      <c r="K58" s="223" t="s">
        <v>111</v>
      </c>
      <c r="L58" s="227" t="s">
        <v>58</v>
      </c>
      <c r="M58" s="226">
        <v>0</v>
      </c>
      <c r="N58" s="226">
        <v>0</v>
      </c>
      <c r="O58" s="226">
        <v>1</v>
      </c>
      <c r="P58" s="223" t="s">
        <v>225</v>
      </c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26" t="s">
        <v>113</v>
      </c>
      <c r="AD58" s="219"/>
      <c r="AE58" s="219"/>
      <c r="AF58" s="219"/>
      <c r="AG58" s="219"/>
      <c r="AH58" s="219"/>
      <c r="AI58" s="226" t="s">
        <v>78</v>
      </c>
      <c r="AJ58" s="219"/>
    </row>
    <row r="59" spans="1:36" x14ac:dyDescent="0.3">
      <c r="A59" s="221" t="s">
        <v>268</v>
      </c>
      <c r="B59" s="222">
        <v>46017</v>
      </c>
      <c r="C59" s="223" t="s">
        <v>169</v>
      </c>
      <c r="D59" s="224" t="s">
        <v>269</v>
      </c>
      <c r="E59" s="223" t="s">
        <v>168</v>
      </c>
      <c r="F59" s="223" t="s">
        <v>110</v>
      </c>
      <c r="G59" s="225">
        <v>3.8899999999999997E-2</v>
      </c>
      <c r="H59" s="226">
        <v>180</v>
      </c>
      <c r="I59" s="226">
        <v>7</v>
      </c>
      <c r="J59" s="226">
        <v>0</v>
      </c>
      <c r="K59" s="223" t="s">
        <v>111</v>
      </c>
      <c r="L59" s="227" t="s">
        <v>35</v>
      </c>
      <c r="M59" s="226">
        <v>0</v>
      </c>
      <c r="N59" s="226">
        <v>2</v>
      </c>
      <c r="O59" s="226">
        <v>2</v>
      </c>
      <c r="P59" s="223" t="s">
        <v>235</v>
      </c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26" t="s">
        <v>145</v>
      </c>
      <c r="AD59" s="219"/>
      <c r="AE59" s="219"/>
      <c r="AF59" s="219"/>
      <c r="AG59" s="219"/>
      <c r="AH59" s="219"/>
      <c r="AI59" s="219"/>
      <c r="AJ59" s="219"/>
    </row>
    <row r="60" spans="1:36" ht="21" x14ac:dyDescent="0.3">
      <c r="A60" s="228" t="s">
        <v>320</v>
      </c>
      <c r="B60" s="229"/>
      <c r="C60" s="228">
        <f>SUBTOTAL(103,HBE_JED_LF_LEGACY[Flt])</f>
        <v>58</v>
      </c>
      <c r="D60" s="228"/>
      <c r="E60" s="228">
        <f>SUBTOTAL(103,HBE_JED_LF_LEGACY[Brd-Off])</f>
        <v>58</v>
      </c>
      <c r="F60" s="228"/>
      <c r="G60" s="230">
        <f>SUBTOTAL(101,HBE_JED_LF_LEGACY[LF%])</f>
        <v>0.83533965517241371</v>
      </c>
      <c r="H60" s="231">
        <f>SUBTOTAL(109,HBE_JED_LF_LEGACY[CAP])</f>
        <v>10440</v>
      </c>
      <c r="I60" s="231">
        <f>SUBTOTAL(109,HBE_JED_LF_LEGACY[BKG(Y)])</f>
        <v>8721</v>
      </c>
      <c r="J60" s="231">
        <f>SUBTOTAL(109,HBE_JED_LF_LEGACY[GRP(Y)])</f>
        <v>7226</v>
      </c>
      <c r="K60" s="228"/>
      <c r="L60" s="229"/>
      <c r="M60" s="231">
        <f>SUBTOTAL(109,HBE_JED_LF_LEGACY[TO-DAY])</f>
        <v>0</v>
      </c>
      <c r="N60" s="231">
        <f>SUBTOTAL(109,HBE_JED_LF_LEGACY[Y-DAY])</f>
        <v>83</v>
      </c>
      <c r="O60" s="231">
        <f>SUBTOTAL(109,HBE_JED_LF_LEGACY[WEEKLY])</f>
        <v>476</v>
      </c>
      <c r="P60" s="232"/>
      <c r="Q60" s="231">
        <f>SUBTOTAL(109,HBE_JED_LF_LEGACY[Y])</f>
        <v>0</v>
      </c>
      <c r="R60" s="231">
        <f>SUBTOTAL(109,HBE_JED_LF_LEGACY[B])</f>
        <v>0</v>
      </c>
      <c r="S60" s="231">
        <f>SUBTOTAL(109,HBE_JED_LF_LEGACY[M])</f>
        <v>0</v>
      </c>
      <c r="T60" s="231">
        <f>SUBTOTAL(109,HBE_JED_LF_LEGACY[H])</f>
        <v>0</v>
      </c>
      <c r="U60" s="231">
        <f>SUBTOTAL(109,HBE_JED_LF_LEGACY[Q])</f>
        <v>0</v>
      </c>
      <c r="V60" s="231">
        <f>SUBTOTAL(109,HBE_JED_LF_LEGACY[K])</f>
        <v>0</v>
      </c>
      <c r="W60" s="231">
        <f>SUBTOTAL(109,HBE_JED_LF_LEGACY[V])</f>
        <v>0</v>
      </c>
      <c r="X60" s="231">
        <f>SUBTOTAL(109,HBE_JED_LF_LEGACY[L])</f>
        <v>0</v>
      </c>
      <c r="Y60" s="231">
        <f>SUBTOTAL(109,HBE_JED_LF_LEGACY[G])</f>
        <v>0</v>
      </c>
      <c r="Z60" s="231">
        <f>SUBTOTAL(109,HBE_JED_LF_LEGACY[S])</f>
        <v>0</v>
      </c>
      <c r="AA60" s="231">
        <f>SUBTOTAL(109,HBE_JED_LF_LEGACY[W])</f>
        <v>0</v>
      </c>
      <c r="AB60" s="231">
        <f>SUBTOTAL(109,HBE_JED_LF_LEGACY[T])</f>
        <v>0</v>
      </c>
      <c r="AC60" s="231">
        <f>SUBTOTAL(109,HBE_JED_LF_LEGACY[X])</f>
        <v>0</v>
      </c>
      <c r="AD60" s="231">
        <f>SUBTOTAL(109,HBE_JED_LF_LEGACY[U])</f>
        <v>0</v>
      </c>
      <c r="AE60" s="231">
        <f>SUBTOTAL(109,HBE_JED_LF_LEGACY[O])</f>
        <v>0</v>
      </c>
      <c r="AF60" s="231">
        <f>SUBTOTAL(109,HBE_JED_LF_LEGACY[I])</f>
        <v>0</v>
      </c>
      <c r="AG60" s="231">
        <f>SUBTOTAL(109,HBE_JED_LF_LEGACY[E])</f>
        <v>0</v>
      </c>
      <c r="AH60" s="231">
        <f>SUBTOTAL(109,HBE_JED_LF_LEGACY[A])</f>
        <v>0</v>
      </c>
      <c r="AI60" s="231">
        <f>SUBTOTAL(109,HBE_JED_LF_LEGACY[P])</f>
        <v>0</v>
      </c>
      <c r="AJ60" s="231">
        <f>SUBTOTAL(103,HBE_JED_LF_LEGACY[N])</f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HBE-MED</vt:lpstr>
      <vt:lpstr>HBE-MED LF LEGACY</vt:lpstr>
      <vt:lpstr>HBE-JED</vt:lpstr>
      <vt:lpstr>HBE-JED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2025-11-23T02:32:02Z</dcterms:created>
  <dcterms:modified xsi:type="dcterms:W3CDTF">2025-11-23T02:32:12Z</dcterms:modified>
</cp:coreProperties>
</file>