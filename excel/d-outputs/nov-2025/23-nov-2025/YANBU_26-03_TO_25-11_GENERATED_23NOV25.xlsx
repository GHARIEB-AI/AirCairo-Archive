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808F7B89-76C1-4E5D-B660-A8C3565B18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NB-CAI" sheetId="1" r:id="rId1"/>
    <sheet name="YNB-CAI LF LEGAC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7" i="2" l="1"/>
  <c r="E37" i="2"/>
  <c r="G37" i="2"/>
  <c r="H37" i="2"/>
  <c r="I37" i="2"/>
  <c r="J37" i="2"/>
  <c r="M37" i="2"/>
  <c r="N37" i="2"/>
  <c r="O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</calcChain>
</file>

<file path=xl/sharedStrings.xml><?xml version="1.0" encoding="utf-8"?>
<sst xmlns="http://schemas.openxmlformats.org/spreadsheetml/2006/main" count="1276" uniqueCount="102">
  <si>
    <t>COMPREHENSIVE REPORT</t>
  </si>
  <si>
    <t>YNB-CAI</t>
  </si>
  <si>
    <t>FROM</t>
  </si>
  <si>
    <t>2026-01-28</t>
  </si>
  <si>
    <t>TO</t>
  </si>
  <si>
    <t>2026-03-01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</si>
  <si>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</si>
  <si>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</si>
  <si>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</si>
  <si>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</si>
  <si>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</si>
  <si>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</si>
  <si>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</si>
  <si>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</si>
  <si>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</si>
  <si>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</si>
  <si>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</si>
  <si>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</si>
  <si>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</si>
  <si>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</si>
  <si>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</si>
  <si>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</si>
  <si>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</si>
  <si>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</si>
  <si>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</si>
  <si>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</si>
  <si>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</si>
  <si>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</si>
  <si>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</si>
  <si>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SM442</t>
  </si>
  <si>
    <t>30KG + 7KG CABIN</t>
  </si>
  <si>
    <t>NO BOOKINGS YET</t>
  </si>
  <si>
    <t>NIL</t>
  </si>
  <si>
    <t>W9</t>
  </si>
  <si>
    <t>LOW DEMAND</t>
  </si>
  <si>
    <t>2026-11-03 00:00:00</t>
  </si>
  <si>
    <t>G1</t>
  </si>
  <si>
    <t>2026-10-26 00:00:00</t>
  </si>
  <si>
    <t>W8</t>
  </si>
  <si>
    <t>W1</t>
  </si>
  <si>
    <t>2026-11-19 00:00:00</t>
  </si>
  <si>
    <t>W7</t>
  </si>
  <si>
    <t>W2</t>
  </si>
  <si>
    <t>2026-11-16 00:00:00</t>
  </si>
  <si>
    <t>2026-11-15 00:00:00</t>
  </si>
  <si>
    <t>2026-10-30 00:00:00</t>
  </si>
  <si>
    <t>S8</t>
  </si>
  <si>
    <t>2026-04-28 00:00:00</t>
  </si>
  <si>
    <t>S9</t>
  </si>
  <si>
    <t>2026-11-12 00:00:00</t>
  </si>
  <si>
    <t>SM942</t>
  </si>
  <si>
    <t>FULLY BOOKED</t>
  </si>
  <si>
    <t>CLOSED</t>
  </si>
  <si>
    <t>SM932</t>
  </si>
  <si>
    <t>2026-11-17 00:00:00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</si>
  <si>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</si>
  <si>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</si>
  <si>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</si>
  <si>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</si>
  <si>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</si>
  <si>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</si>
  <si>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</si>
  <si>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</si>
  <si>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</si>
  <si>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</si>
  <si>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</si>
  <si>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</si>
  <si>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</si>
  <si>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</si>
  <si>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</si>
  <si>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</si>
  <si>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</si>
  <si>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</si>
  <si>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</si>
  <si>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</si>
  <si>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</si>
  <si>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</si>
  <si>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</si>
  <si>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</si>
  <si>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</si>
  <si>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</si>
  <si>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</si>
  <si>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</si>
  <si>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</si>
  <si>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</si>
  <si>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23:40</t>
  </si>
  <si>
    <t>320</t>
  </si>
  <si>
    <t>UPCOMING</t>
  </si>
  <si>
    <t>THURSDAY</t>
  </si>
  <si>
    <t>14:20</t>
  </si>
  <si>
    <t>FRIDAY</t>
  </si>
  <si>
    <t>07:50</t>
  </si>
  <si>
    <t>SATURDAY</t>
  </si>
  <si>
    <t>06:50</t>
  </si>
  <si>
    <t>SUNDAY</t>
  </si>
  <si>
    <t>09:00</t>
  </si>
  <si>
    <t>MONDAY</t>
  </si>
  <si>
    <t>TUESDAY</t>
  </si>
  <si>
    <t>23:50</t>
  </si>
  <si>
    <t>05:55</t>
  </si>
  <si>
    <t>04:55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</si>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</sst>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365492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4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5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4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5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4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5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4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4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5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4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5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4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5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49" fontId="13" fillId="13" borderId="8" xfId="0" applyNumberFormat="1" applyFont="1" applyFill="1" applyBorder="1" applyAlignment="1">
      <alignment horizontal="center" vertical="center"/>
    </xf>
    <xf numFmtId="168" fontId="14" fillId="13" borderId="9" xfId="0" applyNumberFormat="1" applyFont="1" applyFill="1" applyBorder="1" applyAlignment="1">
      <alignment horizontal="center" vertical="center"/>
    </xf>
    <xf numFmtId="1" fontId="13" fillId="13" borderId="9" xfId="0" applyNumberFormat="1" applyFont="1" applyFill="1" applyBorder="1" applyAlignment="1">
      <alignment horizontal="center" vertical="center"/>
    </xf>
    <xf numFmtId="16" fontId="13" fillId="13" borderId="9" xfId="0" applyNumberFormat="1" applyFont="1" applyFill="1" applyBorder="1" applyAlignment="1">
      <alignment horizontal="center" vertical="center"/>
    </xf>
    <xf numFmtId="49" fontId="15" fillId="13" borderId="9" xfId="0" applyNumberFormat="1" applyFont="1" applyFill="1" applyBorder="1" applyAlignment="1">
      <alignment horizontal="center" vertical="center"/>
    </xf>
    <xf numFmtId="167" fontId="13" fillId="13" borderId="9" xfId="0" applyNumberFormat="1" applyFont="1" applyFill="1" applyBorder="1" applyAlignment="1">
      <alignment horizontal="center" vertical="center"/>
    </xf>
    <xf numFmtId="49" fontId="13" fillId="13" borderId="10" xfId="0" applyNumberFormat="1" applyFont="1" applyFill="1" applyBorder="1" applyAlignment="1">
      <alignment horizontal="center" vertical="center"/>
    </xf>
    <xf numFmtId="49" fontId="17" fillId="11" borderId="11" xfId="0" applyNumberFormat="1" applyFont="1" applyFill="1" applyBorder="1" applyAlignment="1">
      <alignment horizontal="center" vertical="center"/>
    </xf>
    <xf numFmtId="167" fontId="17" fillId="11" borderId="11" xfId="0" applyNumberFormat="1" applyFont="1" applyFill="1" applyBorder="1" applyAlignment="1">
      <alignment horizontal="center" vertical="center"/>
    </xf>
    <xf numFmtId="0" fontId="17" fillId="11" borderId="11" xfId="0" applyFont="1" applyFill="1" applyBorder="1" applyAlignment="1">
      <alignment horizontal="center" vertical="center"/>
    </xf>
    <xf numFmtId="49" fontId="13" fillId="15" borderId="8" xfId="0" applyNumberFormat="1" applyFont="1" applyFill="1" applyBorder="1" applyAlignment="1">
      <alignment horizontal="center" vertical="center"/>
    </xf>
    <xf numFmtId="168" fontId="14" fillId="15" borderId="9" xfId="0" applyNumberFormat="1" applyFont="1" applyFill="1" applyBorder="1" applyAlignment="1">
      <alignment horizontal="center" vertical="center"/>
    </xf>
    <xf numFmtId="1" fontId="13" fillId="15" borderId="9" xfId="0" applyNumberFormat="1" applyFont="1" applyFill="1" applyBorder="1" applyAlignment="1">
      <alignment horizontal="center" vertical="center"/>
    </xf>
    <xf numFmtId="16" fontId="13" fillId="15" borderId="9" xfId="0" applyNumberFormat="1" applyFont="1" applyFill="1" applyBorder="1" applyAlignment="1">
      <alignment horizontal="center" vertical="center"/>
    </xf>
    <xf numFmtId="49" fontId="15" fillId="15" borderId="9" xfId="0" applyNumberFormat="1" applyFont="1" applyFill="1" applyBorder="1" applyAlignment="1">
      <alignment horizontal="center" vertical="center"/>
    </xf>
    <xf numFmtId="167" fontId="13" fillId="15" borderId="9" xfId="0" applyNumberFormat="1" applyFont="1" applyFill="1" applyBorder="1" applyAlignment="1">
      <alignment horizontal="center" vertical="center"/>
    </xf>
    <xf numFmtId="49" fontId="13" fillId="15" borderId="10" xfId="0" applyNumberFormat="1" applyFont="1" applyFill="1" applyBorder="1" applyAlignment="1">
      <alignment horizontal="center" vertical="center"/>
    </xf>
    <xf numFmtId="49" fontId="17" fillId="16" borderId="11" xfId="0" applyNumberFormat="1" applyFont="1" applyFill="1" applyBorder="1" applyAlignment="1">
      <alignment horizontal="center" vertical="center"/>
    </xf>
    <xf numFmtId="167" fontId="17" fillId="16" borderId="11" xfId="0" applyNumberFormat="1" applyFont="1" applyFill="1" applyBorder="1" applyAlignment="1">
      <alignment horizontal="center" vertical="center"/>
    </xf>
    <xf numFmtId="0" fontId="17" fillId="16" borderId="11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4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5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4" xfId="0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2" fillId="0" borderId="4" xfId="0" applyFont="1" applyBorder="1"/>
    <xf numFmtId="0" fontId="3" fillId="3" borderId="0" xfId="0" applyFont="1" applyFill="1" applyAlignment="1">
      <alignment horizontal="right" vertical="center"/>
    </xf>
    <xf numFmtId="0" fontId="0" fillId="0" borderId="14" xfId="0" applyBorder="1"/>
    <xf numFmtId="166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169" fontId="18" fillId="0" borderId="0" xfId="0" applyNumberFormat="1" applyFont="1" applyAlignment="1">
      <alignment horizontal="center" vertical="center"/>
    </xf>
    <xf numFmtId="15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15" fontId="19" fillId="17" borderId="0" xfId="0" applyNumberFormat="1" applyFont="1" applyFill="1" applyAlignment="1">
      <alignment horizontal="center" vertical="center"/>
    </xf>
    <xf numFmtId="168" fontId="19" fillId="17" borderId="0" xfId="0" applyNumberFormat="1" applyFont="1" applyFill="1" applyAlignment="1">
      <alignment horizontal="center" vertical="center"/>
    </xf>
    <xf numFmtId="1" fontId="19" fillId="17" borderId="0" xfId="0" applyNumberFormat="1" applyFont="1" applyFill="1" applyAlignment="1">
      <alignment horizontal="center" vertical="center"/>
    </xf>
    <xf numFmtId="0" fontId="19" fillId="17" borderId="0" xfId="0" applyNumberFormat="1" applyFont="1" applyFill="1" applyAlignment="1">
      <alignment horizontal="center" vertical="center"/>
    </xf>
    <xf numFmtId="0" fontId="16" fillId="9" borderId="15" xfId="0" applyFont="1" applyFill="1" applyBorder="1" applyAlignment="1">
      <alignment horizontal="center" vertical="center"/>
    </xf>
    <xf numFmtId="0" fontId="16" fillId="9" borderId="16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YNB_CAI_LF_LEGACY" displayName="YNB_CAI_LF_LEGACY" ref="A1:AJ37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36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0.77734375" bestFit="1" customWidth="1"/>
  </cols>
  <sheetData>
    <row r="1" spans="1:92" ht="28.8" customHeight="1" x14ac:dyDescent="0.3">
      <c r="A1" s="123" t="s">
        <v>0</v>
      </c>
      <c r="B1" s="122"/>
      <c r="C1" s="122"/>
      <c r="D1" s="122"/>
      <c r="E1" s="122"/>
      <c r="F1" s="1" t="s">
        <v>1</v>
      </c>
      <c r="G1" s="2" t="s">
        <v>2</v>
      </c>
      <c r="H1" s="121" t="s">
        <v>3</v>
      </c>
      <c r="I1" s="122"/>
      <c r="J1" s="122"/>
      <c r="K1" s="122"/>
      <c r="L1" s="122"/>
      <c r="M1" s="1" t="s">
        <v>4</v>
      </c>
      <c r="N1" s="128" t="s">
        <v>5</v>
      </c>
      <c r="O1" s="122"/>
      <c r="P1" s="122"/>
      <c r="Q1" s="122"/>
      <c r="R1" s="12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25" t="s">
        <v>6</v>
      </c>
      <c r="B2" s="122"/>
      <c r="C2" s="122"/>
      <c r="D2" s="122"/>
      <c r="E2" s="122"/>
      <c r="F2" s="122"/>
      <c r="G2" s="127">
        <v>45984.112387597917</v>
      </c>
      <c r="H2" s="122"/>
      <c r="I2" s="122"/>
      <c r="J2" s="122"/>
      <c r="K2" s="129">
        <v>45984.112387598427</v>
      </c>
      <c r="L2" s="122"/>
      <c r="M2" s="122"/>
      <c r="N2" s="122"/>
      <c r="O2" s="122"/>
      <c r="P2" s="122"/>
      <c r="Q2" s="122"/>
      <c r="R2" s="12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31" t="s">
        <v>7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32" t="s">
        <v>8</v>
      </c>
      <c r="B4" s="117"/>
      <c r="C4" s="117"/>
      <c r="D4" s="117"/>
      <c r="E4" s="117"/>
      <c r="F4" s="118"/>
      <c r="G4" s="4">
        <v>46050</v>
      </c>
      <c r="H4" s="130" t="s">
        <v>9</v>
      </c>
      <c r="I4" s="117"/>
      <c r="J4" s="117"/>
      <c r="K4" s="117"/>
      <c r="L4" s="117"/>
      <c r="M4" s="117"/>
      <c r="N4" s="117"/>
      <c r="O4" s="117"/>
      <c r="P4" s="117"/>
      <c r="Q4" s="117"/>
      <c r="R4" s="11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0.98611111111111116</v>
      </c>
      <c r="D6" s="8" t="s">
        <v>30</v>
      </c>
      <c r="E6" s="10"/>
      <c r="F6" s="8" t="s">
        <v>31</v>
      </c>
      <c r="G6" s="124"/>
      <c r="H6" s="11" t="s">
        <v>29</v>
      </c>
      <c r="I6" s="12">
        <v>0</v>
      </c>
      <c r="J6" s="13">
        <v>0</v>
      </c>
      <c r="K6" s="14" t="s">
        <v>32</v>
      </c>
      <c r="L6" s="13">
        <v>0</v>
      </c>
      <c r="M6" s="13">
        <v>0</v>
      </c>
      <c r="N6" s="13">
        <v>0</v>
      </c>
      <c r="O6" s="15" t="s">
        <v>33</v>
      </c>
      <c r="P6" s="16">
        <v>0.98611111111111116</v>
      </c>
      <c r="Q6" s="13">
        <v>168</v>
      </c>
      <c r="R6" s="17" t="s">
        <v>32</v>
      </c>
    </row>
    <row r="7" spans="1:92" ht="17.399999999999999" customHeight="1" thickBot="1" x14ac:dyDescent="0.35">
      <c r="A7" s="147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9"/>
    </row>
    <row r="8" spans="1:92" ht="22.05" customHeight="1" thickTop="1" thickBot="1" x14ac:dyDescent="0.35">
      <c r="A8" s="119" t="s">
        <v>8</v>
      </c>
      <c r="B8" s="117"/>
      <c r="C8" s="117"/>
      <c r="D8" s="117"/>
      <c r="E8" s="117"/>
      <c r="F8" s="118"/>
      <c r="G8" s="18">
        <v>46051</v>
      </c>
      <c r="H8" s="116" t="s">
        <v>9</v>
      </c>
      <c r="I8" s="117"/>
      <c r="J8" s="117"/>
      <c r="K8" s="117"/>
      <c r="L8" s="117"/>
      <c r="M8" s="117"/>
      <c r="N8" s="117"/>
      <c r="O8" s="117"/>
      <c r="P8" s="117"/>
      <c r="Q8" s="117"/>
      <c r="R8" s="118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29</v>
      </c>
      <c r="C10" s="27">
        <v>0.59722222222222221</v>
      </c>
      <c r="D10" s="26" t="s">
        <v>30</v>
      </c>
      <c r="E10" s="28"/>
      <c r="F10" s="26" t="s">
        <v>31</v>
      </c>
      <c r="G10" s="120"/>
      <c r="H10" s="29" t="s">
        <v>29</v>
      </c>
      <c r="I10" s="30">
        <v>0</v>
      </c>
      <c r="J10" s="31">
        <v>0</v>
      </c>
      <c r="K10" s="32" t="s">
        <v>32</v>
      </c>
      <c r="L10" s="31">
        <v>0</v>
      </c>
      <c r="M10" s="31">
        <v>0</v>
      </c>
      <c r="N10" s="31">
        <v>0</v>
      </c>
      <c r="O10" s="33" t="s">
        <v>33</v>
      </c>
      <c r="P10" s="34">
        <v>0.59722222222222221</v>
      </c>
      <c r="Q10" s="31">
        <v>168</v>
      </c>
      <c r="R10" s="35" t="s">
        <v>32</v>
      </c>
    </row>
    <row r="11" spans="1:92" ht="17.399999999999999" customHeight="1" thickBot="1" x14ac:dyDescent="0.35">
      <c r="A11" s="147"/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9"/>
    </row>
    <row r="12" spans="1:92" ht="22.05" customHeight="1" thickTop="1" thickBot="1" x14ac:dyDescent="0.35">
      <c r="A12" s="119" t="s">
        <v>8</v>
      </c>
      <c r="B12" s="117"/>
      <c r="C12" s="117"/>
      <c r="D12" s="117"/>
      <c r="E12" s="117"/>
      <c r="F12" s="118"/>
      <c r="G12" s="18">
        <v>46052</v>
      </c>
      <c r="H12" s="116" t="s">
        <v>9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8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36" t="s">
        <v>28</v>
      </c>
      <c r="B14" s="36" t="s">
        <v>29</v>
      </c>
      <c r="C14" s="37">
        <v>0.3263888888888889</v>
      </c>
      <c r="D14" s="36" t="s">
        <v>30</v>
      </c>
      <c r="E14" s="38"/>
      <c r="F14" s="36" t="s">
        <v>31</v>
      </c>
      <c r="G14" s="120"/>
      <c r="H14" s="39" t="s">
        <v>29</v>
      </c>
      <c r="I14" s="40">
        <v>0</v>
      </c>
      <c r="J14" s="41">
        <v>0</v>
      </c>
      <c r="K14" s="42" t="s">
        <v>32</v>
      </c>
      <c r="L14" s="41">
        <v>0</v>
      </c>
      <c r="M14" s="41">
        <v>0</v>
      </c>
      <c r="N14" s="41">
        <v>0</v>
      </c>
      <c r="O14" s="43" t="s">
        <v>33</v>
      </c>
      <c r="P14" s="44">
        <v>0.3263888888888889</v>
      </c>
      <c r="Q14" s="41">
        <v>168</v>
      </c>
      <c r="R14" s="45" t="s">
        <v>32</v>
      </c>
    </row>
    <row r="15" spans="1:92" ht="17.399999999999999" customHeight="1" thickBot="1" x14ac:dyDescent="0.35">
      <c r="A15" s="147"/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9"/>
    </row>
    <row r="16" spans="1:92" ht="22.05" customHeight="1" thickTop="1" thickBot="1" x14ac:dyDescent="0.35">
      <c r="A16" s="119" t="s">
        <v>8</v>
      </c>
      <c r="B16" s="117"/>
      <c r="C16" s="117"/>
      <c r="D16" s="117"/>
      <c r="E16" s="117"/>
      <c r="F16" s="118"/>
      <c r="G16" s="18">
        <v>46053</v>
      </c>
      <c r="H16" s="116" t="s">
        <v>9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8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46" t="s">
        <v>28</v>
      </c>
      <c r="B18" s="46" t="s">
        <v>29</v>
      </c>
      <c r="C18" s="47">
        <v>0.28472222222222221</v>
      </c>
      <c r="D18" s="46" t="s">
        <v>30</v>
      </c>
      <c r="E18" s="48"/>
      <c r="F18" s="46" t="s">
        <v>31</v>
      </c>
      <c r="G18" s="120"/>
      <c r="H18" s="49" t="s">
        <v>29</v>
      </c>
      <c r="I18" s="50">
        <v>0</v>
      </c>
      <c r="J18" s="51">
        <v>0</v>
      </c>
      <c r="K18" s="52" t="s">
        <v>32</v>
      </c>
      <c r="L18" s="51">
        <v>0</v>
      </c>
      <c r="M18" s="51">
        <v>0</v>
      </c>
      <c r="N18" s="51">
        <v>0</v>
      </c>
      <c r="O18" s="53" t="s">
        <v>33</v>
      </c>
      <c r="P18" s="54">
        <v>0.28472222222222221</v>
      </c>
      <c r="Q18" s="51">
        <v>168</v>
      </c>
      <c r="R18" s="55" t="s">
        <v>32</v>
      </c>
    </row>
    <row r="19" spans="1:18" ht="17.399999999999999" customHeight="1" thickBot="1" x14ac:dyDescent="0.35">
      <c r="A19" s="147"/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9"/>
    </row>
    <row r="20" spans="1:18" ht="22.05" customHeight="1" thickTop="1" thickBot="1" x14ac:dyDescent="0.35">
      <c r="A20" s="119" t="s">
        <v>8</v>
      </c>
      <c r="B20" s="117"/>
      <c r="C20" s="117"/>
      <c r="D20" s="117"/>
      <c r="E20" s="117"/>
      <c r="F20" s="118"/>
      <c r="G20" s="18">
        <v>46054</v>
      </c>
      <c r="H20" s="116" t="s">
        <v>9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8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56" t="s">
        <v>28</v>
      </c>
      <c r="B22" s="56" t="s">
        <v>29</v>
      </c>
      <c r="C22" s="57">
        <v>0.375</v>
      </c>
      <c r="D22" s="56" t="s">
        <v>30</v>
      </c>
      <c r="E22" s="58"/>
      <c r="F22" s="56" t="s">
        <v>31</v>
      </c>
      <c r="G22" s="120"/>
      <c r="H22" s="59" t="s">
        <v>29</v>
      </c>
      <c r="I22" s="60">
        <v>0</v>
      </c>
      <c r="J22" s="61">
        <v>0</v>
      </c>
      <c r="K22" s="62" t="s">
        <v>32</v>
      </c>
      <c r="L22" s="61">
        <v>0</v>
      </c>
      <c r="M22" s="61">
        <v>0</v>
      </c>
      <c r="N22" s="61">
        <v>0</v>
      </c>
      <c r="O22" s="63" t="s">
        <v>33</v>
      </c>
      <c r="P22" s="64">
        <v>0.375</v>
      </c>
      <c r="Q22" s="61">
        <v>168</v>
      </c>
      <c r="R22" s="65" t="s">
        <v>32</v>
      </c>
    </row>
    <row r="23" spans="1:18" ht="17.399999999999999" customHeight="1" thickBot="1" x14ac:dyDescent="0.35">
      <c r="A23" s="147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9"/>
    </row>
    <row r="24" spans="1:18" ht="22.05" customHeight="1" thickTop="1" thickBot="1" x14ac:dyDescent="0.35">
      <c r="A24" s="119" t="s">
        <v>8</v>
      </c>
      <c r="B24" s="117"/>
      <c r="C24" s="117"/>
      <c r="D24" s="117"/>
      <c r="E24" s="117"/>
      <c r="F24" s="118"/>
      <c r="G24" s="18">
        <v>46055</v>
      </c>
      <c r="H24" s="116" t="s">
        <v>9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8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35">
      <c r="A26" s="56" t="s">
        <v>28</v>
      </c>
      <c r="B26" s="56" t="s">
        <v>29</v>
      </c>
      <c r="C26" s="57">
        <v>0.3263888888888889</v>
      </c>
      <c r="D26" s="56" t="s">
        <v>30</v>
      </c>
      <c r="E26" s="58"/>
      <c r="F26" s="56" t="s">
        <v>34</v>
      </c>
      <c r="G26" s="120"/>
      <c r="H26" s="59" t="s">
        <v>29</v>
      </c>
      <c r="I26" s="60">
        <v>6.0000000000000001E-3</v>
      </c>
      <c r="J26" s="61">
        <v>1</v>
      </c>
      <c r="K26" s="62" t="s">
        <v>35</v>
      </c>
      <c r="L26" s="61">
        <v>2</v>
      </c>
      <c r="M26" s="61">
        <v>0</v>
      </c>
      <c r="N26" s="61">
        <v>0</v>
      </c>
      <c r="O26" s="63" t="s">
        <v>33</v>
      </c>
      <c r="P26" s="64">
        <v>0.3263888888888889</v>
      </c>
      <c r="Q26" s="61">
        <v>168</v>
      </c>
      <c r="R26" s="65" t="s">
        <v>36</v>
      </c>
    </row>
    <row r="27" spans="1:18" ht="17.399999999999999" customHeight="1" thickBot="1" x14ac:dyDescent="0.35">
      <c r="A27" s="147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9"/>
    </row>
    <row r="28" spans="1:18" ht="22.05" customHeight="1" thickTop="1" thickBot="1" x14ac:dyDescent="0.35">
      <c r="A28" s="119" t="s">
        <v>8</v>
      </c>
      <c r="B28" s="117"/>
      <c r="C28" s="117"/>
      <c r="D28" s="117"/>
      <c r="E28" s="117"/>
      <c r="F28" s="118"/>
      <c r="G28" s="18">
        <v>46056</v>
      </c>
      <c r="H28" s="116" t="s">
        <v>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8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56" t="s">
        <v>28</v>
      </c>
      <c r="B30" s="56" t="s">
        <v>29</v>
      </c>
      <c r="C30" s="57">
        <v>0.99305555555555547</v>
      </c>
      <c r="D30" s="56" t="s">
        <v>30</v>
      </c>
      <c r="E30" s="58"/>
      <c r="F30" s="56" t="s">
        <v>31</v>
      </c>
      <c r="G30" s="120"/>
      <c r="H30" s="59" t="s">
        <v>29</v>
      </c>
      <c r="I30" s="60">
        <v>0</v>
      </c>
      <c r="J30" s="61">
        <v>0</v>
      </c>
      <c r="K30" s="62" t="s">
        <v>32</v>
      </c>
      <c r="L30" s="61">
        <v>0</v>
      </c>
      <c r="M30" s="61">
        <v>0</v>
      </c>
      <c r="N30" s="61">
        <v>0</v>
      </c>
      <c r="O30" s="63" t="s">
        <v>33</v>
      </c>
      <c r="P30" s="64">
        <v>0.99305555555555547</v>
      </c>
      <c r="Q30" s="61">
        <v>168</v>
      </c>
      <c r="R30" s="65" t="s">
        <v>32</v>
      </c>
    </row>
    <row r="31" spans="1:18" ht="17.399999999999999" customHeight="1" thickBot="1" x14ac:dyDescent="0.35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9"/>
    </row>
    <row r="32" spans="1:18" ht="22.05" customHeight="1" thickTop="1" thickBot="1" x14ac:dyDescent="0.35">
      <c r="A32" s="119" t="s">
        <v>8</v>
      </c>
      <c r="B32" s="117"/>
      <c r="C32" s="117"/>
      <c r="D32" s="117"/>
      <c r="E32" s="117"/>
      <c r="F32" s="118"/>
      <c r="G32" s="18">
        <v>46057</v>
      </c>
      <c r="H32" s="116" t="s">
        <v>9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8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46" t="s">
        <v>28</v>
      </c>
      <c r="B34" s="46" t="s">
        <v>29</v>
      </c>
      <c r="C34" s="47">
        <v>0.98611111111111116</v>
      </c>
      <c r="D34" s="46" t="s">
        <v>30</v>
      </c>
      <c r="E34" s="48"/>
      <c r="F34" s="46" t="s">
        <v>31</v>
      </c>
      <c r="G34" s="120"/>
      <c r="H34" s="49" t="s">
        <v>29</v>
      </c>
      <c r="I34" s="50">
        <v>0</v>
      </c>
      <c r="J34" s="51">
        <v>0</v>
      </c>
      <c r="K34" s="52" t="s">
        <v>32</v>
      </c>
      <c r="L34" s="51">
        <v>0</v>
      </c>
      <c r="M34" s="51">
        <v>0</v>
      </c>
      <c r="N34" s="51">
        <v>0</v>
      </c>
      <c r="O34" s="53" t="s">
        <v>33</v>
      </c>
      <c r="P34" s="54">
        <v>0.98611111111111116</v>
      </c>
      <c r="Q34" s="51">
        <v>168</v>
      </c>
      <c r="R34" s="55" t="s">
        <v>32</v>
      </c>
    </row>
    <row r="35" spans="1:18" ht="17.399999999999999" customHeight="1" thickBot="1" x14ac:dyDescent="0.35">
      <c r="A35" s="147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9"/>
    </row>
    <row r="36" spans="1:18" ht="22.05" customHeight="1" thickTop="1" thickBot="1" x14ac:dyDescent="0.35">
      <c r="A36" s="119" t="s">
        <v>8</v>
      </c>
      <c r="B36" s="117"/>
      <c r="C36" s="117"/>
      <c r="D36" s="117"/>
      <c r="E36" s="117"/>
      <c r="F36" s="118"/>
      <c r="G36" s="18">
        <v>46058</v>
      </c>
      <c r="H36" s="116" t="s">
        <v>9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8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56" t="s">
        <v>28</v>
      </c>
      <c r="B38" s="56" t="s">
        <v>29</v>
      </c>
      <c r="C38" s="57">
        <v>0.59722222222222221</v>
      </c>
      <c r="D38" s="56" t="s">
        <v>30</v>
      </c>
      <c r="E38" s="58"/>
      <c r="F38" s="56" t="s">
        <v>34</v>
      </c>
      <c r="G38" s="120"/>
      <c r="H38" s="59" t="s">
        <v>29</v>
      </c>
      <c r="I38" s="60">
        <v>6.0000000000000001E-3</v>
      </c>
      <c r="J38" s="61">
        <v>1</v>
      </c>
      <c r="K38" s="62" t="s">
        <v>37</v>
      </c>
      <c r="L38" s="61">
        <v>1</v>
      </c>
      <c r="M38" s="61">
        <v>0</v>
      </c>
      <c r="N38" s="61">
        <v>0</v>
      </c>
      <c r="O38" s="63" t="s">
        <v>38</v>
      </c>
      <c r="P38" s="64">
        <v>0.59722222222222221</v>
      </c>
      <c r="Q38" s="61">
        <v>168</v>
      </c>
      <c r="R38" s="65" t="s">
        <v>39</v>
      </c>
    </row>
    <row r="39" spans="1:18" ht="17.399999999999999" customHeight="1" thickBot="1" x14ac:dyDescent="0.35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9"/>
    </row>
    <row r="40" spans="1:18" ht="22.05" customHeight="1" thickTop="1" thickBot="1" x14ac:dyDescent="0.35">
      <c r="A40" s="119" t="s">
        <v>8</v>
      </c>
      <c r="B40" s="117"/>
      <c r="C40" s="117"/>
      <c r="D40" s="117"/>
      <c r="E40" s="117"/>
      <c r="F40" s="118"/>
      <c r="G40" s="18">
        <v>46059</v>
      </c>
      <c r="H40" s="116" t="s">
        <v>9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8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8" t="s">
        <v>28</v>
      </c>
      <c r="B42" s="8" t="s">
        <v>29</v>
      </c>
      <c r="C42" s="9">
        <v>0.3263888888888889</v>
      </c>
      <c r="D42" s="8" t="s">
        <v>30</v>
      </c>
      <c r="E42" s="10"/>
      <c r="F42" s="8" t="s">
        <v>31</v>
      </c>
      <c r="G42" s="120"/>
      <c r="H42" s="11" t="s">
        <v>29</v>
      </c>
      <c r="I42" s="12">
        <v>0</v>
      </c>
      <c r="J42" s="13">
        <v>0</v>
      </c>
      <c r="K42" s="14" t="s">
        <v>32</v>
      </c>
      <c r="L42" s="13">
        <v>0</v>
      </c>
      <c r="M42" s="13">
        <v>0</v>
      </c>
      <c r="N42" s="13">
        <v>0</v>
      </c>
      <c r="O42" s="15" t="s">
        <v>33</v>
      </c>
      <c r="P42" s="16">
        <v>0.3263888888888889</v>
      </c>
      <c r="Q42" s="13">
        <v>168</v>
      </c>
      <c r="R42" s="17" t="s">
        <v>32</v>
      </c>
    </row>
    <row r="43" spans="1:18" ht="17.399999999999999" customHeight="1" thickBot="1" x14ac:dyDescent="0.35">
      <c r="A43" s="147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9"/>
    </row>
    <row r="44" spans="1:18" ht="22.05" customHeight="1" thickTop="1" thickBot="1" x14ac:dyDescent="0.35">
      <c r="A44" s="119" t="s">
        <v>8</v>
      </c>
      <c r="B44" s="117"/>
      <c r="C44" s="117"/>
      <c r="D44" s="117"/>
      <c r="E44" s="117"/>
      <c r="F44" s="118"/>
      <c r="G44" s="18">
        <v>46060</v>
      </c>
      <c r="H44" s="116" t="s">
        <v>9</v>
      </c>
      <c r="I44" s="117"/>
      <c r="J44" s="117"/>
      <c r="K44" s="117"/>
      <c r="L44" s="117"/>
      <c r="M44" s="117"/>
      <c r="N44" s="117"/>
      <c r="O44" s="117"/>
      <c r="P44" s="117"/>
      <c r="Q44" s="117"/>
      <c r="R44" s="118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8" t="s">
        <v>28</v>
      </c>
      <c r="B46" s="8" t="s">
        <v>29</v>
      </c>
      <c r="C46" s="9">
        <v>0.28472222222222221</v>
      </c>
      <c r="D46" s="8" t="s">
        <v>30</v>
      </c>
      <c r="E46" s="10"/>
      <c r="F46" s="8" t="s">
        <v>34</v>
      </c>
      <c r="G46" s="120"/>
      <c r="H46" s="11" t="s">
        <v>29</v>
      </c>
      <c r="I46" s="12">
        <v>1.1900000000000001E-2</v>
      </c>
      <c r="J46" s="13">
        <v>2</v>
      </c>
      <c r="K46" s="14" t="s">
        <v>40</v>
      </c>
      <c r="L46" s="13">
        <v>3</v>
      </c>
      <c r="M46" s="13">
        <v>0</v>
      </c>
      <c r="N46" s="13">
        <v>0</v>
      </c>
      <c r="O46" s="15" t="s">
        <v>41</v>
      </c>
      <c r="P46" s="16">
        <v>0.28472222222222221</v>
      </c>
      <c r="Q46" s="13">
        <v>168</v>
      </c>
      <c r="R46" s="17" t="s">
        <v>42</v>
      </c>
    </row>
    <row r="47" spans="1:18" ht="17.399999999999999" customHeight="1" thickBot="1" x14ac:dyDescent="0.35">
      <c r="A47" s="147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9"/>
    </row>
    <row r="48" spans="1:18" ht="22.05" customHeight="1" thickTop="1" thickBot="1" x14ac:dyDescent="0.35">
      <c r="A48" s="119" t="s">
        <v>8</v>
      </c>
      <c r="B48" s="117"/>
      <c r="C48" s="117"/>
      <c r="D48" s="117"/>
      <c r="E48" s="117"/>
      <c r="F48" s="118"/>
      <c r="G48" s="18">
        <v>46061</v>
      </c>
      <c r="H48" s="116" t="s">
        <v>9</v>
      </c>
      <c r="I48" s="117"/>
      <c r="J48" s="117"/>
      <c r="K48" s="117"/>
      <c r="L48" s="117"/>
      <c r="M48" s="117"/>
      <c r="N48" s="117"/>
      <c r="O48" s="117"/>
      <c r="P48" s="117"/>
      <c r="Q48" s="117"/>
      <c r="R48" s="118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66" t="s">
        <v>28</v>
      </c>
      <c r="B50" s="66" t="s">
        <v>29</v>
      </c>
      <c r="C50" s="67">
        <v>0.375</v>
      </c>
      <c r="D50" s="66" t="s">
        <v>30</v>
      </c>
      <c r="E50" s="68"/>
      <c r="F50" s="66" t="s">
        <v>34</v>
      </c>
      <c r="G50" s="120"/>
      <c r="H50" s="69" t="s">
        <v>29</v>
      </c>
      <c r="I50" s="70">
        <v>6.0000000000000001E-3</v>
      </c>
      <c r="J50" s="71">
        <v>1</v>
      </c>
      <c r="K50" s="72" t="s">
        <v>43</v>
      </c>
      <c r="L50" s="71">
        <v>2</v>
      </c>
      <c r="M50" s="71">
        <v>0</v>
      </c>
      <c r="N50" s="71">
        <v>0</v>
      </c>
      <c r="O50" s="73" t="s">
        <v>38</v>
      </c>
      <c r="P50" s="74">
        <v>0.375</v>
      </c>
      <c r="Q50" s="71">
        <v>168</v>
      </c>
      <c r="R50" s="75" t="s">
        <v>39</v>
      </c>
    </row>
    <row r="51" spans="1:18" ht="17.399999999999999" customHeight="1" thickBot="1" x14ac:dyDescent="0.35">
      <c r="A51" s="147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9"/>
    </row>
    <row r="52" spans="1:18" ht="22.05" customHeight="1" thickTop="1" thickBot="1" x14ac:dyDescent="0.35">
      <c r="A52" s="119" t="s">
        <v>8</v>
      </c>
      <c r="B52" s="117"/>
      <c r="C52" s="117"/>
      <c r="D52" s="117"/>
      <c r="E52" s="117"/>
      <c r="F52" s="118"/>
      <c r="G52" s="18">
        <v>46062</v>
      </c>
      <c r="H52" s="116" t="s">
        <v>9</v>
      </c>
      <c r="I52" s="117"/>
      <c r="J52" s="117"/>
      <c r="K52" s="117"/>
      <c r="L52" s="117"/>
      <c r="M52" s="117"/>
      <c r="N52" s="117"/>
      <c r="O52" s="117"/>
      <c r="P52" s="117"/>
      <c r="Q52" s="117"/>
      <c r="R52" s="118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35">
      <c r="A54" s="26" t="s">
        <v>28</v>
      </c>
      <c r="B54" s="26" t="s">
        <v>29</v>
      </c>
      <c r="C54" s="27">
        <v>0.3263888888888889</v>
      </c>
      <c r="D54" s="26" t="s">
        <v>30</v>
      </c>
      <c r="E54" s="28"/>
      <c r="F54" s="26" t="s">
        <v>34</v>
      </c>
      <c r="G54" s="120"/>
      <c r="H54" s="29" t="s">
        <v>29</v>
      </c>
      <c r="I54" s="30">
        <v>6.0000000000000001E-3</v>
      </c>
      <c r="J54" s="31">
        <v>1</v>
      </c>
      <c r="K54" s="32" t="s">
        <v>43</v>
      </c>
      <c r="L54" s="31">
        <v>2</v>
      </c>
      <c r="M54" s="31">
        <v>0</v>
      </c>
      <c r="N54" s="31">
        <v>0</v>
      </c>
      <c r="O54" s="33" t="s">
        <v>38</v>
      </c>
      <c r="P54" s="34">
        <v>0.3263888888888889</v>
      </c>
      <c r="Q54" s="31">
        <v>168</v>
      </c>
      <c r="R54" s="35" t="s">
        <v>39</v>
      </c>
    </row>
    <row r="55" spans="1:18" ht="17.399999999999999" customHeight="1" thickBot="1" x14ac:dyDescent="0.35">
      <c r="A55" s="147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9"/>
    </row>
    <row r="56" spans="1:18" ht="22.05" customHeight="1" thickTop="1" thickBot="1" x14ac:dyDescent="0.35">
      <c r="A56" s="119" t="s">
        <v>8</v>
      </c>
      <c r="B56" s="117"/>
      <c r="C56" s="117"/>
      <c r="D56" s="117"/>
      <c r="E56" s="117"/>
      <c r="F56" s="118"/>
      <c r="G56" s="18">
        <v>46063</v>
      </c>
      <c r="H56" s="116" t="s">
        <v>9</v>
      </c>
      <c r="I56" s="117"/>
      <c r="J56" s="117"/>
      <c r="K56" s="117"/>
      <c r="L56" s="117"/>
      <c r="M56" s="117"/>
      <c r="N56" s="117"/>
      <c r="O56" s="117"/>
      <c r="P56" s="117"/>
      <c r="Q56" s="117"/>
      <c r="R56" s="118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35">
      <c r="A58" s="46" t="s">
        <v>28</v>
      </c>
      <c r="B58" s="46" t="s">
        <v>29</v>
      </c>
      <c r="C58" s="47">
        <v>0.99305555555555547</v>
      </c>
      <c r="D58" s="46" t="s">
        <v>30</v>
      </c>
      <c r="E58" s="48"/>
      <c r="F58" s="46" t="s">
        <v>34</v>
      </c>
      <c r="G58" s="120"/>
      <c r="H58" s="49" t="s">
        <v>29</v>
      </c>
      <c r="I58" s="50">
        <v>6.0000000000000001E-3</v>
      </c>
      <c r="J58" s="51">
        <v>1</v>
      </c>
      <c r="K58" s="52" t="s">
        <v>44</v>
      </c>
      <c r="L58" s="51">
        <v>2</v>
      </c>
      <c r="M58" s="51">
        <v>0</v>
      </c>
      <c r="N58" s="51">
        <v>0</v>
      </c>
      <c r="O58" s="53" t="s">
        <v>38</v>
      </c>
      <c r="P58" s="54">
        <v>0.99305555555555547</v>
      </c>
      <c r="Q58" s="51">
        <v>168</v>
      </c>
      <c r="R58" s="55" t="s">
        <v>39</v>
      </c>
    </row>
    <row r="59" spans="1:18" ht="17.399999999999999" customHeight="1" thickBot="1" x14ac:dyDescent="0.35">
      <c r="A59" s="147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9"/>
    </row>
    <row r="60" spans="1:18" ht="22.05" customHeight="1" thickTop="1" thickBot="1" x14ac:dyDescent="0.35">
      <c r="A60" s="119" t="s">
        <v>8</v>
      </c>
      <c r="B60" s="117"/>
      <c r="C60" s="117"/>
      <c r="D60" s="117"/>
      <c r="E60" s="117"/>
      <c r="F60" s="118"/>
      <c r="G60" s="18">
        <v>46064</v>
      </c>
      <c r="H60" s="116" t="s">
        <v>9</v>
      </c>
      <c r="I60" s="117"/>
      <c r="J60" s="117"/>
      <c r="K60" s="117"/>
      <c r="L60" s="117"/>
      <c r="M60" s="117"/>
      <c r="N60" s="117"/>
      <c r="O60" s="117"/>
      <c r="P60" s="117"/>
      <c r="Q60" s="117"/>
      <c r="R60" s="118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46" t="s">
        <v>28</v>
      </c>
      <c r="B62" s="46" t="s">
        <v>29</v>
      </c>
      <c r="C62" s="47">
        <v>0.98611111111111116</v>
      </c>
      <c r="D62" s="46" t="s">
        <v>30</v>
      </c>
      <c r="E62" s="48"/>
      <c r="F62" s="46" t="s">
        <v>34</v>
      </c>
      <c r="G62" s="120"/>
      <c r="H62" s="49" t="s">
        <v>29</v>
      </c>
      <c r="I62" s="50">
        <v>6.0000000000000001E-3</v>
      </c>
      <c r="J62" s="51">
        <v>1</v>
      </c>
      <c r="K62" s="52" t="s">
        <v>45</v>
      </c>
      <c r="L62" s="51">
        <v>2</v>
      </c>
      <c r="M62" s="51">
        <v>0</v>
      </c>
      <c r="N62" s="51">
        <v>0</v>
      </c>
      <c r="O62" s="53" t="s">
        <v>38</v>
      </c>
      <c r="P62" s="54">
        <v>0.98611111111111116</v>
      </c>
      <c r="Q62" s="51">
        <v>168</v>
      </c>
      <c r="R62" s="55" t="s">
        <v>39</v>
      </c>
    </row>
    <row r="63" spans="1:18" ht="17.399999999999999" customHeight="1" thickBot="1" x14ac:dyDescent="0.35">
      <c r="A63" s="147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9"/>
    </row>
    <row r="64" spans="1:18" ht="22.05" customHeight="1" thickTop="1" thickBot="1" x14ac:dyDescent="0.35">
      <c r="A64" s="119" t="s">
        <v>8</v>
      </c>
      <c r="B64" s="117"/>
      <c r="C64" s="117"/>
      <c r="D64" s="117"/>
      <c r="E64" s="117"/>
      <c r="F64" s="118"/>
      <c r="G64" s="18">
        <v>46065</v>
      </c>
      <c r="H64" s="116" t="s">
        <v>9</v>
      </c>
      <c r="I64" s="117"/>
      <c r="J64" s="117"/>
      <c r="K64" s="117"/>
      <c r="L64" s="117"/>
      <c r="M64" s="117"/>
      <c r="N64" s="117"/>
      <c r="O64" s="117"/>
      <c r="P64" s="117"/>
      <c r="Q64" s="117"/>
      <c r="R64" s="118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56" t="s">
        <v>28</v>
      </c>
      <c r="B66" s="56" t="s">
        <v>29</v>
      </c>
      <c r="C66" s="57">
        <v>0.59722222222222221</v>
      </c>
      <c r="D66" s="56" t="s">
        <v>30</v>
      </c>
      <c r="E66" s="58"/>
      <c r="F66" s="56" t="s">
        <v>31</v>
      </c>
      <c r="G66" s="120"/>
      <c r="H66" s="59" t="s">
        <v>29</v>
      </c>
      <c r="I66" s="60">
        <v>0</v>
      </c>
      <c r="J66" s="61">
        <v>0</v>
      </c>
      <c r="K66" s="62" t="s">
        <v>32</v>
      </c>
      <c r="L66" s="61">
        <v>0</v>
      </c>
      <c r="M66" s="61">
        <v>0</v>
      </c>
      <c r="N66" s="61">
        <v>0</v>
      </c>
      <c r="O66" s="63" t="s">
        <v>46</v>
      </c>
      <c r="P66" s="64">
        <v>0.59722222222222221</v>
      </c>
      <c r="Q66" s="61">
        <v>168</v>
      </c>
      <c r="R66" s="65" t="s">
        <v>32</v>
      </c>
    </row>
    <row r="67" spans="1:18" ht="17.399999999999999" customHeight="1" thickBot="1" x14ac:dyDescent="0.35">
      <c r="A67" s="147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9"/>
    </row>
    <row r="68" spans="1:18" ht="22.05" customHeight="1" thickTop="1" thickBot="1" x14ac:dyDescent="0.35">
      <c r="A68" s="119" t="s">
        <v>8</v>
      </c>
      <c r="B68" s="117"/>
      <c r="C68" s="117"/>
      <c r="D68" s="117"/>
      <c r="E68" s="117"/>
      <c r="F68" s="118"/>
      <c r="G68" s="18">
        <v>46066</v>
      </c>
      <c r="H68" s="116" t="s">
        <v>9</v>
      </c>
      <c r="I68" s="117"/>
      <c r="J68" s="117"/>
      <c r="K68" s="117"/>
      <c r="L68" s="117"/>
      <c r="M68" s="117"/>
      <c r="N68" s="117"/>
      <c r="O68" s="117"/>
      <c r="P68" s="117"/>
      <c r="Q68" s="117"/>
      <c r="R68" s="118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35">
      <c r="A70" s="36" t="s">
        <v>28</v>
      </c>
      <c r="B70" s="36" t="s">
        <v>29</v>
      </c>
      <c r="C70" s="37">
        <v>0.3263888888888889</v>
      </c>
      <c r="D70" s="36" t="s">
        <v>30</v>
      </c>
      <c r="E70" s="38"/>
      <c r="F70" s="36" t="s">
        <v>34</v>
      </c>
      <c r="G70" s="120"/>
      <c r="H70" s="39" t="s">
        <v>29</v>
      </c>
      <c r="I70" s="40">
        <v>6.0000000000000001E-3</v>
      </c>
      <c r="J70" s="41">
        <v>1</v>
      </c>
      <c r="K70" s="42" t="s">
        <v>47</v>
      </c>
      <c r="L70" s="41">
        <v>1</v>
      </c>
      <c r="M70" s="41">
        <v>0</v>
      </c>
      <c r="N70" s="41">
        <v>0</v>
      </c>
      <c r="O70" s="43" t="s">
        <v>46</v>
      </c>
      <c r="P70" s="44">
        <v>0.3263888888888889</v>
      </c>
      <c r="Q70" s="41">
        <v>168</v>
      </c>
      <c r="R70" s="45" t="s">
        <v>39</v>
      </c>
    </row>
    <row r="71" spans="1:18" ht="17.399999999999999" customHeight="1" thickBot="1" x14ac:dyDescent="0.35">
      <c r="A71" s="147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9"/>
    </row>
    <row r="72" spans="1:18" ht="22.05" customHeight="1" thickTop="1" thickBot="1" x14ac:dyDescent="0.35">
      <c r="A72" s="119" t="s">
        <v>8</v>
      </c>
      <c r="B72" s="117"/>
      <c r="C72" s="117"/>
      <c r="D72" s="117"/>
      <c r="E72" s="117"/>
      <c r="F72" s="118"/>
      <c r="G72" s="18">
        <v>46067</v>
      </c>
      <c r="H72" s="116" t="s">
        <v>9</v>
      </c>
      <c r="I72" s="117"/>
      <c r="J72" s="117"/>
      <c r="K72" s="117"/>
      <c r="L72" s="117"/>
      <c r="M72" s="117"/>
      <c r="N72" s="117"/>
      <c r="O72" s="117"/>
      <c r="P72" s="117"/>
      <c r="Q72" s="117"/>
      <c r="R72" s="118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35">
      <c r="A74" s="26" t="s">
        <v>28</v>
      </c>
      <c r="B74" s="26" t="s">
        <v>29</v>
      </c>
      <c r="C74" s="27">
        <v>0.28472222222222221</v>
      </c>
      <c r="D74" s="26" t="s">
        <v>30</v>
      </c>
      <c r="E74" s="28"/>
      <c r="F74" s="26" t="s">
        <v>31</v>
      </c>
      <c r="G74" s="120"/>
      <c r="H74" s="29" t="s">
        <v>29</v>
      </c>
      <c r="I74" s="30">
        <v>0</v>
      </c>
      <c r="J74" s="31">
        <v>0</v>
      </c>
      <c r="K74" s="32" t="s">
        <v>32</v>
      </c>
      <c r="L74" s="31">
        <v>0</v>
      </c>
      <c r="M74" s="31">
        <v>0</v>
      </c>
      <c r="N74" s="31">
        <v>0</v>
      </c>
      <c r="O74" s="33" t="s">
        <v>46</v>
      </c>
      <c r="P74" s="34">
        <v>0.28472222222222221</v>
      </c>
      <c r="Q74" s="31">
        <v>168</v>
      </c>
      <c r="R74" s="35" t="s">
        <v>32</v>
      </c>
    </row>
    <row r="75" spans="1:18" ht="17.399999999999999" customHeight="1" thickBot="1" x14ac:dyDescent="0.35">
      <c r="A75" s="147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9"/>
    </row>
    <row r="76" spans="1:18" ht="22.05" customHeight="1" thickTop="1" thickBot="1" x14ac:dyDescent="0.35">
      <c r="A76" s="119" t="s">
        <v>8</v>
      </c>
      <c r="B76" s="117"/>
      <c r="C76" s="117"/>
      <c r="D76" s="117"/>
      <c r="E76" s="117"/>
      <c r="F76" s="118"/>
      <c r="G76" s="18">
        <v>46068</v>
      </c>
      <c r="H76" s="116" t="s">
        <v>9</v>
      </c>
      <c r="I76" s="117"/>
      <c r="J76" s="117"/>
      <c r="K76" s="117"/>
      <c r="L76" s="117"/>
      <c r="M76" s="117"/>
      <c r="N76" s="117"/>
      <c r="O76" s="117"/>
      <c r="P76" s="117"/>
      <c r="Q76" s="117"/>
      <c r="R76" s="118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thickTop="1" thickBot="1" x14ac:dyDescent="0.35">
      <c r="A78" s="66" t="s">
        <v>28</v>
      </c>
      <c r="B78" s="66" t="s">
        <v>29</v>
      </c>
      <c r="C78" s="67">
        <v>0.375</v>
      </c>
      <c r="D78" s="66" t="s">
        <v>30</v>
      </c>
      <c r="E78" s="68"/>
      <c r="F78" s="66" t="s">
        <v>31</v>
      </c>
      <c r="G78" s="120"/>
      <c r="H78" s="69" t="s">
        <v>29</v>
      </c>
      <c r="I78" s="70">
        <v>0</v>
      </c>
      <c r="J78" s="71">
        <v>0</v>
      </c>
      <c r="K78" s="72" t="s">
        <v>32</v>
      </c>
      <c r="L78" s="71">
        <v>0</v>
      </c>
      <c r="M78" s="71">
        <v>0</v>
      </c>
      <c r="N78" s="71">
        <v>0</v>
      </c>
      <c r="O78" s="73" t="s">
        <v>48</v>
      </c>
      <c r="P78" s="74">
        <v>0.375</v>
      </c>
      <c r="Q78" s="71">
        <v>168</v>
      </c>
      <c r="R78" s="75" t="s">
        <v>32</v>
      </c>
    </row>
    <row r="79" spans="1:18" ht="17.399999999999999" customHeight="1" thickBot="1" x14ac:dyDescent="0.35">
      <c r="A79" s="147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9"/>
    </row>
    <row r="80" spans="1:18" ht="22.05" customHeight="1" thickTop="1" thickBot="1" x14ac:dyDescent="0.35">
      <c r="A80" s="119" t="s">
        <v>8</v>
      </c>
      <c r="B80" s="117"/>
      <c r="C80" s="117"/>
      <c r="D80" s="117"/>
      <c r="E80" s="117"/>
      <c r="F80" s="118"/>
      <c r="G80" s="18">
        <v>46069</v>
      </c>
      <c r="H80" s="116" t="s">
        <v>9</v>
      </c>
      <c r="I80" s="117"/>
      <c r="J80" s="117"/>
      <c r="K80" s="117"/>
      <c r="L80" s="117"/>
      <c r="M80" s="117"/>
      <c r="N80" s="117"/>
      <c r="O80" s="117"/>
      <c r="P80" s="117"/>
      <c r="Q80" s="117"/>
      <c r="R80" s="118"/>
    </row>
    <row r="81" spans="1:18" ht="24" customHeight="1" x14ac:dyDescent="0.3">
      <c r="A81" s="19" t="s">
        <v>10</v>
      </c>
      <c r="B81" s="19" t="s">
        <v>11</v>
      </c>
      <c r="C81" s="20" t="s">
        <v>12</v>
      </c>
      <c r="D81" s="19" t="s">
        <v>13</v>
      </c>
      <c r="E81" s="19" t="s">
        <v>14</v>
      </c>
      <c r="F81" s="21" t="s">
        <v>15</v>
      </c>
      <c r="G81" s="22" t="s">
        <v>16</v>
      </c>
      <c r="H81" s="19" t="s">
        <v>17</v>
      </c>
      <c r="I81" s="23" t="s">
        <v>18</v>
      </c>
      <c r="J81" s="24" t="s">
        <v>19</v>
      </c>
      <c r="K81" s="25" t="s">
        <v>20</v>
      </c>
      <c r="L81" s="24" t="s">
        <v>21</v>
      </c>
      <c r="M81" s="24" t="s">
        <v>22</v>
      </c>
      <c r="N81" s="24" t="s">
        <v>23</v>
      </c>
      <c r="O81" s="19" t="s">
        <v>24</v>
      </c>
      <c r="P81" s="20" t="s">
        <v>25</v>
      </c>
      <c r="Q81" s="24" t="s">
        <v>26</v>
      </c>
      <c r="R81" s="19" t="s">
        <v>27</v>
      </c>
    </row>
    <row r="82" spans="1:18" ht="49.95" customHeight="1" thickTop="1" thickBot="1" x14ac:dyDescent="0.35">
      <c r="A82" s="76" t="s">
        <v>28</v>
      </c>
      <c r="B82" s="76" t="s">
        <v>29</v>
      </c>
      <c r="C82" s="77">
        <v>0.3263888888888889</v>
      </c>
      <c r="D82" s="76" t="s">
        <v>30</v>
      </c>
      <c r="E82" s="78"/>
      <c r="F82" s="76" t="s">
        <v>31</v>
      </c>
      <c r="G82" s="120"/>
      <c r="H82" s="79" t="s">
        <v>29</v>
      </c>
      <c r="I82" s="80">
        <v>0</v>
      </c>
      <c r="J82" s="81">
        <v>0</v>
      </c>
      <c r="K82" s="82" t="s">
        <v>32</v>
      </c>
      <c r="L82" s="81">
        <v>0</v>
      </c>
      <c r="M82" s="81">
        <v>0</v>
      </c>
      <c r="N82" s="81">
        <v>0</v>
      </c>
      <c r="O82" s="83" t="s">
        <v>46</v>
      </c>
      <c r="P82" s="84">
        <v>0.3263888888888889</v>
      </c>
      <c r="Q82" s="81">
        <v>168</v>
      </c>
      <c r="R82" s="85" t="s">
        <v>32</v>
      </c>
    </row>
    <row r="83" spans="1:18" ht="17.399999999999999" customHeight="1" thickBot="1" x14ac:dyDescent="0.35">
      <c r="A83" s="147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9"/>
    </row>
    <row r="84" spans="1:18" ht="22.05" customHeight="1" thickTop="1" thickBot="1" x14ac:dyDescent="0.35">
      <c r="A84" s="119" t="s">
        <v>8</v>
      </c>
      <c r="B84" s="117"/>
      <c r="C84" s="117"/>
      <c r="D84" s="117"/>
      <c r="E84" s="117"/>
      <c r="F84" s="118"/>
      <c r="G84" s="18">
        <v>46070</v>
      </c>
      <c r="H84" s="116" t="s">
        <v>9</v>
      </c>
      <c r="I84" s="117"/>
      <c r="J84" s="117"/>
      <c r="K84" s="117"/>
      <c r="L84" s="117"/>
      <c r="M84" s="117"/>
      <c r="N84" s="117"/>
      <c r="O84" s="117"/>
      <c r="P84" s="117"/>
      <c r="Q84" s="117"/>
      <c r="R84" s="118"/>
    </row>
    <row r="85" spans="1:18" ht="24" customHeight="1" x14ac:dyDescent="0.3">
      <c r="A85" s="19" t="s">
        <v>10</v>
      </c>
      <c r="B85" s="19" t="s">
        <v>11</v>
      </c>
      <c r="C85" s="20" t="s">
        <v>12</v>
      </c>
      <c r="D85" s="19" t="s">
        <v>13</v>
      </c>
      <c r="E85" s="19" t="s">
        <v>14</v>
      </c>
      <c r="F85" s="21" t="s">
        <v>15</v>
      </c>
      <c r="G85" s="22" t="s">
        <v>16</v>
      </c>
      <c r="H85" s="19" t="s">
        <v>17</v>
      </c>
      <c r="I85" s="23" t="s">
        <v>18</v>
      </c>
      <c r="J85" s="24" t="s">
        <v>19</v>
      </c>
      <c r="K85" s="25" t="s">
        <v>20</v>
      </c>
      <c r="L85" s="24" t="s">
        <v>21</v>
      </c>
      <c r="M85" s="24" t="s">
        <v>22</v>
      </c>
      <c r="N85" s="24" t="s">
        <v>23</v>
      </c>
      <c r="O85" s="19" t="s">
        <v>24</v>
      </c>
      <c r="P85" s="20" t="s">
        <v>25</v>
      </c>
      <c r="Q85" s="24" t="s">
        <v>26</v>
      </c>
      <c r="R85" s="19" t="s">
        <v>27</v>
      </c>
    </row>
    <row r="86" spans="1:18" ht="49.95" customHeight="1" thickTop="1" thickBot="1" x14ac:dyDescent="0.35">
      <c r="A86" s="46" t="s">
        <v>28</v>
      </c>
      <c r="B86" s="46" t="s">
        <v>29</v>
      </c>
      <c r="C86" s="47">
        <v>0.99305555555555547</v>
      </c>
      <c r="D86" s="46" t="s">
        <v>30</v>
      </c>
      <c r="E86" s="48"/>
      <c r="F86" s="46" t="s">
        <v>34</v>
      </c>
      <c r="G86" s="120"/>
      <c r="H86" s="49" t="s">
        <v>29</v>
      </c>
      <c r="I86" s="50">
        <v>6.0000000000000001E-3</v>
      </c>
      <c r="J86" s="51">
        <v>1</v>
      </c>
      <c r="K86" s="52" t="s">
        <v>49</v>
      </c>
      <c r="L86" s="51">
        <v>1</v>
      </c>
      <c r="M86" s="51">
        <v>0</v>
      </c>
      <c r="N86" s="51">
        <v>0</v>
      </c>
      <c r="O86" s="53" t="s">
        <v>46</v>
      </c>
      <c r="P86" s="54">
        <v>0.99305555555555547</v>
      </c>
      <c r="Q86" s="51">
        <v>168</v>
      </c>
      <c r="R86" s="55" t="s">
        <v>39</v>
      </c>
    </row>
    <row r="87" spans="1:18" ht="17.399999999999999" customHeight="1" thickBot="1" x14ac:dyDescent="0.35">
      <c r="A87" s="147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9"/>
    </row>
    <row r="88" spans="1:18" ht="22.05" customHeight="1" thickTop="1" thickBot="1" x14ac:dyDescent="0.35">
      <c r="A88" s="119" t="s">
        <v>8</v>
      </c>
      <c r="B88" s="117"/>
      <c r="C88" s="117"/>
      <c r="D88" s="117"/>
      <c r="E88" s="117"/>
      <c r="F88" s="118"/>
      <c r="G88" s="18">
        <v>46071</v>
      </c>
      <c r="H88" s="116" t="s">
        <v>9</v>
      </c>
      <c r="I88" s="117"/>
      <c r="J88" s="117"/>
      <c r="K88" s="117"/>
      <c r="L88" s="117"/>
      <c r="M88" s="117"/>
      <c r="N88" s="117"/>
      <c r="O88" s="117"/>
      <c r="P88" s="117"/>
      <c r="Q88" s="117"/>
      <c r="R88" s="118"/>
    </row>
    <row r="89" spans="1:18" ht="24" customHeight="1" x14ac:dyDescent="0.3">
      <c r="A89" s="19" t="s">
        <v>10</v>
      </c>
      <c r="B89" s="19" t="s">
        <v>11</v>
      </c>
      <c r="C89" s="20" t="s">
        <v>12</v>
      </c>
      <c r="D89" s="19" t="s">
        <v>13</v>
      </c>
      <c r="E89" s="19" t="s">
        <v>14</v>
      </c>
      <c r="F89" s="21" t="s">
        <v>15</v>
      </c>
      <c r="G89" s="22" t="s">
        <v>16</v>
      </c>
      <c r="H89" s="19" t="s">
        <v>17</v>
      </c>
      <c r="I89" s="23" t="s">
        <v>18</v>
      </c>
      <c r="J89" s="24" t="s">
        <v>19</v>
      </c>
      <c r="K89" s="25" t="s">
        <v>20</v>
      </c>
      <c r="L89" s="24" t="s">
        <v>21</v>
      </c>
      <c r="M89" s="24" t="s">
        <v>22</v>
      </c>
      <c r="N89" s="24" t="s">
        <v>23</v>
      </c>
      <c r="O89" s="19" t="s">
        <v>24</v>
      </c>
      <c r="P89" s="20" t="s">
        <v>25</v>
      </c>
      <c r="Q89" s="24" t="s">
        <v>26</v>
      </c>
      <c r="R89" s="19" t="s">
        <v>27</v>
      </c>
    </row>
    <row r="90" spans="1:18" ht="49.95" customHeight="1" x14ac:dyDescent="0.3">
      <c r="A90" s="56" t="s">
        <v>28</v>
      </c>
      <c r="B90" s="56" t="s">
        <v>50</v>
      </c>
      <c r="C90" s="57">
        <v>0.24652777777777779</v>
      </c>
      <c r="D90" s="56" t="s">
        <v>30</v>
      </c>
      <c r="E90" s="58"/>
      <c r="F90" s="56" t="s">
        <v>51</v>
      </c>
      <c r="G90" s="120"/>
      <c r="H90" s="86" t="s">
        <v>50</v>
      </c>
      <c r="I90" s="87">
        <v>0</v>
      </c>
      <c r="J90" s="88">
        <v>0</v>
      </c>
      <c r="K90" s="89" t="s">
        <v>32</v>
      </c>
      <c r="L90" s="88">
        <v>0</v>
      </c>
      <c r="M90" s="88">
        <v>0</v>
      </c>
      <c r="N90" s="88">
        <v>0</v>
      </c>
      <c r="O90" s="90" t="s">
        <v>52</v>
      </c>
      <c r="P90" s="91">
        <v>0.24652777777777779</v>
      </c>
      <c r="Q90" s="88">
        <v>168</v>
      </c>
      <c r="R90" s="92" t="s">
        <v>32</v>
      </c>
    </row>
    <row r="91" spans="1:18" ht="49.95" customHeight="1" thickBot="1" x14ac:dyDescent="0.35">
      <c r="A91" s="93" t="s">
        <v>28</v>
      </c>
      <c r="B91" s="93" t="s">
        <v>29</v>
      </c>
      <c r="C91" s="94">
        <v>0.98611111111111116</v>
      </c>
      <c r="D91" s="93" t="s">
        <v>30</v>
      </c>
      <c r="E91" s="95"/>
      <c r="F91" s="93" t="s">
        <v>31</v>
      </c>
      <c r="G91" s="126"/>
      <c r="H91" s="39" t="s">
        <v>29</v>
      </c>
      <c r="I91" s="40">
        <v>0</v>
      </c>
      <c r="J91" s="41">
        <v>0</v>
      </c>
      <c r="K91" s="42" t="s">
        <v>32</v>
      </c>
      <c r="L91" s="41">
        <v>0</v>
      </c>
      <c r="M91" s="41">
        <v>0</v>
      </c>
      <c r="N91" s="41">
        <v>0</v>
      </c>
      <c r="O91" s="43" t="s">
        <v>33</v>
      </c>
      <c r="P91" s="44">
        <v>0.98611111111111116</v>
      </c>
      <c r="Q91" s="41">
        <v>168</v>
      </c>
      <c r="R91" s="45" t="s">
        <v>32</v>
      </c>
    </row>
    <row r="92" spans="1:18" ht="17.399999999999999" customHeight="1" thickBot="1" x14ac:dyDescent="0.35">
      <c r="A92" s="147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9"/>
    </row>
    <row r="93" spans="1:18" ht="22.05" customHeight="1" thickTop="1" thickBot="1" x14ac:dyDescent="0.35">
      <c r="A93" s="119" t="s">
        <v>8</v>
      </c>
      <c r="B93" s="117"/>
      <c r="C93" s="117"/>
      <c r="D93" s="117"/>
      <c r="E93" s="117"/>
      <c r="F93" s="118"/>
      <c r="G93" s="18">
        <v>46072</v>
      </c>
      <c r="H93" s="116" t="s">
        <v>9</v>
      </c>
      <c r="I93" s="117"/>
      <c r="J93" s="117"/>
      <c r="K93" s="117"/>
      <c r="L93" s="117"/>
      <c r="M93" s="117"/>
      <c r="N93" s="117"/>
      <c r="O93" s="117"/>
      <c r="P93" s="117"/>
      <c r="Q93" s="117"/>
      <c r="R93" s="118"/>
    </row>
    <row r="94" spans="1:18" ht="24" customHeight="1" x14ac:dyDescent="0.3">
      <c r="A94" s="19" t="s">
        <v>10</v>
      </c>
      <c r="B94" s="19" t="s">
        <v>11</v>
      </c>
      <c r="C94" s="20" t="s">
        <v>12</v>
      </c>
      <c r="D94" s="19" t="s">
        <v>13</v>
      </c>
      <c r="E94" s="19" t="s">
        <v>14</v>
      </c>
      <c r="F94" s="21" t="s">
        <v>15</v>
      </c>
      <c r="G94" s="22" t="s">
        <v>16</v>
      </c>
      <c r="H94" s="19" t="s">
        <v>17</v>
      </c>
      <c r="I94" s="23" t="s">
        <v>18</v>
      </c>
      <c r="J94" s="24" t="s">
        <v>19</v>
      </c>
      <c r="K94" s="25" t="s">
        <v>20</v>
      </c>
      <c r="L94" s="24" t="s">
        <v>21</v>
      </c>
      <c r="M94" s="24" t="s">
        <v>22</v>
      </c>
      <c r="N94" s="24" t="s">
        <v>23</v>
      </c>
      <c r="O94" s="19" t="s">
        <v>24</v>
      </c>
      <c r="P94" s="20" t="s">
        <v>25</v>
      </c>
      <c r="Q94" s="24" t="s">
        <v>26</v>
      </c>
      <c r="R94" s="19" t="s">
        <v>27</v>
      </c>
    </row>
    <row r="95" spans="1:18" ht="49.95" customHeight="1" thickTop="1" thickBot="1" x14ac:dyDescent="0.35">
      <c r="A95" s="46" t="s">
        <v>28</v>
      </c>
      <c r="B95" s="46" t="s">
        <v>29</v>
      </c>
      <c r="C95" s="47">
        <v>0.59722222222222221</v>
      </c>
      <c r="D95" s="46" t="s">
        <v>30</v>
      </c>
      <c r="E95" s="48"/>
      <c r="F95" s="46" t="s">
        <v>31</v>
      </c>
      <c r="G95" s="120"/>
      <c r="H95" s="49" t="s">
        <v>29</v>
      </c>
      <c r="I95" s="50">
        <v>0</v>
      </c>
      <c r="J95" s="51">
        <v>0</v>
      </c>
      <c r="K95" s="52" t="s">
        <v>32</v>
      </c>
      <c r="L95" s="51">
        <v>0</v>
      </c>
      <c r="M95" s="51">
        <v>0</v>
      </c>
      <c r="N95" s="51">
        <v>0</v>
      </c>
      <c r="O95" s="53" t="s">
        <v>33</v>
      </c>
      <c r="P95" s="54">
        <v>0.59722222222222221</v>
      </c>
      <c r="Q95" s="51">
        <v>168</v>
      </c>
      <c r="R95" s="55" t="s">
        <v>32</v>
      </c>
    </row>
    <row r="96" spans="1:18" ht="17.399999999999999" customHeight="1" thickBot="1" x14ac:dyDescent="0.35">
      <c r="A96" s="147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9"/>
    </row>
    <row r="97" spans="1:18" ht="22.05" customHeight="1" thickTop="1" thickBot="1" x14ac:dyDescent="0.35">
      <c r="A97" s="119" t="s">
        <v>8</v>
      </c>
      <c r="B97" s="117"/>
      <c r="C97" s="117"/>
      <c r="D97" s="117"/>
      <c r="E97" s="117"/>
      <c r="F97" s="118"/>
      <c r="G97" s="18">
        <v>46073</v>
      </c>
      <c r="H97" s="116" t="s">
        <v>9</v>
      </c>
      <c r="I97" s="117"/>
      <c r="J97" s="117"/>
      <c r="K97" s="117"/>
      <c r="L97" s="117"/>
      <c r="M97" s="117"/>
      <c r="N97" s="117"/>
      <c r="O97" s="117"/>
      <c r="P97" s="117"/>
      <c r="Q97" s="117"/>
      <c r="R97" s="118"/>
    </row>
    <row r="98" spans="1:18" ht="24" customHeight="1" x14ac:dyDescent="0.3">
      <c r="A98" s="19" t="s">
        <v>10</v>
      </c>
      <c r="B98" s="19" t="s">
        <v>11</v>
      </c>
      <c r="C98" s="20" t="s">
        <v>12</v>
      </c>
      <c r="D98" s="19" t="s">
        <v>13</v>
      </c>
      <c r="E98" s="19" t="s">
        <v>14</v>
      </c>
      <c r="F98" s="21" t="s">
        <v>15</v>
      </c>
      <c r="G98" s="22" t="s">
        <v>16</v>
      </c>
      <c r="H98" s="19" t="s">
        <v>17</v>
      </c>
      <c r="I98" s="23" t="s">
        <v>18</v>
      </c>
      <c r="J98" s="24" t="s">
        <v>19</v>
      </c>
      <c r="K98" s="25" t="s">
        <v>20</v>
      </c>
      <c r="L98" s="24" t="s">
        <v>21</v>
      </c>
      <c r="M98" s="24" t="s">
        <v>22</v>
      </c>
      <c r="N98" s="24" t="s">
        <v>23</v>
      </c>
      <c r="O98" s="19" t="s">
        <v>24</v>
      </c>
      <c r="P98" s="20" t="s">
        <v>25</v>
      </c>
      <c r="Q98" s="24" t="s">
        <v>26</v>
      </c>
      <c r="R98" s="19" t="s">
        <v>27</v>
      </c>
    </row>
    <row r="99" spans="1:18" ht="49.95" customHeight="1" thickTop="1" thickBot="1" x14ac:dyDescent="0.35">
      <c r="A99" s="36" t="s">
        <v>28</v>
      </c>
      <c r="B99" s="36" t="s">
        <v>29</v>
      </c>
      <c r="C99" s="37">
        <v>0.3263888888888889</v>
      </c>
      <c r="D99" s="36" t="s">
        <v>30</v>
      </c>
      <c r="E99" s="38"/>
      <c r="F99" s="36" t="s">
        <v>31</v>
      </c>
      <c r="G99" s="120"/>
      <c r="H99" s="39" t="s">
        <v>29</v>
      </c>
      <c r="I99" s="40">
        <v>0</v>
      </c>
      <c r="J99" s="41">
        <v>0</v>
      </c>
      <c r="K99" s="42" t="s">
        <v>32</v>
      </c>
      <c r="L99" s="41">
        <v>0</v>
      </c>
      <c r="M99" s="41">
        <v>0</v>
      </c>
      <c r="N99" s="41">
        <v>0</v>
      </c>
      <c r="O99" s="43" t="s">
        <v>33</v>
      </c>
      <c r="P99" s="44">
        <v>0.3263888888888889</v>
      </c>
      <c r="Q99" s="41">
        <v>168</v>
      </c>
      <c r="R99" s="45" t="s">
        <v>32</v>
      </c>
    </row>
    <row r="100" spans="1:18" ht="17.399999999999999" customHeight="1" thickBot="1" x14ac:dyDescent="0.35">
      <c r="A100" s="147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9"/>
    </row>
    <row r="101" spans="1:18" ht="22.05" customHeight="1" thickTop="1" thickBot="1" x14ac:dyDescent="0.35">
      <c r="A101" s="119" t="s">
        <v>8</v>
      </c>
      <c r="B101" s="117"/>
      <c r="C101" s="117"/>
      <c r="D101" s="117"/>
      <c r="E101" s="117"/>
      <c r="F101" s="118"/>
      <c r="G101" s="18">
        <v>46074</v>
      </c>
      <c r="H101" s="116" t="s">
        <v>9</v>
      </c>
      <c r="I101" s="117"/>
      <c r="J101" s="117"/>
      <c r="K101" s="117"/>
      <c r="L101" s="117"/>
      <c r="M101" s="117"/>
      <c r="N101" s="117"/>
      <c r="O101" s="117"/>
      <c r="P101" s="117"/>
      <c r="Q101" s="117"/>
      <c r="R101" s="118"/>
    </row>
    <row r="102" spans="1:18" ht="24" customHeight="1" x14ac:dyDescent="0.3">
      <c r="A102" s="19" t="s">
        <v>10</v>
      </c>
      <c r="B102" s="19" t="s">
        <v>11</v>
      </c>
      <c r="C102" s="20" t="s">
        <v>12</v>
      </c>
      <c r="D102" s="19" t="s">
        <v>13</v>
      </c>
      <c r="E102" s="19" t="s">
        <v>14</v>
      </c>
      <c r="F102" s="21" t="s">
        <v>15</v>
      </c>
      <c r="G102" s="22" t="s">
        <v>16</v>
      </c>
      <c r="H102" s="19" t="s">
        <v>17</v>
      </c>
      <c r="I102" s="23" t="s">
        <v>18</v>
      </c>
      <c r="J102" s="24" t="s">
        <v>19</v>
      </c>
      <c r="K102" s="25" t="s">
        <v>20</v>
      </c>
      <c r="L102" s="24" t="s">
        <v>21</v>
      </c>
      <c r="M102" s="24" t="s">
        <v>22</v>
      </c>
      <c r="N102" s="24" t="s">
        <v>23</v>
      </c>
      <c r="O102" s="19" t="s">
        <v>24</v>
      </c>
      <c r="P102" s="20" t="s">
        <v>25</v>
      </c>
      <c r="Q102" s="24" t="s">
        <v>26</v>
      </c>
      <c r="R102" s="19" t="s">
        <v>27</v>
      </c>
    </row>
    <row r="103" spans="1:18" ht="49.95" customHeight="1" thickTop="1" thickBot="1" x14ac:dyDescent="0.35">
      <c r="A103" s="66" t="s">
        <v>28</v>
      </c>
      <c r="B103" s="66" t="s">
        <v>29</v>
      </c>
      <c r="C103" s="67">
        <v>0.28472222222222221</v>
      </c>
      <c r="D103" s="66" t="s">
        <v>30</v>
      </c>
      <c r="E103" s="68"/>
      <c r="F103" s="66" t="s">
        <v>31</v>
      </c>
      <c r="G103" s="120"/>
      <c r="H103" s="69" t="s">
        <v>29</v>
      </c>
      <c r="I103" s="70">
        <v>0</v>
      </c>
      <c r="J103" s="71">
        <v>0</v>
      </c>
      <c r="K103" s="72" t="s">
        <v>32</v>
      </c>
      <c r="L103" s="71">
        <v>0</v>
      </c>
      <c r="M103" s="71">
        <v>0</v>
      </c>
      <c r="N103" s="71">
        <v>0</v>
      </c>
      <c r="O103" s="73" t="s">
        <v>33</v>
      </c>
      <c r="P103" s="74">
        <v>0.28472222222222221</v>
      </c>
      <c r="Q103" s="71">
        <v>168</v>
      </c>
      <c r="R103" s="75" t="s">
        <v>32</v>
      </c>
    </row>
    <row r="104" spans="1:18" ht="17.399999999999999" customHeight="1" thickBot="1" x14ac:dyDescent="0.35">
      <c r="A104" s="147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9"/>
    </row>
    <row r="105" spans="1:18" ht="22.05" customHeight="1" thickTop="1" thickBot="1" x14ac:dyDescent="0.35">
      <c r="A105" s="119" t="s">
        <v>8</v>
      </c>
      <c r="B105" s="117"/>
      <c r="C105" s="117"/>
      <c r="D105" s="117"/>
      <c r="E105" s="117"/>
      <c r="F105" s="118"/>
      <c r="G105" s="18">
        <v>46075</v>
      </c>
      <c r="H105" s="116" t="s">
        <v>9</v>
      </c>
      <c r="I105" s="117"/>
      <c r="J105" s="117"/>
      <c r="K105" s="117"/>
      <c r="L105" s="117"/>
      <c r="M105" s="117"/>
      <c r="N105" s="117"/>
      <c r="O105" s="117"/>
      <c r="P105" s="117"/>
      <c r="Q105" s="117"/>
      <c r="R105" s="118"/>
    </row>
    <row r="106" spans="1:18" ht="24" customHeight="1" x14ac:dyDescent="0.3">
      <c r="A106" s="19" t="s">
        <v>10</v>
      </c>
      <c r="B106" s="19" t="s">
        <v>11</v>
      </c>
      <c r="C106" s="20" t="s">
        <v>12</v>
      </c>
      <c r="D106" s="19" t="s">
        <v>13</v>
      </c>
      <c r="E106" s="19" t="s">
        <v>14</v>
      </c>
      <c r="F106" s="21" t="s">
        <v>15</v>
      </c>
      <c r="G106" s="22" t="s">
        <v>16</v>
      </c>
      <c r="H106" s="19" t="s">
        <v>17</v>
      </c>
      <c r="I106" s="23" t="s">
        <v>18</v>
      </c>
      <c r="J106" s="24" t="s">
        <v>19</v>
      </c>
      <c r="K106" s="25" t="s">
        <v>20</v>
      </c>
      <c r="L106" s="24" t="s">
        <v>21</v>
      </c>
      <c r="M106" s="24" t="s">
        <v>22</v>
      </c>
      <c r="N106" s="24" t="s">
        <v>23</v>
      </c>
      <c r="O106" s="19" t="s">
        <v>24</v>
      </c>
      <c r="P106" s="20" t="s">
        <v>25</v>
      </c>
      <c r="Q106" s="24" t="s">
        <v>26</v>
      </c>
      <c r="R106" s="19" t="s">
        <v>27</v>
      </c>
    </row>
    <row r="107" spans="1:18" ht="49.95" customHeight="1" thickTop="1" thickBot="1" x14ac:dyDescent="0.5">
      <c r="A107" s="56" t="s">
        <v>28</v>
      </c>
      <c r="B107" s="56" t="s">
        <v>29</v>
      </c>
      <c r="C107" s="57">
        <v>0.375</v>
      </c>
      <c r="D107" s="56" t="s">
        <v>30</v>
      </c>
      <c r="E107" s="58"/>
      <c r="F107" s="56" t="s">
        <v>31</v>
      </c>
      <c r="G107" s="124"/>
      <c r="H107" s="59" t="s">
        <v>29</v>
      </c>
      <c r="I107" s="60">
        <v>0</v>
      </c>
      <c r="J107" s="61">
        <v>0</v>
      </c>
      <c r="K107" s="62" t="s">
        <v>32</v>
      </c>
      <c r="L107" s="61">
        <v>0</v>
      </c>
      <c r="M107" s="61">
        <v>0</v>
      </c>
      <c r="N107" s="61">
        <v>0</v>
      </c>
      <c r="O107" s="63" t="s">
        <v>33</v>
      </c>
      <c r="P107" s="64">
        <v>0.375</v>
      </c>
      <c r="Q107" s="61">
        <v>168</v>
      </c>
      <c r="R107" s="65" t="s">
        <v>32</v>
      </c>
    </row>
    <row r="108" spans="1:18" ht="17.399999999999999" customHeight="1" thickBot="1" x14ac:dyDescent="0.35">
      <c r="A108" s="147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9"/>
    </row>
    <row r="109" spans="1:18" ht="22.05" customHeight="1" thickTop="1" thickBot="1" x14ac:dyDescent="0.35">
      <c r="A109" s="119" t="s">
        <v>8</v>
      </c>
      <c r="B109" s="117"/>
      <c r="C109" s="117"/>
      <c r="D109" s="117"/>
      <c r="E109" s="117"/>
      <c r="F109" s="118"/>
      <c r="G109" s="18">
        <v>46076</v>
      </c>
      <c r="H109" s="116" t="s">
        <v>9</v>
      </c>
      <c r="I109" s="117"/>
      <c r="J109" s="117"/>
      <c r="K109" s="117"/>
      <c r="L109" s="117"/>
      <c r="M109" s="117"/>
      <c r="N109" s="117"/>
      <c r="O109" s="117"/>
      <c r="P109" s="117"/>
      <c r="Q109" s="117"/>
      <c r="R109" s="118"/>
    </row>
    <row r="110" spans="1:18" ht="24" customHeight="1" x14ac:dyDescent="0.3">
      <c r="A110" s="19" t="s">
        <v>10</v>
      </c>
      <c r="B110" s="19" t="s">
        <v>11</v>
      </c>
      <c r="C110" s="20" t="s">
        <v>12</v>
      </c>
      <c r="D110" s="19" t="s">
        <v>13</v>
      </c>
      <c r="E110" s="19" t="s">
        <v>14</v>
      </c>
      <c r="F110" s="21" t="s">
        <v>15</v>
      </c>
      <c r="G110" s="22" t="s">
        <v>16</v>
      </c>
      <c r="H110" s="19" t="s">
        <v>17</v>
      </c>
      <c r="I110" s="23" t="s">
        <v>18</v>
      </c>
      <c r="J110" s="24" t="s">
        <v>19</v>
      </c>
      <c r="K110" s="25" t="s">
        <v>20</v>
      </c>
      <c r="L110" s="24" t="s">
        <v>21</v>
      </c>
      <c r="M110" s="24" t="s">
        <v>22</v>
      </c>
      <c r="N110" s="24" t="s">
        <v>23</v>
      </c>
      <c r="O110" s="19" t="s">
        <v>24</v>
      </c>
      <c r="P110" s="20" t="s">
        <v>25</v>
      </c>
      <c r="Q110" s="24" t="s">
        <v>26</v>
      </c>
      <c r="R110" s="19" t="s">
        <v>27</v>
      </c>
    </row>
    <row r="111" spans="1:18" ht="49.95" customHeight="1" x14ac:dyDescent="0.3">
      <c r="A111" s="76" t="s">
        <v>28</v>
      </c>
      <c r="B111" s="76" t="s">
        <v>53</v>
      </c>
      <c r="C111" s="77">
        <v>0.2048611111111111</v>
      </c>
      <c r="D111" s="76" t="s">
        <v>30</v>
      </c>
      <c r="E111" s="78"/>
      <c r="F111" s="76" t="s">
        <v>51</v>
      </c>
      <c r="G111" s="120"/>
      <c r="H111" s="96" t="s">
        <v>53</v>
      </c>
      <c r="I111" s="97">
        <v>0</v>
      </c>
      <c r="J111" s="98">
        <v>0</v>
      </c>
      <c r="K111" s="99" t="s">
        <v>32</v>
      </c>
      <c r="L111" s="98">
        <v>0</v>
      </c>
      <c r="M111" s="98">
        <v>0</v>
      </c>
      <c r="N111" s="98">
        <v>0</v>
      </c>
      <c r="O111" s="100" t="s">
        <v>52</v>
      </c>
      <c r="P111" s="101">
        <v>0.2048611111111111</v>
      </c>
      <c r="Q111" s="98">
        <v>168</v>
      </c>
      <c r="R111" s="102" t="s">
        <v>32</v>
      </c>
    </row>
    <row r="112" spans="1:18" ht="49.95" customHeight="1" thickBot="1" x14ac:dyDescent="0.35">
      <c r="A112" s="103" t="s">
        <v>28</v>
      </c>
      <c r="B112" s="103" t="s">
        <v>29</v>
      </c>
      <c r="C112" s="104">
        <v>0.3263888888888889</v>
      </c>
      <c r="D112" s="103" t="s">
        <v>30</v>
      </c>
      <c r="E112" s="105"/>
      <c r="F112" s="103" t="s">
        <v>31</v>
      </c>
      <c r="G112" s="126"/>
      <c r="H112" s="106" t="s">
        <v>29</v>
      </c>
      <c r="I112" s="107">
        <v>0</v>
      </c>
      <c r="J112" s="108">
        <v>0</v>
      </c>
      <c r="K112" s="109" t="s">
        <v>32</v>
      </c>
      <c r="L112" s="108">
        <v>0</v>
      </c>
      <c r="M112" s="108">
        <v>0</v>
      </c>
      <c r="N112" s="108">
        <v>0</v>
      </c>
      <c r="O112" s="110" t="s">
        <v>33</v>
      </c>
      <c r="P112" s="111">
        <v>0.3263888888888889</v>
      </c>
      <c r="Q112" s="108">
        <v>168</v>
      </c>
      <c r="R112" s="112" t="s">
        <v>32</v>
      </c>
    </row>
    <row r="113" spans="1:18" ht="17.399999999999999" customHeight="1" thickBot="1" x14ac:dyDescent="0.35">
      <c r="A113" s="147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9"/>
    </row>
    <row r="114" spans="1:18" ht="22.05" customHeight="1" thickTop="1" thickBot="1" x14ac:dyDescent="0.35">
      <c r="A114" s="119" t="s">
        <v>8</v>
      </c>
      <c r="B114" s="117"/>
      <c r="C114" s="117"/>
      <c r="D114" s="117"/>
      <c r="E114" s="117"/>
      <c r="F114" s="118"/>
      <c r="G114" s="18">
        <v>46077</v>
      </c>
      <c r="H114" s="116" t="s">
        <v>9</v>
      </c>
      <c r="I114" s="117"/>
      <c r="J114" s="117"/>
      <c r="K114" s="117"/>
      <c r="L114" s="117"/>
      <c r="M114" s="117"/>
      <c r="N114" s="117"/>
      <c r="O114" s="117"/>
      <c r="P114" s="117"/>
      <c r="Q114" s="117"/>
      <c r="R114" s="118"/>
    </row>
    <row r="115" spans="1:18" ht="24" customHeight="1" x14ac:dyDescent="0.3">
      <c r="A115" s="19" t="s">
        <v>10</v>
      </c>
      <c r="B115" s="19" t="s">
        <v>11</v>
      </c>
      <c r="C115" s="20" t="s">
        <v>12</v>
      </c>
      <c r="D115" s="19" t="s">
        <v>13</v>
      </c>
      <c r="E115" s="19" t="s">
        <v>14</v>
      </c>
      <c r="F115" s="21" t="s">
        <v>15</v>
      </c>
      <c r="G115" s="22" t="s">
        <v>16</v>
      </c>
      <c r="H115" s="19" t="s">
        <v>17</v>
      </c>
      <c r="I115" s="23" t="s">
        <v>18</v>
      </c>
      <c r="J115" s="24" t="s">
        <v>19</v>
      </c>
      <c r="K115" s="25" t="s">
        <v>20</v>
      </c>
      <c r="L115" s="24" t="s">
        <v>21</v>
      </c>
      <c r="M115" s="24" t="s">
        <v>22</v>
      </c>
      <c r="N115" s="24" t="s">
        <v>23</v>
      </c>
      <c r="O115" s="19" t="s">
        <v>24</v>
      </c>
      <c r="P115" s="20" t="s">
        <v>25</v>
      </c>
      <c r="Q115" s="24" t="s">
        <v>26</v>
      </c>
      <c r="R115" s="19" t="s">
        <v>27</v>
      </c>
    </row>
    <row r="116" spans="1:18" ht="49.95" customHeight="1" thickTop="1" thickBot="1" x14ac:dyDescent="0.35">
      <c r="A116" s="113" t="s">
        <v>28</v>
      </c>
      <c r="B116" s="113" t="s">
        <v>29</v>
      </c>
      <c r="C116" s="114">
        <v>0.99305555555555547</v>
      </c>
      <c r="D116" s="113" t="s">
        <v>30</v>
      </c>
      <c r="E116" s="115"/>
      <c r="F116" s="113" t="s">
        <v>31</v>
      </c>
      <c r="G116" s="120"/>
      <c r="H116" s="106" t="s">
        <v>29</v>
      </c>
      <c r="I116" s="107">
        <v>0</v>
      </c>
      <c r="J116" s="108">
        <v>0</v>
      </c>
      <c r="K116" s="109" t="s">
        <v>32</v>
      </c>
      <c r="L116" s="108">
        <v>0</v>
      </c>
      <c r="M116" s="108">
        <v>0</v>
      </c>
      <c r="N116" s="108">
        <v>0</v>
      </c>
      <c r="O116" s="110" t="s">
        <v>33</v>
      </c>
      <c r="P116" s="111">
        <v>0.99305555555555547</v>
      </c>
      <c r="Q116" s="108">
        <v>168</v>
      </c>
      <c r="R116" s="112" t="s">
        <v>32</v>
      </c>
    </row>
    <row r="117" spans="1:18" ht="17.399999999999999" customHeight="1" thickBot="1" x14ac:dyDescent="0.35">
      <c r="A117" s="147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9"/>
    </row>
    <row r="118" spans="1:18" ht="22.05" customHeight="1" thickTop="1" thickBot="1" x14ac:dyDescent="0.35">
      <c r="A118" s="119" t="s">
        <v>8</v>
      </c>
      <c r="B118" s="117"/>
      <c r="C118" s="117"/>
      <c r="D118" s="117"/>
      <c r="E118" s="117"/>
      <c r="F118" s="118"/>
      <c r="G118" s="18">
        <v>46078</v>
      </c>
      <c r="H118" s="116" t="s">
        <v>9</v>
      </c>
      <c r="I118" s="117"/>
      <c r="J118" s="117"/>
      <c r="K118" s="117"/>
      <c r="L118" s="117"/>
      <c r="M118" s="117"/>
      <c r="N118" s="117"/>
      <c r="O118" s="117"/>
      <c r="P118" s="117"/>
      <c r="Q118" s="117"/>
      <c r="R118" s="118"/>
    </row>
    <row r="119" spans="1:18" ht="24" customHeight="1" x14ac:dyDescent="0.3">
      <c r="A119" s="19" t="s">
        <v>10</v>
      </c>
      <c r="B119" s="19" t="s">
        <v>11</v>
      </c>
      <c r="C119" s="20" t="s">
        <v>12</v>
      </c>
      <c r="D119" s="19" t="s">
        <v>13</v>
      </c>
      <c r="E119" s="19" t="s">
        <v>14</v>
      </c>
      <c r="F119" s="21" t="s">
        <v>15</v>
      </c>
      <c r="G119" s="22" t="s">
        <v>16</v>
      </c>
      <c r="H119" s="19" t="s">
        <v>17</v>
      </c>
      <c r="I119" s="23" t="s">
        <v>18</v>
      </c>
      <c r="J119" s="24" t="s">
        <v>19</v>
      </c>
      <c r="K119" s="25" t="s">
        <v>20</v>
      </c>
      <c r="L119" s="24" t="s">
        <v>21</v>
      </c>
      <c r="M119" s="24" t="s">
        <v>22</v>
      </c>
      <c r="N119" s="24" t="s">
        <v>23</v>
      </c>
      <c r="O119" s="19" t="s">
        <v>24</v>
      </c>
      <c r="P119" s="20" t="s">
        <v>25</v>
      </c>
      <c r="Q119" s="24" t="s">
        <v>26</v>
      </c>
      <c r="R119" s="19" t="s">
        <v>27</v>
      </c>
    </row>
    <row r="120" spans="1:18" ht="49.95" customHeight="1" thickTop="1" thickBot="1" x14ac:dyDescent="0.35">
      <c r="A120" s="26" t="s">
        <v>28</v>
      </c>
      <c r="B120" s="26" t="s">
        <v>29</v>
      </c>
      <c r="C120" s="27">
        <v>0.98611111111111116</v>
      </c>
      <c r="D120" s="26" t="s">
        <v>30</v>
      </c>
      <c r="E120" s="28"/>
      <c r="F120" s="26" t="s">
        <v>31</v>
      </c>
      <c r="G120" s="120"/>
      <c r="H120" s="29" t="s">
        <v>29</v>
      </c>
      <c r="I120" s="30">
        <v>0</v>
      </c>
      <c r="J120" s="31">
        <v>0</v>
      </c>
      <c r="K120" s="32" t="s">
        <v>32</v>
      </c>
      <c r="L120" s="31">
        <v>0</v>
      </c>
      <c r="M120" s="31">
        <v>0</v>
      </c>
      <c r="N120" s="31">
        <v>0</v>
      </c>
      <c r="O120" s="33" t="s">
        <v>33</v>
      </c>
      <c r="P120" s="34">
        <v>0.98611111111111116</v>
      </c>
      <c r="Q120" s="31">
        <v>168</v>
      </c>
      <c r="R120" s="35" t="s">
        <v>32</v>
      </c>
    </row>
    <row r="121" spans="1:18" ht="17.399999999999999" customHeight="1" thickBot="1" x14ac:dyDescent="0.35">
      <c r="A121" s="147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9"/>
    </row>
    <row r="122" spans="1:18" ht="22.05" customHeight="1" thickTop="1" thickBot="1" x14ac:dyDescent="0.35">
      <c r="A122" s="119" t="s">
        <v>8</v>
      </c>
      <c r="B122" s="117"/>
      <c r="C122" s="117"/>
      <c r="D122" s="117"/>
      <c r="E122" s="117"/>
      <c r="F122" s="118"/>
      <c r="G122" s="18">
        <v>46079</v>
      </c>
      <c r="H122" s="116" t="s">
        <v>9</v>
      </c>
      <c r="I122" s="117"/>
      <c r="J122" s="117"/>
      <c r="K122" s="117"/>
      <c r="L122" s="117"/>
      <c r="M122" s="117"/>
      <c r="N122" s="117"/>
      <c r="O122" s="117"/>
      <c r="P122" s="117"/>
      <c r="Q122" s="117"/>
      <c r="R122" s="118"/>
    </row>
    <row r="123" spans="1:18" ht="24" customHeight="1" x14ac:dyDescent="0.3">
      <c r="A123" s="19" t="s">
        <v>10</v>
      </c>
      <c r="B123" s="19" t="s">
        <v>11</v>
      </c>
      <c r="C123" s="20" t="s">
        <v>12</v>
      </c>
      <c r="D123" s="19" t="s">
        <v>13</v>
      </c>
      <c r="E123" s="19" t="s">
        <v>14</v>
      </c>
      <c r="F123" s="21" t="s">
        <v>15</v>
      </c>
      <c r="G123" s="22" t="s">
        <v>16</v>
      </c>
      <c r="H123" s="19" t="s">
        <v>17</v>
      </c>
      <c r="I123" s="23" t="s">
        <v>18</v>
      </c>
      <c r="J123" s="24" t="s">
        <v>19</v>
      </c>
      <c r="K123" s="25" t="s">
        <v>20</v>
      </c>
      <c r="L123" s="24" t="s">
        <v>21</v>
      </c>
      <c r="M123" s="24" t="s">
        <v>22</v>
      </c>
      <c r="N123" s="24" t="s">
        <v>23</v>
      </c>
      <c r="O123" s="19" t="s">
        <v>24</v>
      </c>
      <c r="P123" s="20" t="s">
        <v>25</v>
      </c>
      <c r="Q123" s="24" t="s">
        <v>26</v>
      </c>
      <c r="R123" s="19" t="s">
        <v>27</v>
      </c>
    </row>
    <row r="124" spans="1:18" ht="49.95" customHeight="1" thickTop="1" thickBot="1" x14ac:dyDescent="0.5">
      <c r="A124" s="76" t="s">
        <v>28</v>
      </c>
      <c r="B124" s="76" t="s">
        <v>29</v>
      </c>
      <c r="C124" s="77">
        <v>0.59722222222222221</v>
      </c>
      <c r="D124" s="76" t="s">
        <v>30</v>
      </c>
      <c r="E124" s="78"/>
      <c r="F124" s="76" t="s">
        <v>34</v>
      </c>
      <c r="G124" s="124"/>
      <c r="H124" s="79" t="s">
        <v>29</v>
      </c>
      <c r="I124" s="80">
        <v>6.0000000000000001E-3</v>
      </c>
      <c r="J124" s="81">
        <v>1</v>
      </c>
      <c r="K124" s="82" t="s">
        <v>54</v>
      </c>
      <c r="L124" s="81">
        <v>1</v>
      </c>
      <c r="M124" s="81">
        <v>0</v>
      </c>
      <c r="N124" s="81">
        <v>0</v>
      </c>
      <c r="O124" s="83" t="s">
        <v>38</v>
      </c>
      <c r="P124" s="84">
        <v>0.59722222222222221</v>
      </c>
      <c r="Q124" s="81">
        <v>168</v>
      </c>
      <c r="R124" s="85" t="s">
        <v>39</v>
      </c>
    </row>
    <row r="125" spans="1:18" ht="17.399999999999999" customHeight="1" thickBot="1" x14ac:dyDescent="0.35">
      <c r="A125" s="147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9"/>
    </row>
    <row r="126" spans="1:18" ht="22.05" customHeight="1" thickTop="1" thickBot="1" x14ac:dyDescent="0.35">
      <c r="A126" s="119" t="s">
        <v>8</v>
      </c>
      <c r="B126" s="117"/>
      <c r="C126" s="117"/>
      <c r="D126" s="117"/>
      <c r="E126" s="117"/>
      <c r="F126" s="118"/>
      <c r="G126" s="18">
        <v>46080</v>
      </c>
      <c r="H126" s="116" t="s">
        <v>9</v>
      </c>
      <c r="I126" s="117"/>
      <c r="J126" s="117"/>
      <c r="K126" s="117"/>
      <c r="L126" s="117"/>
      <c r="M126" s="117"/>
      <c r="N126" s="117"/>
      <c r="O126" s="117"/>
      <c r="P126" s="117"/>
      <c r="Q126" s="117"/>
      <c r="R126" s="118"/>
    </row>
    <row r="127" spans="1:18" ht="24" customHeight="1" x14ac:dyDescent="0.3">
      <c r="A127" s="19" t="s">
        <v>10</v>
      </c>
      <c r="B127" s="19" t="s">
        <v>11</v>
      </c>
      <c r="C127" s="20" t="s">
        <v>12</v>
      </c>
      <c r="D127" s="19" t="s">
        <v>13</v>
      </c>
      <c r="E127" s="19" t="s">
        <v>14</v>
      </c>
      <c r="F127" s="21" t="s">
        <v>15</v>
      </c>
      <c r="G127" s="22" t="s">
        <v>16</v>
      </c>
      <c r="H127" s="19" t="s">
        <v>17</v>
      </c>
      <c r="I127" s="23" t="s">
        <v>18</v>
      </c>
      <c r="J127" s="24" t="s">
        <v>19</v>
      </c>
      <c r="K127" s="25" t="s">
        <v>20</v>
      </c>
      <c r="L127" s="24" t="s">
        <v>21</v>
      </c>
      <c r="M127" s="24" t="s">
        <v>22</v>
      </c>
      <c r="N127" s="24" t="s">
        <v>23</v>
      </c>
      <c r="O127" s="19" t="s">
        <v>24</v>
      </c>
      <c r="P127" s="20" t="s">
        <v>25</v>
      </c>
      <c r="Q127" s="24" t="s">
        <v>26</v>
      </c>
      <c r="R127" s="19" t="s">
        <v>27</v>
      </c>
    </row>
    <row r="128" spans="1:18" ht="49.95" customHeight="1" thickTop="1" thickBot="1" x14ac:dyDescent="0.5">
      <c r="A128" s="46" t="s">
        <v>28</v>
      </c>
      <c r="B128" s="46" t="s">
        <v>29</v>
      </c>
      <c r="C128" s="47">
        <v>0.3263888888888889</v>
      </c>
      <c r="D128" s="46" t="s">
        <v>30</v>
      </c>
      <c r="E128" s="48"/>
      <c r="F128" s="46" t="s">
        <v>34</v>
      </c>
      <c r="G128" s="124"/>
      <c r="H128" s="49" t="s">
        <v>29</v>
      </c>
      <c r="I128" s="50">
        <v>1.1900000000000001E-2</v>
      </c>
      <c r="J128" s="51">
        <v>2</v>
      </c>
      <c r="K128" s="52" t="s">
        <v>35</v>
      </c>
      <c r="L128" s="51">
        <v>2</v>
      </c>
      <c r="M128" s="51">
        <v>0</v>
      </c>
      <c r="N128" s="51">
        <v>0</v>
      </c>
      <c r="O128" s="53" t="s">
        <v>41</v>
      </c>
      <c r="P128" s="54">
        <v>0.3263888888888889</v>
      </c>
      <c r="Q128" s="51">
        <v>168</v>
      </c>
      <c r="R128" s="55" t="s">
        <v>42</v>
      </c>
    </row>
    <row r="129" spans="1:18" ht="17.399999999999999" customHeight="1" thickBot="1" x14ac:dyDescent="0.35">
      <c r="A129" s="147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9"/>
    </row>
    <row r="130" spans="1:18" ht="22.05" customHeight="1" thickTop="1" thickBot="1" x14ac:dyDescent="0.35">
      <c r="A130" s="119" t="s">
        <v>8</v>
      </c>
      <c r="B130" s="117"/>
      <c r="C130" s="117"/>
      <c r="D130" s="117"/>
      <c r="E130" s="117"/>
      <c r="F130" s="118"/>
      <c r="G130" s="18">
        <v>46081</v>
      </c>
      <c r="H130" s="116" t="s">
        <v>9</v>
      </c>
      <c r="I130" s="117"/>
      <c r="J130" s="117"/>
      <c r="K130" s="117"/>
      <c r="L130" s="117"/>
      <c r="M130" s="117"/>
      <c r="N130" s="117"/>
      <c r="O130" s="117"/>
      <c r="P130" s="117"/>
      <c r="Q130" s="117"/>
      <c r="R130" s="118"/>
    </row>
    <row r="131" spans="1:18" ht="24" customHeight="1" x14ac:dyDescent="0.3">
      <c r="A131" s="19" t="s">
        <v>10</v>
      </c>
      <c r="B131" s="19" t="s">
        <v>11</v>
      </c>
      <c r="C131" s="20" t="s">
        <v>12</v>
      </c>
      <c r="D131" s="19" t="s">
        <v>13</v>
      </c>
      <c r="E131" s="19" t="s">
        <v>14</v>
      </c>
      <c r="F131" s="21" t="s">
        <v>15</v>
      </c>
      <c r="G131" s="22" t="s">
        <v>16</v>
      </c>
      <c r="H131" s="19" t="s">
        <v>17</v>
      </c>
      <c r="I131" s="23" t="s">
        <v>18</v>
      </c>
      <c r="J131" s="24" t="s">
        <v>19</v>
      </c>
      <c r="K131" s="25" t="s">
        <v>20</v>
      </c>
      <c r="L131" s="24" t="s">
        <v>21</v>
      </c>
      <c r="M131" s="24" t="s">
        <v>22</v>
      </c>
      <c r="N131" s="24" t="s">
        <v>23</v>
      </c>
      <c r="O131" s="19" t="s">
        <v>24</v>
      </c>
      <c r="P131" s="20" t="s">
        <v>25</v>
      </c>
      <c r="Q131" s="24" t="s">
        <v>26</v>
      </c>
      <c r="R131" s="19" t="s">
        <v>27</v>
      </c>
    </row>
    <row r="132" spans="1:18" ht="49.95" customHeight="1" thickTop="1" thickBot="1" x14ac:dyDescent="0.5">
      <c r="A132" s="36" t="s">
        <v>28</v>
      </c>
      <c r="B132" s="36" t="s">
        <v>29</v>
      </c>
      <c r="C132" s="37">
        <v>0.28472222222222221</v>
      </c>
      <c r="D132" s="36" t="s">
        <v>30</v>
      </c>
      <c r="E132" s="38"/>
      <c r="F132" s="36" t="s">
        <v>31</v>
      </c>
      <c r="G132" s="124"/>
      <c r="H132" s="39" t="s">
        <v>29</v>
      </c>
      <c r="I132" s="40">
        <v>0</v>
      </c>
      <c r="J132" s="41">
        <v>0</v>
      </c>
      <c r="K132" s="42" t="s">
        <v>32</v>
      </c>
      <c r="L132" s="41">
        <v>0</v>
      </c>
      <c r="M132" s="41">
        <v>0</v>
      </c>
      <c r="N132" s="41">
        <v>0</v>
      </c>
      <c r="O132" s="43" t="s">
        <v>33</v>
      </c>
      <c r="P132" s="44">
        <v>0.28472222222222221</v>
      </c>
      <c r="Q132" s="41">
        <v>168</v>
      </c>
      <c r="R132" s="45" t="s">
        <v>32</v>
      </c>
    </row>
    <row r="133" spans="1:18" ht="17.399999999999999" customHeight="1" thickBot="1" x14ac:dyDescent="0.35">
      <c r="A133" s="147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9"/>
    </row>
    <row r="134" spans="1:18" ht="22.05" customHeight="1" thickTop="1" thickBot="1" x14ac:dyDescent="0.35">
      <c r="A134" s="119" t="s">
        <v>8</v>
      </c>
      <c r="B134" s="117"/>
      <c r="C134" s="117"/>
      <c r="D134" s="117"/>
      <c r="E134" s="117"/>
      <c r="F134" s="118"/>
      <c r="G134" s="18">
        <v>46082</v>
      </c>
      <c r="H134" s="116" t="s">
        <v>9</v>
      </c>
      <c r="I134" s="117"/>
      <c r="J134" s="117"/>
      <c r="K134" s="117"/>
      <c r="L134" s="117"/>
      <c r="M134" s="117"/>
      <c r="N134" s="117"/>
      <c r="O134" s="117"/>
      <c r="P134" s="117"/>
      <c r="Q134" s="117"/>
      <c r="R134" s="118"/>
    </row>
    <row r="135" spans="1:18" ht="24" customHeight="1" x14ac:dyDescent="0.3">
      <c r="A135" s="19" t="s">
        <v>10</v>
      </c>
      <c r="B135" s="19" t="s">
        <v>11</v>
      </c>
      <c r="C135" s="20" t="s">
        <v>12</v>
      </c>
      <c r="D135" s="19" t="s">
        <v>13</v>
      </c>
      <c r="E135" s="19" t="s">
        <v>14</v>
      </c>
      <c r="F135" s="21" t="s">
        <v>15</v>
      </c>
      <c r="G135" s="22" t="s">
        <v>16</v>
      </c>
      <c r="H135" s="19" t="s">
        <v>17</v>
      </c>
      <c r="I135" s="23" t="s">
        <v>18</v>
      </c>
      <c r="J135" s="24" t="s">
        <v>19</v>
      </c>
      <c r="K135" s="25" t="s">
        <v>20</v>
      </c>
      <c r="L135" s="24" t="s">
        <v>21</v>
      </c>
      <c r="M135" s="24" t="s">
        <v>22</v>
      </c>
      <c r="N135" s="24" t="s">
        <v>23</v>
      </c>
      <c r="O135" s="19" t="s">
        <v>24</v>
      </c>
      <c r="P135" s="20" t="s">
        <v>25</v>
      </c>
      <c r="Q135" s="24" t="s">
        <v>26</v>
      </c>
      <c r="R135" s="19" t="s">
        <v>27</v>
      </c>
    </row>
    <row r="136" spans="1:18" ht="49.95" customHeight="1" x14ac:dyDescent="0.45">
      <c r="A136" s="76" t="s">
        <v>28</v>
      </c>
      <c r="B136" s="76" t="s">
        <v>29</v>
      </c>
      <c r="C136" s="77">
        <v>0.375</v>
      </c>
      <c r="D136" s="76" t="s">
        <v>30</v>
      </c>
      <c r="E136" s="78"/>
      <c r="F136" s="76" t="s">
        <v>31</v>
      </c>
      <c r="G136" s="124"/>
      <c r="H136" s="79" t="s">
        <v>29</v>
      </c>
      <c r="I136" s="80">
        <v>0</v>
      </c>
      <c r="J136" s="81">
        <v>0</v>
      </c>
      <c r="K136" s="82" t="s">
        <v>32</v>
      </c>
      <c r="L136" s="81">
        <v>0</v>
      </c>
      <c r="M136" s="81">
        <v>0</v>
      </c>
      <c r="N136" s="81">
        <v>0</v>
      </c>
      <c r="O136" s="83" t="s">
        <v>33</v>
      </c>
      <c r="P136" s="84">
        <v>0.375</v>
      </c>
      <c r="Q136" s="81">
        <v>168</v>
      </c>
      <c r="R136" s="85" t="s">
        <v>32</v>
      </c>
    </row>
  </sheetData>
  <mergeCells count="138">
    <mergeCell ref="A12:F12"/>
    <mergeCell ref="A75:R75"/>
    <mergeCell ref="G99"/>
    <mergeCell ref="H4:R4"/>
    <mergeCell ref="H44:R44"/>
    <mergeCell ref="H122:R122"/>
    <mergeCell ref="A3:R3"/>
    <mergeCell ref="A55:R55"/>
    <mergeCell ref="H114:R114"/>
    <mergeCell ref="A47:R47"/>
    <mergeCell ref="H64:R64"/>
    <mergeCell ref="A4:F4"/>
    <mergeCell ref="H88:R88"/>
    <mergeCell ref="A52:F52"/>
    <mergeCell ref="A121:R121"/>
    <mergeCell ref="G116"/>
    <mergeCell ref="G38"/>
    <mergeCell ref="G103"/>
    <mergeCell ref="A31:R31"/>
    <mergeCell ref="G78"/>
    <mergeCell ref="A15:R15"/>
    <mergeCell ref="A51:R51"/>
    <mergeCell ref="H101:R101"/>
    <mergeCell ref="H24:R24"/>
    <mergeCell ref="A8:F8"/>
    <mergeCell ref="G86"/>
    <mergeCell ref="H60:R60"/>
    <mergeCell ref="G2:J2"/>
    <mergeCell ref="A23:R23"/>
    <mergeCell ref="A109:F109"/>
    <mergeCell ref="N1:R1"/>
    <mergeCell ref="G70"/>
    <mergeCell ref="G136"/>
    <mergeCell ref="A96:R96"/>
    <mergeCell ref="A93:F93"/>
    <mergeCell ref="A43:R43"/>
    <mergeCell ref="A68:F68"/>
    <mergeCell ref="H16:R16"/>
    <mergeCell ref="K2:R2"/>
    <mergeCell ref="A67:R67"/>
    <mergeCell ref="H84:R84"/>
    <mergeCell ref="G62"/>
    <mergeCell ref="G128"/>
    <mergeCell ref="A36:F36"/>
    <mergeCell ref="H97:R97"/>
    <mergeCell ref="H20:R20"/>
    <mergeCell ref="A80:F80"/>
    <mergeCell ref="H134:R134"/>
    <mergeCell ref="A88:F88"/>
    <mergeCell ref="G58"/>
    <mergeCell ref="A87:R87"/>
    <mergeCell ref="A133:R133"/>
    <mergeCell ref="A105:F105"/>
    <mergeCell ref="A56:F56"/>
    <mergeCell ref="G22"/>
    <mergeCell ref="H40:R40"/>
    <mergeCell ref="A104:R104"/>
    <mergeCell ref="A76:F76"/>
    <mergeCell ref="A113:R113"/>
    <mergeCell ref="H130:R130"/>
    <mergeCell ref="H68:R68"/>
    <mergeCell ref="G132"/>
    <mergeCell ref="A130:F130"/>
    <mergeCell ref="H76:R76"/>
    <mergeCell ref="G95"/>
    <mergeCell ref="G111:G112"/>
    <mergeCell ref="A2:F2"/>
    <mergeCell ref="H56:R56"/>
    <mergeCell ref="A71:R71"/>
    <mergeCell ref="A129:R129"/>
    <mergeCell ref="A126:F126"/>
    <mergeCell ref="A122:F122"/>
    <mergeCell ref="H36:R36"/>
    <mergeCell ref="A100:R100"/>
    <mergeCell ref="A28:F28"/>
    <mergeCell ref="A63:R63"/>
    <mergeCell ref="H109:R109"/>
    <mergeCell ref="G82"/>
    <mergeCell ref="A117:R117"/>
    <mergeCell ref="A48:F48"/>
    <mergeCell ref="G10"/>
    <mergeCell ref="G66"/>
    <mergeCell ref="H28:R28"/>
    <mergeCell ref="A83:R83"/>
    <mergeCell ref="A114:F114"/>
    <mergeCell ref="H80:R80"/>
    <mergeCell ref="G18"/>
    <mergeCell ref="A92:R92"/>
    <mergeCell ref="A39:R39"/>
    <mergeCell ref="H12:R12"/>
    <mergeCell ref="A134:F134"/>
    <mergeCell ref="H52:R52"/>
    <mergeCell ref="A125:R125"/>
    <mergeCell ref="A19:R19"/>
    <mergeCell ref="A44:F44"/>
    <mergeCell ref="H72:R72"/>
    <mergeCell ref="A40:F40"/>
    <mergeCell ref="H32:R32"/>
    <mergeCell ref="A64:F64"/>
    <mergeCell ref="A24:F24"/>
    <mergeCell ref="A59:R59"/>
    <mergeCell ref="A60:F60"/>
    <mergeCell ref="H105:R105"/>
    <mergeCell ref="G30"/>
    <mergeCell ref="G124"/>
    <mergeCell ref="A79:R79"/>
    <mergeCell ref="G54"/>
    <mergeCell ref="A101:F101"/>
    <mergeCell ref="H93:R93"/>
    <mergeCell ref="G46"/>
    <mergeCell ref="G34"/>
    <mergeCell ref="G74"/>
    <mergeCell ref="H48:R48"/>
    <mergeCell ref="G90:G91"/>
    <mergeCell ref="H126:R126"/>
    <mergeCell ref="A7:R7"/>
    <mergeCell ref="A84:F84"/>
    <mergeCell ref="G26"/>
    <mergeCell ref="A118:F118"/>
    <mergeCell ref="A108:R108"/>
    <mergeCell ref="H1:L1"/>
    <mergeCell ref="A1:E1"/>
    <mergeCell ref="A27:R27"/>
    <mergeCell ref="G50"/>
    <mergeCell ref="H118:R118"/>
    <mergeCell ref="A32:F32"/>
    <mergeCell ref="A97:F97"/>
    <mergeCell ref="G120"/>
    <mergeCell ref="A20:F20"/>
    <mergeCell ref="A72:F72"/>
    <mergeCell ref="G42"/>
    <mergeCell ref="G107"/>
    <mergeCell ref="A35:R35"/>
    <mergeCell ref="G6"/>
    <mergeCell ref="A11:R11"/>
    <mergeCell ref="G14"/>
    <mergeCell ref="A16:F16"/>
    <mergeCell ref="H8:R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7"/>
  <sheetViews>
    <sheetView workbookViewId="0"/>
  </sheetViews>
  <sheetFormatPr defaultRowHeight="15.6" outlineLevelCol="1" x14ac:dyDescent="0.3"/>
  <cols>
    <col min="1" max="1" width="11.5546875" style="134" bestFit="1" customWidth="1"/>
    <col min="2" max="2" width="10.109375" style="134" bestFit="1" customWidth="1"/>
    <col min="3" max="3" width="6.77734375" style="134" bestFit="1" customWidth="1"/>
    <col min="4" max="4" width="5.5546875" style="134" bestFit="1" customWidth="1"/>
    <col min="5" max="5" width="8.109375" style="134" bestFit="1" customWidth="1"/>
    <col min="6" max="6" width="4.21875" style="134" bestFit="1" customWidth="1"/>
    <col min="7" max="7" width="8.44140625" style="134" bestFit="1" customWidth="1"/>
    <col min="8" max="8" width="8.5546875" style="134" bestFit="1" customWidth="1"/>
    <col min="9" max="10" width="7" style="134" bestFit="1" customWidth="1"/>
    <col min="11" max="11" width="10.5546875" style="134" bestFit="1" customWidth="1"/>
    <col min="12" max="12" width="18.109375" style="134" bestFit="1" customWidth="1"/>
    <col min="13" max="13" width="7.6640625" style="134" bestFit="1" customWidth="1" outlineLevel="1"/>
    <col min="14" max="14" width="6.33203125" style="134" bestFit="1" customWidth="1" outlineLevel="1"/>
    <col min="15" max="15" width="8" style="134" bestFit="1" customWidth="1" outlineLevel="1"/>
    <col min="16" max="16" width="13.6640625" style="134" bestFit="1" customWidth="1"/>
    <col min="17" max="26" width="3.88671875" style="134" bestFit="1" customWidth="1"/>
    <col min="27" max="27" width="4" style="134" bestFit="1" customWidth="1"/>
    <col min="28" max="36" width="3.88671875" style="134" bestFit="1" customWidth="1"/>
    <col min="37" max="16384" width="8.88671875" style="134"/>
  </cols>
  <sheetData>
    <row r="1" spans="1:36" x14ac:dyDescent="0.3">
      <c r="A1" s="133" t="s">
        <v>55</v>
      </c>
      <c r="B1" s="133" t="s">
        <v>56</v>
      </c>
      <c r="C1" s="133" t="s">
        <v>57</v>
      </c>
      <c r="D1" s="133" t="s">
        <v>25</v>
      </c>
      <c r="E1" s="133" t="s">
        <v>58</v>
      </c>
      <c r="F1" s="133" t="s">
        <v>59</v>
      </c>
      <c r="G1" s="133" t="s">
        <v>18</v>
      </c>
      <c r="H1" s="133" t="s">
        <v>60</v>
      </c>
      <c r="I1" s="133" t="s">
        <v>61</v>
      </c>
      <c r="J1" s="133" t="s">
        <v>62</v>
      </c>
      <c r="K1" s="133" t="s">
        <v>63</v>
      </c>
      <c r="L1" s="133" t="s">
        <v>20</v>
      </c>
      <c r="M1" s="133" t="s">
        <v>22</v>
      </c>
      <c r="N1" s="133" t="s">
        <v>23</v>
      </c>
      <c r="O1" s="133" t="s">
        <v>21</v>
      </c>
      <c r="P1" s="133" t="s">
        <v>24</v>
      </c>
      <c r="Q1" s="133" t="s">
        <v>64</v>
      </c>
      <c r="R1" s="133" t="s">
        <v>65</v>
      </c>
      <c r="S1" s="133" t="s">
        <v>66</v>
      </c>
      <c r="T1" s="133" t="s">
        <v>67</v>
      </c>
      <c r="U1" s="133" t="s">
        <v>68</v>
      </c>
      <c r="V1" s="133" t="s">
        <v>69</v>
      </c>
      <c r="W1" s="133" t="s">
        <v>70</v>
      </c>
      <c r="X1" s="133" t="s">
        <v>71</v>
      </c>
      <c r="Y1" s="133" t="s">
        <v>72</v>
      </c>
      <c r="Z1" s="133" t="s">
        <v>73</v>
      </c>
      <c r="AA1" s="133" t="s">
        <v>74</v>
      </c>
      <c r="AB1" s="133" t="s">
        <v>75</v>
      </c>
      <c r="AC1" s="133" t="s">
        <v>76</v>
      </c>
      <c r="AD1" s="133" t="s">
        <v>77</v>
      </c>
      <c r="AE1" s="133" t="s">
        <v>78</v>
      </c>
      <c r="AF1" s="133" t="s">
        <v>79</v>
      </c>
      <c r="AG1" s="133" t="s">
        <v>80</v>
      </c>
      <c r="AH1" s="133" t="s">
        <v>81</v>
      </c>
      <c r="AI1" s="133" t="s">
        <v>82</v>
      </c>
      <c r="AJ1" s="133" t="s">
        <v>83</v>
      </c>
    </row>
    <row r="2" spans="1:36" x14ac:dyDescent="0.3">
      <c r="A2" s="135" t="s">
        <v>84</v>
      </c>
      <c r="B2" s="136">
        <v>46050</v>
      </c>
      <c r="C2" s="137" t="s">
        <v>29</v>
      </c>
      <c r="D2" s="138" t="s">
        <v>85</v>
      </c>
      <c r="E2" s="137" t="s">
        <v>1</v>
      </c>
      <c r="F2" s="137" t="s">
        <v>86</v>
      </c>
      <c r="G2" s="139">
        <v>0</v>
      </c>
      <c r="H2" s="140">
        <v>168</v>
      </c>
      <c r="I2" s="140">
        <v>0</v>
      </c>
      <c r="J2" s="140">
        <v>0</v>
      </c>
      <c r="K2" s="137" t="s">
        <v>87</v>
      </c>
      <c r="L2" s="141" t="s">
        <v>32</v>
      </c>
      <c r="M2" s="140">
        <v>0</v>
      </c>
      <c r="N2" s="140">
        <v>0</v>
      </c>
      <c r="O2" s="140">
        <v>0</v>
      </c>
      <c r="P2" s="137" t="s">
        <v>33</v>
      </c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</row>
    <row r="3" spans="1:36" x14ac:dyDescent="0.3">
      <c r="A3" s="135" t="s">
        <v>88</v>
      </c>
      <c r="B3" s="136">
        <v>46051</v>
      </c>
      <c r="C3" s="137" t="s">
        <v>29</v>
      </c>
      <c r="D3" s="138" t="s">
        <v>89</v>
      </c>
      <c r="E3" s="137" t="s">
        <v>1</v>
      </c>
      <c r="F3" s="137" t="s">
        <v>86</v>
      </c>
      <c r="G3" s="139">
        <v>0</v>
      </c>
      <c r="H3" s="140">
        <v>168</v>
      </c>
      <c r="I3" s="140">
        <v>0</v>
      </c>
      <c r="J3" s="140">
        <v>0</v>
      </c>
      <c r="K3" s="137" t="s">
        <v>87</v>
      </c>
      <c r="L3" s="141" t="s">
        <v>32</v>
      </c>
      <c r="M3" s="140">
        <v>0</v>
      </c>
      <c r="N3" s="140">
        <v>0</v>
      </c>
      <c r="O3" s="140">
        <v>0</v>
      </c>
      <c r="P3" s="137" t="s">
        <v>33</v>
      </c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</row>
    <row r="4" spans="1:36" x14ac:dyDescent="0.3">
      <c r="A4" s="135" t="s">
        <v>90</v>
      </c>
      <c r="B4" s="136">
        <v>46052</v>
      </c>
      <c r="C4" s="137" t="s">
        <v>29</v>
      </c>
      <c r="D4" s="138" t="s">
        <v>91</v>
      </c>
      <c r="E4" s="137" t="s">
        <v>1</v>
      </c>
      <c r="F4" s="137" t="s">
        <v>86</v>
      </c>
      <c r="G4" s="139">
        <v>0</v>
      </c>
      <c r="H4" s="140">
        <v>168</v>
      </c>
      <c r="I4" s="140">
        <v>0</v>
      </c>
      <c r="J4" s="140">
        <v>0</v>
      </c>
      <c r="K4" s="137" t="s">
        <v>87</v>
      </c>
      <c r="L4" s="141" t="s">
        <v>32</v>
      </c>
      <c r="M4" s="140">
        <v>0</v>
      </c>
      <c r="N4" s="140">
        <v>0</v>
      </c>
      <c r="O4" s="140">
        <v>0</v>
      </c>
      <c r="P4" s="137" t="s">
        <v>33</v>
      </c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</row>
    <row r="5" spans="1:36" x14ac:dyDescent="0.3">
      <c r="A5" s="135" t="s">
        <v>92</v>
      </c>
      <c r="B5" s="136">
        <v>46053</v>
      </c>
      <c r="C5" s="137" t="s">
        <v>29</v>
      </c>
      <c r="D5" s="138" t="s">
        <v>93</v>
      </c>
      <c r="E5" s="137" t="s">
        <v>1</v>
      </c>
      <c r="F5" s="137" t="s">
        <v>86</v>
      </c>
      <c r="G5" s="139">
        <v>0</v>
      </c>
      <c r="H5" s="140">
        <v>168</v>
      </c>
      <c r="I5" s="140">
        <v>0</v>
      </c>
      <c r="J5" s="140">
        <v>0</v>
      </c>
      <c r="K5" s="137" t="s">
        <v>87</v>
      </c>
      <c r="L5" s="141" t="s">
        <v>32</v>
      </c>
      <c r="M5" s="140">
        <v>0</v>
      </c>
      <c r="N5" s="140">
        <v>0</v>
      </c>
      <c r="O5" s="140">
        <v>0</v>
      </c>
      <c r="P5" s="137" t="s">
        <v>33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</row>
    <row r="6" spans="1:36" x14ac:dyDescent="0.3">
      <c r="A6" s="135" t="s">
        <v>94</v>
      </c>
      <c r="B6" s="136">
        <v>46054</v>
      </c>
      <c r="C6" s="137" t="s">
        <v>29</v>
      </c>
      <c r="D6" s="138" t="s">
        <v>95</v>
      </c>
      <c r="E6" s="137" t="s">
        <v>1</v>
      </c>
      <c r="F6" s="137" t="s">
        <v>86</v>
      </c>
      <c r="G6" s="139">
        <v>0</v>
      </c>
      <c r="H6" s="140">
        <v>168</v>
      </c>
      <c r="I6" s="140">
        <v>0</v>
      </c>
      <c r="J6" s="140">
        <v>0</v>
      </c>
      <c r="K6" s="137" t="s">
        <v>87</v>
      </c>
      <c r="L6" s="141" t="s">
        <v>32</v>
      </c>
      <c r="M6" s="140">
        <v>0</v>
      </c>
      <c r="N6" s="140">
        <v>0</v>
      </c>
      <c r="O6" s="140">
        <v>0</v>
      </c>
      <c r="P6" s="137" t="s">
        <v>33</v>
      </c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</row>
    <row r="7" spans="1:36" x14ac:dyDescent="0.3">
      <c r="A7" s="135" t="s">
        <v>96</v>
      </c>
      <c r="B7" s="136">
        <v>46055</v>
      </c>
      <c r="C7" s="137" t="s">
        <v>29</v>
      </c>
      <c r="D7" s="138" t="s">
        <v>91</v>
      </c>
      <c r="E7" s="137" t="s">
        <v>1</v>
      </c>
      <c r="F7" s="137" t="s">
        <v>86</v>
      </c>
      <c r="G7" s="139">
        <v>6.0000000000000001E-3</v>
      </c>
      <c r="H7" s="140">
        <v>168</v>
      </c>
      <c r="I7" s="140">
        <v>1</v>
      </c>
      <c r="J7" s="140">
        <v>0</v>
      </c>
      <c r="K7" s="137" t="s">
        <v>87</v>
      </c>
      <c r="L7" s="141" t="s">
        <v>35</v>
      </c>
      <c r="M7" s="140">
        <v>0</v>
      </c>
      <c r="N7" s="140">
        <v>0</v>
      </c>
      <c r="O7" s="140">
        <v>2</v>
      </c>
      <c r="P7" s="137" t="s">
        <v>33</v>
      </c>
      <c r="Q7" s="133"/>
      <c r="R7" s="133"/>
      <c r="S7" s="133"/>
      <c r="T7" s="133"/>
      <c r="U7" s="133"/>
      <c r="V7" s="133"/>
      <c r="W7" s="133"/>
      <c r="X7" s="133"/>
      <c r="Y7" s="140" t="s">
        <v>36</v>
      </c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36" x14ac:dyDescent="0.3">
      <c r="A8" s="135" t="s">
        <v>97</v>
      </c>
      <c r="B8" s="136">
        <v>46056</v>
      </c>
      <c r="C8" s="137" t="s">
        <v>29</v>
      </c>
      <c r="D8" s="138" t="s">
        <v>98</v>
      </c>
      <c r="E8" s="137" t="s">
        <v>1</v>
      </c>
      <c r="F8" s="137" t="s">
        <v>86</v>
      </c>
      <c r="G8" s="139">
        <v>0</v>
      </c>
      <c r="H8" s="140">
        <v>168</v>
      </c>
      <c r="I8" s="140">
        <v>0</v>
      </c>
      <c r="J8" s="140">
        <v>0</v>
      </c>
      <c r="K8" s="137" t="s">
        <v>87</v>
      </c>
      <c r="L8" s="141" t="s">
        <v>32</v>
      </c>
      <c r="M8" s="140">
        <v>0</v>
      </c>
      <c r="N8" s="140">
        <v>0</v>
      </c>
      <c r="O8" s="140">
        <v>0</v>
      </c>
      <c r="P8" s="137" t="s">
        <v>33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</row>
    <row r="9" spans="1:36" x14ac:dyDescent="0.3">
      <c r="A9" s="135" t="s">
        <v>84</v>
      </c>
      <c r="B9" s="136">
        <v>46057</v>
      </c>
      <c r="C9" s="137" t="s">
        <v>29</v>
      </c>
      <c r="D9" s="138" t="s">
        <v>85</v>
      </c>
      <c r="E9" s="137" t="s">
        <v>1</v>
      </c>
      <c r="F9" s="137" t="s">
        <v>86</v>
      </c>
      <c r="G9" s="139">
        <v>0</v>
      </c>
      <c r="H9" s="140">
        <v>168</v>
      </c>
      <c r="I9" s="140">
        <v>0</v>
      </c>
      <c r="J9" s="140">
        <v>0</v>
      </c>
      <c r="K9" s="137" t="s">
        <v>87</v>
      </c>
      <c r="L9" s="141" t="s">
        <v>32</v>
      </c>
      <c r="M9" s="140">
        <v>0</v>
      </c>
      <c r="N9" s="140">
        <v>0</v>
      </c>
      <c r="O9" s="140">
        <v>0</v>
      </c>
      <c r="P9" s="137" t="s">
        <v>33</v>
      </c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</row>
    <row r="10" spans="1:36" x14ac:dyDescent="0.3">
      <c r="A10" s="135" t="s">
        <v>88</v>
      </c>
      <c r="B10" s="136">
        <v>46058</v>
      </c>
      <c r="C10" s="137" t="s">
        <v>29</v>
      </c>
      <c r="D10" s="138" t="s">
        <v>89</v>
      </c>
      <c r="E10" s="137" t="s">
        <v>1</v>
      </c>
      <c r="F10" s="137" t="s">
        <v>86</v>
      </c>
      <c r="G10" s="139">
        <v>6.0000000000000001E-3</v>
      </c>
      <c r="H10" s="140">
        <v>168</v>
      </c>
      <c r="I10" s="140">
        <v>1</v>
      </c>
      <c r="J10" s="140">
        <v>0</v>
      </c>
      <c r="K10" s="137" t="s">
        <v>87</v>
      </c>
      <c r="L10" s="141" t="s">
        <v>37</v>
      </c>
      <c r="M10" s="140">
        <v>0</v>
      </c>
      <c r="N10" s="140">
        <v>0</v>
      </c>
      <c r="O10" s="140">
        <v>1</v>
      </c>
      <c r="P10" s="137" t="s">
        <v>38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40" t="s">
        <v>39</v>
      </c>
      <c r="AB10" s="133"/>
      <c r="AC10" s="133"/>
      <c r="AD10" s="133"/>
      <c r="AE10" s="133"/>
      <c r="AF10" s="133"/>
      <c r="AG10" s="133"/>
      <c r="AH10" s="133"/>
      <c r="AI10" s="133"/>
      <c r="AJ10" s="133"/>
    </row>
    <row r="11" spans="1:36" x14ac:dyDescent="0.3">
      <c r="A11" s="135" t="s">
        <v>90</v>
      </c>
      <c r="B11" s="136">
        <v>46059</v>
      </c>
      <c r="C11" s="137" t="s">
        <v>29</v>
      </c>
      <c r="D11" s="138" t="s">
        <v>91</v>
      </c>
      <c r="E11" s="137" t="s">
        <v>1</v>
      </c>
      <c r="F11" s="137" t="s">
        <v>86</v>
      </c>
      <c r="G11" s="139">
        <v>0</v>
      </c>
      <c r="H11" s="140">
        <v>168</v>
      </c>
      <c r="I11" s="140">
        <v>0</v>
      </c>
      <c r="J11" s="140">
        <v>0</v>
      </c>
      <c r="K11" s="137" t="s">
        <v>87</v>
      </c>
      <c r="L11" s="141" t="s">
        <v>32</v>
      </c>
      <c r="M11" s="140">
        <v>0</v>
      </c>
      <c r="N11" s="140">
        <v>0</v>
      </c>
      <c r="O11" s="140">
        <v>0</v>
      </c>
      <c r="P11" s="137" t="s">
        <v>33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</row>
    <row r="12" spans="1:36" x14ac:dyDescent="0.3">
      <c r="A12" s="135" t="s">
        <v>92</v>
      </c>
      <c r="B12" s="136">
        <v>46060</v>
      </c>
      <c r="C12" s="137" t="s">
        <v>29</v>
      </c>
      <c r="D12" s="138" t="s">
        <v>93</v>
      </c>
      <c r="E12" s="137" t="s">
        <v>1</v>
      </c>
      <c r="F12" s="137" t="s">
        <v>86</v>
      </c>
      <c r="G12" s="139">
        <v>1.1900000000000001E-2</v>
      </c>
      <c r="H12" s="140">
        <v>168</v>
      </c>
      <c r="I12" s="140">
        <v>2</v>
      </c>
      <c r="J12" s="140">
        <v>0</v>
      </c>
      <c r="K12" s="137" t="s">
        <v>87</v>
      </c>
      <c r="L12" s="141" t="s">
        <v>40</v>
      </c>
      <c r="M12" s="140">
        <v>0</v>
      </c>
      <c r="N12" s="140">
        <v>0</v>
      </c>
      <c r="O12" s="140">
        <v>3</v>
      </c>
      <c r="P12" s="137" t="s">
        <v>41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40" t="s">
        <v>42</v>
      </c>
      <c r="AB12" s="133"/>
      <c r="AC12" s="133"/>
      <c r="AD12" s="133"/>
      <c r="AE12" s="133"/>
      <c r="AF12" s="133"/>
      <c r="AG12" s="133"/>
      <c r="AH12" s="133"/>
      <c r="AI12" s="133"/>
      <c r="AJ12" s="133"/>
    </row>
    <row r="13" spans="1:36" x14ac:dyDescent="0.3">
      <c r="A13" s="135" t="s">
        <v>94</v>
      </c>
      <c r="B13" s="136">
        <v>46061</v>
      </c>
      <c r="C13" s="137" t="s">
        <v>29</v>
      </c>
      <c r="D13" s="138" t="s">
        <v>95</v>
      </c>
      <c r="E13" s="137" t="s">
        <v>1</v>
      </c>
      <c r="F13" s="137" t="s">
        <v>86</v>
      </c>
      <c r="G13" s="139">
        <v>6.0000000000000001E-3</v>
      </c>
      <c r="H13" s="140">
        <v>168</v>
      </c>
      <c r="I13" s="140">
        <v>1</v>
      </c>
      <c r="J13" s="140">
        <v>0</v>
      </c>
      <c r="K13" s="137" t="s">
        <v>87</v>
      </c>
      <c r="L13" s="141" t="s">
        <v>43</v>
      </c>
      <c r="M13" s="140">
        <v>0</v>
      </c>
      <c r="N13" s="140">
        <v>0</v>
      </c>
      <c r="O13" s="140">
        <v>2</v>
      </c>
      <c r="P13" s="137" t="s">
        <v>38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40" t="s">
        <v>39</v>
      </c>
      <c r="AB13" s="133"/>
      <c r="AC13" s="133"/>
      <c r="AD13" s="133"/>
      <c r="AE13" s="133"/>
      <c r="AF13" s="133"/>
      <c r="AG13" s="133"/>
      <c r="AH13" s="133"/>
      <c r="AI13" s="133"/>
      <c r="AJ13" s="133"/>
    </row>
    <row r="14" spans="1:36" x14ac:dyDescent="0.3">
      <c r="A14" s="135" t="s">
        <v>96</v>
      </c>
      <c r="B14" s="136">
        <v>46062</v>
      </c>
      <c r="C14" s="137" t="s">
        <v>29</v>
      </c>
      <c r="D14" s="138" t="s">
        <v>91</v>
      </c>
      <c r="E14" s="137" t="s">
        <v>1</v>
      </c>
      <c r="F14" s="137" t="s">
        <v>86</v>
      </c>
      <c r="G14" s="139">
        <v>6.0000000000000001E-3</v>
      </c>
      <c r="H14" s="140">
        <v>168</v>
      </c>
      <c r="I14" s="140">
        <v>1</v>
      </c>
      <c r="J14" s="140">
        <v>0</v>
      </c>
      <c r="K14" s="137" t="s">
        <v>87</v>
      </c>
      <c r="L14" s="141" t="s">
        <v>43</v>
      </c>
      <c r="M14" s="140">
        <v>0</v>
      </c>
      <c r="N14" s="140">
        <v>0</v>
      </c>
      <c r="O14" s="140">
        <v>2</v>
      </c>
      <c r="P14" s="137" t="s">
        <v>38</v>
      </c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40" t="s">
        <v>39</v>
      </c>
      <c r="AB14" s="133"/>
      <c r="AC14" s="133"/>
      <c r="AD14" s="133"/>
      <c r="AE14" s="133"/>
      <c r="AF14" s="133"/>
      <c r="AG14" s="133"/>
      <c r="AH14" s="133"/>
      <c r="AI14" s="133"/>
      <c r="AJ14" s="133"/>
    </row>
    <row r="15" spans="1:36" x14ac:dyDescent="0.3">
      <c r="A15" s="135" t="s">
        <v>97</v>
      </c>
      <c r="B15" s="136">
        <v>46063</v>
      </c>
      <c r="C15" s="137" t="s">
        <v>29</v>
      </c>
      <c r="D15" s="138" t="s">
        <v>98</v>
      </c>
      <c r="E15" s="137" t="s">
        <v>1</v>
      </c>
      <c r="F15" s="137" t="s">
        <v>86</v>
      </c>
      <c r="G15" s="139">
        <v>6.0000000000000001E-3</v>
      </c>
      <c r="H15" s="140">
        <v>168</v>
      </c>
      <c r="I15" s="140">
        <v>1</v>
      </c>
      <c r="J15" s="140">
        <v>0</v>
      </c>
      <c r="K15" s="137" t="s">
        <v>87</v>
      </c>
      <c r="L15" s="141" t="s">
        <v>44</v>
      </c>
      <c r="M15" s="140">
        <v>0</v>
      </c>
      <c r="N15" s="140">
        <v>0</v>
      </c>
      <c r="O15" s="140">
        <v>2</v>
      </c>
      <c r="P15" s="137" t="s">
        <v>38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40" t="s">
        <v>39</v>
      </c>
      <c r="AB15" s="133"/>
      <c r="AC15" s="133"/>
      <c r="AD15" s="133"/>
      <c r="AE15" s="133"/>
      <c r="AF15" s="133"/>
      <c r="AG15" s="133"/>
      <c r="AH15" s="133"/>
      <c r="AI15" s="133"/>
      <c r="AJ15" s="133"/>
    </row>
    <row r="16" spans="1:36" x14ac:dyDescent="0.3">
      <c r="A16" s="135" t="s">
        <v>84</v>
      </c>
      <c r="B16" s="136">
        <v>46064</v>
      </c>
      <c r="C16" s="137" t="s">
        <v>29</v>
      </c>
      <c r="D16" s="138" t="s">
        <v>85</v>
      </c>
      <c r="E16" s="137" t="s">
        <v>1</v>
      </c>
      <c r="F16" s="137" t="s">
        <v>86</v>
      </c>
      <c r="G16" s="139">
        <v>6.0000000000000001E-3</v>
      </c>
      <c r="H16" s="140">
        <v>168</v>
      </c>
      <c r="I16" s="140">
        <v>1</v>
      </c>
      <c r="J16" s="140">
        <v>0</v>
      </c>
      <c r="K16" s="137" t="s">
        <v>87</v>
      </c>
      <c r="L16" s="141" t="s">
        <v>45</v>
      </c>
      <c r="M16" s="140">
        <v>0</v>
      </c>
      <c r="N16" s="140">
        <v>0</v>
      </c>
      <c r="O16" s="140">
        <v>2</v>
      </c>
      <c r="P16" s="137" t="s">
        <v>38</v>
      </c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40" t="s">
        <v>39</v>
      </c>
      <c r="AB16" s="133"/>
      <c r="AC16" s="133"/>
      <c r="AD16" s="133"/>
      <c r="AE16" s="133"/>
      <c r="AF16" s="133"/>
      <c r="AG16" s="133"/>
      <c r="AH16" s="133"/>
      <c r="AI16" s="133"/>
      <c r="AJ16" s="133"/>
    </row>
    <row r="17" spans="1:36" x14ac:dyDescent="0.3">
      <c r="A17" s="135" t="s">
        <v>88</v>
      </c>
      <c r="B17" s="136">
        <v>46065</v>
      </c>
      <c r="C17" s="137" t="s">
        <v>29</v>
      </c>
      <c r="D17" s="138" t="s">
        <v>89</v>
      </c>
      <c r="E17" s="137" t="s">
        <v>1</v>
      </c>
      <c r="F17" s="137" t="s">
        <v>86</v>
      </c>
      <c r="G17" s="139">
        <v>0</v>
      </c>
      <c r="H17" s="140">
        <v>168</v>
      </c>
      <c r="I17" s="140">
        <v>0</v>
      </c>
      <c r="J17" s="140">
        <v>0</v>
      </c>
      <c r="K17" s="137" t="s">
        <v>87</v>
      </c>
      <c r="L17" s="141" t="s">
        <v>32</v>
      </c>
      <c r="M17" s="140">
        <v>0</v>
      </c>
      <c r="N17" s="140">
        <v>0</v>
      </c>
      <c r="O17" s="140">
        <v>0</v>
      </c>
      <c r="P17" s="137" t="s">
        <v>46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</row>
    <row r="18" spans="1:36" x14ac:dyDescent="0.3">
      <c r="A18" s="135" t="s">
        <v>90</v>
      </c>
      <c r="B18" s="136">
        <v>46066</v>
      </c>
      <c r="C18" s="137" t="s">
        <v>29</v>
      </c>
      <c r="D18" s="138" t="s">
        <v>91</v>
      </c>
      <c r="E18" s="137" t="s">
        <v>1</v>
      </c>
      <c r="F18" s="137" t="s">
        <v>86</v>
      </c>
      <c r="G18" s="139">
        <v>6.0000000000000001E-3</v>
      </c>
      <c r="H18" s="140">
        <v>168</v>
      </c>
      <c r="I18" s="140">
        <v>1</v>
      </c>
      <c r="J18" s="140">
        <v>0</v>
      </c>
      <c r="K18" s="137" t="s">
        <v>87</v>
      </c>
      <c r="L18" s="141" t="s">
        <v>47</v>
      </c>
      <c r="M18" s="140">
        <v>0</v>
      </c>
      <c r="N18" s="140">
        <v>0</v>
      </c>
      <c r="O18" s="140">
        <v>1</v>
      </c>
      <c r="P18" s="137" t="s">
        <v>46</v>
      </c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40" t="s">
        <v>39</v>
      </c>
      <c r="AB18" s="133"/>
      <c r="AC18" s="133"/>
      <c r="AD18" s="133"/>
      <c r="AE18" s="133"/>
      <c r="AF18" s="133"/>
      <c r="AG18" s="133"/>
      <c r="AH18" s="133"/>
      <c r="AI18" s="133"/>
      <c r="AJ18" s="133"/>
    </row>
    <row r="19" spans="1:36" x14ac:dyDescent="0.3">
      <c r="A19" s="135" t="s">
        <v>92</v>
      </c>
      <c r="B19" s="136">
        <v>46067</v>
      </c>
      <c r="C19" s="137" t="s">
        <v>29</v>
      </c>
      <c r="D19" s="138" t="s">
        <v>93</v>
      </c>
      <c r="E19" s="137" t="s">
        <v>1</v>
      </c>
      <c r="F19" s="137" t="s">
        <v>86</v>
      </c>
      <c r="G19" s="139">
        <v>0</v>
      </c>
      <c r="H19" s="140">
        <v>168</v>
      </c>
      <c r="I19" s="140">
        <v>0</v>
      </c>
      <c r="J19" s="140">
        <v>0</v>
      </c>
      <c r="K19" s="137" t="s">
        <v>87</v>
      </c>
      <c r="L19" s="141" t="s">
        <v>32</v>
      </c>
      <c r="M19" s="140">
        <v>0</v>
      </c>
      <c r="N19" s="140">
        <v>0</v>
      </c>
      <c r="O19" s="140">
        <v>0</v>
      </c>
      <c r="P19" s="137" t="s">
        <v>46</v>
      </c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</row>
    <row r="20" spans="1:36" x14ac:dyDescent="0.3">
      <c r="A20" s="135" t="s">
        <v>94</v>
      </c>
      <c r="B20" s="136">
        <v>46068</v>
      </c>
      <c r="C20" s="137" t="s">
        <v>29</v>
      </c>
      <c r="D20" s="138" t="s">
        <v>95</v>
      </c>
      <c r="E20" s="137" t="s">
        <v>1</v>
      </c>
      <c r="F20" s="137" t="s">
        <v>86</v>
      </c>
      <c r="G20" s="139">
        <v>0</v>
      </c>
      <c r="H20" s="140">
        <v>168</v>
      </c>
      <c r="I20" s="140">
        <v>0</v>
      </c>
      <c r="J20" s="140">
        <v>0</v>
      </c>
      <c r="K20" s="137" t="s">
        <v>87</v>
      </c>
      <c r="L20" s="141" t="s">
        <v>32</v>
      </c>
      <c r="M20" s="140">
        <v>0</v>
      </c>
      <c r="N20" s="140">
        <v>0</v>
      </c>
      <c r="O20" s="140">
        <v>0</v>
      </c>
      <c r="P20" s="137" t="s">
        <v>48</v>
      </c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</row>
    <row r="21" spans="1:36" x14ac:dyDescent="0.3">
      <c r="A21" s="135" t="s">
        <v>96</v>
      </c>
      <c r="B21" s="136">
        <v>46069</v>
      </c>
      <c r="C21" s="137" t="s">
        <v>29</v>
      </c>
      <c r="D21" s="138" t="s">
        <v>91</v>
      </c>
      <c r="E21" s="137" t="s">
        <v>1</v>
      </c>
      <c r="F21" s="137" t="s">
        <v>86</v>
      </c>
      <c r="G21" s="139">
        <v>0</v>
      </c>
      <c r="H21" s="140">
        <v>168</v>
      </c>
      <c r="I21" s="140">
        <v>0</v>
      </c>
      <c r="J21" s="140">
        <v>0</v>
      </c>
      <c r="K21" s="137" t="s">
        <v>87</v>
      </c>
      <c r="L21" s="141" t="s">
        <v>32</v>
      </c>
      <c r="M21" s="140">
        <v>0</v>
      </c>
      <c r="N21" s="140">
        <v>0</v>
      </c>
      <c r="O21" s="140">
        <v>0</v>
      </c>
      <c r="P21" s="137" t="s">
        <v>46</v>
      </c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</row>
    <row r="22" spans="1:36" x14ac:dyDescent="0.3">
      <c r="A22" s="135" t="s">
        <v>97</v>
      </c>
      <c r="B22" s="136">
        <v>46070</v>
      </c>
      <c r="C22" s="137" t="s">
        <v>29</v>
      </c>
      <c r="D22" s="138" t="s">
        <v>98</v>
      </c>
      <c r="E22" s="137" t="s">
        <v>1</v>
      </c>
      <c r="F22" s="137" t="s">
        <v>86</v>
      </c>
      <c r="G22" s="139">
        <v>6.0000000000000001E-3</v>
      </c>
      <c r="H22" s="140">
        <v>168</v>
      </c>
      <c r="I22" s="140">
        <v>1</v>
      </c>
      <c r="J22" s="140">
        <v>0</v>
      </c>
      <c r="K22" s="137" t="s">
        <v>87</v>
      </c>
      <c r="L22" s="141" t="s">
        <v>49</v>
      </c>
      <c r="M22" s="140">
        <v>0</v>
      </c>
      <c r="N22" s="140">
        <v>0</v>
      </c>
      <c r="O22" s="140">
        <v>1</v>
      </c>
      <c r="P22" s="137" t="s">
        <v>46</v>
      </c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40" t="s">
        <v>39</v>
      </c>
      <c r="AB22" s="133"/>
      <c r="AC22" s="133"/>
      <c r="AD22" s="133"/>
      <c r="AE22" s="133"/>
      <c r="AF22" s="133"/>
      <c r="AG22" s="133"/>
      <c r="AH22" s="133"/>
      <c r="AI22" s="133"/>
      <c r="AJ22" s="133"/>
    </row>
    <row r="23" spans="1:36" x14ac:dyDescent="0.3">
      <c r="A23" s="135" t="s">
        <v>84</v>
      </c>
      <c r="B23" s="136">
        <v>46071</v>
      </c>
      <c r="C23" s="137" t="s">
        <v>50</v>
      </c>
      <c r="D23" s="138" t="s">
        <v>99</v>
      </c>
      <c r="E23" s="137" t="s">
        <v>1</v>
      </c>
      <c r="F23" s="137" t="s">
        <v>86</v>
      </c>
      <c r="G23" s="139">
        <v>0</v>
      </c>
      <c r="H23" s="140">
        <v>168</v>
      </c>
      <c r="I23" s="140">
        <v>0</v>
      </c>
      <c r="J23" s="140">
        <v>0</v>
      </c>
      <c r="K23" s="137" t="s">
        <v>87</v>
      </c>
      <c r="L23" s="141" t="s">
        <v>32</v>
      </c>
      <c r="M23" s="140">
        <v>0</v>
      </c>
      <c r="N23" s="140">
        <v>0</v>
      </c>
      <c r="O23" s="140">
        <v>0</v>
      </c>
      <c r="P23" s="137" t="s">
        <v>52</v>
      </c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</row>
    <row r="24" spans="1:36" x14ac:dyDescent="0.3">
      <c r="A24" s="135" t="s">
        <v>84</v>
      </c>
      <c r="B24" s="136">
        <v>46071</v>
      </c>
      <c r="C24" s="137" t="s">
        <v>29</v>
      </c>
      <c r="D24" s="138" t="s">
        <v>85</v>
      </c>
      <c r="E24" s="137" t="s">
        <v>1</v>
      </c>
      <c r="F24" s="137" t="s">
        <v>86</v>
      </c>
      <c r="G24" s="139">
        <v>0</v>
      </c>
      <c r="H24" s="140">
        <v>168</v>
      </c>
      <c r="I24" s="140">
        <v>0</v>
      </c>
      <c r="J24" s="140">
        <v>0</v>
      </c>
      <c r="K24" s="137" t="s">
        <v>87</v>
      </c>
      <c r="L24" s="141" t="s">
        <v>32</v>
      </c>
      <c r="M24" s="140">
        <v>0</v>
      </c>
      <c r="N24" s="140">
        <v>0</v>
      </c>
      <c r="O24" s="140">
        <v>0</v>
      </c>
      <c r="P24" s="137" t="s">
        <v>33</v>
      </c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</row>
    <row r="25" spans="1:36" x14ac:dyDescent="0.3">
      <c r="A25" s="135" t="s">
        <v>88</v>
      </c>
      <c r="B25" s="136">
        <v>46072</v>
      </c>
      <c r="C25" s="137" t="s">
        <v>29</v>
      </c>
      <c r="D25" s="138" t="s">
        <v>89</v>
      </c>
      <c r="E25" s="137" t="s">
        <v>1</v>
      </c>
      <c r="F25" s="137" t="s">
        <v>86</v>
      </c>
      <c r="G25" s="139">
        <v>0</v>
      </c>
      <c r="H25" s="140">
        <v>168</v>
      </c>
      <c r="I25" s="140">
        <v>0</v>
      </c>
      <c r="J25" s="140">
        <v>0</v>
      </c>
      <c r="K25" s="137" t="s">
        <v>87</v>
      </c>
      <c r="L25" s="141" t="s">
        <v>32</v>
      </c>
      <c r="M25" s="140">
        <v>0</v>
      </c>
      <c r="N25" s="140">
        <v>0</v>
      </c>
      <c r="O25" s="140">
        <v>0</v>
      </c>
      <c r="P25" s="137" t="s">
        <v>33</v>
      </c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</row>
    <row r="26" spans="1:36" x14ac:dyDescent="0.3">
      <c r="A26" s="135" t="s">
        <v>90</v>
      </c>
      <c r="B26" s="136">
        <v>46073</v>
      </c>
      <c r="C26" s="137" t="s">
        <v>29</v>
      </c>
      <c r="D26" s="138" t="s">
        <v>91</v>
      </c>
      <c r="E26" s="137" t="s">
        <v>1</v>
      </c>
      <c r="F26" s="137" t="s">
        <v>86</v>
      </c>
      <c r="G26" s="139">
        <v>0</v>
      </c>
      <c r="H26" s="140">
        <v>168</v>
      </c>
      <c r="I26" s="140">
        <v>0</v>
      </c>
      <c r="J26" s="140">
        <v>0</v>
      </c>
      <c r="K26" s="137" t="s">
        <v>87</v>
      </c>
      <c r="L26" s="141" t="s">
        <v>32</v>
      </c>
      <c r="M26" s="140">
        <v>0</v>
      </c>
      <c r="N26" s="140">
        <v>0</v>
      </c>
      <c r="O26" s="140">
        <v>0</v>
      </c>
      <c r="P26" s="137" t="s">
        <v>33</v>
      </c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</row>
    <row r="27" spans="1:36" x14ac:dyDescent="0.3">
      <c r="A27" s="135" t="s">
        <v>92</v>
      </c>
      <c r="B27" s="136">
        <v>46074</v>
      </c>
      <c r="C27" s="137" t="s">
        <v>29</v>
      </c>
      <c r="D27" s="138" t="s">
        <v>93</v>
      </c>
      <c r="E27" s="137" t="s">
        <v>1</v>
      </c>
      <c r="F27" s="137" t="s">
        <v>86</v>
      </c>
      <c r="G27" s="139">
        <v>0</v>
      </c>
      <c r="H27" s="140">
        <v>168</v>
      </c>
      <c r="I27" s="140">
        <v>0</v>
      </c>
      <c r="J27" s="140">
        <v>0</v>
      </c>
      <c r="K27" s="137" t="s">
        <v>87</v>
      </c>
      <c r="L27" s="141" t="s">
        <v>32</v>
      </c>
      <c r="M27" s="140">
        <v>0</v>
      </c>
      <c r="N27" s="140">
        <v>0</v>
      </c>
      <c r="O27" s="140">
        <v>0</v>
      </c>
      <c r="P27" s="137" t="s">
        <v>33</v>
      </c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</row>
    <row r="28" spans="1:36" x14ac:dyDescent="0.3">
      <c r="A28" s="135" t="s">
        <v>94</v>
      </c>
      <c r="B28" s="136">
        <v>46075</v>
      </c>
      <c r="C28" s="137" t="s">
        <v>29</v>
      </c>
      <c r="D28" s="138" t="s">
        <v>95</v>
      </c>
      <c r="E28" s="137" t="s">
        <v>1</v>
      </c>
      <c r="F28" s="137" t="s">
        <v>86</v>
      </c>
      <c r="G28" s="139">
        <v>0</v>
      </c>
      <c r="H28" s="140">
        <v>168</v>
      </c>
      <c r="I28" s="140">
        <v>0</v>
      </c>
      <c r="J28" s="140">
        <v>0</v>
      </c>
      <c r="K28" s="137" t="s">
        <v>87</v>
      </c>
      <c r="L28" s="141" t="s">
        <v>32</v>
      </c>
      <c r="M28" s="140">
        <v>0</v>
      </c>
      <c r="N28" s="140">
        <v>0</v>
      </c>
      <c r="O28" s="140">
        <v>0</v>
      </c>
      <c r="P28" s="137" t="s">
        <v>33</v>
      </c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</row>
    <row r="29" spans="1:36" x14ac:dyDescent="0.3">
      <c r="A29" s="135" t="s">
        <v>96</v>
      </c>
      <c r="B29" s="136">
        <v>46076</v>
      </c>
      <c r="C29" s="137" t="s">
        <v>53</v>
      </c>
      <c r="D29" s="138" t="s">
        <v>100</v>
      </c>
      <c r="E29" s="137" t="s">
        <v>1</v>
      </c>
      <c r="F29" s="137" t="s">
        <v>86</v>
      </c>
      <c r="G29" s="139">
        <v>0</v>
      </c>
      <c r="H29" s="140">
        <v>168</v>
      </c>
      <c r="I29" s="140">
        <v>0</v>
      </c>
      <c r="J29" s="140">
        <v>0</v>
      </c>
      <c r="K29" s="137" t="s">
        <v>87</v>
      </c>
      <c r="L29" s="141" t="s">
        <v>32</v>
      </c>
      <c r="M29" s="140">
        <v>0</v>
      </c>
      <c r="N29" s="140">
        <v>0</v>
      </c>
      <c r="O29" s="140">
        <v>0</v>
      </c>
      <c r="P29" s="137" t="s">
        <v>52</v>
      </c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</row>
    <row r="30" spans="1:36" x14ac:dyDescent="0.3">
      <c r="A30" s="135" t="s">
        <v>96</v>
      </c>
      <c r="B30" s="136">
        <v>46076</v>
      </c>
      <c r="C30" s="137" t="s">
        <v>29</v>
      </c>
      <c r="D30" s="138" t="s">
        <v>91</v>
      </c>
      <c r="E30" s="137" t="s">
        <v>1</v>
      </c>
      <c r="F30" s="137" t="s">
        <v>86</v>
      </c>
      <c r="G30" s="139">
        <v>0</v>
      </c>
      <c r="H30" s="140">
        <v>168</v>
      </c>
      <c r="I30" s="140">
        <v>0</v>
      </c>
      <c r="J30" s="140">
        <v>0</v>
      </c>
      <c r="K30" s="137" t="s">
        <v>87</v>
      </c>
      <c r="L30" s="141" t="s">
        <v>32</v>
      </c>
      <c r="M30" s="140">
        <v>0</v>
      </c>
      <c r="N30" s="140">
        <v>0</v>
      </c>
      <c r="O30" s="140">
        <v>0</v>
      </c>
      <c r="P30" s="137" t="s">
        <v>33</v>
      </c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</row>
    <row r="31" spans="1:36" x14ac:dyDescent="0.3">
      <c r="A31" s="135" t="s">
        <v>97</v>
      </c>
      <c r="B31" s="136">
        <v>46077</v>
      </c>
      <c r="C31" s="137" t="s">
        <v>29</v>
      </c>
      <c r="D31" s="138" t="s">
        <v>98</v>
      </c>
      <c r="E31" s="137" t="s">
        <v>1</v>
      </c>
      <c r="F31" s="137" t="s">
        <v>86</v>
      </c>
      <c r="G31" s="139">
        <v>0</v>
      </c>
      <c r="H31" s="140">
        <v>168</v>
      </c>
      <c r="I31" s="140">
        <v>0</v>
      </c>
      <c r="J31" s="140">
        <v>0</v>
      </c>
      <c r="K31" s="137" t="s">
        <v>87</v>
      </c>
      <c r="L31" s="141" t="s">
        <v>32</v>
      </c>
      <c r="M31" s="140">
        <v>0</v>
      </c>
      <c r="N31" s="140">
        <v>0</v>
      </c>
      <c r="O31" s="140">
        <v>0</v>
      </c>
      <c r="P31" s="137" t="s">
        <v>33</v>
      </c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</row>
    <row r="32" spans="1:36" x14ac:dyDescent="0.3">
      <c r="A32" s="135" t="s">
        <v>84</v>
      </c>
      <c r="B32" s="136">
        <v>46078</v>
      </c>
      <c r="C32" s="137" t="s">
        <v>29</v>
      </c>
      <c r="D32" s="138" t="s">
        <v>85</v>
      </c>
      <c r="E32" s="137" t="s">
        <v>1</v>
      </c>
      <c r="F32" s="137" t="s">
        <v>86</v>
      </c>
      <c r="G32" s="139">
        <v>0</v>
      </c>
      <c r="H32" s="140">
        <v>168</v>
      </c>
      <c r="I32" s="140">
        <v>0</v>
      </c>
      <c r="J32" s="140">
        <v>0</v>
      </c>
      <c r="K32" s="137" t="s">
        <v>87</v>
      </c>
      <c r="L32" s="141" t="s">
        <v>32</v>
      </c>
      <c r="M32" s="140">
        <v>0</v>
      </c>
      <c r="N32" s="140">
        <v>0</v>
      </c>
      <c r="O32" s="140">
        <v>0</v>
      </c>
      <c r="P32" s="137" t="s">
        <v>33</v>
      </c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</row>
    <row r="33" spans="1:36" x14ac:dyDescent="0.3">
      <c r="A33" s="135" t="s">
        <v>88</v>
      </c>
      <c r="B33" s="136">
        <v>46079</v>
      </c>
      <c r="C33" s="137" t="s">
        <v>29</v>
      </c>
      <c r="D33" s="138" t="s">
        <v>89</v>
      </c>
      <c r="E33" s="137" t="s">
        <v>1</v>
      </c>
      <c r="F33" s="137" t="s">
        <v>86</v>
      </c>
      <c r="G33" s="139">
        <v>6.0000000000000001E-3</v>
      </c>
      <c r="H33" s="140">
        <v>168</v>
      </c>
      <c r="I33" s="140">
        <v>1</v>
      </c>
      <c r="J33" s="140">
        <v>0</v>
      </c>
      <c r="K33" s="137" t="s">
        <v>87</v>
      </c>
      <c r="L33" s="141" t="s">
        <v>54</v>
      </c>
      <c r="M33" s="140">
        <v>0</v>
      </c>
      <c r="N33" s="140">
        <v>0</v>
      </c>
      <c r="O33" s="140">
        <v>1</v>
      </c>
      <c r="P33" s="137" t="s">
        <v>38</v>
      </c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40" t="s">
        <v>39</v>
      </c>
      <c r="AB33" s="133"/>
      <c r="AC33" s="133"/>
      <c r="AD33" s="133"/>
      <c r="AE33" s="133"/>
      <c r="AF33" s="133"/>
      <c r="AG33" s="133"/>
      <c r="AH33" s="133"/>
      <c r="AI33" s="133"/>
      <c r="AJ33" s="133"/>
    </row>
    <row r="34" spans="1:36" x14ac:dyDescent="0.3">
      <c r="A34" s="135" t="s">
        <v>90</v>
      </c>
      <c r="B34" s="136">
        <v>46080</v>
      </c>
      <c r="C34" s="137" t="s">
        <v>29</v>
      </c>
      <c r="D34" s="138" t="s">
        <v>91</v>
      </c>
      <c r="E34" s="137" t="s">
        <v>1</v>
      </c>
      <c r="F34" s="137" t="s">
        <v>86</v>
      </c>
      <c r="G34" s="139">
        <v>1.1900000000000001E-2</v>
      </c>
      <c r="H34" s="140">
        <v>168</v>
      </c>
      <c r="I34" s="140">
        <v>2</v>
      </c>
      <c r="J34" s="140">
        <v>0</v>
      </c>
      <c r="K34" s="137" t="s">
        <v>87</v>
      </c>
      <c r="L34" s="141" t="s">
        <v>35</v>
      </c>
      <c r="M34" s="140">
        <v>0</v>
      </c>
      <c r="N34" s="140">
        <v>0</v>
      </c>
      <c r="O34" s="140">
        <v>2</v>
      </c>
      <c r="P34" s="137" t="s">
        <v>41</v>
      </c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40" t="s">
        <v>42</v>
      </c>
      <c r="AB34" s="133"/>
      <c r="AC34" s="133"/>
      <c r="AD34" s="133"/>
      <c r="AE34" s="133"/>
      <c r="AF34" s="133"/>
      <c r="AG34" s="133"/>
      <c r="AH34" s="133"/>
      <c r="AI34" s="133"/>
      <c r="AJ34" s="133"/>
    </row>
    <row r="35" spans="1:36" x14ac:dyDescent="0.3">
      <c r="A35" s="135" t="s">
        <v>92</v>
      </c>
      <c r="B35" s="136">
        <v>46081</v>
      </c>
      <c r="C35" s="137" t="s">
        <v>29</v>
      </c>
      <c r="D35" s="138" t="s">
        <v>93</v>
      </c>
      <c r="E35" s="137" t="s">
        <v>1</v>
      </c>
      <c r="F35" s="137" t="s">
        <v>86</v>
      </c>
      <c r="G35" s="139">
        <v>0</v>
      </c>
      <c r="H35" s="140">
        <v>168</v>
      </c>
      <c r="I35" s="140">
        <v>0</v>
      </c>
      <c r="J35" s="140">
        <v>0</v>
      </c>
      <c r="K35" s="137" t="s">
        <v>87</v>
      </c>
      <c r="L35" s="141" t="s">
        <v>32</v>
      </c>
      <c r="M35" s="140">
        <v>0</v>
      </c>
      <c r="N35" s="140">
        <v>0</v>
      </c>
      <c r="O35" s="140">
        <v>0</v>
      </c>
      <c r="P35" s="137" t="s">
        <v>33</v>
      </c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</row>
    <row r="36" spans="1:36" x14ac:dyDescent="0.3">
      <c r="A36" s="135" t="s">
        <v>94</v>
      </c>
      <c r="B36" s="136">
        <v>46082</v>
      </c>
      <c r="C36" s="137" t="s">
        <v>29</v>
      </c>
      <c r="D36" s="138" t="s">
        <v>95</v>
      </c>
      <c r="E36" s="137" t="s">
        <v>1</v>
      </c>
      <c r="F36" s="137" t="s">
        <v>86</v>
      </c>
      <c r="G36" s="139">
        <v>0</v>
      </c>
      <c r="H36" s="140">
        <v>168</v>
      </c>
      <c r="I36" s="140">
        <v>0</v>
      </c>
      <c r="J36" s="140">
        <v>0</v>
      </c>
      <c r="K36" s="137" t="s">
        <v>87</v>
      </c>
      <c r="L36" s="141" t="s">
        <v>32</v>
      </c>
      <c r="M36" s="140">
        <v>0</v>
      </c>
      <c r="N36" s="140">
        <v>0</v>
      </c>
      <c r="O36" s="140">
        <v>0</v>
      </c>
      <c r="P36" s="137" t="s">
        <v>33</v>
      </c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</row>
    <row r="37" spans="1:36" ht="21" x14ac:dyDescent="0.3">
      <c r="A37" s="142" t="s">
        <v>101</v>
      </c>
      <c r="B37" s="143"/>
      <c r="C37" s="142">
        <f>SUBTOTAL(103,YNB_CAI_LF_LEGACY[Flt])</f>
        <v>35</v>
      </c>
      <c r="D37" s="142"/>
      <c r="E37" s="142">
        <f>SUBTOTAL(103,YNB_CAI_LF_LEGACY[Brd-Off])</f>
        <v>35</v>
      </c>
      <c r="F37" s="142"/>
      <c r="G37" s="144">
        <f>SUBTOTAL(101,YNB_CAI_LF_LEGACY[LF%])</f>
        <v>2.2228571428571432E-3</v>
      </c>
      <c r="H37" s="145">
        <f>SUBTOTAL(109,YNB_CAI_LF_LEGACY[CAP])</f>
        <v>5880</v>
      </c>
      <c r="I37" s="145">
        <f>SUBTOTAL(109,YNB_CAI_LF_LEGACY[BKG(Y)])</f>
        <v>13</v>
      </c>
      <c r="J37" s="145">
        <f>SUBTOTAL(109,YNB_CAI_LF_LEGACY[GRP(Y)])</f>
        <v>0</v>
      </c>
      <c r="K37" s="142"/>
      <c r="L37" s="143"/>
      <c r="M37" s="145">
        <f>SUBTOTAL(109,YNB_CAI_LF_LEGACY[TO-DAY])</f>
        <v>0</v>
      </c>
      <c r="N37" s="145">
        <f>SUBTOTAL(109,YNB_CAI_LF_LEGACY[Y-DAY])</f>
        <v>0</v>
      </c>
      <c r="O37" s="145">
        <f>SUBTOTAL(109,YNB_CAI_LF_LEGACY[WEEKLY])</f>
        <v>19</v>
      </c>
      <c r="P37" s="146"/>
      <c r="Q37" s="145">
        <f>SUBTOTAL(109,YNB_CAI_LF_LEGACY[Y])</f>
        <v>0</v>
      </c>
      <c r="R37" s="145">
        <f>SUBTOTAL(109,YNB_CAI_LF_LEGACY[B])</f>
        <v>0</v>
      </c>
      <c r="S37" s="145">
        <f>SUBTOTAL(109,YNB_CAI_LF_LEGACY[M])</f>
        <v>0</v>
      </c>
      <c r="T37" s="145">
        <f>SUBTOTAL(109,YNB_CAI_LF_LEGACY[H])</f>
        <v>0</v>
      </c>
      <c r="U37" s="145">
        <f>SUBTOTAL(109,YNB_CAI_LF_LEGACY[Q])</f>
        <v>0</v>
      </c>
      <c r="V37" s="145">
        <f>SUBTOTAL(109,YNB_CAI_LF_LEGACY[K])</f>
        <v>0</v>
      </c>
      <c r="W37" s="145">
        <f>SUBTOTAL(109,YNB_CAI_LF_LEGACY[V])</f>
        <v>0</v>
      </c>
      <c r="X37" s="145">
        <f>SUBTOTAL(109,YNB_CAI_LF_LEGACY[L])</f>
        <v>0</v>
      </c>
      <c r="Y37" s="145">
        <f>SUBTOTAL(109,YNB_CAI_LF_LEGACY[G])</f>
        <v>0</v>
      </c>
      <c r="Z37" s="145">
        <f>SUBTOTAL(109,YNB_CAI_LF_LEGACY[S])</f>
        <v>0</v>
      </c>
      <c r="AA37" s="145">
        <f>SUBTOTAL(109,YNB_CAI_LF_LEGACY[W])</f>
        <v>0</v>
      </c>
      <c r="AB37" s="145">
        <f>SUBTOTAL(109,YNB_CAI_LF_LEGACY[T])</f>
        <v>0</v>
      </c>
      <c r="AC37" s="145">
        <f>SUBTOTAL(109,YNB_CAI_LF_LEGACY[X])</f>
        <v>0</v>
      </c>
      <c r="AD37" s="145">
        <f>SUBTOTAL(109,YNB_CAI_LF_LEGACY[U])</f>
        <v>0</v>
      </c>
      <c r="AE37" s="145">
        <f>SUBTOTAL(109,YNB_CAI_LF_LEGACY[O])</f>
        <v>0</v>
      </c>
      <c r="AF37" s="145">
        <f>SUBTOTAL(109,YNB_CAI_LF_LEGACY[I])</f>
        <v>0</v>
      </c>
      <c r="AG37" s="145">
        <f>SUBTOTAL(109,YNB_CAI_LF_LEGACY[E])</f>
        <v>0</v>
      </c>
      <c r="AH37" s="145">
        <f>SUBTOTAL(109,YNB_CAI_LF_LEGACY[A])</f>
        <v>0</v>
      </c>
      <c r="AI37" s="145">
        <f>SUBTOTAL(109,YNB_CAI_LF_LEGACY[P])</f>
        <v>0</v>
      </c>
      <c r="AJ37" s="145">
        <f>SUBTOTAL(103,YNB_CAI_LF_LEGACY[N])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YNB-CAI</vt:lpstr>
      <vt:lpstr>YNB-CAI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2025-11-22T23:43:29Z</dcterms:created>
  <dcterms:modified xsi:type="dcterms:W3CDTF">2025-11-22T23:43:36Z</dcterms:modified>
</cp:coreProperties>
</file>