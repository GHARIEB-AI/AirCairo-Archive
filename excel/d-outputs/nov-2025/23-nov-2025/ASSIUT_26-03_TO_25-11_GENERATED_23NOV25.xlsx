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E6BAB8F-FD02-4948-879E-88BB01B06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Z-MED" sheetId="1" r:id="rId1"/>
    <sheet name="ATZ-MED LF LEGACY" sheetId="2" r:id="rId2"/>
    <sheet name="ATZ-JED" sheetId="3" r:id="rId3"/>
    <sheet name="ATZ-JED LF LEGACY" sheetId="4" r:id="rId4"/>
    <sheet name="ATZ-RUH" sheetId="5" r:id="rId5"/>
    <sheet name="ATZ-RUH LF LEGACY" sheetId="6" r:id="rId6"/>
    <sheet name="ATZ-DMM" sheetId="7" r:id="rId7"/>
    <sheet name="ATZ-DMM LF LEGACY" sheetId="8" r:id="rId8"/>
    <sheet name="ATZ-TUU" sheetId="9" r:id="rId9"/>
    <sheet name="ATZ-TUU LF LEGACY" sheetId="10" r:id="rId10"/>
    <sheet name="ATZ-AJF" sheetId="11" r:id="rId11"/>
    <sheet name="ATZ-AJF LF LEGACY" sheetId="12" r:id="rId12"/>
    <sheet name="ATZ-AHB" sheetId="13" r:id="rId13"/>
    <sheet name="ATZ-AHB LF LEGACY" sheetId="14" r:id="rId14"/>
    <sheet name="ATZ-ELQ" sheetId="15" r:id="rId15"/>
    <sheet name="ATZ-ELQ LF LEGAC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6" l="1"/>
  <c r="E11" i="16"/>
  <c r="G11" i="16"/>
  <c r="H11" i="16"/>
  <c r="I11" i="16"/>
  <c r="J11" i="16"/>
  <c r="M11" i="16"/>
  <c r="N11" i="16"/>
  <c r="O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C7" i="14"/>
  <c r="E7" i="14"/>
  <c r="G7" i="14"/>
  <c r="H7" i="14"/>
  <c r="I7" i="14"/>
  <c r="J7" i="14"/>
  <c r="M7" i="14"/>
  <c r="N7" i="14"/>
  <c r="O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C7" i="12"/>
  <c r="E7" i="12"/>
  <c r="G7" i="12"/>
  <c r="H7" i="12"/>
  <c r="I7" i="12"/>
  <c r="J7" i="12"/>
  <c r="M7" i="12"/>
  <c r="N7" i="12"/>
  <c r="O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C7" i="10"/>
  <c r="E7" i="10"/>
  <c r="G7" i="10"/>
  <c r="H7" i="10"/>
  <c r="I7" i="10"/>
  <c r="J7" i="10"/>
  <c r="M7" i="10"/>
  <c r="N7" i="10"/>
  <c r="O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C11" i="8"/>
  <c r="E11" i="8"/>
  <c r="G11" i="8"/>
  <c r="H11" i="8"/>
  <c r="I11" i="8"/>
  <c r="J11" i="8"/>
  <c r="M11" i="8"/>
  <c r="N11" i="8"/>
  <c r="O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C16" i="6"/>
  <c r="E16" i="6"/>
  <c r="G16" i="6"/>
  <c r="H16" i="6"/>
  <c r="I16" i="6"/>
  <c r="J16" i="6"/>
  <c r="M16" i="6"/>
  <c r="N16" i="6"/>
  <c r="O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C79" i="4"/>
  <c r="E79" i="4"/>
  <c r="G79" i="4"/>
  <c r="H79" i="4"/>
  <c r="I79" i="4"/>
  <c r="J79" i="4"/>
  <c r="M79" i="4"/>
  <c r="N79" i="4"/>
  <c r="O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C20" i="2"/>
  <c r="E20" i="2"/>
  <c r="G20" i="2"/>
  <c r="H20" i="2"/>
  <c r="I20" i="2"/>
  <c r="J20" i="2"/>
  <c r="M20" i="2"/>
  <c r="N20" i="2"/>
  <c r="O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</calcChain>
</file>

<file path=xl/sharedStrings.xml><?xml version="1.0" encoding="utf-8"?>
<sst xmlns="http://schemas.openxmlformats.org/spreadsheetml/2006/main" count="4688" uniqueCount="218">
  <si>
    <t>COMPREHENSIVE REPORT</t>
  </si>
  <si>
    <t>ATZ-MED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</si>
  <si>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</si>
  <si>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</si>
  <si>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</si>
  <si>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</si>
  <si>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</si>
  <si>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</si>
  <si>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</si>
  <si>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</si>
  <si>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</si>
  <si>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</si>
  <si>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</si>
  <si>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</si>
  <si>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</si>
  <si>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</si>
  <si>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</si>
  <si>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</si>
  <si>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</si>
  <si>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</si>
  <si>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</si>
  <si>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</si>
  <si>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</si>
  <si>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</si>
  <si>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</si>
  <si>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</si>
  <si>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</si>
  <si>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</si>
  <si>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</si>
  <si>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SM489</t>
  </si>
  <si>
    <t>30KG + 7KG CABIN</t>
  </si>
  <si>
    <t>LOW DEMAND</t>
  </si>
  <si>
    <t>2026-10-22 00:00:00</t>
  </si>
  <si>
    <t>I9</t>
  </si>
  <si>
    <t>X1</t>
  </si>
  <si>
    <t>SM487</t>
  </si>
  <si>
    <t>2026-11-17 00:00:00</t>
  </si>
  <si>
    <t>I8</t>
  </si>
  <si>
    <t>X1 &amp; I1</t>
  </si>
  <si>
    <t>NO BOOKINGS YET</t>
  </si>
  <si>
    <t>NIL</t>
  </si>
  <si>
    <t>V5</t>
  </si>
  <si>
    <t>2026-11-13 00:00:00</t>
  </si>
  <si>
    <t>V4</t>
  </si>
  <si>
    <t>V1</t>
  </si>
  <si>
    <t>2026-11-09 00:00:00</t>
  </si>
  <si>
    <t>V3</t>
  </si>
  <si>
    <t>V2</t>
  </si>
  <si>
    <t>2026-10-13 00:00:00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</si>
  <si>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</si>
  <si>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</si>
  <si>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</si>
  <si>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</si>
  <si>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</si>
  <si>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</si>
  <si>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</si>
  <si>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</si>
  <si>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</si>
  <si>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</si>
  <si>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</si>
  <si>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</si>
  <si>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</si>
  <si>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</si>
  <si>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</si>
  <si>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</si>
  <si>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</si>
  <si>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</si>
  <si>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</si>
  <si>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</si>
  <si>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</si>
  <si>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</si>
  <si>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</si>
  <si>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</si>
  <si>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</si>
  <si>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</si>
  <si>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</si>
  <si>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</si>
  <si>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</si>
  <si>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</si>
  <si>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11:05</t>
  </si>
  <si>
    <t>320</t>
  </si>
  <si>
    <t>UPCOMING</t>
  </si>
  <si>
    <t>SATURDAY</t>
  </si>
  <si>
    <t>19:15</t>
  </si>
  <si>
    <t>I1</t>
  </si>
  <si>
    <t>MONDAY</t>
  </si>
  <si>
    <t>15:30</t>
  </si>
  <si>
    <t>TUESDAY</t>
  </si>
  <si>
    <t>03:00</t>
  </si>
  <si>
    <t>ATZ-JED</t>
  </si>
  <si>
    <t>SM453</t>
  </si>
  <si>
    <t>2026-11-15 00:00:00</t>
  </si>
  <si>
    <t>X3</t>
  </si>
  <si>
    <t>SM491</t>
  </si>
  <si>
    <t>2026-11-11 00:00:00</t>
  </si>
  <si>
    <t>W7</t>
  </si>
  <si>
    <t>T6 &amp; X2</t>
  </si>
  <si>
    <t>SM421</t>
  </si>
  <si>
    <t>2026-11-10 00:00:00</t>
  </si>
  <si>
    <t>X2</t>
  </si>
  <si>
    <t>X4</t>
  </si>
  <si>
    <t>SM455</t>
  </si>
  <si>
    <t>2026-11-03 00:00:00</t>
  </si>
  <si>
    <t>W2</t>
  </si>
  <si>
    <t>2026-11-01 00:00:00</t>
  </si>
  <si>
    <t>2026-09-04 00:00:00</t>
  </si>
  <si>
    <t>2026-11-19 00:00:00</t>
  </si>
  <si>
    <t>W1 &amp; X3</t>
  </si>
  <si>
    <t>T2</t>
  </si>
  <si>
    <t>T2 &amp; X4</t>
  </si>
  <si>
    <t>2026-11-08 00:00:00</t>
  </si>
  <si>
    <t>2026-11-12 00:00:00</t>
  </si>
  <si>
    <t>W1</t>
  </si>
  <si>
    <t>O9</t>
  </si>
  <si>
    <t>2026-11-22 00:00:00</t>
  </si>
  <si>
    <t>O4</t>
  </si>
  <si>
    <t>O5</t>
  </si>
  <si>
    <t>2026-11-18 00:00:00</t>
  </si>
  <si>
    <t>O8</t>
  </si>
  <si>
    <t>O1</t>
  </si>
  <si>
    <t>2026-11-05 00:00:00</t>
  </si>
  <si>
    <t>O6</t>
  </si>
  <si>
    <t>O3</t>
  </si>
  <si>
    <t>O7</t>
  </si>
  <si>
    <t>O2</t>
  </si>
  <si>
    <t>2026-10-21 00:00:00</t>
  </si>
  <si>
    <t>2026-09-29 00:00:00</t>
  </si>
  <si>
    <t>2026-10-25 00:00:00</t>
  </si>
  <si>
    <t>2026-11-02 00:00:00</t>
  </si>
  <si>
    <t>2026-11-16 00:00:00</t>
  </si>
  <si>
    <t>2026-09-08 00:00:00</t>
  </si>
  <si>
    <t>2026-09-07 00:00:00</t>
  </si>
  <si>
    <t>W9</t>
  </si>
  <si>
    <t>2026-10-15 00:00:00</t>
  </si>
  <si>
    <t>2026-09-25 00:00:00</t>
  </si>
  <si>
    <t>2026-10-27 00:00:00</t>
  </si>
  <si>
    <t>W3</t>
  </si>
  <si>
    <t>L9</t>
  </si>
  <si>
    <t>L3</t>
  </si>
  <si>
    <t>02:35</t>
  </si>
  <si>
    <t>12:00</t>
  </si>
  <si>
    <t>T6</t>
  </si>
  <si>
    <t>22:10</t>
  </si>
  <si>
    <t>THURSDAY</t>
  </si>
  <si>
    <t>12:35</t>
  </si>
  <si>
    <t>13:10</t>
  </si>
  <si>
    <t>FRIDAY</t>
  </si>
  <si>
    <t>03:15</t>
  </si>
  <si>
    <t>03:25</t>
  </si>
  <si>
    <t>07:15</t>
  </si>
  <si>
    <t>12:40</t>
  </si>
  <si>
    <t>SUNDAY</t>
  </si>
  <si>
    <t>07:55</t>
  </si>
  <si>
    <t>16:35</t>
  </si>
  <si>
    <t>02:15</t>
  </si>
  <si>
    <t>04:40</t>
  </si>
  <si>
    <t>08:20</t>
  </si>
  <si>
    <t>04:00</t>
  </si>
  <si>
    <t>ATZ-RUH</t>
  </si>
  <si>
    <t>SM465</t>
  </si>
  <si>
    <t>U7</t>
  </si>
  <si>
    <t>W1 &amp; X3 &amp; O3</t>
  </si>
  <si>
    <t>SM463</t>
  </si>
  <si>
    <t>U3</t>
  </si>
  <si>
    <t>W2 &amp; X3 &amp; U5 &amp; O1</t>
  </si>
  <si>
    <t>S1 &amp; W1 &amp; O5</t>
  </si>
  <si>
    <t>U6</t>
  </si>
  <si>
    <t>S2 &amp; W2 &amp; U3 &amp; O1</t>
  </si>
  <si>
    <t>G9</t>
  </si>
  <si>
    <t>G2 &amp; W2</t>
  </si>
  <si>
    <t>2026-11-21 00:00:00</t>
  </si>
  <si>
    <t>G3 &amp; S1</t>
  </si>
  <si>
    <t>G1</t>
  </si>
  <si>
    <t>G2</t>
  </si>
  <si>
    <t>2026-10-19 00:00:00</t>
  </si>
  <si>
    <t>S1</t>
  </si>
  <si>
    <t>2026-10-11 00:00:00</t>
  </si>
  <si>
    <t>S1 &amp; W1</t>
  </si>
  <si>
    <t>I4</t>
  </si>
  <si>
    <t>W2 &amp; I1</t>
  </si>
  <si>
    <t>09:45</t>
  </si>
  <si>
    <t>10:15</t>
  </si>
  <si>
    <t>U5</t>
  </si>
  <si>
    <t>10:20</t>
  </si>
  <si>
    <t>S2</t>
  </si>
  <si>
    <t>G3</t>
  </si>
  <si>
    <t>ATZ-DMM</t>
  </si>
  <si>
    <t>SM437</t>
  </si>
  <si>
    <t>X1 &amp; O4</t>
  </si>
  <si>
    <t>W1 &amp; U1 &amp; O2</t>
  </si>
  <si>
    <t>G7</t>
  </si>
  <si>
    <t>G8</t>
  </si>
  <si>
    <t>2026-10-08 00:00:00</t>
  </si>
  <si>
    <t>2026-11-20 00:00:00</t>
  </si>
  <si>
    <t>01:45</t>
  </si>
  <si>
    <t>07:00</t>
  </si>
  <si>
    <t>U1</t>
  </si>
  <si>
    <t>ATZ-TUU</t>
  </si>
  <si>
    <t>SM327</t>
  </si>
  <si>
    <t>X2 &amp; O2</t>
  </si>
  <si>
    <t>09:05</t>
  </si>
  <si>
    <t>ATZ-AJF</t>
  </si>
  <si>
    <t>SM323</t>
  </si>
  <si>
    <t>2026-10-28 00:00:00</t>
  </si>
  <si>
    <t>11:30</t>
  </si>
  <si>
    <t>ATZ-AHB</t>
  </si>
  <si>
    <t>SM445</t>
  </si>
  <si>
    <t>G1 &amp; W1</t>
  </si>
  <si>
    <t>14:00</t>
  </si>
  <si>
    <t>ATZ-ELQ</t>
  </si>
  <si>
    <t>SM435</t>
  </si>
  <si>
    <t>2026-10-29 00:00:00</t>
  </si>
  <si>
    <t>2026-09-11 00:00:00</t>
  </si>
  <si>
    <t>2026-09-24 00:00:00</t>
  </si>
  <si>
    <t>2026-10-09 00:00:00</t>
  </si>
  <si>
    <t>I5</t>
  </si>
  <si>
    <t>20:35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</si>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</sst>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168" fontId="14" fillId="12" borderId="11" xfId="0" applyNumberFormat="1" applyFont="1" applyFill="1" applyBorder="1" applyAlignment="1">
      <alignment horizontal="center" vertical="center"/>
    </xf>
    <xf numFmtId="1" fontId="13" fillId="12" borderId="11" xfId="0" applyNumberFormat="1" applyFont="1" applyFill="1" applyBorder="1" applyAlignment="1">
      <alignment horizontal="center" vertical="center"/>
    </xf>
    <xf numFmtId="16" fontId="13" fillId="12" borderId="11" xfId="0" applyNumberFormat="1" applyFont="1" applyFill="1" applyBorder="1" applyAlignment="1">
      <alignment horizontal="center" vertical="center"/>
    </xf>
    <xf numFmtId="49" fontId="15" fillId="12" borderId="11" xfId="0" applyNumberFormat="1" applyFont="1" applyFill="1" applyBorder="1" applyAlignment="1">
      <alignment horizontal="center" vertical="center"/>
    </xf>
    <xf numFmtId="167" fontId="13" fillId="12" borderId="11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17" fillId="15" borderId="2" xfId="0" applyNumberFormat="1" applyFont="1" applyFill="1" applyBorder="1" applyAlignment="1">
      <alignment horizontal="center" vertical="center"/>
    </xf>
    <xf numFmtId="167" fontId="17" fillId="15" borderId="2" xfId="0" applyNumberFormat="1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168" fontId="14" fillId="15" borderId="11" xfId="0" applyNumberFormat="1" applyFont="1" applyFill="1" applyBorder="1" applyAlignment="1">
      <alignment horizontal="center" vertical="center"/>
    </xf>
    <xf numFmtId="1" fontId="13" fillId="15" borderId="11" xfId="0" applyNumberFormat="1" applyFont="1" applyFill="1" applyBorder="1" applyAlignment="1">
      <alignment horizontal="center" vertical="center"/>
    </xf>
    <xf numFmtId="16" fontId="13" fillId="15" borderId="11" xfId="0" applyNumberFormat="1" applyFont="1" applyFill="1" applyBorder="1" applyAlignment="1">
      <alignment horizontal="center" vertical="center"/>
    </xf>
    <xf numFmtId="49" fontId="15" fillId="15" borderId="11" xfId="0" applyNumberFormat="1" applyFont="1" applyFill="1" applyBorder="1" applyAlignment="1">
      <alignment horizontal="center" vertical="center"/>
    </xf>
    <xf numFmtId="167" fontId="13" fillId="15" borderId="11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167" fontId="17" fillId="12" borderId="13" xfId="0" applyNumberFormat="1" applyFont="1" applyFill="1" applyBorder="1" applyAlignment="1">
      <alignment horizontal="center" vertical="center"/>
    </xf>
    <xf numFmtId="0" fontId="17" fillId="12" borderId="13" xfId="0" applyFont="1" applyFill="1" applyBorder="1" applyAlignment="1">
      <alignment horizontal="center" vertical="center"/>
    </xf>
    <xf numFmtId="49" fontId="13" fillId="11" borderId="10" xfId="0" applyNumberFormat="1" applyFont="1" applyFill="1" applyBorder="1" applyAlignment="1">
      <alignment horizontal="center" vertical="center"/>
    </xf>
    <xf numFmtId="168" fontId="14" fillId="11" borderId="11" xfId="0" applyNumberFormat="1" applyFont="1" applyFill="1" applyBorder="1" applyAlignment="1">
      <alignment horizontal="center" vertical="center"/>
    </xf>
    <xf numFmtId="1" fontId="13" fillId="11" borderId="11" xfId="0" applyNumberFormat="1" applyFont="1" applyFill="1" applyBorder="1" applyAlignment="1">
      <alignment horizontal="center" vertical="center"/>
    </xf>
    <xf numFmtId="16" fontId="13" fillId="11" borderId="11" xfId="0" applyNumberFormat="1" applyFont="1" applyFill="1" applyBorder="1" applyAlignment="1">
      <alignment horizontal="center" vertical="center"/>
    </xf>
    <xf numFmtId="49" fontId="15" fillId="11" borderId="11" xfId="0" applyNumberFormat="1" applyFont="1" applyFill="1" applyBorder="1" applyAlignment="1">
      <alignment horizontal="center" vertical="center"/>
    </xf>
    <xf numFmtId="167" fontId="13" fillId="11" borderId="11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17" fillId="10" borderId="13" xfId="0" applyNumberFormat="1" applyFont="1" applyFill="1" applyBorder="1" applyAlignment="1">
      <alignment horizontal="center" vertical="center"/>
    </xf>
    <xf numFmtId="167" fontId="17" fillId="10" borderId="13" xfId="0" applyNumberFormat="1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49" fontId="17" fillId="8" borderId="2" xfId="0" applyNumberFormat="1" applyFont="1" applyFill="1" applyBorder="1" applyAlignment="1">
      <alignment horizontal="center" vertical="center"/>
    </xf>
    <xf numFmtId="167" fontId="17" fillId="8" borderId="2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168" fontId="14" fillId="8" borderId="11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/>
    </xf>
    <xf numFmtId="16" fontId="13" fillId="8" borderId="11" xfId="0" applyNumberFormat="1" applyFont="1" applyFill="1" applyBorder="1" applyAlignment="1">
      <alignment horizontal="center" vertical="center"/>
    </xf>
    <xf numFmtId="49" fontId="15" fillId="8" borderId="11" xfId="0" applyNumberFormat="1" applyFont="1" applyFill="1" applyBorder="1" applyAlignment="1">
      <alignment horizontal="center" vertical="center"/>
    </xf>
    <xf numFmtId="167" fontId="13" fillId="8" borderId="11" xfId="0" applyNumberFormat="1" applyFont="1" applyFill="1" applyBorder="1" applyAlignment="1">
      <alignment horizontal="center" vertical="center"/>
    </xf>
    <xf numFmtId="49" fontId="13" fillId="8" borderId="12" xfId="0" applyNumberFormat="1" applyFont="1" applyFill="1" applyBorder="1" applyAlignment="1">
      <alignment horizontal="center" vertical="center"/>
    </xf>
    <xf numFmtId="49" fontId="17" fillId="15" borderId="13" xfId="0" applyNumberFormat="1" applyFont="1" applyFill="1" applyBorder="1" applyAlignment="1">
      <alignment horizontal="center" vertical="center"/>
    </xf>
    <xf numFmtId="167" fontId="17" fillId="15" borderId="13" xfId="0" applyNumberFormat="1" applyFont="1" applyFill="1" applyBorder="1" applyAlignment="1">
      <alignment horizontal="center" vertical="center"/>
    </xf>
    <xf numFmtId="0" fontId="17" fillId="15" borderId="13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168" fontId="14" fillId="10" borderId="11" xfId="0" applyNumberFormat="1" applyFont="1" applyFill="1" applyBorder="1" applyAlignment="1">
      <alignment horizontal="center" vertical="center"/>
    </xf>
    <xf numFmtId="1" fontId="13" fillId="10" borderId="11" xfId="0" applyNumberFormat="1" applyFont="1" applyFill="1" applyBorder="1" applyAlignment="1">
      <alignment horizontal="center" vertical="center"/>
    </xf>
    <xf numFmtId="16" fontId="13" fillId="10" borderId="11" xfId="0" applyNumberFormat="1" applyFont="1" applyFill="1" applyBorder="1" applyAlignment="1">
      <alignment horizontal="center" vertical="center"/>
    </xf>
    <xf numFmtId="49" fontId="15" fillId="10" borderId="11" xfId="0" applyNumberFormat="1" applyFont="1" applyFill="1" applyBorder="1" applyAlignment="1">
      <alignment horizontal="center" vertical="center"/>
    </xf>
    <xf numFmtId="167" fontId="13" fillId="10" borderId="11" xfId="0" applyNumberFormat="1" applyFont="1" applyFill="1" applyBorder="1" applyAlignment="1">
      <alignment horizontal="center" vertical="center"/>
    </xf>
    <xf numFmtId="49" fontId="13" fillId="10" borderId="12" xfId="0" applyNumberFormat="1" applyFont="1" applyFill="1" applyBorder="1" applyAlignment="1">
      <alignment horizontal="center" vertical="center"/>
    </xf>
    <xf numFmtId="49" fontId="17" fillId="14" borderId="2" xfId="0" applyNumberFormat="1" applyFont="1" applyFill="1" applyBorder="1" applyAlignment="1">
      <alignment horizontal="center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168" fontId="14" fillId="14" borderId="11" xfId="0" applyNumberFormat="1" applyFont="1" applyFill="1" applyBorder="1" applyAlignment="1">
      <alignment horizontal="center" vertical="center"/>
    </xf>
    <xf numFmtId="1" fontId="13" fillId="14" borderId="11" xfId="0" applyNumberFormat="1" applyFont="1" applyFill="1" applyBorder="1" applyAlignment="1">
      <alignment horizontal="center" vertical="center"/>
    </xf>
    <xf numFmtId="16" fontId="13" fillId="14" borderId="11" xfId="0" applyNumberFormat="1" applyFont="1" applyFill="1" applyBorder="1" applyAlignment="1">
      <alignment horizontal="center" vertical="center"/>
    </xf>
    <xf numFmtId="49" fontId="15" fillId="14" borderId="11" xfId="0" applyNumberFormat="1" applyFont="1" applyFill="1" applyBorder="1" applyAlignment="1">
      <alignment horizontal="center" vertical="center"/>
    </xf>
    <xf numFmtId="167" fontId="13" fillId="14" borderId="11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67" fontId="17" fillId="13" borderId="13" xfId="0" applyNumberFormat="1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center" vertical="center"/>
    </xf>
    <xf numFmtId="49" fontId="17" fillId="11" borderId="13" xfId="0" applyNumberFormat="1" applyFont="1" applyFill="1" applyBorder="1" applyAlignment="1">
      <alignment horizontal="center" vertical="center"/>
    </xf>
    <xf numFmtId="167" fontId="17" fillId="11" borderId="13" xfId="0" applyNumberFormat="1" applyFont="1" applyFill="1" applyBorder="1" applyAlignment="1">
      <alignment horizontal="center" vertical="center"/>
    </xf>
    <xf numFmtId="0" fontId="17" fillId="11" borderId="13" xfId="0" applyFont="1" applyFill="1" applyBorder="1" applyAlignment="1">
      <alignment horizontal="center" vertical="center"/>
    </xf>
    <xf numFmtId="49" fontId="17" fillId="11" borderId="2" xfId="0" applyNumberFormat="1" applyFont="1" applyFill="1" applyBorder="1" applyAlignment="1">
      <alignment horizontal="center" vertical="center"/>
    </xf>
    <xf numFmtId="167" fontId="17" fillId="11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49" fontId="17" fillId="14" borderId="13" xfId="0" applyNumberFormat="1" applyFont="1" applyFill="1" applyBorder="1" applyAlignment="1">
      <alignment horizontal="center" vertical="center"/>
    </xf>
    <xf numFmtId="167" fontId="17" fillId="14" borderId="13" xfId="0" applyNumberFormat="1" applyFont="1" applyFill="1" applyBorder="1" applyAlignment="1">
      <alignment horizontal="center" vertical="center"/>
    </xf>
    <xf numFmtId="0" fontId="17" fillId="14" borderId="13" xfId="0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10" xfId="0" applyNumberFormat="1" applyFont="1" applyFill="1" applyBorder="1" applyAlignment="1">
      <alignment horizontal="center" vertical="center"/>
    </xf>
    <xf numFmtId="168" fontId="14" fillId="16" borderId="11" xfId="0" applyNumberFormat="1" applyFont="1" applyFill="1" applyBorder="1" applyAlignment="1">
      <alignment horizontal="center" vertical="center"/>
    </xf>
    <xf numFmtId="1" fontId="13" fillId="16" borderId="11" xfId="0" applyNumberFormat="1" applyFont="1" applyFill="1" applyBorder="1" applyAlignment="1">
      <alignment horizontal="center" vertical="center"/>
    </xf>
    <xf numFmtId="16" fontId="13" fillId="16" borderId="11" xfId="0" applyNumberFormat="1" applyFont="1" applyFill="1" applyBorder="1" applyAlignment="1">
      <alignment horizontal="center" vertical="center"/>
    </xf>
    <xf numFmtId="49" fontId="15" fillId="16" borderId="11" xfId="0" applyNumberFormat="1" applyFont="1" applyFill="1" applyBorder="1" applyAlignment="1">
      <alignment horizontal="center" vertical="center"/>
    </xf>
    <xf numFmtId="167" fontId="13" fillId="16" borderId="11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17" fillId="10" borderId="2" xfId="0" applyNumberFormat="1" applyFont="1" applyFill="1" applyBorder="1" applyAlignment="1">
      <alignment horizontal="center" vertical="center"/>
    </xf>
    <xf numFmtId="167" fontId="17" fillId="10" borderId="2" xfId="0" applyNumberFormat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49" fontId="17" fillId="16" borderId="13" xfId="0" applyNumberFormat="1" applyFont="1" applyFill="1" applyBorder="1" applyAlignment="1">
      <alignment horizontal="center" vertical="center"/>
    </xf>
    <xf numFmtId="167" fontId="17" fillId="16" borderId="13" xfId="0" applyNumberFormat="1" applyFont="1" applyFill="1" applyBorder="1" applyAlignment="1">
      <alignment horizontal="center" vertical="center"/>
    </xf>
    <xf numFmtId="0" fontId="17" fillId="16" borderId="13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17" fillId="8" borderId="13" xfId="0" applyNumberFormat="1" applyFont="1" applyFill="1" applyBorder="1" applyAlignment="1">
      <alignment horizontal="center" vertical="center"/>
    </xf>
    <xf numFmtId="167" fontId="17" fillId="8" borderId="13" xfId="0" applyNumberFormat="1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49" fontId="17" fillId="12" borderId="2" xfId="0" applyNumberFormat="1" applyFont="1" applyFill="1" applyBorder="1" applyAlignment="1">
      <alignment horizontal="center" vertical="center"/>
    </xf>
    <xf numFmtId="167" fontId="17" fillId="12" borderId="2" xfId="0" applyNumberFormat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49" fontId="17" fillId="16" borderId="2" xfId="0" applyNumberFormat="1" applyFont="1" applyFill="1" applyBorder="1" applyAlignment="1">
      <alignment horizontal="center" vertical="center"/>
    </xf>
    <xf numFmtId="167" fontId="17" fillId="16" borderId="2" xfId="0" applyNumberFormat="1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168" fontId="14" fillId="13" borderId="11" xfId="0" applyNumberFormat="1" applyFont="1" applyFill="1" applyBorder="1" applyAlignment="1">
      <alignment horizontal="center" vertical="center"/>
    </xf>
    <xf numFmtId="1" fontId="13" fillId="13" borderId="11" xfId="0" applyNumberFormat="1" applyFont="1" applyFill="1" applyBorder="1" applyAlignment="1">
      <alignment horizontal="center" vertical="center"/>
    </xf>
    <xf numFmtId="16" fontId="13" fillId="13" borderId="11" xfId="0" applyNumberFormat="1" applyFont="1" applyFill="1" applyBorder="1" applyAlignment="1">
      <alignment horizontal="center" vertical="center"/>
    </xf>
    <xf numFmtId="49" fontId="15" fillId="13" borderId="11" xfId="0" applyNumberFormat="1" applyFont="1" applyFill="1" applyBorder="1" applyAlignment="1">
      <alignment horizontal="center" vertical="center"/>
    </xf>
    <xf numFmtId="167" fontId="13" fillId="13" borderId="11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15" fontId="19" fillId="17" borderId="0" xfId="0" applyNumberFormat="1" applyFont="1" applyFill="1" applyAlignment="1">
      <alignment horizontal="center" vertical="center"/>
    </xf>
    <xf numFmtId="168" fontId="19" fillId="17" borderId="0" xfId="0" applyNumberFormat="1" applyFont="1" applyFill="1" applyAlignment="1">
      <alignment horizontal="center" vertical="center"/>
    </xf>
    <xf numFmtId="1" fontId="19" fillId="17" borderId="0" xfId="0" applyNumberFormat="1" applyFont="1" applyFill="1" applyAlignment="1">
      <alignment horizontal="center" vertical="center"/>
    </xf>
    <xf numFmtId="0" fontId="19" fillId="17" borderId="0" xfId="0" applyNumberFormat="1" applyFont="1" applyFill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60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Z_MED_LF_LEGACY" displayName="ATZ_MED_LF_LEGACY" ref="A1:AJ20" totalsRowCount="1" headerRowDxfId="599" dataDxfId="562" totalsRowDxfId="525">
  <tableColumns count="36">
    <tableColumn id="1" xr3:uid="{00000000-0010-0000-0000-000001000000}" name="Day" totalsRowLabel="TOTAL" dataDxfId="598" totalsRowDxfId="561"/>
    <tableColumn id="2" xr3:uid="{00000000-0010-0000-0000-000002000000}" name="Flt Dt" dataDxfId="597" totalsRowDxfId="560"/>
    <tableColumn id="3" xr3:uid="{00000000-0010-0000-0000-000003000000}" name="Flt" totalsRowFunction="count" dataDxfId="596" totalsRowDxfId="559"/>
    <tableColumn id="4" xr3:uid="{00000000-0010-0000-0000-000004000000}" name="DEP" dataDxfId="595" totalsRowDxfId="558"/>
    <tableColumn id="5" xr3:uid="{00000000-0010-0000-0000-000005000000}" name="Brd-Off" totalsRowFunction="count" dataDxfId="594" totalsRowDxfId="557"/>
    <tableColumn id="6" xr3:uid="{00000000-0010-0000-0000-000006000000}" name="Eqp" dataDxfId="593" totalsRowDxfId="556"/>
    <tableColumn id="7" xr3:uid="{00000000-0010-0000-0000-000007000000}" name="LF%" totalsRowFunction="average" dataDxfId="592" totalsRowDxfId="555"/>
    <tableColumn id="8" xr3:uid="{00000000-0010-0000-0000-000008000000}" name="CAP" totalsRowFunction="sum" dataDxfId="591" totalsRowDxfId="554"/>
    <tableColumn id="9" xr3:uid="{00000000-0010-0000-0000-000009000000}" name="BKG(Y)" totalsRowFunction="sum" dataDxfId="590" totalsRowDxfId="553"/>
    <tableColumn id="10" xr3:uid="{00000000-0010-0000-0000-00000A000000}" name="GRP(Y)" totalsRowFunction="sum" dataDxfId="589" totalsRowDxfId="552"/>
    <tableColumn id="11" xr3:uid="{00000000-0010-0000-0000-00000B000000}" name="FLT ST" dataDxfId="588" totalsRowDxfId="551"/>
    <tableColumn id="12" xr3:uid="{00000000-0010-0000-0000-00000C000000}" name="LST-SOLD" dataDxfId="587" totalsRowDxfId="550"/>
    <tableColumn id="13" xr3:uid="{00000000-0010-0000-0000-00000D000000}" name="TO-DAY" totalsRowFunction="sum" dataDxfId="586" totalsRowDxfId="549"/>
    <tableColumn id="14" xr3:uid="{00000000-0010-0000-0000-00000E000000}" name="Y-DAY" totalsRowFunction="sum" dataDxfId="585" totalsRowDxfId="548"/>
    <tableColumn id="15" xr3:uid="{00000000-0010-0000-0000-00000F000000}" name="WEEKLY" totalsRowFunction="sum" dataDxfId="584" totalsRowDxfId="547"/>
    <tableColumn id="16" xr3:uid="{00000000-0010-0000-0000-000010000000}" name="LOWEST AVAIL" dataDxfId="583" totalsRowDxfId="546"/>
    <tableColumn id="17" xr3:uid="{00000000-0010-0000-0000-000011000000}" name="Y" totalsRowFunction="sum" dataDxfId="582" totalsRowDxfId="545"/>
    <tableColumn id="18" xr3:uid="{00000000-0010-0000-0000-000012000000}" name="B" totalsRowFunction="sum" dataDxfId="581" totalsRowDxfId="544"/>
    <tableColumn id="19" xr3:uid="{00000000-0010-0000-0000-000013000000}" name="M" totalsRowFunction="sum" dataDxfId="580" totalsRowDxfId="543"/>
    <tableColumn id="20" xr3:uid="{00000000-0010-0000-0000-000014000000}" name="H" totalsRowFunction="sum" dataDxfId="579" totalsRowDxfId="542"/>
    <tableColumn id="21" xr3:uid="{00000000-0010-0000-0000-000015000000}" name="Q" totalsRowFunction="sum" dataDxfId="578" totalsRowDxfId="541"/>
    <tableColumn id="22" xr3:uid="{00000000-0010-0000-0000-000016000000}" name="K" totalsRowFunction="sum" dataDxfId="577" totalsRowDxfId="540"/>
    <tableColumn id="23" xr3:uid="{00000000-0010-0000-0000-000017000000}" name="V" totalsRowFunction="sum" dataDxfId="576" totalsRowDxfId="539"/>
    <tableColumn id="24" xr3:uid="{00000000-0010-0000-0000-000018000000}" name="L" totalsRowFunction="sum" dataDxfId="575" totalsRowDxfId="538"/>
    <tableColumn id="25" xr3:uid="{00000000-0010-0000-0000-000019000000}" name="G" totalsRowFunction="sum" dataDxfId="574" totalsRowDxfId="537"/>
    <tableColumn id="26" xr3:uid="{00000000-0010-0000-0000-00001A000000}" name="S" totalsRowFunction="sum" dataDxfId="573" totalsRowDxfId="536"/>
    <tableColumn id="27" xr3:uid="{00000000-0010-0000-0000-00001B000000}" name="W" totalsRowFunction="sum" dataDxfId="572" totalsRowDxfId="535"/>
    <tableColumn id="28" xr3:uid="{00000000-0010-0000-0000-00001C000000}" name="T" totalsRowFunction="sum" dataDxfId="571" totalsRowDxfId="534"/>
    <tableColumn id="29" xr3:uid="{00000000-0010-0000-0000-00001D000000}" name="X" totalsRowFunction="sum" dataDxfId="570" totalsRowDxfId="533"/>
    <tableColumn id="30" xr3:uid="{00000000-0010-0000-0000-00001E000000}" name="U" totalsRowFunction="sum" dataDxfId="569" totalsRowDxfId="532"/>
    <tableColumn id="31" xr3:uid="{00000000-0010-0000-0000-00001F000000}" name="O" totalsRowFunction="sum" dataDxfId="568" totalsRowDxfId="531"/>
    <tableColumn id="32" xr3:uid="{00000000-0010-0000-0000-000020000000}" name="I" totalsRowFunction="sum" dataDxfId="567" totalsRowDxfId="530"/>
    <tableColumn id="33" xr3:uid="{00000000-0010-0000-0000-000021000000}" name="E" totalsRowFunction="sum" dataDxfId="566" totalsRowDxfId="529"/>
    <tableColumn id="34" xr3:uid="{00000000-0010-0000-0000-000022000000}" name="A" totalsRowFunction="sum" dataDxfId="565" totalsRowDxfId="528"/>
    <tableColumn id="35" xr3:uid="{00000000-0010-0000-0000-000023000000}" name="P" totalsRowFunction="sum" dataDxfId="564" totalsRowDxfId="527"/>
    <tableColumn id="36" xr3:uid="{00000000-0010-0000-0000-000024000000}" name="N" totalsRowFunction="count" dataDxfId="563" totalsRowDxfId="5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Z_JED_LF_LEGACY" displayName="ATZ_JED_LF_LEGACY" ref="A1:AJ79" totalsRowCount="1" headerRowDxfId="524" dataDxfId="487" totalsRowDxfId="450">
  <tableColumns count="36">
    <tableColumn id="1" xr3:uid="{00000000-0010-0000-0100-000001000000}" name="Day" totalsRowLabel="TOTAL" dataDxfId="523" totalsRowDxfId="486"/>
    <tableColumn id="2" xr3:uid="{00000000-0010-0000-0100-000002000000}" name="Flt Dt" dataDxfId="522" totalsRowDxfId="485"/>
    <tableColumn id="3" xr3:uid="{00000000-0010-0000-0100-000003000000}" name="Flt" totalsRowFunction="count" dataDxfId="521" totalsRowDxfId="484"/>
    <tableColumn id="4" xr3:uid="{00000000-0010-0000-0100-000004000000}" name="DEP" dataDxfId="520" totalsRowDxfId="483"/>
    <tableColumn id="5" xr3:uid="{00000000-0010-0000-0100-000005000000}" name="Brd-Off" totalsRowFunction="count" dataDxfId="519" totalsRowDxfId="482"/>
    <tableColumn id="6" xr3:uid="{00000000-0010-0000-0100-000006000000}" name="Eqp" dataDxfId="518" totalsRowDxfId="481"/>
    <tableColumn id="7" xr3:uid="{00000000-0010-0000-0100-000007000000}" name="LF%" totalsRowFunction="average" dataDxfId="517" totalsRowDxfId="480"/>
    <tableColumn id="8" xr3:uid="{00000000-0010-0000-0100-000008000000}" name="CAP" totalsRowFunction="sum" dataDxfId="516" totalsRowDxfId="479"/>
    <tableColumn id="9" xr3:uid="{00000000-0010-0000-0100-000009000000}" name="BKG(Y)" totalsRowFunction="sum" dataDxfId="515" totalsRowDxfId="478"/>
    <tableColumn id="10" xr3:uid="{00000000-0010-0000-0100-00000A000000}" name="GRP(Y)" totalsRowFunction="sum" dataDxfId="514" totalsRowDxfId="477"/>
    <tableColumn id="11" xr3:uid="{00000000-0010-0000-0100-00000B000000}" name="FLT ST" dataDxfId="513" totalsRowDxfId="476"/>
    <tableColumn id="12" xr3:uid="{00000000-0010-0000-0100-00000C000000}" name="LST-SOLD" dataDxfId="512" totalsRowDxfId="475"/>
    <tableColumn id="13" xr3:uid="{00000000-0010-0000-0100-00000D000000}" name="TO-DAY" totalsRowFunction="sum" dataDxfId="511" totalsRowDxfId="474"/>
    <tableColumn id="14" xr3:uid="{00000000-0010-0000-0100-00000E000000}" name="Y-DAY" totalsRowFunction="sum" dataDxfId="510" totalsRowDxfId="473"/>
    <tableColumn id="15" xr3:uid="{00000000-0010-0000-0100-00000F000000}" name="WEEKLY" totalsRowFunction="sum" dataDxfId="509" totalsRowDxfId="472"/>
    <tableColumn id="16" xr3:uid="{00000000-0010-0000-0100-000010000000}" name="LOWEST AVAIL" dataDxfId="508" totalsRowDxfId="471"/>
    <tableColumn id="17" xr3:uid="{00000000-0010-0000-0100-000011000000}" name="Y" totalsRowFunction="sum" dataDxfId="507" totalsRowDxfId="470"/>
    <tableColumn id="18" xr3:uid="{00000000-0010-0000-0100-000012000000}" name="B" totalsRowFunction="sum" dataDxfId="506" totalsRowDxfId="469"/>
    <tableColumn id="19" xr3:uid="{00000000-0010-0000-0100-000013000000}" name="M" totalsRowFunction="sum" dataDxfId="505" totalsRowDxfId="468"/>
    <tableColumn id="20" xr3:uid="{00000000-0010-0000-0100-000014000000}" name="H" totalsRowFunction="sum" dataDxfId="504" totalsRowDxfId="467"/>
    <tableColumn id="21" xr3:uid="{00000000-0010-0000-0100-000015000000}" name="Q" totalsRowFunction="sum" dataDxfId="503" totalsRowDxfId="466"/>
    <tableColumn id="22" xr3:uid="{00000000-0010-0000-0100-000016000000}" name="K" totalsRowFunction="sum" dataDxfId="502" totalsRowDxfId="465"/>
    <tableColumn id="23" xr3:uid="{00000000-0010-0000-0100-000017000000}" name="V" totalsRowFunction="sum" dataDxfId="501" totalsRowDxfId="464"/>
    <tableColumn id="24" xr3:uid="{00000000-0010-0000-0100-000018000000}" name="L" totalsRowFunction="sum" dataDxfId="500" totalsRowDxfId="463"/>
    <tableColumn id="25" xr3:uid="{00000000-0010-0000-0100-000019000000}" name="G" totalsRowFunction="sum" dataDxfId="499" totalsRowDxfId="462"/>
    <tableColumn id="26" xr3:uid="{00000000-0010-0000-0100-00001A000000}" name="S" totalsRowFunction="sum" dataDxfId="498" totalsRowDxfId="461"/>
    <tableColumn id="27" xr3:uid="{00000000-0010-0000-0100-00001B000000}" name="W" totalsRowFunction="sum" dataDxfId="497" totalsRowDxfId="460"/>
    <tableColumn id="28" xr3:uid="{00000000-0010-0000-0100-00001C000000}" name="T" totalsRowFunction="sum" dataDxfId="496" totalsRowDxfId="459"/>
    <tableColumn id="29" xr3:uid="{00000000-0010-0000-0100-00001D000000}" name="X" totalsRowFunction="sum" dataDxfId="495" totalsRowDxfId="458"/>
    <tableColumn id="30" xr3:uid="{00000000-0010-0000-0100-00001E000000}" name="U" totalsRowFunction="sum" dataDxfId="494" totalsRowDxfId="457"/>
    <tableColumn id="31" xr3:uid="{00000000-0010-0000-0100-00001F000000}" name="O" totalsRowFunction="sum" dataDxfId="493" totalsRowDxfId="456"/>
    <tableColumn id="32" xr3:uid="{00000000-0010-0000-0100-000020000000}" name="I" totalsRowFunction="sum" dataDxfId="492" totalsRowDxfId="455"/>
    <tableColumn id="33" xr3:uid="{00000000-0010-0000-0100-000021000000}" name="E" totalsRowFunction="sum" dataDxfId="491" totalsRowDxfId="454"/>
    <tableColumn id="34" xr3:uid="{00000000-0010-0000-0100-000022000000}" name="A" totalsRowFunction="sum" dataDxfId="490" totalsRowDxfId="453"/>
    <tableColumn id="35" xr3:uid="{00000000-0010-0000-0100-000023000000}" name="P" totalsRowFunction="sum" dataDxfId="489" totalsRowDxfId="452"/>
    <tableColumn id="36" xr3:uid="{00000000-0010-0000-0100-000024000000}" name="N" totalsRowFunction="count" dataDxfId="488" totalsRowDxfId="4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Z_RUH_LF_LEGACY" displayName="ATZ_RUH_LF_LEGACY" ref="A1:AJ16" totalsRowCount="1" headerRowDxfId="449" dataDxfId="412" totalsRowDxfId="375">
  <tableColumns count="36">
    <tableColumn id="1" xr3:uid="{00000000-0010-0000-0200-000001000000}" name="Day" totalsRowLabel="TOTAL" dataDxfId="448" totalsRowDxfId="411"/>
    <tableColumn id="2" xr3:uid="{00000000-0010-0000-0200-000002000000}" name="Flt Dt" dataDxfId="447" totalsRowDxfId="410"/>
    <tableColumn id="3" xr3:uid="{00000000-0010-0000-0200-000003000000}" name="Flt" totalsRowFunction="count" dataDxfId="446" totalsRowDxfId="409"/>
    <tableColumn id="4" xr3:uid="{00000000-0010-0000-0200-000004000000}" name="DEP" dataDxfId="445" totalsRowDxfId="408"/>
    <tableColumn id="5" xr3:uid="{00000000-0010-0000-0200-000005000000}" name="Brd-Off" totalsRowFunction="count" dataDxfId="444" totalsRowDxfId="407"/>
    <tableColumn id="6" xr3:uid="{00000000-0010-0000-0200-000006000000}" name="Eqp" dataDxfId="443" totalsRowDxfId="406"/>
    <tableColumn id="7" xr3:uid="{00000000-0010-0000-0200-000007000000}" name="LF%" totalsRowFunction="average" dataDxfId="442" totalsRowDxfId="405"/>
    <tableColumn id="8" xr3:uid="{00000000-0010-0000-0200-000008000000}" name="CAP" totalsRowFunction="sum" dataDxfId="441" totalsRowDxfId="404"/>
    <tableColumn id="9" xr3:uid="{00000000-0010-0000-0200-000009000000}" name="BKG(Y)" totalsRowFunction="sum" dataDxfId="440" totalsRowDxfId="403"/>
    <tableColumn id="10" xr3:uid="{00000000-0010-0000-0200-00000A000000}" name="GRP(Y)" totalsRowFunction="sum" dataDxfId="439" totalsRowDxfId="402"/>
    <tableColumn id="11" xr3:uid="{00000000-0010-0000-0200-00000B000000}" name="FLT ST" dataDxfId="438" totalsRowDxfId="401"/>
    <tableColumn id="12" xr3:uid="{00000000-0010-0000-0200-00000C000000}" name="LST-SOLD" dataDxfId="437" totalsRowDxfId="400"/>
    <tableColumn id="13" xr3:uid="{00000000-0010-0000-0200-00000D000000}" name="TO-DAY" totalsRowFunction="sum" dataDxfId="436" totalsRowDxfId="399"/>
    <tableColumn id="14" xr3:uid="{00000000-0010-0000-0200-00000E000000}" name="Y-DAY" totalsRowFunction="sum" dataDxfId="435" totalsRowDxfId="398"/>
    <tableColumn id="15" xr3:uid="{00000000-0010-0000-0200-00000F000000}" name="WEEKLY" totalsRowFunction="sum" dataDxfId="434" totalsRowDxfId="397"/>
    <tableColumn id="16" xr3:uid="{00000000-0010-0000-0200-000010000000}" name="LOWEST AVAIL" dataDxfId="433" totalsRowDxfId="396"/>
    <tableColumn id="17" xr3:uid="{00000000-0010-0000-0200-000011000000}" name="Y" totalsRowFunction="sum" dataDxfId="432" totalsRowDxfId="395"/>
    <tableColumn id="18" xr3:uid="{00000000-0010-0000-0200-000012000000}" name="B" totalsRowFunction="sum" dataDxfId="431" totalsRowDxfId="394"/>
    <tableColumn id="19" xr3:uid="{00000000-0010-0000-0200-000013000000}" name="M" totalsRowFunction="sum" dataDxfId="430" totalsRowDxfId="393"/>
    <tableColumn id="20" xr3:uid="{00000000-0010-0000-0200-000014000000}" name="H" totalsRowFunction="sum" dataDxfId="429" totalsRowDxfId="392"/>
    <tableColumn id="21" xr3:uid="{00000000-0010-0000-0200-000015000000}" name="Q" totalsRowFunction="sum" dataDxfId="428" totalsRowDxfId="391"/>
    <tableColumn id="22" xr3:uid="{00000000-0010-0000-0200-000016000000}" name="K" totalsRowFunction="sum" dataDxfId="427" totalsRowDxfId="390"/>
    <tableColumn id="23" xr3:uid="{00000000-0010-0000-0200-000017000000}" name="V" totalsRowFunction="sum" dataDxfId="426" totalsRowDxfId="389"/>
    <tableColumn id="24" xr3:uid="{00000000-0010-0000-0200-000018000000}" name="L" totalsRowFunction="sum" dataDxfId="425" totalsRowDxfId="388"/>
    <tableColumn id="25" xr3:uid="{00000000-0010-0000-0200-000019000000}" name="G" totalsRowFunction="sum" dataDxfId="424" totalsRowDxfId="387"/>
    <tableColumn id="26" xr3:uid="{00000000-0010-0000-0200-00001A000000}" name="S" totalsRowFunction="sum" dataDxfId="423" totalsRowDxfId="386"/>
    <tableColumn id="27" xr3:uid="{00000000-0010-0000-0200-00001B000000}" name="W" totalsRowFunction="sum" dataDxfId="422" totalsRowDxfId="385"/>
    <tableColumn id="28" xr3:uid="{00000000-0010-0000-0200-00001C000000}" name="T" totalsRowFunction="sum" dataDxfId="421" totalsRowDxfId="384"/>
    <tableColumn id="29" xr3:uid="{00000000-0010-0000-0200-00001D000000}" name="X" totalsRowFunction="sum" dataDxfId="420" totalsRowDxfId="383"/>
    <tableColumn id="30" xr3:uid="{00000000-0010-0000-0200-00001E000000}" name="U" totalsRowFunction="sum" dataDxfId="419" totalsRowDxfId="382"/>
    <tableColumn id="31" xr3:uid="{00000000-0010-0000-0200-00001F000000}" name="O" totalsRowFunction="sum" dataDxfId="418" totalsRowDxfId="381"/>
    <tableColumn id="32" xr3:uid="{00000000-0010-0000-0200-000020000000}" name="I" totalsRowFunction="sum" dataDxfId="417" totalsRowDxfId="380"/>
    <tableColumn id="33" xr3:uid="{00000000-0010-0000-0200-000021000000}" name="E" totalsRowFunction="sum" dataDxfId="416" totalsRowDxfId="379"/>
    <tableColumn id="34" xr3:uid="{00000000-0010-0000-0200-000022000000}" name="A" totalsRowFunction="sum" dataDxfId="415" totalsRowDxfId="378"/>
    <tableColumn id="35" xr3:uid="{00000000-0010-0000-0200-000023000000}" name="P" totalsRowFunction="sum" dataDxfId="414" totalsRowDxfId="377"/>
    <tableColumn id="36" xr3:uid="{00000000-0010-0000-0200-000024000000}" name="N" totalsRowFunction="count" dataDxfId="413" totalsRowDxfId="3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TZ_DMM_LF_LEGACY" displayName="ATZ_DMM_LF_LEGACY" ref="A1:AJ11" totalsRowCount="1" headerRowDxfId="374" dataDxfId="337" totalsRowDxfId="300">
  <tableColumns count="36">
    <tableColumn id="1" xr3:uid="{00000000-0010-0000-0300-000001000000}" name="Day" totalsRowLabel="TOTAL" dataDxfId="373" totalsRowDxfId="336"/>
    <tableColumn id="2" xr3:uid="{00000000-0010-0000-0300-000002000000}" name="Flt Dt" dataDxfId="372" totalsRowDxfId="335"/>
    <tableColumn id="3" xr3:uid="{00000000-0010-0000-0300-000003000000}" name="Flt" totalsRowFunction="count" dataDxfId="371" totalsRowDxfId="334"/>
    <tableColumn id="4" xr3:uid="{00000000-0010-0000-0300-000004000000}" name="DEP" dataDxfId="370" totalsRowDxfId="333"/>
    <tableColumn id="5" xr3:uid="{00000000-0010-0000-0300-000005000000}" name="Brd-Off" totalsRowFunction="count" dataDxfId="369" totalsRowDxfId="332"/>
    <tableColumn id="6" xr3:uid="{00000000-0010-0000-0300-000006000000}" name="Eqp" dataDxfId="368" totalsRowDxfId="331"/>
    <tableColumn id="7" xr3:uid="{00000000-0010-0000-0300-000007000000}" name="LF%" totalsRowFunction="average" dataDxfId="367" totalsRowDxfId="330"/>
    <tableColumn id="8" xr3:uid="{00000000-0010-0000-0300-000008000000}" name="CAP" totalsRowFunction="sum" dataDxfId="366" totalsRowDxfId="329"/>
    <tableColumn id="9" xr3:uid="{00000000-0010-0000-0300-000009000000}" name="BKG(Y)" totalsRowFunction="sum" dataDxfId="365" totalsRowDxfId="328"/>
    <tableColumn id="10" xr3:uid="{00000000-0010-0000-0300-00000A000000}" name="GRP(Y)" totalsRowFunction="sum" dataDxfId="364" totalsRowDxfId="327"/>
    <tableColumn id="11" xr3:uid="{00000000-0010-0000-0300-00000B000000}" name="FLT ST" dataDxfId="363" totalsRowDxfId="326"/>
    <tableColumn id="12" xr3:uid="{00000000-0010-0000-0300-00000C000000}" name="LST-SOLD" dataDxfId="362" totalsRowDxfId="325"/>
    <tableColumn id="13" xr3:uid="{00000000-0010-0000-0300-00000D000000}" name="TO-DAY" totalsRowFunction="sum" dataDxfId="361" totalsRowDxfId="324"/>
    <tableColumn id="14" xr3:uid="{00000000-0010-0000-0300-00000E000000}" name="Y-DAY" totalsRowFunction="sum" dataDxfId="360" totalsRowDxfId="323"/>
    <tableColumn id="15" xr3:uid="{00000000-0010-0000-0300-00000F000000}" name="WEEKLY" totalsRowFunction="sum" dataDxfId="359" totalsRowDxfId="322"/>
    <tableColumn id="16" xr3:uid="{00000000-0010-0000-0300-000010000000}" name="LOWEST AVAIL" dataDxfId="358" totalsRowDxfId="321"/>
    <tableColumn id="17" xr3:uid="{00000000-0010-0000-0300-000011000000}" name="Y" totalsRowFunction="sum" dataDxfId="357" totalsRowDxfId="320"/>
    <tableColumn id="18" xr3:uid="{00000000-0010-0000-0300-000012000000}" name="B" totalsRowFunction="sum" dataDxfId="356" totalsRowDxfId="319"/>
    <tableColumn id="19" xr3:uid="{00000000-0010-0000-0300-000013000000}" name="M" totalsRowFunction="sum" dataDxfId="355" totalsRowDxfId="318"/>
    <tableColumn id="20" xr3:uid="{00000000-0010-0000-0300-000014000000}" name="H" totalsRowFunction="sum" dataDxfId="354" totalsRowDxfId="317"/>
    <tableColumn id="21" xr3:uid="{00000000-0010-0000-0300-000015000000}" name="Q" totalsRowFunction="sum" dataDxfId="353" totalsRowDxfId="316"/>
    <tableColumn id="22" xr3:uid="{00000000-0010-0000-0300-000016000000}" name="K" totalsRowFunction="sum" dataDxfId="352" totalsRowDxfId="315"/>
    <tableColumn id="23" xr3:uid="{00000000-0010-0000-0300-000017000000}" name="V" totalsRowFunction="sum" dataDxfId="351" totalsRowDxfId="314"/>
    <tableColumn id="24" xr3:uid="{00000000-0010-0000-0300-000018000000}" name="L" totalsRowFunction="sum" dataDxfId="350" totalsRowDxfId="313"/>
    <tableColumn id="25" xr3:uid="{00000000-0010-0000-0300-000019000000}" name="G" totalsRowFunction="sum" dataDxfId="349" totalsRowDxfId="312"/>
    <tableColumn id="26" xr3:uid="{00000000-0010-0000-0300-00001A000000}" name="S" totalsRowFunction="sum" dataDxfId="348" totalsRowDxfId="311"/>
    <tableColumn id="27" xr3:uid="{00000000-0010-0000-0300-00001B000000}" name="W" totalsRowFunction="sum" dataDxfId="347" totalsRowDxfId="310"/>
    <tableColumn id="28" xr3:uid="{00000000-0010-0000-0300-00001C000000}" name="T" totalsRowFunction="sum" dataDxfId="346" totalsRowDxfId="309"/>
    <tableColumn id="29" xr3:uid="{00000000-0010-0000-0300-00001D000000}" name="X" totalsRowFunction="sum" dataDxfId="345" totalsRowDxfId="308"/>
    <tableColumn id="30" xr3:uid="{00000000-0010-0000-0300-00001E000000}" name="U" totalsRowFunction="sum" dataDxfId="344" totalsRowDxfId="307"/>
    <tableColumn id="31" xr3:uid="{00000000-0010-0000-0300-00001F000000}" name="O" totalsRowFunction="sum" dataDxfId="343" totalsRowDxfId="306"/>
    <tableColumn id="32" xr3:uid="{00000000-0010-0000-0300-000020000000}" name="I" totalsRowFunction="sum" dataDxfId="342" totalsRowDxfId="305"/>
    <tableColumn id="33" xr3:uid="{00000000-0010-0000-0300-000021000000}" name="E" totalsRowFunction="sum" dataDxfId="341" totalsRowDxfId="304"/>
    <tableColumn id="34" xr3:uid="{00000000-0010-0000-0300-000022000000}" name="A" totalsRowFunction="sum" dataDxfId="340" totalsRowDxfId="303"/>
    <tableColumn id="35" xr3:uid="{00000000-0010-0000-0300-000023000000}" name="P" totalsRowFunction="sum" dataDxfId="339" totalsRowDxfId="302"/>
    <tableColumn id="36" xr3:uid="{00000000-0010-0000-0300-000024000000}" name="N" totalsRowFunction="count" dataDxfId="338" totalsRowDxfId="30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TZ_TUU_LF_LEGACY" displayName="ATZ_TUU_LF_LEGACY" ref="A1:AJ7" totalsRowCount="1" headerRowDxfId="299" dataDxfId="262" totalsRowDxfId="225">
  <tableColumns count="36">
    <tableColumn id="1" xr3:uid="{00000000-0010-0000-0400-000001000000}" name="Day" totalsRowLabel="TOTAL" dataDxfId="298" totalsRowDxfId="261"/>
    <tableColumn id="2" xr3:uid="{00000000-0010-0000-0400-000002000000}" name="Flt Dt" dataDxfId="297" totalsRowDxfId="260"/>
    <tableColumn id="3" xr3:uid="{00000000-0010-0000-0400-000003000000}" name="Flt" totalsRowFunction="count" dataDxfId="296" totalsRowDxfId="259"/>
    <tableColumn id="4" xr3:uid="{00000000-0010-0000-0400-000004000000}" name="DEP" dataDxfId="295" totalsRowDxfId="258"/>
    <tableColumn id="5" xr3:uid="{00000000-0010-0000-0400-000005000000}" name="Brd-Off" totalsRowFunction="count" dataDxfId="294" totalsRowDxfId="257"/>
    <tableColumn id="6" xr3:uid="{00000000-0010-0000-0400-000006000000}" name="Eqp" dataDxfId="293" totalsRowDxfId="256"/>
    <tableColumn id="7" xr3:uid="{00000000-0010-0000-0400-000007000000}" name="LF%" totalsRowFunction="average" dataDxfId="292" totalsRowDxfId="255"/>
    <tableColumn id="8" xr3:uid="{00000000-0010-0000-0400-000008000000}" name="CAP" totalsRowFunction="sum" dataDxfId="291" totalsRowDxfId="254"/>
    <tableColumn id="9" xr3:uid="{00000000-0010-0000-0400-000009000000}" name="BKG(Y)" totalsRowFunction="sum" dataDxfId="290" totalsRowDxfId="253"/>
    <tableColumn id="10" xr3:uid="{00000000-0010-0000-0400-00000A000000}" name="GRP(Y)" totalsRowFunction="sum" dataDxfId="289" totalsRowDxfId="252"/>
    <tableColumn id="11" xr3:uid="{00000000-0010-0000-0400-00000B000000}" name="FLT ST" dataDxfId="288" totalsRowDxfId="251"/>
    <tableColumn id="12" xr3:uid="{00000000-0010-0000-0400-00000C000000}" name="LST-SOLD" dataDxfId="287" totalsRowDxfId="250"/>
    <tableColumn id="13" xr3:uid="{00000000-0010-0000-0400-00000D000000}" name="TO-DAY" totalsRowFunction="sum" dataDxfId="286" totalsRowDxfId="249"/>
    <tableColumn id="14" xr3:uid="{00000000-0010-0000-0400-00000E000000}" name="Y-DAY" totalsRowFunction="sum" dataDxfId="285" totalsRowDxfId="248"/>
    <tableColumn id="15" xr3:uid="{00000000-0010-0000-0400-00000F000000}" name="WEEKLY" totalsRowFunction="sum" dataDxfId="284" totalsRowDxfId="247"/>
    <tableColumn id="16" xr3:uid="{00000000-0010-0000-0400-000010000000}" name="LOWEST AVAIL" dataDxfId="283" totalsRowDxfId="246"/>
    <tableColumn id="17" xr3:uid="{00000000-0010-0000-0400-000011000000}" name="Y" totalsRowFunction="sum" dataDxfId="282" totalsRowDxfId="245"/>
    <tableColumn id="18" xr3:uid="{00000000-0010-0000-0400-000012000000}" name="B" totalsRowFunction="sum" dataDxfId="281" totalsRowDxfId="244"/>
    <tableColumn id="19" xr3:uid="{00000000-0010-0000-0400-000013000000}" name="M" totalsRowFunction="sum" dataDxfId="280" totalsRowDxfId="243"/>
    <tableColumn id="20" xr3:uid="{00000000-0010-0000-0400-000014000000}" name="H" totalsRowFunction="sum" dataDxfId="279" totalsRowDxfId="242"/>
    <tableColumn id="21" xr3:uid="{00000000-0010-0000-0400-000015000000}" name="Q" totalsRowFunction="sum" dataDxfId="278" totalsRowDxfId="241"/>
    <tableColumn id="22" xr3:uid="{00000000-0010-0000-0400-000016000000}" name="K" totalsRowFunction="sum" dataDxfId="277" totalsRowDxfId="240"/>
    <tableColumn id="23" xr3:uid="{00000000-0010-0000-0400-000017000000}" name="V" totalsRowFunction="sum" dataDxfId="276" totalsRowDxfId="239"/>
    <tableColumn id="24" xr3:uid="{00000000-0010-0000-0400-000018000000}" name="L" totalsRowFunction="sum" dataDxfId="275" totalsRowDxfId="238"/>
    <tableColumn id="25" xr3:uid="{00000000-0010-0000-0400-000019000000}" name="G" totalsRowFunction="sum" dataDxfId="274" totalsRowDxfId="237"/>
    <tableColumn id="26" xr3:uid="{00000000-0010-0000-0400-00001A000000}" name="S" totalsRowFunction="sum" dataDxfId="273" totalsRowDxfId="236"/>
    <tableColumn id="27" xr3:uid="{00000000-0010-0000-0400-00001B000000}" name="W" totalsRowFunction="sum" dataDxfId="272" totalsRowDxfId="235"/>
    <tableColumn id="28" xr3:uid="{00000000-0010-0000-0400-00001C000000}" name="T" totalsRowFunction="sum" dataDxfId="271" totalsRowDxfId="234"/>
    <tableColumn id="29" xr3:uid="{00000000-0010-0000-0400-00001D000000}" name="X" totalsRowFunction="sum" dataDxfId="270" totalsRowDxfId="233"/>
    <tableColumn id="30" xr3:uid="{00000000-0010-0000-0400-00001E000000}" name="U" totalsRowFunction="sum" dataDxfId="269" totalsRowDxfId="232"/>
    <tableColumn id="31" xr3:uid="{00000000-0010-0000-0400-00001F000000}" name="O" totalsRowFunction="sum" dataDxfId="268" totalsRowDxfId="231"/>
    <tableColumn id="32" xr3:uid="{00000000-0010-0000-0400-000020000000}" name="I" totalsRowFunction="sum" dataDxfId="267" totalsRowDxfId="230"/>
    <tableColumn id="33" xr3:uid="{00000000-0010-0000-0400-000021000000}" name="E" totalsRowFunction="sum" dataDxfId="266" totalsRowDxfId="229"/>
    <tableColumn id="34" xr3:uid="{00000000-0010-0000-0400-000022000000}" name="A" totalsRowFunction="sum" dataDxfId="265" totalsRowDxfId="228"/>
    <tableColumn id="35" xr3:uid="{00000000-0010-0000-0400-000023000000}" name="P" totalsRowFunction="sum" dataDxfId="264" totalsRowDxfId="227"/>
    <tableColumn id="36" xr3:uid="{00000000-0010-0000-0400-000024000000}" name="N" totalsRowFunction="count" dataDxfId="263" totalsRowDxfId="2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TZ_AJF_LF_LEGACY" displayName="ATZ_AJF_LF_LEGACY" ref="A1:AJ7" totalsRowCount="1" headerRowDxfId="224" dataDxfId="187" totalsRowDxfId="150">
  <tableColumns count="36">
    <tableColumn id="1" xr3:uid="{00000000-0010-0000-0500-000001000000}" name="Day" totalsRowLabel="TOTAL" dataDxfId="223" totalsRowDxfId="186"/>
    <tableColumn id="2" xr3:uid="{00000000-0010-0000-0500-000002000000}" name="Flt Dt" dataDxfId="222" totalsRowDxfId="185"/>
    <tableColumn id="3" xr3:uid="{00000000-0010-0000-0500-000003000000}" name="Flt" totalsRowFunction="count" dataDxfId="221" totalsRowDxfId="184"/>
    <tableColumn id="4" xr3:uid="{00000000-0010-0000-0500-000004000000}" name="DEP" dataDxfId="220" totalsRowDxfId="183"/>
    <tableColumn id="5" xr3:uid="{00000000-0010-0000-0500-000005000000}" name="Brd-Off" totalsRowFunction="count" dataDxfId="219" totalsRowDxfId="182"/>
    <tableColumn id="6" xr3:uid="{00000000-0010-0000-0500-000006000000}" name="Eqp" dataDxfId="218" totalsRowDxfId="181"/>
    <tableColumn id="7" xr3:uid="{00000000-0010-0000-0500-000007000000}" name="LF%" totalsRowFunction="average" dataDxfId="217" totalsRowDxfId="180"/>
    <tableColumn id="8" xr3:uid="{00000000-0010-0000-0500-000008000000}" name="CAP" totalsRowFunction="sum" dataDxfId="216" totalsRowDxfId="179"/>
    <tableColumn id="9" xr3:uid="{00000000-0010-0000-0500-000009000000}" name="BKG(Y)" totalsRowFunction="sum" dataDxfId="215" totalsRowDxfId="178"/>
    <tableColumn id="10" xr3:uid="{00000000-0010-0000-0500-00000A000000}" name="GRP(Y)" totalsRowFunction="sum" dataDxfId="214" totalsRowDxfId="177"/>
    <tableColumn id="11" xr3:uid="{00000000-0010-0000-0500-00000B000000}" name="FLT ST" dataDxfId="213" totalsRowDxfId="176"/>
    <tableColumn id="12" xr3:uid="{00000000-0010-0000-0500-00000C000000}" name="LST-SOLD" dataDxfId="212" totalsRowDxfId="175"/>
    <tableColumn id="13" xr3:uid="{00000000-0010-0000-0500-00000D000000}" name="TO-DAY" totalsRowFunction="sum" dataDxfId="211" totalsRowDxfId="174"/>
    <tableColumn id="14" xr3:uid="{00000000-0010-0000-0500-00000E000000}" name="Y-DAY" totalsRowFunction="sum" dataDxfId="210" totalsRowDxfId="173"/>
    <tableColumn id="15" xr3:uid="{00000000-0010-0000-0500-00000F000000}" name="WEEKLY" totalsRowFunction="sum" dataDxfId="209" totalsRowDxfId="172"/>
    <tableColumn id="16" xr3:uid="{00000000-0010-0000-0500-000010000000}" name="LOWEST AVAIL" dataDxfId="208" totalsRowDxfId="171"/>
    <tableColumn id="17" xr3:uid="{00000000-0010-0000-0500-000011000000}" name="Y" totalsRowFunction="sum" dataDxfId="207" totalsRowDxfId="170"/>
    <tableColumn id="18" xr3:uid="{00000000-0010-0000-0500-000012000000}" name="B" totalsRowFunction="sum" dataDxfId="206" totalsRowDxfId="169"/>
    <tableColumn id="19" xr3:uid="{00000000-0010-0000-0500-000013000000}" name="M" totalsRowFunction="sum" dataDxfId="205" totalsRowDxfId="168"/>
    <tableColumn id="20" xr3:uid="{00000000-0010-0000-0500-000014000000}" name="H" totalsRowFunction="sum" dataDxfId="204" totalsRowDxfId="167"/>
    <tableColumn id="21" xr3:uid="{00000000-0010-0000-0500-000015000000}" name="Q" totalsRowFunction="sum" dataDxfId="203" totalsRowDxfId="166"/>
    <tableColumn id="22" xr3:uid="{00000000-0010-0000-0500-000016000000}" name="K" totalsRowFunction="sum" dataDxfId="202" totalsRowDxfId="165"/>
    <tableColumn id="23" xr3:uid="{00000000-0010-0000-0500-000017000000}" name="V" totalsRowFunction="sum" dataDxfId="201" totalsRowDxfId="164"/>
    <tableColumn id="24" xr3:uid="{00000000-0010-0000-0500-000018000000}" name="L" totalsRowFunction="sum" dataDxfId="200" totalsRowDxfId="163"/>
    <tableColumn id="25" xr3:uid="{00000000-0010-0000-0500-000019000000}" name="G" totalsRowFunction="sum" dataDxfId="199" totalsRowDxfId="162"/>
    <tableColumn id="26" xr3:uid="{00000000-0010-0000-0500-00001A000000}" name="S" totalsRowFunction="sum" dataDxfId="198" totalsRowDxfId="161"/>
    <tableColumn id="27" xr3:uid="{00000000-0010-0000-0500-00001B000000}" name="W" totalsRowFunction="sum" dataDxfId="197" totalsRowDxfId="160"/>
    <tableColumn id="28" xr3:uid="{00000000-0010-0000-0500-00001C000000}" name="T" totalsRowFunction="sum" dataDxfId="196" totalsRowDxfId="159"/>
    <tableColumn id="29" xr3:uid="{00000000-0010-0000-0500-00001D000000}" name="X" totalsRowFunction="sum" dataDxfId="195" totalsRowDxfId="158"/>
    <tableColumn id="30" xr3:uid="{00000000-0010-0000-0500-00001E000000}" name="U" totalsRowFunction="sum" dataDxfId="194" totalsRowDxfId="157"/>
    <tableColumn id="31" xr3:uid="{00000000-0010-0000-0500-00001F000000}" name="O" totalsRowFunction="sum" dataDxfId="193" totalsRowDxfId="156"/>
    <tableColumn id="32" xr3:uid="{00000000-0010-0000-0500-000020000000}" name="I" totalsRowFunction="sum" dataDxfId="192" totalsRowDxfId="155"/>
    <tableColumn id="33" xr3:uid="{00000000-0010-0000-0500-000021000000}" name="E" totalsRowFunction="sum" dataDxfId="191" totalsRowDxfId="154"/>
    <tableColumn id="34" xr3:uid="{00000000-0010-0000-0500-000022000000}" name="A" totalsRowFunction="sum" dataDxfId="190" totalsRowDxfId="153"/>
    <tableColumn id="35" xr3:uid="{00000000-0010-0000-0500-000023000000}" name="P" totalsRowFunction="sum" dataDxfId="189" totalsRowDxfId="152"/>
    <tableColumn id="36" xr3:uid="{00000000-0010-0000-0500-000024000000}" name="N" totalsRowFunction="count" dataDxfId="188" totalsRowDxfId="15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TZ_AHB_LF_LEGACY" displayName="ATZ_AHB_LF_LEGACY" ref="A1:AJ7" totalsRowCount="1" headerRowDxfId="149" dataDxfId="112" totalsRowDxfId="75">
  <tableColumns count="36">
    <tableColumn id="1" xr3:uid="{00000000-0010-0000-0600-000001000000}" name="Day" totalsRowLabel="TOTAL" dataDxfId="148" totalsRowDxfId="111"/>
    <tableColumn id="2" xr3:uid="{00000000-0010-0000-0600-000002000000}" name="Flt Dt" dataDxfId="147" totalsRowDxfId="110"/>
    <tableColumn id="3" xr3:uid="{00000000-0010-0000-0600-000003000000}" name="Flt" totalsRowFunction="count" dataDxfId="146" totalsRowDxfId="109"/>
    <tableColumn id="4" xr3:uid="{00000000-0010-0000-0600-000004000000}" name="DEP" dataDxfId="145" totalsRowDxfId="108"/>
    <tableColumn id="5" xr3:uid="{00000000-0010-0000-0600-000005000000}" name="Brd-Off" totalsRowFunction="count" dataDxfId="144" totalsRowDxfId="107"/>
    <tableColumn id="6" xr3:uid="{00000000-0010-0000-0600-000006000000}" name="Eqp" dataDxfId="143" totalsRowDxfId="106"/>
    <tableColumn id="7" xr3:uid="{00000000-0010-0000-0600-000007000000}" name="LF%" totalsRowFunction="average" dataDxfId="142" totalsRowDxfId="105"/>
    <tableColumn id="8" xr3:uid="{00000000-0010-0000-0600-000008000000}" name="CAP" totalsRowFunction="sum" dataDxfId="141" totalsRowDxfId="104"/>
    <tableColumn id="9" xr3:uid="{00000000-0010-0000-0600-000009000000}" name="BKG(Y)" totalsRowFunction="sum" dataDxfId="140" totalsRowDxfId="103"/>
    <tableColumn id="10" xr3:uid="{00000000-0010-0000-0600-00000A000000}" name="GRP(Y)" totalsRowFunction="sum" dataDxfId="139" totalsRowDxfId="102"/>
    <tableColumn id="11" xr3:uid="{00000000-0010-0000-0600-00000B000000}" name="FLT ST" dataDxfId="138" totalsRowDxfId="101"/>
    <tableColumn id="12" xr3:uid="{00000000-0010-0000-0600-00000C000000}" name="LST-SOLD" dataDxfId="137" totalsRowDxfId="100"/>
    <tableColumn id="13" xr3:uid="{00000000-0010-0000-0600-00000D000000}" name="TO-DAY" totalsRowFunction="sum" dataDxfId="136" totalsRowDxfId="99"/>
    <tableColumn id="14" xr3:uid="{00000000-0010-0000-0600-00000E000000}" name="Y-DAY" totalsRowFunction="sum" dataDxfId="135" totalsRowDxfId="98"/>
    <tableColumn id="15" xr3:uid="{00000000-0010-0000-0600-00000F000000}" name="WEEKLY" totalsRowFunction="sum" dataDxfId="134" totalsRowDxfId="97"/>
    <tableColumn id="16" xr3:uid="{00000000-0010-0000-0600-000010000000}" name="LOWEST AVAIL" dataDxfId="133" totalsRowDxfId="96"/>
    <tableColumn id="17" xr3:uid="{00000000-0010-0000-0600-000011000000}" name="Y" totalsRowFunction="sum" dataDxfId="132" totalsRowDxfId="95"/>
    <tableColumn id="18" xr3:uid="{00000000-0010-0000-0600-000012000000}" name="B" totalsRowFunction="sum" dataDxfId="131" totalsRowDxfId="94"/>
    <tableColumn id="19" xr3:uid="{00000000-0010-0000-0600-000013000000}" name="M" totalsRowFunction="sum" dataDxfId="130" totalsRowDxfId="93"/>
    <tableColumn id="20" xr3:uid="{00000000-0010-0000-0600-000014000000}" name="H" totalsRowFunction="sum" dataDxfId="129" totalsRowDxfId="92"/>
    <tableColumn id="21" xr3:uid="{00000000-0010-0000-0600-000015000000}" name="Q" totalsRowFunction="sum" dataDxfId="128" totalsRowDxfId="91"/>
    <tableColumn id="22" xr3:uid="{00000000-0010-0000-0600-000016000000}" name="K" totalsRowFunction="sum" dataDxfId="127" totalsRowDxfId="90"/>
    <tableColumn id="23" xr3:uid="{00000000-0010-0000-0600-000017000000}" name="V" totalsRowFunction="sum" dataDxfId="126" totalsRowDxfId="89"/>
    <tableColumn id="24" xr3:uid="{00000000-0010-0000-0600-000018000000}" name="L" totalsRowFunction="sum" dataDxfId="125" totalsRowDxfId="88"/>
    <tableColumn id="25" xr3:uid="{00000000-0010-0000-0600-000019000000}" name="G" totalsRowFunction="sum" dataDxfId="124" totalsRowDxfId="87"/>
    <tableColumn id="26" xr3:uid="{00000000-0010-0000-0600-00001A000000}" name="S" totalsRowFunction="sum" dataDxfId="123" totalsRowDxfId="86"/>
    <tableColumn id="27" xr3:uid="{00000000-0010-0000-0600-00001B000000}" name="W" totalsRowFunction="sum" dataDxfId="122" totalsRowDxfId="85"/>
    <tableColumn id="28" xr3:uid="{00000000-0010-0000-0600-00001C000000}" name="T" totalsRowFunction="sum" dataDxfId="121" totalsRowDxfId="84"/>
    <tableColumn id="29" xr3:uid="{00000000-0010-0000-0600-00001D000000}" name="X" totalsRowFunction="sum" dataDxfId="120" totalsRowDxfId="83"/>
    <tableColumn id="30" xr3:uid="{00000000-0010-0000-0600-00001E000000}" name="U" totalsRowFunction="sum" dataDxfId="119" totalsRowDxfId="82"/>
    <tableColumn id="31" xr3:uid="{00000000-0010-0000-0600-00001F000000}" name="O" totalsRowFunction="sum" dataDxfId="118" totalsRowDxfId="81"/>
    <tableColumn id="32" xr3:uid="{00000000-0010-0000-0600-000020000000}" name="I" totalsRowFunction="sum" dataDxfId="117" totalsRowDxfId="80"/>
    <tableColumn id="33" xr3:uid="{00000000-0010-0000-0600-000021000000}" name="E" totalsRowFunction="sum" dataDxfId="116" totalsRowDxfId="79"/>
    <tableColumn id="34" xr3:uid="{00000000-0010-0000-0600-000022000000}" name="A" totalsRowFunction="sum" dataDxfId="115" totalsRowDxfId="78"/>
    <tableColumn id="35" xr3:uid="{00000000-0010-0000-0600-000023000000}" name="P" totalsRowFunction="sum" dataDxfId="114" totalsRowDxfId="77"/>
    <tableColumn id="36" xr3:uid="{00000000-0010-0000-0600-000024000000}" name="N" totalsRowFunction="count" dataDxfId="113" totalsRowDxfId="7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TZ_ELQ_LF_LEGACY" displayName="ATZ_ELQ_LF_LEGACY" ref="A1:AJ11" totalsRowCount="1" headerRowDxfId="74" dataDxfId="37" totalsRowDxfId="0">
  <tableColumns count="36">
    <tableColumn id="1" xr3:uid="{00000000-0010-0000-0700-000001000000}" name="Day" totalsRowLabel="TOTAL" dataDxfId="73" totalsRowDxfId="36"/>
    <tableColumn id="2" xr3:uid="{00000000-0010-0000-0700-000002000000}" name="Flt Dt" dataDxfId="72" totalsRowDxfId="35"/>
    <tableColumn id="3" xr3:uid="{00000000-0010-0000-0700-000003000000}" name="Flt" totalsRowFunction="count" dataDxfId="71" totalsRowDxfId="34"/>
    <tableColumn id="4" xr3:uid="{00000000-0010-0000-0700-000004000000}" name="DEP" dataDxfId="70" totalsRowDxfId="33"/>
    <tableColumn id="5" xr3:uid="{00000000-0010-0000-0700-000005000000}" name="Brd-Off" totalsRowFunction="count" dataDxfId="69" totalsRowDxfId="32"/>
    <tableColumn id="6" xr3:uid="{00000000-0010-0000-0700-000006000000}" name="Eqp" dataDxfId="68" totalsRowDxfId="31"/>
    <tableColumn id="7" xr3:uid="{00000000-0010-0000-0700-000007000000}" name="LF%" totalsRowFunction="average" dataDxfId="67" totalsRowDxfId="30"/>
    <tableColumn id="8" xr3:uid="{00000000-0010-0000-0700-000008000000}" name="CAP" totalsRowFunction="sum" dataDxfId="66" totalsRowDxfId="29"/>
    <tableColumn id="9" xr3:uid="{00000000-0010-0000-0700-000009000000}" name="BKG(Y)" totalsRowFunction="sum" dataDxfId="65" totalsRowDxfId="28"/>
    <tableColumn id="10" xr3:uid="{00000000-0010-0000-0700-00000A000000}" name="GRP(Y)" totalsRowFunction="sum" dataDxfId="64" totalsRowDxfId="27"/>
    <tableColumn id="11" xr3:uid="{00000000-0010-0000-0700-00000B000000}" name="FLT ST" dataDxfId="63" totalsRowDxfId="26"/>
    <tableColumn id="12" xr3:uid="{00000000-0010-0000-0700-00000C000000}" name="LST-SOLD" dataDxfId="62" totalsRowDxfId="25"/>
    <tableColumn id="13" xr3:uid="{00000000-0010-0000-0700-00000D000000}" name="TO-DAY" totalsRowFunction="sum" dataDxfId="61" totalsRowDxfId="24"/>
    <tableColumn id="14" xr3:uid="{00000000-0010-0000-0700-00000E000000}" name="Y-DAY" totalsRowFunction="sum" dataDxfId="60" totalsRowDxfId="23"/>
    <tableColumn id="15" xr3:uid="{00000000-0010-0000-0700-00000F000000}" name="WEEKLY" totalsRowFunction="sum" dataDxfId="59" totalsRowDxfId="22"/>
    <tableColumn id="16" xr3:uid="{00000000-0010-0000-0700-000010000000}" name="LOWEST AVAIL" dataDxfId="58" totalsRowDxfId="21"/>
    <tableColumn id="17" xr3:uid="{00000000-0010-0000-0700-000011000000}" name="Y" totalsRowFunction="sum" dataDxfId="57" totalsRowDxfId="20"/>
    <tableColumn id="18" xr3:uid="{00000000-0010-0000-0700-000012000000}" name="B" totalsRowFunction="sum" dataDxfId="56" totalsRowDxfId="19"/>
    <tableColumn id="19" xr3:uid="{00000000-0010-0000-0700-000013000000}" name="M" totalsRowFunction="sum" dataDxfId="55" totalsRowDxfId="18"/>
    <tableColumn id="20" xr3:uid="{00000000-0010-0000-0700-000014000000}" name="H" totalsRowFunction="sum" dataDxfId="54" totalsRowDxfId="17"/>
    <tableColumn id="21" xr3:uid="{00000000-0010-0000-0700-000015000000}" name="Q" totalsRowFunction="sum" dataDxfId="53" totalsRowDxfId="16"/>
    <tableColumn id="22" xr3:uid="{00000000-0010-0000-0700-000016000000}" name="K" totalsRowFunction="sum" dataDxfId="52" totalsRowDxfId="15"/>
    <tableColumn id="23" xr3:uid="{00000000-0010-0000-0700-000017000000}" name="V" totalsRowFunction="sum" dataDxfId="51" totalsRowDxfId="14"/>
    <tableColumn id="24" xr3:uid="{00000000-0010-0000-0700-000018000000}" name="L" totalsRowFunction="sum" dataDxfId="50" totalsRowDxfId="13"/>
    <tableColumn id="25" xr3:uid="{00000000-0010-0000-0700-000019000000}" name="G" totalsRowFunction="sum" dataDxfId="49" totalsRowDxfId="12"/>
    <tableColumn id="26" xr3:uid="{00000000-0010-0000-0700-00001A000000}" name="S" totalsRowFunction="sum" dataDxfId="48" totalsRowDxfId="11"/>
    <tableColumn id="27" xr3:uid="{00000000-0010-0000-0700-00001B000000}" name="W" totalsRowFunction="sum" dataDxfId="47" totalsRowDxfId="10"/>
    <tableColumn id="28" xr3:uid="{00000000-0010-0000-0700-00001C000000}" name="T" totalsRowFunction="sum" dataDxfId="46" totalsRowDxfId="9"/>
    <tableColumn id="29" xr3:uid="{00000000-0010-0000-0700-00001D000000}" name="X" totalsRowFunction="sum" dataDxfId="45" totalsRowDxfId="8"/>
    <tableColumn id="30" xr3:uid="{00000000-0010-0000-0700-00001E000000}" name="U" totalsRowFunction="sum" dataDxfId="44" totalsRowDxfId="7"/>
    <tableColumn id="31" xr3:uid="{00000000-0010-0000-0700-00001F000000}" name="O" totalsRowFunction="sum" dataDxfId="43" totalsRowDxfId="6"/>
    <tableColumn id="32" xr3:uid="{00000000-0010-0000-0700-000020000000}" name="I" totalsRowFunction="sum" dataDxfId="42" totalsRowDxfId="5"/>
    <tableColumn id="33" xr3:uid="{00000000-0010-0000-0700-000021000000}" name="E" totalsRowFunction="sum" dataDxfId="41" totalsRowDxfId="4"/>
    <tableColumn id="34" xr3:uid="{00000000-0010-0000-0700-000022000000}" name="A" totalsRowFunction="sum" dataDxfId="40" totalsRowDxfId="3"/>
    <tableColumn id="35" xr3:uid="{00000000-0010-0000-0700-000023000000}" name="P" totalsRowFunction="sum" dataDxfId="39" totalsRowDxfId="2"/>
    <tableColumn id="36" xr3:uid="{00000000-0010-0000-07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6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00" t="s">
        <v>0</v>
      </c>
      <c r="B1" s="199"/>
      <c r="C1" s="199"/>
      <c r="D1" s="199"/>
      <c r="E1" s="199"/>
      <c r="F1" s="1" t="s">
        <v>1</v>
      </c>
      <c r="G1" s="2" t="s">
        <v>2</v>
      </c>
      <c r="H1" s="198" t="s">
        <v>3</v>
      </c>
      <c r="I1" s="199"/>
      <c r="J1" s="199"/>
      <c r="K1" s="199"/>
      <c r="L1" s="199"/>
      <c r="M1" s="1" t="s">
        <v>4</v>
      </c>
      <c r="N1" s="208" t="s">
        <v>5</v>
      </c>
      <c r="O1" s="199"/>
      <c r="P1" s="199"/>
      <c r="Q1" s="199"/>
      <c r="R1" s="1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6" t="s">
        <v>6</v>
      </c>
      <c r="B2" s="199"/>
      <c r="C2" s="199"/>
      <c r="D2" s="199"/>
      <c r="E2" s="199"/>
      <c r="F2" s="199"/>
      <c r="G2" s="207">
        <v>45984.112408653637</v>
      </c>
      <c r="H2" s="199"/>
      <c r="I2" s="199"/>
      <c r="J2" s="199"/>
      <c r="K2" s="209">
        <v>45984.112408654291</v>
      </c>
      <c r="L2" s="199"/>
      <c r="M2" s="199"/>
      <c r="N2" s="199"/>
      <c r="O2" s="199"/>
      <c r="P2" s="199"/>
      <c r="Q2" s="199"/>
      <c r="R2" s="1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2" t="s">
        <v>8</v>
      </c>
      <c r="B4" s="203"/>
      <c r="C4" s="203"/>
      <c r="D4" s="203"/>
      <c r="E4" s="203"/>
      <c r="F4" s="204"/>
      <c r="G4" s="4">
        <v>46050</v>
      </c>
      <c r="H4" s="210" t="s">
        <v>9</v>
      </c>
      <c r="I4" s="203"/>
      <c r="J4" s="203"/>
      <c r="K4" s="203"/>
      <c r="L4" s="203"/>
      <c r="M4" s="203"/>
      <c r="N4" s="203"/>
      <c r="O4" s="203"/>
      <c r="P4" s="203"/>
      <c r="Q4" s="203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0.46180555555555558</v>
      </c>
      <c r="D6" s="8" t="s">
        <v>30</v>
      </c>
      <c r="E6" s="10"/>
      <c r="F6" s="8" t="s">
        <v>31</v>
      </c>
      <c r="G6" s="197"/>
      <c r="H6" s="11" t="s">
        <v>29</v>
      </c>
      <c r="I6" s="12">
        <v>5.5999999999999999E-3</v>
      </c>
      <c r="J6" s="13">
        <v>1</v>
      </c>
      <c r="K6" s="14" t="s">
        <v>32</v>
      </c>
      <c r="L6" s="13">
        <v>1</v>
      </c>
      <c r="M6" s="13">
        <v>0</v>
      </c>
      <c r="N6" s="13">
        <v>0</v>
      </c>
      <c r="O6" s="15" t="s">
        <v>33</v>
      </c>
      <c r="P6" s="16">
        <v>0.46180555555555558</v>
      </c>
      <c r="Q6" s="13">
        <v>180</v>
      </c>
      <c r="R6" s="17" t="s">
        <v>34</v>
      </c>
    </row>
    <row r="7" spans="1:92" ht="17.399999999999999" customHeight="1" thickBot="1" x14ac:dyDescent="0.35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92" ht="22.05" customHeight="1" thickTop="1" thickBot="1" x14ac:dyDescent="0.35">
      <c r="A8" s="202" t="s">
        <v>8</v>
      </c>
      <c r="B8" s="203"/>
      <c r="C8" s="203"/>
      <c r="D8" s="203"/>
      <c r="E8" s="203"/>
      <c r="F8" s="204"/>
      <c r="G8" s="18">
        <v>46053</v>
      </c>
      <c r="H8" s="205" t="s">
        <v>9</v>
      </c>
      <c r="I8" s="203"/>
      <c r="J8" s="203"/>
      <c r="K8" s="203"/>
      <c r="L8" s="203"/>
      <c r="M8" s="203"/>
      <c r="N8" s="203"/>
      <c r="O8" s="203"/>
      <c r="P8" s="203"/>
      <c r="Q8" s="203"/>
      <c r="R8" s="2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35</v>
      </c>
      <c r="C10" s="27">
        <v>0.80208333333333337</v>
      </c>
      <c r="D10" s="26" t="s">
        <v>30</v>
      </c>
      <c r="E10" s="28"/>
      <c r="F10" s="26" t="s">
        <v>31</v>
      </c>
      <c r="G10" s="201"/>
      <c r="H10" s="29" t="s">
        <v>35</v>
      </c>
      <c r="I10" s="30">
        <v>1.11E-2</v>
      </c>
      <c r="J10" s="31">
        <v>2</v>
      </c>
      <c r="K10" s="32" t="s">
        <v>36</v>
      </c>
      <c r="L10" s="31">
        <v>2</v>
      </c>
      <c r="M10" s="31">
        <v>0</v>
      </c>
      <c r="N10" s="31">
        <v>0</v>
      </c>
      <c r="O10" s="33" t="s">
        <v>37</v>
      </c>
      <c r="P10" s="34">
        <v>0.80208333333333337</v>
      </c>
      <c r="Q10" s="31">
        <v>180</v>
      </c>
      <c r="R10" s="35" t="s">
        <v>38</v>
      </c>
    </row>
    <row r="11" spans="1:92" ht="17.399999999999999" customHeight="1" thickBot="1" x14ac:dyDescent="0.35">
      <c r="A11" s="229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1"/>
    </row>
    <row r="12" spans="1:92" ht="22.05" customHeight="1" thickTop="1" thickBot="1" x14ac:dyDescent="0.35">
      <c r="A12" s="202" t="s">
        <v>8</v>
      </c>
      <c r="B12" s="203"/>
      <c r="C12" s="203"/>
      <c r="D12" s="203"/>
      <c r="E12" s="203"/>
      <c r="F12" s="204"/>
      <c r="G12" s="18">
        <v>46055</v>
      </c>
      <c r="H12" s="205" t="s">
        <v>9</v>
      </c>
      <c r="I12" s="203"/>
      <c r="J12" s="203"/>
      <c r="K12" s="203"/>
      <c r="L12" s="203"/>
      <c r="M12" s="203"/>
      <c r="N12" s="203"/>
      <c r="O12" s="203"/>
      <c r="P12" s="203"/>
      <c r="Q12" s="203"/>
      <c r="R12" s="2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35</v>
      </c>
      <c r="C14" s="37">
        <v>0.64583333333333337</v>
      </c>
      <c r="D14" s="36" t="s">
        <v>30</v>
      </c>
      <c r="E14" s="38"/>
      <c r="F14" s="36" t="s">
        <v>39</v>
      </c>
      <c r="G14" s="201"/>
      <c r="H14" s="39" t="s">
        <v>35</v>
      </c>
      <c r="I14" s="40">
        <v>0</v>
      </c>
      <c r="J14" s="41">
        <v>0</v>
      </c>
      <c r="K14" s="42" t="s">
        <v>40</v>
      </c>
      <c r="L14" s="41">
        <v>0</v>
      </c>
      <c r="M14" s="41">
        <v>0</v>
      </c>
      <c r="N14" s="41">
        <v>0</v>
      </c>
      <c r="O14" s="43" t="s">
        <v>41</v>
      </c>
      <c r="P14" s="44">
        <v>0.64583333333333337</v>
      </c>
      <c r="Q14" s="41">
        <v>180</v>
      </c>
      <c r="R14" s="45" t="s">
        <v>40</v>
      </c>
    </row>
    <row r="15" spans="1:92" ht="17.399999999999999" customHeight="1" thickBot="1" x14ac:dyDescent="0.35">
      <c r="A15" s="229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</row>
    <row r="16" spans="1:92" ht="22.05" customHeight="1" thickTop="1" thickBot="1" x14ac:dyDescent="0.35">
      <c r="A16" s="202" t="s">
        <v>8</v>
      </c>
      <c r="B16" s="203"/>
      <c r="C16" s="203"/>
      <c r="D16" s="203"/>
      <c r="E16" s="203"/>
      <c r="F16" s="204"/>
      <c r="G16" s="18">
        <v>46056</v>
      </c>
      <c r="H16" s="205" t="s">
        <v>9</v>
      </c>
      <c r="I16" s="203"/>
      <c r="J16" s="203"/>
      <c r="K16" s="203"/>
      <c r="L16" s="203"/>
      <c r="M16" s="203"/>
      <c r="N16" s="203"/>
      <c r="O16" s="203"/>
      <c r="P16" s="203"/>
      <c r="Q16" s="203"/>
      <c r="R16" s="2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26" t="s">
        <v>28</v>
      </c>
      <c r="B18" s="26" t="s">
        <v>35</v>
      </c>
      <c r="C18" s="27">
        <v>0.125</v>
      </c>
      <c r="D18" s="26" t="s">
        <v>30</v>
      </c>
      <c r="E18" s="28"/>
      <c r="F18" s="26" t="s">
        <v>39</v>
      </c>
      <c r="G18" s="201"/>
      <c r="H18" s="29" t="s">
        <v>35</v>
      </c>
      <c r="I18" s="30">
        <v>0</v>
      </c>
      <c r="J18" s="31">
        <v>0</v>
      </c>
      <c r="K18" s="32" t="s">
        <v>40</v>
      </c>
      <c r="L18" s="31">
        <v>0</v>
      </c>
      <c r="M18" s="31">
        <v>0</v>
      </c>
      <c r="N18" s="31">
        <v>0</v>
      </c>
      <c r="O18" s="33" t="s">
        <v>41</v>
      </c>
      <c r="P18" s="34">
        <v>0.125</v>
      </c>
      <c r="Q18" s="31">
        <v>180</v>
      </c>
      <c r="R18" s="35" t="s">
        <v>40</v>
      </c>
    </row>
    <row r="19" spans="1:18" ht="17.399999999999999" customHeight="1" thickBot="1" x14ac:dyDescent="0.35">
      <c r="A19" s="229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1"/>
    </row>
    <row r="20" spans="1:18" ht="22.05" customHeight="1" thickTop="1" thickBot="1" x14ac:dyDescent="0.35">
      <c r="A20" s="202" t="s">
        <v>8</v>
      </c>
      <c r="B20" s="203"/>
      <c r="C20" s="203"/>
      <c r="D20" s="203"/>
      <c r="E20" s="203"/>
      <c r="F20" s="204"/>
      <c r="G20" s="18">
        <v>46057</v>
      </c>
      <c r="H20" s="205" t="s">
        <v>9</v>
      </c>
      <c r="I20" s="203"/>
      <c r="J20" s="203"/>
      <c r="K20" s="203"/>
      <c r="L20" s="203"/>
      <c r="M20" s="203"/>
      <c r="N20" s="203"/>
      <c r="O20" s="203"/>
      <c r="P20" s="203"/>
      <c r="Q20" s="203"/>
      <c r="R20" s="2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26" t="s">
        <v>28</v>
      </c>
      <c r="B22" s="26" t="s">
        <v>29</v>
      </c>
      <c r="C22" s="27">
        <v>0.46180555555555558</v>
      </c>
      <c r="D22" s="26" t="s">
        <v>30</v>
      </c>
      <c r="E22" s="28"/>
      <c r="F22" s="26" t="s">
        <v>39</v>
      </c>
      <c r="G22" s="201"/>
      <c r="H22" s="29" t="s">
        <v>29</v>
      </c>
      <c r="I22" s="30">
        <v>0</v>
      </c>
      <c r="J22" s="31">
        <v>0</v>
      </c>
      <c r="K22" s="32" t="s">
        <v>40</v>
      </c>
      <c r="L22" s="31">
        <v>0</v>
      </c>
      <c r="M22" s="31">
        <v>0</v>
      </c>
      <c r="N22" s="31">
        <v>0</v>
      </c>
      <c r="O22" s="33" t="s">
        <v>41</v>
      </c>
      <c r="P22" s="34">
        <v>0.46180555555555558</v>
      </c>
      <c r="Q22" s="31">
        <v>180</v>
      </c>
      <c r="R22" s="35" t="s">
        <v>40</v>
      </c>
    </row>
    <row r="23" spans="1:18" ht="17.399999999999999" customHeight="1" thickBot="1" x14ac:dyDescent="0.35">
      <c r="A23" s="229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1"/>
    </row>
    <row r="24" spans="1:18" ht="22.05" customHeight="1" thickTop="1" thickBot="1" x14ac:dyDescent="0.35">
      <c r="A24" s="202" t="s">
        <v>8</v>
      </c>
      <c r="B24" s="203"/>
      <c r="C24" s="203"/>
      <c r="D24" s="203"/>
      <c r="E24" s="203"/>
      <c r="F24" s="204"/>
      <c r="G24" s="18">
        <v>46060</v>
      </c>
      <c r="H24" s="205" t="s">
        <v>9</v>
      </c>
      <c r="I24" s="203"/>
      <c r="J24" s="203"/>
      <c r="K24" s="203"/>
      <c r="L24" s="203"/>
      <c r="M24" s="203"/>
      <c r="N24" s="203"/>
      <c r="O24" s="203"/>
      <c r="P24" s="203"/>
      <c r="Q24" s="203"/>
      <c r="R24" s="204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46" t="s">
        <v>28</v>
      </c>
      <c r="B26" s="46" t="s">
        <v>35</v>
      </c>
      <c r="C26" s="47">
        <v>0.80208333333333337</v>
      </c>
      <c r="D26" s="46" t="s">
        <v>30</v>
      </c>
      <c r="E26" s="48"/>
      <c r="F26" s="46" t="s">
        <v>31</v>
      </c>
      <c r="G26" s="197"/>
      <c r="H26" s="49" t="s">
        <v>35</v>
      </c>
      <c r="I26" s="50">
        <v>5.5999999999999999E-3</v>
      </c>
      <c r="J26" s="51">
        <v>1</v>
      </c>
      <c r="K26" s="52" t="s">
        <v>42</v>
      </c>
      <c r="L26" s="51">
        <v>1</v>
      </c>
      <c r="M26" s="51">
        <v>0</v>
      </c>
      <c r="N26" s="51">
        <v>0</v>
      </c>
      <c r="O26" s="53" t="s">
        <v>43</v>
      </c>
      <c r="P26" s="54">
        <v>0.80208333333333337</v>
      </c>
      <c r="Q26" s="51">
        <v>180</v>
      </c>
      <c r="R26" s="55" t="s">
        <v>44</v>
      </c>
    </row>
    <row r="27" spans="1:18" ht="17.399999999999999" customHeight="1" thickBot="1" x14ac:dyDescent="0.35">
      <c r="A27" s="229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1"/>
    </row>
    <row r="28" spans="1:18" ht="22.05" customHeight="1" thickTop="1" thickBot="1" x14ac:dyDescent="0.35">
      <c r="A28" s="202" t="s">
        <v>8</v>
      </c>
      <c r="B28" s="203"/>
      <c r="C28" s="203"/>
      <c r="D28" s="203"/>
      <c r="E28" s="203"/>
      <c r="F28" s="204"/>
      <c r="G28" s="18">
        <v>46062</v>
      </c>
      <c r="H28" s="205" t="s">
        <v>9</v>
      </c>
      <c r="I28" s="203"/>
      <c r="J28" s="203"/>
      <c r="K28" s="203"/>
      <c r="L28" s="203"/>
      <c r="M28" s="203"/>
      <c r="N28" s="203"/>
      <c r="O28" s="203"/>
      <c r="P28" s="203"/>
      <c r="Q28" s="203"/>
      <c r="R28" s="204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46" t="s">
        <v>28</v>
      </c>
      <c r="B30" s="46" t="s">
        <v>35</v>
      </c>
      <c r="C30" s="47">
        <v>0.64583333333333337</v>
      </c>
      <c r="D30" s="46" t="s">
        <v>30</v>
      </c>
      <c r="E30" s="48"/>
      <c r="F30" s="46" t="s">
        <v>31</v>
      </c>
      <c r="G30" s="201"/>
      <c r="H30" s="49" t="s">
        <v>35</v>
      </c>
      <c r="I30" s="50">
        <v>1.11E-2</v>
      </c>
      <c r="J30" s="51">
        <v>2</v>
      </c>
      <c r="K30" s="52" t="s">
        <v>45</v>
      </c>
      <c r="L30" s="51">
        <v>2</v>
      </c>
      <c r="M30" s="51">
        <v>0</v>
      </c>
      <c r="N30" s="51">
        <v>0</v>
      </c>
      <c r="O30" s="53" t="s">
        <v>46</v>
      </c>
      <c r="P30" s="54">
        <v>0.64583333333333337</v>
      </c>
      <c r="Q30" s="51">
        <v>180</v>
      </c>
      <c r="R30" s="55" t="s">
        <v>47</v>
      </c>
    </row>
    <row r="31" spans="1:18" ht="17.399999999999999" customHeight="1" thickBot="1" x14ac:dyDescent="0.35">
      <c r="A31" s="229"/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1"/>
    </row>
    <row r="32" spans="1:18" ht="22.05" customHeight="1" thickTop="1" thickBot="1" x14ac:dyDescent="0.35">
      <c r="A32" s="202" t="s">
        <v>8</v>
      </c>
      <c r="B32" s="203"/>
      <c r="C32" s="203"/>
      <c r="D32" s="203"/>
      <c r="E32" s="203"/>
      <c r="F32" s="204"/>
      <c r="G32" s="18">
        <v>46063</v>
      </c>
      <c r="H32" s="205" t="s">
        <v>9</v>
      </c>
      <c r="I32" s="203"/>
      <c r="J32" s="203"/>
      <c r="K32" s="203"/>
      <c r="L32" s="203"/>
      <c r="M32" s="203"/>
      <c r="N32" s="203"/>
      <c r="O32" s="203"/>
      <c r="P32" s="203"/>
      <c r="Q32" s="203"/>
      <c r="R32" s="204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56" t="s">
        <v>28</v>
      </c>
      <c r="B34" s="56" t="s">
        <v>35</v>
      </c>
      <c r="C34" s="57">
        <v>0.125</v>
      </c>
      <c r="D34" s="56" t="s">
        <v>30</v>
      </c>
      <c r="E34" s="58"/>
      <c r="F34" s="56" t="s">
        <v>39</v>
      </c>
      <c r="G34" s="197"/>
      <c r="H34" s="59" t="s">
        <v>35</v>
      </c>
      <c r="I34" s="60">
        <v>0</v>
      </c>
      <c r="J34" s="61">
        <v>0</v>
      </c>
      <c r="K34" s="62" t="s">
        <v>40</v>
      </c>
      <c r="L34" s="61">
        <v>0</v>
      </c>
      <c r="M34" s="61">
        <v>0</v>
      </c>
      <c r="N34" s="61">
        <v>0</v>
      </c>
      <c r="O34" s="63" t="s">
        <v>41</v>
      </c>
      <c r="P34" s="64">
        <v>0.125</v>
      </c>
      <c r="Q34" s="61">
        <v>180</v>
      </c>
      <c r="R34" s="65" t="s">
        <v>40</v>
      </c>
    </row>
    <row r="35" spans="1:18" ht="17.399999999999999" customHeight="1" thickBot="1" x14ac:dyDescent="0.35">
      <c r="A35" s="229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1"/>
    </row>
    <row r="36" spans="1:18" ht="22.05" customHeight="1" thickTop="1" thickBot="1" x14ac:dyDescent="0.35">
      <c r="A36" s="202" t="s">
        <v>8</v>
      </c>
      <c r="B36" s="203"/>
      <c r="C36" s="203"/>
      <c r="D36" s="203"/>
      <c r="E36" s="203"/>
      <c r="F36" s="204"/>
      <c r="G36" s="18">
        <v>46064</v>
      </c>
      <c r="H36" s="205" t="s">
        <v>9</v>
      </c>
      <c r="I36" s="203"/>
      <c r="J36" s="203"/>
      <c r="K36" s="203"/>
      <c r="L36" s="203"/>
      <c r="M36" s="203"/>
      <c r="N36" s="203"/>
      <c r="O36" s="203"/>
      <c r="P36" s="203"/>
      <c r="Q36" s="203"/>
      <c r="R36" s="204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36" t="s">
        <v>28</v>
      </c>
      <c r="B38" s="36" t="s">
        <v>29</v>
      </c>
      <c r="C38" s="37">
        <v>0.46180555555555558</v>
      </c>
      <c r="D38" s="36" t="s">
        <v>30</v>
      </c>
      <c r="E38" s="38"/>
      <c r="F38" s="36" t="s">
        <v>39</v>
      </c>
      <c r="G38" s="201"/>
      <c r="H38" s="39" t="s">
        <v>29</v>
      </c>
      <c r="I38" s="40">
        <v>0</v>
      </c>
      <c r="J38" s="41">
        <v>0</v>
      </c>
      <c r="K38" s="42" t="s">
        <v>40</v>
      </c>
      <c r="L38" s="41">
        <v>0</v>
      </c>
      <c r="M38" s="41">
        <v>0</v>
      </c>
      <c r="N38" s="41">
        <v>0</v>
      </c>
      <c r="O38" s="43" t="s">
        <v>41</v>
      </c>
      <c r="P38" s="44">
        <v>0.46180555555555558</v>
      </c>
      <c r="Q38" s="41">
        <v>180</v>
      </c>
      <c r="R38" s="45" t="s">
        <v>40</v>
      </c>
    </row>
    <row r="39" spans="1:18" ht="17.399999999999999" customHeight="1" thickBot="1" x14ac:dyDescent="0.35">
      <c r="A39" s="229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1"/>
    </row>
    <row r="40" spans="1:18" ht="22.05" customHeight="1" thickTop="1" thickBot="1" x14ac:dyDescent="0.35">
      <c r="A40" s="202" t="s">
        <v>8</v>
      </c>
      <c r="B40" s="203"/>
      <c r="C40" s="203"/>
      <c r="D40" s="203"/>
      <c r="E40" s="203"/>
      <c r="F40" s="204"/>
      <c r="G40" s="18">
        <v>46067</v>
      </c>
      <c r="H40" s="205" t="s">
        <v>9</v>
      </c>
      <c r="I40" s="203"/>
      <c r="J40" s="203"/>
      <c r="K40" s="203"/>
      <c r="L40" s="203"/>
      <c r="M40" s="203"/>
      <c r="N40" s="203"/>
      <c r="O40" s="203"/>
      <c r="P40" s="203"/>
      <c r="Q40" s="203"/>
      <c r="R40" s="204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56" t="s">
        <v>28</v>
      </c>
      <c r="B42" s="56" t="s">
        <v>35</v>
      </c>
      <c r="C42" s="57">
        <v>0.80208333333333337</v>
      </c>
      <c r="D42" s="56" t="s">
        <v>30</v>
      </c>
      <c r="E42" s="58"/>
      <c r="F42" s="56" t="s">
        <v>39</v>
      </c>
      <c r="G42" s="201"/>
      <c r="H42" s="59" t="s">
        <v>35</v>
      </c>
      <c r="I42" s="60">
        <v>0</v>
      </c>
      <c r="J42" s="61">
        <v>0</v>
      </c>
      <c r="K42" s="62" t="s">
        <v>40</v>
      </c>
      <c r="L42" s="61">
        <v>0</v>
      </c>
      <c r="M42" s="61">
        <v>0</v>
      </c>
      <c r="N42" s="61">
        <v>0</v>
      </c>
      <c r="O42" s="63" t="s">
        <v>41</v>
      </c>
      <c r="P42" s="64">
        <v>0.80208333333333337</v>
      </c>
      <c r="Q42" s="61">
        <v>180</v>
      </c>
      <c r="R42" s="65" t="s">
        <v>40</v>
      </c>
    </row>
    <row r="43" spans="1:18" ht="17.399999999999999" customHeight="1" thickBot="1" x14ac:dyDescent="0.35">
      <c r="A43" s="229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1"/>
    </row>
    <row r="44" spans="1:18" ht="22.05" customHeight="1" thickTop="1" thickBot="1" x14ac:dyDescent="0.35">
      <c r="A44" s="202" t="s">
        <v>8</v>
      </c>
      <c r="B44" s="203"/>
      <c r="C44" s="203"/>
      <c r="D44" s="203"/>
      <c r="E44" s="203"/>
      <c r="F44" s="204"/>
      <c r="G44" s="18">
        <v>46069</v>
      </c>
      <c r="H44" s="205" t="s">
        <v>9</v>
      </c>
      <c r="I44" s="203"/>
      <c r="J44" s="203"/>
      <c r="K44" s="203"/>
      <c r="L44" s="203"/>
      <c r="M44" s="203"/>
      <c r="N44" s="203"/>
      <c r="O44" s="203"/>
      <c r="P44" s="203"/>
      <c r="Q44" s="203"/>
      <c r="R44" s="204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36" t="s">
        <v>28</v>
      </c>
      <c r="B46" s="36" t="s">
        <v>35</v>
      </c>
      <c r="C46" s="37">
        <v>0.64583333333333337</v>
      </c>
      <c r="D46" s="36" t="s">
        <v>30</v>
      </c>
      <c r="E46" s="38"/>
      <c r="F46" s="36" t="s">
        <v>39</v>
      </c>
      <c r="G46" s="201"/>
      <c r="H46" s="39" t="s">
        <v>35</v>
      </c>
      <c r="I46" s="40">
        <v>0</v>
      </c>
      <c r="J46" s="41">
        <v>0</v>
      </c>
      <c r="K46" s="42" t="s">
        <v>40</v>
      </c>
      <c r="L46" s="41">
        <v>0</v>
      </c>
      <c r="M46" s="41">
        <v>0</v>
      </c>
      <c r="N46" s="41">
        <v>0</v>
      </c>
      <c r="O46" s="43" t="s">
        <v>41</v>
      </c>
      <c r="P46" s="44">
        <v>0.64583333333333337</v>
      </c>
      <c r="Q46" s="41">
        <v>180</v>
      </c>
      <c r="R46" s="45" t="s">
        <v>40</v>
      </c>
    </row>
    <row r="47" spans="1:18" ht="17.399999999999999" customHeight="1" thickBot="1" x14ac:dyDescent="0.35">
      <c r="A47" s="229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1"/>
    </row>
    <row r="48" spans="1:18" ht="22.05" customHeight="1" thickTop="1" thickBot="1" x14ac:dyDescent="0.35">
      <c r="A48" s="202" t="s">
        <v>8</v>
      </c>
      <c r="B48" s="203"/>
      <c r="C48" s="203"/>
      <c r="D48" s="203"/>
      <c r="E48" s="203"/>
      <c r="F48" s="204"/>
      <c r="G48" s="18">
        <v>46070</v>
      </c>
      <c r="H48" s="205" t="s">
        <v>9</v>
      </c>
      <c r="I48" s="203"/>
      <c r="J48" s="203"/>
      <c r="K48" s="203"/>
      <c r="L48" s="203"/>
      <c r="M48" s="203"/>
      <c r="N48" s="203"/>
      <c r="O48" s="203"/>
      <c r="P48" s="203"/>
      <c r="Q48" s="203"/>
      <c r="R48" s="204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8" t="s">
        <v>28</v>
      </c>
      <c r="B50" s="8" t="s">
        <v>35</v>
      </c>
      <c r="C50" s="9">
        <v>0.125</v>
      </c>
      <c r="D50" s="8" t="s">
        <v>30</v>
      </c>
      <c r="E50" s="10"/>
      <c r="F50" s="8" t="s">
        <v>39</v>
      </c>
      <c r="G50" s="201"/>
      <c r="H50" s="11" t="s">
        <v>35</v>
      </c>
      <c r="I50" s="12">
        <v>0</v>
      </c>
      <c r="J50" s="13">
        <v>0</v>
      </c>
      <c r="K50" s="14" t="s">
        <v>40</v>
      </c>
      <c r="L50" s="13">
        <v>0</v>
      </c>
      <c r="M50" s="13">
        <v>0</v>
      </c>
      <c r="N50" s="13">
        <v>0</v>
      </c>
      <c r="O50" s="15" t="s">
        <v>41</v>
      </c>
      <c r="P50" s="16">
        <v>0.125</v>
      </c>
      <c r="Q50" s="13">
        <v>180</v>
      </c>
      <c r="R50" s="17" t="s">
        <v>40</v>
      </c>
    </row>
    <row r="51" spans="1:18" ht="17.399999999999999" customHeight="1" thickBot="1" x14ac:dyDescent="0.35">
      <c r="A51" s="229"/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1"/>
    </row>
    <row r="52" spans="1:18" ht="22.05" customHeight="1" thickTop="1" thickBot="1" x14ac:dyDescent="0.35">
      <c r="A52" s="202" t="s">
        <v>8</v>
      </c>
      <c r="B52" s="203"/>
      <c r="C52" s="203"/>
      <c r="D52" s="203"/>
      <c r="E52" s="203"/>
      <c r="F52" s="204"/>
      <c r="G52" s="18">
        <v>46071</v>
      </c>
      <c r="H52" s="205" t="s">
        <v>9</v>
      </c>
      <c r="I52" s="203"/>
      <c r="J52" s="203"/>
      <c r="K52" s="203"/>
      <c r="L52" s="203"/>
      <c r="M52" s="203"/>
      <c r="N52" s="203"/>
      <c r="O52" s="203"/>
      <c r="P52" s="203"/>
      <c r="Q52" s="203"/>
      <c r="R52" s="204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56" t="s">
        <v>28</v>
      </c>
      <c r="B54" s="56" t="s">
        <v>29</v>
      </c>
      <c r="C54" s="57">
        <v>0.46180555555555558</v>
      </c>
      <c r="D54" s="56" t="s">
        <v>30</v>
      </c>
      <c r="E54" s="58"/>
      <c r="F54" s="56" t="s">
        <v>39</v>
      </c>
      <c r="G54" s="201"/>
      <c r="H54" s="59" t="s">
        <v>29</v>
      </c>
      <c r="I54" s="60">
        <v>0</v>
      </c>
      <c r="J54" s="61">
        <v>0</v>
      </c>
      <c r="K54" s="62" t="s">
        <v>40</v>
      </c>
      <c r="L54" s="61">
        <v>0</v>
      </c>
      <c r="M54" s="61">
        <v>0</v>
      </c>
      <c r="N54" s="61">
        <v>0</v>
      </c>
      <c r="O54" s="63" t="s">
        <v>41</v>
      </c>
      <c r="P54" s="64">
        <v>0.46180555555555558</v>
      </c>
      <c r="Q54" s="61">
        <v>180</v>
      </c>
      <c r="R54" s="65" t="s">
        <v>40</v>
      </c>
    </row>
    <row r="55" spans="1:18" ht="17.399999999999999" customHeight="1" thickBot="1" x14ac:dyDescent="0.35">
      <c r="A55" s="229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1"/>
    </row>
    <row r="56" spans="1:18" ht="22.05" customHeight="1" thickTop="1" thickBot="1" x14ac:dyDescent="0.35">
      <c r="A56" s="202" t="s">
        <v>8</v>
      </c>
      <c r="B56" s="203"/>
      <c r="C56" s="203"/>
      <c r="D56" s="203"/>
      <c r="E56" s="203"/>
      <c r="F56" s="204"/>
      <c r="G56" s="18">
        <v>46074</v>
      </c>
      <c r="H56" s="205" t="s">
        <v>9</v>
      </c>
      <c r="I56" s="203"/>
      <c r="J56" s="203"/>
      <c r="K56" s="203"/>
      <c r="L56" s="203"/>
      <c r="M56" s="203"/>
      <c r="N56" s="203"/>
      <c r="O56" s="203"/>
      <c r="P56" s="203"/>
      <c r="Q56" s="203"/>
      <c r="R56" s="204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56" t="s">
        <v>28</v>
      </c>
      <c r="B58" s="56" t="s">
        <v>35</v>
      </c>
      <c r="C58" s="57">
        <v>0.80208333333333337</v>
      </c>
      <c r="D58" s="56" t="s">
        <v>30</v>
      </c>
      <c r="E58" s="58"/>
      <c r="F58" s="56" t="s">
        <v>39</v>
      </c>
      <c r="G58" s="197"/>
      <c r="H58" s="59" t="s">
        <v>35</v>
      </c>
      <c r="I58" s="60">
        <v>0</v>
      </c>
      <c r="J58" s="61">
        <v>0</v>
      </c>
      <c r="K58" s="62" t="s">
        <v>40</v>
      </c>
      <c r="L58" s="61">
        <v>0</v>
      </c>
      <c r="M58" s="61">
        <v>0</v>
      </c>
      <c r="N58" s="61">
        <v>0</v>
      </c>
      <c r="O58" s="63" t="s">
        <v>41</v>
      </c>
      <c r="P58" s="64">
        <v>0.80208333333333337</v>
      </c>
      <c r="Q58" s="61">
        <v>180</v>
      </c>
      <c r="R58" s="65" t="s">
        <v>40</v>
      </c>
    </row>
    <row r="59" spans="1:18" ht="17.399999999999999" customHeight="1" thickBot="1" x14ac:dyDescent="0.35">
      <c r="A59" s="229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1"/>
    </row>
    <row r="60" spans="1:18" ht="22.05" customHeight="1" thickTop="1" thickBot="1" x14ac:dyDescent="0.35">
      <c r="A60" s="202" t="s">
        <v>8</v>
      </c>
      <c r="B60" s="203"/>
      <c r="C60" s="203"/>
      <c r="D60" s="203"/>
      <c r="E60" s="203"/>
      <c r="F60" s="204"/>
      <c r="G60" s="18">
        <v>46076</v>
      </c>
      <c r="H60" s="205" t="s">
        <v>9</v>
      </c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36" t="s">
        <v>28</v>
      </c>
      <c r="B62" s="36" t="s">
        <v>35</v>
      </c>
      <c r="C62" s="37">
        <v>0.64583333333333337</v>
      </c>
      <c r="D62" s="36" t="s">
        <v>30</v>
      </c>
      <c r="E62" s="38"/>
      <c r="F62" s="36" t="s">
        <v>39</v>
      </c>
      <c r="G62" s="201"/>
      <c r="H62" s="39" t="s">
        <v>35</v>
      </c>
      <c r="I62" s="40">
        <v>0</v>
      </c>
      <c r="J62" s="41">
        <v>0</v>
      </c>
      <c r="K62" s="42" t="s">
        <v>40</v>
      </c>
      <c r="L62" s="41">
        <v>0</v>
      </c>
      <c r="M62" s="41">
        <v>0</v>
      </c>
      <c r="N62" s="41">
        <v>0</v>
      </c>
      <c r="O62" s="43" t="s">
        <v>41</v>
      </c>
      <c r="P62" s="44">
        <v>0.64583333333333337</v>
      </c>
      <c r="Q62" s="41">
        <v>180</v>
      </c>
      <c r="R62" s="45" t="s">
        <v>40</v>
      </c>
    </row>
    <row r="63" spans="1:18" ht="17.399999999999999" customHeight="1" thickBot="1" x14ac:dyDescent="0.35">
      <c r="A63" s="229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1"/>
    </row>
    <row r="64" spans="1:18" ht="22.05" customHeight="1" thickTop="1" thickBot="1" x14ac:dyDescent="0.35">
      <c r="A64" s="202" t="s">
        <v>8</v>
      </c>
      <c r="B64" s="203"/>
      <c r="C64" s="203"/>
      <c r="D64" s="203"/>
      <c r="E64" s="203"/>
      <c r="F64" s="204"/>
      <c r="G64" s="18">
        <v>46077</v>
      </c>
      <c r="H64" s="205" t="s">
        <v>9</v>
      </c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26" t="s">
        <v>28</v>
      </c>
      <c r="B66" s="26" t="s">
        <v>35</v>
      </c>
      <c r="C66" s="27">
        <v>0.125</v>
      </c>
      <c r="D66" s="26" t="s">
        <v>30</v>
      </c>
      <c r="E66" s="28"/>
      <c r="F66" s="26" t="s">
        <v>39</v>
      </c>
      <c r="G66" s="201"/>
      <c r="H66" s="29" t="s">
        <v>35</v>
      </c>
      <c r="I66" s="30">
        <v>0</v>
      </c>
      <c r="J66" s="31">
        <v>0</v>
      </c>
      <c r="K66" s="32" t="s">
        <v>40</v>
      </c>
      <c r="L66" s="31">
        <v>0</v>
      </c>
      <c r="M66" s="31">
        <v>0</v>
      </c>
      <c r="N66" s="31">
        <v>0</v>
      </c>
      <c r="O66" s="33" t="s">
        <v>41</v>
      </c>
      <c r="P66" s="34">
        <v>0.125</v>
      </c>
      <c r="Q66" s="31">
        <v>180</v>
      </c>
      <c r="R66" s="35" t="s">
        <v>40</v>
      </c>
    </row>
    <row r="67" spans="1:18" ht="17.399999999999999" customHeight="1" thickBot="1" x14ac:dyDescent="0.35">
      <c r="A67" s="229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1"/>
    </row>
    <row r="68" spans="1:18" ht="22.05" customHeight="1" thickTop="1" thickBot="1" x14ac:dyDescent="0.35">
      <c r="A68" s="202" t="s">
        <v>8</v>
      </c>
      <c r="B68" s="203"/>
      <c r="C68" s="203"/>
      <c r="D68" s="203"/>
      <c r="E68" s="203"/>
      <c r="F68" s="204"/>
      <c r="G68" s="18">
        <v>46078</v>
      </c>
      <c r="H68" s="205" t="s">
        <v>9</v>
      </c>
      <c r="I68" s="203"/>
      <c r="J68" s="203"/>
      <c r="K68" s="203"/>
      <c r="L68" s="203"/>
      <c r="M68" s="203"/>
      <c r="N68" s="203"/>
      <c r="O68" s="203"/>
      <c r="P68" s="203"/>
      <c r="Q68" s="203"/>
      <c r="R68" s="204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5">
      <c r="A70" s="66" t="s">
        <v>28</v>
      </c>
      <c r="B70" s="66" t="s">
        <v>29</v>
      </c>
      <c r="C70" s="67">
        <v>0.46180555555555558</v>
      </c>
      <c r="D70" s="66" t="s">
        <v>30</v>
      </c>
      <c r="E70" s="68"/>
      <c r="F70" s="66" t="s">
        <v>31</v>
      </c>
      <c r="G70" s="197"/>
      <c r="H70" s="69" t="s">
        <v>29</v>
      </c>
      <c r="I70" s="70">
        <v>5.5999999999999999E-3</v>
      </c>
      <c r="J70" s="71">
        <v>1</v>
      </c>
      <c r="K70" s="72" t="s">
        <v>48</v>
      </c>
      <c r="L70" s="71">
        <v>1</v>
      </c>
      <c r="M70" s="71">
        <v>0</v>
      </c>
      <c r="N70" s="71">
        <v>0</v>
      </c>
      <c r="O70" s="73" t="s">
        <v>43</v>
      </c>
      <c r="P70" s="74">
        <v>0.46180555555555558</v>
      </c>
      <c r="Q70" s="71">
        <v>180</v>
      </c>
      <c r="R70" s="75" t="s">
        <v>44</v>
      </c>
    </row>
    <row r="71" spans="1:18" ht="17.399999999999999" customHeight="1" thickBot="1" x14ac:dyDescent="0.35">
      <c r="A71" s="229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1"/>
    </row>
    <row r="72" spans="1:18" ht="22.05" customHeight="1" thickTop="1" thickBot="1" x14ac:dyDescent="0.35">
      <c r="A72" s="202" t="s">
        <v>8</v>
      </c>
      <c r="B72" s="203"/>
      <c r="C72" s="203"/>
      <c r="D72" s="203"/>
      <c r="E72" s="203"/>
      <c r="F72" s="204"/>
      <c r="G72" s="18">
        <v>46081</v>
      </c>
      <c r="H72" s="205" t="s">
        <v>9</v>
      </c>
      <c r="I72" s="203"/>
      <c r="J72" s="203"/>
      <c r="K72" s="203"/>
      <c r="L72" s="203"/>
      <c r="M72" s="203"/>
      <c r="N72" s="203"/>
      <c r="O72" s="203"/>
      <c r="P72" s="203"/>
      <c r="Q72" s="203"/>
      <c r="R72" s="204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5">
      <c r="A74" s="26" t="s">
        <v>28</v>
      </c>
      <c r="B74" s="26" t="s">
        <v>35</v>
      </c>
      <c r="C74" s="27">
        <v>0.80208333333333337</v>
      </c>
      <c r="D74" s="26" t="s">
        <v>30</v>
      </c>
      <c r="E74" s="28"/>
      <c r="F74" s="26" t="s">
        <v>39</v>
      </c>
      <c r="G74" s="197"/>
      <c r="H74" s="29" t="s">
        <v>35</v>
      </c>
      <c r="I74" s="30">
        <v>0</v>
      </c>
      <c r="J74" s="31">
        <v>0</v>
      </c>
      <c r="K74" s="32" t="s">
        <v>40</v>
      </c>
      <c r="L74" s="31">
        <v>0</v>
      </c>
      <c r="M74" s="31">
        <v>0</v>
      </c>
      <c r="N74" s="31">
        <v>0</v>
      </c>
      <c r="O74" s="33" t="s">
        <v>41</v>
      </c>
      <c r="P74" s="34">
        <v>0.80208333333333337</v>
      </c>
      <c r="Q74" s="31">
        <v>180</v>
      </c>
      <c r="R74" s="35" t="s">
        <v>40</v>
      </c>
    </row>
    <row r="75" spans="1:18" ht="17.399999999999999" customHeight="1" thickBot="1" x14ac:dyDescent="0.35">
      <c r="A75" s="229"/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1"/>
    </row>
    <row r="76" spans="1:18" ht="15" thickTop="1" x14ac:dyDescent="0.3"/>
  </sheetData>
  <mergeCells count="79">
    <mergeCell ref="A3:R3"/>
    <mergeCell ref="A55:R55"/>
    <mergeCell ref="A47:R47"/>
    <mergeCell ref="H64:R64"/>
    <mergeCell ref="A4:F4"/>
    <mergeCell ref="A52:F52"/>
    <mergeCell ref="G38"/>
    <mergeCell ref="A31:R31"/>
    <mergeCell ref="A15:R15"/>
    <mergeCell ref="A51:R51"/>
    <mergeCell ref="H24:R24"/>
    <mergeCell ref="H20:R20"/>
    <mergeCell ref="A12:F12"/>
    <mergeCell ref="A75:R75"/>
    <mergeCell ref="H4:R4"/>
    <mergeCell ref="H44:R44"/>
    <mergeCell ref="G74"/>
    <mergeCell ref="H48:R48"/>
    <mergeCell ref="G58"/>
    <mergeCell ref="A56:F56"/>
    <mergeCell ref="G22"/>
    <mergeCell ref="H40:R40"/>
    <mergeCell ref="H68:R68"/>
    <mergeCell ref="H60:R60"/>
    <mergeCell ref="A23:R23"/>
    <mergeCell ref="G70"/>
    <mergeCell ref="A43:R43"/>
    <mergeCell ref="A68:F68"/>
    <mergeCell ref="A67:R67"/>
    <mergeCell ref="G62"/>
    <mergeCell ref="A36:F36"/>
    <mergeCell ref="G54"/>
    <mergeCell ref="G46"/>
    <mergeCell ref="A2:F2"/>
    <mergeCell ref="H56:R56"/>
    <mergeCell ref="A71:R71"/>
    <mergeCell ref="H36:R36"/>
    <mergeCell ref="A28:F28"/>
    <mergeCell ref="A63:R63"/>
    <mergeCell ref="A48:F48"/>
    <mergeCell ref="G10"/>
    <mergeCell ref="G66"/>
    <mergeCell ref="H28:R28"/>
    <mergeCell ref="G18"/>
    <mergeCell ref="A39:R39"/>
    <mergeCell ref="H12:R12"/>
    <mergeCell ref="G34"/>
    <mergeCell ref="G5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G26"/>
    <mergeCell ref="H1:L1"/>
    <mergeCell ref="A1:E1"/>
    <mergeCell ref="A27:R27"/>
    <mergeCell ref="A19:R19"/>
    <mergeCell ref="G6"/>
    <mergeCell ref="A11:R11"/>
    <mergeCell ref="G14"/>
    <mergeCell ref="A16:F16"/>
    <mergeCell ref="H8:R8"/>
    <mergeCell ref="A8:F8"/>
    <mergeCell ref="G2:J2"/>
    <mergeCell ref="N1:R1"/>
    <mergeCell ref="H16:R16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"/>
  <sheetViews>
    <sheetView workbookViewId="0"/>
  </sheetViews>
  <sheetFormatPr defaultRowHeight="15.6" outlineLevelCol="1" x14ac:dyDescent="0.3"/>
  <cols>
    <col min="1" max="1" width="11.5546875" style="216" bestFit="1" customWidth="1"/>
    <col min="2" max="2" width="10.109375" style="216" bestFit="1" customWidth="1"/>
    <col min="3" max="3" width="6.77734375" style="216" bestFit="1" customWidth="1"/>
    <col min="4" max="4" width="5.5546875" style="216" bestFit="1" customWidth="1"/>
    <col min="5" max="5" width="8.77734375" style="216" bestFit="1" customWidth="1"/>
    <col min="6" max="6" width="4.21875" style="216" bestFit="1" customWidth="1"/>
    <col min="7" max="7" width="8.44140625" style="216" bestFit="1" customWidth="1"/>
    <col min="8" max="8" width="8.5546875" style="216" bestFit="1" customWidth="1"/>
    <col min="9" max="10" width="7" style="216" bestFit="1" customWidth="1"/>
    <col min="11" max="11" width="10.5546875" style="216" bestFit="1" customWidth="1"/>
    <col min="12" max="12" width="18.109375" style="216" bestFit="1" customWidth="1"/>
    <col min="13" max="13" width="7.6640625" style="216" bestFit="1" customWidth="1" outlineLevel="1"/>
    <col min="14" max="14" width="6.33203125" style="216" bestFit="1" customWidth="1" outlineLevel="1"/>
    <col min="15" max="15" width="8" style="216" bestFit="1" customWidth="1" outlineLevel="1"/>
    <col min="16" max="16" width="13.6640625" style="216" bestFit="1" customWidth="1"/>
    <col min="17" max="36" width="3.88671875" style="216" bestFit="1" customWidth="1"/>
    <col min="37" max="16384" width="8.88671875" style="216"/>
  </cols>
  <sheetData>
    <row r="1" spans="1:36" x14ac:dyDescent="0.3">
      <c r="A1" s="215" t="s">
        <v>49</v>
      </c>
      <c r="B1" s="215" t="s">
        <v>50</v>
      </c>
      <c r="C1" s="215" t="s">
        <v>51</v>
      </c>
      <c r="D1" s="215" t="s">
        <v>25</v>
      </c>
      <c r="E1" s="215" t="s">
        <v>52</v>
      </c>
      <c r="F1" s="215" t="s">
        <v>53</v>
      </c>
      <c r="G1" s="215" t="s">
        <v>18</v>
      </c>
      <c r="H1" s="215" t="s">
        <v>54</v>
      </c>
      <c r="I1" s="215" t="s">
        <v>55</v>
      </c>
      <c r="J1" s="215" t="s">
        <v>56</v>
      </c>
      <c r="K1" s="215" t="s">
        <v>57</v>
      </c>
      <c r="L1" s="215" t="s">
        <v>20</v>
      </c>
      <c r="M1" s="215" t="s">
        <v>22</v>
      </c>
      <c r="N1" s="215" t="s">
        <v>23</v>
      </c>
      <c r="O1" s="215" t="s">
        <v>21</v>
      </c>
      <c r="P1" s="215" t="s">
        <v>24</v>
      </c>
      <c r="Q1" s="215" t="s">
        <v>58</v>
      </c>
      <c r="R1" s="215" t="s">
        <v>59</v>
      </c>
      <c r="S1" s="215" t="s">
        <v>60</v>
      </c>
      <c r="T1" s="215" t="s">
        <v>61</v>
      </c>
      <c r="U1" s="215" t="s">
        <v>62</v>
      </c>
      <c r="V1" s="215" t="s">
        <v>63</v>
      </c>
      <c r="W1" s="215" t="s">
        <v>64</v>
      </c>
      <c r="X1" s="215" t="s">
        <v>65</v>
      </c>
      <c r="Y1" s="215" t="s">
        <v>66</v>
      </c>
      <c r="Z1" s="215" t="s">
        <v>67</v>
      </c>
      <c r="AA1" s="215" t="s">
        <v>68</v>
      </c>
      <c r="AB1" s="215" t="s">
        <v>69</v>
      </c>
      <c r="AC1" s="215" t="s">
        <v>70</v>
      </c>
      <c r="AD1" s="215" t="s">
        <v>71</v>
      </c>
      <c r="AE1" s="215" t="s">
        <v>72</v>
      </c>
      <c r="AF1" s="215" t="s">
        <v>73</v>
      </c>
      <c r="AG1" s="215" t="s">
        <v>74</v>
      </c>
      <c r="AH1" s="215" t="s">
        <v>75</v>
      </c>
      <c r="AI1" s="215" t="s">
        <v>76</v>
      </c>
      <c r="AJ1" s="215" t="s">
        <v>77</v>
      </c>
    </row>
    <row r="2" spans="1:36" x14ac:dyDescent="0.3">
      <c r="A2" s="217" t="s">
        <v>78</v>
      </c>
      <c r="B2" s="218">
        <v>46050</v>
      </c>
      <c r="C2" s="219" t="s">
        <v>29</v>
      </c>
      <c r="D2" s="220" t="s">
        <v>79</v>
      </c>
      <c r="E2" s="219" t="s">
        <v>1</v>
      </c>
      <c r="F2" s="219" t="s">
        <v>80</v>
      </c>
      <c r="G2" s="221">
        <v>5.5999999999999999E-3</v>
      </c>
      <c r="H2" s="222">
        <v>180</v>
      </c>
      <c r="I2" s="222">
        <v>1</v>
      </c>
      <c r="J2" s="222">
        <v>0</v>
      </c>
      <c r="K2" s="219" t="s">
        <v>81</v>
      </c>
      <c r="L2" s="223" t="s">
        <v>32</v>
      </c>
      <c r="M2" s="222">
        <v>0</v>
      </c>
      <c r="N2" s="222">
        <v>0</v>
      </c>
      <c r="O2" s="222">
        <v>1</v>
      </c>
      <c r="P2" s="219" t="s">
        <v>33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22" t="s">
        <v>34</v>
      </c>
      <c r="AD2" s="215"/>
      <c r="AE2" s="215"/>
      <c r="AF2" s="215"/>
      <c r="AG2" s="215"/>
      <c r="AH2" s="215"/>
      <c r="AI2" s="215"/>
      <c r="AJ2" s="215"/>
    </row>
    <row r="3" spans="1:36" x14ac:dyDescent="0.3">
      <c r="A3" s="217" t="s">
        <v>82</v>
      </c>
      <c r="B3" s="218">
        <v>46053</v>
      </c>
      <c r="C3" s="219" t="s">
        <v>35</v>
      </c>
      <c r="D3" s="220" t="s">
        <v>83</v>
      </c>
      <c r="E3" s="219" t="s">
        <v>1</v>
      </c>
      <c r="F3" s="219" t="s">
        <v>80</v>
      </c>
      <c r="G3" s="221">
        <v>1.11E-2</v>
      </c>
      <c r="H3" s="222">
        <v>180</v>
      </c>
      <c r="I3" s="222">
        <v>2</v>
      </c>
      <c r="J3" s="222">
        <v>0</v>
      </c>
      <c r="K3" s="219" t="s">
        <v>81</v>
      </c>
      <c r="L3" s="223" t="s">
        <v>36</v>
      </c>
      <c r="M3" s="222">
        <v>0</v>
      </c>
      <c r="N3" s="222">
        <v>0</v>
      </c>
      <c r="O3" s="222">
        <v>2</v>
      </c>
      <c r="P3" s="219" t="s">
        <v>37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22" t="s">
        <v>34</v>
      </c>
      <c r="AD3" s="215"/>
      <c r="AE3" s="215"/>
      <c r="AF3" s="222" t="s">
        <v>84</v>
      </c>
      <c r="AG3" s="215"/>
      <c r="AH3" s="215"/>
      <c r="AI3" s="215"/>
      <c r="AJ3" s="215"/>
    </row>
    <row r="4" spans="1:36" x14ac:dyDescent="0.3">
      <c r="A4" s="217" t="s">
        <v>85</v>
      </c>
      <c r="B4" s="218">
        <v>46055</v>
      </c>
      <c r="C4" s="219" t="s">
        <v>35</v>
      </c>
      <c r="D4" s="220" t="s">
        <v>86</v>
      </c>
      <c r="E4" s="219" t="s">
        <v>1</v>
      </c>
      <c r="F4" s="219" t="s">
        <v>80</v>
      </c>
      <c r="G4" s="221">
        <v>0</v>
      </c>
      <c r="H4" s="222">
        <v>180</v>
      </c>
      <c r="I4" s="222">
        <v>0</v>
      </c>
      <c r="J4" s="222">
        <v>0</v>
      </c>
      <c r="K4" s="219" t="s">
        <v>81</v>
      </c>
      <c r="L4" s="223" t="s">
        <v>40</v>
      </c>
      <c r="M4" s="222">
        <v>0</v>
      </c>
      <c r="N4" s="222">
        <v>0</v>
      </c>
      <c r="O4" s="222">
        <v>0</v>
      </c>
      <c r="P4" s="219" t="s">
        <v>41</v>
      </c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</row>
    <row r="5" spans="1:36" x14ac:dyDescent="0.3">
      <c r="A5" s="217" t="s">
        <v>87</v>
      </c>
      <c r="B5" s="218">
        <v>46056</v>
      </c>
      <c r="C5" s="219" t="s">
        <v>35</v>
      </c>
      <c r="D5" s="220" t="s">
        <v>88</v>
      </c>
      <c r="E5" s="219" t="s">
        <v>1</v>
      </c>
      <c r="F5" s="219" t="s">
        <v>80</v>
      </c>
      <c r="G5" s="221">
        <v>0</v>
      </c>
      <c r="H5" s="222">
        <v>180</v>
      </c>
      <c r="I5" s="222">
        <v>0</v>
      </c>
      <c r="J5" s="222">
        <v>0</v>
      </c>
      <c r="K5" s="219" t="s">
        <v>81</v>
      </c>
      <c r="L5" s="223" t="s">
        <v>40</v>
      </c>
      <c r="M5" s="222">
        <v>0</v>
      </c>
      <c r="N5" s="222">
        <v>0</v>
      </c>
      <c r="O5" s="222">
        <v>0</v>
      </c>
      <c r="P5" s="219" t="s">
        <v>41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</row>
    <row r="6" spans="1:36" x14ac:dyDescent="0.3">
      <c r="A6" s="217" t="s">
        <v>78</v>
      </c>
      <c r="B6" s="218">
        <v>46057</v>
      </c>
      <c r="C6" s="219" t="s">
        <v>29</v>
      </c>
      <c r="D6" s="220" t="s">
        <v>79</v>
      </c>
      <c r="E6" s="219" t="s">
        <v>1</v>
      </c>
      <c r="F6" s="219" t="s">
        <v>80</v>
      </c>
      <c r="G6" s="221">
        <v>0</v>
      </c>
      <c r="H6" s="222">
        <v>180</v>
      </c>
      <c r="I6" s="222">
        <v>0</v>
      </c>
      <c r="J6" s="222">
        <v>0</v>
      </c>
      <c r="K6" s="219" t="s">
        <v>81</v>
      </c>
      <c r="L6" s="223" t="s">
        <v>40</v>
      </c>
      <c r="M6" s="222">
        <v>0</v>
      </c>
      <c r="N6" s="222">
        <v>0</v>
      </c>
      <c r="O6" s="222">
        <v>0</v>
      </c>
      <c r="P6" s="219" t="s">
        <v>41</v>
      </c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</row>
    <row r="7" spans="1:36" x14ac:dyDescent="0.3">
      <c r="A7" s="217" t="s">
        <v>82</v>
      </c>
      <c r="B7" s="218">
        <v>46060</v>
      </c>
      <c r="C7" s="219" t="s">
        <v>35</v>
      </c>
      <c r="D7" s="220" t="s">
        <v>83</v>
      </c>
      <c r="E7" s="219" t="s">
        <v>1</v>
      </c>
      <c r="F7" s="219" t="s">
        <v>80</v>
      </c>
      <c r="G7" s="221">
        <v>5.5999999999999999E-3</v>
      </c>
      <c r="H7" s="222">
        <v>180</v>
      </c>
      <c r="I7" s="222">
        <v>1</v>
      </c>
      <c r="J7" s="222">
        <v>0</v>
      </c>
      <c r="K7" s="219" t="s">
        <v>81</v>
      </c>
      <c r="L7" s="223" t="s">
        <v>42</v>
      </c>
      <c r="M7" s="222">
        <v>0</v>
      </c>
      <c r="N7" s="222">
        <v>0</v>
      </c>
      <c r="O7" s="222">
        <v>1</v>
      </c>
      <c r="P7" s="219" t="s">
        <v>43</v>
      </c>
      <c r="Q7" s="215"/>
      <c r="R7" s="215"/>
      <c r="S7" s="215"/>
      <c r="T7" s="215"/>
      <c r="U7" s="215"/>
      <c r="V7" s="215"/>
      <c r="W7" s="222" t="s">
        <v>44</v>
      </c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</row>
    <row r="8" spans="1:36" x14ac:dyDescent="0.3">
      <c r="A8" s="217" t="s">
        <v>85</v>
      </c>
      <c r="B8" s="218">
        <v>46062</v>
      </c>
      <c r="C8" s="219" t="s">
        <v>35</v>
      </c>
      <c r="D8" s="220" t="s">
        <v>86</v>
      </c>
      <c r="E8" s="219" t="s">
        <v>1</v>
      </c>
      <c r="F8" s="219" t="s">
        <v>80</v>
      </c>
      <c r="G8" s="221">
        <v>1.11E-2</v>
      </c>
      <c r="H8" s="222">
        <v>180</v>
      </c>
      <c r="I8" s="222">
        <v>2</v>
      </c>
      <c r="J8" s="222">
        <v>0</v>
      </c>
      <c r="K8" s="219" t="s">
        <v>81</v>
      </c>
      <c r="L8" s="223" t="s">
        <v>45</v>
      </c>
      <c r="M8" s="222">
        <v>0</v>
      </c>
      <c r="N8" s="222">
        <v>0</v>
      </c>
      <c r="O8" s="222">
        <v>2</v>
      </c>
      <c r="P8" s="219" t="s">
        <v>46</v>
      </c>
      <c r="Q8" s="215"/>
      <c r="R8" s="215"/>
      <c r="S8" s="215"/>
      <c r="T8" s="215"/>
      <c r="U8" s="215"/>
      <c r="V8" s="215"/>
      <c r="W8" s="222" t="s">
        <v>47</v>
      </c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</row>
    <row r="9" spans="1:36" x14ac:dyDescent="0.3">
      <c r="A9" s="217" t="s">
        <v>87</v>
      </c>
      <c r="B9" s="218">
        <v>46063</v>
      </c>
      <c r="C9" s="219" t="s">
        <v>35</v>
      </c>
      <c r="D9" s="220" t="s">
        <v>88</v>
      </c>
      <c r="E9" s="219" t="s">
        <v>1</v>
      </c>
      <c r="F9" s="219" t="s">
        <v>80</v>
      </c>
      <c r="G9" s="221">
        <v>0</v>
      </c>
      <c r="H9" s="222">
        <v>180</v>
      </c>
      <c r="I9" s="222">
        <v>0</v>
      </c>
      <c r="J9" s="222">
        <v>0</v>
      </c>
      <c r="K9" s="219" t="s">
        <v>81</v>
      </c>
      <c r="L9" s="223" t="s">
        <v>40</v>
      </c>
      <c r="M9" s="222">
        <v>0</v>
      </c>
      <c r="N9" s="222">
        <v>0</v>
      </c>
      <c r="O9" s="222">
        <v>0</v>
      </c>
      <c r="P9" s="219" t="s">
        <v>41</v>
      </c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</row>
    <row r="10" spans="1:36" x14ac:dyDescent="0.3">
      <c r="A10" s="217" t="s">
        <v>78</v>
      </c>
      <c r="B10" s="218">
        <v>46064</v>
      </c>
      <c r="C10" s="219" t="s">
        <v>29</v>
      </c>
      <c r="D10" s="220" t="s">
        <v>79</v>
      </c>
      <c r="E10" s="219" t="s">
        <v>1</v>
      </c>
      <c r="F10" s="219" t="s">
        <v>80</v>
      </c>
      <c r="G10" s="221">
        <v>0</v>
      </c>
      <c r="H10" s="222">
        <v>180</v>
      </c>
      <c r="I10" s="222">
        <v>0</v>
      </c>
      <c r="J10" s="222">
        <v>0</v>
      </c>
      <c r="K10" s="219" t="s">
        <v>81</v>
      </c>
      <c r="L10" s="223" t="s">
        <v>40</v>
      </c>
      <c r="M10" s="222">
        <v>0</v>
      </c>
      <c r="N10" s="222">
        <v>0</v>
      </c>
      <c r="O10" s="222">
        <v>0</v>
      </c>
      <c r="P10" s="219" t="s">
        <v>41</v>
      </c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</row>
    <row r="11" spans="1:36" x14ac:dyDescent="0.3">
      <c r="A11" s="217" t="s">
        <v>82</v>
      </c>
      <c r="B11" s="218">
        <v>46067</v>
      </c>
      <c r="C11" s="219" t="s">
        <v>35</v>
      </c>
      <c r="D11" s="220" t="s">
        <v>83</v>
      </c>
      <c r="E11" s="219" t="s">
        <v>1</v>
      </c>
      <c r="F11" s="219" t="s">
        <v>80</v>
      </c>
      <c r="G11" s="221">
        <v>0</v>
      </c>
      <c r="H11" s="222">
        <v>180</v>
      </c>
      <c r="I11" s="222">
        <v>0</v>
      </c>
      <c r="J11" s="222">
        <v>0</v>
      </c>
      <c r="K11" s="219" t="s">
        <v>81</v>
      </c>
      <c r="L11" s="223" t="s">
        <v>40</v>
      </c>
      <c r="M11" s="222">
        <v>0</v>
      </c>
      <c r="N11" s="222">
        <v>0</v>
      </c>
      <c r="O11" s="222">
        <v>0</v>
      </c>
      <c r="P11" s="219" t="s">
        <v>41</v>
      </c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</row>
    <row r="12" spans="1:36" x14ac:dyDescent="0.3">
      <c r="A12" s="217" t="s">
        <v>85</v>
      </c>
      <c r="B12" s="218">
        <v>46069</v>
      </c>
      <c r="C12" s="219" t="s">
        <v>35</v>
      </c>
      <c r="D12" s="220" t="s">
        <v>86</v>
      </c>
      <c r="E12" s="219" t="s">
        <v>1</v>
      </c>
      <c r="F12" s="219" t="s">
        <v>80</v>
      </c>
      <c r="G12" s="221">
        <v>0</v>
      </c>
      <c r="H12" s="222">
        <v>180</v>
      </c>
      <c r="I12" s="222">
        <v>0</v>
      </c>
      <c r="J12" s="222">
        <v>0</v>
      </c>
      <c r="K12" s="219" t="s">
        <v>81</v>
      </c>
      <c r="L12" s="223" t="s">
        <v>40</v>
      </c>
      <c r="M12" s="222">
        <v>0</v>
      </c>
      <c r="N12" s="222">
        <v>0</v>
      </c>
      <c r="O12" s="222">
        <v>0</v>
      </c>
      <c r="P12" s="219" t="s">
        <v>41</v>
      </c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</row>
    <row r="13" spans="1:36" x14ac:dyDescent="0.3">
      <c r="A13" s="217" t="s">
        <v>87</v>
      </c>
      <c r="B13" s="218">
        <v>46070</v>
      </c>
      <c r="C13" s="219" t="s">
        <v>35</v>
      </c>
      <c r="D13" s="220" t="s">
        <v>88</v>
      </c>
      <c r="E13" s="219" t="s">
        <v>1</v>
      </c>
      <c r="F13" s="219" t="s">
        <v>80</v>
      </c>
      <c r="G13" s="221">
        <v>0</v>
      </c>
      <c r="H13" s="222">
        <v>180</v>
      </c>
      <c r="I13" s="222">
        <v>0</v>
      </c>
      <c r="J13" s="222">
        <v>0</v>
      </c>
      <c r="K13" s="219" t="s">
        <v>81</v>
      </c>
      <c r="L13" s="223" t="s">
        <v>40</v>
      </c>
      <c r="M13" s="222">
        <v>0</v>
      </c>
      <c r="N13" s="222">
        <v>0</v>
      </c>
      <c r="O13" s="222">
        <v>0</v>
      </c>
      <c r="P13" s="219" t="s">
        <v>41</v>
      </c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</row>
    <row r="14" spans="1:36" x14ac:dyDescent="0.3">
      <c r="A14" s="217" t="s">
        <v>78</v>
      </c>
      <c r="B14" s="218">
        <v>46071</v>
      </c>
      <c r="C14" s="219" t="s">
        <v>29</v>
      </c>
      <c r="D14" s="220" t="s">
        <v>79</v>
      </c>
      <c r="E14" s="219" t="s">
        <v>1</v>
      </c>
      <c r="F14" s="219" t="s">
        <v>80</v>
      </c>
      <c r="G14" s="221">
        <v>0</v>
      </c>
      <c r="H14" s="222">
        <v>180</v>
      </c>
      <c r="I14" s="222">
        <v>0</v>
      </c>
      <c r="J14" s="222">
        <v>0</v>
      </c>
      <c r="K14" s="219" t="s">
        <v>81</v>
      </c>
      <c r="L14" s="223" t="s">
        <v>40</v>
      </c>
      <c r="M14" s="222">
        <v>0</v>
      </c>
      <c r="N14" s="222">
        <v>0</v>
      </c>
      <c r="O14" s="222">
        <v>0</v>
      </c>
      <c r="P14" s="219" t="s">
        <v>41</v>
      </c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</row>
    <row r="15" spans="1:36" x14ac:dyDescent="0.3">
      <c r="A15" s="217" t="s">
        <v>82</v>
      </c>
      <c r="B15" s="218">
        <v>46074</v>
      </c>
      <c r="C15" s="219" t="s">
        <v>35</v>
      </c>
      <c r="D15" s="220" t="s">
        <v>83</v>
      </c>
      <c r="E15" s="219" t="s">
        <v>1</v>
      </c>
      <c r="F15" s="219" t="s">
        <v>80</v>
      </c>
      <c r="G15" s="221">
        <v>0</v>
      </c>
      <c r="H15" s="222">
        <v>180</v>
      </c>
      <c r="I15" s="222">
        <v>0</v>
      </c>
      <c r="J15" s="222">
        <v>0</v>
      </c>
      <c r="K15" s="219" t="s">
        <v>81</v>
      </c>
      <c r="L15" s="223" t="s">
        <v>40</v>
      </c>
      <c r="M15" s="222">
        <v>0</v>
      </c>
      <c r="N15" s="222">
        <v>0</v>
      </c>
      <c r="O15" s="222">
        <v>0</v>
      </c>
      <c r="P15" s="219" t="s">
        <v>41</v>
      </c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</row>
    <row r="16" spans="1:36" x14ac:dyDescent="0.3">
      <c r="A16" s="217" t="s">
        <v>85</v>
      </c>
      <c r="B16" s="218">
        <v>46076</v>
      </c>
      <c r="C16" s="219" t="s">
        <v>35</v>
      </c>
      <c r="D16" s="220" t="s">
        <v>86</v>
      </c>
      <c r="E16" s="219" t="s">
        <v>1</v>
      </c>
      <c r="F16" s="219" t="s">
        <v>80</v>
      </c>
      <c r="G16" s="221">
        <v>0</v>
      </c>
      <c r="H16" s="222">
        <v>180</v>
      </c>
      <c r="I16" s="222">
        <v>0</v>
      </c>
      <c r="J16" s="222">
        <v>0</v>
      </c>
      <c r="K16" s="219" t="s">
        <v>81</v>
      </c>
      <c r="L16" s="223" t="s">
        <v>40</v>
      </c>
      <c r="M16" s="222">
        <v>0</v>
      </c>
      <c r="N16" s="222">
        <v>0</v>
      </c>
      <c r="O16" s="222">
        <v>0</v>
      </c>
      <c r="P16" s="219" t="s">
        <v>41</v>
      </c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</row>
    <row r="17" spans="1:36" x14ac:dyDescent="0.3">
      <c r="A17" s="217" t="s">
        <v>87</v>
      </c>
      <c r="B17" s="218">
        <v>46077</v>
      </c>
      <c r="C17" s="219" t="s">
        <v>35</v>
      </c>
      <c r="D17" s="220" t="s">
        <v>88</v>
      </c>
      <c r="E17" s="219" t="s">
        <v>1</v>
      </c>
      <c r="F17" s="219" t="s">
        <v>80</v>
      </c>
      <c r="G17" s="221">
        <v>0</v>
      </c>
      <c r="H17" s="222">
        <v>180</v>
      </c>
      <c r="I17" s="222">
        <v>0</v>
      </c>
      <c r="J17" s="222">
        <v>0</v>
      </c>
      <c r="K17" s="219" t="s">
        <v>81</v>
      </c>
      <c r="L17" s="223" t="s">
        <v>40</v>
      </c>
      <c r="M17" s="222">
        <v>0</v>
      </c>
      <c r="N17" s="222">
        <v>0</v>
      </c>
      <c r="O17" s="222">
        <v>0</v>
      </c>
      <c r="P17" s="219" t="s">
        <v>41</v>
      </c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</row>
    <row r="18" spans="1:36" x14ac:dyDescent="0.3">
      <c r="A18" s="217" t="s">
        <v>78</v>
      </c>
      <c r="B18" s="218">
        <v>46078</v>
      </c>
      <c r="C18" s="219" t="s">
        <v>29</v>
      </c>
      <c r="D18" s="220" t="s">
        <v>79</v>
      </c>
      <c r="E18" s="219" t="s">
        <v>1</v>
      </c>
      <c r="F18" s="219" t="s">
        <v>80</v>
      </c>
      <c r="G18" s="221">
        <v>5.5999999999999999E-3</v>
      </c>
      <c r="H18" s="222">
        <v>180</v>
      </c>
      <c r="I18" s="222">
        <v>1</v>
      </c>
      <c r="J18" s="222">
        <v>0</v>
      </c>
      <c r="K18" s="219" t="s">
        <v>81</v>
      </c>
      <c r="L18" s="223" t="s">
        <v>48</v>
      </c>
      <c r="M18" s="222">
        <v>0</v>
      </c>
      <c r="N18" s="222">
        <v>0</v>
      </c>
      <c r="O18" s="222">
        <v>1</v>
      </c>
      <c r="P18" s="219" t="s">
        <v>43</v>
      </c>
      <c r="Q18" s="215"/>
      <c r="R18" s="215"/>
      <c r="S18" s="215"/>
      <c r="T18" s="215"/>
      <c r="U18" s="215"/>
      <c r="V18" s="215"/>
      <c r="W18" s="222" t="s">
        <v>44</v>
      </c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</row>
    <row r="19" spans="1:36" x14ac:dyDescent="0.3">
      <c r="A19" s="217" t="s">
        <v>82</v>
      </c>
      <c r="B19" s="218">
        <v>46081</v>
      </c>
      <c r="C19" s="219" t="s">
        <v>35</v>
      </c>
      <c r="D19" s="220" t="s">
        <v>83</v>
      </c>
      <c r="E19" s="219" t="s">
        <v>1</v>
      </c>
      <c r="F19" s="219" t="s">
        <v>80</v>
      </c>
      <c r="G19" s="221">
        <v>0</v>
      </c>
      <c r="H19" s="222">
        <v>180</v>
      </c>
      <c r="I19" s="222">
        <v>0</v>
      </c>
      <c r="J19" s="222">
        <v>0</v>
      </c>
      <c r="K19" s="219" t="s">
        <v>81</v>
      </c>
      <c r="L19" s="223" t="s">
        <v>40</v>
      </c>
      <c r="M19" s="222">
        <v>0</v>
      </c>
      <c r="N19" s="222">
        <v>0</v>
      </c>
      <c r="O19" s="222">
        <v>0</v>
      </c>
      <c r="P19" s="219" t="s">
        <v>41</v>
      </c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</row>
    <row r="20" spans="1:36" ht="21" x14ac:dyDescent="0.3">
      <c r="A20" s="224" t="s">
        <v>217</v>
      </c>
      <c r="B20" s="225"/>
      <c r="C20" s="224">
        <f>SUBTOTAL(103,ATZ_MED_LF_LEGACY[Flt])</f>
        <v>18</v>
      </c>
      <c r="D20" s="224"/>
      <c r="E20" s="224">
        <f>SUBTOTAL(103,ATZ_MED_LF_LEGACY[Brd-Off])</f>
        <v>18</v>
      </c>
      <c r="F20" s="224"/>
      <c r="G20" s="226">
        <f>SUBTOTAL(101,ATZ_MED_LF_LEGACY[LF%])</f>
        <v>2.1666666666666666E-3</v>
      </c>
      <c r="H20" s="227">
        <f>SUBTOTAL(109,ATZ_MED_LF_LEGACY[CAP])</f>
        <v>3240</v>
      </c>
      <c r="I20" s="227">
        <f>SUBTOTAL(109,ATZ_MED_LF_LEGACY[BKG(Y)])</f>
        <v>7</v>
      </c>
      <c r="J20" s="227">
        <f>SUBTOTAL(109,ATZ_MED_LF_LEGACY[GRP(Y)])</f>
        <v>0</v>
      </c>
      <c r="K20" s="224"/>
      <c r="L20" s="225"/>
      <c r="M20" s="227">
        <f>SUBTOTAL(109,ATZ_MED_LF_LEGACY[TO-DAY])</f>
        <v>0</v>
      </c>
      <c r="N20" s="227">
        <f>SUBTOTAL(109,ATZ_MED_LF_LEGACY[Y-DAY])</f>
        <v>0</v>
      </c>
      <c r="O20" s="227">
        <f>SUBTOTAL(109,ATZ_MED_LF_LEGACY[WEEKLY])</f>
        <v>7</v>
      </c>
      <c r="P20" s="228"/>
      <c r="Q20" s="227">
        <f>SUBTOTAL(109,ATZ_MED_LF_LEGACY[Y])</f>
        <v>0</v>
      </c>
      <c r="R20" s="227">
        <f>SUBTOTAL(109,ATZ_MED_LF_LEGACY[B])</f>
        <v>0</v>
      </c>
      <c r="S20" s="227">
        <f>SUBTOTAL(109,ATZ_MED_LF_LEGACY[M])</f>
        <v>0</v>
      </c>
      <c r="T20" s="227">
        <f>SUBTOTAL(109,ATZ_MED_LF_LEGACY[H])</f>
        <v>0</v>
      </c>
      <c r="U20" s="227">
        <f>SUBTOTAL(109,ATZ_MED_LF_LEGACY[Q])</f>
        <v>0</v>
      </c>
      <c r="V20" s="227">
        <f>SUBTOTAL(109,ATZ_MED_LF_LEGACY[K])</f>
        <v>0</v>
      </c>
      <c r="W20" s="227">
        <f>SUBTOTAL(109,ATZ_MED_LF_LEGACY[V])</f>
        <v>0</v>
      </c>
      <c r="X20" s="227">
        <f>SUBTOTAL(109,ATZ_MED_LF_LEGACY[L])</f>
        <v>0</v>
      </c>
      <c r="Y20" s="227">
        <f>SUBTOTAL(109,ATZ_MED_LF_LEGACY[G])</f>
        <v>0</v>
      </c>
      <c r="Z20" s="227">
        <f>SUBTOTAL(109,ATZ_MED_LF_LEGACY[S])</f>
        <v>0</v>
      </c>
      <c r="AA20" s="227">
        <f>SUBTOTAL(109,ATZ_MED_LF_LEGACY[W])</f>
        <v>0</v>
      </c>
      <c r="AB20" s="227">
        <f>SUBTOTAL(109,ATZ_MED_LF_LEGACY[T])</f>
        <v>0</v>
      </c>
      <c r="AC20" s="227">
        <f>SUBTOTAL(109,ATZ_MED_LF_LEGACY[X])</f>
        <v>0</v>
      </c>
      <c r="AD20" s="227">
        <f>SUBTOTAL(109,ATZ_MED_LF_LEGACY[U])</f>
        <v>0</v>
      </c>
      <c r="AE20" s="227">
        <f>SUBTOTAL(109,ATZ_MED_LF_LEGACY[O])</f>
        <v>0</v>
      </c>
      <c r="AF20" s="227">
        <f>SUBTOTAL(109,ATZ_MED_LF_LEGACY[I])</f>
        <v>0</v>
      </c>
      <c r="AG20" s="227">
        <f>SUBTOTAL(109,ATZ_MED_LF_LEGACY[E])</f>
        <v>0</v>
      </c>
      <c r="AH20" s="227">
        <f>SUBTOTAL(109,ATZ_MED_LF_LEGACY[A])</f>
        <v>0</v>
      </c>
      <c r="AI20" s="227">
        <f>SUBTOTAL(109,ATZ_MED_LF_LEGACY[P])</f>
        <v>0</v>
      </c>
      <c r="AJ20" s="227">
        <f>SUBTOTAL(103,ATZ_MED_LF_LEGACY[N])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7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00" t="s">
        <v>0</v>
      </c>
      <c r="B1" s="199"/>
      <c r="C1" s="199"/>
      <c r="D1" s="199"/>
      <c r="E1" s="199"/>
      <c r="F1" s="1" t="s">
        <v>89</v>
      </c>
      <c r="G1" s="2" t="s">
        <v>2</v>
      </c>
      <c r="H1" s="198" t="s">
        <v>3</v>
      </c>
      <c r="I1" s="199"/>
      <c r="J1" s="199"/>
      <c r="K1" s="199"/>
      <c r="L1" s="199"/>
      <c r="M1" s="1" t="s">
        <v>4</v>
      </c>
      <c r="N1" s="208" t="s">
        <v>5</v>
      </c>
      <c r="O1" s="199"/>
      <c r="P1" s="199"/>
      <c r="Q1" s="199"/>
      <c r="R1" s="1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6" t="s">
        <v>6</v>
      </c>
      <c r="B2" s="199"/>
      <c r="C2" s="199"/>
      <c r="D2" s="199"/>
      <c r="E2" s="199"/>
      <c r="F2" s="199"/>
      <c r="G2" s="207">
        <v>45984.112430676178</v>
      </c>
      <c r="H2" s="199"/>
      <c r="I2" s="199"/>
      <c r="J2" s="199"/>
      <c r="K2" s="209">
        <v>45984.112430676803</v>
      </c>
      <c r="L2" s="199"/>
      <c r="M2" s="199"/>
      <c r="N2" s="199"/>
      <c r="O2" s="199"/>
      <c r="P2" s="199"/>
      <c r="Q2" s="199"/>
      <c r="R2" s="1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2" t="s">
        <v>8</v>
      </c>
      <c r="B4" s="203"/>
      <c r="C4" s="203"/>
      <c r="D4" s="203"/>
      <c r="E4" s="203"/>
      <c r="F4" s="204"/>
      <c r="G4" s="4">
        <v>46050</v>
      </c>
      <c r="H4" s="210" t="s">
        <v>9</v>
      </c>
      <c r="I4" s="203"/>
      <c r="J4" s="203"/>
      <c r="K4" s="203"/>
      <c r="L4" s="203"/>
      <c r="M4" s="203"/>
      <c r="N4" s="203"/>
      <c r="O4" s="203"/>
      <c r="P4" s="203"/>
      <c r="Q4" s="203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6" t="s">
        <v>28</v>
      </c>
      <c r="B6" s="46" t="s">
        <v>90</v>
      </c>
      <c r="C6" s="47">
        <v>0.1076388888888889</v>
      </c>
      <c r="D6" s="46" t="s">
        <v>30</v>
      </c>
      <c r="E6" s="48"/>
      <c r="F6" s="46" t="s">
        <v>31</v>
      </c>
      <c r="G6" s="201"/>
      <c r="H6" s="76" t="s">
        <v>90</v>
      </c>
      <c r="I6" s="77">
        <v>5.5999999999999999E-3</v>
      </c>
      <c r="J6" s="78">
        <v>1</v>
      </c>
      <c r="K6" s="79" t="s">
        <v>91</v>
      </c>
      <c r="L6" s="78">
        <v>1</v>
      </c>
      <c r="M6" s="78">
        <v>0</v>
      </c>
      <c r="N6" s="78">
        <v>0</v>
      </c>
      <c r="O6" s="80" t="s">
        <v>92</v>
      </c>
      <c r="P6" s="81">
        <v>0.1076388888888889</v>
      </c>
      <c r="Q6" s="78">
        <v>180</v>
      </c>
      <c r="R6" s="82" t="s">
        <v>34</v>
      </c>
    </row>
    <row r="7" spans="1:92" ht="49.95" customHeight="1" x14ac:dyDescent="0.3">
      <c r="A7" s="83" t="s">
        <v>28</v>
      </c>
      <c r="B7" s="83" t="s">
        <v>93</v>
      </c>
      <c r="C7" s="84">
        <v>0.5</v>
      </c>
      <c r="D7" s="83" t="s">
        <v>30</v>
      </c>
      <c r="E7" s="85"/>
      <c r="F7" s="83" t="s">
        <v>31</v>
      </c>
      <c r="G7" s="214"/>
      <c r="H7" s="86" t="s">
        <v>93</v>
      </c>
      <c r="I7" s="87">
        <v>4.4400000000000002E-2</v>
      </c>
      <c r="J7" s="88">
        <v>8</v>
      </c>
      <c r="K7" s="89" t="s">
        <v>94</v>
      </c>
      <c r="L7" s="88">
        <v>8</v>
      </c>
      <c r="M7" s="88">
        <v>0</v>
      </c>
      <c r="N7" s="88">
        <v>0</v>
      </c>
      <c r="O7" s="90" t="s">
        <v>95</v>
      </c>
      <c r="P7" s="91">
        <v>0.5</v>
      </c>
      <c r="Q7" s="88">
        <v>180</v>
      </c>
      <c r="R7" s="92" t="s">
        <v>96</v>
      </c>
    </row>
    <row r="8" spans="1:92" ht="49.95" customHeight="1" thickBot="1" x14ac:dyDescent="0.35">
      <c r="A8" s="93" t="s">
        <v>28</v>
      </c>
      <c r="B8" s="93" t="s">
        <v>97</v>
      </c>
      <c r="C8" s="94">
        <v>0.92361111111111116</v>
      </c>
      <c r="D8" s="93" t="s">
        <v>30</v>
      </c>
      <c r="E8" s="95"/>
      <c r="F8" s="93" t="s">
        <v>31</v>
      </c>
      <c r="G8" s="213"/>
      <c r="H8" s="49" t="s">
        <v>97</v>
      </c>
      <c r="I8" s="50">
        <v>1.11E-2</v>
      </c>
      <c r="J8" s="51">
        <v>2</v>
      </c>
      <c r="K8" s="52" t="s">
        <v>98</v>
      </c>
      <c r="L8" s="51">
        <v>2</v>
      </c>
      <c r="M8" s="51">
        <v>0</v>
      </c>
      <c r="N8" s="51">
        <v>0</v>
      </c>
      <c r="O8" s="53" t="s">
        <v>99</v>
      </c>
      <c r="P8" s="54">
        <v>0.92361111111111116</v>
      </c>
      <c r="Q8" s="51">
        <v>180</v>
      </c>
      <c r="R8" s="55" t="s">
        <v>99</v>
      </c>
    </row>
    <row r="9" spans="1:92" ht="17.399999999999999" customHeight="1" thickBot="1" x14ac:dyDescent="0.35">
      <c r="A9" s="229"/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1"/>
    </row>
    <row r="10" spans="1:92" ht="22.05" customHeight="1" thickTop="1" thickBot="1" x14ac:dyDescent="0.35">
      <c r="A10" s="202" t="s">
        <v>8</v>
      </c>
      <c r="B10" s="203"/>
      <c r="C10" s="203"/>
      <c r="D10" s="203"/>
      <c r="E10" s="203"/>
      <c r="F10" s="204"/>
      <c r="G10" s="18">
        <v>46051</v>
      </c>
      <c r="H10" s="205" t="s">
        <v>9</v>
      </c>
      <c r="I10" s="203"/>
      <c r="J10" s="203"/>
      <c r="K10" s="203"/>
      <c r="L10" s="203"/>
      <c r="M10" s="203"/>
      <c r="N10" s="203"/>
      <c r="O10" s="203"/>
      <c r="P10" s="203"/>
      <c r="Q10" s="203"/>
      <c r="R10" s="204"/>
    </row>
    <row r="11" spans="1:92" ht="24" customHeight="1" x14ac:dyDescent="0.3">
      <c r="A11" s="19" t="s">
        <v>10</v>
      </c>
      <c r="B11" s="19" t="s">
        <v>11</v>
      </c>
      <c r="C11" s="20" t="s">
        <v>12</v>
      </c>
      <c r="D11" s="19" t="s">
        <v>13</v>
      </c>
      <c r="E11" s="19" t="s">
        <v>14</v>
      </c>
      <c r="F11" s="21" t="s">
        <v>15</v>
      </c>
      <c r="G11" s="22" t="s">
        <v>16</v>
      </c>
      <c r="H11" s="19" t="s">
        <v>17</v>
      </c>
      <c r="I11" s="23" t="s">
        <v>18</v>
      </c>
      <c r="J11" s="24" t="s">
        <v>19</v>
      </c>
      <c r="K11" s="25" t="s">
        <v>20</v>
      </c>
      <c r="L11" s="24" t="s">
        <v>21</v>
      </c>
      <c r="M11" s="24" t="s">
        <v>22</v>
      </c>
      <c r="N11" s="24" t="s">
        <v>23</v>
      </c>
      <c r="O11" s="19" t="s">
        <v>24</v>
      </c>
      <c r="P11" s="20" t="s">
        <v>25</v>
      </c>
      <c r="Q11" s="24" t="s">
        <v>26</v>
      </c>
      <c r="R11" s="19" t="s">
        <v>27</v>
      </c>
    </row>
    <row r="12" spans="1:92" ht="49.95" customHeight="1" x14ac:dyDescent="0.3">
      <c r="A12" s="36" t="s">
        <v>28</v>
      </c>
      <c r="B12" s="36" t="s">
        <v>90</v>
      </c>
      <c r="C12" s="37">
        <v>0.52430555555555558</v>
      </c>
      <c r="D12" s="36" t="s">
        <v>30</v>
      </c>
      <c r="E12" s="38"/>
      <c r="F12" s="36" t="s">
        <v>39</v>
      </c>
      <c r="G12" s="201"/>
      <c r="H12" s="96" t="s">
        <v>90</v>
      </c>
      <c r="I12" s="97">
        <v>0</v>
      </c>
      <c r="J12" s="98">
        <v>0</v>
      </c>
      <c r="K12" s="99" t="s">
        <v>40</v>
      </c>
      <c r="L12" s="98">
        <v>0</v>
      </c>
      <c r="M12" s="98">
        <v>0</v>
      </c>
      <c r="N12" s="98">
        <v>0</v>
      </c>
      <c r="O12" s="100" t="s">
        <v>100</v>
      </c>
      <c r="P12" s="101">
        <v>0.52430555555555558</v>
      </c>
      <c r="Q12" s="98">
        <v>180</v>
      </c>
      <c r="R12" s="102" t="s">
        <v>40</v>
      </c>
    </row>
    <row r="13" spans="1:92" ht="49.95" customHeight="1" thickBot="1" x14ac:dyDescent="0.35">
      <c r="A13" s="103" t="s">
        <v>28</v>
      </c>
      <c r="B13" s="103" t="s">
        <v>101</v>
      </c>
      <c r="C13" s="104">
        <v>0.54861111111111105</v>
      </c>
      <c r="D13" s="103" t="s">
        <v>30</v>
      </c>
      <c r="E13" s="105"/>
      <c r="F13" s="103" t="s">
        <v>31</v>
      </c>
      <c r="G13" s="213"/>
      <c r="H13" s="29" t="s">
        <v>101</v>
      </c>
      <c r="I13" s="30">
        <v>1.11E-2</v>
      </c>
      <c r="J13" s="31">
        <v>2</v>
      </c>
      <c r="K13" s="32" t="s">
        <v>102</v>
      </c>
      <c r="L13" s="31">
        <v>2</v>
      </c>
      <c r="M13" s="31">
        <v>0</v>
      </c>
      <c r="N13" s="31">
        <v>0</v>
      </c>
      <c r="O13" s="33" t="s">
        <v>100</v>
      </c>
      <c r="P13" s="34">
        <v>0.54861111111111105</v>
      </c>
      <c r="Q13" s="31">
        <v>180</v>
      </c>
      <c r="R13" s="35" t="s">
        <v>103</v>
      </c>
    </row>
    <row r="14" spans="1:92" ht="17.399999999999999" customHeight="1" thickBot="1" x14ac:dyDescent="0.35">
      <c r="A14" s="229"/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1"/>
    </row>
    <row r="15" spans="1:92" ht="22.05" customHeight="1" thickTop="1" thickBot="1" x14ac:dyDescent="0.35">
      <c r="A15" s="202" t="s">
        <v>8</v>
      </c>
      <c r="B15" s="203"/>
      <c r="C15" s="203"/>
      <c r="D15" s="203"/>
      <c r="E15" s="203"/>
      <c r="F15" s="204"/>
      <c r="G15" s="18">
        <v>46052</v>
      </c>
      <c r="H15" s="205" t="s">
        <v>9</v>
      </c>
      <c r="I15" s="203"/>
      <c r="J15" s="203"/>
      <c r="K15" s="203"/>
      <c r="L15" s="203"/>
      <c r="M15" s="203"/>
      <c r="N15" s="203"/>
      <c r="O15" s="203"/>
      <c r="P15" s="203"/>
      <c r="Q15" s="203"/>
      <c r="R15" s="204"/>
    </row>
    <row r="16" spans="1:92" ht="24" customHeight="1" x14ac:dyDescent="0.3">
      <c r="A16" s="19" t="s">
        <v>10</v>
      </c>
      <c r="B16" s="19" t="s">
        <v>11</v>
      </c>
      <c r="C16" s="20" t="s">
        <v>12</v>
      </c>
      <c r="D16" s="19" t="s">
        <v>13</v>
      </c>
      <c r="E16" s="19" t="s">
        <v>14</v>
      </c>
      <c r="F16" s="21" t="s">
        <v>15</v>
      </c>
      <c r="G16" s="22" t="s">
        <v>16</v>
      </c>
      <c r="H16" s="19" t="s">
        <v>17</v>
      </c>
      <c r="I16" s="23" t="s">
        <v>18</v>
      </c>
      <c r="J16" s="24" t="s">
        <v>19</v>
      </c>
      <c r="K16" s="25" t="s">
        <v>20</v>
      </c>
      <c r="L16" s="24" t="s">
        <v>21</v>
      </c>
      <c r="M16" s="24" t="s">
        <v>22</v>
      </c>
      <c r="N16" s="24" t="s">
        <v>23</v>
      </c>
      <c r="O16" s="19" t="s">
        <v>24</v>
      </c>
      <c r="P16" s="20" t="s">
        <v>25</v>
      </c>
      <c r="Q16" s="24" t="s">
        <v>26</v>
      </c>
      <c r="R16" s="19" t="s">
        <v>27</v>
      </c>
    </row>
    <row r="17" spans="1:18" ht="49.95" customHeight="1" thickTop="1" thickBot="1" x14ac:dyDescent="0.35">
      <c r="A17" s="66" t="s">
        <v>28</v>
      </c>
      <c r="B17" s="66" t="s">
        <v>93</v>
      </c>
      <c r="C17" s="67">
        <v>0.13541666666666671</v>
      </c>
      <c r="D17" s="66" t="s">
        <v>30</v>
      </c>
      <c r="E17" s="68"/>
      <c r="F17" s="66" t="s">
        <v>31</v>
      </c>
      <c r="G17" s="201"/>
      <c r="H17" s="69" t="s">
        <v>93</v>
      </c>
      <c r="I17" s="70">
        <v>1.67E-2</v>
      </c>
      <c r="J17" s="71">
        <v>3</v>
      </c>
      <c r="K17" s="72" t="s">
        <v>45</v>
      </c>
      <c r="L17" s="71">
        <v>3</v>
      </c>
      <c r="M17" s="71">
        <v>0</v>
      </c>
      <c r="N17" s="71">
        <v>0</v>
      </c>
      <c r="O17" s="73" t="s">
        <v>34</v>
      </c>
      <c r="P17" s="74">
        <v>0.13541666666666671</v>
      </c>
      <c r="Q17" s="71">
        <v>180</v>
      </c>
      <c r="R17" s="75" t="s">
        <v>92</v>
      </c>
    </row>
    <row r="18" spans="1:18" ht="17.399999999999999" customHeight="1" thickBot="1" x14ac:dyDescent="0.35">
      <c r="A18" s="229"/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1"/>
    </row>
    <row r="19" spans="1:18" ht="22.05" customHeight="1" thickTop="1" thickBot="1" x14ac:dyDescent="0.35">
      <c r="A19" s="202" t="s">
        <v>8</v>
      </c>
      <c r="B19" s="203"/>
      <c r="C19" s="203"/>
      <c r="D19" s="203"/>
      <c r="E19" s="203"/>
      <c r="F19" s="204"/>
      <c r="G19" s="18">
        <v>46053</v>
      </c>
      <c r="H19" s="205" t="s">
        <v>9</v>
      </c>
      <c r="I19" s="203"/>
      <c r="J19" s="203"/>
      <c r="K19" s="203"/>
      <c r="L19" s="203"/>
      <c r="M19" s="203"/>
      <c r="N19" s="203"/>
      <c r="O19" s="203"/>
      <c r="P19" s="203"/>
      <c r="Q19" s="203"/>
      <c r="R19" s="204"/>
    </row>
    <row r="20" spans="1:18" ht="24" customHeight="1" x14ac:dyDescent="0.3">
      <c r="A20" s="19" t="s">
        <v>10</v>
      </c>
      <c r="B20" s="19" t="s">
        <v>11</v>
      </c>
      <c r="C20" s="20" t="s">
        <v>12</v>
      </c>
      <c r="D20" s="19" t="s">
        <v>13</v>
      </c>
      <c r="E20" s="19" t="s">
        <v>14</v>
      </c>
      <c r="F20" s="21" t="s">
        <v>15</v>
      </c>
      <c r="G20" s="22" t="s">
        <v>16</v>
      </c>
      <c r="H20" s="19" t="s">
        <v>17</v>
      </c>
      <c r="I20" s="23" t="s">
        <v>18</v>
      </c>
      <c r="J20" s="24" t="s">
        <v>19</v>
      </c>
      <c r="K20" s="25" t="s">
        <v>20</v>
      </c>
      <c r="L20" s="24" t="s">
        <v>21</v>
      </c>
      <c r="M20" s="24" t="s">
        <v>22</v>
      </c>
      <c r="N20" s="24" t="s">
        <v>23</v>
      </c>
      <c r="O20" s="19" t="s">
        <v>24</v>
      </c>
      <c r="P20" s="20" t="s">
        <v>25</v>
      </c>
      <c r="Q20" s="24" t="s">
        <v>26</v>
      </c>
      <c r="R20" s="19" t="s">
        <v>27</v>
      </c>
    </row>
    <row r="21" spans="1:18" ht="49.95" customHeight="1" x14ac:dyDescent="0.3">
      <c r="A21" s="46" t="s">
        <v>28</v>
      </c>
      <c r="B21" s="46" t="s">
        <v>93</v>
      </c>
      <c r="C21" s="47">
        <v>0.1423611111111111</v>
      </c>
      <c r="D21" s="46" t="s">
        <v>30</v>
      </c>
      <c r="E21" s="48"/>
      <c r="F21" s="46" t="s">
        <v>31</v>
      </c>
      <c r="G21" s="201"/>
      <c r="H21" s="76" t="s">
        <v>93</v>
      </c>
      <c r="I21" s="77">
        <v>5.5999999999999999E-3</v>
      </c>
      <c r="J21" s="78">
        <v>1</v>
      </c>
      <c r="K21" s="79" t="s">
        <v>104</v>
      </c>
      <c r="L21" s="78">
        <v>1</v>
      </c>
      <c r="M21" s="78">
        <v>0</v>
      </c>
      <c r="N21" s="78">
        <v>0</v>
      </c>
      <c r="O21" s="80" t="s">
        <v>92</v>
      </c>
      <c r="P21" s="81">
        <v>0.1423611111111111</v>
      </c>
      <c r="Q21" s="78">
        <v>180</v>
      </c>
      <c r="R21" s="82" t="s">
        <v>34</v>
      </c>
    </row>
    <row r="22" spans="1:18" ht="49.95" customHeight="1" x14ac:dyDescent="0.3">
      <c r="A22" s="106" t="s">
        <v>28</v>
      </c>
      <c r="B22" s="106" t="s">
        <v>90</v>
      </c>
      <c r="C22" s="107">
        <v>0.30208333333333331</v>
      </c>
      <c r="D22" s="106" t="s">
        <v>30</v>
      </c>
      <c r="E22" s="108"/>
      <c r="F22" s="106" t="s">
        <v>31</v>
      </c>
      <c r="G22" s="214"/>
      <c r="H22" s="109" t="s">
        <v>90</v>
      </c>
      <c r="I22" s="110">
        <v>5.5999999999999999E-3</v>
      </c>
      <c r="J22" s="111">
        <v>1</v>
      </c>
      <c r="K22" s="112" t="s">
        <v>105</v>
      </c>
      <c r="L22" s="111">
        <v>1</v>
      </c>
      <c r="M22" s="111">
        <v>0</v>
      </c>
      <c r="N22" s="111">
        <v>0</v>
      </c>
      <c r="O22" s="113" t="s">
        <v>92</v>
      </c>
      <c r="P22" s="114">
        <v>0.30208333333333331</v>
      </c>
      <c r="Q22" s="111">
        <v>180</v>
      </c>
      <c r="R22" s="115" t="s">
        <v>34</v>
      </c>
    </row>
    <row r="23" spans="1:18" ht="49.95" customHeight="1" thickBot="1" x14ac:dyDescent="0.35">
      <c r="A23" s="116" t="s">
        <v>28</v>
      </c>
      <c r="B23" s="116" t="s">
        <v>101</v>
      </c>
      <c r="C23" s="117">
        <v>0.52777777777777779</v>
      </c>
      <c r="D23" s="116" t="s">
        <v>30</v>
      </c>
      <c r="E23" s="118"/>
      <c r="F23" s="116" t="s">
        <v>31</v>
      </c>
      <c r="G23" s="213"/>
      <c r="H23" s="119" t="s">
        <v>101</v>
      </c>
      <c r="I23" s="120">
        <v>2.2200000000000001E-2</v>
      </c>
      <c r="J23" s="121">
        <v>4</v>
      </c>
      <c r="K23" s="122" t="s">
        <v>106</v>
      </c>
      <c r="L23" s="121">
        <v>4</v>
      </c>
      <c r="M23" s="121">
        <v>0</v>
      </c>
      <c r="N23" s="121">
        <v>0</v>
      </c>
      <c r="O23" s="123" t="s">
        <v>34</v>
      </c>
      <c r="P23" s="124">
        <v>0.52777777777777779</v>
      </c>
      <c r="Q23" s="121">
        <v>180</v>
      </c>
      <c r="R23" s="125" t="s">
        <v>107</v>
      </c>
    </row>
    <row r="24" spans="1:18" ht="17.399999999999999" customHeight="1" thickBot="1" x14ac:dyDescent="0.35">
      <c r="A24" s="229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1"/>
    </row>
    <row r="25" spans="1:18" ht="22.05" customHeight="1" thickTop="1" thickBot="1" x14ac:dyDescent="0.35">
      <c r="A25" s="202" t="s">
        <v>8</v>
      </c>
      <c r="B25" s="203"/>
      <c r="C25" s="203"/>
      <c r="D25" s="203"/>
      <c r="E25" s="203"/>
      <c r="F25" s="204"/>
      <c r="G25" s="18">
        <v>46054</v>
      </c>
      <c r="H25" s="205" t="s">
        <v>9</v>
      </c>
      <c r="I25" s="203"/>
      <c r="J25" s="203"/>
      <c r="K25" s="203"/>
      <c r="L25" s="203"/>
      <c r="M25" s="203"/>
      <c r="N25" s="203"/>
      <c r="O25" s="203"/>
      <c r="P25" s="203"/>
      <c r="Q25" s="203"/>
      <c r="R25" s="204"/>
    </row>
    <row r="26" spans="1:18" ht="24" customHeight="1" x14ac:dyDescent="0.3">
      <c r="A26" s="19" t="s">
        <v>10</v>
      </c>
      <c r="B26" s="19" t="s">
        <v>11</v>
      </c>
      <c r="C26" s="20" t="s">
        <v>12</v>
      </c>
      <c r="D26" s="19" t="s">
        <v>13</v>
      </c>
      <c r="E26" s="19" t="s">
        <v>14</v>
      </c>
      <c r="F26" s="21" t="s">
        <v>15</v>
      </c>
      <c r="G26" s="22" t="s">
        <v>16</v>
      </c>
      <c r="H26" s="19" t="s">
        <v>17</v>
      </c>
      <c r="I26" s="23" t="s">
        <v>18</v>
      </c>
      <c r="J26" s="24" t="s">
        <v>19</v>
      </c>
      <c r="K26" s="25" t="s">
        <v>20</v>
      </c>
      <c r="L26" s="24" t="s">
        <v>21</v>
      </c>
      <c r="M26" s="24" t="s">
        <v>22</v>
      </c>
      <c r="N26" s="24" t="s">
        <v>23</v>
      </c>
      <c r="O26" s="19" t="s">
        <v>24</v>
      </c>
      <c r="P26" s="20" t="s">
        <v>25</v>
      </c>
      <c r="Q26" s="24" t="s">
        <v>26</v>
      </c>
      <c r="R26" s="19" t="s">
        <v>27</v>
      </c>
    </row>
    <row r="27" spans="1:18" ht="49.95" customHeight="1" x14ac:dyDescent="0.3">
      <c r="A27" s="126" t="s">
        <v>28</v>
      </c>
      <c r="B27" s="126" t="s">
        <v>93</v>
      </c>
      <c r="C27" s="127">
        <v>0.3298611111111111</v>
      </c>
      <c r="D27" s="126" t="s">
        <v>30</v>
      </c>
      <c r="E27" s="128"/>
      <c r="F27" s="126" t="s">
        <v>31</v>
      </c>
      <c r="G27" s="201"/>
      <c r="H27" s="86" t="s">
        <v>93</v>
      </c>
      <c r="I27" s="87">
        <v>3.3300000000000003E-2</v>
      </c>
      <c r="J27" s="88">
        <v>6</v>
      </c>
      <c r="K27" s="89" t="s">
        <v>91</v>
      </c>
      <c r="L27" s="88">
        <v>6</v>
      </c>
      <c r="M27" s="88">
        <v>0</v>
      </c>
      <c r="N27" s="88">
        <v>0</v>
      </c>
      <c r="O27" s="90" t="s">
        <v>108</v>
      </c>
      <c r="P27" s="91">
        <v>0.3298611111111111</v>
      </c>
      <c r="Q27" s="88">
        <v>180</v>
      </c>
      <c r="R27" s="92" t="s">
        <v>109</v>
      </c>
    </row>
    <row r="28" spans="1:18" ht="49.95" customHeight="1" thickBot="1" x14ac:dyDescent="0.35">
      <c r="A28" s="93" t="s">
        <v>28</v>
      </c>
      <c r="B28" s="93" t="s">
        <v>101</v>
      </c>
      <c r="C28" s="94">
        <v>0.69097222222222221</v>
      </c>
      <c r="D28" s="93" t="s">
        <v>30</v>
      </c>
      <c r="E28" s="95"/>
      <c r="F28" s="93" t="s">
        <v>31</v>
      </c>
      <c r="G28" s="213"/>
      <c r="H28" s="49" t="s">
        <v>101</v>
      </c>
      <c r="I28" s="50">
        <v>5.5999999999999999E-3</v>
      </c>
      <c r="J28" s="51">
        <v>1</v>
      </c>
      <c r="K28" s="52" t="s">
        <v>110</v>
      </c>
      <c r="L28" s="51">
        <v>1</v>
      </c>
      <c r="M28" s="51">
        <v>0</v>
      </c>
      <c r="N28" s="51">
        <v>0</v>
      </c>
      <c r="O28" s="53" t="s">
        <v>92</v>
      </c>
      <c r="P28" s="54">
        <v>0.69097222222222221</v>
      </c>
      <c r="Q28" s="51">
        <v>180</v>
      </c>
      <c r="R28" s="55" t="s">
        <v>34</v>
      </c>
    </row>
    <row r="29" spans="1:18" ht="17.399999999999999" customHeight="1" thickBot="1" x14ac:dyDescent="0.35">
      <c r="A29" s="229"/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1"/>
    </row>
    <row r="30" spans="1:18" ht="22.05" customHeight="1" thickTop="1" thickBot="1" x14ac:dyDescent="0.35">
      <c r="A30" s="202" t="s">
        <v>8</v>
      </c>
      <c r="B30" s="203"/>
      <c r="C30" s="203"/>
      <c r="D30" s="203"/>
      <c r="E30" s="203"/>
      <c r="F30" s="204"/>
      <c r="G30" s="18">
        <v>46055</v>
      </c>
      <c r="H30" s="205" t="s">
        <v>9</v>
      </c>
      <c r="I30" s="203"/>
      <c r="J30" s="203"/>
      <c r="K30" s="203"/>
      <c r="L30" s="203"/>
      <c r="M30" s="203"/>
      <c r="N30" s="203"/>
      <c r="O30" s="203"/>
      <c r="P30" s="203"/>
      <c r="Q30" s="203"/>
      <c r="R30" s="204"/>
    </row>
    <row r="31" spans="1:18" ht="24" customHeight="1" x14ac:dyDescent="0.3">
      <c r="A31" s="19" t="s">
        <v>10</v>
      </c>
      <c r="B31" s="19" t="s">
        <v>11</v>
      </c>
      <c r="C31" s="20" t="s">
        <v>12</v>
      </c>
      <c r="D31" s="19" t="s">
        <v>13</v>
      </c>
      <c r="E31" s="19" t="s">
        <v>14</v>
      </c>
      <c r="F31" s="21" t="s">
        <v>15</v>
      </c>
      <c r="G31" s="22" t="s">
        <v>16</v>
      </c>
      <c r="H31" s="19" t="s">
        <v>17</v>
      </c>
      <c r="I31" s="23" t="s">
        <v>18</v>
      </c>
      <c r="J31" s="24" t="s">
        <v>19</v>
      </c>
      <c r="K31" s="25" t="s">
        <v>20</v>
      </c>
      <c r="L31" s="24" t="s">
        <v>21</v>
      </c>
      <c r="M31" s="24" t="s">
        <v>22</v>
      </c>
      <c r="N31" s="24" t="s">
        <v>23</v>
      </c>
      <c r="O31" s="19" t="s">
        <v>24</v>
      </c>
      <c r="P31" s="20" t="s">
        <v>25</v>
      </c>
      <c r="Q31" s="24" t="s">
        <v>26</v>
      </c>
      <c r="R31" s="19" t="s">
        <v>27</v>
      </c>
    </row>
    <row r="32" spans="1:18" ht="49.95" customHeight="1" x14ac:dyDescent="0.3">
      <c r="A32" s="26" t="s">
        <v>28</v>
      </c>
      <c r="B32" s="26" t="s">
        <v>93</v>
      </c>
      <c r="C32" s="27">
        <v>9.375E-2</v>
      </c>
      <c r="D32" s="26" t="s">
        <v>30</v>
      </c>
      <c r="E32" s="28"/>
      <c r="F32" s="26" t="s">
        <v>39</v>
      </c>
      <c r="G32" s="201"/>
      <c r="H32" s="129" t="s">
        <v>93</v>
      </c>
      <c r="I32" s="130">
        <v>0</v>
      </c>
      <c r="J32" s="131">
        <v>0</v>
      </c>
      <c r="K32" s="132" t="s">
        <v>40</v>
      </c>
      <c r="L32" s="131">
        <v>0</v>
      </c>
      <c r="M32" s="131">
        <v>0</v>
      </c>
      <c r="N32" s="131">
        <v>0</v>
      </c>
      <c r="O32" s="133" t="s">
        <v>100</v>
      </c>
      <c r="P32" s="134">
        <v>9.375E-2</v>
      </c>
      <c r="Q32" s="131">
        <v>180</v>
      </c>
      <c r="R32" s="135" t="s">
        <v>40</v>
      </c>
    </row>
    <row r="33" spans="1:18" ht="49.95" customHeight="1" x14ac:dyDescent="0.3">
      <c r="A33" s="136" t="s">
        <v>28</v>
      </c>
      <c r="B33" s="136" t="s">
        <v>101</v>
      </c>
      <c r="C33" s="137">
        <v>0.19444444444444439</v>
      </c>
      <c r="D33" s="136" t="s">
        <v>30</v>
      </c>
      <c r="E33" s="138"/>
      <c r="F33" s="136" t="s">
        <v>39</v>
      </c>
      <c r="G33" s="214"/>
      <c r="H33" s="139" t="s">
        <v>101</v>
      </c>
      <c r="I33" s="140">
        <v>0</v>
      </c>
      <c r="J33" s="141">
        <v>0</v>
      </c>
      <c r="K33" s="142" t="s">
        <v>40</v>
      </c>
      <c r="L33" s="141">
        <v>0</v>
      </c>
      <c r="M33" s="141">
        <v>0</v>
      </c>
      <c r="N33" s="141">
        <v>0</v>
      </c>
      <c r="O33" s="143" t="s">
        <v>100</v>
      </c>
      <c r="P33" s="144">
        <v>0.19444444444444439</v>
      </c>
      <c r="Q33" s="141">
        <v>180</v>
      </c>
      <c r="R33" s="145" t="s">
        <v>40</v>
      </c>
    </row>
    <row r="34" spans="1:18" ht="49.95" customHeight="1" x14ac:dyDescent="0.3">
      <c r="A34" s="83" t="s">
        <v>28</v>
      </c>
      <c r="B34" s="83" t="s">
        <v>97</v>
      </c>
      <c r="C34" s="84">
        <v>0.34722222222222232</v>
      </c>
      <c r="D34" s="83" t="s">
        <v>30</v>
      </c>
      <c r="E34" s="85"/>
      <c r="F34" s="83" t="s">
        <v>39</v>
      </c>
      <c r="G34" s="214"/>
      <c r="H34" s="86" t="s">
        <v>97</v>
      </c>
      <c r="I34" s="87">
        <v>0</v>
      </c>
      <c r="J34" s="88">
        <v>0</v>
      </c>
      <c r="K34" s="89" t="s">
        <v>40</v>
      </c>
      <c r="L34" s="88">
        <v>0</v>
      </c>
      <c r="M34" s="88">
        <v>0</v>
      </c>
      <c r="N34" s="88">
        <v>0</v>
      </c>
      <c r="O34" s="90" t="s">
        <v>100</v>
      </c>
      <c r="P34" s="91">
        <v>0.34722222222222232</v>
      </c>
      <c r="Q34" s="88">
        <v>180</v>
      </c>
      <c r="R34" s="92" t="s">
        <v>40</v>
      </c>
    </row>
    <row r="35" spans="1:18" ht="49.95" customHeight="1" thickBot="1" x14ac:dyDescent="0.35">
      <c r="A35" s="146" t="s">
        <v>28</v>
      </c>
      <c r="B35" s="146" t="s">
        <v>90</v>
      </c>
      <c r="C35" s="147">
        <v>0.54861111111111105</v>
      </c>
      <c r="D35" s="146" t="s">
        <v>30</v>
      </c>
      <c r="E35" s="148"/>
      <c r="F35" s="146" t="s">
        <v>31</v>
      </c>
      <c r="G35" s="213"/>
      <c r="H35" s="59" t="s">
        <v>90</v>
      </c>
      <c r="I35" s="60">
        <v>1.11E-2</v>
      </c>
      <c r="J35" s="61">
        <v>2</v>
      </c>
      <c r="K35" s="62" t="s">
        <v>111</v>
      </c>
      <c r="L35" s="61">
        <v>2</v>
      </c>
      <c r="M35" s="61">
        <v>0</v>
      </c>
      <c r="N35" s="61">
        <v>0</v>
      </c>
      <c r="O35" s="63" t="s">
        <v>99</v>
      </c>
      <c r="P35" s="64">
        <v>0.54861111111111105</v>
      </c>
      <c r="Q35" s="61">
        <v>180</v>
      </c>
      <c r="R35" s="65" t="s">
        <v>99</v>
      </c>
    </row>
    <row r="36" spans="1:18" ht="17.399999999999999" customHeight="1" thickBot="1" x14ac:dyDescent="0.35">
      <c r="A36" s="229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1"/>
    </row>
    <row r="37" spans="1:18" ht="22.05" customHeight="1" thickTop="1" thickBot="1" x14ac:dyDescent="0.35">
      <c r="A37" s="202" t="s">
        <v>8</v>
      </c>
      <c r="B37" s="203"/>
      <c r="C37" s="203"/>
      <c r="D37" s="203"/>
      <c r="E37" s="203"/>
      <c r="F37" s="204"/>
      <c r="G37" s="18">
        <v>46056</v>
      </c>
      <c r="H37" s="205" t="s">
        <v>9</v>
      </c>
      <c r="I37" s="203"/>
      <c r="J37" s="203"/>
      <c r="K37" s="203"/>
      <c r="L37" s="203"/>
      <c r="M37" s="203"/>
      <c r="N37" s="203"/>
      <c r="O37" s="203"/>
      <c r="P37" s="203"/>
      <c r="Q37" s="203"/>
      <c r="R37" s="204"/>
    </row>
    <row r="38" spans="1:18" ht="24" customHeight="1" x14ac:dyDescent="0.3">
      <c r="A38" s="19" t="s">
        <v>10</v>
      </c>
      <c r="B38" s="19" t="s">
        <v>11</v>
      </c>
      <c r="C38" s="20" t="s">
        <v>12</v>
      </c>
      <c r="D38" s="19" t="s">
        <v>13</v>
      </c>
      <c r="E38" s="19" t="s">
        <v>14</v>
      </c>
      <c r="F38" s="21" t="s">
        <v>15</v>
      </c>
      <c r="G38" s="22" t="s">
        <v>16</v>
      </c>
      <c r="H38" s="19" t="s">
        <v>17</v>
      </c>
      <c r="I38" s="23" t="s">
        <v>18</v>
      </c>
      <c r="J38" s="24" t="s">
        <v>19</v>
      </c>
      <c r="K38" s="25" t="s">
        <v>20</v>
      </c>
      <c r="L38" s="24" t="s">
        <v>21</v>
      </c>
      <c r="M38" s="24" t="s">
        <v>22</v>
      </c>
      <c r="N38" s="24" t="s">
        <v>23</v>
      </c>
      <c r="O38" s="19" t="s">
        <v>24</v>
      </c>
      <c r="P38" s="20" t="s">
        <v>25</v>
      </c>
      <c r="Q38" s="24" t="s">
        <v>26</v>
      </c>
      <c r="R38" s="19" t="s">
        <v>27</v>
      </c>
    </row>
    <row r="39" spans="1:18" ht="49.95" customHeight="1" x14ac:dyDescent="0.3">
      <c r="A39" s="126" t="s">
        <v>28</v>
      </c>
      <c r="B39" s="126" t="s">
        <v>90</v>
      </c>
      <c r="C39" s="127">
        <v>0.16666666666666671</v>
      </c>
      <c r="D39" s="126" t="s">
        <v>30</v>
      </c>
      <c r="E39" s="128"/>
      <c r="F39" s="126" t="s">
        <v>39</v>
      </c>
      <c r="G39" s="197"/>
      <c r="H39" s="86" t="s">
        <v>90</v>
      </c>
      <c r="I39" s="87">
        <v>0</v>
      </c>
      <c r="J39" s="88">
        <v>0</v>
      </c>
      <c r="K39" s="89" t="s">
        <v>40</v>
      </c>
      <c r="L39" s="88">
        <v>0</v>
      </c>
      <c r="M39" s="88">
        <v>0</v>
      </c>
      <c r="N39" s="88">
        <v>0</v>
      </c>
      <c r="O39" s="90" t="s">
        <v>100</v>
      </c>
      <c r="P39" s="91">
        <v>0.16666666666666671</v>
      </c>
      <c r="Q39" s="88">
        <v>180</v>
      </c>
      <c r="R39" s="92" t="s">
        <v>40</v>
      </c>
    </row>
    <row r="40" spans="1:18" ht="49.95" customHeight="1" thickBot="1" x14ac:dyDescent="0.35">
      <c r="A40" s="149" t="s">
        <v>28</v>
      </c>
      <c r="B40" s="149" t="s">
        <v>101</v>
      </c>
      <c r="C40" s="150">
        <v>0.52777777777777779</v>
      </c>
      <c r="D40" s="149" t="s">
        <v>30</v>
      </c>
      <c r="E40" s="151"/>
      <c r="F40" s="149" t="s">
        <v>31</v>
      </c>
      <c r="G40" s="213"/>
      <c r="H40" s="39" t="s">
        <v>101</v>
      </c>
      <c r="I40" s="40">
        <v>5.5999999999999999E-3</v>
      </c>
      <c r="J40" s="41">
        <v>1</v>
      </c>
      <c r="K40" s="42" t="s">
        <v>94</v>
      </c>
      <c r="L40" s="41">
        <v>1</v>
      </c>
      <c r="M40" s="41">
        <v>0</v>
      </c>
      <c r="N40" s="41">
        <v>0</v>
      </c>
      <c r="O40" s="43" t="s">
        <v>100</v>
      </c>
      <c r="P40" s="44">
        <v>0.52777777777777779</v>
      </c>
      <c r="Q40" s="41">
        <v>180</v>
      </c>
      <c r="R40" s="45" t="s">
        <v>112</v>
      </c>
    </row>
    <row r="41" spans="1:18" ht="17.399999999999999" customHeight="1" thickBot="1" x14ac:dyDescent="0.35">
      <c r="A41" s="229"/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1"/>
    </row>
    <row r="42" spans="1:18" ht="22.05" customHeight="1" thickTop="1" thickBot="1" x14ac:dyDescent="0.35">
      <c r="A42" s="202" t="s">
        <v>8</v>
      </c>
      <c r="B42" s="203"/>
      <c r="C42" s="203"/>
      <c r="D42" s="203"/>
      <c r="E42" s="203"/>
      <c r="F42" s="204"/>
      <c r="G42" s="18">
        <v>46057</v>
      </c>
      <c r="H42" s="205" t="s">
        <v>9</v>
      </c>
      <c r="I42" s="203"/>
      <c r="J42" s="203"/>
      <c r="K42" s="203"/>
      <c r="L42" s="203"/>
      <c r="M42" s="203"/>
      <c r="N42" s="203"/>
      <c r="O42" s="203"/>
      <c r="P42" s="203"/>
      <c r="Q42" s="203"/>
      <c r="R42" s="204"/>
    </row>
    <row r="43" spans="1:18" ht="24" customHeight="1" x14ac:dyDescent="0.3">
      <c r="A43" s="19" t="s">
        <v>10</v>
      </c>
      <c r="B43" s="19" t="s">
        <v>11</v>
      </c>
      <c r="C43" s="20" t="s">
        <v>12</v>
      </c>
      <c r="D43" s="19" t="s">
        <v>13</v>
      </c>
      <c r="E43" s="19" t="s">
        <v>14</v>
      </c>
      <c r="F43" s="21" t="s">
        <v>15</v>
      </c>
      <c r="G43" s="22" t="s">
        <v>16</v>
      </c>
      <c r="H43" s="19" t="s">
        <v>17</v>
      </c>
      <c r="I43" s="23" t="s">
        <v>18</v>
      </c>
      <c r="J43" s="24" t="s">
        <v>19</v>
      </c>
      <c r="K43" s="25" t="s">
        <v>20</v>
      </c>
      <c r="L43" s="24" t="s">
        <v>21</v>
      </c>
      <c r="M43" s="24" t="s">
        <v>22</v>
      </c>
      <c r="N43" s="24" t="s">
        <v>23</v>
      </c>
      <c r="O43" s="19" t="s">
        <v>24</v>
      </c>
      <c r="P43" s="20" t="s">
        <v>25</v>
      </c>
      <c r="Q43" s="24" t="s">
        <v>26</v>
      </c>
      <c r="R43" s="19" t="s">
        <v>27</v>
      </c>
    </row>
    <row r="44" spans="1:18" ht="49.95" customHeight="1" x14ac:dyDescent="0.3">
      <c r="A44" s="126" t="s">
        <v>28</v>
      </c>
      <c r="B44" s="126" t="s">
        <v>90</v>
      </c>
      <c r="C44" s="127">
        <v>0.1076388888888889</v>
      </c>
      <c r="D44" s="126" t="s">
        <v>30</v>
      </c>
      <c r="E44" s="128"/>
      <c r="F44" s="126" t="s">
        <v>39</v>
      </c>
      <c r="G44" s="201"/>
      <c r="H44" s="86" t="s">
        <v>90</v>
      </c>
      <c r="I44" s="87">
        <v>0</v>
      </c>
      <c r="J44" s="88">
        <v>0</v>
      </c>
      <c r="K44" s="89" t="s">
        <v>40</v>
      </c>
      <c r="L44" s="88">
        <v>0</v>
      </c>
      <c r="M44" s="88">
        <v>0</v>
      </c>
      <c r="N44" s="88">
        <v>0</v>
      </c>
      <c r="O44" s="90" t="s">
        <v>113</v>
      </c>
      <c r="P44" s="91">
        <v>0.1076388888888889</v>
      </c>
      <c r="Q44" s="88">
        <v>180</v>
      </c>
      <c r="R44" s="92" t="s">
        <v>40</v>
      </c>
    </row>
    <row r="45" spans="1:18" ht="49.95" customHeight="1" x14ac:dyDescent="0.3">
      <c r="A45" s="152" t="s">
        <v>28</v>
      </c>
      <c r="B45" s="152" t="s">
        <v>93</v>
      </c>
      <c r="C45" s="153">
        <v>0.5</v>
      </c>
      <c r="D45" s="152" t="s">
        <v>30</v>
      </c>
      <c r="E45" s="154"/>
      <c r="F45" s="152" t="s">
        <v>31</v>
      </c>
      <c r="G45" s="214"/>
      <c r="H45" s="96" t="s">
        <v>93</v>
      </c>
      <c r="I45" s="97">
        <v>2.7799999999999998E-2</v>
      </c>
      <c r="J45" s="98">
        <v>5</v>
      </c>
      <c r="K45" s="99" t="s">
        <v>114</v>
      </c>
      <c r="L45" s="98">
        <v>5</v>
      </c>
      <c r="M45" s="98">
        <v>0</v>
      </c>
      <c r="N45" s="98">
        <v>0</v>
      </c>
      <c r="O45" s="100" t="s">
        <v>115</v>
      </c>
      <c r="P45" s="101">
        <v>0.5</v>
      </c>
      <c r="Q45" s="98">
        <v>180</v>
      </c>
      <c r="R45" s="102" t="s">
        <v>116</v>
      </c>
    </row>
    <row r="46" spans="1:18" ht="49.95" customHeight="1" thickBot="1" x14ac:dyDescent="0.35">
      <c r="A46" s="155" t="s">
        <v>28</v>
      </c>
      <c r="B46" s="155" t="s">
        <v>97</v>
      </c>
      <c r="C46" s="156">
        <v>0.92361111111111116</v>
      </c>
      <c r="D46" s="155" t="s">
        <v>30</v>
      </c>
      <c r="E46" s="157"/>
      <c r="F46" s="155" t="s">
        <v>39</v>
      </c>
      <c r="G46" s="213"/>
      <c r="H46" s="69" t="s">
        <v>97</v>
      </c>
      <c r="I46" s="70">
        <v>0</v>
      </c>
      <c r="J46" s="71">
        <v>0</v>
      </c>
      <c r="K46" s="72" t="s">
        <v>40</v>
      </c>
      <c r="L46" s="71">
        <v>0</v>
      </c>
      <c r="M46" s="71">
        <v>0</v>
      </c>
      <c r="N46" s="71">
        <v>0</v>
      </c>
      <c r="O46" s="73" t="s">
        <v>113</v>
      </c>
      <c r="P46" s="74">
        <v>0.92361111111111116</v>
      </c>
      <c r="Q46" s="71">
        <v>180</v>
      </c>
      <c r="R46" s="75" t="s">
        <v>40</v>
      </c>
    </row>
    <row r="47" spans="1:18" ht="17.399999999999999" customHeight="1" thickBot="1" x14ac:dyDescent="0.35">
      <c r="A47" s="229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1"/>
    </row>
    <row r="48" spans="1:18" ht="22.05" customHeight="1" thickTop="1" thickBot="1" x14ac:dyDescent="0.35">
      <c r="A48" s="202" t="s">
        <v>8</v>
      </c>
      <c r="B48" s="203"/>
      <c r="C48" s="203"/>
      <c r="D48" s="203"/>
      <c r="E48" s="203"/>
      <c r="F48" s="204"/>
      <c r="G48" s="18">
        <v>46058</v>
      </c>
      <c r="H48" s="205" t="s">
        <v>9</v>
      </c>
      <c r="I48" s="203"/>
      <c r="J48" s="203"/>
      <c r="K48" s="203"/>
      <c r="L48" s="203"/>
      <c r="M48" s="203"/>
      <c r="N48" s="203"/>
      <c r="O48" s="203"/>
      <c r="P48" s="203"/>
      <c r="Q48" s="203"/>
      <c r="R48" s="204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x14ac:dyDescent="0.3">
      <c r="A50" s="66" t="s">
        <v>28</v>
      </c>
      <c r="B50" s="66" t="s">
        <v>90</v>
      </c>
      <c r="C50" s="67">
        <v>0.52430555555555558</v>
      </c>
      <c r="D50" s="66" t="s">
        <v>30</v>
      </c>
      <c r="E50" s="68"/>
      <c r="F50" s="66" t="s">
        <v>31</v>
      </c>
      <c r="G50" s="201"/>
      <c r="H50" s="139" t="s">
        <v>90</v>
      </c>
      <c r="I50" s="140">
        <v>2.7799999999999998E-2</v>
      </c>
      <c r="J50" s="141">
        <v>5</v>
      </c>
      <c r="K50" s="142" t="s">
        <v>36</v>
      </c>
      <c r="L50" s="141">
        <v>5</v>
      </c>
      <c r="M50" s="141">
        <v>0</v>
      </c>
      <c r="N50" s="141">
        <v>0</v>
      </c>
      <c r="O50" s="143" t="s">
        <v>115</v>
      </c>
      <c r="P50" s="144">
        <v>0.52430555555555558</v>
      </c>
      <c r="Q50" s="141">
        <v>180</v>
      </c>
      <c r="R50" s="145" t="s">
        <v>116</v>
      </c>
    </row>
    <row r="51" spans="1:18" ht="49.95" customHeight="1" thickBot="1" x14ac:dyDescent="0.35">
      <c r="A51" s="116" t="s">
        <v>28</v>
      </c>
      <c r="B51" s="116" t="s">
        <v>101</v>
      </c>
      <c r="C51" s="117">
        <v>0.54861111111111105</v>
      </c>
      <c r="D51" s="116" t="s">
        <v>30</v>
      </c>
      <c r="E51" s="118"/>
      <c r="F51" s="116" t="s">
        <v>31</v>
      </c>
      <c r="G51" s="213"/>
      <c r="H51" s="119" t="s">
        <v>101</v>
      </c>
      <c r="I51" s="120">
        <v>5.5999999999999999E-3</v>
      </c>
      <c r="J51" s="121">
        <v>1</v>
      </c>
      <c r="K51" s="122" t="s">
        <v>117</v>
      </c>
      <c r="L51" s="121">
        <v>1</v>
      </c>
      <c r="M51" s="121">
        <v>0</v>
      </c>
      <c r="N51" s="121">
        <v>0</v>
      </c>
      <c r="O51" s="123" t="s">
        <v>118</v>
      </c>
      <c r="P51" s="124">
        <v>0.54861111111111105</v>
      </c>
      <c r="Q51" s="121">
        <v>180</v>
      </c>
      <c r="R51" s="125" t="s">
        <v>119</v>
      </c>
    </row>
    <row r="52" spans="1:18" ht="17.399999999999999" customHeight="1" thickBot="1" x14ac:dyDescent="0.35">
      <c r="A52" s="229"/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1"/>
    </row>
    <row r="53" spans="1:18" ht="22.05" customHeight="1" thickTop="1" thickBot="1" x14ac:dyDescent="0.35">
      <c r="A53" s="202" t="s">
        <v>8</v>
      </c>
      <c r="B53" s="203"/>
      <c r="C53" s="203"/>
      <c r="D53" s="203"/>
      <c r="E53" s="203"/>
      <c r="F53" s="204"/>
      <c r="G53" s="18">
        <v>46059</v>
      </c>
      <c r="H53" s="205" t="s">
        <v>9</v>
      </c>
      <c r="I53" s="203"/>
      <c r="J53" s="203"/>
      <c r="K53" s="203"/>
      <c r="L53" s="203"/>
      <c r="M53" s="203"/>
      <c r="N53" s="203"/>
      <c r="O53" s="203"/>
      <c r="P53" s="203"/>
      <c r="Q53" s="203"/>
      <c r="R53" s="204"/>
    </row>
    <row r="54" spans="1:18" ht="24" customHeight="1" x14ac:dyDescent="0.3">
      <c r="A54" s="19" t="s">
        <v>10</v>
      </c>
      <c r="B54" s="19" t="s">
        <v>11</v>
      </c>
      <c r="C54" s="20" t="s">
        <v>12</v>
      </c>
      <c r="D54" s="19" t="s">
        <v>13</v>
      </c>
      <c r="E54" s="19" t="s">
        <v>14</v>
      </c>
      <c r="F54" s="21" t="s">
        <v>15</v>
      </c>
      <c r="G54" s="22" t="s">
        <v>16</v>
      </c>
      <c r="H54" s="19" t="s">
        <v>17</v>
      </c>
      <c r="I54" s="23" t="s">
        <v>18</v>
      </c>
      <c r="J54" s="24" t="s">
        <v>19</v>
      </c>
      <c r="K54" s="25" t="s">
        <v>20</v>
      </c>
      <c r="L54" s="24" t="s">
        <v>21</v>
      </c>
      <c r="M54" s="24" t="s">
        <v>22</v>
      </c>
      <c r="N54" s="24" t="s">
        <v>23</v>
      </c>
      <c r="O54" s="19" t="s">
        <v>24</v>
      </c>
      <c r="P54" s="20" t="s">
        <v>25</v>
      </c>
      <c r="Q54" s="24" t="s">
        <v>26</v>
      </c>
      <c r="R54" s="19" t="s">
        <v>27</v>
      </c>
    </row>
    <row r="55" spans="1:18" ht="49.95" customHeight="1" thickTop="1" thickBot="1" x14ac:dyDescent="0.35">
      <c r="A55" s="26" t="s">
        <v>28</v>
      </c>
      <c r="B55" s="26" t="s">
        <v>93</v>
      </c>
      <c r="C55" s="27">
        <v>0.13541666666666671</v>
      </c>
      <c r="D55" s="26" t="s">
        <v>30</v>
      </c>
      <c r="E55" s="28"/>
      <c r="F55" s="26" t="s">
        <v>31</v>
      </c>
      <c r="G55" s="201"/>
      <c r="H55" s="29" t="s">
        <v>93</v>
      </c>
      <c r="I55" s="30">
        <v>5.5999999999999999E-3</v>
      </c>
      <c r="J55" s="31">
        <v>1</v>
      </c>
      <c r="K55" s="32" t="s">
        <v>94</v>
      </c>
      <c r="L55" s="31">
        <v>1</v>
      </c>
      <c r="M55" s="31">
        <v>0</v>
      </c>
      <c r="N55" s="31">
        <v>0</v>
      </c>
      <c r="O55" s="33" t="s">
        <v>118</v>
      </c>
      <c r="P55" s="34">
        <v>0.13541666666666671</v>
      </c>
      <c r="Q55" s="31">
        <v>180</v>
      </c>
      <c r="R55" s="35" t="s">
        <v>119</v>
      </c>
    </row>
    <row r="56" spans="1:18" ht="17.399999999999999" customHeight="1" thickBot="1" x14ac:dyDescent="0.35">
      <c r="A56" s="229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1"/>
    </row>
    <row r="57" spans="1:18" ht="22.05" customHeight="1" thickTop="1" thickBot="1" x14ac:dyDescent="0.35">
      <c r="A57" s="202" t="s">
        <v>8</v>
      </c>
      <c r="B57" s="203"/>
      <c r="C57" s="203"/>
      <c r="D57" s="203"/>
      <c r="E57" s="203"/>
      <c r="F57" s="204"/>
      <c r="G57" s="18">
        <v>46060</v>
      </c>
      <c r="H57" s="205" t="s">
        <v>9</v>
      </c>
      <c r="I57" s="203"/>
      <c r="J57" s="203"/>
      <c r="K57" s="203"/>
      <c r="L57" s="203"/>
      <c r="M57" s="203"/>
      <c r="N57" s="203"/>
      <c r="O57" s="203"/>
      <c r="P57" s="203"/>
      <c r="Q57" s="203"/>
      <c r="R57" s="204"/>
    </row>
    <row r="58" spans="1:18" ht="24" customHeight="1" x14ac:dyDescent="0.3">
      <c r="A58" s="19" t="s">
        <v>10</v>
      </c>
      <c r="B58" s="19" t="s">
        <v>11</v>
      </c>
      <c r="C58" s="20" t="s">
        <v>12</v>
      </c>
      <c r="D58" s="19" t="s">
        <v>13</v>
      </c>
      <c r="E58" s="19" t="s">
        <v>14</v>
      </c>
      <c r="F58" s="21" t="s">
        <v>15</v>
      </c>
      <c r="G58" s="22" t="s">
        <v>16</v>
      </c>
      <c r="H58" s="19" t="s">
        <v>17</v>
      </c>
      <c r="I58" s="23" t="s">
        <v>18</v>
      </c>
      <c r="J58" s="24" t="s">
        <v>19</v>
      </c>
      <c r="K58" s="25" t="s">
        <v>20</v>
      </c>
      <c r="L58" s="24" t="s">
        <v>21</v>
      </c>
      <c r="M58" s="24" t="s">
        <v>22</v>
      </c>
      <c r="N58" s="24" t="s">
        <v>23</v>
      </c>
      <c r="O58" s="19" t="s">
        <v>24</v>
      </c>
      <c r="P58" s="20" t="s">
        <v>25</v>
      </c>
      <c r="Q58" s="24" t="s">
        <v>26</v>
      </c>
      <c r="R58" s="19" t="s">
        <v>27</v>
      </c>
    </row>
    <row r="59" spans="1:18" ht="49.95" customHeight="1" x14ac:dyDescent="0.3">
      <c r="A59" s="158" t="s">
        <v>28</v>
      </c>
      <c r="B59" s="158" t="s">
        <v>93</v>
      </c>
      <c r="C59" s="159">
        <v>0.1423611111111111</v>
      </c>
      <c r="D59" s="158" t="s">
        <v>30</v>
      </c>
      <c r="E59" s="160"/>
      <c r="F59" s="158" t="s">
        <v>39</v>
      </c>
      <c r="G59" s="201"/>
      <c r="H59" s="161" t="s">
        <v>93</v>
      </c>
      <c r="I59" s="162">
        <v>0</v>
      </c>
      <c r="J59" s="163">
        <v>0</v>
      </c>
      <c r="K59" s="164" t="s">
        <v>40</v>
      </c>
      <c r="L59" s="163">
        <v>0</v>
      </c>
      <c r="M59" s="163">
        <v>0</v>
      </c>
      <c r="N59" s="163">
        <v>0</v>
      </c>
      <c r="O59" s="165" t="s">
        <v>113</v>
      </c>
      <c r="P59" s="166">
        <v>0.1423611111111111</v>
      </c>
      <c r="Q59" s="163">
        <v>180</v>
      </c>
      <c r="R59" s="167" t="s">
        <v>40</v>
      </c>
    </row>
    <row r="60" spans="1:18" ht="49.95" customHeight="1" x14ac:dyDescent="0.3">
      <c r="A60" s="152" t="s">
        <v>28</v>
      </c>
      <c r="B60" s="152" t="s">
        <v>90</v>
      </c>
      <c r="C60" s="153">
        <v>0.30208333333333331</v>
      </c>
      <c r="D60" s="152" t="s">
        <v>30</v>
      </c>
      <c r="E60" s="154"/>
      <c r="F60" s="152" t="s">
        <v>39</v>
      </c>
      <c r="G60" s="214"/>
      <c r="H60" s="96" t="s">
        <v>90</v>
      </c>
      <c r="I60" s="97">
        <v>0</v>
      </c>
      <c r="J60" s="98">
        <v>0</v>
      </c>
      <c r="K60" s="99" t="s">
        <v>40</v>
      </c>
      <c r="L60" s="98">
        <v>0</v>
      </c>
      <c r="M60" s="98">
        <v>0</v>
      </c>
      <c r="N60" s="98">
        <v>0</v>
      </c>
      <c r="O60" s="100" t="s">
        <v>113</v>
      </c>
      <c r="P60" s="101">
        <v>0.30208333333333331</v>
      </c>
      <c r="Q60" s="98">
        <v>180</v>
      </c>
      <c r="R60" s="102" t="s">
        <v>40</v>
      </c>
    </row>
    <row r="61" spans="1:18" ht="49.95" customHeight="1" thickBot="1" x14ac:dyDescent="0.35">
      <c r="A61" s="116" t="s">
        <v>28</v>
      </c>
      <c r="B61" s="116" t="s">
        <v>101</v>
      </c>
      <c r="C61" s="117">
        <v>0.52777777777777779</v>
      </c>
      <c r="D61" s="116" t="s">
        <v>30</v>
      </c>
      <c r="E61" s="118"/>
      <c r="F61" s="116" t="s">
        <v>31</v>
      </c>
      <c r="G61" s="213"/>
      <c r="H61" s="119" t="s">
        <v>101</v>
      </c>
      <c r="I61" s="120">
        <v>1.67E-2</v>
      </c>
      <c r="J61" s="121">
        <v>3</v>
      </c>
      <c r="K61" s="122" t="s">
        <v>120</v>
      </c>
      <c r="L61" s="121">
        <v>3</v>
      </c>
      <c r="M61" s="121">
        <v>0</v>
      </c>
      <c r="N61" s="121">
        <v>0</v>
      </c>
      <c r="O61" s="123" t="s">
        <v>121</v>
      </c>
      <c r="P61" s="124">
        <v>0.52777777777777779</v>
      </c>
      <c r="Q61" s="121">
        <v>180</v>
      </c>
      <c r="R61" s="125" t="s">
        <v>122</v>
      </c>
    </row>
    <row r="62" spans="1:18" ht="17.399999999999999" customHeight="1" thickBot="1" x14ac:dyDescent="0.35">
      <c r="A62" s="229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1"/>
    </row>
    <row r="63" spans="1:18" ht="22.05" customHeight="1" thickTop="1" thickBot="1" x14ac:dyDescent="0.35">
      <c r="A63" s="202" t="s">
        <v>8</v>
      </c>
      <c r="B63" s="203"/>
      <c r="C63" s="203"/>
      <c r="D63" s="203"/>
      <c r="E63" s="203"/>
      <c r="F63" s="204"/>
      <c r="G63" s="18">
        <v>46061</v>
      </c>
      <c r="H63" s="205" t="s">
        <v>9</v>
      </c>
      <c r="I63" s="203"/>
      <c r="J63" s="203"/>
      <c r="K63" s="203"/>
      <c r="L63" s="203"/>
      <c r="M63" s="203"/>
      <c r="N63" s="203"/>
      <c r="O63" s="203"/>
      <c r="P63" s="203"/>
      <c r="Q63" s="203"/>
      <c r="R63" s="204"/>
    </row>
    <row r="64" spans="1:18" ht="24" customHeight="1" x14ac:dyDescent="0.3">
      <c r="A64" s="19" t="s">
        <v>10</v>
      </c>
      <c r="B64" s="19" t="s">
        <v>11</v>
      </c>
      <c r="C64" s="20" t="s">
        <v>12</v>
      </c>
      <c r="D64" s="19" t="s">
        <v>13</v>
      </c>
      <c r="E64" s="19" t="s">
        <v>14</v>
      </c>
      <c r="F64" s="21" t="s">
        <v>15</v>
      </c>
      <c r="G64" s="22" t="s">
        <v>16</v>
      </c>
      <c r="H64" s="19" t="s">
        <v>17</v>
      </c>
      <c r="I64" s="23" t="s">
        <v>18</v>
      </c>
      <c r="J64" s="24" t="s">
        <v>19</v>
      </c>
      <c r="K64" s="25" t="s">
        <v>20</v>
      </c>
      <c r="L64" s="24" t="s">
        <v>21</v>
      </c>
      <c r="M64" s="24" t="s">
        <v>22</v>
      </c>
      <c r="N64" s="24" t="s">
        <v>23</v>
      </c>
      <c r="O64" s="19" t="s">
        <v>24</v>
      </c>
      <c r="P64" s="20" t="s">
        <v>25</v>
      </c>
      <c r="Q64" s="24" t="s">
        <v>26</v>
      </c>
      <c r="R64" s="19" t="s">
        <v>27</v>
      </c>
    </row>
    <row r="65" spans="1:18" ht="49.95" customHeight="1" x14ac:dyDescent="0.3">
      <c r="A65" s="8" t="s">
        <v>28</v>
      </c>
      <c r="B65" s="8" t="s">
        <v>93</v>
      </c>
      <c r="C65" s="9">
        <v>0.3298611111111111</v>
      </c>
      <c r="D65" s="8" t="s">
        <v>30</v>
      </c>
      <c r="E65" s="10"/>
      <c r="F65" s="8" t="s">
        <v>31</v>
      </c>
      <c r="G65" s="201"/>
      <c r="H65" s="109" t="s">
        <v>93</v>
      </c>
      <c r="I65" s="110">
        <v>1.11E-2</v>
      </c>
      <c r="J65" s="111">
        <v>2</v>
      </c>
      <c r="K65" s="112" t="s">
        <v>45</v>
      </c>
      <c r="L65" s="111">
        <v>2</v>
      </c>
      <c r="M65" s="111">
        <v>0</v>
      </c>
      <c r="N65" s="111">
        <v>0</v>
      </c>
      <c r="O65" s="113" t="s">
        <v>123</v>
      </c>
      <c r="P65" s="114">
        <v>0.3298611111111111</v>
      </c>
      <c r="Q65" s="111">
        <v>180</v>
      </c>
      <c r="R65" s="115" t="s">
        <v>124</v>
      </c>
    </row>
    <row r="66" spans="1:18" ht="49.95" customHeight="1" thickBot="1" x14ac:dyDescent="0.35">
      <c r="A66" s="103" t="s">
        <v>28</v>
      </c>
      <c r="B66" s="103" t="s">
        <v>101</v>
      </c>
      <c r="C66" s="104">
        <v>0.69097222222222221</v>
      </c>
      <c r="D66" s="103" t="s">
        <v>30</v>
      </c>
      <c r="E66" s="105"/>
      <c r="F66" s="103" t="s">
        <v>31</v>
      </c>
      <c r="G66" s="213"/>
      <c r="H66" s="29" t="s">
        <v>101</v>
      </c>
      <c r="I66" s="30">
        <v>2.2200000000000001E-2</v>
      </c>
      <c r="J66" s="31">
        <v>4</v>
      </c>
      <c r="K66" s="32" t="s">
        <v>125</v>
      </c>
      <c r="L66" s="31">
        <v>4</v>
      </c>
      <c r="M66" s="31">
        <v>0</v>
      </c>
      <c r="N66" s="31">
        <v>0</v>
      </c>
      <c r="O66" s="33" t="s">
        <v>116</v>
      </c>
      <c r="P66" s="34">
        <v>0.69097222222222221</v>
      </c>
      <c r="Q66" s="31">
        <v>180</v>
      </c>
      <c r="R66" s="35" t="s">
        <v>115</v>
      </c>
    </row>
    <row r="67" spans="1:18" ht="17.399999999999999" customHeight="1" thickBot="1" x14ac:dyDescent="0.35">
      <c r="A67" s="229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1"/>
    </row>
    <row r="68" spans="1:18" ht="22.05" customHeight="1" thickTop="1" thickBot="1" x14ac:dyDescent="0.35">
      <c r="A68" s="202" t="s">
        <v>8</v>
      </c>
      <c r="B68" s="203"/>
      <c r="C68" s="203"/>
      <c r="D68" s="203"/>
      <c r="E68" s="203"/>
      <c r="F68" s="204"/>
      <c r="G68" s="18">
        <v>46062</v>
      </c>
      <c r="H68" s="205" t="s">
        <v>9</v>
      </c>
      <c r="I68" s="203"/>
      <c r="J68" s="203"/>
      <c r="K68" s="203"/>
      <c r="L68" s="203"/>
      <c r="M68" s="203"/>
      <c r="N68" s="203"/>
      <c r="O68" s="203"/>
      <c r="P68" s="203"/>
      <c r="Q68" s="203"/>
      <c r="R68" s="204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x14ac:dyDescent="0.3">
      <c r="A70" s="46" t="s">
        <v>28</v>
      </c>
      <c r="B70" s="46" t="s">
        <v>93</v>
      </c>
      <c r="C70" s="47">
        <v>9.375E-2</v>
      </c>
      <c r="D70" s="46" t="s">
        <v>30</v>
      </c>
      <c r="E70" s="48"/>
      <c r="F70" s="46" t="s">
        <v>39</v>
      </c>
      <c r="G70" s="201"/>
      <c r="H70" s="76" t="s">
        <v>93</v>
      </c>
      <c r="I70" s="77">
        <v>0</v>
      </c>
      <c r="J70" s="78">
        <v>0</v>
      </c>
      <c r="K70" s="79" t="s">
        <v>40</v>
      </c>
      <c r="L70" s="78">
        <v>0</v>
      </c>
      <c r="M70" s="78">
        <v>0</v>
      </c>
      <c r="N70" s="78">
        <v>0</v>
      </c>
      <c r="O70" s="80" t="s">
        <v>113</v>
      </c>
      <c r="P70" s="81">
        <v>9.375E-2</v>
      </c>
      <c r="Q70" s="78">
        <v>180</v>
      </c>
      <c r="R70" s="82" t="s">
        <v>40</v>
      </c>
    </row>
    <row r="71" spans="1:18" ht="49.95" customHeight="1" x14ac:dyDescent="0.3">
      <c r="A71" s="168" t="s">
        <v>28</v>
      </c>
      <c r="B71" s="168" t="s">
        <v>101</v>
      </c>
      <c r="C71" s="169">
        <v>0.19444444444444439</v>
      </c>
      <c r="D71" s="168" t="s">
        <v>30</v>
      </c>
      <c r="E71" s="170"/>
      <c r="F71" s="168" t="s">
        <v>31</v>
      </c>
      <c r="G71" s="214"/>
      <c r="H71" s="129" t="s">
        <v>101</v>
      </c>
      <c r="I71" s="130">
        <v>1.11E-2</v>
      </c>
      <c r="J71" s="131">
        <v>2</v>
      </c>
      <c r="K71" s="132" t="s">
        <v>126</v>
      </c>
      <c r="L71" s="131">
        <v>2</v>
      </c>
      <c r="M71" s="131">
        <v>0</v>
      </c>
      <c r="N71" s="131">
        <v>0</v>
      </c>
      <c r="O71" s="133" t="s">
        <v>123</v>
      </c>
      <c r="P71" s="134">
        <v>0.19444444444444439</v>
      </c>
      <c r="Q71" s="131">
        <v>180</v>
      </c>
      <c r="R71" s="135" t="s">
        <v>124</v>
      </c>
    </row>
    <row r="72" spans="1:18" ht="49.95" customHeight="1" thickBot="1" x14ac:dyDescent="0.35">
      <c r="A72" s="155" t="s">
        <v>28</v>
      </c>
      <c r="B72" s="155" t="s">
        <v>90</v>
      </c>
      <c r="C72" s="156">
        <v>0.54861111111111105</v>
      </c>
      <c r="D72" s="155" t="s">
        <v>30</v>
      </c>
      <c r="E72" s="157"/>
      <c r="F72" s="155" t="s">
        <v>39</v>
      </c>
      <c r="G72" s="213"/>
      <c r="H72" s="69" t="s">
        <v>90</v>
      </c>
      <c r="I72" s="70">
        <v>0</v>
      </c>
      <c r="J72" s="71">
        <v>0</v>
      </c>
      <c r="K72" s="72" t="s">
        <v>40</v>
      </c>
      <c r="L72" s="71">
        <v>0</v>
      </c>
      <c r="M72" s="71">
        <v>0</v>
      </c>
      <c r="N72" s="71">
        <v>0</v>
      </c>
      <c r="O72" s="73" t="s">
        <v>113</v>
      </c>
      <c r="P72" s="74">
        <v>0.54861111111111105</v>
      </c>
      <c r="Q72" s="71">
        <v>180</v>
      </c>
      <c r="R72" s="75" t="s">
        <v>40</v>
      </c>
    </row>
    <row r="73" spans="1:18" ht="17.399999999999999" customHeight="1" thickBot="1" x14ac:dyDescent="0.35">
      <c r="A73" s="229"/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1"/>
    </row>
    <row r="74" spans="1:18" ht="22.05" customHeight="1" thickTop="1" thickBot="1" x14ac:dyDescent="0.35">
      <c r="A74" s="202" t="s">
        <v>8</v>
      </c>
      <c r="B74" s="203"/>
      <c r="C74" s="203"/>
      <c r="D74" s="203"/>
      <c r="E74" s="203"/>
      <c r="F74" s="204"/>
      <c r="G74" s="18">
        <v>46063</v>
      </c>
      <c r="H74" s="205" t="s">
        <v>9</v>
      </c>
      <c r="I74" s="203"/>
      <c r="J74" s="203"/>
      <c r="K74" s="203"/>
      <c r="L74" s="203"/>
      <c r="M74" s="203"/>
      <c r="N74" s="203"/>
      <c r="O74" s="203"/>
      <c r="P74" s="203"/>
      <c r="Q74" s="203"/>
      <c r="R74" s="204"/>
    </row>
    <row r="75" spans="1:18" ht="24" customHeight="1" x14ac:dyDescent="0.3">
      <c r="A75" s="19" t="s">
        <v>10</v>
      </c>
      <c r="B75" s="19" t="s">
        <v>11</v>
      </c>
      <c r="C75" s="20" t="s">
        <v>12</v>
      </c>
      <c r="D75" s="19" t="s">
        <v>13</v>
      </c>
      <c r="E75" s="19" t="s">
        <v>14</v>
      </c>
      <c r="F75" s="21" t="s">
        <v>15</v>
      </c>
      <c r="G75" s="22" t="s">
        <v>16</v>
      </c>
      <c r="H75" s="19" t="s">
        <v>17</v>
      </c>
      <c r="I75" s="23" t="s">
        <v>18</v>
      </c>
      <c r="J75" s="24" t="s">
        <v>19</v>
      </c>
      <c r="K75" s="25" t="s">
        <v>20</v>
      </c>
      <c r="L75" s="24" t="s">
        <v>21</v>
      </c>
      <c r="M75" s="24" t="s">
        <v>22</v>
      </c>
      <c r="N75" s="24" t="s">
        <v>23</v>
      </c>
      <c r="O75" s="19" t="s">
        <v>24</v>
      </c>
      <c r="P75" s="20" t="s">
        <v>25</v>
      </c>
      <c r="Q75" s="24" t="s">
        <v>26</v>
      </c>
      <c r="R75" s="19" t="s">
        <v>27</v>
      </c>
    </row>
    <row r="76" spans="1:18" ht="49.95" customHeight="1" x14ac:dyDescent="0.3">
      <c r="A76" s="36" t="s">
        <v>28</v>
      </c>
      <c r="B76" s="36" t="s">
        <v>90</v>
      </c>
      <c r="C76" s="37">
        <v>0.16666666666666671</v>
      </c>
      <c r="D76" s="36" t="s">
        <v>30</v>
      </c>
      <c r="E76" s="38"/>
      <c r="F76" s="36" t="s">
        <v>31</v>
      </c>
      <c r="G76" s="201"/>
      <c r="H76" s="96" t="s">
        <v>90</v>
      </c>
      <c r="I76" s="97">
        <v>5.5999999999999999E-3</v>
      </c>
      <c r="J76" s="98">
        <v>1</v>
      </c>
      <c r="K76" s="99" t="s">
        <v>127</v>
      </c>
      <c r="L76" s="98">
        <v>1</v>
      </c>
      <c r="M76" s="98">
        <v>0</v>
      </c>
      <c r="N76" s="98">
        <v>0</v>
      </c>
      <c r="O76" s="100" t="s">
        <v>118</v>
      </c>
      <c r="P76" s="101">
        <v>0.16666666666666671</v>
      </c>
      <c r="Q76" s="98">
        <v>180</v>
      </c>
      <c r="R76" s="102" t="s">
        <v>119</v>
      </c>
    </row>
    <row r="77" spans="1:18" ht="49.95" customHeight="1" thickBot="1" x14ac:dyDescent="0.35">
      <c r="A77" s="171" t="s">
        <v>28</v>
      </c>
      <c r="B77" s="171" t="s">
        <v>101</v>
      </c>
      <c r="C77" s="172">
        <v>0.52777777777777779</v>
      </c>
      <c r="D77" s="171" t="s">
        <v>30</v>
      </c>
      <c r="E77" s="173"/>
      <c r="F77" s="171" t="s">
        <v>31</v>
      </c>
      <c r="G77" s="213"/>
      <c r="H77" s="174" t="s">
        <v>101</v>
      </c>
      <c r="I77" s="175">
        <v>1.11E-2</v>
      </c>
      <c r="J77" s="176">
        <v>2</v>
      </c>
      <c r="K77" s="177" t="s">
        <v>42</v>
      </c>
      <c r="L77" s="176">
        <v>2</v>
      </c>
      <c r="M77" s="176">
        <v>0</v>
      </c>
      <c r="N77" s="176">
        <v>0</v>
      </c>
      <c r="O77" s="178" t="s">
        <v>123</v>
      </c>
      <c r="P77" s="179">
        <v>0.52777777777777779</v>
      </c>
      <c r="Q77" s="176">
        <v>180</v>
      </c>
      <c r="R77" s="180" t="s">
        <v>124</v>
      </c>
    </row>
    <row r="78" spans="1:18" ht="17.399999999999999" customHeight="1" thickBot="1" x14ac:dyDescent="0.35">
      <c r="A78" s="229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1"/>
    </row>
    <row r="79" spans="1:18" ht="22.05" customHeight="1" thickTop="1" thickBot="1" x14ac:dyDescent="0.35">
      <c r="A79" s="202" t="s">
        <v>8</v>
      </c>
      <c r="B79" s="203"/>
      <c r="C79" s="203"/>
      <c r="D79" s="203"/>
      <c r="E79" s="203"/>
      <c r="F79" s="204"/>
      <c r="G79" s="18">
        <v>46064</v>
      </c>
      <c r="H79" s="205" t="s">
        <v>9</v>
      </c>
      <c r="I79" s="203"/>
      <c r="J79" s="203"/>
      <c r="K79" s="203"/>
      <c r="L79" s="203"/>
      <c r="M79" s="203"/>
      <c r="N79" s="203"/>
      <c r="O79" s="203"/>
      <c r="P79" s="203"/>
      <c r="Q79" s="203"/>
      <c r="R79" s="204"/>
    </row>
    <row r="80" spans="1:18" ht="24" customHeight="1" x14ac:dyDescent="0.3">
      <c r="A80" s="19" t="s">
        <v>10</v>
      </c>
      <c r="B80" s="19" t="s">
        <v>11</v>
      </c>
      <c r="C80" s="20" t="s">
        <v>12</v>
      </c>
      <c r="D80" s="19" t="s">
        <v>13</v>
      </c>
      <c r="E80" s="19" t="s">
        <v>14</v>
      </c>
      <c r="F80" s="21" t="s">
        <v>15</v>
      </c>
      <c r="G80" s="22" t="s">
        <v>16</v>
      </c>
      <c r="H80" s="19" t="s">
        <v>17</v>
      </c>
      <c r="I80" s="23" t="s">
        <v>18</v>
      </c>
      <c r="J80" s="24" t="s">
        <v>19</v>
      </c>
      <c r="K80" s="25" t="s">
        <v>20</v>
      </c>
      <c r="L80" s="24" t="s">
        <v>21</v>
      </c>
      <c r="M80" s="24" t="s">
        <v>22</v>
      </c>
      <c r="N80" s="24" t="s">
        <v>23</v>
      </c>
      <c r="O80" s="19" t="s">
        <v>24</v>
      </c>
      <c r="P80" s="20" t="s">
        <v>25</v>
      </c>
      <c r="Q80" s="24" t="s">
        <v>26</v>
      </c>
      <c r="R80" s="19" t="s">
        <v>27</v>
      </c>
    </row>
    <row r="81" spans="1:18" ht="49.95" customHeight="1" x14ac:dyDescent="0.3">
      <c r="A81" s="26" t="s">
        <v>28</v>
      </c>
      <c r="B81" s="26" t="s">
        <v>90</v>
      </c>
      <c r="C81" s="27">
        <v>0.1076388888888889</v>
      </c>
      <c r="D81" s="26" t="s">
        <v>30</v>
      </c>
      <c r="E81" s="28"/>
      <c r="F81" s="26" t="s">
        <v>39</v>
      </c>
      <c r="G81" s="201"/>
      <c r="H81" s="129" t="s">
        <v>90</v>
      </c>
      <c r="I81" s="130">
        <v>0</v>
      </c>
      <c r="J81" s="131">
        <v>0</v>
      </c>
      <c r="K81" s="132" t="s">
        <v>40</v>
      </c>
      <c r="L81" s="131">
        <v>0</v>
      </c>
      <c r="M81" s="131">
        <v>0</v>
      </c>
      <c r="N81" s="131">
        <v>0</v>
      </c>
      <c r="O81" s="133" t="s">
        <v>113</v>
      </c>
      <c r="P81" s="134">
        <v>0.1076388888888889</v>
      </c>
      <c r="Q81" s="131">
        <v>180</v>
      </c>
      <c r="R81" s="135" t="s">
        <v>40</v>
      </c>
    </row>
    <row r="82" spans="1:18" ht="49.95" customHeight="1" x14ac:dyDescent="0.3">
      <c r="A82" s="136" t="s">
        <v>28</v>
      </c>
      <c r="B82" s="136" t="s">
        <v>93</v>
      </c>
      <c r="C82" s="137">
        <v>0.5</v>
      </c>
      <c r="D82" s="136" t="s">
        <v>30</v>
      </c>
      <c r="E82" s="138"/>
      <c r="F82" s="136" t="s">
        <v>31</v>
      </c>
      <c r="G82" s="214"/>
      <c r="H82" s="139" t="s">
        <v>93</v>
      </c>
      <c r="I82" s="140">
        <v>5.5999999999999999E-3</v>
      </c>
      <c r="J82" s="141">
        <v>1</v>
      </c>
      <c r="K82" s="142" t="s">
        <v>106</v>
      </c>
      <c r="L82" s="141">
        <v>1</v>
      </c>
      <c r="M82" s="141">
        <v>0</v>
      </c>
      <c r="N82" s="141">
        <v>0</v>
      </c>
      <c r="O82" s="143" t="s">
        <v>118</v>
      </c>
      <c r="P82" s="144">
        <v>0.5</v>
      </c>
      <c r="Q82" s="141">
        <v>180</v>
      </c>
      <c r="R82" s="145" t="s">
        <v>119</v>
      </c>
    </row>
    <row r="83" spans="1:18" ht="49.95" customHeight="1" thickBot="1" x14ac:dyDescent="0.35">
      <c r="A83" s="116" t="s">
        <v>28</v>
      </c>
      <c r="B83" s="116" t="s">
        <v>97</v>
      </c>
      <c r="C83" s="117">
        <v>0.92361111111111116</v>
      </c>
      <c r="D83" s="116" t="s">
        <v>30</v>
      </c>
      <c r="E83" s="118"/>
      <c r="F83" s="116" t="s">
        <v>39</v>
      </c>
      <c r="G83" s="213"/>
      <c r="H83" s="119" t="s">
        <v>97</v>
      </c>
      <c r="I83" s="120">
        <v>0</v>
      </c>
      <c r="J83" s="121">
        <v>0</v>
      </c>
      <c r="K83" s="122" t="s">
        <v>40</v>
      </c>
      <c r="L83" s="121">
        <v>0</v>
      </c>
      <c r="M83" s="121">
        <v>0</v>
      </c>
      <c r="N83" s="121">
        <v>0</v>
      </c>
      <c r="O83" s="123" t="s">
        <v>113</v>
      </c>
      <c r="P83" s="124">
        <v>0.92361111111111116</v>
      </c>
      <c r="Q83" s="121">
        <v>180</v>
      </c>
      <c r="R83" s="125" t="s">
        <v>40</v>
      </c>
    </row>
    <row r="84" spans="1:18" ht="17.399999999999999" customHeight="1" thickBot="1" x14ac:dyDescent="0.35">
      <c r="A84" s="229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1"/>
    </row>
    <row r="85" spans="1:18" ht="22.05" customHeight="1" thickTop="1" thickBot="1" x14ac:dyDescent="0.35">
      <c r="A85" s="202" t="s">
        <v>8</v>
      </c>
      <c r="B85" s="203"/>
      <c r="C85" s="203"/>
      <c r="D85" s="203"/>
      <c r="E85" s="203"/>
      <c r="F85" s="204"/>
      <c r="G85" s="18">
        <v>46065</v>
      </c>
      <c r="H85" s="205" t="s">
        <v>9</v>
      </c>
      <c r="I85" s="203"/>
      <c r="J85" s="203"/>
      <c r="K85" s="203"/>
      <c r="L85" s="203"/>
      <c r="M85" s="203"/>
      <c r="N85" s="203"/>
      <c r="O85" s="203"/>
      <c r="P85" s="203"/>
      <c r="Q85" s="203"/>
      <c r="R85" s="204"/>
    </row>
    <row r="86" spans="1:18" ht="24" customHeight="1" x14ac:dyDescent="0.3">
      <c r="A86" s="19" t="s">
        <v>10</v>
      </c>
      <c r="B86" s="19" t="s">
        <v>11</v>
      </c>
      <c r="C86" s="20" t="s">
        <v>12</v>
      </c>
      <c r="D86" s="19" t="s">
        <v>13</v>
      </c>
      <c r="E86" s="19" t="s">
        <v>14</v>
      </c>
      <c r="F86" s="21" t="s">
        <v>15</v>
      </c>
      <c r="G86" s="22" t="s">
        <v>16</v>
      </c>
      <c r="H86" s="19" t="s">
        <v>17</v>
      </c>
      <c r="I86" s="23" t="s">
        <v>18</v>
      </c>
      <c r="J86" s="24" t="s">
        <v>19</v>
      </c>
      <c r="K86" s="25" t="s">
        <v>20</v>
      </c>
      <c r="L86" s="24" t="s">
        <v>21</v>
      </c>
      <c r="M86" s="24" t="s">
        <v>22</v>
      </c>
      <c r="N86" s="24" t="s">
        <v>23</v>
      </c>
      <c r="O86" s="19" t="s">
        <v>24</v>
      </c>
      <c r="P86" s="20" t="s">
        <v>25</v>
      </c>
      <c r="Q86" s="24" t="s">
        <v>26</v>
      </c>
      <c r="R86" s="19" t="s">
        <v>27</v>
      </c>
    </row>
    <row r="87" spans="1:18" ht="49.95" customHeight="1" x14ac:dyDescent="0.3">
      <c r="A87" s="126" t="s">
        <v>28</v>
      </c>
      <c r="B87" s="126" t="s">
        <v>90</v>
      </c>
      <c r="C87" s="127">
        <v>0.52430555555555558</v>
      </c>
      <c r="D87" s="126" t="s">
        <v>30</v>
      </c>
      <c r="E87" s="128"/>
      <c r="F87" s="126" t="s">
        <v>31</v>
      </c>
      <c r="G87" s="201"/>
      <c r="H87" s="86" t="s">
        <v>90</v>
      </c>
      <c r="I87" s="87">
        <v>5.5999999999999999E-3</v>
      </c>
      <c r="J87" s="88">
        <v>1</v>
      </c>
      <c r="K87" s="89" t="s">
        <v>128</v>
      </c>
      <c r="L87" s="88">
        <v>1</v>
      </c>
      <c r="M87" s="88">
        <v>0</v>
      </c>
      <c r="N87" s="88">
        <v>0</v>
      </c>
      <c r="O87" s="90" t="s">
        <v>118</v>
      </c>
      <c r="P87" s="91">
        <v>0.52430555555555558</v>
      </c>
      <c r="Q87" s="88">
        <v>180</v>
      </c>
      <c r="R87" s="92" t="s">
        <v>119</v>
      </c>
    </row>
    <row r="88" spans="1:18" ht="49.95" customHeight="1" thickBot="1" x14ac:dyDescent="0.35">
      <c r="A88" s="181" t="s">
        <v>28</v>
      </c>
      <c r="B88" s="181" t="s">
        <v>101</v>
      </c>
      <c r="C88" s="182">
        <v>0.54861111111111105</v>
      </c>
      <c r="D88" s="181" t="s">
        <v>30</v>
      </c>
      <c r="E88" s="183"/>
      <c r="F88" s="181" t="s">
        <v>31</v>
      </c>
      <c r="G88" s="213"/>
      <c r="H88" s="11" t="s">
        <v>101</v>
      </c>
      <c r="I88" s="12">
        <v>5.5999999999999999E-3</v>
      </c>
      <c r="J88" s="13">
        <v>1</v>
      </c>
      <c r="K88" s="14" t="s">
        <v>129</v>
      </c>
      <c r="L88" s="13">
        <v>1</v>
      </c>
      <c r="M88" s="13">
        <v>0</v>
      </c>
      <c r="N88" s="13">
        <v>0</v>
      </c>
      <c r="O88" s="15" t="s">
        <v>113</v>
      </c>
      <c r="P88" s="16">
        <v>0.54861111111111105</v>
      </c>
      <c r="Q88" s="13">
        <v>180</v>
      </c>
      <c r="R88" s="17" t="s">
        <v>112</v>
      </c>
    </row>
    <row r="89" spans="1:18" ht="17.399999999999999" customHeight="1" thickBot="1" x14ac:dyDescent="0.35">
      <c r="A89" s="229"/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1"/>
    </row>
    <row r="90" spans="1:18" ht="22.05" customHeight="1" thickTop="1" thickBot="1" x14ac:dyDescent="0.35">
      <c r="A90" s="202" t="s">
        <v>8</v>
      </c>
      <c r="B90" s="203"/>
      <c r="C90" s="203"/>
      <c r="D90" s="203"/>
      <c r="E90" s="203"/>
      <c r="F90" s="204"/>
      <c r="G90" s="18">
        <v>46066</v>
      </c>
      <c r="H90" s="205" t="s">
        <v>9</v>
      </c>
      <c r="I90" s="203"/>
      <c r="J90" s="203"/>
      <c r="K90" s="203"/>
      <c r="L90" s="203"/>
      <c r="M90" s="203"/>
      <c r="N90" s="203"/>
      <c r="O90" s="203"/>
      <c r="P90" s="203"/>
      <c r="Q90" s="203"/>
      <c r="R90" s="204"/>
    </row>
    <row r="91" spans="1:18" ht="24" customHeight="1" x14ac:dyDescent="0.3">
      <c r="A91" s="19" t="s">
        <v>10</v>
      </c>
      <c r="B91" s="19" t="s">
        <v>11</v>
      </c>
      <c r="C91" s="20" t="s">
        <v>12</v>
      </c>
      <c r="D91" s="19" t="s">
        <v>13</v>
      </c>
      <c r="E91" s="19" t="s">
        <v>14</v>
      </c>
      <c r="F91" s="21" t="s">
        <v>15</v>
      </c>
      <c r="G91" s="22" t="s">
        <v>16</v>
      </c>
      <c r="H91" s="19" t="s">
        <v>17</v>
      </c>
      <c r="I91" s="23" t="s">
        <v>18</v>
      </c>
      <c r="J91" s="24" t="s">
        <v>19</v>
      </c>
      <c r="K91" s="25" t="s">
        <v>20</v>
      </c>
      <c r="L91" s="24" t="s">
        <v>21</v>
      </c>
      <c r="M91" s="24" t="s">
        <v>22</v>
      </c>
      <c r="N91" s="24" t="s">
        <v>23</v>
      </c>
      <c r="O91" s="19" t="s">
        <v>24</v>
      </c>
      <c r="P91" s="20" t="s">
        <v>25</v>
      </c>
      <c r="Q91" s="24" t="s">
        <v>26</v>
      </c>
      <c r="R91" s="19" t="s">
        <v>27</v>
      </c>
    </row>
    <row r="92" spans="1:18" ht="49.95" customHeight="1" thickTop="1" thickBot="1" x14ac:dyDescent="0.35">
      <c r="A92" s="66" t="s">
        <v>28</v>
      </c>
      <c r="B92" s="66" t="s">
        <v>93</v>
      </c>
      <c r="C92" s="67">
        <v>0.13541666666666671</v>
      </c>
      <c r="D92" s="66" t="s">
        <v>30</v>
      </c>
      <c r="E92" s="68"/>
      <c r="F92" s="66" t="s">
        <v>31</v>
      </c>
      <c r="G92" s="201"/>
      <c r="H92" s="69" t="s">
        <v>93</v>
      </c>
      <c r="I92" s="70">
        <v>5.5999999999999999E-3</v>
      </c>
      <c r="J92" s="71">
        <v>1</v>
      </c>
      <c r="K92" s="72" t="s">
        <v>130</v>
      </c>
      <c r="L92" s="71">
        <v>1</v>
      </c>
      <c r="M92" s="71">
        <v>0</v>
      </c>
      <c r="N92" s="71">
        <v>0</v>
      </c>
      <c r="O92" s="73" t="s">
        <v>118</v>
      </c>
      <c r="P92" s="74">
        <v>0.13541666666666671</v>
      </c>
      <c r="Q92" s="71">
        <v>180</v>
      </c>
      <c r="R92" s="75" t="s">
        <v>119</v>
      </c>
    </row>
    <row r="93" spans="1:18" ht="17.399999999999999" customHeight="1" thickBot="1" x14ac:dyDescent="0.35">
      <c r="A93" s="229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1"/>
    </row>
    <row r="94" spans="1:18" ht="22.05" customHeight="1" thickTop="1" thickBot="1" x14ac:dyDescent="0.35">
      <c r="A94" s="202" t="s">
        <v>8</v>
      </c>
      <c r="B94" s="203"/>
      <c r="C94" s="203"/>
      <c r="D94" s="203"/>
      <c r="E94" s="203"/>
      <c r="F94" s="204"/>
      <c r="G94" s="18">
        <v>46067</v>
      </c>
      <c r="H94" s="205" t="s">
        <v>9</v>
      </c>
      <c r="I94" s="203"/>
      <c r="J94" s="203"/>
      <c r="K94" s="203"/>
      <c r="L94" s="203"/>
      <c r="M94" s="203"/>
      <c r="N94" s="203"/>
      <c r="O94" s="203"/>
      <c r="P94" s="203"/>
      <c r="Q94" s="203"/>
      <c r="R94" s="204"/>
    </row>
    <row r="95" spans="1:18" ht="24" customHeight="1" x14ac:dyDescent="0.3">
      <c r="A95" s="19" t="s">
        <v>10</v>
      </c>
      <c r="B95" s="19" t="s">
        <v>11</v>
      </c>
      <c r="C95" s="20" t="s">
        <v>12</v>
      </c>
      <c r="D95" s="19" t="s">
        <v>13</v>
      </c>
      <c r="E95" s="19" t="s">
        <v>14</v>
      </c>
      <c r="F95" s="21" t="s">
        <v>15</v>
      </c>
      <c r="G95" s="22" t="s">
        <v>16</v>
      </c>
      <c r="H95" s="19" t="s">
        <v>17</v>
      </c>
      <c r="I95" s="23" t="s">
        <v>18</v>
      </c>
      <c r="J95" s="24" t="s">
        <v>19</v>
      </c>
      <c r="K95" s="25" t="s">
        <v>20</v>
      </c>
      <c r="L95" s="24" t="s">
        <v>21</v>
      </c>
      <c r="M95" s="24" t="s">
        <v>22</v>
      </c>
      <c r="N95" s="24" t="s">
        <v>23</v>
      </c>
      <c r="O95" s="19" t="s">
        <v>24</v>
      </c>
      <c r="P95" s="20" t="s">
        <v>25</v>
      </c>
      <c r="Q95" s="24" t="s">
        <v>26</v>
      </c>
      <c r="R95" s="19" t="s">
        <v>27</v>
      </c>
    </row>
    <row r="96" spans="1:18" ht="49.95" customHeight="1" x14ac:dyDescent="0.3">
      <c r="A96" s="8" t="s">
        <v>28</v>
      </c>
      <c r="B96" s="8" t="s">
        <v>93</v>
      </c>
      <c r="C96" s="9">
        <v>0.1423611111111111</v>
      </c>
      <c r="D96" s="8" t="s">
        <v>30</v>
      </c>
      <c r="E96" s="10"/>
      <c r="F96" s="8" t="s">
        <v>39</v>
      </c>
      <c r="G96" s="197"/>
      <c r="H96" s="109" t="s">
        <v>93</v>
      </c>
      <c r="I96" s="110">
        <v>0</v>
      </c>
      <c r="J96" s="111">
        <v>0</v>
      </c>
      <c r="K96" s="112" t="s">
        <v>40</v>
      </c>
      <c r="L96" s="111">
        <v>0</v>
      </c>
      <c r="M96" s="111">
        <v>0</v>
      </c>
      <c r="N96" s="111">
        <v>0</v>
      </c>
      <c r="O96" s="113" t="s">
        <v>113</v>
      </c>
      <c r="P96" s="114">
        <v>0.1423611111111111</v>
      </c>
      <c r="Q96" s="111">
        <v>180</v>
      </c>
      <c r="R96" s="115" t="s">
        <v>40</v>
      </c>
    </row>
    <row r="97" spans="1:18" ht="49.95" customHeight="1" x14ac:dyDescent="0.3">
      <c r="A97" s="168" t="s">
        <v>28</v>
      </c>
      <c r="B97" s="168" t="s">
        <v>90</v>
      </c>
      <c r="C97" s="169">
        <v>0.30208333333333331</v>
      </c>
      <c r="D97" s="168" t="s">
        <v>30</v>
      </c>
      <c r="E97" s="170"/>
      <c r="F97" s="168" t="s">
        <v>39</v>
      </c>
      <c r="G97" s="214"/>
      <c r="H97" s="129" t="s">
        <v>90</v>
      </c>
      <c r="I97" s="130">
        <v>0</v>
      </c>
      <c r="J97" s="131">
        <v>0</v>
      </c>
      <c r="K97" s="132" t="s">
        <v>40</v>
      </c>
      <c r="L97" s="131">
        <v>0</v>
      </c>
      <c r="M97" s="131">
        <v>0</v>
      </c>
      <c r="N97" s="131">
        <v>0</v>
      </c>
      <c r="O97" s="133" t="s">
        <v>113</v>
      </c>
      <c r="P97" s="134">
        <v>0.30208333333333331</v>
      </c>
      <c r="Q97" s="131">
        <v>180</v>
      </c>
      <c r="R97" s="135" t="s">
        <v>40</v>
      </c>
    </row>
    <row r="98" spans="1:18" ht="49.95" customHeight="1" thickBot="1" x14ac:dyDescent="0.35">
      <c r="A98" s="93" t="s">
        <v>28</v>
      </c>
      <c r="B98" s="93" t="s">
        <v>101</v>
      </c>
      <c r="C98" s="94">
        <v>0.52777777777777779</v>
      </c>
      <c r="D98" s="93" t="s">
        <v>30</v>
      </c>
      <c r="E98" s="95"/>
      <c r="F98" s="93" t="s">
        <v>39</v>
      </c>
      <c r="G98" s="213"/>
      <c r="H98" s="49" t="s">
        <v>101</v>
      </c>
      <c r="I98" s="50">
        <v>0</v>
      </c>
      <c r="J98" s="51">
        <v>0</v>
      </c>
      <c r="K98" s="52" t="s">
        <v>40</v>
      </c>
      <c r="L98" s="51">
        <v>0</v>
      </c>
      <c r="M98" s="51">
        <v>0</v>
      </c>
      <c r="N98" s="51">
        <v>0</v>
      </c>
      <c r="O98" s="53" t="s">
        <v>113</v>
      </c>
      <c r="P98" s="54">
        <v>0.52777777777777779</v>
      </c>
      <c r="Q98" s="51">
        <v>180</v>
      </c>
      <c r="R98" s="55" t="s">
        <v>40</v>
      </c>
    </row>
    <row r="99" spans="1:18" ht="17.399999999999999" customHeight="1" thickBot="1" x14ac:dyDescent="0.35">
      <c r="A99" s="229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1"/>
    </row>
    <row r="100" spans="1:18" ht="22.05" customHeight="1" thickTop="1" thickBot="1" x14ac:dyDescent="0.35">
      <c r="A100" s="202" t="s">
        <v>8</v>
      </c>
      <c r="B100" s="203"/>
      <c r="C100" s="203"/>
      <c r="D100" s="203"/>
      <c r="E100" s="203"/>
      <c r="F100" s="204"/>
      <c r="G100" s="18">
        <v>46068</v>
      </c>
      <c r="H100" s="205" t="s">
        <v>9</v>
      </c>
      <c r="I100" s="203"/>
      <c r="J100" s="203"/>
      <c r="K100" s="203"/>
      <c r="L100" s="203"/>
      <c r="M100" s="203"/>
      <c r="N100" s="203"/>
      <c r="O100" s="203"/>
      <c r="P100" s="203"/>
      <c r="Q100" s="203"/>
      <c r="R100" s="204"/>
    </row>
    <row r="101" spans="1:18" ht="24" customHeight="1" x14ac:dyDescent="0.3">
      <c r="A101" s="19" t="s">
        <v>10</v>
      </c>
      <c r="B101" s="19" t="s">
        <v>11</v>
      </c>
      <c r="C101" s="20" t="s">
        <v>12</v>
      </c>
      <c r="D101" s="19" t="s">
        <v>13</v>
      </c>
      <c r="E101" s="19" t="s">
        <v>14</v>
      </c>
      <c r="F101" s="21" t="s">
        <v>15</v>
      </c>
      <c r="G101" s="22" t="s">
        <v>16</v>
      </c>
      <c r="H101" s="19" t="s">
        <v>17</v>
      </c>
      <c r="I101" s="23" t="s">
        <v>18</v>
      </c>
      <c r="J101" s="24" t="s">
        <v>19</v>
      </c>
      <c r="K101" s="25" t="s">
        <v>20</v>
      </c>
      <c r="L101" s="24" t="s">
        <v>21</v>
      </c>
      <c r="M101" s="24" t="s">
        <v>22</v>
      </c>
      <c r="N101" s="24" t="s">
        <v>23</v>
      </c>
      <c r="O101" s="19" t="s">
        <v>24</v>
      </c>
      <c r="P101" s="20" t="s">
        <v>25</v>
      </c>
      <c r="Q101" s="24" t="s">
        <v>26</v>
      </c>
      <c r="R101" s="19" t="s">
        <v>27</v>
      </c>
    </row>
    <row r="102" spans="1:18" ht="49.95" customHeight="1" x14ac:dyDescent="0.3">
      <c r="A102" s="26" t="s">
        <v>28</v>
      </c>
      <c r="B102" s="26" t="s">
        <v>93</v>
      </c>
      <c r="C102" s="27">
        <v>0.3298611111111111</v>
      </c>
      <c r="D102" s="26" t="s">
        <v>30</v>
      </c>
      <c r="E102" s="28"/>
      <c r="F102" s="26" t="s">
        <v>31</v>
      </c>
      <c r="G102" s="201"/>
      <c r="H102" s="129" t="s">
        <v>93</v>
      </c>
      <c r="I102" s="130">
        <v>5.5999999999999999E-3</v>
      </c>
      <c r="J102" s="131">
        <v>1</v>
      </c>
      <c r="K102" s="132" t="s">
        <v>131</v>
      </c>
      <c r="L102" s="131">
        <v>1</v>
      </c>
      <c r="M102" s="131">
        <v>0</v>
      </c>
      <c r="N102" s="131">
        <v>0</v>
      </c>
      <c r="O102" s="133" t="s">
        <v>118</v>
      </c>
      <c r="P102" s="134">
        <v>0.3298611111111111</v>
      </c>
      <c r="Q102" s="131">
        <v>180</v>
      </c>
      <c r="R102" s="135" t="s">
        <v>119</v>
      </c>
    </row>
    <row r="103" spans="1:18" ht="49.95" customHeight="1" thickBot="1" x14ac:dyDescent="0.35">
      <c r="A103" s="93" t="s">
        <v>28</v>
      </c>
      <c r="B103" s="93" t="s">
        <v>101</v>
      </c>
      <c r="C103" s="94">
        <v>0.69097222222222221</v>
      </c>
      <c r="D103" s="93" t="s">
        <v>30</v>
      </c>
      <c r="E103" s="95"/>
      <c r="F103" s="93" t="s">
        <v>31</v>
      </c>
      <c r="G103" s="213"/>
      <c r="H103" s="49" t="s">
        <v>101</v>
      </c>
      <c r="I103" s="50">
        <v>5.5999999999999999E-3</v>
      </c>
      <c r="J103" s="51">
        <v>1</v>
      </c>
      <c r="K103" s="52" t="s">
        <v>106</v>
      </c>
      <c r="L103" s="51">
        <v>1</v>
      </c>
      <c r="M103" s="51">
        <v>0</v>
      </c>
      <c r="N103" s="51">
        <v>0</v>
      </c>
      <c r="O103" s="53" t="s">
        <v>118</v>
      </c>
      <c r="P103" s="54">
        <v>0.69097222222222221</v>
      </c>
      <c r="Q103" s="51">
        <v>180</v>
      </c>
      <c r="R103" s="55" t="s">
        <v>119</v>
      </c>
    </row>
    <row r="104" spans="1:18" ht="17.399999999999999" customHeight="1" thickBot="1" x14ac:dyDescent="0.35">
      <c r="A104" s="229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1"/>
    </row>
    <row r="105" spans="1:18" ht="22.05" customHeight="1" thickTop="1" thickBot="1" x14ac:dyDescent="0.35">
      <c r="A105" s="202" t="s">
        <v>8</v>
      </c>
      <c r="B105" s="203"/>
      <c r="C105" s="203"/>
      <c r="D105" s="203"/>
      <c r="E105" s="203"/>
      <c r="F105" s="204"/>
      <c r="G105" s="18">
        <v>46069</v>
      </c>
      <c r="H105" s="205" t="s">
        <v>9</v>
      </c>
      <c r="I105" s="203"/>
      <c r="J105" s="203"/>
      <c r="K105" s="203"/>
      <c r="L105" s="203"/>
      <c r="M105" s="203"/>
      <c r="N105" s="203"/>
      <c r="O105" s="203"/>
      <c r="P105" s="203"/>
      <c r="Q105" s="203"/>
      <c r="R105" s="204"/>
    </row>
    <row r="106" spans="1:18" ht="24" customHeight="1" x14ac:dyDescent="0.3">
      <c r="A106" s="19" t="s">
        <v>10</v>
      </c>
      <c r="B106" s="19" t="s">
        <v>11</v>
      </c>
      <c r="C106" s="20" t="s">
        <v>12</v>
      </c>
      <c r="D106" s="19" t="s">
        <v>13</v>
      </c>
      <c r="E106" s="19" t="s">
        <v>14</v>
      </c>
      <c r="F106" s="21" t="s">
        <v>15</v>
      </c>
      <c r="G106" s="22" t="s">
        <v>16</v>
      </c>
      <c r="H106" s="19" t="s">
        <v>17</v>
      </c>
      <c r="I106" s="23" t="s">
        <v>18</v>
      </c>
      <c r="J106" s="24" t="s">
        <v>19</v>
      </c>
      <c r="K106" s="25" t="s">
        <v>20</v>
      </c>
      <c r="L106" s="24" t="s">
        <v>21</v>
      </c>
      <c r="M106" s="24" t="s">
        <v>22</v>
      </c>
      <c r="N106" s="24" t="s">
        <v>23</v>
      </c>
      <c r="O106" s="19" t="s">
        <v>24</v>
      </c>
      <c r="P106" s="20" t="s">
        <v>25</v>
      </c>
      <c r="Q106" s="24" t="s">
        <v>26</v>
      </c>
      <c r="R106" s="19" t="s">
        <v>27</v>
      </c>
    </row>
    <row r="107" spans="1:18" ht="49.95" customHeight="1" x14ac:dyDescent="0.3">
      <c r="A107" s="26" t="s">
        <v>28</v>
      </c>
      <c r="B107" s="26" t="s">
        <v>93</v>
      </c>
      <c r="C107" s="27">
        <v>9.375E-2</v>
      </c>
      <c r="D107" s="26" t="s">
        <v>30</v>
      </c>
      <c r="E107" s="28"/>
      <c r="F107" s="26" t="s">
        <v>31</v>
      </c>
      <c r="G107" s="201"/>
      <c r="H107" s="129" t="s">
        <v>93</v>
      </c>
      <c r="I107" s="130">
        <v>3.3300000000000003E-2</v>
      </c>
      <c r="J107" s="131">
        <v>6</v>
      </c>
      <c r="K107" s="132" t="s">
        <v>104</v>
      </c>
      <c r="L107" s="131">
        <v>6</v>
      </c>
      <c r="M107" s="131">
        <v>0</v>
      </c>
      <c r="N107" s="131">
        <v>0</v>
      </c>
      <c r="O107" s="133" t="s">
        <v>122</v>
      </c>
      <c r="P107" s="134">
        <v>9.375E-2</v>
      </c>
      <c r="Q107" s="131">
        <v>180</v>
      </c>
      <c r="R107" s="135" t="s">
        <v>121</v>
      </c>
    </row>
    <row r="108" spans="1:18" ht="49.95" customHeight="1" x14ac:dyDescent="0.3">
      <c r="A108" s="136" t="s">
        <v>28</v>
      </c>
      <c r="B108" s="136" t="s">
        <v>101</v>
      </c>
      <c r="C108" s="137">
        <v>0.19444444444444439</v>
      </c>
      <c r="D108" s="136" t="s">
        <v>30</v>
      </c>
      <c r="E108" s="138"/>
      <c r="F108" s="136" t="s">
        <v>39</v>
      </c>
      <c r="G108" s="214"/>
      <c r="H108" s="139" t="s">
        <v>101</v>
      </c>
      <c r="I108" s="140">
        <v>0</v>
      </c>
      <c r="J108" s="141">
        <v>0</v>
      </c>
      <c r="K108" s="142" t="s">
        <v>40</v>
      </c>
      <c r="L108" s="141">
        <v>0</v>
      </c>
      <c r="M108" s="141">
        <v>0</v>
      </c>
      <c r="N108" s="141">
        <v>0</v>
      </c>
      <c r="O108" s="143" t="s">
        <v>113</v>
      </c>
      <c r="P108" s="144">
        <v>0.19444444444444439</v>
      </c>
      <c r="Q108" s="141">
        <v>180</v>
      </c>
      <c r="R108" s="145" t="s">
        <v>40</v>
      </c>
    </row>
    <row r="109" spans="1:18" ht="49.95" customHeight="1" x14ac:dyDescent="0.3">
      <c r="A109" s="184" t="s">
        <v>28</v>
      </c>
      <c r="B109" s="184" t="s">
        <v>97</v>
      </c>
      <c r="C109" s="185">
        <v>0.34722222222222232</v>
      </c>
      <c r="D109" s="184" t="s">
        <v>30</v>
      </c>
      <c r="E109" s="186"/>
      <c r="F109" s="184" t="s">
        <v>39</v>
      </c>
      <c r="G109" s="214"/>
      <c r="H109" s="76" t="s">
        <v>97</v>
      </c>
      <c r="I109" s="77">
        <v>0</v>
      </c>
      <c r="J109" s="78">
        <v>0</v>
      </c>
      <c r="K109" s="79" t="s">
        <v>40</v>
      </c>
      <c r="L109" s="78">
        <v>0</v>
      </c>
      <c r="M109" s="78">
        <v>0</v>
      </c>
      <c r="N109" s="78">
        <v>0</v>
      </c>
      <c r="O109" s="80" t="s">
        <v>113</v>
      </c>
      <c r="P109" s="81">
        <v>0.34722222222222232</v>
      </c>
      <c r="Q109" s="78">
        <v>180</v>
      </c>
      <c r="R109" s="82" t="s">
        <v>40</v>
      </c>
    </row>
    <row r="110" spans="1:18" ht="49.95" customHeight="1" thickBot="1" x14ac:dyDescent="0.35">
      <c r="A110" s="155" t="s">
        <v>28</v>
      </c>
      <c r="B110" s="155" t="s">
        <v>90</v>
      </c>
      <c r="C110" s="156">
        <v>0.54861111111111105</v>
      </c>
      <c r="D110" s="155" t="s">
        <v>30</v>
      </c>
      <c r="E110" s="157"/>
      <c r="F110" s="155" t="s">
        <v>31</v>
      </c>
      <c r="G110" s="213"/>
      <c r="H110" s="69" t="s">
        <v>90</v>
      </c>
      <c r="I110" s="70">
        <v>5.5999999999999999E-3</v>
      </c>
      <c r="J110" s="71">
        <v>1</v>
      </c>
      <c r="K110" s="72" t="s">
        <v>36</v>
      </c>
      <c r="L110" s="71">
        <v>1</v>
      </c>
      <c r="M110" s="71">
        <v>0</v>
      </c>
      <c r="N110" s="71">
        <v>0</v>
      </c>
      <c r="O110" s="73" t="s">
        <v>118</v>
      </c>
      <c r="P110" s="74">
        <v>0.54861111111111105</v>
      </c>
      <c r="Q110" s="71">
        <v>180</v>
      </c>
      <c r="R110" s="75" t="s">
        <v>119</v>
      </c>
    </row>
    <row r="111" spans="1:18" ht="17.399999999999999" customHeight="1" thickBot="1" x14ac:dyDescent="0.35">
      <c r="A111" s="229"/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1"/>
    </row>
    <row r="112" spans="1:18" ht="22.05" customHeight="1" thickTop="1" thickBot="1" x14ac:dyDescent="0.35">
      <c r="A112" s="202" t="s">
        <v>8</v>
      </c>
      <c r="B112" s="203"/>
      <c r="C112" s="203"/>
      <c r="D112" s="203"/>
      <c r="E112" s="203"/>
      <c r="F112" s="204"/>
      <c r="G112" s="18">
        <v>46070</v>
      </c>
      <c r="H112" s="205" t="s">
        <v>9</v>
      </c>
      <c r="I112" s="203"/>
      <c r="J112" s="203"/>
      <c r="K112" s="203"/>
      <c r="L112" s="203"/>
      <c r="M112" s="203"/>
      <c r="N112" s="203"/>
      <c r="O112" s="203"/>
      <c r="P112" s="203"/>
      <c r="Q112" s="203"/>
      <c r="R112" s="204"/>
    </row>
    <row r="113" spans="1:18" ht="24" customHeight="1" x14ac:dyDescent="0.3">
      <c r="A113" s="19" t="s">
        <v>10</v>
      </c>
      <c r="B113" s="19" t="s">
        <v>11</v>
      </c>
      <c r="C113" s="20" t="s">
        <v>12</v>
      </c>
      <c r="D113" s="19" t="s">
        <v>13</v>
      </c>
      <c r="E113" s="19" t="s">
        <v>14</v>
      </c>
      <c r="F113" s="21" t="s">
        <v>15</v>
      </c>
      <c r="G113" s="22" t="s">
        <v>16</v>
      </c>
      <c r="H113" s="19" t="s">
        <v>17</v>
      </c>
      <c r="I113" s="23" t="s">
        <v>18</v>
      </c>
      <c r="J113" s="24" t="s">
        <v>19</v>
      </c>
      <c r="K113" s="25" t="s">
        <v>20</v>
      </c>
      <c r="L113" s="24" t="s">
        <v>21</v>
      </c>
      <c r="M113" s="24" t="s">
        <v>22</v>
      </c>
      <c r="N113" s="24" t="s">
        <v>23</v>
      </c>
      <c r="O113" s="19" t="s">
        <v>24</v>
      </c>
      <c r="P113" s="20" t="s">
        <v>25</v>
      </c>
      <c r="Q113" s="24" t="s">
        <v>26</v>
      </c>
      <c r="R113" s="19" t="s">
        <v>27</v>
      </c>
    </row>
    <row r="114" spans="1:18" ht="49.95" customHeight="1" x14ac:dyDescent="0.3">
      <c r="A114" s="66" t="s">
        <v>28</v>
      </c>
      <c r="B114" s="66" t="s">
        <v>90</v>
      </c>
      <c r="C114" s="67">
        <v>0.16666666666666671</v>
      </c>
      <c r="D114" s="66" t="s">
        <v>30</v>
      </c>
      <c r="E114" s="68"/>
      <c r="F114" s="66" t="s">
        <v>39</v>
      </c>
      <c r="G114" s="201"/>
      <c r="H114" s="139" t="s">
        <v>90</v>
      </c>
      <c r="I114" s="140">
        <v>0</v>
      </c>
      <c r="J114" s="141">
        <v>0</v>
      </c>
      <c r="K114" s="142" t="s">
        <v>40</v>
      </c>
      <c r="L114" s="141">
        <v>0</v>
      </c>
      <c r="M114" s="141">
        <v>0</v>
      </c>
      <c r="N114" s="141">
        <v>0</v>
      </c>
      <c r="O114" s="143" t="s">
        <v>132</v>
      </c>
      <c r="P114" s="144">
        <v>0.16666666666666671</v>
      </c>
      <c r="Q114" s="141">
        <v>180</v>
      </c>
      <c r="R114" s="145" t="s">
        <v>40</v>
      </c>
    </row>
    <row r="115" spans="1:18" ht="49.95" customHeight="1" thickBot="1" x14ac:dyDescent="0.35">
      <c r="A115" s="146" t="s">
        <v>28</v>
      </c>
      <c r="B115" s="146" t="s">
        <v>101</v>
      </c>
      <c r="C115" s="147">
        <v>0.52777777777777779</v>
      </c>
      <c r="D115" s="146" t="s">
        <v>30</v>
      </c>
      <c r="E115" s="148"/>
      <c r="F115" s="146" t="s">
        <v>39</v>
      </c>
      <c r="G115" s="213"/>
      <c r="H115" s="59" t="s">
        <v>101</v>
      </c>
      <c r="I115" s="60">
        <v>0</v>
      </c>
      <c r="J115" s="61">
        <v>0</v>
      </c>
      <c r="K115" s="62" t="s">
        <v>40</v>
      </c>
      <c r="L115" s="61">
        <v>0</v>
      </c>
      <c r="M115" s="61">
        <v>0</v>
      </c>
      <c r="N115" s="61">
        <v>0</v>
      </c>
      <c r="O115" s="63" t="s">
        <v>132</v>
      </c>
      <c r="P115" s="64">
        <v>0.52777777777777779</v>
      </c>
      <c r="Q115" s="61">
        <v>180</v>
      </c>
      <c r="R115" s="65" t="s">
        <v>40</v>
      </c>
    </row>
    <row r="116" spans="1:18" ht="17.399999999999999" customHeight="1" thickBot="1" x14ac:dyDescent="0.35">
      <c r="A116" s="229"/>
      <c r="B116" s="230"/>
      <c r="C116" s="230"/>
      <c r="D116" s="230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1"/>
    </row>
    <row r="117" spans="1:18" ht="22.05" customHeight="1" thickTop="1" thickBot="1" x14ac:dyDescent="0.35">
      <c r="A117" s="202" t="s">
        <v>8</v>
      </c>
      <c r="B117" s="203"/>
      <c r="C117" s="203"/>
      <c r="D117" s="203"/>
      <c r="E117" s="203"/>
      <c r="F117" s="204"/>
      <c r="G117" s="18">
        <v>46071</v>
      </c>
      <c r="H117" s="205" t="s">
        <v>9</v>
      </c>
      <c r="I117" s="203"/>
      <c r="J117" s="203"/>
      <c r="K117" s="203"/>
      <c r="L117" s="203"/>
      <c r="M117" s="203"/>
      <c r="N117" s="203"/>
      <c r="O117" s="203"/>
      <c r="P117" s="203"/>
      <c r="Q117" s="203"/>
      <c r="R117" s="204"/>
    </row>
    <row r="118" spans="1:18" ht="24" customHeight="1" x14ac:dyDescent="0.3">
      <c r="A118" s="19" t="s">
        <v>10</v>
      </c>
      <c r="B118" s="19" t="s">
        <v>11</v>
      </c>
      <c r="C118" s="20" t="s">
        <v>12</v>
      </c>
      <c r="D118" s="19" t="s">
        <v>13</v>
      </c>
      <c r="E118" s="19" t="s">
        <v>14</v>
      </c>
      <c r="F118" s="21" t="s">
        <v>15</v>
      </c>
      <c r="G118" s="22" t="s">
        <v>16</v>
      </c>
      <c r="H118" s="19" t="s">
        <v>17</v>
      </c>
      <c r="I118" s="23" t="s">
        <v>18</v>
      </c>
      <c r="J118" s="24" t="s">
        <v>19</v>
      </c>
      <c r="K118" s="25" t="s">
        <v>20</v>
      </c>
      <c r="L118" s="24" t="s">
        <v>21</v>
      </c>
      <c r="M118" s="24" t="s">
        <v>22</v>
      </c>
      <c r="N118" s="24" t="s">
        <v>23</v>
      </c>
      <c r="O118" s="19" t="s">
        <v>24</v>
      </c>
      <c r="P118" s="20" t="s">
        <v>25</v>
      </c>
      <c r="Q118" s="24" t="s">
        <v>26</v>
      </c>
      <c r="R118" s="19" t="s">
        <v>27</v>
      </c>
    </row>
    <row r="119" spans="1:18" ht="49.95" customHeight="1" x14ac:dyDescent="0.3">
      <c r="A119" s="126" t="s">
        <v>28</v>
      </c>
      <c r="B119" s="126" t="s">
        <v>90</v>
      </c>
      <c r="C119" s="127">
        <v>0.1076388888888889</v>
      </c>
      <c r="D119" s="126" t="s">
        <v>30</v>
      </c>
      <c r="E119" s="128"/>
      <c r="F119" s="126" t="s">
        <v>39</v>
      </c>
      <c r="G119" s="197"/>
      <c r="H119" s="86" t="s">
        <v>90</v>
      </c>
      <c r="I119" s="87">
        <v>0</v>
      </c>
      <c r="J119" s="88">
        <v>0</v>
      </c>
      <c r="K119" s="89" t="s">
        <v>40</v>
      </c>
      <c r="L119" s="88">
        <v>0</v>
      </c>
      <c r="M119" s="88">
        <v>0</v>
      </c>
      <c r="N119" s="88">
        <v>0</v>
      </c>
      <c r="O119" s="90" t="s">
        <v>132</v>
      </c>
      <c r="P119" s="91">
        <v>0.1076388888888889</v>
      </c>
      <c r="Q119" s="88">
        <v>180</v>
      </c>
      <c r="R119" s="92" t="s">
        <v>40</v>
      </c>
    </row>
    <row r="120" spans="1:18" ht="49.95" customHeight="1" x14ac:dyDescent="0.3">
      <c r="A120" s="106" t="s">
        <v>28</v>
      </c>
      <c r="B120" s="106" t="s">
        <v>93</v>
      </c>
      <c r="C120" s="107">
        <v>0.5</v>
      </c>
      <c r="D120" s="106" t="s">
        <v>30</v>
      </c>
      <c r="E120" s="108"/>
      <c r="F120" s="106" t="s">
        <v>39</v>
      </c>
      <c r="G120" s="214"/>
      <c r="H120" s="109" t="s">
        <v>93</v>
      </c>
      <c r="I120" s="110">
        <v>0</v>
      </c>
      <c r="J120" s="111">
        <v>0</v>
      </c>
      <c r="K120" s="112" t="s">
        <v>40</v>
      </c>
      <c r="L120" s="111">
        <v>0</v>
      </c>
      <c r="M120" s="111">
        <v>0</v>
      </c>
      <c r="N120" s="111">
        <v>0</v>
      </c>
      <c r="O120" s="113" t="s">
        <v>132</v>
      </c>
      <c r="P120" s="114">
        <v>0.5</v>
      </c>
      <c r="Q120" s="111">
        <v>180</v>
      </c>
      <c r="R120" s="115" t="s">
        <v>40</v>
      </c>
    </row>
    <row r="121" spans="1:18" ht="49.95" customHeight="1" thickBot="1" x14ac:dyDescent="0.35">
      <c r="A121" s="93" t="s">
        <v>28</v>
      </c>
      <c r="B121" s="93" t="s">
        <v>97</v>
      </c>
      <c r="C121" s="94">
        <v>0.92361111111111116</v>
      </c>
      <c r="D121" s="93" t="s">
        <v>30</v>
      </c>
      <c r="E121" s="95"/>
      <c r="F121" s="93" t="s">
        <v>31</v>
      </c>
      <c r="G121" s="213"/>
      <c r="H121" s="49" t="s">
        <v>97</v>
      </c>
      <c r="I121" s="50">
        <v>1.11E-2</v>
      </c>
      <c r="J121" s="51">
        <v>2</v>
      </c>
      <c r="K121" s="52" t="s">
        <v>133</v>
      </c>
      <c r="L121" s="51">
        <v>2</v>
      </c>
      <c r="M121" s="51">
        <v>0</v>
      </c>
      <c r="N121" s="51">
        <v>0</v>
      </c>
      <c r="O121" s="53" t="s">
        <v>132</v>
      </c>
      <c r="P121" s="54">
        <v>0.92361111111111116</v>
      </c>
      <c r="Q121" s="51">
        <v>180</v>
      </c>
      <c r="R121" s="55" t="s">
        <v>103</v>
      </c>
    </row>
    <row r="122" spans="1:18" ht="17.399999999999999" customHeight="1" thickBot="1" x14ac:dyDescent="0.35">
      <c r="A122" s="229"/>
      <c r="B122" s="230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1"/>
    </row>
    <row r="123" spans="1:18" ht="22.05" customHeight="1" thickTop="1" thickBot="1" x14ac:dyDescent="0.35">
      <c r="A123" s="202" t="s">
        <v>8</v>
      </c>
      <c r="B123" s="203"/>
      <c r="C123" s="203"/>
      <c r="D123" s="203"/>
      <c r="E123" s="203"/>
      <c r="F123" s="204"/>
      <c r="G123" s="18">
        <v>46072</v>
      </c>
      <c r="H123" s="205" t="s">
        <v>9</v>
      </c>
      <c r="I123" s="203"/>
      <c r="J123" s="203"/>
      <c r="K123" s="203"/>
      <c r="L123" s="203"/>
      <c r="M123" s="203"/>
      <c r="N123" s="203"/>
      <c r="O123" s="203"/>
      <c r="P123" s="203"/>
      <c r="Q123" s="203"/>
      <c r="R123" s="204"/>
    </row>
    <row r="124" spans="1:18" ht="24" customHeight="1" x14ac:dyDescent="0.3">
      <c r="A124" s="19" t="s">
        <v>10</v>
      </c>
      <c r="B124" s="19" t="s">
        <v>11</v>
      </c>
      <c r="C124" s="20" t="s">
        <v>12</v>
      </c>
      <c r="D124" s="19" t="s">
        <v>13</v>
      </c>
      <c r="E124" s="19" t="s">
        <v>14</v>
      </c>
      <c r="F124" s="21" t="s">
        <v>15</v>
      </c>
      <c r="G124" s="22" t="s">
        <v>16</v>
      </c>
      <c r="H124" s="19" t="s">
        <v>17</v>
      </c>
      <c r="I124" s="23" t="s">
        <v>18</v>
      </c>
      <c r="J124" s="24" t="s">
        <v>19</v>
      </c>
      <c r="K124" s="25" t="s">
        <v>20</v>
      </c>
      <c r="L124" s="24" t="s">
        <v>21</v>
      </c>
      <c r="M124" s="24" t="s">
        <v>22</v>
      </c>
      <c r="N124" s="24" t="s">
        <v>23</v>
      </c>
      <c r="O124" s="19" t="s">
        <v>24</v>
      </c>
      <c r="P124" s="20" t="s">
        <v>25</v>
      </c>
      <c r="Q124" s="24" t="s">
        <v>26</v>
      </c>
      <c r="R124" s="19" t="s">
        <v>27</v>
      </c>
    </row>
    <row r="125" spans="1:18" ht="49.95" customHeight="1" x14ac:dyDescent="0.3">
      <c r="A125" s="36" t="s">
        <v>28</v>
      </c>
      <c r="B125" s="36" t="s">
        <v>90</v>
      </c>
      <c r="C125" s="37">
        <v>0.52430555555555558</v>
      </c>
      <c r="D125" s="36" t="s">
        <v>30</v>
      </c>
      <c r="E125" s="38"/>
      <c r="F125" s="36" t="s">
        <v>39</v>
      </c>
      <c r="G125" s="197"/>
      <c r="H125" s="96" t="s">
        <v>90</v>
      </c>
      <c r="I125" s="97">
        <v>0</v>
      </c>
      <c r="J125" s="98">
        <v>0</v>
      </c>
      <c r="K125" s="99" t="s">
        <v>40</v>
      </c>
      <c r="L125" s="98">
        <v>0</v>
      </c>
      <c r="M125" s="98">
        <v>0</v>
      </c>
      <c r="N125" s="98">
        <v>0</v>
      </c>
      <c r="O125" s="100" t="s">
        <v>132</v>
      </c>
      <c r="P125" s="101">
        <v>0.52430555555555558</v>
      </c>
      <c r="Q125" s="98">
        <v>180</v>
      </c>
      <c r="R125" s="102" t="s">
        <v>40</v>
      </c>
    </row>
    <row r="126" spans="1:18" ht="49.95" customHeight="1" thickBot="1" x14ac:dyDescent="0.35">
      <c r="A126" s="116" t="s">
        <v>28</v>
      </c>
      <c r="B126" s="116" t="s">
        <v>101</v>
      </c>
      <c r="C126" s="117">
        <v>0.54861111111111105</v>
      </c>
      <c r="D126" s="116" t="s">
        <v>30</v>
      </c>
      <c r="E126" s="118"/>
      <c r="F126" s="116" t="s">
        <v>39</v>
      </c>
      <c r="G126" s="213"/>
      <c r="H126" s="119" t="s">
        <v>101</v>
      </c>
      <c r="I126" s="120">
        <v>0</v>
      </c>
      <c r="J126" s="121">
        <v>0</v>
      </c>
      <c r="K126" s="122" t="s">
        <v>40</v>
      </c>
      <c r="L126" s="121">
        <v>0</v>
      </c>
      <c r="M126" s="121">
        <v>0</v>
      </c>
      <c r="N126" s="121">
        <v>0</v>
      </c>
      <c r="O126" s="123" t="s">
        <v>132</v>
      </c>
      <c r="P126" s="124">
        <v>0.54861111111111105</v>
      </c>
      <c r="Q126" s="121">
        <v>180</v>
      </c>
      <c r="R126" s="125" t="s">
        <v>40</v>
      </c>
    </row>
    <row r="127" spans="1:18" ht="17.399999999999999" customHeight="1" thickBot="1" x14ac:dyDescent="0.35">
      <c r="A127" s="229"/>
      <c r="B127" s="230"/>
      <c r="C127" s="230"/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1"/>
    </row>
    <row r="128" spans="1:18" ht="22.05" customHeight="1" thickTop="1" thickBot="1" x14ac:dyDescent="0.35">
      <c r="A128" s="202" t="s">
        <v>8</v>
      </c>
      <c r="B128" s="203"/>
      <c r="C128" s="203"/>
      <c r="D128" s="203"/>
      <c r="E128" s="203"/>
      <c r="F128" s="204"/>
      <c r="G128" s="18">
        <v>46073</v>
      </c>
      <c r="H128" s="205" t="s">
        <v>9</v>
      </c>
      <c r="I128" s="203"/>
      <c r="J128" s="203"/>
      <c r="K128" s="203"/>
      <c r="L128" s="203"/>
      <c r="M128" s="203"/>
      <c r="N128" s="203"/>
      <c r="O128" s="203"/>
      <c r="P128" s="203"/>
      <c r="Q128" s="203"/>
      <c r="R128" s="204"/>
    </row>
    <row r="129" spans="1:18" ht="24" customHeight="1" x14ac:dyDescent="0.3">
      <c r="A129" s="19" t="s">
        <v>10</v>
      </c>
      <c r="B129" s="19" t="s">
        <v>11</v>
      </c>
      <c r="C129" s="20" t="s">
        <v>12</v>
      </c>
      <c r="D129" s="19" t="s">
        <v>13</v>
      </c>
      <c r="E129" s="19" t="s">
        <v>14</v>
      </c>
      <c r="F129" s="21" t="s">
        <v>15</v>
      </c>
      <c r="G129" s="22" t="s">
        <v>16</v>
      </c>
      <c r="H129" s="19" t="s">
        <v>17</v>
      </c>
      <c r="I129" s="23" t="s">
        <v>18</v>
      </c>
      <c r="J129" s="24" t="s">
        <v>19</v>
      </c>
      <c r="K129" s="25" t="s">
        <v>20</v>
      </c>
      <c r="L129" s="24" t="s">
        <v>21</v>
      </c>
      <c r="M129" s="24" t="s">
        <v>22</v>
      </c>
      <c r="N129" s="24" t="s">
        <v>23</v>
      </c>
      <c r="O129" s="19" t="s">
        <v>24</v>
      </c>
      <c r="P129" s="20" t="s">
        <v>25</v>
      </c>
      <c r="Q129" s="24" t="s">
        <v>26</v>
      </c>
      <c r="R129" s="19" t="s">
        <v>27</v>
      </c>
    </row>
    <row r="130" spans="1:18" ht="49.95" customHeight="1" thickTop="1" thickBot="1" x14ac:dyDescent="0.35">
      <c r="A130" s="26" t="s">
        <v>28</v>
      </c>
      <c r="B130" s="26" t="s">
        <v>93</v>
      </c>
      <c r="C130" s="27">
        <v>0.13541666666666671</v>
      </c>
      <c r="D130" s="26" t="s">
        <v>30</v>
      </c>
      <c r="E130" s="28"/>
      <c r="F130" s="26" t="s">
        <v>39</v>
      </c>
      <c r="G130" s="201"/>
      <c r="H130" s="29" t="s">
        <v>93</v>
      </c>
      <c r="I130" s="30">
        <v>0</v>
      </c>
      <c r="J130" s="31">
        <v>0</v>
      </c>
      <c r="K130" s="32" t="s">
        <v>40</v>
      </c>
      <c r="L130" s="31">
        <v>0</v>
      </c>
      <c r="M130" s="31">
        <v>0</v>
      </c>
      <c r="N130" s="31">
        <v>0</v>
      </c>
      <c r="O130" s="33" t="s">
        <v>132</v>
      </c>
      <c r="P130" s="34">
        <v>0.13541666666666671</v>
      </c>
      <c r="Q130" s="31">
        <v>180</v>
      </c>
      <c r="R130" s="35" t="s">
        <v>40</v>
      </c>
    </row>
    <row r="131" spans="1:18" ht="17.399999999999999" customHeight="1" thickBot="1" x14ac:dyDescent="0.35">
      <c r="A131" s="229"/>
      <c r="B131" s="230"/>
      <c r="C131" s="230"/>
      <c r="D131" s="230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1"/>
    </row>
    <row r="132" spans="1:18" ht="22.05" customHeight="1" thickTop="1" thickBot="1" x14ac:dyDescent="0.35">
      <c r="A132" s="202" t="s">
        <v>8</v>
      </c>
      <c r="B132" s="203"/>
      <c r="C132" s="203"/>
      <c r="D132" s="203"/>
      <c r="E132" s="203"/>
      <c r="F132" s="204"/>
      <c r="G132" s="18">
        <v>46074</v>
      </c>
      <c r="H132" s="205" t="s">
        <v>9</v>
      </c>
      <c r="I132" s="203"/>
      <c r="J132" s="203"/>
      <c r="K132" s="203"/>
      <c r="L132" s="203"/>
      <c r="M132" s="203"/>
      <c r="N132" s="203"/>
      <c r="O132" s="203"/>
      <c r="P132" s="203"/>
      <c r="Q132" s="203"/>
      <c r="R132" s="204"/>
    </row>
    <row r="133" spans="1:18" ht="24" customHeight="1" x14ac:dyDescent="0.3">
      <c r="A133" s="19" t="s">
        <v>10</v>
      </c>
      <c r="B133" s="19" t="s">
        <v>11</v>
      </c>
      <c r="C133" s="20" t="s">
        <v>12</v>
      </c>
      <c r="D133" s="19" t="s">
        <v>13</v>
      </c>
      <c r="E133" s="19" t="s">
        <v>14</v>
      </c>
      <c r="F133" s="21" t="s">
        <v>15</v>
      </c>
      <c r="G133" s="22" t="s">
        <v>16</v>
      </c>
      <c r="H133" s="19" t="s">
        <v>17</v>
      </c>
      <c r="I133" s="23" t="s">
        <v>18</v>
      </c>
      <c r="J133" s="24" t="s">
        <v>19</v>
      </c>
      <c r="K133" s="25" t="s">
        <v>20</v>
      </c>
      <c r="L133" s="24" t="s">
        <v>21</v>
      </c>
      <c r="M133" s="24" t="s">
        <v>22</v>
      </c>
      <c r="N133" s="24" t="s">
        <v>23</v>
      </c>
      <c r="O133" s="19" t="s">
        <v>24</v>
      </c>
      <c r="P133" s="20" t="s">
        <v>25</v>
      </c>
      <c r="Q133" s="24" t="s">
        <v>26</v>
      </c>
      <c r="R133" s="19" t="s">
        <v>27</v>
      </c>
    </row>
    <row r="134" spans="1:18" ht="49.95" customHeight="1" x14ac:dyDescent="0.3">
      <c r="A134" s="26" t="s">
        <v>28</v>
      </c>
      <c r="B134" s="26" t="s">
        <v>93</v>
      </c>
      <c r="C134" s="27">
        <v>0.1423611111111111</v>
      </c>
      <c r="D134" s="26" t="s">
        <v>30</v>
      </c>
      <c r="E134" s="28"/>
      <c r="F134" s="26" t="s">
        <v>31</v>
      </c>
      <c r="G134" s="201"/>
      <c r="H134" s="129" t="s">
        <v>93</v>
      </c>
      <c r="I134" s="130">
        <v>5.5999999999999999E-3</v>
      </c>
      <c r="J134" s="131">
        <v>1</v>
      </c>
      <c r="K134" s="132" t="s">
        <v>117</v>
      </c>
      <c r="L134" s="131">
        <v>1</v>
      </c>
      <c r="M134" s="131">
        <v>0</v>
      </c>
      <c r="N134" s="131">
        <v>0</v>
      </c>
      <c r="O134" s="133" t="s">
        <v>132</v>
      </c>
      <c r="P134" s="134">
        <v>0.1423611111111111</v>
      </c>
      <c r="Q134" s="131">
        <v>180</v>
      </c>
      <c r="R134" s="135" t="s">
        <v>112</v>
      </c>
    </row>
    <row r="135" spans="1:18" ht="49.95" customHeight="1" x14ac:dyDescent="0.3">
      <c r="A135" s="187" t="s">
        <v>28</v>
      </c>
      <c r="B135" s="187" t="s">
        <v>90</v>
      </c>
      <c r="C135" s="188">
        <v>0.30208333333333331</v>
      </c>
      <c r="D135" s="187" t="s">
        <v>30</v>
      </c>
      <c r="E135" s="189"/>
      <c r="F135" s="187" t="s">
        <v>39</v>
      </c>
      <c r="G135" s="214"/>
      <c r="H135" s="161" t="s">
        <v>90</v>
      </c>
      <c r="I135" s="162">
        <v>0</v>
      </c>
      <c r="J135" s="163">
        <v>0</v>
      </c>
      <c r="K135" s="164" t="s">
        <v>40</v>
      </c>
      <c r="L135" s="163">
        <v>0</v>
      </c>
      <c r="M135" s="163">
        <v>0</v>
      </c>
      <c r="N135" s="163">
        <v>0</v>
      </c>
      <c r="O135" s="165" t="s">
        <v>132</v>
      </c>
      <c r="P135" s="166">
        <v>0.30208333333333331</v>
      </c>
      <c r="Q135" s="163">
        <v>180</v>
      </c>
      <c r="R135" s="167" t="s">
        <v>40</v>
      </c>
    </row>
    <row r="136" spans="1:18" ht="49.95" customHeight="1" thickBot="1" x14ac:dyDescent="0.35">
      <c r="A136" s="181" t="s">
        <v>28</v>
      </c>
      <c r="B136" s="181" t="s">
        <v>101</v>
      </c>
      <c r="C136" s="182">
        <v>0.52777777777777779</v>
      </c>
      <c r="D136" s="181" t="s">
        <v>30</v>
      </c>
      <c r="E136" s="183"/>
      <c r="F136" s="181" t="s">
        <v>39</v>
      </c>
      <c r="G136" s="213"/>
      <c r="H136" s="11" t="s">
        <v>101</v>
      </c>
      <c r="I136" s="12">
        <v>0</v>
      </c>
      <c r="J136" s="13">
        <v>0</v>
      </c>
      <c r="K136" s="14" t="s">
        <v>40</v>
      </c>
      <c r="L136" s="13">
        <v>0</v>
      </c>
      <c r="M136" s="13">
        <v>0</v>
      </c>
      <c r="N136" s="13">
        <v>0</v>
      </c>
      <c r="O136" s="15" t="s">
        <v>132</v>
      </c>
      <c r="P136" s="16">
        <v>0.52777777777777779</v>
      </c>
      <c r="Q136" s="13">
        <v>180</v>
      </c>
      <c r="R136" s="17" t="s">
        <v>40</v>
      </c>
    </row>
    <row r="137" spans="1:18" ht="17.399999999999999" customHeight="1" thickBot="1" x14ac:dyDescent="0.35">
      <c r="A137" s="229"/>
      <c r="B137" s="230"/>
      <c r="C137" s="230"/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1"/>
    </row>
    <row r="138" spans="1:18" ht="22.05" customHeight="1" thickTop="1" thickBot="1" x14ac:dyDescent="0.35">
      <c r="A138" s="202" t="s">
        <v>8</v>
      </c>
      <c r="B138" s="203"/>
      <c r="C138" s="203"/>
      <c r="D138" s="203"/>
      <c r="E138" s="203"/>
      <c r="F138" s="204"/>
      <c r="G138" s="18">
        <v>46075</v>
      </c>
      <c r="H138" s="205" t="s">
        <v>9</v>
      </c>
      <c r="I138" s="203"/>
      <c r="J138" s="203"/>
      <c r="K138" s="203"/>
      <c r="L138" s="203"/>
      <c r="M138" s="203"/>
      <c r="N138" s="203"/>
      <c r="O138" s="203"/>
      <c r="P138" s="203"/>
      <c r="Q138" s="203"/>
      <c r="R138" s="204"/>
    </row>
    <row r="139" spans="1:18" ht="24" customHeight="1" x14ac:dyDescent="0.3">
      <c r="A139" s="19" t="s">
        <v>10</v>
      </c>
      <c r="B139" s="19" t="s">
        <v>11</v>
      </c>
      <c r="C139" s="20" t="s">
        <v>12</v>
      </c>
      <c r="D139" s="19" t="s">
        <v>13</v>
      </c>
      <c r="E139" s="19" t="s">
        <v>14</v>
      </c>
      <c r="F139" s="21" t="s">
        <v>15</v>
      </c>
      <c r="G139" s="22" t="s">
        <v>16</v>
      </c>
      <c r="H139" s="19" t="s">
        <v>17</v>
      </c>
      <c r="I139" s="23" t="s">
        <v>18</v>
      </c>
      <c r="J139" s="24" t="s">
        <v>19</v>
      </c>
      <c r="K139" s="25" t="s">
        <v>20</v>
      </c>
      <c r="L139" s="24" t="s">
        <v>21</v>
      </c>
      <c r="M139" s="24" t="s">
        <v>22</v>
      </c>
      <c r="N139" s="24" t="s">
        <v>23</v>
      </c>
      <c r="O139" s="19" t="s">
        <v>24</v>
      </c>
      <c r="P139" s="20" t="s">
        <v>25</v>
      </c>
      <c r="Q139" s="24" t="s">
        <v>26</v>
      </c>
      <c r="R139" s="19" t="s">
        <v>27</v>
      </c>
    </row>
    <row r="140" spans="1:18" ht="49.95" customHeight="1" x14ac:dyDescent="0.3">
      <c r="A140" s="158" t="s">
        <v>28</v>
      </c>
      <c r="B140" s="158" t="s">
        <v>93</v>
      </c>
      <c r="C140" s="159">
        <v>0.3298611111111111</v>
      </c>
      <c r="D140" s="158" t="s">
        <v>30</v>
      </c>
      <c r="E140" s="160"/>
      <c r="F140" s="158" t="s">
        <v>39</v>
      </c>
      <c r="G140" s="197"/>
      <c r="H140" s="161" t="s">
        <v>93</v>
      </c>
      <c r="I140" s="162">
        <v>0</v>
      </c>
      <c r="J140" s="163">
        <v>0</v>
      </c>
      <c r="K140" s="164" t="s">
        <v>40</v>
      </c>
      <c r="L140" s="163">
        <v>0</v>
      </c>
      <c r="M140" s="163">
        <v>0</v>
      </c>
      <c r="N140" s="163">
        <v>0</v>
      </c>
      <c r="O140" s="165" t="s">
        <v>132</v>
      </c>
      <c r="P140" s="166">
        <v>0.3298611111111111</v>
      </c>
      <c r="Q140" s="163">
        <v>180</v>
      </c>
      <c r="R140" s="167" t="s">
        <v>40</v>
      </c>
    </row>
    <row r="141" spans="1:18" ht="49.95" customHeight="1" thickBot="1" x14ac:dyDescent="0.35">
      <c r="A141" s="103" t="s">
        <v>28</v>
      </c>
      <c r="B141" s="103" t="s">
        <v>101</v>
      </c>
      <c r="C141" s="104">
        <v>0.69097222222222221</v>
      </c>
      <c r="D141" s="103" t="s">
        <v>30</v>
      </c>
      <c r="E141" s="105"/>
      <c r="F141" s="103" t="s">
        <v>31</v>
      </c>
      <c r="G141" s="213"/>
      <c r="H141" s="29" t="s">
        <v>101</v>
      </c>
      <c r="I141" s="30">
        <v>5.5999999999999999E-3</v>
      </c>
      <c r="J141" s="31">
        <v>1</v>
      </c>
      <c r="K141" s="32" t="s">
        <v>134</v>
      </c>
      <c r="L141" s="31">
        <v>1</v>
      </c>
      <c r="M141" s="31">
        <v>0</v>
      </c>
      <c r="N141" s="31">
        <v>0</v>
      </c>
      <c r="O141" s="33" t="s">
        <v>132</v>
      </c>
      <c r="P141" s="34">
        <v>0.69097222222222221</v>
      </c>
      <c r="Q141" s="31">
        <v>180</v>
      </c>
      <c r="R141" s="35" t="s">
        <v>112</v>
      </c>
    </row>
    <row r="142" spans="1:18" ht="17.399999999999999" customHeight="1" thickBot="1" x14ac:dyDescent="0.35">
      <c r="A142" s="229"/>
      <c r="B142" s="230"/>
      <c r="C142" s="230"/>
      <c r="D142" s="230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1"/>
    </row>
    <row r="143" spans="1:18" ht="22.05" customHeight="1" thickTop="1" thickBot="1" x14ac:dyDescent="0.35">
      <c r="A143" s="202" t="s">
        <v>8</v>
      </c>
      <c r="B143" s="203"/>
      <c r="C143" s="203"/>
      <c r="D143" s="203"/>
      <c r="E143" s="203"/>
      <c r="F143" s="204"/>
      <c r="G143" s="18">
        <v>46076</v>
      </c>
      <c r="H143" s="205" t="s">
        <v>9</v>
      </c>
      <c r="I143" s="203"/>
      <c r="J143" s="203"/>
      <c r="K143" s="203"/>
      <c r="L143" s="203"/>
      <c r="M143" s="203"/>
      <c r="N143" s="203"/>
      <c r="O143" s="203"/>
      <c r="P143" s="203"/>
      <c r="Q143" s="203"/>
      <c r="R143" s="204"/>
    </row>
    <row r="144" spans="1:18" ht="24" customHeight="1" x14ac:dyDescent="0.3">
      <c r="A144" s="19" t="s">
        <v>10</v>
      </c>
      <c r="B144" s="19" t="s">
        <v>11</v>
      </c>
      <c r="C144" s="20" t="s">
        <v>12</v>
      </c>
      <c r="D144" s="19" t="s">
        <v>13</v>
      </c>
      <c r="E144" s="19" t="s">
        <v>14</v>
      </c>
      <c r="F144" s="21" t="s">
        <v>15</v>
      </c>
      <c r="G144" s="22" t="s">
        <v>16</v>
      </c>
      <c r="H144" s="19" t="s">
        <v>17</v>
      </c>
      <c r="I144" s="23" t="s">
        <v>18</v>
      </c>
      <c r="J144" s="24" t="s">
        <v>19</v>
      </c>
      <c r="K144" s="25" t="s">
        <v>20</v>
      </c>
      <c r="L144" s="24" t="s">
        <v>21</v>
      </c>
      <c r="M144" s="24" t="s">
        <v>22</v>
      </c>
      <c r="N144" s="24" t="s">
        <v>23</v>
      </c>
      <c r="O144" s="19" t="s">
        <v>24</v>
      </c>
      <c r="P144" s="20" t="s">
        <v>25</v>
      </c>
      <c r="Q144" s="24" t="s">
        <v>26</v>
      </c>
      <c r="R144" s="19" t="s">
        <v>27</v>
      </c>
    </row>
    <row r="145" spans="1:18" ht="49.95" customHeight="1" x14ac:dyDescent="0.3">
      <c r="A145" s="36" t="s">
        <v>28</v>
      </c>
      <c r="B145" s="36" t="s">
        <v>93</v>
      </c>
      <c r="C145" s="37">
        <v>9.375E-2</v>
      </c>
      <c r="D145" s="36" t="s">
        <v>30</v>
      </c>
      <c r="E145" s="38"/>
      <c r="F145" s="36" t="s">
        <v>39</v>
      </c>
      <c r="G145" s="201"/>
      <c r="H145" s="96" t="s">
        <v>93</v>
      </c>
      <c r="I145" s="97">
        <v>0</v>
      </c>
      <c r="J145" s="98">
        <v>0</v>
      </c>
      <c r="K145" s="99" t="s">
        <v>40</v>
      </c>
      <c r="L145" s="98">
        <v>0</v>
      </c>
      <c r="M145" s="98">
        <v>0</v>
      </c>
      <c r="N145" s="98">
        <v>0</v>
      </c>
      <c r="O145" s="100" t="s">
        <v>132</v>
      </c>
      <c r="P145" s="101">
        <v>9.375E-2</v>
      </c>
      <c r="Q145" s="98">
        <v>180</v>
      </c>
      <c r="R145" s="102" t="s">
        <v>40</v>
      </c>
    </row>
    <row r="146" spans="1:18" ht="49.95" customHeight="1" x14ac:dyDescent="0.3">
      <c r="A146" s="168" t="s">
        <v>28</v>
      </c>
      <c r="B146" s="168" t="s">
        <v>101</v>
      </c>
      <c r="C146" s="169">
        <v>0.19444444444444439</v>
      </c>
      <c r="D146" s="168" t="s">
        <v>30</v>
      </c>
      <c r="E146" s="170"/>
      <c r="F146" s="168" t="s">
        <v>39</v>
      </c>
      <c r="G146" s="214"/>
      <c r="H146" s="129" t="s">
        <v>101</v>
      </c>
      <c r="I146" s="130">
        <v>0</v>
      </c>
      <c r="J146" s="131">
        <v>0</v>
      </c>
      <c r="K146" s="132" t="s">
        <v>40</v>
      </c>
      <c r="L146" s="131">
        <v>0</v>
      </c>
      <c r="M146" s="131">
        <v>0</v>
      </c>
      <c r="N146" s="131">
        <v>0</v>
      </c>
      <c r="O146" s="133" t="s">
        <v>132</v>
      </c>
      <c r="P146" s="134">
        <v>0.19444444444444439</v>
      </c>
      <c r="Q146" s="131">
        <v>180</v>
      </c>
      <c r="R146" s="135" t="s">
        <v>40</v>
      </c>
    </row>
    <row r="147" spans="1:18" ht="49.95" customHeight="1" thickBot="1" x14ac:dyDescent="0.35">
      <c r="A147" s="181" t="s">
        <v>28</v>
      </c>
      <c r="B147" s="181" t="s">
        <v>90</v>
      </c>
      <c r="C147" s="182">
        <v>0.54861111111111105</v>
      </c>
      <c r="D147" s="181" t="s">
        <v>30</v>
      </c>
      <c r="E147" s="183"/>
      <c r="F147" s="181" t="s">
        <v>39</v>
      </c>
      <c r="G147" s="213"/>
      <c r="H147" s="11" t="s">
        <v>90</v>
      </c>
      <c r="I147" s="12">
        <v>0</v>
      </c>
      <c r="J147" s="13">
        <v>0</v>
      </c>
      <c r="K147" s="14" t="s">
        <v>40</v>
      </c>
      <c r="L147" s="13">
        <v>0</v>
      </c>
      <c r="M147" s="13">
        <v>0</v>
      </c>
      <c r="N147" s="13">
        <v>0</v>
      </c>
      <c r="O147" s="15" t="s">
        <v>132</v>
      </c>
      <c r="P147" s="16">
        <v>0.54861111111111105</v>
      </c>
      <c r="Q147" s="13">
        <v>180</v>
      </c>
      <c r="R147" s="17" t="s">
        <v>40</v>
      </c>
    </row>
    <row r="148" spans="1:18" ht="17.399999999999999" customHeight="1" thickBot="1" x14ac:dyDescent="0.35">
      <c r="A148" s="229"/>
      <c r="B148" s="230"/>
      <c r="C148" s="230"/>
      <c r="D148" s="23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1"/>
    </row>
    <row r="149" spans="1:18" ht="22.05" customHeight="1" thickTop="1" thickBot="1" x14ac:dyDescent="0.35">
      <c r="A149" s="202" t="s">
        <v>8</v>
      </c>
      <c r="B149" s="203"/>
      <c r="C149" s="203"/>
      <c r="D149" s="203"/>
      <c r="E149" s="203"/>
      <c r="F149" s="204"/>
      <c r="G149" s="18">
        <v>46077</v>
      </c>
      <c r="H149" s="205" t="s">
        <v>9</v>
      </c>
      <c r="I149" s="203"/>
      <c r="J149" s="203"/>
      <c r="K149" s="203"/>
      <c r="L149" s="203"/>
      <c r="M149" s="203"/>
      <c r="N149" s="203"/>
      <c r="O149" s="203"/>
      <c r="P149" s="203"/>
      <c r="Q149" s="203"/>
      <c r="R149" s="204"/>
    </row>
    <row r="150" spans="1:18" ht="24" customHeight="1" x14ac:dyDescent="0.3">
      <c r="A150" s="19" t="s">
        <v>10</v>
      </c>
      <c r="B150" s="19" t="s">
        <v>11</v>
      </c>
      <c r="C150" s="20" t="s">
        <v>12</v>
      </c>
      <c r="D150" s="19" t="s">
        <v>13</v>
      </c>
      <c r="E150" s="19" t="s">
        <v>14</v>
      </c>
      <c r="F150" s="21" t="s">
        <v>15</v>
      </c>
      <c r="G150" s="22" t="s">
        <v>16</v>
      </c>
      <c r="H150" s="19" t="s">
        <v>17</v>
      </c>
      <c r="I150" s="23" t="s">
        <v>18</v>
      </c>
      <c r="J150" s="24" t="s">
        <v>19</v>
      </c>
      <c r="K150" s="25" t="s">
        <v>20</v>
      </c>
      <c r="L150" s="24" t="s">
        <v>21</v>
      </c>
      <c r="M150" s="24" t="s">
        <v>22</v>
      </c>
      <c r="N150" s="24" t="s">
        <v>23</v>
      </c>
      <c r="O150" s="19" t="s">
        <v>24</v>
      </c>
      <c r="P150" s="20" t="s">
        <v>25</v>
      </c>
      <c r="Q150" s="24" t="s">
        <v>26</v>
      </c>
      <c r="R150" s="19" t="s">
        <v>27</v>
      </c>
    </row>
    <row r="151" spans="1:18" ht="49.95" customHeight="1" x14ac:dyDescent="0.3">
      <c r="A151" s="56" t="s">
        <v>28</v>
      </c>
      <c r="B151" s="56" t="s">
        <v>90</v>
      </c>
      <c r="C151" s="57">
        <v>0.16666666666666671</v>
      </c>
      <c r="D151" s="56" t="s">
        <v>30</v>
      </c>
      <c r="E151" s="58"/>
      <c r="F151" s="56" t="s">
        <v>31</v>
      </c>
      <c r="G151" s="197"/>
      <c r="H151" s="190" t="s">
        <v>90</v>
      </c>
      <c r="I151" s="191">
        <v>1.67E-2</v>
      </c>
      <c r="J151" s="192">
        <v>3</v>
      </c>
      <c r="K151" s="193" t="s">
        <v>135</v>
      </c>
      <c r="L151" s="192">
        <v>3</v>
      </c>
      <c r="M151" s="192">
        <v>0</v>
      </c>
      <c r="N151" s="192">
        <v>0</v>
      </c>
      <c r="O151" s="194" t="s">
        <v>132</v>
      </c>
      <c r="P151" s="195">
        <v>0.16666666666666671</v>
      </c>
      <c r="Q151" s="192">
        <v>180</v>
      </c>
      <c r="R151" s="196" t="s">
        <v>136</v>
      </c>
    </row>
    <row r="152" spans="1:18" ht="49.95" customHeight="1" thickBot="1" x14ac:dyDescent="0.35">
      <c r="A152" s="103" t="s">
        <v>28</v>
      </c>
      <c r="B152" s="103" t="s">
        <v>101</v>
      </c>
      <c r="C152" s="104">
        <v>0.52777777777777779</v>
      </c>
      <c r="D152" s="103" t="s">
        <v>30</v>
      </c>
      <c r="E152" s="105"/>
      <c r="F152" s="103" t="s">
        <v>39</v>
      </c>
      <c r="G152" s="213"/>
      <c r="H152" s="29" t="s">
        <v>101</v>
      </c>
      <c r="I152" s="30">
        <v>0</v>
      </c>
      <c r="J152" s="31">
        <v>0</v>
      </c>
      <c r="K152" s="32" t="s">
        <v>40</v>
      </c>
      <c r="L152" s="31">
        <v>0</v>
      </c>
      <c r="M152" s="31">
        <v>0</v>
      </c>
      <c r="N152" s="31">
        <v>0</v>
      </c>
      <c r="O152" s="33" t="s">
        <v>132</v>
      </c>
      <c r="P152" s="34">
        <v>0.52777777777777779</v>
      </c>
      <c r="Q152" s="31">
        <v>180</v>
      </c>
      <c r="R152" s="35" t="s">
        <v>40</v>
      </c>
    </row>
    <row r="153" spans="1:18" ht="17.399999999999999" customHeight="1" thickBot="1" x14ac:dyDescent="0.35">
      <c r="A153" s="229"/>
      <c r="B153" s="230"/>
      <c r="C153" s="230"/>
      <c r="D153" s="230"/>
      <c r="E153" s="230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1"/>
    </row>
    <row r="154" spans="1:18" ht="22.05" customHeight="1" thickTop="1" thickBot="1" x14ac:dyDescent="0.35">
      <c r="A154" s="202" t="s">
        <v>8</v>
      </c>
      <c r="B154" s="203"/>
      <c r="C154" s="203"/>
      <c r="D154" s="203"/>
      <c r="E154" s="203"/>
      <c r="F154" s="204"/>
      <c r="G154" s="18">
        <v>46078</v>
      </c>
      <c r="H154" s="205" t="s">
        <v>9</v>
      </c>
      <c r="I154" s="203"/>
      <c r="J154" s="203"/>
      <c r="K154" s="203"/>
      <c r="L154" s="203"/>
      <c r="M154" s="203"/>
      <c r="N154" s="203"/>
      <c r="O154" s="203"/>
      <c r="P154" s="203"/>
      <c r="Q154" s="203"/>
      <c r="R154" s="204"/>
    </row>
    <row r="155" spans="1:18" ht="24" customHeight="1" x14ac:dyDescent="0.3">
      <c r="A155" s="19" t="s">
        <v>10</v>
      </c>
      <c r="B155" s="19" t="s">
        <v>11</v>
      </c>
      <c r="C155" s="20" t="s">
        <v>12</v>
      </c>
      <c r="D155" s="19" t="s">
        <v>13</v>
      </c>
      <c r="E155" s="19" t="s">
        <v>14</v>
      </c>
      <c r="F155" s="21" t="s">
        <v>15</v>
      </c>
      <c r="G155" s="22" t="s">
        <v>16</v>
      </c>
      <c r="H155" s="19" t="s">
        <v>17</v>
      </c>
      <c r="I155" s="23" t="s">
        <v>18</v>
      </c>
      <c r="J155" s="24" t="s">
        <v>19</v>
      </c>
      <c r="K155" s="25" t="s">
        <v>20</v>
      </c>
      <c r="L155" s="24" t="s">
        <v>21</v>
      </c>
      <c r="M155" s="24" t="s">
        <v>22</v>
      </c>
      <c r="N155" s="24" t="s">
        <v>23</v>
      </c>
      <c r="O155" s="19" t="s">
        <v>24</v>
      </c>
      <c r="P155" s="20" t="s">
        <v>25</v>
      </c>
      <c r="Q155" s="24" t="s">
        <v>26</v>
      </c>
      <c r="R155" s="19" t="s">
        <v>27</v>
      </c>
    </row>
    <row r="156" spans="1:18" ht="49.95" customHeight="1" x14ac:dyDescent="0.3">
      <c r="A156" s="56" t="s">
        <v>28</v>
      </c>
      <c r="B156" s="56" t="s">
        <v>90</v>
      </c>
      <c r="C156" s="57">
        <v>0.1076388888888889</v>
      </c>
      <c r="D156" s="56" t="s">
        <v>30</v>
      </c>
      <c r="E156" s="58"/>
      <c r="F156" s="56" t="s">
        <v>39</v>
      </c>
      <c r="G156" s="201"/>
      <c r="H156" s="190" t="s">
        <v>90</v>
      </c>
      <c r="I156" s="191">
        <v>0</v>
      </c>
      <c r="J156" s="192">
        <v>0</v>
      </c>
      <c r="K156" s="193" t="s">
        <v>40</v>
      </c>
      <c r="L156" s="192">
        <v>0</v>
      </c>
      <c r="M156" s="192">
        <v>0</v>
      </c>
      <c r="N156" s="192">
        <v>0</v>
      </c>
      <c r="O156" s="194" t="s">
        <v>132</v>
      </c>
      <c r="P156" s="195">
        <v>0.1076388888888889</v>
      </c>
      <c r="Q156" s="192">
        <v>180</v>
      </c>
      <c r="R156" s="196" t="s">
        <v>40</v>
      </c>
    </row>
    <row r="157" spans="1:18" ht="49.95" customHeight="1" x14ac:dyDescent="0.3">
      <c r="A157" s="184" t="s">
        <v>28</v>
      </c>
      <c r="B157" s="184" t="s">
        <v>93</v>
      </c>
      <c r="C157" s="185">
        <v>0.5</v>
      </c>
      <c r="D157" s="184" t="s">
        <v>30</v>
      </c>
      <c r="E157" s="186"/>
      <c r="F157" s="184" t="s">
        <v>39</v>
      </c>
      <c r="G157" s="214"/>
      <c r="H157" s="76" t="s">
        <v>93</v>
      </c>
      <c r="I157" s="77">
        <v>0</v>
      </c>
      <c r="J157" s="78">
        <v>0</v>
      </c>
      <c r="K157" s="79" t="s">
        <v>40</v>
      </c>
      <c r="L157" s="78">
        <v>0</v>
      </c>
      <c r="M157" s="78">
        <v>0</v>
      </c>
      <c r="N157" s="78">
        <v>0</v>
      </c>
      <c r="O157" s="80" t="s">
        <v>132</v>
      </c>
      <c r="P157" s="81">
        <v>0.5</v>
      </c>
      <c r="Q157" s="78">
        <v>180</v>
      </c>
      <c r="R157" s="82" t="s">
        <v>40</v>
      </c>
    </row>
    <row r="158" spans="1:18" ht="49.95" customHeight="1" thickBot="1" x14ac:dyDescent="0.35">
      <c r="A158" s="149" t="s">
        <v>28</v>
      </c>
      <c r="B158" s="149" t="s">
        <v>97</v>
      </c>
      <c r="C158" s="150">
        <v>0.92361111111111116</v>
      </c>
      <c r="D158" s="149" t="s">
        <v>30</v>
      </c>
      <c r="E158" s="151"/>
      <c r="F158" s="149" t="s">
        <v>31</v>
      </c>
      <c r="G158" s="213"/>
      <c r="H158" s="39" t="s">
        <v>97</v>
      </c>
      <c r="I158" s="40">
        <v>5.5999999999999999E-3</v>
      </c>
      <c r="J158" s="41">
        <v>1</v>
      </c>
      <c r="K158" s="42" t="s">
        <v>117</v>
      </c>
      <c r="L158" s="41">
        <v>1</v>
      </c>
      <c r="M158" s="41">
        <v>0</v>
      </c>
      <c r="N158" s="41">
        <v>0</v>
      </c>
      <c r="O158" s="43" t="s">
        <v>132</v>
      </c>
      <c r="P158" s="44">
        <v>0.92361111111111116</v>
      </c>
      <c r="Q158" s="41">
        <v>180</v>
      </c>
      <c r="R158" s="45" t="s">
        <v>112</v>
      </c>
    </row>
    <row r="159" spans="1:18" ht="17.399999999999999" customHeight="1" thickBot="1" x14ac:dyDescent="0.35">
      <c r="A159" s="229"/>
      <c r="B159" s="230"/>
      <c r="C159" s="230"/>
      <c r="D159" s="23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1"/>
    </row>
    <row r="160" spans="1:18" ht="22.05" customHeight="1" thickTop="1" thickBot="1" x14ac:dyDescent="0.35">
      <c r="A160" s="202" t="s">
        <v>8</v>
      </c>
      <c r="B160" s="203"/>
      <c r="C160" s="203"/>
      <c r="D160" s="203"/>
      <c r="E160" s="203"/>
      <c r="F160" s="204"/>
      <c r="G160" s="18">
        <v>46079</v>
      </c>
      <c r="H160" s="205" t="s">
        <v>9</v>
      </c>
      <c r="I160" s="203"/>
      <c r="J160" s="203"/>
      <c r="K160" s="203"/>
      <c r="L160" s="203"/>
      <c r="M160" s="203"/>
      <c r="N160" s="203"/>
      <c r="O160" s="203"/>
      <c r="P160" s="203"/>
      <c r="Q160" s="203"/>
      <c r="R160" s="204"/>
    </row>
    <row r="161" spans="1:18" ht="24" customHeight="1" x14ac:dyDescent="0.3">
      <c r="A161" s="19" t="s">
        <v>10</v>
      </c>
      <c r="B161" s="19" t="s">
        <v>11</v>
      </c>
      <c r="C161" s="20" t="s">
        <v>12</v>
      </c>
      <c r="D161" s="19" t="s">
        <v>13</v>
      </c>
      <c r="E161" s="19" t="s">
        <v>14</v>
      </c>
      <c r="F161" s="21" t="s">
        <v>15</v>
      </c>
      <c r="G161" s="22" t="s">
        <v>16</v>
      </c>
      <c r="H161" s="19" t="s">
        <v>17</v>
      </c>
      <c r="I161" s="23" t="s">
        <v>18</v>
      </c>
      <c r="J161" s="24" t="s">
        <v>19</v>
      </c>
      <c r="K161" s="25" t="s">
        <v>20</v>
      </c>
      <c r="L161" s="24" t="s">
        <v>21</v>
      </c>
      <c r="M161" s="24" t="s">
        <v>22</v>
      </c>
      <c r="N161" s="24" t="s">
        <v>23</v>
      </c>
      <c r="O161" s="19" t="s">
        <v>24</v>
      </c>
      <c r="P161" s="20" t="s">
        <v>25</v>
      </c>
      <c r="Q161" s="24" t="s">
        <v>26</v>
      </c>
      <c r="R161" s="19" t="s">
        <v>27</v>
      </c>
    </row>
    <row r="162" spans="1:18" ht="49.95" customHeight="1" x14ac:dyDescent="0.3">
      <c r="A162" s="56" t="s">
        <v>28</v>
      </c>
      <c r="B162" s="56" t="s">
        <v>90</v>
      </c>
      <c r="C162" s="57">
        <v>0.52430555555555558</v>
      </c>
      <c r="D162" s="56" t="s">
        <v>30</v>
      </c>
      <c r="E162" s="58"/>
      <c r="F162" s="56" t="s">
        <v>39</v>
      </c>
      <c r="G162" s="197"/>
      <c r="H162" s="190" t="s">
        <v>90</v>
      </c>
      <c r="I162" s="191">
        <v>0</v>
      </c>
      <c r="J162" s="192">
        <v>0</v>
      </c>
      <c r="K162" s="193" t="s">
        <v>40</v>
      </c>
      <c r="L162" s="192">
        <v>0</v>
      </c>
      <c r="M162" s="192">
        <v>0</v>
      </c>
      <c r="N162" s="192">
        <v>0</v>
      </c>
      <c r="O162" s="194" t="s">
        <v>132</v>
      </c>
      <c r="P162" s="195">
        <v>0.52430555555555558</v>
      </c>
      <c r="Q162" s="192">
        <v>180</v>
      </c>
      <c r="R162" s="196" t="s">
        <v>40</v>
      </c>
    </row>
    <row r="163" spans="1:18" ht="49.95" customHeight="1" thickBot="1" x14ac:dyDescent="0.35">
      <c r="A163" s="103" t="s">
        <v>28</v>
      </c>
      <c r="B163" s="103" t="s">
        <v>101</v>
      </c>
      <c r="C163" s="104">
        <v>0.54861111111111105</v>
      </c>
      <c r="D163" s="103" t="s">
        <v>30</v>
      </c>
      <c r="E163" s="105"/>
      <c r="F163" s="103" t="s">
        <v>39</v>
      </c>
      <c r="G163" s="213"/>
      <c r="H163" s="29" t="s">
        <v>101</v>
      </c>
      <c r="I163" s="30">
        <v>0</v>
      </c>
      <c r="J163" s="31">
        <v>0</v>
      </c>
      <c r="K163" s="32" t="s">
        <v>40</v>
      </c>
      <c r="L163" s="31">
        <v>0</v>
      </c>
      <c r="M163" s="31">
        <v>0</v>
      </c>
      <c r="N163" s="31">
        <v>0</v>
      </c>
      <c r="O163" s="33" t="s">
        <v>132</v>
      </c>
      <c r="P163" s="34">
        <v>0.54861111111111105</v>
      </c>
      <c r="Q163" s="31">
        <v>180</v>
      </c>
      <c r="R163" s="35" t="s">
        <v>40</v>
      </c>
    </row>
    <row r="164" spans="1:18" ht="17.399999999999999" customHeight="1" thickBot="1" x14ac:dyDescent="0.35">
      <c r="A164" s="229"/>
      <c r="B164" s="230"/>
      <c r="C164" s="230"/>
      <c r="D164" s="23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1"/>
    </row>
    <row r="165" spans="1:18" ht="22.05" customHeight="1" thickTop="1" thickBot="1" x14ac:dyDescent="0.35">
      <c r="A165" s="202" t="s">
        <v>8</v>
      </c>
      <c r="B165" s="203"/>
      <c r="C165" s="203"/>
      <c r="D165" s="203"/>
      <c r="E165" s="203"/>
      <c r="F165" s="204"/>
      <c r="G165" s="18">
        <v>46080</v>
      </c>
      <c r="H165" s="205" t="s">
        <v>9</v>
      </c>
      <c r="I165" s="203"/>
      <c r="J165" s="203"/>
      <c r="K165" s="203"/>
      <c r="L165" s="203"/>
      <c r="M165" s="203"/>
      <c r="N165" s="203"/>
      <c r="O165" s="203"/>
      <c r="P165" s="203"/>
      <c r="Q165" s="203"/>
      <c r="R165" s="204"/>
    </row>
    <row r="166" spans="1:18" ht="24" customHeight="1" x14ac:dyDescent="0.3">
      <c r="A166" s="19" t="s">
        <v>10</v>
      </c>
      <c r="B166" s="19" t="s">
        <v>11</v>
      </c>
      <c r="C166" s="20" t="s">
        <v>12</v>
      </c>
      <c r="D166" s="19" t="s">
        <v>13</v>
      </c>
      <c r="E166" s="19" t="s">
        <v>14</v>
      </c>
      <c r="F166" s="21" t="s">
        <v>15</v>
      </c>
      <c r="G166" s="22" t="s">
        <v>16</v>
      </c>
      <c r="H166" s="19" t="s">
        <v>17</v>
      </c>
      <c r="I166" s="23" t="s">
        <v>18</v>
      </c>
      <c r="J166" s="24" t="s">
        <v>19</v>
      </c>
      <c r="K166" s="25" t="s">
        <v>20</v>
      </c>
      <c r="L166" s="24" t="s">
        <v>21</v>
      </c>
      <c r="M166" s="24" t="s">
        <v>22</v>
      </c>
      <c r="N166" s="24" t="s">
        <v>23</v>
      </c>
      <c r="O166" s="19" t="s">
        <v>24</v>
      </c>
      <c r="P166" s="20" t="s">
        <v>25</v>
      </c>
      <c r="Q166" s="24" t="s">
        <v>26</v>
      </c>
      <c r="R166" s="19" t="s">
        <v>27</v>
      </c>
    </row>
    <row r="167" spans="1:18" ht="49.95" customHeight="1" thickTop="1" thickBot="1" x14ac:dyDescent="0.5">
      <c r="A167" s="158" t="s">
        <v>28</v>
      </c>
      <c r="B167" s="158" t="s">
        <v>93</v>
      </c>
      <c r="C167" s="159">
        <v>0.13541666666666671</v>
      </c>
      <c r="D167" s="158" t="s">
        <v>30</v>
      </c>
      <c r="E167" s="160"/>
      <c r="F167" s="158" t="s">
        <v>39</v>
      </c>
      <c r="G167" s="197"/>
      <c r="H167" s="174" t="s">
        <v>93</v>
      </c>
      <c r="I167" s="175">
        <v>0</v>
      </c>
      <c r="J167" s="176">
        <v>0</v>
      </c>
      <c r="K167" s="177" t="s">
        <v>40</v>
      </c>
      <c r="L167" s="176">
        <v>0</v>
      </c>
      <c r="M167" s="176">
        <v>0</v>
      </c>
      <c r="N167" s="176">
        <v>0</v>
      </c>
      <c r="O167" s="178" t="s">
        <v>132</v>
      </c>
      <c r="P167" s="179">
        <v>0.13541666666666671</v>
      </c>
      <c r="Q167" s="176">
        <v>180</v>
      </c>
      <c r="R167" s="180" t="s">
        <v>40</v>
      </c>
    </row>
    <row r="168" spans="1:18" ht="17.399999999999999" customHeight="1" thickBot="1" x14ac:dyDescent="0.35">
      <c r="A168" s="229"/>
      <c r="B168" s="230"/>
      <c r="C168" s="230"/>
      <c r="D168" s="23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1"/>
    </row>
    <row r="169" spans="1:18" ht="22.05" customHeight="1" thickTop="1" thickBot="1" x14ac:dyDescent="0.35">
      <c r="A169" s="202" t="s">
        <v>8</v>
      </c>
      <c r="B169" s="203"/>
      <c r="C169" s="203"/>
      <c r="D169" s="203"/>
      <c r="E169" s="203"/>
      <c r="F169" s="204"/>
      <c r="G169" s="18">
        <v>46081</v>
      </c>
      <c r="H169" s="205" t="s">
        <v>9</v>
      </c>
      <c r="I169" s="203"/>
      <c r="J169" s="203"/>
      <c r="K169" s="203"/>
      <c r="L169" s="203"/>
      <c r="M169" s="203"/>
      <c r="N169" s="203"/>
      <c r="O169" s="203"/>
      <c r="P169" s="203"/>
      <c r="Q169" s="203"/>
      <c r="R169" s="204"/>
    </row>
    <row r="170" spans="1:18" ht="24" customHeight="1" x14ac:dyDescent="0.3">
      <c r="A170" s="19" t="s">
        <v>10</v>
      </c>
      <c r="B170" s="19" t="s">
        <v>11</v>
      </c>
      <c r="C170" s="20" t="s">
        <v>12</v>
      </c>
      <c r="D170" s="19" t="s">
        <v>13</v>
      </c>
      <c r="E170" s="19" t="s">
        <v>14</v>
      </c>
      <c r="F170" s="21" t="s">
        <v>15</v>
      </c>
      <c r="G170" s="22" t="s">
        <v>16</v>
      </c>
      <c r="H170" s="19" t="s">
        <v>17</v>
      </c>
      <c r="I170" s="23" t="s">
        <v>18</v>
      </c>
      <c r="J170" s="24" t="s">
        <v>19</v>
      </c>
      <c r="K170" s="25" t="s">
        <v>20</v>
      </c>
      <c r="L170" s="24" t="s">
        <v>21</v>
      </c>
      <c r="M170" s="24" t="s">
        <v>22</v>
      </c>
      <c r="N170" s="24" t="s">
        <v>23</v>
      </c>
      <c r="O170" s="19" t="s">
        <v>24</v>
      </c>
      <c r="P170" s="20" t="s">
        <v>25</v>
      </c>
      <c r="Q170" s="24" t="s">
        <v>26</v>
      </c>
      <c r="R170" s="19" t="s">
        <v>27</v>
      </c>
    </row>
    <row r="171" spans="1:18" ht="49.95" customHeight="1" x14ac:dyDescent="0.3">
      <c r="A171" s="46" t="s">
        <v>28</v>
      </c>
      <c r="B171" s="46" t="s">
        <v>93</v>
      </c>
      <c r="C171" s="47">
        <v>0.1423611111111111</v>
      </c>
      <c r="D171" s="46" t="s">
        <v>30</v>
      </c>
      <c r="E171" s="48"/>
      <c r="F171" s="46" t="s">
        <v>39</v>
      </c>
      <c r="G171" s="197"/>
      <c r="H171" s="76" t="s">
        <v>93</v>
      </c>
      <c r="I171" s="77">
        <v>0</v>
      </c>
      <c r="J171" s="78">
        <v>0</v>
      </c>
      <c r="K171" s="79" t="s">
        <v>40</v>
      </c>
      <c r="L171" s="78">
        <v>0</v>
      </c>
      <c r="M171" s="78">
        <v>0</v>
      </c>
      <c r="N171" s="78">
        <v>0</v>
      </c>
      <c r="O171" s="80" t="s">
        <v>132</v>
      </c>
      <c r="P171" s="81">
        <v>0.1423611111111111</v>
      </c>
      <c r="Q171" s="78">
        <v>180</v>
      </c>
      <c r="R171" s="82" t="s">
        <v>40</v>
      </c>
    </row>
    <row r="172" spans="1:18" ht="49.95" customHeight="1" x14ac:dyDescent="0.3">
      <c r="A172" s="168" t="s">
        <v>28</v>
      </c>
      <c r="B172" s="168" t="s">
        <v>90</v>
      </c>
      <c r="C172" s="169">
        <v>0.30208333333333331</v>
      </c>
      <c r="D172" s="168" t="s">
        <v>30</v>
      </c>
      <c r="E172" s="170"/>
      <c r="F172" s="168" t="s">
        <v>31</v>
      </c>
      <c r="G172" s="214"/>
      <c r="H172" s="129" t="s">
        <v>90</v>
      </c>
      <c r="I172" s="130">
        <v>5.5999999999999999E-3</v>
      </c>
      <c r="J172" s="131">
        <v>1</v>
      </c>
      <c r="K172" s="132" t="s">
        <v>110</v>
      </c>
      <c r="L172" s="131">
        <v>1</v>
      </c>
      <c r="M172" s="131">
        <v>0</v>
      </c>
      <c r="N172" s="131">
        <v>0</v>
      </c>
      <c r="O172" s="133" t="s">
        <v>132</v>
      </c>
      <c r="P172" s="134">
        <v>0.30208333333333331</v>
      </c>
      <c r="Q172" s="131">
        <v>180</v>
      </c>
      <c r="R172" s="135" t="s">
        <v>112</v>
      </c>
    </row>
    <row r="173" spans="1:18" ht="49.95" customHeight="1" thickBot="1" x14ac:dyDescent="0.35">
      <c r="A173" s="171" t="s">
        <v>28</v>
      </c>
      <c r="B173" s="171" t="s">
        <v>101</v>
      </c>
      <c r="C173" s="172">
        <v>0.52777777777777779</v>
      </c>
      <c r="D173" s="171" t="s">
        <v>30</v>
      </c>
      <c r="E173" s="173"/>
      <c r="F173" s="171" t="s">
        <v>39</v>
      </c>
      <c r="G173" s="213"/>
      <c r="H173" s="174" t="s">
        <v>101</v>
      </c>
      <c r="I173" s="175">
        <v>0</v>
      </c>
      <c r="J173" s="176">
        <v>0</v>
      </c>
      <c r="K173" s="177" t="s">
        <v>40</v>
      </c>
      <c r="L173" s="176">
        <v>0</v>
      </c>
      <c r="M173" s="176">
        <v>0</v>
      </c>
      <c r="N173" s="176">
        <v>0</v>
      </c>
      <c r="O173" s="178" t="s">
        <v>132</v>
      </c>
      <c r="P173" s="179">
        <v>0.52777777777777779</v>
      </c>
      <c r="Q173" s="176">
        <v>180</v>
      </c>
      <c r="R173" s="180" t="s">
        <v>40</v>
      </c>
    </row>
    <row r="174" spans="1:18" ht="17.399999999999999" customHeight="1" thickBot="1" x14ac:dyDescent="0.35">
      <c r="A174" s="229"/>
      <c r="B174" s="230"/>
      <c r="C174" s="230"/>
      <c r="D174" s="230"/>
      <c r="E174" s="230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1"/>
    </row>
    <row r="175" spans="1:18" ht="22.05" customHeight="1" thickTop="1" thickBot="1" x14ac:dyDescent="0.35">
      <c r="A175" s="202" t="s">
        <v>8</v>
      </c>
      <c r="B175" s="203"/>
      <c r="C175" s="203"/>
      <c r="D175" s="203"/>
      <c r="E175" s="203"/>
      <c r="F175" s="204"/>
      <c r="G175" s="18">
        <v>46082</v>
      </c>
      <c r="H175" s="205" t="s">
        <v>9</v>
      </c>
      <c r="I175" s="203"/>
      <c r="J175" s="203"/>
      <c r="K175" s="203"/>
      <c r="L175" s="203"/>
      <c r="M175" s="203"/>
      <c r="N175" s="203"/>
      <c r="O175" s="203"/>
      <c r="P175" s="203"/>
      <c r="Q175" s="203"/>
      <c r="R175" s="204"/>
    </row>
    <row r="176" spans="1:18" ht="24" customHeight="1" x14ac:dyDescent="0.3">
      <c r="A176" s="19" t="s">
        <v>10</v>
      </c>
      <c r="B176" s="19" t="s">
        <v>11</v>
      </c>
      <c r="C176" s="20" t="s">
        <v>12</v>
      </c>
      <c r="D176" s="19" t="s">
        <v>13</v>
      </c>
      <c r="E176" s="19" t="s">
        <v>14</v>
      </c>
      <c r="F176" s="21" t="s">
        <v>15</v>
      </c>
      <c r="G176" s="22" t="s">
        <v>16</v>
      </c>
      <c r="H176" s="19" t="s">
        <v>17</v>
      </c>
      <c r="I176" s="23" t="s">
        <v>18</v>
      </c>
      <c r="J176" s="24" t="s">
        <v>19</v>
      </c>
      <c r="K176" s="25" t="s">
        <v>20</v>
      </c>
      <c r="L176" s="24" t="s">
        <v>21</v>
      </c>
      <c r="M176" s="24" t="s">
        <v>22</v>
      </c>
      <c r="N176" s="24" t="s">
        <v>23</v>
      </c>
      <c r="O176" s="19" t="s">
        <v>24</v>
      </c>
      <c r="P176" s="20" t="s">
        <v>25</v>
      </c>
      <c r="Q176" s="24" t="s">
        <v>26</v>
      </c>
      <c r="R176" s="19" t="s">
        <v>27</v>
      </c>
    </row>
    <row r="177" spans="1:18" ht="49.95" customHeight="1" x14ac:dyDescent="0.3">
      <c r="A177" s="66" t="s">
        <v>28</v>
      </c>
      <c r="B177" s="66" t="s">
        <v>93</v>
      </c>
      <c r="C177" s="67">
        <v>0.3298611111111111</v>
      </c>
      <c r="D177" s="66" t="s">
        <v>30</v>
      </c>
      <c r="E177" s="68"/>
      <c r="F177" s="66" t="s">
        <v>31</v>
      </c>
      <c r="G177" s="197"/>
      <c r="H177" s="139" t="s">
        <v>93</v>
      </c>
      <c r="I177" s="140">
        <v>1.67E-2</v>
      </c>
      <c r="J177" s="141">
        <v>3</v>
      </c>
      <c r="K177" s="142" t="s">
        <v>120</v>
      </c>
      <c r="L177" s="141">
        <v>3</v>
      </c>
      <c r="M177" s="141">
        <v>0</v>
      </c>
      <c r="N177" s="141">
        <v>0</v>
      </c>
      <c r="O177" s="143" t="s">
        <v>137</v>
      </c>
      <c r="P177" s="144">
        <v>0.3298611111111111</v>
      </c>
      <c r="Q177" s="141">
        <v>180</v>
      </c>
      <c r="R177" s="145" t="s">
        <v>138</v>
      </c>
    </row>
    <row r="178" spans="1:18" ht="49.95" customHeight="1" x14ac:dyDescent="0.3">
      <c r="A178" s="146" t="s">
        <v>28</v>
      </c>
      <c r="B178" s="146" t="s">
        <v>101</v>
      </c>
      <c r="C178" s="147">
        <v>0.69097222222222221</v>
      </c>
      <c r="D178" s="146" t="s">
        <v>30</v>
      </c>
      <c r="E178" s="148"/>
      <c r="F178" s="146" t="s">
        <v>39</v>
      </c>
      <c r="G178" s="213"/>
      <c r="H178" s="59" t="s">
        <v>101</v>
      </c>
      <c r="I178" s="60">
        <v>0</v>
      </c>
      <c r="J178" s="61">
        <v>0</v>
      </c>
      <c r="K178" s="62" t="s">
        <v>40</v>
      </c>
      <c r="L178" s="61">
        <v>0</v>
      </c>
      <c r="M178" s="61">
        <v>0</v>
      </c>
      <c r="N178" s="61">
        <v>0</v>
      </c>
      <c r="O178" s="63" t="s">
        <v>137</v>
      </c>
      <c r="P178" s="64">
        <v>0.69097222222222221</v>
      </c>
      <c r="Q178" s="61">
        <v>180</v>
      </c>
      <c r="R178" s="65" t="s">
        <v>40</v>
      </c>
    </row>
  </sheetData>
  <mergeCells count="138">
    <mergeCell ref="A174:R174"/>
    <mergeCell ref="A37:F37"/>
    <mergeCell ref="A84:R84"/>
    <mergeCell ref="H112:R112"/>
    <mergeCell ref="H4:R4"/>
    <mergeCell ref="A57:F57"/>
    <mergeCell ref="A3:R3"/>
    <mergeCell ref="G44:G46"/>
    <mergeCell ref="G162:G163"/>
    <mergeCell ref="A47:R47"/>
    <mergeCell ref="G107:G110"/>
    <mergeCell ref="G130"/>
    <mergeCell ref="A4:F4"/>
    <mergeCell ref="A159:R159"/>
    <mergeCell ref="A29:R29"/>
    <mergeCell ref="H138:R138"/>
    <mergeCell ref="H90:R90"/>
    <mergeCell ref="A123:F123"/>
    <mergeCell ref="A24:R24"/>
    <mergeCell ref="A73:R73"/>
    <mergeCell ref="A138:F138"/>
    <mergeCell ref="A132:F132"/>
    <mergeCell ref="G167"/>
    <mergeCell ref="G102:G103"/>
    <mergeCell ref="N1:R1"/>
    <mergeCell ref="H132:R132"/>
    <mergeCell ref="A63:F63"/>
    <mergeCell ref="A10:F10"/>
    <mergeCell ref="G21:G23"/>
    <mergeCell ref="A19:F19"/>
    <mergeCell ref="A68:F68"/>
    <mergeCell ref="H42:R42"/>
    <mergeCell ref="A52:R52"/>
    <mergeCell ref="A117:F117"/>
    <mergeCell ref="H100:R100"/>
    <mergeCell ref="K2:R2"/>
    <mergeCell ref="H57:R57"/>
    <mergeCell ref="A67:R67"/>
    <mergeCell ref="G32:G35"/>
    <mergeCell ref="A94:F94"/>
    <mergeCell ref="H30:R30"/>
    <mergeCell ref="A128:F128"/>
    <mergeCell ref="A25:F25"/>
    <mergeCell ref="G177:G178"/>
    <mergeCell ref="H85:R85"/>
    <mergeCell ref="A131:R131"/>
    <mergeCell ref="H94:R94"/>
    <mergeCell ref="G96:G98"/>
    <mergeCell ref="G114:G115"/>
    <mergeCell ref="G70:G72"/>
    <mergeCell ref="A112:F112"/>
    <mergeCell ref="A93:R93"/>
    <mergeCell ref="A111:R111"/>
    <mergeCell ref="G140:G141"/>
    <mergeCell ref="A169:F169"/>
    <mergeCell ref="G156:G158"/>
    <mergeCell ref="A79:F79"/>
    <mergeCell ref="A168:R168"/>
    <mergeCell ref="H154:R154"/>
    <mergeCell ref="A78:R78"/>
    <mergeCell ref="A90:F90"/>
    <mergeCell ref="A74:F74"/>
    <mergeCell ref="A105:F105"/>
    <mergeCell ref="G125:G126"/>
    <mergeCell ref="A89:R89"/>
    <mergeCell ref="A154:F154"/>
    <mergeCell ref="A104:R104"/>
    <mergeCell ref="A2:F2"/>
    <mergeCell ref="A85:F85"/>
    <mergeCell ref="A42:F42"/>
    <mergeCell ref="H25:R25"/>
    <mergeCell ref="H143:R143"/>
    <mergeCell ref="H117:R117"/>
    <mergeCell ref="G119:G121"/>
    <mergeCell ref="A116:R116"/>
    <mergeCell ref="G134:G136"/>
    <mergeCell ref="A48:F48"/>
    <mergeCell ref="H19:R19"/>
    <mergeCell ref="A30:F30"/>
    <mergeCell ref="G27:G28"/>
    <mergeCell ref="H48:R48"/>
    <mergeCell ref="A36:R36"/>
    <mergeCell ref="G59:G61"/>
    <mergeCell ref="H74:R74"/>
    <mergeCell ref="H68:R68"/>
    <mergeCell ref="A14:R14"/>
    <mergeCell ref="G2:J2"/>
    <mergeCell ref="A100:F100"/>
    <mergeCell ref="A53:F53"/>
    <mergeCell ref="H123:R123"/>
    <mergeCell ref="A143:F143"/>
    <mergeCell ref="A127:R127"/>
    <mergeCell ref="G171:G173"/>
    <mergeCell ref="H105:R105"/>
    <mergeCell ref="A142:R142"/>
    <mergeCell ref="G92"/>
    <mergeCell ref="G12:G13"/>
    <mergeCell ref="H15:R15"/>
    <mergeCell ref="G6:G8"/>
    <mergeCell ref="A153:R153"/>
    <mergeCell ref="G55"/>
    <mergeCell ref="A137:R137"/>
    <mergeCell ref="H165:R165"/>
    <mergeCell ref="G151:G152"/>
    <mergeCell ref="A149:F149"/>
    <mergeCell ref="H63:R63"/>
    <mergeCell ref="A164:R164"/>
    <mergeCell ref="H10:R10"/>
    <mergeCell ref="G39:G40"/>
    <mergeCell ref="A56:R56"/>
    <mergeCell ref="A165:F165"/>
    <mergeCell ref="H149:R149"/>
    <mergeCell ref="A148:R148"/>
    <mergeCell ref="H160:R160"/>
    <mergeCell ref="H53:R53"/>
    <mergeCell ref="A41:R41"/>
    <mergeCell ref="H175:R175"/>
    <mergeCell ref="A99:R99"/>
    <mergeCell ref="H1:L1"/>
    <mergeCell ref="A1:E1"/>
    <mergeCell ref="A18:R18"/>
    <mergeCell ref="A160:F160"/>
    <mergeCell ref="A175:F175"/>
    <mergeCell ref="G87:G88"/>
    <mergeCell ref="G65:G66"/>
    <mergeCell ref="G81:G83"/>
    <mergeCell ref="H169:R169"/>
    <mergeCell ref="A62:R62"/>
    <mergeCell ref="G145:G147"/>
    <mergeCell ref="H79:R79"/>
    <mergeCell ref="G17"/>
    <mergeCell ref="G76:G77"/>
    <mergeCell ref="A122:R122"/>
    <mergeCell ref="H128:R128"/>
    <mergeCell ref="A9:R9"/>
    <mergeCell ref="H37:R37"/>
    <mergeCell ref="A15:F15"/>
    <mergeCell ref="G50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9"/>
  <sheetViews>
    <sheetView workbookViewId="0"/>
  </sheetViews>
  <sheetFormatPr defaultRowHeight="15.6" outlineLevelCol="1" x14ac:dyDescent="0.3"/>
  <cols>
    <col min="1" max="1" width="11.5546875" style="216" bestFit="1" customWidth="1"/>
    <col min="2" max="2" width="10.109375" style="216" bestFit="1" customWidth="1"/>
    <col min="3" max="3" width="6.77734375" style="216" bestFit="1" customWidth="1"/>
    <col min="4" max="4" width="5.5546875" style="216" bestFit="1" customWidth="1"/>
    <col min="5" max="5" width="7.77734375" style="216" bestFit="1" customWidth="1"/>
    <col min="6" max="6" width="4.21875" style="216" bestFit="1" customWidth="1"/>
    <col min="7" max="7" width="8.44140625" style="216" bestFit="1" customWidth="1"/>
    <col min="8" max="8" width="10.109375" style="216" bestFit="1" customWidth="1"/>
    <col min="9" max="10" width="7" style="216" bestFit="1" customWidth="1"/>
    <col min="11" max="11" width="10.5546875" style="216" bestFit="1" customWidth="1"/>
    <col min="12" max="12" width="18.109375" style="216" bestFit="1" customWidth="1"/>
    <col min="13" max="13" width="7.6640625" style="216" bestFit="1" customWidth="1" outlineLevel="1"/>
    <col min="14" max="14" width="6.33203125" style="216" bestFit="1" customWidth="1" outlineLevel="1"/>
    <col min="15" max="15" width="8" style="216" bestFit="1" customWidth="1" outlineLevel="1"/>
    <col min="16" max="16" width="13.6640625" style="216" bestFit="1" customWidth="1"/>
    <col min="17" max="26" width="3.88671875" style="216" bestFit="1" customWidth="1"/>
    <col min="27" max="27" width="4" style="216" bestFit="1" customWidth="1"/>
    <col min="28" max="36" width="3.88671875" style="216" bestFit="1" customWidth="1"/>
    <col min="37" max="16384" width="8.88671875" style="216"/>
  </cols>
  <sheetData>
    <row r="1" spans="1:36" x14ac:dyDescent="0.3">
      <c r="A1" s="215" t="s">
        <v>49</v>
      </c>
      <c r="B1" s="215" t="s">
        <v>50</v>
      </c>
      <c r="C1" s="215" t="s">
        <v>51</v>
      </c>
      <c r="D1" s="215" t="s">
        <v>25</v>
      </c>
      <c r="E1" s="215" t="s">
        <v>52</v>
      </c>
      <c r="F1" s="215" t="s">
        <v>53</v>
      </c>
      <c r="G1" s="215" t="s">
        <v>18</v>
      </c>
      <c r="H1" s="215" t="s">
        <v>54</v>
      </c>
      <c r="I1" s="215" t="s">
        <v>55</v>
      </c>
      <c r="J1" s="215" t="s">
        <v>56</v>
      </c>
      <c r="K1" s="215" t="s">
        <v>57</v>
      </c>
      <c r="L1" s="215" t="s">
        <v>20</v>
      </c>
      <c r="M1" s="215" t="s">
        <v>22</v>
      </c>
      <c r="N1" s="215" t="s">
        <v>23</v>
      </c>
      <c r="O1" s="215" t="s">
        <v>21</v>
      </c>
      <c r="P1" s="215" t="s">
        <v>24</v>
      </c>
      <c r="Q1" s="215" t="s">
        <v>58</v>
      </c>
      <c r="R1" s="215" t="s">
        <v>59</v>
      </c>
      <c r="S1" s="215" t="s">
        <v>60</v>
      </c>
      <c r="T1" s="215" t="s">
        <v>61</v>
      </c>
      <c r="U1" s="215" t="s">
        <v>62</v>
      </c>
      <c r="V1" s="215" t="s">
        <v>63</v>
      </c>
      <c r="W1" s="215" t="s">
        <v>64</v>
      </c>
      <c r="X1" s="215" t="s">
        <v>65</v>
      </c>
      <c r="Y1" s="215" t="s">
        <v>66</v>
      </c>
      <c r="Z1" s="215" t="s">
        <v>67</v>
      </c>
      <c r="AA1" s="215" t="s">
        <v>68</v>
      </c>
      <c r="AB1" s="215" t="s">
        <v>69</v>
      </c>
      <c r="AC1" s="215" t="s">
        <v>70</v>
      </c>
      <c r="AD1" s="215" t="s">
        <v>71</v>
      </c>
      <c r="AE1" s="215" t="s">
        <v>72</v>
      </c>
      <c r="AF1" s="215" t="s">
        <v>73</v>
      </c>
      <c r="AG1" s="215" t="s">
        <v>74</v>
      </c>
      <c r="AH1" s="215" t="s">
        <v>75</v>
      </c>
      <c r="AI1" s="215" t="s">
        <v>76</v>
      </c>
      <c r="AJ1" s="215" t="s">
        <v>77</v>
      </c>
    </row>
    <row r="2" spans="1:36" x14ac:dyDescent="0.3">
      <c r="A2" s="217" t="s">
        <v>78</v>
      </c>
      <c r="B2" s="218">
        <v>46050</v>
      </c>
      <c r="C2" s="219" t="s">
        <v>90</v>
      </c>
      <c r="D2" s="220" t="s">
        <v>139</v>
      </c>
      <c r="E2" s="219" t="s">
        <v>89</v>
      </c>
      <c r="F2" s="219" t="s">
        <v>80</v>
      </c>
      <c r="G2" s="221">
        <v>5.5999999999999999E-3</v>
      </c>
      <c r="H2" s="222">
        <v>180</v>
      </c>
      <c r="I2" s="222">
        <v>1</v>
      </c>
      <c r="J2" s="222">
        <v>0</v>
      </c>
      <c r="K2" s="219" t="s">
        <v>81</v>
      </c>
      <c r="L2" s="223" t="s">
        <v>91</v>
      </c>
      <c r="M2" s="222">
        <v>0</v>
      </c>
      <c r="N2" s="222">
        <v>0</v>
      </c>
      <c r="O2" s="222">
        <v>1</v>
      </c>
      <c r="P2" s="219" t="s">
        <v>92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22" t="s">
        <v>34</v>
      </c>
      <c r="AD2" s="215"/>
      <c r="AE2" s="215"/>
      <c r="AF2" s="215"/>
      <c r="AG2" s="215"/>
      <c r="AH2" s="215"/>
      <c r="AI2" s="215"/>
      <c r="AJ2" s="215"/>
    </row>
    <row r="3" spans="1:36" x14ac:dyDescent="0.3">
      <c r="A3" s="217" t="s">
        <v>78</v>
      </c>
      <c r="B3" s="218">
        <v>46050</v>
      </c>
      <c r="C3" s="219" t="s">
        <v>93</v>
      </c>
      <c r="D3" s="220" t="s">
        <v>140</v>
      </c>
      <c r="E3" s="219" t="s">
        <v>89</v>
      </c>
      <c r="F3" s="219" t="s">
        <v>80</v>
      </c>
      <c r="G3" s="221">
        <v>4.4400000000000002E-2</v>
      </c>
      <c r="H3" s="222">
        <v>180</v>
      </c>
      <c r="I3" s="222">
        <v>8</v>
      </c>
      <c r="J3" s="222">
        <v>0</v>
      </c>
      <c r="K3" s="219" t="s">
        <v>81</v>
      </c>
      <c r="L3" s="223" t="s">
        <v>94</v>
      </c>
      <c r="M3" s="222">
        <v>0</v>
      </c>
      <c r="N3" s="222">
        <v>0</v>
      </c>
      <c r="O3" s="222">
        <v>8</v>
      </c>
      <c r="P3" s="219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22" t="s">
        <v>141</v>
      </c>
      <c r="AC3" s="222" t="s">
        <v>99</v>
      </c>
      <c r="AD3" s="215"/>
      <c r="AE3" s="215"/>
      <c r="AF3" s="215"/>
      <c r="AG3" s="215"/>
      <c r="AH3" s="215"/>
      <c r="AI3" s="215"/>
      <c r="AJ3" s="215"/>
    </row>
    <row r="4" spans="1:36" x14ac:dyDescent="0.3">
      <c r="A4" s="217" t="s">
        <v>78</v>
      </c>
      <c r="B4" s="218">
        <v>46050</v>
      </c>
      <c r="C4" s="219" t="s">
        <v>97</v>
      </c>
      <c r="D4" s="220" t="s">
        <v>142</v>
      </c>
      <c r="E4" s="219" t="s">
        <v>89</v>
      </c>
      <c r="F4" s="219" t="s">
        <v>80</v>
      </c>
      <c r="G4" s="221">
        <v>1.11E-2</v>
      </c>
      <c r="H4" s="222">
        <v>180</v>
      </c>
      <c r="I4" s="222">
        <v>2</v>
      </c>
      <c r="J4" s="222">
        <v>0</v>
      </c>
      <c r="K4" s="219" t="s">
        <v>81</v>
      </c>
      <c r="L4" s="223" t="s">
        <v>98</v>
      </c>
      <c r="M4" s="222">
        <v>0</v>
      </c>
      <c r="N4" s="222">
        <v>0</v>
      </c>
      <c r="O4" s="222">
        <v>2</v>
      </c>
      <c r="P4" s="219" t="s">
        <v>99</v>
      </c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22" t="s">
        <v>99</v>
      </c>
      <c r="AD4" s="215"/>
      <c r="AE4" s="215"/>
      <c r="AF4" s="215"/>
      <c r="AG4" s="215"/>
      <c r="AH4" s="215"/>
      <c r="AI4" s="215"/>
      <c r="AJ4" s="215"/>
    </row>
    <row r="5" spans="1:36" x14ac:dyDescent="0.3">
      <c r="A5" s="217" t="s">
        <v>143</v>
      </c>
      <c r="B5" s="218">
        <v>46051</v>
      </c>
      <c r="C5" s="219" t="s">
        <v>90</v>
      </c>
      <c r="D5" s="220" t="s">
        <v>144</v>
      </c>
      <c r="E5" s="219" t="s">
        <v>89</v>
      </c>
      <c r="F5" s="219" t="s">
        <v>80</v>
      </c>
      <c r="G5" s="221">
        <v>0</v>
      </c>
      <c r="H5" s="222">
        <v>180</v>
      </c>
      <c r="I5" s="222">
        <v>0</v>
      </c>
      <c r="J5" s="222">
        <v>0</v>
      </c>
      <c r="K5" s="219" t="s">
        <v>81</v>
      </c>
      <c r="L5" s="223" t="s">
        <v>40</v>
      </c>
      <c r="M5" s="222">
        <v>0</v>
      </c>
      <c r="N5" s="222">
        <v>0</v>
      </c>
      <c r="O5" s="222">
        <v>0</v>
      </c>
      <c r="P5" s="219" t="s">
        <v>100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</row>
    <row r="6" spans="1:36" x14ac:dyDescent="0.3">
      <c r="A6" s="217" t="s">
        <v>143</v>
      </c>
      <c r="B6" s="218">
        <v>46051</v>
      </c>
      <c r="C6" s="219" t="s">
        <v>101</v>
      </c>
      <c r="D6" s="220" t="s">
        <v>145</v>
      </c>
      <c r="E6" s="219" t="s">
        <v>89</v>
      </c>
      <c r="F6" s="219" t="s">
        <v>80</v>
      </c>
      <c r="G6" s="221">
        <v>1.11E-2</v>
      </c>
      <c r="H6" s="222">
        <v>180</v>
      </c>
      <c r="I6" s="222">
        <v>2</v>
      </c>
      <c r="J6" s="222">
        <v>0</v>
      </c>
      <c r="K6" s="219" t="s">
        <v>81</v>
      </c>
      <c r="L6" s="223" t="s">
        <v>102</v>
      </c>
      <c r="M6" s="222">
        <v>0</v>
      </c>
      <c r="N6" s="222">
        <v>0</v>
      </c>
      <c r="O6" s="222">
        <v>2</v>
      </c>
      <c r="P6" s="219" t="s">
        <v>100</v>
      </c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22" t="s">
        <v>103</v>
      </c>
      <c r="AB6" s="215"/>
      <c r="AC6" s="215"/>
      <c r="AD6" s="215"/>
      <c r="AE6" s="215"/>
      <c r="AF6" s="215"/>
      <c r="AG6" s="215"/>
      <c r="AH6" s="215"/>
      <c r="AI6" s="215"/>
      <c r="AJ6" s="215"/>
    </row>
    <row r="7" spans="1:36" x14ac:dyDescent="0.3">
      <c r="A7" s="217" t="s">
        <v>146</v>
      </c>
      <c r="B7" s="218">
        <v>46052</v>
      </c>
      <c r="C7" s="219" t="s">
        <v>93</v>
      </c>
      <c r="D7" s="220" t="s">
        <v>147</v>
      </c>
      <c r="E7" s="219" t="s">
        <v>89</v>
      </c>
      <c r="F7" s="219" t="s">
        <v>80</v>
      </c>
      <c r="G7" s="221">
        <v>1.67E-2</v>
      </c>
      <c r="H7" s="222">
        <v>180</v>
      </c>
      <c r="I7" s="222">
        <v>3</v>
      </c>
      <c r="J7" s="222">
        <v>0</v>
      </c>
      <c r="K7" s="219" t="s">
        <v>81</v>
      </c>
      <c r="L7" s="223" t="s">
        <v>45</v>
      </c>
      <c r="M7" s="222">
        <v>0</v>
      </c>
      <c r="N7" s="222">
        <v>0</v>
      </c>
      <c r="O7" s="222">
        <v>3</v>
      </c>
      <c r="P7" s="219" t="s">
        <v>34</v>
      </c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22" t="s">
        <v>92</v>
      </c>
      <c r="AD7" s="215"/>
      <c r="AE7" s="215"/>
      <c r="AF7" s="215"/>
      <c r="AG7" s="215"/>
      <c r="AH7" s="215"/>
      <c r="AI7" s="215"/>
      <c r="AJ7" s="215"/>
    </row>
    <row r="8" spans="1:36" x14ac:dyDescent="0.3">
      <c r="A8" s="217" t="s">
        <v>82</v>
      </c>
      <c r="B8" s="218">
        <v>46053</v>
      </c>
      <c r="C8" s="219" t="s">
        <v>93</v>
      </c>
      <c r="D8" s="220" t="s">
        <v>148</v>
      </c>
      <c r="E8" s="219" t="s">
        <v>89</v>
      </c>
      <c r="F8" s="219" t="s">
        <v>80</v>
      </c>
      <c r="G8" s="221">
        <v>5.5999999999999999E-3</v>
      </c>
      <c r="H8" s="222">
        <v>180</v>
      </c>
      <c r="I8" s="222">
        <v>1</v>
      </c>
      <c r="J8" s="222">
        <v>0</v>
      </c>
      <c r="K8" s="219" t="s">
        <v>81</v>
      </c>
      <c r="L8" s="223" t="s">
        <v>104</v>
      </c>
      <c r="M8" s="222">
        <v>0</v>
      </c>
      <c r="N8" s="222">
        <v>0</v>
      </c>
      <c r="O8" s="222">
        <v>1</v>
      </c>
      <c r="P8" s="219" t="s">
        <v>92</v>
      </c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22" t="s">
        <v>34</v>
      </c>
      <c r="AD8" s="215"/>
      <c r="AE8" s="215"/>
      <c r="AF8" s="215"/>
      <c r="AG8" s="215"/>
      <c r="AH8" s="215"/>
      <c r="AI8" s="215"/>
      <c r="AJ8" s="215"/>
    </row>
    <row r="9" spans="1:36" x14ac:dyDescent="0.3">
      <c r="A9" s="217" t="s">
        <v>82</v>
      </c>
      <c r="B9" s="218">
        <v>46053</v>
      </c>
      <c r="C9" s="219" t="s">
        <v>90</v>
      </c>
      <c r="D9" s="220" t="s">
        <v>149</v>
      </c>
      <c r="E9" s="219" t="s">
        <v>89</v>
      </c>
      <c r="F9" s="219" t="s">
        <v>80</v>
      </c>
      <c r="G9" s="221">
        <v>5.5999999999999999E-3</v>
      </c>
      <c r="H9" s="222">
        <v>180</v>
      </c>
      <c r="I9" s="222">
        <v>1</v>
      </c>
      <c r="J9" s="222">
        <v>0</v>
      </c>
      <c r="K9" s="219" t="s">
        <v>81</v>
      </c>
      <c r="L9" s="223" t="s">
        <v>105</v>
      </c>
      <c r="M9" s="222">
        <v>0</v>
      </c>
      <c r="N9" s="222">
        <v>0</v>
      </c>
      <c r="O9" s="222">
        <v>1</v>
      </c>
      <c r="P9" s="219" t="s">
        <v>92</v>
      </c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22" t="s">
        <v>34</v>
      </c>
      <c r="AD9" s="215"/>
      <c r="AE9" s="215"/>
      <c r="AF9" s="215"/>
      <c r="AG9" s="215"/>
      <c r="AH9" s="215"/>
      <c r="AI9" s="215"/>
      <c r="AJ9" s="215"/>
    </row>
    <row r="10" spans="1:36" x14ac:dyDescent="0.3">
      <c r="A10" s="217" t="s">
        <v>82</v>
      </c>
      <c r="B10" s="218">
        <v>46053</v>
      </c>
      <c r="C10" s="219" t="s">
        <v>101</v>
      </c>
      <c r="D10" s="220" t="s">
        <v>150</v>
      </c>
      <c r="E10" s="219" t="s">
        <v>89</v>
      </c>
      <c r="F10" s="219" t="s">
        <v>80</v>
      </c>
      <c r="G10" s="221">
        <v>2.2200000000000001E-2</v>
      </c>
      <c r="H10" s="222">
        <v>180</v>
      </c>
      <c r="I10" s="222">
        <v>4</v>
      </c>
      <c r="J10" s="222">
        <v>0</v>
      </c>
      <c r="K10" s="219" t="s">
        <v>81</v>
      </c>
      <c r="L10" s="223" t="s">
        <v>106</v>
      </c>
      <c r="M10" s="222">
        <v>0</v>
      </c>
      <c r="N10" s="222">
        <v>0</v>
      </c>
      <c r="O10" s="222">
        <v>4</v>
      </c>
      <c r="P10" s="219" t="s">
        <v>34</v>
      </c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22" t="s">
        <v>112</v>
      </c>
      <c r="AB10" s="215"/>
      <c r="AC10" s="222" t="s">
        <v>92</v>
      </c>
      <c r="AD10" s="215"/>
      <c r="AE10" s="215"/>
      <c r="AF10" s="215"/>
      <c r="AG10" s="215"/>
      <c r="AH10" s="215"/>
      <c r="AI10" s="215"/>
      <c r="AJ10" s="215"/>
    </row>
    <row r="11" spans="1:36" x14ac:dyDescent="0.3">
      <c r="A11" s="217" t="s">
        <v>151</v>
      </c>
      <c r="B11" s="218">
        <v>46054</v>
      </c>
      <c r="C11" s="219" t="s">
        <v>93</v>
      </c>
      <c r="D11" s="220" t="s">
        <v>152</v>
      </c>
      <c r="E11" s="219" t="s">
        <v>89</v>
      </c>
      <c r="F11" s="219" t="s">
        <v>80</v>
      </c>
      <c r="G11" s="221">
        <v>3.3300000000000003E-2</v>
      </c>
      <c r="H11" s="222">
        <v>180</v>
      </c>
      <c r="I11" s="222">
        <v>6</v>
      </c>
      <c r="J11" s="222">
        <v>0</v>
      </c>
      <c r="K11" s="219" t="s">
        <v>81</v>
      </c>
      <c r="L11" s="223" t="s">
        <v>91</v>
      </c>
      <c r="M11" s="222">
        <v>0</v>
      </c>
      <c r="N11" s="222">
        <v>0</v>
      </c>
      <c r="O11" s="222">
        <v>6</v>
      </c>
      <c r="P11" s="219" t="s">
        <v>108</v>
      </c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22" t="s">
        <v>108</v>
      </c>
      <c r="AC11" s="222" t="s">
        <v>100</v>
      </c>
      <c r="AD11" s="215"/>
      <c r="AE11" s="215"/>
      <c r="AF11" s="215"/>
      <c r="AG11" s="215"/>
      <c r="AH11" s="215"/>
      <c r="AI11" s="215"/>
      <c r="AJ11" s="215"/>
    </row>
    <row r="12" spans="1:36" x14ac:dyDescent="0.3">
      <c r="A12" s="217" t="s">
        <v>151</v>
      </c>
      <c r="B12" s="218">
        <v>46054</v>
      </c>
      <c r="C12" s="219" t="s">
        <v>101</v>
      </c>
      <c r="D12" s="220" t="s">
        <v>153</v>
      </c>
      <c r="E12" s="219" t="s">
        <v>89</v>
      </c>
      <c r="F12" s="219" t="s">
        <v>80</v>
      </c>
      <c r="G12" s="221">
        <v>5.5999999999999999E-3</v>
      </c>
      <c r="H12" s="222">
        <v>180</v>
      </c>
      <c r="I12" s="222">
        <v>1</v>
      </c>
      <c r="J12" s="222">
        <v>0</v>
      </c>
      <c r="K12" s="219" t="s">
        <v>81</v>
      </c>
      <c r="L12" s="223" t="s">
        <v>110</v>
      </c>
      <c r="M12" s="222">
        <v>0</v>
      </c>
      <c r="N12" s="222">
        <v>0</v>
      </c>
      <c r="O12" s="222">
        <v>1</v>
      </c>
      <c r="P12" s="219" t="s">
        <v>92</v>
      </c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22" t="s">
        <v>34</v>
      </c>
      <c r="AD12" s="215"/>
      <c r="AE12" s="215"/>
      <c r="AF12" s="215"/>
      <c r="AG12" s="215"/>
      <c r="AH12" s="215"/>
      <c r="AI12" s="215"/>
      <c r="AJ12" s="215"/>
    </row>
    <row r="13" spans="1:36" x14ac:dyDescent="0.3">
      <c r="A13" s="217" t="s">
        <v>85</v>
      </c>
      <c r="B13" s="218">
        <v>46055</v>
      </c>
      <c r="C13" s="219" t="s">
        <v>93</v>
      </c>
      <c r="D13" s="220" t="s">
        <v>154</v>
      </c>
      <c r="E13" s="219" t="s">
        <v>89</v>
      </c>
      <c r="F13" s="219" t="s">
        <v>80</v>
      </c>
      <c r="G13" s="221">
        <v>0</v>
      </c>
      <c r="H13" s="222">
        <v>180</v>
      </c>
      <c r="I13" s="222">
        <v>0</v>
      </c>
      <c r="J13" s="222">
        <v>0</v>
      </c>
      <c r="K13" s="219" t="s">
        <v>81</v>
      </c>
      <c r="L13" s="223" t="s">
        <v>40</v>
      </c>
      <c r="M13" s="222">
        <v>0</v>
      </c>
      <c r="N13" s="222">
        <v>0</v>
      </c>
      <c r="O13" s="222">
        <v>0</v>
      </c>
      <c r="P13" s="219" t="s">
        <v>100</v>
      </c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</row>
    <row r="14" spans="1:36" x14ac:dyDescent="0.3">
      <c r="A14" s="217" t="s">
        <v>85</v>
      </c>
      <c r="B14" s="218">
        <v>46055</v>
      </c>
      <c r="C14" s="219" t="s">
        <v>101</v>
      </c>
      <c r="D14" s="220" t="s">
        <v>155</v>
      </c>
      <c r="E14" s="219" t="s">
        <v>89</v>
      </c>
      <c r="F14" s="219" t="s">
        <v>80</v>
      </c>
      <c r="G14" s="221">
        <v>0</v>
      </c>
      <c r="H14" s="222">
        <v>180</v>
      </c>
      <c r="I14" s="222">
        <v>0</v>
      </c>
      <c r="J14" s="222">
        <v>0</v>
      </c>
      <c r="K14" s="219" t="s">
        <v>81</v>
      </c>
      <c r="L14" s="223" t="s">
        <v>40</v>
      </c>
      <c r="M14" s="222">
        <v>0</v>
      </c>
      <c r="N14" s="222">
        <v>0</v>
      </c>
      <c r="O14" s="222">
        <v>0</v>
      </c>
      <c r="P14" s="219" t="s">
        <v>100</v>
      </c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</row>
    <row r="15" spans="1:36" x14ac:dyDescent="0.3">
      <c r="A15" s="217" t="s">
        <v>85</v>
      </c>
      <c r="B15" s="218">
        <v>46055</v>
      </c>
      <c r="C15" s="219" t="s">
        <v>97</v>
      </c>
      <c r="D15" s="220" t="s">
        <v>156</v>
      </c>
      <c r="E15" s="219" t="s">
        <v>89</v>
      </c>
      <c r="F15" s="219" t="s">
        <v>80</v>
      </c>
      <c r="G15" s="221">
        <v>0</v>
      </c>
      <c r="H15" s="222">
        <v>180</v>
      </c>
      <c r="I15" s="222">
        <v>0</v>
      </c>
      <c r="J15" s="222">
        <v>0</v>
      </c>
      <c r="K15" s="219" t="s">
        <v>81</v>
      </c>
      <c r="L15" s="223" t="s">
        <v>40</v>
      </c>
      <c r="M15" s="222">
        <v>0</v>
      </c>
      <c r="N15" s="222">
        <v>0</v>
      </c>
      <c r="O15" s="222">
        <v>0</v>
      </c>
      <c r="P15" s="219" t="s">
        <v>100</v>
      </c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</row>
    <row r="16" spans="1:36" x14ac:dyDescent="0.3">
      <c r="A16" s="217" t="s">
        <v>85</v>
      </c>
      <c r="B16" s="218">
        <v>46055</v>
      </c>
      <c r="C16" s="219" t="s">
        <v>90</v>
      </c>
      <c r="D16" s="220" t="s">
        <v>145</v>
      </c>
      <c r="E16" s="219" t="s">
        <v>89</v>
      </c>
      <c r="F16" s="219" t="s">
        <v>80</v>
      </c>
      <c r="G16" s="221">
        <v>1.11E-2</v>
      </c>
      <c r="H16" s="222">
        <v>180</v>
      </c>
      <c r="I16" s="222">
        <v>2</v>
      </c>
      <c r="J16" s="222">
        <v>0</v>
      </c>
      <c r="K16" s="219" t="s">
        <v>81</v>
      </c>
      <c r="L16" s="223" t="s">
        <v>111</v>
      </c>
      <c r="M16" s="222">
        <v>0</v>
      </c>
      <c r="N16" s="222">
        <v>0</v>
      </c>
      <c r="O16" s="222">
        <v>2</v>
      </c>
      <c r="P16" s="219" t="s">
        <v>99</v>
      </c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22" t="s">
        <v>99</v>
      </c>
      <c r="AD16" s="215"/>
      <c r="AE16" s="215"/>
      <c r="AF16" s="215"/>
      <c r="AG16" s="215"/>
      <c r="AH16" s="215"/>
      <c r="AI16" s="215"/>
      <c r="AJ16" s="215"/>
    </row>
    <row r="17" spans="1:36" x14ac:dyDescent="0.3">
      <c r="A17" s="217" t="s">
        <v>87</v>
      </c>
      <c r="B17" s="218">
        <v>46056</v>
      </c>
      <c r="C17" s="219" t="s">
        <v>90</v>
      </c>
      <c r="D17" s="220" t="s">
        <v>157</v>
      </c>
      <c r="E17" s="219" t="s">
        <v>89</v>
      </c>
      <c r="F17" s="219" t="s">
        <v>80</v>
      </c>
      <c r="G17" s="221">
        <v>0</v>
      </c>
      <c r="H17" s="222">
        <v>180</v>
      </c>
      <c r="I17" s="222">
        <v>0</v>
      </c>
      <c r="J17" s="222">
        <v>0</v>
      </c>
      <c r="K17" s="219" t="s">
        <v>81</v>
      </c>
      <c r="L17" s="223" t="s">
        <v>40</v>
      </c>
      <c r="M17" s="222">
        <v>0</v>
      </c>
      <c r="N17" s="222">
        <v>0</v>
      </c>
      <c r="O17" s="222">
        <v>0</v>
      </c>
      <c r="P17" s="219" t="s">
        <v>100</v>
      </c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</row>
    <row r="18" spans="1:36" x14ac:dyDescent="0.3">
      <c r="A18" s="217" t="s">
        <v>87</v>
      </c>
      <c r="B18" s="218">
        <v>46056</v>
      </c>
      <c r="C18" s="219" t="s">
        <v>101</v>
      </c>
      <c r="D18" s="220" t="s">
        <v>150</v>
      </c>
      <c r="E18" s="219" t="s">
        <v>89</v>
      </c>
      <c r="F18" s="219" t="s">
        <v>80</v>
      </c>
      <c r="G18" s="221">
        <v>5.5999999999999999E-3</v>
      </c>
      <c r="H18" s="222">
        <v>180</v>
      </c>
      <c r="I18" s="222">
        <v>1</v>
      </c>
      <c r="J18" s="222">
        <v>0</v>
      </c>
      <c r="K18" s="219" t="s">
        <v>81</v>
      </c>
      <c r="L18" s="223" t="s">
        <v>94</v>
      </c>
      <c r="M18" s="222">
        <v>0</v>
      </c>
      <c r="N18" s="222">
        <v>0</v>
      </c>
      <c r="O18" s="222">
        <v>1</v>
      </c>
      <c r="P18" s="219" t="s">
        <v>100</v>
      </c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22" t="s">
        <v>112</v>
      </c>
      <c r="AB18" s="215"/>
      <c r="AC18" s="215"/>
      <c r="AD18" s="215"/>
      <c r="AE18" s="215"/>
      <c r="AF18" s="215"/>
      <c r="AG18" s="215"/>
      <c r="AH18" s="215"/>
      <c r="AI18" s="215"/>
      <c r="AJ18" s="215"/>
    </row>
    <row r="19" spans="1:36" x14ac:dyDescent="0.3">
      <c r="A19" s="217" t="s">
        <v>78</v>
      </c>
      <c r="B19" s="218">
        <v>46057</v>
      </c>
      <c r="C19" s="219" t="s">
        <v>90</v>
      </c>
      <c r="D19" s="220" t="s">
        <v>139</v>
      </c>
      <c r="E19" s="219" t="s">
        <v>89</v>
      </c>
      <c r="F19" s="219" t="s">
        <v>80</v>
      </c>
      <c r="G19" s="221">
        <v>0</v>
      </c>
      <c r="H19" s="222">
        <v>180</v>
      </c>
      <c r="I19" s="222">
        <v>0</v>
      </c>
      <c r="J19" s="222">
        <v>0</v>
      </c>
      <c r="K19" s="219" t="s">
        <v>81</v>
      </c>
      <c r="L19" s="223" t="s">
        <v>40</v>
      </c>
      <c r="M19" s="222">
        <v>0</v>
      </c>
      <c r="N19" s="222">
        <v>0</v>
      </c>
      <c r="O19" s="222">
        <v>0</v>
      </c>
      <c r="P19" s="219" t="s">
        <v>113</v>
      </c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</row>
    <row r="20" spans="1:36" x14ac:dyDescent="0.3">
      <c r="A20" s="217" t="s">
        <v>78</v>
      </c>
      <c r="B20" s="218">
        <v>46057</v>
      </c>
      <c r="C20" s="219" t="s">
        <v>93</v>
      </c>
      <c r="D20" s="220" t="s">
        <v>140</v>
      </c>
      <c r="E20" s="219" t="s">
        <v>89</v>
      </c>
      <c r="F20" s="219" t="s">
        <v>80</v>
      </c>
      <c r="G20" s="221">
        <v>2.7799999999999998E-2</v>
      </c>
      <c r="H20" s="222">
        <v>180</v>
      </c>
      <c r="I20" s="222">
        <v>5</v>
      </c>
      <c r="J20" s="222">
        <v>0</v>
      </c>
      <c r="K20" s="219" t="s">
        <v>81</v>
      </c>
      <c r="L20" s="223" t="s">
        <v>114</v>
      </c>
      <c r="M20" s="222">
        <v>0</v>
      </c>
      <c r="N20" s="222">
        <v>0</v>
      </c>
      <c r="O20" s="222">
        <v>5</v>
      </c>
      <c r="P20" s="219" t="s">
        <v>115</v>
      </c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22" t="s">
        <v>116</v>
      </c>
      <c r="AF20" s="215"/>
      <c r="AG20" s="215"/>
      <c r="AH20" s="215"/>
      <c r="AI20" s="215"/>
      <c r="AJ20" s="215"/>
    </row>
    <row r="21" spans="1:36" x14ac:dyDescent="0.3">
      <c r="A21" s="217" t="s">
        <v>78</v>
      </c>
      <c r="B21" s="218">
        <v>46057</v>
      </c>
      <c r="C21" s="219" t="s">
        <v>97</v>
      </c>
      <c r="D21" s="220" t="s">
        <v>142</v>
      </c>
      <c r="E21" s="219" t="s">
        <v>89</v>
      </c>
      <c r="F21" s="219" t="s">
        <v>80</v>
      </c>
      <c r="G21" s="221">
        <v>0</v>
      </c>
      <c r="H21" s="222">
        <v>180</v>
      </c>
      <c r="I21" s="222">
        <v>0</v>
      </c>
      <c r="J21" s="222">
        <v>0</v>
      </c>
      <c r="K21" s="219" t="s">
        <v>81</v>
      </c>
      <c r="L21" s="223" t="s">
        <v>40</v>
      </c>
      <c r="M21" s="222">
        <v>0</v>
      </c>
      <c r="N21" s="222">
        <v>0</v>
      </c>
      <c r="O21" s="222">
        <v>0</v>
      </c>
      <c r="P21" s="219" t="s">
        <v>113</v>
      </c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</row>
    <row r="22" spans="1:36" x14ac:dyDescent="0.3">
      <c r="A22" s="217" t="s">
        <v>143</v>
      </c>
      <c r="B22" s="218">
        <v>46058</v>
      </c>
      <c r="C22" s="219" t="s">
        <v>90</v>
      </c>
      <c r="D22" s="220" t="s">
        <v>144</v>
      </c>
      <c r="E22" s="219" t="s">
        <v>89</v>
      </c>
      <c r="F22" s="219" t="s">
        <v>80</v>
      </c>
      <c r="G22" s="221">
        <v>2.7799999999999998E-2</v>
      </c>
      <c r="H22" s="222">
        <v>180</v>
      </c>
      <c r="I22" s="222">
        <v>5</v>
      </c>
      <c r="J22" s="222">
        <v>0</v>
      </c>
      <c r="K22" s="219" t="s">
        <v>81</v>
      </c>
      <c r="L22" s="223" t="s">
        <v>36</v>
      </c>
      <c r="M22" s="222">
        <v>0</v>
      </c>
      <c r="N22" s="222">
        <v>0</v>
      </c>
      <c r="O22" s="222">
        <v>5</v>
      </c>
      <c r="P22" s="219" t="s">
        <v>115</v>
      </c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22" t="s">
        <v>116</v>
      </c>
      <c r="AF22" s="215"/>
      <c r="AG22" s="215"/>
      <c r="AH22" s="215"/>
      <c r="AI22" s="215"/>
      <c r="AJ22" s="215"/>
    </row>
    <row r="23" spans="1:36" x14ac:dyDescent="0.3">
      <c r="A23" s="217" t="s">
        <v>143</v>
      </c>
      <c r="B23" s="218">
        <v>46058</v>
      </c>
      <c r="C23" s="219" t="s">
        <v>101</v>
      </c>
      <c r="D23" s="220" t="s">
        <v>145</v>
      </c>
      <c r="E23" s="219" t="s">
        <v>89</v>
      </c>
      <c r="F23" s="219" t="s">
        <v>80</v>
      </c>
      <c r="G23" s="221">
        <v>5.5999999999999999E-3</v>
      </c>
      <c r="H23" s="222">
        <v>180</v>
      </c>
      <c r="I23" s="222">
        <v>1</v>
      </c>
      <c r="J23" s="222">
        <v>0</v>
      </c>
      <c r="K23" s="219" t="s">
        <v>81</v>
      </c>
      <c r="L23" s="223" t="s">
        <v>117</v>
      </c>
      <c r="M23" s="222">
        <v>0</v>
      </c>
      <c r="N23" s="222">
        <v>0</v>
      </c>
      <c r="O23" s="222">
        <v>1</v>
      </c>
      <c r="P23" s="219" t="s">
        <v>118</v>
      </c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22" t="s">
        <v>119</v>
      </c>
      <c r="AF23" s="215"/>
      <c r="AG23" s="215"/>
      <c r="AH23" s="215"/>
      <c r="AI23" s="215"/>
      <c r="AJ23" s="215"/>
    </row>
    <row r="24" spans="1:36" x14ac:dyDescent="0.3">
      <c r="A24" s="217" t="s">
        <v>146</v>
      </c>
      <c r="B24" s="218">
        <v>46059</v>
      </c>
      <c r="C24" s="219" t="s">
        <v>93</v>
      </c>
      <c r="D24" s="220" t="s">
        <v>147</v>
      </c>
      <c r="E24" s="219" t="s">
        <v>89</v>
      </c>
      <c r="F24" s="219" t="s">
        <v>80</v>
      </c>
      <c r="G24" s="221">
        <v>5.5999999999999999E-3</v>
      </c>
      <c r="H24" s="222">
        <v>180</v>
      </c>
      <c r="I24" s="222">
        <v>1</v>
      </c>
      <c r="J24" s="222">
        <v>0</v>
      </c>
      <c r="K24" s="219" t="s">
        <v>81</v>
      </c>
      <c r="L24" s="223" t="s">
        <v>94</v>
      </c>
      <c r="M24" s="222">
        <v>0</v>
      </c>
      <c r="N24" s="222">
        <v>0</v>
      </c>
      <c r="O24" s="222">
        <v>1</v>
      </c>
      <c r="P24" s="219" t="s">
        <v>118</v>
      </c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22" t="s">
        <v>119</v>
      </c>
      <c r="AF24" s="215"/>
      <c r="AG24" s="215"/>
      <c r="AH24" s="215"/>
      <c r="AI24" s="215"/>
      <c r="AJ24" s="215"/>
    </row>
    <row r="25" spans="1:36" x14ac:dyDescent="0.3">
      <c r="A25" s="217" t="s">
        <v>82</v>
      </c>
      <c r="B25" s="218">
        <v>46060</v>
      </c>
      <c r="C25" s="219" t="s">
        <v>93</v>
      </c>
      <c r="D25" s="220" t="s">
        <v>148</v>
      </c>
      <c r="E25" s="219" t="s">
        <v>89</v>
      </c>
      <c r="F25" s="219" t="s">
        <v>80</v>
      </c>
      <c r="G25" s="221">
        <v>0</v>
      </c>
      <c r="H25" s="222">
        <v>180</v>
      </c>
      <c r="I25" s="222">
        <v>0</v>
      </c>
      <c r="J25" s="222">
        <v>0</v>
      </c>
      <c r="K25" s="219" t="s">
        <v>81</v>
      </c>
      <c r="L25" s="223" t="s">
        <v>40</v>
      </c>
      <c r="M25" s="222">
        <v>0</v>
      </c>
      <c r="N25" s="222">
        <v>0</v>
      </c>
      <c r="O25" s="222">
        <v>0</v>
      </c>
      <c r="P25" s="219" t="s">
        <v>113</v>
      </c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</row>
    <row r="26" spans="1:36" x14ac:dyDescent="0.3">
      <c r="A26" s="217" t="s">
        <v>82</v>
      </c>
      <c r="B26" s="218">
        <v>46060</v>
      </c>
      <c r="C26" s="219" t="s">
        <v>90</v>
      </c>
      <c r="D26" s="220" t="s">
        <v>149</v>
      </c>
      <c r="E26" s="219" t="s">
        <v>89</v>
      </c>
      <c r="F26" s="219" t="s">
        <v>80</v>
      </c>
      <c r="G26" s="221">
        <v>0</v>
      </c>
      <c r="H26" s="222">
        <v>180</v>
      </c>
      <c r="I26" s="222">
        <v>0</v>
      </c>
      <c r="J26" s="222">
        <v>0</v>
      </c>
      <c r="K26" s="219" t="s">
        <v>81</v>
      </c>
      <c r="L26" s="223" t="s">
        <v>40</v>
      </c>
      <c r="M26" s="222">
        <v>0</v>
      </c>
      <c r="N26" s="222">
        <v>0</v>
      </c>
      <c r="O26" s="222">
        <v>0</v>
      </c>
      <c r="P26" s="219" t="s">
        <v>113</v>
      </c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</row>
    <row r="27" spans="1:36" x14ac:dyDescent="0.3">
      <c r="A27" s="217" t="s">
        <v>82</v>
      </c>
      <c r="B27" s="218">
        <v>46060</v>
      </c>
      <c r="C27" s="219" t="s">
        <v>101</v>
      </c>
      <c r="D27" s="220" t="s">
        <v>150</v>
      </c>
      <c r="E27" s="219" t="s">
        <v>89</v>
      </c>
      <c r="F27" s="219" t="s">
        <v>80</v>
      </c>
      <c r="G27" s="221">
        <v>1.67E-2</v>
      </c>
      <c r="H27" s="222">
        <v>180</v>
      </c>
      <c r="I27" s="222">
        <v>3</v>
      </c>
      <c r="J27" s="222">
        <v>0</v>
      </c>
      <c r="K27" s="219" t="s">
        <v>81</v>
      </c>
      <c r="L27" s="223" t="s">
        <v>120</v>
      </c>
      <c r="M27" s="222">
        <v>0</v>
      </c>
      <c r="N27" s="222">
        <v>0</v>
      </c>
      <c r="O27" s="222">
        <v>3</v>
      </c>
      <c r="P27" s="219" t="s">
        <v>121</v>
      </c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22" t="s">
        <v>122</v>
      </c>
      <c r="AF27" s="215"/>
      <c r="AG27" s="215"/>
      <c r="AH27" s="215"/>
      <c r="AI27" s="215"/>
      <c r="AJ27" s="215"/>
    </row>
    <row r="28" spans="1:36" x14ac:dyDescent="0.3">
      <c r="A28" s="217" t="s">
        <v>151</v>
      </c>
      <c r="B28" s="218">
        <v>46061</v>
      </c>
      <c r="C28" s="219" t="s">
        <v>93</v>
      </c>
      <c r="D28" s="220" t="s">
        <v>152</v>
      </c>
      <c r="E28" s="219" t="s">
        <v>89</v>
      </c>
      <c r="F28" s="219" t="s">
        <v>80</v>
      </c>
      <c r="G28" s="221">
        <v>1.11E-2</v>
      </c>
      <c r="H28" s="222">
        <v>180</v>
      </c>
      <c r="I28" s="222">
        <v>2</v>
      </c>
      <c r="J28" s="222">
        <v>0</v>
      </c>
      <c r="K28" s="219" t="s">
        <v>81</v>
      </c>
      <c r="L28" s="223" t="s">
        <v>45</v>
      </c>
      <c r="M28" s="222">
        <v>0</v>
      </c>
      <c r="N28" s="222">
        <v>0</v>
      </c>
      <c r="O28" s="222">
        <v>2</v>
      </c>
      <c r="P28" s="219" t="s">
        <v>123</v>
      </c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22" t="s">
        <v>124</v>
      </c>
      <c r="AF28" s="215"/>
      <c r="AG28" s="215"/>
      <c r="AH28" s="215"/>
      <c r="AI28" s="215"/>
      <c r="AJ28" s="215"/>
    </row>
    <row r="29" spans="1:36" x14ac:dyDescent="0.3">
      <c r="A29" s="217" t="s">
        <v>151</v>
      </c>
      <c r="B29" s="218">
        <v>46061</v>
      </c>
      <c r="C29" s="219" t="s">
        <v>101</v>
      </c>
      <c r="D29" s="220" t="s">
        <v>153</v>
      </c>
      <c r="E29" s="219" t="s">
        <v>89</v>
      </c>
      <c r="F29" s="219" t="s">
        <v>80</v>
      </c>
      <c r="G29" s="221">
        <v>2.2200000000000001E-2</v>
      </c>
      <c r="H29" s="222">
        <v>180</v>
      </c>
      <c r="I29" s="222">
        <v>4</v>
      </c>
      <c r="J29" s="222">
        <v>0</v>
      </c>
      <c r="K29" s="219" t="s">
        <v>81</v>
      </c>
      <c r="L29" s="223" t="s">
        <v>125</v>
      </c>
      <c r="M29" s="222">
        <v>0</v>
      </c>
      <c r="N29" s="222">
        <v>0</v>
      </c>
      <c r="O29" s="222">
        <v>4</v>
      </c>
      <c r="P29" s="219" t="s">
        <v>116</v>
      </c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22" t="s">
        <v>115</v>
      </c>
      <c r="AF29" s="215"/>
      <c r="AG29" s="215"/>
      <c r="AH29" s="215"/>
      <c r="AI29" s="215"/>
      <c r="AJ29" s="215"/>
    </row>
    <row r="30" spans="1:36" x14ac:dyDescent="0.3">
      <c r="A30" s="217" t="s">
        <v>85</v>
      </c>
      <c r="B30" s="218">
        <v>46062</v>
      </c>
      <c r="C30" s="219" t="s">
        <v>93</v>
      </c>
      <c r="D30" s="220" t="s">
        <v>154</v>
      </c>
      <c r="E30" s="219" t="s">
        <v>89</v>
      </c>
      <c r="F30" s="219" t="s">
        <v>80</v>
      </c>
      <c r="G30" s="221">
        <v>0</v>
      </c>
      <c r="H30" s="222">
        <v>180</v>
      </c>
      <c r="I30" s="222">
        <v>0</v>
      </c>
      <c r="J30" s="222">
        <v>0</v>
      </c>
      <c r="K30" s="219" t="s">
        <v>81</v>
      </c>
      <c r="L30" s="223" t="s">
        <v>40</v>
      </c>
      <c r="M30" s="222">
        <v>0</v>
      </c>
      <c r="N30" s="222">
        <v>0</v>
      </c>
      <c r="O30" s="222">
        <v>0</v>
      </c>
      <c r="P30" s="219" t="s">
        <v>113</v>
      </c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</row>
    <row r="31" spans="1:36" x14ac:dyDescent="0.3">
      <c r="A31" s="217" t="s">
        <v>85</v>
      </c>
      <c r="B31" s="218">
        <v>46062</v>
      </c>
      <c r="C31" s="219" t="s">
        <v>101</v>
      </c>
      <c r="D31" s="220" t="s">
        <v>155</v>
      </c>
      <c r="E31" s="219" t="s">
        <v>89</v>
      </c>
      <c r="F31" s="219" t="s">
        <v>80</v>
      </c>
      <c r="G31" s="221">
        <v>1.11E-2</v>
      </c>
      <c r="H31" s="222">
        <v>180</v>
      </c>
      <c r="I31" s="222">
        <v>2</v>
      </c>
      <c r="J31" s="222">
        <v>0</v>
      </c>
      <c r="K31" s="219" t="s">
        <v>81</v>
      </c>
      <c r="L31" s="223" t="s">
        <v>126</v>
      </c>
      <c r="M31" s="222">
        <v>0</v>
      </c>
      <c r="N31" s="222">
        <v>0</v>
      </c>
      <c r="O31" s="222">
        <v>2</v>
      </c>
      <c r="P31" s="219" t="s">
        <v>123</v>
      </c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22" t="s">
        <v>124</v>
      </c>
      <c r="AF31" s="215"/>
      <c r="AG31" s="215"/>
      <c r="AH31" s="215"/>
      <c r="AI31" s="215"/>
      <c r="AJ31" s="215"/>
    </row>
    <row r="32" spans="1:36" x14ac:dyDescent="0.3">
      <c r="A32" s="217" t="s">
        <v>85</v>
      </c>
      <c r="B32" s="218">
        <v>46062</v>
      </c>
      <c r="C32" s="219" t="s">
        <v>90</v>
      </c>
      <c r="D32" s="220" t="s">
        <v>145</v>
      </c>
      <c r="E32" s="219" t="s">
        <v>89</v>
      </c>
      <c r="F32" s="219" t="s">
        <v>80</v>
      </c>
      <c r="G32" s="221">
        <v>0</v>
      </c>
      <c r="H32" s="222">
        <v>180</v>
      </c>
      <c r="I32" s="222">
        <v>0</v>
      </c>
      <c r="J32" s="222">
        <v>0</v>
      </c>
      <c r="K32" s="219" t="s">
        <v>81</v>
      </c>
      <c r="L32" s="223" t="s">
        <v>40</v>
      </c>
      <c r="M32" s="222">
        <v>0</v>
      </c>
      <c r="N32" s="222">
        <v>0</v>
      </c>
      <c r="O32" s="222">
        <v>0</v>
      </c>
      <c r="P32" s="219" t="s">
        <v>113</v>
      </c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</row>
    <row r="33" spans="1:36" x14ac:dyDescent="0.3">
      <c r="A33" s="217" t="s">
        <v>87</v>
      </c>
      <c r="B33" s="218">
        <v>46063</v>
      </c>
      <c r="C33" s="219" t="s">
        <v>90</v>
      </c>
      <c r="D33" s="220" t="s">
        <v>157</v>
      </c>
      <c r="E33" s="219" t="s">
        <v>89</v>
      </c>
      <c r="F33" s="219" t="s">
        <v>80</v>
      </c>
      <c r="G33" s="221">
        <v>5.5999999999999999E-3</v>
      </c>
      <c r="H33" s="222">
        <v>180</v>
      </c>
      <c r="I33" s="222">
        <v>1</v>
      </c>
      <c r="J33" s="222">
        <v>0</v>
      </c>
      <c r="K33" s="219" t="s">
        <v>81</v>
      </c>
      <c r="L33" s="223" t="s">
        <v>127</v>
      </c>
      <c r="M33" s="222">
        <v>0</v>
      </c>
      <c r="N33" s="222">
        <v>0</v>
      </c>
      <c r="O33" s="222">
        <v>1</v>
      </c>
      <c r="P33" s="219" t="s">
        <v>118</v>
      </c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22" t="s">
        <v>119</v>
      </c>
      <c r="AF33" s="215"/>
      <c r="AG33" s="215"/>
      <c r="AH33" s="215"/>
      <c r="AI33" s="215"/>
      <c r="AJ33" s="215"/>
    </row>
    <row r="34" spans="1:36" x14ac:dyDescent="0.3">
      <c r="A34" s="217" t="s">
        <v>87</v>
      </c>
      <c r="B34" s="218">
        <v>46063</v>
      </c>
      <c r="C34" s="219" t="s">
        <v>101</v>
      </c>
      <c r="D34" s="220" t="s">
        <v>150</v>
      </c>
      <c r="E34" s="219" t="s">
        <v>89</v>
      </c>
      <c r="F34" s="219" t="s">
        <v>80</v>
      </c>
      <c r="G34" s="221">
        <v>1.11E-2</v>
      </c>
      <c r="H34" s="222">
        <v>180</v>
      </c>
      <c r="I34" s="222">
        <v>2</v>
      </c>
      <c r="J34" s="222">
        <v>0</v>
      </c>
      <c r="K34" s="219" t="s">
        <v>81</v>
      </c>
      <c r="L34" s="223" t="s">
        <v>42</v>
      </c>
      <c r="M34" s="222">
        <v>0</v>
      </c>
      <c r="N34" s="222">
        <v>0</v>
      </c>
      <c r="O34" s="222">
        <v>2</v>
      </c>
      <c r="P34" s="219" t="s">
        <v>123</v>
      </c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22" t="s">
        <v>124</v>
      </c>
      <c r="AF34" s="215"/>
      <c r="AG34" s="215"/>
      <c r="AH34" s="215"/>
      <c r="AI34" s="215"/>
      <c r="AJ34" s="215"/>
    </row>
    <row r="35" spans="1:36" x14ac:dyDescent="0.3">
      <c r="A35" s="217" t="s">
        <v>78</v>
      </c>
      <c r="B35" s="218">
        <v>46064</v>
      </c>
      <c r="C35" s="219" t="s">
        <v>90</v>
      </c>
      <c r="D35" s="220" t="s">
        <v>139</v>
      </c>
      <c r="E35" s="219" t="s">
        <v>89</v>
      </c>
      <c r="F35" s="219" t="s">
        <v>80</v>
      </c>
      <c r="G35" s="221">
        <v>0</v>
      </c>
      <c r="H35" s="222">
        <v>180</v>
      </c>
      <c r="I35" s="222">
        <v>0</v>
      </c>
      <c r="J35" s="222">
        <v>0</v>
      </c>
      <c r="K35" s="219" t="s">
        <v>81</v>
      </c>
      <c r="L35" s="223" t="s">
        <v>40</v>
      </c>
      <c r="M35" s="222">
        <v>0</v>
      </c>
      <c r="N35" s="222">
        <v>0</v>
      </c>
      <c r="O35" s="222">
        <v>0</v>
      </c>
      <c r="P35" s="219" t="s">
        <v>113</v>
      </c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</row>
    <row r="36" spans="1:36" x14ac:dyDescent="0.3">
      <c r="A36" s="217" t="s">
        <v>78</v>
      </c>
      <c r="B36" s="218">
        <v>46064</v>
      </c>
      <c r="C36" s="219" t="s">
        <v>93</v>
      </c>
      <c r="D36" s="220" t="s">
        <v>140</v>
      </c>
      <c r="E36" s="219" t="s">
        <v>89</v>
      </c>
      <c r="F36" s="219" t="s">
        <v>80</v>
      </c>
      <c r="G36" s="221">
        <v>5.5999999999999999E-3</v>
      </c>
      <c r="H36" s="222">
        <v>180</v>
      </c>
      <c r="I36" s="222">
        <v>1</v>
      </c>
      <c r="J36" s="222">
        <v>0</v>
      </c>
      <c r="K36" s="219" t="s">
        <v>81</v>
      </c>
      <c r="L36" s="223" t="s">
        <v>106</v>
      </c>
      <c r="M36" s="222">
        <v>0</v>
      </c>
      <c r="N36" s="222">
        <v>0</v>
      </c>
      <c r="O36" s="222">
        <v>1</v>
      </c>
      <c r="P36" s="219" t="s">
        <v>118</v>
      </c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22" t="s">
        <v>119</v>
      </c>
      <c r="AF36" s="215"/>
      <c r="AG36" s="215"/>
      <c r="AH36" s="215"/>
      <c r="AI36" s="215"/>
      <c r="AJ36" s="215"/>
    </row>
    <row r="37" spans="1:36" x14ac:dyDescent="0.3">
      <c r="A37" s="217" t="s">
        <v>78</v>
      </c>
      <c r="B37" s="218">
        <v>46064</v>
      </c>
      <c r="C37" s="219" t="s">
        <v>97</v>
      </c>
      <c r="D37" s="220" t="s">
        <v>142</v>
      </c>
      <c r="E37" s="219" t="s">
        <v>89</v>
      </c>
      <c r="F37" s="219" t="s">
        <v>80</v>
      </c>
      <c r="G37" s="221">
        <v>0</v>
      </c>
      <c r="H37" s="222">
        <v>180</v>
      </c>
      <c r="I37" s="222">
        <v>0</v>
      </c>
      <c r="J37" s="222">
        <v>0</v>
      </c>
      <c r="K37" s="219" t="s">
        <v>81</v>
      </c>
      <c r="L37" s="223" t="s">
        <v>40</v>
      </c>
      <c r="M37" s="222">
        <v>0</v>
      </c>
      <c r="N37" s="222">
        <v>0</v>
      </c>
      <c r="O37" s="222">
        <v>0</v>
      </c>
      <c r="P37" s="219" t="s">
        <v>113</v>
      </c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</row>
    <row r="38" spans="1:36" x14ac:dyDescent="0.3">
      <c r="A38" s="217" t="s">
        <v>143</v>
      </c>
      <c r="B38" s="218">
        <v>46065</v>
      </c>
      <c r="C38" s="219" t="s">
        <v>90</v>
      </c>
      <c r="D38" s="220" t="s">
        <v>144</v>
      </c>
      <c r="E38" s="219" t="s">
        <v>89</v>
      </c>
      <c r="F38" s="219" t="s">
        <v>80</v>
      </c>
      <c r="G38" s="221">
        <v>5.5999999999999999E-3</v>
      </c>
      <c r="H38" s="222">
        <v>180</v>
      </c>
      <c r="I38" s="222">
        <v>1</v>
      </c>
      <c r="J38" s="222">
        <v>0</v>
      </c>
      <c r="K38" s="219" t="s">
        <v>81</v>
      </c>
      <c r="L38" s="223" t="s">
        <v>128</v>
      </c>
      <c r="M38" s="222">
        <v>0</v>
      </c>
      <c r="N38" s="222">
        <v>0</v>
      </c>
      <c r="O38" s="222">
        <v>1</v>
      </c>
      <c r="P38" s="219" t="s">
        <v>118</v>
      </c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22" t="s">
        <v>119</v>
      </c>
      <c r="AF38" s="215"/>
      <c r="AG38" s="215"/>
      <c r="AH38" s="215"/>
      <c r="AI38" s="215"/>
      <c r="AJ38" s="215"/>
    </row>
    <row r="39" spans="1:36" x14ac:dyDescent="0.3">
      <c r="A39" s="217" t="s">
        <v>143</v>
      </c>
      <c r="B39" s="218">
        <v>46065</v>
      </c>
      <c r="C39" s="219" t="s">
        <v>101</v>
      </c>
      <c r="D39" s="220" t="s">
        <v>145</v>
      </c>
      <c r="E39" s="219" t="s">
        <v>89</v>
      </c>
      <c r="F39" s="219" t="s">
        <v>80</v>
      </c>
      <c r="G39" s="221">
        <v>5.5999999999999999E-3</v>
      </c>
      <c r="H39" s="222">
        <v>180</v>
      </c>
      <c r="I39" s="222">
        <v>1</v>
      </c>
      <c r="J39" s="222">
        <v>0</v>
      </c>
      <c r="K39" s="219" t="s">
        <v>81</v>
      </c>
      <c r="L39" s="223" t="s">
        <v>129</v>
      </c>
      <c r="M39" s="222">
        <v>0</v>
      </c>
      <c r="N39" s="222">
        <v>0</v>
      </c>
      <c r="O39" s="222">
        <v>1</v>
      </c>
      <c r="P39" s="219" t="s">
        <v>113</v>
      </c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22" t="s">
        <v>112</v>
      </c>
      <c r="AB39" s="215"/>
      <c r="AC39" s="215"/>
      <c r="AD39" s="215"/>
      <c r="AE39" s="215"/>
      <c r="AF39" s="215"/>
      <c r="AG39" s="215"/>
      <c r="AH39" s="215"/>
      <c r="AI39" s="215"/>
      <c r="AJ39" s="215"/>
    </row>
    <row r="40" spans="1:36" x14ac:dyDescent="0.3">
      <c r="A40" s="217" t="s">
        <v>146</v>
      </c>
      <c r="B40" s="218">
        <v>46066</v>
      </c>
      <c r="C40" s="219" t="s">
        <v>93</v>
      </c>
      <c r="D40" s="220" t="s">
        <v>147</v>
      </c>
      <c r="E40" s="219" t="s">
        <v>89</v>
      </c>
      <c r="F40" s="219" t="s">
        <v>80</v>
      </c>
      <c r="G40" s="221">
        <v>5.5999999999999999E-3</v>
      </c>
      <c r="H40" s="222">
        <v>180</v>
      </c>
      <c r="I40" s="222">
        <v>1</v>
      </c>
      <c r="J40" s="222">
        <v>0</v>
      </c>
      <c r="K40" s="219" t="s">
        <v>81</v>
      </c>
      <c r="L40" s="223" t="s">
        <v>130</v>
      </c>
      <c r="M40" s="222">
        <v>0</v>
      </c>
      <c r="N40" s="222">
        <v>0</v>
      </c>
      <c r="O40" s="222">
        <v>1</v>
      </c>
      <c r="P40" s="219" t="s">
        <v>118</v>
      </c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22" t="s">
        <v>119</v>
      </c>
      <c r="AF40" s="215"/>
      <c r="AG40" s="215"/>
      <c r="AH40" s="215"/>
      <c r="AI40" s="215"/>
      <c r="AJ40" s="215"/>
    </row>
    <row r="41" spans="1:36" x14ac:dyDescent="0.3">
      <c r="A41" s="217" t="s">
        <v>82</v>
      </c>
      <c r="B41" s="218">
        <v>46067</v>
      </c>
      <c r="C41" s="219" t="s">
        <v>93</v>
      </c>
      <c r="D41" s="220" t="s">
        <v>148</v>
      </c>
      <c r="E41" s="219" t="s">
        <v>89</v>
      </c>
      <c r="F41" s="219" t="s">
        <v>80</v>
      </c>
      <c r="G41" s="221">
        <v>0</v>
      </c>
      <c r="H41" s="222">
        <v>180</v>
      </c>
      <c r="I41" s="222">
        <v>0</v>
      </c>
      <c r="J41" s="222">
        <v>0</v>
      </c>
      <c r="K41" s="219" t="s">
        <v>81</v>
      </c>
      <c r="L41" s="223" t="s">
        <v>40</v>
      </c>
      <c r="M41" s="222">
        <v>0</v>
      </c>
      <c r="N41" s="222">
        <v>0</v>
      </c>
      <c r="O41" s="222">
        <v>0</v>
      </c>
      <c r="P41" s="219" t="s">
        <v>113</v>
      </c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</row>
    <row r="42" spans="1:36" x14ac:dyDescent="0.3">
      <c r="A42" s="217" t="s">
        <v>82</v>
      </c>
      <c r="B42" s="218">
        <v>46067</v>
      </c>
      <c r="C42" s="219" t="s">
        <v>90</v>
      </c>
      <c r="D42" s="220" t="s">
        <v>149</v>
      </c>
      <c r="E42" s="219" t="s">
        <v>89</v>
      </c>
      <c r="F42" s="219" t="s">
        <v>80</v>
      </c>
      <c r="G42" s="221">
        <v>0</v>
      </c>
      <c r="H42" s="222">
        <v>180</v>
      </c>
      <c r="I42" s="222">
        <v>0</v>
      </c>
      <c r="J42" s="222">
        <v>0</v>
      </c>
      <c r="K42" s="219" t="s">
        <v>81</v>
      </c>
      <c r="L42" s="223" t="s">
        <v>40</v>
      </c>
      <c r="M42" s="222">
        <v>0</v>
      </c>
      <c r="N42" s="222">
        <v>0</v>
      </c>
      <c r="O42" s="222">
        <v>0</v>
      </c>
      <c r="P42" s="219" t="s">
        <v>113</v>
      </c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</row>
    <row r="43" spans="1:36" x14ac:dyDescent="0.3">
      <c r="A43" s="217" t="s">
        <v>82</v>
      </c>
      <c r="B43" s="218">
        <v>46067</v>
      </c>
      <c r="C43" s="219" t="s">
        <v>101</v>
      </c>
      <c r="D43" s="220" t="s">
        <v>150</v>
      </c>
      <c r="E43" s="219" t="s">
        <v>89</v>
      </c>
      <c r="F43" s="219" t="s">
        <v>80</v>
      </c>
      <c r="G43" s="221">
        <v>0</v>
      </c>
      <c r="H43" s="222">
        <v>180</v>
      </c>
      <c r="I43" s="222">
        <v>0</v>
      </c>
      <c r="J43" s="222">
        <v>0</v>
      </c>
      <c r="K43" s="219" t="s">
        <v>81</v>
      </c>
      <c r="L43" s="223" t="s">
        <v>40</v>
      </c>
      <c r="M43" s="222">
        <v>0</v>
      </c>
      <c r="N43" s="222">
        <v>0</v>
      </c>
      <c r="O43" s="222">
        <v>0</v>
      </c>
      <c r="P43" s="219" t="s">
        <v>113</v>
      </c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</row>
    <row r="44" spans="1:36" x14ac:dyDescent="0.3">
      <c r="A44" s="217" t="s">
        <v>151</v>
      </c>
      <c r="B44" s="218">
        <v>46068</v>
      </c>
      <c r="C44" s="219" t="s">
        <v>93</v>
      </c>
      <c r="D44" s="220" t="s">
        <v>152</v>
      </c>
      <c r="E44" s="219" t="s">
        <v>89</v>
      </c>
      <c r="F44" s="219" t="s">
        <v>80</v>
      </c>
      <c r="G44" s="221">
        <v>5.5999999999999999E-3</v>
      </c>
      <c r="H44" s="222">
        <v>180</v>
      </c>
      <c r="I44" s="222">
        <v>1</v>
      </c>
      <c r="J44" s="222">
        <v>0</v>
      </c>
      <c r="K44" s="219" t="s">
        <v>81</v>
      </c>
      <c r="L44" s="223" t="s">
        <v>131</v>
      </c>
      <c r="M44" s="222">
        <v>0</v>
      </c>
      <c r="N44" s="222">
        <v>0</v>
      </c>
      <c r="O44" s="222">
        <v>1</v>
      </c>
      <c r="P44" s="219" t="s">
        <v>118</v>
      </c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22" t="s">
        <v>119</v>
      </c>
      <c r="AF44" s="215"/>
      <c r="AG44" s="215"/>
      <c r="AH44" s="215"/>
      <c r="AI44" s="215"/>
      <c r="AJ44" s="215"/>
    </row>
    <row r="45" spans="1:36" x14ac:dyDescent="0.3">
      <c r="A45" s="217" t="s">
        <v>151</v>
      </c>
      <c r="B45" s="218">
        <v>46068</v>
      </c>
      <c r="C45" s="219" t="s">
        <v>101</v>
      </c>
      <c r="D45" s="220" t="s">
        <v>153</v>
      </c>
      <c r="E45" s="219" t="s">
        <v>89</v>
      </c>
      <c r="F45" s="219" t="s">
        <v>80</v>
      </c>
      <c r="G45" s="221">
        <v>5.5999999999999999E-3</v>
      </c>
      <c r="H45" s="222">
        <v>180</v>
      </c>
      <c r="I45" s="222">
        <v>1</v>
      </c>
      <c r="J45" s="222">
        <v>0</v>
      </c>
      <c r="K45" s="219" t="s">
        <v>81</v>
      </c>
      <c r="L45" s="223" t="s">
        <v>106</v>
      </c>
      <c r="M45" s="222">
        <v>0</v>
      </c>
      <c r="N45" s="222">
        <v>0</v>
      </c>
      <c r="O45" s="222">
        <v>1</v>
      </c>
      <c r="P45" s="219" t="s">
        <v>118</v>
      </c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22" t="s">
        <v>119</v>
      </c>
      <c r="AF45" s="215"/>
      <c r="AG45" s="215"/>
      <c r="AH45" s="215"/>
      <c r="AI45" s="215"/>
      <c r="AJ45" s="215"/>
    </row>
    <row r="46" spans="1:36" x14ac:dyDescent="0.3">
      <c r="A46" s="217" t="s">
        <v>85</v>
      </c>
      <c r="B46" s="218">
        <v>46069</v>
      </c>
      <c r="C46" s="219" t="s">
        <v>93</v>
      </c>
      <c r="D46" s="220" t="s">
        <v>154</v>
      </c>
      <c r="E46" s="219" t="s">
        <v>89</v>
      </c>
      <c r="F46" s="219" t="s">
        <v>80</v>
      </c>
      <c r="G46" s="221">
        <v>3.3300000000000003E-2</v>
      </c>
      <c r="H46" s="222">
        <v>180</v>
      </c>
      <c r="I46" s="222">
        <v>6</v>
      </c>
      <c r="J46" s="222">
        <v>0</v>
      </c>
      <c r="K46" s="219" t="s">
        <v>81</v>
      </c>
      <c r="L46" s="223" t="s">
        <v>104</v>
      </c>
      <c r="M46" s="222">
        <v>0</v>
      </c>
      <c r="N46" s="222">
        <v>0</v>
      </c>
      <c r="O46" s="222">
        <v>6</v>
      </c>
      <c r="P46" s="219" t="s">
        <v>122</v>
      </c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22" t="s">
        <v>121</v>
      </c>
      <c r="AF46" s="215"/>
      <c r="AG46" s="215"/>
      <c r="AH46" s="215"/>
      <c r="AI46" s="215"/>
      <c r="AJ46" s="215"/>
    </row>
    <row r="47" spans="1:36" x14ac:dyDescent="0.3">
      <c r="A47" s="217" t="s">
        <v>85</v>
      </c>
      <c r="B47" s="218">
        <v>46069</v>
      </c>
      <c r="C47" s="219" t="s">
        <v>101</v>
      </c>
      <c r="D47" s="220" t="s">
        <v>155</v>
      </c>
      <c r="E47" s="219" t="s">
        <v>89</v>
      </c>
      <c r="F47" s="219" t="s">
        <v>80</v>
      </c>
      <c r="G47" s="221">
        <v>0</v>
      </c>
      <c r="H47" s="222">
        <v>180</v>
      </c>
      <c r="I47" s="222">
        <v>0</v>
      </c>
      <c r="J47" s="222">
        <v>0</v>
      </c>
      <c r="K47" s="219" t="s">
        <v>81</v>
      </c>
      <c r="L47" s="223" t="s">
        <v>40</v>
      </c>
      <c r="M47" s="222">
        <v>0</v>
      </c>
      <c r="N47" s="222">
        <v>0</v>
      </c>
      <c r="O47" s="222">
        <v>0</v>
      </c>
      <c r="P47" s="219" t="s">
        <v>113</v>
      </c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</row>
    <row r="48" spans="1:36" x14ac:dyDescent="0.3">
      <c r="A48" s="217" t="s">
        <v>85</v>
      </c>
      <c r="B48" s="218">
        <v>46069</v>
      </c>
      <c r="C48" s="219" t="s">
        <v>97</v>
      </c>
      <c r="D48" s="220" t="s">
        <v>156</v>
      </c>
      <c r="E48" s="219" t="s">
        <v>89</v>
      </c>
      <c r="F48" s="219" t="s">
        <v>80</v>
      </c>
      <c r="G48" s="221">
        <v>0</v>
      </c>
      <c r="H48" s="222">
        <v>180</v>
      </c>
      <c r="I48" s="222">
        <v>0</v>
      </c>
      <c r="J48" s="222">
        <v>0</v>
      </c>
      <c r="K48" s="219" t="s">
        <v>81</v>
      </c>
      <c r="L48" s="223" t="s">
        <v>40</v>
      </c>
      <c r="M48" s="222">
        <v>0</v>
      </c>
      <c r="N48" s="222">
        <v>0</v>
      </c>
      <c r="O48" s="222">
        <v>0</v>
      </c>
      <c r="P48" s="219" t="s">
        <v>113</v>
      </c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</row>
    <row r="49" spans="1:36" x14ac:dyDescent="0.3">
      <c r="A49" s="217" t="s">
        <v>85</v>
      </c>
      <c r="B49" s="218">
        <v>46069</v>
      </c>
      <c r="C49" s="219" t="s">
        <v>90</v>
      </c>
      <c r="D49" s="220" t="s">
        <v>145</v>
      </c>
      <c r="E49" s="219" t="s">
        <v>89</v>
      </c>
      <c r="F49" s="219" t="s">
        <v>80</v>
      </c>
      <c r="G49" s="221">
        <v>5.5999999999999999E-3</v>
      </c>
      <c r="H49" s="222">
        <v>180</v>
      </c>
      <c r="I49" s="222">
        <v>1</v>
      </c>
      <c r="J49" s="222">
        <v>0</v>
      </c>
      <c r="K49" s="219" t="s">
        <v>81</v>
      </c>
      <c r="L49" s="223" t="s">
        <v>36</v>
      </c>
      <c r="M49" s="222">
        <v>0</v>
      </c>
      <c r="N49" s="222">
        <v>0</v>
      </c>
      <c r="O49" s="222">
        <v>1</v>
      </c>
      <c r="P49" s="219" t="s">
        <v>118</v>
      </c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22" t="s">
        <v>119</v>
      </c>
      <c r="AF49" s="215"/>
      <c r="AG49" s="215"/>
      <c r="AH49" s="215"/>
      <c r="AI49" s="215"/>
      <c r="AJ49" s="215"/>
    </row>
    <row r="50" spans="1:36" x14ac:dyDescent="0.3">
      <c r="A50" s="217" t="s">
        <v>87</v>
      </c>
      <c r="B50" s="218">
        <v>46070</v>
      </c>
      <c r="C50" s="219" t="s">
        <v>90</v>
      </c>
      <c r="D50" s="220" t="s">
        <v>157</v>
      </c>
      <c r="E50" s="219" t="s">
        <v>89</v>
      </c>
      <c r="F50" s="219" t="s">
        <v>80</v>
      </c>
      <c r="G50" s="221">
        <v>0</v>
      </c>
      <c r="H50" s="222">
        <v>180</v>
      </c>
      <c r="I50" s="222">
        <v>0</v>
      </c>
      <c r="J50" s="222">
        <v>0</v>
      </c>
      <c r="K50" s="219" t="s">
        <v>81</v>
      </c>
      <c r="L50" s="223" t="s">
        <v>40</v>
      </c>
      <c r="M50" s="222">
        <v>0</v>
      </c>
      <c r="N50" s="222">
        <v>0</v>
      </c>
      <c r="O50" s="222">
        <v>0</v>
      </c>
      <c r="P50" s="219" t="s">
        <v>132</v>
      </c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</row>
    <row r="51" spans="1:36" x14ac:dyDescent="0.3">
      <c r="A51" s="217" t="s">
        <v>87</v>
      </c>
      <c r="B51" s="218">
        <v>46070</v>
      </c>
      <c r="C51" s="219" t="s">
        <v>101</v>
      </c>
      <c r="D51" s="220" t="s">
        <v>150</v>
      </c>
      <c r="E51" s="219" t="s">
        <v>89</v>
      </c>
      <c r="F51" s="219" t="s">
        <v>80</v>
      </c>
      <c r="G51" s="221">
        <v>0</v>
      </c>
      <c r="H51" s="222">
        <v>180</v>
      </c>
      <c r="I51" s="222">
        <v>0</v>
      </c>
      <c r="J51" s="222">
        <v>0</v>
      </c>
      <c r="K51" s="219" t="s">
        <v>81</v>
      </c>
      <c r="L51" s="223" t="s">
        <v>40</v>
      </c>
      <c r="M51" s="222">
        <v>0</v>
      </c>
      <c r="N51" s="222">
        <v>0</v>
      </c>
      <c r="O51" s="222">
        <v>0</v>
      </c>
      <c r="P51" s="219" t="s">
        <v>132</v>
      </c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</row>
    <row r="52" spans="1:36" x14ac:dyDescent="0.3">
      <c r="A52" s="217" t="s">
        <v>78</v>
      </c>
      <c r="B52" s="218">
        <v>46071</v>
      </c>
      <c r="C52" s="219" t="s">
        <v>90</v>
      </c>
      <c r="D52" s="220" t="s">
        <v>139</v>
      </c>
      <c r="E52" s="219" t="s">
        <v>89</v>
      </c>
      <c r="F52" s="219" t="s">
        <v>80</v>
      </c>
      <c r="G52" s="221">
        <v>0</v>
      </c>
      <c r="H52" s="222">
        <v>180</v>
      </c>
      <c r="I52" s="222">
        <v>0</v>
      </c>
      <c r="J52" s="222">
        <v>0</v>
      </c>
      <c r="K52" s="219" t="s">
        <v>81</v>
      </c>
      <c r="L52" s="223" t="s">
        <v>40</v>
      </c>
      <c r="M52" s="222">
        <v>0</v>
      </c>
      <c r="N52" s="222">
        <v>0</v>
      </c>
      <c r="O52" s="222">
        <v>0</v>
      </c>
      <c r="P52" s="219" t="s">
        <v>132</v>
      </c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</row>
    <row r="53" spans="1:36" x14ac:dyDescent="0.3">
      <c r="A53" s="217" t="s">
        <v>78</v>
      </c>
      <c r="B53" s="218">
        <v>46071</v>
      </c>
      <c r="C53" s="219" t="s">
        <v>93</v>
      </c>
      <c r="D53" s="220" t="s">
        <v>140</v>
      </c>
      <c r="E53" s="219" t="s">
        <v>89</v>
      </c>
      <c r="F53" s="219" t="s">
        <v>80</v>
      </c>
      <c r="G53" s="221">
        <v>0</v>
      </c>
      <c r="H53" s="222">
        <v>180</v>
      </c>
      <c r="I53" s="222">
        <v>0</v>
      </c>
      <c r="J53" s="222">
        <v>0</v>
      </c>
      <c r="K53" s="219" t="s">
        <v>81</v>
      </c>
      <c r="L53" s="223" t="s">
        <v>40</v>
      </c>
      <c r="M53" s="222">
        <v>0</v>
      </c>
      <c r="N53" s="222">
        <v>0</v>
      </c>
      <c r="O53" s="222">
        <v>0</v>
      </c>
      <c r="P53" s="219" t="s">
        <v>132</v>
      </c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</row>
    <row r="54" spans="1:36" x14ac:dyDescent="0.3">
      <c r="A54" s="217" t="s">
        <v>78</v>
      </c>
      <c r="B54" s="218">
        <v>46071</v>
      </c>
      <c r="C54" s="219" t="s">
        <v>97</v>
      </c>
      <c r="D54" s="220" t="s">
        <v>142</v>
      </c>
      <c r="E54" s="219" t="s">
        <v>89</v>
      </c>
      <c r="F54" s="219" t="s">
        <v>80</v>
      </c>
      <c r="G54" s="221">
        <v>1.11E-2</v>
      </c>
      <c r="H54" s="222">
        <v>180</v>
      </c>
      <c r="I54" s="222">
        <v>2</v>
      </c>
      <c r="J54" s="222">
        <v>0</v>
      </c>
      <c r="K54" s="219" t="s">
        <v>81</v>
      </c>
      <c r="L54" s="223" t="s">
        <v>133</v>
      </c>
      <c r="M54" s="222">
        <v>0</v>
      </c>
      <c r="N54" s="222">
        <v>0</v>
      </c>
      <c r="O54" s="222">
        <v>2</v>
      </c>
      <c r="P54" s="219" t="s">
        <v>132</v>
      </c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22" t="s">
        <v>103</v>
      </c>
      <c r="AB54" s="215"/>
      <c r="AC54" s="215"/>
      <c r="AD54" s="215"/>
      <c r="AE54" s="215"/>
      <c r="AF54" s="215"/>
      <c r="AG54" s="215"/>
      <c r="AH54" s="215"/>
      <c r="AI54" s="215"/>
      <c r="AJ54" s="215"/>
    </row>
    <row r="55" spans="1:36" x14ac:dyDescent="0.3">
      <c r="A55" s="217" t="s">
        <v>143</v>
      </c>
      <c r="B55" s="218">
        <v>46072</v>
      </c>
      <c r="C55" s="219" t="s">
        <v>90</v>
      </c>
      <c r="D55" s="220" t="s">
        <v>144</v>
      </c>
      <c r="E55" s="219" t="s">
        <v>89</v>
      </c>
      <c r="F55" s="219" t="s">
        <v>80</v>
      </c>
      <c r="G55" s="221">
        <v>0</v>
      </c>
      <c r="H55" s="222">
        <v>180</v>
      </c>
      <c r="I55" s="222">
        <v>0</v>
      </c>
      <c r="J55" s="222">
        <v>0</v>
      </c>
      <c r="K55" s="219" t="s">
        <v>81</v>
      </c>
      <c r="L55" s="223" t="s">
        <v>40</v>
      </c>
      <c r="M55" s="222">
        <v>0</v>
      </c>
      <c r="N55" s="222">
        <v>0</v>
      </c>
      <c r="O55" s="222">
        <v>0</v>
      </c>
      <c r="P55" s="219" t="s">
        <v>132</v>
      </c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</row>
    <row r="56" spans="1:36" x14ac:dyDescent="0.3">
      <c r="A56" s="217" t="s">
        <v>143</v>
      </c>
      <c r="B56" s="218">
        <v>46072</v>
      </c>
      <c r="C56" s="219" t="s">
        <v>101</v>
      </c>
      <c r="D56" s="220" t="s">
        <v>145</v>
      </c>
      <c r="E56" s="219" t="s">
        <v>89</v>
      </c>
      <c r="F56" s="219" t="s">
        <v>80</v>
      </c>
      <c r="G56" s="221">
        <v>0</v>
      </c>
      <c r="H56" s="222">
        <v>180</v>
      </c>
      <c r="I56" s="222">
        <v>0</v>
      </c>
      <c r="J56" s="222">
        <v>0</v>
      </c>
      <c r="K56" s="219" t="s">
        <v>81</v>
      </c>
      <c r="L56" s="223" t="s">
        <v>40</v>
      </c>
      <c r="M56" s="222">
        <v>0</v>
      </c>
      <c r="N56" s="222">
        <v>0</v>
      </c>
      <c r="O56" s="222">
        <v>0</v>
      </c>
      <c r="P56" s="219" t="s">
        <v>132</v>
      </c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</row>
    <row r="57" spans="1:36" x14ac:dyDescent="0.3">
      <c r="A57" s="217" t="s">
        <v>146</v>
      </c>
      <c r="B57" s="218">
        <v>46073</v>
      </c>
      <c r="C57" s="219" t="s">
        <v>93</v>
      </c>
      <c r="D57" s="220" t="s">
        <v>147</v>
      </c>
      <c r="E57" s="219" t="s">
        <v>89</v>
      </c>
      <c r="F57" s="219" t="s">
        <v>80</v>
      </c>
      <c r="G57" s="221">
        <v>0</v>
      </c>
      <c r="H57" s="222">
        <v>180</v>
      </c>
      <c r="I57" s="222">
        <v>0</v>
      </c>
      <c r="J57" s="222">
        <v>0</v>
      </c>
      <c r="K57" s="219" t="s">
        <v>81</v>
      </c>
      <c r="L57" s="223" t="s">
        <v>40</v>
      </c>
      <c r="M57" s="222">
        <v>0</v>
      </c>
      <c r="N57" s="222">
        <v>0</v>
      </c>
      <c r="O57" s="222">
        <v>0</v>
      </c>
      <c r="P57" s="219" t="s">
        <v>132</v>
      </c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</row>
    <row r="58" spans="1:36" x14ac:dyDescent="0.3">
      <c r="A58" s="217" t="s">
        <v>82</v>
      </c>
      <c r="B58" s="218">
        <v>46074</v>
      </c>
      <c r="C58" s="219" t="s">
        <v>93</v>
      </c>
      <c r="D58" s="220" t="s">
        <v>148</v>
      </c>
      <c r="E58" s="219" t="s">
        <v>89</v>
      </c>
      <c r="F58" s="219" t="s">
        <v>80</v>
      </c>
      <c r="G58" s="221">
        <v>5.5999999999999999E-3</v>
      </c>
      <c r="H58" s="222">
        <v>180</v>
      </c>
      <c r="I58" s="222">
        <v>1</v>
      </c>
      <c r="J58" s="222">
        <v>0</v>
      </c>
      <c r="K58" s="219" t="s">
        <v>81</v>
      </c>
      <c r="L58" s="223" t="s">
        <v>117</v>
      </c>
      <c r="M58" s="222">
        <v>0</v>
      </c>
      <c r="N58" s="222">
        <v>0</v>
      </c>
      <c r="O58" s="222">
        <v>1</v>
      </c>
      <c r="P58" s="219" t="s">
        <v>132</v>
      </c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22" t="s">
        <v>112</v>
      </c>
      <c r="AB58" s="215"/>
      <c r="AC58" s="215"/>
      <c r="AD58" s="215"/>
      <c r="AE58" s="215"/>
      <c r="AF58" s="215"/>
      <c r="AG58" s="215"/>
      <c r="AH58" s="215"/>
      <c r="AI58" s="215"/>
      <c r="AJ58" s="215"/>
    </row>
    <row r="59" spans="1:36" x14ac:dyDescent="0.3">
      <c r="A59" s="217" t="s">
        <v>82</v>
      </c>
      <c r="B59" s="218">
        <v>46074</v>
      </c>
      <c r="C59" s="219" t="s">
        <v>90</v>
      </c>
      <c r="D59" s="220" t="s">
        <v>149</v>
      </c>
      <c r="E59" s="219" t="s">
        <v>89</v>
      </c>
      <c r="F59" s="219" t="s">
        <v>80</v>
      </c>
      <c r="G59" s="221">
        <v>0</v>
      </c>
      <c r="H59" s="222">
        <v>180</v>
      </c>
      <c r="I59" s="222">
        <v>0</v>
      </c>
      <c r="J59" s="222">
        <v>0</v>
      </c>
      <c r="K59" s="219" t="s">
        <v>81</v>
      </c>
      <c r="L59" s="223" t="s">
        <v>40</v>
      </c>
      <c r="M59" s="222">
        <v>0</v>
      </c>
      <c r="N59" s="222">
        <v>0</v>
      </c>
      <c r="O59" s="222">
        <v>0</v>
      </c>
      <c r="P59" s="219" t="s">
        <v>132</v>
      </c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</row>
    <row r="60" spans="1:36" x14ac:dyDescent="0.3">
      <c r="A60" s="217" t="s">
        <v>82</v>
      </c>
      <c r="B60" s="218">
        <v>46074</v>
      </c>
      <c r="C60" s="219" t="s">
        <v>101</v>
      </c>
      <c r="D60" s="220" t="s">
        <v>150</v>
      </c>
      <c r="E60" s="219" t="s">
        <v>89</v>
      </c>
      <c r="F60" s="219" t="s">
        <v>80</v>
      </c>
      <c r="G60" s="221">
        <v>0</v>
      </c>
      <c r="H60" s="222">
        <v>180</v>
      </c>
      <c r="I60" s="222">
        <v>0</v>
      </c>
      <c r="J60" s="222">
        <v>0</v>
      </c>
      <c r="K60" s="219" t="s">
        <v>81</v>
      </c>
      <c r="L60" s="223" t="s">
        <v>40</v>
      </c>
      <c r="M60" s="222">
        <v>0</v>
      </c>
      <c r="N60" s="222">
        <v>0</v>
      </c>
      <c r="O60" s="222">
        <v>0</v>
      </c>
      <c r="P60" s="219" t="s">
        <v>132</v>
      </c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</row>
    <row r="61" spans="1:36" x14ac:dyDescent="0.3">
      <c r="A61" s="217" t="s">
        <v>151</v>
      </c>
      <c r="B61" s="218">
        <v>46075</v>
      </c>
      <c r="C61" s="219" t="s">
        <v>93</v>
      </c>
      <c r="D61" s="220" t="s">
        <v>152</v>
      </c>
      <c r="E61" s="219" t="s">
        <v>89</v>
      </c>
      <c r="F61" s="219" t="s">
        <v>80</v>
      </c>
      <c r="G61" s="221">
        <v>0</v>
      </c>
      <c r="H61" s="222">
        <v>180</v>
      </c>
      <c r="I61" s="222">
        <v>0</v>
      </c>
      <c r="J61" s="222">
        <v>0</v>
      </c>
      <c r="K61" s="219" t="s">
        <v>81</v>
      </c>
      <c r="L61" s="223" t="s">
        <v>40</v>
      </c>
      <c r="M61" s="222">
        <v>0</v>
      </c>
      <c r="N61" s="222">
        <v>0</v>
      </c>
      <c r="O61" s="222">
        <v>0</v>
      </c>
      <c r="P61" s="219" t="s">
        <v>132</v>
      </c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</row>
    <row r="62" spans="1:36" x14ac:dyDescent="0.3">
      <c r="A62" s="217" t="s">
        <v>151</v>
      </c>
      <c r="B62" s="218">
        <v>46075</v>
      </c>
      <c r="C62" s="219" t="s">
        <v>101</v>
      </c>
      <c r="D62" s="220" t="s">
        <v>153</v>
      </c>
      <c r="E62" s="219" t="s">
        <v>89</v>
      </c>
      <c r="F62" s="219" t="s">
        <v>80</v>
      </c>
      <c r="G62" s="221">
        <v>5.5999999999999999E-3</v>
      </c>
      <c r="H62" s="222">
        <v>180</v>
      </c>
      <c r="I62" s="222">
        <v>1</v>
      </c>
      <c r="J62" s="222">
        <v>0</v>
      </c>
      <c r="K62" s="219" t="s">
        <v>81</v>
      </c>
      <c r="L62" s="223" t="s">
        <v>134</v>
      </c>
      <c r="M62" s="222">
        <v>0</v>
      </c>
      <c r="N62" s="222">
        <v>0</v>
      </c>
      <c r="O62" s="222">
        <v>1</v>
      </c>
      <c r="P62" s="219" t="s">
        <v>132</v>
      </c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22" t="s">
        <v>112</v>
      </c>
      <c r="AB62" s="215"/>
      <c r="AC62" s="215"/>
      <c r="AD62" s="215"/>
      <c r="AE62" s="215"/>
      <c r="AF62" s="215"/>
      <c r="AG62" s="215"/>
      <c r="AH62" s="215"/>
      <c r="AI62" s="215"/>
      <c r="AJ62" s="215"/>
    </row>
    <row r="63" spans="1:36" x14ac:dyDescent="0.3">
      <c r="A63" s="217" t="s">
        <v>85</v>
      </c>
      <c r="B63" s="218">
        <v>46076</v>
      </c>
      <c r="C63" s="219" t="s">
        <v>93</v>
      </c>
      <c r="D63" s="220" t="s">
        <v>154</v>
      </c>
      <c r="E63" s="219" t="s">
        <v>89</v>
      </c>
      <c r="F63" s="219" t="s">
        <v>80</v>
      </c>
      <c r="G63" s="221">
        <v>0</v>
      </c>
      <c r="H63" s="222">
        <v>180</v>
      </c>
      <c r="I63" s="222">
        <v>0</v>
      </c>
      <c r="J63" s="222">
        <v>0</v>
      </c>
      <c r="K63" s="219" t="s">
        <v>81</v>
      </c>
      <c r="L63" s="223" t="s">
        <v>40</v>
      </c>
      <c r="M63" s="222">
        <v>0</v>
      </c>
      <c r="N63" s="222">
        <v>0</v>
      </c>
      <c r="O63" s="222">
        <v>0</v>
      </c>
      <c r="P63" s="219" t="s">
        <v>132</v>
      </c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</row>
    <row r="64" spans="1:36" x14ac:dyDescent="0.3">
      <c r="A64" s="217" t="s">
        <v>85</v>
      </c>
      <c r="B64" s="218">
        <v>46076</v>
      </c>
      <c r="C64" s="219" t="s">
        <v>101</v>
      </c>
      <c r="D64" s="220" t="s">
        <v>155</v>
      </c>
      <c r="E64" s="219" t="s">
        <v>89</v>
      </c>
      <c r="F64" s="219" t="s">
        <v>80</v>
      </c>
      <c r="G64" s="221">
        <v>0</v>
      </c>
      <c r="H64" s="222">
        <v>180</v>
      </c>
      <c r="I64" s="222">
        <v>0</v>
      </c>
      <c r="J64" s="222">
        <v>0</v>
      </c>
      <c r="K64" s="219" t="s">
        <v>81</v>
      </c>
      <c r="L64" s="223" t="s">
        <v>40</v>
      </c>
      <c r="M64" s="222">
        <v>0</v>
      </c>
      <c r="N64" s="222">
        <v>0</v>
      </c>
      <c r="O64" s="222">
        <v>0</v>
      </c>
      <c r="P64" s="219" t="s">
        <v>132</v>
      </c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</row>
    <row r="65" spans="1:36" x14ac:dyDescent="0.3">
      <c r="A65" s="217" t="s">
        <v>85</v>
      </c>
      <c r="B65" s="218">
        <v>46076</v>
      </c>
      <c r="C65" s="219" t="s">
        <v>90</v>
      </c>
      <c r="D65" s="220" t="s">
        <v>145</v>
      </c>
      <c r="E65" s="219" t="s">
        <v>89</v>
      </c>
      <c r="F65" s="219" t="s">
        <v>80</v>
      </c>
      <c r="G65" s="221">
        <v>0</v>
      </c>
      <c r="H65" s="222">
        <v>180</v>
      </c>
      <c r="I65" s="222">
        <v>0</v>
      </c>
      <c r="J65" s="222">
        <v>0</v>
      </c>
      <c r="K65" s="219" t="s">
        <v>81</v>
      </c>
      <c r="L65" s="223" t="s">
        <v>40</v>
      </c>
      <c r="M65" s="222">
        <v>0</v>
      </c>
      <c r="N65" s="222">
        <v>0</v>
      </c>
      <c r="O65" s="222">
        <v>0</v>
      </c>
      <c r="P65" s="219" t="s">
        <v>132</v>
      </c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</row>
    <row r="66" spans="1:36" x14ac:dyDescent="0.3">
      <c r="A66" s="217" t="s">
        <v>87</v>
      </c>
      <c r="B66" s="218">
        <v>46077</v>
      </c>
      <c r="C66" s="219" t="s">
        <v>90</v>
      </c>
      <c r="D66" s="220" t="s">
        <v>157</v>
      </c>
      <c r="E66" s="219" t="s">
        <v>89</v>
      </c>
      <c r="F66" s="219" t="s">
        <v>80</v>
      </c>
      <c r="G66" s="221">
        <v>1.67E-2</v>
      </c>
      <c r="H66" s="222">
        <v>180</v>
      </c>
      <c r="I66" s="222">
        <v>3</v>
      </c>
      <c r="J66" s="222">
        <v>0</v>
      </c>
      <c r="K66" s="219" t="s">
        <v>81</v>
      </c>
      <c r="L66" s="223" t="s">
        <v>135</v>
      </c>
      <c r="M66" s="222">
        <v>0</v>
      </c>
      <c r="N66" s="222">
        <v>0</v>
      </c>
      <c r="O66" s="222">
        <v>3</v>
      </c>
      <c r="P66" s="219" t="s">
        <v>132</v>
      </c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22" t="s">
        <v>136</v>
      </c>
      <c r="AB66" s="215"/>
      <c r="AC66" s="215"/>
      <c r="AD66" s="215"/>
      <c r="AE66" s="215"/>
      <c r="AF66" s="215"/>
      <c r="AG66" s="215"/>
      <c r="AH66" s="215"/>
      <c r="AI66" s="215"/>
      <c r="AJ66" s="215"/>
    </row>
    <row r="67" spans="1:36" x14ac:dyDescent="0.3">
      <c r="A67" s="217" t="s">
        <v>87</v>
      </c>
      <c r="B67" s="218">
        <v>46077</v>
      </c>
      <c r="C67" s="219" t="s">
        <v>101</v>
      </c>
      <c r="D67" s="220" t="s">
        <v>150</v>
      </c>
      <c r="E67" s="219" t="s">
        <v>89</v>
      </c>
      <c r="F67" s="219" t="s">
        <v>80</v>
      </c>
      <c r="G67" s="221">
        <v>0</v>
      </c>
      <c r="H67" s="222">
        <v>180</v>
      </c>
      <c r="I67" s="222">
        <v>0</v>
      </c>
      <c r="J67" s="222">
        <v>0</v>
      </c>
      <c r="K67" s="219" t="s">
        <v>81</v>
      </c>
      <c r="L67" s="223" t="s">
        <v>40</v>
      </c>
      <c r="M67" s="222">
        <v>0</v>
      </c>
      <c r="N67" s="222">
        <v>0</v>
      </c>
      <c r="O67" s="222">
        <v>0</v>
      </c>
      <c r="P67" s="219" t="s">
        <v>132</v>
      </c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</row>
    <row r="68" spans="1:36" x14ac:dyDescent="0.3">
      <c r="A68" s="217" t="s">
        <v>78</v>
      </c>
      <c r="B68" s="218">
        <v>46078</v>
      </c>
      <c r="C68" s="219" t="s">
        <v>90</v>
      </c>
      <c r="D68" s="220" t="s">
        <v>139</v>
      </c>
      <c r="E68" s="219" t="s">
        <v>89</v>
      </c>
      <c r="F68" s="219" t="s">
        <v>80</v>
      </c>
      <c r="G68" s="221">
        <v>0</v>
      </c>
      <c r="H68" s="222">
        <v>180</v>
      </c>
      <c r="I68" s="222">
        <v>0</v>
      </c>
      <c r="J68" s="222">
        <v>0</v>
      </c>
      <c r="K68" s="219" t="s">
        <v>81</v>
      </c>
      <c r="L68" s="223" t="s">
        <v>40</v>
      </c>
      <c r="M68" s="222">
        <v>0</v>
      </c>
      <c r="N68" s="222">
        <v>0</v>
      </c>
      <c r="O68" s="222">
        <v>0</v>
      </c>
      <c r="P68" s="219" t="s">
        <v>132</v>
      </c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</row>
    <row r="69" spans="1:36" x14ac:dyDescent="0.3">
      <c r="A69" s="217" t="s">
        <v>78</v>
      </c>
      <c r="B69" s="218">
        <v>46078</v>
      </c>
      <c r="C69" s="219" t="s">
        <v>93</v>
      </c>
      <c r="D69" s="220" t="s">
        <v>140</v>
      </c>
      <c r="E69" s="219" t="s">
        <v>89</v>
      </c>
      <c r="F69" s="219" t="s">
        <v>80</v>
      </c>
      <c r="G69" s="221">
        <v>0</v>
      </c>
      <c r="H69" s="222">
        <v>180</v>
      </c>
      <c r="I69" s="222">
        <v>0</v>
      </c>
      <c r="J69" s="222">
        <v>0</v>
      </c>
      <c r="K69" s="219" t="s">
        <v>81</v>
      </c>
      <c r="L69" s="223" t="s">
        <v>40</v>
      </c>
      <c r="M69" s="222">
        <v>0</v>
      </c>
      <c r="N69" s="222">
        <v>0</v>
      </c>
      <c r="O69" s="222">
        <v>0</v>
      </c>
      <c r="P69" s="219" t="s">
        <v>132</v>
      </c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</row>
    <row r="70" spans="1:36" x14ac:dyDescent="0.3">
      <c r="A70" s="217" t="s">
        <v>78</v>
      </c>
      <c r="B70" s="218">
        <v>46078</v>
      </c>
      <c r="C70" s="219" t="s">
        <v>97</v>
      </c>
      <c r="D70" s="220" t="s">
        <v>142</v>
      </c>
      <c r="E70" s="219" t="s">
        <v>89</v>
      </c>
      <c r="F70" s="219" t="s">
        <v>80</v>
      </c>
      <c r="G70" s="221">
        <v>5.5999999999999999E-3</v>
      </c>
      <c r="H70" s="222">
        <v>180</v>
      </c>
      <c r="I70" s="222">
        <v>1</v>
      </c>
      <c r="J70" s="222">
        <v>0</v>
      </c>
      <c r="K70" s="219" t="s">
        <v>81</v>
      </c>
      <c r="L70" s="223" t="s">
        <v>117</v>
      </c>
      <c r="M70" s="222">
        <v>0</v>
      </c>
      <c r="N70" s="222">
        <v>0</v>
      </c>
      <c r="O70" s="222">
        <v>1</v>
      </c>
      <c r="P70" s="219" t="s">
        <v>132</v>
      </c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22" t="s">
        <v>112</v>
      </c>
      <c r="AB70" s="215"/>
      <c r="AC70" s="215"/>
      <c r="AD70" s="215"/>
      <c r="AE70" s="215"/>
      <c r="AF70" s="215"/>
      <c r="AG70" s="215"/>
      <c r="AH70" s="215"/>
      <c r="AI70" s="215"/>
      <c r="AJ70" s="215"/>
    </row>
    <row r="71" spans="1:36" x14ac:dyDescent="0.3">
      <c r="A71" s="217" t="s">
        <v>143</v>
      </c>
      <c r="B71" s="218">
        <v>46079</v>
      </c>
      <c r="C71" s="219" t="s">
        <v>90</v>
      </c>
      <c r="D71" s="220" t="s">
        <v>144</v>
      </c>
      <c r="E71" s="219" t="s">
        <v>89</v>
      </c>
      <c r="F71" s="219" t="s">
        <v>80</v>
      </c>
      <c r="G71" s="221">
        <v>0</v>
      </c>
      <c r="H71" s="222">
        <v>180</v>
      </c>
      <c r="I71" s="222">
        <v>0</v>
      </c>
      <c r="J71" s="222">
        <v>0</v>
      </c>
      <c r="K71" s="219" t="s">
        <v>81</v>
      </c>
      <c r="L71" s="223" t="s">
        <v>40</v>
      </c>
      <c r="M71" s="222">
        <v>0</v>
      </c>
      <c r="N71" s="222">
        <v>0</v>
      </c>
      <c r="O71" s="222">
        <v>0</v>
      </c>
      <c r="P71" s="219" t="s">
        <v>132</v>
      </c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</row>
    <row r="72" spans="1:36" x14ac:dyDescent="0.3">
      <c r="A72" s="217" t="s">
        <v>143</v>
      </c>
      <c r="B72" s="218">
        <v>46079</v>
      </c>
      <c r="C72" s="219" t="s">
        <v>101</v>
      </c>
      <c r="D72" s="220" t="s">
        <v>145</v>
      </c>
      <c r="E72" s="219" t="s">
        <v>89</v>
      </c>
      <c r="F72" s="219" t="s">
        <v>80</v>
      </c>
      <c r="G72" s="221">
        <v>0</v>
      </c>
      <c r="H72" s="222">
        <v>180</v>
      </c>
      <c r="I72" s="222">
        <v>0</v>
      </c>
      <c r="J72" s="222">
        <v>0</v>
      </c>
      <c r="K72" s="219" t="s">
        <v>81</v>
      </c>
      <c r="L72" s="223" t="s">
        <v>40</v>
      </c>
      <c r="M72" s="222">
        <v>0</v>
      </c>
      <c r="N72" s="222">
        <v>0</v>
      </c>
      <c r="O72" s="222">
        <v>0</v>
      </c>
      <c r="P72" s="219" t="s">
        <v>132</v>
      </c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</row>
    <row r="73" spans="1:36" x14ac:dyDescent="0.3">
      <c r="A73" s="217" t="s">
        <v>146</v>
      </c>
      <c r="B73" s="218">
        <v>46080</v>
      </c>
      <c r="C73" s="219" t="s">
        <v>93</v>
      </c>
      <c r="D73" s="220" t="s">
        <v>147</v>
      </c>
      <c r="E73" s="219" t="s">
        <v>89</v>
      </c>
      <c r="F73" s="219" t="s">
        <v>80</v>
      </c>
      <c r="G73" s="221">
        <v>0</v>
      </c>
      <c r="H73" s="222">
        <v>180</v>
      </c>
      <c r="I73" s="222">
        <v>0</v>
      </c>
      <c r="J73" s="222">
        <v>0</v>
      </c>
      <c r="K73" s="219" t="s">
        <v>81</v>
      </c>
      <c r="L73" s="223" t="s">
        <v>40</v>
      </c>
      <c r="M73" s="222">
        <v>0</v>
      </c>
      <c r="N73" s="222">
        <v>0</v>
      </c>
      <c r="O73" s="222">
        <v>0</v>
      </c>
      <c r="P73" s="219" t="s">
        <v>132</v>
      </c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</row>
    <row r="74" spans="1:36" x14ac:dyDescent="0.3">
      <c r="A74" s="217" t="s">
        <v>82</v>
      </c>
      <c r="B74" s="218">
        <v>46081</v>
      </c>
      <c r="C74" s="219" t="s">
        <v>93</v>
      </c>
      <c r="D74" s="220" t="s">
        <v>148</v>
      </c>
      <c r="E74" s="219" t="s">
        <v>89</v>
      </c>
      <c r="F74" s="219" t="s">
        <v>80</v>
      </c>
      <c r="G74" s="221">
        <v>0</v>
      </c>
      <c r="H74" s="222">
        <v>180</v>
      </c>
      <c r="I74" s="222">
        <v>0</v>
      </c>
      <c r="J74" s="222">
        <v>0</v>
      </c>
      <c r="K74" s="219" t="s">
        <v>81</v>
      </c>
      <c r="L74" s="223" t="s">
        <v>40</v>
      </c>
      <c r="M74" s="222">
        <v>0</v>
      </c>
      <c r="N74" s="222">
        <v>0</v>
      </c>
      <c r="O74" s="222">
        <v>0</v>
      </c>
      <c r="P74" s="219" t="s">
        <v>132</v>
      </c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</row>
    <row r="75" spans="1:36" x14ac:dyDescent="0.3">
      <c r="A75" s="217" t="s">
        <v>82</v>
      </c>
      <c r="B75" s="218">
        <v>46081</v>
      </c>
      <c r="C75" s="219" t="s">
        <v>90</v>
      </c>
      <c r="D75" s="220" t="s">
        <v>149</v>
      </c>
      <c r="E75" s="219" t="s">
        <v>89</v>
      </c>
      <c r="F75" s="219" t="s">
        <v>80</v>
      </c>
      <c r="G75" s="221">
        <v>5.5999999999999999E-3</v>
      </c>
      <c r="H75" s="222">
        <v>180</v>
      </c>
      <c r="I75" s="222">
        <v>1</v>
      </c>
      <c r="J75" s="222">
        <v>0</v>
      </c>
      <c r="K75" s="219" t="s">
        <v>81</v>
      </c>
      <c r="L75" s="223" t="s">
        <v>110</v>
      </c>
      <c r="M75" s="222">
        <v>0</v>
      </c>
      <c r="N75" s="222">
        <v>0</v>
      </c>
      <c r="O75" s="222">
        <v>1</v>
      </c>
      <c r="P75" s="219" t="s">
        <v>132</v>
      </c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22" t="s">
        <v>112</v>
      </c>
      <c r="AB75" s="215"/>
      <c r="AC75" s="215"/>
      <c r="AD75" s="215"/>
      <c r="AE75" s="215"/>
      <c r="AF75" s="215"/>
      <c r="AG75" s="215"/>
      <c r="AH75" s="215"/>
      <c r="AI75" s="215"/>
      <c r="AJ75" s="215"/>
    </row>
    <row r="76" spans="1:36" x14ac:dyDescent="0.3">
      <c r="A76" s="217" t="s">
        <v>82</v>
      </c>
      <c r="B76" s="218">
        <v>46081</v>
      </c>
      <c r="C76" s="219" t="s">
        <v>101</v>
      </c>
      <c r="D76" s="220" t="s">
        <v>150</v>
      </c>
      <c r="E76" s="219" t="s">
        <v>89</v>
      </c>
      <c r="F76" s="219" t="s">
        <v>80</v>
      </c>
      <c r="G76" s="221">
        <v>0</v>
      </c>
      <c r="H76" s="222">
        <v>180</v>
      </c>
      <c r="I76" s="222">
        <v>0</v>
      </c>
      <c r="J76" s="222">
        <v>0</v>
      </c>
      <c r="K76" s="219" t="s">
        <v>81</v>
      </c>
      <c r="L76" s="223" t="s">
        <v>40</v>
      </c>
      <c r="M76" s="222">
        <v>0</v>
      </c>
      <c r="N76" s="222">
        <v>0</v>
      </c>
      <c r="O76" s="222">
        <v>0</v>
      </c>
      <c r="P76" s="219" t="s">
        <v>132</v>
      </c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</row>
    <row r="77" spans="1:36" x14ac:dyDescent="0.3">
      <c r="A77" s="217" t="s">
        <v>151</v>
      </c>
      <c r="B77" s="218">
        <v>46082</v>
      </c>
      <c r="C77" s="219" t="s">
        <v>93</v>
      </c>
      <c r="D77" s="220" t="s">
        <v>152</v>
      </c>
      <c r="E77" s="219" t="s">
        <v>89</v>
      </c>
      <c r="F77" s="219" t="s">
        <v>80</v>
      </c>
      <c r="G77" s="221">
        <v>1.67E-2</v>
      </c>
      <c r="H77" s="222">
        <v>180</v>
      </c>
      <c r="I77" s="222">
        <v>3</v>
      </c>
      <c r="J77" s="222">
        <v>0</v>
      </c>
      <c r="K77" s="219" t="s">
        <v>81</v>
      </c>
      <c r="L77" s="223" t="s">
        <v>120</v>
      </c>
      <c r="M77" s="222">
        <v>0</v>
      </c>
      <c r="N77" s="222">
        <v>0</v>
      </c>
      <c r="O77" s="222">
        <v>3</v>
      </c>
      <c r="P77" s="219" t="s">
        <v>137</v>
      </c>
      <c r="Q77" s="215"/>
      <c r="R77" s="215"/>
      <c r="S77" s="215"/>
      <c r="T77" s="215"/>
      <c r="U77" s="215"/>
      <c r="V77" s="215"/>
      <c r="W77" s="215"/>
      <c r="X77" s="222" t="s">
        <v>138</v>
      </c>
      <c r="Y77" s="215"/>
      <c r="Z77" s="215"/>
      <c r="AA77" s="215"/>
      <c r="AB77" s="215"/>
      <c r="AC77" s="215"/>
      <c r="AD77" s="215"/>
      <c r="AE77" s="215"/>
      <c r="AF77" s="215"/>
      <c r="AG77" s="215"/>
      <c r="AH77" s="215"/>
      <c r="AI77" s="215"/>
      <c r="AJ77" s="215"/>
    </row>
    <row r="78" spans="1:36" x14ac:dyDescent="0.3">
      <c r="A78" s="217" t="s">
        <v>151</v>
      </c>
      <c r="B78" s="218">
        <v>46082</v>
      </c>
      <c r="C78" s="219" t="s">
        <v>101</v>
      </c>
      <c r="D78" s="220" t="s">
        <v>153</v>
      </c>
      <c r="E78" s="219" t="s">
        <v>89</v>
      </c>
      <c r="F78" s="219" t="s">
        <v>80</v>
      </c>
      <c r="G78" s="221">
        <v>0</v>
      </c>
      <c r="H78" s="222">
        <v>180</v>
      </c>
      <c r="I78" s="222">
        <v>0</v>
      </c>
      <c r="J78" s="222">
        <v>0</v>
      </c>
      <c r="K78" s="219" t="s">
        <v>81</v>
      </c>
      <c r="L78" s="223" t="s">
        <v>40</v>
      </c>
      <c r="M78" s="222">
        <v>0</v>
      </c>
      <c r="N78" s="222">
        <v>0</v>
      </c>
      <c r="O78" s="222">
        <v>0</v>
      </c>
      <c r="P78" s="219" t="s">
        <v>137</v>
      </c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</row>
    <row r="79" spans="1:36" ht="21" x14ac:dyDescent="0.3">
      <c r="A79" s="224" t="s">
        <v>217</v>
      </c>
      <c r="B79" s="225"/>
      <c r="C79" s="224">
        <f>SUBTOTAL(103,ATZ_JED_LF_LEGACY[Flt])</f>
        <v>77</v>
      </c>
      <c r="D79" s="224"/>
      <c r="E79" s="224">
        <f>SUBTOTAL(103,ATZ_JED_LF_LEGACY[Brd-Off])</f>
        <v>77</v>
      </c>
      <c r="F79" s="224"/>
      <c r="G79" s="226">
        <f>SUBTOTAL(101,ATZ_JED_LF_LEGACY[LF%])</f>
        <v>5.9987012987012967E-3</v>
      </c>
      <c r="H79" s="227">
        <f>SUBTOTAL(109,ATZ_JED_LF_LEGACY[CAP])</f>
        <v>13860</v>
      </c>
      <c r="I79" s="227">
        <f>SUBTOTAL(109,ATZ_JED_LF_LEGACY[BKG(Y)])</f>
        <v>83</v>
      </c>
      <c r="J79" s="227">
        <f>SUBTOTAL(109,ATZ_JED_LF_LEGACY[GRP(Y)])</f>
        <v>0</v>
      </c>
      <c r="K79" s="224"/>
      <c r="L79" s="225"/>
      <c r="M79" s="227">
        <f>SUBTOTAL(109,ATZ_JED_LF_LEGACY[TO-DAY])</f>
        <v>0</v>
      </c>
      <c r="N79" s="227">
        <f>SUBTOTAL(109,ATZ_JED_LF_LEGACY[Y-DAY])</f>
        <v>0</v>
      </c>
      <c r="O79" s="227">
        <f>SUBTOTAL(109,ATZ_JED_LF_LEGACY[WEEKLY])</f>
        <v>83</v>
      </c>
      <c r="P79" s="228"/>
      <c r="Q79" s="227">
        <f>SUBTOTAL(109,ATZ_JED_LF_LEGACY[Y])</f>
        <v>0</v>
      </c>
      <c r="R79" s="227">
        <f>SUBTOTAL(109,ATZ_JED_LF_LEGACY[B])</f>
        <v>0</v>
      </c>
      <c r="S79" s="227">
        <f>SUBTOTAL(109,ATZ_JED_LF_LEGACY[M])</f>
        <v>0</v>
      </c>
      <c r="T79" s="227">
        <f>SUBTOTAL(109,ATZ_JED_LF_LEGACY[H])</f>
        <v>0</v>
      </c>
      <c r="U79" s="227">
        <f>SUBTOTAL(109,ATZ_JED_LF_LEGACY[Q])</f>
        <v>0</v>
      </c>
      <c r="V79" s="227">
        <f>SUBTOTAL(109,ATZ_JED_LF_LEGACY[K])</f>
        <v>0</v>
      </c>
      <c r="W79" s="227">
        <f>SUBTOTAL(109,ATZ_JED_LF_LEGACY[V])</f>
        <v>0</v>
      </c>
      <c r="X79" s="227">
        <f>SUBTOTAL(109,ATZ_JED_LF_LEGACY[L])</f>
        <v>0</v>
      </c>
      <c r="Y79" s="227">
        <f>SUBTOTAL(109,ATZ_JED_LF_LEGACY[G])</f>
        <v>0</v>
      </c>
      <c r="Z79" s="227">
        <f>SUBTOTAL(109,ATZ_JED_LF_LEGACY[S])</f>
        <v>0</v>
      </c>
      <c r="AA79" s="227">
        <f>SUBTOTAL(109,ATZ_JED_LF_LEGACY[W])</f>
        <v>0</v>
      </c>
      <c r="AB79" s="227">
        <f>SUBTOTAL(109,ATZ_JED_LF_LEGACY[T])</f>
        <v>0</v>
      </c>
      <c r="AC79" s="227">
        <f>SUBTOTAL(109,ATZ_JED_LF_LEGACY[X])</f>
        <v>0</v>
      </c>
      <c r="AD79" s="227">
        <f>SUBTOTAL(109,ATZ_JED_LF_LEGACY[U])</f>
        <v>0</v>
      </c>
      <c r="AE79" s="227">
        <f>SUBTOTAL(109,ATZ_JED_LF_LEGACY[O])</f>
        <v>0</v>
      </c>
      <c r="AF79" s="227">
        <f>SUBTOTAL(109,ATZ_JED_LF_LEGACY[I])</f>
        <v>0</v>
      </c>
      <c r="AG79" s="227">
        <f>SUBTOTAL(109,ATZ_JED_LF_LEGACY[E])</f>
        <v>0</v>
      </c>
      <c r="AH79" s="227">
        <f>SUBTOTAL(109,ATZ_JED_LF_LEGACY[A])</f>
        <v>0</v>
      </c>
      <c r="AI79" s="227">
        <f>SUBTOTAL(109,ATZ_JED_LF_LEGACY[P])</f>
        <v>0</v>
      </c>
      <c r="AJ79" s="227">
        <f>SUBTOTAL(103,ATZ_JED_LF_LEGACY[N])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5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2.5546875" bestFit="1" customWidth="1"/>
  </cols>
  <sheetData>
    <row r="1" spans="1:92" ht="28.8" customHeight="1" x14ac:dyDescent="0.3">
      <c r="A1" s="200" t="s">
        <v>0</v>
      </c>
      <c r="B1" s="199"/>
      <c r="C1" s="199"/>
      <c r="D1" s="199"/>
      <c r="E1" s="199"/>
      <c r="F1" s="1" t="s">
        <v>158</v>
      </c>
      <c r="G1" s="2" t="s">
        <v>2</v>
      </c>
      <c r="H1" s="198" t="s">
        <v>3</v>
      </c>
      <c r="I1" s="199"/>
      <c r="J1" s="199"/>
      <c r="K1" s="199"/>
      <c r="L1" s="199"/>
      <c r="M1" s="1" t="s">
        <v>4</v>
      </c>
      <c r="N1" s="208" t="s">
        <v>5</v>
      </c>
      <c r="O1" s="199"/>
      <c r="P1" s="199"/>
      <c r="Q1" s="199"/>
      <c r="R1" s="1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6" t="s">
        <v>6</v>
      </c>
      <c r="B2" s="199"/>
      <c r="C2" s="199"/>
      <c r="D2" s="199"/>
      <c r="E2" s="199"/>
      <c r="F2" s="199"/>
      <c r="G2" s="207">
        <v>45984.112445618528</v>
      </c>
      <c r="H2" s="199"/>
      <c r="I2" s="199"/>
      <c r="J2" s="199"/>
      <c r="K2" s="209">
        <v>45984.112445619146</v>
      </c>
      <c r="L2" s="199"/>
      <c r="M2" s="199"/>
      <c r="N2" s="199"/>
      <c r="O2" s="199"/>
      <c r="P2" s="199"/>
      <c r="Q2" s="199"/>
      <c r="R2" s="1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2" t="s">
        <v>8</v>
      </c>
      <c r="B4" s="203"/>
      <c r="C4" s="203"/>
      <c r="D4" s="203"/>
      <c r="E4" s="203"/>
      <c r="F4" s="204"/>
      <c r="G4" s="4">
        <v>46050</v>
      </c>
      <c r="H4" s="210" t="s">
        <v>9</v>
      </c>
      <c r="I4" s="203"/>
      <c r="J4" s="203"/>
      <c r="K4" s="203"/>
      <c r="L4" s="203"/>
      <c r="M4" s="203"/>
      <c r="N4" s="203"/>
      <c r="O4" s="203"/>
      <c r="P4" s="203"/>
      <c r="Q4" s="203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26" t="s">
        <v>28</v>
      </c>
      <c r="B6" s="26" t="s">
        <v>159</v>
      </c>
      <c r="C6" s="27">
        <v>0.40625</v>
      </c>
      <c r="D6" s="26" t="s">
        <v>30</v>
      </c>
      <c r="E6" s="28"/>
      <c r="F6" s="26" t="s">
        <v>31</v>
      </c>
      <c r="G6" s="197"/>
      <c r="H6" s="29" t="s">
        <v>159</v>
      </c>
      <c r="I6" s="30">
        <v>3.9100000000000003E-2</v>
      </c>
      <c r="J6" s="31">
        <v>7</v>
      </c>
      <c r="K6" s="32" t="s">
        <v>45</v>
      </c>
      <c r="L6" s="31">
        <v>7</v>
      </c>
      <c r="M6" s="31">
        <v>0</v>
      </c>
      <c r="N6" s="31">
        <v>0</v>
      </c>
      <c r="O6" s="33" t="s">
        <v>160</v>
      </c>
      <c r="P6" s="34">
        <v>0.40625</v>
      </c>
      <c r="Q6" s="31">
        <v>179</v>
      </c>
      <c r="R6" s="35" t="s">
        <v>161</v>
      </c>
    </row>
    <row r="7" spans="1:92" ht="17.399999999999999" customHeight="1" thickBot="1" x14ac:dyDescent="0.35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92" ht="22.05" customHeight="1" thickTop="1" thickBot="1" x14ac:dyDescent="0.35">
      <c r="A8" s="202" t="s">
        <v>8</v>
      </c>
      <c r="B8" s="203"/>
      <c r="C8" s="203"/>
      <c r="D8" s="203"/>
      <c r="E8" s="203"/>
      <c r="F8" s="204"/>
      <c r="G8" s="18">
        <v>46054</v>
      </c>
      <c r="H8" s="205" t="s">
        <v>9</v>
      </c>
      <c r="I8" s="203"/>
      <c r="J8" s="203"/>
      <c r="K8" s="203"/>
      <c r="L8" s="203"/>
      <c r="M8" s="203"/>
      <c r="N8" s="203"/>
      <c r="O8" s="203"/>
      <c r="P8" s="203"/>
      <c r="Q8" s="203"/>
      <c r="R8" s="2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162</v>
      </c>
      <c r="C10" s="9">
        <v>0.42708333333333331</v>
      </c>
      <c r="D10" s="8" t="s">
        <v>30</v>
      </c>
      <c r="E10" s="10"/>
      <c r="F10" s="8" t="s">
        <v>31</v>
      </c>
      <c r="G10" s="201"/>
      <c r="H10" s="11" t="s">
        <v>162</v>
      </c>
      <c r="I10" s="12">
        <v>6.1499999999999999E-2</v>
      </c>
      <c r="J10" s="13">
        <v>11</v>
      </c>
      <c r="K10" s="14" t="s">
        <v>114</v>
      </c>
      <c r="L10" s="13">
        <v>11</v>
      </c>
      <c r="M10" s="13">
        <v>0</v>
      </c>
      <c r="N10" s="13">
        <v>0</v>
      </c>
      <c r="O10" s="15" t="s">
        <v>163</v>
      </c>
      <c r="P10" s="16">
        <v>0.42708333333333331</v>
      </c>
      <c r="Q10" s="13">
        <v>179</v>
      </c>
      <c r="R10" s="17" t="s">
        <v>164</v>
      </c>
    </row>
    <row r="11" spans="1:92" ht="17.399999999999999" customHeight="1" thickBot="1" x14ac:dyDescent="0.35">
      <c r="A11" s="229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1"/>
    </row>
    <row r="12" spans="1:92" ht="22.05" customHeight="1" thickTop="1" thickBot="1" x14ac:dyDescent="0.35">
      <c r="A12" s="202" t="s">
        <v>8</v>
      </c>
      <c r="B12" s="203"/>
      <c r="C12" s="203"/>
      <c r="D12" s="203"/>
      <c r="E12" s="203"/>
      <c r="F12" s="204"/>
      <c r="G12" s="18">
        <v>46056</v>
      </c>
      <c r="H12" s="205" t="s">
        <v>9</v>
      </c>
      <c r="I12" s="203"/>
      <c r="J12" s="203"/>
      <c r="K12" s="203"/>
      <c r="L12" s="203"/>
      <c r="M12" s="203"/>
      <c r="N12" s="203"/>
      <c r="O12" s="203"/>
      <c r="P12" s="203"/>
      <c r="Q12" s="203"/>
      <c r="R12" s="2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162</v>
      </c>
      <c r="C14" s="27">
        <v>0.43055555555555558</v>
      </c>
      <c r="D14" s="26" t="s">
        <v>30</v>
      </c>
      <c r="E14" s="28"/>
      <c r="F14" s="26" t="s">
        <v>31</v>
      </c>
      <c r="G14" s="201"/>
      <c r="H14" s="29" t="s">
        <v>162</v>
      </c>
      <c r="I14" s="30">
        <v>3.9100000000000003E-2</v>
      </c>
      <c r="J14" s="31">
        <v>7</v>
      </c>
      <c r="K14" s="32" t="s">
        <v>114</v>
      </c>
      <c r="L14" s="31">
        <v>7</v>
      </c>
      <c r="M14" s="31">
        <v>0</v>
      </c>
      <c r="N14" s="31">
        <v>0</v>
      </c>
      <c r="O14" s="33" t="s">
        <v>160</v>
      </c>
      <c r="P14" s="34">
        <v>0.43055555555555558</v>
      </c>
      <c r="Q14" s="31">
        <v>179</v>
      </c>
      <c r="R14" s="35" t="s">
        <v>165</v>
      </c>
    </row>
    <row r="15" spans="1:92" ht="17.399999999999999" customHeight="1" thickBot="1" x14ac:dyDescent="0.35">
      <c r="A15" s="229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</row>
    <row r="16" spans="1:92" ht="22.05" customHeight="1" thickTop="1" thickBot="1" x14ac:dyDescent="0.35">
      <c r="A16" s="202" t="s">
        <v>8</v>
      </c>
      <c r="B16" s="203"/>
      <c r="C16" s="203"/>
      <c r="D16" s="203"/>
      <c r="E16" s="203"/>
      <c r="F16" s="204"/>
      <c r="G16" s="18">
        <v>46057</v>
      </c>
      <c r="H16" s="205" t="s">
        <v>9</v>
      </c>
      <c r="I16" s="203"/>
      <c r="J16" s="203"/>
      <c r="K16" s="203"/>
      <c r="L16" s="203"/>
      <c r="M16" s="203"/>
      <c r="N16" s="203"/>
      <c r="O16" s="203"/>
      <c r="P16" s="203"/>
      <c r="Q16" s="203"/>
      <c r="R16" s="2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26" t="s">
        <v>28</v>
      </c>
      <c r="B18" s="26" t="s">
        <v>159</v>
      </c>
      <c r="C18" s="27">
        <v>0.40625</v>
      </c>
      <c r="D18" s="26" t="s">
        <v>30</v>
      </c>
      <c r="E18" s="28"/>
      <c r="F18" s="26" t="s">
        <v>31</v>
      </c>
      <c r="G18" s="201"/>
      <c r="H18" s="29" t="s">
        <v>159</v>
      </c>
      <c r="I18" s="30">
        <v>1.12E-2</v>
      </c>
      <c r="J18" s="31">
        <v>2</v>
      </c>
      <c r="K18" s="32" t="s">
        <v>111</v>
      </c>
      <c r="L18" s="31">
        <v>2</v>
      </c>
      <c r="M18" s="31">
        <v>0</v>
      </c>
      <c r="N18" s="31">
        <v>0</v>
      </c>
      <c r="O18" s="33" t="s">
        <v>116</v>
      </c>
      <c r="P18" s="34">
        <v>0.40625</v>
      </c>
      <c r="Q18" s="31">
        <v>179</v>
      </c>
      <c r="R18" s="35" t="s">
        <v>124</v>
      </c>
    </row>
    <row r="19" spans="1:18" ht="17.399999999999999" customHeight="1" thickBot="1" x14ac:dyDescent="0.35">
      <c r="A19" s="229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1"/>
    </row>
    <row r="20" spans="1:18" ht="22.05" customHeight="1" thickTop="1" thickBot="1" x14ac:dyDescent="0.35">
      <c r="A20" s="202" t="s">
        <v>8</v>
      </c>
      <c r="B20" s="203"/>
      <c r="C20" s="203"/>
      <c r="D20" s="203"/>
      <c r="E20" s="203"/>
      <c r="F20" s="204"/>
      <c r="G20" s="18">
        <v>46061</v>
      </c>
      <c r="H20" s="205" t="s">
        <v>9</v>
      </c>
      <c r="I20" s="203"/>
      <c r="J20" s="203"/>
      <c r="K20" s="203"/>
      <c r="L20" s="203"/>
      <c r="M20" s="203"/>
      <c r="N20" s="203"/>
      <c r="O20" s="203"/>
      <c r="P20" s="203"/>
      <c r="Q20" s="203"/>
      <c r="R20" s="2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" t="s">
        <v>28</v>
      </c>
      <c r="B22" s="8" t="s">
        <v>162</v>
      </c>
      <c r="C22" s="9">
        <v>0.42708333333333331</v>
      </c>
      <c r="D22" s="8" t="s">
        <v>30</v>
      </c>
      <c r="E22" s="10"/>
      <c r="F22" s="8" t="s">
        <v>31</v>
      </c>
      <c r="G22" s="201"/>
      <c r="H22" s="11" t="s">
        <v>162</v>
      </c>
      <c r="I22" s="12">
        <v>4.4699999999999997E-2</v>
      </c>
      <c r="J22" s="13">
        <v>8</v>
      </c>
      <c r="K22" s="14" t="s">
        <v>36</v>
      </c>
      <c r="L22" s="13">
        <v>8</v>
      </c>
      <c r="M22" s="13">
        <v>0</v>
      </c>
      <c r="N22" s="13">
        <v>0</v>
      </c>
      <c r="O22" s="15" t="s">
        <v>166</v>
      </c>
      <c r="P22" s="16">
        <v>0.42708333333333331</v>
      </c>
      <c r="Q22" s="13">
        <v>179</v>
      </c>
      <c r="R22" s="17" t="s">
        <v>167</v>
      </c>
    </row>
    <row r="23" spans="1:18" ht="17.399999999999999" customHeight="1" thickBot="1" x14ac:dyDescent="0.35">
      <c r="A23" s="229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1"/>
    </row>
    <row r="24" spans="1:18" ht="22.05" customHeight="1" thickTop="1" thickBot="1" x14ac:dyDescent="0.35">
      <c r="A24" s="202" t="s">
        <v>8</v>
      </c>
      <c r="B24" s="203"/>
      <c r="C24" s="203"/>
      <c r="D24" s="203"/>
      <c r="E24" s="203"/>
      <c r="F24" s="204"/>
      <c r="G24" s="18">
        <v>46063</v>
      </c>
      <c r="H24" s="205" t="s">
        <v>9</v>
      </c>
      <c r="I24" s="203"/>
      <c r="J24" s="203"/>
      <c r="K24" s="203"/>
      <c r="L24" s="203"/>
      <c r="M24" s="203"/>
      <c r="N24" s="203"/>
      <c r="O24" s="203"/>
      <c r="P24" s="203"/>
      <c r="Q24" s="203"/>
      <c r="R24" s="204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158" t="s">
        <v>28</v>
      </c>
      <c r="B26" s="158" t="s">
        <v>162</v>
      </c>
      <c r="C26" s="159">
        <v>0.43055555555555558</v>
      </c>
      <c r="D26" s="158" t="s">
        <v>30</v>
      </c>
      <c r="E26" s="160"/>
      <c r="F26" s="158" t="s">
        <v>31</v>
      </c>
      <c r="G26" s="197"/>
      <c r="H26" s="174" t="s">
        <v>162</v>
      </c>
      <c r="I26" s="175">
        <v>2.23E-2</v>
      </c>
      <c r="J26" s="176">
        <v>4</v>
      </c>
      <c r="K26" s="177" t="s">
        <v>128</v>
      </c>
      <c r="L26" s="176">
        <v>4</v>
      </c>
      <c r="M26" s="176">
        <v>0</v>
      </c>
      <c r="N26" s="176">
        <v>0</v>
      </c>
      <c r="O26" s="178" t="s">
        <v>168</v>
      </c>
      <c r="P26" s="179">
        <v>0.43055555555555558</v>
      </c>
      <c r="Q26" s="176">
        <v>179</v>
      </c>
      <c r="R26" s="180" t="s">
        <v>169</v>
      </c>
    </row>
    <row r="27" spans="1:18" ht="17.399999999999999" customHeight="1" thickBot="1" x14ac:dyDescent="0.35">
      <c r="A27" s="229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1"/>
    </row>
    <row r="28" spans="1:18" ht="22.05" customHeight="1" thickTop="1" thickBot="1" x14ac:dyDescent="0.35">
      <c r="A28" s="202" t="s">
        <v>8</v>
      </c>
      <c r="B28" s="203"/>
      <c r="C28" s="203"/>
      <c r="D28" s="203"/>
      <c r="E28" s="203"/>
      <c r="F28" s="204"/>
      <c r="G28" s="18">
        <v>46064</v>
      </c>
      <c r="H28" s="205" t="s">
        <v>9</v>
      </c>
      <c r="I28" s="203"/>
      <c r="J28" s="203"/>
      <c r="K28" s="203"/>
      <c r="L28" s="203"/>
      <c r="M28" s="203"/>
      <c r="N28" s="203"/>
      <c r="O28" s="203"/>
      <c r="P28" s="203"/>
      <c r="Q28" s="203"/>
      <c r="R28" s="204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46" t="s">
        <v>28</v>
      </c>
      <c r="B30" s="46" t="s">
        <v>159</v>
      </c>
      <c r="C30" s="47">
        <v>0.40625</v>
      </c>
      <c r="D30" s="46" t="s">
        <v>30</v>
      </c>
      <c r="E30" s="48"/>
      <c r="F30" s="46" t="s">
        <v>31</v>
      </c>
      <c r="G30" s="201"/>
      <c r="H30" s="49" t="s">
        <v>159</v>
      </c>
      <c r="I30" s="50">
        <v>2.23E-2</v>
      </c>
      <c r="J30" s="51">
        <v>4</v>
      </c>
      <c r="K30" s="52" t="s">
        <v>170</v>
      </c>
      <c r="L30" s="51">
        <v>4</v>
      </c>
      <c r="M30" s="51">
        <v>0</v>
      </c>
      <c r="N30" s="51">
        <v>0</v>
      </c>
      <c r="O30" s="53" t="s">
        <v>168</v>
      </c>
      <c r="P30" s="54">
        <v>0.40625</v>
      </c>
      <c r="Q30" s="51">
        <v>179</v>
      </c>
      <c r="R30" s="55" t="s">
        <v>171</v>
      </c>
    </row>
    <row r="31" spans="1:18" ht="17.399999999999999" customHeight="1" thickBot="1" x14ac:dyDescent="0.35">
      <c r="A31" s="229"/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1"/>
    </row>
    <row r="32" spans="1:18" ht="22.05" customHeight="1" thickTop="1" thickBot="1" x14ac:dyDescent="0.35">
      <c r="A32" s="202" t="s">
        <v>8</v>
      </c>
      <c r="B32" s="203"/>
      <c r="C32" s="203"/>
      <c r="D32" s="203"/>
      <c r="E32" s="203"/>
      <c r="F32" s="204"/>
      <c r="G32" s="18">
        <v>46068</v>
      </c>
      <c r="H32" s="205" t="s">
        <v>9</v>
      </c>
      <c r="I32" s="203"/>
      <c r="J32" s="203"/>
      <c r="K32" s="203"/>
      <c r="L32" s="203"/>
      <c r="M32" s="203"/>
      <c r="N32" s="203"/>
      <c r="O32" s="203"/>
      <c r="P32" s="203"/>
      <c r="Q32" s="203"/>
      <c r="R32" s="204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46" t="s">
        <v>28</v>
      </c>
      <c r="B34" s="46" t="s">
        <v>162</v>
      </c>
      <c r="C34" s="47">
        <v>0.42708333333333331</v>
      </c>
      <c r="D34" s="46" t="s">
        <v>30</v>
      </c>
      <c r="E34" s="48"/>
      <c r="F34" s="46" t="s">
        <v>31</v>
      </c>
      <c r="G34" s="201"/>
      <c r="H34" s="49" t="s">
        <v>162</v>
      </c>
      <c r="I34" s="50">
        <v>5.5999999999999999E-3</v>
      </c>
      <c r="J34" s="51">
        <v>1</v>
      </c>
      <c r="K34" s="52" t="s">
        <v>111</v>
      </c>
      <c r="L34" s="51">
        <v>1</v>
      </c>
      <c r="M34" s="51">
        <v>0</v>
      </c>
      <c r="N34" s="51">
        <v>0</v>
      </c>
      <c r="O34" s="53" t="s">
        <v>168</v>
      </c>
      <c r="P34" s="54">
        <v>0.42708333333333331</v>
      </c>
      <c r="Q34" s="51">
        <v>179</v>
      </c>
      <c r="R34" s="55" t="s">
        <v>172</v>
      </c>
    </row>
    <row r="35" spans="1:18" ht="17.399999999999999" customHeight="1" thickBot="1" x14ac:dyDescent="0.35">
      <c r="A35" s="229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1"/>
    </row>
    <row r="36" spans="1:18" ht="22.05" customHeight="1" thickTop="1" thickBot="1" x14ac:dyDescent="0.35">
      <c r="A36" s="202" t="s">
        <v>8</v>
      </c>
      <c r="B36" s="203"/>
      <c r="C36" s="203"/>
      <c r="D36" s="203"/>
      <c r="E36" s="203"/>
      <c r="F36" s="204"/>
      <c r="G36" s="18">
        <v>46070</v>
      </c>
      <c r="H36" s="205" t="s">
        <v>9</v>
      </c>
      <c r="I36" s="203"/>
      <c r="J36" s="203"/>
      <c r="K36" s="203"/>
      <c r="L36" s="203"/>
      <c r="M36" s="203"/>
      <c r="N36" s="203"/>
      <c r="O36" s="203"/>
      <c r="P36" s="203"/>
      <c r="Q36" s="203"/>
      <c r="R36" s="204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46" t="s">
        <v>28</v>
      </c>
      <c r="B38" s="46" t="s">
        <v>162</v>
      </c>
      <c r="C38" s="47">
        <v>0.43055555555555558</v>
      </c>
      <c r="D38" s="46" t="s">
        <v>30</v>
      </c>
      <c r="E38" s="48"/>
      <c r="F38" s="46" t="s">
        <v>39</v>
      </c>
      <c r="G38" s="201"/>
      <c r="H38" s="49" t="s">
        <v>162</v>
      </c>
      <c r="I38" s="50">
        <v>0</v>
      </c>
      <c r="J38" s="51">
        <v>0</v>
      </c>
      <c r="K38" s="52" t="s">
        <v>40</v>
      </c>
      <c r="L38" s="51">
        <v>0</v>
      </c>
      <c r="M38" s="51">
        <v>0</v>
      </c>
      <c r="N38" s="51">
        <v>0</v>
      </c>
      <c r="O38" s="53" t="s">
        <v>168</v>
      </c>
      <c r="P38" s="54">
        <v>0.43055555555555558</v>
      </c>
      <c r="Q38" s="51">
        <v>179</v>
      </c>
      <c r="R38" s="55" t="s">
        <v>40</v>
      </c>
    </row>
    <row r="39" spans="1:18" ht="17.399999999999999" customHeight="1" thickBot="1" x14ac:dyDescent="0.35">
      <c r="A39" s="229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1"/>
    </row>
    <row r="40" spans="1:18" ht="22.05" customHeight="1" thickTop="1" thickBot="1" x14ac:dyDescent="0.35">
      <c r="A40" s="202" t="s">
        <v>8</v>
      </c>
      <c r="B40" s="203"/>
      <c r="C40" s="203"/>
      <c r="D40" s="203"/>
      <c r="E40" s="203"/>
      <c r="F40" s="204"/>
      <c r="G40" s="18">
        <v>46071</v>
      </c>
      <c r="H40" s="205" t="s">
        <v>9</v>
      </c>
      <c r="I40" s="203"/>
      <c r="J40" s="203"/>
      <c r="K40" s="203"/>
      <c r="L40" s="203"/>
      <c r="M40" s="203"/>
      <c r="N40" s="203"/>
      <c r="O40" s="203"/>
      <c r="P40" s="203"/>
      <c r="Q40" s="203"/>
      <c r="R40" s="204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36" t="s">
        <v>28</v>
      </c>
      <c r="B42" s="36" t="s">
        <v>159</v>
      </c>
      <c r="C42" s="37">
        <v>0.40625</v>
      </c>
      <c r="D42" s="36" t="s">
        <v>30</v>
      </c>
      <c r="E42" s="38"/>
      <c r="F42" s="36" t="s">
        <v>31</v>
      </c>
      <c r="G42" s="201"/>
      <c r="H42" s="39" t="s">
        <v>159</v>
      </c>
      <c r="I42" s="40">
        <v>1.12E-2</v>
      </c>
      <c r="J42" s="41">
        <v>2</v>
      </c>
      <c r="K42" s="42" t="s">
        <v>117</v>
      </c>
      <c r="L42" s="41">
        <v>2</v>
      </c>
      <c r="M42" s="41">
        <v>0</v>
      </c>
      <c r="N42" s="41">
        <v>0</v>
      </c>
      <c r="O42" s="43" t="s">
        <v>168</v>
      </c>
      <c r="P42" s="44">
        <v>0.40625</v>
      </c>
      <c r="Q42" s="41">
        <v>179</v>
      </c>
      <c r="R42" s="45" t="s">
        <v>173</v>
      </c>
    </row>
    <row r="43" spans="1:18" ht="17.399999999999999" customHeight="1" thickBot="1" x14ac:dyDescent="0.35">
      <c r="A43" s="229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1"/>
    </row>
    <row r="44" spans="1:18" ht="22.05" customHeight="1" thickTop="1" thickBot="1" x14ac:dyDescent="0.35">
      <c r="A44" s="202" t="s">
        <v>8</v>
      </c>
      <c r="B44" s="203"/>
      <c r="C44" s="203"/>
      <c r="D44" s="203"/>
      <c r="E44" s="203"/>
      <c r="F44" s="204"/>
      <c r="G44" s="18">
        <v>46075</v>
      </c>
      <c r="H44" s="205" t="s">
        <v>9</v>
      </c>
      <c r="I44" s="203"/>
      <c r="J44" s="203"/>
      <c r="K44" s="203"/>
      <c r="L44" s="203"/>
      <c r="M44" s="203"/>
      <c r="N44" s="203"/>
      <c r="O44" s="203"/>
      <c r="P44" s="203"/>
      <c r="Q44" s="203"/>
      <c r="R44" s="204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56" t="s">
        <v>28</v>
      </c>
      <c r="B46" s="56" t="s">
        <v>162</v>
      </c>
      <c r="C46" s="57">
        <v>0.42708333333333331</v>
      </c>
      <c r="D46" s="56" t="s">
        <v>30</v>
      </c>
      <c r="E46" s="58"/>
      <c r="F46" s="56" t="s">
        <v>31</v>
      </c>
      <c r="G46" s="201"/>
      <c r="H46" s="59" t="s">
        <v>162</v>
      </c>
      <c r="I46" s="60">
        <v>5.5999999999999999E-3</v>
      </c>
      <c r="J46" s="61">
        <v>1</v>
      </c>
      <c r="K46" s="62" t="s">
        <v>174</v>
      </c>
      <c r="L46" s="61">
        <v>1</v>
      </c>
      <c r="M46" s="61">
        <v>0</v>
      </c>
      <c r="N46" s="61">
        <v>0</v>
      </c>
      <c r="O46" s="63" t="s">
        <v>168</v>
      </c>
      <c r="P46" s="64">
        <v>0.42708333333333331</v>
      </c>
      <c r="Q46" s="61">
        <v>179</v>
      </c>
      <c r="R46" s="65" t="s">
        <v>175</v>
      </c>
    </row>
    <row r="47" spans="1:18" ht="17.399999999999999" customHeight="1" thickBot="1" x14ac:dyDescent="0.35">
      <c r="A47" s="229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1"/>
    </row>
    <row r="48" spans="1:18" ht="22.05" customHeight="1" thickTop="1" thickBot="1" x14ac:dyDescent="0.35">
      <c r="A48" s="202" t="s">
        <v>8</v>
      </c>
      <c r="B48" s="203"/>
      <c r="C48" s="203"/>
      <c r="D48" s="203"/>
      <c r="E48" s="203"/>
      <c r="F48" s="204"/>
      <c r="G48" s="18">
        <v>46077</v>
      </c>
      <c r="H48" s="205" t="s">
        <v>9</v>
      </c>
      <c r="I48" s="203"/>
      <c r="J48" s="203"/>
      <c r="K48" s="203"/>
      <c r="L48" s="203"/>
      <c r="M48" s="203"/>
      <c r="N48" s="203"/>
      <c r="O48" s="203"/>
      <c r="P48" s="203"/>
      <c r="Q48" s="203"/>
      <c r="R48" s="204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66" t="s">
        <v>28</v>
      </c>
      <c r="B50" s="66" t="s">
        <v>162</v>
      </c>
      <c r="C50" s="67">
        <v>0.43055555555555558</v>
      </c>
      <c r="D50" s="66" t="s">
        <v>30</v>
      </c>
      <c r="E50" s="68"/>
      <c r="F50" s="66" t="s">
        <v>31</v>
      </c>
      <c r="G50" s="201"/>
      <c r="H50" s="69" t="s">
        <v>162</v>
      </c>
      <c r="I50" s="70">
        <v>5.5999999999999999E-3</v>
      </c>
      <c r="J50" s="71">
        <v>1</v>
      </c>
      <c r="K50" s="72" t="s">
        <v>114</v>
      </c>
      <c r="L50" s="71">
        <v>1</v>
      </c>
      <c r="M50" s="71">
        <v>0</v>
      </c>
      <c r="N50" s="71">
        <v>0</v>
      </c>
      <c r="O50" s="73" t="s">
        <v>168</v>
      </c>
      <c r="P50" s="74">
        <v>0.43055555555555558</v>
      </c>
      <c r="Q50" s="71">
        <v>179</v>
      </c>
      <c r="R50" s="75" t="s">
        <v>172</v>
      </c>
    </row>
    <row r="51" spans="1:18" ht="17.399999999999999" customHeight="1" thickBot="1" x14ac:dyDescent="0.35">
      <c r="A51" s="229"/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1"/>
    </row>
    <row r="52" spans="1:18" ht="22.05" customHeight="1" thickTop="1" thickBot="1" x14ac:dyDescent="0.35">
      <c r="A52" s="202" t="s">
        <v>8</v>
      </c>
      <c r="B52" s="203"/>
      <c r="C52" s="203"/>
      <c r="D52" s="203"/>
      <c r="E52" s="203"/>
      <c r="F52" s="204"/>
      <c r="G52" s="18">
        <v>46078</v>
      </c>
      <c r="H52" s="205" t="s">
        <v>9</v>
      </c>
      <c r="I52" s="203"/>
      <c r="J52" s="203"/>
      <c r="K52" s="203"/>
      <c r="L52" s="203"/>
      <c r="M52" s="203"/>
      <c r="N52" s="203"/>
      <c r="O52" s="203"/>
      <c r="P52" s="203"/>
      <c r="Q52" s="203"/>
      <c r="R52" s="204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8" t="s">
        <v>28</v>
      </c>
      <c r="B54" s="8" t="s">
        <v>159</v>
      </c>
      <c r="C54" s="9">
        <v>0.40625</v>
      </c>
      <c r="D54" s="8" t="s">
        <v>30</v>
      </c>
      <c r="E54" s="10"/>
      <c r="F54" s="8" t="s">
        <v>31</v>
      </c>
      <c r="G54" s="197"/>
      <c r="H54" s="11" t="s">
        <v>159</v>
      </c>
      <c r="I54" s="12">
        <v>1.12E-2</v>
      </c>
      <c r="J54" s="13">
        <v>2</v>
      </c>
      <c r="K54" s="14" t="s">
        <v>176</v>
      </c>
      <c r="L54" s="13">
        <v>2</v>
      </c>
      <c r="M54" s="13">
        <v>0</v>
      </c>
      <c r="N54" s="13">
        <v>0</v>
      </c>
      <c r="O54" s="15" t="s">
        <v>168</v>
      </c>
      <c r="P54" s="16">
        <v>0.40625</v>
      </c>
      <c r="Q54" s="13">
        <v>179</v>
      </c>
      <c r="R54" s="17" t="s">
        <v>177</v>
      </c>
    </row>
    <row r="55" spans="1:18" ht="17.399999999999999" customHeight="1" thickBot="1" x14ac:dyDescent="0.35">
      <c r="A55" s="229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1"/>
    </row>
    <row r="56" spans="1:18" ht="22.05" customHeight="1" thickTop="1" thickBot="1" x14ac:dyDescent="0.35">
      <c r="A56" s="202" t="s">
        <v>8</v>
      </c>
      <c r="B56" s="203"/>
      <c r="C56" s="203"/>
      <c r="D56" s="203"/>
      <c r="E56" s="203"/>
      <c r="F56" s="204"/>
      <c r="G56" s="18">
        <v>46082</v>
      </c>
      <c r="H56" s="205" t="s">
        <v>9</v>
      </c>
      <c r="I56" s="203"/>
      <c r="J56" s="203"/>
      <c r="K56" s="203"/>
      <c r="L56" s="203"/>
      <c r="M56" s="203"/>
      <c r="N56" s="203"/>
      <c r="O56" s="203"/>
      <c r="P56" s="203"/>
      <c r="Q56" s="203"/>
      <c r="R56" s="204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x14ac:dyDescent="0.45">
      <c r="A58" s="26" t="s">
        <v>28</v>
      </c>
      <c r="B58" s="26" t="s">
        <v>162</v>
      </c>
      <c r="C58" s="27">
        <v>0.42708333333333331</v>
      </c>
      <c r="D58" s="26" t="s">
        <v>30</v>
      </c>
      <c r="E58" s="28"/>
      <c r="F58" s="26" t="s">
        <v>31</v>
      </c>
      <c r="G58" s="197"/>
      <c r="H58" s="29" t="s">
        <v>162</v>
      </c>
      <c r="I58" s="30">
        <v>1.6799999999999999E-2</v>
      </c>
      <c r="J58" s="31">
        <v>3</v>
      </c>
      <c r="K58" s="32" t="s">
        <v>36</v>
      </c>
      <c r="L58" s="31">
        <v>3</v>
      </c>
      <c r="M58" s="31">
        <v>0</v>
      </c>
      <c r="N58" s="31">
        <v>0</v>
      </c>
      <c r="O58" s="33" t="s">
        <v>178</v>
      </c>
      <c r="P58" s="34">
        <v>0.42708333333333331</v>
      </c>
      <c r="Q58" s="31">
        <v>179</v>
      </c>
      <c r="R58" s="35" t="s">
        <v>179</v>
      </c>
    </row>
  </sheetData>
  <mergeCells count="62">
    <mergeCell ref="G58"/>
    <mergeCell ref="G14"/>
    <mergeCell ref="A36:F36"/>
    <mergeCell ref="G34"/>
    <mergeCell ref="A11:R11"/>
    <mergeCell ref="A51:R51"/>
    <mergeCell ref="H48:R48"/>
    <mergeCell ref="G30"/>
    <mergeCell ref="H24:R2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2:R12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6"/>
  <sheetViews>
    <sheetView workbookViewId="0"/>
  </sheetViews>
  <sheetFormatPr defaultRowHeight="15.6" outlineLevelCol="1" x14ac:dyDescent="0.3"/>
  <cols>
    <col min="1" max="1" width="11.5546875" style="216" bestFit="1" customWidth="1"/>
    <col min="2" max="2" width="10.109375" style="216" bestFit="1" customWidth="1"/>
    <col min="3" max="3" width="6.77734375" style="216" bestFit="1" customWidth="1"/>
    <col min="4" max="4" width="5.5546875" style="216" bestFit="1" customWidth="1"/>
    <col min="5" max="5" width="8.5546875" style="216" bestFit="1" customWidth="1"/>
    <col min="6" max="6" width="4.21875" style="216" bestFit="1" customWidth="1"/>
    <col min="7" max="7" width="8.44140625" style="216" bestFit="1" customWidth="1"/>
    <col min="8" max="8" width="8.5546875" style="216" bestFit="1" customWidth="1"/>
    <col min="9" max="10" width="7" style="216" bestFit="1" customWidth="1"/>
    <col min="11" max="11" width="10.5546875" style="216" bestFit="1" customWidth="1"/>
    <col min="12" max="12" width="18.109375" style="216" bestFit="1" customWidth="1"/>
    <col min="13" max="13" width="7.6640625" style="216" bestFit="1" customWidth="1" outlineLevel="1"/>
    <col min="14" max="14" width="6.33203125" style="216" bestFit="1" customWidth="1" outlineLevel="1"/>
    <col min="15" max="15" width="8" style="216" bestFit="1" customWidth="1" outlineLevel="1"/>
    <col min="16" max="16" width="13.6640625" style="216" bestFit="1" customWidth="1"/>
    <col min="17" max="26" width="3.88671875" style="216" bestFit="1" customWidth="1"/>
    <col min="27" max="27" width="4" style="216" bestFit="1" customWidth="1"/>
    <col min="28" max="36" width="3.88671875" style="216" bestFit="1" customWidth="1"/>
    <col min="37" max="16384" width="8.88671875" style="216"/>
  </cols>
  <sheetData>
    <row r="1" spans="1:36" x14ac:dyDescent="0.3">
      <c r="A1" s="215" t="s">
        <v>49</v>
      </c>
      <c r="B1" s="215" t="s">
        <v>50</v>
      </c>
      <c r="C1" s="215" t="s">
        <v>51</v>
      </c>
      <c r="D1" s="215" t="s">
        <v>25</v>
      </c>
      <c r="E1" s="215" t="s">
        <v>52</v>
      </c>
      <c r="F1" s="215" t="s">
        <v>53</v>
      </c>
      <c r="G1" s="215" t="s">
        <v>18</v>
      </c>
      <c r="H1" s="215" t="s">
        <v>54</v>
      </c>
      <c r="I1" s="215" t="s">
        <v>55</v>
      </c>
      <c r="J1" s="215" t="s">
        <v>56</v>
      </c>
      <c r="K1" s="215" t="s">
        <v>57</v>
      </c>
      <c r="L1" s="215" t="s">
        <v>20</v>
      </c>
      <c r="M1" s="215" t="s">
        <v>22</v>
      </c>
      <c r="N1" s="215" t="s">
        <v>23</v>
      </c>
      <c r="O1" s="215" t="s">
        <v>21</v>
      </c>
      <c r="P1" s="215" t="s">
        <v>24</v>
      </c>
      <c r="Q1" s="215" t="s">
        <v>58</v>
      </c>
      <c r="R1" s="215" t="s">
        <v>59</v>
      </c>
      <c r="S1" s="215" t="s">
        <v>60</v>
      </c>
      <c r="T1" s="215" t="s">
        <v>61</v>
      </c>
      <c r="U1" s="215" t="s">
        <v>62</v>
      </c>
      <c r="V1" s="215" t="s">
        <v>63</v>
      </c>
      <c r="W1" s="215" t="s">
        <v>64</v>
      </c>
      <c r="X1" s="215" t="s">
        <v>65</v>
      </c>
      <c r="Y1" s="215" t="s">
        <v>66</v>
      </c>
      <c r="Z1" s="215" t="s">
        <v>67</v>
      </c>
      <c r="AA1" s="215" t="s">
        <v>68</v>
      </c>
      <c r="AB1" s="215" t="s">
        <v>69</v>
      </c>
      <c r="AC1" s="215" t="s">
        <v>70</v>
      </c>
      <c r="AD1" s="215" t="s">
        <v>71</v>
      </c>
      <c r="AE1" s="215" t="s">
        <v>72</v>
      </c>
      <c r="AF1" s="215" t="s">
        <v>73</v>
      </c>
      <c r="AG1" s="215" t="s">
        <v>74</v>
      </c>
      <c r="AH1" s="215" t="s">
        <v>75</v>
      </c>
      <c r="AI1" s="215" t="s">
        <v>76</v>
      </c>
      <c r="AJ1" s="215" t="s">
        <v>77</v>
      </c>
    </row>
    <row r="2" spans="1:36" x14ac:dyDescent="0.3">
      <c r="A2" s="217" t="s">
        <v>78</v>
      </c>
      <c r="B2" s="218">
        <v>46050</v>
      </c>
      <c r="C2" s="219" t="s">
        <v>159</v>
      </c>
      <c r="D2" s="220" t="s">
        <v>180</v>
      </c>
      <c r="E2" s="219" t="s">
        <v>158</v>
      </c>
      <c r="F2" s="219" t="s">
        <v>80</v>
      </c>
      <c r="G2" s="221">
        <v>3.9100000000000003E-2</v>
      </c>
      <c r="H2" s="222">
        <v>179</v>
      </c>
      <c r="I2" s="222">
        <v>7</v>
      </c>
      <c r="J2" s="222">
        <v>0</v>
      </c>
      <c r="K2" s="219" t="s">
        <v>81</v>
      </c>
      <c r="L2" s="223" t="s">
        <v>45</v>
      </c>
      <c r="M2" s="222">
        <v>0</v>
      </c>
      <c r="N2" s="222">
        <v>0</v>
      </c>
      <c r="O2" s="222">
        <v>7</v>
      </c>
      <c r="P2" s="219" t="s">
        <v>160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22" t="s">
        <v>112</v>
      </c>
      <c r="AB2" s="215"/>
      <c r="AC2" s="222" t="s">
        <v>92</v>
      </c>
      <c r="AD2" s="215"/>
      <c r="AE2" s="222" t="s">
        <v>122</v>
      </c>
      <c r="AF2" s="215"/>
      <c r="AG2" s="215"/>
      <c r="AH2" s="215"/>
      <c r="AI2" s="215"/>
      <c r="AJ2" s="215"/>
    </row>
    <row r="3" spans="1:36" x14ac:dyDescent="0.3">
      <c r="A3" s="217" t="s">
        <v>151</v>
      </c>
      <c r="B3" s="218">
        <v>46054</v>
      </c>
      <c r="C3" s="219" t="s">
        <v>162</v>
      </c>
      <c r="D3" s="220" t="s">
        <v>181</v>
      </c>
      <c r="E3" s="219" t="s">
        <v>158</v>
      </c>
      <c r="F3" s="219" t="s">
        <v>80</v>
      </c>
      <c r="G3" s="221">
        <v>6.1499999999999999E-2</v>
      </c>
      <c r="H3" s="222">
        <v>179</v>
      </c>
      <c r="I3" s="222">
        <v>11</v>
      </c>
      <c r="J3" s="222">
        <v>0</v>
      </c>
      <c r="K3" s="219" t="s">
        <v>81</v>
      </c>
      <c r="L3" s="223" t="s">
        <v>114</v>
      </c>
      <c r="M3" s="222">
        <v>0</v>
      </c>
      <c r="N3" s="222">
        <v>0</v>
      </c>
      <c r="O3" s="222">
        <v>11</v>
      </c>
      <c r="P3" s="219" t="s">
        <v>163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22" t="s">
        <v>103</v>
      </c>
      <c r="AB3" s="215"/>
      <c r="AC3" s="222" t="s">
        <v>92</v>
      </c>
      <c r="AD3" s="222" t="s">
        <v>182</v>
      </c>
      <c r="AE3" s="222" t="s">
        <v>119</v>
      </c>
      <c r="AF3" s="215"/>
      <c r="AG3" s="215"/>
      <c r="AH3" s="215"/>
      <c r="AI3" s="215"/>
      <c r="AJ3" s="215"/>
    </row>
    <row r="4" spans="1:36" x14ac:dyDescent="0.3">
      <c r="A4" s="217" t="s">
        <v>87</v>
      </c>
      <c r="B4" s="218">
        <v>46056</v>
      </c>
      <c r="C4" s="219" t="s">
        <v>162</v>
      </c>
      <c r="D4" s="220" t="s">
        <v>183</v>
      </c>
      <c r="E4" s="219" t="s">
        <v>158</v>
      </c>
      <c r="F4" s="219" t="s">
        <v>80</v>
      </c>
      <c r="G4" s="221">
        <v>3.9100000000000003E-2</v>
      </c>
      <c r="H4" s="222">
        <v>179</v>
      </c>
      <c r="I4" s="222">
        <v>7</v>
      </c>
      <c r="J4" s="222">
        <v>0</v>
      </c>
      <c r="K4" s="219" t="s">
        <v>81</v>
      </c>
      <c r="L4" s="223" t="s">
        <v>114</v>
      </c>
      <c r="M4" s="222">
        <v>0</v>
      </c>
      <c r="N4" s="222">
        <v>0</v>
      </c>
      <c r="O4" s="222">
        <v>7</v>
      </c>
      <c r="P4" s="219" t="s">
        <v>160</v>
      </c>
      <c r="Q4" s="215"/>
      <c r="R4" s="215"/>
      <c r="S4" s="215"/>
      <c r="T4" s="215"/>
      <c r="U4" s="215"/>
      <c r="V4" s="215"/>
      <c r="W4" s="215"/>
      <c r="X4" s="215"/>
      <c r="Y4" s="215"/>
      <c r="Z4" s="222" t="s">
        <v>175</v>
      </c>
      <c r="AA4" s="222" t="s">
        <v>112</v>
      </c>
      <c r="AB4" s="215"/>
      <c r="AC4" s="215"/>
      <c r="AD4" s="215"/>
      <c r="AE4" s="222" t="s">
        <v>116</v>
      </c>
      <c r="AF4" s="215"/>
      <c r="AG4" s="215"/>
      <c r="AH4" s="215"/>
      <c r="AI4" s="215"/>
      <c r="AJ4" s="215"/>
    </row>
    <row r="5" spans="1:36" x14ac:dyDescent="0.3">
      <c r="A5" s="217" t="s">
        <v>78</v>
      </c>
      <c r="B5" s="218">
        <v>46057</v>
      </c>
      <c r="C5" s="219" t="s">
        <v>159</v>
      </c>
      <c r="D5" s="220" t="s">
        <v>180</v>
      </c>
      <c r="E5" s="219" t="s">
        <v>158</v>
      </c>
      <c r="F5" s="219" t="s">
        <v>80</v>
      </c>
      <c r="G5" s="221">
        <v>1.12E-2</v>
      </c>
      <c r="H5" s="222">
        <v>179</v>
      </c>
      <c r="I5" s="222">
        <v>2</v>
      </c>
      <c r="J5" s="222">
        <v>0</v>
      </c>
      <c r="K5" s="219" t="s">
        <v>81</v>
      </c>
      <c r="L5" s="223" t="s">
        <v>111</v>
      </c>
      <c r="M5" s="222">
        <v>0</v>
      </c>
      <c r="N5" s="222">
        <v>0</v>
      </c>
      <c r="O5" s="222">
        <v>2</v>
      </c>
      <c r="P5" s="219" t="s">
        <v>116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22" t="s">
        <v>124</v>
      </c>
      <c r="AF5" s="215"/>
      <c r="AG5" s="215"/>
      <c r="AH5" s="215"/>
      <c r="AI5" s="215"/>
      <c r="AJ5" s="215"/>
    </row>
    <row r="6" spans="1:36" x14ac:dyDescent="0.3">
      <c r="A6" s="217" t="s">
        <v>151</v>
      </c>
      <c r="B6" s="218">
        <v>46061</v>
      </c>
      <c r="C6" s="219" t="s">
        <v>162</v>
      </c>
      <c r="D6" s="220" t="s">
        <v>181</v>
      </c>
      <c r="E6" s="219" t="s">
        <v>158</v>
      </c>
      <c r="F6" s="219" t="s">
        <v>80</v>
      </c>
      <c r="G6" s="221">
        <v>4.4699999999999997E-2</v>
      </c>
      <c r="H6" s="222">
        <v>179</v>
      </c>
      <c r="I6" s="222">
        <v>8</v>
      </c>
      <c r="J6" s="222">
        <v>0</v>
      </c>
      <c r="K6" s="219" t="s">
        <v>81</v>
      </c>
      <c r="L6" s="223" t="s">
        <v>36</v>
      </c>
      <c r="M6" s="222">
        <v>0</v>
      </c>
      <c r="N6" s="222">
        <v>0</v>
      </c>
      <c r="O6" s="222">
        <v>8</v>
      </c>
      <c r="P6" s="219" t="s">
        <v>166</v>
      </c>
      <c r="Q6" s="215"/>
      <c r="R6" s="215"/>
      <c r="S6" s="215"/>
      <c r="T6" s="215"/>
      <c r="U6" s="215"/>
      <c r="V6" s="215"/>
      <c r="W6" s="215"/>
      <c r="X6" s="215"/>
      <c r="Y6" s="215"/>
      <c r="Z6" s="222" t="s">
        <v>184</v>
      </c>
      <c r="AA6" s="222" t="s">
        <v>103</v>
      </c>
      <c r="AB6" s="215"/>
      <c r="AC6" s="215"/>
      <c r="AD6" s="222" t="s">
        <v>163</v>
      </c>
      <c r="AE6" s="222" t="s">
        <v>119</v>
      </c>
      <c r="AF6" s="215"/>
      <c r="AG6" s="215"/>
      <c r="AH6" s="215"/>
      <c r="AI6" s="215"/>
      <c r="AJ6" s="215"/>
    </row>
    <row r="7" spans="1:36" x14ac:dyDescent="0.3">
      <c r="A7" s="217" t="s">
        <v>87</v>
      </c>
      <c r="B7" s="218">
        <v>46063</v>
      </c>
      <c r="C7" s="219" t="s">
        <v>162</v>
      </c>
      <c r="D7" s="220" t="s">
        <v>183</v>
      </c>
      <c r="E7" s="219" t="s">
        <v>158</v>
      </c>
      <c r="F7" s="219" t="s">
        <v>80</v>
      </c>
      <c r="G7" s="221">
        <v>2.23E-2</v>
      </c>
      <c r="H7" s="222">
        <v>179</v>
      </c>
      <c r="I7" s="222">
        <v>4</v>
      </c>
      <c r="J7" s="222">
        <v>0</v>
      </c>
      <c r="K7" s="219" t="s">
        <v>81</v>
      </c>
      <c r="L7" s="223" t="s">
        <v>128</v>
      </c>
      <c r="M7" s="222">
        <v>0</v>
      </c>
      <c r="N7" s="222">
        <v>0</v>
      </c>
      <c r="O7" s="222">
        <v>4</v>
      </c>
      <c r="P7" s="219" t="s">
        <v>168</v>
      </c>
      <c r="Q7" s="215"/>
      <c r="R7" s="215"/>
      <c r="S7" s="215"/>
      <c r="T7" s="215"/>
      <c r="U7" s="215"/>
      <c r="V7" s="215"/>
      <c r="W7" s="215"/>
      <c r="X7" s="215"/>
      <c r="Y7" s="222" t="s">
        <v>173</v>
      </c>
      <c r="Z7" s="215"/>
      <c r="AA7" s="222" t="s">
        <v>103</v>
      </c>
      <c r="AB7" s="215"/>
      <c r="AC7" s="215"/>
      <c r="AD7" s="215"/>
      <c r="AE7" s="215"/>
      <c r="AF7" s="215"/>
      <c r="AG7" s="215"/>
      <c r="AH7" s="215"/>
      <c r="AI7" s="215"/>
      <c r="AJ7" s="215"/>
    </row>
    <row r="8" spans="1:36" x14ac:dyDescent="0.3">
      <c r="A8" s="217" t="s">
        <v>78</v>
      </c>
      <c r="B8" s="218">
        <v>46064</v>
      </c>
      <c r="C8" s="219" t="s">
        <v>159</v>
      </c>
      <c r="D8" s="220" t="s">
        <v>180</v>
      </c>
      <c r="E8" s="219" t="s">
        <v>158</v>
      </c>
      <c r="F8" s="219" t="s">
        <v>80</v>
      </c>
      <c r="G8" s="221">
        <v>2.23E-2</v>
      </c>
      <c r="H8" s="222">
        <v>179</v>
      </c>
      <c r="I8" s="222">
        <v>4</v>
      </c>
      <c r="J8" s="222">
        <v>0</v>
      </c>
      <c r="K8" s="219" t="s">
        <v>81</v>
      </c>
      <c r="L8" s="223" t="s">
        <v>170</v>
      </c>
      <c r="M8" s="222">
        <v>0</v>
      </c>
      <c r="N8" s="222">
        <v>0</v>
      </c>
      <c r="O8" s="222">
        <v>4</v>
      </c>
      <c r="P8" s="219" t="s">
        <v>168</v>
      </c>
      <c r="Q8" s="215"/>
      <c r="R8" s="215"/>
      <c r="S8" s="215"/>
      <c r="T8" s="215"/>
      <c r="U8" s="215"/>
      <c r="V8" s="215"/>
      <c r="W8" s="215"/>
      <c r="X8" s="215"/>
      <c r="Y8" s="222" t="s">
        <v>185</v>
      </c>
      <c r="Z8" s="222" t="s">
        <v>175</v>
      </c>
      <c r="AA8" s="215"/>
      <c r="AB8" s="215"/>
      <c r="AC8" s="215"/>
      <c r="AD8" s="215"/>
      <c r="AE8" s="215"/>
      <c r="AF8" s="215"/>
      <c r="AG8" s="215"/>
      <c r="AH8" s="215"/>
      <c r="AI8" s="215"/>
      <c r="AJ8" s="215"/>
    </row>
    <row r="9" spans="1:36" x14ac:dyDescent="0.3">
      <c r="A9" s="217" t="s">
        <v>151</v>
      </c>
      <c r="B9" s="218">
        <v>46068</v>
      </c>
      <c r="C9" s="219" t="s">
        <v>162</v>
      </c>
      <c r="D9" s="220" t="s">
        <v>181</v>
      </c>
      <c r="E9" s="219" t="s">
        <v>158</v>
      </c>
      <c r="F9" s="219" t="s">
        <v>80</v>
      </c>
      <c r="G9" s="221">
        <v>5.5999999999999999E-3</v>
      </c>
      <c r="H9" s="222">
        <v>179</v>
      </c>
      <c r="I9" s="222">
        <v>1</v>
      </c>
      <c r="J9" s="222">
        <v>0</v>
      </c>
      <c r="K9" s="219" t="s">
        <v>81</v>
      </c>
      <c r="L9" s="223" t="s">
        <v>111</v>
      </c>
      <c r="M9" s="222">
        <v>0</v>
      </c>
      <c r="N9" s="222">
        <v>0</v>
      </c>
      <c r="O9" s="222">
        <v>1</v>
      </c>
      <c r="P9" s="219" t="s">
        <v>168</v>
      </c>
      <c r="Q9" s="215"/>
      <c r="R9" s="215"/>
      <c r="S9" s="215"/>
      <c r="T9" s="215"/>
      <c r="U9" s="215"/>
      <c r="V9" s="215"/>
      <c r="W9" s="215"/>
      <c r="X9" s="215"/>
      <c r="Y9" s="222" t="s">
        <v>172</v>
      </c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</row>
    <row r="10" spans="1:36" x14ac:dyDescent="0.3">
      <c r="A10" s="217" t="s">
        <v>87</v>
      </c>
      <c r="B10" s="218">
        <v>46070</v>
      </c>
      <c r="C10" s="219" t="s">
        <v>162</v>
      </c>
      <c r="D10" s="220" t="s">
        <v>183</v>
      </c>
      <c r="E10" s="219" t="s">
        <v>158</v>
      </c>
      <c r="F10" s="219" t="s">
        <v>80</v>
      </c>
      <c r="G10" s="221">
        <v>0</v>
      </c>
      <c r="H10" s="222">
        <v>179</v>
      </c>
      <c r="I10" s="222">
        <v>0</v>
      </c>
      <c r="J10" s="222">
        <v>0</v>
      </c>
      <c r="K10" s="219" t="s">
        <v>81</v>
      </c>
      <c r="L10" s="223" t="s">
        <v>40</v>
      </c>
      <c r="M10" s="222">
        <v>0</v>
      </c>
      <c r="N10" s="222">
        <v>0</v>
      </c>
      <c r="O10" s="222">
        <v>0</v>
      </c>
      <c r="P10" s="219" t="s">
        <v>168</v>
      </c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</row>
    <row r="11" spans="1:36" x14ac:dyDescent="0.3">
      <c r="A11" s="217" t="s">
        <v>78</v>
      </c>
      <c r="B11" s="218">
        <v>46071</v>
      </c>
      <c r="C11" s="219" t="s">
        <v>159</v>
      </c>
      <c r="D11" s="220" t="s">
        <v>180</v>
      </c>
      <c r="E11" s="219" t="s">
        <v>158</v>
      </c>
      <c r="F11" s="219" t="s">
        <v>80</v>
      </c>
      <c r="G11" s="221">
        <v>1.12E-2</v>
      </c>
      <c r="H11" s="222">
        <v>179</v>
      </c>
      <c r="I11" s="222">
        <v>2</v>
      </c>
      <c r="J11" s="222">
        <v>0</v>
      </c>
      <c r="K11" s="219" t="s">
        <v>81</v>
      </c>
      <c r="L11" s="223" t="s">
        <v>117</v>
      </c>
      <c r="M11" s="222">
        <v>0</v>
      </c>
      <c r="N11" s="222">
        <v>0</v>
      </c>
      <c r="O11" s="222">
        <v>2</v>
      </c>
      <c r="P11" s="219" t="s">
        <v>168</v>
      </c>
      <c r="Q11" s="215"/>
      <c r="R11" s="215"/>
      <c r="S11" s="215"/>
      <c r="T11" s="215"/>
      <c r="U11" s="215"/>
      <c r="V11" s="215"/>
      <c r="W11" s="215"/>
      <c r="X11" s="215"/>
      <c r="Y11" s="222" t="s">
        <v>173</v>
      </c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</row>
    <row r="12" spans="1:36" x14ac:dyDescent="0.3">
      <c r="A12" s="217" t="s">
        <v>151</v>
      </c>
      <c r="B12" s="218">
        <v>46075</v>
      </c>
      <c r="C12" s="219" t="s">
        <v>162</v>
      </c>
      <c r="D12" s="220" t="s">
        <v>181</v>
      </c>
      <c r="E12" s="219" t="s">
        <v>158</v>
      </c>
      <c r="F12" s="219" t="s">
        <v>80</v>
      </c>
      <c r="G12" s="221">
        <v>5.5999999999999999E-3</v>
      </c>
      <c r="H12" s="222">
        <v>179</v>
      </c>
      <c r="I12" s="222">
        <v>1</v>
      </c>
      <c r="J12" s="222">
        <v>0</v>
      </c>
      <c r="K12" s="219" t="s">
        <v>81</v>
      </c>
      <c r="L12" s="223" t="s">
        <v>174</v>
      </c>
      <c r="M12" s="222">
        <v>0</v>
      </c>
      <c r="N12" s="222">
        <v>0</v>
      </c>
      <c r="O12" s="222">
        <v>1</v>
      </c>
      <c r="P12" s="219" t="s">
        <v>168</v>
      </c>
      <c r="Q12" s="215"/>
      <c r="R12" s="215"/>
      <c r="S12" s="215"/>
      <c r="T12" s="215"/>
      <c r="U12" s="215"/>
      <c r="V12" s="215"/>
      <c r="W12" s="215"/>
      <c r="X12" s="215"/>
      <c r="Y12" s="215"/>
      <c r="Z12" s="222" t="s">
        <v>175</v>
      </c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</row>
    <row r="13" spans="1:36" x14ac:dyDescent="0.3">
      <c r="A13" s="217" t="s">
        <v>87</v>
      </c>
      <c r="B13" s="218">
        <v>46077</v>
      </c>
      <c r="C13" s="219" t="s">
        <v>162</v>
      </c>
      <c r="D13" s="220" t="s">
        <v>183</v>
      </c>
      <c r="E13" s="219" t="s">
        <v>158</v>
      </c>
      <c r="F13" s="219" t="s">
        <v>80</v>
      </c>
      <c r="G13" s="221">
        <v>5.5999999999999999E-3</v>
      </c>
      <c r="H13" s="222">
        <v>179</v>
      </c>
      <c r="I13" s="222">
        <v>1</v>
      </c>
      <c r="J13" s="222">
        <v>0</v>
      </c>
      <c r="K13" s="219" t="s">
        <v>81</v>
      </c>
      <c r="L13" s="223" t="s">
        <v>114</v>
      </c>
      <c r="M13" s="222">
        <v>0</v>
      </c>
      <c r="N13" s="222">
        <v>0</v>
      </c>
      <c r="O13" s="222">
        <v>1</v>
      </c>
      <c r="P13" s="219" t="s">
        <v>168</v>
      </c>
      <c r="Q13" s="215"/>
      <c r="R13" s="215"/>
      <c r="S13" s="215"/>
      <c r="T13" s="215"/>
      <c r="U13" s="215"/>
      <c r="V13" s="215"/>
      <c r="W13" s="215"/>
      <c r="X13" s="215"/>
      <c r="Y13" s="222" t="s">
        <v>172</v>
      </c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</row>
    <row r="14" spans="1:36" x14ac:dyDescent="0.3">
      <c r="A14" s="217" t="s">
        <v>78</v>
      </c>
      <c r="B14" s="218">
        <v>46078</v>
      </c>
      <c r="C14" s="219" t="s">
        <v>159</v>
      </c>
      <c r="D14" s="220" t="s">
        <v>180</v>
      </c>
      <c r="E14" s="219" t="s">
        <v>158</v>
      </c>
      <c r="F14" s="219" t="s">
        <v>80</v>
      </c>
      <c r="G14" s="221">
        <v>1.12E-2</v>
      </c>
      <c r="H14" s="222">
        <v>179</v>
      </c>
      <c r="I14" s="222">
        <v>2</v>
      </c>
      <c r="J14" s="222">
        <v>0</v>
      </c>
      <c r="K14" s="219" t="s">
        <v>81</v>
      </c>
      <c r="L14" s="223" t="s">
        <v>176</v>
      </c>
      <c r="M14" s="222">
        <v>0</v>
      </c>
      <c r="N14" s="222">
        <v>0</v>
      </c>
      <c r="O14" s="222">
        <v>2</v>
      </c>
      <c r="P14" s="219" t="s">
        <v>168</v>
      </c>
      <c r="Q14" s="215"/>
      <c r="R14" s="215"/>
      <c r="S14" s="215"/>
      <c r="T14" s="215"/>
      <c r="U14" s="215"/>
      <c r="V14" s="215"/>
      <c r="W14" s="215"/>
      <c r="X14" s="215"/>
      <c r="Y14" s="215"/>
      <c r="Z14" s="222" t="s">
        <v>175</v>
      </c>
      <c r="AA14" s="222" t="s">
        <v>112</v>
      </c>
      <c r="AB14" s="215"/>
      <c r="AC14" s="215"/>
      <c r="AD14" s="215"/>
      <c r="AE14" s="215"/>
      <c r="AF14" s="215"/>
      <c r="AG14" s="215"/>
      <c r="AH14" s="215"/>
      <c r="AI14" s="215"/>
      <c r="AJ14" s="215"/>
    </row>
    <row r="15" spans="1:36" x14ac:dyDescent="0.3">
      <c r="A15" s="217" t="s">
        <v>151</v>
      </c>
      <c r="B15" s="218">
        <v>46082</v>
      </c>
      <c r="C15" s="219" t="s">
        <v>162</v>
      </c>
      <c r="D15" s="220" t="s">
        <v>181</v>
      </c>
      <c r="E15" s="219" t="s">
        <v>158</v>
      </c>
      <c r="F15" s="219" t="s">
        <v>80</v>
      </c>
      <c r="G15" s="221">
        <v>1.6799999999999999E-2</v>
      </c>
      <c r="H15" s="222">
        <v>179</v>
      </c>
      <c r="I15" s="222">
        <v>3</v>
      </c>
      <c r="J15" s="222">
        <v>0</v>
      </c>
      <c r="K15" s="219" t="s">
        <v>81</v>
      </c>
      <c r="L15" s="223" t="s">
        <v>36</v>
      </c>
      <c r="M15" s="222">
        <v>0</v>
      </c>
      <c r="N15" s="222">
        <v>0</v>
      </c>
      <c r="O15" s="222">
        <v>3</v>
      </c>
      <c r="P15" s="219" t="s">
        <v>178</v>
      </c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22" t="s">
        <v>103</v>
      </c>
      <c r="AB15" s="215"/>
      <c r="AC15" s="215"/>
      <c r="AD15" s="215"/>
      <c r="AE15" s="215"/>
      <c r="AF15" s="222" t="s">
        <v>84</v>
      </c>
      <c r="AG15" s="215"/>
      <c r="AH15" s="215"/>
      <c r="AI15" s="215"/>
      <c r="AJ15" s="215"/>
    </row>
    <row r="16" spans="1:36" ht="21" x14ac:dyDescent="0.3">
      <c r="A16" s="224" t="s">
        <v>217</v>
      </c>
      <c r="B16" s="225"/>
      <c r="C16" s="224">
        <f>SUBTOTAL(103,ATZ_RUH_LF_LEGACY[Flt])</f>
        <v>14</v>
      </c>
      <c r="D16" s="224"/>
      <c r="E16" s="224">
        <f>SUBTOTAL(103,ATZ_RUH_LF_LEGACY[Brd-Off])</f>
        <v>14</v>
      </c>
      <c r="F16" s="224"/>
      <c r="G16" s="226">
        <f>SUBTOTAL(101,ATZ_RUH_LF_LEGACY[LF%])</f>
        <v>2.115714285714285E-2</v>
      </c>
      <c r="H16" s="227">
        <f>SUBTOTAL(109,ATZ_RUH_LF_LEGACY[CAP])</f>
        <v>2506</v>
      </c>
      <c r="I16" s="227">
        <f>SUBTOTAL(109,ATZ_RUH_LF_LEGACY[BKG(Y)])</f>
        <v>53</v>
      </c>
      <c r="J16" s="227">
        <f>SUBTOTAL(109,ATZ_RUH_LF_LEGACY[GRP(Y)])</f>
        <v>0</v>
      </c>
      <c r="K16" s="224"/>
      <c r="L16" s="225"/>
      <c r="M16" s="227">
        <f>SUBTOTAL(109,ATZ_RUH_LF_LEGACY[TO-DAY])</f>
        <v>0</v>
      </c>
      <c r="N16" s="227">
        <f>SUBTOTAL(109,ATZ_RUH_LF_LEGACY[Y-DAY])</f>
        <v>0</v>
      </c>
      <c r="O16" s="227">
        <f>SUBTOTAL(109,ATZ_RUH_LF_LEGACY[WEEKLY])</f>
        <v>53</v>
      </c>
      <c r="P16" s="228"/>
      <c r="Q16" s="227">
        <f>SUBTOTAL(109,ATZ_RUH_LF_LEGACY[Y])</f>
        <v>0</v>
      </c>
      <c r="R16" s="227">
        <f>SUBTOTAL(109,ATZ_RUH_LF_LEGACY[B])</f>
        <v>0</v>
      </c>
      <c r="S16" s="227">
        <f>SUBTOTAL(109,ATZ_RUH_LF_LEGACY[M])</f>
        <v>0</v>
      </c>
      <c r="T16" s="227">
        <f>SUBTOTAL(109,ATZ_RUH_LF_LEGACY[H])</f>
        <v>0</v>
      </c>
      <c r="U16" s="227">
        <f>SUBTOTAL(109,ATZ_RUH_LF_LEGACY[Q])</f>
        <v>0</v>
      </c>
      <c r="V16" s="227">
        <f>SUBTOTAL(109,ATZ_RUH_LF_LEGACY[K])</f>
        <v>0</v>
      </c>
      <c r="W16" s="227">
        <f>SUBTOTAL(109,ATZ_RUH_LF_LEGACY[V])</f>
        <v>0</v>
      </c>
      <c r="X16" s="227">
        <f>SUBTOTAL(109,ATZ_RUH_LF_LEGACY[L])</f>
        <v>0</v>
      </c>
      <c r="Y16" s="227">
        <f>SUBTOTAL(109,ATZ_RUH_LF_LEGACY[G])</f>
        <v>0</v>
      </c>
      <c r="Z16" s="227">
        <f>SUBTOTAL(109,ATZ_RUH_LF_LEGACY[S])</f>
        <v>0</v>
      </c>
      <c r="AA16" s="227">
        <f>SUBTOTAL(109,ATZ_RUH_LF_LEGACY[W])</f>
        <v>0</v>
      </c>
      <c r="AB16" s="227">
        <f>SUBTOTAL(109,ATZ_RUH_LF_LEGACY[T])</f>
        <v>0</v>
      </c>
      <c r="AC16" s="227">
        <f>SUBTOTAL(109,ATZ_RUH_LF_LEGACY[X])</f>
        <v>0</v>
      </c>
      <c r="AD16" s="227">
        <f>SUBTOTAL(109,ATZ_RUH_LF_LEGACY[U])</f>
        <v>0</v>
      </c>
      <c r="AE16" s="227">
        <f>SUBTOTAL(109,ATZ_RUH_LF_LEGACY[O])</f>
        <v>0</v>
      </c>
      <c r="AF16" s="227">
        <f>SUBTOTAL(109,ATZ_RUH_LF_LEGACY[I])</f>
        <v>0</v>
      </c>
      <c r="AG16" s="227">
        <f>SUBTOTAL(109,ATZ_RUH_LF_LEGACY[E])</f>
        <v>0</v>
      </c>
      <c r="AH16" s="227">
        <f>SUBTOTAL(109,ATZ_RUH_LF_LEGACY[A])</f>
        <v>0</v>
      </c>
      <c r="AI16" s="227">
        <f>SUBTOTAL(109,ATZ_RUH_LF_LEGACY[P])</f>
        <v>0</v>
      </c>
      <c r="AJ16" s="227">
        <f>SUBTOTAL(103,ATZ_RUH_LF_LEGACY[N])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4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1.3320312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21875" bestFit="1" customWidth="1"/>
    <col min="17" max="17" width="12.21875" bestFit="1" customWidth="1"/>
    <col min="18" max="18" width="16.88671875" bestFit="1" customWidth="1"/>
  </cols>
  <sheetData>
    <row r="1" spans="1:92" ht="28.8" customHeight="1" x14ac:dyDescent="0.3">
      <c r="A1" s="200" t="s">
        <v>0</v>
      </c>
      <c r="B1" s="199"/>
      <c r="C1" s="199"/>
      <c r="D1" s="199"/>
      <c r="E1" s="199"/>
      <c r="F1" s="1" t="s">
        <v>186</v>
      </c>
      <c r="G1" s="2" t="s">
        <v>2</v>
      </c>
      <c r="H1" s="198" t="s">
        <v>3</v>
      </c>
      <c r="I1" s="199"/>
      <c r="J1" s="199"/>
      <c r="K1" s="199"/>
      <c r="L1" s="199"/>
      <c r="M1" s="1" t="s">
        <v>4</v>
      </c>
      <c r="N1" s="208" t="s">
        <v>5</v>
      </c>
      <c r="O1" s="199"/>
      <c r="P1" s="199"/>
      <c r="Q1" s="199"/>
      <c r="R1" s="1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6" t="s">
        <v>6</v>
      </c>
      <c r="B2" s="199"/>
      <c r="C2" s="199"/>
      <c r="D2" s="199"/>
      <c r="E2" s="199"/>
      <c r="F2" s="199"/>
      <c r="G2" s="207">
        <v>45984.11245055226</v>
      </c>
      <c r="H2" s="199"/>
      <c r="I2" s="199"/>
      <c r="J2" s="199"/>
      <c r="K2" s="209">
        <v>45984.112450552937</v>
      </c>
      <c r="L2" s="199"/>
      <c r="M2" s="199"/>
      <c r="N2" s="199"/>
      <c r="O2" s="199"/>
      <c r="P2" s="199"/>
      <c r="Q2" s="199"/>
      <c r="R2" s="1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2" t="s">
        <v>8</v>
      </c>
      <c r="B4" s="203"/>
      <c r="C4" s="203"/>
      <c r="D4" s="203"/>
      <c r="E4" s="203"/>
      <c r="F4" s="204"/>
      <c r="G4" s="4">
        <v>46052</v>
      </c>
      <c r="H4" s="210" t="s">
        <v>9</v>
      </c>
      <c r="I4" s="203"/>
      <c r="J4" s="203"/>
      <c r="K4" s="203"/>
      <c r="L4" s="203"/>
      <c r="M4" s="203"/>
      <c r="N4" s="203"/>
      <c r="O4" s="203"/>
      <c r="P4" s="203"/>
      <c r="Q4" s="203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6" t="s">
        <v>28</v>
      </c>
      <c r="B6" s="66" t="s">
        <v>187</v>
      </c>
      <c r="C6" s="67">
        <v>7.2916666666666671E-2</v>
      </c>
      <c r="D6" s="66" t="s">
        <v>30</v>
      </c>
      <c r="E6" s="68"/>
      <c r="F6" s="66" t="s">
        <v>31</v>
      </c>
      <c r="G6" s="197"/>
      <c r="H6" s="69" t="s">
        <v>187</v>
      </c>
      <c r="I6" s="70">
        <v>2.7799999999999998E-2</v>
      </c>
      <c r="J6" s="71">
        <v>5</v>
      </c>
      <c r="K6" s="72" t="s">
        <v>170</v>
      </c>
      <c r="L6" s="71">
        <v>5</v>
      </c>
      <c r="M6" s="71">
        <v>0</v>
      </c>
      <c r="N6" s="71">
        <v>0</v>
      </c>
      <c r="O6" s="73" t="s">
        <v>182</v>
      </c>
      <c r="P6" s="74">
        <v>7.2916666666666671E-2</v>
      </c>
      <c r="Q6" s="71">
        <v>180</v>
      </c>
      <c r="R6" s="75" t="s">
        <v>188</v>
      </c>
    </row>
    <row r="7" spans="1:92" ht="17.399999999999999" customHeight="1" thickBot="1" x14ac:dyDescent="0.35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92" ht="22.05" customHeight="1" thickTop="1" thickBot="1" x14ac:dyDescent="0.35">
      <c r="A8" s="202" t="s">
        <v>8</v>
      </c>
      <c r="B8" s="203"/>
      <c r="C8" s="203"/>
      <c r="D8" s="203"/>
      <c r="E8" s="203"/>
      <c r="F8" s="204"/>
      <c r="G8" s="18">
        <v>46055</v>
      </c>
      <c r="H8" s="205" t="s">
        <v>9</v>
      </c>
      <c r="I8" s="203"/>
      <c r="J8" s="203"/>
      <c r="K8" s="203"/>
      <c r="L8" s="203"/>
      <c r="M8" s="203"/>
      <c r="N8" s="203"/>
      <c r="O8" s="203"/>
      <c r="P8" s="203"/>
      <c r="Q8" s="203"/>
      <c r="R8" s="2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66" t="s">
        <v>28</v>
      </c>
      <c r="B10" s="66" t="s">
        <v>187</v>
      </c>
      <c r="C10" s="67">
        <v>0.29166666666666669</v>
      </c>
      <c r="D10" s="66" t="s">
        <v>30</v>
      </c>
      <c r="E10" s="68"/>
      <c r="F10" s="66" t="s">
        <v>31</v>
      </c>
      <c r="G10" s="201"/>
      <c r="H10" s="69" t="s">
        <v>187</v>
      </c>
      <c r="I10" s="70">
        <v>2.2200000000000001E-2</v>
      </c>
      <c r="J10" s="71">
        <v>4</v>
      </c>
      <c r="K10" s="72" t="s">
        <v>91</v>
      </c>
      <c r="L10" s="71">
        <v>4</v>
      </c>
      <c r="M10" s="71">
        <v>0</v>
      </c>
      <c r="N10" s="71">
        <v>0</v>
      </c>
      <c r="O10" s="73" t="s">
        <v>124</v>
      </c>
      <c r="P10" s="74">
        <v>0.29166666666666669</v>
      </c>
      <c r="Q10" s="71">
        <v>180</v>
      </c>
      <c r="R10" s="75" t="s">
        <v>189</v>
      </c>
    </row>
    <row r="11" spans="1:92" ht="17.399999999999999" customHeight="1" thickBot="1" x14ac:dyDescent="0.35">
      <c r="A11" s="229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1"/>
    </row>
    <row r="12" spans="1:92" ht="22.05" customHeight="1" thickTop="1" thickBot="1" x14ac:dyDescent="0.35">
      <c r="A12" s="202" t="s">
        <v>8</v>
      </c>
      <c r="B12" s="203"/>
      <c r="C12" s="203"/>
      <c r="D12" s="203"/>
      <c r="E12" s="203"/>
      <c r="F12" s="204"/>
      <c r="G12" s="18">
        <v>46059</v>
      </c>
      <c r="H12" s="205" t="s">
        <v>9</v>
      </c>
      <c r="I12" s="203"/>
      <c r="J12" s="203"/>
      <c r="K12" s="203"/>
      <c r="L12" s="203"/>
      <c r="M12" s="203"/>
      <c r="N12" s="203"/>
      <c r="O12" s="203"/>
      <c r="P12" s="203"/>
      <c r="Q12" s="203"/>
      <c r="R12" s="2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56" t="s">
        <v>28</v>
      </c>
      <c r="B14" s="56" t="s">
        <v>187</v>
      </c>
      <c r="C14" s="57">
        <v>7.2916666666666671E-2</v>
      </c>
      <c r="D14" s="56" t="s">
        <v>30</v>
      </c>
      <c r="E14" s="58"/>
      <c r="F14" s="56" t="s">
        <v>31</v>
      </c>
      <c r="G14" s="201"/>
      <c r="H14" s="59" t="s">
        <v>187</v>
      </c>
      <c r="I14" s="60">
        <v>1.67E-2</v>
      </c>
      <c r="J14" s="61">
        <v>3</v>
      </c>
      <c r="K14" s="62" t="s">
        <v>110</v>
      </c>
      <c r="L14" s="61">
        <v>3</v>
      </c>
      <c r="M14" s="61">
        <v>0</v>
      </c>
      <c r="N14" s="61">
        <v>0</v>
      </c>
      <c r="O14" s="63" t="s">
        <v>182</v>
      </c>
      <c r="P14" s="64">
        <v>7.2916666666666671E-2</v>
      </c>
      <c r="Q14" s="61">
        <v>180</v>
      </c>
      <c r="R14" s="65" t="s">
        <v>122</v>
      </c>
    </row>
    <row r="15" spans="1:92" ht="17.399999999999999" customHeight="1" thickBot="1" x14ac:dyDescent="0.35">
      <c r="A15" s="229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</row>
    <row r="16" spans="1:92" ht="22.05" customHeight="1" thickTop="1" thickBot="1" x14ac:dyDescent="0.35">
      <c r="A16" s="202" t="s">
        <v>8</v>
      </c>
      <c r="B16" s="203"/>
      <c r="C16" s="203"/>
      <c r="D16" s="203"/>
      <c r="E16" s="203"/>
      <c r="F16" s="204"/>
      <c r="G16" s="18">
        <v>46062</v>
      </c>
      <c r="H16" s="205" t="s">
        <v>9</v>
      </c>
      <c r="I16" s="203"/>
      <c r="J16" s="203"/>
      <c r="K16" s="203"/>
      <c r="L16" s="203"/>
      <c r="M16" s="203"/>
      <c r="N16" s="203"/>
      <c r="O16" s="203"/>
      <c r="P16" s="203"/>
      <c r="Q16" s="203"/>
      <c r="R16" s="2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" t="s">
        <v>28</v>
      </c>
      <c r="B18" s="8" t="s">
        <v>187</v>
      </c>
      <c r="C18" s="9">
        <v>0.29166666666666669</v>
      </c>
      <c r="D18" s="8" t="s">
        <v>30</v>
      </c>
      <c r="E18" s="10"/>
      <c r="F18" s="8" t="s">
        <v>39</v>
      </c>
      <c r="G18" s="201"/>
      <c r="H18" s="11" t="s">
        <v>187</v>
      </c>
      <c r="I18" s="12">
        <v>0</v>
      </c>
      <c r="J18" s="13">
        <v>0</v>
      </c>
      <c r="K18" s="14" t="s">
        <v>40</v>
      </c>
      <c r="L18" s="13">
        <v>0</v>
      </c>
      <c r="M18" s="13">
        <v>0</v>
      </c>
      <c r="N18" s="13">
        <v>0</v>
      </c>
      <c r="O18" s="15" t="s">
        <v>116</v>
      </c>
      <c r="P18" s="16">
        <v>0.29166666666666669</v>
      </c>
      <c r="Q18" s="13">
        <v>180</v>
      </c>
      <c r="R18" s="17" t="s">
        <v>40</v>
      </c>
    </row>
    <row r="19" spans="1:18" ht="17.399999999999999" customHeight="1" thickBot="1" x14ac:dyDescent="0.35">
      <c r="A19" s="229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1"/>
    </row>
    <row r="20" spans="1:18" ht="22.05" customHeight="1" thickTop="1" thickBot="1" x14ac:dyDescent="0.35">
      <c r="A20" s="202" t="s">
        <v>8</v>
      </c>
      <c r="B20" s="203"/>
      <c r="C20" s="203"/>
      <c r="D20" s="203"/>
      <c r="E20" s="203"/>
      <c r="F20" s="204"/>
      <c r="G20" s="18">
        <v>46066</v>
      </c>
      <c r="H20" s="205" t="s">
        <v>9</v>
      </c>
      <c r="I20" s="203"/>
      <c r="J20" s="203"/>
      <c r="K20" s="203"/>
      <c r="L20" s="203"/>
      <c r="M20" s="203"/>
      <c r="N20" s="203"/>
      <c r="O20" s="203"/>
      <c r="P20" s="203"/>
      <c r="Q20" s="203"/>
      <c r="R20" s="2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26" t="s">
        <v>28</v>
      </c>
      <c r="B22" s="26" t="s">
        <v>187</v>
      </c>
      <c r="C22" s="27">
        <v>7.2916666666666671E-2</v>
      </c>
      <c r="D22" s="26" t="s">
        <v>30</v>
      </c>
      <c r="E22" s="28"/>
      <c r="F22" s="26" t="s">
        <v>31</v>
      </c>
      <c r="G22" s="201"/>
      <c r="H22" s="29" t="s">
        <v>187</v>
      </c>
      <c r="I22" s="30">
        <v>1.67E-2</v>
      </c>
      <c r="J22" s="31">
        <v>3</v>
      </c>
      <c r="K22" s="32" t="s">
        <v>94</v>
      </c>
      <c r="L22" s="31">
        <v>3</v>
      </c>
      <c r="M22" s="31">
        <v>0</v>
      </c>
      <c r="N22" s="31">
        <v>0</v>
      </c>
      <c r="O22" s="33" t="s">
        <v>190</v>
      </c>
      <c r="P22" s="34">
        <v>7.2916666666666671E-2</v>
      </c>
      <c r="Q22" s="31">
        <v>180</v>
      </c>
      <c r="R22" s="35" t="s">
        <v>185</v>
      </c>
    </row>
    <row r="23" spans="1:18" ht="17.399999999999999" customHeight="1" thickBot="1" x14ac:dyDescent="0.35">
      <c r="A23" s="229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1"/>
    </row>
    <row r="24" spans="1:18" ht="22.05" customHeight="1" thickTop="1" thickBot="1" x14ac:dyDescent="0.35">
      <c r="A24" s="202" t="s">
        <v>8</v>
      </c>
      <c r="B24" s="203"/>
      <c r="C24" s="203"/>
      <c r="D24" s="203"/>
      <c r="E24" s="203"/>
      <c r="F24" s="204"/>
      <c r="G24" s="18">
        <v>46069</v>
      </c>
      <c r="H24" s="205" t="s">
        <v>9</v>
      </c>
      <c r="I24" s="203"/>
      <c r="J24" s="203"/>
      <c r="K24" s="203"/>
      <c r="L24" s="203"/>
      <c r="M24" s="203"/>
      <c r="N24" s="203"/>
      <c r="O24" s="203"/>
      <c r="P24" s="203"/>
      <c r="Q24" s="203"/>
      <c r="R24" s="204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158" t="s">
        <v>28</v>
      </c>
      <c r="B26" s="158" t="s">
        <v>187</v>
      </c>
      <c r="C26" s="159">
        <v>0.29166666666666669</v>
      </c>
      <c r="D26" s="158" t="s">
        <v>30</v>
      </c>
      <c r="E26" s="160"/>
      <c r="F26" s="158" t="s">
        <v>31</v>
      </c>
      <c r="G26" s="197"/>
      <c r="H26" s="174" t="s">
        <v>187</v>
      </c>
      <c r="I26" s="175">
        <v>5.5999999999999999E-3</v>
      </c>
      <c r="J26" s="176">
        <v>1</v>
      </c>
      <c r="K26" s="177" t="s">
        <v>111</v>
      </c>
      <c r="L26" s="176">
        <v>1</v>
      </c>
      <c r="M26" s="176">
        <v>0</v>
      </c>
      <c r="N26" s="176">
        <v>0</v>
      </c>
      <c r="O26" s="178" t="s">
        <v>191</v>
      </c>
      <c r="P26" s="179">
        <v>0.29166666666666669</v>
      </c>
      <c r="Q26" s="176">
        <v>180</v>
      </c>
      <c r="R26" s="180" t="s">
        <v>172</v>
      </c>
    </row>
    <row r="27" spans="1:18" ht="17.399999999999999" customHeight="1" thickBot="1" x14ac:dyDescent="0.35">
      <c r="A27" s="229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1"/>
    </row>
    <row r="28" spans="1:18" ht="22.05" customHeight="1" thickTop="1" thickBot="1" x14ac:dyDescent="0.35">
      <c r="A28" s="202" t="s">
        <v>8</v>
      </c>
      <c r="B28" s="203"/>
      <c r="C28" s="203"/>
      <c r="D28" s="203"/>
      <c r="E28" s="203"/>
      <c r="F28" s="204"/>
      <c r="G28" s="18">
        <v>46073</v>
      </c>
      <c r="H28" s="205" t="s">
        <v>9</v>
      </c>
      <c r="I28" s="203"/>
      <c r="J28" s="203"/>
      <c r="K28" s="203"/>
      <c r="L28" s="203"/>
      <c r="M28" s="203"/>
      <c r="N28" s="203"/>
      <c r="O28" s="203"/>
      <c r="P28" s="203"/>
      <c r="Q28" s="203"/>
      <c r="R28" s="204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6" t="s">
        <v>28</v>
      </c>
      <c r="B30" s="56" t="s">
        <v>187</v>
      </c>
      <c r="C30" s="57">
        <v>7.2916666666666671E-2</v>
      </c>
      <c r="D30" s="56" t="s">
        <v>30</v>
      </c>
      <c r="E30" s="58"/>
      <c r="F30" s="56" t="s">
        <v>31</v>
      </c>
      <c r="G30" s="201"/>
      <c r="H30" s="59" t="s">
        <v>187</v>
      </c>
      <c r="I30" s="60">
        <v>5.5999999999999999E-3</v>
      </c>
      <c r="J30" s="61">
        <v>1</v>
      </c>
      <c r="K30" s="62" t="s">
        <v>192</v>
      </c>
      <c r="L30" s="61">
        <v>1</v>
      </c>
      <c r="M30" s="61">
        <v>0</v>
      </c>
      <c r="N30" s="61">
        <v>0</v>
      </c>
      <c r="O30" s="63" t="s">
        <v>191</v>
      </c>
      <c r="P30" s="64">
        <v>7.2916666666666671E-2</v>
      </c>
      <c r="Q30" s="61">
        <v>180</v>
      </c>
      <c r="R30" s="65" t="s">
        <v>112</v>
      </c>
    </row>
    <row r="31" spans="1:18" ht="17.399999999999999" customHeight="1" thickBot="1" x14ac:dyDescent="0.35">
      <c r="A31" s="229"/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1"/>
    </row>
    <row r="32" spans="1:18" ht="22.05" customHeight="1" thickTop="1" thickBot="1" x14ac:dyDescent="0.35">
      <c r="A32" s="202" t="s">
        <v>8</v>
      </c>
      <c r="B32" s="203"/>
      <c r="C32" s="203"/>
      <c r="D32" s="203"/>
      <c r="E32" s="203"/>
      <c r="F32" s="204"/>
      <c r="G32" s="18">
        <v>46076</v>
      </c>
      <c r="H32" s="205" t="s">
        <v>9</v>
      </c>
      <c r="I32" s="203"/>
      <c r="J32" s="203"/>
      <c r="K32" s="203"/>
      <c r="L32" s="203"/>
      <c r="M32" s="203"/>
      <c r="N32" s="203"/>
      <c r="O32" s="203"/>
      <c r="P32" s="203"/>
      <c r="Q32" s="203"/>
      <c r="R32" s="204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56" t="s">
        <v>28</v>
      </c>
      <c r="B34" s="56" t="s">
        <v>187</v>
      </c>
      <c r="C34" s="57">
        <v>0.29166666666666669</v>
      </c>
      <c r="D34" s="56" t="s">
        <v>30</v>
      </c>
      <c r="E34" s="58"/>
      <c r="F34" s="56" t="s">
        <v>39</v>
      </c>
      <c r="G34" s="197"/>
      <c r="H34" s="59" t="s">
        <v>187</v>
      </c>
      <c r="I34" s="60">
        <v>0</v>
      </c>
      <c r="J34" s="61">
        <v>0</v>
      </c>
      <c r="K34" s="62" t="s">
        <v>40</v>
      </c>
      <c r="L34" s="61">
        <v>0</v>
      </c>
      <c r="M34" s="61">
        <v>0</v>
      </c>
      <c r="N34" s="61">
        <v>0</v>
      </c>
      <c r="O34" s="63" t="s">
        <v>168</v>
      </c>
      <c r="P34" s="64">
        <v>0.29166666666666669</v>
      </c>
      <c r="Q34" s="61">
        <v>180</v>
      </c>
      <c r="R34" s="65" t="s">
        <v>40</v>
      </c>
    </row>
    <row r="35" spans="1:18" ht="17.399999999999999" customHeight="1" thickBot="1" x14ac:dyDescent="0.35">
      <c r="A35" s="229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1"/>
    </row>
    <row r="36" spans="1:18" ht="22.05" customHeight="1" thickTop="1" thickBot="1" x14ac:dyDescent="0.35">
      <c r="A36" s="202" t="s">
        <v>8</v>
      </c>
      <c r="B36" s="203"/>
      <c r="C36" s="203"/>
      <c r="D36" s="203"/>
      <c r="E36" s="203"/>
      <c r="F36" s="204"/>
      <c r="G36" s="18">
        <v>46080</v>
      </c>
      <c r="H36" s="205" t="s">
        <v>9</v>
      </c>
      <c r="I36" s="203"/>
      <c r="J36" s="203"/>
      <c r="K36" s="203"/>
      <c r="L36" s="203"/>
      <c r="M36" s="203"/>
      <c r="N36" s="203"/>
      <c r="O36" s="203"/>
      <c r="P36" s="203"/>
      <c r="Q36" s="203"/>
      <c r="R36" s="204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126" t="s">
        <v>28</v>
      </c>
      <c r="B38" s="126" t="s">
        <v>187</v>
      </c>
      <c r="C38" s="127">
        <v>7.2916666666666671E-2</v>
      </c>
      <c r="D38" s="126" t="s">
        <v>30</v>
      </c>
      <c r="E38" s="128"/>
      <c r="F38" s="126" t="s">
        <v>31</v>
      </c>
      <c r="G38" s="197"/>
      <c r="H38" s="119" t="s">
        <v>187</v>
      </c>
      <c r="I38" s="120">
        <v>1.11E-2</v>
      </c>
      <c r="J38" s="121">
        <v>2</v>
      </c>
      <c r="K38" s="122" t="s">
        <v>193</v>
      </c>
      <c r="L38" s="121">
        <v>2</v>
      </c>
      <c r="M38" s="121">
        <v>0</v>
      </c>
      <c r="N38" s="121">
        <v>0</v>
      </c>
      <c r="O38" s="123" t="s">
        <v>190</v>
      </c>
      <c r="P38" s="124">
        <v>7.2916666666666671E-2</v>
      </c>
      <c r="Q38" s="121">
        <v>180</v>
      </c>
      <c r="R38" s="125" t="s">
        <v>173</v>
      </c>
    </row>
    <row r="39" spans="1:18" ht="17.399999999999999" customHeight="1" thickBot="1" x14ac:dyDescent="0.35">
      <c r="A39" s="229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1"/>
    </row>
    <row r="40" spans="1:18" ht="15" thickTop="1" x14ac:dyDescent="0.3"/>
  </sheetData>
  <mergeCells count="43">
    <mergeCell ref="A39:R39"/>
    <mergeCell ref="A15:R15"/>
    <mergeCell ref="H12:R12"/>
    <mergeCell ref="A36:F36"/>
    <mergeCell ref="G34"/>
    <mergeCell ref="G30"/>
    <mergeCell ref="H24:R24"/>
    <mergeCell ref="G14"/>
    <mergeCell ref="G38"/>
    <mergeCell ref="A31:R31"/>
    <mergeCell ref="G10"/>
    <mergeCell ref="H28:R28"/>
    <mergeCell ref="G6"/>
    <mergeCell ref="G18"/>
    <mergeCell ref="A24:F24"/>
    <mergeCell ref="A11:R11"/>
    <mergeCell ref="H36:R36"/>
    <mergeCell ref="A35:R35"/>
    <mergeCell ref="N1:R1"/>
    <mergeCell ref="A28:F28"/>
    <mergeCell ref="A19:R19"/>
    <mergeCell ref="H16:R16"/>
    <mergeCell ref="K2:R2"/>
    <mergeCell ref="H32:R32"/>
    <mergeCell ref="A32:F32"/>
    <mergeCell ref="A8:F8"/>
    <mergeCell ref="G2:J2"/>
    <mergeCell ref="A4:F4"/>
    <mergeCell ref="A23:R23"/>
    <mergeCell ref="A20:F20"/>
    <mergeCell ref="H1:L1"/>
    <mergeCell ref="A1:E1"/>
    <mergeCell ref="A12:F12"/>
    <mergeCell ref="A27:R27"/>
    <mergeCell ref="H4:R4"/>
    <mergeCell ref="G22"/>
    <mergeCell ref="A2:F2"/>
    <mergeCell ref="A3:R3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1"/>
  <sheetViews>
    <sheetView workbookViewId="0"/>
  </sheetViews>
  <sheetFormatPr defaultRowHeight="15.6" outlineLevelCol="1" x14ac:dyDescent="0.3"/>
  <cols>
    <col min="1" max="1" width="8.6640625" style="216" bestFit="1" customWidth="1"/>
    <col min="2" max="2" width="10.109375" style="216" bestFit="1" customWidth="1"/>
    <col min="3" max="3" width="6.77734375" style="216" bestFit="1" customWidth="1"/>
    <col min="4" max="4" width="5.5546875" style="216" bestFit="1" customWidth="1"/>
    <col min="5" max="5" width="9.44140625" style="216" bestFit="1" customWidth="1"/>
    <col min="6" max="6" width="4.21875" style="216" bestFit="1" customWidth="1"/>
    <col min="7" max="7" width="8.44140625" style="216" bestFit="1" customWidth="1"/>
    <col min="8" max="8" width="8.5546875" style="216" bestFit="1" customWidth="1"/>
    <col min="9" max="10" width="7" style="216" bestFit="1" customWidth="1"/>
    <col min="11" max="11" width="10.5546875" style="216" bestFit="1" customWidth="1"/>
    <col min="12" max="12" width="18.109375" style="216" bestFit="1" customWidth="1"/>
    <col min="13" max="13" width="7.6640625" style="216" bestFit="1" customWidth="1" outlineLevel="1"/>
    <col min="14" max="14" width="6.33203125" style="216" bestFit="1" customWidth="1" outlineLevel="1"/>
    <col min="15" max="15" width="8" style="216" bestFit="1" customWidth="1" outlineLevel="1"/>
    <col min="16" max="16" width="13.6640625" style="216" bestFit="1" customWidth="1"/>
    <col min="17" max="26" width="3.88671875" style="216" bestFit="1" customWidth="1"/>
    <col min="27" max="27" width="4" style="216" bestFit="1" customWidth="1"/>
    <col min="28" max="36" width="3.88671875" style="216" bestFit="1" customWidth="1"/>
    <col min="37" max="16384" width="8.88671875" style="216"/>
  </cols>
  <sheetData>
    <row r="1" spans="1:36" x14ac:dyDescent="0.3">
      <c r="A1" s="215" t="s">
        <v>49</v>
      </c>
      <c r="B1" s="215" t="s">
        <v>50</v>
      </c>
      <c r="C1" s="215" t="s">
        <v>51</v>
      </c>
      <c r="D1" s="215" t="s">
        <v>25</v>
      </c>
      <c r="E1" s="215" t="s">
        <v>52</v>
      </c>
      <c r="F1" s="215" t="s">
        <v>53</v>
      </c>
      <c r="G1" s="215" t="s">
        <v>18</v>
      </c>
      <c r="H1" s="215" t="s">
        <v>54</v>
      </c>
      <c r="I1" s="215" t="s">
        <v>55</v>
      </c>
      <c r="J1" s="215" t="s">
        <v>56</v>
      </c>
      <c r="K1" s="215" t="s">
        <v>57</v>
      </c>
      <c r="L1" s="215" t="s">
        <v>20</v>
      </c>
      <c r="M1" s="215" t="s">
        <v>22</v>
      </c>
      <c r="N1" s="215" t="s">
        <v>23</v>
      </c>
      <c r="O1" s="215" t="s">
        <v>21</v>
      </c>
      <c r="P1" s="215" t="s">
        <v>24</v>
      </c>
      <c r="Q1" s="215" t="s">
        <v>58</v>
      </c>
      <c r="R1" s="215" t="s">
        <v>59</v>
      </c>
      <c r="S1" s="215" t="s">
        <v>60</v>
      </c>
      <c r="T1" s="215" t="s">
        <v>61</v>
      </c>
      <c r="U1" s="215" t="s">
        <v>62</v>
      </c>
      <c r="V1" s="215" t="s">
        <v>63</v>
      </c>
      <c r="W1" s="215" t="s">
        <v>64</v>
      </c>
      <c r="X1" s="215" t="s">
        <v>65</v>
      </c>
      <c r="Y1" s="215" t="s">
        <v>66</v>
      </c>
      <c r="Z1" s="215" t="s">
        <v>67</v>
      </c>
      <c r="AA1" s="215" t="s">
        <v>68</v>
      </c>
      <c r="AB1" s="215" t="s">
        <v>69</v>
      </c>
      <c r="AC1" s="215" t="s">
        <v>70</v>
      </c>
      <c r="AD1" s="215" t="s">
        <v>71</v>
      </c>
      <c r="AE1" s="215" t="s">
        <v>72</v>
      </c>
      <c r="AF1" s="215" t="s">
        <v>73</v>
      </c>
      <c r="AG1" s="215" t="s">
        <v>74</v>
      </c>
      <c r="AH1" s="215" t="s">
        <v>75</v>
      </c>
      <c r="AI1" s="215" t="s">
        <v>76</v>
      </c>
      <c r="AJ1" s="215" t="s">
        <v>77</v>
      </c>
    </row>
    <row r="2" spans="1:36" x14ac:dyDescent="0.3">
      <c r="A2" s="217" t="s">
        <v>146</v>
      </c>
      <c r="B2" s="218">
        <v>46052</v>
      </c>
      <c r="C2" s="219" t="s">
        <v>187</v>
      </c>
      <c r="D2" s="220" t="s">
        <v>194</v>
      </c>
      <c r="E2" s="219" t="s">
        <v>186</v>
      </c>
      <c r="F2" s="219" t="s">
        <v>80</v>
      </c>
      <c r="G2" s="221">
        <v>2.7799999999999998E-2</v>
      </c>
      <c r="H2" s="222">
        <v>180</v>
      </c>
      <c r="I2" s="222">
        <v>5</v>
      </c>
      <c r="J2" s="222">
        <v>0</v>
      </c>
      <c r="K2" s="219" t="s">
        <v>81</v>
      </c>
      <c r="L2" s="223" t="s">
        <v>170</v>
      </c>
      <c r="M2" s="222">
        <v>0</v>
      </c>
      <c r="N2" s="222">
        <v>0</v>
      </c>
      <c r="O2" s="222">
        <v>5</v>
      </c>
      <c r="P2" s="219" t="s">
        <v>182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22" t="s">
        <v>34</v>
      </c>
      <c r="AD2" s="215"/>
      <c r="AE2" s="222" t="s">
        <v>115</v>
      </c>
      <c r="AF2" s="215"/>
      <c r="AG2" s="215"/>
      <c r="AH2" s="215"/>
      <c r="AI2" s="215"/>
      <c r="AJ2" s="215"/>
    </row>
    <row r="3" spans="1:36" x14ac:dyDescent="0.3">
      <c r="A3" s="217" t="s">
        <v>85</v>
      </c>
      <c r="B3" s="218">
        <v>46055</v>
      </c>
      <c r="C3" s="219" t="s">
        <v>187</v>
      </c>
      <c r="D3" s="220" t="s">
        <v>195</v>
      </c>
      <c r="E3" s="219" t="s">
        <v>186</v>
      </c>
      <c r="F3" s="219" t="s">
        <v>80</v>
      </c>
      <c r="G3" s="221">
        <v>2.2200000000000001E-2</v>
      </c>
      <c r="H3" s="222">
        <v>180</v>
      </c>
      <c r="I3" s="222">
        <v>4</v>
      </c>
      <c r="J3" s="222">
        <v>0</v>
      </c>
      <c r="K3" s="219" t="s">
        <v>81</v>
      </c>
      <c r="L3" s="223" t="s">
        <v>91</v>
      </c>
      <c r="M3" s="222">
        <v>0</v>
      </c>
      <c r="N3" s="222">
        <v>0</v>
      </c>
      <c r="O3" s="222">
        <v>4</v>
      </c>
      <c r="P3" s="219" t="s">
        <v>124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22" t="s">
        <v>112</v>
      </c>
      <c r="AB3" s="215"/>
      <c r="AC3" s="215"/>
      <c r="AD3" s="222" t="s">
        <v>196</v>
      </c>
      <c r="AE3" s="222" t="s">
        <v>124</v>
      </c>
      <c r="AF3" s="215"/>
      <c r="AG3" s="215"/>
      <c r="AH3" s="215"/>
      <c r="AI3" s="215"/>
      <c r="AJ3" s="215"/>
    </row>
    <row r="4" spans="1:36" x14ac:dyDescent="0.3">
      <c r="A4" s="217" t="s">
        <v>146</v>
      </c>
      <c r="B4" s="218">
        <v>46059</v>
      </c>
      <c r="C4" s="219" t="s">
        <v>187</v>
      </c>
      <c r="D4" s="220" t="s">
        <v>194</v>
      </c>
      <c r="E4" s="219" t="s">
        <v>186</v>
      </c>
      <c r="F4" s="219" t="s">
        <v>80</v>
      </c>
      <c r="G4" s="221">
        <v>1.67E-2</v>
      </c>
      <c r="H4" s="222">
        <v>180</v>
      </c>
      <c r="I4" s="222">
        <v>3</v>
      </c>
      <c r="J4" s="222">
        <v>0</v>
      </c>
      <c r="K4" s="219" t="s">
        <v>81</v>
      </c>
      <c r="L4" s="223" t="s">
        <v>110</v>
      </c>
      <c r="M4" s="222">
        <v>0</v>
      </c>
      <c r="N4" s="222">
        <v>0</v>
      </c>
      <c r="O4" s="222">
        <v>3</v>
      </c>
      <c r="P4" s="219" t="s">
        <v>182</v>
      </c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22" t="s">
        <v>122</v>
      </c>
      <c r="AF4" s="215"/>
      <c r="AG4" s="215"/>
      <c r="AH4" s="215"/>
      <c r="AI4" s="215"/>
      <c r="AJ4" s="215"/>
    </row>
    <row r="5" spans="1:36" x14ac:dyDescent="0.3">
      <c r="A5" s="217" t="s">
        <v>85</v>
      </c>
      <c r="B5" s="218">
        <v>46062</v>
      </c>
      <c r="C5" s="219" t="s">
        <v>187</v>
      </c>
      <c r="D5" s="220" t="s">
        <v>195</v>
      </c>
      <c r="E5" s="219" t="s">
        <v>186</v>
      </c>
      <c r="F5" s="219" t="s">
        <v>80</v>
      </c>
      <c r="G5" s="221">
        <v>0</v>
      </c>
      <c r="H5" s="222">
        <v>180</v>
      </c>
      <c r="I5" s="222">
        <v>0</v>
      </c>
      <c r="J5" s="222">
        <v>0</v>
      </c>
      <c r="K5" s="219" t="s">
        <v>81</v>
      </c>
      <c r="L5" s="223" t="s">
        <v>40</v>
      </c>
      <c r="M5" s="222">
        <v>0</v>
      </c>
      <c r="N5" s="222">
        <v>0</v>
      </c>
      <c r="O5" s="222">
        <v>0</v>
      </c>
      <c r="P5" s="219" t="s">
        <v>116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</row>
    <row r="6" spans="1:36" x14ac:dyDescent="0.3">
      <c r="A6" s="217" t="s">
        <v>146</v>
      </c>
      <c r="B6" s="218">
        <v>46066</v>
      </c>
      <c r="C6" s="219" t="s">
        <v>187</v>
      </c>
      <c r="D6" s="220" t="s">
        <v>194</v>
      </c>
      <c r="E6" s="219" t="s">
        <v>186</v>
      </c>
      <c r="F6" s="219" t="s">
        <v>80</v>
      </c>
      <c r="G6" s="221">
        <v>1.67E-2</v>
      </c>
      <c r="H6" s="222">
        <v>180</v>
      </c>
      <c r="I6" s="222">
        <v>3</v>
      </c>
      <c r="J6" s="222">
        <v>0</v>
      </c>
      <c r="K6" s="219" t="s">
        <v>81</v>
      </c>
      <c r="L6" s="223" t="s">
        <v>94</v>
      </c>
      <c r="M6" s="222">
        <v>0</v>
      </c>
      <c r="N6" s="222">
        <v>0</v>
      </c>
      <c r="O6" s="222">
        <v>3</v>
      </c>
      <c r="P6" s="219" t="s">
        <v>190</v>
      </c>
      <c r="Q6" s="215"/>
      <c r="R6" s="215"/>
      <c r="S6" s="215"/>
      <c r="T6" s="215"/>
      <c r="U6" s="215"/>
      <c r="V6" s="215"/>
      <c r="W6" s="215"/>
      <c r="X6" s="215"/>
      <c r="Y6" s="222" t="s">
        <v>185</v>
      </c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</row>
    <row r="7" spans="1:36" x14ac:dyDescent="0.3">
      <c r="A7" s="217" t="s">
        <v>85</v>
      </c>
      <c r="B7" s="218">
        <v>46069</v>
      </c>
      <c r="C7" s="219" t="s">
        <v>187</v>
      </c>
      <c r="D7" s="220" t="s">
        <v>195</v>
      </c>
      <c r="E7" s="219" t="s">
        <v>186</v>
      </c>
      <c r="F7" s="219" t="s">
        <v>80</v>
      </c>
      <c r="G7" s="221">
        <v>5.5999999999999999E-3</v>
      </c>
      <c r="H7" s="222">
        <v>180</v>
      </c>
      <c r="I7" s="222">
        <v>1</v>
      </c>
      <c r="J7" s="222">
        <v>0</v>
      </c>
      <c r="K7" s="219" t="s">
        <v>81</v>
      </c>
      <c r="L7" s="223" t="s">
        <v>111</v>
      </c>
      <c r="M7" s="222">
        <v>0</v>
      </c>
      <c r="N7" s="222">
        <v>0</v>
      </c>
      <c r="O7" s="222">
        <v>1</v>
      </c>
      <c r="P7" s="219" t="s">
        <v>191</v>
      </c>
      <c r="Q7" s="215"/>
      <c r="R7" s="215"/>
      <c r="S7" s="215"/>
      <c r="T7" s="215"/>
      <c r="U7" s="215"/>
      <c r="V7" s="215"/>
      <c r="W7" s="215"/>
      <c r="X7" s="215"/>
      <c r="Y7" s="222" t="s">
        <v>172</v>
      </c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</row>
    <row r="8" spans="1:36" x14ac:dyDescent="0.3">
      <c r="A8" s="217" t="s">
        <v>146</v>
      </c>
      <c r="B8" s="218">
        <v>46073</v>
      </c>
      <c r="C8" s="219" t="s">
        <v>187</v>
      </c>
      <c r="D8" s="220" t="s">
        <v>194</v>
      </c>
      <c r="E8" s="219" t="s">
        <v>186</v>
      </c>
      <c r="F8" s="219" t="s">
        <v>80</v>
      </c>
      <c r="G8" s="221">
        <v>5.5999999999999999E-3</v>
      </c>
      <c r="H8" s="222">
        <v>180</v>
      </c>
      <c r="I8" s="222">
        <v>1</v>
      </c>
      <c r="J8" s="222">
        <v>0</v>
      </c>
      <c r="K8" s="219" t="s">
        <v>81</v>
      </c>
      <c r="L8" s="223" t="s">
        <v>192</v>
      </c>
      <c r="M8" s="222">
        <v>0</v>
      </c>
      <c r="N8" s="222">
        <v>0</v>
      </c>
      <c r="O8" s="222">
        <v>1</v>
      </c>
      <c r="P8" s="219" t="s">
        <v>191</v>
      </c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22" t="s">
        <v>112</v>
      </c>
      <c r="AB8" s="215"/>
      <c r="AC8" s="215"/>
      <c r="AD8" s="215"/>
      <c r="AE8" s="215"/>
      <c r="AF8" s="215"/>
      <c r="AG8" s="215"/>
      <c r="AH8" s="215"/>
      <c r="AI8" s="215"/>
      <c r="AJ8" s="215"/>
    </row>
    <row r="9" spans="1:36" x14ac:dyDescent="0.3">
      <c r="A9" s="217" t="s">
        <v>85</v>
      </c>
      <c r="B9" s="218">
        <v>46076</v>
      </c>
      <c r="C9" s="219" t="s">
        <v>187</v>
      </c>
      <c r="D9" s="220" t="s">
        <v>195</v>
      </c>
      <c r="E9" s="219" t="s">
        <v>186</v>
      </c>
      <c r="F9" s="219" t="s">
        <v>80</v>
      </c>
      <c r="G9" s="221">
        <v>0</v>
      </c>
      <c r="H9" s="222">
        <v>180</v>
      </c>
      <c r="I9" s="222">
        <v>0</v>
      </c>
      <c r="J9" s="222">
        <v>0</v>
      </c>
      <c r="K9" s="219" t="s">
        <v>81</v>
      </c>
      <c r="L9" s="223" t="s">
        <v>40</v>
      </c>
      <c r="M9" s="222">
        <v>0</v>
      </c>
      <c r="N9" s="222">
        <v>0</v>
      </c>
      <c r="O9" s="222">
        <v>0</v>
      </c>
      <c r="P9" s="219" t="s">
        <v>168</v>
      </c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</row>
    <row r="10" spans="1:36" x14ac:dyDescent="0.3">
      <c r="A10" s="217" t="s">
        <v>146</v>
      </c>
      <c r="B10" s="218">
        <v>46080</v>
      </c>
      <c r="C10" s="219" t="s">
        <v>187</v>
      </c>
      <c r="D10" s="220" t="s">
        <v>194</v>
      </c>
      <c r="E10" s="219" t="s">
        <v>186</v>
      </c>
      <c r="F10" s="219" t="s">
        <v>80</v>
      </c>
      <c r="G10" s="221">
        <v>1.11E-2</v>
      </c>
      <c r="H10" s="222">
        <v>180</v>
      </c>
      <c r="I10" s="222">
        <v>2</v>
      </c>
      <c r="J10" s="222">
        <v>0</v>
      </c>
      <c r="K10" s="219" t="s">
        <v>81</v>
      </c>
      <c r="L10" s="223" t="s">
        <v>193</v>
      </c>
      <c r="M10" s="222">
        <v>0</v>
      </c>
      <c r="N10" s="222">
        <v>0</v>
      </c>
      <c r="O10" s="222">
        <v>2</v>
      </c>
      <c r="P10" s="219" t="s">
        <v>190</v>
      </c>
      <c r="Q10" s="215"/>
      <c r="R10" s="215"/>
      <c r="S10" s="215"/>
      <c r="T10" s="215"/>
      <c r="U10" s="215"/>
      <c r="V10" s="215"/>
      <c r="W10" s="215"/>
      <c r="X10" s="215"/>
      <c r="Y10" s="222" t="s">
        <v>173</v>
      </c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</row>
    <row r="11" spans="1:36" ht="21" x14ac:dyDescent="0.3">
      <c r="A11" s="224" t="s">
        <v>217</v>
      </c>
      <c r="B11" s="225"/>
      <c r="C11" s="224">
        <f>SUBTOTAL(103,ATZ_DMM_LF_LEGACY[Flt])</f>
        <v>9</v>
      </c>
      <c r="D11" s="224"/>
      <c r="E11" s="224">
        <f>SUBTOTAL(103,ATZ_DMM_LF_LEGACY[Brd-Off])</f>
        <v>9</v>
      </c>
      <c r="F11" s="224"/>
      <c r="G11" s="226">
        <f>SUBTOTAL(101,ATZ_DMM_LF_LEGACY[LF%])</f>
        <v>1.1744444444444443E-2</v>
      </c>
      <c r="H11" s="227">
        <f>SUBTOTAL(109,ATZ_DMM_LF_LEGACY[CAP])</f>
        <v>1620</v>
      </c>
      <c r="I11" s="227">
        <f>SUBTOTAL(109,ATZ_DMM_LF_LEGACY[BKG(Y)])</f>
        <v>19</v>
      </c>
      <c r="J11" s="227">
        <f>SUBTOTAL(109,ATZ_DMM_LF_LEGACY[GRP(Y)])</f>
        <v>0</v>
      </c>
      <c r="K11" s="224"/>
      <c r="L11" s="225"/>
      <c r="M11" s="227">
        <f>SUBTOTAL(109,ATZ_DMM_LF_LEGACY[TO-DAY])</f>
        <v>0</v>
      </c>
      <c r="N11" s="227">
        <f>SUBTOTAL(109,ATZ_DMM_LF_LEGACY[Y-DAY])</f>
        <v>0</v>
      </c>
      <c r="O11" s="227">
        <f>SUBTOTAL(109,ATZ_DMM_LF_LEGACY[WEEKLY])</f>
        <v>19</v>
      </c>
      <c r="P11" s="228"/>
      <c r="Q11" s="227">
        <f>SUBTOTAL(109,ATZ_DMM_LF_LEGACY[Y])</f>
        <v>0</v>
      </c>
      <c r="R11" s="227">
        <f>SUBTOTAL(109,ATZ_DMM_LF_LEGACY[B])</f>
        <v>0</v>
      </c>
      <c r="S11" s="227">
        <f>SUBTOTAL(109,ATZ_DMM_LF_LEGACY[M])</f>
        <v>0</v>
      </c>
      <c r="T11" s="227">
        <f>SUBTOTAL(109,ATZ_DMM_LF_LEGACY[H])</f>
        <v>0</v>
      </c>
      <c r="U11" s="227">
        <f>SUBTOTAL(109,ATZ_DMM_LF_LEGACY[Q])</f>
        <v>0</v>
      </c>
      <c r="V11" s="227">
        <f>SUBTOTAL(109,ATZ_DMM_LF_LEGACY[K])</f>
        <v>0</v>
      </c>
      <c r="W11" s="227">
        <f>SUBTOTAL(109,ATZ_DMM_LF_LEGACY[V])</f>
        <v>0</v>
      </c>
      <c r="X11" s="227">
        <f>SUBTOTAL(109,ATZ_DMM_LF_LEGACY[L])</f>
        <v>0</v>
      </c>
      <c r="Y11" s="227">
        <f>SUBTOTAL(109,ATZ_DMM_LF_LEGACY[G])</f>
        <v>0</v>
      </c>
      <c r="Z11" s="227">
        <f>SUBTOTAL(109,ATZ_DMM_LF_LEGACY[S])</f>
        <v>0</v>
      </c>
      <c r="AA11" s="227">
        <f>SUBTOTAL(109,ATZ_DMM_LF_LEGACY[W])</f>
        <v>0</v>
      </c>
      <c r="AB11" s="227">
        <f>SUBTOTAL(109,ATZ_DMM_LF_LEGACY[T])</f>
        <v>0</v>
      </c>
      <c r="AC11" s="227">
        <f>SUBTOTAL(109,ATZ_DMM_LF_LEGACY[X])</f>
        <v>0</v>
      </c>
      <c r="AD11" s="227">
        <f>SUBTOTAL(109,ATZ_DMM_LF_LEGACY[U])</f>
        <v>0</v>
      </c>
      <c r="AE11" s="227">
        <f>SUBTOTAL(109,ATZ_DMM_LF_LEGACY[O])</f>
        <v>0</v>
      </c>
      <c r="AF11" s="227">
        <f>SUBTOTAL(109,ATZ_DMM_LF_LEGACY[I])</f>
        <v>0</v>
      </c>
      <c r="AG11" s="227">
        <f>SUBTOTAL(109,ATZ_DMM_LF_LEGACY[E])</f>
        <v>0</v>
      </c>
      <c r="AH11" s="227">
        <f>SUBTOTAL(109,ATZ_DMM_LF_LEGACY[A])</f>
        <v>0</v>
      </c>
      <c r="AI11" s="227">
        <f>SUBTOTAL(109,ATZ_DMM_LF_LEGACY[P])</f>
        <v>0</v>
      </c>
      <c r="AJ11" s="227">
        <f>SUBTOTAL(103,ATZ_DMM_LF_LEGACY[N])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2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0.55468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2187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00" t="s">
        <v>0</v>
      </c>
      <c r="B1" s="199"/>
      <c r="C1" s="199"/>
      <c r="D1" s="199"/>
      <c r="E1" s="199"/>
      <c r="F1" s="1" t="s">
        <v>197</v>
      </c>
      <c r="G1" s="2" t="s">
        <v>2</v>
      </c>
      <c r="H1" s="198" t="s">
        <v>3</v>
      </c>
      <c r="I1" s="199"/>
      <c r="J1" s="199"/>
      <c r="K1" s="199"/>
      <c r="L1" s="199"/>
      <c r="M1" s="1" t="s">
        <v>4</v>
      </c>
      <c r="N1" s="208" t="s">
        <v>5</v>
      </c>
      <c r="O1" s="199"/>
      <c r="P1" s="199"/>
      <c r="Q1" s="199"/>
      <c r="R1" s="1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6" t="s">
        <v>6</v>
      </c>
      <c r="B2" s="199"/>
      <c r="C2" s="199"/>
      <c r="D2" s="199"/>
      <c r="E2" s="199"/>
      <c r="F2" s="199"/>
      <c r="G2" s="207">
        <v>45984.112454065522</v>
      </c>
      <c r="H2" s="199"/>
      <c r="I2" s="199"/>
      <c r="J2" s="199"/>
      <c r="K2" s="209">
        <v>45984.11245406598</v>
      </c>
      <c r="L2" s="199"/>
      <c r="M2" s="199"/>
      <c r="N2" s="199"/>
      <c r="O2" s="199"/>
      <c r="P2" s="199"/>
      <c r="Q2" s="199"/>
      <c r="R2" s="1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2" t="s">
        <v>8</v>
      </c>
      <c r="B4" s="203"/>
      <c r="C4" s="203"/>
      <c r="D4" s="203"/>
      <c r="E4" s="203"/>
      <c r="F4" s="204"/>
      <c r="G4" s="4">
        <v>46052</v>
      </c>
      <c r="H4" s="210" t="s">
        <v>9</v>
      </c>
      <c r="I4" s="203"/>
      <c r="J4" s="203"/>
      <c r="K4" s="203"/>
      <c r="L4" s="203"/>
      <c r="M4" s="203"/>
      <c r="N4" s="203"/>
      <c r="O4" s="203"/>
      <c r="P4" s="203"/>
      <c r="Q4" s="203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6" t="s">
        <v>28</v>
      </c>
      <c r="B6" s="66" t="s">
        <v>198</v>
      </c>
      <c r="C6" s="67">
        <v>0.37847222222222232</v>
      </c>
      <c r="D6" s="66" t="s">
        <v>30</v>
      </c>
      <c r="E6" s="68"/>
      <c r="F6" s="66" t="s">
        <v>31</v>
      </c>
      <c r="G6" s="197"/>
      <c r="H6" s="69" t="s">
        <v>198</v>
      </c>
      <c r="I6" s="70">
        <v>2.23E-2</v>
      </c>
      <c r="J6" s="71">
        <v>4</v>
      </c>
      <c r="K6" s="72" t="s">
        <v>117</v>
      </c>
      <c r="L6" s="71">
        <v>4</v>
      </c>
      <c r="M6" s="71">
        <v>0</v>
      </c>
      <c r="N6" s="71">
        <v>0</v>
      </c>
      <c r="O6" s="73" t="s">
        <v>119</v>
      </c>
      <c r="P6" s="74">
        <v>0.37847222222222232</v>
      </c>
      <c r="Q6" s="71">
        <v>179</v>
      </c>
      <c r="R6" s="75" t="s">
        <v>199</v>
      </c>
    </row>
    <row r="7" spans="1:92" ht="17.399999999999999" customHeight="1" thickBot="1" x14ac:dyDescent="0.35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92" ht="22.05" customHeight="1" thickTop="1" thickBot="1" x14ac:dyDescent="0.35">
      <c r="A8" s="202" t="s">
        <v>8</v>
      </c>
      <c r="B8" s="203"/>
      <c r="C8" s="203"/>
      <c r="D8" s="203"/>
      <c r="E8" s="203"/>
      <c r="F8" s="204"/>
      <c r="G8" s="18">
        <v>46059</v>
      </c>
      <c r="H8" s="205" t="s">
        <v>9</v>
      </c>
      <c r="I8" s="203"/>
      <c r="J8" s="203"/>
      <c r="K8" s="203"/>
      <c r="L8" s="203"/>
      <c r="M8" s="203"/>
      <c r="N8" s="203"/>
      <c r="O8" s="203"/>
      <c r="P8" s="203"/>
      <c r="Q8" s="203"/>
      <c r="R8" s="2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36" t="s">
        <v>28</v>
      </c>
      <c r="B10" s="36" t="s">
        <v>198</v>
      </c>
      <c r="C10" s="37">
        <v>0.37847222222222232</v>
      </c>
      <c r="D10" s="36" t="s">
        <v>30</v>
      </c>
      <c r="E10" s="38"/>
      <c r="F10" s="36" t="s">
        <v>39</v>
      </c>
      <c r="G10" s="201"/>
      <c r="H10" s="39" t="s">
        <v>198</v>
      </c>
      <c r="I10" s="40">
        <v>0</v>
      </c>
      <c r="J10" s="41">
        <v>0</v>
      </c>
      <c r="K10" s="42" t="s">
        <v>40</v>
      </c>
      <c r="L10" s="41">
        <v>0</v>
      </c>
      <c r="M10" s="41">
        <v>0</v>
      </c>
      <c r="N10" s="41">
        <v>0</v>
      </c>
      <c r="O10" s="43" t="s">
        <v>116</v>
      </c>
      <c r="P10" s="44">
        <v>0.37847222222222232</v>
      </c>
      <c r="Q10" s="41">
        <v>179</v>
      </c>
      <c r="R10" s="45" t="s">
        <v>40</v>
      </c>
    </row>
    <row r="11" spans="1:92" ht="17.399999999999999" customHeight="1" thickBot="1" x14ac:dyDescent="0.35">
      <c r="A11" s="229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1"/>
    </row>
    <row r="12" spans="1:92" ht="22.05" customHeight="1" thickTop="1" thickBot="1" x14ac:dyDescent="0.35">
      <c r="A12" s="202" t="s">
        <v>8</v>
      </c>
      <c r="B12" s="203"/>
      <c r="C12" s="203"/>
      <c r="D12" s="203"/>
      <c r="E12" s="203"/>
      <c r="F12" s="204"/>
      <c r="G12" s="18">
        <v>46066</v>
      </c>
      <c r="H12" s="205" t="s">
        <v>9</v>
      </c>
      <c r="I12" s="203"/>
      <c r="J12" s="203"/>
      <c r="K12" s="203"/>
      <c r="L12" s="203"/>
      <c r="M12" s="203"/>
      <c r="N12" s="203"/>
      <c r="O12" s="203"/>
      <c r="P12" s="203"/>
      <c r="Q12" s="203"/>
      <c r="R12" s="2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46" t="s">
        <v>28</v>
      </c>
      <c r="B14" s="46" t="s">
        <v>198</v>
      </c>
      <c r="C14" s="47">
        <v>0.37847222222222232</v>
      </c>
      <c r="D14" s="46" t="s">
        <v>30</v>
      </c>
      <c r="E14" s="48"/>
      <c r="F14" s="46" t="s">
        <v>39</v>
      </c>
      <c r="G14" s="201"/>
      <c r="H14" s="49" t="s">
        <v>198</v>
      </c>
      <c r="I14" s="50">
        <v>0</v>
      </c>
      <c r="J14" s="51">
        <v>0</v>
      </c>
      <c r="K14" s="52" t="s">
        <v>40</v>
      </c>
      <c r="L14" s="51">
        <v>0</v>
      </c>
      <c r="M14" s="51">
        <v>0</v>
      </c>
      <c r="N14" s="51">
        <v>0</v>
      </c>
      <c r="O14" s="53" t="s">
        <v>168</v>
      </c>
      <c r="P14" s="54">
        <v>0.37847222222222232</v>
      </c>
      <c r="Q14" s="51">
        <v>179</v>
      </c>
      <c r="R14" s="55" t="s">
        <v>40</v>
      </c>
    </row>
    <row r="15" spans="1:92" ht="17.399999999999999" customHeight="1" thickBot="1" x14ac:dyDescent="0.35">
      <c r="A15" s="229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</row>
    <row r="16" spans="1:92" ht="22.05" customHeight="1" thickTop="1" thickBot="1" x14ac:dyDescent="0.35">
      <c r="A16" s="202" t="s">
        <v>8</v>
      </c>
      <c r="B16" s="203"/>
      <c r="C16" s="203"/>
      <c r="D16" s="203"/>
      <c r="E16" s="203"/>
      <c r="F16" s="204"/>
      <c r="G16" s="18">
        <v>46073</v>
      </c>
      <c r="H16" s="205" t="s">
        <v>9</v>
      </c>
      <c r="I16" s="203"/>
      <c r="J16" s="203"/>
      <c r="K16" s="203"/>
      <c r="L16" s="203"/>
      <c r="M16" s="203"/>
      <c r="N16" s="203"/>
      <c r="O16" s="203"/>
      <c r="P16" s="203"/>
      <c r="Q16" s="203"/>
      <c r="R16" s="2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56" t="s">
        <v>28</v>
      </c>
      <c r="B18" s="56" t="s">
        <v>198</v>
      </c>
      <c r="C18" s="57">
        <v>0.37847222222222232</v>
      </c>
      <c r="D18" s="56" t="s">
        <v>30</v>
      </c>
      <c r="E18" s="58"/>
      <c r="F18" s="56" t="s">
        <v>39</v>
      </c>
      <c r="G18" s="201"/>
      <c r="H18" s="59" t="s">
        <v>198</v>
      </c>
      <c r="I18" s="60">
        <v>0</v>
      </c>
      <c r="J18" s="61">
        <v>0</v>
      </c>
      <c r="K18" s="62" t="s">
        <v>40</v>
      </c>
      <c r="L18" s="61">
        <v>0</v>
      </c>
      <c r="M18" s="61">
        <v>0</v>
      </c>
      <c r="N18" s="61">
        <v>0</v>
      </c>
      <c r="O18" s="63" t="s">
        <v>191</v>
      </c>
      <c r="P18" s="64">
        <v>0.37847222222222232</v>
      </c>
      <c r="Q18" s="61">
        <v>179</v>
      </c>
      <c r="R18" s="65" t="s">
        <v>40</v>
      </c>
    </row>
    <row r="19" spans="1:18" ht="17.399999999999999" customHeight="1" thickBot="1" x14ac:dyDescent="0.35">
      <c r="A19" s="229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1"/>
    </row>
    <row r="20" spans="1:18" ht="22.05" customHeight="1" thickTop="1" thickBot="1" x14ac:dyDescent="0.35">
      <c r="A20" s="202" t="s">
        <v>8</v>
      </c>
      <c r="B20" s="203"/>
      <c r="C20" s="203"/>
      <c r="D20" s="203"/>
      <c r="E20" s="203"/>
      <c r="F20" s="204"/>
      <c r="G20" s="18">
        <v>46080</v>
      </c>
      <c r="H20" s="205" t="s">
        <v>9</v>
      </c>
      <c r="I20" s="203"/>
      <c r="J20" s="203"/>
      <c r="K20" s="203"/>
      <c r="L20" s="203"/>
      <c r="M20" s="203"/>
      <c r="N20" s="203"/>
      <c r="O20" s="203"/>
      <c r="P20" s="203"/>
      <c r="Q20" s="203"/>
      <c r="R20" s="2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5">
      <c r="A22" s="126" t="s">
        <v>28</v>
      </c>
      <c r="B22" s="126" t="s">
        <v>198</v>
      </c>
      <c r="C22" s="127">
        <v>0.37847222222222232</v>
      </c>
      <c r="D22" s="126" t="s">
        <v>30</v>
      </c>
      <c r="E22" s="128"/>
      <c r="F22" s="126" t="s">
        <v>39</v>
      </c>
      <c r="G22" s="197"/>
      <c r="H22" s="119" t="s">
        <v>198</v>
      </c>
      <c r="I22" s="120">
        <v>0</v>
      </c>
      <c r="J22" s="121">
        <v>0</v>
      </c>
      <c r="K22" s="122" t="s">
        <v>40</v>
      </c>
      <c r="L22" s="121">
        <v>0</v>
      </c>
      <c r="M22" s="121">
        <v>0</v>
      </c>
      <c r="N22" s="121">
        <v>0</v>
      </c>
      <c r="O22" s="123" t="s">
        <v>191</v>
      </c>
      <c r="P22" s="124">
        <v>0.37847222222222232</v>
      </c>
      <c r="Q22" s="121">
        <v>179</v>
      </c>
      <c r="R22" s="125" t="s">
        <v>40</v>
      </c>
    </row>
    <row r="23" spans="1:18" ht="17.399999999999999" customHeight="1" thickBot="1" x14ac:dyDescent="0.35">
      <c r="A23" s="229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1"/>
    </row>
    <row r="24" spans="1:18" ht="15" thickTop="1" x14ac:dyDescent="0.3"/>
  </sheetData>
  <mergeCells count="27"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G14"/>
    <mergeCell ref="G22"/>
    <mergeCell ref="A2:F2"/>
    <mergeCell ref="A3:R3"/>
    <mergeCell ref="A8:F8"/>
    <mergeCell ref="G2:J2"/>
    <mergeCell ref="A4:F4"/>
    <mergeCell ref="A16:F16"/>
    <mergeCell ref="H8:R8"/>
    <mergeCell ref="A7:R7"/>
    <mergeCell ref="H20:R20"/>
    <mergeCell ref="H1:L1"/>
    <mergeCell ref="A1:E1"/>
    <mergeCell ref="A12:F12"/>
    <mergeCell ref="H4:R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7"/>
  <sheetViews>
    <sheetView workbookViewId="0"/>
  </sheetViews>
  <sheetFormatPr defaultRowHeight="15.6" outlineLevelCol="1" x14ac:dyDescent="0.3"/>
  <cols>
    <col min="1" max="1" width="6.88671875" style="216" bestFit="1" customWidth="1"/>
    <col min="2" max="2" width="10.109375" style="216" bestFit="1" customWidth="1"/>
    <col min="3" max="3" width="6.77734375" style="216" bestFit="1" customWidth="1"/>
    <col min="4" max="4" width="5.5546875" style="216" bestFit="1" customWidth="1"/>
    <col min="5" max="5" width="8.5546875" style="216" bestFit="1" customWidth="1"/>
    <col min="6" max="6" width="4.21875" style="216" bestFit="1" customWidth="1"/>
    <col min="7" max="7" width="8.44140625" style="216" bestFit="1" customWidth="1"/>
    <col min="8" max="10" width="7" style="216" bestFit="1" customWidth="1"/>
    <col min="11" max="11" width="10.5546875" style="216" bestFit="1" customWidth="1"/>
    <col min="12" max="12" width="18.109375" style="216" bestFit="1" customWidth="1"/>
    <col min="13" max="13" width="7.6640625" style="216" bestFit="1" customWidth="1" outlineLevel="1"/>
    <col min="14" max="14" width="6.33203125" style="216" bestFit="1" customWidth="1" outlineLevel="1"/>
    <col min="15" max="15" width="8" style="216" bestFit="1" customWidth="1" outlineLevel="1"/>
    <col min="16" max="16" width="13.6640625" style="216" bestFit="1" customWidth="1"/>
    <col min="17" max="36" width="3.88671875" style="216" bestFit="1" customWidth="1"/>
    <col min="37" max="16384" width="8.88671875" style="216"/>
  </cols>
  <sheetData>
    <row r="1" spans="1:36" x14ac:dyDescent="0.3">
      <c r="A1" s="215" t="s">
        <v>49</v>
      </c>
      <c r="B1" s="215" t="s">
        <v>50</v>
      </c>
      <c r="C1" s="215" t="s">
        <v>51</v>
      </c>
      <c r="D1" s="215" t="s">
        <v>25</v>
      </c>
      <c r="E1" s="215" t="s">
        <v>52</v>
      </c>
      <c r="F1" s="215" t="s">
        <v>53</v>
      </c>
      <c r="G1" s="215" t="s">
        <v>18</v>
      </c>
      <c r="H1" s="215" t="s">
        <v>54</v>
      </c>
      <c r="I1" s="215" t="s">
        <v>55</v>
      </c>
      <c r="J1" s="215" t="s">
        <v>56</v>
      </c>
      <c r="K1" s="215" t="s">
        <v>57</v>
      </c>
      <c r="L1" s="215" t="s">
        <v>20</v>
      </c>
      <c r="M1" s="215" t="s">
        <v>22</v>
      </c>
      <c r="N1" s="215" t="s">
        <v>23</v>
      </c>
      <c r="O1" s="215" t="s">
        <v>21</v>
      </c>
      <c r="P1" s="215" t="s">
        <v>24</v>
      </c>
      <c r="Q1" s="215" t="s">
        <v>58</v>
      </c>
      <c r="R1" s="215" t="s">
        <v>59</v>
      </c>
      <c r="S1" s="215" t="s">
        <v>60</v>
      </c>
      <c r="T1" s="215" t="s">
        <v>61</v>
      </c>
      <c r="U1" s="215" t="s">
        <v>62</v>
      </c>
      <c r="V1" s="215" t="s">
        <v>63</v>
      </c>
      <c r="W1" s="215" t="s">
        <v>64</v>
      </c>
      <c r="X1" s="215" t="s">
        <v>65</v>
      </c>
      <c r="Y1" s="215" t="s">
        <v>66</v>
      </c>
      <c r="Z1" s="215" t="s">
        <v>67</v>
      </c>
      <c r="AA1" s="215" t="s">
        <v>68</v>
      </c>
      <c r="AB1" s="215" t="s">
        <v>69</v>
      </c>
      <c r="AC1" s="215" t="s">
        <v>70</v>
      </c>
      <c r="AD1" s="215" t="s">
        <v>71</v>
      </c>
      <c r="AE1" s="215" t="s">
        <v>72</v>
      </c>
      <c r="AF1" s="215" t="s">
        <v>73</v>
      </c>
      <c r="AG1" s="215" t="s">
        <v>74</v>
      </c>
      <c r="AH1" s="215" t="s">
        <v>75</v>
      </c>
      <c r="AI1" s="215" t="s">
        <v>76</v>
      </c>
      <c r="AJ1" s="215" t="s">
        <v>77</v>
      </c>
    </row>
    <row r="2" spans="1:36" x14ac:dyDescent="0.3">
      <c r="A2" s="217" t="s">
        <v>146</v>
      </c>
      <c r="B2" s="218">
        <v>46052</v>
      </c>
      <c r="C2" s="219" t="s">
        <v>198</v>
      </c>
      <c r="D2" s="220" t="s">
        <v>200</v>
      </c>
      <c r="E2" s="219" t="s">
        <v>197</v>
      </c>
      <c r="F2" s="219" t="s">
        <v>80</v>
      </c>
      <c r="G2" s="221">
        <v>2.23E-2</v>
      </c>
      <c r="H2" s="222">
        <v>179</v>
      </c>
      <c r="I2" s="222">
        <v>4</v>
      </c>
      <c r="J2" s="222">
        <v>0</v>
      </c>
      <c r="K2" s="219" t="s">
        <v>81</v>
      </c>
      <c r="L2" s="223" t="s">
        <v>117</v>
      </c>
      <c r="M2" s="222">
        <v>0</v>
      </c>
      <c r="N2" s="222">
        <v>0</v>
      </c>
      <c r="O2" s="222">
        <v>4</v>
      </c>
      <c r="P2" s="219" t="s">
        <v>119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22" t="s">
        <v>99</v>
      </c>
      <c r="AD2" s="215"/>
      <c r="AE2" s="222" t="s">
        <v>124</v>
      </c>
      <c r="AF2" s="215"/>
      <c r="AG2" s="215"/>
      <c r="AH2" s="215"/>
      <c r="AI2" s="215"/>
      <c r="AJ2" s="215"/>
    </row>
    <row r="3" spans="1:36" x14ac:dyDescent="0.3">
      <c r="A3" s="217" t="s">
        <v>146</v>
      </c>
      <c r="B3" s="218">
        <v>46059</v>
      </c>
      <c r="C3" s="219" t="s">
        <v>198</v>
      </c>
      <c r="D3" s="220" t="s">
        <v>200</v>
      </c>
      <c r="E3" s="219" t="s">
        <v>197</v>
      </c>
      <c r="F3" s="219" t="s">
        <v>80</v>
      </c>
      <c r="G3" s="221">
        <v>0</v>
      </c>
      <c r="H3" s="222">
        <v>179</v>
      </c>
      <c r="I3" s="222">
        <v>0</v>
      </c>
      <c r="J3" s="222">
        <v>0</v>
      </c>
      <c r="K3" s="219" t="s">
        <v>81</v>
      </c>
      <c r="L3" s="223" t="s">
        <v>40</v>
      </c>
      <c r="M3" s="222">
        <v>0</v>
      </c>
      <c r="N3" s="222">
        <v>0</v>
      </c>
      <c r="O3" s="222">
        <v>0</v>
      </c>
      <c r="P3" s="219" t="s">
        <v>116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</row>
    <row r="4" spans="1:36" x14ac:dyDescent="0.3">
      <c r="A4" s="217" t="s">
        <v>146</v>
      </c>
      <c r="B4" s="218">
        <v>46066</v>
      </c>
      <c r="C4" s="219" t="s">
        <v>198</v>
      </c>
      <c r="D4" s="220" t="s">
        <v>200</v>
      </c>
      <c r="E4" s="219" t="s">
        <v>197</v>
      </c>
      <c r="F4" s="219" t="s">
        <v>80</v>
      </c>
      <c r="G4" s="221">
        <v>0</v>
      </c>
      <c r="H4" s="222">
        <v>179</v>
      </c>
      <c r="I4" s="222">
        <v>0</v>
      </c>
      <c r="J4" s="222">
        <v>0</v>
      </c>
      <c r="K4" s="219" t="s">
        <v>81</v>
      </c>
      <c r="L4" s="223" t="s">
        <v>40</v>
      </c>
      <c r="M4" s="222">
        <v>0</v>
      </c>
      <c r="N4" s="222">
        <v>0</v>
      </c>
      <c r="O4" s="222">
        <v>0</v>
      </c>
      <c r="P4" s="219" t="s">
        <v>168</v>
      </c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</row>
    <row r="5" spans="1:36" x14ac:dyDescent="0.3">
      <c r="A5" s="217" t="s">
        <v>146</v>
      </c>
      <c r="B5" s="218">
        <v>46073</v>
      </c>
      <c r="C5" s="219" t="s">
        <v>198</v>
      </c>
      <c r="D5" s="220" t="s">
        <v>200</v>
      </c>
      <c r="E5" s="219" t="s">
        <v>197</v>
      </c>
      <c r="F5" s="219" t="s">
        <v>80</v>
      </c>
      <c r="G5" s="221">
        <v>0</v>
      </c>
      <c r="H5" s="222">
        <v>179</v>
      </c>
      <c r="I5" s="222">
        <v>0</v>
      </c>
      <c r="J5" s="222">
        <v>0</v>
      </c>
      <c r="K5" s="219" t="s">
        <v>81</v>
      </c>
      <c r="L5" s="223" t="s">
        <v>40</v>
      </c>
      <c r="M5" s="222">
        <v>0</v>
      </c>
      <c r="N5" s="222">
        <v>0</v>
      </c>
      <c r="O5" s="222">
        <v>0</v>
      </c>
      <c r="P5" s="219" t="s">
        <v>191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</row>
    <row r="6" spans="1:36" x14ac:dyDescent="0.3">
      <c r="A6" s="217" t="s">
        <v>146</v>
      </c>
      <c r="B6" s="218">
        <v>46080</v>
      </c>
      <c r="C6" s="219" t="s">
        <v>198</v>
      </c>
      <c r="D6" s="220" t="s">
        <v>200</v>
      </c>
      <c r="E6" s="219" t="s">
        <v>197</v>
      </c>
      <c r="F6" s="219" t="s">
        <v>80</v>
      </c>
      <c r="G6" s="221">
        <v>0</v>
      </c>
      <c r="H6" s="222">
        <v>179</v>
      </c>
      <c r="I6" s="222">
        <v>0</v>
      </c>
      <c r="J6" s="222">
        <v>0</v>
      </c>
      <c r="K6" s="219" t="s">
        <v>81</v>
      </c>
      <c r="L6" s="223" t="s">
        <v>40</v>
      </c>
      <c r="M6" s="222">
        <v>0</v>
      </c>
      <c r="N6" s="222">
        <v>0</v>
      </c>
      <c r="O6" s="222">
        <v>0</v>
      </c>
      <c r="P6" s="219" t="s">
        <v>191</v>
      </c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</row>
    <row r="7" spans="1:36" ht="21" x14ac:dyDescent="0.3">
      <c r="A7" s="224" t="s">
        <v>217</v>
      </c>
      <c r="B7" s="225"/>
      <c r="C7" s="224">
        <f>SUBTOTAL(103,ATZ_TUU_LF_LEGACY[Flt])</f>
        <v>5</v>
      </c>
      <c r="D7" s="224"/>
      <c r="E7" s="224">
        <f>SUBTOTAL(103,ATZ_TUU_LF_LEGACY[Brd-Off])</f>
        <v>5</v>
      </c>
      <c r="F7" s="224"/>
      <c r="G7" s="226">
        <f>SUBTOTAL(101,ATZ_TUU_LF_LEGACY[LF%])</f>
        <v>4.4600000000000004E-3</v>
      </c>
      <c r="H7" s="227">
        <f>SUBTOTAL(109,ATZ_TUU_LF_LEGACY[CAP])</f>
        <v>895</v>
      </c>
      <c r="I7" s="227">
        <f>SUBTOTAL(109,ATZ_TUU_LF_LEGACY[BKG(Y)])</f>
        <v>4</v>
      </c>
      <c r="J7" s="227">
        <f>SUBTOTAL(109,ATZ_TUU_LF_LEGACY[GRP(Y)])</f>
        <v>0</v>
      </c>
      <c r="K7" s="224"/>
      <c r="L7" s="225"/>
      <c r="M7" s="227">
        <f>SUBTOTAL(109,ATZ_TUU_LF_LEGACY[TO-DAY])</f>
        <v>0</v>
      </c>
      <c r="N7" s="227">
        <f>SUBTOTAL(109,ATZ_TUU_LF_LEGACY[Y-DAY])</f>
        <v>0</v>
      </c>
      <c r="O7" s="227">
        <f>SUBTOTAL(109,ATZ_TUU_LF_LEGACY[WEEKLY])</f>
        <v>4</v>
      </c>
      <c r="P7" s="228"/>
      <c r="Q7" s="227">
        <f>SUBTOTAL(109,ATZ_TUU_LF_LEGACY[Y])</f>
        <v>0</v>
      </c>
      <c r="R7" s="227">
        <f>SUBTOTAL(109,ATZ_TUU_LF_LEGACY[B])</f>
        <v>0</v>
      </c>
      <c r="S7" s="227">
        <f>SUBTOTAL(109,ATZ_TUU_LF_LEGACY[M])</f>
        <v>0</v>
      </c>
      <c r="T7" s="227">
        <f>SUBTOTAL(109,ATZ_TUU_LF_LEGACY[H])</f>
        <v>0</v>
      </c>
      <c r="U7" s="227">
        <f>SUBTOTAL(109,ATZ_TUU_LF_LEGACY[Q])</f>
        <v>0</v>
      </c>
      <c r="V7" s="227">
        <f>SUBTOTAL(109,ATZ_TUU_LF_LEGACY[K])</f>
        <v>0</v>
      </c>
      <c r="W7" s="227">
        <f>SUBTOTAL(109,ATZ_TUU_LF_LEGACY[V])</f>
        <v>0</v>
      </c>
      <c r="X7" s="227">
        <f>SUBTOTAL(109,ATZ_TUU_LF_LEGACY[L])</f>
        <v>0</v>
      </c>
      <c r="Y7" s="227">
        <f>SUBTOTAL(109,ATZ_TUU_LF_LEGACY[G])</f>
        <v>0</v>
      </c>
      <c r="Z7" s="227">
        <f>SUBTOTAL(109,ATZ_TUU_LF_LEGACY[S])</f>
        <v>0</v>
      </c>
      <c r="AA7" s="227">
        <f>SUBTOTAL(109,ATZ_TUU_LF_LEGACY[W])</f>
        <v>0</v>
      </c>
      <c r="AB7" s="227">
        <f>SUBTOTAL(109,ATZ_TUU_LF_LEGACY[T])</f>
        <v>0</v>
      </c>
      <c r="AC7" s="227">
        <f>SUBTOTAL(109,ATZ_TUU_LF_LEGACY[X])</f>
        <v>0</v>
      </c>
      <c r="AD7" s="227">
        <f>SUBTOTAL(109,ATZ_TUU_LF_LEGACY[U])</f>
        <v>0</v>
      </c>
      <c r="AE7" s="227">
        <f>SUBTOTAL(109,ATZ_TUU_LF_LEGACY[O])</f>
        <v>0</v>
      </c>
      <c r="AF7" s="227">
        <f>SUBTOTAL(109,ATZ_TUU_LF_LEGACY[I])</f>
        <v>0</v>
      </c>
      <c r="AG7" s="227">
        <f>SUBTOTAL(109,ATZ_TUU_LF_LEGACY[E])</f>
        <v>0</v>
      </c>
      <c r="AH7" s="227">
        <f>SUBTOTAL(109,ATZ_TUU_LF_LEGACY[A])</f>
        <v>0</v>
      </c>
      <c r="AI7" s="227">
        <f>SUBTOTAL(109,ATZ_TUU_LF_LEGACY[P])</f>
        <v>0</v>
      </c>
      <c r="AJ7" s="227">
        <f>SUBTOTAL(103,ATZ_TUU_LF_LEGACY[N])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2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0.55468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00" t="s">
        <v>0</v>
      </c>
      <c r="B1" s="199"/>
      <c r="C1" s="199"/>
      <c r="D1" s="199"/>
      <c r="E1" s="199"/>
      <c r="F1" s="1" t="s">
        <v>201</v>
      </c>
      <c r="G1" s="2" t="s">
        <v>2</v>
      </c>
      <c r="H1" s="198" t="s">
        <v>3</v>
      </c>
      <c r="I1" s="199"/>
      <c r="J1" s="199"/>
      <c r="K1" s="199"/>
      <c r="L1" s="199"/>
      <c r="M1" s="1" t="s">
        <v>4</v>
      </c>
      <c r="N1" s="208" t="s">
        <v>5</v>
      </c>
      <c r="O1" s="199"/>
      <c r="P1" s="199"/>
      <c r="Q1" s="199"/>
      <c r="R1" s="1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6" t="s">
        <v>6</v>
      </c>
      <c r="B2" s="199"/>
      <c r="C2" s="199"/>
      <c r="D2" s="199"/>
      <c r="E2" s="199"/>
      <c r="F2" s="199"/>
      <c r="G2" s="207">
        <v>45984.112456976283</v>
      </c>
      <c r="H2" s="199"/>
      <c r="I2" s="199"/>
      <c r="J2" s="199"/>
      <c r="K2" s="209">
        <v>45984.112456976713</v>
      </c>
      <c r="L2" s="199"/>
      <c r="M2" s="199"/>
      <c r="N2" s="199"/>
      <c r="O2" s="199"/>
      <c r="P2" s="199"/>
      <c r="Q2" s="199"/>
      <c r="R2" s="1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2" t="s">
        <v>8</v>
      </c>
      <c r="B4" s="203"/>
      <c r="C4" s="203"/>
      <c r="D4" s="203"/>
      <c r="E4" s="203"/>
      <c r="F4" s="204"/>
      <c r="G4" s="4">
        <v>46052</v>
      </c>
      <c r="H4" s="210" t="s">
        <v>9</v>
      </c>
      <c r="I4" s="203"/>
      <c r="J4" s="203"/>
      <c r="K4" s="203"/>
      <c r="L4" s="203"/>
      <c r="M4" s="203"/>
      <c r="N4" s="203"/>
      <c r="O4" s="203"/>
      <c r="P4" s="203"/>
      <c r="Q4" s="203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36" t="s">
        <v>28</v>
      </c>
      <c r="B6" s="36" t="s">
        <v>202</v>
      </c>
      <c r="C6" s="37">
        <v>0.47916666666666669</v>
      </c>
      <c r="D6" s="36" t="s">
        <v>30</v>
      </c>
      <c r="E6" s="38"/>
      <c r="F6" s="36" t="s">
        <v>39</v>
      </c>
      <c r="G6" s="197"/>
      <c r="H6" s="39" t="s">
        <v>202</v>
      </c>
      <c r="I6" s="40">
        <v>0</v>
      </c>
      <c r="J6" s="41">
        <v>0</v>
      </c>
      <c r="K6" s="42" t="s">
        <v>40</v>
      </c>
      <c r="L6" s="41">
        <v>0</v>
      </c>
      <c r="M6" s="41">
        <v>0</v>
      </c>
      <c r="N6" s="41">
        <v>0</v>
      </c>
      <c r="O6" s="43" t="s">
        <v>116</v>
      </c>
      <c r="P6" s="44">
        <v>0.47916666666666669</v>
      </c>
      <c r="Q6" s="41">
        <v>179</v>
      </c>
      <c r="R6" s="45" t="s">
        <v>40</v>
      </c>
    </row>
    <row r="7" spans="1:92" ht="17.399999999999999" customHeight="1" thickBot="1" x14ac:dyDescent="0.35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92" ht="22.05" customHeight="1" thickTop="1" thickBot="1" x14ac:dyDescent="0.35">
      <c r="A8" s="202" t="s">
        <v>8</v>
      </c>
      <c r="B8" s="203"/>
      <c r="C8" s="203"/>
      <c r="D8" s="203"/>
      <c r="E8" s="203"/>
      <c r="F8" s="204"/>
      <c r="G8" s="18">
        <v>46059</v>
      </c>
      <c r="H8" s="205" t="s">
        <v>9</v>
      </c>
      <c r="I8" s="203"/>
      <c r="J8" s="203"/>
      <c r="K8" s="203"/>
      <c r="L8" s="203"/>
      <c r="M8" s="203"/>
      <c r="N8" s="203"/>
      <c r="O8" s="203"/>
      <c r="P8" s="203"/>
      <c r="Q8" s="203"/>
      <c r="R8" s="2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6" t="s">
        <v>28</v>
      </c>
      <c r="B10" s="56" t="s">
        <v>202</v>
      </c>
      <c r="C10" s="57">
        <v>0.47916666666666669</v>
      </c>
      <c r="D10" s="56" t="s">
        <v>30</v>
      </c>
      <c r="E10" s="58"/>
      <c r="F10" s="56" t="s">
        <v>31</v>
      </c>
      <c r="G10" s="201"/>
      <c r="H10" s="59" t="s">
        <v>202</v>
      </c>
      <c r="I10" s="60">
        <v>5.5999999999999999E-3</v>
      </c>
      <c r="J10" s="61">
        <v>1</v>
      </c>
      <c r="K10" s="62" t="s">
        <v>203</v>
      </c>
      <c r="L10" s="61">
        <v>1</v>
      </c>
      <c r="M10" s="61">
        <v>0</v>
      </c>
      <c r="N10" s="61">
        <v>0</v>
      </c>
      <c r="O10" s="63" t="s">
        <v>115</v>
      </c>
      <c r="P10" s="64">
        <v>0.47916666666666669</v>
      </c>
      <c r="Q10" s="61">
        <v>179</v>
      </c>
      <c r="R10" s="65" t="s">
        <v>119</v>
      </c>
    </row>
    <row r="11" spans="1:92" ht="17.399999999999999" customHeight="1" thickBot="1" x14ac:dyDescent="0.35">
      <c r="A11" s="229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1"/>
    </row>
    <row r="12" spans="1:92" ht="22.05" customHeight="1" thickTop="1" thickBot="1" x14ac:dyDescent="0.35">
      <c r="A12" s="202" t="s">
        <v>8</v>
      </c>
      <c r="B12" s="203"/>
      <c r="C12" s="203"/>
      <c r="D12" s="203"/>
      <c r="E12" s="203"/>
      <c r="F12" s="204"/>
      <c r="G12" s="18">
        <v>46066</v>
      </c>
      <c r="H12" s="205" t="s">
        <v>9</v>
      </c>
      <c r="I12" s="203"/>
      <c r="J12" s="203"/>
      <c r="K12" s="203"/>
      <c r="L12" s="203"/>
      <c r="M12" s="203"/>
      <c r="N12" s="203"/>
      <c r="O12" s="203"/>
      <c r="P12" s="203"/>
      <c r="Q12" s="203"/>
      <c r="R12" s="2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66" t="s">
        <v>28</v>
      </c>
      <c r="B14" s="66" t="s">
        <v>202</v>
      </c>
      <c r="C14" s="67">
        <v>0.47916666666666669</v>
      </c>
      <c r="D14" s="66" t="s">
        <v>30</v>
      </c>
      <c r="E14" s="68"/>
      <c r="F14" s="66" t="s">
        <v>39</v>
      </c>
      <c r="G14" s="201"/>
      <c r="H14" s="69" t="s">
        <v>202</v>
      </c>
      <c r="I14" s="70">
        <v>0</v>
      </c>
      <c r="J14" s="71">
        <v>0</v>
      </c>
      <c r="K14" s="72" t="s">
        <v>40</v>
      </c>
      <c r="L14" s="71">
        <v>0</v>
      </c>
      <c r="M14" s="71">
        <v>0</v>
      </c>
      <c r="N14" s="71">
        <v>0</v>
      </c>
      <c r="O14" s="73" t="s">
        <v>168</v>
      </c>
      <c r="P14" s="74">
        <v>0.47916666666666669</v>
      </c>
      <c r="Q14" s="71">
        <v>179</v>
      </c>
      <c r="R14" s="75" t="s">
        <v>40</v>
      </c>
    </row>
    <row r="15" spans="1:92" ht="17.399999999999999" customHeight="1" thickBot="1" x14ac:dyDescent="0.35">
      <c r="A15" s="229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</row>
    <row r="16" spans="1:92" ht="22.05" customHeight="1" thickTop="1" thickBot="1" x14ac:dyDescent="0.35">
      <c r="A16" s="202" t="s">
        <v>8</v>
      </c>
      <c r="B16" s="203"/>
      <c r="C16" s="203"/>
      <c r="D16" s="203"/>
      <c r="E16" s="203"/>
      <c r="F16" s="204"/>
      <c r="G16" s="18">
        <v>46073</v>
      </c>
      <c r="H16" s="205" t="s">
        <v>9</v>
      </c>
      <c r="I16" s="203"/>
      <c r="J16" s="203"/>
      <c r="K16" s="203"/>
      <c r="L16" s="203"/>
      <c r="M16" s="203"/>
      <c r="N16" s="203"/>
      <c r="O16" s="203"/>
      <c r="P16" s="203"/>
      <c r="Q16" s="203"/>
      <c r="R16" s="2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158" t="s">
        <v>28</v>
      </c>
      <c r="B18" s="158" t="s">
        <v>202</v>
      </c>
      <c r="C18" s="159">
        <v>0.47916666666666669</v>
      </c>
      <c r="D18" s="158" t="s">
        <v>30</v>
      </c>
      <c r="E18" s="160"/>
      <c r="F18" s="158" t="s">
        <v>39</v>
      </c>
      <c r="G18" s="201"/>
      <c r="H18" s="174" t="s">
        <v>202</v>
      </c>
      <c r="I18" s="175">
        <v>0</v>
      </c>
      <c r="J18" s="176">
        <v>0</v>
      </c>
      <c r="K18" s="177" t="s">
        <v>40</v>
      </c>
      <c r="L18" s="176">
        <v>0</v>
      </c>
      <c r="M18" s="176">
        <v>0</v>
      </c>
      <c r="N18" s="176">
        <v>0</v>
      </c>
      <c r="O18" s="178" t="s">
        <v>191</v>
      </c>
      <c r="P18" s="179">
        <v>0.47916666666666669</v>
      </c>
      <c r="Q18" s="176">
        <v>179</v>
      </c>
      <c r="R18" s="180" t="s">
        <v>40</v>
      </c>
    </row>
    <row r="19" spans="1:18" ht="17.399999999999999" customHeight="1" thickBot="1" x14ac:dyDescent="0.35">
      <c r="A19" s="229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1"/>
    </row>
    <row r="20" spans="1:18" ht="22.05" customHeight="1" thickTop="1" thickBot="1" x14ac:dyDescent="0.35">
      <c r="A20" s="202" t="s">
        <v>8</v>
      </c>
      <c r="B20" s="203"/>
      <c r="C20" s="203"/>
      <c r="D20" s="203"/>
      <c r="E20" s="203"/>
      <c r="F20" s="204"/>
      <c r="G20" s="18">
        <v>46080</v>
      </c>
      <c r="H20" s="205" t="s">
        <v>9</v>
      </c>
      <c r="I20" s="203"/>
      <c r="J20" s="203"/>
      <c r="K20" s="203"/>
      <c r="L20" s="203"/>
      <c r="M20" s="203"/>
      <c r="N20" s="203"/>
      <c r="O20" s="203"/>
      <c r="P20" s="203"/>
      <c r="Q20" s="203"/>
      <c r="R20" s="2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5">
      <c r="A22" s="56" t="s">
        <v>28</v>
      </c>
      <c r="B22" s="56" t="s">
        <v>202</v>
      </c>
      <c r="C22" s="57">
        <v>0.47916666666666669</v>
      </c>
      <c r="D22" s="56" t="s">
        <v>30</v>
      </c>
      <c r="E22" s="58"/>
      <c r="F22" s="56" t="s">
        <v>31</v>
      </c>
      <c r="G22" s="197"/>
      <c r="H22" s="59" t="s">
        <v>202</v>
      </c>
      <c r="I22" s="60">
        <v>5.5999999999999999E-3</v>
      </c>
      <c r="J22" s="61">
        <v>1</v>
      </c>
      <c r="K22" s="62" t="s">
        <v>102</v>
      </c>
      <c r="L22" s="61">
        <v>1</v>
      </c>
      <c r="M22" s="61">
        <v>0</v>
      </c>
      <c r="N22" s="61">
        <v>0</v>
      </c>
      <c r="O22" s="63" t="s">
        <v>190</v>
      </c>
      <c r="P22" s="64">
        <v>0.47916666666666669</v>
      </c>
      <c r="Q22" s="61">
        <v>179</v>
      </c>
      <c r="R22" s="65" t="s">
        <v>172</v>
      </c>
    </row>
    <row r="23" spans="1:18" ht="17.399999999999999" customHeight="1" thickBot="1" x14ac:dyDescent="0.35">
      <c r="A23" s="229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1"/>
    </row>
    <row r="24" spans="1:18" ht="15" thickTop="1" x14ac:dyDescent="0.3"/>
  </sheetData>
  <mergeCells count="27"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G14"/>
    <mergeCell ref="G22"/>
    <mergeCell ref="A2:F2"/>
    <mergeCell ref="A3:R3"/>
    <mergeCell ref="A8:F8"/>
    <mergeCell ref="G2:J2"/>
    <mergeCell ref="A4:F4"/>
    <mergeCell ref="A16:F16"/>
    <mergeCell ref="H8:R8"/>
    <mergeCell ref="A7:R7"/>
    <mergeCell ref="H20:R20"/>
    <mergeCell ref="H1:L1"/>
    <mergeCell ref="A1:E1"/>
    <mergeCell ref="A12:F12"/>
    <mergeCell ref="H4:R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7"/>
  <sheetViews>
    <sheetView workbookViewId="0"/>
  </sheetViews>
  <sheetFormatPr defaultRowHeight="15.6" outlineLevelCol="1" x14ac:dyDescent="0.3"/>
  <cols>
    <col min="1" max="1" width="6.88671875" style="216" bestFit="1" customWidth="1"/>
    <col min="2" max="2" width="10.109375" style="216" bestFit="1" customWidth="1"/>
    <col min="3" max="3" width="6.77734375" style="216" bestFit="1" customWidth="1"/>
    <col min="4" max="4" width="5.5546875" style="216" bestFit="1" customWidth="1"/>
    <col min="5" max="5" width="7.5546875" style="216" bestFit="1" customWidth="1"/>
    <col min="6" max="6" width="4.21875" style="216" bestFit="1" customWidth="1"/>
    <col min="7" max="7" width="8.44140625" style="216" bestFit="1" customWidth="1"/>
    <col min="8" max="10" width="7" style="216" bestFit="1" customWidth="1"/>
    <col min="11" max="11" width="10.5546875" style="216" bestFit="1" customWidth="1"/>
    <col min="12" max="12" width="18.109375" style="216" bestFit="1" customWidth="1"/>
    <col min="13" max="13" width="7.6640625" style="216" bestFit="1" customWidth="1" outlineLevel="1"/>
    <col min="14" max="14" width="6.33203125" style="216" bestFit="1" customWidth="1" outlineLevel="1"/>
    <col min="15" max="15" width="8" style="216" bestFit="1" customWidth="1" outlineLevel="1"/>
    <col min="16" max="16" width="13.6640625" style="216" bestFit="1" customWidth="1"/>
    <col min="17" max="36" width="3.88671875" style="216" bestFit="1" customWidth="1"/>
    <col min="37" max="16384" width="8.88671875" style="216"/>
  </cols>
  <sheetData>
    <row r="1" spans="1:36" x14ac:dyDescent="0.3">
      <c r="A1" s="215" t="s">
        <v>49</v>
      </c>
      <c r="B1" s="215" t="s">
        <v>50</v>
      </c>
      <c r="C1" s="215" t="s">
        <v>51</v>
      </c>
      <c r="D1" s="215" t="s">
        <v>25</v>
      </c>
      <c r="E1" s="215" t="s">
        <v>52</v>
      </c>
      <c r="F1" s="215" t="s">
        <v>53</v>
      </c>
      <c r="G1" s="215" t="s">
        <v>18</v>
      </c>
      <c r="H1" s="215" t="s">
        <v>54</v>
      </c>
      <c r="I1" s="215" t="s">
        <v>55</v>
      </c>
      <c r="J1" s="215" t="s">
        <v>56</v>
      </c>
      <c r="K1" s="215" t="s">
        <v>57</v>
      </c>
      <c r="L1" s="215" t="s">
        <v>20</v>
      </c>
      <c r="M1" s="215" t="s">
        <v>22</v>
      </c>
      <c r="N1" s="215" t="s">
        <v>23</v>
      </c>
      <c r="O1" s="215" t="s">
        <v>21</v>
      </c>
      <c r="P1" s="215" t="s">
        <v>24</v>
      </c>
      <c r="Q1" s="215" t="s">
        <v>58</v>
      </c>
      <c r="R1" s="215" t="s">
        <v>59</v>
      </c>
      <c r="S1" s="215" t="s">
        <v>60</v>
      </c>
      <c r="T1" s="215" t="s">
        <v>61</v>
      </c>
      <c r="U1" s="215" t="s">
        <v>62</v>
      </c>
      <c r="V1" s="215" t="s">
        <v>63</v>
      </c>
      <c r="W1" s="215" t="s">
        <v>64</v>
      </c>
      <c r="X1" s="215" t="s">
        <v>65</v>
      </c>
      <c r="Y1" s="215" t="s">
        <v>66</v>
      </c>
      <c r="Z1" s="215" t="s">
        <v>67</v>
      </c>
      <c r="AA1" s="215" t="s">
        <v>68</v>
      </c>
      <c r="AB1" s="215" t="s">
        <v>69</v>
      </c>
      <c r="AC1" s="215" t="s">
        <v>70</v>
      </c>
      <c r="AD1" s="215" t="s">
        <v>71</v>
      </c>
      <c r="AE1" s="215" t="s">
        <v>72</v>
      </c>
      <c r="AF1" s="215" t="s">
        <v>73</v>
      </c>
      <c r="AG1" s="215" t="s">
        <v>74</v>
      </c>
      <c r="AH1" s="215" t="s">
        <v>75</v>
      </c>
      <c r="AI1" s="215" t="s">
        <v>76</v>
      </c>
      <c r="AJ1" s="215" t="s">
        <v>77</v>
      </c>
    </row>
    <row r="2" spans="1:36" x14ac:dyDescent="0.3">
      <c r="A2" s="217" t="s">
        <v>146</v>
      </c>
      <c r="B2" s="218">
        <v>46052</v>
      </c>
      <c r="C2" s="219" t="s">
        <v>202</v>
      </c>
      <c r="D2" s="220" t="s">
        <v>204</v>
      </c>
      <c r="E2" s="219" t="s">
        <v>201</v>
      </c>
      <c r="F2" s="219" t="s">
        <v>80</v>
      </c>
      <c r="G2" s="221">
        <v>0</v>
      </c>
      <c r="H2" s="222">
        <v>179</v>
      </c>
      <c r="I2" s="222">
        <v>0</v>
      </c>
      <c r="J2" s="222">
        <v>0</v>
      </c>
      <c r="K2" s="219" t="s">
        <v>81</v>
      </c>
      <c r="L2" s="223" t="s">
        <v>40</v>
      </c>
      <c r="M2" s="222">
        <v>0</v>
      </c>
      <c r="N2" s="222">
        <v>0</v>
      </c>
      <c r="O2" s="222">
        <v>0</v>
      </c>
      <c r="P2" s="219" t="s">
        <v>116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</row>
    <row r="3" spans="1:36" x14ac:dyDescent="0.3">
      <c r="A3" s="217" t="s">
        <v>146</v>
      </c>
      <c r="B3" s="218">
        <v>46059</v>
      </c>
      <c r="C3" s="219" t="s">
        <v>202</v>
      </c>
      <c r="D3" s="220" t="s">
        <v>204</v>
      </c>
      <c r="E3" s="219" t="s">
        <v>201</v>
      </c>
      <c r="F3" s="219" t="s">
        <v>80</v>
      </c>
      <c r="G3" s="221">
        <v>5.5999999999999999E-3</v>
      </c>
      <c r="H3" s="222">
        <v>179</v>
      </c>
      <c r="I3" s="222">
        <v>1</v>
      </c>
      <c r="J3" s="222">
        <v>0</v>
      </c>
      <c r="K3" s="219" t="s">
        <v>81</v>
      </c>
      <c r="L3" s="223" t="s">
        <v>203</v>
      </c>
      <c r="M3" s="222">
        <v>0</v>
      </c>
      <c r="N3" s="222">
        <v>0</v>
      </c>
      <c r="O3" s="222">
        <v>1</v>
      </c>
      <c r="P3" s="219" t="s">
        <v>115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22" t="s">
        <v>119</v>
      </c>
      <c r="AF3" s="215"/>
      <c r="AG3" s="215"/>
      <c r="AH3" s="215"/>
      <c r="AI3" s="215"/>
      <c r="AJ3" s="215"/>
    </row>
    <row r="4" spans="1:36" x14ac:dyDescent="0.3">
      <c r="A4" s="217" t="s">
        <v>146</v>
      </c>
      <c r="B4" s="218">
        <v>46066</v>
      </c>
      <c r="C4" s="219" t="s">
        <v>202</v>
      </c>
      <c r="D4" s="220" t="s">
        <v>204</v>
      </c>
      <c r="E4" s="219" t="s">
        <v>201</v>
      </c>
      <c r="F4" s="219" t="s">
        <v>80</v>
      </c>
      <c r="G4" s="221">
        <v>0</v>
      </c>
      <c r="H4" s="222">
        <v>179</v>
      </c>
      <c r="I4" s="222">
        <v>0</v>
      </c>
      <c r="J4" s="222">
        <v>0</v>
      </c>
      <c r="K4" s="219" t="s">
        <v>81</v>
      </c>
      <c r="L4" s="223" t="s">
        <v>40</v>
      </c>
      <c r="M4" s="222">
        <v>0</v>
      </c>
      <c r="N4" s="222">
        <v>0</v>
      </c>
      <c r="O4" s="222">
        <v>0</v>
      </c>
      <c r="P4" s="219" t="s">
        <v>168</v>
      </c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</row>
    <row r="5" spans="1:36" x14ac:dyDescent="0.3">
      <c r="A5" s="217" t="s">
        <v>146</v>
      </c>
      <c r="B5" s="218">
        <v>46073</v>
      </c>
      <c r="C5" s="219" t="s">
        <v>202</v>
      </c>
      <c r="D5" s="220" t="s">
        <v>204</v>
      </c>
      <c r="E5" s="219" t="s">
        <v>201</v>
      </c>
      <c r="F5" s="219" t="s">
        <v>80</v>
      </c>
      <c r="G5" s="221">
        <v>0</v>
      </c>
      <c r="H5" s="222">
        <v>179</v>
      </c>
      <c r="I5" s="222">
        <v>0</v>
      </c>
      <c r="J5" s="222">
        <v>0</v>
      </c>
      <c r="K5" s="219" t="s">
        <v>81</v>
      </c>
      <c r="L5" s="223" t="s">
        <v>40</v>
      </c>
      <c r="M5" s="222">
        <v>0</v>
      </c>
      <c r="N5" s="222">
        <v>0</v>
      </c>
      <c r="O5" s="222">
        <v>0</v>
      </c>
      <c r="P5" s="219" t="s">
        <v>191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</row>
    <row r="6" spans="1:36" x14ac:dyDescent="0.3">
      <c r="A6" s="217" t="s">
        <v>146</v>
      </c>
      <c r="B6" s="218">
        <v>46080</v>
      </c>
      <c r="C6" s="219" t="s">
        <v>202</v>
      </c>
      <c r="D6" s="220" t="s">
        <v>204</v>
      </c>
      <c r="E6" s="219" t="s">
        <v>201</v>
      </c>
      <c r="F6" s="219" t="s">
        <v>80</v>
      </c>
      <c r="G6" s="221">
        <v>5.5999999999999999E-3</v>
      </c>
      <c r="H6" s="222">
        <v>179</v>
      </c>
      <c r="I6" s="222">
        <v>1</v>
      </c>
      <c r="J6" s="222">
        <v>0</v>
      </c>
      <c r="K6" s="219" t="s">
        <v>81</v>
      </c>
      <c r="L6" s="223" t="s">
        <v>102</v>
      </c>
      <c r="M6" s="222">
        <v>0</v>
      </c>
      <c r="N6" s="222">
        <v>0</v>
      </c>
      <c r="O6" s="222">
        <v>1</v>
      </c>
      <c r="P6" s="219" t="s">
        <v>190</v>
      </c>
      <c r="Q6" s="215"/>
      <c r="R6" s="215"/>
      <c r="S6" s="215"/>
      <c r="T6" s="215"/>
      <c r="U6" s="215"/>
      <c r="V6" s="215"/>
      <c r="W6" s="215"/>
      <c r="X6" s="215"/>
      <c r="Y6" s="222" t="s">
        <v>172</v>
      </c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</row>
    <row r="7" spans="1:36" ht="21" x14ac:dyDescent="0.3">
      <c r="A7" s="224" t="s">
        <v>217</v>
      </c>
      <c r="B7" s="225"/>
      <c r="C7" s="224">
        <f>SUBTOTAL(103,ATZ_AJF_LF_LEGACY[Flt])</f>
        <v>5</v>
      </c>
      <c r="D7" s="224"/>
      <c r="E7" s="224">
        <f>SUBTOTAL(103,ATZ_AJF_LF_LEGACY[Brd-Off])</f>
        <v>5</v>
      </c>
      <c r="F7" s="224"/>
      <c r="G7" s="226">
        <f>SUBTOTAL(101,ATZ_AJF_LF_LEGACY[LF%])</f>
        <v>2.2399999999999998E-3</v>
      </c>
      <c r="H7" s="227">
        <f>SUBTOTAL(109,ATZ_AJF_LF_LEGACY[CAP])</f>
        <v>895</v>
      </c>
      <c r="I7" s="227">
        <f>SUBTOTAL(109,ATZ_AJF_LF_LEGACY[BKG(Y)])</f>
        <v>2</v>
      </c>
      <c r="J7" s="227">
        <f>SUBTOTAL(109,ATZ_AJF_LF_LEGACY[GRP(Y)])</f>
        <v>0</v>
      </c>
      <c r="K7" s="224"/>
      <c r="L7" s="225"/>
      <c r="M7" s="227">
        <f>SUBTOTAL(109,ATZ_AJF_LF_LEGACY[TO-DAY])</f>
        <v>0</v>
      </c>
      <c r="N7" s="227">
        <f>SUBTOTAL(109,ATZ_AJF_LF_LEGACY[Y-DAY])</f>
        <v>0</v>
      </c>
      <c r="O7" s="227">
        <f>SUBTOTAL(109,ATZ_AJF_LF_LEGACY[WEEKLY])</f>
        <v>2</v>
      </c>
      <c r="P7" s="228"/>
      <c r="Q7" s="227">
        <f>SUBTOTAL(109,ATZ_AJF_LF_LEGACY[Y])</f>
        <v>0</v>
      </c>
      <c r="R7" s="227">
        <f>SUBTOTAL(109,ATZ_AJF_LF_LEGACY[B])</f>
        <v>0</v>
      </c>
      <c r="S7" s="227">
        <f>SUBTOTAL(109,ATZ_AJF_LF_LEGACY[M])</f>
        <v>0</v>
      </c>
      <c r="T7" s="227">
        <f>SUBTOTAL(109,ATZ_AJF_LF_LEGACY[H])</f>
        <v>0</v>
      </c>
      <c r="U7" s="227">
        <f>SUBTOTAL(109,ATZ_AJF_LF_LEGACY[Q])</f>
        <v>0</v>
      </c>
      <c r="V7" s="227">
        <f>SUBTOTAL(109,ATZ_AJF_LF_LEGACY[K])</f>
        <v>0</v>
      </c>
      <c r="W7" s="227">
        <f>SUBTOTAL(109,ATZ_AJF_LF_LEGACY[V])</f>
        <v>0</v>
      </c>
      <c r="X7" s="227">
        <f>SUBTOTAL(109,ATZ_AJF_LF_LEGACY[L])</f>
        <v>0</v>
      </c>
      <c r="Y7" s="227">
        <f>SUBTOTAL(109,ATZ_AJF_LF_LEGACY[G])</f>
        <v>0</v>
      </c>
      <c r="Z7" s="227">
        <f>SUBTOTAL(109,ATZ_AJF_LF_LEGACY[S])</f>
        <v>0</v>
      </c>
      <c r="AA7" s="227">
        <f>SUBTOTAL(109,ATZ_AJF_LF_LEGACY[W])</f>
        <v>0</v>
      </c>
      <c r="AB7" s="227">
        <f>SUBTOTAL(109,ATZ_AJF_LF_LEGACY[T])</f>
        <v>0</v>
      </c>
      <c r="AC7" s="227">
        <f>SUBTOTAL(109,ATZ_AJF_LF_LEGACY[X])</f>
        <v>0</v>
      </c>
      <c r="AD7" s="227">
        <f>SUBTOTAL(109,ATZ_AJF_LF_LEGACY[U])</f>
        <v>0</v>
      </c>
      <c r="AE7" s="227">
        <f>SUBTOTAL(109,ATZ_AJF_LF_LEGACY[O])</f>
        <v>0</v>
      </c>
      <c r="AF7" s="227">
        <f>SUBTOTAL(109,ATZ_AJF_LF_LEGACY[I])</f>
        <v>0</v>
      </c>
      <c r="AG7" s="227">
        <f>SUBTOTAL(109,ATZ_AJF_LF_LEGACY[E])</f>
        <v>0</v>
      </c>
      <c r="AH7" s="227">
        <f>SUBTOTAL(109,ATZ_AJF_LF_LEGACY[A])</f>
        <v>0</v>
      </c>
      <c r="AI7" s="227">
        <f>SUBTOTAL(109,ATZ_AJF_LF_LEGACY[P])</f>
        <v>0</v>
      </c>
      <c r="AJ7" s="227">
        <f>SUBTOTAL(103,ATZ_AJF_LF_LEGACY[N])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2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0.55468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1" bestFit="1" customWidth="1"/>
  </cols>
  <sheetData>
    <row r="1" spans="1:92" ht="28.8" customHeight="1" x14ac:dyDescent="0.3">
      <c r="A1" s="200" t="s">
        <v>0</v>
      </c>
      <c r="B1" s="199"/>
      <c r="C1" s="199"/>
      <c r="D1" s="199"/>
      <c r="E1" s="199"/>
      <c r="F1" s="1" t="s">
        <v>205</v>
      </c>
      <c r="G1" s="2" t="s">
        <v>2</v>
      </c>
      <c r="H1" s="198" t="s">
        <v>3</v>
      </c>
      <c r="I1" s="199"/>
      <c r="J1" s="199"/>
      <c r="K1" s="199"/>
      <c r="L1" s="199"/>
      <c r="M1" s="1" t="s">
        <v>4</v>
      </c>
      <c r="N1" s="208" t="s">
        <v>5</v>
      </c>
      <c r="O1" s="199"/>
      <c r="P1" s="199"/>
      <c r="Q1" s="199"/>
      <c r="R1" s="1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6" t="s">
        <v>6</v>
      </c>
      <c r="B2" s="199"/>
      <c r="C2" s="199"/>
      <c r="D2" s="199"/>
      <c r="E2" s="199"/>
      <c r="F2" s="199"/>
      <c r="G2" s="207">
        <v>45984.112464653139</v>
      </c>
      <c r="H2" s="199"/>
      <c r="I2" s="199"/>
      <c r="J2" s="199"/>
      <c r="K2" s="209">
        <v>45984.11246465367</v>
      </c>
      <c r="L2" s="199"/>
      <c r="M2" s="199"/>
      <c r="N2" s="199"/>
      <c r="O2" s="199"/>
      <c r="P2" s="199"/>
      <c r="Q2" s="199"/>
      <c r="R2" s="1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2" t="s">
        <v>8</v>
      </c>
      <c r="B4" s="203"/>
      <c r="C4" s="203"/>
      <c r="D4" s="203"/>
      <c r="E4" s="203"/>
      <c r="F4" s="204"/>
      <c r="G4" s="4">
        <v>46052</v>
      </c>
      <c r="H4" s="210" t="s">
        <v>9</v>
      </c>
      <c r="I4" s="203"/>
      <c r="J4" s="203"/>
      <c r="K4" s="203"/>
      <c r="L4" s="203"/>
      <c r="M4" s="203"/>
      <c r="N4" s="203"/>
      <c r="O4" s="203"/>
      <c r="P4" s="203"/>
      <c r="Q4" s="203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206</v>
      </c>
      <c r="C6" s="9">
        <v>0.58333333333333337</v>
      </c>
      <c r="D6" s="8" t="s">
        <v>30</v>
      </c>
      <c r="E6" s="10"/>
      <c r="F6" s="8" t="s">
        <v>31</v>
      </c>
      <c r="G6" s="197"/>
      <c r="H6" s="11" t="s">
        <v>206</v>
      </c>
      <c r="I6" s="12">
        <v>2.7900000000000001E-2</v>
      </c>
      <c r="J6" s="13">
        <v>5</v>
      </c>
      <c r="K6" s="14" t="s">
        <v>36</v>
      </c>
      <c r="L6" s="13">
        <v>5</v>
      </c>
      <c r="M6" s="13">
        <v>0</v>
      </c>
      <c r="N6" s="13">
        <v>0</v>
      </c>
      <c r="O6" s="15" t="s">
        <v>182</v>
      </c>
      <c r="P6" s="16">
        <v>0.58333333333333337</v>
      </c>
      <c r="Q6" s="13">
        <v>179</v>
      </c>
      <c r="R6" s="17" t="s">
        <v>116</v>
      </c>
    </row>
    <row r="7" spans="1:92" ht="17.399999999999999" customHeight="1" thickBot="1" x14ac:dyDescent="0.35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92" ht="22.05" customHeight="1" thickTop="1" thickBot="1" x14ac:dyDescent="0.35">
      <c r="A8" s="202" t="s">
        <v>8</v>
      </c>
      <c r="B8" s="203"/>
      <c r="C8" s="203"/>
      <c r="D8" s="203"/>
      <c r="E8" s="203"/>
      <c r="F8" s="204"/>
      <c r="G8" s="18">
        <v>46059</v>
      </c>
      <c r="H8" s="205" t="s">
        <v>9</v>
      </c>
      <c r="I8" s="203"/>
      <c r="J8" s="203"/>
      <c r="K8" s="203"/>
      <c r="L8" s="203"/>
      <c r="M8" s="203"/>
      <c r="N8" s="203"/>
      <c r="O8" s="203"/>
      <c r="P8" s="203"/>
      <c r="Q8" s="203"/>
      <c r="R8" s="2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6" t="s">
        <v>28</v>
      </c>
      <c r="B10" s="56" t="s">
        <v>206</v>
      </c>
      <c r="C10" s="57">
        <v>0.58333333333333337</v>
      </c>
      <c r="D10" s="56" t="s">
        <v>30</v>
      </c>
      <c r="E10" s="58"/>
      <c r="F10" s="56" t="s">
        <v>39</v>
      </c>
      <c r="G10" s="201"/>
      <c r="H10" s="59" t="s">
        <v>206</v>
      </c>
      <c r="I10" s="60">
        <v>0</v>
      </c>
      <c r="J10" s="61">
        <v>0</v>
      </c>
      <c r="K10" s="62" t="s">
        <v>40</v>
      </c>
      <c r="L10" s="61">
        <v>0</v>
      </c>
      <c r="M10" s="61">
        <v>0</v>
      </c>
      <c r="N10" s="61">
        <v>0</v>
      </c>
      <c r="O10" s="63" t="s">
        <v>116</v>
      </c>
      <c r="P10" s="64">
        <v>0.58333333333333337</v>
      </c>
      <c r="Q10" s="61">
        <v>179</v>
      </c>
      <c r="R10" s="65" t="s">
        <v>40</v>
      </c>
    </row>
    <row r="11" spans="1:92" ht="17.399999999999999" customHeight="1" thickBot="1" x14ac:dyDescent="0.35">
      <c r="A11" s="229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1"/>
    </row>
    <row r="12" spans="1:92" ht="22.05" customHeight="1" thickTop="1" thickBot="1" x14ac:dyDescent="0.35">
      <c r="A12" s="202" t="s">
        <v>8</v>
      </c>
      <c r="B12" s="203"/>
      <c r="C12" s="203"/>
      <c r="D12" s="203"/>
      <c r="E12" s="203"/>
      <c r="F12" s="204"/>
      <c r="G12" s="18">
        <v>46066</v>
      </c>
      <c r="H12" s="205" t="s">
        <v>9</v>
      </c>
      <c r="I12" s="203"/>
      <c r="J12" s="203"/>
      <c r="K12" s="203"/>
      <c r="L12" s="203"/>
      <c r="M12" s="203"/>
      <c r="N12" s="203"/>
      <c r="O12" s="203"/>
      <c r="P12" s="203"/>
      <c r="Q12" s="203"/>
      <c r="R12" s="2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158" t="s">
        <v>28</v>
      </c>
      <c r="B14" s="158" t="s">
        <v>206</v>
      </c>
      <c r="C14" s="159">
        <v>0.58333333333333337</v>
      </c>
      <c r="D14" s="158" t="s">
        <v>30</v>
      </c>
      <c r="E14" s="160"/>
      <c r="F14" s="158" t="s">
        <v>31</v>
      </c>
      <c r="G14" s="201"/>
      <c r="H14" s="174" t="s">
        <v>206</v>
      </c>
      <c r="I14" s="175">
        <v>1.12E-2</v>
      </c>
      <c r="J14" s="176">
        <v>2</v>
      </c>
      <c r="K14" s="177" t="s">
        <v>114</v>
      </c>
      <c r="L14" s="176">
        <v>2</v>
      </c>
      <c r="M14" s="176">
        <v>0</v>
      </c>
      <c r="N14" s="176">
        <v>0</v>
      </c>
      <c r="O14" s="178" t="s">
        <v>191</v>
      </c>
      <c r="P14" s="179">
        <v>0.58333333333333337</v>
      </c>
      <c r="Q14" s="176">
        <v>179</v>
      </c>
      <c r="R14" s="180" t="s">
        <v>207</v>
      </c>
    </row>
    <row r="15" spans="1:92" ht="17.399999999999999" customHeight="1" thickBot="1" x14ac:dyDescent="0.35">
      <c r="A15" s="229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</row>
    <row r="16" spans="1:92" ht="22.05" customHeight="1" thickTop="1" thickBot="1" x14ac:dyDescent="0.35">
      <c r="A16" s="202" t="s">
        <v>8</v>
      </c>
      <c r="B16" s="203"/>
      <c r="C16" s="203"/>
      <c r="D16" s="203"/>
      <c r="E16" s="203"/>
      <c r="F16" s="204"/>
      <c r="G16" s="18">
        <v>46073</v>
      </c>
      <c r="H16" s="205" t="s">
        <v>9</v>
      </c>
      <c r="I16" s="203"/>
      <c r="J16" s="203"/>
      <c r="K16" s="203"/>
      <c r="L16" s="203"/>
      <c r="M16" s="203"/>
      <c r="N16" s="203"/>
      <c r="O16" s="203"/>
      <c r="P16" s="203"/>
      <c r="Q16" s="203"/>
      <c r="R16" s="2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" t="s">
        <v>28</v>
      </c>
      <c r="B18" s="8" t="s">
        <v>206</v>
      </c>
      <c r="C18" s="9">
        <v>0.58333333333333337</v>
      </c>
      <c r="D18" s="8" t="s">
        <v>30</v>
      </c>
      <c r="E18" s="10"/>
      <c r="F18" s="8" t="s">
        <v>39</v>
      </c>
      <c r="G18" s="201"/>
      <c r="H18" s="11" t="s">
        <v>206</v>
      </c>
      <c r="I18" s="12">
        <v>0</v>
      </c>
      <c r="J18" s="13">
        <v>0</v>
      </c>
      <c r="K18" s="14" t="s">
        <v>40</v>
      </c>
      <c r="L18" s="13">
        <v>0</v>
      </c>
      <c r="M18" s="13">
        <v>0</v>
      </c>
      <c r="N18" s="13">
        <v>0</v>
      </c>
      <c r="O18" s="15" t="s">
        <v>191</v>
      </c>
      <c r="P18" s="16">
        <v>0.58333333333333337</v>
      </c>
      <c r="Q18" s="13">
        <v>179</v>
      </c>
      <c r="R18" s="17" t="s">
        <v>40</v>
      </c>
    </row>
    <row r="19" spans="1:18" ht="17.399999999999999" customHeight="1" thickBot="1" x14ac:dyDescent="0.35">
      <c r="A19" s="229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1"/>
    </row>
    <row r="20" spans="1:18" ht="22.05" customHeight="1" thickTop="1" thickBot="1" x14ac:dyDescent="0.35">
      <c r="A20" s="202" t="s">
        <v>8</v>
      </c>
      <c r="B20" s="203"/>
      <c r="C20" s="203"/>
      <c r="D20" s="203"/>
      <c r="E20" s="203"/>
      <c r="F20" s="204"/>
      <c r="G20" s="18">
        <v>46080</v>
      </c>
      <c r="H20" s="205" t="s">
        <v>9</v>
      </c>
      <c r="I20" s="203"/>
      <c r="J20" s="203"/>
      <c r="K20" s="203"/>
      <c r="L20" s="203"/>
      <c r="M20" s="203"/>
      <c r="N20" s="203"/>
      <c r="O20" s="203"/>
      <c r="P20" s="203"/>
      <c r="Q20" s="203"/>
      <c r="R20" s="2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5">
      <c r="A22" s="36" t="s">
        <v>28</v>
      </c>
      <c r="B22" s="36" t="s">
        <v>206</v>
      </c>
      <c r="C22" s="37">
        <v>0.58333333333333337</v>
      </c>
      <c r="D22" s="36" t="s">
        <v>30</v>
      </c>
      <c r="E22" s="38"/>
      <c r="F22" s="36" t="s">
        <v>39</v>
      </c>
      <c r="G22" s="197"/>
      <c r="H22" s="39" t="s">
        <v>206</v>
      </c>
      <c r="I22" s="40">
        <v>0</v>
      </c>
      <c r="J22" s="41">
        <v>0</v>
      </c>
      <c r="K22" s="42" t="s">
        <v>40</v>
      </c>
      <c r="L22" s="41">
        <v>0</v>
      </c>
      <c r="M22" s="41">
        <v>0</v>
      </c>
      <c r="N22" s="41">
        <v>0</v>
      </c>
      <c r="O22" s="43" t="s">
        <v>191</v>
      </c>
      <c r="P22" s="44">
        <v>0.58333333333333337</v>
      </c>
      <c r="Q22" s="41">
        <v>179</v>
      </c>
      <c r="R22" s="45" t="s">
        <v>40</v>
      </c>
    </row>
    <row r="23" spans="1:18" ht="17.399999999999999" customHeight="1" thickBot="1" x14ac:dyDescent="0.35">
      <c r="A23" s="229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1"/>
    </row>
    <row r="24" spans="1:18" ht="15" thickTop="1" x14ac:dyDescent="0.3"/>
  </sheetData>
  <mergeCells count="27"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G14"/>
    <mergeCell ref="G22"/>
    <mergeCell ref="A2:F2"/>
    <mergeCell ref="A3:R3"/>
    <mergeCell ref="A8:F8"/>
    <mergeCell ref="G2:J2"/>
    <mergeCell ref="A4:F4"/>
    <mergeCell ref="A16:F16"/>
    <mergeCell ref="H8:R8"/>
    <mergeCell ref="A7:R7"/>
    <mergeCell ref="H20:R20"/>
    <mergeCell ref="H1:L1"/>
    <mergeCell ref="A1:E1"/>
    <mergeCell ref="A12:F12"/>
    <mergeCell ref="H4:R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7"/>
  <sheetViews>
    <sheetView workbookViewId="0"/>
  </sheetViews>
  <sheetFormatPr defaultRowHeight="15.6" outlineLevelCol="1" x14ac:dyDescent="0.3"/>
  <cols>
    <col min="1" max="1" width="6.88671875" style="216" bestFit="1" customWidth="1"/>
    <col min="2" max="2" width="10.109375" style="216" bestFit="1" customWidth="1"/>
    <col min="3" max="3" width="6.77734375" style="216" bestFit="1" customWidth="1"/>
    <col min="4" max="4" width="5.5546875" style="216" bestFit="1" customWidth="1"/>
    <col min="5" max="5" width="8.33203125" style="216" bestFit="1" customWidth="1"/>
    <col min="6" max="6" width="4.21875" style="216" bestFit="1" customWidth="1"/>
    <col min="7" max="7" width="8.44140625" style="216" bestFit="1" customWidth="1"/>
    <col min="8" max="10" width="7" style="216" bestFit="1" customWidth="1"/>
    <col min="11" max="11" width="10.5546875" style="216" bestFit="1" customWidth="1"/>
    <col min="12" max="12" width="18.109375" style="216" bestFit="1" customWidth="1"/>
    <col min="13" max="13" width="7.6640625" style="216" bestFit="1" customWidth="1" outlineLevel="1"/>
    <col min="14" max="14" width="6.33203125" style="216" bestFit="1" customWidth="1" outlineLevel="1"/>
    <col min="15" max="15" width="8" style="216" bestFit="1" customWidth="1" outlineLevel="1"/>
    <col min="16" max="16" width="13.6640625" style="216" bestFit="1" customWidth="1"/>
    <col min="17" max="26" width="3.88671875" style="216" bestFit="1" customWidth="1"/>
    <col min="27" max="27" width="4" style="216" bestFit="1" customWidth="1"/>
    <col min="28" max="36" width="3.88671875" style="216" bestFit="1" customWidth="1"/>
    <col min="37" max="16384" width="8.88671875" style="216"/>
  </cols>
  <sheetData>
    <row r="1" spans="1:36" x14ac:dyDescent="0.3">
      <c r="A1" s="215" t="s">
        <v>49</v>
      </c>
      <c r="B1" s="215" t="s">
        <v>50</v>
      </c>
      <c r="C1" s="215" t="s">
        <v>51</v>
      </c>
      <c r="D1" s="215" t="s">
        <v>25</v>
      </c>
      <c r="E1" s="215" t="s">
        <v>52</v>
      </c>
      <c r="F1" s="215" t="s">
        <v>53</v>
      </c>
      <c r="G1" s="215" t="s">
        <v>18</v>
      </c>
      <c r="H1" s="215" t="s">
        <v>54</v>
      </c>
      <c r="I1" s="215" t="s">
        <v>55</v>
      </c>
      <c r="J1" s="215" t="s">
        <v>56</v>
      </c>
      <c r="K1" s="215" t="s">
        <v>57</v>
      </c>
      <c r="L1" s="215" t="s">
        <v>20</v>
      </c>
      <c r="M1" s="215" t="s">
        <v>22</v>
      </c>
      <c r="N1" s="215" t="s">
        <v>23</v>
      </c>
      <c r="O1" s="215" t="s">
        <v>21</v>
      </c>
      <c r="P1" s="215" t="s">
        <v>24</v>
      </c>
      <c r="Q1" s="215" t="s">
        <v>58</v>
      </c>
      <c r="R1" s="215" t="s">
        <v>59</v>
      </c>
      <c r="S1" s="215" t="s">
        <v>60</v>
      </c>
      <c r="T1" s="215" t="s">
        <v>61</v>
      </c>
      <c r="U1" s="215" t="s">
        <v>62</v>
      </c>
      <c r="V1" s="215" t="s">
        <v>63</v>
      </c>
      <c r="W1" s="215" t="s">
        <v>64</v>
      </c>
      <c r="X1" s="215" t="s">
        <v>65</v>
      </c>
      <c r="Y1" s="215" t="s">
        <v>66</v>
      </c>
      <c r="Z1" s="215" t="s">
        <v>67</v>
      </c>
      <c r="AA1" s="215" t="s">
        <v>68</v>
      </c>
      <c r="AB1" s="215" t="s">
        <v>69</v>
      </c>
      <c r="AC1" s="215" t="s">
        <v>70</v>
      </c>
      <c r="AD1" s="215" t="s">
        <v>71</v>
      </c>
      <c r="AE1" s="215" t="s">
        <v>72</v>
      </c>
      <c r="AF1" s="215" t="s">
        <v>73</v>
      </c>
      <c r="AG1" s="215" t="s">
        <v>74</v>
      </c>
      <c r="AH1" s="215" t="s">
        <v>75</v>
      </c>
      <c r="AI1" s="215" t="s">
        <v>76</v>
      </c>
      <c r="AJ1" s="215" t="s">
        <v>77</v>
      </c>
    </row>
    <row r="2" spans="1:36" x14ac:dyDescent="0.3">
      <c r="A2" s="217" t="s">
        <v>146</v>
      </c>
      <c r="B2" s="218">
        <v>46052</v>
      </c>
      <c r="C2" s="219" t="s">
        <v>206</v>
      </c>
      <c r="D2" s="220" t="s">
        <v>208</v>
      </c>
      <c r="E2" s="219" t="s">
        <v>205</v>
      </c>
      <c r="F2" s="219" t="s">
        <v>80</v>
      </c>
      <c r="G2" s="221">
        <v>2.7900000000000001E-2</v>
      </c>
      <c r="H2" s="222">
        <v>179</v>
      </c>
      <c r="I2" s="222">
        <v>5</v>
      </c>
      <c r="J2" s="222">
        <v>0</v>
      </c>
      <c r="K2" s="219" t="s">
        <v>81</v>
      </c>
      <c r="L2" s="223" t="s">
        <v>36</v>
      </c>
      <c r="M2" s="222">
        <v>0</v>
      </c>
      <c r="N2" s="222">
        <v>0</v>
      </c>
      <c r="O2" s="222">
        <v>5</v>
      </c>
      <c r="P2" s="219" t="s">
        <v>182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22" t="s">
        <v>116</v>
      </c>
      <c r="AF2" s="215"/>
      <c r="AG2" s="215"/>
      <c r="AH2" s="215"/>
      <c r="AI2" s="215"/>
      <c r="AJ2" s="215"/>
    </row>
    <row r="3" spans="1:36" x14ac:dyDescent="0.3">
      <c r="A3" s="217" t="s">
        <v>146</v>
      </c>
      <c r="B3" s="218">
        <v>46059</v>
      </c>
      <c r="C3" s="219" t="s">
        <v>206</v>
      </c>
      <c r="D3" s="220" t="s">
        <v>208</v>
      </c>
      <c r="E3" s="219" t="s">
        <v>205</v>
      </c>
      <c r="F3" s="219" t="s">
        <v>80</v>
      </c>
      <c r="G3" s="221">
        <v>0</v>
      </c>
      <c r="H3" s="222">
        <v>179</v>
      </c>
      <c r="I3" s="222">
        <v>0</v>
      </c>
      <c r="J3" s="222">
        <v>0</v>
      </c>
      <c r="K3" s="219" t="s">
        <v>81</v>
      </c>
      <c r="L3" s="223" t="s">
        <v>40</v>
      </c>
      <c r="M3" s="222">
        <v>0</v>
      </c>
      <c r="N3" s="222">
        <v>0</v>
      </c>
      <c r="O3" s="222">
        <v>0</v>
      </c>
      <c r="P3" s="219" t="s">
        <v>116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</row>
    <row r="4" spans="1:36" x14ac:dyDescent="0.3">
      <c r="A4" s="217" t="s">
        <v>146</v>
      </c>
      <c r="B4" s="218">
        <v>46066</v>
      </c>
      <c r="C4" s="219" t="s">
        <v>206</v>
      </c>
      <c r="D4" s="220" t="s">
        <v>208</v>
      </c>
      <c r="E4" s="219" t="s">
        <v>205</v>
      </c>
      <c r="F4" s="219" t="s">
        <v>80</v>
      </c>
      <c r="G4" s="221">
        <v>1.12E-2</v>
      </c>
      <c r="H4" s="222">
        <v>179</v>
      </c>
      <c r="I4" s="222">
        <v>2</v>
      </c>
      <c r="J4" s="222">
        <v>0</v>
      </c>
      <c r="K4" s="219" t="s">
        <v>81</v>
      </c>
      <c r="L4" s="223" t="s">
        <v>114</v>
      </c>
      <c r="M4" s="222">
        <v>0</v>
      </c>
      <c r="N4" s="222">
        <v>0</v>
      </c>
      <c r="O4" s="222">
        <v>2</v>
      </c>
      <c r="P4" s="219" t="s">
        <v>191</v>
      </c>
      <c r="Q4" s="215"/>
      <c r="R4" s="215"/>
      <c r="S4" s="215"/>
      <c r="T4" s="215"/>
      <c r="U4" s="215"/>
      <c r="V4" s="215"/>
      <c r="W4" s="215"/>
      <c r="X4" s="215"/>
      <c r="Y4" s="222" t="s">
        <v>172</v>
      </c>
      <c r="Z4" s="215"/>
      <c r="AA4" s="222" t="s">
        <v>112</v>
      </c>
      <c r="AB4" s="215"/>
      <c r="AC4" s="215"/>
      <c r="AD4" s="215"/>
      <c r="AE4" s="215"/>
      <c r="AF4" s="215"/>
      <c r="AG4" s="215"/>
      <c r="AH4" s="215"/>
      <c r="AI4" s="215"/>
      <c r="AJ4" s="215"/>
    </row>
    <row r="5" spans="1:36" x14ac:dyDescent="0.3">
      <c r="A5" s="217" t="s">
        <v>146</v>
      </c>
      <c r="B5" s="218">
        <v>46073</v>
      </c>
      <c r="C5" s="219" t="s">
        <v>206</v>
      </c>
      <c r="D5" s="220" t="s">
        <v>208</v>
      </c>
      <c r="E5" s="219" t="s">
        <v>205</v>
      </c>
      <c r="F5" s="219" t="s">
        <v>80</v>
      </c>
      <c r="G5" s="221">
        <v>0</v>
      </c>
      <c r="H5" s="222">
        <v>179</v>
      </c>
      <c r="I5" s="222">
        <v>0</v>
      </c>
      <c r="J5" s="222">
        <v>0</v>
      </c>
      <c r="K5" s="219" t="s">
        <v>81</v>
      </c>
      <c r="L5" s="223" t="s">
        <v>40</v>
      </c>
      <c r="M5" s="222">
        <v>0</v>
      </c>
      <c r="N5" s="222">
        <v>0</v>
      </c>
      <c r="O5" s="222">
        <v>0</v>
      </c>
      <c r="P5" s="219" t="s">
        <v>191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</row>
    <row r="6" spans="1:36" x14ac:dyDescent="0.3">
      <c r="A6" s="217" t="s">
        <v>146</v>
      </c>
      <c r="B6" s="218">
        <v>46080</v>
      </c>
      <c r="C6" s="219" t="s">
        <v>206</v>
      </c>
      <c r="D6" s="220" t="s">
        <v>208</v>
      </c>
      <c r="E6" s="219" t="s">
        <v>205</v>
      </c>
      <c r="F6" s="219" t="s">
        <v>80</v>
      </c>
      <c r="G6" s="221">
        <v>0</v>
      </c>
      <c r="H6" s="222">
        <v>179</v>
      </c>
      <c r="I6" s="222">
        <v>0</v>
      </c>
      <c r="J6" s="222">
        <v>0</v>
      </c>
      <c r="K6" s="219" t="s">
        <v>81</v>
      </c>
      <c r="L6" s="223" t="s">
        <v>40</v>
      </c>
      <c r="M6" s="222">
        <v>0</v>
      </c>
      <c r="N6" s="222">
        <v>0</v>
      </c>
      <c r="O6" s="222">
        <v>0</v>
      </c>
      <c r="P6" s="219" t="s">
        <v>191</v>
      </c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</row>
    <row r="7" spans="1:36" ht="21" x14ac:dyDescent="0.3">
      <c r="A7" s="224" t="s">
        <v>217</v>
      </c>
      <c r="B7" s="225"/>
      <c r="C7" s="224">
        <f>SUBTOTAL(103,ATZ_AHB_LF_LEGACY[Flt])</f>
        <v>5</v>
      </c>
      <c r="D7" s="224"/>
      <c r="E7" s="224">
        <f>SUBTOTAL(103,ATZ_AHB_LF_LEGACY[Brd-Off])</f>
        <v>5</v>
      </c>
      <c r="F7" s="224"/>
      <c r="G7" s="226">
        <f>SUBTOTAL(101,ATZ_AHB_LF_LEGACY[LF%])</f>
        <v>7.8200000000000006E-3</v>
      </c>
      <c r="H7" s="227">
        <f>SUBTOTAL(109,ATZ_AHB_LF_LEGACY[CAP])</f>
        <v>895</v>
      </c>
      <c r="I7" s="227">
        <f>SUBTOTAL(109,ATZ_AHB_LF_LEGACY[BKG(Y)])</f>
        <v>7</v>
      </c>
      <c r="J7" s="227">
        <f>SUBTOTAL(109,ATZ_AHB_LF_LEGACY[GRP(Y)])</f>
        <v>0</v>
      </c>
      <c r="K7" s="224"/>
      <c r="L7" s="225"/>
      <c r="M7" s="227">
        <f>SUBTOTAL(109,ATZ_AHB_LF_LEGACY[TO-DAY])</f>
        <v>0</v>
      </c>
      <c r="N7" s="227">
        <f>SUBTOTAL(109,ATZ_AHB_LF_LEGACY[Y-DAY])</f>
        <v>0</v>
      </c>
      <c r="O7" s="227">
        <f>SUBTOTAL(109,ATZ_AHB_LF_LEGACY[WEEKLY])</f>
        <v>7</v>
      </c>
      <c r="P7" s="228"/>
      <c r="Q7" s="227">
        <f>SUBTOTAL(109,ATZ_AHB_LF_LEGACY[Y])</f>
        <v>0</v>
      </c>
      <c r="R7" s="227">
        <f>SUBTOTAL(109,ATZ_AHB_LF_LEGACY[B])</f>
        <v>0</v>
      </c>
      <c r="S7" s="227">
        <f>SUBTOTAL(109,ATZ_AHB_LF_LEGACY[M])</f>
        <v>0</v>
      </c>
      <c r="T7" s="227">
        <f>SUBTOTAL(109,ATZ_AHB_LF_LEGACY[H])</f>
        <v>0</v>
      </c>
      <c r="U7" s="227">
        <f>SUBTOTAL(109,ATZ_AHB_LF_LEGACY[Q])</f>
        <v>0</v>
      </c>
      <c r="V7" s="227">
        <f>SUBTOTAL(109,ATZ_AHB_LF_LEGACY[K])</f>
        <v>0</v>
      </c>
      <c r="W7" s="227">
        <f>SUBTOTAL(109,ATZ_AHB_LF_LEGACY[V])</f>
        <v>0</v>
      </c>
      <c r="X7" s="227">
        <f>SUBTOTAL(109,ATZ_AHB_LF_LEGACY[L])</f>
        <v>0</v>
      </c>
      <c r="Y7" s="227">
        <f>SUBTOTAL(109,ATZ_AHB_LF_LEGACY[G])</f>
        <v>0</v>
      </c>
      <c r="Z7" s="227">
        <f>SUBTOTAL(109,ATZ_AHB_LF_LEGACY[S])</f>
        <v>0</v>
      </c>
      <c r="AA7" s="227">
        <f>SUBTOTAL(109,ATZ_AHB_LF_LEGACY[W])</f>
        <v>0</v>
      </c>
      <c r="AB7" s="227">
        <f>SUBTOTAL(109,ATZ_AHB_LF_LEGACY[T])</f>
        <v>0</v>
      </c>
      <c r="AC7" s="227">
        <f>SUBTOTAL(109,ATZ_AHB_LF_LEGACY[X])</f>
        <v>0</v>
      </c>
      <c r="AD7" s="227">
        <f>SUBTOTAL(109,ATZ_AHB_LF_LEGACY[U])</f>
        <v>0</v>
      </c>
      <c r="AE7" s="227">
        <f>SUBTOTAL(109,ATZ_AHB_LF_LEGACY[O])</f>
        <v>0</v>
      </c>
      <c r="AF7" s="227">
        <f>SUBTOTAL(109,ATZ_AHB_LF_LEGACY[I])</f>
        <v>0</v>
      </c>
      <c r="AG7" s="227">
        <f>SUBTOTAL(109,ATZ_AHB_LF_LEGACY[E])</f>
        <v>0</v>
      </c>
      <c r="AH7" s="227">
        <f>SUBTOTAL(109,ATZ_AHB_LF_LEGACY[A])</f>
        <v>0</v>
      </c>
      <c r="AI7" s="227">
        <f>SUBTOTAL(109,ATZ_AHB_LF_LEGACY[P])</f>
        <v>0</v>
      </c>
      <c r="AJ7" s="227">
        <f>SUBTOTAL(103,ATZ_AHB_LF_LEGACY[N])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N4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4.77734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00" t="s">
        <v>0</v>
      </c>
      <c r="B1" s="199"/>
      <c r="C1" s="199"/>
      <c r="D1" s="199"/>
      <c r="E1" s="199"/>
      <c r="F1" s="1" t="s">
        <v>209</v>
      </c>
      <c r="G1" s="2" t="s">
        <v>2</v>
      </c>
      <c r="H1" s="198" t="s">
        <v>3</v>
      </c>
      <c r="I1" s="199"/>
      <c r="J1" s="199"/>
      <c r="K1" s="199"/>
      <c r="L1" s="199"/>
      <c r="M1" s="1" t="s">
        <v>4</v>
      </c>
      <c r="N1" s="208" t="s">
        <v>5</v>
      </c>
      <c r="O1" s="199"/>
      <c r="P1" s="199"/>
      <c r="Q1" s="199"/>
      <c r="R1" s="19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6" t="s">
        <v>6</v>
      </c>
      <c r="B2" s="199"/>
      <c r="C2" s="199"/>
      <c r="D2" s="199"/>
      <c r="E2" s="199"/>
      <c r="F2" s="199"/>
      <c r="G2" s="207">
        <v>45984.112469069027</v>
      </c>
      <c r="H2" s="199"/>
      <c r="I2" s="199"/>
      <c r="J2" s="199"/>
      <c r="K2" s="209">
        <v>45984.112469069471</v>
      </c>
      <c r="L2" s="199"/>
      <c r="M2" s="199"/>
      <c r="N2" s="199"/>
      <c r="O2" s="199"/>
      <c r="P2" s="199"/>
      <c r="Q2" s="199"/>
      <c r="R2" s="19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2" t="s">
        <v>8</v>
      </c>
      <c r="B4" s="203"/>
      <c r="C4" s="203"/>
      <c r="D4" s="203"/>
      <c r="E4" s="203"/>
      <c r="F4" s="204"/>
      <c r="G4" s="4">
        <v>46053</v>
      </c>
      <c r="H4" s="210" t="s">
        <v>9</v>
      </c>
      <c r="I4" s="203"/>
      <c r="J4" s="203"/>
      <c r="K4" s="203"/>
      <c r="L4" s="203"/>
      <c r="M4" s="203"/>
      <c r="N4" s="203"/>
      <c r="O4" s="203"/>
      <c r="P4" s="203"/>
      <c r="Q4" s="203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158" t="s">
        <v>28</v>
      </c>
      <c r="B6" s="158" t="s">
        <v>210</v>
      </c>
      <c r="C6" s="159">
        <v>0.69097222222222221</v>
      </c>
      <c r="D6" s="158" t="s">
        <v>30</v>
      </c>
      <c r="E6" s="160"/>
      <c r="F6" s="158" t="s">
        <v>31</v>
      </c>
      <c r="G6" s="197"/>
      <c r="H6" s="174" t="s">
        <v>210</v>
      </c>
      <c r="I6" s="175">
        <v>5.5999999999999999E-3</v>
      </c>
      <c r="J6" s="176">
        <v>1</v>
      </c>
      <c r="K6" s="177" t="s">
        <v>170</v>
      </c>
      <c r="L6" s="176">
        <v>1</v>
      </c>
      <c r="M6" s="176">
        <v>0</v>
      </c>
      <c r="N6" s="176">
        <v>0</v>
      </c>
      <c r="O6" s="178" t="s">
        <v>115</v>
      </c>
      <c r="P6" s="179">
        <v>0.69097222222222221</v>
      </c>
      <c r="Q6" s="176">
        <v>179</v>
      </c>
      <c r="R6" s="180" t="s">
        <v>119</v>
      </c>
    </row>
    <row r="7" spans="1:92" ht="17.399999999999999" customHeight="1" thickBot="1" x14ac:dyDescent="0.35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92" ht="22.05" customHeight="1" thickTop="1" thickBot="1" x14ac:dyDescent="0.35">
      <c r="A8" s="202" t="s">
        <v>8</v>
      </c>
      <c r="B8" s="203"/>
      <c r="C8" s="203"/>
      <c r="D8" s="203"/>
      <c r="E8" s="203"/>
      <c r="F8" s="204"/>
      <c r="G8" s="18">
        <v>46056</v>
      </c>
      <c r="H8" s="205" t="s">
        <v>9</v>
      </c>
      <c r="I8" s="203"/>
      <c r="J8" s="203"/>
      <c r="K8" s="203"/>
      <c r="L8" s="203"/>
      <c r="M8" s="203"/>
      <c r="N8" s="203"/>
      <c r="O8" s="203"/>
      <c r="P8" s="203"/>
      <c r="Q8" s="203"/>
      <c r="R8" s="204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210</v>
      </c>
      <c r="C10" s="9">
        <v>0.85763888888888884</v>
      </c>
      <c r="D10" s="8" t="s">
        <v>30</v>
      </c>
      <c r="E10" s="10"/>
      <c r="F10" s="8" t="s">
        <v>31</v>
      </c>
      <c r="G10" s="201"/>
      <c r="H10" s="11" t="s">
        <v>210</v>
      </c>
      <c r="I10" s="12">
        <v>5.5999999999999999E-3</v>
      </c>
      <c r="J10" s="13">
        <v>1</v>
      </c>
      <c r="K10" s="14" t="s">
        <v>211</v>
      </c>
      <c r="L10" s="13">
        <v>1</v>
      </c>
      <c r="M10" s="13">
        <v>0</v>
      </c>
      <c r="N10" s="13">
        <v>0</v>
      </c>
      <c r="O10" s="15" t="s">
        <v>115</v>
      </c>
      <c r="P10" s="16">
        <v>0.85763888888888884</v>
      </c>
      <c r="Q10" s="13">
        <v>179</v>
      </c>
      <c r="R10" s="17" t="s">
        <v>119</v>
      </c>
    </row>
    <row r="11" spans="1:92" ht="17.399999999999999" customHeight="1" thickBot="1" x14ac:dyDescent="0.35">
      <c r="A11" s="229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1"/>
    </row>
    <row r="12" spans="1:92" ht="22.05" customHeight="1" thickTop="1" thickBot="1" x14ac:dyDescent="0.35">
      <c r="A12" s="202" t="s">
        <v>8</v>
      </c>
      <c r="B12" s="203"/>
      <c r="C12" s="203"/>
      <c r="D12" s="203"/>
      <c r="E12" s="203"/>
      <c r="F12" s="204"/>
      <c r="G12" s="18">
        <v>46060</v>
      </c>
      <c r="H12" s="205" t="s">
        <v>9</v>
      </c>
      <c r="I12" s="203"/>
      <c r="J12" s="203"/>
      <c r="K12" s="203"/>
      <c r="L12" s="203"/>
      <c r="M12" s="203"/>
      <c r="N12" s="203"/>
      <c r="O12" s="203"/>
      <c r="P12" s="203"/>
      <c r="Q12" s="203"/>
      <c r="R12" s="204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46" t="s">
        <v>28</v>
      </c>
      <c r="B14" s="46" t="s">
        <v>210</v>
      </c>
      <c r="C14" s="47">
        <v>0.69097222222222221</v>
      </c>
      <c r="D14" s="46" t="s">
        <v>30</v>
      </c>
      <c r="E14" s="48"/>
      <c r="F14" s="46" t="s">
        <v>31</v>
      </c>
      <c r="G14" s="201"/>
      <c r="H14" s="49" t="s">
        <v>210</v>
      </c>
      <c r="I14" s="50">
        <v>5.5999999999999999E-3</v>
      </c>
      <c r="J14" s="51">
        <v>1</v>
      </c>
      <c r="K14" s="52" t="s">
        <v>42</v>
      </c>
      <c r="L14" s="51">
        <v>1</v>
      </c>
      <c r="M14" s="51">
        <v>0</v>
      </c>
      <c r="N14" s="51">
        <v>0</v>
      </c>
      <c r="O14" s="53" t="s">
        <v>115</v>
      </c>
      <c r="P14" s="54">
        <v>0.69097222222222221</v>
      </c>
      <c r="Q14" s="51">
        <v>179</v>
      </c>
      <c r="R14" s="55" t="s">
        <v>119</v>
      </c>
    </row>
    <row r="15" spans="1:92" ht="17.399999999999999" customHeight="1" thickBot="1" x14ac:dyDescent="0.35">
      <c r="A15" s="229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</row>
    <row r="16" spans="1:92" ht="22.05" customHeight="1" thickTop="1" thickBot="1" x14ac:dyDescent="0.35">
      <c r="A16" s="202" t="s">
        <v>8</v>
      </c>
      <c r="B16" s="203"/>
      <c r="C16" s="203"/>
      <c r="D16" s="203"/>
      <c r="E16" s="203"/>
      <c r="F16" s="204"/>
      <c r="G16" s="18">
        <v>46063</v>
      </c>
      <c r="H16" s="205" t="s">
        <v>9</v>
      </c>
      <c r="I16" s="203"/>
      <c r="J16" s="203"/>
      <c r="K16" s="203"/>
      <c r="L16" s="203"/>
      <c r="M16" s="203"/>
      <c r="N16" s="203"/>
      <c r="O16" s="203"/>
      <c r="P16" s="203"/>
      <c r="Q16" s="203"/>
      <c r="R16" s="204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126" t="s">
        <v>28</v>
      </c>
      <c r="B18" s="126" t="s">
        <v>210</v>
      </c>
      <c r="C18" s="127">
        <v>0.85763888888888884</v>
      </c>
      <c r="D18" s="126" t="s">
        <v>30</v>
      </c>
      <c r="E18" s="128"/>
      <c r="F18" s="126" t="s">
        <v>31</v>
      </c>
      <c r="G18" s="201"/>
      <c r="H18" s="119" t="s">
        <v>210</v>
      </c>
      <c r="I18" s="120">
        <v>5.5999999999999999E-3</v>
      </c>
      <c r="J18" s="121">
        <v>1</v>
      </c>
      <c r="K18" s="122" t="s">
        <v>212</v>
      </c>
      <c r="L18" s="121">
        <v>1</v>
      </c>
      <c r="M18" s="121">
        <v>0</v>
      </c>
      <c r="N18" s="121">
        <v>0</v>
      </c>
      <c r="O18" s="123" t="s">
        <v>168</v>
      </c>
      <c r="P18" s="124">
        <v>0.85763888888888884</v>
      </c>
      <c r="Q18" s="121">
        <v>179</v>
      </c>
      <c r="R18" s="125" t="s">
        <v>34</v>
      </c>
    </row>
    <row r="19" spans="1:18" ht="17.399999999999999" customHeight="1" thickBot="1" x14ac:dyDescent="0.35">
      <c r="A19" s="229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1"/>
    </row>
    <row r="20" spans="1:18" ht="22.05" customHeight="1" thickTop="1" thickBot="1" x14ac:dyDescent="0.35">
      <c r="A20" s="202" t="s">
        <v>8</v>
      </c>
      <c r="B20" s="203"/>
      <c r="C20" s="203"/>
      <c r="D20" s="203"/>
      <c r="E20" s="203"/>
      <c r="F20" s="204"/>
      <c r="G20" s="18">
        <v>46067</v>
      </c>
      <c r="H20" s="205" t="s">
        <v>9</v>
      </c>
      <c r="I20" s="203"/>
      <c r="J20" s="203"/>
      <c r="K20" s="203"/>
      <c r="L20" s="203"/>
      <c r="M20" s="203"/>
      <c r="N20" s="203"/>
      <c r="O20" s="203"/>
      <c r="P20" s="203"/>
      <c r="Q20" s="203"/>
      <c r="R20" s="204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66" t="s">
        <v>28</v>
      </c>
      <c r="B22" s="66" t="s">
        <v>210</v>
      </c>
      <c r="C22" s="67">
        <v>0.69097222222222221</v>
      </c>
      <c r="D22" s="66" t="s">
        <v>30</v>
      </c>
      <c r="E22" s="68"/>
      <c r="F22" s="66" t="s">
        <v>31</v>
      </c>
      <c r="G22" s="201"/>
      <c r="H22" s="69" t="s">
        <v>210</v>
      </c>
      <c r="I22" s="70">
        <v>5.5999999999999999E-3</v>
      </c>
      <c r="J22" s="71">
        <v>1</v>
      </c>
      <c r="K22" s="72" t="s">
        <v>213</v>
      </c>
      <c r="L22" s="71">
        <v>1</v>
      </c>
      <c r="M22" s="71">
        <v>0</v>
      </c>
      <c r="N22" s="71">
        <v>0</v>
      </c>
      <c r="O22" s="73" t="s">
        <v>190</v>
      </c>
      <c r="P22" s="74">
        <v>0.69097222222222221</v>
      </c>
      <c r="Q22" s="71">
        <v>179</v>
      </c>
      <c r="R22" s="75" t="s">
        <v>34</v>
      </c>
    </row>
    <row r="23" spans="1:18" ht="17.399999999999999" customHeight="1" thickBot="1" x14ac:dyDescent="0.35">
      <c r="A23" s="229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1"/>
    </row>
    <row r="24" spans="1:18" ht="22.05" customHeight="1" thickTop="1" thickBot="1" x14ac:dyDescent="0.35">
      <c r="A24" s="202" t="s">
        <v>8</v>
      </c>
      <c r="B24" s="203"/>
      <c r="C24" s="203"/>
      <c r="D24" s="203"/>
      <c r="E24" s="203"/>
      <c r="F24" s="204"/>
      <c r="G24" s="18">
        <v>46070</v>
      </c>
      <c r="H24" s="205" t="s">
        <v>9</v>
      </c>
      <c r="I24" s="203"/>
      <c r="J24" s="203"/>
      <c r="K24" s="203"/>
      <c r="L24" s="203"/>
      <c r="M24" s="203"/>
      <c r="N24" s="203"/>
      <c r="O24" s="203"/>
      <c r="P24" s="203"/>
      <c r="Q24" s="203"/>
      <c r="R24" s="204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26" t="s">
        <v>28</v>
      </c>
      <c r="B26" s="26" t="s">
        <v>210</v>
      </c>
      <c r="C26" s="27">
        <v>0.85763888888888884</v>
      </c>
      <c r="D26" s="26" t="s">
        <v>30</v>
      </c>
      <c r="E26" s="28"/>
      <c r="F26" s="26" t="s">
        <v>31</v>
      </c>
      <c r="G26" s="197"/>
      <c r="H26" s="29" t="s">
        <v>210</v>
      </c>
      <c r="I26" s="30">
        <v>5.5999999999999999E-3</v>
      </c>
      <c r="J26" s="31">
        <v>1</v>
      </c>
      <c r="K26" s="32" t="s">
        <v>214</v>
      </c>
      <c r="L26" s="31">
        <v>1</v>
      </c>
      <c r="M26" s="31">
        <v>0</v>
      </c>
      <c r="N26" s="31">
        <v>0</v>
      </c>
      <c r="O26" s="33" t="s">
        <v>190</v>
      </c>
      <c r="P26" s="34">
        <v>0.85763888888888884</v>
      </c>
      <c r="Q26" s="31">
        <v>179</v>
      </c>
      <c r="R26" s="35" t="s">
        <v>34</v>
      </c>
    </row>
    <row r="27" spans="1:18" ht="17.399999999999999" customHeight="1" thickBot="1" x14ac:dyDescent="0.35">
      <c r="A27" s="229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1"/>
    </row>
    <row r="28" spans="1:18" ht="22.05" customHeight="1" thickTop="1" thickBot="1" x14ac:dyDescent="0.35">
      <c r="A28" s="202" t="s">
        <v>8</v>
      </c>
      <c r="B28" s="203"/>
      <c r="C28" s="203"/>
      <c r="D28" s="203"/>
      <c r="E28" s="203"/>
      <c r="F28" s="204"/>
      <c r="G28" s="18">
        <v>46074</v>
      </c>
      <c r="H28" s="205" t="s">
        <v>9</v>
      </c>
      <c r="I28" s="203"/>
      <c r="J28" s="203"/>
      <c r="K28" s="203"/>
      <c r="L28" s="203"/>
      <c r="M28" s="203"/>
      <c r="N28" s="203"/>
      <c r="O28" s="203"/>
      <c r="P28" s="203"/>
      <c r="Q28" s="203"/>
      <c r="R28" s="204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36" t="s">
        <v>28</v>
      </c>
      <c r="B30" s="36" t="s">
        <v>210</v>
      </c>
      <c r="C30" s="37">
        <v>0.69097222222222221</v>
      </c>
      <c r="D30" s="36" t="s">
        <v>30</v>
      </c>
      <c r="E30" s="38"/>
      <c r="F30" s="36" t="s">
        <v>39</v>
      </c>
      <c r="G30" s="201"/>
      <c r="H30" s="39" t="s">
        <v>210</v>
      </c>
      <c r="I30" s="40">
        <v>0</v>
      </c>
      <c r="J30" s="41">
        <v>0</v>
      </c>
      <c r="K30" s="42" t="s">
        <v>40</v>
      </c>
      <c r="L30" s="41">
        <v>0</v>
      </c>
      <c r="M30" s="41">
        <v>0</v>
      </c>
      <c r="N30" s="41">
        <v>0</v>
      </c>
      <c r="O30" s="43" t="s">
        <v>191</v>
      </c>
      <c r="P30" s="44">
        <v>0.69097222222222221</v>
      </c>
      <c r="Q30" s="41">
        <v>179</v>
      </c>
      <c r="R30" s="45" t="s">
        <v>40</v>
      </c>
    </row>
    <row r="31" spans="1:18" ht="17.399999999999999" customHeight="1" thickBot="1" x14ac:dyDescent="0.35">
      <c r="A31" s="229"/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1"/>
    </row>
    <row r="32" spans="1:18" ht="22.05" customHeight="1" thickTop="1" thickBot="1" x14ac:dyDescent="0.35">
      <c r="A32" s="202" t="s">
        <v>8</v>
      </c>
      <c r="B32" s="203"/>
      <c r="C32" s="203"/>
      <c r="D32" s="203"/>
      <c r="E32" s="203"/>
      <c r="F32" s="204"/>
      <c r="G32" s="18">
        <v>46077</v>
      </c>
      <c r="H32" s="205" t="s">
        <v>9</v>
      </c>
      <c r="I32" s="203"/>
      <c r="J32" s="203"/>
      <c r="K32" s="203"/>
      <c r="L32" s="203"/>
      <c r="M32" s="203"/>
      <c r="N32" s="203"/>
      <c r="O32" s="203"/>
      <c r="P32" s="203"/>
      <c r="Q32" s="203"/>
      <c r="R32" s="204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26" t="s">
        <v>28</v>
      </c>
      <c r="B34" s="26" t="s">
        <v>210</v>
      </c>
      <c r="C34" s="27">
        <v>0.85763888888888884</v>
      </c>
      <c r="D34" s="26" t="s">
        <v>30</v>
      </c>
      <c r="E34" s="28"/>
      <c r="F34" s="26" t="s">
        <v>39</v>
      </c>
      <c r="G34" s="197"/>
      <c r="H34" s="29" t="s">
        <v>210</v>
      </c>
      <c r="I34" s="30">
        <v>0</v>
      </c>
      <c r="J34" s="31">
        <v>0</v>
      </c>
      <c r="K34" s="32" t="s">
        <v>40</v>
      </c>
      <c r="L34" s="31">
        <v>0</v>
      </c>
      <c r="M34" s="31">
        <v>0</v>
      </c>
      <c r="N34" s="31">
        <v>0</v>
      </c>
      <c r="O34" s="33" t="s">
        <v>191</v>
      </c>
      <c r="P34" s="34">
        <v>0.85763888888888884</v>
      </c>
      <c r="Q34" s="31">
        <v>179</v>
      </c>
      <c r="R34" s="35" t="s">
        <v>40</v>
      </c>
    </row>
    <row r="35" spans="1:18" ht="17.399999999999999" customHeight="1" thickBot="1" x14ac:dyDescent="0.35">
      <c r="A35" s="229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1"/>
    </row>
    <row r="36" spans="1:18" ht="22.05" customHeight="1" thickTop="1" thickBot="1" x14ac:dyDescent="0.35">
      <c r="A36" s="202" t="s">
        <v>8</v>
      </c>
      <c r="B36" s="203"/>
      <c r="C36" s="203"/>
      <c r="D36" s="203"/>
      <c r="E36" s="203"/>
      <c r="F36" s="204"/>
      <c r="G36" s="18">
        <v>46081</v>
      </c>
      <c r="H36" s="205" t="s">
        <v>9</v>
      </c>
      <c r="I36" s="203"/>
      <c r="J36" s="203"/>
      <c r="K36" s="203"/>
      <c r="L36" s="203"/>
      <c r="M36" s="203"/>
      <c r="N36" s="203"/>
      <c r="O36" s="203"/>
      <c r="P36" s="203"/>
      <c r="Q36" s="203"/>
      <c r="R36" s="204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158" t="s">
        <v>28</v>
      </c>
      <c r="B38" s="158" t="s">
        <v>210</v>
      </c>
      <c r="C38" s="159">
        <v>0.69097222222222221</v>
      </c>
      <c r="D38" s="158" t="s">
        <v>30</v>
      </c>
      <c r="E38" s="160"/>
      <c r="F38" s="158" t="s">
        <v>39</v>
      </c>
      <c r="G38" s="197"/>
      <c r="H38" s="174" t="s">
        <v>210</v>
      </c>
      <c r="I38" s="175">
        <v>0</v>
      </c>
      <c r="J38" s="176">
        <v>0</v>
      </c>
      <c r="K38" s="177" t="s">
        <v>40</v>
      </c>
      <c r="L38" s="176">
        <v>0</v>
      </c>
      <c r="M38" s="176">
        <v>0</v>
      </c>
      <c r="N38" s="176">
        <v>0</v>
      </c>
      <c r="O38" s="178" t="s">
        <v>215</v>
      </c>
      <c r="P38" s="179">
        <v>0.69097222222222221</v>
      </c>
      <c r="Q38" s="176">
        <v>179</v>
      </c>
      <c r="R38" s="180" t="s">
        <v>40</v>
      </c>
    </row>
    <row r="39" spans="1:18" ht="17.399999999999999" customHeight="1" thickBot="1" x14ac:dyDescent="0.35">
      <c r="A39" s="229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1"/>
    </row>
    <row r="40" spans="1:18" ht="15" thickTop="1" x14ac:dyDescent="0.3"/>
  </sheetData>
  <mergeCells count="43">
    <mergeCell ref="A39:R39"/>
    <mergeCell ref="A15:R15"/>
    <mergeCell ref="H12:R12"/>
    <mergeCell ref="A36:F36"/>
    <mergeCell ref="G34"/>
    <mergeCell ref="G30"/>
    <mergeCell ref="H24:R24"/>
    <mergeCell ref="G14"/>
    <mergeCell ref="G38"/>
    <mergeCell ref="A31:R31"/>
    <mergeCell ref="G10"/>
    <mergeCell ref="H28:R28"/>
    <mergeCell ref="G6"/>
    <mergeCell ref="G18"/>
    <mergeCell ref="A24:F24"/>
    <mergeCell ref="A11:R11"/>
    <mergeCell ref="H36:R36"/>
    <mergeCell ref="A35:R35"/>
    <mergeCell ref="N1:R1"/>
    <mergeCell ref="A28:F28"/>
    <mergeCell ref="A19:R19"/>
    <mergeCell ref="H16:R16"/>
    <mergeCell ref="K2:R2"/>
    <mergeCell ref="H32:R32"/>
    <mergeCell ref="A32:F32"/>
    <mergeCell ref="A8:F8"/>
    <mergeCell ref="G2:J2"/>
    <mergeCell ref="A4:F4"/>
    <mergeCell ref="A23:R23"/>
    <mergeCell ref="A20:F20"/>
    <mergeCell ref="H1:L1"/>
    <mergeCell ref="A1:E1"/>
    <mergeCell ref="A12:F12"/>
    <mergeCell ref="A27:R27"/>
    <mergeCell ref="H4:R4"/>
    <mergeCell ref="G22"/>
    <mergeCell ref="A2:F2"/>
    <mergeCell ref="A3:R3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11"/>
  <sheetViews>
    <sheetView workbookViewId="0"/>
  </sheetViews>
  <sheetFormatPr defaultRowHeight="15.6" outlineLevelCol="1" x14ac:dyDescent="0.3"/>
  <cols>
    <col min="1" max="1" width="9.77734375" style="216" bestFit="1" customWidth="1"/>
    <col min="2" max="2" width="10.109375" style="216" bestFit="1" customWidth="1"/>
    <col min="3" max="3" width="6.77734375" style="216" bestFit="1" customWidth="1"/>
    <col min="4" max="4" width="5.5546875" style="216" bestFit="1" customWidth="1"/>
    <col min="5" max="5" width="8.109375" style="216" bestFit="1" customWidth="1"/>
    <col min="6" max="6" width="4.21875" style="216" bestFit="1" customWidth="1"/>
    <col min="7" max="7" width="8.44140625" style="216" bestFit="1" customWidth="1"/>
    <col min="8" max="8" width="8.5546875" style="216" bestFit="1" customWidth="1"/>
    <col min="9" max="10" width="7" style="216" bestFit="1" customWidth="1"/>
    <col min="11" max="11" width="10.5546875" style="216" bestFit="1" customWidth="1"/>
    <col min="12" max="12" width="18.109375" style="216" bestFit="1" customWidth="1"/>
    <col min="13" max="13" width="7.6640625" style="216" bestFit="1" customWidth="1" outlineLevel="1"/>
    <col min="14" max="14" width="6.33203125" style="216" bestFit="1" customWidth="1" outlineLevel="1"/>
    <col min="15" max="15" width="8" style="216" bestFit="1" customWidth="1" outlineLevel="1"/>
    <col min="16" max="16" width="13.6640625" style="216" bestFit="1" customWidth="1"/>
    <col min="17" max="36" width="3.88671875" style="216" bestFit="1" customWidth="1"/>
    <col min="37" max="16384" width="8.88671875" style="216"/>
  </cols>
  <sheetData>
    <row r="1" spans="1:36" x14ac:dyDescent="0.3">
      <c r="A1" s="215" t="s">
        <v>49</v>
      </c>
      <c r="B1" s="215" t="s">
        <v>50</v>
      </c>
      <c r="C1" s="215" t="s">
        <v>51</v>
      </c>
      <c r="D1" s="215" t="s">
        <v>25</v>
      </c>
      <c r="E1" s="215" t="s">
        <v>52</v>
      </c>
      <c r="F1" s="215" t="s">
        <v>53</v>
      </c>
      <c r="G1" s="215" t="s">
        <v>18</v>
      </c>
      <c r="H1" s="215" t="s">
        <v>54</v>
      </c>
      <c r="I1" s="215" t="s">
        <v>55</v>
      </c>
      <c r="J1" s="215" t="s">
        <v>56</v>
      </c>
      <c r="K1" s="215" t="s">
        <v>57</v>
      </c>
      <c r="L1" s="215" t="s">
        <v>20</v>
      </c>
      <c r="M1" s="215" t="s">
        <v>22</v>
      </c>
      <c r="N1" s="215" t="s">
        <v>23</v>
      </c>
      <c r="O1" s="215" t="s">
        <v>21</v>
      </c>
      <c r="P1" s="215" t="s">
        <v>24</v>
      </c>
      <c r="Q1" s="215" t="s">
        <v>58</v>
      </c>
      <c r="R1" s="215" t="s">
        <v>59</v>
      </c>
      <c r="S1" s="215" t="s">
        <v>60</v>
      </c>
      <c r="T1" s="215" t="s">
        <v>61</v>
      </c>
      <c r="U1" s="215" t="s">
        <v>62</v>
      </c>
      <c r="V1" s="215" t="s">
        <v>63</v>
      </c>
      <c r="W1" s="215" t="s">
        <v>64</v>
      </c>
      <c r="X1" s="215" t="s">
        <v>65</v>
      </c>
      <c r="Y1" s="215" t="s">
        <v>66</v>
      </c>
      <c r="Z1" s="215" t="s">
        <v>67</v>
      </c>
      <c r="AA1" s="215" t="s">
        <v>68</v>
      </c>
      <c r="AB1" s="215" t="s">
        <v>69</v>
      </c>
      <c r="AC1" s="215" t="s">
        <v>70</v>
      </c>
      <c r="AD1" s="215" t="s">
        <v>71</v>
      </c>
      <c r="AE1" s="215" t="s">
        <v>72</v>
      </c>
      <c r="AF1" s="215" t="s">
        <v>73</v>
      </c>
      <c r="AG1" s="215" t="s">
        <v>74</v>
      </c>
      <c r="AH1" s="215" t="s">
        <v>75</v>
      </c>
      <c r="AI1" s="215" t="s">
        <v>76</v>
      </c>
      <c r="AJ1" s="215" t="s">
        <v>77</v>
      </c>
    </row>
    <row r="2" spans="1:36" x14ac:dyDescent="0.3">
      <c r="A2" s="217" t="s">
        <v>82</v>
      </c>
      <c r="B2" s="218">
        <v>46053</v>
      </c>
      <c r="C2" s="219" t="s">
        <v>210</v>
      </c>
      <c r="D2" s="220" t="s">
        <v>153</v>
      </c>
      <c r="E2" s="219" t="s">
        <v>209</v>
      </c>
      <c r="F2" s="219" t="s">
        <v>80</v>
      </c>
      <c r="G2" s="221">
        <v>5.5999999999999999E-3</v>
      </c>
      <c r="H2" s="222">
        <v>179</v>
      </c>
      <c r="I2" s="222">
        <v>1</v>
      </c>
      <c r="J2" s="222">
        <v>0</v>
      </c>
      <c r="K2" s="219" t="s">
        <v>81</v>
      </c>
      <c r="L2" s="223" t="s">
        <v>170</v>
      </c>
      <c r="M2" s="222">
        <v>0</v>
      </c>
      <c r="N2" s="222">
        <v>0</v>
      </c>
      <c r="O2" s="222">
        <v>1</v>
      </c>
      <c r="P2" s="219" t="s">
        <v>115</v>
      </c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22" t="s">
        <v>119</v>
      </c>
      <c r="AF2" s="215"/>
      <c r="AG2" s="215"/>
      <c r="AH2" s="215"/>
      <c r="AI2" s="215"/>
      <c r="AJ2" s="215"/>
    </row>
    <row r="3" spans="1:36" x14ac:dyDescent="0.3">
      <c r="A3" s="217" t="s">
        <v>87</v>
      </c>
      <c r="B3" s="218">
        <v>46056</v>
      </c>
      <c r="C3" s="219" t="s">
        <v>210</v>
      </c>
      <c r="D3" s="220" t="s">
        <v>216</v>
      </c>
      <c r="E3" s="219" t="s">
        <v>209</v>
      </c>
      <c r="F3" s="219" t="s">
        <v>80</v>
      </c>
      <c r="G3" s="221">
        <v>5.5999999999999999E-3</v>
      </c>
      <c r="H3" s="222">
        <v>179</v>
      </c>
      <c r="I3" s="222">
        <v>1</v>
      </c>
      <c r="J3" s="222">
        <v>0</v>
      </c>
      <c r="K3" s="219" t="s">
        <v>81</v>
      </c>
      <c r="L3" s="223" t="s">
        <v>211</v>
      </c>
      <c r="M3" s="222">
        <v>0</v>
      </c>
      <c r="N3" s="222">
        <v>0</v>
      </c>
      <c r="O3" s="222">
        <v>1</v>
      </c>
      <c r="P3" s="219" t="s">
        <v>115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22" t="s">
        <v>119</v>
      </c>
      <c r="AF3" s="215"/>
      <c r="AG3" s="215"/>
      <c r="AH3" s="215"/>
      <c r="AI3" s="215"/>
      <c r="AJ3" s="215"/>
    </row>
    <row r="4" spans="1:36" x14ac:dyDescent="0.3">
      <c r="A4" s="217" t="s">
        <v>82</v>
      </c>
      <c r="B4" s="218">
        <v>46060</v>
      </c>
      <c r="C4" s="219" t="s">
        <v>210</v>
      </c>
      <c r="D4" s="220" t="s">
        <v>153</v>
      </c>
      <c r="E4" s="219" t="s">
        <v>209</v>
      </c>
      <c r="F4" s="219" t="s">
        <v>80</v>
      </c>
      <c r="G4" s="221">
        <v>5.5999999999999999E-3</v>
      </c>
      <c r="H4" s="222">
        <v>179</v>
      </c>
      <c r="I4" s="222">
        <v>1</v>
      </c>
      <c r="J4" s="222">
        <v>0</v>
      </c>
      <c r="K4" s="219" t="s">
        <v>81</v>
      </c>
      <c r="L4" s="223" t="s">
        <v>42</v>
      </c>
      <c r="M4" s="222">
        <v>0</v>
      </c>
      <c r="N4" s="222">
        <v>0</v>
      </c>
      <c r="O4" s="222">
        <v>1</v>
      </c>
      <c r="P4" s="219" t="s">
        <v>115</v>
      </c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22" t="s">
        <v>119</v>
      </c>
      <c r="AF4" s="215"/>
      <c r="AG4" s="215"/>
      <c r="AH4" s="215"/>
      <c r="AI4" s="215"/>
      <c r="AJ4" s="215"/>
    </row>
    <row r="5" spans="1:36" x14ac:dyDescent="0.3">
      <c r="A5" s="217" t="s">
        <v>87</v>
      </c>
      <c r="B5" s="218">
        <v>46063</v>
      </c>
      <c r="C5" s="219" t="s">
        <v>210</v>
      </c>
      <c r="D5" s="220" t="s">
        <v>216</v>
      </c>
      <c r="E5" s="219" t="s">
        <v>209</v>
      </c>
      <c r="F5" s="219" t="s">
        <v>80</v>
      </c>
      <c r="G5" s="221">
        <v>5.5999999999999999E-3</v>
      </c>
      <c r="H5" s="222">
        <v>179</v>
      </c>
      <c r="I5" s="222">
        <v>1</v>
      </c>
      <c r="J5" s="222">
        <v>0</v>
      </c>
      <c r="K5" s="219" t="s">
        <v>81</v>
      </c>
      <c r="L5" s="223" t="s">
        <v>212</v>
      </c>
      <c r="M5" s="222">
        <v>0</v>
      </c>
      <c r="N5" s="222">
        <v>0</v>
      </c>
      <c r="O5" s="222">
        <v>1</v>
      </c>
      <c r="P5" s="219" t="s">
        <v>168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22" t="s">
        <v>34</v>
      </c>
      <c r="AD5" s="215"/>
      <c r="AE5" s="215"/>
      <c r="AF5" s="215"/>
      <c r="AG5" s="215"/>
      <c r="AH5" s="215"/>
      <c r="AI5" s="215"/>
      <c r="AJ5" s="215"/>
    </row>
    <row r="6" spans="1:36" x14ac:dyDescent="0.3">
      <c r="A6" s="217" t="s">
        <v>82</v>
      </c>
      <c r="B6" s="218">
        <v>46067</v>
      </c>
      <c r="C6" s="219" t="s">
        <v>210</v>
      </c>
      <c r="D6" s="220" t="s">
        <v>153</v>
      </c>
      <c r="E6" s="219" t="s">
        <v>209</v>
      </c>
      <c r="F6" s="219" t="s">
        <v>80</v>
      </c>
      <c r="G6" s="221">
        <v>5.5999999999999999E-3</v>
      </c>
      <c r="H6" s="222">
        <v>179</v>
      </c>
      <c r="I6" s="222">
        <v>1</v>
      </c>
      <c r="J6" s="222">
        <v>0</v>
      </c>
      <c r="K6" s="219" t="s">
        <v>81</v>
      </c>
      <c r="L6" s="223" t="s">
        <v>213</v>
      </c>
      <c r="M6" s="222">
        <v>0</v>
      </c>
      <c r="N6" s="222">
        <v>0</v>
      </c>
      <c r="O6" s="222">
        <v>1</v>
      </c>
      <c r="P6" s="219" t="s">
        <v>190</v>
      </c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22" t="s">
        <v>34</v>
      </c>
      <c r="AD6" s="215"/>
      <c r="AE6" s="215"/>
      <c r="AF6" s="215"/>
      <c r="AG6" s="215"/>
      <c r="AH6" s="215"/>
      <c r="AI6" s="215"/>
      <c r="AJ6" s="215"/>
    </row>
    <row r="7" spans="1:36" x14ac:dyDescent="0.3">
      <c r="A7" s="217" t="s">
        <v>87</v>
      </c>
      <c r="B7" s="218">
        <v>46070</v>
      </c>
      <c r="C7" s="219" t="s">
        <v>210</v>
      </c>
      <c r="D7" s="220" t="s">
        <v>216</v>
      </c>
      <c r="E7" s="219" t="s">
        <v>209</v>
      </c>
      <c r="F7" s="219" t="s">
        <v>80</v>
      </c>
      <c r="G7" s="221">
        <v>5.5999999999999999E-3</v>
      </c>
      <c r="H7" s="222">
        <v>179</v>
      </c>
      <c r="I7" s="222">
        <v>1</v>
      </c>
      <c r="J7" s="222">
        <v>0</v>
      </c>
      <c r="K7" s="219" t="s">
        <v>81</v>
      </c>
      <c r="L7" s="223" t="s">
        <v>214</v>
      </c>
      <c r="M7" s="222">
        <v>0</v>
      </c>
      <c r="N7" s="222">
        <v>0</v>
      </c>
      <c r="O7" s="222">
        <v>1</v>
      </c>
      <c r="P7" s="219" t="s">
        <v>190</v>
      </c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22" t="s">
        <v>34</v>
      </c>
      <c r="AD7" s="215"/>
      <c r="AE7" s="215"/>
      <c r="AF7" s="215"/>
      <c r="AG7" s="215"/>
      <c r="AH7" s="215"/>
      <c r="AI7" s="215"/>
      <c r="AJ7" s="215"/>
    </row>
    <row r="8" spans="1:36" x14ac:dyDescent="0.3">
      <c r="A8" s="217" t="s">
        <v>82</v>
      </c>
      <c r="B8" s="218">
        <v>46074</v>
      </c>
      <c r="C8" s="219" t="s">
        <v>210</v>
      </c>
      <c r="D8" s="220" t="s">
        <v>153</v>
      </c>
      <c r="E8" s="219" t="s">
        <v>209</v>
      </c>
      <c r="F8" s="219" t="s">
        <v>80</v>
      </c>
      <c r="G8" s="221">
        <v>0</v>
      </c>
      <c r="H8" s="222">
        <v>179</v>
      </c>
      <c r="I8" s="222">
        <v>0</v>
      </c>
      <c r="J8" s="222">
        <v>0</v>
      </c>
      <c r="K8" s="219" t="s">
        <v>81</v>
      </c>
      <c r="L8" s="223" t="s">
        <v>40</v>
      </c>
      <c r="M8" s="222">
        <v>0</v>
      </c>
      <c r="N8" s="222">
        <v>0</v>
      </c>
      <c r="O8" s="222">
        <v>0</v>
      </c>
      <c r="P8" s="219" t="s">
        <v>191</v>
      </c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</row>
    <row r="9" spans="1:36" x14ac:dyDescent="0.3">
      <c r="A9" s="217" t="s">
        <v>87</v>
      </c>
      <c r="B9" s="218">
        <v>46077</v>
      </c>
      <c r="C9" s="219" t="s">
        <v>210</v>
      </c>
      <c r="D9" s="220" t="s">
        <v>216</v>
      </c>
      <c r="E9" s="219" t="s">
        <v>209</v>
      </c>
      <c r="F9" s="219" t="s">
        <v>80</v>
      </c>
      <c r="G9" s="221">
        <v>0</v>
      </c>
      <c r="H9" s="222">
        <v>179</v>
      </c>
      <c r="I9" s="222">
        <v>0</v>
      </c>
      <c r="J9" s="222">
        <v>0</v>
      </c>
      <c r="K9" s="219" t="s">
        <v>81</v>
      </c>
      <c r="L9" s="223" t="s">
        <v>40</v>
      </c>
      <c r="M9" s="222">
        <v>0</v>
      </c>
      <c r="N9" s="222">
        <v>0</v>
      </c>
      <c r="O9" s="222">
        <v>0</v>
      </c>
      <c r="P9" s="219" t="s">
        <v>191</v>
      </c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</row>
    <row r="10" spans="1:36" x14ac:dyDescent="0.3">
      <c r="A10" s="217" t="s">
        <v>82</v>
      </c>
      <c r="B10" s="218">
        <v>46081</v>
      </c>
      <c r="C10" s="219" t="s">
        <v>210</v>
      </c>
      <c r="D10" s="220" t="s">
        <v>153</v>
      </c>
      <c r="E10" s="219" t="s">
        <v>209</v>
      </c>
      <c r="F10" s="219" t="s">
        <v>80</v>
      </c>
      <c r="G10" s="221">
        <v>0</v>
      </c>
      <c r="H10" s="222">
        <v>179</v>
      </c>
      <c r="I10" s="222">
        <v>0</v>
      </c>
      <c r="J10" s="222">
        <v>0</v>
      </c>
      <c r="K10" s="219" t="s">
        <v>81</v>
      </c>
      <c r="L10" s="223" t="s">
        <v>40</v>
      </c>
      <c r="M10" s="222">
        <v>0</v>
      </c>
      <c r="N10" s="222">
        <v>0</v>
      </c>
      <c r="O10" s="222">
        <v>0</v>
      </c>
      <c r="P10" s="219" t="s">
        <v>215</v>
      </c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</row>
    <row r="11" spans="1:36" ht="21" x14ac:dyDescent="0.3">
      <c r="A11" s="224" t="s">
        <v>217</v>
      </c>
      <c r="B11" s="225"/>
      <c r="C11" s="224">
        <f>SUBTOTAL(103,ATZ_ELQ_LF_LEGACY[Flt])</f>
        <v>9</v>
      </c>
      <c r="D11" s="224"/>
      <c r="E11" s="224">
        <f>SUBTOTAL(103,ATZ_ELQ_LF_LEGACY[Brd-Off])</f>
        <v>9</v>
      </c>
      <c r="F11" s="224"/>
      <c r="G11" s="226">
        <f>SUBTOTAL(101,ATZ_ELQ_LF_LEGACY[LF%])</f>
        <v>3.7333333333333333E-3</v>
      </c>
      <c r="H11" s="227">
        <f>SUBTOTAL(109,ATZ_ELQ_LF_LEGACY[CAP])</f>
        <v>1611</v>
      </c>
      <c r="I11" s="227">
        <f>SUBTOTAL(109,ATZ_ELQ_LF_LEGACY[BKG(Y)])</f>
        <v>6</v>
      </c>
      <c r="J11" s="227">
        <f>SUBTOTAL(109,ATZ_ELQ_LF_LEGACY[GRP(Y)])</f>
        <v>0</v>
      </c>
      <c r="K11" s="224"/>
      <c r="L11" s="225"/>
      <c r="M11" s="227">
        <f>SUBTOTAL(109,ATZ_ELQ_LF_LEGACY[TO-DAY])</f>
        <v>0</v>
      </c>
      <c r="N11" s="227">
        <f>SUBTOTAL(109,ATZ_ELQ_LF_LEGACY[Y-DAY])</f>
        <v>0</v>
      </c>
      <c r="O11" s="227">
        <f>SUBTOTAL(109,ATZ_ELQ_LF_LEGACY[WEEKLY])</f>
        <v>6</v>
      </c>
      <c r="P11" s="228"/>
      <c r="Q11" s="227">
        <f>SUBTOTAL(109,ATZ_ELQ_LF_LEGACY[Y])</f>
        <v>0</v>
      </c>
      <c r="R11" s="227">
        <f>SUBTOTAL(109,ATZ_ELQ_LF_LEGACY[B])</f>
        <v>0</v>
      </c>
      <c r="S11" s="227">
        <f>SUBTOTAL(109,ATZ_ELQ_LF_LEGACY[M])</f>
        <v>0</v>
      </c>
      <c r="T11" s="227">
        <f>SUBTOTAL(109,ATZ_ELQ_LF_LEGACY[H])</f>
        <v>0</v>
      </c>
      <c r="U11" s="227">
        <f>SUBTOTAL(109,ATZ_ELQ_LF_LEGACY[Q])</f>
        <v>0</v>
      </c>
      <c r="V11" s="227">
        <f>SUBTOTAL(109,ATZ_ELQ_LF_LEGACY[K])</f>
        <v>0</v>
      </c>
      <c r="W11" s="227">
        <f>SUBTOTAL(109,ATZ_ELQ_LF_LEGACY[V])</f>
        <v>0</v>
      </c>
      <c r="X11" s="227">
        <f>SUBTOTAL(109,ATZ_ELQ_LF_LEGACY[L])</f>
        <v>0</v>
      </c>
      <c r="Y11" s="227">
        <f>SUBTOTAL(109,ATZ_ELQ_LF_LEGACY[G])</f>
        <v>0</v>
      </c>
      <c r="Z11" s="227">
        <f>SUBTOTAL(109,ATZ_ELQ_LF_LEGACY[S])</f>
        <v>0</v>
      </c>
      <c r="AA11" s="227">
        <f>SUBTOTAL(109,ATZ_ELQ_LF_LEGACY[W])</f>
        <v>0</v>
      </c>
      <c r="AB11" s="227">
        <f>SUBTOTAL(109,ATZ_ELQ_LF_LEGACY[T])</f>
        <v>0</v>
      </c>
      <c r="AC11" s="227">
        <f>SUBTOTAL(109,ATZ_ELQ_LF_LEGACY[X])</f>
        <v>0</v>
      </c>
      <c r="AD11" s="227">
        <f>SUBTOTAL(109,ATZ_ELQ_LF_LEGACY[U])</f>
        <v>0</v>
      </c>
      <c r="AE11" s="227">
        <f>SUBTOTAL(109,ATZ_ELQ_LF_LEGACY[O])</f>
        <v>0</v>
      </c>
      <c r="AF11" s="227">
        <f>SUBTOTAL(109,ATZ_ELQ_LF_LEGACY[I])</f>
        <v>0</v>
      </c>
      <c r="AG11" s="227">
        <f>SUBTOTAL(109,ATZ_ELQ_LF_LEGACY[E])</f>
        <v>0</v>
      </c>
      <c r="AH11" s="227">
        <f>SUBTOTAL(109,ATZ_ELQ_LF_LEGACY[A])</f>
        <v>0</v>
      </c>
      <c r="AI11" s="227">
        <f>SUBTOTAL(109,ATZ_ELQ_LF_LEGACY[P])</f>
        <v>0</v>
      </c>
      <c r="AJ11" s="227">
        <f>SUBTOTAL(103,ATZ_ELQ_LF_LEGACY[N])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ATZ-MED</vt:lpstr>
      <vt:lpstr>ATZ-MED LF LEGACY</vt:lpstr>
      <vt:lpstr>ATZ-JED</vt:lpstr>
      <vt:lpstr>ATZ-JED LF LEGACY</vt:lpstr>
      <vt:lpstr>ATZ-RUH</vt:lpstr>
      <vt:lpstr>ATZ-RUH LF LEGACY</vt:lpstr>
      <vt:lpstr>ATZ-DMM</vt:lpstr>
      <vt:lpstr>ATZ-DMM LF LEGACY</vt:lpstr>
      <vt:lpstr>ATZ-TUU</vt:lpstr>
      <vt:lpstr>ATZ-TUU LF LEGACY</vt:lpstr>
      <vt:lpstr>ATZ-AJF</vt:lpstr>
      <vt:lpstr>ATZ-AJF LF LEGACY</vt:lpstr>
      <vt:lpstr>ATZ-AHB</vt:lpstr>
      <vt:lpstr>ATZ-AHB LF LEGACY</vt:lpstr>
      <vt:lpstr>ATZ-ELQ</vt:lpstr>
      <vt:lpstr>ATZ-ELQ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2025-11-22T23:44:39Z</dcterms:created>
  <dcterms:modified xsi:type="dcterms:W3CDTF">2025-11-22T23:44:59Z</dcterms:modified>
</cp:coreProperties>
</file>