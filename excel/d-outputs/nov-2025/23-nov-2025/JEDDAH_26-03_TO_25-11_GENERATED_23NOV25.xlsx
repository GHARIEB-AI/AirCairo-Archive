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9D7741B-0DFE-430E-9698-EDBE224F3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HBE" sheetId="3" r:id="rId3"/>
    <sheet name="JED-HBE LF LEGACY" sheetId="4" r:id="rId4"/>
    <sheet name="JED-ATZ" sheetId="5" r:id="rId5"/>
    <sheet name="JED-ATZ LF LEGACY" sheetId="6" r:id="rId6"/>
    <sheet name="JED-LXR" sheetId="7" r:id="rId7"/>
    <sheet name="JED-LXR LF LEGACY" sheetId="8" r:id="rId8"/>
    <sheet name="JED-ASW" sheetId="9" r:id="rId9"/>
    <sheet name="JED-ASW LF LEGACY" sheetId="10" r:id="rId10"/>
    <sheet name="JED-SSH" sheetId="11" r:id="rId11"/>
    <sheet name="JED-SSH LF LEGACY" sheetId="12" r:id="rId12"/>
    <sheet name="JED-HRG" sheetId="13" r:id="rId13"/>
    <sheet name="JED-HRG LF LEGA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0" l="1"/>
  <c r="E7" i="10"/>
  <c r="G7" i="10"/>
  <c r="H7" i="10"/>
  <c r="I7" i="10"/>
  <c r="J7" i="10"/>
  <c r="M7" i="10"/>
  <c r="N7" i="10"/>
  <c r="O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C18" i="8"/>
  <c r="E18" i="8"/>
  <c r="G18" i="8"/>
  <c r="H18" i="8"/>
  <c r="I18" i="8"/>
  <c r="J18" i="8"/>
  <c r="M18" i="8"/>
  <c r="N18" i="8"/>
  <c r="O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C79" i="6"/>
  <c r="E79" i="6"/>
  <c r="G79" i="6"/>
  <c r="H79" i="6"/>
  <c r="I79" i="6"/>
  <c r="J79" i="6"/>
  <c r="M79" i="6"/>
  <c r="N79" i="6"/>
  <c r="O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C115" i="4"/>
  <c r="E115" i="4"/>
  <c r="G115" i="4"/>
  <c r="H115" i="4"/>
  <c r="I115" i="4"/>
  <c r="J115" i="4"/>
  <c r="M115" i="4"/>
  <c r="N115" i="4"/>
  <c r="O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C321" i="2"/>
  <c r="E321" i="2"/>
  <c r="G321" i="2"/>
  <c r="H321" i="2"/>
  <c r="I321" i="2"/>
  <c r="J321" i="2"/>
  <c r="M321" i="2"/>
  <c r="N321" i="2"/>
  <c r="O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</calcChain>
</file>

<file path=xl/sharedStrings.xml><?xml version="1.0" encoding="utf-8"?>
<sst xmlns="http://schemas.openxmlformats.org/spreadsheetml/2006/main" count="12986" uniqueCount="516">
  <si>
    <t>COMPREHENSIVE REPORT</t>
  </si>
  <si>
    <t>JED-CAI</t>
  </si>
  <si>
    <t>FROM</t>
  </si>
  <si>
    <t>2025-12-26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</si>
  <si>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</si>
  <si>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</si>
  <si>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</si>
  <si>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</si>
  <si>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</si>
  <si>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</si>
  <si>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</si>
  <si>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</si>
  <si>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</si>
  <si>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</si>
  <si>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</si>
  <si>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</si>
  <si>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</si>
  <si>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</si>
  <si>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</si>
  <si>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</si>
  <si>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</si>
  <si>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</si>
  <si>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</si>
  <si>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</si>
  <si>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</si>
  <si>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</si>
  <si>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</si>
  <si>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</si>
  <si>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</si>
  <si>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SM424</t>
  </si>
  <si>
    <t>30KG + 7KG CABIN</t>
  </si>
  <si>
    <t>LOW DEMAND</t>
  </si>
  <si>
    <t>2025-11-20 00:00:00</t>
  </si>
  <si>
    <t>O9</t>
  </si>
  <si>
    <t>W1 &amp; I10</t>
  </si>
  <si>
    <t>SM476</t>
  </si>
  <si>
    <t>2025-11-22 00:00:00</t>
  </si>
  <si>
    <t>I10</t>
  </si>
  <si>
    <t>SM478</t>
  </si>
  <si>
    <t>2025-11-18 00:00:00</t>
  </si>
  <si>
    <t>SM480</t>
  </si>
  <si>
    <t>2025-11-10 00:00:00</t>
  </si>
  <si>
    <t>I1</t>
  </si>
  <si>
    <t>I9</t>
  </si>
  <si>
    <t>SM472</t>
  </si>
  <si>
    <t>2025-11-21 00:00:00</t>
  </si>
  <si>
    <t>O8</t>
  </si>
  <si>
    <t>O2 &amp; I11</t>
  </si>
  <si>
    <t>SM460</t>
  </si>
  <si>
    <t>SEATS AVAILABLE</t>
  </si>
  <si>
    <t>I10 &amp; P90</t>
  </si>
  <si>
    <t>SM450</t>
  </si>
  <si>
    <t>2025-11-04 00:00:00</t>
  </si>
  <si>
    <t>I10 &amp; P137</t>
  </si>
  <si>
    <t>HIGH DEMAND</t>
  </si>
  <si>
    <t>O2</t>
  </si>
  <si>
    <t>U3 &amp; O8 &amp; I10 &amp; P135</t>
  </si>
  <si>
    <t>FULLY BOOKED</t>
  </si>
  <si>
    <t>CLOSED</t>
  </si>
  <si>
    <t>E114 &amp; P90</t>
  </si>
  <si>
    <t>2025-11-16 00:00:00</t>
  </si>
  <si>
    <t>O1 &amp; I10 &amp; E56 &amp; P90</t>
  </si>
  <si>
    <t>2025-11-19 00:00:00</t>
  </si>
  <si>
    <t>O5</t>
  </si>
  <si>
    <t>S3 &amp; O5 &amp; I10 &amp; P90</t>
  </si>
  <si>
    <t>O5 &amp; I10 &amp; P135</t>
  </si>
  <si>
    <t>I2</t>
  </si>
  <si>
    <t>S1 &amp; X1 &amp; I8</t>
  </si>
  <si>
    <t>2025-11-08 00:00:00</t>
  </si>
  <si>
    <t>O7</t>
  </si>
  <si>
    <t>S6 &amp; O3 &amp; I10 &amp; P135</t>
  </si>
  <si>
    <t>O3 &amp; I10 &amp; P45</t>
  </si>
  <si>
    <t>2025-11-13 00:00:00</t>
  </si>
  <si>
    <t>O1</t>
  </si>
  <si>
    <t>S14 &amp; W3 &amp; X1 &amp; O1 &amp; I10 &amp; P135</t>
  </si>
  <si>
    <t>W9</t>
  </si>
  <si>
    <t>T17 &amp; X5 &amp; U9 &amp; O10 &amp; I10</t>
  </si>
  <si>
    <t>O2 &amp; I10 &amp; P90</t>
  </si>
  <si>
    <t>O4</t>
  </si>
  <si>
    <t>O6 &amp; I11 &amp; P90</t>
  </si>
  <si>
    <t>U9</t>
  </si>
  <si>
    <t>O10 &amp; I10 &amp; P90</t>
  </si>
  <si>
    <t>O2 &amp; I10 &amp; P45</t>
  </si>
  <si>
    <t>O3</t>
  </si>
  <si>
    <t>O7 &amp; I10 &amp; P135</t>
  </si>
  <si>
    <t>2025-11-17 00:00:00</t>
  </si>
  <si>
    <t>U1 &amp; O10 &amp; I10 &amp; P90</t>
  </si>
  <si>
    <t>U6</t>
  </si>
  <si>
    <t>S1 &amp; U5 &amp; O10 &amp; I10 &amp; P90</t>
  </si>
  <si>
    <t>U2</t>
  </si>
  <si>
    <t>G1 &amp; U9 &amp; O10 &amp; I10 &amp; P90</t>
  </si>
  <si>
    <t>2026-11-20 00:00:00</t>
  </si>
  <si>
    <t>U8</t>
  </si>
  <si>
    <t>X2 &amp; U2</t>
  </si>
  <si>
    <t>2026-11-19 00:00:00</t>
  </si>
  <si>
    <t>U7</t>
  </si>
  <si>
    <t>S6 &amp; U3 &amp; P45</t>
  </si>
  <si>
    <t>2026-11-22 00:00:00</t>
  </si>
  <si>
    <t>E130</t>
  </si>
  <si>
    <t>2026-11-12 00:00:00</t>
  </si>
  <si>
    <t>X1 &amp; U4 &amp; E40 &amp; P90</t>
  </si>
  <si>
    <t>SM432</t>
  </si>
  <si>
    <t>X9</t>
  </si>
  <si>
    <t>X3 &amp; P45</t>
  </si>
  <si>
    <t>X3</t>
  </si>
  <si>
    <t>X7 &amp; P140</t>
  </si>
  <si>
    <t>2026-11-18 00:00:00</t>
  </si>
  <si>
    <t>X1 &amp; P140 &amp; N6</t>
  </si>
  <si>
    <t>NO BOOKINGS YET</t>
  </si>
  <si>
    <t>NIL</t>
  </si>
  <si>
    <t>2026-11-17 00:00:00</t>
  </si>
  <si>
    <t>X1 &amp; U8 &amp; P90</t>
  </si>
  <si>
    <t>X1 &amp; U10 &amp; P45</t>
  </si>
  <si>
    <t>2026-11-21 00:00:00</t>
  </si>
  <si>
    <t>U1</t>
  </si>
  <si>
    <t>X3 &amp; U9 &amp; P80</t>
  </si>
  <si>
    <t>2026-11-09 00:00:00</t>
  </si>
  <si>
    <t>K2 &amp; P90</t>
  </si>
  <si>
    <t>U10 &amp; P135</t>
  </si>
  <si>
    <t>2026-11-03 00:00:00</t>
  </si>
  <si>
    <t>U10 &amp; P157</t>
  </si>
  <si>
    <t>X5 &amp; E160</t>
  </si>
  <si>
    <t>2026-10-31 00:00:00</t>
  </si>
  <si>
    <t>P135</t>
  </si>
  <si>
    <t>U3 &amp; P130</t>
  </si>
  <si>
    <t>U8 &amp; I1 &amp; P90</t>
  </si>
  <si>
    <t>2026-09-25 00:00:00</t>
  </si>
  <si>
    <t>U3</t>
  </si>
  <si>
    <t>S1 &amp; U7 &amp; P136</t>
  </si>
  <si>
    <t>2026-11-16 00:00:00</t>
  </si>
  <si>
    <t>X1 &amp; U10 &amp; E45 &amp; P46</t>
  </si>
  <si>
    <t>S9 &amp; U2 &amp; P135</t>
  </si>
  <si>
    <t>U10</t>
  </si>
  <si>
    <t>U4</t>
  </si>
  <si>
    <t>U6 &amp; E45</t>
  </si>
  <si>
    <t>X1 &amp; U3</t>
  </si>
  <si>
    <t>U2 &amp; P45</t>
  </si>
  <si>
    <t>U3 &amp; P135</t>
  </si>
  <si>
    <t>X1 &amp; U10 &amp; P90</t>
  </si>
  <si>
    <t>T1 &amp; U10 &amp; P135</t>
  </si>
  <si>
    <t>2026-11-08 00:00:00</t>
  </si>
  <si>
    <t>X1 &amp; U10 &amp; E45 &amp; P45</t>
  </si>
  <si>
    <t>X8</t>
  </si>
  <si>
    <t>L5 &amp; X4 &amp; U10</t>
  </si>
  <si>
    <t>X7</t>
  </si>
  <si>
    <t>X5 &amp; U10</t>
  </si>
  <si>
    <t>L8 &amp; G2 &amp; U10 &amp; E45</t>
  </si>
  <si>
    <t>X4 &amp; U10 &amp; P75</t>
  </si>
  <si>
    <t>X4</t>
  </si>
  <si>
    <t>X8 &amp; P135</t>
  </si>
  <si>
    <t>S7</t>
  </si>
  <si>
    <t>S5 &amp; W12 &amp; T12 &amp; X12 &amp; U10 &amp; P45</t>
  </si>
  <si>
    <t>S2</t>
  </si>
  <si>
    <t>S10 &amp; W12 &amp; T12 &amp; X12 &amp; U10 &amp; P45</t>
  </si>
  <si>
    <t>T4</t>
  </si>
  <si>
    <t>G4 &amp; T8 &amp; X12 &amp; U10</t>
  </si>
  <si>
    <t>T3</t>
  </si>
  <si>
    <t>S1 &amp; T9 &amp; X12 &amp; U10</t>
  </si>
  <si>
    <t>W2</t>
  </si>
  <si>
    <t>G1 &amp; S3 &amp; W10 &amp; T12 &amp; X12 &amp; U10</t>
  </si>
  <si>
    <t>X1</t>
  </si>
  <si>
    <t>T10 &amp; X11 &amp; U10</t>
  </si>
  <si>
    <t>T12 &amp; X12 &amp; U10 &amp; P45</t>
  </si>
  <si>
    <t>T7</t>
  </si>
  <si>
    <t>T1 &amp; X12 &amp; U10 &amp; P135</t>
  </si>
  <si>
    <t>X3 &amp; U9 &amp; E45 &amp; P45</t>
  </si>
  <si>
    <t>2026-11-14 00:00:00</t>
  </si>
  <si>
    <t>G5 &amp; X3 &amp; U10 &amp; P135</t>
  </si>
  <si>
    <t>X4 &amp; U10 &amp; P135</t>
  </si>
  <si>
    <t>U1 &amp; E60</t>
  </si>
  <si>
    <t>U1 &amp; P45</t>
  </si>
  <si>
    <t>2026-10-27 00:00:00</t>
  </si>
  <si>
    <t>O7 &amp; I7 &amp; P135</t>
  </si>
  <si>
    <t>U4 &amp; E90</t>
  </si>
  <si>
    <t>2026-11-05 00:00:00</t>
  </si>
  <si>
    <t>U2 &amp; P135</t>
  </si>
  <si>
    <t>U2 &amp; E45 &amp; P45</t>
  </si>
  <si>
    <t>2026-11-13 00:00:00</t>
  </si>
  <si>
    <t>U4 &amp; P135</t>
  </si>
  <si>
    <t>2026-10-20 00:00:00</t>
  </si>
  <si>
    <t>E45</t>
  </si>
  <si>
    <t>U3 &amp; P45</t>
  </si>
  <si>
    <t>2026-10-14 00:00:00</t>
  </si>
  <si>
    <t>2026-11-15 00:00:00</t>
  </si>
  <si>
    <t>U8 &amp; P135</t>
  </si>
  <si>
    <t>U4 &amp; E45 &amp; P45</t>
  </si>
  <si>
    <t>U5</t>
  </si>
  <si>
    <t>X1 &amp; U5</t>
  </si>
  <si>
    <t>X2 &amp; U1</t>
  </si>
  <si>
    <t>S1 &amp; U2</t>
  </si>
  <si>
    <t>2026-10-13 00:00:00</t>
  </si>
  <si>
    <t>2026-10-28 00:00:00</t>
  </si>
  <si>
    <t>X2</t>
  </si>
  <si>
    <t>T9 &amp; X10 &amp; U10</t>
  </si>
  <si>
    <t>2026-10-30 00:00:00</t>
  </si>
  <si>
    <t>T8 &amp; X8 &amp; U9</t>
  </si>
  <si>
    <t>2026-10-26 00:00:00</t>
  </si>
  <si>
    <t>2026-11-11 00:00:00</t>
  </si>
  <si>
    <t>S3</t>
  </si>
  <si>
    <t>2026-10-22 00:00:00</t>
  </si>
  <si>
    <t>X4 &amp; U1</t>
  </si>
  <si>
    <t>E50</t>
  </si>
  <si>
    <t>M1 &amp; U1</t>
  </si>
  <si>
    <t>2026-07-07 00:00:00</t>
  </si>
  <si>
    <t>P20</t>
  </si>
  <si>
    <t>2026-10-08 00:00:00</t>
  </si>
  <si>
    <t>2026-10-29 00:00:00</t>
  </si>
  <si>
    <t>2026-11-02 00:00:00</t>
  </si>
  <si>
    <t>S1</t>
  </si>
  <si>
    <t>2026-09-02 00:00:00</t>
  </si>
  <si>
    <t>P30</t>
  </si>
  <si>
    <t>U4 &amp; E105</t>
  </si>
  <si>
    <t>2026-10-07 00:00:00</t>
  </si>
  <si>
    <t>X3 &amp; U10</t>
  </si>
  <si>
    <t>U10 &amp; E45</t>
  </si>
  <si>
    <t>K1 &amp; U8</t>
  </si>
  <si>
    <t>U4 &amp; O9 &amp; E25</t>
  </si>
  <si>
    <t>2026-11-01 00:00:00</t>
  </si>
  <si>
    <t>S1 &amp; U10</t>
  </si>
  <si>
    <t>S19 &amp; U1</t>
  </si>
  <si>
    <t>2026-11-06 00:00:00</t>
  </si>
  <si>
    <t>S1 &amp; U4</t>
  </si>
  <si>
    <t>S1 &amp; X3 &amp; U10</t>
  </si>
  <si>
    <t>X4 &amp; U10</t>
  </si>
  <si>
    <t>I3</t>
  </si>
  <si>
    <t>U7 &amp; I2</t>
  </si>
  <si>
    <t>U1 &amp; I3</t>
  </si>
  <si>
    <t>I5</t>
  </si>
  <si>
    <t>X2 &amp; U9 &amp; I4</t>
  </si>
  <si>
    <t>U10 &amp; I4</t>
  </si>
  <si>
    <t>I4</t>
  </si>
  <si>
    <t>U10 &amp; I1</t>
  </si>
  <si>
    <t>X1 &amp; U8</t>
  </si>
  <si>
    <t>S1 &amp; U3 &amp; I2</t>
  </si>
  <si>
    <t>I7</t>
  </si>
  <si>
    <t>U9 &amp; I8</t>
  </si>
  <si>
    <t>U2 &amp; I1</t>
  </si>
  <si>
    <t>S1 &amp; U4 &amp; I1</t>
  </si>
  <si>
    <t>U3 &amp; I2</t>
  </si>
  <si>
    <t>2026-07-09 00:00:00</t>
  </si>
  <si>
    <t>E40</t>
  </si>
  <si>
    <t>S1 &amp; U4 &amp; I3</t>
  </si>
  <si>
    <t>W1 &amp; I2</t>
  </si>
  <si>
    <t>S1 &amp; U7 &amp; I1</t>
  </si>
  <si>
    <t>O1 &amp; I10</t>
  </si>
  <si>
    <t>2026-08-31 00:00:00</t>
  </si>
  <si>
    <t>S2 &amp; I4</t>
  </si>
  <si>
    <t>I8</t>
  </si>
  <si>
    <t>I14</t>
  </si>
  <si>
    <t>I6</t>
  </si>
  <si>
    <t>U1 &amp; I2</t>
  </si>
  <si>
    <t>2026-07-08 00:00:00</t>
  </si>
  <si>
    <t>E25</t>
  </si>
  <si>
    <t>U5 &amp; I1</t>
  </si>
  <si>
    <t>U1 &amp; I5</t>
  </si>
  <si>
    <t>2026-09-21 00:00:00</t>
  </si>
  <si>
    <t>U1 &amp; E40</t>
  </si>
  <si>
    <t>S6 &amp; U9 &amp; I2</t>
  </si>
  <si>
    <t>U1 &amp; I1</t>
  </si>
  <si>
    <t>S2 &amp; U5 &amp; I8</t>
  </si>
  <si>
    <t>2026-11-10 00:00:00</t>
  </si>
  <si>
    <t>U1 &amp; I4</t>
  </si>
  <si>
    <t>X3 &amp; U7 &amp; I3</t>
  </si>
  <si>
    <t>S3 &amp; U2 &amp; E40</t>
  </si>
  <si>
    <t>S1 &amp; I2</t>
  </si>
  <si>
    <t>S1 &amp; I1</t>
  </si>
  <si>
    <t>X1 &amp; U10</t>
  </si>
  <si>
    <t>2026-10-18 00:00:00</t>
  </si>
  <si>
    <t>B2 &amp; U5 &amp; E100</t>
  </si>
  <si>
    <t>X5</t>
  </si>
  <si>
    <t>X7 &amp; U10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</si>
  <si>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</si>
  <si>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</si>
  <si>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</si>
  <si>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</si>
  <si>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</si>
  <si>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</si>
  <si>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</si>
  <si>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</si>
  <si>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</si>
  <si>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</si>
  <si>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</si>
  <si>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</si>
  <si>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</si>
  <si>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</si>
  <si>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</si>
  <si>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</si>
  <si>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</si>
  <si>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</si>
  <si>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</si>
  <si>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</si>
  <si>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</si>
  <si>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</si>
  <si>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</si>
  <si>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</si>
  <si>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</si>
  <si>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</si>
  <si>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</si>
  <si>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</si>
  <si>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</si>
  <si>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</si>
  <si>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</si>
  <si>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</si>
  <si>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</si>
  <si>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W1</t>
  </si>
  <si>
    <t>07:40</t>
  </si>
  <si>
    <t>11:00</t>
  </si>
  <si>
    <t>14:45</t>
  </si>
  <si>
    <t>17:40</t>
  </si>
  <si>
    <t>I11</t>
  </si>
  <si>
    <t>22:30</t>
  </si>
  <si>
    <t>P90</t>
  </si>
  <si>
    <t>SATURDAY</t>
  </si>
  <si>
    <t>05:40</t>
  </si>
  <si>
    <t>08:00</t>
  </si>
  <si>
    <t>P137</t>
  </si>
  <si>
    <t>16:20</t>
  </si>
  <si>
    <t>SUNDAY</t>
  </si>
  <si>
    <t>02:00</t>
  </si>
  <si>
    <t>E114</t>
  </si>
  <si>
    <t>E56</t>
  </si>
  <si>
    <t>12:15</t>
  </si>
  <si>
    <t>15:10</t>
  </si>
  <si>
    <t>MONDAY</t>
  </si>
  <si>
    <t>00:10</t>
  </si>
  <si>
    <t>10:10</t>
  </si>
  <si>
    <t>S6</t>
  </si>
  <si>
    <t>P45</t>
  </si>
  <si>
    <t>23:30</t>
  </si>
  <si>
    <t>S14</t>
  </si>
  <si>
    <t>W3</t>
  </si>
  <si>
    <t>TUESDAY</t>
  </si>
  <si>
    <t>05:30</t>
  </si>
  <si>
    <t>T17</t>
  </si>
  <si>
    <t>O10</t>
  </si>
  <si>
    <t>13:25</t>
  </si>
  <si>
    <t>O6</t>
  </si>
  <si>
    <t>17:30</t>
  </si>
  <si>
    <t>22:25</t>
  </si>
  <si>
    <t>23:15</t>
  </si>
  <si>
    <t>WEDNESDAY</t>
  </si>
  <si>
    <t>11:30</t>
  </si>
  <si>
    <t>12:30</t>
  </si>
  <si>
    <t>G1</t>
  </si>
  <si>
    <t>THURSDAY</t>
  </si>
  <si>
    <t>01:10</t>
  </si>
  <si>
    <t>06:05</t>
  </si>
  <si>
    <t>08:45</t>
  </si>
  <si>
    <t>14:00</t>
  </si>
  <si>
    <t>P140</t>
  </si>
  <si>
    <t>17:45</t>
  </si>
  <si>
    <t>N6</t>
  </si>
  <si>
    <t>P80</t>
  </si>
  <si>
    <t>K2</t>
  </si>
  <si>
    <t>P157</t>
  </si>
  <si>
    <t>E160</t>
  </si>
  <si>
    <t>P130</t>
  </si>
  <si>
    <t>P136</t>
  </si>
  <si>
    <t>P46</t>
  </si>
  <si>
    <t>S9</t>
  </si>
  <si>
    <t>T1</t>
  </si>
  <si>
    <t>L5</t>
  </si>
  <si>
    <t>L8</t>
  </si>
  <si>
    <t>G2</t>
  </si>
  <si>
    <t>P75</t>
  </si>
  <si>
    <t>S5</t>
  </si>
  <si>
    <t>W12</t>
  </si>
  <si>
    <t>T12</t>
  </si>
  <si>
    <t>X12</t>
  </si>
  <si>
    <t>S10</t>
  </si>
  <si>
    <t>G4</t>
  </si>
  <si>
    <t>T8</t>
  </si>
  <si>
    <t>T9</t>
  </si>
  <si>
    <t>W10</t>
  </si>
  <si>
    <t>T10</t>
  </si>
  <si>
    <t>X11</t>
  </si>
  <si>
    <t>G5</t>
  </si>
  <si>
    <t>E60</t>
  </si>
  <si>
    <t>E90</t>
  </si>
  <si>
    <t>X10</t>
  </si>
  <si>
    <t>M1</t>
  </si>
  <si>
    <t>E105</t>
  </si>
  <si>
    <t>K1</t>
  </si>
  <si>
    <t>S19</t>
  </si>
  <si>
    <t>B2</t>
  </si>
  <si>
    <t>E100</t>
  </si>
  <si>
    <t>JED-HBE</t>
  </si>
  <si>
    <t>SM452</t>
  </si>
  <si>
    <t>X6</t>
  </si>
  <si>
    <t>S1 &amp; X6 &amp; U10 &amp; E30 &amp; P35</t>
  </si>
  <si>
    <t>SM458</t>
  </si>
  <si>
    <t>2025-11-06 00:00:00</t>
  </si>
  <si>
    <t>U2 &amp; P90</t>
  </si>
  <si>
    <t>U3 &amp; P90</t>
  </si>
  <si>
    <t>2025-10-31 00:00:00</t>
  </si>
  <si>
    <t>S2 &amp; U1 &amp; P135</t>
  </si>
  <si>
    <t>S5 &amp; O4 &amp; I8 &amp; P135</t>
  </si>
  <si>
    <t>U9 &amp; P90</t>
  </si>
  <si>
    <t>S3 &amp; U8 &amp; P130</t>
  </si>
  <si>
    <t>SM474</t>
  </si>
  <si>
    <t>U5 &amp; P135</t>
  </si>
  <si>
    <t>U6 &amp; E40 &amp; P125</t>
  </si>
  <si>
    <t>G1 &amp; X14 &amp; P135</t>
  </si>
  <si>
    <t>X13</t>
  </si>
  <si>
    <t>X2 &amp; P135</t>
  </si>
  <si>
    <t>U2 &amp; O8 &amp; I8 &amp; P135</t>
  </si>
  <si>
    <t>X11 &amp; P130</t>
  </si>
  <si>
    <t>2026-08-25 00:00:00</t>
  </si>
  <si>
    <t>P170</t>
  </si>
  <si>
    <t>T1 &amp; X16 &amp; P135</t>
  </si>
  <si>
    <t>S2 &amp; T12 &amp; X16 &amp; P45</t>
  </si>
  <si>
    <t>X14 &amp; P135</t>
  </si>
  <si>
    <t>X9 &amp; P135</t>
  </si>
  <si>
    <t>X1 &amp; P136</t>
  </si>
  <si>
    <t>X1 &amp; P135</t>
  </si>
  <si>
    <t>X1 &amp; I1 &amp; P85 &amp; N1</t>
  </si>
  <si>
    <t>P125</t>
  </si>
  <si>
    <t>S1 &amp; X4 &amp; P135</t>
  </si>
  <si>
    <t>2026-11-07 00:00:00</t>
  </si>
  <si>
    <t>S3 &amp; X2 &amp; P130</t>
  </si>
  <si>
    <t>S1 &amp; X8</t>
  </si>
  <si>
    <t>X4 &amp; P135</t>
  </si>
  <si>
    <t>X6 &amp; P135</t>
  </si>
  <si>
    <t>X1 &amp; P130</t>
  </si>
  <si>
    <t>X3 &amp; P135</t>
  </si>
  <si>
    <t>X1 &amp; P170</t>
  </si>
  <si>
    <t>S1 &amp; X12</t>
  </si>
  <si>
    <t>U6 &amp; P135</t>
  </si>
  <si>
    <t>U4 &amp; P130</t>
  </si>
  <si>
    <t>U1 &amp; P135</t>
  </si>
  <si>
    <t>U4 &amp; I1 &amp; P135</t>
  </si>
  <si>
    <t>X5 &amp; U9 &amp; P135</t>
  </si>
  <si>
    <t>O4 &amp; P135</t>
  </si>
  <si>
    <t>S3 &amp; U2 &amp; P135</t>
  </si>
  <si>
    <t>X2 &amp; U2 &amp; P135</t>
  </si>
  <si>
    <t>X1 &amp; U7 &amp; P130</t>
  </si>
  <si>
    <t>O8 &amp; P170</t>
  </si>
  <si>
    <t>S1 &amp; U1 &amp; O1 &amp; P135</t>
  </si>
  <si>
    <t>S2 &amp; U1 &amp; O1</t>
  </si>
  <si>
    <t>2026-09-06 00:00:00</t>
  </si>
  <si>
    <t>U2 &amp; O3</t>
  </si>
  <si>
    <t>S3 &amp; U8 &amp; O3</t>
  </si>
  <si>
    <t>U4 &amp; O4</t>
  </si>
  <si>
    <t>2026-10-25 00:00:00</t>
  </si>
  <si>
    <t>S1 &amp; U2 &amp; O1</t>
  </si>
  <si>
    <t>X2 &amp; U9</t>
  </si>
  <si>
    <t>10:00</t>
  </si>
  <si>
    <t>E30</t>
  </si>
  <si>
    <t>P35</t>
  </si>
  <si>
    <t>19:00</t>
  </si>
  <si>
    <t>11:45</t>
  </si>
  <si>
    <t>16:30</t>
  </si>
  <si>
    <t>08:05</t>
  </si>
  <si>
    <t>15:30</t>
  </si>
  <si>
    <t>22:50</t>
  </si>
  <si>
    <t>09:50</t>
  </si>
  <si>
    <t>15:45</t>
  </si>
  <si>
    <t>17:15</t>
  </si>
  <si>
    <t>06:35</t>
  </si>
  <si>
    <t>X14</t>
  </si>
  <si>
    <t>17:00</t>
  </si>
  <si>
    <t>X16</t>
  </si>
  <si>
    <t>P85</t>
  </si>
  <si>
    <t>N1</t>
  </si>
  <si>
    <t>JED-ATZ</t>
  </si>
  <si>
    <t>2026-01-28</t>
  </si>
  <si>
    <t>SM454</t>
  </si>
  <si>
    <t>G1 &amp; I1</t>
  </si>
  <si>
    <t>SM492</t>
  </si>
  <si>
    <t>SM422</t>
  </si>
  <si>
    <t>SM456</t>
  </si>
  <si>
    <t>L2 &amp; I3</t>
  </si>
  <si>
    <t>S1 &amp; U2 &amp; O2 &amp; I4</t>
  </si>
  <si>
    <t>O2 &amp; I4</t>
  </si>
  <si>
    <t>O1 &amp; I4</t>
  </si>
  <si>
    <t>S3 &amp; U1 &amp; O2 &amp; I4</t>
  </si>
  <si>
    <t>X1 &amp; U3 &amp; O2 &amp; I4</t>
  </si>
  <si>
    <t>2026-08-21 00:00:00</t>
  </si>
  <si>
    <t>W4</t>
  </si>
  <si>
    <t>V1 &amp; X4</t>
  </si>
  <si>
    <t>G1 &amp; W1</t>
  </si>
  <si>
    <t>W1 &amp; X1</t>
  </si>
  <si>
    <t>2026-10-21 00:00:00</t>
  </si>
  <si>
    <t>S4</t>
  </si>
  <si>
    <t>K1 &amp; S1 &amp; W5</t>
  </si>
  <si>
    <t>2026-08-15 00:00:00</t>
  </si>
  <si>
    <t>2026-10-12 00:00:00</t>
  </si>
  <si>
    <t>S1 &amp; X1</t>
  </si>
  <si>
    <t>W5</t>
  </si>
  <si>
    <t>06:25</t>
  </si>
  <si>
    <t>07:00</t>
  </si>
  <si>
    <t>L2</t>
  </si>
  <si>
    <t>07:15</t>
  </si>
  <si>
    <t>11:05</t>
  </si>
  <si>
    <t>18:25</t>
  </si>
  <si>
    <t>20:25</t>
  </si>
  <si>
    <t>08:30</t>
  </si>
  <si>
    <t>12:10</t>
  </si>
  <si>
    <t>07:45</t>
  </si>
  <si>
    <t>V1</t>
  </si>
  <si>
    <t>JED-LXR</t>
  </si>
  <si>
    <t>SM482</t>
  </si>
  <si>
    <t>SM430</t>
  </si>
  <si>
    <t>SM982</t>
  </si>
  <si>
    <t>SM484</t>
  </si>
  <si>
    <t>08:15</t>
  </si>
  <si>
    <t>18:45</t>
  </si>
  <si>
    <t>18:30</t>
  </si>
  <si>
    <t>JED-ASW</t>
  </si>
  <si>
    <t>SM426</t>
  </si>
  <si>
    <t>SM950</t>
  </si>
  <si>
    <t>SM986</t>
  </si>
  <si>
    <t>15:15</t>
  </si>
  <si>
    <t>JED-SSH</t>
  </si>
  <si>
    <t>JED-HRG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</si>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</sst>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67" fontId="15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167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168" fontId="13" fillId="10" borderId="5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16" fontId="12" fillId="10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167" fontId="12" fillId="10" borderId="5" xfId="0" applyNumberFormat="1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67" fontId="15" fillId="11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68" fontId="13" fillId="11" borderId="5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167" fontId="15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68" fontId="13" fillId="12" borderId="5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167" fontId="12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5" fillId="13" borderId="7" xfId="0" applyNumberFormat="1" applyFont="1" applyFill="1" applyBorder="1" applyAlignment="1">
      <alignment horizontal="center" vertical="center"/>
    </xf>
    <xf numFmtId="167" fontId="15" fillId="13" borderId="7" xfId="0" applyNumberFormat="1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49" fontId="12" fillId="13" borderId="8" xfId="0" applyNumberFormat="1" applyFont="1" applyFill="1" applyBorder="1" applyAlignment="1">
      <alignment horizontal="center" vertical="center"/>
    </xf>
    <xf numFmtId="168" fontId="12" fillId="13" borderId="9" xfId="0" applyNumberFormat="1" applyFont="1" applyFill="1" applyBorder="1" applyAlignment="1">
      <alignment horizontal="center" vertical="center"/>
    </xf>
    <xf numFmtId="1" fontId="12" fillId="13" borderId="9" xfId="0" applyNumberFormat="1" applyFont="1" applyFill="1" applyBorder="1" applyAlignment="1">
      <alignment horizontal="center" vertical="center"/>
    </xf>
    <xf numFmtId="16" fontId="12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2" fillId="13" borderId="9" xfId="0" applyNumberFormat="1" applyFont="1" applyFill="1" applyBorder="1" applyAlignment="1">
      <alignment horizontal="center" vertical="center"/>
    </xf>
    <xf numFmtId="49" fontId="12" fillId="13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68" fontId="13" fillId="13" borderId="5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167" fontId="12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167" fontId="15" fillId="8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68" fontId="12" fillId="8" borderId="5" xfId="0" applyNumberFormat="1" applyFont="1" applyFill="1" applyBorder="1" applyAlignment="1">
      <alignment horizontal="center" vertical="center"/>
    </xf>
    <xf numFmtId="49" fontId="15" fillId="11" borderId="7" xfId="0" applyNumberFormat="1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68" fontId="17" fillId="11" borderId="9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68" fontId="17" fillId="15" borderId="5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167" fontId="12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168" fontId="17" fillId="10" borderId="5" xfId="0" applyNumberFormat="1" applyFont="1" applyFill="1" applyBorder="1" applyAlignment="1">
      <alignment horizontal="center" vertical="center"/>
    </xf>
    <xf numFmtId="168" fontId="12" fillId="12" borderId="5" xfId="0" applyNumberFormat="1" applyFont="1" applyFill="1" applyBorder="1" applyAlignment="1">
      <alignment horizontal="center" vertical="center"/>
    </xf>
    <xf numFmtId="49" fontId="15" fillId="16" borderId="7" xfId="0" applyNumberFormat="1" applyFont="1" applyFill="1" applyBorder="1" applyAlignment="1">
      <alignment horizontal="center" vertical="center"/>
    </xf>
    <xf numFmtId="167" fontId="15" fillId="16" borderId="7" xfId="0" applyNumberFormat="1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49" fontId="12" fillId="16" borderId="8" xfId="0" applyNumberFormat="1" applyFont="1" applyFill="1" applyBorder="1" applyAlignment="1">
      <alignment horizontal="center" vertical="center"/>
    </xf>
    <xf numFmtId="168" fontId="12" fillId="16" borderId="9" xfId="0" applyNumberFormat="1" applyFont="1" applyFill="1" applyBorder="1" applyAlignment="1">
      <alignment horizontal="center" vertical="center"/>
    </xf>
    <xf numFmtId="1" fontId="12" fillId="16" borderId="9" xfId="0" applyNumberFormat="1" applyFont="1" applyFill="1" applyBorder="1" applyAlignment="1">
      <alignment horizontal="center" vertical="center"/>
    </xf>
    <xf numFmtId="16" fontId="12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2" fillId="16" borderId="9" xfId="0" applyNumberFormat="1" applyFont="1" applyFill="1" applyBorder="1" applyAlignment="1">
      <alignment horizontal="center" vertical="center"/>
    </xf>
    <xf numFmtId="49" fontId="12" fillId="16" borderId="10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8" fontId="17" fillId="12" borderId="5" xfId="0" applyNumberFormat="1" applyFont="1" applyFill="1" applyBorder="1" applyAlignment="1">
      <alignment horizontal="center" vertical="center"/>
    </xf>
    <xf numFmtId="49" fontId="15" fillId="10" borderId="7" xfId="0" applyNumberFormat="1" applyFont="1" applyFill="1" applyBorder="1" applyAlignment="1">
      <alignment horizontal="center" vertical="center"/>
    </xf>
    <xf numFmtId="167" fontId="15" fillId="10" borderId="7" xfId="0" applyNumberFormat="1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49" fontId="12" fillId="10" borderId="8" xfId="0" applyNumberFormat="1" applyFont="1" applyFill="1" applyBorder="1" applyAlignment="1">
      <alignment horizontal="center" vertical="center"/>
    </xf>
    <xf numFmtId="168" fontId="17" fillId="10" borderId="9" xfId="0" applyNumberFormat="1" applyFont="1" applyFill="1" applyBorder="1" applyAlignment="1">
      <alignment horizontal="center" vertical="center"/>
    </xf>
    <xf numFmtId="1" fontId="12" fillId="10" borderId="9" xfId="0" applyNumberFormat="1" applyFont="1" applyFill="1" applyBorder="1" applyAlignment="1">
      <alignment horizontal="center" vertical="center"/>
    </xf>
    <xf numFmtId="16" fontId="12" fillId="10" borderId="9" xfId="0" applyNumberFormat="1" applyFont="1" applyFill="1" applyBorder="1" applyAlignment="1">
      <alignment horizontal="center" vertical="center"/>
    </xf>
    <xf numFmtId="49" fontId="14" fillId="10" borderId="9" xfId="0" applyNumberFormat="1" applyFont="1" applyFill="1" applyBorder="1" applyAlignment="1">
      <alignment horizontal="center" vertical="center"/>
    </xf>
    <xf numFmtId="167" fontId="12" fillId="10" borderId="9" xfId="0" applyNumberFormat="1" applyFont="1" applyFill="1" applyBorder="1" applyAlignment="1">
      <alignment horizontal="center" vertical="center"/>
    </xf>
    <xf numFmtId="49" fontId="12" fillId="10" borderId="10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7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167" fontId="15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168" fontId="12" fillId="15" borderId="5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167" fontId="15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168" fontId="13" fillId="16" borderId="5" xfId="0" applyNumberFormat="1" applyFont="1" applyFill="1" applyBorder="1" applyAlignment="1">
      <alignment horizontal="center" vertical="center"/>
    </xf>
    <xf numFmtId="1" fontId="12" fillId="16" borderId="5" xfId="0" applyNumberFormat="1" applyFont="1" applyFill="1" applyBorder="1" applyAlignment="1">
      <alignment horizontal="center" vertical="center"/>
    </xf>
    <xf numFmtId="16" fontId="12" fillId="16" borderId="5" xfId="0" applyNumberFormat="1" applyFont="1" applyFill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49" fontId="12" fillId="16" borderId="6" xfId="0" applyNumberFormat="1" applyFont="1" applyFill="1" applyBorder="1" applyAlignment="1">
      <alignment horizontal="center" vertical="center"/>
    </xf>
    <xf numFmtId="168" fontId="12" fillId="11" borderId="9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8" fontId="12" fillId="10" borderId="5" xfId="0" applyNumberFormat="1" applyFont="1" applyFill="1" applyBorder="1" applyAlignment="1">
      <alignment horizontal="center" vertical="center"/>
    </xf>
    <xf numFmtId="168" fontId="12" fillId="16" borderId="5" xfId="0" applyNumberFormat="1" applyFont="1" applyFill="1" applyBorder="1" applyAlignment="1">
      <alignment horizontal="center" vertical="center"/>
    </xf>
    <xf numFmtId="168" fontId="13" fillId="15" borderId="5" xfId="0" applyNumberFormat="1" applyFont="1" applyFill="1" applyBorder="1" applyAlignment="1">
      <alignment horizontal="center" vertical="center"/>
    </xf>
    <xf numFmtId="168" fontId="17" fillId="16" borderId="5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7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49" fontId="15" fillId="15" borderId="7" xfId="0" applyNumberFormat="1" applyFont="1" applyFill="1" applyBorder="1" applyAlignment="1">
      <alignment horizontal="center" vertical="center"/>
    </xf>
    <xf numFmtId="167" fontId="15" fillId="15" borderId="7" xfId="0" applyNumberFormat="1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49" fontId="12" fillId="15" borderId="8" xfId="0" applyNumberFormat="1" applyFont="1" applyFill="1" applyBorder="1" applyAlignment="1">
      <alignment horizontal="center" vertical="center"/>
    </xf>
    <xf numFmtId="168" fontId="13" fillId="15" borderId="9" xfId="0" applyNumberFormat="1" applyFont="1" applyFill="1" applyBorder="1" applyAlignment="1">
      <alignment horizontal="center" vertical="center"/>
    </xf>
    <xf numFmtId="1" fontId="12" fillId="15" borderId="9" xfId="0" applyNumberFormat="1" applyFont="1" applyFill="1" applyBorder="1" applyAlignment="1">
      <alignment horizontal="center" vertical="center"/>
    </xf>
    <xf numFmtId="16" fontId="12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49" fontId="12" fillId="15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8" fontId="17" fillId="11" borderId="5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168" fontId="12" fillId="9" borderId="5" xfId="0" applyNumberFormat="1" applyFont="1" applyFill="1" applyBorder="1" applyAlignment="1">
      <alignment horizontal="center" vertical="center"/>
    </xf>
    <xf numFmtId="49" fontId="15" fillId="8" borderId="7" xfId="0" applyNumberFormat="1" applyFont="1" applyFill="1" applyBorder="1" applyAlignment="1">
      <alignment horizontal="center" vertical="center"/>
    </xf>
    <xf numFmtId="167" fontId="15" fillId="8" borderId="7" xfId="0" applyNumberFormat="1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49" fontId="12" fillId="8" borderId="8" xfId="0" applyNumberFormat="1" applyFont="1" applyFill="1" applyBorder="1" applyAlignment="1">
      <alignment horizontal="center" vertical="center"/>
    </xf>
    <xf numFmtId="168" fontId="12" fillId="8" borderId="9" xfId="0" applyNumberFormat="1" applyFont="1" applyFill="1" applyBorder="1" applyAlignment="1">
      <alignment horizontal="center" vertical="center"/>
    </xf>
    <xf numFmtId="1" fontId="12" fillId="8" borderId="9" xfId="0" applyNumberFormat="1" applyFont="1" applyFill="1" applyBorder="1" applyAlignment="1">
      <alignment horizontal="center" vertical="center"/>
    </xf>
    <xf numFmtId="16" fontId="12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49" fontId="12" fillId="8" borderId="10" xfId="0" applyNumberFormat="1" applyFont="1" applyFill="1" applyBorder="1" applyAlignment="1">
      <alignment horizontal="center" vertical="center"/>
    </xf>
    <xf numFmtId="168" fontId="17" fillId="8" borderId="9" xfId="0" applyNumberFormat="1" applyFont="1" applyFill="1" applyBorder="1" applyAlignment="1">
      <alignment horizontal="center" vertical="center"/>
    </xf>
    <xf numFmtId="168" fontId="12" fillId="11" borderId="5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167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168" fontId="17" fillId="13" borderId="5" xfId="0" applyNumberFormat="1" applyFont="1" applyFill="1" applyBorder="1" applyAlignment="1">
      <alignment horizontal="center" vertical="center"/>
    </xf>
    <xf numFmtId="168" fontId="17" fillId="8" borderId="5" xfId="0" applyNumberFormat="1" applyFont="1" applyFill="1" applyBorder="1" applyAlignment="1">
      <alignment horizontal="center" vertical="center"/>
    </xf>
    <xf numFmtId="168" fontId="12" fillId="13" borderId="5" xfId="0" applyNumberFormat="1" applyFont="1" applyFill="1" applyBorder="1" applyAlignment="1">
      <alignment horizontal="center" vertical="center"/>
    </xf>
    <xf numFmtId="49" fontId="15" fillId="12" borderId="7" xfId="0" applyNumberFormat="1" applyFont="1" applyFill="1" applyBorder="1" applyAlignment="1">
      <alignment horizontal="center" vertical="center"/>
    </xf>
    <xf numFmtId="167" fontId="15" fillId="12" borderId="7" xfId="0" applyNumberFormat="1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68" fontId="12" fillId="12" borderId="9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168" fontId="17" fillId="15" borderId="9" xfId="0" applyNumberFormat="1" applyFont="1" applyFill="1" applyBorder="1" applyAlignment="1">
      <alignment horizontal="center" vertical="center"/>
    </xf>
    <xf numFmtId="168" fontId="12" fillId="10" borderId="9" xfId="0" applyNumberFormat="1" applyFont="1" applyFill="1" applyBorder="1" applyAlignment="1">
      <alignment horizontal="center" vertical="center"/>
    </xf>
    <xf numFmtId="168" fontId="13" fillId="13" borderId="9" xfId="0" applyNumberFormat="1" applyFont="1" applyFill="1" applyBorder="1" applyAlignment="1">
      <alignment horizontal="center" vertical="center"/>
    </xf>
    <xf numFmtId="168" fontId="13" fillId="16" borderId="9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2" fillId="9" borderId="9" xfId="0" applyNumberFormat="1" applyFont="1" applyFill="1" applyBorder="1" applyAlignment="1">
      <alignment horizontal="center" vertical="center"/>
    </xf>
    <xf numFmtId="168" fontId="17" fillId="9" borderId="5" xfId="0" applyNumberFormat="1" applyFont="1" applyFill="1" applyBorder="1" applyAlignment="1">
      <alignment horizontal="center" vertical="center"/>
    </xf>
    <xf numFmtId="168" fontId="12" fillId="15" borderId="9" xfId="0" applyNumberFormat="1" applyFont="1" applyFill="1" applyBorder="1" applyAlignment="1">
      <alignment horizontal="center" vertical="center"/>
    </xf>
    <xf numFmtId="168" fontId="17" fillId="12" borderId="9" xfId="0" applyNumberFormat="1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19" fillId="0" borderId="0" xfId="0" applyFont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13" xfId="0" applyFont="1" applyBorder="1"/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169" fontId="20" fillId="0" borderId="0" xfId="0" applyNumberFormat="1" applyFont="1" applyAlignment="1">
      <alignment horizontal="center" vertical="center"/>
    </xf>
    <xf numFmtId="15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" fontId="20" fillId="0" borderId="0" xfId="0" applyNumberFormat="1" applyFont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15" fontId="21" fillId="17" borderId="0" xfId="0" applyNumberFormat="1" applyFont="1" applyFill="1" applyAlignment="1">
      <alignment horizontal="center" vertical="center"/>
    </xf>
    <xf numFmtId="168" fontId="21" fillId="17" borderId="0" xfId="0" applyNumberFormat="1" applyFont="1" applyFill="1" applyAlignment="1">
      <alignment horizontal="center" vertical="center"/>
    </xf>
    <xf numFmtId="1" fontId="21" fillId="17" borderId="0" xfId="0" applyNumberFormat="1" applyFont="1" applyFill="1" applyAlignment="1">
      <alignment horizontal="center" vertical="center"/>
    </xf>
    <xf numFmtId="0" fontId="21" fillId="17" borderId="0" xfId="0" applyNumberFormat="1" applyFont="1" applyFill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6" fillId="14" borderId="17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3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321" totalsRowCount="1" headerRowDxfId="374" dataDxfId="337" totalsRowDxfId="300">
  <tableColumns count="36">
    <tableColumn id="1" xr3:uid="{00000000-0010-0000-0000-000001000000}" name="Day" totalsRowLabel="TOTAL" dataDxfId="373" totalsRowDxfId="336"/>
    <tableColumn id="2" xr3:uid="{00000000-0010-0000-0000-000002000000}" name="Flt Dt" dataDxfId="372" totalsRowDxfId="335"/>
    <tableColumn id="3" xr3:uid="{00000000-0010-0000-0000-000003000000}" name="Flt" totalsRowFunction="count" dataDxfId="371" totalsRowDxfId="334"/>
    <tableColumn id="4" xr3:uid="{00000000-0010-0000-0000-000004000000}" name="DEP" dataDxfId="370" totalsRowDxfId="333"/>
    <tableColumn id="5" xr3:uid="{00000000-0010-0000-0000-000005000000}" name="Brd-Off" totalsRowFunction="count" dataDxfId="369" totalsRowDxfId="332"/>
    <tableColumn id="6" xr3:uid="{00000000-0010-0000-0000-000006000000}" name="Eqp" dataDxfId="368" totalsRowDxfId="331"/>
    <tableColumn id="7" xr3:uid="{00000000-0010-0000-0000-000007000000}" name="LF%" totalsRowFunction="average" dataDxfId="367" totalsRowDxfId="330"/>
    <tableColumn id="8" xr3:uid="{00000000-0010-0000-0000-000008000000}" name="CAP" totalsRowFunction="sum" dataDxfId="366" totalsRowDxfId="329"/>
    <tableColumn id="9" xr3:uid="{00000000-0010-0000-0000-000009000000}" name="BKG(Y)" totalsRowFunction="sum" dataDxfId="365" totalsRowDxfId="328"/>
    <tableColumn id="10" xr3:uid="{00000000-0010-0000-0000-00000A000000}" name="GRP(Y)" totalsRowFunction="sum" dataDxfId="364" totalsRowDxfId="327"/>
    <tableColumn id="11" xr3:uid="{00000000-0010-0000-0000-00000B000000}" name="FLT ST" dataDxfId="363" totalsRowDxfId="326"/>
    <tableColumn id="12" xr3:uid="{00000000-0010-0000-0000-00000C000000}" name="LST-SOLD" dataDxfId="362" totalsRowDxfId="325"/>
    <tableColumn id="13" xr3:uid="{00000000-0010-0000-0000-00000D000000}" name="TO-DAY" totalsRowFunction="sum" dataDxfId="361" totalsRowDxfId="324"/>
    <tableColumn id="14" xr3:uid="{00000000-0010-0000-0000-00000E000000}" name="Y-DAY" totalsRowFunction="sum" dataDxfId="360" totalsRowDxfId="323"/>
    <tableColumn id="15" xr3:uid="{00000000-0010-0000-0000-00000F000000}" name="WEEKLY" totalsRowFunction="sum" dataDxfId="359" totalsRowDxfId="322"/>
    <tableColumn id="16" xr3:uid="{00000000-0010-0000-0000-000010000000}" name="LOWEST AVAIL" dataDxfId="358" totalsRowDxfId="321"/>
    <tableColumn id="17" xr3:uid="{00000000-0010-0000-0000-000011000000}" name="Y" totalsRowFunction="sum" dataDxfId="357" totalsRowDxfId="320"/>
    <tableColumn id="18" xr3:uid="{00000000-0010-0000-0000-000012000000}" name="B" totalsRowFunction="sum" dataDxfId="356" totalsRowDxfId="319"/>
    <tableColumn id="19" xr3:uid="{00000000-0010-0000-0000-000013000000}" name="M" totalsRowFunction="sum" dataDxfId="355" totalsRowDxfId="318"/>
    <tableColumn id="20" xr3:uid="{00000000-0010-0000-0000-000014000000}" name="H" totalsRowFunction="sum" dataDxfId="354" totalsRowDxfId="317"/>
    <tableColumn id="21" xr3:uid="{00000000-0010-0000-0000-000015000000}" name="Q" totalsRowFunction="sum" dataDxfId="353" totalsRowDxfId="316"/>
    <tableColumn id="22" xr3:uid="{00000000-0010-0000-0000-000016000000}" name="K" totalsRowFunction="sum" dataDxfId="352" totalsRowDxfId="315"/>
    <tableColumn id="23" xr3:uid="{00000000-0010-0000-0000-000017000000}" name="V" totalsRowFunction="sum" dataDxfId="351" totalsRowDxfId="314"/>
    <tableColumn id="24" xr3:uid="{00000000-0010-0000-0000-000018000000}" name="L" totalsRowFunction="sum" dataDxfId="350" totalsRowDxfId="313"/>
    <tableColumn id="25" xr3:uid="{00000000-0010-0000-0000-000019000000}" name="G" totalsRowFunction="sum" dataDxfId="349" totalsRowDxfId="312"/>
    <tableColumn id="26" xr3:uid="{00000000-0010-0000-0000-00001A000000}" name="S" totalsRowFunction="sum" dataDxfId="348" totalsRowDxfId="311"/>
    <tableColumn id="27" xr3:uid="{00000000-0010-0000-0000-00001B000000}" name="W" totalsRowFunction="sum" dataDxfId="347" totalsRowDxfId="310"/>
    <tableColumn id="28" xr3:uid="{00000000-0010-0000-0000-00001C000000}" name="T" totalsRowFunction="sum" dataDxfId="346" totalsRowDxfId="309"/>
    <tableColumn id="29" xr3:uid="{00000000-0010-0000-0000-00001D000000}" name="X" totalsRowFunction="sum" dataDxfId="345" totalsRowDxfId="308"/>
    <tableColumn id="30" xr3:uid="{00000000-0010-0000-0000-00001E000000}" name="U" totalsRowFunction="sum" dataDxfId="344" totalsRowDxfId="307"/>
    <tableColumn id="31" xr3:uid="{00000000-0010-0000-0000-00001F000000}" name="O" totalsRowFunction="sum" dataDxfId="343" totalsRowDxfId="306"/>
    <tableColumn id="32" xr3:uid="{00000000-0010-0000-0000-000020000000}" name="I" totalsRowFunction="sum" dataDxfId="342" totalsRowDxfId="305"/>
    <tableColumn id="33" xr3:uid="{00000000-0010-0000-0000-000021000000}" name="E" totalsRowFunction="sum" dataDxfId="341" totalsRowDxfId="304"/>
    <tableColumn id="34" xr3:uid="{00000000-0010-0000-0000-000022000000}" name="A" totalsRowFunction="sum" dataDxfId="340" totalsRowDxfId="303"/>
    <tableColumn id="35" xr3:uid="{00000000-0010-0000-0000-000023000000}" name="P" totalsRowFunction="sum" dataDxfId="339" totalsRowDxfId="302"/>
    <tableColumn id="36" xr3:uid="{00000000-0010-0000-0000-000024000000}" name="N" totalsRowFunction="count" dataDxfId="338" totalsRowDxfId="3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ED_HBE_LF_LEGACY" displayName="JED_HBE_LF_LEGACY" ref="A1:AJ115" totalsRowCount="1" headerRowDxfId="299" dataDxfId="262" totalsRowDxfId="225">
  <tableColumns count="36">
    <tableColumn id="1" xr3:uid="{00000000-0010-0000-0100-000001000000}" name="Day" totalsRowLabel="TOTAL" dataDxfId="298" totalsRowDxfId="261"/>
    <tableColumn id="2" xr3:uid="{00000000-0010-0000-0100-000002000000}" name="Flt Dt" dataDxfId="297" totalsRowDxfId="260"/>
    <tableColumn id="3" xr3:uid="{00000000-0010-0000-0100-000003000000}" name="Flt" totalsRowFunction="count" dataDxfId="296" totalsRowDxfId="259"/>
    <tableColumn id="4" xr3:uid="{00000000-0010-0000-0100-000004000000}" name="DEP" dataDxfId="295" totalsRowDxfId="258"/>
    <tableColumn id="5" xr3:uid="{00000000-0010-0000-0100-000005000000}" name="Brd-Off" totalsRowFunction="count" dataDxfId="294" totalsRowDxfId="257"/>
    <tableColumn id="6" xr3:uid="{00000000-0010-0000-0100-000006000000}" name="Eqp" dataDxfId="293" totalsRowDxfId="256"/>
    <tableColumn id="7" xr3:uid="{00000000-0010-0000-0100-000007000000}" name="LF%" totalsRowFunction="average" dataDxfId="292" totalsRowDxfId="255"/>
    <tableColumn id="8" xr3:uid="{00000000-0010-0000-0100-000008000000}" name="CAP" totalsRowFunction="sum" dataDxfId="291" totalsRowDxfId="254"/>
    <tableColumn id="9" xr3:uid="{00000000-0010-0000-0100-000009000000}" name="BKG(Y)" totalsRowFunction="sum" dataDxfId="290" totalsRowDxfId="253"/>
    <tableColumn id="10" xr3:uid="{00000000-0010-0000-0100-00000A000000}" name="GRP(Y)" totalsRowFunction="sum" dataDxfId="289" totalsRowDxfId="252"/>
    <tableColumn id="11" xr3:uid="{00000000-0010-0000-0100-00000B000000}" name="FLT ST" dataDxfId="288" totalsRowDxfId="251"/>
    <tableColumn id="12" xr3:uid="{00000000-0010-0000-0100-00000C000000}" name="LST-SOLD" dataDxfId="287" totalsRowDxfId="250"/>
    <tableColumn id="13" xr3:uid="{00000000-0010-0000-0100-00000D000000}" name="TO-DAY" totalsRowFunction="sum" dataDxfId="286" totalsRowDxfId="249"/>
    <tableColumn id="14" xr3:uid="{00000000-0010-0000-0100-00000E000000}" name="Y-DAY" totalsRowFunction="sum" dataDxfId="285" totalsRowDxfId="248"/>
    <tableColumn id="15" xr3:uid="{00000000-0010-0000-0100-00000F000000}" name="WEEKLY" totalsRowFunction="sum" dataDxfId="284" totalsRowDxfId="247"/>
    <tableColumn id="16" xr3:uid="{00000000-0010-0000-0100-000010000000}" name="LOWEST AVAIL" dataDxfId="283" totalsRowDxfId="246"/>
    <tableColumn id="17" xr3:uid="{00000000-0010-0000-0100-000011000000}" name="Y" totalsRowFunction="sum" dataDxfId="282" totalsRowDxfId="245"/>
    <tableColumn id="18" xr3:uid="{00000000-0010-0000-0100-000012000000}" name="B" totalsRowFunction="sum" dataDxfId="281" totalsRowDxfId="244"/>
    <tableColumn id="19" xr3:uid="{00000000-0010-0000-0100-000013000000}" name="M" totalsRowFunction="sum" dataDxfId="280" totalsRowDxfId="243"/>
    <tableColumn id="20" xr3:uid="{00000000-0010-0000-0100-000014000000}" name="H" totalsRowFunction="sum" dataDxfId="279" totalsRowDxfId="242"/>
    <tableColumn id="21" xr3:uid="{00000000-0010-0000-0100-000015000000}" name="Q" totalsRowFunction="sum" dataDxfId="278" totalsRowDxfId="241"/>
    <tableColumn id="22" xr3:uid="{00000000-0010-0000-0100-000016000000}" name="K" totalsRowFunction="sum" dataDxfId="277" totalsRowDxfId="240"/>
    <tableColumn id="23" xr3:uid="{00000000-0010-0000-0100-000017000000}" name="V" totalsRowFunction="sum" dataDxfId="276" totalsRowDxfId="239"/>
    <tableColumn id="24" xr3:uid="{00000000-0010-0000-0100-000018000000}" name="L" totalsRowFunction="sum" dataDxfId="275" totalsRowDxfId="238"/>
    <tableColumn id="25" xr3:uid="{00000000-0010-0000-0100-000019000000}" name="G" totalsRowFunction="sum" dataDxfId="274" totalsRowDxfId="237"/>
    <tableColumn id="26" xr3:uid="{00000000-0010-0000-0100-00001A000000}" name="S" totalsRowFunction="sum" dataDxfId="273" totalsRowDxfId="236"/>
    <tableColumn id="27" xr3:uid="{00000000-0010-0000-0100-00001B000000}" name="W" totalsRowFunction="sum" dataDxfId="272" totalsRowDxfId="235"/>
    <tableColumn id="28" xr3:uid="{00000000-0010-0000-0100-00001C000000}" name="T" totalsRowFunction="sum" dataDxfId="271" totalsRowDxfId="234"/>
    <tableColumn id="29" xr3:uid="{00000000-0010-0000-0100-00001D000000}" name="X" totalsRowFunction="sum" dataDxfId="270" totalsRowDxfId="233"/>
    <tableColumn id="30" xr3:uid="{00000000-0010-0000-0100-00001E000000}" name="U" totalsRowFunction="sum" dataDxfId="269" totalsRowDxfId="232"/>
    <tableColumn id="31" xr3:uid="{00000000-0010-0000-0100-00001F000000}" name="O" totalsRowFunction="sum" dataDxfId="268" totalsRowDxfId="231"/>
    <tableColumn id="32" xr3:uid="{00000000-0010-0000-0100-000020000000}" name="I" totalsRowFunction="sum" dataDxfId="267" totalsRowDxfId="230"/>
    <tableColumn id="33" xr3:uid="{00000000-0010-0000-0100-000021000000}" name="E" totalsRowFunction="sum" dataDxfId="266" totalsRowDxfId="229"/>
    <tableColumn id="34" xr3:uid="{00000000-0010-0000-0100-000022000000}" name="A" totalsRowFunction="sum" dataDxfId="265" totalsRowDxfId="228"/>
    <tableColumn id="35" xr3:uid="{00000000-0010-0000-0100-000023000000}" name="P" totalsRowFunction="sum" dataDxfId="264" totalsRowDxfId="227"/>
    <tableColumn id="36" xr3:uid="{00000000-0010-0000-0100-000024000000}" name="N" totalsRowFunction="count" dataDxfId="263" totalsRowDxfId="2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ED_ATZ_LF_LEGACY" displayName="JED_ATZ_LF_LEGACY" ref="A1:AJ79" totalsRowCount="1" headerRowDxfId="224" dataDxfId="187" totalsRowDxfId="150">
  <tableColumns count="36">
    <tableColumn id="1" xr3:uid="{00000000-0010-0000-0200-000001000000}" name="Day" totalsRowLabel="TOTAL" dataDxfId="223" totalsRowDxfId="186"/>
    <tableColumn id="2" xr3:uid="{00000000-0010-0000-0200-000002000000}" name="Flt Dt" dataDxfId="222" totalsRowDxfId="185"/>
    <tableColumn id="3" xr3:uid="{00000000-0010-0000-0200-000003000000}" name="Flt" totalsRowFunction="count" dataDxfId="221" totalsRowDxfId="184"/>
    <tableColumn id="4" xr3:uid="{00000000-0010-0000-0200-000004000000}" name="DEP" dataDxfId="220" totalsRowDxfId="183"/>
    <tableColumn id="5" xr3:uid="{00000000-0010-0000-0200-000005000000}" name="Brd-Off" totalsRowFunction="count" dataDxfId="219" totalsRowDxfId="182"/>
    <tableColumn id="6" xr3:uid="{00000000-0010-0000-0200-000006000000}" name="Eqp" dataDxfId="218" totalsRowDxfId="181"/>
    <tableColumn id="7" xr3:uid="{00000000-0010-0000-0200-000007000000}" name="LF%" totalsRowFunction="average" dataDxfId="217" totalsRowDxfId="180"/>
    <tableColumn id="8" xr3:uid="{00000000-0010-0000-0200-000008000000}" name="CAP" totalsRowFunction="sum" dataDxfId="216" totalsRowDxfId="179"/>
    <tableColumn id="9" xr3:uid="{00000000-0010-0000-0200-000009000000}" name="BKG(Y)" totalsRowFunction="sum" dataDxfId="215" totalsRowDxfId="178"/>
    <tableColumn id="10" xr3:uid="{00000000-0010-0000-0200-00000A000000}" name="GRP(Y)" totalsRowFunction="sum" dataDxfId="214" totalsRowDxfId="177"/>
    <tableColumn id="11" xr3:uid="{00000000-0010-0000-0200-00000B000000}" name="FLT ST" dataDxfId="213" totalsRowDxfId="176"/>
    <tableColumn id="12" xr3:uid="{00000000-0010-0000-0200-00000C000000}" name="LST-SOLD" dataDxfId="212" totalsRowDxfId="175"/>
    <tableColumn id="13" xr3:uid="{00000000-0010-0000-0200-00000D000000}" name="TO-DAY" totalsRowFunction="sum" dataDxfId="211" totalsRowDxfId="174"/>
    <tableColumn id="14" xr3:uid="{00000000-0010-0000-0200-00000E000000}" name="Y-DAY" totalsRowFunction="sum" dataDxfId="210" totalsRowDxfId="173"/>
    <tableColumn id="15" xr3:uid="{00000000-0010-0000-0200-00000F000000}" name="WEEKLY" totalsRowFunction="sum" dataDxfId="209" totalsRowDxfId="172"/>
    <tableColumn id="16" xr3:uid="{00000000-0010-0000-0200-000010000000}" name="LOWEST AVAIL" dataDxfId="208" totalsRowDxfId="171"/>
    <tableColumn id="17" xr3:uid="{00000000-0010-0000-0200-000011000000}" name="Y" totalsRowFunction="sum" dataDxfId="207" totalsRowDxfId="170"/>
    <tableColumn id="18" xr3:uid="{00000000-0010-0000-0200-000012000000}" name="B" totalsRowFunction="sum" dataDxfId="206" totalsRowDxfId="169"/>
    <tableColumn id="19" xr3:uid="{00000000-0010-0000-0200-000013000000}" name="M" totalsRowFunction="sum" dataDxfId="205" totalsRowDxfId="168"/>
    <tableColumn id="20" xr3:uid="{00000000-0010-0000-0200-000014000000}" name="H" totalsRowFunction="sum" dataDxfId="204" totalsRowDxfId="167"/>
    <tableColumn id="21" xr3:uid="{00000000-0010-0000-0200-000015000000}" name="Q" totalsRowFunction="sum" dataDxfId="203" totalsRowDxfId="166"/>
    <tableColumn id="22" xr3:uid="{00000000-0010-0000-0200-000016000000}" name="K" totalsRowFunction="sum" dataDxfId="202" totalsRowDxfId="165"/>
    <tableColumn id="23" xr3:uid="{00000000-0010-0000-0200-000017000000}" name="V" totalsRowFunction="sum" dataDxfId="201" totalsRowDxfId="164"/>
    <tableColumn id="24" xr3:uid="{00000000-0010-0000-0200-000018000000}" name="L" totalsRowFunction="sum" dataDxfId="200" totalsRowDxfId="163"/>
    <tableColumn id="25" xr3:uid="{00000000-0010-0000-0200-000019000000}" name="G" totalsRowFunction="sum" dataDxfId="199" totalsRowDxfId="162"/>
    <tableColumn id="26" xr3:uid="{00000000-0010-0000-0200-00001A000000}" name="S" totalsRowFunction="sum" dataDxfId="198" totalsRowDxfId="161"/>
    <tableColumn id="27" xr3:uid="{00000000-0010-0000-0200-00001B000000}" name="W" totalsRowFunction="sum" dataDxfId="197" totalsRowDxfId="160"/>
    <tableColumn id="28" xr3:uid="{00000000-0010-0000-0200-00001C000000}" name="T" totalsRowFunction="sum" dataDxfId="196" totalsRowDxfId="159"/>
    <tableColumn id="29" xr3:uid="{00000000-0010-0000-0200-00001D000000}" name="X" totalsRowFunction="sum" dataDxfId="195" totalsRowDxfId="158"/>
    <tableColumn id="30" xr3:uid="{00000000-0010-0000-0200-00001E000000}" name="U" totalsRowFunction="sum" dataDxfId="194" totalsRowDxfId="157"/>
    <tableColumn id="31" xr3:uid="{00000000-0010-0000-0200-00001F000000}" name="O" totalsRowFunction="sum" dataDxfId="193" totalsRowDxfId="156"/>
    <tableColumn id="32" xr3:uid="{00000000-0010-0000-0200-000020000000}" name="I" totalsRowFunction="sum" dataDxfId="192" totalsRowDxfId="155"/>
    <tableColumn id="33" xr3:uid="{00000000-0010-0000-0200-000021000000}" name="E" totalsRowFunction="sum" dataDxfId="191" totalsRowDxfId="154"/>
    <tableColumn id="34" xr3:uid="{00000000-0010-0000-0200-000022000000}" name="A" totalsRowFunction="sum" dataDxfId="190" totalsRowDxfId="153"/>
    <tableColumn id="35" xr3:uid="{00000000-0010-0000-0200-000023000000}" name="P" totalsRowFunction="sum" dataDxfId="189" totalsRowDxfId="152"/>
    <tableColumn id="36" xr3:uid="{00000000-0010-0000-0200-000024000000}" name="N" totalsRowFunction="count" dataDxfId="188" totalsRow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LXR_LF_LEGACY" displayName="JED_LXR_LF_LEGACY" ref="A1:AJ18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JED_ASW_LF_LEGACY" displayName="JED_ASW_LF_LEGACY" ref="A1:AJ7" totalsRowCount="1" headerRowDxfId="74" dataDxfId="37" totalsRowDxfId="0">
  <tableColumns count="36">
    <tableColumn id="1" xr3:uid="{00000000-0010-0000-0400-000001000000}" name="Day" totalsRowLabel="TOTAL" dataDxfId="73" totalsRowDxfId="36"/>
    <tableColumn id="2" xr3:uid="{00000000-0010-0000-0400-000002000000}" name="Flt Dt" dataDxfId="72" totalsRowDxfId="35"/>
    <tableColumn id="3" xr3:uid="{00000000-0010-0000-0400-000003000000}" name="Flt" totalsRowFunction="count" dataDxfId="71" totalsRowDxfId="34"/>
    <tableColumn id="4" xr3:uid="{00000000-0010-0000-0400-000004000000}" name="DEP" dataDxfId="70" totalsRowDxfId="33"/>
    <tableColumn id="5" xr3:uid="{00000000-0010-0000-0400-000005000000}" name="Brd-Off" totalsRowFunction="count" dataDxfId="69" totalsRowDxfId="32"/>
    <tableColumn id="6" xr3:uid="{00000000-0010-0000-0400-000006000000}" name="Eqp" dataDxfId="68" totalsRowDxfId="31"/>
    <tableColumn id="7" xr3:uid="{00000000-0010-0000-0400-000007000000}" name="LF%" totalsRowFunction="average" dataDxfId="67" totalsRowDxfId="30"/>
    <tableColumn id="8" xr3:uid="{00000000-0010-0000-0400-000008000000}" name="CAP" totalsRowFunction="sum" dataDxfId="66" totalsRowDxfId="29"/>
    <tableColumn id="9" xr3:uid="{00000000-0010-0000-0400-000009000000}" name="BKG(Y)" totalsRowFunction="sum" dataDxfId="65" totalsRowDxfId="28"/>
    <tableColumn id="10" xr3:uid="{00000000-0010-0000-0400-00000A000000}" name="GRP(Y)" totalsRowFunction="sum" dataDxfId="64" totalsRowDxfId="27"/>
    <tableColumn id="11" xr3:uid="{00000000-0010-0000-0400-00000B000000}" name="FLT ST" dataDxfId="63" totalsRowDxfId="26"/>
    <tableColumn id="12" xr3:uid="{00000000-0010-0000-0400-00000C000000}" name="LST-SOLD" dataDxfId="62" totalsRowDxfId="25"/>
    <tableColumn id="13" xr3:uid="{00000000-0010-0000-0400-00000D000000}" name="TO-DAY" totalsRowFunction="sum" dataDxfId="61" totalsRowDxfId="24"/>
    <tableColumn id="14" xr3:uid="{00000000-0010-0000-0400-00000E000000}" name="Y-DAY" totalsRowFunction="sum" dataDxfId="60" totalsRowDxfId="23"/>
    <tableColumn id="15" xr3:uid="{00000000-0010-0000-0400-00000F000000}" name="WEEKLY" totalsRowFunction="sum" dataDxfId="59" totalsRowDxfId="22"/>
    <tableColumn id="16" xr3:uid="{00000000-0010-0000-0400-000010000000}" name="LOWEST AVAIL" dataDxfId="58" totalsRowDxfId="21"/>
    <tableColumn id="17" xr3:uid="{00000000-0010-0000-0400-000011000000}" name="Y" totalsRowFunction="sum" dataDxfId="57" totalsRowDxfId="20"/>
    <tableColumn id="18" xr3:uid="{00000000-0010-0000-0400-000012000000}" name="B" totalsRowFunction="sum" dataDxfId="56" totalsRowDxfId="19"/>
    <tableColumn id="19" xr3:uid="{00000000-0010-0000-0400-000013000000}" name="M" totalsRowFunction="sum" dataDxfId="55" totalsRowDxfId="18"/>
    <tableColumn id="20" xr3:uid="{00000000-0010-0000-0400-000014000000}" name="H" totalsRowFunction="sum" dataDxfId="54" totalsRowDxfId="17"/>
    <tableColumn id="21" xr3:uid="{00000000-0010-0000-0400-000015000000}" name="Q" totalsRowFunction="sum" dataDxfId="53" totalsRowDxfId="16"/>
    <tableColumn id="22" xr3:uid="{00000000-0010-0000-0400-000016000000}" name="K" totalsRowFunction="sum" dataDxfId="52" totalsRowDxfId="15"/>
    <tableColumn id="23" xr3:uid="{00000000-0010-0000-0400-000017000000}" name="V" totalsRowFunction="sum" dataDxfId="51" totalsRowDxfId="14"/>
    <tableColumn id="24" xr3:uid="{00000000-0010-0000-0400-000018000000}" name="L" totalsRowFunction="sum" dataDxfId="50" totalsRowDxfId="13"/>
    <tableColumn id="25" xr3:uid="{00000000-0010-0000-0400-000019000000}" name="G" totalsRowFunction="sum" dataDxfId="49" totalsRowDxfId="12"/>
    <tableColumn id="26" xr3:uid="{00000000-0010-0000-0400-00001A000000}" name="S" totalsRowFunction="sum" dataDxfId="48" totalsRowDxfId="11"/>
    <tableColumn id="27" xr3:uid="{00000000-0010-0000-0400-00001B000000}" name="W" totalsRowFunction="sum" dataDxfId="47" totalsRowDxfId="10"/>
    <tableColumn id="28" xr3:uid="{00000000-0010-0000-0400-00001C000000}" name="T" totalsRowFunction="sum" dataDxfId="46" totalsRowDxfId="9"/>
    <tableColumn id="29" xr3:uid="{00000000-0010-0000-0400-00001D000000}" name="X" totalsRowFunction="sum" dataDxfId="45" totalsRowDxfId="8"/>
    <tableColumn id="30" xr3:uid="{00000000-0010-0000-0400-00001E000000}" name="U" totalsRowFunction="sum" dataDxfId="44" totalsRowDxfId="7"/>
    <tableColumn id="31" xr3:uid="{00000000-0010-0000-0400-00001F000000}" name="O" totalsRowFunction="sum" dataDxfId="43" totalsRowDxfId="6"/>
    <tableColumn id="32" xr3:uid="{00000000-0010-0000-0400-000020000000}" name="I" totalsRowFunction="sum" dataDxfId="42" totalsRowDxfId="5"/>
    <tableColumn id="33" xr3:uid="{00000000-0010-0000-0400-000021000000}" name="E" totalsRowFunction="sum" dataDxfId="41" totalsRowDxfId="4"/>
    <tableColumn id="34" xr3:uid="{00000000-0010-0000-0400-000022000000}" name="A" totalsRowFunction="sum" dataDxfId="40" totalsRowDxfId="3"/>
    <tableColumn id="35" xr3:uid="{00000000-0010-0000-0400-000023000000}" name="P" totalsRowFunction="sum" dataDxfId="39" totalsRowDxfId="2"/>
    <tableColumn id="36" xr3:uid="{00000000-0010-0000-04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19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0.55468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1</v>
      </c>
      <c r="G1" s="2" t="s">
        <v>2</v>
      </c>
      <c r="H1" s="237" t="s">
        <v>3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45984.112311978322</v>
      </c>
      <c r="H2" s="238"/>
      <c r="I2" s="238"/>
      <c r="J2" s="238"/>
      <c r="K2" s="247">
        <v>45984.112311978948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0" t="s">
        <v>8</v>
      </c>
      <c r="B4" s="234"/>
      <c r="C4" s="234"/>
      <c r="D4" s="234"/>
      <c r="E4" s="234"/>
      <c r="F4" s="235"/>
      <c r="G4" s="4">
        <v>46017</v>
      </c>
      <c r="H4" s="248" t="s">
        <v>9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28</v>
      </c>
      <c r="B6" s="8" t="s">
        <v>29</v>
      </c>
      <c r="C6" s="9">
        <v>0.1145833333333333</v>
      </c>
      <c r="D6" s="8" t="s">
        <v>30</v>
      </c>
      <c r="E6" s="10"/>
      <c r="F6" s="8" t="s">
        <v>31</v>
      </c>
      <c r="G6" s="240"/>
      <c r="H6" s="11" t="s">
        <v>29</v>
      </c>
      <c r="I6" s="12">
        <v>6.1499999999999999E-2</v>
      </c>
      <c r="J6" s="13">
        <v>11</v>
      </c>
      <c r="K6" s="14" t="s">
        <v>32</v>
      </c>
      <c r="L6" s="13">
        <v>8</v>
      </c>
      <c r="M6" s="13">
        <v>0</v>
      </c>
      <c r="N6" s="13">
        <v>0</v>
      </c>
      <c r="O6" s="15" t="s">
        <v>33</v>
      </c>
      <c r="P6" s="16">
        <v>0.1145833333333333</v>
      </c>
      <c r="Q6" s="13">
        <v>179</v>
      </c>
      <c r="R6" s="17" t="s">
        <v>34</v>
      </c>
    </row>
    <row r="7" spans="1:92" ht="15" customHeight="1" x14ac:dyDescent="0.3">
      <c r="A7" s="18" t="s">
        <v>28</v>
      </c>
      <c r="B7" s="18" t="s">
        <v>35</v>
      </c>
      <c r="C7" s="19">
        <v>0.31944444444444448</v>
      </c>
      <c r="D7" s="18" t="s">
        <v>30</v>
      </c>
      <c r="E7" s="20"/>
      <c r="F7" s="18" t="s">
        <v>31</v>
      </c>
      <c r="G7" s="241"/>
      <c r="H7" s="21" t="s">
        <v>35</v>
      </c>
      <c r="I7" s="22">
        <v>5.5899999999999998E-2</v>
      </c>
      <c r="J7" s="23">
        <v>10</v>
      </c>
      <c r="K7" s="24" t="s">
        <v>36</v>
      </c>
      <c r="L7" s="23">
        <v>2</v>
      </c>
      <c r="M7" s="23">
        <v>1</v>
      </c>
      <c r="N7" s="23">
        <v>0</v>
      </c>
      <c r="O7" s="25" t="s">
        <v>33</v>
      </c>
      <c r="P7" s="26">
        <v>0.31944444444444448</v>
      </c>
      <c r="Q7" s="23">
        <v>179</v>
      </c>
      <c r="R7" s="27" t="s">
        <v>37</v>
      </c>
    </row>
    <row r="8" spans="1:92" ht="15" customHeight="1" x14ac:dyDescent="0.3">
      <c r="A8" s="28" t="s">
        <v>28</v>
      </c>
      <c r="B8" s="28" t="s">
        <v>38</v>
      </c>
      <c r="C8" s="29">
        <v>0.45833333333333331</v>
      </c>
      <c r="D8" s="28" t="s">
        <v>30</v>
      </c>
      <c r="E8" s="30"/>
      <c r="F8" s="28" t="s">
        <v>31</v>
      </c>
      <c r="G8" s="241"/>
      <c r="H8" s="31" t="s">
        <v>38</v>
      </c>
      <c r="I8" s="32">
        <v>5.5899999999999998E-2</v>
      </c>
      <c r="J8" s="33">
        <v>10</v>
      </c>
      <c r="K8" s="34" t="s">
        <v>39</v>
      </c>
      <c r="L8" s="33">
        <v>2</v>
      </c>
      <c r="M8" s="33">
        <v>0</v>
      </c>
      <c r="N8" s="33">
        <v>0</v>
      </c>
      <c r="O8" s="35" t="s">
        <v>33</v>
      </c>
      <c r="P8" s="36">
        <v>0.45833333333333331</v>
      </c>
      <c r="Q8" s="33">
        <v>179</v>
      </c>
      <c r="R8" s="37" t="s">
        <v>37</v>
      </c>
    </row>
    <row r="9" spans="1:92" ht="15" customHeight="1" x14ac:dyDescent="0.3">
      <c r="A9" s="38" t="s">
        <v>28</v>
      </c>
      <c r="B9" s="38" t="s">
        <v>40</v>
      </c>
      <c r="C9" s="39">
        <v>0.61458333333333337</v>
      </c>
      <c r="D9" s="38" t="s">
        <v>30</v>
      </c>
      <c r="E9" s="40"/>
      <c r="F9" s="38" t="s">
        <v>31</v>
      </c>
      <c r="G9" s="241"/>
      <c r="H9" s="41" t="s">
        <v>40</v>
      </c>
      <c r="I9" s="42">
        <v>5.0299999999999997E-2</v>
      </c>
      <c r="J9" s="43">
        <v>9</v>
      </c>
      <c r="K9" s="44" t="s">
        <v>41</v>
      </c>
      <c r="L9" s="43">
        <v>0</v>
      </c>
      <c r="M9" s="43">
        <v>0</v>
      </c>
      <c r="N9" s="43">
        <v>0</v>
      </c>
      <c r="O9" s="45" t="s">
        <v>42</v>
      </c>
      <c r="P9" s="46">
        <v>0.61458333333333337</v>
      </c>
      <c r="Q9" s="43">
        <v>179</v>
      </c>
      <c r="R9" s="47" t="s">
        <v>43</v>
      </c>
    </row>
    <row r="10" spans="1:92" ht="15" customHeight="1" x14ac:dyDescent="0.3">
      <c r="A10" s="48" t="s">
        <v>28</v>
      </c>
      <c r="B10" s="48" t="s">
        <v>44</v>
      </c>
      <c r="C10" s="49">
        <v>0.73611111111111116</v>
      </c>
      <c r="D10" s="48" t="s">
        <v>30</v>
      </c>
      <c r="E10" s="50"/>
      <c r="F10" s="48" t="s">
        <v>31</v>
      </c>
      <c r="G10" s="241"/>
      <c r="H10" s="51" t="s">
        <v>44</v>
      </c>
      <c r="I10" s="52">
        <v>7.2599999999999998E-2</v>
      </c>
      <c r="J10" s="53">
        <v>13</v>
      </c>
      <c r="K10" s="54" t="s">
        <v>45</v>
      </c>
      <c r="L10" s="53">
        <v>2</v>
      </c>
      <c r="M10" s="53">
        <v>0</v>
      </c>
      <c r="N10" s="53">
        <v>2</v>
      </c>
      <c r="O10" s="55" t="s">
        <v>46</v>
      </c>
      <c r="P10" s="56">
        <v>0.73611111111111116</v>
      </c>
      <c r="Q10" s="53">
        <v>179</v>
      </c>
      <c r="R10" s="57" t="s">
        <v>47</v>
      </c>
    </row>
    <row r="11" spans="1:92" ht="15" customHeight="1" thickBot="1" x14ac:dyDescent="0.35">
      <c r="A11" s="58" t="s">
        <v>28</v>
      </c>
      <c r="B11" s="58" t="s">
        <v>48</v>
      </c>
      <c r="C11" s="59">
        <v>0.9375</v>
      </c>
      <c r="D11" s="58" t="s">
        <v>30</v>
      </c>
      <c r="E11" s="60"/>
      <c r="F11" s="58" t="s">
        <v>49</v>
      </c>
      <c r="G11" s="242"/>
      <c r="H11" s="61" t="s">
        <v>48</v>
      </c>
      <c r="I11" s="62">
        <v>0.55869999999999997</v>
      </c>
      <c r="J11" s="63">
        <v>100</v>
      </c>
      <c r="K11" s="64" t="s">
        <v>36</v>
      </c>
      <c r="L11" s="63">
        <v>5</v>
      </c>
      <c r="M11" s="63">
        <v>2</v>
      </c>
      <c r="N11" s="63">
        <v>0</v>
      </c>
      <c r="O11" s="65" t="s">
        <v>33</v>
      </c>
      <c r="P11" s="66">
        <v>0.9375</v>
      </c>
      <c r="Q11" s="63">
        <v>179</v>
      </c>
      <c r="R11" s="67" t="s">
        <v>50</v>
      </c>
    </row>
    <row r="12" spans="1:92" ht="17.399999999999999" customHeight="1" thickBot="1" x14ac:dyDescent="0.35">
      <c r="A12" s="265"/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7"/>
    </row>
    <row r="13" spans="1:92" ht="22.05" customHeight="1" thickTop="1" thickBot="1" x14ac:dyDescent="0.35">
      <c r="A13" s="236" t="s">
        <v>8</v>
      </c>
      <c r="B13" s="234"/>
      <c r="C13" s="234"/>
      <c r="D13" s="234"/>
      <c r="E13" s="234"/>
      <c r="F13" s="235"/>
      <c r="G13" s="68">
        <v>46018</v>
      </c>
      <c r="H13" s="233" t="s">
        <v>9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5"/>
    </row>
    <row r="14" spans="1:92" ht="24" customHeight="1" x14ac:dyDescent="0.3">
      <c r="A14" s="69" t="s">
        <v>10</v>
      </c>
      <c r="B14" s="69" t="s">
        <v>11</v>
      </c>
      <c r="C14" s="70" t="s">
        <v>12</v>
      </c>
      <c r="D14" s="69" t="s">
        <v>13</v>
      </c>
      <c r="E14" s="69" t="s">
        <v>14</v>
      </c>
      <c r="F14" s="71" t="s">
        <v>15</v>
      </c>
      <c r="G14" s="72" t="s">
        <v>16</v>
      </c>
      <c r="H14" s="69" t="s">
        <v>17</v>
      </c>
      <c r="I14" s="73" t="s">
        <v>18</v>
      </c>
      <c r="J14" s="74" t="s">
        <v>19</v>
      </c>
      <c r="K14" s="75" t="s">
        <v>20</v>
      </c>
      <c r="L14" s="74" t="s">
        <v>21</v>
      </c>
      <c r="M14" s="74" t="s">
        <v>22</v>
      </c>
      <c r="N14" s="74" t="s">
        <v>23</v>
      </c>
      <c r="O14" s="69" t="s">
        <v>24</v>
      </c>
      <c r="P14" s="70" t="s">
        <v>25</v>
      </c>
      <c r="Q14" s="74" t="s">
        <v>26</v>
      </c>
      <c r="R14" s="69" t="s">
        <v>27</v>
      </c>
    </row>
    <row r="15" spans="1:92" ht="49.95" customHeight="1" x14ac:dyDescent="0.3">
      <c r="A15" s="76" t="s">
        <v>28</v>
      </c>
      <c r="B15" s="76" t="s">
        <v>51</v>
      </c>
      <c r="C15" s="77">
        <v>0.2361111111111111</v>
      </c>
      <c r="D15" s="76" t="s">
        <v>30</v>
      </c>
      <c r="E15" s="78"/>
      <c r="F15" s="76" t="s">
        <v>31</v>
      </c>
      <c r="G15" s="240"/>
      <c r="H15" s="79" t="s">
        <v>51</v>
      </c>
      <c r="I15" s="80">
        <v>5.9499999999999997E-2</v>
      </c>
      <c r="J15" s="81">
        <v>11</v>
      </c>
      <c r="K15" s="82" t="s">
        <v>45</v>
      </c>
      <c r="L15" s="81">
        <v>3</v>
      </c>
      <c r="M15" s="81">
        <v>0</v>
      </c>
      <c r="N15" s="81">
        <v>1</v>
      </c>
      <c r="O15" s="83" t="s">
        <v>33</v>
      </c>
      <c r="P15" s="84">
        <v>0.2361111111111111</v>
      </c>
      <c r="Q15" s="81">
        <v>185</v>
      </c>
      <c r="R15" s="85" t="s">
        <v>34</v>
      </c>
    </row>
    <row r="16" spans="1:92" ht="49.95" customHeight="1" x14ac:dyDescent="0.3">
      <c r="A16" s="86" t="s">
        <v>28</v>
      </c>
      <c r="B16" s="86" t="s">
        <v>35</v>
      </c>
      <c r="C16" s="87">
        <v>0.33333333333333331</v>
      </c>
      <c r="D16" s="86" t="s">
        <v>30</v>
      </c>
      <c r="E16" s="88"/>
      <c r="F16" s="86" t="s">
        <v>49</v>
      </c>
      <c r="G16" s="241"/>
      <c r="H16" s="11" t="s">
        <v>35</v>
      </c>
      <c r="I16" s="89">
        <v>0.82120000000000004</v>
      </c>
      <c r="J16" s="13">
        <v>147</v>
      </c>
      <c r="K16" s="14" t="s">
        <v>52</v>
      </c>
      <c r="L16" s="13">
        <v>0</v>
      </c>
      <c r="M16" s="13">
        <v>0</v>
      </c>
      <c r="N16" s="13">
        <v>0</v>
      </c>
      <c r="O16" s="15" t="s">
        <v>33</v>
      </c>
      <c r="P16" s="16">
        <v>0.33333333333333331</v>
      </c>
      <c r="Q16" s="13">
        <v>179</v>
      </c>
      <c r="R16" s="17" t="s">
        <v>53</v>
      </c>
    </row>
    <row r="17" spans="1:18" ht="49.95" customHeight="1" thickBot="1" x14ac:dyDescent="0.35">
      <c r="A17" s="90" t="s">
        <v>28</v>
      </c>
      <c r="B17" s="90" t="s">
        <v>38</v>
      </c>
      <c r="C17" s="91">
        <v>0.68055555555555547</v>
      </c>
      <c r="D17" s="90" t="s">
        <v>30</v>
      </c>
      <c r="E17" s="92"/>
      <c r="F17" s="90" t="s">
        <v>54</v>
      </c>
      <c r="G17" s="242"/>
      <c r="H17" s="93" t="s">
        <v>38</v>
      </c>
      <c r="I17" s="94">
        <v>0.87150000000000005</v>
      </c>
      <c r="J17" s="95">
        <v>156</v>
      </c>
      <c r="K17" s="96" t="s">
        <v>45</v>
      </c>
      <c r="L17" s="95">
        <v>4</v>
      </c>
      <c r="M17" s="95">
        <v>0</v>
      </c>
      <c r="N17" s="95">
        <v>3</v>
      </c>
      <c r="O17" s="97" t="s">
        <v>55</v>
      </c>
      <c r="P17" s="98">
        <v>0.68055555555555547</v>
      </c>
      <c r="Q17" s="95">
        <v>179</v>
      </c>
      <c r="R17" s="99" t="s">
        <v>56</v>
      </c>
    </row>
    <row r="18" spans="1:18" ht="17.399999999999999" customHeight="1" thickBot="1" x14ac:dyDescent="0.35">
      <c r="A18" s="265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7"/>
    </row>
    <row r="19" spans="1:18" ht="22.05" customHeight="1" thickTop="1" thickBot="1" x14ac:dyDescent="0.35">
      <c r="A19" s="236" t="s">
        <v>8</v>
      </c>
      <c r="B19" s="234"/>
      <c r="C19" s="234"/>
      <c r="D19" s="234"/>
      <c r="E19" s="234"/>
      <c r="F19" s="235"/>
      <c r="G19" s="68">
        <v>46019</v>
      </c>
      <c r="H19" s="233" t="s">
        <v>9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4" customHeight="1" x14ac:dyDescent="0.3">
      <c r="A20" s="69" t="s">
        <v>10</v>
      </c>
      <c r="B20" s="69" t="s">
        <v>11</v>
      </c>
      <c r="C20" s="70" t="s">
        <v>12</v>
      </c>
      <c r="D20" s="69" t="s">
        <v>13</v>
      </c>
      <c r="E20" s="69" t="s">
        <v>14</v>
      </c>
      <c r="F20" s="71" t="s">
        <v>15</v>
      </c>
      <c r="G20" s="72" t="s">
        <v>16</v>
      </c>
      <c r="H20" s="69" t="s">
        <v>17</v>
      </c>
      <c r="I20" s="73" t="s">
        <v>18</v>
      </c>
      <c r="J20" s="74" t="s">
        <v>19</v>
      </c>
      <c r="K20" s="75" t="s">
        <v>20</v>
      </c>
      <c r="L20" s="74" t="s">
        <v>21</v>
      </c>
      <c r="M20" s="74" t="s">
        <v>22</v>
      </c>
      <c r="N20" s="74" t="s">
        <v>23</v>
      </c>
      <c r="O20" s="69" t="s">
        <v>24</v>
      </c>
      <c r="P20" s="70" t="s">
        <v>25</v>
      </c>
      <c r="Q20" s="74" t="s">
        <v>26</v>
      </c>
      <c r="R20" s="69" t="s">
        <v>27</v>
      </c>
    </row>
    <row r="21" spans="1:18" ht="49.95" customHeight="1" x14ac:dyDescent="0.3">
      <c r="A21" s="100" t="s">
        <v>28</v>
      </c>
      <c r="B21" s="100" t="s">
        <v>29</v>
      </c>
      <c r="C21" s="101">
        <v>8.3333333333333329E-2</v>
      </c>
      <c r="D21" s="100" t="s">
        <v>30</v>
      </c>
      <c r="E21" s="102"/>
      <c r="F21" s="100" t="s">
        <v>57</v>
      </c>
      <c r="G21" s="240"/>
      <c r="H21" s="103" t="s">
        <v>29</v>
      </c>
      <c r="I21" s="104">
        <v>1.1396999999999999</v>
      </c>
      <c r="J21" s="105">
        <v>204</v>
      </c>
      <c r="K21" s="106" t="s">
        <v>45</v>
      </c>
      <c r="L21" s="105">
        <v>3</v>
      </c>
      <c r="M21" s="105">
        <v>0</v>
      </c>
      <c r="N21" s="105">
        <v>3</v>
      </c>
      <c r="O21" s="107" t="s">
        <v>58</v>
      </c>
      <c r="P21" s="108">
        <v>8.3333333333333329E-2</v>
      </c>
      <c r="Q21" s="105">
        <v>179</v>
      </c>
      <c r="R21" s="109" t="s">
        <v>59</v>
      </c>
    </row>
    <row r="22" spans="1:18" ht="49.95" customHeight="1" x14ac:dyDescent="0.3">
      <c r="A22" s="28" t="s">
        <v>28</v>
      </c>
      <c r="B22" s="28" t="s">
        <v>35</v>
      </c>
      <c r="C22" s="29">
        <v>0.31944444444444448</v>
      </c>
      <c r="D22" s="28" t="s">
        <v>30</v>
      </c>
      <c r="E22" s="30"/>
      <c r="F22" s="28" t="s">
        <v>54</v>
      </c>
      <c r="G22" s="241"/>
      <c r="H22" s="31" t="s">
        <v>35</v>
      </c>
      <c r="I22" s="110">
        <v>0.87709999999999999</v>
      </c>
      <c r="J22" s="33">
        <v>157</v>
      </c>
      <c r="K22" s="34" t="s">
        <v>60</v>
      </c>
      <c r="L22" s="33">
        <v>2</v>
      </c>
      <c r="M22" s="33">
        <v>0</v>
      </c>
      <c r="N22" s="33">
        <v>0</v>
      </c>
      <c r="O22" s="35" t="s">
        <v>46</v>
      </c>
      <c r="P22" s="36">
        <v>0.31944444444444448</v>
      </c>
      <c r="Q22" s="33">
        <v>179</v>
      </c>
      <c r="R22" s="37" t="s">
        <v>61</v>
      </c>
    </row>
    <row r="23" spans="1:18" ht="49.95" customHeight="1" x14ac:dyDescent="0.3">
      <c r="A23" s="48" t="s">
        <v>28</v>
      </c>
      <c r="B23" s="48" t="s">
        <v>48</v>
      </c>
      <c r="C23" s="49">
        <v>0.51041666666666663</v>
      </c>
      <c r="D23" s="48" t="s">
        <v>30</v>
      </c>
      <c r="E23" s="50"/>
      <c r="F23" s="48" t="s">
        <v>49</v>
      </c>
      <c r="G23" s="241"/>
      <c r="H23" s="51" t="s">
        <v>48</v>
      </c>
      <c r="I23" s="111">
        <v>0.60340000000000005</v>
      </c>
      <c r="J23" s="53">
        <v>108</v>
      </c>
      <c r="K23" s="54" t="s">
        <v>62</v>
      </c>
      <c r="L23" s="53">
        <v>2</v>
      </c>
      <c r="M23" s="53">
        <v>0</v>
      </c>
      <c r="N23" s="53">
        <v>0</v>
      </c>
      <c r="O23" s="55" t="s">
        <v>63</v>
      </c>
      <c r="P23" s="56">
        <v>0.51041666666666663</v>
      </c>
      <c r="Q23" s="53">
        <v>179</v>
      </c>
      <c r="R23" s="57" t="s">
        <v>64</v>
      </c>
    </row>
    <row r="24" spans="1:18" ht="49.95" customHeight="1" thickBot="1" x14ac:dyDescent="0.35">
      <c r="A24" s="112" t="s">
        <v>28</v>
      </c>
      <c r="B24" s="112" t="s">
        <v>38</v>
      </c>
      <c r="C24" s="113">
        <v>0.63194444444444442</v>
      </c>
      <c r="D24" s="112" t="s">
        <v>30</v>
      </c>
      <c r="E24" s="114"/>
      <c r="F24" s="112" t="s">
        <v>49</v>
      </c>
      <c r="G24" s="242"/>
      <c r="H24" s="115" t="s">
        <v>38</v>
      </c>
      <c r="I24" s="116">
        <v>0.83799999999999997</v>
      </c>
      <c r="J24" s="117">
        <v>150</v>
      </c>
      <c r="K24" s="118" t="s">
        <v>36</v>
      </c>
      <c r="L24" s="117">
        <v>2</v>
      </c>
      <c r="M24" s="117">
        <v>2</v>
      </c>
      <c r="N24" s="117">
        <v>0</v>
      </c>
      <c r="O24" s="119" t="s">
        <v>63</v>
      </c>
      <c r="P24" s="120">
        <v>0.63194444444444442</v>
      </c>
      <c r="Q24" s="117">
        <v>179</v>
      </c>
      <c r="R24" s="121" t="s">
        <v>65</v>
      </c>
    </row>
    <row r="25" spans="1:18" ht="17.399999999999999" customHeight="1" thickBot="1" x14ac:dyDescent="0.35">
      <c r="A25" s="265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7"/>
    </row>
    <row r="26" spans="1:18" ht="22.05" customHeight="1" thickTop="1" thickBot="1" x14ac:dyDescent="0.35">
      <c r="A26" s="236" t="s">
        <v>8</v>
      </c>
      <c r="B26" s="234"/>
      <c r="C26" s="234"/>
      <c r="D26" s="234"/>
      <c r="E26" s="234"/>
      <c r="F26" s="235"/>
      <c r="G26" s="68">
        <v>46020</v>
      </c>
      <c r="H26" s="233" t="s">
        <v>9</v>
      </c>
      <c r="I26" s="234"/>
      <c r="J26" s="234"/>
      <c r="K26" s="234"/>
      <c r="L26" s="234"/>
      <c r="M26" s="234"/>
      <c r="N26" s="234"/>
      <c r="O26" s="234"/>
      <c r="P26" s="234"/>
      <c r="Q26" s="234"/>
      <c r="R26" s="235"/>
    </row>
    <row r="27" spans="1:18" ht="24" customHeight="1" x14ac:dyDescent="0.3">
      <c r="A27" s="69" t="s">
        <v>10</v>
      </c>
      <c r="B27" s="69" t="s">
        <v>11</v>
      </c>
      <c r="C27" s="70" t="s">
        <v>12</v>
      </c>
      <c r="D27" s="69" t="s">
        <v>13</v>
      </c>
      <c r="E27" s="69" t="s">
        <v>14</v>
      </c>
      <c r="F27" s="71" t="s">
        <v>15</v>
      </c>
      <c r="G27" s="72" t="s">
        <v>16</v>
      </c>
      <c r="H27" s="69" t="s">
        <v>17</v>
      </c>
      <c r="I27" s="73" t="s">
        <v>18</v>
      </c>
      <c r="J27" s="74" t="s">
        <v>19</v>
      </c>
      <c r="K27" s="75" t="s">
        <v>20</v>
      </c>
      <c r="L27" s="74" t="s">
        <v>21</v>
      </c>
      <c r="M27" s="74" t="s">
        <v>22</v>
      </c>
      <c r="N27" s="74" t="s">
        <v>23</v>
      </c>
      <c r="O27" s="69" t="s">
        <v>24</v>
      </c>
      <c r="P27" s="70" t="s">
        <v>25</v>
      </c>
      <c r="Q27" s="74" t="s">
        <v>26</v>
      </c>
      <c r="R27" s="69" t="s">
        <v>27</v>
      </c>
    </row>
    <row r="28" spans="1:18" ht="49.95" customHeight="1" x14ac:dyDescent="0.3">
      <c r="A28" s="122" t="s">
        <v>28</v>
      </c>
      <c r="B28" s="122" t="s">
        <v>40</v>
      </c>
      <c r="C28" s="123">
        <v>6.9444444444444441E-3</v>
      </c>
      <c r="D28" s="122" t="s">
        <v>30</v>
      </c>
      <c r="E28" s="124"/>
      <c r="F28" s="122" t="s">
        <v>31</v>
      </c>
      <c r="G28" s="240"/>
      <c r="H28" s="41" t="s">
        <v>40</v>
      </c>
      <c r="I28" s="42">
        <v>5.5899999999999998E-2</v>
      </c>
      <c r="J28" s="43">
        <v>10</v>
      </c>
      <c r="K28" s="44" t="s">
        <v>36</v>
      </c>
      <c r="L28" s="43">
        <v>8</v>
      </c>
      <c r="M28" s="43">
        <v>2</v>
      </c>
      <c r="N28" s="43">
        <v>1</v>
      </c>
      <c r="O28" s="45" t="s">
        <v>66</v>
      </c>
      <c r="P28" s="46">
        <v>6.9444444444444441E-3</v>
      </c>
      <c r="Q28" s="43">
        <v>179</v>
      </c>
      <c r="R28" s="47" t="s">
        <v>67</v>
      </c>
    </row>
    <row r="29" spans="1:18" ht="49.95" customHeight="1" x14ac:dyDescent="0.3">
      <c r="A29" s="48" t="s">
        <v>28</v>
      </c>
      <c r="B29" s="48" t="s">
        <v>35</v>
      </c>
      <c r="C29" s="49">
        <v>0.4236111111111111</v>
      </c>
      <c r="D29" s="48" t="s">
        <v>30</v>
      </c>
      <c r="E29" s="50"/>
      <c r="F29" s="48" t="s">
        <v>54</v>
      </c>
      <c r="G29" s="241"/>
      <c r="H29" s="51" t="s">
        <v>35</v>
      </c>
      <c r="I29" s="125">
        <v>0.86029999999999995</v>
      </c>
      <c r="J29" s="53">
        <v>154</v>
      </c>
      <c r="K29" s="54" t="s">
        <v>68</v>
      </c>
      <c r="L29" s="53">
        <v>0</v>
      </c>
      <c r="M29" s="53">
        <v>0</v>
      </c>
      <c r="N29" s="53">
        <v>0</v>
      </c>
      <c r="O29" s="55" t="s">
        <v>69</v>
      </c>
      <c r="P29" s="56">
        <v>0.4236111111111111</v>
      </c>
      <c r="Q29" s="53">
        <v>179</v>
      </c>
      <c r="R29" s="57" t="s">
        <v>70</v>
      </c>
    </row>
    <row r="30" spans="1:18" ht="49.95" customHeight="1" x14ac:dyDescent="0.3">
      <c r="A30" s="18" t="s">
        <v>28</v>
      </c>
      <c r="B30" s="18" t="s">
        <v>38</v>
      </c>
      <c r="C30" s="19">
        <v>0.61458333333333337</v>
      </c>
      <c r="D30" s="18" t="s">
        <v>30</v>
      </c>
      <c r="E30" s="20"/>
      <c r="F30" s="18" t="s">
        <v>49</v>
      </c>
      <c r="G30" s="241"/>
      <c r="H30" s="21" t="s">
        <v>38</v>
      </c>
      <c r="I30" s="22">
        <v>0.32400000000000001</v>
      </c>
      <c r="J30" s="23">
        <v>58</v>
      </c>
      <c r="K30" s="24" t="s">
        <v>36</v>
      </c>
      <c r="L30" s="23">
        <v>3</v>
      </c>
      <c r="M30" s="23">
        <v>3</v>
      </c>
      <c r="N30" s="23">
        <v>0</v>
      </c>
      <c r="O30" s="25" t="s">
        <v>69</v>
      </c>
      <c r="P30" s="26">
        <v>0.61458333333333337</v>
      </c>
      <c r="Q30" s="23">
        <v>179</v>
      </c>
      <c r="R30" s="27" t="s">
        <v>71</v>
      </c>
    </row>
    <row r="31" spans="1:18" ht="49.95" customHeight="1" thickBot="1" x14ac:dyDescent="0.35">
      <c r="A31" s="126" t="s">
        <v>28</v>
      </c>
      <c r="B31" s="126" t="s">
        <v>48</v>
      </c>
      <c r="C31" s="127">
        <v>0.97916666666666663</v>
      </c>
      <c r="D31" s="126" t="s">
        <v>30</v>
      </c>
      <c r="E31" s="128"/>
      <c r="F31" s="126" t="s">
        <v>54</v>
      </c>
      <c r="G31" s="242"/>
      <c r="H31" s="129" t="s">
        <v>48</v>
      </c>
      <c r="I31" s="130">
        <v>0.91620000000000001</v>
      </c>
      <c r="J31" s="131">
        <v>164</v>
      </c>
      <c r="K31" s="132" t="s">
        <v>72</v>
      </c>
      <c r="L31" s="131">
        <v>0</v>
      </c>
      <c r="M31" s="131">
        <v>0</v>
      </c>
      <c r="N31" s="131">
        <v>0</v>
      </c>
      <c r="O31" s="133" t="s">
        <v>73</v>
      </c>
      <c r="P31" s="134">
        <v>0.97916666666666663</v>
      </c>
      <c r="Q31" s="131">
        <v>179</v>
      </c>
      <c r="R31" s="135" t="s">
        <v>74</v>
      </c>
    </row>
    <row r="32" spans="1:18" ht="17.399999999999999" customHeight="1" thickBot="1" x14ac:dyDescent="0.35">
      <c r="A32" s="265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7"/>
    </row>
    <row r="33" spans="1:18" ht="22.05" customHeight="1" thickTop="1" thickBot="1" x14ac:dyDescent="0.35">
      <c r="A33" s="236" t="s">
        <v>8</v>
      </c>
      <c r="B33" s="234"/>
      <c r="C33" s="234"/>
      <c r="D33" s="234"/>
      <c r="E33" s="234"/>
      <c r="F33" s="235"/>
      <c r="G33" s="68">
        <v>46021</v>
      </c>
      <c r="H33" s="233" t="s">
        <v>9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5"/>
    </row>
    <row r="34" spans="1:18" ht="24" customHeight="1" x14ac:dyDescent="0.3">
      <c r="A34" s="69" t="s">
        <v>10</v>
      </c>
      <c r="B34" s="69" t="s">
        <v>11</v>
      </c>
      <c r="C34" s="70" t="s">
        <v>12</v>
      </c>
      <c r="D34" s="69" t="s">
        <v>13</v>
      </c>
      <c r="E34" s="69" t="s">
        <v>14</v>
      </c>
      <c r="F34" s="71" t="s">
        <v>15</v>
      </c>
      <c r="G34" s="72" t="s">
        <v>16</v>
      </c>
      <c r="H34" s="69" t="s">
        <v>17</v>
      </c>
      <c r="I34" s="73" t="s">
        <v>18</v>
      </c>
      <c r="J34" s="74" t="s">
        <v>19</v>
      </c>
      <c r="K34" s="75" t="s">
        <v>20</v>
      </c>
      <c r="L34" s="74" t="s">
        <v>21</v>
      </c>
      <c r="M34" s="74" t="s">
        <v>22</v>
      </c>
      <c r="N34" s="74" t="s">
        <v>23</v>
      </c>
      <c r="O34" s="69" t="s">
        <v>24</v>
      </c>
      <c r="P34" s="70" t="s">
        <v>25</v>
      </c>
      <c r="Q34" s="74" t="s">
        <v>26</v>
      </c>
      <c r="R34" s="69" t="s">
        <v>27</v>
      </c>
    </row>
    <row r="35" spans="1:18" ht="15" customHeight="1" x14ac:dyDescent="0.3">
      <c r="A35" s="136" t="s">
        <v>28</v>
      </c>
      <c r="B35" s="136" t="s">
        <v>44</v>
      </c>
      <c r="C35" s="137">
        <v>0.22916666666666671</v>
      </c>
      <c r="D35" s="136" t="s">
        <v>30</v>
      </c>
      <c r="E35" s="138"/>
      <c r="F35" s="136" t="s">
        <v>31</v>
      </c>
      <c r="G35" s="240"/>
      <c r="H35" s="21" t="s">
        <v>44</v>
      </c>
      <c r="I35" s="22">
        <v>0.28489999999999999</v>
      </c>
      <c r="J35" s="23">
        <v>51</v>
      </c>
      <c r="K35" s="24" t="s">
        <v>45</v>
      </c>
      <c r="L35" s="23">
        <v>37</v>
      </c>
      <c r="M35" s="23">
        <v>0</v>
      </c>
      <c r="N35" s="23">
        <v>8</v>
      </c>
      <c r="O35" s="25" t="s">
        <v>75</v>
      </c>
      <c r="P35" s="26">
        <v>0.22916666666666671</v>
      </c>
      <c r="Q35" s="23">
        <v>179</v>
      </c>
      <c r="R35" s="27" t="s">
        <v>76</v>
      </c>
    </row>
    <row r="36" spans="1:18" ht="15" customHeight="1" x14ac:dyDescent="0.3">
      <c r="A36" s="139" t="s">
        <v>28</v>
      </c>
      <c r="B36" s="139" t="s">
        <v>40</v>
      </c>
      <c r="C36" s="140">
        <v>0.55902777777777779</v>
      </c>
      <c r="D36" s="139" t="s">
        <v>30</v>
      </c>
      <c r="E36" s="141"/>
      <c r="F36" s="139" t="s">
        <v>49</v>
      </c>
      <c r="G36" s="241"/>
      <c r="H36" s="103" t="s">
        <v>40</v>
      </c>
      <c r="I36" s="142">
        <v>0.56979999999999997</v>
      </c>
      <c r="J36" s="105">
        <v>102</v>
      </c>
      <c r="K36" s="106" t="s">
        <v>62</v>
      </c>
      <c r="L36" s="105">
        <v>4</v>
      </c>
      <c r="M36" s="105">
        <v>0</v>
      </c>
      <c r="N36" s="105">
        <v>0</v>
      </c>
      <c r="O36" s="107" t="s">
        <v>46</v>
      </c>
      <c r="P36" s="108">
        <v>0.55902777777777779</v>
      </c>
      <c r="Q36" s="105">
        <v>179</v>
      </c>
      <c r="R36" s="109" t="s">
        <v>77</v>
      </c>
    </row>
    <row r="37" spans="1:18" ht="15" customHeight="1" x14ac:dyDescent="0.3">
      <c r="A37" s="86" t="s">
        <v>28</v>
      </c>
      <c r="B37" s="86" t="s">
        <v>38</v>
      </c>
      <c r="C37" s="87">
        <v>0.61458333333333337</v>
      </c>
      <c r="D37" s="86" t="s">
        <v>30</v>
      </c>
      <c r="E37" s="88"/>
      <c r="F37" s="86" t="s">
        <v>49</v>
      </c>
      <c r="G37" s="241"/>
      <c r="H37" s="11" t="s">
        <v>38</v>
      </c>
      <c r="I37" s="89">
        <v>0.5978</v>
      </c>
      <c r="J37" s="13">
        <v>107</v>
      </c>
      <c r="K37" s="14" t="s">
        <v>36</v>
      </c>
      <c r="L37" s="13">
        <v>6</v>
      </c>
      <c r="M37" s="13">
        <v>2</v>
      </c>
      <c r="N37" s="13">
        <v>0</v>
      </c>
      <c r="O37" s="15" t="s">
        <v>78</v>
      </c>
      <c r="P37" s="16">
        <v>0.61458333333333337</v>
      </c>
      <c r="Q37" s="13">
        <v>179</v>
      </c>
      <c r="R37" s="17" t="s">
        <v>79</v>
      </c>
    </row>
    <row r="38" spans="1:18" ht="15" customHeight="1" x14ac:dyDescent="0.3">
      <c r="A38" s="139" t="s">
        <v>28</v>
      </c>
      <c r="B38" s="139" t="s">
        <v>48</v>
      </c>
      <c r="C38" s="140">
        <v>0.72916666666666663</v>
      </c>
      <c r="D38" s="139" t="s">
        <v>30</v>
      </c>
      <c r="E38" s="141"/>
      <c r="F38" s="139" t="s">
        <v>49</v>
      </c>
      <c r="G38" s="241"/>
      <c r="H38" s="103" t="s">
        <v>48</v>
      </c>
      <c r="I38" s="142">
        <v>0.61450000000000005</v>
      </c>
      <c r="J38" s="105">
        <v>110</v>
      </c>
      <c r="K38" s="106" t="s">
        <v>32</v>
      </c>
      <c r="L38" s="105">
        <v>6</v>
      </c>
      <c r="M38" s="105">
        <v>0</v>
      </c>
      <c r="N38" s="105">
        <v>0</v>
      </c>
      <c r="O38" s="107" t="s">
        <v>80</v>
      </c>
      <c r="P38" s="108">
        <v>0.72916666666666663</v>
      </c>
      <c r="Q38" s="105">
        <v>179</v>
      </c>
      <c r="R38" s="109" t="s">
        <v>81</v>
      </c>
    </row>
    <row r="39" spans="1:18" ht="15" customHeight="1" x14ac:dyDescent="0.3">
      <c r="A39" s="143" t="s">
        <v>28</v>
      </c>
      <c r="B39" s="143" t="s">
        <v>29</v>
      </c>
      <c r="C39" s="144">
        <v>0.93402777777777779</v>
      </c>
      <c r="D39" s="143" t="s">
        <v>30</v>
      </c>
      <c r="E39" s="145"/>
      <c r="F39" s="143" t="s">
        <v>49</v>
      </c>
      <c r="G39" s="241"/>
      <c r="H39" s="146" t="s">
        <v>29</v>
      </c>
      <c r="I39" s="147">
        <v>0.30809999999999998</v>
      </c>
      <c r="J39" s="148">
        <v>57</v>
      </c>
      <c r="K39" s="149" t="s">
        <v>36</v>
      </c>
      <c r="L39" s="148">
        <v>4</v>
      </c>
      <c r="M39" s="148">
        <v>1</v>
      </c>
      <c r="N39" s="148">
        <v>0</v>
      </c>
      <c r="O39" s="150" t="s">
        <v>46</v>
      </c>
      <c r="P39" s="151">
        <v>0.93402777777777779</v>
      </c>
      <c r="Q39" s="148">
        <v>185</v>
      </c>
      <c r="R39" s="152" t="s">
        <v>82</v>
      </c>
    </row>
    <row r="40" spans="1:18" ht="15" customHeight="1" thickBot="1" x14ac:dyDescent="0.35">
      <c r="A40" s="90" t="s">
        <v>28</v>
      </c>
      <c r="B40" s="90" t="s">
        <v>35</v>
      </c>
      <c r="C40" s="91">
        <v>0.96875</v>
      </c>
      <c r="D40" s="90" t="s">
        <v>30</v>
      </c>
      <c r="E40" s="92"/>
      <c r="F40" s="90" t="s">
        <v>49</v>
      </c>
      <c r="G40" s="242"/>
      <c r="H40" s="93" t="s">
        <v>35</v>
      </c>
      <c r="I40" s="153">
        <v>0.84919999999999995</v>
      </c>
      <c r="J40" s="95">
        <v>152</v>
      </c>
      <c r="K40" s="96" t="s">
        <v>45</v>
      </c>
      <c r="L40" s="95">
        <v>13</v>
      </c>
      <c r="M40" s="95">
        <v>0</v>
      </c>
      <c r="N40" s="95">
        <v>5</v>
      </c>
      <c r="O40" s="97" t="s">
        <v>83</v>
      </c>
      <c r="P40" s="98">
        <v>0.96875</v>
      </c>
      <c r="Q40" s="95">
        <v>179</v>
      </c>
      <c r="R40" s="99" t="s">
        <v>84</v>
      </c>
    </row>
    <row r="41" spans="1:18" ht="17.399999999999999" customHeight="1" thickBot="1" x14ac:dyDescent="0.35">
      <c r="A41" s="265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7"/>
    </row>
    <row r="42" spans="1:18" ht="22.05" customHeight="1" thickTop="1" thickBot="1" x14ac:dyDescent="0.35">
      <c r="A42" s="236" t="s">
        <v>8</v>
      </c>
      <c r="B42" s="234"/>
      <c r="C42" s="234"/>
      <c r="D42" s="234"/>
      <c r="E42" s="234"/>
      <c r="F42" s="235"/>
      <c r="G42" s="68">
        <v>46022</v>
      </c>
      <c r="H42" s="233" t="s">
        <v>9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5"/>
    </row>
    <row r="43" spans="1:18" ht="24" customHeight="1" x14ac:dyDescent="0.3">
      <c r="A43" s="69" t="s">
        <v>10</v>
      </c>
      <c r="B43" s="69" t="s">
        <v>11</v>
      </c>
      <c r="C43" s="70" t="s">
        <v>12</v>
      </c>
      <c r="D43" s="69" t="s">
        <v>13</v>
      </c>
      <c r="E43" s="69" t="s">
        <v>14</v>
      </c>
      <c r="F43" s="71" t="s">
        <v>15</v>
      </c>
      <c r="G43" s="72" t="s">
        <v>16</v>
      </c>
      <c r="H43" s="69" t="s">
        <v>17</v>
      </c>
      <c r="I43" s="73" t="s">
        <v>18</v>
      </c>
      <c r="J43" s="74" t="s">
        <v>19</v>
      </c>
      <c r="K43" s="75" t="s">
        <v>20</v>
      </c>
      <c r="L43" s="74" t="s">
        <v>21</v>
      </c>
      <c r="M43" s="74" t="s">
        <v>22</v>
      </c>
      <c r="N43" s="74" t="s">
        <v>23</v>
      </c>
      <c r="O43" s="69" t="s">
        <v>24</v>
      </c>
      <c r="P43" s="70" t="s">
        <v>25</v>
      </c>
      <c r="Q43" s="74" t="s">
        <v>26</v>
      </c>
      <c r="R43" s="69" t="s">
        <v>27</v>
      </c>
    </row>
    <row r="44" spans="1:18" ht="49.95" customHeight="1" x14ac:dyDescent="0.3">
      <c r="A44" s="154" t="s">
        <v>28</v>
      </c>
      <c r="B44" s="154" t="s">
        <v>35</v>
      </c>
      <c r="C44" s="155">
        <v>0.47916666666666669</v>
      </c>
      <c r="D44" s="154" t="s">
        <v>30</v>
      </c>
      <c r="E44" s="156"/>
      <c r="F44" s="154" t="s">
        <v>49</v>
      </c>
      <c r="G44" s="240"/>
      <c r="H44" s="31" t="s">
        <v>35</v>
      </c>
      <c r="I44" s="157">
        <v>0.62009999999999998</v>
      </c>
      <c r="J44" s="33">
        <v>111</v>
      </c>
      <c r="K44" s="34" t="s">
        <v>85</v>
      </c>
      <c r="L44" s="33">
        <v>4</v>
      </c>
      <c r="M44" s="33">
        <v>0</v>
      </c>
      <c r="N44" s="33">
        <v>0</v>
      </c>
      <c r="O44" s="35" t="s">
        <v>80</v>
      </c>
      <c r="P44" s="36">
        <v>0.47916666666666669</v>
      </c>
      <c r="Q44" s="33">
        <v>179</v>
      </c>
      <c r="R44" s="37" t="s">
        <v>86</v>
      </c>
    </row>
    <row r="45" spans="1:18" ht="49.95" customHeight="1" x14ac:dyDescent="0.3">
      <c r="A45" s="143" t="s">
        <v>28</v>
      </c>
      <c r="B45" s="143" t="s">
        <v>48</v>
      </c>
      <c r="C45" s="144">
        <v>0.52083333333333337</v>
      </c>
      <c r="D45" s="143" t="s">
        <v>30</v>
      </c>
      <c r="E45" s="145"/>
      <c r="F45" s="143" t="s">
        <v>49</v>
      </c>
      <c r="G45" s="241"/>
      <c r="H45" s="146" t="s">
        <v>48</v>
      </c>
      <c r="I45" s="158">
        <v>0.64800000000000002</v>
      </c>
      <c r="J45" s="148">
        <v>116</v>
      </c>
      <c r="K45" s="149" t="s">
        <v>45</v>
      </c>
      <c r="L45" s="148">
        <v>11</v>
      </c>
      <c r="M45" s="148">
        <v>0</v>
      </c>
      <c r="N45" s="148">
        <v>1</v>
      </c>
      <c r="O45" s="150" t="s">
        <v>87</v>
      </c>
      <c r="P45" s="151">
        <v>0.52083333333333337</v>
      </c>
      <c r="Q45" s="148">
        <v>179</v>
      </c>
      <c r="R45" s="152" t="s">
        <v>88</v>
      </c>
    </row>
    <row r="46" spans="1:18" ht="49.95" customHeight="1" thickBot="1" x14ac:dyDescent="0.35">
      <c r="A46" s="58" t="s">
        <v>28</v>
      </c>
      <c r="B46" s="58" t="s">
        <v>38</v>
      </c>
      <c r="C46" s="59">
        <v>0.61458333333333337</v>
      </c>
      <c r="D46" s="58" t="s">
        <v>30</v>
      </c>
      <c r="E46" s="60"/>
      <c r="F46" s="58" t="s">
        <v>49</v>
      </c>
      <c r="G46" s="242"/>
      <c r="H46" s="61" t="s">
        <v>38</v>
      </c>
      <c r="I46" s="62">
        <v>0.6704</v>
      </c>
      <c r="J46" s="63">
        <v>120</v>
      </c>
      <c r="K46" s="64" t="s">
        <v>32</v>
      </c>
      <c r="L46" s="63">
        <v>1</v>
      </c>
      <c r="M46" s="63">
        <v>0</v>
      </c>
      <c r="N46" s="63">
        <v>0</v>
      </c>
      <c r="O46" s="65" t="s">
        <v>89</v>
      </c>
      <c r="P46" s="66">
        <v>0.61458333333333337</v>
      </c>
      <c r="Q46" s="63">
        <v>179</v>
      </c>
      <c r="R46" s="67" t="s">
        <v>90</v>
      </c>
    </row>
    <row r="47" spans="1:18" ht="17.399999999999999" customHeight="1" thickBot="1" x14ac:dyDescent="0.35">
      <c r="A47" s="265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7"/>
    </row>
    <row r="48" spans="1:18" ht="22.05" customHeight="1" thickTop="1" thickBot="1" x14ac:dyDescent="0.35">
      <c r="A48" s="236" t="s">
        <v>8</v>
      </c>
      <c r="B48" s="234"/>
      <c r="C48" s="234"/>
      <c r="D48" s="234"/>
      <c r="E48" s="234"/>
      <c r="F48" s="235"/>
      <c r="G48" s="68">
        <v>46023</v>
      </c>
      <c r="H48" s="233" t="s">
        <v>9</v>
      </c>
      <c r="I48" s="234"/>
      <c r="J48" s="234"/>
      <c r="K48" s="234"/>
      <c r="L48" s="234"/>
      <c r="M48" s="234"/>
      <c r="N48" s="234"/>
      <c r="O48" s="234"/>
      <c r="P48" s="234"/>
      <c r="Q48" s="234"/>
      <c r="R48" s="235"/>
    </row>
    <row r="49" spans="1:18" ht="24" customHeight="1" x14ac:dyDescent="0.3">
      <c r="A49" s="69" t="s">
        <v>10</v>
      </c>
      <c r="B49" s="69" t="s">
        <v>11</v>
      </c>
      <c r="C49" s="70" t="s">
        <v>12</v>
      </c>
      <c r="D49" s="69" t="s">
        <v>13</v>
      </c>
      <c r="E49" s="69" t="s">
        <v>14</v>
      </c>
      <c r="F49" s="71" t="s">
        <v>15</v>
      </c>
      <c r="G49" s="72" t="s">
        <v>16</v>
      </c>
      <c r="H49" s="69" t="s">
        <v>17</v>
      </c>
      <c r="I49" s="73" t="s">
        <v>18</v>
      </c>
      <c r="J49" s="74" t="s">
        <v>19</v>
      </c>
      <c r="K49" s="75" t="s">
        <v>20</v>
      </c>
      <c r="L49" s="74" t="s">
        <v>21</v>
      </c>
      <c r="M49" s="74" t="s">
        <v>22</v>
      </c>
      <c r="N49" s="74" t="s">
        <v>23</v>
      </c>
      <c r="O49" s="69" t="s">
        <v>24</v>
      </c>
      <c r="P49" s="70" t="s">
        <v>25</v>
      </c>
      <c r="Q49" s="74" t="s">
        <v>26</v>
      </c>
      <c r="R49" s="69" t="s">
        <v>27</v>
      </c>
    </row>
    <row r="50" spans="1:18" ht="15" customHeight="1" x14ac:dyDescent="0.3">
      <c r="A50" s="136" t="s">
        <v>28</v>
      </c>
      <c r="B50" s="136" t="s">
        <v>29</v>
      </c>
      <c r="C50" s="137">
        <v>4.8611111111111112E-2</v>
      </c>
      <c r="D50" s="136" t="s">
        <v>30</v>
      </c>
      <c r="E50" s="138"/>
      <c r="F50" s="136" t="s">
        <v>31</v>
      </c>
      <c r="G50" s="240"/>
      <c r="H50" s="21" t="s">
        <v>29</v>
      </c>
      <c r="I50" s="22">
        <v>2.3800000000000002E-2</v>
      </c>
      <c r="J50" s="23">
        <v>4</v>
      </c>
      <c r="K50" s="24" t="s">
        <v>91</v>
      </c>
      <c r="L50" s="23">
        <v>4</v>
      </c>
      <c r="M50" s="23">
        <v>0</v>
      </c>
      <c r="N50" s="23">
        <v>0</v>
      </c>
      <c r="O50" s="25" t="s">
        <v>92</v>
      </c>
      <c r="P50" s="26">
        <v>4.8611111111111112E-2</v>
      </c>
      <c r="Q50" s="23">
        <v>168</v>
      </c>
      <c r="R50" s="27" t="s">
        <v>93</v>
      </c>
    </row>
    <row r="51" spans="1:18" ht="15" customHeight="1" x14ac:dyDescent="0.3">
      <c r="A51" s="139" t="s">
        <v>28</v>
      </c>
      <c r="B51" s="139" t="s">
        <v>44</v>
      </c>
      <c r="C51" s="140">
        <v>0.1145833333333333</v>
      </c>
      <c r="D51" s="139" t="s">
        <v>30</v>
      </c>
      <c r="E51" s="141"/>
      <c r="F51" s="139" t="s">
        <v>49</v>
      </c>
      <c r="G51" s="241"/>
      <c r="H51" s="103" t="s">
        <v>44</v>
      </c>
      <c r="I51" s="159">
        <v>0.32140000000000002</v>
      </c>
      <c r="J51" s="105">
        <v>54</v>
      </c>
      <c r="K51" s="106" t="s">
        <v>94</v>
      </c>
      <c r="L51" s="105">
        <v>10</v>
      </c>
      <c r="M51" s="105">
        <v>0</v>
      </c>
      <c r="N51" s="105">
        <v>0</v>
      </c>
      <c r="O51" s="107" t="s">
        <v>95</v>
      </c>
      <c r="P51" s="108">
        <v>0.1145833333333333</v>
      </c>
      <c r="Q51" s="105">
        <v>168</v>
      </c>
      <c r="R51" s="109" t="s">
        <v>96</v>
      </c>
    </row>
    <row r="52" spans="1:18" ht="15" customHeight="1" x14ac:dyDescent="0.3">
      <c r="A52" s="86" t="s">
        <v>28</v>
      </c>
      <c r="B52" s="86" t="s">
        <v>51</v>
      </c>
      <c r="C52" s="87">
        <v>0.25347222222222221</v>
      </c>
      <c r="D52" s="86" t="s">
        <v>30</v>
      </c>
      <c r="E52" s="88"/>
      <c r="F52" s="86" t="s">
        <v>49</v>
      </c>
      <c r="G52" s="241"/>
      <c r="H52" s="11" t="s">
        <v>51</v>
      </c>
      <c r="I52" s="89">
        <v>0.77380000000000004</v>
      </c>
      <c r="J52" s="13">
        <v>130</v>
      </c>
      <c r="K52" s="14" t="s">
        <v>97</v>
      </c>
      <c r="L52" s="13">
        <v>7</v>
      </c>
      <c r="M52" s="13">
        <v>0</v>
      </c>
      <c r="N52" s="13">
        <v>0</v>
      </c>
      <c r="O52" s="15" t="s">
        <v>80</v>
      </c>
      <c r="P52" s="16">
        <v>0.25347222222222221</v>
      </c>
      <c r="Q52" s="13">
        <v>168</v>
      </c>
      <c r="R52" s="17" t="s">
        <v>98</v>
      </c>
    </row>
    <row r="53" spans="1:18" ht="15" customHeight="1" x14ac:dyDescent="0.3">
      <c r="A53" s="28" t="s">
        <v>28</v>
      </c>
      <c r="B53" s="28" t="s">
        <v>35</v>
      </c>
      <c r="C53" s="29">
        <v>0.33333333333333331</v>
      </c>
      <c r="D53" s="28" t="s">
        <v>30</v>
      </c>
      <c r="E53" s="30"/>
      <c r="F53" s="28" t="s">
        <v>49</v>
      </c>
      <c r="G53" s="241"/>
      <c r="H53" s="31" t="s">
        <v>35</v>
      </c>
      <c r="I53" s="157">
        <v>0.80359999999999998</v>
      </c>
      <c r="J53" s="33">
        <v>135</v>
      </c>
      <c r="K53" s="34" t="s">
        <v>99</v>
      </c>
      <c r="L53" s="33">
        <v>8</v>
      </c>
      <c r="M53" s="33">
        <v>0</v>
      </c>
      <c r="N53" s="33">
        <v>0</v>
      </c>
      <c r="O53" s="35" t="s">
        <v>87</v>
      </c>
      <c r="P53" s="36">
        <v>0.33333333333333331</v>
      </c>
      <c r="Q53" s="33">
        <v>168</v>
      </c>
      <c r="R53" s="37" t="s">
        <v>100</v>
      </c>
    </row>
    <row r="54" spans="1:18" ht="15" customHeight="1" x14ac:dyDescent="0.3">
      <c r="A54" s="86" t="s">
        <v>28</v>
      </c>
      <c r="B54" s="86" t="s">
        <v>101</v>
      </c>
      <c r="C54" s="87">
        <v>0.36458333333333331</v>
      </c>
      <c r="D54" s="86" t="s">
        <v>30</v>
      </c>
      <c r="E54" s="88"/>
      <c r="F54" s="86" t="s">
        <v>31</v>
      </c>
      <c r="G54" s="241"/>
      <c r="H54" s="11" t="s">
        <v>101</v>
      </c>
      <c r="I54" s="12">
        <v>0.28570000000000001</v>
      </c>
      <c r="J54" s="13">
        <v>48</v>
      </c>
      <c r="K54" s="14" t="s">
        <v>91</v>
      </c>
      <c r="L54" s="13">
        <v>4</v>
      </c>
      <c r="M54" s="13">
        <v>0</v>
      </c>
      <c r="N54" s="13">
        <v>0</v>
      </c>
      <c r="O54" s="15" t="s">
        <v>102</v>
      </c>
      <c r="P54" s="16">
        <v>0.36458333333333331</v>
      </c>
      <c r="Q54" s="13">
        <v>168</v>
      </c>
      <c r="R54" s="17" t="s">
        <v>103</v>
      </c>
    </row>
    <row r="55" spans="1:18" ht="15" customHeight="1" x14ac:dyDescent="0.3">
      <c r="A55" s="143" t="s">
        <v>28</v>
      </c>
      <c r="B55" s="143" t="s">
        <v>38</v>
      </c>
      <c r="C55" s="144">
        <v>0.58333333333333337</v>
      </c>
      <c r="D55" s="143" t="s">
        <v>30</v>
      </c>
      <c r="E55" s="145"/>
      <c r="F55" s="143" t="s">
        <v>54</v>
      </c>
      <c r="G55" s="241"/>
      <c r="H55" s="146" t="s">
        <v>38</v>
      </c>
      <c r="I55" s="160">
        <v>0.875</v>
      </c>
      <c r="J55" s="148">
        <v>147</v>
      </c>
      <c r="K55" s="149" t="s">
        <v>94</v>
      </c>
      <c r="L55" s="148">
        <v>11</v>
      </c>
      <c r="M55" s="148">
        <v>0</v>
      </c>
      <c r="N55" s="148">
        <v>0</v>
      </c>
      <c r="O55" s="150" t="s">
        <v>104</v>
      </c>
      <c r="P55" s="151">
        <v>0.58333333333333337</v>
      </c>
      <c r="Q55" s="148">
        <v>168</v>
      </c>
      <c r="R55" s="152" t="s">
        <v>105</v>
      </c>
    </row>
    <row r="56" spans="1:18" ht="15" customHeight="1" thickBot="1" x14ac:dyDescent="0.35">
      <c r="A56" s="161" t="s">
        <v>28</v>
      </c>
      <c r="B56" s="161" t="s">
        <v>40</v>
      </c>
      <c r="C56" s="162">
        <v>0.73958333333333337</v>
      </c>
      <c r="D56" s="161" t="s">
        <v>30</v>
      </c>
      <c r="E56" s="163"/>
      <c r="F56" s="161" t="s">
        <v>54</v>
      </c>
      <c r="G56" s="242"/>
      <c r="H56" s="164" t="s">
        <v>40</v>
      </c>
      <c r="I56" s="165">
        <v>0.875</v>
      </c>
      <c r="J56" s="166">
        <v>147</v>
      </c>
      <c r="K56" s="167" t="s">
        <v>106</v>
      </c>
      <c r="L56" s="166">
        <v>11</v>
      </c>
      <c r="M56" s="166">
        <v>0</v>
      </c>
      <c r="N56" s="166">
        <v>0</v>
      </c>
      <c r="O56" s="168" t="s">
        <v>102</v>
      </c>
      <c r="P56" s="169">
        <v>0.73958333333333337</v>
      </c>
      <c r="Q56" s="166">
        <v>168</v>
      </c>
      <c r="R56" s="170" t="s">
        <v>107</v>
      </c>
    </row>
    <row r="57" spans="1:18" ht="17.399999999999999" customHeight="1" thickBot="1" x14ac:dyDescent="0.35">
      <c r="A57" s="265"/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7"/>
    </row>
    <row r="58" spans="1:18" ht="22.05" customHeight="1" thickTop="1" thickBot="1" x14ac:dyDescent="0.35">
      <c r="A58" s="236" t="s">
        <v>8</v>
      </c>
      <c r="B58" s="234"/>
      <c r="C58" s="234"/>
      <c r="D58" s="234"/>
      <c r="E58" s="234"/>
      <c r="F58" s="235"/>
      <c r="G58" s="68">
        <v>46024</v>
      </c>
      <c r="H58" s="233" t="s">
        <v>9</v>
      </c>
      <c r="I58" s="234"/>
      <c r="J58" s="234"/>
      <c r="K58" s="234"/>
      <c r="L58" s="234"/>
      <c r="M58" s="234"/>
      <c r="N58" s="234"/>
      <c r="O58" s="234"/>
      <c r="P58" s="234"/>
      <c r="Q58" s="234"/>
      <c r="R58" s="235"/>
    </row>
    <row r="59" spans="1:18" ht="24" customHeight="1" x14ac:dyDescent="0.3">
      <c r="A59" s="69" t="s">
        <v>10</v>
      </c>
      <c r="B59" s="69" t="s">
        <v>11</v>
      </c>
      <c r="C59" s="70" t="s">
        <v>12</v>
      </c>
      <c r="D59" s="69" t="s">
        <v>13</v>
      </c>
      <c r="E59" s="69" t="s">
        <v>14</v>
      </c>
      <c r="F59" s="71" t="s">
        <v>15</v>
      </c>
      <c r="G59" s="72" t="s">
        <v>16</v>
      </c>
      <c r="H59" s="69" t="s">
        <v>17</v>
      </c>
      <c r="I59" s="73" t="s">
        <v>18</v>
      </c>
      <c r="J59" s="74" t="s">
        <v>19</v>
      </c>
      <c r="K59" s="75" t="s">
        <v>20</v>
      </c>
      <c r="L59" s="74" t="s">
        <v>21</v>
      </c>
      <c r="M59" s="74" t="s">
        <v>22</v>
      </c>
      <c r="N59" s="74" t="s">
        <v>23</v>
      </c>
      <c r="O59" s="69" t="s">
        <v>24</v>
      </c>
      <c r="P59" s="70" t="s">
        <v>25</v>
      </c>
      <c r="Q59" s="74" t="s">
        <v>26</v>
      </c>
      <c r="R59" s="69" t="s">
        <v>27</v>
      </c>
    </row>
    <row r="60" spans="1:18" ht="15" customHeight="1" x14ac:dyDescent="0.3">
      <c r="A60" s="8" t="s">
        <v>28</v>
      </c>
      <c r="B60" s="8" t="s">
        <v>29</v>
      </c>
      <c r="C60" s="9">
        <v>0.1145833333333333</v>
      </c>
      <c r="D60" s="8" t="s">
        <v>30</v>
      </c>
      <c r="E60" s="10"/>
      <c r="F60" s="8" t="s">
        <v>108</v>
      </c>
      <c r="G60" s="240"/>
      <c r="H60" s="11" t="s">
        <v>29</v>
      </c>
      <c r="I60" s="12">
        <v>0</v>
      </c>
      <c r="J60" s="13">
        <v>0</v>
      </c>
      <c r="K60" s="14" t="s">
        <v>109</v>
      </c>
      <c r="L60" s="13">
        <v>0</v>
      </c>
      <c r="M60" s="13">
        <v>0</v>
      </c>
      <c r="N60" s="13">
        <v>0</v>
      </c>
      <c r="O60" s="15" t="s">
        <v>102</v>
      </c>
      <c r="P60" s="16">
        <v>0.1145833333333333</v>
      </c>
      <c r="Q60" s="13">
        <v>174</v>
      </c>
      <c r="R60" s="17" t="s">
        <v>109</v>
      </c>
    </row>
    <row r="61" spans="1:18" ht="15" customHeight="1" x14ac:dyDescent="0.3">
      <c r="A61" s="139" t="s">
        <v>28</v>
      </c>
      <c r="B61" s="139" t="s">
        <v>35</v>
      </c>
      <c r="C61" s="140">
        <v>0.31944444444444448</v>
      </c>
      <c r="D61" s="139" t="s">
        <v>30</v>
      </c>
      <c r="E61" s="141"/>
      <c r="F61" s="139" t="s">
        <v>108</v>
      </c>
      <c r="G61" s="241"/>
      <c r="H61" s="103" t="s">
        <v>35</v>
      </c>
      <c r="I61" s="159">
        <v>0</v>
      </c>
      <c r="J61" s="105">
        <v>0</v>
      </c>
      <c r="K61" s="106" t="s">
        <v>109</v>
      </c>
      <c r="L61" s="105">
        <v>0</v>
      </c>
      <c r="M61" s="105">
        <v>0</v>
      </c>
      <c r="N61" s="105">
        <v>0</v>
      </c>
      <c r="O61" s="107" t="s">
        <v>102</v>
      </c>
      <c r="P61" s="108">
        <v>0.31944444444444448</v>
      </c>
      <c r="Q61" s="105">
        <v>168</v>
      </c>
      <c r="R61" s="109" t="s">
        <v>109</v>
      </c>
    </row>
    <row r="62" spans="1:18" ht="15" customHeight="1" x14ac:dyDescent="0.3">
      <c r="A62" s="86" t="s">
        <v>28</v>
      </c>
      <c r="B62" s="86" t="s">
        <v>38</v>
      </c>
      <c r="C62" s="87">
        <v>0.45833333333333331</v>
      </c>
      <c r="D62" s="86" t="s">
        <v>30</v>
      </c>
      <c r="E62" s="88"/>
      <c r="F62" s="86" t="s">
        <v>108</v>
      </c>
      <c r="G62" s="241"/>
      <c r="H62" s="11" t="s">
        <v>38</v>
      </c>
      <c r="I62" s="12">
        <v>0</v>
      </c>
      <c r="J62" s="13">
        <v>0</v>
      </c>
      <c r="K62" s="14" t="s">
        <v>109</v>
      </c>
      <c r="L62" s="13">
        <v>0</v>
      </c>
      <c r="M62" s="13">
        <v>0</v>
      </c>
      <c r="N62" s="13">
        <v>0</v>
      </c>
      <c r="O62" s="15" t="s">
        <v>102</v>
      </c>
      <c r="P62" s="16">
        <v>0.45833333333333331</v>
      </c>
      <c r="Q62" s="13">
        <v>168</v>
      </c>
      <c r="R62" s="17" t="s">
        <v>109</v>
      </c>
    </row>
    <row r="63" spans="1:18" ht="15" customHeight="1" x14ac:dyDescent="0.3">
      <c r="A63" s="28" t="s">
        <v>28</v>
      </c>
      <c r="B63" s="28" t="s">
        <v>40</v>
      </c>
      <c r="C63" s="29">
        <v>0.61458333333333337</v>
      </c>
      <c r="D63" s="28" t="s">
        <v>30</v>
      </c>
      <c r="E63" s="30"/>
      <c r="F63" s="28" t="s">
        <v>49</v>
      </c>
      <c r="G63" s="241"/>
      <c r="H63" s="31" t="s">
        <v>40</v>
      </c>
      <c r="I63" s="157">
        <v>0.58930000000000005</v>
      </c>
      <c r="J63" s="33">
        <v>99</v>
      </c>
      <c r="K63" s="34" t="s">
        <v>110</v>
      </c>
      <c r="L63" s="33">
        <v>10</v>
      </c>
      <c r="M63" s="33">
        <v>0</v>
      </c>
      <c r="N63" s="33">
        <v>0</v>
      </c>
      <c r="O63" s="35" t="s">
        <v>89</v>
      </c>
      <c r="P63" s="36">
        <v>0.61458333333333337</v>
      </c>
      <c r="Q63" s="33">
        <v>168</v>
      </c>
      <c r="R63" s="37" t="s">
        <v>111</v>
      </c>
    </row>
    <row r="64" spans="1:18" ht="15" customHeight="1" x14ac:dyDescent="0.3">
      <c r="A64" s="143" t="s">
        <v>28</v>
      </c>
      <c r="B64" s="143" t="s">
        <v>44</v>
      </c>
      <c r="C64" s="144">
        <v>0.73611111111111116</v>
      </c>
      <c r="D64" s="143" t="s">
        <v>30</v>
      </c>
      <c r="E64" s="145"/>
      <c r="F64" s="143" t="s">
        <v>49</v>
      </c>
      <c r="G64" s="241"/>
      <c r="H64" s="146" t="s">
        <v>44</v>
      </c>
      <c r="I64" s="147">
        <v>0.33329999999999999</v>
      </c>
      <c r="J64" s="148">
        <v>56</v>
      </c>
      <c r="K64" s="149" t="s">
        <v>97</v>
      </c>
      <c r="L64" s="148">
        <v>12</v>
      </c>
      <c r="M64" s="148">
        <v>0</v>
      </c>
      <c r="N64" s="148">
        <v>0</v>
      </c>
      <c r="O64" s="150" t="s">
        <v>102</v>
      </c>
      <c r="P64" s="151">
        <v>0.73611111111111116</v>
      </c>
      <c r="Q64" s="148">
        <v>168</v>
      </c>
      <c r="R64" s="152" t="s">
        <v>112</v>
      </c>
    </row>
    <row r="65" spans="1:18" ht="15" customHeight="1" thickBot="1" x14ac:dyDescent="0.35">
      <c r="A65" s="171" t="s">
        <v>28</v>
      </c>
      <c r="B65" s="171" t="s">
        <v>48</v>
      </c>
      <c r="C65" s="172">
        <v>0.9375</v>
      </c>
      <c r="D65" s="171" t="s">
        <v>30</v>
      </c>
      <c r="E65" s="173"/>
      <c r="F65" s="171" t="s">
        <v>49</v>
      </c>
      <c r="G65" s="242"/>
      <c r="H65" s="174" t="s">
        <v>48</v>
      </c>
      <c r="I65" s="175">
        <v>0.54759999999999998</v>
      </c>
      <c r="J65" s="176">
        <v>92</v>
      </c>
      <c r="K65" s="177" t="s">
        <v>113</v>
      </c>
      <c r="L65" s="176">
        <v>14</v>
      </c>
      <c r="M65" s="176">
        <v>0</v>
      </c>
      <c r="N65" s="176">
        <v>0</v>
      </c>
      <c r="O65" s="178" t="s">
        <v>114</v>
      </c>
      <c r="P65" s="179">
        <v>0.9375</v>
      </c>
      <c r="Q65" s="176">
        <v>168</v>
      </c>
      <c r="R65" s="180" t="s">
        <v>115</v>
      </c>
    </row>
    <row r="66" spans="1:18" ht="17.399999999999999" customHeight="1" thickBot="1" x14ac:dyDescent="0.35">
      <c r="A66" s="265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7"/>
    </row>
    <row r="67" spans="1:18" ht="22.05" customHeight="1" thickTop="1" thickBot="1" x14ac:dyDescent="0.35">
      <c r="A67" s="236" t="s">
        <v>8</v>
      </c>
      <c r="B67" s="234"/>
      <c r="C67" s="234"/>
      <c r="D67" s="234"/>
      <c r="E67" s="234"/>
      <c r="F67" s="235"/>
      <c r="G67" s="68">
        <v>46025</v>
      </c>
      <c r="H67" s="233" t="s">
        <v>9</v>
      </c>
      <c r="I67" s="234"/>
      <c r="J67" s="234"/>
      <c r="K67" s="234"/>
      <c r="L67" s="234"/>
      <c r="M67" s="234"/>
      <c r="N67" s="234"/>
      <c r="O67" s="234"/>
      <c r="P67" s="234"/>
      <c r="Q67" s="234"/>
      <c r="R67" s="235"/>
    </row>
    <row r="68" spans="1:18" ht="24" customHeight="1" x14ac:dyDescent="0.3">
      <c r="A68" s="69" t="s">
        <v>10</v>
      </c>
      <c r="B68" s="69" t="s">
        <v>11</v>
      </c>
      <c r="C68" s="70" t="s">
        <v>12</v>
      </c>
      <c r="D68" s="69" t="s">
        <v>13</v>
      </c>
      <c r="E68" s="69" t="s">
        <v>14</v>
      </c>
      <c r="F68" s="71" t="s">
        <v>15</v>
      </c>
      <c r="G68" s="72" t="s">
        <v>16</v>
      </c>
      <c r="H68" s="69" t="s">
        <v>17</v>
      </c>
      <c r="I68" s="73" t="s">
        <v>18</v>
      </c>
      <c r="J68" s="74" t="s">
        <v>19</v>
      </c>
      <c r="K68" s="75" t="s">
        <v>20</v>
      </c>
      <c r="L68" s="74" t="s">
        <v>21</v>
      </c>
      <c r="M68" s="74" t="s">
        <v>22</v>
      </c>
      <c r="N68" s="74" t="s">
        <v>23</v>
      </c>
      <c r="O68" s="69" t="s">
        <v>24</v>
      </c>
      <c r="P68" s="70" t="s">
        <v>25</v>
      </c>
      <c r="Q68" s="74" t="s">
        <v>26</v>
      </c>
      <c r="R68" s="69" t="s">
        <v>27</v>
      </c>
    </row>
    <row r="69" spans="1:18" ht="49.95" customHeight="1" x14ac:dyDescent="0.3">
      <c r="A69" s="181" t="s">
        <v>28</v>
      </c>
      <c r="B69" s="181" t="s">
        <v>51</v>
      </c>
      <c r="C69" s="182">
        <v>0.2361111111111111</v>
      </c>
      <c r="D69" s="181" t="s">
        <v>30</v>
      </c>
      <c r="E69" s="183"/>
      <c r="F69" s="181" t="s">
        <v>49</v>
      </c>
      <c r="G69" s="240"/>
      <c r="H69" s="51" t="s">
        <v>51</v>
      </c>
      <c r="I69" s="52">
        <v>0.52869999999999995</v>
      </c>
      <c r="J69" s="53">
        <v>92</v>
      </c>
      <c r="K69" s="54" t="s">
        <v>116</v>
      </c>
      <c r="L69" s="53">
        <v>4</v>
      </c>
      <c r="M69" s="53">
        <v>0</v>
      </c>
      <c r="N69" s="53">
        <v>0</v>
      </c>
      <c r="O69" s="55" t="s">
        <v>80</v>
      </c>
      <c r="P69" s="56">
        <v>0.2361111111111111</v>
      </c>
      <c r="Q69" s="53">
        <v>174</v>
      </c>
      <c r="R69" s="57" t="s">
        <v>117</v>
      </c>
    </row>
    <row r="70" spans="1:18" ht="49.95" customHeight="1" x14ac:dyDescent="0.3">
      <c r="A70" s="38" t="s">
        <v>28</v>
      </c>
      <c r="B70" s="38" t="s">
        <v>35</v>
      </c>
      <c r="C70" s="39">
        <v>0.33333333333333331</v>
      </c>
      <c r="D70" s="38" t="s">
        <v>30</v>
      </c>
      <c r="E70" s="40"/>
      <c r="F70" s="38" t="s">
        <v>54</v>
      </c>
      <c r="G70" s="241"/>
      <c r="H70" s="41" t="s">
        <v>35</v>
      </c>
      <c r="I70" s="184">
        <v>0.86309999999999998</v>
      </c>
      <c r="J70" s="43">
        <v>145</v>
      </c>
      <c r="K70" s="44" t="s">
        <v>97</v>
      </c>
      <c r="L70" s="43">
        <v>13</v>
      </c>
      <c r="M70" s="43">
        <v>0</v>
      </c>
      <c r="N70" s="43">
        <v>0</v>
      </c>
      <c r="O70" s="45" t="s">
        <v>102</v>
      </c>
      <c r="P70" s="46">
        <v>0.33333333333333331</v>
      </c>
      <c r="Q70" s="43">
        <v>168</v>
      </c>
      <c r="R70" s="47" t="s">
        <v>118</v>
      </c>
    </row>
    <row r="71" spans="1:18" ht="49.95" customHeight="1" thickBot="1" x14ac:dyDescent="0.35">
      <c r="A71" s="126" t="s">
        <v>28</v>
      </c>
      <c r="B71" s="126" t="s">
        <v>38</v>
      </c>
      <c r="C71" s="127">
        <v>0.68055555555555547</v>
      </c>
      <c r="D71" s="126" t="s">
        <v>30</v>
      </c>
      <c r="E71" s="128"/>
      <c r="F71" s="126" t="s">
        <v>57</v>
      </c>
      <c r="G71" s="242"/>
      <c r="H71" s="129" t="s">
        <v>38</v>
      </c>
      <c r="I71" s="130">
        <v>0.99399999999999999</v>
      </c>
      <c r="J71" s="131">
        <v>167</v>
      </c>
      <c r="K71" s="132" t="s">
        <v>119</v>
      </c>
      <c r="L71" s="131">
        <v>15</v>
      </c>
      <c r="M71" s="131">
        <v>0</v>
      </c>
      <c r="N71" s="131">
        <v>0</v>
      </c>
      <c r="O71" s="133" t="s">
        <v>58</v>
      </c>
      <c r="P71" s="134">
        <v>0.68055555555555547</v>
      </c>
      <c r="Q71" s="131">
        <v>168</v>
      </c>
      <c r="R71" s="135" t="s">
        <v>120</v>
      </c>
    </row>
    <row r="72" spans="1:18" ht="17.399999999999999" customHeight="1" thickBot="1" x14ac:dyDescent="0.35">
      <c r="A72" s="265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7"/>
    </row>
    <row r="73" spans="1:18" ht="22.05" customHeight="1" thickTop="1" thickBot="1" x14ac:dyDescent="0.35">
      <c r="A73" s="236" t="s">
        <v>8</v>
      </c>
      <c r="B73" s="234"/>
      <c r="C73" s="234"/>
      <c r="D73" s="234"/>
      <c r="E73" s="234"/>
      <c r="F73" s="235"/>
      <c r="G73" s="68">
        <v>46026</v>
      </c>
      <c r="H73" s="233" t="s">
        <v>9</v>
      </c>
      <c r="I73" s="234"/>
      <c r="J73" s="234"/>
      <c r="K73" s="234"/>
      <c r="L73" s="234"/>
      <c r="M73" s="234"/>
      <c r="N73" s="234"/>
      <c r="O73" s="234"/>
      <c r="P73" s="234"/>
      <c r="Q73" s="234"/>
      <c r="R73" s="235"/>
    </row>
    <row r="74" spans="1:18" ht="24" customHeight="1" x14ac:dyDescent="0.3">
      <c r="A74" s="69" t="s">
        <v>10</v>
      </c>
      <c r="B74" s="69" t="s">
        <v>11</v>
      </c>
      <c r="C74" s="70" t="s">
        <v>12</v>
      </c>
      <c r="D74" s="69" t="s">
        <v>13</v>
      </c>
      <c r="E74" s="69" t="s">
        <v>14</v>
      </c>
      <c r="F74" s="71" t="s">
        <v>15</v>
      </c>
      <c r="G74" s="72" t="s">
        <v>16</v>
      </c>
      <c r="H74" s="69" t="s">
        <v>17</v>
      </c>
      <c r="I74" s="73" t="s">
        <v>18</v>
      </c>
      <c r="J74" s="74" t="s">
        <v>19</v>
      </c>
      <c r="K74" s="75" t="s">
        <v>20</v>
      </c>
      <c r="L74" s="74" t="s">
        <v>21</v>
      </c>
      <c r="M74" s="74" t="s">
        <v>22</v>
      </c>
      <c r="N74" s="74" t="s">
        <v>23</v>
      </c>
      <c r="O74" s="69" t="s">
        <v>24</v>
      </c>
      <c r="P74" s="70" t="s">
        <v>25</v>
      </c>
      <c r="Q74" s="74" t="s">
        <v>26</v>
      </c>
      <c r="R74" s="69" t="s">
        <v>27</v>
      </c>
    </row>
    <row r="75" spans="1:18" ht="49.95" customHeight="1" x14ac:dyDescent="0.3">
      <c r="A75" s="185" t="s">
        <v>28</v>
      </c>
      <c r="B75" s="185" t="s">
        <v>29</v>
      </c>
      <c r="C75" s="186">
        <v>8.3333333333333329E-2</v>
      </c>
      <c r="D75" s="185" t="s">
        <v>30</v>
      </c>
      <c r="E75" s="187"/>
      <c r="F75" s="185" t="s">
        <v>57</v>
      </c>
      <c r="G75" s="240"/>
      <c r="H75" s="146" t="s">
        <v>29</v>
      </c>
      <c r="I75" s="160">
        <v>0.98209999999999997</v>
      </c>
      <c r="J75" s="148">
        <v>165</v>
      </c>
      <c r="K75" s="149" t="s">
        <v>113</v>
      </c>
      <c r="L75" s="148">
        <v>14</v>
      </c>
      <c r="M75" s="148">
        <v>0</v>
      </c>
      <c r="N75" s="148">
        <v>0</v>
      </c>
      <c r="O75" s="150" t="s">
        <v>58</v>
      </c>
      <c r="P75" s="151">
        <v>8.3333333333333329E-2</v>
      </c>
      <c r="Q75" s="148">
        <v>168</v>
      </c>
      <c r="R75" s="152" t="s">
        <v>121</v>
      </c>
    </row>
    <row r="76" spans="1:18" ht="49.95" customHeight="1" x14ac:dyDescent="0.3">
      <c r="A76" s="28" t="s">
        <v>28</v>
      </c>
      <c r="B76" s="28" t="s">
        <v>35</v>
      </c>
      <c r="C76" s="29">
        <v>0.31944444444444448</v>
      </c>
      <c r="D76" s="28" t="s">
        <v>30</v>
      </c>
      <c r="E76" s="30"/>
      <c r="F76" s="28" t="s">
        <v>31</v>
      </c>
      <c r="G76" s="241"/>
      <c r="H76" s="31" t="s">
        <v>35</v>
      </c>
      <c r="I76" s="32">
        <v>1.1900000000000001E-2</v>
      </c>
      <c r="J76" s="33">
        <v>2</v>
      </c>
      <c r="K76" s="34" t="s">
        <v>106</v>
      </c>
      <c r="L76" s="33">
        <v>2</v>
      </c>
      <c r="M76" s="33">
        <v>0</v>
      </c>
      <c r="N76" s="33">
        <v>0</v>
      </c>
      <c r="O76" s="35" t="s">
        <v>92</v>
      </c>
      <c r="P76" s="36">
        <v>0.31944444444444448</v>
      </c>
      <c r="Q76" s="33">
        <v>168</v>
      </c>
      <c r="R76" s="37" t="s">
        <v>89</v>
      </c>
    </row>
    <row r="77" spans="1:18" ht="49.95" customHeight="1" x14ac:dyDescent="0.3">
      <c r="A77" s="143" t="s">
        <v>28</v>
      </c>
      <c r="B77" s="143" t="s">
        <v>101</v>
      </c>
      <c r="C77" s="144">
        <v>0.33333333333333331</v>
      </c>
      <c r="D77" s="143" t="s">
        <v>30</v>
      </c>
      <c r="E77" s="145"/>
      <c r="F77" s="143" t="s">
        <v>49</v>
      </c>
      <c r="G77" s="241"/>
      <c r="H77" s="146" t="s">
        <v>101</v>
      </c>
      <c r="I77" s="158">
        <v>0.80359999999999998</v>
      </c>
      <c r="J77" s="148">
        <v>135</v>
      </c>
      <c r="K77" s="149" t="s">
        <v>122</v>
      </c>
      <c r="L77" s="148">
        <v>3</v>
      </c>
      <c r="M77" s="148">
        <v>0</v>
      </c>
      <c r="N77" s="148">
        <v>0</v>
      </c>
      <c r="O77" s="150" t="s">
        <v>102</v>
      </c>
      <c r="P77" s="151">
        <v>0.33333333333333331</v>
      </c>
      <c r="Q77" s="148">
        <v>168</v>
      </c>
      <c r="R77" s="152" t="s">
        <v>123</v>
      </c>
    </row>
    <row r="78" spans="1:18" ht="49.95" customHeight="1" x14ac:dyDescent="0.3">
      <c r="A78" s="18" t="s">
        <v>28</v>
      </c>
      <c r="B78" s="18" t="s">
        <v>48</v>
      </c>
      <c r="C78" s="19">
        <v>0.51041666666666663</v>
      </c>
      <c r="D78" s="18" t="s">
        <v>30</v>
      </c>
      <c r="E78" s="20"/>
      <c r="F78" s="18" t="s">
        <v>49</v>
      </c>
      <c r="G78" s="241"/>
      <c r="H78" s="21" t="s">
        <v>48</v>
      </c>
      <c r="I78" s="188">
        <v>0.79169999999999996</v>
      </c>
      <c r="J78" s="23">
        <v>133</v>
      </c>
      <c r="K78" s="24" t="s">
        <v>97</v>
      </c>
      <c r="L78" s="23">
        <v>6</v>
      </c>
      <c r="M78" s="23">
        <v>0</v>
      </c>
      <c r="N78" s="23">
        <v>0</v>
      </c>
      <c r="O78" s="25" t="s">
        <v>95</v>
      </c>
      <c r="P78" s="26">
        <v>0.51041666666666663</v>
      </c>
      <c r="Q78" s="23">
        <v>168</v>
      </c>
      <c r="R78" s="27" t="s">
        <v>124</v>
      </c>
    </row>
    <row r="79" spans="1:18" ht="49.95" customHeight="1" thickBot="1" x14ac:dyDescent="0.35">
      <c r="A79" s="189" t="s">
        <v>28</v>
      </c>
      <c r="B79" s="189" t="s">
        <v>38</v>
      </c>
      <c r="C79" s="190">
        <v>0.63194444444444442</v>
      </c>
      <c r="D79" s="189" t="s">
        <v>30</v>
      </c>
      <c r="E79" s="191"/>
      <c r="F79" s="189" t="s">
        <v>49</v>
      </c>
      <c r="G79" s="242"/>
      <c r="H79" s="192" t="s">
        <v>38</v>
      </c>
      <c r="I79" s="193">
        <v>0.58930000000000005</v>
      </c>
      <c r="J79" s="194">
        <v>99</v>
      </c>
      <c r="K79" s="195" t="s">
        <v>113</v>
      </c>
      <c r="L79" s="194">
        <v>12</v>
      </c>
      <c r="M79" s="194">
        <v>0</v>
      </c>
      <c r="N79" s="194">
        <v>0</v>
      </c>
      <c r="O79" s="196" t="s">
        <v>114</v>
      </c>
      <c r="P79" s="197">
        <v>0.63194444444444442</v>
      </c>
      <c r="Q79" s="194">
        <v>168</v>
      </c>
      <c r="R79" s="198" t="s">
        <v>125</v>
      </c>
    </row>
    <row r="80" spans="1:18" ht="17.399999999999999" customHeight="1" thickBot="1" x14ac:dyDescent="0.35">
      <c r="A80" s="265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7"/>
    </row>
    <row r="81" spans="1:18" ht="22.05" customHeight="1" thickTop="1" thickBot="1" x14ac:dyDescent="0.35">
      <c r="A81" s="236" t="s">
        <v>8</v>
      </c>
      <c r="B81" s="234"/>
      <c r="C81" s="234"/>
      <c r="D81" s="234"/>
      <c r="E81" s="234"/>
      <c r="F81" s="235"/>
      <c r="G81" s="68">
        <v>46027</v>
      </c>
      <c r="H81" s="233" t="s">
        <v>9</v>
      </c>
      <c r="I81" s="234"/>
      <c r="J81" s="234"/>
      <c r="K81" s="234"/>
      <c r="L81" s="234"/>
      <c r="M81" s="234"/>
      <c r="N81" s="234"/>
      <c r="O81" s="234"/>
      <c r="P81" s="234"/>
      <c r="Q81" s="234"/>
      <c r="R81" s="235"/>
    </row>
    <row r="82" spans="1:18" ht="24" customHeight="1" x14ac:dyDescent="0.3">
      <c r="A82" s="69" t="s">
        <v>10</v>
      </c>
      <c r="B82" s="69" t="s">
        <v>11</v>
      </c>
      <c r="C82" s="70" t="s">
        <v>12</v>
      </c>
      <c r="D82" s="69" t="s">
        <v>13</v>
      </c>
      <c r="E82" s="69" t="s">
        <v>14</v>
      </c>
      <c r="F82" s="71" t="s">
        <v>15</v>
      </c>
      <c r="G82" s="72" t="s">
        <v>16</v>
      </c>
      <c r="H82" s="69" t="s">
        <v>17</v>
      </c>
      <c r="I82" s="73" t="s">
        <v>18</v>
      </c>
      <c r="J82" s="74" t="s">
        <v>19</v>
      </c>
      <c r="K82" s="75" t="s">
        <v>20</v>
      </c>
      <c r="L82" s="74" t="s">
        <v>21</v>
      </c>
      <c r="M82" s="74" t="s">
        <v>22</v>
      </c>
      <c r="N82" s="74" t="s">
        <v>23</v>
      </c>
      <c r="O82" s="69" t="s">
        <v>24</v>
      </c>
      <c r="P82" s="70" t="s">
        <v>25</v>
      </c>
      <c r="Q82" s="74" t="s">
        <v>26</v>
      </c>
      <c r="R82" s="69" t="s">
        <v>27</v>
      </c>
    </row>
    <row r="83" spans="1:18" ht="49.95" customHeight="1" x14ac:dyDescent="0.3">
      <c r="A83" s="154" t="s">
        <v>28</v>
      </c>
      <c r="B83" s="154" t="s">
        <v>40</v>
      </c>
      <c r="C83" s="155">
        <v>6.9444444444444441E-3</v>
      </c>
      <c r="D83" s="154" t="s">
        <v>30</v>
      </c>
      <c r="E83" s="156"/>
      <c r="F83" s="154" t="s">
        <v>31</v>
      </c>
      <c r="G83" s="240"/>
      <c r="H83" s="31" t="s">
        <v>40</v>
      </c>
      <c r="I83" s="32">
        <v>6.0000000000000001E-3</v>
      </c>
      <c r="J83" s="33">
        <v>1</v>
      </c>
      <c r="K83" s="34" t="s">
        <v>126</v>
      </c>
      <c r="L83" s="33">
        <v>1</v>
      </c>
      <c r="M83" s="33">
        <v>0</v>
      </c>
      <c r="N83" s="33">
        <v>0</v>
      </c>
      <c r="O83" s="35" t="s">
        <v>80</v>
      </c>
      <c r="P83" s="36">
        <v>6.9444444444444441E-3</v>
      </c>
      <c r="Q83" s="33">
        <v>168</v>
      </c>
      <c r="R83" s="37" t="s">
        <v>114</v>
      </c>
    </row>
    <row r="84" spans="1:18" ht="49.95" customHeight="1" x14ac:dyDescent="0.3">
      <c r="A84" s="48" t="s">
        <v>28</v>
      </c>
      <c r="B84" s="48" t="s">
        <v>35</v>
      </c>
      <c r="C84" s="49">
        <v>0.4236111111111111</v>
      </c>
      <c r="D84" s="48" t="s">
        <v>30</v>
      </c>
      <c r="E84" s="50"/>
      <c r="F84" s="48" t="s">
        <v>54</v>
      </c>
      <c r="G84" s="241"/>
      <c r="H84" s="51" t="s">
        <v>35</v>
      </c>
      <c r="I84" s="125">
        <v>0.85709999999999997</v>
      </c>
      <c r="J84" s="53">
        <v>144</v>
      </c>
      <c r="K84" s="54" t="s">
        <v>94</v>
      </c>
      <c r="L84" s="53">
        <v>12</v>
      </c>
      <c r="M84" s="53">
        <v>0</v>
      </c>
      <c r="N84" s="53">
        <v>0</v>
      </c>
      <c r="O84" s="55" t="s">
        <v>127</v>
      </c>
      <c r="P84" s="56">
        <v>0.4236111111111111</v>
      </c>
      <c r="Q84" s="53">
        <v>168</v>
      </c>
      <c r="R84" s="57" t="s">
        <v>128</v>
      </c>
    </row>
    <row r="85" spans="1:18" ht="49.95" customHeight="1" x14ac:dyDescent="0.3">
      <c r="A85" s="28" t="s">
        <v>28</v>
      </c>
      <c r="B85" s="28" t="s">
        <v>38</v>
      </c>
      <c r="C85" s="29">
        <v>0.61458333333333337</v>
      </c>
      <c r="D85" s="28" t="s">
        <v>30</v>
      </c>
      <c r="E85" s="30"/>
      <c r="F85" s="28" t="s">
        <v>49</v>
      </c>
      <c r="G85" s="241"/>
      <c r="H85" s="31" t="s">
        <v>38</v>
      </c>
      <c r="I85" s="157">
        <v>0.60709999999999997</v>
      </c>
      <c r="J85" s="33">
        <v>102</v>
      </c>
      <c r="K85" s="34" t="s">
        <v>129</v>
      </c>
      <c r="L85" s="33">
        <v>15</v>
      </c>
      <c r="M85" s="33">
        <v>0</v>
      </c>
      <c r="N85" s="33">
        <v>0</v>
      </c>
      <c r="O85" s="35" t="s">
        <v>102</v>
      </c>
      <c r="P85" s="36">
        <v>0.61458333333333337</v>
      </c>
      <c r="Q85" s="33">
        <v>168</v>
      </c>
      <c r="R85" s="37" t="s">
        <v>130</v>
      </c>
    </row>
    <row r="86" spans="1:18" ht="49.95" customHeight="1" thickBot="1" x14ac:dyDescent="0.35">
      <c r="A86" s="189" t="s">
        <v>28</v>
      </c>
      <c r="B86" s="189" t="s">
        <v>48</v>
      </c>
      <c r="C86" s="190">
        <v>0.97916666666666663</v>
      </c>
      <c r="D86" s="189" t="s">
        <v>30</v>
      </c>
      <c r="E86" s="191"/>
      <c r="F86" s="189" t="s">
        <v>54</v>
      </c>
      <c r="G86" s="242"/>
      <c r="H86" s="192" t="s">
        <v>48</v>
      </c>
      <c r="I86" s="199">
        <v>0.86899999999999999</v>
      </c>
      <c r="J86" s="194">
        <v>146</v>
      </c>
      <c r="K86" s="195" t="s">
        <v>91</v>
      </c>
      <c r="L86" s="194">
        <v>14</v>
      </c>
      <c r="M86" s="194">
        <v>0</v>
      </c>
      <c r="N86" s="194">
        <v>0</v>
      </c>
      <c r="O86" s="196" t="s">
        <v>92</v>
      </c>
      <c r="P86" s="197">
        <v>0.97916666666666663</v>
      </c>
      <c r="Q86" s="194">
        <v>168</v>
      </c>
      <c r="R86" s="198" t="s">
        <v>131</v>
      </c>
    </row>
    <row r="87" spans="1:18" ht="17.399999999999999" customHeight="1" thickBot="1" x14ac:dyDescent="0.35">
      <c r="A87" s="265"/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7"/>
    </row>
    <row r="88" spans="1:18" ht="22.05" customHeight="1" thickTop="1" thickBot="1" x14ac:dyDescent="0.35">
      <c r="A88" s="236" t="s">
        <v>8</v>
      </c>
      <c r="B88" s="234"/>
      <c r="C88" s="234"/>
      <c r="D88" s="234"/>
      <c r="E88" s="234"/>
      <c r="F88" s="235"/>
      <c r="G88" s="68">
        <v>46028</v>
      </c>
      <c r="H88" s="233" t="s">
        <v>9</v>
      </c>
      <c r="I88" s="234"/>
      <c r="J88" s="234"/>
      <c r="K88" s="234"/>
      <c r="L88" s="234"/>
      <c r="M88" s="234"/>
      <c r="N88" s="234"/>
      <c r="O88" s="234"/>
      <c r="P88" s="234"/>
      <c r="Q88" s="234"/>
      <c r="R88" s="235"/>
    </row>
    <row r="89" spans="1:18" ht="24" customHeight="1" x14ac:dyDescent="0.3">
      <c r="A89" s="69" t="s">
        <v>10</v>
      </c>
      <c r="B89" s="69" t="s">
        <v>11</v>
      </c>
      <c r="C89" s="70" t="s">
        <v>12</v>
      </c>
      <c r="D89" s="69" t="s">
        <v>13</v>
      </c>
      <c r="E89" s="69" t="s">
        <v>14</v>
      </c>
      <c r="F89" s="71" t="s">
        <v>15</v>
      </c>
      <c r="G89" s="72" t="s">
        <v>16</v>
      </c>
      <c r="H89" s="69" t="s">
        <v>17</v>
      </c>
      <c r="I89" s="73" t="s">
        <v>18</v>
      </c>
      <c r="J89" s="74" t="s">
        <v>19</v>
      </c>
      <c r="K89" s="75" t="s">
        <v>20</v>
      </c>
      <c r="L89" s="74" t="s">
        <v>21</v>
      </c>
      <c r="M89" s="74" t="s">
        <v>22</v>
      </c>
      <c r="N89" s="74" t="s">
        <v>23</v>
      </c>
      <c r="O89" s="69" t="s">
        <v>24</v>
      </c>
      <c r="P89" s="70" t="s">
        <v>25</v>
      </c>
      <c r="Q89" s="74" t="s">
        <v>26</v>
      </c>
      <c r="R89" s="69" t="s">
        <v>27</v>
      </c>
    </row>
    <row r="90" spans="1:18" ht="15" customHeight="1" x14ac:dyDescent="0.3">
      <c r="A90" s="136" t="s">
        <v>28</v>
      </c>
      <c r="B90" s="136" t="s">
        <v>44</v>
      </c>
      <c r="C90" s="137">
        <v>0.22916666666666671</v>
      </c>
      <c r="D90" s="136" t="s">
        <v>30</v>
      </c>
      <c r="E90" s="138"/>
      <c r="F90" s="136" t="s">
        <v>108</v>
      </c>
      <c r="G90" s="240"/>
      <c r="H90" s="21" t="s">
        <v>44</v>
      </c>
      <c r="I90" s="22">
        <v>0</v>
      </c>
      <c r="J90" s="23">
        <v>0</v>
      </c>
      <c r="K90" s="24" t="s">
        <v>109</v>
      </c>
      <c r="L90" s="23">
        <v>0</v>
      </c>
      <c r="M90" s="23">
        <v>0</v>
      </c>
      <c r="N90" s="23">
        <v>0</v>
      </c>
      <c r="O90" s="25" t="s">
        <v>80</v>
      </c>
      <c r="P90" s="26">
        <v>0.22916666666666671</v>
      </c>
      <c r="Q90" s="23">
        <v>168</v>
      </c>
      <c r="R90" s="27" t="s">
        <v>109</v>
      </c>
    </row>
    <row r="91" spans="1:18" ht="15" customHeight="1" x14ac:dyDescent="0.3">
      <c r="A91" s="28" t="s">
        <v>28</v>
      </c>
      <c r="B91" s="28" t="s">
        <v>40</v>
      </c>
      <c r="C91" s="29">
        <v>0.55902777777777779</v>
      </c>
      <c r="D91" s="28" t="s">
        <v>30</v>
      </c>
      <c r="E91" s="30"/>
      <c r="F91" s="28" t="s">
        <v>31</v>
      </c>
      <c r="G91" s="241"/>
      <c r="H91" s="31" t="s">
        <v>40</v>
      </c>
      <c r="I91" s="32">
        <v>5.9499999999999997E-2</v>
      </c>
      <c r="J91" s="33">
        <v>10</v>
      </c>
      <c r="K91" s="34" t="s">
        <v>110</v>
      </c>
      <c r="L91" s="33">
        <v>10</v>
      </c>
      <c r="M91" s="33">
        <v>0</v>
      </c>
      <c r="N91" s="33">
        <v>0</v>
      </c>
      <c r="O91" s="35" t="s">
        <v>102</v>
      </c>
      <c r="P91" s="36">
        <v>0.55902777777777779</v>
      </c>
      <c r="Q91" s="33">
        <v>168</v>
      </c>
      <c r="R91" s="37" t="s">
        <v>132</v>
      </c>
    </row>
    <row r="92" spans="1:18" ht="15" customHeight="1" x14ac:dyDescent="0.3">
      <c r="A92" s="86" t="s">
        <v>28</v>
      </c>
      <c r="B92" s="86" t="s">
        <v>38</v>
      </c>
      <c r="C92" s="87">
        <v>0.61458333333333337</v>
      </c>
      <c r="D92" s="86" t="s">
        <v>30</v>
      </c>
      <c r="E92" s="88"/>
      <c r="F92" s="86" t="s">
        <v>49</v>
      </c>
      <c r="G92" s="241"/>
      <c r="H92" s="11" t="s">
        <v>38</v>
      </c>
      <c r="I92" s="12">
        <v>0.30359999999999998</v>
      </c>
      <c r="J92" s="13">
        <v>51</v>
      </c>
      <c r="K92" s="14" t="s">
        <v>113</v>
      </c>
      <c r="L92" s="13">
        <v>8</v>
      </c>
      <c r="M92" s="13">
        <v>0</v>
      </c>
      <c r="N92" s="13">
        <v>0</v>
      </c>
      <c r="O92" s="15" t="s">
        <v>133</v>
      </c>
      <c r="P92" s="16">
        <v>0.61458333333333337</v>
      </c>
      <c r="Q92" s="13">
        <v>168</v>
      </c>
      <c r="R92" s="17" t="s">
        <v>134</v>
      </c>
    </row>
    <row r="93" spans="1:18" ht="15" customHeight="1" x14ac:dyDescent="0.3">
      <c r="A93" s="48" t="s">
        <v>28</v>
      </c>
      <c r="B93" s="48" t="s">
        <v>48</v>
      </c>
      <c r="C93" s="49">
        <v>0.72916666666666663</v>
      </c>
      <c r="D93" s="48" t="s">
        <v>30</v>
      </c>
      <c r="E93" s="50"/>
      <c r="F93" s="48" t="s">
        <v>31</v>
      </c>
      <c r="G93" s="241"/>
      <c r="H93" s="51" t="s">
        <v>48</v>
      </c>
      <c r="I93" s="52">
        <v>2.3800000000000002E-2</v>
      </c>
      <c r="J93" s="53">
        <v>4</v>
      </c>
      <c r="K93" s="54" t="s">
        <v>97</v>
      </c>
      <c r="L93" s="53">
        <v>4</v>
      </c>
      <c r="M93" s="53">
        <v>0</v>
      </c>
      <c r="N93" s="53">
        <v>0</v>
      </c>
      <c r="O93" s="55" t="s">
        <v>95</v>
      </c>
      <c r="P93" s="56">
        <v>0.72916666666666663</v>
      </c>
      <c r="Q93" s="53">
        <v>168</v>
      </c>
      <c r="R93" s="57" t="s">
        <v>135</v>
      </c>
    </row>
    <row r="94" spans="1:18" ht="15" customHeight="1" x14ac:dyDescent="0.3">
      <c r="A94" s="28" t="s">
        <v>28</v>
      </c>
      <c r="B94" s="28" t="s">
        <v>29</v>
      </c>
      <c r="C94" s="29">
        <v>0.93402777777777779</v>
      </c>
      <c r="D94" s="28" t="s">
        <v>30</v>
      </c>
      <c r="E94" s="30"/>
      <c r="F94" s="28" t="s">
        <v>31</v>
      </c>
      <c r="G94" s="241"/>
      <c r="H94" s="31" t="s">
        <v>29</v>
      </c>
      <c r="I94" s="32">
        <v>0.27979999999999999</v>
      </c>
      <c r="J94" s="33">
        <v>47</v>
      </c>
      <c r="K94" s="34" t="s">
        <v>106</v>
      </c>
      <c r="L94" s="33">
        <v>2</v>
      </c>
      <c r="M94" s="33">
        <v>0</v>
      </c>
      <c r="N94" s="33">
        <v>0</v>
      </c>
      <c r="O94" s="35" t="s">
        <v>92</v>
      </c>
      <c r="P94" s="36">
        <v>0.93402777777777779</v>
      </c>
      <c r="Q94" s="33">
        <v>168</v>
      </c>
      <c r="R94" s="37" t="s">
        <v>136</v>
      </c>
    </row>
    <row r="95" spans="1:18" ht="15" customHeight="1" thickBot="1" x14ac:dyDescent="0.35">
      <c r="A95" s="189" t="s">
        <v>28</v>
      </c>
      <c r="B95" s="189" t="s">
        <v>35</v>
      </c>
      <c r="C95" s="190">
        <v>0.96875</v>
      </c>
      <c r="D95" s="189" t="s">
        <v>30</v>
      </c>
      <c r="E95" s="191"/>
      <c r="F95" s="189" t="s">
        <v>49</v>
      </c>
      <c r="G95" s="242"/>
      <c r="H95" s="192" t="s">
        <v>35</v>
      </c>
      <c r="I95" s="193">
        <v>0.82140000000000002</v>
      </c>
      <c r="J95" s="194">
        <v>138</v>
      </c>
      <c r="K95" s="195" t="s">
        <v>113</v>
      </c>
      <c r="L95" s="194">
        <v>6</v>
      </c>
      <c r="M95" s="194">
        <v>0</v>
      </c>
      <c r="N95" s="194">
        <v>0</v>
      </c>
      <c r="O95" s="196" t="s">
        <v>95</v>
      </c>
      <c r="P95" s="197">
        <v>0.96875</v>
      </c>
      <c r="Q95" s="194">
        <v>168</v>
      </c>
      <c r="R95" s="198" t="s">
        <v>137</v>
      </c>
    </row>
    <row r="96" spans="1:18" ht="17.399999999999999" customHeight="1" thickBot="1" x14ac:dyDescent="0.35">
      <c r="A96" s="265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7"/>
    </row>
    <row r="97" spans="1:18" ht="22.05" customHeight="1" thickTop="1" thickBot="1" x14ac:dyDescent="0.35">
      <c r="A97" s="236" t="s">
        <v>8</v>
      </c>
      <c r="B97" s="234"/>
      <c r="C97" s="234"/>
      <c r="D97" s="234"/>
      <c r="E97" s="234"/>
      <c r="F97" s="235"/>
      <c r="G97" s="68">
        <v>46029</v>
      </c>
      <c r="H97" s="233" t="s">
        <v>9</v>
      </c>
      <c r="I97" s="234"/>
      <c r="J97" s="234"/>
      <c r="K97" s="234"/>
      <c r="L97" s="234"/>
      <c r="M97" s="234"/>
      <c r="N97" s="234"/>
      <c r="O97" s="234"/>
      <c r="P97" s="234"/>
      <c r="Q97" s="234"/>
      <c r="R97" s="235"/>
    </row>
    <row r="98" spans="1:18" ht="24" customHeight="1" x14ac:dyDescent="0.3">
      <c r="A98" s="69" t="s">
        <v>10</v>
      </c>
      <c r="B98" s="69" t="s">
        <v>11</v>
      </c>
      <c r="C98" s="70" t="s">
        <v>12</v>
      </c>
      <c r="D98" s="69" t="s">
        <v>13</v>
      </c>
      <c r="E98" s="69" t="s">
        <v>14</v>
      </c>
      <c r="F98" s="71" t="s">
        <v>15</v>
      </c>
      <c r="G98" s="72" t="s">
        <v>16</v>
      </c>
      <c r="H98" s="69" t="s">
        <v>17</v>
      </c>
      <c r="I98" s="73" t="s">
        <v>18</v>
      </c>
      <c r="J98" s="74" t="s">
        <v>19</v>
      </c>
      <c r="K98" s="75" t="s">
        <v>20</v>
      </c>
      <c r="L98" s="74" t="s">
        <v>21</v>
      </c>
      <c r="M98" s="74" t="s">
        <v>22</v>
      </c>
      <c r="N98" s="74" t="s">
        <v>23</v>
      </c>
      <c r="O98" s="69" t="s">
        <v>24</v>
      </c>
      <c r="P98" s="70" t="s">
        <v>25</v>
      </c>
      <c r="Q98" s="74" t="s">
        <v>26</v>
      </c>
      <c r="R98" s="69" t="s">
        <v>27</v>
      </c>
    </row>
    <row r="99" spans="1:18" ht="49.95" customHeight="1" x14ac:dyDescent="0.3">
      <c r="A99" s="122" t="s">
        <v>28</v>
      </c>
      <c r="B99" s="122" t="s">
        <v>35</v>
      </c>
      <c r="C99" s="123">
        <v>0.47916666666666669</v>
      </c>
      <c r="D99" s="122" t="s">
        <v>30</v>
      </c>
      <c r="E99" s="124"/>
      <c r="F99" s="122" t="s">
        <v>49</v>
      </c>
      <c r="G99" s="240"/>
      <c r="H99" s="41" t="s">
        <v>35</v>
      </c>
      <c r="I99" s="200">
        <v>0.60119999999999996</v>
      </c>
      <c r="J99" s="43">
        <v>101</v>
      </c>
      <c r="K99" s="44" t="s">
        <v>97</v>
      </c>
      <c r="L99" s="43">
        <v>13</v>
      </c>
      <c r="M99" s="43">
        <v>0</v>
      </c>
      <c r="N99" s="43">
        <v>0</v>
      </c>
      <c r="O99" s="45" t="s">
        <v>102</v>
      </c>
      <c r="P99" s="46">
        <v>0.47916666666666669</v>
      </c>
      <c r="Q99" s="43">
        <v>168</v>
      </c>
      <c r="R99" s="47" t="s">
        <v>138</v>
      </c>
    </row>
    <row r="100" spans="1:18" ht="49.95" customHeight="1" x14ac:dyDescent="0.3">
      <c r="A100" s="201" t="s">
        <v>28</v>
      </c>
      <c r="B100" s="201" t="s">
        <v>48</v>
      </c>
      <c r="C100" s="202">
        <v>0.52083333333333337</v>
      </c>
      <c r="D100" s="201" t="s">
        <v>30</v>
      </c>
      <c r="E100" s="203"/>
      <c r="F100" s="201" t="s">
        <v>54</v>
      </c>
      <c r="G100" s="241"/>
      <c r="H100" s="79" t="s">
        <v>48</v>
      </c>
      <c r="I100" s="204">
        <v>0.86899999999999999</v>
      </c>
      <c r="J100" s="81">
        <v>146</v>
      </c>
      <c r="K100" s="82" t="s">
        <v>99</v>
      </c>
      <c r="L100" s="81">
        <v>14</v>
      </c>
      <c r="M100" s="81">
        <v>0</v>
      </c>
      <c r="N100" s="81">
        <v>0</v>
      </c>
      <c r="O100" s="83" t="s">
        <v>102</v>
      </c>
      <c r="P100" s="84">
        <v>0.52083333333333337</v>
      </c>
      <c r="Q100" s="81">
        <v>168</v>
      </c>
      <c r="R100" s="85" t="s">
        <v>139</v>
      </c>
    </row>
    <row r="101" spans="1:18" ht="49.95" customHeight="1" thickBot="1" x14ac:dyDescent="0.35">
      <c r="A101" s="90" t="s">
        <v>28</v>
      </c>
      <c r="B101" s="90" t="s">
        <v>38</v>
      </c>
      <c r="C101" s="91">
        <v>0.61458333333333337</v>
      </c>
      <c r="D101" s="90" t="s">
        <v>30</v>
      </c>
      <c r="E101" s="92"/>
      <c r="F101" s="90" t="s">
        <v>49</v>
      </c>
      <c r="G101" s="242"/>
      <c r="H101" s="93" t="s">
        <v>38</v>
      </c>
      <c r="I101" s="153">
        <v>0.60119999999999996</v>
      </c>
      <c r="J101" s="95">
        <v>101</v>
      </c>
      <c r="K101" s="96" t="s">
        <v>140</v>
      </c>
      <c r="L101" s="95">
        <v>13</v>
      </c>
      <c r="M101" s="95">
        <v>0</v>
      </c>
      <c r="N101" s="95">
        <v>0</v>
      </c>
      <c r="O101" s="97" t="s">
        <v>102</v>
      </c>
      <c r="P101" s="98">
        <v>0.61458333333333337</v>
      </c>
      <c r="Q101" s="95">
        <v>168</v>
      </c>
      <c r="R101" s="99" t="s">
        <v>141</v>
      </c>
    </row>
    <row r="102" spans="1:18" ht="17.399999999999999" customHeight="1" thickBot="1" x14ac:dyDescent="0.35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7"/>
    </row>
    <row r="103" spans="1:18" ht="22.05" customHeight="1" thickTop="1" thickBot="1" x14ac:dyDescent="0.35">
      <c r="A103" s="236" t="s">
        <v>8</v>
      </c>
      <c r="B103" s="234"/>
      <c r="C103" s="234"/>
      <c r="D103" s="234"/>
      <c r="E103" s="234"/>
      <c r="F103" s="235"/>
      <c r="G103" s="68">
        <v>46030</v>
      </c>
      <c r="H103" s="233" t="s">
        <v>9</v>
      </c>
      <c r="I103" s="234"/>
      <c r="J103" s="234"/>
      <c r="K103" s="234"/>
      <c r="L103" s="234"/>
      <c r="M103" s="234"/>
      <c r="N103" s="234"/>
      <c r="O103" s="234"/>
      <c r="P103" s="234"/>
      <c r="Q103" s="234"/>
      <c r="R103" s="235"/>
    </row>
    <row r="104" spans="1:18" ht="24" customHeight="1" x14ac:dyDescent="0.3">
      <c r="A104" s="69" t="s">
        <v>10</v>
      </c>
      <c r="B104" s="69" t="s">
        <v>11</v>
      </c>
      <c r="C104" s="70" t="s">
        <v>12</v>
      </c>
      <c r="D104" s="69" t="s">
        <v>13</v>
      </c>
      <c r="E104" s="69" t="s">
        <v>14</v>
      </c>
      <c r="F104" s="71" t="s">
        <v>15</v>
      </c>
      <c r="G104" s="72" t="s">
        <v>16</v>
      </c>
      <c r="H104" s="69" t="s">
        <v>17</v>
      </c>
      <c r="I104" s="73" t="s">
        <v>18</v>
      </c>
      <c r="J104" s="74" t="s">
        <v>19</v>
      </c>
      <c r="K104" s="75" t="s">
        <v>20</v>
      </c>
      <c r="L104" s="74" t="s">
        <v>21</v>
      </c>
      <c r="M104" s="74" t="s">
        <v>22</v>
      </c>
      <c r="N104" s="74" t="s">
        <v>23</v>
      </c>
      <c r="O104" s="69" t="s">
        <v>24</v>
      </c>
      <c r="P104" s="70" t="s">
        <v>25</v>
      </c>
      <c r="Q104" s="74" t="s">
        <v>26</v>
      </c>
      <c r="R104" s="69" t="s">
        <v>27</v>
      </c>
    </row>
    <row r="105" spans="1:18" ht="15" customHeight="1" x14ac:dyDescent="0.3">
      <c r="A105" s="185" t="s">
        <v>28</v>
      </c>
      <c r="B105" s="185" t="s">
        <v>29</v>
      </c>
      <c r="C105" s="186">
        <v>4.8611111111111112E-2</v>
      </c>
      <c r="D105" s="185" t="s">
        <v>30</v>
      </c>
      <c r="E105" s="187"/>
      <c r="F105" s="185" t="s">
        <v>31</v>
      </c>
      <c r="G105" s="240"/>
      <c r="H105" s="146" t="s">
        <v>29</v>
      </c>
      <c r="I105" s="147">
        <v>0.11310000000000001</v>
      </c>
      <c r="J105" s="148">
        <v>19</v>
      </c>
      <c r="K105" s="149" t="s">
        <v>97</v>
      </c>
      <c r="L105" s="148">
        <v>19</v>
      </c>
      <c r="M105" s="148">
        <v>0</v>
      </c>
      <c r="N105" s="148">
        <v>0</v>
      </c>
      <c r="O105" s="150" t="s">
        <v>142</v>
      </c>
      <c r="P105" s="151">
        <v>4.8611111111111112E-2</v>
      </c>
      <c r="Q105" s="148">
        <v>168</v>
      </c>
      <c r="R105" s="152" t="s">
        <v>143</v>
      </c>
    </row>
    <row r="106" spans="1:18" ht="15" customHeight="1" x14ac:dyDescent="0.3">
      <c r="A106" s="18" t="s">
        <v>28</v>
      </c>
      <c r="B106" s="18" t="s">
        <v>44</v>
      </c>
      <c r="C106" s="19">
        <v>0.1145833333333333</v>
      </c>
      <c r="D106" s="18" t="s">
        <v>30</v>
      </c>
      <c r="E106" s="20"/>
      <c r="F106" s="18" t="s">
        <v>31</v>
      </c>
      <c r="G106" s="241"/>
      <c r="H106" s="21" t="s">
        <v>44</v>
      </c>
      <c r="I106" s="22">
        <v>8.9300000000000004E-2</v>
      </c>
      <c r="J106" s="23">
        <v>15</v>
      </c>
      <c r="K106" s="24" t="s">
        <v>113</v>
      </c>
      <c r="L106" s="23">
        <v>15</v>
      </c>
      <c r="M106" s="23">
        <v>0</v>
      </c>
      <c r="N106" s="23">
        <v>0</v>
      </c>
      <c r="O106" s="25" t="s">
        <v>144</v>
      </c>
      <c r="P106" s="26">
        <v>0.1145833333333333</v>
      </c>
      <c r="Q106" s="23">
        <v>168</v>
      </c>
      <c r="R106" s="27" t="s">
        <v>145</v>
      </c>
    </row>
    <row r="107" spans="1:18" ht="15" customHeight="1" x14ac:dyDescent="0.3">
      <c r="A107" s="38" t="s">
        <v>28</v>
      </c>
      <c r="B107" s="38" t="s">
        <v>51</v>
      </c>
      <c r="C107" s="39">
        <v>0.25347222222222221</v>
      </c>
      <c r="D107" s="38" t="s">
        <v>30</v>
      </c>
      <c r="E107" s="40"/>
      <c r="F107" s="38" t="s">
        <v>49</v>
      </c>
      <c r="G107" s="241"/>
      <c r="H107" s="41" t="s">
        <v>51</v>
      </c>
      <c r="I107" s="42">
        <v>0.38690000000000002</v>
      </c>
      <c r="J107" s="43">
        <v>65</v>
      </c>
      <c r="K107" s="44" t="s">
        <v>91</v>
      </c>
      <c r="L107" s="43">
        <v>22</v>
      </c>
      <c r="M107" s="43">
        <v>0</v>
      </c>
      <c r="N107" s="43">
        <v>0</v>
      </c>
      <c r="O107" s="45" t="s">
        <v>102</v>
      </c>
      <c r="P107" s="46">
        <v>0.25347222222222221</v>
      </c>
      <c r="Q107" s="43">
        <v>168</v>
      </c>
      <c r="R107" s="47" t="s">
        <v>146</v>
      </c>
    </row>
    <row r="108" spans="1:18" ht="15" customHeight="1" x14ac:dyDescent="0.3">
      <c r="A108" s="28" t="s">
        <v>28</v>
      </c>
      <c r="B108" s="28" t="s">
        <v>35</v>
      </c>
      <c r="C108" s="29">
        <v>0.33333333333333331</v>
      </c>
      <c r="D108" s="28" t="s">
        <v>30</v>
      </c>
      <c r="E108" s="30"/>
      <c r="F108" s="28" t="s">
        <v>49</v>
      </c>
      <c r="G108" s="241"/>
      <c r="H108" s="31" t="s">
        <v>35</v>
      </c>
      <c r="I108" s="32">
        <v>0.52980000000000005</v>
      </c>
      <c r="J108" s="33">
        <v>89</v>
      </c>
      <c r="K108" s="34" t="s">
        <v>106</v>
      </c>
      <c r="L108" s="33">
        <v>16</v>
      </c>
      <c r="M108" s="33">
        <v>0</v>
      </c>
      <c r="N108" s="33">
        <v>0</v>
      </c>
      <c r="O108" s="35" t="s">
        <v>142</v>
      </c>
      <c r="P108" s="36">
        <v>0.33333333333333331</v>
      </c>
      <c r="Q108" s="33">
        <v>168</v>
      </c>
      <c r="R108" s="37" t="s">
        <v>147</v>
      </c>
    </row>
    <row r="109" spans="1:18" ht="15" customHeight="1" x14ac:dyDescent="0.3">
      <c r="A109" s="86" t="s">
        <v>28</v>
      </c>
      <c r="B109" s="86" t="s">
        <v>101</v>
      </c>
      <c r="C109" s="87">
        <v>0.36458333333333331</v>
      </c>
      <c r="D109" s="86" t="s">
        <v>30</v>
      </c>
      <c r="E109" s="88"/>
      <c r="F109" s="86" t="s">
        <v>54</v>
      </c>
      <c r="G109" s="241"/>
      <c r="H109" s="11" t="s">
        <v>101</v>
      </c>
      <c r="I109" s="205">
        <v>0.85119999999999996</v>
      </c>
      <c r="J109" s="13">
        <v>143</v>
      </c>
      <c r="K109" s="14" t="s">
        <v>97</v>
      </c>
      <c r="L109" s="13">
        <v>11</v>
      </c>
      <c r="M109" s="13">
        <v>0</v>
      </c>
      <c r="N109" s="13">
        <v>0</v>
      </c>
      <c r="O109" s="15" t="s">
        <v>148</v>
      </c>
      <c r="P109" s="16">
        <v>0.36458333333333331</v>
      </c>
      <c r="Q109" s="13">
        <v>168</v>
      </c>
      <c r="R109" s="17" t="s">
        <v>149</v>
      </c>
    </row>
    <row r="110" spans="1:18" ht="15" customHeight="1" x14ac:dyDescent="0.3">
      <c r="A110" s="201" t="s">
        <v>28</v>
      </c>
      <c r="B110" s="201" t="s">
        <v>38</v>
      </c>
      <c r="C110" s="202">
        <v>0.58333333333333337</v>
      </c>
      <c r="D110" s="201" t="s">
        <v>30</v>
      </c>
      <c r="E110" s="203"/>
      <c r="F110" s="201" t="s">
        <v>49</v>
      </c>
      <c r="G110" s="241"/>
      <c r="H110" s="79" t="s">
        <v>38</v>
      </c>
      <c r="I110" s="206">
        <v>0.57140000000000002</v>
      </c>
      <c r="J110" s="81">
        <v>96</v>
      </c>
      <c r="K110" s="82" t="s">
        <v>97</v>
      </c>
      <c r="L110" s="81">
        <v>52</v>
      </c>
      <c r="M110" s="81">
        <v>0</v>
      </c>
      <c r="N110" s="81">
        <v>0</v>
      </c>
      <c r="O110" s="83" t="s">
        <v>150</v>
      </c>
      <c r="P110" s="84">
        <v>0.58333333333333337</v>
      </c>
      <c r="Q110" s="81">
        <v>168</v>
      </c>
      <c r="R110" s="85" t="s">
        <v>151</v>
      </c>
    </row>
    <row r="111" spans="1:18" ht="15" customHeight="1" thickBot="1" x14ac:dyDescent="0.35">
      <c r="A111" s="207" t="s">
        <v>28</v>
      </c>
      <c r="B111" s="207" t="s">
        <v>40</v>
      </c>
      <c r="C111" s="208">
        <v>0.73958333333333337</v>
      </c>
      <c r="D111" s="207" t="s">
        <v>30</v>
      </c>
      <c r="E111" s="209"/>
      <c r="F111" s="207" t="s">
        <v>49</v>
      </c>
      <c r="G111" s="242"/>
      <c r="H111" s="210" t="s">
        <v>40</v>
      </c>
      <c r="I111" s="211">
        <v>0.60119999999999996</v>
      </c>
      <c r="J111" s="212">
        <v>101</v>
      </c>
      <c r="K111" s="213" t="s">
        <v>97</v>
      </c>
      <c r="L111" s="212">
        <v>57</v>
      </c>
      <c r="M111" s="212">
        <v>0</v>
      </c>
      <c r="N111" s="212">
        <v>0</v>
      </c>
      <c r="O111" s="214" t="s">
        <v>152</v>
      </c>
      <c r="P111" s="215">
        <v>0.73958333333333337</v>
      </c>
      <c r="Q111" s="212">
        <v>168</v>
      </c>
      <c r="R111" s="216" t="s">
        <v>153</v>
      </c>
    </row>
    <row r="112" spans="1:18" ht="17.399999999999999" customHeight="1" thickBot="1" x14ac:dyDescent="0.35">
      <c r="A112" s="265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7"/>
    </row>
    <row r="113" spans="1:18" ht="22.05" customHeight="1" thickTop="1" thickBot="1" x14ac:dyDescent="0.35">
      <c r="A113" s="236" t="s">
        <v>8</v>
      </c>
      <c r="B113" s="234"/>
      <c r="C113" s="234"/>
      <c r="D113" s="234"/>
      <c r="E113" s="234"/>
      <c r="F113" s="235"/>
      <c r="G113" s="68">
        <v>46031</v>
      </c>
      <c r="H113" s="233" t="s">
        <v>9</v>
      </c>
      <c r="I113" s="234"/>
      <c r="J113" s="234"/>
      <c r="K113" s="234"/>
      <c r="L113" s="234"/>
      <c r="M113" s="234"/>
      <c r="N113" s="234"/>
      <c r="O113" s="234"/>
      <c r="P113" s="234"/>
      <c r="Q113" s="234"/>
      <c r="R113" s="235"/>
    </row>
    <row r="114" spans="1:18" ht="24" customHeight="1" x14ac:dyDescent="0.3">
      <c r="A114" s="69" t="s">
        <v>10</v>
      </c>
      <c r="B114" s="69" t="s">
        <v>11</v>
      </c>
      <c r="C114" s="70" t="s">
        <v>12</v>
      </c>
      <c r="D114" s="69" t="s">
        <v>13</v>
      </c>
      <c r="E114" s="69" t="s">
        <v>14</v>
      </c>
      <c r="F114" s="71" t="s">
        <v>15</v>
      </c>
      <c r="G114" s="72" t="s">
        <v>16</v>
      </c>
      <c r="H114" s="69" t="s">
        <v>17</v>
      </c>
      <c r="I114" s="73" t="s">
        <v>18</v>
      </c>
      <c r="J114" s="74" t="s">
        <v>19</v>
      </c>
      <c r="K114" s="75" t="s">
        <v>20</v>
      </c>
      <c r="L114" s="74" t="s">
        <v>21</v>
      </c>
      <c r="M114" s="74" t="s">
        <v>22</v>
      </c>
      <c r="N114" s="74" t="s">
        <v>23</v>
      </c>
      <c r="O114" s="69" t="s">
        <v>24</v>
      </c>
      <c r="P114" s="70" t="s">
        <v>25</v>
      </c>
      <c r="Q114" s="74" t="s">
        <v>26</v>
      </c>
      <c r="R114" s="69" t="s">
        <v>27</v>
      </c>
    </row>
    <row r="115" spans="1:18" ht="15" customHeight="1" x14ac:dyDescent="0.3">
      <c r="A115" s="154" t="s">
        <v>28</v>
      </c>
      <c r="B115" s="154" t="s">
        <v>29</v>
      </c>
      <c r="C115" s="155">
        <v>0.1145833333333333</v>
      </c>
      <c r="D115" s="154" t="s">
        <v>30</v>
      </c>
      <c r="E115" s="156"/>
      <c r="F115" s="154" t="s">
        <v>31</v>
      </c>
      <c r="G115" s="240"/>
      <c r="H115" s="31" t="s">
        <v>29</v>
      </c>
      <c r="I115" s="32">
        <v>0.2024</v>
      </c>
      <c r="J115" s="33">
        <v>34</v>
      </c>
      <c r="K115" s="34" t="s">
        <v>97</v>
      </c>
      <c r="L115" s="33">
        <v>34</v>
      </c>
      <c r="M115" s="33">
        <v>0</v>
      </c>
      <c r="N115" s="33">
        <v>0</v>
      </c>
      <c r="O115" s="35" t="s">
        <v>154</v>
      </c>
      <c r="P115" s="36">
        <v>0.1145833333333333</v>
      </c>
      <c r="Q115" s="33">
        <v>168</v>
      </c>
      <c r="R115" s="37" t="s">
        <v>155</v>
      </c>
    </row>
    <row r="116" spans="1:18" ht="15" customHeight="1" x14ac:dyDescent="0.3">
      <c r="A116" s="38" t="s">
        <v>28</v>
      </c>
      <c r="B116" s="38" t="s">
        <v>35</v>
      </c>
      <c r="C116" s="39">
        <v>0.31944444444444448</v>
      </c>
      <c r="D116" s="38" t="s">
        <v>30</v>
      </c>
      <c r="E116" s="40"/>
      <c r="F116" s="38" t="s">
        <v>31</v>
      </c>
      <c r="G116" s="241"/>
      <c r="H116" s="41" t="s">
        <v>35</v>
      </c>
      <c r="I116" s="42">
        <v>0.1905</v>
      </c>
      <c r="J116" s="43">
        <v>32</v>
      </c>
      <c r="K116" s="44" t="s">
        <v>97</v>
      </c>
      <c r="L116" s="43">
        <v>32</v>
      </c>
      <c r="M116" s="43">
        <v>0</v>
      </c>
      <c r="N116" s="43">
        <v>0</v>
      </c>
      <c r="O116" s="45" t="s">
        <v>156</v>
      </c>
      <c r="P116" s="46">
        <v>0.31944444444444448</v>
      </c>
      <c r="Q116" s="43">
        <v>168</v>
      </c>
      <c r="R116" s="47" t="s">
        <v>157</v>
      </c>
    </row>
    <row r="117" spans="1:18" ht="15" customHeight="1" x14ac:dyDescent="0.3">
      <c r="A117" s="143" t="s">
        <v>28</v>
      </c>
      <c r="B117" s="143" t="s">
        <v>38</v>
      </c>
      <c r="C117" s="144">
        <v>0.45833333333333331</v>
      </c>
      <c r="D117" s="143" t="s">
        <v>30</v>
      </c>
      <c r="E117" s="145"/>
      <c r="F117" s="143" t="s">
        <v>31</v>
      </c>
      <c r="G117" s="241"/>
      <c r="H117" s="146" t="s">
        <v>38</v>
      </c>
      <c r="I117" s="147">
        <v>0.28570000000000001</v>
      </c>
      <c r="J117" s="148">
        <v>48</v>
      </c>
      <c r="K117" s="149" t="s">
        <v>97</v>
      </c>
      <c r="L117" s="148">
        <v>48</v>
      </c>
      <c r="M117" s="148">
        <v>0</v>
      </c>
      <c r="N117" s="148">
        <v>0</v>
      </c>
      <c r="O117" s="150" t="s">
        <v>158</v>
      </c>
      <c r="P117" s="151">
        <v>0.45833333333333331</v>
      </c>
      <c r="Q117" s="148">
        <v>168</v>
      </c>
      <c r="R117" s="152" t="s">
        <v>159</v>
      </c>
    </row>
    <row r="118" spans="1:18" ht="15" customHeight="1" x14ac:dyDescent="0.3">
      <c r="A118" s="86" t="s">
        <v>28</v>
      </c>
      <c r="B118" s="86" t="s">
        <v>40</v>
      </c>
      <c r="C118" s="87">
        <v>0.61458333333333337</v>
      </c>
      <c r="D118" s="86" t="s">
        <v>30</v>
      </c>
      <c r="E118" s="88"/>
      <c r="F118" s="86" t="s">
        <v>31</v>
      </c>
      <c r="G118" s="241"/>
      <c r="H118" s="11" t="s">
        <v>40</v>
      </c>
      <c r="I118" s="12">
        <v>0.1845</v>
      </c>
      <c r="J118" s="13">
        <v>31</v>
      </c>
      <c r="K118" s="14" t="s">
        <v>97</v>
      </c>
      <c r="L118" s="13">
        <v>31</v>
      </c>
      <c r="M118" s="13">
        <v>0</v>
      </c>
      <c r="N118" s="13">
        <v>0</v>
      </c>
      <c r="O118" s="15" t="s">
        <v>160</v>
      </c>
      <c r="P118" s="16">
        <v>0.61458333333333337</v>
      </c>
      <c r="Q118" s="13">
        <v>168</v>
      </c>
      <c r="R118" s="17" t="s">
        <v>161</v>
      </c>
    </row>
    <row r="119" spans="1:18" ht="15" customHeight="1" x14ac:dyDescent="0.3">
      <c r="A119" s="48" t="s">
        <v>28</v>
      </c>
      <c r="B119" s="48" t="s">
        <v>44</v>
      </c>
      <c r="C119" s="49">
        <v>0.73611111111111116</v>
      </c>
      <c r="D119" s="48" t="s">
        <v>30</v>
      </c>
      <c r="E119" s="50"/>
      <c r="F119" s="48" t="s">
        <v>49</v>
      </c>
      <c r="G119" s="241"/>
      <c r="H119" s="51" t="s">
        <v>44</v>
      </c>
      <c r="I119" s="52">
        <v>0.47020000000000001</v>
      </c>
      <c r="J119" s="53">
        <v>79</v>
      </c>
      <c r="K119" s="54" t="s">
        <v>97</v>
      </c>
      <c r="L119" s="53">
        <v>35</v>
      </c>
      <c r="M119" s="53">
        <v>0</v>
      </c>
      <c r="N119" s="53">
        <v>0</v>
      </c>
      <c r="O119" s="55" t="s">
        <v>75</v>
      </c>
      <c r="P119" s="56">
        <v>0.73611111111111116</v>
      </c>
      <c r="Q119" s="53">
        <v>168</v>
      </c>
      <c r="R119" s="57" t="s">
        <v>162</v>
      </c>
    </row>
    <row r="120" spans="1:18" ht="15" customHeight="1" thickBot="1" x14ac:dyDescent="0.35">
      <c r="A120" s="90" t="s">
        <v>28</v>
      </c>
      <c r="B120" s="90" t="s">
        <v>48</v>
      </c>
      <c r="C120" s="91">
        <v>0.9375</v>
      </c>
      <c r="D120" s="90" t="s">
        <v>30</v>
      </c>
      <c r="E120" s="92"/>
      <c r="F120" s="90" t="s">
        <v>54</v>
      </c>
      <c r="G120" s="242"/>
      <c r="H120" s="93" t="s">
        <v>48</v>
      </c>
      <c r="I120" s="94">
        <v>0.9405</v>
      </c>
      <c r="J120" s="95">
        <v>158</v>
      </c>
      <c r="K120" s="96" t="s">
        <v>97</v>
      </c>
      <c r="L120" s="95">
        <v>25</v>
      </c>
      <c r="M120" s="95">
        <v>0</v>
      </c>
      <c r="N120" s="95">
        <v>0</v>
      </c>
      <c r="O120" s="97" t="s">
        <v>163</v>
      </c>
      <c r="P120" s="98">
        <v>0.9375</v>
      </c>
      <c r="Q120" s="95">
        <v>168</v>
      </c>
      <c r="R120" s="99" t="s">
        <v>164</v>
      </c>
    </row>
    <row r="121" spans="1:18" ht="17.399999999999999" customHeight="1" thickBot="1" x14ac:dyDescent="0.35">
      <c r="A121" s="265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7"/>
    </row>
    <row r="122" spans="1:18" ht="22.05" customHeight="1" thickTop="1" thickBot="1" x14ac:dyDescent="0.35">
      <c r="A122" s="236" t="s">
        <v>8</v>
      </c>
      <c r="B122" s="234"/>
      <c r="C122" s="234"/>
      <c r="D122" s="234"/>
      <c r="E122" s="234"/>
      <c r="F122" s="235"/>
      <c r="G122" s="68">
        <v>46032</v>
      </c>
      <c r="H122" s="233" t="s">
        <v>9</v>
      </c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</row>
    <row r="123" spans="1:18" ht="24" customHeight="1" x14ac:dyDescent="0.3">
      <c r="A123" s="69" t="s">
        <v>10</v>
      </c>
      <c r="B123" s="69" t="s">
        <v>11</v>
      </c>
      <c r="C123" s="70" t="s">
        <v>12</v>
      </c>
      <c r="D123" s="69" t="s">
        <v>13</v>
      </c>
      <c r="E123" s="69" t="s">
        <v>14</v>
      </c>
      <c r="F123" s="71" t="s">
        <v>15</v>
      </c>
      <c r="G123" s="72" t="s">
        <v>16</v>
      </c>
      <c r="H123" s="69" t="s">
        <v>17</v>
      </c>
      <c r="I123" s="73" t="s">
        <v>18</v>
      </c>
      <c r="J123" s="74" t="s">
        <v>19</v>
      </c>
      <c r="K123" s="75" t="s">
        <v>20</v>
      </c>
      <c r="L123" s="74" t="s">
        <v>21</v>
      </c>
      <c r="M123" s="74" t="s">
        <v>22</v>
      </c>
      <c r="N123" s="74" t="s">
        <v>23</v>
      </c>
      <c r="O123" s="69" t="s">
        <v>24</v>
      </c>
      <c r="P123" s="70" t="s">
        <v>25</v>
      </c>
      <c r="Q123" s="74" t="s">
        <v>26</v>
      </c>
      <c r="R123" s="69" t="s">
        <v>27</v>
      </c>
    </row>
    <row r="124" spans="1:18" ht="49.95" customHeight="1" x14ac:dyDescent="0.3">
      <c r="A124" s="8" t="s">
        <v>28</v>
      </c>
      <c r="B124" s="8" t="s">
        <v>51</v>
      </c>
      <c r="C124" s="9">
        <v>0.2361111111111111</v>
      </c>
      <c r="D124" s="8" t="s">
        <v>30</v>
      </c>
      <c r="E124" s="10"/>
      <c r="F124" s="8" t="s">
        <v>49</v>
      </c>
      <c r="G124" s="240"/>
      <c r="H124" s="11" t="s">
        <v>51</v>
      </c>
      <c r="I124" s="89">
        <v>0.58620000000000005</v>
      </c>
      <c r="J124" s="13">
        <v>102</v>
      </c>
      <c r="K124" s="14" t="s">
        <v>97</v>
      </c>
      <c r="L124" s="13">
        <v>14</v>
      </c>
      <c r="M124" s="13">
        <v>0</v>
      </c>
      <c r="N124" s="13">
        <v>0</v>
      </c>
      <c r="O124" s="15" t="s">
        <v>114</v>
      </c>
      <c r="P124" s="16">
        <v>0.2361111111111111</v>
      </c>
      <c r="Q124" s="13">
        <v>174</v>
      </c>
      <c r="R124" s="17" t="s">
        <v>165</v>
      </c>
    </row>
    <row r="125" spans="1:18" ht="49.95" customHeight="1" x14ac:dyDescent="0.3">
      <c r="A125" s="38" t="s">
        <v>28</v>
      </c>
      <c r="B125" s="38" t="s">
        <v>35</v>
      </c>
      <c r="C125" s="39">
        <v>0.33333333333333331</v>
      </c>
      <c r="D125" s="38" t="s">
        <v>30</v>
      </c>
      <c r="E125" s="40"/>
      <c r="F125" s="38" t="s">
        <v>54</v>
      </c>
      <c r="G125" s="241"/>
      <c r="H125" s="41" t="s">
        <v>35</v>
      </c>
      <c r="I125" s="184">
        <v>0.91069999999999995</v>
      </c>
      <c r="J125" s="43">
        <v>153</v>
      </c>
      <c r="K125" s="44" t="s">
        <v>166</v>
      </c>
      <c r="L125" s="43">
        <v>21</v>
      </c>
      <c r="M125" s="43">
        <v>0</v>
      </c>
      <c r="N125" s="43">
        <v>0</v>
      </c>
      <c r="O125" s="45" t="s">
        <v>102</v>
      </c>
      <c r="P125" s="46">
        <v>0.33333333333333331</v>
      </c>
      <c r="Q125" s="43">
        <v>168</v>
      </c>
      <c r="R125" s="47" t="s">
        <v>167</v>
      </c>
    </row>
    <row r="126" spans="1:18" ht="49.95" customHeight="1" thickBot="1" x14ac:dyDescent="0.35">
      <c r="A126" s="171" t="s">
        <v>28</v>
      </c>
      <c r="B126" s="171" t="s">
        <v>38</v>
      </c>
      <c r="C126" s="172">
        <v>0.68055555555555547</v>
      </c>
      <c r="D126" s="171" t="s">
        <v>30</v>
      </c>
      <c r="E126" s="173"/>
      <c r="F126" s="171" t="s">
        <v>54</v>
      </c>
      <c r="G126" s="242"/>
      <c r="H126" s="174" t="s">
        <v>38</v>
      </c>
      <c r="I126" s="217">
        <v>0.88690000000000002</v>
      </c>
      <c r="J126" s="176">
        <v>149</v>
      </c>
      <c r="K126" s="177" t="s">
        <v>113</v>
      </c>
      <c r="L126" s="176">
        <v>17</v>
      </c>
      <c r="M126" s="176">
        <v>0</v>
      </c>
      <c r="N126" s="176">
        <v>0</v>
      </c>
      <c r="O126" s="178" t="s">
        <v>142</v>
      </c>
      <c r="P126" s="179">
        <v>0.68055555555555547</v>
      </c>
      <c r="Q126" s="176">
        <v>168</v>
      </c>
      <c r="R126" s="180" t="s">
        <v>168</v>
      </c>
    </row>
    <row r="127" spans="1:18" ht="17.399999999999999" customHeight="1" thickBot="1" x14ac:dyDescent="0.35">
      <c r="A127" s="265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7"/>
    </row>
    <row r="128" spans="1:18" ht="22.05" customHeight="1" thickTop="1" thickBot="1" x14ac:dyDescent="0.35">
      <c r="A128" s="236" t="s">
        <v>8</v>
      </c>
      <c r="B128" s="234"/>
      <c r="C128" s="234"/>
      <c r="D128" s="234"/>
      <c r="E128" s="234"/>
      <c r="F128" s="235"/>
      <c r="G128" s="68">
        <v>46033</v>
      </c>
      <c r="H128" s="233" t="s">
        <v>9</v>
      </c>
      <c r="I128" s="234"/>
      <c r="J128" s="234"/>
      <c r="K128" s="234"/>
      <c r="L128" s="234"/>
      <c r="M128" s="234"/>
      <c r="N128" s="234"/>
      <c r="O128" s="234"/>
      <c r="P128" s="234"/>
      <c r="Q128" s="234"/>
      <c r="R128" s="235"/>
    </row>
    <row r="129" spans="1:18" ht="24" customHeight="1" x14ac:dyDescent="0.3">
      <c r="A129" s="69" t="s">
        <v>10</v>
      </c>
      <c r="B129" s="69" t="s">
        <v>11</v>
      </c>
      <c r="C129" s="70" t="s">
        <v>12</v>
      </c>
      <c r="D129" s="69" t="s">
        <v>13</v>
      </c>
      <c r="E129" s="69" t="s">
        <v>14</v>
      </c>
      <c r="F129" s="71" t="s">
        <v>15</v>
      </c>
      <c r="G129" s="72" t="s">
        <v>16</v>
      </c>
      <c r="H129" s="69" t="s">
        <v>17</v>
      </c>
      <c r="I129" s="73" t="s">
        <v>18</v>
      </c>
      <c r="J129" s="74" t="s">
        <v>19</v>
      </c>
      <c r="K129" s="75" t="s">
        <v>20</v>
      </c>
      <c r="L129" s="74" t="s">
        <v>21</v>
      </c>
      <c r="M129" s="74" t="s">
        <v>22</v>
      </c>
      <c r="N129" s="74" t="s">
        <v>23</v>
      </c>
      <c r="O129" s="69" t="s">
        <v>24</v>
      </c>
      <c r="P129" s="70" t="s">
        <v>25</v>
      </c>
      <c r="Q129" s="74" t="s">
        <v>26</v>
      </c>
      <c r="R129" s="69" t="s">
        <v>27</v>
      </c>
    </row>
    <row r="130" spans="1:18" ht="49.95" customHeight="1" x14ac:dyDescent="0.3">
      <c r="A130" s="122" t="s">
        <v>28</v>
      </c>
      <c r="B130" s="122" t="s">
        <v>29</v>
      </c>
      <c r="C130" s="123">
        <v>8.3333333333333329E-2</v>
      </c>
      <c r="D130" s="122" t="s">
        <v>30</v>
      </c>
      <c r="E130" s="124"/>
      <c r="F130" s="122" t="s">
        <v>49</v>
      </c>
      <c r="G130" s="240"/>
      <c r="H130" s="41" t="s">
        <v>29</v>
      </c>
      <c r="I130" s="42">
        <v>0.36309999999999998</v>
      </c>
      <c r="J130" s="43">
        <v>61</v>
      </c>
      <c r="K130" s="44" t="s">
        <v>113</v>
      </c>
      <c r="L130" s="43">
        <v>9</v>
      </c>
      <c r="M130" s="43">
        <v>0</v>
      </c>
      <c r="N130" s="43">
        <v>0</v>
      </c>
      <c r="O130" s="45" t="s">
        <v>80</v>
      </c>
      <c r="P130" s="46">
        <v>8.3333333333333329E-2</v>
      </c>
      <c r="Q130" s="43">
        <v>168</v>
      </c>
      <c r="R130" s="47" t="s">
        <v>169</v>
      </c>
    </row>
    <row r="131" spans="1:18" ht="49.95" customHeight="1" x14ac:dyDescent="0.3">
      <c r="A131" s="28" t="s">
        <v>28</v>
      </c>
      <c r="B131" s="28" t="s">
        <v>35</v>
      </c>
      <c r="C131" s="29">
        <v>0.31944444444444448</v>
      </c>
      <c r="D131" s="28" t="s">
        <v>30</v>
      </c>
      <c r="E131" s="30"/>
      <c r="F131" s="28" t="s">
        <v>31</v>
      </c>
      <c r="G131" s="241"/>
      <c r="H131" s="31" t="s">
        <v>35</v>
      </c>
      <c r="I131" s="32">
        <v>0.27379999999999999</v>
      </c>
      <c r="J131" s="33">
        <v>46</v>
      </c>
      <c r="K131" s="34" t="s">
        <v>110</v>
      </c>
      <c r="L131" s="33">
        <v>2</v>
      </c>
      <c r="M131" s="33">
        <v>0</v>
      </c>
      <c r="N131" s="33">
        <v>0</v>
      </c>
      <c r="O131" s="35" t="s">
        <v>80</v>
      </c>
      <c r="P131" s="36">
        <v>0.31944444444444448</v>
      </c>
      <c r="Q131" s="33">
        <v>168</v>
      </c>
      <c r="R131" s="37" t="s">
        <v>170</v>
      </c>
    </row>
    <row r="132" spans="1:18" ht="49.95" customHeight="1" x14ac:dyDescent="0.3">
      <c r="A132" s="143" t="s">
        <v>28</v>
      </c>
      <c r="B132" s="143" t="s">
        <v>101</v>
      </c>
      <c r="C132" s="144">
        <v>0.33333333333333331</v>
      </c>
      <c r="D132" s="143" t="s">
        <v>30</v>
      </c>
      <c r="E132" s="145"/>
      <c r="F132" s="143" t="s">
        <v>49</v>
      </c>
      <c r="G132" s="241"/>
      <c r="H132" s="146" t="s">
        <v>101</v>
      </c>
      <c r="I132" s="158">
        <v>0.80359999999999998</v>
      </c>
      <c r="J132" s="148">
        <v>135</v>
      </c>
      <c r="K132" s="149" t="s">
        <v>122</v>
      </c>
      <c r="L132" s="148">
        <v>3</v>
      </c>
      <c r="M132" s="148">
        <v>0</v>
      </c>
      <c r="N132" s="148">
        <v>0</v>
      </c>
      <c r="O132" s="150" t="s">
        <v>102</v>
      </c>
      <c r="P132" s="151">
        <v>0.33333333333333331</v>
      </c>
      <c r="Q132" s="148">
        <v>168</v>
      </c>
      <c r="R132" s="152" t="s">
        <v>123</v>
      </c>
    </row>
    <row r="133" spans="1:18" ht="49.95" customHeight="1" x14ac:dyDescent="0.3">
      <c r="A133" s="139" t="s">
        <v>28</v>
      </c>
      <c r="B133" s="139" t="s">
        <v>48</v>
      </c>
      <c r="C133" s="140">
        <v>0.51041666666666663</v>
      </c>
      <c r="D133" s="139" t="s">
        <v>30</v>
      </c>
      <c r="E133" s="141"/>
      <c r="F133" s="139" t="s">
        <v>54</v>
      </c>
      <c r="G133" s="241"/>
      <c r="H133" s="103" t="s">
        <v>48</v>
      </c>
      <c r="I133" s="104">
        <v>0.88690000000000002</v>
      </c>
      <c r="J133" s="105">
        <v>149</v>
      </c>
      <c r="K133" s="106" t="s">
        <v>171</v>
      </c>
      <c r="L133" s="105">
        <v>17</v>
      </c>
      <c r="M133" s="105">
        <v>0</v>
      </c>
      <c r="N133" s="105">
        <v>0</v>
      </c>
      <c r="O133" s="107" t="s">
        <v>95</v>
      </c>
      <c r="P133" s="108">
        <v>0.51041666666666663</v>
      </c>
      <c r="Q133" s="105">
        <v>168</v>
      </c>
      <c r="R133" s="109" t="s">
        <v>172</v>
      </c>
    </row>
    <row r="134" spans="1:18" ht="49.95" customHeight="1" thickBot="1" x14ac:dyDescent="0.35">
      <c r="A134" s="207" t="s">
        <v>28</v>
      </c>
      <c r="B134" s="207" t="s">
        <v>38</v>
      </c>
      <c r="C134" s="208">
        <v>0.63194444444444442</v>
      </c>
      <c r="D134" s="207" t="s">
        <v>30</v>
      </c>
      <c r="E134" s="209"/>
      <c r="F134" s="207" t="s">
        <v>49</v>
      </c>
      <c r="G134" s="242"/>
      <c r="H134" s="210" t="s">
        <v>38</v>
      </c>
      <c r="I134" s="211">
        <v>0.5595</v>
      </c>
      <c r="J134" s="212">
        <v>94</v>
      </c>
      <c r="K134" s="213" t="s">
        <v>113</v>
      </c>
      <c r="L134" s="212">
        <v>6</v>
      </c>
      <c r="M134" s="212">
        <v>0</v>
      </c>
      <c r="N134" s="212">
        <v>0</v>
      </c>
      <c r="O134" s="214" t="s">
        <v>87</v>
      </c>
      <c r="P134" s="215">
        <v>0.63194444444444442</v>
      </c>
      <c r="Q134" s="212">
        <v>168</v>
      </c>
      <c r="R134" s="216" t="s">
        <v>173</v>
      </c>
    </row>
    <row r="135" spans="1:18" ht="17.399999999999999" customHeight="1" thickBot="1" x14ac:dyDescent="0.35">
      <c r="A135" s="265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7"/>
    </row>
    <row r="136" spans="1:18" ht="22.05" customHeight="1" thickTop="1" thickBot="1" x14ac:dyDescent="0.35">
      <c r="A136" s="236" t="s">
        <v>8</v>
      </c>
      <c r="B136" s="234"/>
      <c r="C136" s="234"/>
      <c r="D136" s="234"/>
      <c r="E136" s="234"/>
      <c r="F136" s="235"/>
      <c r="G136" s="68">
        <v>46034</v>
      </c>
      <c r="H136" s="233" t="s">
        <v>9</v>
      </c>
      <c r="I136" s="234"/>
      <c r="J136" s="234"/>
      <c r="K136" s="234"/>
      <c r="L136" s="234"/>
      <c r="M136" s="234"/>
      <c r="N136" s="234"/>
      <c r="O136" s="234"/>
      <c r="P136" s="234"/>
      <c r="Q136" s="234"/>
      <c r="R136" s="235"/>
    </row>
    <row r="137" spans="1:18" ht="24" customHeight="1" x14ac:dyDescent="0.3">
      <c r="A137" s="69" t="s">
        <v>10</v>
      </c>
      <c r="B137" s="69" t="s">
        <v>11</v>
      </c>
      <c r="C137" s="70" t="s">
        <v>12</v>
      </c>
      <c r="D137" s="69" t="s">
        <v>13</v>
      </c>
      <c r="E137" s="69" t="s">
        <v>14</v>
      </c>
      <c r="F137" s="71" t="s">
        <v>15</v>
      </c>
      <c r="G137" s="72" t="s">
        <v>16</v>
      </c>
      <c r="H137" s="69" t="s">
        <v>17</v>
      </c>
      <c r="I137" s="73" t="s">
        <v>18</v>
      </c>
      <c r="J137" s="74" t="s">
        <v>19</v>
      </c>
      <c r="K137" s="75" t="s">
        <v>20</v>
      </c>
      <c r="L137" s="74" t="s">
        <v>21</v>
      </c>
      <c r="M137" s="74" t="s">
        <v>22</v>
      </c>
      <c r="N137" s="74" t="s">
        <v>23</v>
      </c>
      <c r="O137" s="69" t="s">
        <v>24</v>
      </c>
      <c r="P137" s="70" t="s">
        <v>25</v>
      </c>
      <c r="Q137" s="74" t="s">
        <v>26</v>
      </c>
      <c r="R137" s="69" t="s">
        <v>27</v>
      </c>
    </row>
    <row r="138" spans="1:18" ht="49.95" customHeight="1" x14ac:dyDescent="0.3">
      <c r="A138" s="136" t="s">
        <v>28</v>
      </c>
      <c r="B138" s="136" t="s">
        <v>40</v>
      </c>
      <c r="C138" s="137">
        <v>6.9444444444444441E-3</v>
      </c>
      <c r="D138" s="136" t="s">
        <v>30</v>
      </c>
      <c r="E138" s="138"/>
      <c r="F138" s="136" t="s">
        <v>31</v>
      </c>
      <c r="G138" s="240"/>
      <c r="H138" s="21" t="s">
        <v>40</v>
      </c>
      <c r="I138" s="22">
        <v>6.0000000000000001E-3</v>
      </c>
      <c r="J138" s="23">
        <v>1</v>
      </c>
      <c r="K138" s="24" t="s">
        <v>99</v>
      </c>
      <c r="L138" s="23">
        <v>1</v>
      </c>
      <c r="M138" s="23">
        <v>0</v>
      </c>
      <c r="N138" s="23">
        <v>0</v>
      </c>
      <c r="O138" s="25" t="s">
        <v>80</v>
      </c>
      <c r="P138" s="26">
        <v>6.9444444444444441E-3</v>
      </c>
      <c r="Q138" s="23">
        <v>168</v>
      </c>
      <c r="R138" s="27" t="s">
        <v>114</v>
      </c>
    </row>
    <row r="139" spans="1:18" ht="49.95" customHeight="1" x14ac:dyDescent="0.3">
      <c r="A139" s="38" t="s">
        <v>28</v>
      </c>
      <c r="B139" s="38" t="s">
        <v>35</v>
      </c>
      <c r="C139" s="39">
        <v>0.4236111111111111</v>
      </c>
      <c r="D139" s="38" t="s">
        <v>30</v>
      </c>
      <c r="E139" s="40"/>
      <c r="F139" s="38" t="s">
        <v>49</v>
      </c>
      <c r="G139" s="241"/>
      <c r="H139" s="41" t="s">
        <v>35</v>
      </c>
      <c r="I139" s="200">
        <v>0.8155</v>
      </c>
      <c r="J139" s="43">
        <v>137</v>
      </c>
      <c r="K139" s="44" t="s">
        <v>174</v>
      </c>
      <c r="L139" s="43">
        <v>5</v>
      </c>
      <c r="M139" s="43">
        <v>0</v>
      </c>
      <c r="N139" s="43">
        <v>0</v>
      </c>
      <c r="O139" s="45" t="s">
        <v>92</v>
      </c>
      <c r="P139" s="46">
        <v>0.4236111111111111</v>
      </c>
      <c r="Q139" s="43">
        <v>168</v>
      </c>
      <c r="R139" s="47" t="s">
        <v>175</v>
      </c>
    </row>
    <row r="140" spans="1:18" ht="49.95" customHeight="1" x14ac:dyDescent="0.3">
      <c r="A140" s="18" t="s">
        <v>28</v>
      </c>
      <c r="B140" s="18" t="s">
        <v>38</v>
      </c>
      <c r="C140" s="19">
        <v>0.61458333333333337</v>
      </c>
      <c r="D140" s="18" t="s">
        <v>30</v>
      </c>
      <c r="E140" s="20"/>
      <c r="F140" s="18" t="s">
        <v>49</v>
      </c>
      <c r="G140" s="241"/>
      <c r="H140" s="21" t="s">
        <v>38</v>
      </c>
      <c r="I140" s="22">
        <v>0.54759999999999998</v>
      </c>
      <c r="J140" s="23">
        <v>92</v>
      </c>
      <c r="K140" s="24" t="s">
        <v>140</v>
      </c>
      <c r="L140" s="23">
        <v>4</v>
      </c>
      <c r="M140" s="23">
        <v>0</v>
      </c>
      <c r="N140" s="23">
        <v>0</v>
      </c>
      <c r="O140" s="25" t="s">
        <v>92</v>
      </c>
      <c r="P140" s="26">
        <v>0.61458333333333337</v>
      </c>
      <c r="Q140" s="23">
        <v>168</v>
      </c>
      <c r="R140" s="27" t="s">
        <v>176</v>
      </c>
    </row>
    <row r="141" spans="1:18" ht="49.95" customHeight="1" thickBot="1" x14ac:dyDescent="0.35">
      <c r="A141" s="112" t="s">
        <v>28</v>
      </c>
      <c r="B141" s="112" t="s">
        <v>48</v>
      </c>
      <c r="C141" s="113">
        <v>0.97916666666666663</v>
      </c>
      <c r="D141" s="112" t="s">
        <v>30</v>
      </c>
      <c r="E141" s="114"/>
      <c r="F141" s="112" t="s">
        <v>49</v>
      </c>
      <c r="G141" s="242"/>
      <c r="H141" s="115" t="s">
        <v>48</v>
      </c>
      <c r="I141" s="116">
        <v>0.82740000000000002</v>
      </c>
      <c r="J141" s="117">
        <v>139</v>
      </c>
      <c r="K141" s="118" t="s">
        <v>177</v>
      </c>
      <c r="L141" s="117">
        <v>7</v>
      </c>
      <c r="M141" s="117">
        <v>0</v>
      </c>
      <c r="N141" s="117">
        <v>0</v>
      </c>
      <c r="O141" s="119" t="s">
        <v>87</v>
      </c>
      <c r="P141" s="120">
        <v>0.97916666666666663</v>
      </c>
      <c r="Q141" s="117">
        <v>168</v>
      </c>
      <c r="R141" s="121" t="s">
        <v>178</v>
      </c>
    </row>
    <row r="142" spans="1:18" ht="17.399999999999999" customHeight="1" thickBot="1" x14ac:dyDescent="0.35">
      <c r="A142" s="265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7"/>
    </row>
    <row r="143" spans="1:18" ht="22.05" customHeight="1" thickTop="1" thickBot="1" x14ac:dyDescent="0.35">
      <c r="A143" s="236" t="s">
        <v>8</v>
      </c>
      <c r="B143" s="234"/>
      <c r="C143" s="234"/>
      <c r="D143" s="234"/>
      <c r="E143" s="234"/>
      <c r="F143" s="235"/>
      <c r="G143" s="68">
        <v>46035</v>
      </c>
      <c r="H143" s="233" t="s">
        <v>9</v>
      </c>
      <c r="I143" s="234"/>
      <c r="J143" s="234"/>
      <c r="K143" s="234"/>
      <c r="L143" s="234"/>
      <c r="M143" s="234"/>
      <c r="N143" s="234"/>
      <c r="O143" s="234"/>
      <c r="P143" s="234"/>
      <c r="Q143" s="234"/>
      <c r="R143" s="235"/>
    </row>
    <row r="144" spans="1:18" ht="24" customHeight="1" x14ac:dyDescent="0.3">
      <c r="A144" s="69" t="s">
        <v>10</v>
      </c>
      <c r="B144" s="69" t="s">
        <v>11</v>
      </c>
      <c r="C144" s="70" t="s">
        <v>12</v>
      </c>
      <c r="D144" s="69" t="s">
        <v>13</v>
      </c>
      <c r="E144" s="69" t="s">
        <v>14</v>
      </c>
      <c r="F144" s="71" t="s">
        <v>15</v>
      </c>
      <c r="G144" s="72" t="s">
        <v>16</v>
      </c>
      <c r="H144" s="69" t="s">
        <v>17</v>
      </c>
      <c r="I144" s="73" t="s">
        <v>18</v>
      </c>
      <c r="J144" s="74" t="s">
        <v>19</v>
      </c>
      <c r="K144" s="75" t="s">
        <v>20</v>
      </c>
      <c r="L144" s="74" t="s">
        <v>21</v>
      </c>
      <c r="M144" s="74" t="s">
        <v>22</v>
      </c>
      <c r="N144" s="74" t="s">
        <v>23</v>
      </c>
      <c r="O144" s="69" t="s">
        <v>24</v>
      </c>
      <c r="P144" s="70" t="s">
        <v>25</v>
      </c>
      <c r="Q144" s="74" t="s">
        <v>26</v>
      </c>
      <c r="R144" s="69" t="s">
        <v>27</v>
      </c>
    </row>
    <row r="145" spans="1:18" ht="15" customHeight="1" x14ac:dyDescent="0.3">
      <c r="A145" s="100" t="s">
        <v>28</v>
      </c>
      <c r="B145" s="100" t="s">
        <v>44</v>
      </c>
      <c r="C145" s="101">
        <v>0.22916666666666671</v>
      </c>
      <c r="D145" s="100" t="s">
        <v>30</v>
      </c>
      <c r="E145" s="102"/>
      <c r="F145" s="100" t="s">
        <v>31</v>
      </c>
      <c r="G145" s="240"/>
      <c r="H145" s="103" t="s">
        <v>44</v>
      </c>
      <c r="I145" s="159">
        <v>1.1900000000000001E-2</v>
      </c>
      <c r="J145" s="105">
        <v>2</v>
      </c>
      <c r="K145" s="106" t="s">
        <v>179</v>
      </c>
      <c r="L145" s="105">
        <v>2</v>
      </c>
      <c r="M145" s="105">
        <v>0</v>
      </c>
      <c r="N145" s="105">
        <v>0</v>
      </c>
      <c r="O145" s="107" t="s">
        <v>92</v>
      </c>
      <c r="P145" s="108">
        <v>0.22916666666666671</v>
      </c>
      <c r="Q145" s="105">
        <v>168</v>
      </c>
      <c r="R145" s="109" t="s">
        <v>89</v>
      </c>
    </row>
    <row r="146" spans="1:18" ht="15" customHeight="1" x14ac:dyDescent="0.3">
      <c r="A146" s="201" t="s">
        <v>28</v>
      </c>
      <c r="B146" s="201" t="s">
        <v>40</v>
      </c>
      <c r="C146" s="202">
        <v>0.55902777777777779</v>
      </c>
      <c r="D146" s="201" t="s">
        <v>30</v>
      </c>
      <c r="E146" s="203"/>
      <c r="F146" s="201" t="s">
        <v>31</v>
      </c>
      <c r="G146" s="241"/>
      <c r="H146" s="79" t="s">
        <v>40</v>
      </c>
      <c r="I146" s="80">
        <v>0.26790000000000003</v>
      </c>
      <c r="J146" s="81">
        <v>45</v>
      </c>
      <c r="K146" s="82" t="s">
        <v>140</v>
      </c>
      <c r="L146" s="81">
        <v>1</v>
      </c>
      <c r="M146" s="81">
        <v>0</v>
      </c>
      <c r="N146" s="81">
        <v>0</v>
      </c>
      <c r="O146" s="83" t="s">
        <v>80</v>
      </c>
      <c r="P146" s="84">
        <v>0.55902777777777779</v>
      </c>
      <c r="Q146" s="81">
        <v>168</v>
      </c>
      <c r="R146" s="85" t="s">
        <v>180</v>
      </c>
    </row>
    <row r="147" spans="1:18" ht="15" customHeight="1" x14ac:dyDescent="0.3">
      <c r="A147" s="86" t="s">
        <v>28</v>
      </c>
      <c r="B147" s="86" t="s">
        <v>38</v>
      </c>
      <c r="C147" s="87">
        <v>0.61458333333333337</v>
      </c>
      <c r="D147" s="86" t="s">
        <v>30</v>
      </c>
      <c r="E147" s="88"/>
      <c r="F147" s="86" t="s">
        <v>49</v>
      </c>
      <c r="G147" s="241"/>
      <c r="H147" s="11" t="s">
        <v>38</v>
      </c>
      <c r="I147" s="89">
        <v>0.82740000000000002</v>
      </c>
      <c r="J147" s="13">
        <v>139</v>
      </c>
      <c r="K147" s="14" t="s">
        <v>119</v>
      </c>
      <c r="L147" s="13">
        <v>7</v>
      </c>
      <c r="M147" s="13">
        <v>0</v>
      </c>
      <c r="N147" s="13">
        <v>0</v>
      </c>
      <c r="O147" s="15" t="s">
        <v>87</v>
      </c>
      <c r="P147" s="16">
        <v>0.61458333333333337</v>
      </c>
      <c r="Q147" s="13">
        <v>168</v>
      </c>
      <c r="R147" s="17" t="s">
        <v>178</v>
      </c>
    </row>
    <row r="148" spans="1:18" ht="15" customHeight="1" x14ac:dyDescent="0.3">
      <c r="A148" s="18" t="s">
        <v>28</v>
      </c>
      <c r="B148" s="18" t="s">
        <v>48</v>
      </c>
      <c r="C148" s="19">
        <v>0.72916666666666663</v>
      </c>
      <c r="D148" s="18" t="s">
        <v>30</v>
      </c>
      <c r="E148" s="20"/>
      <c r="F148" s="18" t="s">
        <v>31</v>
      </c>
      <c r="G148" s="241"/>
      <c r="H148" s="21" t="s">
        <v>48</v>
      </c>
      <c r="I148" s="22">
        <v>0.28570000000000001</v>
      </c>
      <c r="J148" s="23">
        <v>48</v>
      </c>
      <c r="K148" s="24" t="s">
        <v>113</v>
      </c>
      <c r="L148" s="23">
        <v>4</v>
      </c>
      <c r="M148" s="23">
        <v>0</v>
      </c>
      <c r="N148" s="23">
        <v>0</v>
      </c>
      <c r="O148" s="25" t="s">
        <v>95</v>
      </c>
      <c r="P148" s="26">
        <v>0.72916666666666663</v>
      </c>
      <c r="Q148" s="23">
        <v>168</v>
      </c>
      <c r="R148" s="27" t="s">
        <v>181</v>
      </c>
    </row>
    <row r="149" spans="1:18" ht="15" customHeight="1" x14ac:dyDescent="0.3">
      <c r="A149" s="48" t="s">
        <v>28</v>
      </c>
      <c r="B149" s="48" t="s">
        <v>29</v>
      </c>
      <c r="C149" s="49">
        <v>0.93402777777777779</v>
      </c>
      <c r="D149" s="48" t="s">
        <v>30</v>
      </c>
      <c r="E149" s="50"/>
      <c r="F149" s="48" t="s">
        <v>31</v>
      </c>
      <c r="G149" s="241"/>
      <c r="H149" s="51" t="s">
        <v>29</v>
      </c>
      <c r="I149" s="52">
        <v>0.27379999999999999</v>
      </c>
      <c r="J149" s="53">
        <v>46</v>
      </c>
      <c r="K149" s="54" t="s">
        <v>110</v>
      </c>
      <c r="L149" s="53">
        <v>2</v>
      </c>
      <c r="M149" s="53">
        <v>0</v>
      </c>
      <c r="N149" s="53">
        <v>0</v>
      </c>
      <c r="O149" s="55" t="s">
        <v>80</v>
      </c>
      <c r="P149" s="56">
        <v>0.93402777777777779</v>
      </c>
      <c r="Q149" s="53">
        <v>168</v>
      </c>
      <c r="R149" s="57" t="s">
        <v>170</v>
      </c>
    </row>
    <row r="150" spans="1:18" ht="15" customHeight="1" thickBot="1" x14ac:dyDescent="0.35">
      <c r="A150" s="126" t="s">
        <v>28</v>
      </c>
      <c r="B150" s="126" t="s">
        <v>35</v>
      </c>
      <c r="C150" s="127">
        <v>0.96875</v>
      </c>
      <c r="D150" s="126" t="s">
        <v>30</v>
      </c>
      <c r="E150" s="128"/>
      <c r="F150" s="126" t="s">
        <v>49</v>
      </c>
      <c r="G150" s="242"/>
      <c r="H150" s="129" t="s">
        <v>35</v>
      </c>
      <c r="I150" s="218">
        <v>0.80359999999999998</v>
      </c>
      <c r="J150" s="131">
        <v>135</v>
      </c>
      <c r="K150" s="132" t="s">
        <v>122</v>
      </c>
      <c r="L150" s="131">
        <v>3</v>
      </c>
      <c r="M150" s="131">
        <v>0</v>
      </c>
      <c r="N150" s="131">
        <v>0</v>
      </c>
      <c r="O150" s="133" t="s">
        <v>80</v>
      </c>
      <c r="P150" s="134">
        <v>0.96875</v>
      </c>
      <c r="Q150" s="131">
        <v>168</v>
      </c>
      <c r="R150" s="135" t="s">
        <v>123</v>
      </c>
    </row>
    <row r="151" spans="1:18" ht="17.399999999999999" customHeight="1" thickBot="1" x14ac:dyDescent="0.35">
      <c r="A151" s="265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7"/>
    </row>
    <row r="152" spans="1:18" ht="22.05" customHeight="1" thickTop="1" thickBot="1" x14ac:dyDescent="0.35">
      <c r="A152" s="236" t="s">
        <v>8</v>
      </c>
      <c r="B152" s="234"/>
      <c r="C152" s="234"/>
      <c r="D152" s="234"/>
      <c r="E152" s="234"/>
      <c r="F152" s="235"/>
      <c r="G152" s="68">
        <v>46036</v>
      </c>
      <c r="H152" s="233" t="s">
        <v>9</v>
      </c>
      <c r="I152" s="234"/>
      <c r="J152" s="234"/>
      <c r="K152" s="234"/>
      <c r="L152" s="234"/>
      <c r="M152" s="234"/>
      <c r="N152" s="234"/>
      <c r="O152" s="234"/>
      <c r="P152" s="234"/>
      <c r="Q152" s="234"/>
      <c r="R152" s="235"/>
    </row>
    <row r="153" spans="1:18" ht="24" customHeight="1" x14ac:dyDescent="0.3">
      <c r="A153" s="69" t="s">
        <v>10</v>
      </c>
      <c r="B153" s="69" t="s">
        <v>11</v>
      </c>
      <c r="C153" s="70" t="s">
        <v>12</v>
      </c>
      <c r="D153" s="69" t="s">
        <v>13</v>
      </c>
      <c r="E153" s="69" t="s">
        <v>14</v>
      </c>
      <c r="F153" s="71" t="s">
        <v>15</v>
      </c>
      <c r="G153" s="72" t="s">
        <v>16</v>
      </c>
      <c r="H153" s="69" t="s">
        <v>17</v>
      </c>
      <c r="I153" s="73" t="s">
        <v>18</v>
      </c>
      <c r="J153" s="74" t="s">
        <v>19</v>
      </c>
      <c r="K153" s="75" t="s">
        <v>20</v>
      </c>
      <c r="L153" s="74" t="s">
        <v>21</v>
      </c>
      <c r="M153" s="74" t="s">
        <v>22</v>
      </c>
      <c r="N153" s="74" t="s">
        <v>23</v>
      </c>
      <c r="O153" s="69" t="s">
        <v>24</v>
      </c>
      <c r="P153" s="70" t="s">
        <v>25</v>
      </c>
      <c r="Q153" s="74" t="s">
        <v>26</v>
      </c>
      <c r="R153" s="69" t="s">
        <v>27</v>
      </c>
    </row>
    <row r="154" spans="1:18" ht="49.95" customHeight="1" x14ac:dyDescent="0.3">
      <c r="A154" s="136" t="s">
        <v>28</v>
      </c>
      <c r="B154" s="136" t="s">
        <v>35</v>
      </c>
      <c r="C154" s="137">
        <v>0.47916666666666669</v>
      </c>
      <c r="D154" s="136" t="s">
        <v>30</v>
      </c>
      <c r="E154" s="138"/>
      <c r="F154" s="136" t="s">
        <v>31</v>
      </c>
      <c r="G154" s="240"/>
      <c r="H154" s="21" t="s">
        <v>35</v>
      </c>
      <c r="I154" s="22">
        <v>0.27379999999999999</v>
      </c>
      <c r="J154" s="23">
        <v>46</v>
      </c>
      <c r="K154" s="24" t="s">
        <v>182</v>
      </c>
      <c r="L154" s="23">
        <v>2</v>
      </c>
      <c r="M154" s="23">
        <v>0</v>
      </c>
      <c r="N154" s="23">
        <v>0</v>
      </c>
      <c r="O154" s="25" t="s">
        <v>80</v>
      </c>
      <c r="P154" s="26">
        <v>0.47916666666666669</v>
      </c>
      <c r="Q154" s="23">
        <v>168</v>
      </c>
      <c r="R154" s="27" t="s">
        <v>170</v>
      </c>
    </row>
    <row r="155" spans="1:18" ht="49.95" customHeight="1" x14ac:dyDescent="0.3">
      <c r="A155" s="48" t="s">
        <v>28</v>
      </c>
      <c r="B155" s="48" t="s">
        <v>48</v>
      </c>
      <c r="C155" s="49">
        <v>0.52083333333333337</v>
      </c>
      <c r="D155" s="48" t="s">
        <v>30</v>
      </c>
      <c r="E155" s="50"/>
      <c r="F155" s="48" t="s">
        <v>54</v>
      </c>
      <c r="G155" s="241"/>
      <c r="H155" s="51" t="s">
        <v>48</v>
      </c>
      <c r="I155" s="125">
        <v>0.85119999999999996</v>
      </c>
      <c r="J155" s="53">
        <v>143</v>
      </c>
      <c r="K155" s="54" t="s">
        <v>183</v>
      </c>
      <c r="L155" s="53">
        <v>11</v>
      </c>
      <c r="M155" s="53">
        <v>0</v>
      </c>
      <c r="N155" s="53">
        <v>0</v>
      </c>
      <c r="O155" s="55" t="s">
        <v>89</v>
      </c>
      <c r="P155" s="56">
        <v>0.52083333333333337</v>
      </c>
      <c r="Q155" s="53">
        <v>168</v>
      </c>
      <c r="R155" s="57" t="s">
        <v>184</v>
      </c>
    </row>
    <row r="156" spans="1:18" ht="49.95" customHeight="1" thickBot="1" x14ac:dyDescent="0.35">
      <c r="A156" s="112" t="s">
        <v>28</v>
      </c>
      <c r="B156" s="112" t="s">
        <v>38</v>
      </c>
      <c r="C156" s="113">
        <v>0.61458333333333337</v>
      </c>
      <c r="D156" s="112" t="s">
        <v>30</v>
      </c>
      <c r="E156" s="114"/>
      <c r="F156" s="112" t="s">
        <v>49</v>
      </c>
      <c r="G156" s="242"/>
      <c r="H156" s="115" t="s">
        <v>38</v>
      </c>
      <c r="I156" s="116">
        <v>0.5595</v>
      </c>
      <c r="J156" s="117">
        <v>94</v>
      </c>
      <c r="K156" s="118" t="s">
        <v>140</v>
      </c>
      <c r="L156" s="117">
        <v>6</v>
      </c>
      <c r="M156" s="117">
        <v>0</v>
      </c>
      <c r="N156" s="117">
        <v>0</v>
      </c>
      <c r="O156" s="119" t="s">
        <v>87</v>
      </c>
      <c r="P156" s="120">
        <v>0.61458333333333337</v>
      </c>
      <c r="Q156" s="117">
        <v>168</v>
      </c>
      <c r="R156" s="121" t="s">
        <v>185</v>
      </c>
    </row>
    <row r="157" spans="1:18" ht="17.399999999999999" customHeight="1" thickBot="1" x14ac:dyDescent="0.35">
      <c r="A157" s="265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7"/>
    </row>
    <row r="158" spans="1:18" ht="22.05" customHeight="1" thickTop="1" thickBot="1" x14ac:dyDescent="0.35">
      <c r="A158" s="236" t="s">
        <v>8</v>
      </c>
      <c r="B158" s="234"/>
      <c r="C158" s="234"/>
      <c r="D158" s="234"/>
      <c r="E158" s="234"/>
      <c r="F158" s="235"/>
      <c r="G158" s="68">
        <v>46037</v>
      </c>
      <c r="H158" s="233" t="s">
        <v>9</v>
      </c>
      <c r="I158" s="234"/>
      <c r="J158" s="234"/>
      <c r="K158" s="234"/>
      <c r="L158" s="234"/>
      <c r="M158" s="234"/>
      <c r="N158" s="234"/>
      <c r="O158" s="234"/>
      <c r="P158" s="234"/>
      <c r="Q158" s="234"/>
      <c r="R158" s="235"/>
    </row>
    <row r="159" spans="1:18" ht="24" customHeight="1" x14ac:dyDescent="0.3">
      <c r="A159" s="69" t="s">
        <v>10</v>
      </c>
      <c r="B159" s="69" t="s">
        <v>11</v>
      </c>
      <c r="C159" s="70" t="s">
        <v>12</v>
      </c>
      <c r="D159" s="69" t="s">
        <v>13</v>
      </c>
      <c r="E159" s="69" t="s">
        <v>14</v>
      </c>
      <c r="F159" s="71" t="s">
        <v>15</v>
      </c>
      <c r="G159" s="72" t="s">
        <v>16</v>
      </c>
      <c r="H159" s="69" t="s">
        <v>17</v>
      </c>
      <c r="I159" s="73" t="s">
        <v>18</v>
      </c>
      <c r="J159" s="74" t="s">
        <v>19</v>
      </c>
      <c r="K159" s="75" t="s">
        <v>20</v>
      </c>
      <c r="L159" s="74" t="s">
        <v>21</v>
      </c>
      <c r="M159" s="74" t="s">
        <v>22</v>
      </c>
      <c r="N159" s="74" t="s">
        <v>23</v>
      </c>
      <c r="O159" s="69" t="s">
        <v>24</v>
      </c>
      <c r="P159" s="70" t="s">
        <v>25</v>
      </c>
      <c r="Q159" s="74" t="s">
        <v>26</v>
      </c>
      <c r="R159" s="69" t="s">
        <v>27</v>
      </c>
    </row>
    <row r="160" spans="1:18" ht="15" customHeight="1" x14ac:dyDescent="0.3">
      <c r="A160" s="154" t="s">
        <v>28</v>
      </c>
      <c r="B160" s="154" t="s">
        <v>29</v>
      </c>
      <c r="C160" s="155">
        <v>4.8611111111111112E-2</v>
      </c>
      <c r="D160" s="154" t="s">
        <v>30</v>
      </c>
      <c r="E160" s="156"/>
      <c r="F160" s="154" t="s">
        <v>108</v>
      </c>
      <c r="G160" s="240"/>
      <c r="H160" s="31" t="s">
        <v>29</v>
      </c>
      <c r="I160" s="32">
        <v>0</v>
      </c>
      <c r="J160" s="33">
        <v>0</v>
      </c>
      <c r="K160" s="34" t="s">
        <v>109</v>
      </c>
      <c r="L160" s="33">
        <v>0</v>
      </c>
      <c r="M160" s="33">
        <v>0</v>
      </c>
      <c r="N160" s="33">
        <v>0</v>
      </c>
      <c r="O160" s="35" t="s">
        <v>80</v>
      </c>
      <c r="P160" s="36">
        <v>4.8611111111111112E-2</v>
      </c>
      <c r="Q160" s="33">
        <v>168</v>
      </c>
      <c r="R160" s="37" t="s">
        <v>109</v>
      </c>
    </row>
    <row r="161" spans="1:18" ht="15" customHeight="1" x14ac:dyDescent="0.3">
      <c r="A161" s="86" t="s">
        <v>28</v>
      </c>
      <c r="B161" s="86" t="s">
        <v>44</v>
      </c>
      <c r="C161" s="87">
        <v>0.1145833333333333</v>
      </c>
      <c r="D161" s="86" t="s">
        <v>30</v>
      </c>
      <c r="E161" s="88"/>
      <c r="F161" s="86" t="s">
        <v>31</v>
      </c>
      <c r="G161" s="241"/>
      <c r="H161" s="11" t="s">
        <v>44</v>
      </c>
      <c r="I161" s="12">
        <v>3.5700000000000003E-2</v>
      </c>
      <c r="J161" s="13">
        <v>6</v>
      </c>
      <c r="K161" s="14" t="s">
        <v>129</v>
      </c>
      <c r="L161" s="13">
        <v>6</v>
      </c>
      <c r="M161" s="13">
        <v>0</v>
      </c>
      <c r="N161" s="13">
        <v>0</v>
      </c>
      <c r="O161" s="15" t="s">
        <v>186</v>
      </c>
      <c r="P161" s="16">
        <v>0.1145833333333333</v>
      </c>
      <c r="Q161" s="13">
        <v>168</v>
      </c>
      <c r="R161" s="17" t="s">
        <v>187</v>
      </c>
    </row>
    <row r="162" spans="1:18" ht="15" customHeight="1" x14ac:dyDescent="0.3">
      <c r="A162" s="139" t="s">
        <v>28</v>
      </c>
      <c r="B162" s="139" t="s">
        <v>51</v>
      </c>
      <c r="C162" s="140">
        <v>0.25347222222222221</v>
      </c>
      <c r="D162" s="139" t="s">
        <v>30</v>
      </c>
      <c r="E162" s="141"/>
      <c r="F162" s="139" t="s">
        <v>31</v>
      </c>
      <c r="G162" s="241"/>
      <c r="H162" s="103" t="s">
        <v>51</v>
      </c>
      <c r="I162" s="159">
        <v>1.7899999999999999E-2</v>
      </c>
      <c r="J162" s="105">
        <v>3</v>
      </c>
      <c r="K162" s="106" t="s">
        <v>119</v>
      </c>
      <c r="L162" s="105">
        <v>3</v>
      </c>
      <c r="M162" s="105">
        <v>0</v>
      </c>
      <c r="N162" s="105">
        <v>0</v>
      </c>
      <c r="O162" s="107" t="s">
        <v>80</v>
      </c>
      <c r="P162" s="108">
        <v>0.25347222222222221</v>
      </c>
      <c r="Q162" s="105">
        <v>168</v>
      </c>
      <c r="R162" s="109" t="s">
        <v>188</v>
      </c>
    </row>
    <row r="163" spans="1:18" ht="15" customHeight="1" x14ac:dyDescent="0.3">
      <c r="A163" s="143" t="s">
        <v>28</v>
      </c>
      <c r="B163" s="143" t="s">
        <v>35</v>
      </c>
      <c r="C163" s="144">
        <v>0.33333333333333331</v>
      </c>
      <c r="D163" s="143" t="s">
        <v>30</v>
      </c>
      <c r="E163" s="145"/>
      <c r="F163" s="143" t="s">
        <v>108</v>
      </c>
      <c r="G163" s="241"/>
      <c r="H163" s="146" t="s">
        <v>35</v>
      </c>
      <c r="I163" s="147">
        <v>0</v>
      </c>
      <c r="J163" s="148">
        <v>0</v>
      </c>
      <c r="K163" s="149" t="s">
        <v>109</v>
      </c>
      <c r="L163" s="148">
        <v>0</v>
      </c>
      <c r="M163" s="148">
        <v>0</v>
      </c>
      <c r="N163" s="148">
        <v>0</v>
      </c>
      <c r="O163" s="150" t="s">
        <v>80</v>
      </c>
      <c r="P163" s="151">
        <v>0.33333333333333331</v>
      </c>
      <c r="Q163" s="148">
        <v>168</v>
      </c>
      <c r="R163" s="152" t="s">
        <v>109</v>
      </c>
    </row>
    <row r="164" spans="1:18" ht="15" customHeight="1" x14ac:dyDescent="0.3">
      <c r="A164" s="201" t="s">
        <v>28</v>
      </c>
      <c r="B164" s="201" t="s">
        <v>101</v>
      </c>
      <c r="C164" s="202">
        <v>0.36458333333333331</v>
      </c>
      <c r="D164" s="201" t="s">
        <v>30</v>
      </c>
      <c r="E164" s="203"/>
      <c r="F164" s="201" t="s">
        <v>108</v>
      </c>
      <c r="G164" s="241"/>
      <c r="H164" s="79" t="s">
        <v>101</v>
      </c>
      <c r="I164" s="80">
        <v>0</v>
      </c>
      <c r="J164" s="81">
        <v>0</v>
      </c>
      <c r="K164" s="82" t="s">
        <v>109</v>
      </c>
      <c r="L164" s="81">
        <v>0</v>
      </c>
      <c r="M164" s="81">
        <v>0</v>
      </c>
      <c r="N164" s="81">
        <v>0</v>
      </c>
      <c r="O164" s="83" t="s">
        <v>102</v>
      </c>
      <c r="P164" s="84">
        <v>0.36458333333333331</v>
      </c>
      <c r="Q164" s="81">
        <v>168</v>
      </c>
      <c r="R164" s="85" t="s">
        <v>109</v>
      </c>
    </row>
    <row r="165" spans="1:18" ht="15" customHeight="1" x14ac:dyDescent="0.3">
      <c r="A165" s="86" t="s">
        <v>28</v>
      </c>
      <c r="B165" s="86" t="s">
        <v>38</v>
      </c>
      <c r="C165" s="87">
        <v>0.58333333333333337</v>
      </c>
      <c r="D165" s="86" t="s">
        <v>30</v>
      </c>
      <c r="E165" s="88"/>
      <c r="F165" s="86" t="s">
        <v>31</v>
      </c>
      <c r="G165" s="241"/>
      <c r="H165" s="11" t="s">
        <v>38</v>
      </c>
      <c r="I165" s="12">
        <v>3.5700000000000003E-2</v>
      </c>
      <c r="J165" s="13">
        <v>6</v>
      </c>
      <c r="K165" s="14" t="s">
        <v>113</v>
      </c>
      <c r="L165" s="13">
        <v>7</v>
      </c>
      <c r="M165" s="13">
        <v>0</v>
      </c>
      <c r="N165" s="13">
        <v>0</v>
      </c>
      <c r="O165" s="15" t="s">
        <v>133</v>
      </c>
      <c r="P165" s="16">
        <v>0.58333333333333337</v>
      </c>
      <c r="Q165" s="13">
        <v>168</v>
      </c>
      <c r="R165" s="17" t="s">
        <v>87</v>
      </c>
    </row>
    <row r="166" spans="1:18" ht="15" customHeight="1" thickBot="1" x14ac:dyDescent="0.35">
      <c r="A166" s="171" t="s">
        <v>28</v>
      </c>
      <c r="B166" s="171" t="s">
        <v>40</v>
      </c>
      <c r="C166" s="172">
        <v>0.73958333333333337</v>
      </c>
      <c r="D166" s="171" t="s">
        <v>30</v>
      </c>
      <c r="E166" s="173"/>
      <c r="F166" s="171" t="s">
        <v>31</v>
      </c>
      <c r="G166" s="242"/>
      <c r="H166" s="174" t="s">
        <v>40</v>
      </c>
      <c r="I166" s="175">
        <v>1.7899999999999999E-2</v>
      </c>
      <c r="J166" s="176">
        <v>3</v>
      </c>
      <c r="K166" s="177" t="s">
        <v>91</v>
      </c>
      <c r="L166" s="176">
        <v>3</v>
      </c>
      <c r="M166" s="176">
        <v>0</v>
      </c>
      <c r="N166" s="176">
        <v>0</v>
      </c>
      <c r="O166" s="178" t="s">
        <v>92</v>
      </c>
      <c r="P166" s="179">
        <v>0.73958333333333337</v>
      </c>
      <c r="Q166" s="176">
        <v>168</v>
      </c>
      <c r="R166" s="180" t="s">
        <v>189</v>
      </c>
    </row>
    <row r="167" spans="1:18" ht="17.399999999999999" customHeight="1" thickBot="1" x14ac:dyDescent="0.35">
      <c r="A167" s="265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7"/>
    </row>
    <row r="168" spans="1:18" ht="22.05" customHeight="1" thickTop="1" thickBot="1" x14ac:dyDescent="0.35">
      <c r="A168" s="236" t="s">
        <v>8</v>
      </c>
      <c r="B168" s="234"/>
      <c r="C168" s="234"/>
      <c r="D168" s="234"/>
      <c r="E168" s="234"/>
      <c r="F168" s="235"/>
      <c r="G168" s="68">
        <v>46038</v>
      </c>
      <c r="H168" s="233" t="s">
        <v>9</v>
      </c>
      <c r="I168" s="234"/>
      <c r="J168" s="234"/>
      <c r="K168" s="234"/>
      <c r="L168" s="234"/>
      <c r="M168" s="234"/>
      <c r="N168" s="234"/>
      <c r="O168" s="234"/>
      <c r="P168" s="234"/>
      <c r="Q168" s="234"/>
      <c r="R168" s="235"/>
    </row>
    <row r="169" spans="1:18" ht="24" customHeight="1" x14ac:dyDescent="0.3">
      <c r="A169" s="69" t="s">
        <v>10</v>
      </c>
      <c r="B169" s="69" t="s">
        <v>11</v>
      </c>
      <c r="C169" s="70" t="s">
        <v>12</v>
      </c>
      <c r="D169" s="69" t="s">
        <v>13</v>
      </c>
      <c r="E169" s="69" t="s">
        <v>14</v>
      </c>
      <c r="F169" s="71" t="s">
        <v>15</v>
      </c>
      <c r="G169" s="72" t="s">
        <v>16</v>
      </c>
      <c r="H169" s="69" t="s">
        <v>17</v>
      </c>
      <c r="I169" s="73" t="s">
        <v>18</v>
      </c>
      <c r="J169" s="74" t="s">
        <v>19</v>
      </c>
      <c r="K169" s="75" t="s">
        <v>20</v>
      </c>
      <c r="L169" s="74" t="s">
        <v>21</v>
      </c>
      <c r="M169" s="74" t="s">
        <v>22</v>
      </c>
      <c r="N169" s="74" t="s">
        <v>23</v>
      </c>
      <c r="O169" s="69" t="s">
        <v>24</v>
      </c>
      <c r="P169" s="70" t="s">
        <v>25</v>
      </c>
      <c r="Q169" s="74" t="s">
        <v>26</v>
      </c>
      <c r="R169" s="69" t="s">
        <v>27</v>
      </c>
    </row>
    <row r="170" spans="1:18" ht="15" customHeight="1" x14ac:dyDescent="0.3">
      <c r="A170" s="100" t="s">
        <v>28</v>
      </c>
      <c r="B170" s="100" t="s">
        <v>29</v>
      </c>
      <c r="C170" s="101">
        <v>0.1145833333333333</v>
      </c>
      <c r="D170" s="100" t="s">
        <v>30</v>
      </c>
      <c r="E170" s="102"/>
      <c r="F170" s="100" t="s">
        <v>31</v>
      </c>
      <c r="G170" s="240"/>
      <c r="H170" s="103" t="s">
        <v>29</v>
      </c>
      <c r="I170" s="159">
        <v>6.0000000000000001E-3</v>
      </c>
      <c r="J170" s="105">
        <v>1</v>
      </c>
      <c r="K170" s="106" t="s">
        <v>190</v>
      </c>
      <c r="L170" s="105">
        <v>1</v>
      </c>
      <c r="M170" s="105">
        <v>0</v>
      </c>
      <c r="N170" s="105">
        <v>0</v>
      </c>
      <c r="O170" s="107" t="s">
        <v>80</v>
      </c>
      <c r="P170" s="108">
        <v>0.1145833333333333</v>
      </c>
      <c r="Q170" s="105">
        <v>168</v>
      </c>
      <c r="R170" s="109" t="s">
        <v>114</v>
      </c>
    </row>
    <row r="171" spans="1:18" ht="15" customHeight="1" x14ac:dyDescent="0.3">
      <c r="A171" s="18" t="s">
        <v>28</v>
      </c>
      <c r="B171" s="18" t="s">
        <v>35</v>
      </c>
      <c r="C171" s="19">
        <v>0.31944444444444448</v>
      </c>
      <c r="D171" s="18" t="s">
        <v>30</v>
      </c>
      <c r="E171" s="20"/>
      <c r="F171" s="18" t="s">
        <v>108</v>
      </c>
      <c r="G171" s="241"/>
      <c r="H171" s="21" t="s">
        <v>35</v>
      </c>
      <c r="I171" s="22">
        <v>0</v>
      </c>
      <c r="J171" s="23">
        <v>0</v>
      </c>
      <c r="K171" s="24" t="s">
        <v>109</v>
      </c>
      <c r="L171" s="23">
        <v>0</v>
      </c>
      <c r="M171" s="23">
        <v>0</v>
      </c>
      <c r="N171" s="23">
        <v>0</v>
      </c>
      <c r="O171" s="25" t="s">
        <v>80</v>
      </c>
      <c r="P171" s="26">
        <v>0.31944444444444448</v>
      </c>
      <c r="Q171" s="23">
        <v>168</v>
      </c>
      <c r="R171" s="27" t="s">
        <v>109</v>
      </c>
    </row>
    <row r="172" spans="1:18" ht="15" customHeight="1" x14ac:dyDescent="0.3">
      <c r="A172" s="86" t="s">
        <v>28</v>
      </c>
      <c r="B172" s="86" t="s">
        <v>38</v>
      </c>
      <c r="C172" s="87">
        <v>0.45833333333333331</v>
      </c>
      <c r="D172" s="86" t="s">
        <v>30</v>
      </c>
      <c r="E172" s="88"/>
      <c r="F172" s="86" t="s">
        <v>108</v>
      </c>
      <c r="G172" s="241"/>
      <c r="H172" s="11" t="s">
        <v>38</v>
      </c>
      <c r="I172" s="12">
        <v>0</v>
      </c>
      <c r="J172" s="13">
        <v>0</v>
      </c>
      <c r="K172" s="14" t="s">
        <v>109</v>
      </c>
      <c r="L172" s="13">
        <v>0</v>
      </c>
      <c r="M172" s="13">
        <v>0</v>
      </c>
      <c r="N172" s="13">
        <v>0</v>
      </c>
      <c r="O172" s="15" t="s">
        <v>80</v>
      </c>
      <c r="P172" s="16">
        <v>0.45833333333333331</v>
      </c>
      <c r="Q172" s="13">
        <v>168</v>
      </c>
      <c r="R172" s="17" t="s">
        <v>109</v>
      </c>
    </row>
    <row r="173" spans="1:18" ht="15" customHeight="1" x14ac:dyDescent="0.3">
      <c r="A173" s="38" t="s">
        <v>28</v>
      </c>
      <c r="B173" s="38" t="s">
        <v>40</v>
      </c>
      <c r="C173" s="39">
        <v>0.61458333333333337</v>
      </c>
      <c r="D173" s="38" t="s">
        <v>30</v>
      </c>
      <c r="E173" s="40"/>
      <c r="F173" s="38" t="s">
        <v>31</v>
      </c>
      <c r="G173" s="241"/>
      <c r="H173" s="41" t="s">
        <v>40</v>
      </c>
      <c r="I173" s="42">
        <v>2.3800000000000002E-2</v>
      </c>
      <c r="J173" s="43">
        <v>4</v>
      </c>
      <c r="K173" s="44" t="s">
        <v>91</v>
      </c>
      <c r="L173" s="43">
        <v>4</v>
      </c>
      <c r="M173" s="43">
        <v>0</v>
      </c>
      <c r="N173" s="43">
        <v>0</v>
      </c>
      <c r="O173" s="45" t="s">
        <v>87</v>
      </c>
      <c r="P173" s="46">
        <v>0.61458333333333337</v>
      </c>
      <c r="Q173" s="43">
        <v>168</v>
      </c>
      <c r="R173" s="47" t="s">
        <v>133</v>
      </c>
    </row>
    <row r="174" spans="1:18" ht="15" customHeight="1" x14ac:dyDescent="0.3">
      <c r="A174" s="48" t="s">
        <v>28</v>
      </c>
      <c r="B174" s="48" t="s">
        <v>44</v>
      </c>
      <c r="C174" s="49">
        <v>0.73611111111111116</v>
      </c>
      <c r="D174" s="48" t="s">
        <v>30</v>
      </c>
      <c r="E174" s="50"/>
      <c r="F174" s="48" t="s">
        <v>31</v>
      </c>
      <c r="G174" s="241"/>
      <c r="H174" s="51" t="s">
        <v>44</v>
      </c>
      <c r="I174" s="52">
        <v>4.1700000000000001E-2</v>
      </c>
      <c r="J174" s="53">
        <v>7</v>
      </c>
      <c r="K174" s="54" t="s">
        <v>94</v>
      </c>
      <c r="L174" s="53">
        <v>7</v>
      </c>
      <c r="M174" s="53">
        <v>0</v>
      </c>
      <c r="N174" s="53">
        <v>0</v>
      </c>
      <c r="O174" s="55" t="s">
        <v>127</v>
      </c>
      <c r="P174" s="56">
        <v>0.73611111111111116</v>
      </c>
      <c r="Q174" s="53">
        <v>168</v>
      </c>
      <c r="R174" s="57" t="s">
        <v>95</v>
      </c>
    </row>
    <row r="175" spans="1:18" ht="15" customHeight="1" thickBot="1" x14ac:dyDescent="0.35">
      <c r="A175" s="58" t="s">
        <v>28</v>
      </c>
      <c r="B175" s="58" t="s">
        <v>48</v>
      </c>
      <c r="C175" s="59">
        <v>0.9375</v>
      </c>
      <c r="D175" s="58" t="s">
        <v>30</v>
      </c>
      <c r="E175" s="60"/>
      <c r="F175" s="58" t="s">
        <v>108</v>
      </c>
      <c r="G175" s="242"/>
      <c r="H175" s="61" t="s">
        <v>48</v>
      </c>
      <c r="I175" s="219">
        <v>0</v>
      </c>
      <c r="J175" s="63">
        <v>0</v>
      </c>
      <c r="K175" s="64" t="s">
        <v>109</v>
      </c>
      <c r="L175" s="63">
        <v>0</v>
      </c>
      <c r="M175" s="63">
        <v>0</v>
      </c>
      <c r="N175" s="63">
        <v>0</v>
      </c>
      <c r="O175" s="65" t="s">
        <v>80</v>
      </c>
      <c r="P175" s="66">
        <v>0.9375</v>
      </c>
      <c r="Q175" s="63">
        <v>168</v>
      </c>
      <c r="R175" s="67" t="s">
        <v>109</v>
      </c>
    </row>
    <row r="176" spans="1:18" ht="17.399999999999999" customHeight="1" thickBot="1" x14ac:dyDescent="0.35">
      <c r="A176" s="265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7"/>
    </row>
    <row r="177" spans="1:18" ht="22.05" customHeight="1" thickTop="1" thickBot="1" x14ac:dyDescent="0.35">
      <c r="A177" s="236" t="s">
        <v>8</v>
      </c>
      <c r="B177" s="234"/>
      <c r="C177" s="234"/>
      <c r="D177" s="234"/>
      <c r="E177" s="234"/>
      <c r="F177" s="235"/>
      <c r="G177" s="68">
        <v>46039</v>
      </c>
      <c r="H177" s="233" t="s">
        <v>9</v>
      </c>
      <c r="I177" s="234"/>
      <c r="J177" s="234"/>
      <c r="K177" s="234"/>
      <c r="L177" s="234"/>
      <c r="M177" s="234"/>
      <c r="N177" s="234"/>
      <c r="O177" s="234"/>
      <c r="P177" s="234"/>
      <c r="Q177" s="234"/>
      <c r="R177" s="235"/>
    </row>
    <row r="178" spans="1:18" ht="24" customHeight="1" x14ac:dyDescent="0.3">
      <c r="A178" s="69" t="s">
        <v>10</v>
      </c>
      <c r="B178" s="69" t="s">
        <v>11</v>
      </c>
      <c r="C178" s="70" t="s">
        <v>12</v>
      </c>
      <c r="D178" s="69" t="s">
        <v>13</v>
      </c>
      <c r="E178" s="69" t="s">
        <v>14</v>
      </c>
      <c r="F178" s="71" t="s">
        <v>15</v>
      </c>
      <c r="G178" s="72" t="s">
        <v>16</v>
      </c>
      <c r="H178" s="69" t="s">
        <v>17</v>
      </c>
      <c r="I178" s="73" t="s">
        <v>18</v>
      </c>
      <c r="J178" s="74" t="s">
        <v>19</v>
      </c>
      <c r="K178" s="75" t="s">
        <v>20</v>
      </c>
      <c r="L178" s="74" t="s">
        <v>21</v>
      </c>
      <c r="M178" s="74" t="s">
        <v>22</v>
      </c>
      <c r="N178" s="74" t="s">
        <v>23</v>
      </c>
      <c r="O178" s="69" t="s">
        <v>24</v>
      </c>
      <c r="P178" s="70" t="s">
        <v>25</v>
      </c>
      <c r="Q178" s="74" t="s">
        <v>26</v>
      </c>
      <c r="R178" s="69" t="s">
        <v>27</v>
      </c>
    </row>
    <row r="179" spans="1:18" ht="49.95" customHeight="1" x14ac:dyDescent="0.3">
      <c r="A179" s="181" t="s">
        <v>28</v>
      </c>
      <c r="B179" s="181" t="s">
        <v>51</v>
      </c>
      <c r="C179" s="182">
        <v>0.2361111111111111</v>
      </c>
      <c r="D179" s="181" t="s">
        <v>30</v>
      </c>
      <c r="E179" s="183"/>
      <c r="F179" s="181" t="s">
        <v>31</v>
      </c>
      <c r="G179" s="240"/>
      <c r="H179" s="51" t="s">
        <v>51</v>
      </c>
      <c r="I179" s="52">
        <v>3.4500000000000003E-2</v>
      </c>
      <c r="J179" s="53">
        <v>6</v>
      </c>
      <c r="K179" s="54" t="s">
        <v>191</v>
      </c>
      <c r="L179" s="53">
        <v>6</v>
      </c>
      <c r="M179" s="53">
        <v>0</v>
      </c>
      <c r="N179" s="53">
        <v>0</v>
      </c>
      <c r="O179" s="55" t="s">
        <v>133</v>
      </c>
      <c r="P179" s="56">
        <v>0.2361111111111111</v>
      </c>
      <c r="Q179" s="53">
        <v>174</v>
      </c>
      <c r="R179" s="57" t="s">
        <v>87</v>
      </c>
    </row>
    <row r="180" spans="1:18" ht="49.95" customHeight="1" x14ac:dyDescent="0.3">
      <c r="A180" s="18" t="s">
        <v>28</v>
      </c>
      <c r="B180" s="18" t="s">
        <v>35</v>
      </c>
      <c r="C180" s="19">
        <v>0.33333333333333331</v>
      </c>
      <c r="D180" s="18" t="s">
        <v>30</v>
      </c>
      <c r="E180" s="20"/>
      <c r="F180" s="18" t="s">
        <v>31</v>
      </c>
      <c r="G180" s="241"/>
      <c r="H180" s="21" t="s">
        <v>35</v>
      </c>
      <c r="I180" s="22">
        <v>0.1726</v>
      </c>
      <c r="J180" s="23">
        <v>29</v>
      </c>
      <c r="K180" s="24" t="s">
        <v>94</v>
      </c>
      <c r="L180" s="23">
        <v>29</v>
      </c>
      <c r="M180" s="23">
        <v>0</v>
      </c>
      <c r="N180" s="23">
        <v>0</v>
      </c>
      <c r="O180" s="25" t="s">
        <v>192</v>
      </c>
      <c r="P180" s="26">
        <v>0.33333333333333331</v>
      </c>
      <c r="Q180" s="23">
        <v>168</v>
      </c>
      <c r="R180" s="27" t="s">
        <v>193</v>
      </c>
    </row>
    <row r="181" spans="1:18" ht="49.95" customHeight="1" thickBot="1" x14ac:dyDescent="0.35">
      <c r="A181" s="112" t="s">
        <v>28</v>
      </c>
      <c r="B181" s="112" t="s">
        <v>38</v>
      </c>
      <c r="C181" s="113">
        <v>0.68055555555555547</v>
      </c>
      <c r="D181" s="112" t="s">
        <v>30</v>
      </c>
      <c r="E181" s="114"/>
      <c r="F181" s="112" t="s">
        <v>31</v>
      </c>
      <c r="G181" s="242"/>
      <c r="H181" s="115" t="s">
        <v>38</v>
      </c>
      <c r="I181" s="220">
        <v>0.14879999999999999</v>
      </c>
      <c r="J181" s="117">
        <v>25</v>
      </c>
      <c r="K181" s="118" t="s">
        <v>194</v>
      </c>
      <c r="L181" s="117">
        <v>26</v>
      </c>
      <c r="M181" s="117">
        <v>0</v>
      </c>
      <c r="N181" s="117">
        <v>0</v>
      </c>
      <c r="O181" s="119" t="s">
        <v>114</v>
      </c>
      <c r="P181" s="120">
        <v>0.68055555555555547</v>
      </c>
      <c r="Q181" s="117">
        <v>168</v>
      </c>
      <c r="R181" s="121" t="s">
        <v>195</v>
      </c>
    </row>
    <row r="182" spans="1:18" ht="17.399999999999999" customHeight="1" thickBot="1" x14ac:dyDescent="0.35">
      <c r="A182" s="265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7"/>
    </row>
    <row r="183" spans="1:18" ht="22.05" customHeight="1" thickTop="1" thickBot="1" x14ac:dyDescent="0.35">
      <c r="A183" s="236" t="s">
        <v>8</v>
      </c>
      <c r="B183" s="234"/>
      <c r="C183" s="234"/>
      <c r="D183" s="234"/>
      <c r="E183" s="234"/>
      <c r="F183" s="235"/>
      <c r="G183" s="68">
        <v>46040</v>
      </c>
      <c r="H183" s="233" t="s">
        <v>9</v>
      </c>
      <c r="I183" s="234"/>
      <c r="J183" s="234"/>
      <c r="K183" s="234"/>
      <c r="L183" s="234"/>
      <c r="M183" s="234"/>
      <c r="N183" s="234"/>
      <c r="O183" s="234"/>
      <c r="P183" s="234"/>
      <c r="Q183" s="234"/>
      <c r="R183" s="235"/>
    </row>
    <row r="184" spans="1:18" ht="24" customHeight="1" x14ac:dyDescent="0.3">
      <c r="A184" s="69" t="s">
        <v>10</v>
      </c>
      <c r="B184" s="69" t="s">
        <v>11</v>
      </c>
      <c r="C184" s="70" t="s">
        <v>12</v>
      </c>
      <c r="D184" s="69" t="s">
        <v>13</v>
      </c>
      <c r="E184" s="69" t="s">
        <v>14</v>
      </c>
      <c r="F184" s="71" t="s">
        <v>15</v>
      </c>
      <c r="G184" s="72" t="s">
        <v>16</v>
      </c>
      <c r="H184" s="69" t="s">
        <v>17</v>
      </c>
      <c r="I184" s="73" t="s">
        <v>18</v>
      </c>
      <c r="J184" s="74" t="s">
        <v>19</v>
      </c>
      <c r="K184" s="75" t="s">
        <v>20</v>
      </c>
      <c r="L184" s="74" t="s">
        <v>21</v>
      </c>
      <c r="M184" s="74" t="s">
        <v>22</v>
      </c>
      <c r="N184" s="74" t="s">
        <v>23</v>
      </c>
      <c r="O184" s="69" t="s">
        <v>24</v>
      </c>
      <c r="P184" s="70" t="s">
        <v>25</v>
      </c>
      <c r="Q184" s="74" t="s">
        <v>26</v>
      </c>
      <c r="R184" s="69" t="s">
        <v>27</v>
      </c>
    </row>
    <row r="185" spans="1:18" ht="49.95" customHeight="1" x14ac:dyDescent="0.3">
      <c r="A185" s="122" t="s">
        <v>28</v>
      </c>
      <c r="B185" s="122" t="s">
        <v>29</v>
      </c>
      <c r="C185" s="123">
        <v>8.3333333333333329E-2</v>
      </c>
      <c r="D185" s="122" t="s">
        <v>30</v>
      </c>
      <c r="E185" s="124"/>
      <c r="F185" s="122" t="s">
        <v>108</v>
      </c>
      <c r="G185" s="240"/>
      <c r="H185" s="41" t="s">
        <v>29</v>
      </c>
      <c r="I185" s="42">
        <v>0</v>
      </c>
      <c r="J185" s="43">
        <v>0</v>
      </c>
      <c r="K185" s="44" t="s">
        <v>109</v>
      </c>
      <c r="L185" s="43">
        <v>0</v>
      </c>
      <c r="M185" s="43">
        <v>0</v>
      </c>
      <c r="N185" s="43">
        <v>0</v>
      </c>
      <c r="O185" s="45" t="s">
        <v>80</v>
      </c>
      <c r="P185" s="46">
        <v>8.3333333333333329E-2</v>
      </c>
      <c r="Q185" s="43">
        <v>168</v>
      </c>
      <c r="R185" s="47" t="s">
        <v>109</v>
      </c>
    </row>
    <row r="186" spans="1:18" ht="49.95" customHeight="1" x14ac:dyDescent="0.3">
      <c r="A186" s="143" t="s">
        <v>28</v>
      </c>
      <c r="B186" s="143" t="s">
        <v>35</v>
      </c>
      <c r="C186" s="144">
        <v>0.31944444444444448</v>
      </c>
      <c r="D186" s="143" t="s">
        <v>30</v>
      </c>
      <c r="E186" s="145"/>
      <c r="F186" s="143" t="s">
        <v>31</v>
      </c>
      <c r="G186" s="241"/>
      <c r="H186" s="146" t="s">
        <v>35</v>
      </c>
      <c r="I186" s="147">
        <v>1.1900000000000001E-2</v>
      </c>
      <c r="J186" s="148">
        <v>2</v>
      </c>
      <c r="K186" s="149" t="s">
        <v>196</v>
      </c>
      <c r="L186" s="148">
        <v>2</v>
      </c>
      <c r="M186" s="148">
        <v>0</v>
      </c>
      <c r="N186" s="148">
        <v>0</v>
      </c>
      <c r="O186" s="150" t="s">
        <v>92</v>
      </c>
      <c r="P186" s="151">
        <v>0.31944444444444448</v>
      </c>
      <c r="Q186" s="148">
        <v>168</v>
      </c>
      <c r="R186" s="152" t="s">
        <v>89</v>
      </c>
    </row>
    <row r="187" spans="1:18" ht="49.95" customHeight="1" x14ac:dyDescent="0.3">
      <c r="A187" s="38" t="s">
        <v>28</v>
      </c>
      <c r="B187" s="38" t="s">
        <v>101</v>
      </c>
      <c r="C187" s="39">
        <v>0.33333333333333331</v>
      </c>
      <c r="D187" s="38" t="s">
        <v>30</v>
      </c>
      <c r="E187" s="40"/>
      <c r="F187" s="38" t="s">
        <v>108</v>
      </c>
      <c r="G187" s="241"/>
      <c r="H187" s="41" t="s">
        <v>101</v>
      </c>
      <c r="I187" s="42">
        <v>0</v>
      </c>
      <c r="J187" s="43">
        <v>0</v>
      </c>
      <c r="K187" s="44" t="s">
        <v>109</v>
      </c>
      <c r="L187" s="43">
        <v>0</v>
      </c>
      <c r="M187" s="43">
        <v>0</v>
      </c>
      <c r="N187" s="43">
        <v>0</v>
      </c>
      <c r="O187" s="45" t="s">
        <v>102</v>
      </c>
      <c r="P187" s="46">
        <v>0.33333333333333331</v>
      </c>
      <c r="Q187" s="43">
        <v>168</v>
      </c>
      <c r="R187" s="47" t="s">
        <v>109</v>
      </c>
    </row>
    <row r="188" spans="1:18" ht="49.95" customHeight="1" x14ac:dyDescent="0.3">
      <c r="A188" s="48" t="s">
        <v>28</v>
      </c>
      <c r="B188" s="48" t="s">
        <v>48</v>
      </c>
      <c r="C188" s="49">
        <v>0.51041666666666663</v>
      </c>
      <c r="D188" s="48" t="s">
        <v>30</v>
      </c>
      <c r="E188" s="50"/>
      <c r="F188" s="48" t="s">
        <v>31</v>
      </c>
      <c r="G188" s="241"/>
      <c r="H188" s="51" t="s">
        <v>48</v>
      </c>
      <c r="I188" s="52">
        <v>0.28570000000000001</v>
      </c>
      <c r="J188" s="53">
        <v>48</v>
      </c>
      <c r="K188" s="54" t="s">
        <v>97</v>
      </c>
      <c r="L188" s="53">
        <v>4</v>
      </c>
      <c r="M188" s="53">
        <v>0</v>
      </c>
      <c r="N188" s="53">
        <v>0</v>
      </c>
      <c r="O188" s="55" t="s">
        <v>95</v>
      </c>
      <c r="P188" s="56">
        <v>0.51041666666666663</v>
      </c>
      <c r="Q188" s="53">
        <v>168</v>
      </c>
      <c r="R188" s="57" t="s">
        <v>181</v>
      </c>
    </row>
    <row r="189" spans="1:18" ht="49.95" customHeight="1" thickBot="1" x14ac:dyDescent="0.35">
      <c r="A189" s="90" t="s">
        <v>28</v>
      </c>
      <c r="B189" s="90" t="s">
        <v>38</v>
      </c>
      <c r="C189" s="91">
        <v>0.63194444444444442</v>
      </c>
      <c r="D189" s="90" t="s">
        <v>30</v>
      </c>
      <c r="E189" s="92"/>
      <c r="F189" s="90" t="s">
        <v>31</v>
      </c>
      <c r="G189" s="242"/>
      <c r="H189" s="93" t="s">
        <v>38</v>
      </c>
      <c r="I189" s="221">
        <v>1.7899999999999999E-2</v>
      </c>
      <c r="J189" s="95">
        <v>3</v>
      </c>
      <c r="K189" s="96" t="s">
        <v>197</v>
      </c>
      <c r="L189" s="95">
        <v>4</v>
      </c>
      <c r="M189" s="95">
        <v>0</v>
      </c>
      <c r="N189" s="95">
        <v>0</v>
      </c>
      <c r="O189" s="97" t="s">
        <v>80</v>
      </c>
      <c r="P189" s="98">
        <v>0.63194444444444442</v>
      </c>
      <c r="Q189" s="95">
        <v>168</v>
      </c>
      <c r="R189" s="99" t="s">
        <v>198</v>
      </c>
    </row>
    <row r="190" spans="1:18" ht="17.399999999999999" customHeight="1" thickBot="1" x14ac:dyDescent="0.35">
      <c r="A190" s="265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7"/>
    </row>
    <row r="191" spans="1:18" ht="22.05" customHeight="1" thickTop="1" thickBot="1" x14ac:dyDescent="0.35">
      <c r="A191" s="236" t="s">
        <v>8</v>
      </c>
      <c r="B191" s="234"/>
      <c r="C191" s="234"/>
      <c r="D191" s="234"/>
      <c r="E191" s="234"/>
      <c r="F191" s="235"/>
      <c r="G191" s="68">
        <v>46041</v>
      </c>
      <c r="H191" s="233" t="s">
        <v>9</v>
      </c>
      <c r="I191" s="234"/>
      <c r="J191" s="234"/>
      <c r="K191" s="234"/>
      <c r="L191" s="234"/>
      <c r="M191" s="234"/>
      <c r="N191" s="234"/>
      <c r="O191" s="234"/>
      <c r="P191" s="234"/>
      <c r="Q191" s="234"/>
      <c r="R191" s="235"/>
    </row>
    <row r="192" spans="1:18" ht="24" customHeight="1" x14ac:dyDescent="0.3">
      <c r="A192" s="69" t="s">
        <v>10</v>
      </c>
      <c r="B192" s="69" t="s">
        <v>11</v>
      </c>
      <c r="C192" s="70" t="s">
        <v>12</v>
      </c>
      <c r="D192" s="69" t="s">
        <v>13</v>
      </c>
      <c r="E192" s="69" t="s">
        <v>14</v>
      </c>
      <c r="F192" s="71" t="s">
        <v>15</v>
      </c>
      <c r="G192" s="72" t="s">
        <v>16</v>
      </c>
      <c r="H192" s="69" t="s">
        <v>17</v>
      </c>
      <c r="I192" s="73" t="s">
        <v>18</v>
      </c>
      <c r="J192" s="74" t="s">
        <v>19</v>
      </c>
      <c r="K192" s="75" t="s">
        <v>20</v>
      </c>
      <c r="L192" s="74" t="s">
        <v>21</v>
      </c>
      <c r="M192" s="74" t="s">
        <v>22</v>
      </c>
      <c r="N192" s="74" t="s">
        <v>23</v>
      </c>
      <c r="O192" s="69" t="s">
        <v>24</v>
      </c>
      <c r="P192" s="70" t="s">
        <v>25</v>
      </c>
      <c r="Q192" s="74" t="s">
        <v>26</v>
      </c>
      <c r="R192" s="69" t="s">
        <v>27</v>
      </c>
    </row>
    <row r="193" spans="1:18" ht="49.95" customHeight="1" x14ac:dyDescent="0.3">
      <c r="A193" s="185" t="s">
        <v>28</v>
      </c>
      <c r="B193" s="185" t="s">
        <v>40</v>
      </c>
      <c r="C193" s="186">
        <v>6.9444444444444441E-3</v>
      </c>
      <c r="D193" s="185" t="s">
        <v>30</v>
      </c>
      <c r="E193" s="187"/>
      <c r="F193" s="185" t="s">
        <v>31</v>
      </c>
      <c r="G193" s="240"/>
      <c r="H193" s="146" t="s">
        <v>40</v>
      </c>
      <c r="I193" s="147">
        <v>6.0000000000000001E-3</v>
      </c>
      <c r="J193" s="148">
        <v>1</v>
      </c>
      <c r="K193" s="149" t="s">
        <v>199</v>
      </c>
      <c r="L193" s="148">
        <v>1</v>
      </c>
      <c r="M193" s="148">
        <v>0</v>
      </c>
      <c r="N193" s="148">
        <v>0</v>
      </c>
      <c r="O193" s="150" t="s">
        <v>80</v>
      </c>
      <c r="P193" s="151">
        <v>6.9444444444444441E-3</v>
      </c>
      <c r="Q193" s="148">
        <v>168</v>
      </c>
      <c r="R193" s="152" t="s">
        <v>114</v>
      </c>
    </row>
    <row r="194" spans="1:18" ht="49.95" customHeight="1" x14ac:dyDescent="0.3">
      <c r="A194" s="139" t="s">
        <v>28</v>
      </c>
      <c r="B194" s="139" t="s">
        <v>35</v>
      </c>
      <c r="C194" s="140">
        <v>0.4236111111111111</v>
      </c>
      <c r="D194" s="139" t="s">
        <v>30</v>
      </c>
      <c r="E194" s="141"/>
      <c r="F194" s="139" t="s">
        <v>31</v>
      </c>
      <c r="G194" s="241"/>
      <c r="H194" s="103" t="s">
        <v>35</v>
      </c>
      <c r="I194" s="159">
        <v>2.98E-2</v>
      </c>
      <c r="J194" s="105">
        <v>5</v>
      </c>
      <c r="K194" s="106" t="s">
        <v>113</v>
      </c>
      <c r="L194" s="105">
        <v>5</v>
      </c>
      <c r="M194" s="105">
        <v>0</v>
      </c>
      <c r="N194" s="105">
        <v>0</v>
      </c>
      <c r="O194" s="107" t="s">
        <v>80</v>
      </c>
      <c r="P194" s="108">
        <v>0.4236111111111111</v>
      </c>
      <c r="Q194" s="105">
        <v>168</v>
      </c>
      <c r="R194" s="109" t="s">
        <v>200</v>
      </c>
    </row>
    <row r="195" spans="1:18" ht="49.95" customHeight="1" x14ac:dyDescent="0.3">
      <c r="A195" s="28" t="s">
        <v>28</v>
      </c>
      <c r="B195" s="28" t="s">
        <v>38</v>
      </c>
      <c r="C195" s="29">
        <v>0.61458333333333337</v>
      </c>
      <c r="D195" s="28" t="s">
        <v>30</v>
      </c>
      <c r="E195" s="30"/>
      <c r="F195" s="28" t="s">
        <v>31</v>
      </c>
      <c r="G195" s="241"/>
      <c r="H195" s="31" t="s">
        <v>38</v>
      </c>
      <c r="I195" s="32">
        <v>3.5700000000000003E-2</v>
      </c>
      <c r="J195" s="33">
        <v>6</v>
      </c>
      <c r="K195" s="34" t="s">
        <v>94</v>
      </c>
      <c r="L195" s="33">
        <v>7</v>
      </c>
      <c r="M195" s="33">
        <v>0</v>
      </c>
      <c r="N195" s="33">
        <v>0</v>
      </c>
      <c r="O195" s="35" t="s">
        <v>133</v>
      </c>
      <c r="P195" s="36">
        <v>0.61458333333333337</v>
      </c>
      <c r="Q195" s="33">
        <v>168</v>
      </c>
      <c r="R195" s="37" t="s">
        <v>87</v>
      </c>
    </row>
    <row r="196" spans="1:18" ht="49.95" customHeight="1" thickBot="1" x14ac:dyDescent="0.35">
      <c r="A196" s="90" t="s">
        <v>28</v>
      </c>
      <c r="B196" s="90" t="s">
        <v>48</v>
      </c>
      <c r="C196" s="91">
        <v>0.97916666666666663</v>
      </c>
      <c r="D196" s="90" t="s">
        <v>30</v>
      </c>
      <c r="E196" s="92"/>
      <c r="F196" s="90" t="s">
        <v>31</v>
      </c>
      <c r="G196" s="242"/>
      <c r="H196" s="93" t="s">
        <v>48</v>
      </c>
      <c r="I196" s="221">
        <v>0.29759999999999998</v>
      </c>
      <c r="J196" s="95">
        <v>50</v>
      </c>
      <c r="K196" s="96" t="s">
        <v>177</v>
      </c>
      <c r="L196" s="95">
        <v>1</v>
      </c>
      <c r="M196" s="95">
        <v>0</v>
      </c>
      <c r="N196" s="95">
        <v>0</v>
      </c>
      <c r="O196" s="97" t="s">
        <v>80</v>
      </c>
      <c r="P196" s="98">
        <v>0.97916666666666663</v>
      </c>
      <c r="Q196" s="95">
        <v>168</v>
      </c>
      <c r="R196" s="99" t="s">
        <v>201</v>
      </c>
    </row>
    <row r="197" spans="1:18" ht="17.399999999999999" customHeight="1" thickBot="1" x14ac:dyDescent="0.35">
      <c r="A197" s="265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7"/>
    </row>
    <row r="198" spans="1:18" ht="22.05" customHeight="1" thickTop="1" thickBot="1" x14ac:dyDescent="0.35">
      <c r="A198" s="236" t="s">
        <v>8</v>
      </c>
      <c r="B198" s="234"/>
      <c r="C198" s="234"/>
      <c r="D198" s="234"/>
      <c r="E198" s="234"/>
      <c r="F198" s="235"/>
      <c r="G198" s="68">
        <v>46042</v>
      </c>
      <c r="H198" s="233" t="s">
        <v>9</v>
      </c>
      <c r="I198" s="234"/>
      <c r="J198" s="234"/>
      <c r="K198" s="234"/>
      <c r="L198" s="234"/>
      <c r="M198" s="234"/>
      <c r="N198" s="234"/>
      <c r="O198" s="234"/>
      <c r="P198" s="234"/>
      <c r="Q198" s="234"/>
      <c r="R198" s="235"/>
    </row>
    <row r="199" spans="1:18" ht="24" customHeight="1" x14ac:dyDescent="0.3">
      <c r="A199" s="69" t="s">
        <v>10</v>
      </c>
      <c r="B199" s="69" t="s">
        <v>11</v>
      </c>
      <c r="C199" s="70" t="s">
        <v>12</v>
      </c>
      <c r="D199" s="69" t="s">
        <v>13</v>
      </c>
      <c r="E199" s="69" t="s">
        <v>14</v>
      </c>
      <c r="F199" s="71" t="s">
        <v>15</v>
      </c>
      <c r="G199" s="72" t="s">
        <v>16</v>
      </c>
      <c r="H199" s="69" t="s">
        <v>17</v>
      </c>
      <c r="I199" s="73" t="s">
        <v>18</v>
      </c>
      <c r="J199" s="74" t="s">
        <v>19</v>
      </c>
      <c r="K199" s="75" t="s">
        <v>20</v>
      </c>
      <c r="L199" s="74" t="s">
        <v>21</v>
      </c>
      <c r="M199" s="74" t="s">
        <v>22</v>
      </c>
      <c r="N199" s="74" t="s">
        <v>23</v>
      </c>
      <c r="O199" s="69" t="s">
        <v>24</v>
      </c>
      <c r="P199" s="70" t="s">
        <v>25</v>
      </c>
      <c r="Q199" s="74" t="s">
        <v>26</v>
      </c>
      <c r="R199" s="69" t="s">
        <v>27</v>
      </c>
    </row>
    <row r="200" spans="1:18" ht="15" customHeight="1" x14ac:dyDescent="0.3">
      <c r="A200" s="100" t="s">
        <v>28</v>
      </c>
      <c r="B200" s="100" t="s">
        <v>44</v>
      </c>
      <c r="C200" s="101">
        <v>0.22916666666666671</v>
      </c>
      <c r="D200" s="100" t="s">
        <v>30</v>
      </c>
      <c r="E200" s="102"/>
      <c r="F200" s="100" t="s">
        <v>31</v>
      </c>
      <c r="G200" s="240"/>
      <c r="H200" s="103" t="s">
        <v>44</v>
      </c>
      <c r="I200" s="159">
        <v>1.1900000000000001E-2</v>
      </c>
      <c r="J200" s="105">
        <v>2</v>
      </c>
      <c r="K200" s="106" t="s">
        <v>91</v>
      </c>
      <c r="L200" s="105">
        <v>2</v>
      </c>
      <c r="M200" s="105">
        <v>0</v>
      </c>
      <c r="N200" s="105">
        <v>0</v>
      </c>
      <c r="O200" s="107" t="s">
        <v>80</v>
      </c>
      <c r="P200" s="108">
        <v>0.22916666666666671</v>
      </c>
      <c r="Q200" s="105">
        <v>168</v>
      </c>
      <c r="R200" s="109" t="s">
        <v>202</v>
      </c>
    </row>
    <row r="201" spans="1:18" ht="15" customHeight="1" x14ac:dyDescent="0.3">
      <c r="A201" s="18" t="s">
        <v>28</v>
      </c>
      <c r="B201" s="18" t="s">
        <v>40</v>
      </c>
      <c r="C201" s="19">
        <v>0.55902777777777779</v>
      </c>
      <c r="D201" s="18" t="s">
        <v>30</v>
      </c>
      <c r="E201" s="20"/>
      <c r="F201" s="18" t="s">
        <v>31</v>
      </c>
      <c r="G201" s="241"/>
      <c r="H201" s="21" t="s">
        <v>40</v>
      </c>
      <c r="I201" s="22">
        <v>2.3800000000000002E-2</v>
      </c>
      <c r="J201" s="23">
        <v>4</v>
      </c>
      <c r="K201" s="24" t="s">
        <v>197</v>
      </c>
      <c r="L201" s="23">
        <v>4</v>
      </c>
      <c r="M201" s="23">
        <v>0</v>
      </c>
      <c r="N201" s="23">
        <v>0</v>
      </c>
      <c r="O201" s="25" t="s">
        <v>87</v>
      </c>
      <c r="P201" s="26">
        <v>0.55902777777777779</v>
      </c>
      <c r="Q201" s="23">
        <v>168</v>
      </c>
      <c r="R201" s="27" t="s">
        <v>133</v>
      </c>
    </row>
    <row r="202" spans="1:18" ht="15" customHeight="1" x14ac:dyDescent="0.3">
      <c r="A202" s="28" t="s">
        <v>28</v>
      </c>
      <c r="B202" s="28" t="s">
        <v>38</v>
      </c>
      <c r="C202" s="29">
        <v>0.61458333333333337</v>
      </c>
      <c r="D202" s="28" t="s">
        <v>30</v>
      </c>
      <c r="E202" s="30"/>
      <c r="F202" s="28" t="s">
        <v>31</v>
      </c>
      <c r="G202" s="241"/>
      <c r="H202" s="31" t="s">
        <v>38</v>
      </c>
      <c r="I202" s="32">
        <v>1.7899999999999999E-2</v>
      </c>
      <c r="J202" s="33">
        <v>3</v>
      </c>
      <c r="K202" s="34" t="s">
        <v>194</v>
      </c>
      <c r="L202" s="33">
        <v>4</v>
      </c>
      <c r="M202" s="33">
        <v>0</v>
      </c>
      <c r="N202" s="33">
        <v>0</v>
      </c>
      <c r="O202" s="35" t="s">
        <v>95</v>
      </c>
      <c r="P202" s="36">
        <v>0.61458333333333337</v>
      </c>
      <c r="Q202" s="33">
        <v>168</v>
      </c>
      <c r="R202" s="37" t="s">
        <v>127</v>
      </c>
    </row>
    <row r="203" spans="1:18" ht="15" customHeight="1" x14ac:dyDescent="0.3">
      <c r="A203" s="139" t="s">
        <v>28</v>
      </c>
      <c r="B203" s="139" t="s">
        <v>48</v>
      </c>
      <c r="C203" s="140">
        <v>0.72916666666666663</v>
      </c>
      <c r="D203" s="139" t="s">
        <v>30</v>
      </c>
      <c r="E203" s="141"/>
      <c r="F203" s="139" t="s">
        <v>31</v>
      </c>
      <c r="G203" s="241"/>
      <c r="H203" s="103" t="s">
        <v>48</v>
      </c>
      <c r="I203" s="159">
        <v>4.1700000000000001E-2</v>
      </c>
      <c r="J203" s="105">
        <v>7</v>
      </c>
      <c r="K203" s="106" t="s">
        <v>94</v>
      </c>
      <c r="L203" s="105">
        <v>7</v>
      </c>
      <c r="M203" s="105">
        <v>0</v>
      </c>
      <c r="N203" s="105">
        <v>0</v>
      </c>
      <c r="O203" s="107" t="s">
        <v>127</v>
      </c>
      <c r="P203" s="108">
        <v>0.72916666666666663</v>
      </c>
      <c r="Q203" s="105">
        <v>168</v>
      </c>
      <c r="R203" s="109" t="s">
        <v>95</v>
      </c>
    </row>
    <row r="204" spans="1:18" ht="15" customHeight="1" x14ac:dyDescent="0.3">
      <c r="A204" s="28" t="s">
        <v>28</v>
      </c>
      <c r="B204" s="28" t="s">
        <v>29</v>
      </c>
      <c r="C204" s="29">
        <v>0.93402777777777779</v>
      </c>
      <c r="D204" s="28" t="s">
        <v>30</v>
      </c>
      <c r="E204" s="30"/>
      <c r="F204" s="28" t="s">
        <v>31</v>
      </c>
      <c r="G204" s="241"/>
      <c r="H204" s="31" t="s">
        <v>29</v>
      </c>
      <c r="I204" s="32">
        <v>6.0000000000000001E-3</v>
      </c>
      <c r="J204" s="33">
        <v>1</v>
      </c>
      <c r="K204" s="34" t="s">
        <v>196</v>
      </c>
      <c r="L204" s="33">
        <v>1</v>
      </c>
      <c r="M204" s="33">
        <v>0</v>
      </c>
      <c r="N204" s="33">
        <v>0</v>
      </c>
      <c r="O204" s="35" t="s">
        <v>80</v>
      </c>
      <c r="P204" s="36">
        <v>0.93402777777777779</v>
      </c>
      <c r="Q204" s="33">
        <v>168</v>
      </c>
      <c r="R204" s="37" t="s">
        <v>114</v>
      </c>
    </row>
    <row r="205" spans="1:18" ht="15" customHeight="1" thickBot="1" x14ac:dyDescent="0.35">
      <c r="A205" s="189" t="s">
        <v>28</v>
      </c>
      <c r="B205" s="189" t="s">
        <v>35</v>
      </c>
      <c r="C205" s="190">
        <v>0.96875</v>
      </c>
      <c r="D205" s="189" t="s">
        <v>30</v>
      </c>
      <c r="E205" s="191"/>
      <c r="F205" s="189" t="s">
        <v>31</v>
      </c>
      <c r="G205" s="242"/>
      <c r="H205" s="192" t="s">
        <v>35</v>
      </c>
      <c r="I205" s="222">
        <v>1.1900000000000001E-2</v>
      </c>
      <c r="J205" s="194">
        <v>2</v>
      </c>
      <c r="K205" s="195" t="s">
        <v>106</v>
      </c>
      <c r="L205" s="194">
        <v>2</v>
      </c>
      <c r="M205" s="194">
        <v>0</v>
      </c>
      <c r="N205" s="194">
        <v>0</v>
      </c>
      <c r="O205" s="196" t="s">
        <v>92</v>
      </c>
      <c r="P205" s="197">
        <v>0.96875</v>
      </c>
      <c r="Q205" s="194">
        <v>168</v>
      </c>
      <c r="R205" s="198" t="s">
        <v>89</v>
      </c>
    </row>
    <row r="206" spans="1:18" ht="17.399999999999999" customHeight="1" thickBot="1" x14ac:dyDescent="0.35">
      <c r="A206" s="265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7"/>
    </row>
    <row r="207" spans="1:18" ht="22.05" customHeight="1" thickTop="1" thickBot="1" x14ac:dyDescent="0.35">
      <c r="A207" s="236" t="s">
        <v>8</v>
      </c>
      <c r="B207" s="234"/>
      <c r="C207" s="234"/>
      <c r="D207" s="234"/>
      <c r="E207" s="234"/>
      <c r="F207" s="235"/>
      <c r="G207" s="68">
        <v>46043</v>
      </c>
      <c r="H207" s="233" t="s">
        <v>9</v>
      </c>
      <c r="I207" s="234"/>
      <c r="J207" s="234"/>
      <c r="K207" s="234"/>
      <c r="L207" s="234"/>
      <c r="M207" s="234"/>
      <c r="N207" s="234"/>
      <c r="O207" s="234"/>
      <c r="P207" s="234"/>
      <c r="Q207" s="234"/>
      <c r="R207" s="235"/>
    </row>
    <row r="208" spans="1:18" ht="24" customHeight="1" x14ac:dyDescent="0.3">
      <c r="A208" s="69" t="s">
        <v>10</v>
      </c>
      <c r="B208" s="69" t="s">
        <v>11</v>
      </c>
      <c r="C208" s="70" t="s">
        <v>12</v>
      </c>
      <c r="D208" s="69" t="s">
        <v>13</v>
      </c>
      <c r="E208" s="69" t="s">
        <v>14</v>
      </c>
      <c r="F208" s="71" t="s">
        <v>15</v>
      </c>
      <c r="G208" s="72" t="s">
        <v>16</v>
      </c>
      <c r="H208" s="69" t="s">
        <v>17</v>
      </c>
      <c r="I208" s="73" t="s">
        <v>18</v>
      </c>
      <c r="J208" s="74" t="s">
        <v>19</v>
      </c>
      <c r="K208" s="75" t="s">
        <v>20</v>
      </c>
      <c r="L208" s="74" t="s">
        <v>21</v>
      </c>
      <c r="M208" s="74" t="s">
        <v>22</v>
      </c>
      <c r="N208" s="74" t="s">
        <v>23</v>
      </c>
      <c r="O208" s="69" t="s">
        <v>24</v>
      </c>
      <c r="P208" s="70" t="s">
        <v>25</v>
      </c>
      <c r="Q208" s="74" t="s">
        <v>26</v>
      </c>
      <c r="R208" s="69" t="s">
        <v>27</v>
      </c>
    </row>
    <row r="209" spans="1:18" ht="49.95" customHeight="1" x14ac:dyDescent="0.3">
      <c r="A209" s="154" t="s">
        <v>28</v>
      </c>
      <c r="B209" s="154" t="s">
        <v>35</v>
      </c>
      <c r="C209" s="155">
        <v>0.47916666666666669</v>
      </c>
      <c r="D209" s="154" t="s">
        <v>30</v>
      </c>
      <c r="E209" s="156"/>
      <c r="F209" s="154" t="s">
        <v>108</v>
      </c>
      <c r="G209" s="240"/>
      <c r="H209" s="31" t="s">
        <v>35</v>
      </c>
      <c r="I209" s="32">
        <v>0</v>
      </c>
      <c r="J209" s="33">
        <v>0</v>
      </c>
      <c r="K209" s="34" t="s">
        <v>109</v>
      </c>
      <c r="L209" s="33">
        <v>0</v>
      </c>
      <c r="M209" s="33">
        <v>0</v>
      </c>
      <c r="N209" s="33">
        <v>0</v>
      </c>
      <c r="O209" s="35" t="s">
        <v>80</v>
      </c>
      <c r="P209" s="36">
        <v>0.47916666666666669</v>
      </c>
      <c r="Q209" s="33">
        <v>168</v>
      </c>
      <c r="R209" s="37" t="s">
        <v>109</v>
      </c>
    </row>
    <row r="210" spans="1:18" ht="49.95" customHeight="1" x14ac:dyDescent="0.3">
      <c r="A210" s="48" t="s">
        <v>28</v>
      </c>
      <c r="B210" s="48" t="s">
        <v>48</v>
      </c>
      <c r="C210" s="49">
        <v>0.52083333333333337</v>
      </c>
      <c r="D210" s="48" t="s">
        <v>30</v>
      </c>
      <c r="E210" s="50"/>
      <c r="F210" s="48" t="s">
        <v>31</v>
      </c>
      <c r="G210" s="241"/>
      <c r="H210" s="51" t="s">
        <v>48</v>
      </c>
      <c r="I210" s="52">
        <v>1.1900000000000001E-2</v>
      </c>
      <c r="J210" s="53">
        <v>2</v>
      </c>
      <c r="K210" s="54" t="s">
        <v>183</v>
      </c>
      <c r="L210" s="53">
        <v>2</v>
      </c>
      <c r="M210" s="53">
        <v>0</v>
      </c>
      <c r="N210" s="53">
        <v>0</v>
      </c>
      <c r="O210" s="55" t="s">
        <v>92</v>
      </c>
      <c r="P210" s="56">
        <v>0.52083333333333337</v>
      </c>
      <c r="Q210" s="53">
        <v>168</v>
      </c>
      <c r="R210" s="57" t="s">
        <v>89</v>
      </c>
    </row>
    <row r="211" spans="1:18" ht="49.95" customHeight="1" thickBot="1" x14ac:dyDescent="0.35">
      <c r="A211" s="90" t="s">
        <v>28</v>
      </c>
      <c r="B211" s="90" t="s">
        <v>38</v>
      </c>
      <c r="C211" s="91">
        <v>0.61458333333333337</v>
      </c>
      <c r="D211" s="90" t="s">
        <v>30</v>
      </c>
      <c r="E211" s="92"/>
      <c r="F211" s="90" t="s">
        <v>108</v>
      </c>
      <c r="G211" s="242"/>
      <c r="H211" s="93" t="s">
        <v>38</v>
      </c>
      <c r="I211" s="221">
        <v>0</v>
      </c>
      <c r="J211" s="95">
        <v>0</v>
      </c>
      <c r="K211" s="96" t="s">
        <v>109</v>
      </c>
      <c r="L211" s="95">
        <v>0</v>
      </c>
      <c r="M211" s="95">
        <v>0</v>
      </c>
      <c r="N211" s="95">
        <v>0</v>
      </c>
      <c r="O211" s="97" t="s">
        <v>80</v>
      </c>
      <c r="P211" s="98">
        <v>0.61458333333333337</v>
      </c>
      <c r="Q211" s="95">
        <v>168</v>
      </c>
      <c r="R211" s="99" t="s">
        <v>109</v>
      </c>
    </row>
    <row r="212" spans="1:18" ht="17.399999999999999" customHeight="1" thickBot="1" x14ac:dyDescent="0.35">
      <c r="A212" s="265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7"/>
    </row>
    <row r="213" spans="1:18" ht="22.05" customHeight="1" thickTop="1" thickBot="1" x14ac:dyDescent="0.35">
      <c r="A213" s="236" t="s">
        <v>8</v>
      </c>
      <c r="B213" s="234"/>
      <c r="C213" s="234"/>
      <c r="D213" s="234"/>
      <c r="E213" s="234"/>
      <c r="F213" s="235"/>
      <c r="G213" s="68">
        <v>46044</v>
      </c>
      <c r="H213" s="233" t="s">
        <v>9</v>
      </c>
      <c r="I213" s="234"/>
      <c r="J213" s="234"/>
      <c r="K213" s="234"/>
      <c r="L213" s="234"/>
      <c r="M213" s="234"/>
      <c r="N213" s="234"/>
      <c r="O213" s="234"/>
      <c r="P213" s="234"/>
      <c r="Q213" s="234"/>
      <c r="R213" s="235"/>
    </row>
    <row r="214" spans="1:18" ht="24" customHeight="1" x14ac:dyDescent="0.3">
      <c r="A214" s="69" t="s">
        <v>10</v>
      </c>
      <c r="B214" s="69" t="s">
        <v>11</v>
      </c>
      <c r="C214" s="70" t="s">
        <v>12</v>
      </c>
      <c r="D214" s="69" t="s">
        <v>13</v>
      </c>
      <c r="E214" s="69" t="s">
        <v>14</v>
      </c>
      <c r="F214" s="71" t="s">
        <v>15</v>
      </c>
      <c r="G214" s="72" t="s">
        <v>16</v>
      </c>
      <c r="H214" s="69" t="s">
        <v>17</v>
      </c>
      <c r="I214" s="73" t="s">
        <v>18</v>
      </c>
      <c r="J214" s="74" t="s">
        <v>19</v>
      </c>
      <c r="K214" s="75" t="s">
        <v>20</v>
      </c>
      <c r="L214" s="74" t="s">
        <v>21</v>
      </c>
      <c r="M214" s="74" t="s">
        <v>22</v>
      </c>
      <c r="N214" s="74" t="s">
        <v>23</v>
      </c>
      <c r="O214" s="69" t="s">
        <v>24</v>
      </c>
      <c r="P214" s="70" t="s">
        <v>25</v>
      </c>
      <c r="Q214" s="74" t="s">
        <v>26</v>
      </c>
      <c r="R214" s="69" t="s">
        <v>27</v>
      </c>
    </row>
    <row r="215" spans="1:18" ht="15" customHeight="1" x14ac:dyDescent="0.3">
      <c r="A215" s="154" t="s">
        <v>28</v>
      </c>
      <c r="B215" s="154" t="s">
        <v>29</v>
      </c>
      <c r="C215" s="155">
        <v>4.8611111111111112E-2</v>
      </c>
      <c r="D215" s="154" t="s">
        <v>30</v>
      </c>
      <c r="E215" s="156"/>
      <c r="F215" s="154" t="s">
        <v>108</v>
      </c>
      <c r="G215" s="240"/>
      <c r="H215" s="31" t="s">
        <v>29</v>
      </c>
      <c r="I215" s="32">
        <v>0</v>
      </c>
      <c r="J215" s="33">
        <v>0</v>
      </c>
      <c r="K215" s="34" t="s">
        <v>109</v>
      </c>
      <c r="L215" s="33">
        <v>0</v>
      </c>
      <c r="M215" s="33">
        <v>0</v>
      </c>
      <c r="N215" s="33">
        <v>0</v>
      </c>
      <c r="O215" s="35" t="s">
        <v>80</v>
      </c>
      <c r="P215" s="36">
        <v>4.8611111111111112E-2</v>
      </c>
      <c r="Q215" s="33">
        <v>168</v>
      </c>
      <c r="R215" s="37" t="s">
        <v>109</v>
      </c>
    </row>
    <row r="216" spans="1:18" ht="15" customHeight="1" x14ac:dyDescent="0.3">
      <c r="A216" s="18" t="s">
        <v>28</v>
      </c>
      <c r="B216" s="18" t="s">
        <v>44</v>
      </c>
      <c r="C216" s="19">
        <v>0.1145833333333333</v>
      </c>
      <c r="D216" s="18" t="s">
        <v>30</v>
      </c>
      <c r="E216" s="20"/>
      <c r="F216" s="18" t="s">
        <v>108</v>
      </c>
      <c r="G216" s="241"/>
      <c r="H216" s="21" t="s">
        <v>44</v>
      </c>
      <c r="I216" s="22">
        <v>0</v>
      </c>
      <c r="J216" s="23">
        <v>0</v>
      </c>
      <c r="K216" s="24" t="s">
        <v>109</v>
      </c>
      <c r="L216" s="23">
        <v>0</v>
      </c>
      <c r="M216" s="23">
        <v>0</v>
      </c>
      <c r="N216" s="23">
        <v>0</v>
      </c>
      <c r="O216" s="25" t="s">
        <v>80</v>
      </c>
      <c r="P216" s="26">
        <v>0.1145833333333333</v>
      </c>
      <c r="Q216" s="23">
        <v>168</v>
      </c>
      <c r="R216" s="27" t="s">
        <v>109</v>
      </c>
    </row>
    <row r="217" spans="1:18" ht="15" customHeight="1" x14ac:dyDescent="0.3">
      <c r="A217" s="201" t="s">
        <v>28</v>
      </c>
      <c r="B217" s="201" t="s">
        <v>51</v>
      </c>
      <c r="C217" s="202">
        <v>0.25347222222222221</v>
      </c>
      <c r="D217" s="201" t="s">
        <v>30</v>
      </c>
      <c r="E217" s="203"/>
      <c r="F217" s="201" t="s">
        <v>108</v>
      </c>
      <c r="G217" s="241"/>
      <c r="H217" s="79" t="s">
        <v>51</v>
      </c>
      <c r="I217" s="80">
        <v>0</v>
      </c>
      <c r="J217" s="81">
        <v>0</v>
      </c>
      <c r="K217" s="82" t="s">
        <v>109</v>
      </c>
      <c r="L217" s="81">
        <v>0</v>
      </c>
      <c r="M217" s="81">
        <v>0</v>
      </c>
      <c r="N217" s="81">
        <v>0</v>
      </c>
      <c r="O217" s="83" t="s">
        <v>80</v>
      </c>
      <c r="P217" s="84">
        <v>0.25347222222222221</v>
      </c>
      <c r="Q217" s="81">
        <v>168</v>
      </c>
      <c r="R217" s="85" t="s">
        <v>109</v>
      </c>
    </row>
    <row r="218" spans="1:18" ht="15" customHeight="1" x14ac:dyDescent="0.3">
      <c r="A218" s="143" t="s">
        <v>28</v>
      </c>
      <c r="B218" s="143" t="s">
        <v>35</v>
      </c>
      <c r="C218" s="144">
        <v>0.33333333333333331</v>
      </c>
      <c r="D218" s="143" t="s">
        <v>30</v>
      </c>
      <c r="E218" s="145"/>
      <c r="F218" s="143" t="s">
        <v>31</v>
      </c>
      <c r="G218" s="241"/>
      <c r="H218" s="146" t="s">
        <v>35</v>
      </c>
      <c r="I218" s="147">
        <v>0.11899999999999999</v>
      </c>
      <c r="J218" s="148">
        <v>20</v>
      </c>
      <c r="K218" s="149" t="s">
        <v>203</v>
      </c>
      <c r="L218" s="148">
        <v>1</v>
      </c>
      <c r="M218" s="148">
        <v>0</v>
      </c>
      <c r="N218" s="148">
        <v>0</v>
      </c>
      <c r="O218" s="150" t="s">
        <v>80</v>
      </c>
      <c r="P218" s="151">
        <v>0.33333333333333331</v>
      </c>
      <c r="Q218" s="148">
        <v>168</v>
      </c>
      <c r="R218" s="152" t="s">
        <v>204</v>
      </c>
    </row>
    <row r="219" spans="1:18" ht="15" customHeight="1" x14ac:dyDescent="0.3">
      <c r="A219" s="201" t="s">
        <v>28</v>
      </c>
      <c r="B219" s="201" t="s">
        <v>101</v>
      </c>
      <c r="C219" s="202">
        <v>0.36458333333333331</v>
      </c>
      <c r="D219" s="201" t="s">
        <v>30</v>
      </c>
      <c r="E219" s="203"/>
      <c r="F219" s="201" t="s">
        <v>108</v>
      </c>
      <c r="G219" s="241"/>
      <c r="H219" s="79" t="s">
        <v>101</v>
      </c>
      <c r="I219" s="80">
        <v>0</v>
      </c>
      <c r="J219" s="81">
        <v>0</v>
      </c>
      <c r="K219" s="82" t="s">
        <v>109</v>
      </c>
      <c r="L219" s="81">
        <v>0</v>
      </c>
      <c r="M219" s="81">
        <v>0</v>
      </c>
      <c r="N219" s="81">
        <v>0</v>
      </c>
      <c r="O219" s="83" t="s">
        <v>102</v>
      </c>
      <c r="P219" s="84">
        <v>0.36458333333333331</v>
      </c>
      <c r="Q219" s="81">
        <v>168</v>
      </c>
      <c r="R219" s="85" t="s">
        <v>109</v>
      </c>
    </row>
    <row r="220" spans="1:18" ht="15" customHeight="1" x14ac:dyDescent="0.3">
      <c r="A220" s="143" t="s">
        <v>28</v>
      </c>
      <c r="B220" s="143" t="s">
        <v>38</v>
      </c>
      <c r="C220" s="144">
        <v>0.58333333333333337</v>
      </c>
      <c r="D220" s="143" t="s">
        <v>30</v>
      </c>
      <c r="E220" s="145"/>
      <c r="F220" s="143" t="s">
        <v>31</v>
      </c>
      <c r="G220" s="241"/>
      <c r="H220" s="146" t="s">
        <v>38</v>
      </c>
      <c r="I220" s="147">
        <v>6.0000000000000001E-3</v>
      </c>
      <c r="J220" s="148">
        <v>1</v>
      </c>
      <c r="K220" s="149" t="s">
        <v>194</v>
      </c>
      <c r="L220" s="148">
        <v>2</v>
      </c>
      <c r="M220" s="148">
        <v>0</v>
      </c>
      <c r="N220" s="148">
        <v>0</v>
      </c>
      <c r="O220" s="150" t="s">
        <v>80</v>
      </c>
      <c r="P220" s="151">
        <v>0.58333333333333337</v>
      </c>
      <c r="Q220" s="148">
        <v>168</v>
      </c>
      <c r="R220" s="152" t="s">
        <v>114</v>
      </c>
    </row>
    <row r="221" spans="1:18" ht="15" customHeight="1" thickBot="1" x14ac:dyDescent="0.35">
      <c r="A221" s="58" t="s">
        <v>28</v>
      </c>
      <c r="B221" s="58" t="s">
        <v>40</v>
      </c>
      <c r="C221" s="59">
        <v>0.73958333333333337</v>
      </c>
      <c r="D221" s="58" t="s">
        <v>30</v>
      </c>
      <c r="E221" s="60"/>
      <c r="F221" s="58" t="s">
        <v>31</v>
      </c>
      <c r="G221" s="242"/>
      <c r="H221" s="61" t="s">
        <v>40</v>
      </c>
      <c r="I221" s="219">
        <v>1.1900000000000001E-2</v>
      </c>
      <c r="J221" s="63">
        <v>2</v>
      </c>
      <c r="K221" s="64" t="s">
        <v>205</v>
      </c>
      <c r="L221" s="63">
        <v>2</v>
      </c>
      <c r="M221" s="63">
        <v>0</v>
      </c>
      <c r="N221" s="63">
        <v>0</v>
      </c>
      <c r="O221" s="65" t="s">
        <v>92</v>
      </c>
      <c r="P221" s="66">
        <v>0.73958333333333337</v>
      </c>
      <c r="Q221" s="63">
        <v>168</v>
      </c>
      <c r="R221" s="67" t="s">
        <v>89</v>
      </c>
    </row>
    <row r="222" spans="1:18" ht="17.399999999999999" customHeight="1" thickBot="1" x14ac:dyDescent="0.35">
      <c r="A222" s="265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7"/>
    </row>
    <row r="223" spans="1:18" ht="22.05" customHeight="1" thickTop="1" thickBot="1" x14ac:dyDescent="0.35">
      <c r="A223" s="236" t="s">
        <v>8</v>
      </c>
      <c r="B223" s="234"/>
      <c r="C223" s="234"/>
      <c r="D223" s="234"/>
      <c r="E223" s="234"/>
      <c r="F223" s="235"/>
      <c r="G223" s="68">
        <v>46045</v>
      </c>
      <c r="H223" s="233" t="s">
        <v>9</v>
      </c>
      <c r="I223" s="234"/>
      <c r="J223" s="234"/>
      <c r="K223" s="234"/>
      <c r="L223" s="234"/>
      <c r="M223" s="234"/>
      <c r="N223" s="234"/>
      <c r="O223" s="234"/>
      <c r="P223" s="234"/>
      <c r="Q223" s="234"/>
      <c r="R223" s="235"/>
    </row>
    <row r="224" spans="1:18" ht="24" customHeight="1" x14ac:dyDescent="0.3">
      <c r="A224" s="69" t="s">
        <v>10</v>
      </c>
      <c r="B224" s="69" t="s">
        <v>11</v>
      </c>
      <c r="C224" s="70" t="s">
        <v>12</v>
      </c>
      <c r="D224" s="69" t="s">
        <v>13</v>
      </c>
      <c r="E224" s="69" t="s">
        <v>14</v>
      </c>
      <c r="F224" s="71" t="s">
        <v>15</v>
      </c>
      <c r="G224" s="72" t="s">
        <v>16</v>
      </c>
      <c r="H224" s="69" t="s">
        <v>17</v>
      </c>
      <c r="I224" s="73" t="s">
        <v>18</v>
      </c>
      <c r="J224" s="74" t="s">
        <v>19</v>
      </c>
      <c r="K224" s="75" t="s">
        <v>20</v>
      </c>
      <c r="L224" s="74" t="s">
        <v>21</v>
      </c>
      <c r="M224" s="74" t="s">
        <v>22</v>
      </c>
      <c r="N224" s="74" t="s">
        <v>23</v>
      </c>
      <c r="O224" s="69" t="s">
        <v>24</v>
      </c>
      <c r="P224" s="70" t="s">
        <v>25</v>
      </c>
      <c r="Q224" s="74" t="s">
        <v>26</v>
      </c>
      <c r="R224" s="69" t="s">
        <v>27</v>
      </c>
    </row>
    <row r="225" spans="1:18" ht="15" customHeight="1" x14ac:dyDescent="0.3">
      <c r="A225" s="181" t="s">
        <v>28</v>
      </c>
      <c r="B225" s="181" t="s">
        <v>29</v>
      </c>
      <c r="C225" s="182">
        <v>0.1145833333333333</v>
      </c>
      <c r="D225" s="181" t="s">
        <v>30</v>
      </c>
      <c r="E225" s="183"/>
      <c r="F225" s="181" t="s">
        <v>108</v>
      </c>
      <c r="G225" s="240"/>
      <c r="H225" s="51" t="s">
        <v>29</v>
      </c>
      <c r="I225" s="52">
        <v>0</v>
      </c>
      <c r="J225" s="53">
        <v>0</v>
      </c>
      <c r="K225" s="54" t="s">
        <v>109</v>
      </c>
      <c r="L225" s="53">
        <v>0</v>
      </c>
      <c r="M225" s="53">
        <v>0</v>
      </c>
      <c r="N225" s="53">
        <v>0</v>
      </c>
      <c r="O225" s="55" t="s">
        <v>80</v>
      </c>
      <c r="P225" s="56">
        <v>0.1145833333333333</v>
      </c>
      <c r="Q225" s="53">
        <v>168</v>
      </c>
      <c r="R225" s="57" t="s">
        <v>109</v>
      </c>
    </row>
    <row r="226" spans="1:18" ht="15" customHeight="1" x14ac:dyDescent="0.3">
      <c r="A226" s="86" t="s">
        <v>28</v>
      </c>
      <c r="B226" s="86" t="s">
        <v>35</v>
      </c>
      <c r="C226" s="87">
        <v>0.31944444444444448</v>
      </c>
      <c r="D226" s="86" t="s">
        <v>30</v>
      </c>
      <c r="E226" s="88"/>
      <c r="F226" s="86" t="s">
        <v>108</v>
      </c>
      <c r="G226" s="241"/>
      <c r="H226" s="11" t="s">
        <v>35</v>
      </c>
      <c r="I226" s="12">
        <v>0</v>
      </c>
      <c r="J226" s="13">
        <v>0</v>
      </c>
      <c r="K226" s="14" t="s">
        <v>109</v>
      </c>
      <c r="L226" s="13">
        <v>0</v>
      </c>
      <c r="M226" s="13">
        <v>0</v>
      </c>
      <c r="N226" s="13">
        <v>0</v>
      </c>
      <c r="O226" s="15" t="s">
        <v>80</v>
      </c>
      <c r="P226" s="16">
        <v>0.31944444444444448</v>
      </c>
      <c r="Q226" s="13">
        <v>168</v>
      </c>
      <c r="R226" s="17" t="s">
        <v>109</v>
      </c>
    </row>
    <row r="227" spans="1:18" ht="15" customHeight="1" x14ac:dyDescent="0.3">
      <c r="A227" s="201" t="s">
        <v>28</v>
      </c>
      <c r="B227" s="201" t="s">
        <v>38</v>
      </c>
      <c r="C227" s="202">
        <v>0.45833333333333331</v>
      </c>
      <c r="D227" s="201" t="s">
        <v>30</v>
      </c>
      <c r="E227" s="203"/>
      <c r="F227" s="201" t="s">
        <v>108</v>
      </c>
      <c r="G227" s="241"/>
      <c r="H227" s="79" t="s">
        <v>38</v>
      </c>
      <c r="I227" s="80">
        <v>0</v>
      </c>
      <c r="J227" s="81">
        <v>0</v>
      </c>
      <c r="K227" s="82" t="s">
        <v>109</v>
      </c>
      <c r="L227" s="81">
        <v>0</v>
      </c>
      <c r="M227" s="81">
        <v>0</v>
      </c>
      <c r="N227" s="81">
        <v>0</v>
      </c>
      <c r="O227" s="83" t="s">
        <v>80</v>
      </c>
      <c r="P227" s="84">
        <v>0.45833333333333331</v>
      </c>
      <c r="Q227" s="81">
        <v>168</v>
      </c>
      <c r="R227" s="85" t="s">
        <v>109</v>
      </c>
    </row>
    <row r="228" spans="1:18" ht="15" customHeight="1" x14ac:dyDescent="0.3">
      <c r="A228" s="38" t="s">
        <v>28</v>
      </c>
      <c r="B228" s="38" t="s">
        <v>40</v>
      </c>
      <c r="C228" s="39">
        <v>0.61458333333333337</v>
      </c>
      <c r="D228" s="38" t="s">
        <v>30</v>
      </c>
      <c r="E228" s="40"/>
      <c r="F228" s="38" t="s">
        <v>108</v>
      </c>
      <c r="G228" s="241"/>
      <c r="H228" s="41" t="s">
        <v>40</v>
      </c>
      <c r="I228" s="42">
        <v>0</v>
      </c>
      <c r="J228" s="43">
        <v>0</v>
      </c>
      <c r="K228" s="44" t="s">
        <v>109</v>
      </c>
      <c r="L228" s="43">
        <v>0</v>
      </c>
      <c r="M228" s="43">
        <v>0</v>
      </c>
      <c r="N228" s="43">
        <v>0</v>
      </c>
      <c r="O228" s="45" t="s">
        <v>80</v>
      </c>
      <c r="P228" s="46">
        <v>0.61458333333333337</v>
      </c>
      <c r="Q228" s="43">
        <v>168</v>
      </c>
      <c r="R228" s="47" t="s">
        <v>109</v>
      </c>
    </row>
    <row r="229" spans="1:18" ht="15" customHeight="1" x14ac:dyDescent="0.3">
      <c r="A229" s="139" t="s">
        <v>28</v>
      </c>
      <c r="B229" s="139" t="s">
        <v>44</v>
      </c>
      <c r="C229" s="140">
        <v>0.73611111111111116</v>
      </c>
      <c r="D229" s="139" t="s">
        <v>30</v>
      </c>
      <c r="E229" s="141"/>
      <c r="F229" s="139" t="s">
        <v>31</v>
      </c>
      <c r="G229" s="241"/>
      <c r="H229" s="103" t="s">
        <v>44</v>
      </c>
      <c r="I229" s="159">
        <v>1.7899999999999999E-2</v>
      </c>
      <c r="J229" s="105">
        <v>3</v>
      </c>
      <c r="K229" s="106" t="s">
        <v>206</v>
      </c>
      <c r="L229" s="105">
        <v>3</v>
      </c>
      <c r="M229" s="105">
        <v>0</v>
      </c>
      <c r="N229" s="105">
        <v>0</v>
      </c>
      <c r="O229" s="107" t="s">
        <v>95</v>
      </c>
      <c r="P229" s="108">
        <v>0.73611111111111116</v>
      </c>
      <c r="Q229" s="105">
        <v>168</v>
      </c>
      <c r="R229" s="109" t="s">
        <v>127</v>
      </c>
    </row>
    <row r="230" spans="1:18" ht="15" customHeight="1" thickBot="1" x14ac:dyDescent="0.35">
      <c r="A230" s="207" t="s">
        <v>28</v>
      </c>
      <c r="B230" s="207" t="s">
        <v>48</v>
      </c>
      <c r="C230" s="208">
        <v>0.9375</v>
      </c>
      <c r="D230" s="207" t="s">
        <v>30</v>
      </c>
      <c r="E230" s="209"/>
      <c r="F230" s="207" t="s">
        <v>108</v>
      </c>
      <c r="G230" s="242"/>
      <c r="H230" s="210" t="s">
        <v>48</v>
      </c>
      <c r="I230" s="223">
        <v>0</v>
      </c>
      <c r="J230" s="212">
        <v>0</v>
      </c>
      <c r="K230" s="213" t="s">
        <v>109</v>
      </c>
      <c r="L230" s="212">
        <v>0</v>
      </c>
      <c r="M230" s="212">
        <v>0</v>
      </c>
      <c r="N230" s="212">
        <v>0</v>
      </c>
      <c r="O230" s="214" t="s">
        <v>80</v>
      </c>
      <c r="P230" s="215">
        <v>0.9375</v>
      </c>
      <c r="Q230" s="212">
        <v>168</v>
      </c>
      <c r="R230" s="216" t="s">
        <v>109</v>
      </c>
    </row>
    <row r="231" spans="1:18" ht="17.399999999999999" customHeight="1" thickBot="1" x14ac:dyDescent="0.35">
      <c r="A231" s="265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7"/>
    </row>
    <row r="232" spans="1:18" ht="22.05" customHeight="1" thickTop="1" thickBot="1" x14ac:dyDescent="0.35">
      <c r="A232" s="236" t="s">
        <v>8</v>
      </c>
      <c r="B232" s="234"/>
      <c r="C232" s="234"/>
      <c r="D232" s="234"/>
      <c r="E232" s="234"/>
      <c r="F232" s="235"/>
      <c r="G232" s="68">
        <v>46046</v>
      </c>
      <c r="H232" s="233" t="s">
        <v>9</v>
      </c>
      <c r="I232" s="234"/>
      <c r="J232" s="234"/>
      <c r="K232" s="234"/>
      <c r="L232" s="234"/>
      <c r="M232" s="234"/>
      <c r="N232" s="234"/>
      <c r="O232" s="234"/>
      <c r="P232" s="234"/>
      <c r="Q232" s="234"/>
      <c r="R232" s="235"/>
    </row>
    <row r="233" spans="1:18" ht="24" customHeight="1" x14ac:dyDescent="0.3">
      <c r="A233" s="69" t="s">
        <v>10</v>
      </c>
      <c r="B233" s="69" t="s">
        <v>11</v>
      </c>
      <c r="C233" s="70" t="s">
        <v>12</v>
      </c>
      <c r="D233" s="69" t="s">
        <v>13</v>
      </c>
      <c r="E233" s="69" t="s">
        <v>14</v>
      </c>
      <c r="F233" s="71" t="s">
        <v>15</v>
      </c>
      <c r="G233" s="72" t="s">
        <v>16</v>
      </c>
      <c r="H233" s="69" t="s">
        <v>17</v>
      </c>
      <c r="I233" s="73" t="s">
        <v>18</v>
      </c>
      <c r="J233" s="74" t="s">
        <v>19</v>
      </c>
      <c r="K233" s="75" t="s">
        <v>20</v>
      </c>
      <c r="L233" s="74" t="s">
        <v>21</v>
      </c>
      <c r="M233" s="74" t="s">
        <v>22</v>
      </c>
      <c r="N233" s="74" t="s">
        <v>23</v>
      </c>
      <c r="O233" s="69" t="s">
        <v>24</v>
      </c>
      <c r="P233" s="70" t="s">
        <v>25</v>
      </c>
      <c r="Q233" s="74" t="s">
        <v>26</v>
      </c>
      <c r="R233" s="69" t="s">
        <v>27</v>
      </c>
    </row>
    <row r="234" spans="1:18" ht="49.95" customHeight="1" x14ac:dyDescent="0.3">
      <c r="A234" s="122" t="s">
        <v>28</v>
      </c>
      <c r="B234" s="122" t="s">
        <v>51</v>
      </c>
      <c r="C234" s="123">
        <v>0.2361111111111111</v>
      </c>
      <c r="D234" s="122" t="s">
        <v>30</v>
      </c>
      <c r="E234" s="124"/>
      <c r="F234" s="122" t="s">
        <v>31</v>
      </c>
      <c r="G234" s="240"/>
      <c r="H234" s="41" t="s">
        <v>51</v>
      </c>
      <c r="I234" s="42">
        <v>5.7000000000000002E-3</v>
      </c>
      <c r="J234" s="43">
        <v>1</v>
      </c>
      <c r="K234" s="44" t="s">
        <v>197</v>
      </c>
      <c r="L234" s="43">
        <v>1</v>
      </c>
      <c r="M234" s="43">
        <v>0</v>
      </c>
      <c r="N234" s="43">
        <v>0</v>
      </c>
      <c r="O234" s="45" t="s">
        <v>80</v>
      </c>
      <c r="P234" s="46">
        <v>0.2361111111111111</v>
      </c>
      <c r="Q234" s="43">
        <v>174</v>
      </c>
      <c r="R234" s="47" t="s">
        <v>114</v>
      </c>
    </row>
    <row r="235" spans="1:18" ht="49.95" customHeight="1" x14ac:dyDescent="0.3">
      <c r="A235" s="18" t="s">
        <v>28</v>
      </c>
      <c r="B235" s="18" t="s">
        <v>35</v>
      </c>
      <c r="C235" s="19">
        <v>0.33333333333333331</v>
      </c>
      <c r="D235" s="18" t="s">
        <v>30</v>
      </c>
      <c r="E235" s="20"/>
      <c r="F235" s="18" t="s">
        <v>108</v>
      </c>
      <c r="G235" s="241"/>
      <c r="H235" s="21" t="s">
        <v>35</v>
      </c>
      <c r="I235" s="22">
        <v>0</v>
      </c>
      <c r="J235" s="23">
        <v>0</v>
      </c>
      <c r="K235" s="24" t="s">
        <v>109</v>
      </c>
      <c r="L235" s="23">
        <v>0</v>
      </c>
      <c r="M235" s="23">
        <v>0</v>
      </c>
      <c r="N235" s="23">
        <v>0</v>
      </c>
      <c r="O235" s="25" t="s">
        <v>80</v>
      </c>
      <c r="P235" s="26">
        <v>0.33333333333333331</v>
      </c>
      <c r="Q235" s="23">
        <v>168</v>
      </c>
      <c r="R235" s="27" t="s">
        <v>109</v>
      </c>
    </row>
    <row r="236" spans="1:18" ht="49.95" customHeight="1" thickBot="1" x14ac:dyDescent="0.35">
      <c r="A236" s="112" t="s">
        <v>28</v>
      </c>
      <c r="B236" s="112" t="s">
        <v>38</v>
      </c>
      <c r="C236" s="113">
        <v>0.68055555555555547</v>
      </c>
      <c r="D236" s="112" t="s">
        <v>30</v>
      </c>
      <c r="E236" s="114"/>
      <c r="F236" s="112" t="s">
        <v>31</v>
      </c>
      <c r="G236" s="242"/>
      <c r="H236" s="115" t="s">
        <v>38</v>
      </c>
      <c r="I236" s="220">
        <v>1.7899999999999999E-2</v>
      </c>
      <c r="J236" s="117">
        <v>3</v>
      </c>
      <c r="K236" s="118" t="s">
        <v>119</v>
      </c>
      <c r="L236" s="117">
        <v>4</v>
      </c>
      <c r="M236" s="117">
        <v>0</v>
      </c>
      <c r="N236" s="117">
        <v>0</v>
      </c>
      <c r="O236" s="119" t="s">
        <v>95</v>
      </c>
      <c r="P236" s="120">
        <v>0.68055555555555547</v>
      </c>
      <c r="Q236" s="117">
        <v>168</v>
      </c>
      <c r="R236" s="121" t="s">
        <v>127</v>
      </c>
    </row>
    <row r="237" spans="1:18" ht="17.399999999999999" customHeight="1" thickBot="1" x14ac:dyDescent="0.35">
      <c r="A237" s="265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7"/>
    </row>
    <row r="238" spans="1:18" ht="22.05" customHeight="1" thickTop="1" thickBot="1" x14ac:dyDescent="0.35">
      <c r="A238" s="236" t="s">
        <v>8</v>
      </c>
      <c r="B238" s="234"/>
      <c r="C238" s="234"/>
      <c r="D238" s="234"/>
      <c r="E238" s="234"/>
      <c r="F238" s="235"/>
      <c r="G238" s="68">
        <v>46047</v>
      </c>
      <c r="H238" s="233" t="s">
        <v>9</v>
      </c>
      <c r="I238" s="234"/>
      <c r="J238" s="234"/>
      <c r="K238" s="234"/>
      <c r="L238" s="234"/>
      <c r="M238" s="234"/>
      <c r="N238" s="234"/>
      <c r="O238" s="234"/>
      <c r="P238" s="234"/>
      <c r="Q238" s="234"/>
      <c r="R238" s="235"/>
    </row>
    <row r="239" spans="1:18" ht="24" customHeight="1" x14ac:dyDescent="0.3">
      <c r="A239" s="69" t="s">
        <v>10</v>
      </c>
      <c r="B239" s="69" t="s">
        <v>11</v>
      </c>
      <c r="C239" s="70" t="s">
        <v>12</v>
      </c>
      <c r="D239" s="69" t="s">
        <v>13</v>
      </c>
      <c r="E239" s="69" t="s">
        <v>14</v>
      </c>
      <c r="F239" s="71" t="s">
        <v>15</v>
      </c>
      <c r="G239" s="72" t="s">
        <v>16</v>
      </c>
      <c r="H239" s="69" t="s">
        <v>17</v>
      </c>
      <c r="I239" s="73" t="s">
        <v>18</v>
      </c>
      <c r="J239" s="74" t="s">
        <v>19</v>
      </c>
      <c r="K239" s="75" t="s">
        <v>20</v>
      </c>
      <c r="L239" s="74" t="s">
        <v>21</v>
      </c>
      <c r="M239" s="74" t="s">
        <v>22</v>
      </c>
      <c r="N239" s="74" t="s">
        <v>23</v>
      </c>
      <c r="O239" s="69" t="s">
        <v>24</v>
      </c>
      <c r="P239" s="70" t="s">
        <v>25</v>
      </c>
      <c r="Q239" s="74" t="s">
        <v>26</v>
      </c>
      <c r="R239" s="69" t="s">
        <v>27</v>
      </c>
    </row>
    <row r="240" spans="1:18" ht="49.95" customHeight="1" x14ac:dyDescent="0.3">
      <c r="A240" s="100" t="s">
        <v>28</v>
      </c>
      <c r="B240" s="100" t="s">
        <v>29</v>
      </c>
      <c r="C240" s="101">
        <v>8.3333333333333329E-2</v>
      </c>
      <c r="D240" s="100" t="s">
        <v>30</v>
      </c>
      <c r="E240" s="102"/>
      <c r="F240" s="100" t="s">
        <v>108</v>
      </c>
      <c r="G240" s="240"/>
      <c r="H240" s="103" t="s">
        <v>29</v>
      </c>
      <c r="I240" s="159">
        <v>0</v>
      </c>
      <c r="J240" s="105">
        <v>0</v>
      </c>
      <c r="K240" s="106" t="s">
        <v>109</v>
      </c>
      <c r="L240" s="105">
        <v>0</v>
      </c>
      <c r="M240" s="105">
        <v>0</v>
      </c>
      <c r="N240" s="105">
        <v>0</v>
      </c>
      <c r="O240" s="107" t="s">
        <v>80</v>
      </c>
      <c r="P240" s="108">
        <v>8.3333333333333329E-2</v>
      </c>
      <c r="Q240" s="105">
        <v>168</v>
      </c>
      <c r="R240" s="109" t="s">
        <v>109</v>
      </c>
    </row>
    <row r="241" spans="1:18" ht="49.95" customHeight="1" x14ac:dyDescent="0.3">
      <c r="A241" s="28" t="s">
        <v>28</v>
      </c>
      <c r="B241" s="28" t="s">
        <v>35</v>
      </c>
      <c r="C241" s="29">
        <v>0.31944444444444448</v>
      </c>
      <c r="D241" s="28" t="s">
        <v>30</v>
      </c>
      <c r="E241" s="30"/>
      <c r="F241" s="28" t="s">
        <v>31</v>
      </c>
      <c r="G241" s="241"/>
      <c r="H241" s="31" t="s">
        <v>35</v>
      </c>
      <c r="I241" s="32">
        <v>0.28570000000000001</v>
      </c>
      <c r="J241" s="33">
        <v>48</v>
      </c>
      <c r="K241" s="34" t="s">
        <v>166</v>
      </c>
      <c r="L241" s="33">
        <v>4</v>
      </c>
      <c r="M241" s="33">
        <v>0</v>
      </c>
      <c r="N241" s="33">
        <v>0</v>
      </c>
      <c r="O241" s="35" t="s">
        <v>95</v>
      </c>
      <c r="P241" s="36">
        <v>0.31944444444444448</v>
      </c>
      <c r="Q241" s="33">
        <v>168</v>
      </c>
      <c r="R241" s="37" t="s">
        <v>181</v>
      </c>
    </row>
    <row r="242" spans="1:18" ht="49.95" customHeight="1" x14ac:dyDescent="0.3">
      <c r="A242" s="201" t="s">
        <v>28</v>
      </c>
      <c r="B242" s="201" t="s">
        <v>101</v>
      </c>
      <c r="C242" s="202">
        <v>0.33333333333333331</v>
      </c>
      <c r="D242" s="201" t="s">
        <v>30</v>
      </c>
      <c r="E242" s="203"/>
      <c r="F242" s="201" t="s">
        <v>108</v>
      </c>
      <c r="G242" s="241"/>
      <c r="H242" s="79" t="s">
        <v>101</v>
      </c>
      <c r="I242" s="80">
        <v>0</v>
      </c>
      <c r="J242" s="81">
        <v>0</v>
      </c>
      <c r="K242" s="82" t="s">
        <v>109</v>
      </c>
      <c r="L242" s="81">
        <v>0</v>
      </c>
      <c r="M242" s="81">
        <v>0</v>
      </c>
      <c r="N242" s="81">
        <v>0</v>
      </c>
      <c r="O242" s="83" t="s">
        <v>102</v>
      </c>
      <c r="P242" s="84">
        <v>0.33333333333333331</v>
      </c>
      <c r="Q242" s="81">
        <v>168</v>
      </c>
      <c r="R242" s="85" t="s">
        <v>109</v>
      </c>
    </row>
    <row r="243" spans="1:18" ht="49.95" customHeight="1" x14ac:dyDescent="0.3">
      <c r="A243" s="28" t="s">
        <v>28</v>
      </c>
      <c r="B243" s="28" t="s">
        <v>48</v>
      </c>
      <c r="C243" s="29">
        <v>0.51041666666666663</v>
      </c>
      <c r="D243" s="28" t="s">
        <v>30</v>
      </c>
      <c r="E243" s="30"/>
      <c r="F243" s="28" t="s">
        <v>31</v>
      </c>
      <c r="G243" s="241"/>
      <c r="H243" s="31" t="s">
        <v>48</v>
      </c>
      <c r="I243" s="32">
        <v>2.3800000000000002E-2</v>
      </c>
      <c r="J243" s="33">
        <v>4</v>
      </c>
      <c r="K243" s="34" t="s">
        <v>122</v>
      </c>
      <c r="L243" s="33">
        <v>4</v>
      </c>
      <c r="M243" s="33">
        <v>0</v>
      </c>
      <c r="N243" s="33">
        <v>0</v>
      </c>
      <c r="O243" s="35" t="s">
        <v>87</v>
      </c>
      <c r="P243" s="36">
        <v>0.51041666666666663</v>
      </c>
      <c r="Q243" s="33">
        <v>168</v>
      </c>
      <c r="R243" s="37" t="s">
        <v>133</v>
      </c>
    </row>
    <row r="244" spans="1:18" ht="49.95" customHeight="1" thickBot="1" x14ac:dyDescent="0.35">
      <c r="A244" s="171" t="s">
        <v>28</v>
      </c>
      <c r="B244" s="171" t="s">
        <v>38</v>
      </c>
      <c r="C244" s="172">
        <v>0.63194444444444442</v>
      </c>
      <c r="D244" s="171" t="s">
        <v>30</v>
      </c>
      <c r="E244" s="173"/>
      <c r="F244" s="171" t="s">
        <v>108</v>
      </c>
      <c r="G244" s="242"/>
      <c r="H244" s="174" t="s">
        <v>38</v>
      </c>
      <c r="I244" s="175">
        <v>0</v>
      </c>
      <c r="J244" s="176">
        <v>0</v>
      </c>
      <c r="K244" s="177" t="s">
        <v>109</v>
      </c>
      <c r="L244" s="176">
        <v>0</v>
      </c>
      <c r="M244" s="176">
        <v>0</v>
      </c>
      <c r="N244" s="176">
        <v>0</v>
      </c>
      <c r="O244" s="178" t="s">
        <v>80</v>
      </c>
      <c r="P244" s="179">
        <v>0.63194444444444442</v>
      </c>
      <c r="Q244" s="176">
        <v>168</v>
      </c>
      <c r="R244" s="180" t="s">
        <v>109</v>
      </c>
    </row>
    <row r="245" spans="1:18" ht="17.399999999999999" customHeight="1" thickBot="1" x14ac:dyDescent="0.35">
      <c r="A245" s="265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7"/>
    </row>
    <row r="246" spans="1:18" ht="22.05" customHeight="1" thickTop="1" thickBot="1" x14ac:dyDescent="0.35">
      <c r="A246" s="236" t="s">
        <v>8</v>
      </c>
      <c r="B246" s="234"/>
      <c r="C246" s="234"/>
      <c r="D246" s="234"/>
      <c r="E246" s="234"/>
      <c r="F246" s="235"/>
      <c r="G246" s="68">
        <v>46048</v>
      </c>
      <c r="H246" s="233" t="s">
        <v>9</v>
      </c>
      <c r="I246" s="234"/>
      <c r="J246" s="234"/>
      <c r="K246" s="234"/>
      <c r="L246" s="234"/>
      <c r="M246" s="234"/>
      <c r="N246" s="234"/>
      <c r="O246" s="234"/>
      <c r="P246" s="234"/>
      <c r="Q246" s="234"/>
      <c r="R246" s="235"/>
    </row>
    <row r="247" spans="1:18" ht="24" customHeight="1" x14ac:dyDescent="0.3">
      <c r="A247" s="69" t="s">
        <v>10</v>
      </c>
      <c r="B247" s="69" t="s">
        <v>11</v>
      </c>
      <c r="C247" s="70" t="s">
        <v>12</v>
      </c>
      <c r="D247" s="69" t="s">
        <v>13</v>
      </c>
      <c r="E247" s="69" t="s">
        <v>14</v>
      </c>
      <c r="F247" s="71" t="s">
        <v>15</v>
      </c>
      <c r="G247" s="72" t="s">
        <v>16</v>
      </c>
      <c r="H247" s="69" t="s">
        <v>17</v>
      </c>
      <c r="I247" s="73" t="s">
        <v>18</v>
      </c>
      <c r="J247" s="74" t="s">
        <v>19</v>
      </c>
      <c r="K247" s="75" t="s">
        <v>20</v>
      </c>
      <c r="L247" s="74" t="s">
        <v>21</v>
      </c>
      <c r="M247" s="74" t="s">
        <v>22</v>
      </c>
      <c r="N247" s="74" t="s">
        <v>23</v>
      </c>
      <c r="O247" s="69" t="s">
        <v>24</v>
      </c>
      <c r="P247" s="70" t="s">
        <v>25</v>
      </c>
      <c r="Q247" s="74" t="s">
        <v>26</v>
      </c>
      <c r="R247" s="69" t="s">
        <v>27</v>
      </c>
    </row>
    <row r="248" spans="1:18" ht="49.95" customHeight="1" x14ac:dyDescent="0.3">
      <c r="A248" s="76" t="s">
        <v>28</v>
      </c>
      <c r="B248" s="76" t="s">
        <v>40</v>
      </c>
      <c r="C248" s="77">
        <v>6.9444444444444441E-3</v>
      </c>
      <c r="D248" s="76" t="s">
        <v>30</v>
      </c>
      <c r="E248" s="78"/>
      <c r="F248" s="76" t="s">
        <v>31</v>
      </c>
      <c r="G248" s="240"/>
      <c r="H248" s="79" t="s">
        <v>40</v>
      </c>
      <c r="I248" s="80">
        <v>6.0000000000000001E-3</v>
      </c>
      <c r="J248" s="81">
        <v>1</v>
      </c>
      <c r="K248" s="82" t="s">
        <v>199</v>
      </c>
      <c r="L248" s="81">
        <v>1</v>
      </c>
      <c r="M248" s="81">
        <v>0</v>
      </c>
      <c r="N248" s="81">
        <v>0</v>
      </c>
      <c r="O248" s="83" t="s">
        <v>80</v>
      </c>
      <c r="P248" s="84">
        <v>6.9444444444444441E-3</v>
      </c>
      <c r="Q248" s="81">
        <v>168</v>
      </c>
      <c r="R248" s="85" t="s">
        <v>114</v>
      </c>
    </row>
    <row r="249" spans="1:18" ht="49.95" customHeight="1" x14ac:dyDescent="0.3">
      <c r="A249" s="18" t="s">
        <v>28</v>
      </c>
      <c r="B249" s="18" t="s">
        <v>35</v>
      </c>
      <c r="C249" s="19">
        <v>0.4236111111111111</v>
      </c>
      <c r="D249" s="18" t="s">
        <v>30</v>
      </c>
      <c r="E249" s="20"/>
      <c r="F249" s="18" t="s">
        <v>31</v>
      </c>
      <c r="G249" s="241"/>
      <c r="H249" s="21" t="s">
        <v>35</v>
      </c>
      <c r="I249" s="22">
        <v>6.0000000000000001E-3</v>
      </c>
      <c r="J249" s="23">
        <v>1</v>
      </c>
      <c r="K249" s="24" t="s">
        <v>207</v>
      </c>
      <c r="L249" s="23">
        <v>1</v>
      </c>
      <c r="M249" s="23">
        <v>0</v>
      </c>
      <c r="N249" s="23">
        <v>0</v>
      </c>
      <c r="O249" s="25" t="s">
        <v>80</v>
      </c>
      <c r="P249" s="26">
        <v>0.4236111111111111</v>
      </c>
      <c r="Q249" s="23">
        <v>168</v>
      </c>
      <c r="R249" s="27" t="s">
        <v>114</v>
      </c>
    </row>
    <row r="250" spans="1:18" ht="49.95" customHeight="1" x14ac:dyDescent="0.3">
      <c r="A250" s="139" t="s">
        <v>28</v>
      </c>
      <c r="B250" s="139" t="s">
        <v>38</v>
      </c>
      <c r="C250" s="140">
        <v>0.61458333333333337</v>
      </c>
      <c r="D250" s="139" t="s">
        <v>30</v>
      </c>
      <c r="E250" s="141"/>
      <c r="F250" s="139" t="s">
        <v>31</v>
      </c>
      <c r="G250" s="241"/>
      <c r="H250" s="103" t="s">
        <v>38</v>
      </c>
      <c r="I250" s="159">
        <v>6.0000000000000001E-3</v>
      </c>
      <c r="J250" s="105">
        <v>1</v>
      </c>
      <c r="K250" s="106" t="s">
        <v>194</v>
      </c>
      <c r="L250" s="105">
        <v>2</v>
      </c>
      <c r="M250" s="105">
        <v>0</v>
      </c>
      <c r="N250" s="105">
        <v>0</v>
      </c>
      <c r="O250" s="107" t="s">
        <v>80</v>
      </c>
      <c r="P250" s="108">
        <v>0.61458333333333337</v>
      </c>
      <c r="Q250" s="105">
        <v>168</v>
      </c>
      <c r="R250" s="109" t="s">
        <v>208</v>
      </c>
    </row>
    <row r="251" spans="1:18" ht="49.95" customHeight="1" thickBot="1" x14ac:dyDescent="0.35">
      <c r="A251" s="207" t="s">
        <v>28</v>
      </c>
      <c r="B251" s="207" t="s">
        <v>48</v>
      </c>
      <c r="C251" s="208">
        <v>0.97916666666666663</v>
      </c>
      <c r="D251" s="207" t="s">
        <v>30</v>
      </c>
      <c r="E251" s="209"/>
      <c r="F251" s="207" t="s">
        <v>31</v>
      </c>
      <c r="G251" s="242"/>
      <c r="H251" s="210" t="s">
        <v>48</v>
      </c>
      <c r="I251" s="223">
        <v>6.0000000000000001E-3</v>
      </c>
      <c r="J251" s="212">
        <v>1</v>
      </c>
      <c r="K251" s="213" t="s">
        <v>209</v>
      </c>
      <c r="L251" s="212">
        <v>1</v>
      </c>
      <c r="M251" s="212">
        <v>0</v>
      </c>
      <c r="N251" s="212">
        <v>0</v>
      </c>
      <c r="O251" s="214" t="s">
        <v>80</v>
      </c>
      <c r="P251" s="215">
        <v>0.97916666666666663</v>
      </c>
      <c r="Q251" s="212">
        <v>168</v>
      </c>
      <c r="R251" s="216" t="s">
        <v>114</v>
      </c>
    </row>
    <row r="252" spans="1:18" ht="17.399999999999999" customHeight="1" thickBot="1" x14ac:dyDescent="0.35">
      <c r="A252" s="265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7"/>
    </row>
    <row r="253" spans="1:18" ht="22.05" customHeight="1" thickTop="1" thickBot="1" x14ac:dyDescent="0.35">
      <c r="A253" s="236" t="s">
        <v>8</v>
      </c>
      <c r="B253" s="234"/>
      <c r="C253" s="234"/>
      <c r="D253" s="234"/>
      <c r="E253" s="234"/>
      <c r="F253" s="235"/>
      <c r="G253" s="68">
        <v>46049</v>
      </c>
      <c r="H253" s="233" t="s">
        <v>9</v>
      </c>
      <c r="I253" s="234"/>
      <c r="J253" s="234"/>
      <c r="K253" s="234"/>
      <c r="L253" s="234"/>
      <c r="M253" s="234"/>
      <c r="N253" s="234"/>
      <c r="O253" s="234"/>
      <c r="P253" s="234"/>
      <c r="Q253" s="234"/>
      <c r="R253" s="235"/>
    </row>
    <row r="254" spans="1:18" ht="24" customHeight="1" x14ac:dyDescent="0.3">
      <c r="A254" s="69" t="s">
        <v>10</v>
      </c>
      <c r="B254" s="69" t="s">
        <v>11</v>
      </c>
      <c r="C254" s="70" t="s">
        <v>12</v>
      </c>
      <c r="D254" s="69" t="s">
        <v>13</v>
      </c>
      <c r="E254" s="69" t="s">
        <v>14</v>
      </c>
      <c r="F254" s="71" t="s">
        <v>15</v>
      </c>
      <c r="G254" s="72" t="s">
        <v>16</v>
      </c>
      <c r="H254" s="69" t="s">
        <v>17</v>
      </c>
      <c r="I254" s="73" t="s">
        <v>18</v>
      </c>
      <c r="J254" s="74" t="s">
        <v>19</v>
      </c>
      <c r="K254" s="75" t="s">
        <v>20</v>
      </c>
      <c r="L254" s="74" t="s">
        <v>21</v>
      </c>
      <c r="M254" s="74" t="s">
        <v>22</v>
      </c>
      <c r="N254" s="74" t="s">
        <v>23</v>
      </c>
      <c r="O254" s="69" t="s">
        <v>24</v>
      </c>
      <c r="P254" s="70" t="s">
        <v>25</v>
      </c>
      <c r="Q254" s="74" t="s">
        <v>26</v>
      </c>
      <c r="R254" s="69" t="s">
        <v>27</v>
      </c>
    </row>
    <row r="255" spans="1:18" ht="15" customHeight="1" x14ac:dyDescent="0.3">
      <c r="A255" s="185" t="s">
        <v>28</v>
      </c>
      <c r="B255" s="185" t="s">
        <v>44</v>
      </c>
      <c r="C255" s="186">
        <v>0.22916666666666671</v>
      </c>
      <c r="D255" s="185" t="s">
        <v>30</v>
      </c>
      <c r="E255" s="187"/>
      <c r="F255" s="185" t="s">
        <v>108</v>
      </c>
      <c r="G255" s="240"/>
      <c r="H255" s="146" t="s">
        <v>44</v>
      </c>
      <c r="I255" s="147">
        <v>0</v>
      </c>
      <c r="J255" s="148">
        <v>0</v>
      </c>
      <c r="K255" s="149" t="s">
        <v>109</v>
      </c>
      <c r="L255" s="148">
        <v>0</v>
      </c>
      <c r="M255" s="148">
        <v>0</v>
      </c>
      <c r="N255" s="148">
        <v>0</v>
      </c>
      <c r="O255" s="150" t="s">
        <v>80</v>
      </c>
      <c r="P255" s="151">
        <v>0.22916666666666671</v>
      </c>
      <c r="Q255" s="148">
        <v>168</v>
      </c>
      <c r="R255" s="152" t="s">
        <v>109</v>
      </c>
    </row>
    <row r="256" spans="1:18" ht="15" customHeight="1" x14ac:dyDescent="0.3">
      <c r="A256" s="38" t="s">
        <v>28</v>
      </c>
      <c r="B256" s="38" t="s">
        <v>40</v>
      </c>
      <c r="C256" s="39">
        <v>0.55902777777777779</v>
      </c>
      <c r="D256" s="38" t="s">
        <v>30</v>
      </c>
      <c r="E256" s="40"/>
      <c r="F256" s="38" t="s">
        <v>108</v>
      </c>
      <c r="G256" s="241"/>
      <c r="H256" s="41" t="s">
        <v>40</v>
      </c>
      <c r="I256" s="42">
        <v>0</v>
      </c>
      <c r="J256" s="43">
        <v>0</v>
      </c>
      <c r="K256" s="44" t="s">
        <v>109</v>
      </c>
      <c r="L256" s="43">
        <v>0</v>
      </c>
      <c r="M256" s="43">
        <v>0</v>
      </c>
      <c r="N256" s="43">
        <v>0</v>
      </c>
      <c r="O256" s="45" t="s">
        <v>80</v>
      </c>
      <c r="P256" s="46">
        <v>0.55902777777777779</v>
      </c>
      <c r="Q256" s="43">
        <v>168</v>
      </c>
      <c r="R256" s="47" t="s">
        <v>109</v>
      </c>
    </row>
    <row r="257" spans="1:18" ht="15" customHeight="1" x14ac:dyDescent="0.3">
      <c r="A257" s="86" t="s">
        <v>28</v>
      </c>
      <c r="B257" s="86" t="s">
        <v>38</v>
      </c>
      <c r="C257" s="87">
        <v>0.61458333333333337</v>
      </c>
      <c r="D257" s="86" t="s">
        <v>30</v>
      </c>
      <c r="E257" s="88"/>
      <c r="F257" s="86" t="s">
        <v>31</v>
      </c>
      <c r="G257" s="241"/>
      <c r="H257" s="11" t="s">
        <v>38</v>
      </c>
      <c r="I257" s="12">
        <v>4.7600000000000003E-2</v>
      </c>
      <c r="J257" s="13">
        <v>8</v>
      </c>
      <c r="K257" s="14" t="s">
        <v>174</v>
      </c>
      <c r="L257" s="13">
        <v>9</v>
      </c>
      <c r="M257" s="13">
        <v>0</v>
      </c>
      <c r="N257" s="13">
        <v>0</v>
      </c>
      <c r="O257" s="15" t="s">
        <v>89</v>
      </c>
      <c r="P257" s="16">
        <v>0.61458333333333337</v>
      </c>
      <c r="Q257" s="13">
        <v>168</v>
      </c>
      <c r="R257" s="17" t="s">
        <v>92</v>
      </c>
    </row>
    <row r="258" spans="1:18" ht="15" customHeight="1" x14ac:dyDescent="0.3">
      <c r="A258" s="28" t="s">
        <v>28</v>
      </c>
      <c r="B258" s="28" t="s">
        <v>48</v>
      </c>
      <c r="C258" s="29">
        <v>0.72916666666666663</v>
      </c>
      <c r="D258" s="28" t="s">
        <v>30</v>
      </c>
      <c r="E258" s="30"/>
      <c r="F258" s="28" t="s">
        <v>108</v>
      </c>
      <c r="G258" s="241"/>
      <c r="H258" s="31" t="s">
        <v>48</v>
      </c>
      <c r="I258" s="32">
        <v>0</v>
      </c>
      <c r="J258" s="33">
        <v>0</v>
      </c>
      <c r="K258" s="34" t="s">
        <v>109</v>
      </c>
      <c r="L258" s="33">
        <v>0</v>
      </c>
      <c r="M258" s="33">
        <v>0</v>
      </c>
      <c r="N258" s="33">
        <v>0</v>
      </c>
      <c r="O258" s="35" t="s">
        <v>80</v>
      </c>
      <c r="P258" s="36">
        <v>0.72916666666666663</v>
      </c>
      <c r="Q258" s="33">
        <v>168</v>
      </c>
      <c r="R258" s="37" t="s">
        <v>109</v>
      </c>
    </row>
    <row r="259" spans="1:18" ht="15" customHeight="1" x14ac:dyDescent="0.3">
      <c r="A259" s="38" t="s">
        <v>28</v>
      </c>
      <c r="B259" s="38" t="s">
        <v>29</v>
      </c>
      <c r="C259" s="39">
        <v>0.93402777777777779</v>
      </c>
      <c r="D259" s="38" t="s">
        <v>30</v>
      </c>
      <c r="E259" s="40"/>
      <c r="F259" s="38" t="s">
        <v>108</v>
      </c>
      <c r="G259" s="241"/>
      <c r="H259" s="41" t="s">
        <v>29</v>
      </c>
      <c r="I259" s="42">
        <v>0</v>
      </c>
      <c r="J259" s="43">
        <v>0</v>
      </c>
      <c r="K259" s="44" t="s">
        <v>109</v>
      </c>
      <c r="L259" s="43">
        <v>0</v>
      </c>
      <c r="M259" s="43">
        <v>0</v>
      </c>
      <c r="N259" s="43">
        <v>0</v>
      </c>
      <c r="O259" s="45" t="s">
        <v>80</v>
      </c>
      <c r="P259" s="46">
        <v>0.93402777777777779</v>
      </c>
      <c r="Q259" s="43">
        <v>168</v>
      </c>
      <c r="R259" s="47" t="s">
        <v>109</v>
      </c>
    </row>
    <row r="260" spans="1:18" ht="15" customHeight="1" thickBot="1" x14ac:dyDescent="0.35">
      <c r="A260" s="161" t="s">
        <v>28</v>
      </c>
      <c r="B260" s="161" t="s">
        <v>35</v>
      </c>
      <c r="C260" s="162">
        <v>0.96875</v>
      </c>
      <c r="D260" s="161" t="s">
        <v>30</v>
      </c>
      <c r="E260" s="163"/>
      <c r="F260" s="161" t="s">
        <v>31</v>
      </c>
      <c r="G260" s="242"/>
      <c r="H260" s="164" t="s">
        <v>35</v>
      </c>
      <c r="I260" s="224">
        <v>0.17860000000000001</v>
      </c>
      <c r="J260" s="166">
        <v>30</v>
      </c>
      <c r="K260" s="167" t="s">
        <v>203</v>
      </c>
      <c r="L260" s="166">
        <v>1</v>
      </c>
      <c r="M260" s="166">
        <v>0</v>
      </c>
      <c r="N260" s="166">
        <v>0</v>
      </c>
      <c r="O260" s="168" t="s">
        <v>80</v>
      </c>
      <c r="P260" s="169">
        <v>0.96875</v>
      </c>
      <c r="Q260" s="166">
        <v>168</v>
      </c>
      <c r="R260" s="170" t="s">
        <v>210</v>
      </c>
    </row>
    <row r="261" spans="1:18" ht="17.399999999999999" customHeight="1" thickBot="1" x14ac:dyDescent="0.35">
      <c r="A261" s="265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7"/>
    </row>
    <row r="262" spans="1:18" ht="22.05" customHeight="1" thickTop="1" thickBot="1" x14ac:dyDescent="0.35">
      <c r="A262" s="236" t="s">
        <v>8</v>
      </c>
      <c r="B262" s="234"/>
      <c r="C262" s="234"/>
      <c r="D262" s="234"/>
      <c r="E262" s="234"/>
      <c r="F262" s="235"/>
      <c r="G262" s="68">
        <v>46050</v>
      </c>
      <c r="H262" s="233" t="s">
        <v>9</v>
      </c>
      <c r="I262" s="234"/>
      <c r="J262" s="234"/>
      <c r="K262" s="234"/>
      <c r="L262" s="234"/>
      <c r="M262" s="234"/>
      <c r="N262" s="234"/>
      <c r="O262" s="234"/>
      <c r="P262" s="234"/>
      <c r="Q262" s="234"/>
      <c r="R262" s="235"/>
    </row>
    <row r="263" spans="1:18" ht="24" customHeight="1" x14ac:dyDescent="0.3">
      <c r="A263" s="69" t="s">
        <v>10</v>
      </c>
      <c r="B263" s="69" t="s">
        <v>11</v>
      </c>
      <c r="C263" s="70" t="s">
        <v>12</v>
      </c>
      <c r="D263" s="69" t="s">
        <v>13</v>
      </c>
      <c r="E263" s="69" t="s">
        <v>14</v>
      </c>
      <c r="F263" s="71" t="s">
        <v>15</v>
      </c>
      <c r="G263" s="72" t="s">
        <v>16</v>
      </c>
      <c r="H263" s="69" t="s">
        <v>17</v>
      </c>
      <c r="I263" s="73" t="s">
        <v>18</v>
      </c>
      <c r="J263" s="74" t="s">
        <v>19</v>
      </c>
      <c r="K263" s="75" t="s">
        <v>20</v>
      </c>
      <c r="L263" s="74" t="s">
        <v>21</v>
      </c>
      <c r="M263" s="74" t="s">
        <v>22</v>
      </c>
      <c r="N263" s="74" t="s">
        <v>23</v>
      </c>
      <c r="O263" s="69" t="s">
        <v>24</v>
      </c>
      <c r="P263" s="70" t="s">
        <v>25</v>
      </c>
      <c r="Q263" s="74" t="s">
        <v>26</v>
      </c>
      <c r="R263" s="69" t="s">
        <v>27</v>
      </c>
    </row>
    <row r="264" spans="1:18" ht="49.95" customHeight="1" x14ac:dyDescent="0.3">
      <c r="A264" s="122" t="s">
        <v>28</v>
      </c>
      <c r="B264" s="122" t="s">
        <v>35</v>
      </c>
      <c r="C264" s="123">
        <v>0.47916666666666669</v>
      </c>
      <c r="D264" s="122" t="s">
        <v>30</v>
      </c>
      <c r="E264" s="124"/>
      <c r="F264" s="122" t="s">
        <v>31</v>
      </c>
      <c r="G264" s="240"/>
      <c r="H264" s="41" t="s">
        <v>35</v>
      </c>
      <c r="I264" s="42">
        <v>1.1900000000000001E-2</v>
      </c>
      <c r="J264" s="43">
        <v>2</v>
      </c>
      <c r="K264" s="44" t="s">
        <v>194</v>
      </c>
      <c r="L264" s="43">
        <v>2</v>
      </c>
      <c r="M264" s="43">
        <v>0</v>
      </c>
      <c r="N264" s="43">
        <v>0</v>
      </c>
      <c r="O264" s="45" t="s">
        <v>92</v>
      </c>
      <c r="P264" s="46">
        <v>0.47916666666666669</v>
      </c>
      <c r="Q264" s="43">
        <v>168</v>
      </c>
      <c r="R264" s="47" t="s">
        <v>89</v>
      </c>
    </row>
    <row r="265" spans="1:18" ht="49.95" customHeight="1" x14ac:dyDescent="0.3">
      <c r="A265" s="201" t="s">
        <v>28</v>
      </c>
      <c r="B265" s="201" t="s">
        <v>48</v>
      </c>
      <c r="C265" s="202">
        <v>0.52083333333333337</v>
      </c>
      <c r="D265" s="201" t="s">
        <v>30</v>
      </c>
      <c r="E265" s="203"/>
      <c r="F265" s="201" t="s">
        <v>31</v>
      </c>
      <c r="G265" s="241"/>
      <c r="H265" s="79" t="s">
        <v>48</v>
      </c>
      <c r="I265" s="80">
        <v>2.87E-2</v>
      </c>
      <c r="J265" s="81">
        <v>5</v>
      </c>
      <c r="K265" s="82" t="s">
        <v>97</v>
      </c>
      <c r="L265" s="81">
        <v>5</v>
      </c>
      <c r="M265" s="81">
        <v>0</v>
      </c>
      <c r="N265" s="81">
        <v>0</v>
      </c>
      <c r="O265" s="83" t="s">
        <v>186</v>
      </c>
      <c r="P265" s="84">
        <v>0.52083333333333337</v>
      </c>
      <c r="Q265" s="81">
        <v>174</v>
      </c>
      <c r="R265" s="85" t="s">
        <v>186</v>
      </c>
    </row>
    <row r="266" spans="1:18" ht="49.95" customHeight="1" thickBot="1" x14ac:dyDescent="0.35">
      <c r="A266" s="126" t="s">
        <v>28</v>
      </c>
      <c r="B266" s="126" t="s">
        <v>38</v>
      </c>
      <c r="C266" s="127">
        <v>0.61458333333333337</v>
      </c>
      <c r="D266" s="126" t="s">
        <v>30</v>
      </c>
      <c r="E266" s="128"/>
      <c r="F266" s="126" t="s">
        <v>31</v>
      </c>
      <c r="G266" s="242"/>
      <c r="H266" s="129" t="s">
        <v>38</v>
      </c>
      <c r="I266" s="225">
        <v>3.5700000000000003E-2</v>
      </c>
      <c r="J266" s="131">
        <v>6</v>
      </c>
      <c r="K266" s="132" t="s">
        <v>166</v>
      </c>
      <c r="L266" s="131">
        <v>7</v>
      </c>
      <c r="M266" s="131">
        <v>0</v>
      </c>
      <c r="N266" s="131">
        <v>0</v>
      </c>
      <c r="O266" s="133" t="s">
        <v>133</v>
      </c>
      <c r="P266" s="134">
        <v>0.61458333333333337</v>
      </c>
      <c r="Q266" s="131">
        <v>168</v>
      </c>
      <c r="R266" s="135" t="s">
        <v>87</v>
      </c>
    </row>
    <row r="267" spans="1:18" ht="17.399999999999999" customHeight="1" thickBot="1" x14ac:dyDescent="0.35">
      <c r="A267" s="265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7"/>
    </row>
    <row r="268" spans="1:18" ht="22.05" customHeight="1" thickTop="1" thickBot="1" x14ac:dyDescent="0.35">
      <c r="A268" s="236" t="s">
        <v>8</v>
      </c>
      <c r="B268" s="234"/>
      <c r="C268" s="234"/>
      <c r="D268" s="234"/>
      <c r="E268" s="234"/>
      <c r="F268" s="235"/>
      <c r="G268" s="68">
        <v>46051</v>
      </c>
      <c r="H268" s="233" t="s">
        <v>9</v>
      </c>
      <c r="I268" s="234"/>
      <c r="J268" s="234"/>
      <c r="K268" s="234"/>
      <c r="L268" s="234"/>
      <c r="M268" s="234"/>
      <c r="N268" s="234"/>
      <c r="O268" s="234"/>
      <c r="P268" s="234"/>
      <c r="Q268" s="234"/>
      <c r="R268" s="235"/>
    </row>
    <row r="269" spans="1:18" ht="24" customHeight="1" x14ac:dyDescent="0.3">
      <c r="A269" s="69" t="s">
        <v>10</v>
      </c>
      <c r="B269" s="69" t="s">
        <v>11</v>
      </c>
      <c r="C269" s="70" t="s">
        <v>12</v>
      </c>
      <c r="D269" s="69" t="s">
        <v>13</v>
      </c>
      <c r="E269" s="69" t="s">
        <v>14</v>
      </c>
      <c r="F269" s="71" t="s">
        <v>15</v>
      </c>
      <c r="G269" s="72" t="s">
        <v>16</v>
      </c>
      <c r="H269" s="69" t="s">
        <v>17</v>
      </c>
      <c r="I269" s="73" t="s">
        <v>18</v>
      </c>
      <c r="J269" s="74" t="s">
        <v>19</v>
      </c>
      <c r="K269" s="75" t="s">
        <v>20</v>
      </c>
      <c r="L269" s="74" t="s">
        <v>21</v>
      </c>
      <c r="M269" s="74" t="s">
        <v>22</v>
      </c>
      <c r="N269" s="74" t="s">
        <v>23</v>
      </c>
      <c r="O269" s="69" t="s">
        <v>24</v>
      </c>
      <c r="P269" s="70" t="s">
        <v>25</v>
      </c>
      <c r="Q269" s="74" t="s">
        <v>26</v>
      </c>
      <c r="R269" s="69" t="s">
        <v>27</v>
      </c>
    </row>
    <row r="270" spans="1:18" ht="15" customHeight="1" x14ac:dyDescent="0.3">
      <c r="A270" s="8" t="s">
        <v>28</v>
      </c>
      <c r="B270" s="8" t="s">
        <v>29</v>
      </c>
      <c r="C270" s="9">
        <v>4.8611111111111112E-2</v>
      </c>
      <c r="D270" s="8" t="s">
        <v>30</v>
      </c>
      <c r="E270" s="10"/>
      <c r="F270" s="8" t="s">
        <v>108</v>
      </c>
      <c r="G270" s="240"/>
      <c r="H270" s="11" t="s">
        <v>29</v>
      </c>
      <c r="I270" s="12">
        <v>0</v>
      </c>
      <c r="J270" s="13">
        <v>0</v>
      </c>
      <c r="K270" s="14" t="s">
        <v>109</v>
      </c>
      <c r="L270" s="13">
        <v>0</v>
      </c>
      <c r="M270" s="13">
        <v>0</v>
      </c>
      <c r="N270" s="13">
        <v>0</v>
      </c>
      <c r="O270" s="15" t="s">
        <v>80</v>
      </c>
      <c r="P270" s="16">
        <v>4.8611111111111112E-2</v>
      </c>
      <c r="Q270" s="13">
        <v>168</v>
      </c>
      <c r="R270" s="17" t="s">
        <v>109</v>
      </c>
    </row>
    <row r="271" spans="1:18" ht="15" customHeight="1" x14ac:dyDescent="0.3">
      <c r="A271" s="48" t="s">
        <v>28</v>
      </c>
      <c r="B271" s="48" t="s">
        <v>44</v>
      </c>
      <c r="C271" s="49">
        <v>0.1145833333333333</v>
      </c>
      <c r="D271" s="48" t="s">
        <v>30</v>
      </c>
      <c r="E271" s="50"/>
      <c r="F271" s="48" t="s">
        <v>31</v>
      </c>
      <c r="G271" s="241"/>
      <c r="H271" s="51" t="s">
        <v>44</v>
      </c>
      <c r="I271" s="52">
        <v>2.3800000000000002E-2</v>
      </c>
      <c r="J271" s="53">
        <v>4</v>
      </c>
      <c r="K271" s="54" t="s">
        <v>94</v>
      </c>
      <c r="L271" s="53">
        <v>4</v>
      </c>
      <c r="M271" s="53">
        <v>0</v>
      </c>
      <c r="N271" s="53">
        <v>0</v>
      </c>
      <c r="O271" s="55" t="s">
        <v>87</v>
      </c>
      <c r="P271" s="56">
        <v>0.1145833333333333</v>
      </c>
      <c r="Q271" s="53">
        <v>168</v>
      </c>
      <c r="R271" s="57" t="s">
        <v>133</v>
      </c>
    </row>
    <row r="272" spans="1:18" ht="15" customHeight="1" x14ac:dyDescent="0.3">
      <c r="A272" s="139" t="s">
        <v>28</v>
      </c>
      <c r="B272" s="139" t="s">
        <v>51</v>
      </c>
      <c r="C272" s="140">
        <v>0.25347222222222221</v>
      </c>
      <c r="D272" s="139" t="s">
        <v>30</v>
      </c>
      <c r="E272" s="141"/>
      <c r="F272" s="139" t="s">
        <v>49</v>
      </c>
      <c r="G272" s="241"/>
      <c r="H272" s="103" t="s">
        <v>51</v>
      </c>
      <c r="I272" s="142">
        <v>0.64880000000000004</v>
      </c>
      <c r="J272" s="105">
        <v>109</v>
      </c>
      <c r="K272" s="106" t="s">
        <v>183</v>
      </c>
      <c r="L272" s="105">
        <v>8</v>
      </c>
      <c r="M272" s="105">
        <v>0</v>
      </c>
      <c r="N272" s="105">
        <v>0</v>
      </c>
      <c r="O272" s="107" t="s">
        <v>87</v>
      </c>
      <c r="P272" s="108">
        <v>0.25347222222222221</v>
      </c>
      <c r="Q272" s="105">
        <v>168</v>
      </c>
      <c r="R272" s="109" t="s">
        <v>211</v>
      </c>
    </row>
    <row r="273" spans="1:18" ht="15" customHeight="1" x14ac:dyDescent="0.3">
      <c r="A273" s="48" t="s">
        <v>28</v>
      </c>
      <c r="B273" s="48" t="s">
        <v>35</v>
      </c>
      <c r="C273" s="49">
        <v>0.33333333333333331</v>
      </c>
      <c r="D273" s="48" t="s">
        <v>30</v>
      </c>
      <c r="E273" s="50"/>
      <c r="F273" s="48" t="s">
        <v>108</v>
      </c>
      <c r="G273" s="241"/>
      <c r="H273" s="51" t="s">
        <v>35</v>
      </c>
      <c r="I273" s="52">
        <v>0</v>
      </c>
      <c r="J273" s="53">
        <v>0</v>
      </c>
      <c r="K273" s="54" t="s">
        <v>109</v>
      </c>
      <c r="L273" s="53">
        <v>0</v>
      </c>
      <c r="M273" s="53">
        <v>0</v>
      </c>
      <c r="N273" s="53">
        <v>0</v>
      </c>
      <c r="O273" s="55" t="s">
        <v>80</v>
      </c>
      <c r="P273" s="56">
        <v>0.33333333333333331</v>
      </c>
      <c r="Q273" s="53">
        <v>168</v>
      </c>
      <c r="R273" s="57" t="s">
        <v>109</v>
      </c>
    </row>
    <row r="274" spans="1:18" ht="15" customHeight="1" x14ac:dyDescent="0.3">
      <c r="A274" s="201" t="s">
        <v>28</v>
      </c>
      <c r="B274" s="201" t="s">
        <v>101</v>
      </c>
      <c r="C274" s="202">
        <v>0.36458333333333331</v>
      </c>
      <c r="D274" s="201" t="s">
        <v>30</v>
      </c>
      <c r="E274" s="203"/>
      <c r="F274" s="201" t="s">
        <v>108</v>
      </c>
      <c r="G274" s="241"/>
      <c r="H274" s="79" t="s">
        <v>101</v>
      </c>
      <c r="I274" s="80">
        <v>0</v>
      </c>
      <c r="J274" s="81">
        <v>0</v>
      </c>
      <c r="K274" s="82" t="s">
        <v>109</v>
      </c>
      <c r="L274" s="81">
        <v>0</v>
      </c>
      <c r="M274" s="81">
        <v>0</v>
      </c>
      <c r="N274" s="81">
        <v>0</v>
      </c>
      <c r="O274" s="83" t="s">
        <v>102</v>
      </c>
      <c r="P274" s="84">
        <v>0.36458333333333331</v>
      </c>
      <c r="Q274" s="81">
        <v>168</v>
      </c>
      <c r="R274" s="85" t="s">
        <v>109</v>
      </c>
    </row>
    <row r="275" spans="1:18" ht="15" customHeight="1" x14ac:dyDescent="0.3">
      <c r="A275" s="38" t="s">
        <v>28</v>
      </c>
      <c r="B275" s="38" t="s">
        <v>38</v>
      </c>
      <c r="C275" s="39">
        <v>0.58333333333333337</v>
      </c>
      <c r="D275" s="38" t="s">
        <v>30</v>
      </c>
      <c r="E275" s="40"/>
      <c r="F275" s="38" t="s">
        <v>31</v>
      </c>
      <c r="G275" s="241"/>
      <c r="H275" s="41" t="s">
        <v>38</v>
      </c>
      <c r="I275" s="42">
        <v>2.3800000000000002E-2</v>
      </c>
      <c r="J275" s="43">
        <v>4</v>
      </c>
      <c r="K275" s="44" t="s">
        <v>97</v>
      </c>
      <c r="L275" s="43">
        <v>4</v>
      </c>
      <c r="M275" s="43">
        <v>0</v>
      </c>
      <c r="N275" s="43">
        <v>0</v>
      </c>
      <c r="O275" s="45" t="s">
        <v>87</v>
      </c>
      <c r="P275" s="46">
        <v>0.58333333333333337</v>
      </c>
      <c r="Q275" s="43">
        <v>168</v>
      </c>
      <c r="R275" s="47" t="s">
        <v>133</v>
      </c>
    </row>
    <row r="276" spans="1:18" ht="15" customHeight="1" thickBot="1" x14ac:dyDescent="0.35">
      <c r="A276" s="207" t="s">
        <v>28</v>
      </c>
      <c r="B276" s="207" t="s">
        <v>40</v>
      </c>
      <c r="C276" s="208">
        <v>0.73958333333333337</v>
      </c>
      <c r="D276" s="207" t="s">
        <v>30</v>
      </c>
      <c r="E276" s="209"/>
      <c r="F276" s="207" t="s">
        <v>31</v>
      </c>
      <c r="G276" s="242"/>
      <c r="H276" s="210" t="s">
        <v>40</v>
      </c>
      <c r="I276" s="223">
        <v>4.7600000000000003E-2</v>
      </c>
      <c r="J276" s="212">
        <v>8</v>
      </c>
      <c r="K276" s="213" t="s">
        <v>113</v>
      </c>
      <c r="L276" s="212">
        <v>8</v>
      </c>
      <c r="M276" s="212">
        <v>0</v>
      </c>
      <c r="N276" s="212">
        <v>0</v>
      </c>
      <c r="O276" s="214" t="s">
        <v>89</v>
      </c>
      <c r="P276" s="215">
        <v>0.73958333333333337</v>
      </c>
      <c r="Q276" s="212">
        <v>168</v>
      </c>
      <c r="R276" s="216" t="s">
        <v>92</v>
      </c>
    </row>
    <row r="277" spans="1:18" ht="17.399999999999999" customHeight="1" thickBot="1" x14ac:dyDescent="0.35">
      <c r="A277" s="265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7"/>
    </row>
    <row r="278" spans="1:18" ht="22.05" customHeight="1" thickTop="1" thickBot="1" x14ac:dyDescent="0.35">
      <c r="A278" s="236" t="s">
        <v>8</v>
      </c>
      <c r="B278" s="234"/>
      <c r="C278" s="234"/>
      <c r="D278" s="234"/>
      <c r="E278" s="234"/>
      <c r="F278" s="235"/>
      <c r="G278" s="68">
        <v>46052</v>
      </c>
      <c r="H278" s="233" t="s">
        <v>9</v>
      </c>
      <c r="I278" s="234"/>
      <c r="J278" s="234"/>
      <c r="K278" s="234"/>
      <c r="L278" s="234"/>
      <c r="M278" s="234"/>
      <c r="N278" s="234"/>
      <c r="O278" s="234"/>
      <c r="P278" s="234"/>
      <c r="Q278" s="234"/>
      <c r="R278" s="235"/>
    </row>
    <row r="279" spans="1:18" ht="24" customHeight="1" x14ac:dyDescent="0.3">
      <c r="A279" s="69" t="s">
        <v>10</v>
      </c>
      <c r="B279" s="69" t="s">
        <v>11</v>
      </c>
      <c r="C279" s="70" t="s">
        <v>12</v>
      </c>
      <c r="D279" s="69" t="s">
        <v>13</v>
      </c>
      <c r="E279" s="69" t="s">
        <v>14</v>
      </c>
      <c r="F279" s="71" t="s">
        <v>15</v>
      </c>
      <c r="G279" s="72" t="s">
        <v>16</v>
      </c>
      <c r="H279" s="69" t="s">
        <v>17</v>
      </c>
      <c r="I279" s="73" t="s">
        <v>18</v>
      </c>
      <c r="J279" s="74" t="s">
        <v>19</v>
      </c>
      <c r="K279" s="75" t="s">
        <v>20</v>
      </c>
      <c r="L279" s="74" t="s">
        <v>21</v>
      </c>
      <c r="M279" s="74" t="s">
        <v>22</v>
      </c>
      <c r="N279" s="74" t="s">
        <v>23</v>
      </c>
      <c r="O279" s="69" t="s">
        <v>24</v>
      </c>
      <c r="P279" s="70" t="s">
        <v>25</v>
      </c>
      <c r="Q279" s="74" t="s">
        <v>26</v>
      </c>
      <c r="R279" s="69" t="s">
        <v>27</v>
      </c>
    </row>
    <row r="280" spans="1:18" ht="15" customHeight="1" x14ac:dyDescent="0.3">
      <c r="A280" s="154" t="s">
        <v>28</v>
      </c>
      <c r="B280" s="154" t="s">
        <v>29</v>
      </c>
      <c r="C280" s="155">
        <v>0.1145833333333333</v>
      </c>
      <c r="D280" s="154" t="s">
        <v>30</v>
      </c>
      <c r="E280" s="156"/>
      <c r="F280" s="154" t="s">
        <v>31</v>
      </c>
      <c r="G280" s="240"/>
      <c r="H280" s="31" t="s">
        <v>29</v>
      </c>
      <c r="I280" s="32">
        <v>6.0000000000000001E-3</v>
      </c>
      <c r="J280" s="33">
        <v>1</v>
      </c>
      <c r="K280" s="34" t="s">
        <v>113</v>
      </c>
      <c r="L280" s="33">
        <v>1</v>
      </c>
      <c r="M280" s="33">
        <v>0</v>
      </c>
      <c r="N280" s="33">
        <v>0</v>
      </c>
      <c r="O280" s="35" t="s">
        <v>80</v>
      </c>
      <c r="P280" s="36">
        <v>0.1145833333333333</v>
      </c>
      <c r="Q280" s="33">
        <v>168</v>
      </c>
      <c r="R280" s="37" t="s">
        <v>114</v>
      </c>
    </row>
    <row r="281" spans="1:18" ht="15" customHeight="1" x14ac:dyDescent="0.3">
      <c r="A281" s="18" t="s">
        <v>28</v>
      </c>
      <c r="B281" s="18" t="s">
        <v>35</v>
      </c>
      <c r="C281" s="19">
        <v>0.31944444444444448</v>
      </c>
      <c r="D281" s="18" t="s">
        <v>30</v>
      </c>
      <c r="E281" s="20"/>
      <c r="F281" s="18" t="s">
        <v>31</v>
      </c>
      <c r="G281" s="241"/>
      <c r="H281" s="21" t="s">
        <v>35</v>
      </c>
      <c r="I281" s="22">
        <v>6.0000000000000001E-3</v>
      </c>
      <c r="J281" s="23">
        <v>1</v>
      </c>
      <c r="K281" s="24" t="s">
        <v>212</v>
      </c>
      <c r="L281" s="23">
        <v>1</v>
      </c>
      <c r="M281" s="23">
        <v>0</v>
      </c>
      <c r="N281" s="23">
        <v>0</v>
      </c>
      <c r="O281" s="25" t="s">
        <v>80</v>
      </c>
      <c r="P281" s="26">
        <v>0.31944444444444448</v>
      </c>
      <c r="Q281" s="23">
        <v>168</v>
      </c>
      <c r="R281" s="27" t="s">
        <v>114</v>
      </c>
    </row>
    <row r="282" spans="1:18" ht="15" customHeight="1" x14ac:dyDescent="0.3">
      <c r="A282" s="86" t="s">
        <v>28</v>
      </c>
      <c r="B282" s="86" t="s">
        <v>38</v>
      </c>
      <c r="C282" s="87">
        <v>0.45833333333333331</v>
      </c>
      <c r="D282" s="86" t="s">
        <v>30</v>
      </c>
      <c r="E282" s="88"/>
      <c r="F282" s="86" t="s">
        <v>108</v>
      </c>
      <c r="G282" s="241"/>
      <c r="H282" s="11" t="s">
        <v>38</v>
      </c>
      <c r="I282" s="12">
        <v>0</v>
      </c>
      <c r="J282" s="13">
        <v>0</v>
      </c>
      <c r="K282" s="14" t="s">
        <v>109</v>
      </c>
      <c r="L282" s="13">
        <v>0</v>
      </c>
      <c r="M282" s="13">
        <v>0</v>
      </c>
      <c r="N282" s="13">
        <v>0</v>
      </c>
      <c r="O282" s="15" t="s">
        <v>80</v>
      </c>
      <c r="P282" s="16">
        <v>0.45833333333333331</v>
      </c>
      <c r="Q282" s="13">
        <v>168</v>
      </c>
      <c r="R282" s="17" t="s">
        <v>109</v>
      </c>
    </row>
    <row r="283" spans="1:18" ht="15" customHeight="1" x14ac:dyDescent="0.3">
      <c r="A283" s="139" t="s">
        <v>28</v>
      </c>
      <c r="B283" s="139" t="s">
        <v>40</v>
      </c>
      <c r="C283" s="140">
        <v>0.61458333333333337</v>
      </c>
      <c r="D283" s="139" t="s">
        <v>30</v>
      </c>
      <c r="E283" s="141"/>
      <c r="F283" s="139" t="s">
        <v>31</v>
      </c>
      <c r="G283" s="241"/>
      <c r="H283" s="103" t="s">
        <v>40</v>
      </c>
      <c r="I283" s="159">
        <v>4.7600000000000003E-2</v>
      </c>
      <c r="J283" s="105">
        <v>8</v>
      </c>
      <c r="K283" s="106" t="s">
        <v>174</v>
      </c>
      <c r="L283" s="105">
        <v>8</v>
      </c>
      <c r="M283" s="105">
        <v>0</v>
      </c>
      <c r="N283" s="105">
        <v>0</v>
      </c>
      <c r="O283" s="107" t="s">
        <v>89</v>
      </c>
      <c r="P283" s="108">
        <v>0.61458333333333337</v>
      </c>
      <c r="Q283" s="105">
        <v>168</v>
      </c>
      <c r="R283" s="109" t="s">
        <v>92</v>
      </c>
    </row>
    <row r="284" spans="1:18" ht="15" customHeight="1" x14ac:dyDescent="0.3">
      <c r="A284" s="86" t="s">
        <v>28</v>
      </c>
      <c r="B284" s="86" t="s">
        <v>44</v>
      </c>
      <c r="C284" s="87">
        <v>0.73611111111111116</v>
      </c>
      <c r="D284" s="86" t="s">
        <v>30</v>
      </c>
      <c r="E284" s="88"/>
      <c r="F284" s="86" t="s">
        <v>31</v>
      </c>
      <c r="G284" s="241"/>
      <c r="H284" s="11" t="s">
        <v>44</v>
      </c>
      <c r="I284" s="12">
        <v>7.7399999999999997E-2</v>
      </c>
      <c r="J284" s="13">
        <v>13</v>
      </c>
      <c r="K284" s="14" t="s">
        <v>97</v>
      </c>
      <c r="L284" s="13">
        <v>13</v>
      </c>
      <c r="M284" s="13">
        <v>0</v>
      </c>
      <c r="N284" s="13">
        <v>0</v>
      </c>
      <c r="O284" s="15" t="s">
        <v>102</v>
      </c>
      <c r="P284" s="16">
        <v>0.73611111111111116</v>
      </c>
      <c r="Q284" s="13">
        <v>168</v>
      </c>
      <c r="R284" s="17" t="s">
        <v>213</v>
      </c>
    </row>
    <row r="285" spans="1:18" ht="15" customHeight="1" thickBot="1" x14ac:dyDescent="0.35">
      <c r="A285" s="207" t="s">
        <v>28</v>
      </c>
      <c r="B285" s="207" t="s">
        <v>48</v>
      </c>
      <c r="C285" s="208">
        <v>0.9375</v>
      </c>
      <c r="D285" s="207" t="s">
        <v>30</v>
      </c>
      <c r="E285" s="209"/>
      <c r="F285" s="207" t="s">
        <v>31</v>
      </c>
      <c r="G285" s="242"/>
      <c r="H285" s="210" t="s">
        <v>48</v>
      </c>
      <c r="I285" s="223">
        <v>1.1900000000000001E-2</v>
      </c>
      <c r="J285" s="212">
        <v>2</v>
      </c>
      <c r="K285" s="213" t="s">
        <v>140</v>
      </c>
      <c r="L285" s="212">
        <v>2</v>
      </c>
      <c r="M285" s="212">
        <v>0</v>
      </c>
      <c r="N285" s="212">
        <v>0</v>
      </c>
      <c r="O285" s="214" t="s">
        <v>92</v>
      </c>
      <c r="P285" s="215">
        <v>0.9375</v>
      </c>
      <c r="Q285" s="212">
        <v>168</v>
      </c>
      <c r="R285" s="216" t="s">
        <v>89</v>
      </c>
    </row>
    <row r="286" spans="1:18" ht="17.399999999999999" customHeight="1" thickBot="1" x14ac:dyDescent="0.35">
      <c r="A286" s="265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7"/>
    </row>
    <row r="287" spans="1:18" ht="22.05" customHeight="1" thickTop="1" thickBot="1" x14ac:dyDescent="0.35">
      <c r="A287" s="236" t="s">
        <v>8</v>
      </c>
      <c r="B287" s="234"/>
      <c r="C287" s="234"/>
      <c r="D287" s="234"/>
      <c r="E287" s="234"/>
      <c r="F287" s="235"/>
      <c r="G287" s="68">
        <v>46053</v>
      </c>
      <c r="H287" s="233" t="s">
        <v>9</v>
      </c>
      <c r="I287" s="234"/>
      <c r="J287" s="234"/>
      <c r="K287" s="234"/>
      <c r="L287" s="234"/>
      <c r="M287" s="234"/>
      <c r="N287" s="234"/>
      <c r="O287" s="234"/>
      <c r="P287" s="234"/>
      <c r="Q287" s="234"/>
      <c r="R287" s="235"/>
    </row>
    <row r="288" spans="1:18" ht="24" customHeight="1" x14ac:dyDescent="0.3">
      <c r="A288" s="69" t="s">
        <v>10</v>
      </c>
      <c r="B288" s="69" t="s">
        <v>11</v>
      </c>
      <c r="C288" s="70" t="s">
        <v>12</v>
      </c>
      <c r="D288" s="69" t="s">
        <v>13</v>
      </c>
      <c r="E288" s="69" t="s">
        <v>14</v>
      </c>
      <c r="F288" s="71" t="s">
        <v>15</v>
      </c>
      <c r="G288" s="72" t="s">
        <v>16</v>
      </c>
      <c r="H288" s="69" t="s">
        <v>17</v>
      </c>
      <c r="I288" s="73" t="s">
        <v>18</v>
      </c>
      <c r="J288" s="74" t="s">
        <v>19</v>
      </c>
      <c r="K288" s="75" t="s">
        <v>20</v>
      </c>
      <c r="L288" s="74" t="s">
        <v>21</v>
      </c>
      <c r="M288" s="74" t="s">
        <v>22</v>
      </c>
      <c r="N288" s="74" t="s">
        <v>23</v>
      </c>
      <c r="O288" s="69" t="s">
        <v>24</v>
      </c>
      <c r="P288" s="70" t="s">
        <v>25</v>
      </c>
      <c r="Q288" s="74" t="s">
        <v>26</v>
      </c>
      <c r="R288" s="69" t="s">
        <v>27</v>
      </c>
    </row>
    <row r="289" spans="1:18" ht="49.95" customHeight="1" x14ac:dyDescent="0.3">
      <c r="A289" s="136" t="s">
        <v>28</v>
      </c>
      <c r="B289" s="136" t="s">
        <v>51</v>
      </c>
      <c r="C289" s="137">
        <v>0.2361111111111111</v>
      </c>
      <c r="D289" s="136" t="s">
        <v>30</v>
      </c>
      <c r="E289" s="138"/>
      <c r="F289" s="136" t="s">
        <v>49</v>
      </c>
      <c r="G289" s="240"/>
      <c r="H289" s="21" t="s">
        <v>51</v>
      </c>
      <c r="I289" s="22">
        <v>0.31609999999999999</v>
      </c>
      <c r="J289" s="23">
        <v>55</v>
      </c>
      <c r="K289" s="24" t="s">
        <v>97</v>
      </c>
      <c r="L289" s="23">
        <v>12</v>
      </c>
      <c r="M289" s="23">
        <v>0</v>
      </c>
      <c r="N289" s="23">
        <v>0</v>
      </c>
      <c r="O289" s="25" t="s">
        <v>102</v>
      </c>
      <c r="P289" s="26">
        <v>0.2361111111111111</v>
      </c>
      <c r="Q289" s="23">
        <v>174</v>
      </c>
      <c r="R289" s="27" t="s">
        <v>214</v>
      </c>
    </row>
    <row r="290" spans="1:18" ht="49.95" customHeight="1" x14ac:dyDescent="0.3">
      <c r="A290" s="28" t="s">
        <v>28</v>
      </c>
      <c r="B290" s="28" t="s">
        <v>35</v>
      </c>
      <c r="C290" s="29">
        <v>0.33333333333333331</v>
      </c>
      <c r="D290" s="28" t="s">
        <v>30</v>
      </c>
      <c r="E290" s="30"/>
      <c r="F290" s="28" t="s">
        <v>31</v>
      </c>
      <c r="G290" s="241"/>
      <c r="H290" s="31" t="s">
        <v>35</v>
      </c>
      <c r="I290" s="32">
        <v>6.0000000000000001E-3</v>
      </c>
      <c r="J290" s="33">
        <v>1</v>
      </c>
      <c r="K290" s="34" t="s">
        <v>177</v>
      </c>
      <c r="L290" s="33">
        <v>1</v>
      </c>
      <c r="M290" s="33">
        <v>0</v>
      </c>
      <c r="N290" s="33">
        <v>0</v>
      </c>
      <c r="O290" s="35" t="s">
        <v>80</v>
      </c>
      <c r="P290" s="36">
        <v>0.33333333333333331</v>
      </c>
      <c r="Q290" s="33">
        <v>168</v>
      </c>
      <c r="R290" s="37" t="s">
        <v>114</v>
      </c>
    </row>
    <row r="291" spans="1:18" ht="49.95" customHeight="1" thickBot="1" x14ac:dyDescent="0.35">
      <c r="A291" s="112" t="s">
        <v>28</v>
      </c>
      <c r="B291" s="112" t="s">
        <v>38</v>
      </c>
      <c r="C291" s="113">
        <v>0.68055555555555547</v>
      </c>
      <c r="D291" s="112" t="s">
        <v>30</v>
      </c>
      <c r="E291" s="114"/>
      <c r="F291" s="112" t="s">
        <v>31</v>
      </c>
      <c r="G291" s="242"/>
      <c r="H291" s="115" t="s">
        <v>38</v>
      </c>
      <c r="I291" s="220">
        <v>5.3600000000000002E-2</v>
      </c>
      <c r="J291" s="117">
        <v>9</v>
      </c>
      <c r="K291" s="118" t="s">
        <v>91</v>
      </c>
      <c r="L291" s="117">
        <v>10</v>
      </c>
      <c r="M291" s="117">
        <v>0</v>
      </c>
      <c r="N291" s="117">
        <v>0</v>
      </c>
      <c r="O291" s="119" t="s">
        <v>89</v>
      </c>
      <c r="P291" s="120">
        <v>0.68055555555555547</v>
      </c>
      <c r="Q291" s="117">
        <v>168</v>
      </c>
      <c r="R291" s="121" t="s">
        <v>215</v>
      </c>
    </row>
    <row r="292" spans="1:18" ht="17.399999999999999" customHeight="1" thickBot="1" x14ac:dyDescent="0.35">
      <c r="A292" s="265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7"/>
    </row>
    <row r="293" spans="1:18" ht="22.05" customHeight="1" thickTop="1" thickBot="1" x14ac:dyDescent="0.35">
      <c r="A293" s="236" t="s">
        <v>8</v>
      </c>
      <c r="B293" s="234"/>
      <c r="C293" s="234"/>
      <c r="D293" s="234"/>
      <c r="E293" s="234"/>
      <c r="F293" s="235"/>
      <c r="G293" s="68">
        <v>46054</v>
      </c>
      <c r="H293" s="233" t="s">
        <v>9</v>
      </c>
      <c r="I293" s="234"/>
      <c r="J293" s="234"/>
      <c r="K293" s="234"/>
      <c r="L293" s="234"/>
      <c r="M293" s="234"/>
      <c r="N293" s="234"/>
      <c r="O293" s="234"/>
      <c r="P293" s="234"/>
      <c r="Q293" s="234"/>
      <c r="R293" s="235"/>
    </row>
    <row r="294" spans="1:18" ht="24" customHeight="1" x14ac:dyDescent="0.3">
      <c r="A294" s="69" t="s">
        <v>10</v>
      </c>
      <c r="B294" s="69" t="s">
        <v>11</v>
      </c>
      <c r="C294" s="70" t="s">
        <v>12</v>
      </c>
      <c r="D294" s="69" t="s">
        <v>13</v>
      </c>
      <c r="E294" s="69" t="s">
        <v>14</v>
      </c>
      <c r="F294" s="71" t="s">
        <v>15</v>
      </c>
      <c r="G294" s="72" t="s">
        <v>16</v>
      </c>
      <c r="H294" s="69" t="s">
        <v>17</v>
      </c>
      <c r="I294" s="73" t="s">
        <v>18</v>
      </c>
      <c r="J294" s="74" t="s">
        <v>19</v>
      </c>
      <c r="K294" s="75" t="s">
        <v>20</v>
      </c>
      <c r="L294" s="74" t="s">
        <v>21</v>
      </c>
      <c r="M294" s="74" t="s">
        <v>22</v>
      </c>
      <c r="N294" s="74" t="s">
        <v>23</v>
      </c>
      <c r="O294" s="69" t="s">
        <v>24</v>
      </c>
      <c r="P294" s="70" t="s">
        <v>25</v>
      </c>
      <c r="Q294" s="74" t="s">
        <v>26</v>
      </c>
      <c r="R294" s="69" t="s">
        <v>27</v>
      </c>
    </row>
    <row r="295" spans="1:18" ht="49.95" customHeight="1" x14ac:dyDescent="0.3">
      <c r="A295" s="8" t="s">
        <v>28</v>
      </c>
      <c r="B295" s="8" t="s">
        <v>29</v>
      </c>
      <c r="C295" s="9">
        <v>8.3333333333333329E-2</v>
      </c>
      <c r="D295" s="8" t="s">
        <v>30</v>
      </c>
      <c r="E295" s="10"/>
      <c r="F295" s="8" t="s">
        <v>31</v>
      </c>
      <c r="G295" s="240"/>
      <c r="H295" s="11" t="s">
        <v>29</v>
      </c>
      <c r="I295" s="12">
        <v>0.22620000000000001</v>
      </c>
      <c r="J295" s="13">
        <v>38</v>
      </c>
      <c r="K295" s="14" t="s">
        <v>110</v>
      </c>
      <c r="L295" s="13">
        <v>14</v>
      </c>
      <c r="M295" s="13">
        <v>0</v>
      </c>
      <c r="N295" s="13">
        <v>0</v>
      </c>
      <c r="O295" s="15" t="s">
        <v>73</v>
      </c>
      <c r="P295" s="16">
        <v>8.3333333333333329E-2</v>
      </c>
      <c r="Q295" s="13">
        <v>168</v>
      </c>
      <c r="R295" s="17" t="s">
        <v>216</v>
      </c>
    </row>
    <row r="296" spans="1:18" ht="49.95" customHeight="1" x14ac:dyDescent="0.3">
      <c r="A296" s="28" t="s">
        <v>28</v>
      </c>
      <c r="B296" s="28" t="s">
        <v>35</v>
      </c>
      <c r="C296" s="29">
        <v>0.31944444444444448</v>
      </c>
      <c r="D296" s="28" t="s">
        <v>30</v>
      </c>
      <c r="E296" s="30"/>
      <c r="F296" s="28" t="s">
        <v>31</v>
      </c>
      <c r="G296" s="241"/>
      <c r="H296" s="31" t="s">
        <v>35</v>
      </c>
      <c r="I296" s="32">
        <v>2.3800000000000002E-2</v>
      </c>
      <c r="J296" s="33">
        <v>4</v>
      </c>
      <c r="K296" s="34" t="s">
        <v>166</v>
      </c>
      <c r="L296" s="33">
        <v>5</v>
      </c>
      <c r="M296" s="33">
        <v>0</v>
      </c>
      <c r="N296" s="33">
        <v>0</v>
      </c>
      <c r="O296" s="35" t="s">
        <v>87</v>
      </c>
      <c r="P296" s="36">
        <v>0.31944444444444448</v>
      </c>
      <c r="Q296" s="33">
        <v>168</v>
      </c>
      <c r="R296" s="37" t="s">
        <v>133</v>
      </c>
    </row>
    <row r="297" spans="1:18" ht="49.95" customHeight="1" x14ac:dyDescent="0.3">
      <c r="A297" s="139" t="s">
        <v>28</v>
      </c>
      <c r="B297" s="139" t="s">
        <v>101</v>
      </c>
      <c r="C297" s="140">
        <v>0.33333333333333331</v>
      </c>
      <c r="D297" s="139" t="s">
        <v>30</v>
      </c>
      <c r="E297" s="141"/>
      <c r="F297" s="139" t="s">
        <v>108</v>
      </c>
      <c r="G297" s="241"/>
      <c r="H297" s="103" t="s">
        <v>101</v>
      </c>
      <c r="I297" s="159">
        <v>0</v>
      </c>
      <c r="J297" s="105">
        <v>0</v>
      </c>
      <c r="K297" s="106" t="s">
        <v>109</v>
      </c>
      <c r="L297" s="105">
        <v>0</v>
      </c>
      <c r="M297" s="105">
        <v>0</v>
      </c>
      <c r="N297" s="105">
        <v>0</v>
      </c>
      <c r="O297" s="107" t="s">
        <v>102</v>
      </c>
      <c r="P297" s="108">
        <v>0.33333333333333331</v>
      </c>
      <c r="Q297" s="105">
        <v>168</v>
      </c>
      <c r="R297" s="109" t="s">
        <v>109</v>
      </c>
    </row>
    <row r="298" spans="1:18" ht="49.95" customHeight="1" x14ac:dyDescent="0.3">
      <c r="A298" s="201" t="s">
        <v>28</v>
      </c>
      <c r="B298" s="201" t="s">
        <v>48</v>
      </c>
      <c r="C298" s="202">
        <v>0.51041666666666663</v>
      </c>
      <c r="D298" s="201" t="s">
        <v>30</v>
      </c>
      <c r="E298" s="203"/>
      <c r="F298" s="201" t="s">
        <v>31</v>
      </c>
      <c r="G298" s="241"/>
      <c r="H298" s="79" t="s">
        <v>48</v>
      </c>
      <c r="I298" s="80">
        <v>4.1700000000000001E-2</v>
      </c>
      <c r="J298" s="81">
        <v>7</v>
      </c>
      <c r="K298" s="82" t="s">
        <v>113</v>
      </c>
      <c r="L298" s="81">
        <v>7</v>
      </c>
      <c r="M298" s="81">
        <v>0</v>
      </c>
      <c r="N298" s="81">
        <v>0</v>
      </c>
      <c r="O298" s="83" t="s">
        <v>127</v>
      </c>
      <c r="P298" s="84">
        <v>0.51041666666666663</v>
      </c>
      <c r="Q298" s="81">
        <v>168</v>
      </c>
      <c r="R298" s="85" t="s">
        <v>95</v>
      </c>
    </row>
    <row r="299" spans="1:18" ht="49.95" customHeight="1" thickBot="1" x14ac:dyDescent="0.35">
      <c r="A299" s="207" t="s">
        <v>28</v>
      </c>
      <c r="B299" s="207" t="s">
        <v>38</v>
      </c>
      <c r="C299" s="208">
        <v>0.63194444444444442</v>
      </c>
      <c r="D299" s="207" t="s">
        <v>30</v>
      </c>
      <c r="E299" s="209"/>
      <c r="F299" s="207" t="s">
        <v>31</v>
      </c>
      <c r="G299" s="242"/>
      <c r="H299" s="210" t="s">
        <v>38</v>
      </c>
      <c r="I299" s="223">
        <v>6.5500000000000003E-2</v>
      </c>
      <c r="J299" s="212">
        <v>11</v>
      </c>
      <c r="K299" s="213" t="s">
        <v>217</v>
      </c>
      <c r="L299" s="212">
        <v>12</v>
      </c>
      <c r="M299" s="212">
        <v>0</v>
      </c>
      <c r="N299" s="212">
        <v>0</v>
      </c>
      <c r="O299" s="214" t="s">
        <v>102</v>
      </c>
      <c r="P299" s="215">
        <v>0.63194444444444442</v>
      </c>
      <c r="Q299" s="212">
        <v>168</v>
      </c>
      <c r="R299" s="216" t="s">
        <v>218</v>
      </c>
    </row>
    <row r="300" spans="1:18" ht="17.399999999999999" customHeight="1" thickBot="1" x14ac:dyDescent="0.35">
      <c r="A300" s="265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7"/>
    </row>
    <row r="301" spans="1:18" ht="22.05" customHeight="1" thickTop="1" thickBot="1" x14ac:dyDescent="0.35">
      <c r="A301" s="236" t="s">
        <v>8</v>
      </c>
      <c r="B301" s="234"/>
      <c r="C301" s="234"/>
      <c r="D301" s="234"/>
      <c r="E301" s="234"/>
      <c r="F301" s="235"/>
      <c r="G301" s="68">
        <v>46055</v>
      </c>
      <c r="H301" s="233" t="s">
        <v>9</v>
      </c>
      <c r="I301" s="234"/>
      <c r="J301" s="234"/>
      <c r="K301" s="234"/>
      <c r="L301" s="234"/>
      <c r="M301" s="234"/>
      <c r="N301" s="234"/>
      <c r="O301" s="234"/>
      <c r="P301" s="234"/>
      <c r="Q301" s="234"/>
      <c r="R301" s="235"/>
    </row>
    <row r="302" spans="1:18" ht="24" customHeight="1" x14ac:dyDescent="0.3">
      <c r="A302" s="69" t="s">
        <v>10</v>
      </c>
      <c r="B302" s="69" t="s">
        <v>11</v>
      </c>
      <c r="C302" s="70" t="s">
        <v>12</v>
      </c>
      <c r="D302" s="69" t="s">
        <v>13</v>
      </c>
      <c r="E302" s="69" t="s">
        <v>14</v>
      </c>
      <c r="F302" s="71" t="s">
        <v>15</v>
      </c>
      <c r="G302" s="72" t="s">
        <v>16</v>
      </c>
      <c r="H302" s="69" t="s">
        <v>17</v>
      </c>
      <c r="I302" s="73" t="s">
        <v>18</v>
      </c>
      <c r="J302" s="74" t="s">
        <v>19</v>
      </c>
      <c r="K302" s="75" t="s">
        <v>20</v>
      </c>
      <c r="L302" s="74" t="s">
        <v>21</v>
      </c>
      <c r="M302" s="74" t="s">
        <v>22</v>
      </c>
      <c r="N302" s="74" t="s">
        <v>23</v>
      </c>
      <c r="O302" s="69" t="s">
        <v>24</v>
      </c>
      <c r="P302" s="70" t="s">
        <v>25</v>
      </c>
      <c r="Q302" s="74" t="s">
        <v>26</v>
      </c>
      <c r="R302" s="69" t="s">
        <v>27</v>
      </c>
    </row>
    <row r="303" spans="1:18" ht="49.95" customHeight="1" x14ac:dyDescent="0.3">
      <c r="A303" s="122" t="s">
        <v>28</v>
      </c>
      <c r="B303" s="122" t="s">
        <v>40</v>
      </c>
      <c r="C303" s="123">
        <v>6.9444444444444441E-3</v>
      </c>
      <c r="D303" s="122" t="s">
        <v>30</v>
      </c>
      <c r="E303" s="124"/>
      <c r="F303" s="122" t="s">
        <v>108</v>
      </c>
      <c r="G303" s="240"/>
      <c r="H303" s="41" t="s">
        <v>40</v>
      </c>
      <c r="I303" s="42">
        <v>0</v>
      </c>
      <c r="J303" s="43">
        <v>0</v>
      </c>
      <c r="K303" s="44" t="s">
        <v>109</v>
      </c>
      <c r="L303" s="43">
        <v>0</v>
      </c>
      <c r="M303" s="43">
        <v>0</v>
      </c>
      <c r="N303" s="43">
        <v>0</v>
      </c>
      <c r="O303" s="45" t="s">
        <v>80</v>
      </c>
      <c r="P303" s="46">
        <v>6.9444444444444441E-3</v>
      </c>
      <c r="Q303" s="43">
        <v>168</v>
      </c>
      <c r="R303" s="47" t="s">
        <v>109</v>
      </c>
    </row>
    <row r="304" spans="1:18" ht="49.95" customHeight="1" x14ac:dyDescent="0.3">
      <c r="A304" s="28" t="s">
        <v>28</v>
      </c>
      <c r="B304" s="28" t="s">
        <v>35</v>
      </c>
      <c r="C304" s="29">
        <v>0.4236111111111111</v>
      </c>
      <c r="D304" s="28" t="s">
        <v>30</v>
      </c>
      <c r="E304" s="30"/>
      <c r="F304" s="28" t="s">
        <v>31</v>
      </c>
      <c r="G304" s="241"/>
      <c r="H304" s="31" t="s">
        <v>35</v>
      </c>
      <c r="I304" s="32">
        <v>1.7899999999999999E-2</v>
      </c>
      <c r="J304" s="33">
        <v>3</v>
      </c>
      <c r="K304" s="34" t="s">
        <v>197</v>
      </c>
      <c r="L304" s="33">
        <v>4</v>
      </c>
      <c r="M304" s="33">
        <v>0</v>
      </c>
      <c r="N304" s="33">
        <v>0</v>
      </c>
      <c r="O304" s="35" t="s">
        <v>95</v>
      </c>
      <c r="P304" s="36">
        <v>0.4236111111111111</v>
      </c>
      <c r="Q304" s="33">
        <v>168</v>
      </c>
      <c r="R304" s="37" t="s">
        <v>127</v>
      </c>
    </row>
    <row r="305" spans="1:18" ht="49.95" customHeight="1" x14ac:dyDescent="0.3">
      <c r="A305" s="139" t="s">
        <v>28</v>
      </c>
      <c r="B305" s="139" t="s">
        <v>38</v>
      </c>
      <c r="C305" s="140">
        <v>0.61458333333333337</v>
      </c>
      <c r="D305" s="139" t="s">
        <v>30</v>
      </c>
      <c r="E305" s="141"/>
      <c r="F305" s="139" t="s">
        <v>31</v>
      </c>
      <c r="G305" s="241"/>
      <c r="H305" s="103" t="s">
        <v>38</v>
      </c>
      <c r="I305" s="159">
        <v>1.7899999999999999E-2</v>
      </c>
      <c r="J305" s="105">
        <v>3</v>
      </c>
      <c r="K305" s="106" t="s">
        <v>197</v>
      </c>
      <c r="L305" s="105">
        <v>4</v>
      </c>
      <c r="M305" s="105">
        <v>0</v>
      </c>
      <c r="N305" s="105">
        <v>0</v>
      </c>
      <c r="O305" s="107" t="s">
        <v>95</v>
      </c>
      <c r="P305" s="108">
        <v>0.61458333333333337</v>
      </c>
      <c r="Q305" s="105">
        <v>168</v>
      </c>
      <c r="R305" s="109" t="s">
        <v>127</v>
      </c>
    </row>
    <row r="306" spans="1:18" ht="49.95" customHeight="1" thickBot="1" x14ac:dyDescent="0.35">
      <c r="A306" s="161" t="s">
        <v>28</v>
      </c>
      <c r="B306" s="161" t="s">
        <v>48</v>
      </c>
      <c r="C306" s="162">
        <v>0.97916666666666663</v>
      </c>
      <c r="D306" s="161" t="s">
        <v>30</v>
      </c>
      <c r="E306" s="163"/>
      <c r="F306" s="161" t="s">
        <v>31</v>
      </c>
      <c r="G306" s="242"/>
      <c r="H306" s="164" t="s">
        <v>48</v>
      </c>
      <c r="I306" s="224">
        <v>4.1700000000000001E-2</v>
      </c>
      <c r="J306" s="166">
        <v>7</v>
      </c>
      <c r="K306" s="167" t="s">
        <v>110</v>
      </c>
      <c r="L306" s="166">
        <v>7</v>
      </c>
      <c r="M306" s="166">
        <v>0</v>
      </c>
      <c r="N306" s="166">
        <v>0</v>
      </c>
      <c r="O306" s="168" t="s">
        <v>127</v>
      </c>
      <c r="P306" s="169">
        <v>0.97916666666666663</v>
      </c>
      <c r="Q306" s="166">
        <v>168</v>
      </c>
      <c r="R306" s="170" t="s">
        <v>95</v>
      </c>
    </row>
    <row r="307" spans="1:18" ht="17.399999999999999" customHeight="1" thickBot="1" x14ac:dyDescent="0.35">
      <c r="A307" s="265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7"/>
    </row>
    <row r="308" spans="1:18" ht="22.05" customHeight="1" thickTop="1" thickBot="1" x14ac:dyDescent="0.35">
      <c r="A308" s="236" t="s">
        <v>8</v>
      </c>
      <c r="B308" s="234"/>
      <c r="C308" s="234"/>
      <c r="D308" s="234"/>
      <c r="E308" s="234"/>
      <c r="F308" s="235"/>
      <c r="G308" s="68">
        <v>46056</v>
      </c>
      <c r="H308" s="233" t="s">
        <v>9</v>
      </c>
      <c r="I308" s="234"/>
      <c r="J308" s="234"/>
      <c r="K308" s="234"/>
      <c r="L308" s="234"/>
      <c r="M308" s="234"/>
      <c r="N308" s="234"/>
      <c r="O308" s="234"/>
      <c r="P308" s="234"/>
      <c r="Q308" s="234"/>
      <c r="R308" s="235"/>
    </row>
    <row r="309" spans="1:18" ht="24" customHeight="1" x14ac:dyDescent="0.3">
      <c r="A309" s="69" t="s">
        <v>10</v>
      </c>
      <c r="B309" s="69" t="s">
        <v>11</v>
      </c>
      <c r="C309" s="70" t="s">
        <v>12</v>
      </c>
      <c r="D309" s="69" t="s">
        <v>13</v>
      </c>
      <c r="E309" s="69" t="s">
        <v>14</v>
      </c>
      <c r="F309" s="71" t="s">
        <v>15</v>
      </c>
      <c r="G309" s="72" t="s">
        <v>16</v>
      </c>
      <c r="H309" s="69" t="s">
        <v>17</v>
      </c>
      <c r="I309" s="73" t="s">
        <v>18</v>
      </c>
      <c r="J309" s="74" t="s">
        <v>19</v>
      </c>
      <c r="K309" s="75" t="s">
        <v>20</v>
      </c>
      <c r="L309" s="74" t="s">
        <v>21</v>
      </c>
      <c r="M309" s="74" t="s">
        <v>22</v>
      </c>
      <c r="N309" s="74" t="s">
        <v>23</v>
      </c>
      <c r="O309" s="69" t="s">
        <v>24</v>
      </c>
      <c r="P309" s="70" t="s">
        <v>25</v>
      </c>
      <c r="Q309" s="74" t="s">
        <v>26</v>
      </c>
      <c r="R309" s="69" t="s">
        <v>27</v>
      </c>
    </row>
    <row r="310" spans="1:18" ht="15" customHeight="1" x14ac:dyDescent="0.3">
      <c r="A310" s="122" t="s">
        <v>28</v>
      </c>
      <c r="B310" s="122" t="s">
        <v>44</v>
      </c>
      <c r="C310" s="123">
        <v>0.22916666666666671</v>
      </c>
      <c r="D310" s="122" t="s">
        <v>30</v>
      </c>
      <c r="E310" s="124"/>
      <c r="F310" s="122" t="s">
        <v>31</v>
      </c>
      <c r="G310" s="240"/>
      <c r="H310" s="41" t="s">
        <v>44</v>
      </c>
      <c r="I310" s="42">
        <v>0.11899999999999999</v>
      </c>
      <c r="J310" s="43">
        <v>20</v>
      </c>
      <c r="K310" s="44" t="s">
        <v>91</v>
      </c>
      <c r="L310" s="43">
        <v>20</v>
      </c>
      <c r="M310" s="43">
        <v>0</v>
      </c>
      <c r="N310" s="43">
        <v>0</v>
      </c>
      <c r="O310" s="45" t="s">
        <v>80</v>
      </c>
      <c r="P310" s="46">
        <v>0.22916666666666671</v>
      </c>
      <c r="Q310" s="43">
        <v>168</v>
      </c>
      <c r="R310" s="47" t="s">
        <v>219</v>
      </c>
    </row>
    <row r="311" spans="1:18" ht="15" customHeight="1" x14ac:dyDescent="0.3">
      <c r="A311" s="28" t="s">
        <v>28</v>
      </c>
      <c r="B311" s="28" t="s">
        <v>40</v>
      </c>
      <c r="C311" s="29">
        <v>0.55902777777777779</v>
      </c>
      <c r="D311" s="28" t="s">
        <v>30</v>
      </c>
      <c r="E311" s="30"/>
      <c r="F311" s="28" t="s">
        <v>108</v>
      </c>
      <c r="G311" s="241"/>
      <c r="H311" s="31" t="s">
        <v>40</v>
      </c>
      <c r="I311" s="32">
        <v>0</v>
      </c>
      <c r="J311" s="33">
        <v>0</v>
      </c>
      <c r="K311" s="34" t="s">
        <v>109</v>
      </c>
      <c r="L311" s="33">
        <v>0</v>
      </c>
      <c r="M311" s="33">
        <v>0</v>
      </c>
      <c r="N311" s="33">
        <v>0</v>
      </c>
      <c r="O311" s="35" t="s">
        <v>80</v>
      </c>
      <c r="P311" s="36">
        <v>0.55902777777777779</v>
      </c>
      <c r="Q311" s="33">
        <v>168</v>
      </c>
      <c r="R311" s="37" t="s">
        <v>109</v>
      </c>
    </row>
    <row r="312" spans="1:18" ht="15" customHeight="1" x14ac:dyDescent="0.3">
      <c r="A312" s="48" t="s">
        <v>28</v>
      </c>
      <c r="B312" s="48" t="s">
        <v>38</v>
      </c>
      <c r="C312" s="49">
        <v>0.61458333333333337</v>
      </c>
      <c r="D312" s="48" t="s">
        <v>30</v>
      </c>
      <c r="E312" s="50"/>
      <c r="F312" s="48" t="s">
        <v>31</v>
      </c>
      <c r="G312" s="241"/>
      <c r="H312" s="51" t="s">
        <v>38</v>
      </c>
      <c r="I312" s="52">
        <v>3.5700000000000003E-2</v>
      </c>
      <c r="J312" s="53">
        <v>6</v>
      </c>
      <c r="K312" s="54" t="s">
        <v>97</v>
      </c>
      <c r="L312" s="53">
        <v>7</v>
      </c>
      <c r="M312" s="53">
        <v>0</v>
      </c>
      <c r="N312" s="53">
        <v>0</v>
      </c>
      <c r="O312" s="55" t="s">
        <v>133</v>
      </c>
      <c r="P312" s="56">
        <v>0.61458333333333337</v>
      </c>
      <c r="Q312" s="53">
        <v>168</v>
      </c>
      <c r="R312" s="57" t="s">
        <v>87</v>
      </c>
    </row>
    <row r="313" spans="1:18" ht="15" customHeight="1" x14ac:dyDescent="0.3">
      <c r="A313" s="38" t="s">
        <v>28</v>
      </c>
      <c r="B313" s="38" t="s">
        <v>48</v>
      </c>
      <c r="C313" s="39">
        <v>0.72916666666666663</v>
      </c>
      <c r="D313" s="38" t="s">
        <v>30</v>
      </c>
      <c r="E313" s="40"/>
      <c r="F313" s="38" t="s">
        <v>31</v>
      </c>
      <c r="G313" s="241"/>
      <c r="H313" s="41" t="s">
        <v>48</v>
      </c>
      <c r="I313" s="42">
        <v>5.9499999999999997E-2</v>
      </c>
      <c r="J313" s="43">
        <v>10</v>
      </c>
      <c r="K313" s="44" t="s">
        <v>94</v>
      </c>
      <c r="L313" s="43">
        <v>10</v>
      </c>
      <c r="M313" s="43">
        <v>0</v>
      </c>
      <c r="N313" s="43">
        <v>0</v>
      </c>
      <c r="O313" s="45" t="s">
        <v>102</v>
      </c>
      <c r="P313" s="46">
        <v>0.72916666666666663</v>
      </c>
      <c r="Q313" s="43">
        <v>168</v>
      </c>
      <c r="R313" s="47" t="s">
        <v>132</v>
      </c>
    </row>
    <row r="314" spans="1:18" ht="15" customHeight="1" x14ac:dyDescent="0.3">
      <c r="A314" s="18" t="s">
        <v>28</v>
      </c>
      <c r="B314" s="18" t="s">
        <v>29</v>
      </c>
      <c r="C314" s="19">
        <v>0.93402777777777779</v>
      </c>
      <c r="D314" s="18" t="s">
        <v>30</v>
      </c>
      <c r="E314" s="20"/>
      <c r="F314" s="18" t="s">
        <v>31</v>
      </c>
      <c r="G314" s="241"/>
      <c r="H314" s="21" t="s">
        <v>29</v>
      </c>
      <c r="I314" s="22">
        <v>6.0000000000000001E-3</v>
      </c>
      <c r="J314" s="23">
        <v>1</v>
      </c>
      <c r="K314" s="24" t="s">
        <v>129</v>
      </c>
      <c r="L314" s="23">
        <v>1</v>
      </c>
      <c r="M314" s="23">
        <v>0</v>
      </c>
      <c r="N314" s="23">
        <v>0</v>
      </c>
      <c r="O314" s="25" t="s">
        <v>80</v>
      </c>
      <c r="P314" s="26">
        <v>0.93402777777777779</v>
      </c>
      <c r="Q314" s="23">
        <v>168</v>
      </c>
      <c r="R314" s="27" t="s">
        <v>114</v>
      </c>
    </row>
    <row r="315" spans="1:18" ht="15" customHeight="1" thickBot="1" x14ac:dyDescent="0.35">
      <c r="A315" s="90" t="s">
        <v>28</v>
      </c>
      <c r="B315" s="90" t="s">
        <v>35</v>
      </c>
      <c r="C315" s="91">
        <v>0.96875</v>
      </c>
      <c r="D315" s="90" t="s">
        <v>30</v>
      </c>
      <c r="E315" s="92"/>
      <c r="F315" s="90" t="s">
        <v>31</v>
      </c>
      <c r="G315" s="242"/>
      <c r="H315" s="93" t="s">
        <v>35</v>
      </c>
      <c r="I315" s="221">
        <v>2.3800000000000002E-2</v>
      </c>
      <c r="J315" s="95">
        <v>4</v>
      </c>
      <c r="K315" s="96" t="s">
        <v>220</v>
      </c>
      <c r="L315" s="95">
        <v>4</v>
      </c>
      <c r="M315" s="95">
        <v>0</v>
      </c>
      <c r="N315" s="95">
        <v>0</v>
      </c>
      <c r="O315" s="97" t="s">
        <v>87</v>
      </c>
      <c r="P315" s="98">
        <v>0.96875</v>
      </c>
      <c r="Q315" s="95">
        <v>168</v>
      </c>
      <c r="R315" s="99" t="s">
        <v>133</v>
      </c>
    </row>
    <row r="316" spans="1:18" ht="17.399999999999999" customHeight="1" thickBot="1" x14ac:dyDescent="0.35">
      <c r="A316" s="265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7"/>
    </row>
    <row r="317" spans="1:18" ht="22.05" customHeight="1" thickTop="1" thickBot="1" x14ac:dyDescent="0.35">
      <c r="A317" s="236" t="s">
        <v>8</v>
      </c>
      <c r="B317" s="234"/>
      <c r="C317" s="234"/>
      <c r="D317" s="234"/>
      <c r="E317" s="234"/>
      <c r="F317" s="235"/>
      <c r="G317" s="68">
        <v>46057</v>
      </c>
      <c r="H317" s="233" t="s">
        <v>9</v>
      </c>
      <c r="I317" s="234"/>
      <c r="J317" s="234"/>
      <c r="K317" s="234"/>
      <c r="L317" s="234"/>
      <c r="M317" s="234"/>
      <c r="N317" s="234"/>
      <c r="O317" s="234"/>
      <c r="P317" s="234"/>
      <c r="Q317" s="234"/>
      <c r="R317" s="235"/>
    </row>
    <row r="318" spans="1:18" ht="24" customHeight="1" x14ac:dyDescent="0.3">
      <c r="A318" s="69" t="s">
        <v>10</v>
      </c>
      <c r="B318" s="69" t="s">
        <v>11</v>
      </c>
      <c r="C318" s="70" t="s">
        <v>12</v>
      </c>
      <c r="D318" s="69" t="s">
        <v>13</v>
      </c>
      <c r="E318" s="69" t="s">
        <v>14</v>
      </c>
      <c r="F318" s="71" t="s">
        <v>15</v>
      </c>
      <c r="G318" s="72" t="s">
        <v>16</v>
      </c>
      <c r="H318" s="69" t="s">
        <v>17</v>
      </c>
      <c r="I318" s="73" t="s">
        <v>18</v>
      </c>
      <c r="J318" s="74" t="s">
        <v>19</v>
      </c>
      <c r="K318" s="75" t="s">
        <v>20</v>
      </c>
      <c r="L318" s="74" t="s">
        <v>21</v>
      </c>
      <c r="M318" s="74" t="s">
        <v>22</v>
      </c>
      <c r="N318" s="74" t="s">
        <v>23</v>
      </c>
      <c r="O318" s="69" t="s">
        <v>24</v>
      </c>
      <c r="P318" s="70" t="s">
        <v>25</v>
      </c>
      <c r="Q318" s="74" t="s">
        <v>26</v>
      </c>
      <c r="R318" s="69" t="s">
        <v>27</v>
      </c>
    </row>
    <row r="319" spans="1:18" ht="49.95" customHeight="1" x14ac:dyDescent="0.3">
      <c r="A319" s="8" t="s">
        <v>28</v>
      </c>
      <c r="B319" s="8" t="s">
        <v>35</v>
      </c>
      <c r="C319" s="9">
        <v>0.47916666666666669</v>
      </c>
      <c r="D319" s="8" t="s">
        <v>30</v>
      </c>
      <c r="E319" s="10"/>
      <c r="F319" s="8" t="s">
        <v>31</v>
      </c>
      <c r="G319" s="240"/>
      <c r="H319" s="11" t="s">
        <v>35</v>
      </c>
      <c r="I319" s="12">
        <v>6.0000000000000001E-3</v>
      </c>
      <c r="J319" s="13">
        <v>1</v>
      </c>
      <c r="K319" s="14" t="s">
        <v>166</v>
      </c>
      <c r="L319" s="13">
        <v>1</v>
      </c>
      <c r="M319" s="13">
        <v>0</v>
      </c>
      <c r="N319" s="13">
        <v>0</v>
      </c>
      <c r="O319" s="15" t="s">
        <v>80</v>
      </c>
      <c r="P319" s="16">
        <v>0.47916666666666669</v>
      </c>
      <c r="Q319" s="13">
        <v>168</v>
      </c>
      <c r="R319" s="17" t="s">
        <v>114</v>
      </c>
    </row>
    <row r="320" spans="1:18" ht="49.95" customHeight="1" x14ac:dyDescent="0.3">
      <c r="A320" s="139" t="s">
        <v>28</v>
      </c>
      <c r="B320" s="139" t="s">
        <v>48</v>
      </c>
      <c r="C320" s="140">
        <v>0.52083333333333337</v>
      </c>
      <c r="D320" s="139" t="s">
        <v>30</v>
      </c>
      <c r="E320" s="141"/>
      <c r="F320" s="139" t="s">
        <v>31</v>
      </c>
      <c r="G320" s="241"/>
      <c r="H320" s="103" t="s">
        <v>48</v>
      </c>
      <c r="I320" s="159">
        <v>2.87E-2</v>
      </c>
      <c r="J320" s="105">
        <v>5</v>
      </c>
      <c r="K320" s="106" t="s">
        <v>91</v>
      </c>
      <c r="L320" s="105">
        <v>5</v>
      </c>
      <c r="M320" s="105">
        <v>0</v>
      </c>
      <c r="N320" s="105">
        <v>0</v>
      </c>
      <c r="O320" s="107" t="s">
        <v>87</v>
      </c>
      <c r="P320" s="108">
        <v>0.52083333333333337</v>
      </c>
      <c r="Q320" s="105">
        <v>174</v>
      </c>
      <c r="R320" s="109" t="s">
        <v>221</v>
      </c>
    </row>
    <row r="321" spans="1:18" ht="49.95" customHeight="1" thickBot="1" x14ac:dyDescent="0.35">
      <c r="A321" s="207" t="s">
        <v>28</v>
      </c>
      <c r="B321" s="207" t="s">
        <v>38</v>
      </c>
      <c r="C321" s="208">
        <v>0.61458333333333337</v>
      </c>
      <c r="D321" s="207" t="s">
        <v>30</v>
      </c>
      <c r="E321" s="209"/>
      <c r="F321" s="207" t="s">
        <v>31</v>
      </c>
      <c r="G321" s="242"/>
      <c r="H321" s="210" t="s">
        <v>38</v>
      </c>
      <c r="I321" s="223">
        <v>1.7899999999999999E-2</v>
      </c>
      <c r="J321" s="212">
        <v>3</v>
      </c>
      <c r="K321" s="213" t="s">
        <v>129</v>
      </c>
      <c r="L321" s="212">
        <v>4</v>
      </c>
      <c r="M321" s="212">
        <v>0</v>
      </c>
      <c r="N321" s="212">
        <v>0</v>
      </c>
      <c r="O321" s="214" t="s">
        <v>95</v>
      </c>
      <c r="P321" s="215">
        <v>0.61458333333333337</v>
      </c>
      <c r="Q321" s="212">
        <v>168</v>
      </c>
      <c r="R321" s="216" t="s">
        <v>127</v>
      </c>
    </row>
    <row r="322" spans="1:18" ht="17.399999999999999" customHeight="1" thickBot="1" x14ac:dyDescent="0.35">
      <c r="A322" s="265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7"/>
    </row>
    <row r="323" spans="1:18" ht="22.05" customHeight="1" thickTop="1" thickBot="1" x14ac:dyDescent="0.35">
      <c r="A323" s="236" t="s">
        <v>8</v>
      </c>
      <c r="B323" s="234"/>
      <c r="C323" s="234"/>
      <c r="D323" s="234"/>
      <c r="E323" s="234"/>
      <c r="F323" s="235"/>
      <c r="G323" s="68">
        <v>46058</v>
      </c>
      <c r="H323" s="233" t="s">
        <v>9</v>
      </c>
      <c r="I323" s="234"/>
      <c r="J323" s="234"/>
      <c r="K323" s="234"/>
      <c r="L323" s="234"/>
      <c r="M323" s="234"/>
      <c r="N323" s="234"/>
      <c r="O323" s="234"/>
      <c r="P323" s="234"/>
      <c r="Q323" s="234"/>
      <c r="R323" s="235"/>
    </row>
    <row r="324" spans="1:18" ht="24" customHeight="1" x14ac:dyDescent="0.3">
      <c r="A324" s="69" t="s">
        <v>10</v>
      </c>
      <c r="B324" s="69" t="s">
        <v>11</v>
      </c>
      <c r="C324" s="70" t="s">
        <v>12</v>
      </c>
      <c r="D324" s="69" t="s">
        <v>13</v>
      </c>
      <c r="E324" s="69" t="s">
        <v>14</v>
      </c>
      <c r="F324" s="71" t="s">
        <v>15</v>
      </c>
      <c r="G324" s="72" t="s">
        <v>16</v>
      </c>
      <c r="H324" s="69" t="s">
        <v>17</v>
      </c>
      <c r="I324" s="73" t="s">
        <v>18</v>
      </c>
      <c r="J324" s="74" t="s">
        <v>19</v>
      </c>
      <c r="K324" s="75" t="s">
        <v>20</v>
      </c>
      <c r="L324" s="74" t="s">
        <v>21</v>
      </c>
      <c r="M324" s="74" t="s">
        <v>22</v>
      </c>
      <c r="N324" s="74" t="s">
        <v>23</v>
      </c>
      <c r="O324" s="69" t="s">
        <v>24</v>
      </c>
      <c r="P324" s="70" t="s">
        <v>25</v>
      </c>
      <c r="Q324" s="74" t="s">
        <v>26</v>
      </c>
      <c r="R324" s="69" t="s">
        <v>27</v>
      </c>
    </row>
    <row r="325" spans="1:18" ht="15" customHeight="1" x14ac:dyDescent="0.3">
      <c r="A325" s="122" t="s">
        <v>28</v>
      </c>
      <c r="B325" s="122" t="s">
        <v>29</v>
      </c>
      <c r="C325" s="123">
        <v>4.8611111111111112E-2</v>
      </c>
      <c r="D325" s="122" t="s">
        <v>30</v>
      </c>
      <c r="E325" s="124"/>
      <c r="F325" s="122" t="s">
        <v>31</v>
      </c>
      <c r="G325" s="240"/>
      <c r="H325" s="41" t="s">
        <v>29</v>
      </c>
      <c r="I325" s="42">
        <v>6.0000000000000001E-3</v>
      </c>
      <c r="J325" s="43">
        <v>1</v>
      </c>
      <c r="K325" s="44" t="s">
        <v>207</v>
      </c>
      <c r="L325" s="43">
        <v>1</v>
      </c>
      <c r="M325" s="43">
        <v>0</v>
      </c>
      <c r="N325" s="43">
        <v>0</v>
      </c>
      <c r="O325" s="45" t="s">
        <v>80</v>
      </c>
      <c r="P325" s="46">
        <v>4.8611111111111112E-2</v>
      </c>
      <c r="Q325" s="43">
        <v>168</v>
      </c>
      <c r="R325" s="47" t="s">
        <v>114</v>
      </c>
    </row>
    <row r="326" spans="1:18" ht="15" customHeight="1" x14ac:dyDescent="0.3">
      <c r="A326" s="18" t="s">
        <v>28</v>
      </c>
      <c r="B326" s="18" t="s">
        <v>44</v>
      </c>
      <c r="C326" s="19">
        <v>0.1145833333333333</v>
      </c>
      <c r="D326" s="18" t="s">
        <v>30</v>
      </c>
      <c r="E326" s="20"/>
      <c r="F326" s="18" t="s">
        <v>31</v>
      </c>
      <c r="G326" s="241"/>
      <c r="H326" s="21" t="s">
        <v>44</v>
      </c>
      <c r="I326" s="22">
        <v>3.5700000000000003E-2</v>
      </c>
      <c r="J326" s="23">
        <v>6</v>
      </c>
      <c r="K326" s="24" t="s">
        <v>140</v>
      </c>
      <c r="L326" s="23">
        <v>6</v>
      </c>
      <c r="M326" s="23">
        <v>0</v>
      </c>
      <c r="N326" s="23">
        <v>0</v>
      </c>
      <c r="O326" s="25" t="s">
        <v>133</v>
      </c>
      <c r="P326" s="26">
        <v>0.1145833333333333</v>
      </c>
      <c r="Q326" s="23">
        <v>168</v>
      </c>
      <c r="R326" s="27" t="s">
        <v>87</v>
      </c>
    </row>
    <row r="327" spans="1:18" ht="15" customHeight="1" x14ac:dyDescent="0.3">
      <c r="A327" s="86" t="s">
        <v>28</v>
      </c>
      <c r="B327" s="86" t="s">
        <v>51</v>
      </c>
      <c r="C327" s="87">
        <v>0.25347222222222221</v>
      </c>
      <c r="D327" s="86" t="s">
        <v>30</v>
      </c>
      <c r="E327" s="88"/>
      <c r="F327" s="86" t="s">
        <v>108</v>
      </c>
      <c r="G327" s="241"/>
      <c r="H327" s="11" t="s">
        <v>51</v>
      </c>
      <c r="I327" s="12">
        <v>0</v>
      </c>
      <c r="J327" s="13">
        <v>0</v>
      </c>
      <c r="K327" s="14" t="s">
        <v>109</v>
      </c>
      <c r="L327" s="13">
        <v>0</v>
      </c>
      <c r="M327" s="13">
        <v>0</v>
      </c>
      <c r="N327" s="13">
        <v>0</v>
      </c>
      <c r="O327" s="15" t="s">
        <v>80</v>
      </c>
      <c r="P327" s="16">
        <v>0.25347222222222221</v>
      </c>
      <c r="Q327" s="13">
        <v>168</v>
      </c>
      <c r="R327" s="17" t="s">
        <v>109</v>
      </c>
    </row>
    <row r="328" spans="1:18" ht="15" customHeight="1" x14ac:dyDescent="0.3">
      <c r="A328" s="139" t="s">
        <v>28</v>
      </c>
      <c r="B328" s="139" t="s">
        <v>35</v>
      </c>
      <c r="C328" s="140">
        <v>0.33333333333333331</v>
      </c>
      <c r="D328" s="139" t="s">
        <v>30</v>
      </c>
      <c r="E328" s="141"/>
      <c r="F328" s="139" t="s">
        <v>31</v>
      </c>
      <c r="G328" s="241"/>
      <c r="H328" s="103" t="s">
        <v>35</v>
      </c>
      <c r="I328" s="159">
        <v>1.7899999999999999E-2</v>
      </c>
      <c r="J328" s="105">
        <v>3</v>
      </c>
      <c r="K328" s="106" t="s">
        <v>183</v>
      </c>
      <c r="L328" s="105">
        <v>3</v>
      </c>
      <c r="M328" s="105">
        <v>0</v>
      </c>
      <c r="N328" s="105">
        <v>0</v>
      </c>
      <c r="O328" s="107" t="s">
        <v>95</v>
      </c>
      <c r="P328" s="108">
        <v>0.33333333333333331</v>
      </c>
      <c r="Q328" s="105">
        <v>168</v>
      </c>
      <c r="R328" s="109" t="s">
        <v>127</v>
      </c>
    </row>
    <row r="329" spans="1:18" ht="15" customHeight="1" x14ac:dyDescent="0.3">
      <c r="A329" s="143" t="s">
        <v>28</v>
      </c>
      <c r="B329" s="143" t="s">
        <v>101</v>
      </c>
      <c r="C329" s="144">
        <v>0.36458333333333331</v>
      </c>
      <c r="D329" s="143" t="s">
        <v>30</v>
      </c>
      <c r="E329" s="145"/>
      <c r="F329" s="143" t="s">
        <v>108</v>
      </c>
      <c r="G329" s="241"/>
      <c r="H329" s="146" t="s">
        <v>101</v>
      </c>
      <c r="I329" s="147">
        <v>0</v>
      </c>
      <c r="J329" s="148">
        <v>0</v>
      </c>
      <c r="K329" s="149" t="s">
        <v>109</v>
      </c>
      <c r="L329" s="148">
        <v>0</v>
      </c>
      <c r="M329" s="148">
        <v>0</v>
      </c>
      <c r="N329" s="148">
        <v>0</v>
      </c>
      <c r="O329" s="150" t="s">
        <v>102</v>
      </c>
      <c r="P329" s="151">
        <v>0.36458333333333331</v>
      </c>
      <c r="Q329" s="148">
        <v>168</v>
      </c>
      <c r="R329" s="152" t="s">
        <v>109</v>
      </c>
    </row>
    <row r="330" spans="1:18" ht="15" customHeight="1" x14ac:dyDescent="0.3">
      <c r="A330" s="48" t="s">
        <v>28</v>
      </c>
      <c r="B330" s="48" t="s">
        <v>38</v>
      </c>
      <c r="C330" s="49">
        <v>0.58333333333333337</v>
      </c>
      <c r="D330" s="48" t="s">
        <v>30</v>
      </c>
      <c r="E330" s="50"/>
      <c r="F330" s="48" t="s">
        <v>31</v>
      </c>
      <c r="G330" s="241"/>
      <c r="H330" s="51" t="s">
        <v>38</v>
      </c>
      <c r="I330" s="52">
        <v>8.3299999999999999E-2</v>
      </c>
      <c r="J330" s="53">
        <v>14</v>
      </c>
      <c r="K330" s="54" t="s">
        <v>166</v>
      </c>
      <c r="L330" s="53">
        <v>14</v>
      </c>
      <c r="M330" s="53">
        <v>0</v>
      </c>
      <c r="N330" s="53">
        <v>0</v>
      </c>
      <c r="O330" s="55" t="s">
        <v>102</v>
      </c>
      <c r="P330" s="56">
        <v>0.58333333333333337</v>
      </c>
      <c r="Q330" s="53">
        <v>168</v>
      </c>
      <c r="R330" s="57" t="s">
        <v>222</v>
      </c>
    </row>
    <row r="331" spans="1:18" ht="15" customHeight="1" thickBot="1" x14ac:dyDescent="0.35">
      <c r="A331" s="161" t="s">
        <v>28</v>
      </c>
      <c r="B331" s="161" t="s">
        <v>40</v>
      </c>
      <c r="C331" s="162">
        <v>0.73958333333333337</v>
      </c>
      <c r="D331" s="161" t="s">
        <v>30</v>
      </c>
      <c r="E331" s="163"/>
      <c r="F331" s="161" t="s">
        <v>31</v>
      </c>
      <c r="G331" s="242"/>
      <c r="H331" s="164" t="s">
        <v>40</v>
      </c>
      <c r="I331" s="224">
        <v>8.3299999999999999E-2</v>
      </c>
      <c r="J331" s="166">
        <v>14</v>
      </c>
      <c r="K331" s="167" t="s">
        <v>91</v>
      </c>
      <c r="L331" s="166">
        <v>14</v>
      </c>
      <c r="M331" s="166">
        <v>0</v>
      </c>
      <c r="N331" s="166">
        <v>0</v>
      </c>
      <c r="O331" s="168" t="s">
        <v>142</v>
      </c>
      <c r="P331" s="169">
        <v>0.73958333333333337</v>
      </c>
      <c r="Q331" s="166">
        <v>168</v>
      </c>
      <c r="R331" s="170" t="s">
        <v>223</v>
      </c>
    </row>
    <row r="332" spans="1:18" ht="17.399999999999999" customHeight="1" thickBot="1" x14ac:dyDescent="0.35">
      <c r="A332" s="265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7"/>
    </row>
    <row r="333" spans="1:18" ht="22.05" customHeight="1" thickTop="1" thickBot="1" x14ac:dyDescent="0.35">
      <c r="A333" s="236" t="s">
        <v>8</v>
      </c>
      <c r="B333" s="234"/>
      <c r="C333" s="234"/>
      <c r="D333" s="234"/>
      <c r="E333" s="234"/>
      <c r="F333" s="235"/>
      <c r="G333" s="68">
        <v>46059</v>
      </c>
      <c r="H333" s="233" t="s">
        <v>9</v>
      </c>
      <c r="I333" s="234"/>
      <c r="J333" s="234"/>
      <c r="K333" s="234"/>
      <c r="L333" s="234"/>
      <c r="M333" s="234"/>
      <c r="N333" s="234"/>
      <c r="O333" s="234"/>
      <c r="P333" s="234"/>
      <c r="Q333" s="234"/>
      <c r="R333" s="235"/>
    </row>
    <row r="334" spans="1:18" ht="24" customHeight="1" x14ac:dyDescent="0.3">
      <c r="A334" s="69" t="s">
        <v>10</v>
      </c>
      <c r="B334" s="69" t="s">
        <v>11</v>
      </c>
      <c r="C334" s="70" t="s">
        <v>12</v>
      </c>
      <c r="D334" s="69" t="s">
        <v>13</v>
      </c>
      <c r="E334" s="69" t="s">
        <v>14</v>
      </c>
      <c r="F334" s="71" t="s">
        <v>15</v>
      </c>
      <c r="G334" s="72" t="s">
        <v>16</v>
      </c>
      <c r="H334" s="69" t="s">
        <v>17</v>
      </c>
      <c r="I334" s="73" t="s">
        <v>18</v>
      </c>
      <c r="J334" s="74" t="s">
        <v>19</v>
      </c>
      <c r="K334" s="75" t="s">
        <v>20</v>
      </c>
      <c r="L334" s="74" t="s">
        <v>21</v>
      </c>
      <c r="M334" s="74" t="s">
        <v>22</v>
      </c>
      <c r="N334" s="74" t="s">
        <v>23</v>
      </c>
      <c r="O334" s="69" t="s">
        <v>24</v>
      </c>
      <c r="P334" s="70" t="s">
        <v>25</v>
      </c>
      <c r="Q334" s="74" t="s">
        <v>26</v>
      </c>
      <c r="R334" s="69" t="s">
        <v>27</v>
      </c>
    </row>
    <row r="335" spans="1:18" ht="15" customHeight="1" x14ac:dyDescent="0.3">
      <c r="A335" s="154" t="s">
        <v>28</v>
      </c>
      <c r="B335" s="154" t="s">
        <v>29</v>
      </c>
      <c r="C335" s="155">
        <v>0.1145833333333333</v>
      </c>
      <c r="D335" s="154" t="s">
        <v>30</v>
      </c>
      <c r="E335" s="156"/>
      <c r="F335" s="154" t="s">
        <v>31</v>
      </c>
      <c r="G335" s="240"/>
      <c r="H335" s="31" t="s">
        <v>29</v>
      </c>
      <c r="I335" s="32">
        <v>5.3600000000000002E-2</v>
      </c>
      <c r="J335" s="33">
        <v>9</v>
      </c>
      <c r="K335" s="34" t="s">
        <v>113</v>
      </c>
      <c r="L335" s="33">
        <v>9</v>
      </c>
      <c r="M335" s="33">
        <v>0</v>
      </c>
      <c r="N335" s="33">
        <v>0</v>
      </c>
      <c r="O335" s="35" t="s">
        <v>224</v>
      </c>
      <c r="P335" s="36">
        <v>0.1145833333333333</v>
      </c>
      <c r="Q335" s="33">
        <v>168</v>
      </c>
      <c r="R335" s="37" t="s">
        <v>225</v>
      </c>
    </row>
    <row r="336" spans="1:18" ht="15" customHeight="1" x14ac:dyDescent="0.3">
      <c r="A336" s="201" t="s">
        <v>28</v>
      </c>
      <c r="B336" s="201" t="s">
        <v>35</v>
      </c>
      <c r="C336" s="202">
        <v>0.31944444444444448</v>
      </c>
      <c r="D336" s="201" t="s">
        <v>30</v>
      </c>
      <c r="E336" s="203"/>
      <c r="F336" s="201" t="s">
        <v>31</v>
      </c>
      <c r="G336" s="241"/>
      <c r="H336" s="79" t="s">
        <v>35</v>
      </c>
      <c r="I336" s="80">
        <v>2.3800000000000002E-2</v>
      </c>
      <c r="J336" s="81">
        <v>4</v>
      </c>
      <c r="K336" s="82" t="s">
        <v>94</v>
      </c>
      <c r="L336" s="81">
        <v>4</v>
      </c>
      <c r="M336" s="81">
        <v>0</v>
      </c>
      <c r="N336" s="81">
        <v>0</v>
      </c>
      <c r="O336" s="83" t="s">
        <v>66</v>
      </c>
      <c r="P336" s="84">
        <v>0.31944444444444448</v>
      </c>
      <c r="Q336" s="81">
        <v>168</v>
      </c>
      <c r="R336" s="85" t="s">
        <v>226</v>
      </c>
    </row>
    <row r="337" spans="1:18" ht="15" customHeight="1" x14ac:dyDescent="0.3">
      <c r="A337" s="28" t="s">
        <v>28</v>
      </c>
      <c r="B337" s="28" t="s">
        <v>38</v>
      </c>
      <c r="C337" s="29">
        <v>0.45833333333333331</v>
      </c>
      <c r="D337" s="28" t="s">
        <v>30</v>
      </c>
      <c r="E337" s="30"/>
      <c r="F337" s="28" t="s">
        <v>31</v>
      </c>
      <c r="G337" s="241"/>
      <c r="H337" s="31" t="s">
        <v>38</v>
      </c>
      <c r="I337" s="32">
        <v>1.7899999999999999E-2</v>
      </c>
      <c r="J337" s="33">
        <v>3</v>
      </c>
      <c r="K337" s="34" t="s">
        <v>183</v>
      </c>
      <c r="L337" s="33">
        <v>3</v>
      </c>
      <c r="M337" s="33">
        <v>0</v>
      </c>
      <c r="N337" s="33">
        <v>0</v>
      </c>
      <c r="O337" s="35" t="s">
        <v>227</v>
      </c>
      <c r="P337" s="36">
        <v>0.45833333333333331</v>
      </c>
      <c r="Q337" s="33">
        <v>168</v>
      </c>
      <c r="R337" s="37" t="s">
        <v>127</v>
      </c>
    </row>
    <row r="338" spans="1:18" ht="15" customHeight="1" x14ac:dyDescent="0.3">
      <c r="A338" s="143" t="s">
        <v>28</v>
      </c>
      <c r="B338" s="143" t="s">
        <v>40</v>
      </c>
      <c r="C338" s="144">
        <v>0.61458333333333337</v>
      </c>
      <c r="D338" s="143" t="s">
        <v>30</v>
      </c>
      <c r="E338" s="145"/>
      <c r="F338" s="143" t="s">
        <v>31</v>
      </c>
      <c r="G338" s="241"/>
      <c r="H338" s="146" t="s">
        <v>40</v>
      </c>
      <c r="I338" s="147">
        <v>8.9300000000000004E-2</v>
      </c>
      <c r="J338" s="148">
        <v>15</v>
      </c>
      <c r="K338" s="149" t="s">
        <v>94</v>
      </c>
      <c r="L338" s="148">
        <v>15</v>
      </c>
      <c r="M338" s="148">
        <v>0</v>
      </c>
      <c r="N338" s="148">
        <v>0</v>
      </c>
      <c r="O338" s="150" t="s">
        <v>42</v>
      </c>
      <c r="P338" s="151">
        <v>0.61458333333333337</v>
      </c>
      <c r="Q338" s="148">
        <v>168</v>
      </c>
      <c r="R338" s="152" t="s">
        <v>228</v>
      </c>
    </row>
    <row r="339" spans="1:18" ht="15" customHeight="1" x14ac:dyDescent="0.3">
      <c r="A339" s="48" t="s">
        <v>28</v>
      </c>
      <c r="B339" s="48" t="s">
        <v>44</v>
      </c>
      <c r="C339" s="49">
        <v>0.73611111111111116</v>
      </c>
      <c r="D339" s="48" t="s">
        <v>30</v>
      </c>
      <c r="E339" s="50"/>
      <c r="F339" s="48" t="s">
        <v>31</v>
      </c>
      <c r="G339" s="241"/>
      <c r="H339" s="51" t="s">
        <v>44</v>
      </c>
      <c r="I339" s="52">
        <v>8.3299999999999999E-2</v>
      </c>
      <c r="J339" s="53">
        <v>14</v>
      </c>
      <c r="K339" s="54" t="s">
        <v>94</v>
      </c>
      <c r="L339" s="53">
        <v>14</v>
      </c>
      <c r="M339" s="53">
        <v>0</v>
      </c>
      <c r="N339" s="53">
        <v>0</v>
      </c>
      <c r="O339" s="55" t="s">
        <v>42</v>
      </c>
      <c r="P339" s="56">
        <v>0.73611111111111116</v>
      </c>
      <c r="Q339" s="53">
        <v>168</v>
      </c>
      <c r="R339" s="57" t="s">
        <v>229</v>
      </c>
    </row>
    <row r="340" spans="1:18" ht="15" customHeight="1" thickBot="1" x14ac:dyDescent="0.35">
      <c r="A340" s="189" t="s">
        <v>28</v>
      </c>
      <c r="B340" s="189" t="s">
        <v>48</v>
      </c>
      <c r="C340" s="190">
        <v>0.9375</v>
      </c>
      <c r="D340" s="189" t="s">
        <v>30</v>
      </c>
      <c r="E340" s="191"/>
      <c r="F340" s="189" t="s">
        <v>31</v>
      </c>
      <c r="G340" s="242"/>
      <c r="H340" s="192" t="s">
        <v>48</v>
      </c>
      <c r="I340" s="222">
        <v>6.5500000000000003E-2</v>
      </c>
      <c r="J340" s="194">
        <v>11</v>
      </c>
      <c r="K340" s="195" t="s">
        <v>113</v>
      </c>
      <c r="L340" s="194">
        <v>11</v>
      </c>
      <c r="M340" s="194">
        <v>0</v>
      </c>
      <c r="N340" s="194">
        <v>0</v>
      </c>
      <c r="O340" s="196" t="s">
        <v>230</v>
      </c>
      <c r="P340" s="197">
        <v>0.9375</v>
      </c>
      <c r="Q340" s="194">
        <v>168</v>
      </c>
      <c r="R340" s="198" t="s">
        <v>231</v>
      </c>
    </row>
    <row r="341" spans="1:18" ht="17.399999999999999" customHeight="1" thickBot="1" x14ac:dyDescent="0.35">
      <c r="A341" s="265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7"/>
    </row>
    <row r="342" spans="1:18" ht="22.05" customHeight="1" thickTop="1" thickBot="1" x14ac:dyDescent="0.35">
      <c r="A342" s="236" t="s">
        <v>8</v>
      </c>
      <c r="B342" s="234"/>
      <c r="C342" s="234"/>
      <c r="D342" s="234"/>
      <c r="E342" s="234"/>
      <c r="F342" s="235"/>
      <c r="G342" s="68">
        <v>46060</v>
      </c>
      <c r="H342" s="233" t="s">
        <v>9</v>
      </c>
      <c r="I342" s="234"/>
      <c r="J342" s="234"/>
      <c r="K342" s="234"/>
      <c r="L342" s="234"/>
      <c r="M342" s="234"/>
      <c r="N342" s="234"/>
      <c r="O342" s="234"/>
      <c r="P342" s="234"/>
      <c r="Q342" s="234"/>
      <c r="R342" s="235"/>
    </row>
    <row r="343" spans="1:18" ht="24" customHeight="1" x14ac:dyDescent="0.3">
      <c r="A343" s="69" t="s">
        <v>10</v>
      </c>
      <c r="B343" s="69" t="s">
        <v>11</v>
      </c>
      <c r="C343" s="70" t="s">
        <v>12</v>
      </c>
      <c r="D343" s="69" t="s">
        <v>13</v>
      </c>
      <c r="E343" s="69" t="s">
        <v>14</v>
      </c>
      <c r="F343" s="71" t="s">
        <v>15</v>
      </c>
      <c r="G343" s="72" t="s">
        <v>16</v>
      </c>
      <c r="H343" s="69" t="s">
        <v>17</v>
      </c>
      <c r="I343" s="73" t="s">
        <v>18</v>
      </c>
      <c r="J343" s="74" t="s">
        <v>19</v>
      </c>
      <c r="K343" s="75" t="s">
        <v>20</v>
      </c>
      <c r="L343" s="74" t="s">
        <v>21</v>
      </c>
      <c r="M343" s="74" t="s">
        <v>22</v>
      </c>
      <c r="N343" s="74" t="s">
        <v>23</v>
      </c>
      <c r="O343" s="69" t="s">
        <v>24</v>
      </c>
      <c r="P343" s="70" t="s">
        <v>25</v>
      </c>
      <c r="Q343" s="74" t="s">
        <v>26</v>
      </c>
      <c r="R343" s="69" t="s">
        <v>27</v>
      </c>
    </row>
    <row r="344" spans="1:18" ht="49.95" customHeight="1" x14ac:dyDescent="0.3">
      <c r="A344" s="185" t="s">
        <v>28</v>
      </c>
      <c r="B344" s="185" t="s">
        <v>51</v>
      </c>
      <c r="C344" s="186">
        <v>0.2361111111111111</v>
      </c>
      <c r="D344" s="185" t="s">
        <v>30</v>
      </c>
      <c r="E344" s="187"/>
      <c r="F344" s="185" t="s">
        <v>31</v>
      </c>
      <c r="G344" s="240"/>
      <c r="H344" s="146" t="s">
        <v>51</v>
      </c>
      <c r="I344" s="147">
        <v>5.1700000000000003E-2</v>
      </c>
      <c r="J344" s="148">
        <v>9</v>
      </c>
      <c r="K344" s="149" t="s">
        <v>166</v>
      </c>
      <c r="L344" s="148">
        <v>9</v>
      </c>
      <c r="M344" s="148">
        <v>0</v>
      </c>
      <c r="N344" s="148">
        <v>0</v>
      </c>
      <c r="O344" s="150" t="s">
        <v>43</v>
      </c>
      <c r="P344" s="151">
        <v>0.2361111111111111</v>
      </c>
      <c r="Q344" s="148">
        <v>174</v>
      </c>
      <c r="R344" s="152" t="s">
        <v>232</v>
      </c>
    </row>
    <row r="345" spans="1:18" ht="49.95" customHeight="1" x14ac:dyDescent="0.3">
      <c r="A345" s="28" t="s">
        <v>28</v>
      </c>
      <c r="B345" s="28" t="s">
        <v>35</v>
      </c>
      <c r="C345" s="29">
        <v>0.33333333333333331</v>
      </c>
      <c r="D345" s="28" t="s">
        <v>30</v>
      </c>
      <c r="E345" s="30"/>
      <c r="F345" s="28" t="s">
        <v>31</v>
      </c>
      <c r="G345" s="241"/>
      <c r="H345" s="31" t="s">
        <v>35</v>
      </c>
      <c r="I345" s="32">
        <v>3.5700000000000003E-2</v>
      </c>
      <c r="J345" s="33">
        <v>6</v>
      </c>
      <c r="K345" s="34" t="s">
        <v>91</v>
      </c>
      <c r="L345" s="33">
        <v>7</v>
      </c>
      <c r="M345" s="33">
        <v>0</v>
      </c>
      <c r="N345" s="33">
        <v>0</v>
      </c>
      <c r="O345" s="35" t="s">
        <v>43</v>
      </c>
      <c r="P345" s="36">
        <v>0.33333333333333331</v>
      </c>
      <c r="Q345" s="33">
        <v>168</v>
      </c>
      <c r="R345" s="37" t="s">
        <v>233</v>
      </c>
    </row>
    <row r="346" spans="1:18" ht="49.95" customHeight="1" thickBot="1" x14ac:dyDescent="0.35">
      <c r="A346" s="161" t="s">
        <v>28</v>
      </c>
      <c r="B346" s="161" t="s">
        <v>38</v>
      </c>
      <c r="C346" s="162">
        <v>0.68055555555555547</v>
      </c>
      <c r="D346" s="161" t="s">
        <v>30</v>
      </c>
      <c r="E346" s="163"/>
      <c r="F346" s="161" t="s">
        <v>31</v>
      </c>
      <c r="G346" s="242"/>
      <c r="H346" s="164" t="s">
        <v>38</v>
      </c>
      <c r="I346" s="224">
        <v>0.1012</v>
      </c>
      <c r="J346" s="166">
        <v>17</v>
      </c>
      <c r="K346" s="167" t="s">
        <v>97</v>
      </c>
      <c r="L346" s="166">
        <v>18</v>
      </c>
      <c r="M346" s="166">
        <v>0</v>
      </c>
      <c r="N346" s="166">
        <v>0</v>
      </c>
      <c r="O346" s="168" t="s">
        <v>234</v>
      </c>
      <c r="P346" s="169">
        <v>0.68055555555555547</v>
      </c>
      <c r="Q346" s="166">
        <v>168</v>
      </c>
      <c r="R346" s="170" t="s">
        <v>235</v>
      </c>
    </row>
    <row r="347" spans="1:18" ht="17.399999999999999" customHeight="1" thickBot="1" x14ac:dyDescent="0.35">
      <c r="A347" s="265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7"/>
    </row>
    <row r="348" spans="1:18" ht="22.05" customHeight="1" thickTop="1" thickBot="1" x14ac:dyDescent="0.35">
      <c r="A348" s="236" t="s">
        <v>8</v>
      </c>
      <c r="B348" s="234"/>
      <c r="C348" s="234"/>
      <c r="D348" s="234"/>
      <c r="E348" s="234"/>
      <c r="F348" s="235"/>
      <c r="G348" s="68">
        <v>46061</v>
      </c>
      <c r="H348" s="233" t="s">
        <v>9</v>
      </c>
      <c r="I348" s="234"/>
      <c r="J348" s="234"/>
      <c r="K348" s="234"/>
      <c r="L348" s="234"/>
      <c r="M348" s="234"/>
      <c r="N348" s="234"/>
      <c r="O348" s="234"/>
      <c r="P348" s="234"/>
      <c r="Q348" s="234"/>
      <c r="R348" s="235"/>
    </row>
    <row r="349" spans="1:18" ht="24" customHeight="1" x14ac:dyDescent="0.3">
      <c r="A349" s="69" t="s">
        <v>10</v>
      </c>
      <c r="B349" s="69" t="s">
        <v>11</v>
      </c>
      <c r="C349" s="70" t="s">
        <v>12</v>
      </c>
      <c r="D349" s="69" t="s">
        <v>13</v>
      </c>
      <c r="E349" s="69" t="s">
        <v>14</v>
      </c>
      <c r="F349" s="71" t="s">
        <v>15</v>
      </c>
      <c r="G349" s="72" t="s">
        <v>16</v>
      </c>
      <c r="H349" s="69" t="s">
        <v>17</v>
      </c>
      <c r="I349" s="73" t="s">
        <v>18</v>
      </c>
      <c r="J349" s="74" t="s">
        <v>19</v>
      </c>
      <c r="K349" s="75" t="s">
        <v>20</v>
      </c>
      <c r="L349" s="74" t="s">
        <v>21</v>
      </c>
      <c r="M349" s="74" t="s">
        <v>22</v>
      </c>
      <c r="N349" s="74" t="s">
        <v>23</v>
      </c>
      <c r="O349" s="69" t="s">
        <v>24</v>
      </c>
      <c r="P349" s="70" t="s">
        <v>25</v>
      </c>
      <c r="Q349" s="74" t="s">
        <v>26</v>
      </c>
      <c r="R349" s="69" t="s">
        <v>27</v>
      </c>
    </row>
    <row r="350" spans="1:18" ht="49.95" customHeight="1" x14ac:dyDescent="0.3">
      <c r="A350" s="185" t="s">
        <v>28</v>
      </c>
      <c r="B350" s="185" t="s">
        <v>29</v>
      </c>
      <c r="C350" s="186">
        <v>8.3333333333333329E-2</v>
      </c>
      <c r="D350" s="185" t="s">
        <v>30</v>
      </c>
      <c r="E350" s="187"/>
      <c r="F350" s="185" t="s">
        <v>31</v>
      </c>
      <c r="G350" s="243"/>
      <c r="H350" s="146" t="s">
        <v>29</v>
      </c>
      <c r="I350" s="147">
        <v>6.0000000000000001E-3</v>
      </c>
      <c r="J350" s="148">
        <v>1</v>
      </c>
      <c r="K350" s="149" t="s">
        <v>97</v>
      </c>
      <c r="L350" s="148">
        <v>1</v>
      </c>
      <c r="M350" s="148">
        <v>0</v>
      </c>
      <c r="N350" s="148">
        <v>0</v>
      </c>
      <c r="O350" s="150" t="s">
        <v>43</v>
      </c>
      <c r="P350" s="151">
        <v>8.3333333333333329E-2</v>
      </c>
      <c r="Q350" s="148">
        <v>168</v>
      </c>
      <c r="R350" s="152" t="s">
        <v>42</v>
      </c>
    </row>
    <row r="351" spans="1:18" ht="49.95" customHeight="1" x14ac:dyDescent="0.3">
      <c r="A351" s="201" t="s">
        <v>28</v>
      </c>
      <c r="B351" s="201" t="s">
        <v>35</v>
      </c>
      <c r="C351" s="202">
        <v>0.31944444444444448</v>
      </c>
      <c r="D351" s="201" t="s">
        <v>30</v>
      </c>
      <c r="E351" s="203"/>
      <c r="F351" s="201" t="s">
        <v>31</v>
      </c>
      <c r="G351" s="241"/>
      <c r="H351" s="79" t="s">
        <v>35</v>
      </c>
      <c r="I351" s="80">
        <v>1.7899999999999999E-2</v>
      </c>
      <c r="J351" s="81">
        <v>3</v>
      </c>
      <c r="K351" s="82" t="s">
        <v>94</v>
      </c>
      <c r="L351" s="81">
        <v>4</v>
      </c>
      <c r="M351" s="81">
        <v>0</v>
      </c>
      <c r="N351" s="81">
        <v>0</v>
      </c>
      <c r="O351" s="83" t="s">
        <v>43</v>
      </c>
      <c r="P351" s="84">
        <v>0.31944444444444448</v>
      </c>
      <c r="Q351" s="81">
        <v>168</v>
      </c>
      <c r="R351" s="85" t="s">
        <v>236</v>
      </c>
    </row>
    <row r="352" spans="1:18" ht="49.95" customHeight="1" x14ac:dyDescent="0.3">
      <c r="A352" s="18" t="s">
        <v>28</v>
      </c>
      <c r="B352" s="18" t="s">
        <v>101</v>
      </c>
      <c r="C352" s="19">
        <v>0.33333333333333331</v>
      </c>
      <c r="D352" s="18" t="s">
        <v>30</v>
      </c>
      <c r="E352" s="20"/>
      <c r="F352" s="18" t="s">
        <v>108</v>
      </c>
      <c r="G352" s="241"/>
      <c r="H352" s="21" t="s">
        <v>101</v>
      </c>
      <c r="I352" s="22">
        <v>0</v>
      </c>
      <c r="J352" s="23">
        <v>0</v>
      </c>
      <c r="K352" s="24" t="s">
        <v>109</v>
      </c>
      <c r="L352" s="23">
        <v>0</v>
      </c>
      <c r="M352" s="23">
        <v>0</v>
      </c>
      <c r="N352" s="23">
        <v>0</v>
      </c>
      <c r="O352" s="25" t="s">
        <v>43</v>
      </c>
      <c r="P352" s="26">
        <v>0.33333333333333331</v>
      </c>
      <c r="Q352" s="23">
        <v>168</v>
      </c>
      <c r="R352" s="27" t="s">
        <v>109</v>
      </c>
    </row>
    <row r="353" spans="1:18" ht="49.95" customHeight="1" x14ac:dyDescent="0.3">
      <c r="A353" s="86" t="s">
        <v>28</v>
      </c>
      <c r="B353" s="86" t="s">
        <v>48</v>
      </c>
      <c r="C353" s="87">
        <v>0.51041666666666663</v>
      </c>
      <c r="D353" s="86" t="s">
        <v>30</v>
      </c>
      <c r="E353" s="88"/>
      <c r="F353" s="86" t="s">
        <v>31</v>
      </c>
      <c r="G353" s="241"/>
      <c r="H353" s="11" t="s">
        <v>48</v>
      </c>
      <c r="I353" s="12">
        <v>1.1900000000000001E-2</v>
      </c>
      <c r="J353" s="13">
        <v>2</v>
      </c>
      <c r="K353" s="14" t="s">
        <v>183</v>
      </c>
      <c r="L353" s="13">
        <v>2</v>
      </c>
      <c r="M353" s="13">
        <v>0</v>
      </c>
      <c r="N353" s="13">
        <v>0</v>
      </c>
      <c r="O353" s="15" t="s">
        <v>43</v>
      </c>
      <c r="P353" s="16">
        <v>0.51041666666666663</v>
      </c>
      <c r="Q353" s="13">
        <v>168</v>
      </c>
      <c r="R353" s="17" t="s">
        <v>89</v>
      </c>
    </row>
    <row r="354" spans="1:18" ht="49.95" customHeight="1" thickBot="1" x14ac:dyDescent="0.35">
      <c r="A354" s="207" t="s">
        <v>28</v>
      </c>
      <c r="B354" s="207" t="s">
        <v>38</v>
      </c>
      <c r="C354" s="208">
        <v>0.63194444444444442</v>
      </c>
      <c r="D354" s="207" t="s">
        <v>30</v>
      </c>
      <c r="E354" s="209"/>
      <c r="F354" s="207" t="s">
        <v>31</v>
      </c>
      <c r="G354" s="242"/>
      <c r="H354" s="210" t="s">
        <v>38</v>
      </c>
      <c r="I354" s="223">
        <v>3.5700000000000003E-2</v>
      </c>
      <c r="J354" s="212">
        <v>6</v>
      </c>
      <c r="K354" s="213" t="s">
        <v>94</v>
      </c>
      <c r="L354" s="212">
        <v>7</v>
      </c>
      <c r="M354" s="212">
        <v>0</v>
      </c>
      <c r="N354" s="212">
        <v>0</v>
      </c>
      <c r="O354" s="214" t="s">
        <v>43</v>
      </c>
      <c r="P354" s="215">
        <v>0.63194444444444442</v>
      </c>
      <c r="Q354" s="212">
        <v>168</v>
      </c>
      <c r="R354" s="216" t="s">
        <v>237</v>
      </c>
    </row>
    <row r="355" spans="1:18" ht="17.399999999999999" customHeight="1" thickBot="1" x14ac:dyDescent="0.35">
      <c r="A355" s="265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7"/>
    </row>
    <row r="356" spans="1:18" ht="22.05" customHeight="1" thickTop="1" thickBot="1" x14ac:dyDescent="0.35">
      <c r="A356" s="236" t="s">
        <v>8</v>
      </c>
      <c r="B356" s="234"/>
      <c r="C356" s="234"/>
      <c r="D356" s="234"/>
      <c r="E356" s="234"/>
      <c r="F356" s="235"/>
      <c r="G356" s="68">
        <v>46062</v>
      </c>
      <c r="H356" s="233" t="s">
        <v>9</v>
      </c>
      <c r="I356" s="234"/>
      <c r="J356" s="234"/>
      <c r="K356" s="234"/>
      <c r="L356" s="234"/>
      <c r="M356" s="234"/>
      <c r="N356" s="234"/>
      <c r="O356" s="234"/>
      <c r="P356" s="234"/>
      <c r="Q356" s="234"/>
      <c r="R356" s="235"/>
    </row>
    <row r="357" spans="1:18" ht="24" customHeight="1" x14ac:dyDescent="0.3">
      <c r="A357" s="69" t="s">
        <v>10</v>
      </c>
      <c r="B357" s="69" t="s">
        <v>11</v>
      </c>
      <c r="C357" s="70" t="s">
        <v>12</v>
      </c>
      <c r="D357" s="69" t="s">
        <v>13</v>
      </c>
      <c r="E357" s="69" t="s">
        <v>14</v>
      </c>
      <c r="F357" s="71" t="s">
        <v>15</v>
      </c>
      <c r="G357" s="72" t="s">
        <v>16</v>
      </c>
      <c r="H357" s="69" t="s">
        <v>17</v>
      </c>
      <c r="I357" s="73" t="s">
        <v>18</v>
      </c>
      <c r="J357" s="74" t="s">
        <v>19</v>
      </c>
      <c r="K357" s="75" t="s">
        <v>20</v>
      </c>
      <c r="L357" s="74" t="s">
        <v>21</v>
      </c>
      <c r="M357" s="74" t="s">
        <v>22</v>
      </c>
      <c r="N357" s="74" t="s">
        <v>23</v>
      </c>
      <c r="O357" s="69" t="s">
        <v>24</v>
      </c>
      <c r="P357" s="70" t="s">
        <v>25</v>
      </c>
      <c r="Q357" s="74" t="s">
        <v>26</v>
      </c>
      <c r="R357" s="69" t="s">
        <v>27</v>
      </c>
    </row>
    <row r="358" spans="1:18" ht="49.95" customHeight="1" x14ac:dyDescent="0.3">
      <c r="A358" s="181" t="s">
        <v>28</v>
      </c>
      <c r="B358" s="181" t="s">
        <v>40</v>
      </c>
      <c r="C358" s="182">
        <v>6.9444444444444441E-3</v>
      </c>
      <c r="D358" s="181" t="s">
        <v>30</v>
      </c>
      <c r="E358" s="183"/>
      <c r="F358" s="181" t="s">
        <v>31</v>
      </c>
      <c r="G358" s="240"/>
      <c r="H358" s="51" t="s">
        <v>40</v>
      </c>
      <c r="I358" s="52">
        <v>6.0000000000000001E-3</v>
      </c>
      <c r="J358" s="53">
        <v>1</v>
      </c>
      <c r="K358" s="54" t="s">
        <v>97</v>
      </c>
      <c r="L358" s="53">
        <v>1</v>
      </c>
      <c r="M358" s="53">
        <v>0</v>
      </c>
      <c r="N358" s="53">
        <v>0</v>
      </c>
      <c r="O358" s="55" t="s">
        <v>43</v>
      </c>
      <c r="P358" s="56">
        <v>6.9444444444444441E-3</v>
      </c>
      <c r="Q358" s="53">
        <v>168</v>
      </c>
      <c r="R358" s="57" t="s">
        <v>42</v>
      </c>
    </row>
    <row r="359" spans="1:18" ht="49.95" customHeight="1" x14ac:dyDescent="0.3">
      <c r="A359" s="143" t="s">
        <v>28</v>
      </c>
      <c r="B359" s="143" t="s">
        <v>35</v>
      </c>
      <c r="C359" s="144">
        <v>0.4236111111111111</v>
      </c>
      <c r="D359" s="143" t="s">
        <v>30</v>
      </c>
      <c r="E359" s="145"/>
      <c r="F359" s="143" t="s">
        <v>31</v>
      </c>
      <c r="G359" s="241"/>
      <c r="H359" s="146" t="s">
        <v>35</v>
      </c>
      <c r="I359" s="147">
        <v>6.0000000000000001E-3</v>
      </c>
      <c r="J359" s="148">
        <v>1</v>
      </c>
      <c r="K359" s="149" t="s">
        <v>94</v>
      </c>
      <c r="L359" s="148">
        <v>2</v>
      </c>
      <c r="M359" s="148">
        <v>0</v>
      </c>
      <c r="N359" s="148">
        <v>0</v>
      </c>
      <c r="O359" s="150" t="s">
        <v>43</v>
      </c>
      <c r="P359" s="151">
        <v>0.4236111111111111</v>
      </c>
      <c r="Q359" s="148">
        <v>168</v>
      </c>
      <c r="R359" s="152" t="s">
        <v>42</v>
      </c>
    </row>
    <row r="360" spans="1:18" ht="49.95" customHeight="1" x14ac:dyDescent="0.3">
      <c r="A360" s="48" t="s">
        <v>28</v>
      </c>
      <c r="B360" s="48" t="s">
        <v>38</v>
      </c>
      <c r="C360" s="49">
        <v>0.61458333333333337</v>
      </c>
      <c r="D360" s="48" t="s">
        <v>30</v>
      </c>
      <c r="E360" s="50"/>
      <c r="F360" s="48" t="s">
        <v>31</v>
      </c>
      <c r="G360" s="241"/>
      <c r="H360" s="51" t="s">
        <v>38</v>
      </c>
      <c r="I360" s="52">
        <v>2.98E-2</v>
      </c>
      <c r="J360" s="53">
        <v>5</v>
      </c>
      <c r="K360" s="54" t="s">
        <v>113</v>
      </c>
      <c r="L360" s="53">
        <v>6</v>
      </c>
      <c r="M360" s="53">
        <v>0</v>
      </c>
      <c r="N360" s="53">
        <v>0</v>
      </c>
      <c r="O360" s="55" t="s">
        <v>43</v>
      </c>
      <c r="P360" s="56">
        <v>0.61458333333333337</v>
      </c>
      <c r="Q360" s="53">
        <v>168</v>
      </c>
      <c r="R360" s="57" t="s">
        <v>238</v>
      </c>
    </row>
    <row r="361" spans="1:18" ht="49.95" customHeight="1" thickBot="1" x14ac:dyDescent="0.35">
      <c r="A361" s="189" t="s">
        <v>28</v>
      </c>
      <c r="B361" s="189" t="s">
        <v>48</v>
      </c>
      <c r="C361" s="190">
        <v>0.97916666666666663</v>
      </c>
      <c r="D361" s="189" t="s">
        <v>30</v>
      </c>
      <c r="E361" s="191"/>
      <c r="F361" s="189" t="s">
        <v>31</v>
      </c>
      <c r="G361" s="242"/>
      <c r="H361" s="192" t="s">
        <v>48</v>
      </c>
      <c r="I361" s="222">
        <v>0.23810000000000001</v>
      </c>
      <c r="J361" s="194">
        <v>40</v>
      </c>
      <c r="K361" s="195" t="s">
        <v>239</v>
      </c>
      <c r="L361" s="194">
        <v>1</v>
      </c>
      <c r="M361" s="194">
        <v>0</v>
      </c>
      <c r="N361" s="194">
        <v>0</v>
      </c>
      <c r="O361" s="196" t="s">
        <v>43</v>
      </c>
      <c r="P361" s="197">
        <v>0.97916666666666663</v>
      </c>
      <c r="Q361" s="194">
        <v>168</v>
      </c>
      <c r="R361" s="198" t="s">
        <v>240</v>
      </c>
    </row>
    <row r="362" spans="1:18" ht="17.399999999999999" customHeight="1" thickBot="1" x14ac:dyDescent="0.35">
      <c r="A362" s="265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7"/>
    </row>
    <row r="363" spans="1:18" ht="22.05" customHeight="1" thickTop="1" thickBot="1" x14ac:dyDescent="0.35">
      <c r="A363" s="236" t="s">
        <v>8</v>
      </c>
      <c r="B363" s="234"/>
      <c r="C363" s="234"/>
      <c r="D363" s="234"/>
      <c r="E363" s="234"/>
      <c r="F363" s="235"/>
      <c r="G363" s="68">
        <v>46063</v>
      </c>
      <c r="H363" s="233" t="s">
        <v>9</v>
      </c>
      <c r="I363" s="234"/>
      <c r="J363" s="234"/>
      <c r="K363" s="234"/>
      <c r="L363" s="234"/>
      <c r="M363" s="234"/>
      <c r="N363" s="234"/>
      <c r="O363" s="234"/>
      <c r="P363" s="234"/>
      <c r="Q363" s="234"/>
      <c r="R363" s="235"/>
    </row>
    <row r="364" spans="1:18" ht="24" customHeight="1" x14ac:dyDescent="0.3">
      <c r="A364" s="69" t="s">
        <v>10</v>
      </c>
      <c r="B364" s="69" t="s">
        <v>11</v>
      </c>
      <c r="C364" s="70" t="s">
        <v>12</v>
      </c>
      <c r="D364" s="69" t="s">
        <v>13</v>
      </c>
      <c r="E364" s="69" t="s">
        <v>14</v>
      </c>
      <c r="F364" s="71" t="s">
        <v>15</v>
      </c>
      <c r="G364" s="72" t="s">
        <v>16</v>
      </c>
      <c r="H364" s="69" t="s">
        <v>17</v>
      </c>
      <c r="I364" s="73" t="s">
        <v>18</v>
      </c>
      <c r="J364" s="74" t="s">
        <v>19</v>
      </c>
      <c r="K364" s="75" t="s">
        <v>20</v>
      </c>
      <c r="L364" s="74" t="s">
        <v>21</v>
      </c>
      <c r="M364" s="74" t="s">
        <v>22</v>
      </c>
      <c r="N364" s="74" t="s">
        <v>23</v>
      </c>
      <c r="O364" s="69" t="s">
        <v>24</v>
      </c>
      <c r="P364" s="70" t="s">
        <v>25</v>
      </c>
      <c r="Q364" s="74" t="s">
        <v>26</v>
      </c>
      <c r="R364" s="69" t="s">
        <v>27</v>
      </c>
    </row>
    <row r="365" spans="1:18" ht="15" customHeight="1" x14ac:dyDescent="0.3">
      <c r="A365" s="8" t="s">
        <v>28</v>
      </c>
      <c r="B365" s="8" t="s">
        <v>44</v>
      </c>
      <c r="C365" s="9">
        <v>0.22916666666666671</v>
      </c>
      <c r="D365" s="8" t="s">
        <v>30</v>
      </c>
      <c r="E365" s="10"/>
      <c r="F365" s="8" t="s">
        <v>108</v>
      </c>
      <c r="G365" s="240"/>
      <c r="H365" s="11" t="s">
        <v>44</v>
      </c>
      <c r="I365" s="12">
        <v>0</v>
      </c>
      <c r="J365" s="13">
        <v>0</v>
      </c>
      <c r="K365" s="14" t="s">
        <v>109</v>
      </c>
      <c r="L365" s="13">
        <v>0</v>
      </c>
      <c r="M365" s="13">
        <v>0</v>
      </c>
      <c r="N365" s="13">
        <v>0</v>
      </c>
      <c r="O365" s="15" t="s">
        <v>43</v>
      </c>
      <c r="P365" s="16">
        <v>0.22916666666666671</v>
      </c>
      <c r="Q365" s="13">
        <v>168</v>
      </c>
      <c r="R365" s="17" t="s">
        <v>109</v>
      </c>
    </row>
    <row r="366" spans="1:18" ht="15" customHeight="1" x14ac:dyDescent="0.3">
      <c r="A366" s="201" t="s">
        <v>28</v>
      </c>
      <c r="B366" s="201" t="s">
        <v>40</v>
      </c>
      <c r="C366" s="202">
        <v>0.55902777777777779</v>
      </c>
      <c r="D366" s="201" t="s">
        <v>30</v>
      </c>
      <c r="E366" s="203"/>
      <c r="F366" s="201" t="s">
        <v>31</v>
      </c>
      <c r="G366" s="241"/>
      <c r="H366" s="79" t="s">
        <v>40</v>
      </c>
      <c r="I366" s="80">
        <v>6.0000000000000001E-3</v>
      </c>
      <c r="J366" s="81">
        <v>1</v>
      </c>
      <c r="K366" s="82" t="s">
        <v>197</v>
      </c>
      <c r="L366" s="81">
        <v>1</v>
      </c>
      <c r="M366" s="81">
        <v>0</v>
      </c>
      <c r="N366" s="81">
        <v>0</v>
      </c>
      <c r="O366" s="83" t="s">
        <v>43</v>
      </c>
      <c r="P366" s="84">
        <v>0.55902777777777779</v>
      </c>
      <c r="Q366" s="81">
        <v>168</v>
      </c>
      <c r="R366" s="85" t="s">
        <v>114</v>
      </c>
    </row>
    <row r="367" spans="1:18" ht="15" customHeight="1" x14ac:dyDescent="0.3">
      <c r="A367" s="38" t="s">
        <v>28</v>
      </c>
      <c r="B367" s="38" t="s">
        <v>38</v>
      </c>
      <c r="C367" s="39">
        <v>0.61458333333333337</v>
      </c>
      <c r="D367" s="38" t="s">
        <v>30</v>
      </c>
      <c r="E367" s="40"/>
      <c r="F367" s="38" t="s">
        <v>31</v>
      </c>
      <c r="G367" s="241"/>
      <c r="H367" s="41" t="s">
        <v>38</v>
      </c>
      <c r="I367" s="42">
        <v>4.7600000000000003E-2</v>
      </c>
      <c r="J367" s="43">
        <v>8</v>
      </c>
      <c r="K367" s="44" t="s">
        <v>97</v>
      </c>
      <c r="L367" s="43">
        <v>9</v>
      </c>
      <c r="M367" s="43">
        <v>0</v>
      </c>
      <c r="N367" s="43">
        <v>0</v>
      </c>
      <c r="O367" s="45" t="s">
        <v>43</v>
      </c>
      <c r="P367" s="46">
        <v>0.61458333333333337</v>
      </c>
      <c r="Q367" s="43">
        <v>168</v>
      </c>
      <c r="R367" s="47" t="s">
        <v>241</v>
      </c>
    </row>
    <row r="368" spans="1:18" ht="15" customHeight="1" x14ac:dyDescent="0.3">
      <c r="A368" s="86" t="s">
        <v>28</v>
      </c>
      <c r="B368" s="86" t="s">
        <v>48</v>
      </c>
      <c r="C368" s="87">
        <v>0.72916666666666663</v>
      </c>
      <c r="D368" s="86" t="s">
        <v>30</v>
      </c>
      <c r="E368" s="88"/>
      <c r="F368" s="86" t="s">
        <v>31</v>
      </c>
      <c r="G368" s="241"/>
      <c r="H368" s="11" t="s">
        <v>48</v>
      </c>
      <c r="I368" s="12">
        <v>1.7899999999999999E-2</v>
      </c>
      <c r="J368" s="13">
        <v>3</v>
      </c>
      <c r="K368" s="14" t="s">
        <v>97</v>
      </c>
      <c r="L368" s="13">
        <v>4</v>
      </c>
      <c r="M368" s="13">
        <v>0</v>
      </c>
      <c r="N368" s="13">
        <v>0</v>
      </c>
      <c r="O368" s="15" t="s">
        <v>43</v>
      </c>
      <c r="P368" s="16">
        <v>0.72916666666666663</v>
      </c>
      <c r="Q368" s="13">
        <v>168</v>
      </c>
      <c r="R368" s="17" t="s">
        <v>242</v>
      </c>
    </row>
    <row r="369" spans="1:18" ht="15" customHeight="1" x14ac:dyDescent="0.3">
      <c r="A369" s="139" t="s">
        <v>28</v>
      </c>
      <c r="B369" s="139" t="s">
        <v>29</v>
      </c>
      <c r="C369" s="140">
        <v>0.93402777777777779</v>
      </c>
      <c r="D369" s="139" t="s">
        <v>30</v>
      </c>
      <c r="E369" s="141"/>
      <c r="F369" s="139" t="s">
        <v>108</v>
      </c>
      <c r="G369" s="241"/>
      <c r="H369" s="103" t="s">
        <v>29</v>
      </c>
      <c r="I369" s="159">
        <v>0</v>
      </c>
      <c r="J369" s="105">
        <v>0</v>
      </c>
      <c r="K369" s="106" t="s">
        <v>109</v>
      </c>
      <c r="L369" s="105">
        <v>0</v>
      </c>
      <c r="M369" s="105">
        <v>0</v>
      </c>
      <c r="N369" s="105">
        <v>0</v>
      </c>
      <c r="O369" s="107" t="s">
        <v>43</v>
      </c>
      <c r="P369" s="108">
        <v>0.93402777777777779</v>
      </c>
      <c r="Q369" s="105">
        <v>168</v>
      </c>
      <c r="R369" s="109" t="s">
        <v>109</v>
      </c>
    </row>
    <row r="370" spans="1:18" ht="15" customHeight="1" thickBot="1" x14ac:dyDescent="0.35">
      <c r="A370" s="58" t="s">
        <v>28</v>
      </c>
      <c r="B370" s="58" t="s">
        <v>35</v>
      </c>
      <c r="C370" s="59">
        <v>0.96875</v>
      </c>
      <c r="D370" s="58" t="s">
        <v>30</v>
      </c>
      <c r="E370" s="60"/>
      <c r="F370" s="58" t="s">
        <v>31</v>
      </c>
      <c r="G370" s="242"/>
      <c r="H370" s="61" t="s">
        <v>35</v>
      </c>
      <c r="I370" s="219">
        <v>6.0000000000000001E-3</v>
      </c>
      <c r="J370" s="63">
        <v>1</v>
      </c>
      <c r="K370" s="64" t="s">
        <v>129</v>
      </c>
      <c r="L370" s="63">
        <v>1</v>
      </c>
      <c r="M370" s="63">
        <v>0</v>
      </c>
      <c r="N370" s="63">
        <v>0</v>
      </c>
      <c r="O370" s="65" t="s">
        <v>43</v>
      </c>
      <c r="P370" s="66">
        <v>0.96875</v>
      </c>
      <c r="Q370" s="63">
        <v>168</v>
      </c>
      <c r="R370" s="67" t="s">
        <v>114</v>
      </c>
    </row>
    <row r="371" spans="1:18" ht="17.399999999999999" customHeight="1" thickBot="1" x14ac:dyDescent="0.35">
      <c r="A371" s="265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7"/>
    </row>
    <row r="372" spans="1:18" ht="22.05" customHeight="1" thickTop="1" thickBot="1" x14ac:dyDescent="0.35">
      <c r="A372" s="236" t="s">
        <v>8</v>
      </c>
      <c r="B372" s="234"/>
      <c r="C372" s="234"/>
      <c r="D372" s="234"/>
      <c r="E372" s="234"/>
      <c r="F372" s="235"/>
      <c r="G372" s="68">
        <v>46064</v>
      </c>
      <c r="H372" s="233" t="s">
        <v>9</v>
      </c>
      <c r="I372" s="234"/>
      <c r="J372" s="234"/>
      <c r="K372" s="234"/>
      <c r="L372" s="234"/>
      <c r="M372" s="234"/>
      <c r="N372" s="234"/>
      <c r="O372" s="234"/>
      <c r="P372" s="234"/>
      <c r="Q372" s="234"/>
      <c r="R372" s="235"/>
    </row>
    <row r="373" spans="1:18" ht="24" customHeight="1" x14ac:dyDescent="0.3">
      <c r="A373" s="69" t="s">
        <v>10</v>
      </c>
      <c r="B373" s="69" t="s">
        <v>11</v>
      </c>
      <c r="C373" s="70" t="s">
        <v>12</v>
      </c>
      <c r="D373" s="69" t="s">
        <v>13</v>
      </c>
      <c r="E373" s="69" t="s">
        <v>14</v>
      </c>
      <c r="F373" s="71" t="s">
        <v>15</v>
      </c>
      <c r="G373" s="72" t="s">
        <v>16</v>
      </c>
      <c r="H373" s="69" t="s">
        <v>17</v>
      </c>
      <c r="I373" s="73" t="s">
        <v>18</v>
      </c>
      <c r="J373" s="74" t="s">
        <v>19</v>
      </c>
      <c r="K373" s="75" t="s">
        <v>20</v>
      </c>
      <c r="L373" s="74" t="s">
        <v>21</v>
      </c>
      <c r="M373" s="74" t="s">
        <v>22</v>
      </c>
      <c r="N373" s="74" t="s">
        <v>23</v>
      </c>
      <c r="O373" s="69" t="s">
        <v>24</v>
      </c>
      <c r="P373" s="70" t="s">
        <v>25</v>
      </c>
      <c r="Q373" s="74" t="s">
        <v>26</v>
      </c>
      <c r="R373" s="69" t="s">
        <v>27</v>
      </c>
    </row>
    <row r="374" spans="1:18" ht="49.95" customHeight="1" x14ac:dyDescent="0.3">
      <c r="A374" s="136" t="s">
        <v>28</v>
      </c>
      <c r="B374" s="136" t="s">
        <v>35</v>
      </c>
      <c r="C374" s="137">
        <v>0.47916666666666669</v>
      </c>
      <c r="D374" s="136" t="s">
        <v>30</v>
      </c>
      <c r="E374" s="138"/>
      <c r="F374" s="136" t="s">
        <v>31</v>
      </c>
      <c r="G374" s="240"/>
      <c r="H374" s="21" t="s">
        <v>35</v>
      </c>
      <c r="I374" s="22">
        <v>6.0000000000000001E-3</v>
      </c>
      <c r="J374" s="23">
        <v>1</v>
      </c>
      <c r="K374" s="24" t="s">
        <v>94</v>
      </c>
      <c r="L374" s="23">
        <v>1</v>
      </c>
      <c r="M374" s="23">
        <v>0</v>
      </c>
      <c r="N374" s="23">
        <v>0</v>
      </c>
      <c r="O374" s="25" t="s">
        <v>43</v>
      </c>
      <c r="P374" s="26">
        <v>0.47916666666666669</v>
      </c>
      <c r="Q374" s="23">
        <v>168</v>
      </c>
      <c r="R374" s="27" t="s">
        <v>114</v>
      </c>
    </row>
    <row r="375" spans="1:18" ht="49.95" customHeight="1" x14ac:dyDescent="0.3">
      <c r="A375" s="48" t="s">
        <v>28</v>
      </c>
      <c r="B375" s="48" t="s">
        <v>48</v>
      </c>
      <c r="C375" s="49">
        <v>0.52083333333333337</v>
      </c>
      <c r="D375" s="48" t="s">
        <v>30</v>
      </c>
      <c r="E375" s="50"/>
      <c r="F375" s="48" t="s">
        <v>31</v>
      </c>
      <c r="G375" s="241"/>
      <c r="H375" s="51" t="s">
        <v>48</v>
      </c>
      <c r="I375" s="52">
        <v>5.7000000000000002E-3</v>
      </c>
      <c r="J375" s="53">
        <v>1</v>
      </c>
      <c r="K375" s="54" t="s">
        <v>97</v>
      </c>
      <c r="L375" s="53">
        <v>1</v>
      </c>
      <c r="M375" s="53">
        <v>0</v>
      </c>
      <c r="N375" s="53">
        <v>0</v>
      </c>
      <c r="O375" s="55" t="s">
        <v>43</v>
      </c>
      <c r="P375" s="56">
        <v>0.52083333333333337</v>
      </c>
      <c r="Q375" s="53">
        <v>174</v>
      </c>
      <c r="R375" s="57" t="s">
        <v>42</v>
      </c>
    </row>
    <row r="376" spans="1:18" ht="49.95" customHeight="1" thickBot="1" x14ac:dyDescent="0.35">
      <c r="A376" s="126" t="s">
        <v>28</v>
      </c>
      <c r="B376" s="126" t="s">
        <v>38</v>
      </c>
      <c r="C376" s="127">
        <v>0.61458333333333337</v>
      </c>
      <c r="D376" s="126" t="s">
        <v>30</v>
      </c>
      <c r="E376" s="128"/>
      <c r="F376" s="126" t="s">
        <v>31</v>
      </c>
      <c r="G376" s="242"/>
      <c r="H376" s="129" t="s">
        <v>38</v>
      </c>
      <c r="I376" s="225">
        <v>5.3600000000000002E-2</v>
      </c>
      <c r="J376" s="131">
        <v>9</v>
      </c>
      <c r="K376" s="132" t="s">
        <v>91</v>
      </c>
      <c r="L376" s="131">
        <v>10</v>
      </c>
      <c r="M376" s="131">
        <v>0</v>
      </c>
      <c r="N376" s="131">
        <v>0</v>
      </c>
      <c r="O376" s="133" t="s">
        <v>43</v>
      </c>
      <c r="P376" s="134">
        <v>0.61458333333333337</v>
      </c>
      <c r="Q376" s="131">
        <v>168</v>
      </c>
      <c r="R376" s="135" t="s">
        <v>243</v>
      </c>
    </row>
    <row r="377" spans="1:18" ht="17.399999999999999" customHeight="1" thickBot="1" x14ac:dyDescent="0.35">
      <c r="A377" s="265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7"/>
    </row>
    <row r="378" spans="1:18" ht="22.05" customHeight="1" thickTop="1" thickBot="1" x14ac:dyDescent="0.35">
      <c r="A378" s="236" t="s">
        <v>8</v>
      </c>
      <c r="B378" s="234"/>
      <c r="C378" s="234"/>
      <c r="D378" s="234"/>
      <c r="E378" s="234"/>
      <c r="F378" s="235"/>
      <c r="G378" s="68">
        <v>46065</v>
      </c>
      <c r="H378" s="233" t="s">
        <v>9</v>
      </c>
      <c r="I378" s="234"/>
      <c r="J378" s="234"/>
      <c r="K378" s="234"/>
      <c r="L378" s="234"/>
      <c r="M378" s="234"/>
      <c r="N378" s="234"/>
      <c r="O378" s="234"/>
      <c r="P378" s="234"/>
      <c r="Q378" s="234"/>
      <c r="R378" s="235"/>
    </row>
    <row r="379" spans="1:18" ht="24" customHeight="1" x14ac:dyDescent="0.3">
      <c r="A379" s="69" t="s">
        <v>10</v>
      </c>
      <c r="B379" s="69" t="s">
        <v>11</v>
      </c>
      <c r="C379" s="70" t="s">
        <v>12</v>
      </c>
      <c r="D379" s="69" t="s">
        <v>13</v>
      </c>
      <c r="E379" s="69" t="s">
        <v>14</v>
      </c>
      <c r="F379" s="71" t="s">
        <v>15</v>
      </c>
      <c r="G379" s="72" t="s">
        <v>16</v>
      </c>
      <c r="H379" s="69" t="s">
        <v>17</v>
      </c>
      <c r="I379" s="73" t="s">
        <v>18</v>
      </c>
      <c r="J379" s="74" t="s">
        <v>19</v>
      </c>
      <c r="K379" s="75" t="s">
        <v>20</v>
      </c>
      <c r="L379" s="74" t="s">
        <v>21</v>
      </c>
      <c r="M379" s="74" t="s">
        <v>22</v>
      </c>
      <c r="N379" s="74" t="s">
        <v>23</v>
      </c>
      <c r="O379" s="69" t="s">
        <v>24</v>
      </c>
      <c r="P379" s="70" t="s">
        <v>25</v>
      </c>
      <c r="Q379" s="74" t="s">
        <v>26</v>
      </c>
      <c r="R379" s="69" t="s">
        <v>27</v>
      </c>
    </row>
    <row r="380" spans="1:18" ht="15" customHeight="1" x14ac:dyDescent="0.3">
      <c r="A380" s="181" t="s">
        <v>28</v>
      </c>
      <c r="B380" s="181" t="s">
        <v>29</v>
      </c>
      <c r="C380" s="182">
        <v>4.8611111111111112E-2</v>
      </c>
      <c r="D380" s="181" t="s">
        <v>30</v>
      </c>
      <c r="E380" s="183"/>
      <c r="F380" s="181" t="s">
        <v>31</v>
      </c>
      <c r="G380" s="240"/>
      <c r="H380" s="51" t="s">
        <v>29</v>
      </c>
      <c r="I380" s="52">
        <v>6.0000000000000001E-3</v>
      </c>
      <c r="J380" s="53">
        <v>1</v>
      </c>
      <c r="K380" s="54" t="s">
        <v>94</v>
      </c>
      <c r="L380" s="53">
        <v>1</v>
      </c>
      <c r="M380" s="53">
        <v>0</v>
      </c>
      <c r="N380" s="53">
        <v>0</v>
      </c>
      <c r="O380" s="55" t="s">
        <v>43</v>
      </c>
      <c r="P380" s="56">
        <v>4.8611111111111112E-2</v>
      </c>
      <c r="Q380" s="53">
        <v>168</v>
      </c>
      <c r="R380" s="57" t="s">
        <v>42</v>
      </c>
    </row>
    <row r="381" spans="1:18" ht="15" customHeight="1" x14ac:dyDescent="0.3">
      <c r="A381" s="143" t="s">
        <v>28</v>
      </c>
      <c r="B381" s="143" t="s">
        <v>44</v>
      </c>
      <c r="C381" s="144">
        <v>0.1145833333333333</v>
      </c>
      <c r="D381" s="143" t="s">
        <v>30</v>
      </c>
      <c r="E381" s="145"/>
      <c r="F381" s="143" t="s">
        <v>108</v>
      </c>
      <c r="G381" s="241"/>
      <c r="H381" s="146" t="s">
        <v>44</v>
      </c>
      <c r="I381" s="147">
        <v>0</v>
      </c>
      <c r="J381" s="148">
        <v>0</v>
      </c>
      <c r="K381" s="149" t="s">
        <v>109</v>
      </c>
      <c r="L381" s="148">
        <v>0</v>
      </c>
      <c r="M381" s="148">
        <v>0</v>
      </c>
      <c r="N381" s="148">
        <v>0</v>
      </c>
      <c r="O381" s="150" t="s">
        <v>43</v>
      </c>
      <c r="P381" s="151">
        <v>0.1145833333333333</v>
      </c>
      <c r="Q381" s="148">
        <v>168</v>
      </c>
      <c r="R381" s="152" t="s">
        <v>109</v>
      </c>
    </row>
    <row r="382" spans="1:18" ht="15" customHeight="1" x14ac:dyDescent="0.3">
      <c r="A382" s="18" t="s">
        <v>28</v>
      </c>
      <c r="B382" s="18" t="s">
        <v>51</v>
      </c>
      <c r="C382" s="19">
        <v>0.25347222222222221</v>
      </c>
      <c r="D382" s="18" t="s">
        <v>30</v>
      </c>
      <c r="E382" s="20"/>
      <c r="F382" s="18" t="s">
        <v>108</v>
      </c>
      <c r="G382" s="241"/>
      <c r="H382" s="21" t="s">
        <v>51</v>
      </c>
      <c r="I382" s="22">
        <v>0</v>
      </c>
      <c r="J382" s="23">
        <v>0</v>
      </c>
      <c r="K382" s="24" t="s">
        <v>109</v>
      </c>
      <c r="L382" s="23">
        <v>0</v>
      </c>
      <c r="M382" s="23">
        <v>0</v>
      </c>
      <c r="N382" s="23">
        <v>0</v>
      </c>
      <c r="O382" s="25" t="s">
        <v>43</v>
      </c>
      <c r="P382" s="26">
        <v>0.25347222222222221</v>
      </c>
      <c r="Q382" s="23">
        <v>168</v>
      </c>
      <c r="R382" s="27" t="s">
        <v>109</v>
      </c>
    </row>
    <row r="383" spans="1:18" ht="15" customHeight="1" x14ac:dyDescent="0.3">
      <c r="A383" s="86" t="s">
        <v>28</v>
      </c>
      <c r="B383" s="86" t="s">
        <v>35</v>
      </c>
      <c r="C383" s="87">
        <v>0.33333333333333331</v>
      </c>
      <c r="D383" s="86" t="s">
        <v>30</v>
      </c>
      <c r="E383" s="88"/>
      <c r="F383" s="86" t="s">
        <v>108</v>
      </c>
      <c r="G383" s="241"/>
      <c r="H383" s="11" t="s">
        <v>35</v>
      </c>
      <c r="I383" s="12">
        <v>0</v>
      </c>
      <c r="J383" s="13">
        <v>0</v>
      </c>
      <c r="K383" s="14" t="s">
        <v>109</v>
      </c>
      <c r="L383" s="13">
        <v>0</v>
      </c>
      <c r="M383" s="13">
        <v>0</v>
      </c>
      <c r="N383" s="13">
        <v>0</v>
      </c>
      <c r="O383" s="15" t="s">
        <v>43</v>
      </c>
      <c r="P383" s="16">
        <v>0.33333333333333331</v>
      </c>
      <c r="Q383" s="13">
        <v>168</v>
      </c>
      <c r="R383" s="17" t="s">
        <v>109</v>
      </c>
    </row>
    <row r="384" spans="1:18" ht="15" customHeight="1" x14ac:dyDescent="0.3">
      <c r="A384" s="48" t="s">
        <v>28</v>
      </c>
      <c r="B384" s="48" t="s">
        <v>101</v>
      </c>
      <c r="C384" s="49">
        <v>0.36458333333333331</v>
      </c>
      <c r="D384" s="48" t="s">
        <v>30</v>
      </c>
      <c r="E384" s="50"/>
      <c r="F384" s="48" t="s">
        <v>108</v>
      </c>
      <c r="G384" s="241"/>
      <c r="H384" s="51" t="s">
        <v>101</v>
      </c>
      <c r="I384" s="52">
        <v>0</v>
      </c>
      <c r="J384" s="53">
        <v>0</v>
      </c>
      <c r="K384" s="54" t="s">
        <v>109</v>
      </c>
      <c r="L384" s="53">
        <v>0</v>
      </c>
      <c r="M384" s="53">
        <v>0</v>
      </c>
      <c r="N384" s="53">
        <v>0</v>
      </c>
      <c r="O384" s="55" t="s">
        <v>43</v>
      </c>
      <c r="P384" s="56">
        <v>0.36458333333333331</v>
      </c>
      <c r="Q384" s="53">
        <v>168</v>
      </c>
      <c r="R384" s="57" t="s">
        <v>109</v>
      </c>
    </row>
    <row r="385" spans="1:18" ht="15" customHeight="1" x14ac:dyDescent="0.3">
      <c r="A385" s="28" t="s">
        <v>28</v>
      </c>
      <c r="B385" s="28" t="s">
        <v>38</v>
      </c>
      <c r="C385" s="29">
        <v>0.58333333333333337</v>
      </c>
      <c r="D385" s="28" t="s">
        <v>30</v>
      </c>
      <c r="E385" s="30"/>
      <c r="F385" s="28" t="s">
        <v>108</v>
      </c>
      <c r="G385" s="241"/>
      <c r="H385" s="31" t="s">
        <v>38</v>
      </c>
      <c r="I385" s="32">
        <v>0</v>
      </c>
      <c r="J385" s="33">
        <v>0</v>
      </c>
      <c r="K385" s="34" t="s">
        <v>109</v>
      </c>
      <c r="L385" s="33">
        <v>0</v>
      </c>
      <c r="M385" s="33">
        <v>0</v>
      </c>
      <c r="N385" s="33">
        <v>0</v>
      </c>
      <c r="O385" s="35" t="s">
        <v>43</v>
      </c>
      <c r="P385" s="36">
        <v>0.58333333333333337</v>
      </c>
      <c r="Q385" s="33">
        <v>168</v>
      </c>
      <c r="R385" s="37" t="s">
        <v>109</v>
      </c>
    </row>
    <row r="386" spans="1:18" ht="15" customHeight="1" thickBot="1" x14ac:dyDescent="0.35">
      <c r="A386" s="161" t="s">
        <v>28</v>
      </c>
      <c r="B386" s="161" t="s">
        <v>40</v>
      </c>
      <c r="C386" s="162">
        <v>0.73958333333333337</v>
      </c>
      <c r="D386" s="161" t="s">
        <v>30</v>
      </c>
      <c r="E386" s="163"/>
      <c r="F386" s="161" t="s">
        <v>31</v>
      </c>
      <c r="G386" s="242"/>
      <c r="H386" s="164" t="s">
        <v>40</v>
      </c>
      <c r="I386" s="224">
        <v>6.5500000000000003E-2</v>
      </c>
      <c r="J386" s="166">
        <v>11</v>
      </c>
      <c r="K386" s="167" t="s">
        <v>110</v>
      </c>
      <c r="L386" s="166">
        <v>11</v>
      </c>
      <c r="M386" s="166">
        <v>0</v>
      </c>
      <c r="N386" s="166">
        <v>0</v>
      </c>
      <c r="O386" s="168" t="s">
        <v>43</v>
      </c>
      <c r="P386" s="169">
        <v>0.73958333333333337</v>
      </c>
      <c r="Q386" s="166">
        <v>168</v>
      </c>
      <c r="R386" s="170" t="s">
        <v>244</v>
      </c>
    </row>
    <row r="387" spans="1:18" ht="17.399999999999999" customHeight="1" thickBot="1" x14ac:dyDescent="0.35">
      <c r="A387" s="265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7"/>
    </row>
    <row r="388" spans="1:18" ht="22.05" customHeight="1" thickTop="1" thickBot="1" x14ac:dyDescent="0.35">
      <c r="A388" s="236" t="s">
        <v>8</v>
      </c>
      <c r="B388" s="234"/>
      <c r="C388" s="234"/>
      <c r="D388" s="234"/>
      <c r="E388" s="234"/>
      <c r="F388" s="235"/>
      <c r="G388" s="68">
        <v>46066</v>
      </c>
      <c r="H388" s="233" t="s">
        <v>9</v>
      </c>
      <c r="I388" s="234"/>
      <c r="J388" s="234"/>
      <c r="K388" s="234"/>
      <c r="L388" s="234"/>
      <c r="M388" s="234"/>
      <c r="N388" s="234"/>
      <c r="O388" s="234"/>
      <c r="P388" s="234"/>
      <c r="Q388" s="234"/>
      <c r="R388" s="235"/>
    </row>
    <row r="389" spans="1:18" ht="24" customHeight="1" x14ac:dyDescent="0.3">
      <c r="A389" s="69" t="s">
        <v>10</v>
      </c>
      <c r="B389" s="69" t="s">
        <v>11</v>
      </c>
      <c r="C389" s="70" t="s">
        <v>12</v>
      </c>
      <c r="D389" s="69" t="s">
        <v>13</v>
      </c>
      <c r="E389" s="69" t="s">
        <v>14</v>
      </c>
      <c r="F389" s="71" t="s">
        <v>15</v>
      </c>
      <c r="G389" s="72" t="s">
        <v>16</v>
      </c>
      <c r="H389" s="69" t="s">
        <v>17</v>
      </c>
      <c r="I389" s="73" t="s">
        <v>18</v>
      </c>
      <c r="J389" s="74" t="s">
        <v>19</v>
      </c>
      <c r="K389" s="75" t="s">
        <v>20</v>
      </c>
      <c r="L389" s="74" t="s">
        <v>21</v>
      </c>
      <c r="M389" s="74" t="s">
        <v>22</v>
      </c>
      <c r="N389" s="74" t="s">
        <v>23</v>
      </c>
      <c r="O389" s="69" t="s">
        <v>24</v>
      </c>
      <c r="P389" s="70" t="s">
        <v>25</v>
      </c>
      <c r="Q389" s="74" t="s">
        <v>26</v>
      </c>
      <c r="R389" s="69" t="s">
        <v>27</v>
      </c>
    </row>
    <row r="390" spans="1:18" ht="15" customHeight="1" x14ac:dyDescent="0.3">
      <c r="A390" s="154" t="s">
        <v>28</v>
      </c>
      <c r="B390" s="154" t="s">
        <v>29</v>
      </c>
      <c r="C390" s="155">
        <v>0.1145833333333333</v>
      </c>
      <c r="D390" s="154" t="s">
        <v>30</v>
      </c>
      <c r="E390" s="156"/>
      <c r="F390" s="154" t="s">
        <v>31</v>
      </c>
      <c r="G390" s="240"/>
      <c r="H390" s="31" t="s">
        <v>29</v>
      </c>
      <c r="I390" s="32">
        <v>2.98E-2</v>
      </c>
      <c r="J390" s="33">
        <v>5</v>
      </c>
      <c r="K390" s="34" t="s">
        <v>110</v>
      </c>
      <c r="L390" s="33">
        <v>5</v>
      </c>
      <c r="M390" s="33">
        <v>0</v>
      </c>
      <c r="N390" s="33">
        <v>0</v>
      </c>
      <c r="O390" s="35" t="s">
        <v>43</v>
      </c>
      <c r="P390" s="36">
        <v>0.1145833333333333</v>
      </c>
      <c r="Q390" s="33">
        <v>168</v>
      </c>
      <c r="R390" s="37" t="s">
        <v>227</v>
      </c>
    </row>
    <row r="391" spans="1:18" ht="15" customHeight="1" x14ac:dyDescent="0.3">
      <c r="A391" s="139" t="s">
        <v>28</v>
      </c>
      <c r="B391" s="139" t="s">
        <v>35</v>
      </c>
      <c r="C391" s="140">
        <v>0.31944444444444448</v>
      </c>
      <c r="D391" s="139" t="s">
        <v>30</v>
      </c>
      <c r="E391" s="141"/>
      <c r="F391" s="139" t="s">
        <v>31</v>
      </c>
      <c r="G391" s="241"/>
      <c r="H391" s="103" t="s">
        <v>35</v>
      </c>
      <c r="I391" s="159">
        <v>6.0000000000000001E-3</v>
      </c>
      <c r="J391" s="105">
        <v>1</v>
      </c>
      <c r="K391" s="106" t="s">
        <v>245</v>
      </c>
      <c r="L391" s="105">
        <v>1</v>
      </c>
      <c r="M391" s="105">
        <v>0</v>
      </c>
      <c r="N391" s="105">
        <v>0</v>
      </c>
      <c r="O391" s="107" t="s">
        <v>43</v>
      </c>
      <c r="P391" s="108">
        <v>0.31944444444444448</v>
      </c>
      <c r="Q391" s="105">
        <v>168</v>
      </c>
      <c r="R391" s="109" t="s">
        <v>42</v>
      </c>
    </row>
    <row r="392" spans="1:18" ht="15" customHeight="1" x14ac:dyDescent="0.3">
      <c r="A392" s="201" t="s">
        <v>28</v>
      </c>
      <c r="B392" s="201" t="s">
        <v>38</v>
      </c>
      <c r="C392" s="202">
        <v>0.45833333333333331</v>
      </c>
      <c r="D392" s="201" t="s">
        <v>30</v>
      </c>
      <c r="E392" s="203"/>
      <c r="F392" s="201" t="s">
        <v>31</v>
      </c>
      <c r="G392" s="241"/>
      <c r="H392" s="79" t="s">
        <v>38</v>
      </c>
      <c r="I392" s="80">
        <v>3.5700000000000003E-2</v>
      </c>
      <c r="J392" s="81">
        <v>6</v>
      </c>
      <c r="K392" s="82" t="s">
        <v>106</v>
      </c>
      <c r="L392" s="81">
        <v>6</v>
      </c>
      <c r="M392" s="81">
        <v>0</v>
      </c>
      <c r="N392" s="81">
        <v>0</v>
      </c>
      <c r="O392" s="83" t="s">
        <v>43</v>
      </c>
      <c r="P392" s="84">
        <v>0.45833333333333331</v>
      </c>
      <c r="Q392" s="81">
        <v>168</v>
      </c>
      <c r="R392" s="85" t="s">
        <v>246</v>
      </c>
    </row>
    <row r="393" spans="1:18" ht="15" customHeight="1" x14ac:dyDescent="0.3">
      <c r="A393" s="86" t="s">
        <v>28</v>
      </c>
      <c r="B393" s="86" t="s">
        <v>40</v>
      </c>
      <c r="C393" s="87">
        <v>0.61458333333333337</v>
      </c>
      <c r="D393" s="86" t="s">
        <v>30</v>
      </c>
      <c r="E393" s="88"/>
      <c r="F393" s="86" t="s">
        <v>31</v>
      </c>
      <c r="G393" s="241"/>
      <c r="H393" s="11" t="s">
        <v>40</v>
      </c>
      <c r="I393" s="12">
        <v>4.7600000000000003E-2</v>
      </c>
      <c r="J393" s="13">
        <v>8</v>
      </c>
      <c r="K393" s="14" t="s">
        <v>91</v>
      </c>
      <c r="L393" s="13">
        <v>8</v>
      </c>
      <c r="M393" s="13">
        <v>0</v>
      </c>
      <c r="N393" s="13">
        <v>0</v>
      </c>
      <c r="O393" s="15" t="s">
        <v>43</v>
      </c>
      <c r="P393" s="16">
        <v>0.61458333333333337</v>
      </c>
      <c r="Q393" s="13">
        <v>168</v>
      </c>
      <c r="R393" s="17" t="s">
        <v>247</v>
      </c>
    </row>
    <row r="394" spans="1:18" ht="15" customHeight="1" x14ac:dyDescent="0.3">
      <c r="A394" s="48" t="s">
        <v>28</v>
      </c>
      <c r="B394" s="48" t="s">
        <v>44</v>
      </c>
      <c r="C394" s="49">
        <v>0.73611111111111116</v>
      </c>
      <c r="D394" s="48" t="s">
        <v>30</v>
      </c>
      <c r="E394" s="50"/>
      <c r="F394" s="48" t="s">
        <v>31</v>
      </c>
      <c r="G394" s="241"/>
      <c r="H394" s="51" t="s">
        <v>44</v>
      </c>
      <c r="I394" s="52">
        <v>8.3299999999999999E-2</v>
      </c>
      <c r="J394" s="53">
        <v>14</v>
      </c>
      <c r="K394" s="54" t="s">
        <v>97</v>
      </c>
      <c r="L394" s="53">
        <v>14</v>
      </c>
      <c r="M394" s="53">
        <v>0</v>
      </c>
      <c r="N394" s="53">
        <v>0</v>
      </c>
      <c r="O394" s="55" t="s">
        <v>43</v>
      </c>
      <c r="P394" s="56">
        <v>0.73611111111111116</v>
      </c>
      <c r="Q394" s="53">
        <v>168</v>
      </c>
      <c r="R394" s="57" t="s">
        <v>248</v>
      </c>
    </row>
    <row r="395" spans="1:18" ht="15" customHeight="1" thickBot="1" x14ac:dyDescent="0.35">
      <c r="A395" s="126" t="s">
        <v>28</v>
      </c>
      <c r="B395" s="126" t="s">
        <v>48</v>
      </c>
      <c r="C395" s="127">
        <v>0.9375</v>
      </c>
      <c r="D395" s="126" t="s">
        <v>30</v>
      </c>
      <c r="E395" s="128"/>
      <c r="F395" s="126" t="s">
        <v>31</v>
      </c>
      <c r="G395" s="242"/>
      <c r="H395" s="129" t="s">
        <v>48</v>
      </c>
      <c r="I395" s="225">
        <v>1.7899999999999999E-2</v>
      </c>
      <c r="J395" s="131">
        <v>3</v>
      </c>
      <c r="K395" s="132" t="s">
        <v>97</v>
      </c>
      <c r="L395" s="131">
        <v>3</v>
      </c>
      <c r="M395" s="131">
        <v>0</v>
      </c>
      <c r="N395" s="131">
        <v>0</v>
      </c>
      <c r="O395" s="133" t="s">
        <v>43</v>
      </c>
      <c r="P395" s="134">
        <v>0.9375</v>
      </c>
      <c r="Q395" s="131">
        <v>168</v>
      </c>
      <c r="R395" s="135" t="s">
        <v>224</v>
      </c>
    </row>
    <row r="396" spans="1:18" ht="17.399999999999999" customHeight="1" thickBot="1" x14ac:dyDescent="0.35">
      <c r="A396" s="265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7"/>
    </row>
    <row r="397" spans="1:18" ht="22.05" customHeight="1" thickTop="1" thickBot="1" x14ac:dyDescent="0.35">
      <c r="A397" s="236" t="s">
        <v>8</v>
      </c>
      <c r="B397" s="234"/>
      <c r="C397" s="234"/>
      <c r="D397" s="234"/>
      <c r="E397" s="234"/>
      <c r="F397" s="235"/>
      <c r="G397" s="68">
        <v>46067</v>
      </c>
      <c r="H397" s="233" t="s">
        <v>9</v>
      </c>
      <c r="I397" s="234"/>
      <c r="J397" s="234"/>
      <c r="K397" s="234"/>
      <c r="L397" s="234"/>
      <c r="M397" s="234"/>
      <c r="N397" s="234"/>
      <c r="O397" s="234"/>
      <c r="P397" s="234"/>
      <c r="Q397" s="234"/>
      <c r="R397" s="235"/>
    </row>
    <row r="398" spans="1:18" ht="24" customHeight="1" x14ac:dyDescent="0.3">
      <c r="A398" s="69" t="s">
        <v>10</v>
      </c>
      <c r="B398" s="69" t="s">
        <v>11</v>
      </c>
      <c r="C398" s="70" t="s">
        <v>12</v>
      </c>
      <c r="D398" s="69" t="s">
        <v>13</v>
      </c>
      <c r="E398" s="69" t="s">
        <v>14</v>
      </c>
      <c r="F398" s="71" t="s">
        <v>15</v>
      </c>
      <c r="G398" s="72" t="s">
        <v>16</v>
      </c>
      <c r="H398" s="69" t="s">
        <v>17</v>
      </c>
      <c r="I398" s="73" t="s">
        <v>18</v>
      </c>
      <c r="J398" s="74" t="s">
        <v>19</v>
      </c>
      <c r="K398" s="75" t="s">
        <v>20</v>
      </c>
      <c r="L398" s="74" t="s">
        <v>21</v>
      </c>
      <c r="M398" s="74" t="s">
        <v>22</v>
      </c>
      <c r="N398" s="74" t="s">
        <v>23</v>
      </c>
      <c r="O398" s="69" t="s">
        <v>24</v>
      </c>
      <c r="P398" s="70" t="s">
        <v>25</v>
      </c>
      <c r="Q398" s="74" t="s">
        <v>26</v>
      </c>
      <c r="R398" s="69" t="s">
        <v>27</v>
      </c>
    </row>
    <row r="399" spans="1:18" ht="49.95" customHeight="1" x14ac:dyDescent="0.3">
      <c r="A399" s="154" t="s">
        <v>28</v>
      </c>
      <c r="B399" s="154" t="s">
        <v>51</v>
      </c>
      <c r="C399" s="155">
        <v>0.2361111111111111</v>
      </c>
      <c r="D399" s="154" t="s">
        <v>30</v>
      </c>
      <c r="E399" s="156"/>
      <c r="F399" s="154" t="s">
        <v>31</v>
      </c>
      <c r="G399" s="240"/>
      <c r="H399" s="31" t="s">
        <v>51</v>
      </c>
      <c r="I399" s="32">
        <v>2.87E-2</v>
      </c>
      <c r="J399" s="33">
        <v>5</v>
      </c>
      <c r="K399" s="34" t="s">
        <v>129</v>
      </c>
      <c r="L399" s="33">
        <v>5</v>
      </c>
      <c r="M399" s="33">
        <v>0</v>
      </c>
      <c r="N399" s="33">
        <v>0</v>
      </c>
      <c r="O399" s="35" t="s">
        <v>43</v>
      </c>
      <c r="P399" s="36">
        <v>0.2361111111111111</v>
      </c>
      <c r="Q399" s="33">
        <v>174</v>
      </c>
      <c r="R399" s="37" t="s">
        <v>227</v>
      </c>
    </row>
    <row r="400" spans="1:18" ht="49.95" customHeight="1" x14ac:dyDescent="0.3">
      <c r="A400" s="201" t="s">
        <v>28</v>
      </c>
      <c r="B400" s="201" t="s">
        <v>35</v>
      </c>
      <c r="C400" s="202">
        <v>0.33333333333333331</v>
      </c>
      <c r="D400" s="201" t="s">
        <v>30</v>
      </c>
      <c r="E400" s="203"/>
      <c r="F400" s="201" t="s">
        <v>31</v>
      </c>
      <c r="G400" s="241"/>
      <c r="H400" s="79" t="s">
        <v>35</v>
      </c>
      <c r="I400" s="80">
        <v>3.5700000000000003E-2</v>
      </c>
      <c r="J400" s="81">
        <v>6</v>
      </c>
      <c r="K400" s="82" t="s">
        <v>106</v>
      </c>
      <c r="L400" s="81">
        <v>7</v>
      </c>
      <c r="M400" s="81">
        <v>0</v>
      </c>
      <c r="N400" s="81">
        <v>0</v>
      </c>
      <c r="O400" s="83" t="s">
        <v>43</v>
      </c>
      <c r="P400" s="84">
        <v>0.33333333333333331</v>
      </c>
      <c r="Q400" s="81">
        <v>168</v>
      </c>
      <c r="R400" s="85" t="s">
        <v>249</v>
      </c>
    </row>
    <row r="401" spans="1:18" ht="49.95" customHeight="1" thickBot="1" x14ac:dyDescent="0.35">
      <c r="A401" s="126" t="s">
        <v>28</v>
      </c>
      <c r="B401" s="126" t="s">
        <v>38</v>
      </c>
      <c r="C401" s="127">
        <v>0.68055555555555547</v>
      </c>
      <c r="D401" s="126" t="s">
        <v>30</v>
      </c>
      <c r="E401" s="128"/>
      <c r="F401" s="126" t="s">
        <v>31</v>
      </c>
      <c r="G401" s="242"/>
      <c r="H401" s="129" t="s">
        <v>38</v>
      </c>
      <c r="I401" s="225">
        <v>1.7899999999999999E-2</v>
      </c>
      <c r="J401" s="131">
        <v>3</v>
      </c>
      <c r="K401" s="132" t="s">
        <v>113</v>
      </c>
      <c r="L401" s="131">
        <v>3</v>
      </c>
      <c r="M401" s="131">
        <v>0</v>
      </c>
      <c r="N401" s="131">
        <v>0</v>
      </c>
      <c r="O401" s="133" t="s">
        <v>43</v>
      </c>
      <c r="P401" s="134">
        <v>0.68055555555555547</v>
      </c>
      <c r="Q401" s="131">
        <v>168</v>
      </c>
      <c r="R401" s="135" t="s">
        <v>250</v>
      </c>
    </row>
    <row r="402" spans="1:18" ht="17.399999999999999" customHeight="1" thickBot="1" x14ac:dyDescent="0.35">
      <c r="A402" s="265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7"/>
    </row>
    <row r="403" spans="1:18" ht="22.05" customHeight="1" thickTop="1" thickBot="1" x14ac:dyDescent="0.35">
      <c r="A403" s="236" t="s">
        <v>8</v>
      </c>
      <c r="B403" s="234"/>
      <c r="C403" s="234"/>
      <c r="D403" s="234"/>
      <c r="E403" s="234"/>
      <c r="F403" s="235"/>
      <c r="G403" s="68">
        <v>46068</v>
      </c>
      <c r="H403" s="233" t="s">
        <v>9</v>
      </c>
      <c r="I403" s="234"/>
      <c r="J403" s="234"/>
      <c r="K403" s="234"/>
      <c r="L403" s="234"/>
      <c r="M403" s="234"/>
      <c r="N403" s="234"/>
      <c r="O403" s="234"/>
      <c r="P403" s="234"/>
      <c r="Q403" s="234"/>
      <c r="R403" s="235"/>
    </row>
    <row r="404" spans="1:18" ht="24" customHeight="1" x14ac:dyDescent="0.3">
      <c r="A404" s="69" t="s">
        <v>10</v>
      </c>
      <c r="B404" s="69" t="s">
        <v>11</v>
      </c>
      <c r="C404" s="70" t="s">
        <v>12</v>
      </c>
      <c r="D404" s="69" t="s">
        <v>13</v>
      </c>
      <c r="E404" s="69" t="s">
        <v>14</v>
      </c>
      <c r="F404" s="71" t="s">
        <v>15</v>
      </c>
      <c r="G404" s="72" t="s">
        <v>16</v>
      </c>
      <c r="H404" s="69" t="s">
        <v>17</v>
      </c>
      <c r="I404" s="73" t="s">
        <v>18</v>
      </c>
      <c r="J404" s="74" t="s">
        <v>19</v>
      </c>
      <c r="K404" s="75" t="s">
        <v>20</v>
      </c>
      <c r="L404" s="74" t="s">
        <v>21</v>
      </c>
      <c r="M404" s="74" t="s">
        <v>22</v>
      </c>
      <c r="N404" s="74" t="s">
        <v>23</v>
      </c>
      <c r="O404" s="69" t="s">
        <v>24</v>
      </c>
      <c r="P404" s="70" t="s">
        <v>25</v>
      </c>
      <c r="Q404" s="74" t="s">
        <v>26</v>
      </c>
      <c r="R404" s="69" t="s">
        <v>27</v>
      </c>
    </row>
    <row r="405" spans="1:18" ht="49.95" customHeight="1" x14ac:dyDescent="0.3">
      <c r="A405" s="8" t="s">
        <v>28</v>
      </c>
      <c r="B405" s="8" t="s">
        <v>29</v>
      </c>
      <c r="C405" s="9">
        <v>8.3333333333333329E-2</v>
      </c>
      <c r="D405" s="8" t="s">
        <v>30</v>
      </c>
      <c r="E405" s="10"/>
      <c r="F405" s="8" t="s">
        <v>31</v>
      </c>
      <c r="G405" s="240"/>
      <c r="H405" s="11" t="s">
        <v>29</v>
      </c>
      <c r="I405" s="12">
        <v>0.14879999999999999</v>
      </c>
      <c r="J405" s="13">
        <v>25</v>
      </c>
      <c r="K405" s="14" t="s">
        <v>251</v>
      </c>
      <c r="L405" s="13">
        <v>1</v>
      </c>
      <c r="M405" s="13">
        <v>0</v>
      </c>
      <c r="N405" s="13">
        <v>0</v>
      </c>
      <c r="O405" s="15" t="s">
        <v>43</v>
      </c>
      <c r="P405" s="16">
        <v>8.3333333333333329E-2</v>
      </c>
      <c r="Q405" s="13">
        <v>168</v>
      </c>
      <c r="R405" s="17" t="s">
        <v>252</v>
      </c>
    </row>
    <row r="406" spans="1:18" ht="49.95" customHeight="1" x14ac:dyDescent="0.3">
      <c r="A406" s="48" t="s">
        <v>28</v>
      </c>
      <c r="B406" s="48" t="s">
        <v>35</v>
      </c>
      <c r="C406" s="49">
        <v>0.31944444444444448</v>
      </c>
      <c r="D406" s="48" t="s">
        <v>30</v>
      </c>
      <c r="E406" s="50"/>
      <c r="F406" s="48" t="s">
        <v>31</v>
      </c>
      <c r="G406" s="241"/>
      <c r="H406" s="51" t="s">
        <v>35</v>
      </c>
      <c r="I406" s="52">
        <v>3.5700000000000003E-2</v>
      </c>
      <c r="J406" s="53">
        <v>6</v>
      </c>
      <c r="K406" s="54" t="s">
        <v>94</v>
      </c>
      <c r="L406" s="53">
        <v>6</v>
      </c>
      <c r="M406" s="53">
        <v>0</v>
      </c>
      <c r="N406" s="53">
        <v>0</v>
      </c>
      <c r="O406" s="55" t="s">
        <v>43</v>
      </c>
      <c r="P406" s="56">
        <v>0.31944444444444448</v>
      </c>
      <c r="Q406" s="53">
        <v>168</v>
      </c>
      <c r="R406" s="57" t="s">
        <v>253</v>
      </c>
    </row>
    <row r="407" spans="1:18" ht="49.95" customHeight="1" x14ac:dyDescent="0.3">
      <c r="A407" s="86" t="s">
        <v>28</v>
      </c>
      <c r="B407" s="86" t="s">
        <v>101</v>
      </c>
      <c r="C407" s="87">
        <v>0.33333333333333331</v>
      </c>
      <c r="D407" s="86" t="s">
        <v>30</v>
      </c>
      <c r="E407" s="88"/>
      <c r="F407" s="86" t="s">
        <v>108</v>
      </c>
      <c r="G407" s="241"/>
      <c r="H407" s="11" t="s">
        <v>101</v>
      </c>
      <c r="I407" s="12">
        <v>0</v>
      </c>
      <c r="J407" s="13">
        <v>0</v>
      </c>
      <c r="K407" s="14" t="s">
        <v>109</v>
      </c>
      <c r="L407" s="13">
        <v>0</v>
      </c>
      <c r="M407" s="13">
        <v>0</v>
      </c>
      <c r="N407" s="13">
        <v>0</v>
      </c>
      <c r="O407" s="15" t="s">
        <v>43</v>
      </c>
      <c r="P407" s="16">
        <v>0.33333333333333331</v>
      </c>
      <c r="Q407" s="13">
        <v>168</v>
      </c>
      <c r="R407" s="17" t="s">
        <v>109</v>
      </c>
    </row>
    <row r="408" spans="1:18" ht="49.95" customHeight="1" x14ac:dyDescent="0.3">
      <c r="A408" s="139" t="s">
        <v>28</v>
      </c>
      <c r="B408" s="139" t="s">
        <v>48</v>
      </c>
      <c r="C408" s="140">
        <v>0.51041666666666663</v>
      </c>
      <c r="D408" s="139" t="s">
        <v>30</v>
      </c>
      <c r="E408" s="141"/>
      <c r="F408" s="139" t="s">
        <v>108</v>
      </c>
      <c r="G408" s="241"/>
      <c r="H408" s="103" t="s">
        <v>48</v>
      </c>
      <c r="I408" s="159">
        <v>0</v>
      </c>
      <c r="J408" s="105">
        <v>0</v>
      </c>
      <c r="K408" s="106" t="s">
        <v>109</v>
      </c>
      <c r="L408" s="105">
        <v>0</v>
      </c>
      <c r="M408" s="105">
        <v>0</v>
      </c>
      <c r="N408" s="105">
        <v>0</v>
      </c>
      <c r="O408" s="107" t="s">
        <v>43</v>
      </c>
      <c r="P408" s="108">
        <v>0.51041666666666663</v>
      </c>
      <c r="Q408" s="105">
        <v>168</v>
      </c>
      <c r="R408" s="109" t="s">
        <v>109</v>
      </c>
    </row>
    <row r="409" spans="1:18" ht="49.95" customHeight="1" thickBot="1" x14ac:dyDescent="0.35">
      <c r="A409" s="112" t="s">
        <v>28</v>
      </c>
      <c r="B409" s="112" t="s">
        <v>38</v>
      </c>
      <c r="C409" s="113">
        <v>0.63194444444444442</v>
      </c>
      <c r="D409" s="112" t="s">
        <v>30</v>
      </c>
      <c r="E409" s="114"/>
      <c r="F409" s="112" t="s">
        <v>31</v>
      </c>
      <c r="G409" s="242"/>
      <c r="H409" s="115" t="s">
        <v>38</v>
      </c>
      <c r="I409" s="220">
        <v>6.0000000000000001E-3</v>
      </c>
      <c r="J409" s="117">
        <v>1</v>
      </c>
      <c r="K409" s="118" t="s">
        <v>97</v>
      </c>
      <c r="L409" s="117">
        <v>1</v>
      </c>
      <c r="M409" s="117">
        <v>0</v>
      </c>
      <c r="N409" s="117">
        <v>0</v>
      </c>
      <c r="O409" s="119" t="s">
        <v>43</v>
      </c>
      <c r="P409" s="120">
        <v>0.63194444444444442</v>
      </c>
      <c r="Q409" s="117">
        <v>168</v>
      </c>
      <c r="R409" s="121" t="s">
        <v>114</v>
      </c>
    </row>
    <row r="410" spans="1:18" ht="17.399999999999999" customHeight="1" thickBot="1" x14ac:dyDescent="0.35">
      <c r="A410" s="265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7"/>
    </row>
    <row r="411" spans="1:18" ht="22.05" customHeight="1" thickTop="1" thickBot="1" x14ac:dyDescent="0.35">
      <c r="A411" s="236" t="s">
        <v>8</v>
      </c>
      <c r="B411" s="234"/>
      <c r="C411" s="234"/>
      <c r="D411" s="234"/>
      <c r="E411" s="234"/>
      <c r="F411" s="235"/>
      <c r="G411" s="68">
        <v>46069</v>
      </c>
      <c r="H411" s="233" t="s">
        <v>9</v>
      </c>
      <c r="I411" s="234"/>
      <c r="J411" s="234"/>
      <c r="K411" s="234"/>
      <c r="L411" s="234"/>
      <c r="M411" s="234"/>
      <c r="N411" s="234"/>
      <c r="O411" s="234"/>
      <c r="P411" s="234"/>
      <c r="Q411" s="234"/>
      <c r="R411" s="235"/>
    </row>
    <row r="412" spans="1:18" ht="24" customHeight="1" x14ac:dyDescent="0.3">
      <c r="A412" s="69" t="s">
        <v>10</v>
      </c>
      <c r="B412" s="69" t="s">
        <v>11</v>
      </c>
      <c r="C412" s="70" t="s">
        <v>12</v>
      </c>
      <c r="D412" s="69" t="s">
        <v>13</v>
      </c>
      <c r="E412" s="69" t="s">
        <v>14</v>
      </c>
      <c r="F412" s="71" t="s">
        <v>15</v>
      </c>
      <c r="G412" s="72" t="s">
        <v>16</v>
      </c>
      <c r="H412" s="69" t="s">
        <v>17</v>
      </c>
      <c r="I412" s="73" t="s">
        <v>18</v>
      </c>
      <c r="J412" s="74" t="s">
        <v>19</v>
      </c>
      <c r="K412" s="75" t="s">
        <v>20</v>
      </c>
      <c r="L412" s="74" t="s">
        <v>21</v>
      </c>
      <c r="M412" s="74" t="s">
        <v>22</v>
      </c>
      <c r="N412" s="74" t="s">
        <v>23</v>
      </c>
      <c r="O412" s="69" t="s">
        <v>24</v>
      </c>
      <c r="P412" s="70" t="s">
        <v>25</v>
      </c>
      <c r="Q412" s="74" t="s">
        <v>26</v>
      </c>
      <c r="R412" s="69" t="s">
        <v>27</v>
      </c>
    </row>
    <row r="413" spans="1:18" ht="49.95" customHeight="1" x14ac:dyDescent="0.3">
      <c r="A413" s="76" t="s">
        <v>28</v>
      </c>
      <c r="B413" s="76" t="s">
        <v>40</v>
      </c>
      <c r="C413" s="77">
        <v>6.9444444444444441E-3</v>
      </c>
      <c r="D413" s="76" t="s">
        <v>30</v>
      </c>
      <c r="E413" s="78"/>
      <c r="F413" s="76" t="s">
        <v>108</v>
      </c>
      <c r="G413" s="240"/>
      <c r="H413" s="79" t="s">
        <v>40</v>
      </c>
      <c r="I413" s="80">
        <v>0</v>
      </c>
      <c r="J413" s="81">
        <v>0</v>
      </c>
      <c r="K413" s="82" t="s">
        <v>109</v>
      </c>
      <c r="L413" s="81">
        <v>0</v>
      </c>
      <c r="M413" s="81">
        <v>0</v>
      </c>
      <c r="N413" s="81">
        <v>0</v>
      </c>
      <c r="O413" s="83" t="s">
        <v>43</v>
      </c>
      <c r="P413" s="84">
        <v>6.9444444444444441E-3</v>
      </c>
      <c r="Q413" s="81">
        <v>168</v>
      </c>
      <c r="R413" s="85" t="s">
        <v>109</v>
      </c>
    </row>
    <row r="414" spans="1:18" ht="49.95" customHeight="1" x14ac:dyDescent="0.3">
      <c r="A414" s="143" t="s">
        <v>28</v>
      </c>
      <c r="B414" s="143" t="s">
        <v>35</v>
      </c>
      <c r="C414" s="144">
        <v>0.4236111111111111</v>
      </c>
      <c r="D414" s="143" t="s">
        <v>30</v>
      </c>
      <c r="E414" s="145"/>
      <c r="F414" s="143" t="s">
        <v>108</v>
      </c>
      <c r="G414" s="241"/>
      <c r="H414" s="146" t="s">
        <v>35</v>
      </c>
      <c r="I414" s="147">
        <v>0</v>
      </c>
      <c r="J414" s="148">
        <v>0</v>
      </c>
      <c r="K414" s="149" t="s">
        <v>109</v>
      </c>
      <c r="L414" s="148">
        <v>0</v>
      </c>
      <c r="M414" s="148">
        <v>0</v>
      </c>
      <c r="N414" s="148">
        <v>0</v>
      </c>
      <c r="O414" s="150" t="s">
        <v>43</v>
      </c>
      <c r="P414" s="151">
        <v>0.4236111111111111</v>
      </c>
      <c r="Q414" s="148">
        <v>168</v>
      </c>
      <c r="R414" s="152" t="s">
        <v>109</v>
      </c>
    </row>
    <row r="415" spans="1:18" ht="49.95" customHeight="1" x14ac:dyDescent="0.3">
      <c r="A415" s="201" t="s">
        <v>28</v>
      </c>
      <c r="B415" s="201" t="s">
        <v>38</v>
      </c>
      <c r="C415" s="202">
        <v>0.61458333333333337</v>
      </c>
      <c r="D415" s="201" t="s">
        <v>30</v>
      </c>
      <c r="E415" s="203"/>
      <c r="F415" s="201" t="s">
        <v>31</v>
      </c>
      <c r="G415" s="241"/>
      <c r="H415" s="79" t="s">
        <v>38</v>
      </c>
      <c r="I415" s="80">
        <v>3.5700000000000003E-2</v>
      </c>
      <c r="J415" s="81">
        <v>6</v>
      </c>
      <c r="K415" s="82" t="s">
        <v>94</v>
      </c>
      <c r="L415" s="81">
        <v>6</v>
      </c>
      <c r="M415" s="81">
        <v>0</v>
      </c>
      <c r="N415" s="81">
        <v>0</v>
      </c>
      <c r="O415" s="83" t="s">
        <v>43</v>
      </c>
      <c r="P415" s="84">
        <v>0.61458333333333337</v>
      </c>
      <c r="Q415" s="81">
        <v>168</v>
      </c>
      <c r="R415" s="85" t="s">
        <v>254</v>
      </c>
    </row>
    <row r="416" spans="1:18" ht="49.95" customHeight="1" thickBot="1" x14ac:dyDescent="0.35">
      <c r="A416" s="112" t="s">
        <v>28</v>
      </c>
      <c r="B416" s="112" t="s">
        <v>48</v>
      </c>
      <c r="C416" s="113">
        <v>0.97916666666666663</v>
      </c>
      <c r="D416" s="112" t="s">
        <v>30</v>
      </c>
      <c r="E416" s="114"/>
      <c r="F416" s="112" t="s">
        <v>108</v>
      </c>
      <c r="G416" s="242"/>
      <c r="H416" s="115" t="s">
        <v>48</v>
      </c>
      <c r="I416" s="220">
        <v>0</v>
      </c>
      <c r="J416" s="117">
        <v>0</v>
      </c>
      <c r="K416" s="118" t="s">
        <v>109</v>
      </c>
      <c r="L416" s="117">
        <v>0</v>
      </c>
      <c r="M416" s="117">
        <v>0</v>
      </c>
      <c r="N416" s="117">
        <v>0</v>
      </c>
      <c r="O416" s="119" t="s">
        <v>43</v>
      </c>
      <c r="P416" s="120">
        <v>0.97916666666666663</v>
      </c>
      <c r="Q416" s="117">
        <v>168</v>
      </c>
      <c r="R416" s="121" t="s">
        <v>109</v>
      </c>
    </row>
    <row r="417" spans="1:18" ht="17.399999999999999" customHeight="1" thickBot="1" x14ac:dyDescent="0.35">
      <c r="A417" s="265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7"/>
    </row>
    <row r="418" spans="1:18" ht="22.05" customHeight="1" thickTop="1" thickBot="1" x14ac:dyDescent="0.35">
      <c r="A418" s="236" t="s">
        <v>8</v>
      </c>
      <c r="B418" s="234"/>
      <c r="C418" s="234"/>
      <c r="D418" s="234"/>
      <c r="E418" s="234"/>
      <c r="F418" s="235"/>
      <c r="G418" s="68">
        <v>46070</v>
      </c>
      <c r="H418" s="233" t="s">
        <v>9</v>
      </c>
      <c r="I418" s="234"/>
      <c r="J418" s="234"/>
      <c r="K418" s="234"/>
      <c r="L418" s="234"/>
      <c r="M418" s="234"/>
      <c r="N418" s="234"/>
      <c r="O418" s="234"/>
      <c r="P418" s="234"/>
      <c r="Q418" s="234"/>
      <c r="R418" s="235"/>
    </row>
    <row r="419" spans="1:18" ht="24" customHeight="1" x14ac:dyDescent="0.3">
      <c r="A419" s="69" t="s">
        <v>10</v>
      </c>
      <c r="B419" s="69" t="s">
        <v>11</v>
      </c>
      <c r="C419" s="70" t="s">
        <v>12</v>
      </c>
      <c r="D419" s="69" t="s">
        <v>13</v>
      </c>
      <c r="E419" s="69" t="s">
        <v>14</v>
      </c>
      <c r="F419" s="71" t="s">
        <v>15</v>
      </c>
      <c r="G419" s="72" t="s">
        <v>16</v>
      </c>
      <c r="H419" s="69" t="s">
        <v>17</v>
      </c>
      <c r="I419" s="73" t="s">
        <v>18</v>
      </c>
      <c r="J419" s="74" t="s">
        <v>19</v>
      </c>
      <c r="K419" s="75" t="s">
        <v>20</v>
      </c>
      <c r="L419" s="74" t="s">
        <v>21</v>
      </c>
      <c r="M419" s="74" t="s">
        <v>22</v>
      </c>
      <c r="N419" s="74" t="s">
        <v>23</v>
      </c>
      <c r="O419" s="69" t="s">
        <v>24</v>
      </c>
      <c r="P419" s="70" t="s">
        <v>25</v>
      </c>
      <c r="Q419" s="74" t="s">
        <v>26</v>
      </c>
      <c r="R419" s="69" t="s">
        <v>27</v>
      </c>
    </row>
    <row r="420" spans="1:18" ht="15" customHeight="1" x14ac:dyDescent="0.3">
      <c r="A420" s="136" t="s">
        <v>28</v>
      </c>
      <c r="B420" s="136" t="s">
        <v>44</v>
      </c>
      <c r="C420" s="137">
        <v>0.22916666666666671</v>
      </c>
      <c r="D420" s="136" t="s">
        <v>30</v>
      </c>
      <c r="E420" s="138"/>
      <c r="F420" s="136" t="s">
        <v>108</v>
      </c>
      <c r="G420" s="240"/>
      <c r="H420" s="21" t="s">
        <v>44</v>
      </c>
      <c r="I420" s="22">
        <v>0</v>
      </c>
      <c r="J420" s="23">
        <v>0</v>
      </c>
      <c r="K420" s="24" t="s">
        <v>109</v>
      </c>
      <c r="L420" s="23">
        <v>0</v>
      </c>
      <c r="M420" s="23">
        <v>0</v>
      </c>
      <c r="N420" s="23">
        <v>0</v>
      </c>
      <c r="O420" s="25" t="s">
        <v>43</v>
      </c>
      <c r="P420" s="26">
        <v>0.22916666666666671</v>
      </c>
      <c r="Q420" s="23">
        <v>168</v>
      </c>
      <c r="R420" s="27" t="s">
        <v>109</v>
      </c>
    </row>
    <row r="421" spans="1:18" ht="15" customHeight="1" x14ac:dyDescent="0.3">
      <c r="A421" s="143" t="s">
        <v>28</v>
      </c>
      <c r="B421" s="143" t="s">
        <v>40</v>
      </c>
      <c r="C421" s="144">
        <v>0.55902777777777779</v>
      </c>
      <c r="D421" s="143" t="s">
        <v>30</v>
      </c>
      <c r="E421" s="145"/>
      <c r="F421" s="143" t="s">
        <v>31</v>
      </c>
      <c r="G421" s="241"/>
      <c r="H421" s="146" t="s">
        <v>40</v>
      </c>
      <c r="I421" s="147">
        <v>6.0000000000000001E-3</v>
      </c>
      <c r="J421" s="148">
        <v>1</v>
      </c>
      <c r="K421" s="149" t="s">
        <v>183</v>
      </c>
      <c r="L421" s="148">
        <v>1</v>
      </c>
      <c r="M421" s="148">
        <v>0</v>
      </c>
      <c r="N421" s="148">
        <v>0</v>
      </c>
      <c r="O421" s="150" t="s">
        <v>43</v>
      </c>
      <c r="P421" s="151">
        <v>0.55902777777777779</v>
      </c>
      <c r="Q421" s="148">
        <v>168</v>
      </c>
      <c r="R421" s="152" t="s">
        <v>114</v>
      </c>
    </row>
    <row r="422" spans="1:18" ht="15" customHeight="1" x14ac:dyDescent="0.3">
      <c r="A422" s="28" t="s">
        <v>28</v>
      </c>
      <c r="B422" s="28" t="s">
        <v>38</v>
      </c>
      <c r="C422" s="29">
        <v>0.61458333333333337</v>
      </c>
      <c r="D422" s="28" t="s">
        <v>30</v>
      </c>
      <c r="E422" s="30"/>
      <c r="F422" s="28" t="s">
        <v>31</v>
      </c>
      <c r="G422" s="241"/>
      <c r="H422" s="31" t="s">
        <v>38</v>
      </c>
      <c r="I422" s="32">
        <v>2.98E-2</v>
      </c>
      <c r="J422" s="33">
        <v>5</v>
      </c>
      <c r="K422" s="34" t="s">
        <v>97</v>
      </c>
      <c r="L422" s="33">
        <v>5</v>
      </c>
      <c r="M422" s="33">
        <v>0</v>
      </c>
      <c r="N422" s="33">
        <v>0</v>
      </c>
      <c r="O422" s="35" t="s">
        <v>43</v>
      </c>
      <c r="P422" s="36">
        <v>0.61458333333333337</v>
      </c>
      <c r="Q422" s="33">
        <v>168</v>
      </c>
      <c r="R422" s="37" t="s">
        <v>238</v>
      </c>
    </row>
    <row r="423" spans="1:18" ht="15" customHeight="1" x14ac:dyDescent="0.3">
      <c r="A423" s="143" t="s">
        <v>28</v>
      </c>
      <c r="B423" s="143" t="s">
        <v>48</v>
      </c>
      <c r="C423" s="144">
        <v>0.72916666666666663</v>
      </c>
      <c r="D423" s="143" t="s">
        <v>30</v>
      </c>
      <c r="E423" s="145"/>
      <c r="F423" s="143" t="s">
        <v>31</v>
      </c>
      <c r="G423" s="241"/>
      <c r="H423" s="146" t="s">
        <v>48</v>
      </c>
      <c r="I423" s="147">
        <v>6.0000000000000001E-3</v>
      </c>
      <c r="J423" s="148">
        <v>1</v>
      </c>
      <c r="K423" s="149" t="s">
        <v>197</v>
      </c>
      <c r="L423" s="148">
        <v>1</v>
      </c>
      <c r="M423" s="148">
        <v>0</v>
      </c>
      <c r="N423" s="148">
        <v>0</v>
      </c>
      <c r="O423" s="150" t="s">
        <v>43</v>
      </c>
      <c r="P423" s="151">
        <v>0.72916666666666663</v>
      </c>
      <c r="Q423" s="148">
        <v>168</v>
      </c>
      <c r="R423" s="152" t="s">
        <v>114</v>
      </c>
    </row>
    <row r="424" spans="1:18" ht="15" customHeight="1" x14ac:dyDescent="0.3">
      <c r="A424" s="38" t="s">
        <v>28</v>
      </c>
      <c r="B424" s="38" t="s">
        <v>29</v>
      </c>
      <c r="C424" s="39">
        <v>0.93402777777777779</v>
      </c>
      <c r="D424" s="38" t="s">
        <v>30</v>
      </c>
      <c r="E424" s="40"/>
      <c r="F424" s="38" t="s">
        <v>108</v>
      </c>
      <c r="G424" s="241"/>
      <c r="H424" s="41" t="s">
        <v>29</v>
      </c>
      <c r="I424" s="42">
        <v>0</v>
      </c>
      <c r="J424" s="43">
        <v>0</v>
      </c>
      <c r="K424" s="44" t="s">
        <v>109</v>
      </c>
      <c r="L424" s="43">
        <v>0</v>
      </c>
      <c r="M424" s="43">
        <v>0</v>
      </c>
      <c r="N424" s="43">
        <v>0</v>
      </c>
      <c r="O424" s="45" t="s">
        <v>43</v>
      </c>
      <c r="P424" s="46">
        <v>0.93402777777777779</v>
      </c>
      <c r="Q424" s="43">
        <v>168</v>
      </c>
      <c r="R424" s="47" t="s">
        <v>109</v>
      </c>
    </row>
    <row r="425" spans="1:18" ht="15" customHeight="1" thickBot="1" x14ac:dyDescent="0.35">
      <c r="A425" s="171" t="s">
        <v>28</v>
      </c>
      <c r="B425" s="171" t="s">
        <v>35</v>
      </c>
      <c r="C425" s="172">
        <v>0.96875</v>
      </c>
      <c r="D425" s="171" t="s">
        <v>30</v>
      </c>
      <c r="E425" s="173"/>
      <c r="F425" s="171" t="s">
        <v>108</v>
      </c>
      <c r="G425" s="242"/>
      <c r="H425" s="174" t="s">
        <v>35</v>
      </c>
      <c r="I425" s="175">
        <v>0</v>
      </c>
      <c r="J425" s="176">
        <v>0</v>
      </c>
      <c r="K425" s="177" t="s">
        <v>109</v>
      </c>
      <c r="L425" s="176">
        <v>0</v>
      </c>
      <c r="M425" s="176">
        <v>0</v>
      </c>
      <c r="N425" s="176">
        <v>0</v>
      </c>
      <c r="O425" s="178" t="s">
        <v>43</v>
      </c>
      <c r="P425" s="179">
        <v>0.96875</v>
      </c>
      <c r="Q425" s="176">
        <v>168</v>
      </c>
      <c r="R425" s="180" t="s">
        <v>109</v>
      </c>
    </row>
    <row r="426" spans="1:18" ht="17.399999999999999" customHeight="1" thickBot="1" x14ac:dyDescent="0.35">
      <c r="A426" s="265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7"/>
    </row>
    <row r="427" spans="1:18" ht="22.05" customHeight="1" thickTop="1" thickBot="1" x14ac:dyDescent="0.35">
      <c r="A427" s="236" t="s">
        <v>8</v>
      </c>
      <c r="B427" s="234"/>
      <c r="C427" s="234"/>
      <c r="D427" s="234"/>
      <c r="E427" s="234"/>
      <c r="F427" s="235"/>
      <c r="G427" s="68">
        <v>46071</v>
      </c>
      <c r="H427" s="233" t="s">
        <v>9</v>
      </c>
      <c r="I427" s="234"/>
      <c r="J427" s="234"/>
      <c r="K427" s="234"/>
      <c r="L427" s="234"/>
      <c r="M427" s="234"/>
      <c r="N427" s="234"/>
      <c r="O427" s="234"/>
      <c r="P427" s="234"/>
      <c r="Q427" s="234"/>
      <c r="R427" s="235"/>
    </row>
    <row r="428" spans="1:18" ht="24" customHeight="1" x14ac:dyDescent="0.3">
      <c r="A428" s="69" t="s">
        <v>10</v>
      </c>
      <c r="B428" s="69" t="s">
        <v>11</v>
      </c>
      <c r="C428" s="70" t="s">
        <v>12</v>
      </c>
      <c r="D428" s="69" t="s">
        <v>13</v>
      </c>
      <c r="E428" s="69" t="s">
        <v>14</v>
      </c>
      <c r="F428" s="71" t="s">
        <v>15</v>
      </c>
      <c r="G428" s="72" t="s">
        <v>16</v>
      </c>
      <c r="H428" s="69" t="s">
        <v>17</v>
      </c>
      <c r="I428" s="73" t="s">
        <v>18</v>
      </c>
      <c r="J428" s="74" t="s">
        <v>19</v>
      </c>
      <c r="K428" s="75" t="s">
        <v>20</v>
      </c>
      <c r="L428" s="74" t="s">
        <v>21</v>
      </c>
      <c r="M428" s="74" t="s">
        <v>22</v>
      </c>
      <c r="N428" s="74" t="s">
        <v>23</v>
      </c>
      <c r="O428" s="69" t="s">
        <v>24</v>
      </c>
      <c r="P428" s="70" t="s">
        <v>25</v>
      </c>
      <c r="Q428" s="74" t="s">
        <v>26</v>
      </c>
      <c r="R428" s="69" t="s">
        <v>27</v>
      </c>
    </row>
    <row r="429" spans="1:18" ht="49.95" customHeight="1" x14ac:dyDescent="0.3">
      <c r="A429" s="8" t="s">
        <v>28</v>
      </c>
      <c r="B429" s="8" t="s">
        <v>35</v>
      </c>
      <c r="C429" s="9">
        <v>0.47916666666666669</v>
      </c>
      <c r="D429" s="8" t="s">
        <v>30</v>
      </c>
      <c r="E429" s="10"/>
      <c r="F429" s="8" t="s">
        <v>31</v>
      </c>
      <c r="G429" s="240"/>
      <c r="H429" s="11" t="s">
        <v>35</v>
      </c>
      <c r="I429" s="12">
        <v>1.1900000000000001E-2</v>
      </c>
      <c r="J429" s="13">
        <v>2</v>
      </c>
      <c r="K429" s="14" t="s">
        <v>197</v>
      </c>
      <c r="L429" s="13">
        <v>2</v>
      </c>
      <c r="M429" s="13">
        <v>0</v>
      </c>
      <c r="N429" s="13">
        <v>0</v>
      </c>
      <c r="O429" s="15" t="s">
        <v>43</v>
      </c>
      <c r="P429" s="16">
        <v>0.47916666666666669</v>
      </c>
      <c r="Q429" s="13">
        <v>168</v>
      </c>
      <c r="R429" s="17" t="s">
        <v>89</v>
      </c>
    </row>
    <row r="430" spans="1:18" ht="49.95" customHeight="1" x14ac:dyDescent="0.3">
      <c r="A430" s="48" t="s">
        <v>28</v>
      </c>
      <c r="B430" s="48" t="s">
        <v>48</v>
      </c>
      <c r="C430" s="49">
        <v>0.52083333333333337</v>
      </c>
      <c r="D430" s="48" t="s">
        <v>30</v>
      </c>
      <c r="E430" s="50"/>
      <c r="F430" s="48" t="s">
        <v>31</v>
      </c>
      <c r="G430" s="241"/>
      <c r="H430" s="51" t="s">
        <v>48</v>
      </c>
      <c r="I430" s="52">
        <v>6.0000000000000001E-3</v>
      </c>
      <c r="J430" s="53">
        <v>1</v>
      </c>
      <c r="K430" s="54" t="s">
        <v>94</v>
      </c>
      <c r="L430" s="53">
        <v>1</v>
      </c>
      <c r="M430" s="53">
        <v>0</v>
      </c>
      <c r="N430" s="53">
        <v>0</v>
      </c>
      <c r="O430" s="55" t="s">
        <v>43</v>
      </c>
      <c r="P430" s="56">
        <v>0.52083333333333337</v>
      </c>
      <c r="Q430" s="53">
        <v>168</v>
      </c>
      <c r="R430" s="57" t="s">
        <v>42</v>
      </c>
    </row>
    <row r="431" spans="1:18" ht="49.95" customHeight="1" thickBot="1" x14ac:dyDescent="0.35">
      <c r="A431" s="90" t="s">
        <v>28</v>
      </c>
      <c r="B431" s="90" t="s">
        <v>38</v>
      </c>
      <c r="C431" s="91">
        <v>0.61458333333333337</v>
      </c>
      <c r="D431" s="90" t="s">
        <v>30</v>
      </c>
      <c r="E431" s="92"/>
      <c r="F431" s="90" t="s">
        <v>31</v>
      </c>
      <c r="G431" s="242"/>
      <c r="H431" s="93" t="s">
        <v>38</v>
      </c>
      <c r="I431" s="221">
        <v>6.0000000000000001E-3</v>
      </c>
      <c r="J431" s="95">
        <v>1</v>
      </c>
      <c r="K431" s="96" t="s">
        <v>113</v>
      </c>
      <c r="L431" s="95">
        <v>1</v>
      </c>
      <c r="M431" s="95">
        <v>0</v>
      </c>
      <c r="N431" s="95">
        <v>0</v>
      </c>
      <c r="O431" s="97" t="s">
        <v>43</v>
      </c>
      <c r="P431" s="98">
        <v>0.61458333333333337</v>
      </c>
      <c r="Q431" s="95">
        <v>168</v>
      </c>
      <c r="R431" s="99" t="s">
        <v>114</v>
      </c>
    </row>
    <row r="432" spans="1:18" ht="17.399999999999999" customHeight="1" thickBot="1" x14ac:dyDescent="0.35">
      <c r="A432" s="265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7"/>
    </row>
    <row r="433" spans="1:18" ht="22.05" customHeight="1" thickTop="1" thickBot="1" x14ac:dyDescent="0.35">
      <c r="A433" s="236" t="s">
        <v>8</v>
      </c>
      <c r="B433" s="234"/>
      <c r="C433" s="234"/>
      <c r="D433" s="234"/>
      <c r="E433" s="234"/>
      <c r="F433" s="235"/>
      <c r="G433" s="68">
        <v>46072</v>
      </c>
      <c r="H433" s="233" t="s">
        <v>9</v>
      </c>
      <c r="I433" s="234"/>
      <c r="J433" s="234"/>
      <c r="K433" s="234"/>
      <c r="L433" s="234"/>
      <c r="M433" s="234"/>
      <c r="N433" s="234"/>
      <c r="O433" s="234"/>
      <c r="P433" s="234"/>
      <c r="Q433" s="234"/>
      <c r="R433" s="235"/>
    </row>
    <row r="434" spans="1:18" ht="24" customHeight="1" x14ac:dyDescent="0.3">
      <c r="A434" s="69" t="s">
        <v>10</v>
      </c>
      <c r="B434" s="69" t="s">
        <v>11</v>
      </c>
      <c r="C434" s="70" t="s">
        <v>12</v>
      </c>
      <c r="D434" s="69" t="s">
        <v>13</v>
      </c>
      <c r="E434" s="69" t="s">
        <v>14</v>
      </c>
      <c r="F434" s="71" t="s">
        <v>15</v>
      </c>
      <c r="G434" s="72" t="s">
        <v>16</v>
      </c>
      <c r="H434" s="69" t="s">
        <v>17</v>
      </c>
      <c r="I434" s="73" t="s">
        <v>18</v>
      </c>
      <c r="J434" s="74" t="s">
        <v>19</v>
      </c>
      <c r="K434" s="75" t="s">
        <v>20</v>
      </c>
      <c r="L434" s="74" t="s">
        <v>21</v>
      </c>
      <c r="M434" s="74" t="s">
        <v>22</v>
      </c>
      <c r="N434" s="74" t="s">
        <v>23</v>
      </c>
      <c r="O434" s="69" t="s">
        <v>24</v>
      </c>
      <c r="P434" s="70" t="s">
        <v>25</v>
      </c>
      <c r="Q434" s="74" t="s">
        <v>26</v>
      </c>
      <c r="R434" s="69" t="s">
        <v>27</v>
      </c>
    </row>
    <row r="435" spans="1:18" ht="15" customHeight="1" x14ac:dyDescent="0.3">
      <c r="A435" s="76" t="s">
        <v>28</v>
      </c>
      <c r="B435" s="76" t="s">
        <v>29</v>
      </c>
      <c r="C435" s="77">
        <v>4.8611111111111112E-2</v>
      </c>
      <c r="D435" s="76" t="s">
        <v>30</v>
      </c>
      <c r="E435" s="78"/>
      <c r="F435" s="76" t="s">
        <v>31</v>
      </c>
      <c r="G435" s="240"/>
      <c r="H435" s="79" t="s">
        <v>29</v>
      </c>
      <c r="I435" s="80">
        <v>6.0000000000000001E-3</v>
      </c>
      <c r="J435" s="81">
        <v>1</v>
      </c>
      <c r="K435" s="82" t="s">
        <v>116</v>
      </c>
      <c r="L435" s="81">
        <v>1</v>
      </c>
      <c r="M435" s="81">
        <v>0</v>
      </c>
      <c r="N435" s="81">
        <v>0</v>
      </c>
      <c r="O435" s="83" t="s">
        <v>43</v>
      </c>
      <c r="P435" s="84">
        <v>4.8611111111111112E-2</v>
      </c>
      <c r="Q435" s="81">
        <v>168</v>
      </c>
      <c r="R435" s="85" t="s">
        <v>114</v>
      </c>
    </row>
    <row r="436" spans="1:18" ht="15" customHeight="1" x14ac:dyDescent="0.3">
      <c r="A436" s="143" t="s">
        <v>28</v>
      </c>
      <c r="B436" s="143" t="s">
        <v>44</v>
      </c>
      <c r="C436" s="144">
        <v>0.1145833333333333</v>
      </c>
      <c r="D436" s="143" t="s">
        <v>30</v>
      </c>
      <c r="E436" s="145"/>
      <c r="F436" s="143" t="s">
        <v>31</v>
      </c>
      <c r="G436" s="241"/>
      <c r="H436" s="146" t="s">
        <v>44</v>
      </c>
      <c r="I436" s="147">
        <v>6.0000000000000001E-3</v>
      </c>
      <c r="J436" s="148">
        <v>1</v>
      </c>
      <c r="K436" s="149" t="s">
        <v>171</v>
      </c>
      <c r="L436" s="148">
        <v>1</v>
      </c>
      <c r="M436" s="148">
        <v>0</v>
      </c>
      <c r="N436" s="148">
        <v>0</v>
      </c>
      <c r="O436" s="150" t="s">
        <v>43</v>
      </c>
      <c r="P436" s="151">
        <v>0.1145833333333333</v>
      </c>
      <c r="Q436" s="148">
        <v>168</v>
      </c>
      <c r="R436" s="152" t="s">
        <v>114</v>
      </c>
    </row>
    <row r="437" spans="1:18" ht="15" customHeight="1" x14ac:dyDescent="0.3">
      <c r="A437" s="38" t="s">
        <v>28</v>
      </c>
      <c r="B437" s="38" t="s">
        <v>51</v>
      </c>
      <c r="C437" s="39">
        <v>0.25347222222222221</v>
      </c>
      <c r="D437" s="38" t="s">
        <v>30</v>
      </c>
      <c r="E437" s="40"/>
      <c r="F437" s="38" t="s">
        <v>31</v>
      </c>
      <c r="G437" s="241"/>
      <c r="H437" s="41" t="s">
        <v>51</v>
      </c>
      <c r="I437" s="42">
        <v>1.7899999999999999E-2</v>
      </c>
      <c r="J437" s="43">
        <v>3</v>
      </c>
      <c r="K437" s="44" t="s">
        <v>113</v>
      </c>
      <c r="L437" s="43">
        <v>3</v>
      </c>
      <c r="M437" s="43">
        <v>0</v>
      </c>
      <c r="N437" s="43">
        <v>0</v>
      </c>
      <c r="O437" s="45" t="s">
        <v>43</v>
      </c>
      <c r="P437" s="46">
        <v>0.25347222222222221</v>
      </c>
      <c r="Q437" s="43">
        <v>168</v>
      </c>
      <c r="R437" s="47" t="s">
        <v>236</v>
      </c>
    </row>
    <row r="438" spans="1:18" ht="15" customHeight="1" x14ac:dyDescent="0.3">
      <c r="A438" s="143" t="s">
        <v>28</v>
      </c>
      <c r="B438" s="143" t="s">
        <v>35</v>
      </c>
      <c r="C438" s="144">
        <v>0.33333333333333331</v>
      </c>
      <c r="D438" s="143" t="s">
        <v>30</v>
      </c>
      <c r="E438" s="145"/>
      <c r="F438" s="143" t="s">
        <v>31</v>
      </c>
      <c r="G438" s="241"/>
      <c r="H438" s="146" t="s">
        <v>35</v>
      </c>
      <c r="I438" s="147">
        <v>0.24399999999999999</v>
      </c>
      <c r="J438" s="148">
        <v>41</v>
      </c>
      <c r="K438" s="149" t="s">
        <v>255</v>
      </c>
      <c r="L438" s="148">
        <v>2</v>
      </c>
      <c r="M438" s="148">
        <v>0</v>
      </c>
      <c r="N438" s="148">
        <v>0</v>
      </c>
      <c r="O438" s="150" t="s">
        <v>43</v>
      </c>
      <c r="P438" s="151">
        <v>0.33333333333333331</v>
      </c>
      <c r="Q438" s="148">
        <v>168</v>
      </c>
      <c r="R438" s="152" t="s">
        <v>256</v>
      </c>
    </row>
    <row r="439" spans="1:18" ht="15" customHeight="1" x14ac:dyDescent="0.3">
      <c r="A439" s="28" t="s">
        <v>28</v>
      </c>
      <c r="B439" s="28" t="s">
        <v>101</v>
      </c>
      <c r="C439" s="29">
        <v>0.36458333333333331</v>
      </c>
      <c r="D439" s="28" t="s">
        <v>30</v>
      </c>
      <c r="E439" s="30"/>
      <c r="F439" s="28" t="s">
        <v>108</v>
      </c>
      <c r="G439" s="241"/>
      <c r="H439" s="31" t="s">
        <v>101</v>
      </c>
      <c r="I439" s="32">
        <v>0</v>
      </c>
      <c r="J439" s="33">
        <v>0</v>
      </c>
      <c r="K439" s="34" t="s">
        <v>109</v>
      </c>
      <c r="L439" s="33">
        <v>0</v>
      </c>
      <c r="M439" s="33">
        <v>0</v>
      </c>
      <c r="N439" s="33">
        <v>0</v>
      </c>
      <c r="O439" s="35" t="s">
        <v>43</v>
      </c>
      <c r="P439" s="36">
        <v>0.36458333333333331</v>
      </c>
      <c r="Q439" s="33">
        <v>168</v>
      </c>
      <c r="R439" s="37" t="s">
        <v>109</v>
      </c>
    </row>
    <row r="440" spans="1:18" ht="15" customHeight="1" x14ac:dyDescent="0.3">
      <c r="A440" s="86" t="s">
        <v>28</v>
      </c>
      <c r="B440" s="86" t="s">
        <v>38</v>
      </c>
      <c r="C440" s="87">
        <v>0.58333333333333337</v>
      </c>
      <c r="D440" s="86" t="s">
        <v>30</v>
      </c>
      <c r="E440" s="88"/>
      <c r="F440" s="86" t="s">
        <v>31</v>
      </c>
      <c r="G440" s="241"/>
      <c r="H440" s="11" t="s">
        <v>38</v>
      </c>
      <c r="I440" s="12">
        <v>0.1012</v>
      </c>
      <c r="J440" s="13">
        <v>17</v>
      </c>
      <c r="K440" s="14" t="s">
        <v>94</v>
      </c>
      <c r="L440" s="13">
        <v>17</v>
      </c>
      <c r="M440" s="13">
        <v>0</v>
      </c>
      <c r="N440" s="13">
        <v>0</v>
      </c>
      <c r="O440" s="15" t="s">
        <v>43</v>
      </c>
      <c r="P440" s="16">
        <v>0.58333333333333337</v>
      </c>
      <c r="Q440" s="13">
        <v>168</v>
      </c>
      <c r="R440" s="17" t="s">
        <v>257</v>
      </c>
    </row>
    <row r="441" spans="1:18" ht="15" customHeight="1" thickBot="1" x14ac:dyDescent="0.35">
      <c r="A441" s="207" t="s">
        <v>28</v>
      </c>
      <c r="B441" s="207" t="s">
        <v>40</v>
      </c>
      <c r="C441" s="208">
        <v>0.73958333333333337</v>
      </c>
      <c r="D441" s="207" t="s">
        <v>30</v>
      </c>
      <c r="E441" s="209"/>
      <c r="F441" s="207" t="s">
        <v>31</v>
      </c>
      <c r="G441" s="242"/>
      <c r="H441" s="210" t="s">
        <v>40</v>
      </c>
      <c r="I441" s="223">
        <v>6.0000000000000001E-3</v>
      </c>
      <c r="J441" s="212">
        <v>1</v>
      </c>
      <c r="K441" s="213" t="s">
        <v>91</v>
      </c>
      <c r="L441" s="212">
        <v>1</v>
      </c>
      <c r="M441" s="212">
        <v>0</v>
      </c>
      <c r="N441" s="212">
        <v>0</v>
      </c>
      <c r="O441" s="214" t="s">
        <v>43</v>
      </c>
      <c r="P441" s="215">
        <v>0.73958333333333337</v>
      </c>
      <c r="Q441" s="212">
        <v>168</v>
      </c>
      <c r="R441" s="216" t="s">
        <v>42</v>
      </c>
    </row>
    <row r="442" spans="1:18" ht="17.399999999999999" customHeight="1" thickBot="1" x14ac:dyDescent="0.35">
      <c r="A442" s="265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7"/>
    </row>
    <row r="443" spans="1:18" ht="22.05" customHeight="1" thickTop="1" thickBot="1" x14ac:dyDescent="0.35">
      <c r="A443" s="236" t="s">
        <v>8</v>
      </c>
      <c r="B443" s="234"/>
      <c r="C443" s="234"/>
      <c r="D443" s="234"/>
      <c r="E443" s="234"/>
      <c r="F443" s="235"/>
      <c r="G443" s="68">
        <v>46073</v>
      </c>
      <c r="H443" s="233" t="s">
        <v>9</v>
      </c>
      <c r="I443" s="234"/>
      <c r="J443" s="234"/>
      <c r="K443" s="234"/>
      <c r="L443" s="234"/>
      <c r="M443" s="234"/>
      <c r="N443" s="234"/>
      <c r="O443" s="234"/>
      <c r="P443" s="234"/>
      <c r="Q443" s="234"/>
      <c r="R443" s="235"/>
    </row>
    <row r="444" spans="1:18" ht="24" customHeight="1" x14ac:dyDescent="0.3">
      <c r="A444" s="69" t="s">
        <v>10</v>
      </c>
      <c r="B444" s="69" t="s">
        <v>11</v>
      </c>
      <c r="C444" s="70" t="s">
        <v>12</v>
      </c>
      <c r="D444" s="69" t="s">
        <v>13</v>
      </c>
      <c r="E444" s="69" t="s">
        <v>14</v>
      </c>
      <c r="F444" s="71" t="s">
        <v>15</v>
      </c>
      <c r="G444" s="72" t="s">
        <v>16</v>
      </c>
      <c r="H444" s="69" t="s">
        <v>17</v>
      </c>
      <c r="I444" s="73" t="s">
        <v>18</v>
      </c>
      <c r="J444" s="74" t="s">
        <v>19</v>
      </c>
      <c r="K444" s="75" t="s">
        <v>20</v>
      </c>
      <c r="L444" s="74" t="s">
        <v>21</v>
      </c>
      <c r="M444" s="74" t="s">
        <v>22</v>
      </c>
      <c r="N444" s="74" t="s">
        <v>23</v>
      </c>
      <c r="O444" s="69" t="s">
        <v>24</v>
      </c>
      <c r="P444" s="70" t="s">
        <v>25</v>
      </c>
      <c r="Q444" s="74" t="s">
        <v>26</v>
      </c>
      <c r="R444" s="69" t="s">
        <v>27</v>
      </c>
    </row>
    <row r="445" spans="1:18" ht="15" customHeight="1" x14ac:dyDescent="0.3">
      <c r="A445" s="181" t="s">
        <v>28</v>
      </c>
      <c r="B445" s="181" t="s">
        <v>29</v>
      </c>
      <c r="C445" s="182">
        <v>0.1145833333333333</v>
      </c>
      <c r="D445" s="181" t="s">
        <v>30</v>
      </c>
      <c r="E445" s="183"/>
      <c r="F445" s="181" t="s">
        <v>31</v>
      </c>
      <c r="G445" s="240"/>
      <c r="H445" s="51" t="s">
        <v>29</v>
      </c>
      <c r="I445" s="52">
        <v>2.98E-2</v>
      </c>
      <c r="J445" s="53">
        <v>5</v>
      </c>
      <c r="K445" s="54" t="s">
        <v>174</v>
      </c>
      <c r="L445" s="53">
        <v>5</v>
      </c>
      <c r="M445" s="53">
        <v>0</v>
      </c>
      <c r="N445" s="53">
        <v>0</v>
      </c>
      <c r="O445" s="55" t="s">
        <v>43</v>
      </c>
      <c r="P445" s="56">
        <v>0.1145833333333333</v>
      </c>
      <c r="Q445" s="53">
        <v>168</v>
      </c>
      <c r="R445" s="57" t="s">
        <v>186</v>
      </c>
    </row>
    <row r="446" spans="1:18" ht="15" customHeight="1" x14ac:dyDescent="0.3">
      <c r="A446" s="143" t="s">
        <v>28</v>
      </c>
      <c r="B446" s="143" t="s">
        <v>35</v>
      </c>
      <c r="C446" s="144">
        <v>0.31944444444444448</v>
      </c>
      <c r="D446" s="143" t="s">
        <v>30</v>
      </c>
      <c r="E446" s="145"/>
      <c r="F446" s="143" t="s">
        <v>108</v>
      </c>
      <c r="G446" s="241"/>
      <c r="H446" s="146" t="s">
        <v>35</v>
      </c>
      <c r="I446" s="147">
        <v>0</v>
      </c>
      <c r="J446" s="148">
        <v>0</v>
      </c>
      <c r="K446" s="149" t="s">
        <v>109</v>
      </c>
      <c r="L446" s="148">
        <v>0</v>
      </c>
      <c r="M446" s="148">
        <v>0</v>
      </c>
      <c r="N446" s="148">
        <v>0</v>
      </c>
      <c r="O446" s="150" t="s">
        <v>43</v>
      </c>
      <c r="P446" s="151">
        <v>0.31944444444444448</v>
      </c>
      <c r="Q446" s="148">
        <v>168</v>
      </c>
      <c r="R446" s="152" t="s">
        <v>109</v>
      </c>
    </row>
    <row r="447" spans="1:18" ht="15" customHeight="1" x14ac:dyDescent="0.3">
      <c r="A447" s="28" t="s">
        <v>28</v>
      </c>
      <c r="B447" s="28" t="s">
        <v>38</v>
      </c>
      <c r="C447" s="29">
        <v>0.45833333333333331</v>
      </c>
      <c r="D447" s="28" t="s">
        <v>30</v>
      </c>
      <c r="E447" s="30"/>
      <c r="F447" s="28" t="s">
        <v>31</v>
      </c>
      <c r="G447" s="241"/>
      <c r="H447" s="31" t="s">
        <v>38</v>
      </c>
      <c r="I447" s="32">
        <v>1.1900000000000001E-2</v>
      </c>
      <c r="J447" s="33">
        <v>2</v>
      </c>
      <c r="K447" s="34" t="s">
        <v>94</v>
      </c>
      <c r="L447" s="33">
        <v>2</v>
      </c>
      <c r="M447" s="33">
        <v>0</v>
      </c>
      <c r="N447" s="33">
        <v>0</v>
      </c>
      <c r="O447" s="35" t="s">
        <v>43</v>
      </c>
      <c r="P447" s="36">
        <v>0.45833333333333331</v>
      </c>
      <c r="Q447" s="33">
        <v>168</v>
      </c>
      <c r="R447" s="37" t="s">
        <v>66</v>
      </c>
    </row>
    <row r="448" spans="1:18" ht="15" customHeight="1" x14ac:dyDescent="0.3">
      <c r="A448" s="86" t="s">
        <v>28</v>
      </c>
      <c r="B448" s="86" t="s">
        <v>40</v>
      </c>
      <c r="C448" s="87">
        <v>0.61458333333333337</v>
      </c>
      <c r="D448" s="86" t="s">
        <v>30</v>
      </c>
      <c r="E448" s="88"/>
      <c r="F448" s="86" t="s">
        <v>31</v>
      </c>
      <c r="G448" s="241"/>
      <c r="H448" s="11" t="s">
        <v>40</v>
      </c>
      <c r="I448" s="12">
        <v>1.1900000000000001E-2</v>
      </c>
      <c r="J448" s="13">
        <v>2</v>
      </c>
      <c r="K448" s="14" t="s">
        <v>97</v>
      </c>
      <c r="L448" s="13">
        <v>2</v>
      </c>
      <c r="M448" s="13">
        <v>0</v>
      </c>
      <c r="N448" s="13">
        <v>0</v>
      </c>
      <c r="O448" s="15" t="s">
        <v>43</v>
      </c>
      <c r="P448" s="16">
        <v>0.61458333333333337</v>
      </c>
      <c r="Q448" s="13">
        <v>168</v>
      </c>
      <c r="R448" s="17" t="s">
        <v>258</v>
      </c>
    </row>
    <row r="449" spans="1:18" ht="15" customHeight="1" x14ac:dyDescent="0.3">
      <c r="A449" s="38" t="s">
        <v>28</v>
      </c>
      <c r="B449" s="38" t="s">
        <v>44</v>
      </c>
      <c r="C449" s="39">
        <v>0.73611111111111116</v>
      </c>
      <c r="D449" s="38" t="s">
        <v>30</v>
      </c>
      <c r="E449" s="40"/>
      <c r="F449" s="38" t="s">
        <v>31</v>
      </c>
      <c r="G449" s="241"/>
      <c r="H449" s="41" t="s">
        <v>44</v>
      </c>
      <c r="I449" s="42">
        <v>8.9300000000000004E-2</v>
      </c>
      <c r="J449" s="43">
        <v>15</v>
      </c>
      <c r="K449" s="44" t="s">
        <v>97</v>
      </c>
      <c r="L449" s="43">
        <v>15</v>
      </c>
      <c r="M449" s="43">
        <v>0</v>
      </c>
      <c r="N449" s="43">
        <v>0</v>
      </c>
      <c r="O449" s="45" t="s">
        <v>234</v>
      </c>
      <c r="P449" s="46">
        <v>0.73611111111111116</v>
      </c>
      <c r="Q449" s="43">
        <v>168</v>
      </c>
      <c r="R449" s="47" t="s">
        <v>259</v>
      </c>
    </row>
    <row r="450" spans="1:18" ht="15" customHeight="1" thickBot="1" x14ac:dyDescent="0.35">
      <c r="A450" s="161" t="s">
        <v>28</v>
      </c>
      <c r="B450" s="161" t="s">
        <v>48</v>
      </c>
      <c r="C450" s="162">
        <v>0.9375</v>
      </c>
      <c r="D450" s="161" t="s">
        <v>30</v>
      </c>
      <c r="E450" s="163"/>
      <c r="F450" s="161" t="s">
        <v>31</v>
      </c>
      <c r="G450" s="242"/>
      <c r="H450" s="164" t="s">
        <v>48</v>
      </c>
      <c r="I450" s="224">
        <v>5.3600000000000002E-2</v>
      </c>
      <c r="J450" s="166">
        <v>9</v>
      </c>
      <c r="K450" s="167" t="s">
        <v>260</v>
      </c>
      <c r="L450" s="166">
        <v>9</v>
      </c>
      <c r="M450" s="166">
        <v>0</v>
      </c>
      <c r="N450" s="166">
        <v>0</v>
      </c>
      <c r="O450" s="168" t="s">
        <v>43</v>
      </c>
      <c r="P450" s="169">
        <v>0.9375</v>
      </c>
      <c r="Q450" s="166">
        <v>168</v>
      </c>
      <c r="R450" s="170" t="s">
        <v>80</v>
      </c>
    </row>
    <row r="451" spans="1:18" ht="17.399999999999999" customHeight="1" thickBot="1" x14ac:dyDescent="0.35">
      <c r="A451" s="265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7"/>
    </row>
    <row r="452" spans="1:18" ht="22.05" customHeight="1" thickTop="1" thickBot="1" x14ac:dyDescent="0.35">
      <c r="A452" s="236" t="s">
        <v>8</v>
      </c>
      <c r="B452" s="234"/>
      <c r="C452" s="234"/>
      <c r="D452" s="234"/>
      <c r="E452" s="234"/>
      <c r="F452" s="235"/>
      <c r="G452" s="68">
        <v>46074</v>
      </c>
      <c r="H452" s="233" t="s">
        <v>9</v>
      </c>
      <c r="I452" s="234"/>
      <c r="J452" s="234"/>
      <c r="K452" s="234"/>
      <c r="L452" s="234"/>
      <c r="M452" s="234"/>
      <c r="N452" s="234"/>
      <c r="O452" s="234"/>
      <c r="P452" s="234"/>
      <c r="Q452" s="234"/>
      <c r="R452" s="235"/>
    </row>
    <row r="453" spans="1:18" ht="24" customHeight="1" x14ac:dyDescent="0.3">
      <c r="A453" s="69" t="s">
        <v>10</v>
      </c>
      <c r="B453" s="69" t="s">
        <v>11</v>
      </c>
      <c r="C453" s="70" t="s">
        <v>12</v>
      </c>
      <c r="D453" s="69" t="s">
        <v>13</v>
      </c>
      <c r="E453" s="69" t="s">
        <v>14</v>
      </c>
      <c r="F453" s="71" t="s">
        <v>15</v>
      </c>
      <c r="G453" s="72" t="s">
        <v>16</v>
      </c>
      <c r="H453" s="69" t="s">
        <v>17</v>
      </c>
      <c r="I453" s="73" t="s">
        <v>18</v>
      </c>
      <c r="J453" s="74" t="s">
        <v>19</v>
      </c>
      <c r="K453" s="75" t="s">
        <v>20</v>
      </c>
      <c r="L453" s="74" t="s">
        <v>21</v>
      </c>
      <c r="M453" s="74" t="s">
        <v>22</v>
      </c>
      <c r="N453" s="74" t="s">
        <v>23</v>
      </c>
      <c r="O453" s="69" t="s">
        <v>24</v>
      </c>
      <c r="P453" s="70" t="s">
        <v>25</v>
      </c>
      <c r="Q453" s="74" t="s">
        <v>26</v>
      </c>
      <c r="R453" s="69" t="s">
        <v>27</v>
      </c>
    </row>
    <row r="454" spans="1:18" ht="49.95" customHeight="1" x14ac:dyDescent="0.3">
      <c r="A454" s="122" t="s">
        <v>28</v>
      </c>
      <c r="B454" s="122" t="s">
        <v>51</v>
      </c>
      <c r="C454" s="123">
        <v>0.2361111111111111</v>
      </c>
      <c r="D454" s="122" t="s">
        <v>30</v>
      </c>
      <c r="E454" s="124"/>
      <c r="F454" s="122" t="s">
        <v>31</v>
      </c>
      <c r="G454" s="240"/>
      <c r="H454" s="41" t="s">
        <v>51</v>
      </c>
      <c r="I454" s="42">
        <v>2.87E-2</v>
      </c>
      <c r="J454" s="43">
        <v>5</v>
      </c>
      <c r="K454" s="44" t="s">
        <v>91</v>
      </c>
      <c r="L454" s="43">
        <v>5</v>
      </c>
      <c r="M454" s="43">
        <v>0</v>
      </c>
      <c r="N454" s="43">
        <v>0</v>
      </c>
      <c r="O454" s="45" t="s">
        <v>43</v>
      </c>
      <c r="P454" s="46">
        <v>0.2361111111111111</v>
      </c>
      <c r="Q454" s="43">
        <v>174</v>
      </c>
      <c r="R454" s="47" t="s">
        <v>261</v>
      </c>
    </row>
    <row r="455" spans="1:18" ht="49.95" customHeight="1" x14ac:dyDescent="0.3">
      <c r="A455" s="48" t="s">
        <v>28</v>
      </c>
      <c r="B455" s="48" t="s">
        <v>35</v>
      </c>
      <c r="C455" s="49">
        <v>0.33333333333333331</v>
      </c>
      <c r="D455" s="48" t="s">
        <v>30</v>
      </c>
      <c r="E455" s="50"/>
      <c r="F455" s="48" t="s">
        <v>31</v>
      </c>
      <c r="G455" s="241"/>
      <c r="H455" s="51" t="s">
        <v>35</v>
      </c>
      <c r="I455" s="52">
        <v>1.1900000000000001E-2</v>
      </c>
      <c r="J455" s="53">
        <v>2</v>
      </c>
      <c r="K455" s="54" t="s">
        <v>91</v>
      </c>
      <c r="L455" s="53">
        <v>2</v>
      </c>
      <c r="M455" s="53">
        <v>0</v>
      </c>
      <c r="N455" s="53">
        <v>0</v>
      </c>
      <c r="O455" s="55" t="s">
        <v>43</v>
      </c>
      <c r="P455" s="56">
        <v>0.33333333333333331</v>
      </c>
      <c r="Q455" s="53">
        <v>168</v>
      </c>
      <c r="R455" s="57" t="s">
        <v>258</v>
      </c>
    </row>
    <row r="456" spans="1:18" ht="49.95" customHeight="1" thickBot="1" x14ac:dyDescent="0.35">
      <c r="A456" s="161" t="s">
        <v>28</v>
      </c>
      <c r="B456" s="161" t="s">
        <v>38</v>
      </c>
      <c r="C456" s="162">
        <v>0.68055555555555547</v>
      </c>
      <c r="D456" s="161" t="s">
        <v>30</v>
      </c>
      <c r="E456" s="163"/>
      <c r="F456" s="161" t="s">
        <v>31</v>
      </c>
      <c r="G456" s="242"/>
      <c r="H456" s="164" t="s">
        <v>38</v>
      </c>
      <c r="I456" s="224">
        <v>7.7399999999999997E-2</v>
      </c>
      <c r="J456" s="166">
        <v>13</v>
      </c>
      <c r="K456" s="167" t="s">
        <v>113</v>
      </c>
      <c r="L456" s="166">
        <v>13</v>
      </c>
      <c r="M456" s="166">
        <v>0</v>
      </c>
      <c r="N456" s="166">
        <v>0</v>
      </c>
      <c r="O456" s="168" t="s">
        <v>43</v>
      </c>
      <c r="P456" s="169">
        <v>0.68055555555555547</v>
      </c>
      <c r="Q456" s="166">
        <v>168</v>
      </c>
      <c r="R456" s="170" t="s">
        <v>262</v>
      </c>
    </row>
    <row r="457" spans="1:18" ht="17.399999999999999" customHeight="1" thickBot="1" x14ac:dyDescent="0.35">
      <c r="A457" s="265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7"/>
    </row>
    <row r="458" spans="1:18" ht="22.05" customHeight="1" thickTop="1" thickBot="1" x14ac:dyDescent="0.35">
      <c r="A458" s="236" t="s">
        <v>8</v>
      </c>
      <c r="B458" s="234"/>
      <c r="C458" s="234"/>
      <c r="D458" s="234"/>
      <c r="E458" s="234"/>
      <c r="F458" s="235"/>
      <c r="G458" s="68">
        <v>46075</v>
      </c>
      <c r="H458" s="233" t="s">
        <v>9</v>
      </c>
      <c r="I458" s="234"/>
      <c r="J458" s="234"/>
      <c r="K458" s="234"/>
      <c r="L458" s="234"/>
      <c r="M458" s="234"/>
      <c r="N458" s="234"/>
      <c r="O458" s="234"/>
      <c r="P458" s="234"/>
      <c r="Q458" s="234"/>
      <c r="R458" s="235"/>
    </row>
    <row r="459" spans="1:18" ht="24" customHeight="1" x14ac:dyDescent="0.3">
      <c r="A459" s="69" t="s">
        <v>10</v>
      </c>
      <c r="B459" s="69" t="s">
        <v>11</v>
      </c>
      <c r="C459" s="70" t="s">
        <v>12</v>
      </c>
      <c r="D459" s="69" t="s">
        <v>13</v>
      </c>
      <c r="E459" s="69" t="s">
        <v>14</v>
      </c>
      <c r="F459" s="71" t="s">
        <v>15</v>
      </c>
      <c r="G459" s="72" t="s">
        <v>16</v>
      </c>
      <c r="H459" s="69" t="s">
        <v>17</v>
      </c>
      <c r="I459" s="73" t="s">
        <v>18</v>
      </c>
      <c r="J459" s="74" t="s">
        <v>19</v>
      </c>
      <c r="K459" s="75" t="s">
        <v>20</v>
      </c>
      <c r="L459" s="74" t="s">
        <v>21</v>
      </c>
      <c r="M459" s="74" t="s">
        <v>22</v>
      </c>
      <c r="N459" s="74" t="s">
        <v>23</v>
      </c>
      <c r="O459" s="69" t="s">
        <v>24</v>
      </c>
      <c r="P459" s="70" t="s">
        <v>25</v>
      </c>
      <c r="Q459" s="74" t="s">
        <v>26</v>
      </c>
      <c r="R459" s="69" t="s">
        <v>27</v>
      </c>
    </row>
    <row r="460" spans="1:18" ht="49.95" customHeight="1" x14ac:dyDescent="0.3">
      <c r="A460" s="100" t="s">
        <v>28</v>
      </c>
      <c r="B460" s="100" t="s">
        <v>29</v>
      </c>
      <c r="C460" s="101">
        <v>8.3333333333333329E-2</v>
      </c>
      <c r="D460" s="100" t="s">
        <v>30</v>
      </c>
      <c r="E460" s="102"/>
      <c r="F460" s="100" t="s">
        <v>31</v>
      </c>
      <c r="G460" s="240"/>
      <c r="H460" s="103" t="s">
        <v>29</v>
      </c>
      <c r="I460" s="159">
        <v>0.26790000000000003</v>
      </c>
      <c r="J460" s="105">
        <v>45</v>
      </c>
      <c r="K460" s="106" t="s">
        <v>177</v>
      </c>
      <c r="L460" s="105">
        <v>7</v>
      </c>
      <c r="M460" s="105">
        <v>0</v>
      </c>
      <c r="N460" s="105">
        <v>0</v>
      </c>
      <c r="O460" s="107" t="s">
        <v>43</v>
      </c>
      <c r="P460" s="108">
        <v>8.3333333333333329E-2</v>
      </c>
      <c r="Q460" s="105">
        <v>168</v>
      </c>
      <c r="R460" s="109" t="s">
        <v>263</v>
      </c>
    </row>
    <row r="461" spans="1:18" ht="49.95" customHeight="1" x14ac:dyDescent="0.3">
      <c r="A461" s="48" t="s">
        <v>28</v>
      </c>
      <c r="B461" s="48" t="s">
        <v>35</v>
      </c>
      <c r="C461" s="49">
        <v>0.31944444444444448</v>
      </c>
      <c r="D461" s="48" t="s">
        <v>30</v>
      </c>
      <c r="E461" s="50"/>
      <c r="F461" s="48" t="s">
        <v>31</v>
      </c>
      <c r="G461" s="241"/>
      <c r="H461" s="51" t="s">
        <v>35</v>
      </c>
      <c r="I461" s="52">
        <v>6.0000000000000001E-3</v>
      </c>
      <c r="J461" s="53">
        <v>1</v>
      </c>
      <c r="K461" s="54" t="s">
        <v>183</v>
      </c>
      <c r="L461" s="53">
        <v>1</v>
      </c>
      <c r="M461" s="53">
        <v>0</v>
      </c>
      <c r="N461" s="53">
        <v>0</v>
      </c>
      <c r="O461" s="55" t="s">
        <v>43</v>
      </c>
      <c r="P461" s="56">
        <v>0.31944444444444448</v>
      </c>
      <c r="Q461" s="53">
        <v>168</v>
      </c>
      <c r="R461" s="57" t="s">
        <v>114</v>
      </c>
    </row>
    <row r="462" spans="1:18" ht="49.95" customHeight="1" x14ac:dyDescent="0.3">
      <c r="A462" s="38" t="s">
        <v>28</v>
      </c>
      <c r="B462" s="38" t="s">
        <v>101</v>
      </c>
      <c r="C462" s="39">
        <v>0.33333333333333331</v>
      </c>
      <c r="D462" s="38" t="s">
        <v>30</v>
      </c>
      <c r="E462" s="40"/>
      <c r="F462" s="38" t="s">
        <v>108</v>
      </c>
      <c r="G462" s="241"/>
      <c r="H462" s="41" t="s">
        <v>101</v>
      </c>
      <c r="I462" s="42">
        <v>0</v>
      </c>
      <c r="J462" s="43">
        <v>0</v>
      </c>
      <c r="K462" s="44" t="s">
        <v>109</v>
      </c>
      <c r="L462" s="43">
        <v>0</v>
      </c>
      <c r="M462" s="43">
        <v>0</v>
      </c>
      <c r="N462" s="43">
        <v>0</v>
      </c>
      <c r="O462" s="45" t="s">
        <v>43</v>
      </c>
      <c r="P462" s="46">
        <v>0.33333333333333331</v>
      </c>
      <c r="Q462" s="43">
        <v>168</v>
      </c>
      <c r="R462" s="47" t="s">
        <v>109</v>
      </c>
    </row>
    <row r="463" spans="1:18" ht="49.95" customHeight="1" x14ac:dyDescent="0.3">
      <c r="A463" s="139" t="s">
        <v>28</v>
      </c>
      <c r="B463" s="139" t="s">
        <v>48</v>
      </c>
      <c r="C463" s="140">
        <v>0.51041666666666663</v>
      </c>
      <c r="D463" s="139" t="s">
        <v>30</v>
      </c>
      <c r="E463" s="141"/>
      <c r="F463" s="139" t="s">
        <v>31</v>
      </c>
      <c r="G463" s="241"/>
      <c r="H463" s="103" t="s">
        <v>48</v>
      </c>
      <c r="I463" s="159">
        <v>1.7899999999999999E-2</v>
      </c>
      <c r="J463" s="105">
        <v>3</v>
      </c>
      <c r="K463" s="106" t="s">
        <v>110</v>
      </c>
      <c r="L463" s="105">
        <v>3</v>
      </c>
      <c r="M463" s="105">
        <v>0</v>
      </c>
      <c r="N463" s="105">
        <v>0</v>
      </c>
      <c r="O463" s="107" t="s">
        <v>43</v>
      </c>
      <c r="P463" s="108">
        <v>0.51041666666666663</v>
      </c>
      <c r="Q463" s="105">
        <v>168</v>
      </c>
      <c r="R463" s="109" t="s">
        <v>127</v>
      </c>
    </row>
    <row r="464" spans="1:18" ht="49.95" customHeight="1" thickBot="1" x14ac:dyDescent="0.35">
      <c r="A464" s="189" t="s">
        <v>28</v>
      </c>
      <c r="B464" s="189" t="s">
        <v>38</v>
      </c>
      <c r="C464" s="190">
        <v>0.63194444444444442</v>
      </c>
      <c r="D464" s="189" t="s">
        <v>30</v>
      </c>
      <c r="E464" s="191"/>
      <c r="F464" s="189" t="s">
        <v>31</v>
      </c>
      <c r="G464" s="242"/>
      <c r="H464" s="192" t="s">
        <v>38</v>
      </c>
      <c r="I464" s="222">
        <v>4.1700000000000001E-2</v>
      </c>
      <c r="J464" s="194">
        <v>7</v>
      </c>
      <c r="K464" s="195" t="s">
        <v>129</v>
      </c>
      <c r="L464" s="194">
        <v>7</v>
      </c>
      <c r="M464" s="194">
        <v>0</v>
      </c>
      <c r="N464" s="194">
        <v>0</v>
      </c>
      <c r="O464" s="196" t="s">
        <v>43</v>
      </c>
      <c r="P464" s="197">
        <v>0.63194444444444442</v>
      </c>
      <c r="Q464" s="194">
        <v>168</v>
      </c>
      <c r="R464" s="198" t="s">
        <v>95</v>
      </c>
    </row>
    <row r="465" spans="1:18" ht="17.399999999999999" customHeight="1" thickBot="1" x14ac:dyDescent="0.35">
      <c r="A465" s="265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7"/>
    </row>
    <row r="466" spans="1:18" ht="22.05" customHeight="1" thickTop="1" thickBot="1" x14ac:dyDescent="0.35">
      <c r="A466" s="236" t="s">
        <v>8</v>
      </c>
      <c r="B466" s="234"/>
      <c r="C466" s="234"/>
      <c r="D466" s="234"/>
      <c r="E466" s="234"/>
      <c r="F466" s="235"/>
      <c r="G466" s="68">
        <v>46076</v>
      </c>
      <c r="H466" s="233" t="s">
        <v>9</v>
      </c>
      <c r="I466" s="234"/>
      <c r="J466" s="234"/>
      <c r="K466" s="234"/>
      <c r="L466" s="234"/>
      <c r="M466" s="234"/>
      <c r="N466" s="234"/>
      <c r="O466" s="234"/>
      <c r="P466" s="234"/>
      <c r="Q466" s="234"/>
      <c r="R466" s="235"/>
    </row>
    <row r="467" spans="1:18" ht="24" customHeight="1" x14ac:dyDescent="0.3">
      <c r="A467" s="69" t="s">
        <v>10</v>
      </c>
      <c r="B467" s="69" t="s">
        <v>11</v>
      </c>
      <c r="C467" s="70" t="s">
        <v>12</v>
      </c>
      <c r="D467" s="69" t="s">
        <v>13</v>
      </c>
      <c r="E467" s="69" t="s">
        <v>14</v>
      </c>
      <c r="F467" s="71" t="s">
        <v>15</v>
      </c>
      <c r="G467" s="72" t="s">
        <v>16</v>
      </c>
      <c r="H467" s="69" t="s">
        <v>17</v>
      </c>
      <c r="I467" s="73" t="s">
        <v>18</v>
      </c>
      <c r="J467" s="74" t="s">
        <v>19</v>
      </c>
      <c r="K467" s="75" t="s">
        <v>20</v>
      </c>
      <c r="L467" s="74" t="s">
        <v>21</v>
      </c>
      <c r="M467" s="74" t="s">
        <v>22</v>
      </c>
      <c r="N467" s="74" t="s">
        <v>23</v>
      </c>
      <c r="O467" s="69" t="s">
        <v>24</v>
      </c>
      <c r="P467" s="70" t="s">
        <v>25</v>
      </c>
      <c r="Q467" s="74" t="s">
        <v>26</v>
      </c>
      <c r="R467" s="69" t="s">
        <v>27</v>
      </c>
    </row>
    <row r="468" spans="1:18" ht="49.95" customHeight="1" x14ac:dyDescent="0.3">
      <c r="A468" s="154" t="s">
        <v>28</v>
      </c>
      <c r="B468" s="154" t="s">
        <v>40</v>
      </c>
      <c r="C468" s="155">
        <v>6.9444444444444441E-3</v>
      </c>
      <c r="D468" s="154" t="s">
        <v>30</v>
      </c>
      <c r="E468" s="156"/>
      <c r="F468" s="154" t="s">
        <v>108</v>
      </c>
      <c r="G468" s="240"/>
      <c r="H468" s="31" t="s">
        <v>40</v>
      </c>
      <c r="I468" s="32">
        <v>0</v>
      </c>
      <c r="J468" s="33">
        <v>0</v>
      </c>
      <c r="K468" s="34" t="s">
        <v>109</v>
      </c>
      <c r="L468" s="33">
        <v>0</v>
      </c>
      <c r="M468" s="33">
        <v>0</v>
      </c>
      <c r="N468" s="33">
        <v>0</v>
      </c>
      <c r="O468" s="35" t="s">
        <v>43</v>
      </c>
      <c r="P468" s="36">
        <v>6.9444444444444441E-3</v>
      </c>
      <c r="Q468" s="33">
        <v>168</v>
      </c>
      <c r="R468" s="37" t="s">
        <v>109</v>
      </c>
    </row>
    <row r="469" spans="1:18" ht="49.95" customHeight="1" x14ac:dyDescent="0.3">
      <c r="A469" s="143" t="s">
        <v>28</v>
      </c>
      <c r="B469" s="143" t="s">
        <v>35</v>
      </c>
      <c r="C469" s="144">
        <v>0.4236111111111111</v>
      </c>
      <c r="D469" s="143" t="s">
        <v>30</v>
      </c>
      <c r="E469" s="145"/>
      <c r="F469" s="143" t="s">
        <v>108</v>
      </c>
      <c r="G469" s="241"/>
      <c r="H469" s="146" t="s">
        <v>35</v>
      </c>
      <c r="I469" s="147">
        <v>0</v>
      </c>
      <c r="J469" s="148">
        <v>0</v>
      </c>
      <c r="K469" s="149" t="s">
        <v>109</v>
      </c>
      <c r="L469" s="148">
        <v>0</v>
      </c>
      <c r="M469" s="148">
        <v>0</v>
      </c>
      <c r="N469" s="148">
        <v>0</v>
      </c>
      <c r="O469" s="150" t="s">
        <v>43</v>
      </c>
      <c r="P469" s="151">
        <v>0.4236111111111111</v>
      </c>
      <c r="Q469" s="148">
        <v>168</v>
      </c>
      <c r="R469" s="152" t="s">
        <v>109</v>
      </c>
    </row>
    <row r="470" spans="1:18" ht="49.95" customHeight="1" x14ac:dyDescent="0.3">
      <c r="A470" s="38" t="s">
        <v>28</v>
      </c>
      <c r="B470" s="38" t="s">
        <v>38</v>
      </c>
      <c r="C470" s="39">
        <v>0.61458333333333337</v>
      </c>
      <c r="D470" s="38" t="s">
        <v>30</v>
      </c>
      <c r="E470" s="40"/>
      <c r="F470" s="38" t="s">
        <v>31</v>
      </c>
      <c r="G470" s="241"/>
      <c r="H470" s="41" t="s">
        <v>38</v>
      </c>
      <c r="I470" s="42">
        <v>1.7899999999999999E-2</v>
      </c>
      <c r="J470" s="43">
        <v>3</v>
      </c>
      <c r="K470" s="44" t="s">
        <v>97</v>
      </c>
      <c r="L470" s="43">
        <v>3</v>
      </c>
      <c r="M470" s="43">
        <v>0</v>
      </c>
      <c r="N470" s="43">
        <v>0</v>
      </c>
      <c r="O470" s="45" t="s">
        <v>43</v>
      </c>
      <c r="P470" s="46">
        <v>0.61458333333333337</v>
      </c>
      <c r="Q470" s="43">
        <v>168</v>
      </c>
      <c r="R470" s="47" t="s">
        <v>264</v>
      </c>
    </row>
    <row r="471" spans="1:18" ht="49.95" customHeight="1" thickBot="1" x14ac:dyDescent="0.35">
      <c r="A471" s="161" t="s">
        <v>28</v>
      </c>
      <c r="B471" s="161" t="s">
        <v>48</v>
      </c>
      <c r="C471" s="162">
        <v>0.97916666666666663</v>
      </c>
      <c r="D471" s="161" t="s">
        <v>30</v>
      </c>
      <c r="E471" s="163"/>
      <c r="F471" s="161" t="s">
        <v>31</v>
      </c>
      <c r="G471" s="242"/>
      <c r="H471" s="164" t="s">
        <v>48</v>
      </c>
      <c r="I471" s="224">
        <v>2.98E-2</v>
      </c>
      <c r="J471" s="166">
        <v>5</v>
      </c>
      <c r="K471" s="167" t="s">
        <v>94</v>
      </c>
      <c r="L471" s="166">
        <v>5</v>
      </c>
      <c r="M471" s="166">
        <v>0</v>
      </c>
      <c r="N471" s="166">
        <v>0</v>
      </c>
      <c r="O471" s="168" t="s">
        <v>43</v>
      </c>
      <c r="P471" s="169">
        <v>0.97916666666666663</v>
      </c>
      <c r="Q471" s="166">
        <v>168</v>
      </c>
      <c r="R471" s="170" t="s">
        <v>238</v>
      </c>
    </row>
    <row r="472" spans="1:18" ht="17.399999999999999" customHeight="1" thickBot="1" x14ac:dyDescent="0.35">
      <c r="A472" s="265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7"/>
    </row>
    <row r="473" spans="1:18" ht="22.05" customHeight="1" thickTop="1" thickBot="1" x14ac:dyDescent="0.35">
      <c r="A473" s="236" t="s">
        <v>8</v>
      </c>
      <c r="B473" s="234"/>
      <c r="C473" s="234"/>
      <c r="D473" s="234"/>
      <c r="E473" s="234"/>
      <c r="F473" s="235"/>
      <c r="G473" s="68">
        <v>46077</v>
      </c>
      <c r="H473" s="233" t="s">
        <v>9</v>
      </c>
      <c r="I473" s="234"/>
      <c r="J473" s="234"/>
      <c r="K473" s="234"/>
      <c r="L473" s="234"/>
      <c r="M473" s="234"/>
      <c r="N473" s="234"/>
      <c r="O473" s="234"/>
      <c r="P473" s="234"/>
      <c r="Q473" s="234"/>
      <c r="R473" s="235"/>
    </row>
    <row r="474" spans="1:18" ht="24" customHeight="1" x14ac:dyDescent="0.3">
      <c r="A474" s="69" t="s">
        <v>10</v>
      </c>
      <c r="B474" s="69" t="s">
        <v>11</v>
      </c>
      <c r="C474" s="70" t="s">
        <v>12</v>
      </c>
      <c r="D474" s="69" t="s">
        <v>13</v>
      </c>
      <c r="E474" s="69" t="s">
        <v>14</v>
      </c>
      <c r="F474" s="71" t="s">
        <v>15</v>
      </c>
      <c r="G474" s="72" t="s">
        <v>16</v>
      </c>
      <c r="H474" s="69" t="s">
        <v>17</v>
      </c>
      <c r="I474" s="73" t="s">
        <v>18</v>
      </c>
      <c r="J474" s="74" t="s">
        <v>19</v>
      </c>
      <c r="K474" s="75" t="s">
        <v>20</v>
      </c>
      <c r="L474" s="74" t="s">
        <v>21</v>
      </c>
      <c r="M474" s="74" t="s">
        <v>22</v>
      </c>
      <c r="N474" s="74" t="s">
        <v>23</v>
      </c>
      <c r="O474" s="69" t="s">
        <v>24</v>
      </c>
      <c r="P474" s="70" t="s">
        <v>25</v>
      </c>
      <c r="Q474" s="74" t="s">
        <v>26</v>
      </c>
      <c r="R474" s="69" t="s">
        <v>27</v>
      </c>
    </row>
    <row r="475" spans="1:18" ht="15" customHeight="1" x14ac:dyDescent="0.3">
      <c r="A475" s="8" t="s">
        <v>28</v>
      </c>
      <c r="B475" s="8" t="s">
        <v>44</v>
      </c>
      <c r="C475" s="9">
        <v>0.22916666666666671</v>
      </c>
      <c r="D475" s="8" t="s">
        <v>30</v>
      </c>
      <c r="E475" s="10"/>
      <c r="F475" s="8" t="s">
        <v>31</v>
      </c>
      <c r="G475" s="240"/>
      <c r="H475" s="11" t="s">
        <v>44</v>
      </c>
      <c r="I475" s="12">
        <v>1.1900000000000001E-2</v>
      </c>
      <c r="J475" s="13">
        <v>2</v>
      </c>
      <c r="K475" s="14" t="s">
        <v>91</v>
      </c>
      <c r="L475" s="13">
        <v>2</v>
      </c>
      <c r="M475" s="13">
        <v>0</v>
      </c>
      <c r="N475" s="13">
        <v>0</v>
      </c>
      <c r="O475" s="15" t="s">
        <v>43</v>
      </c>
      <c r="P475" s="16">
        <v>0.22916666666666671</v>
      </c>
      <c r="Q475" s="13">
        <v>168</v>
      </c>
      <c r="R475" s="17" t="s">
        <v>265</v>
      </c>
    </row>
    <row r="476" spans="1:18" ht="15" customHeight="1" x14ac:dyDescent="0.3">
      <c r="A476" s="38" t="s">
        <v>28</v>
      </c>
      <c r="B476" s="38" t="s">
        <v>40</v>
      </c>
      <c r="C476" s="39">
        <v>0.55902777777777779</v>
      </c>
      <c r="D476" s="38" t="s">
        <v>30</v>
      </c>
      <c r="E476" s="40"/>
      <c r="F476" s="38" t="s">
        <v>31</v>
      </c>
      <c r="G476" s="241"/>
      <c r="H476" s="41" t="s">
        <v>40</v>
      </c>
      <c r="I476" s="42">
        <v>1.7899999999999999E-2</v>
      </c>
      <c r="J476" s="43">
        <v>3</v>
      </c>
      <c r="K476" s="44" t="s">
        <v>113</v>
      </c>
      <c r="L476" s="43">
        <v>3</v>
      </c>
      <c r="M476" s="43">
        <v>0</v>
      </c>
      <c r="N476" s="43">
        <v>0</v>
      </c>
      <c r="O476" s="45" t="s">
        <v>43</v>
      </c>
      <c r="P476" s="46">
        <v>0.55902777777777779</v>
      </c>
      <c r="Q476" s="43">
        <v>168</v>
      </c>
      <c r="R476" s="47" t="s">
        <v>236</v>
      </c>
    </row>
    <row r="477" spans="1:18" ht="15" customHeight="1" x14ac:dyDescent="0.3">
      <c r="A477" s="201" t="s">
        <v>28</v>
      </c>
      <c r="B477" s="201" t="s">
        <v>38</v>
      </c>
      <c r="C477" s="202">
        <v>0.61458333333333337</v>
      </c>
      <c r="D477" s="201" t="s">
        <v>30</v>
      </c>
      <c r="E477" s="203"/>
      <c r="F477" s="201" t="s">
        <v>31</v>
      </c>
      <c r="G477" s="241"/>
      <c r="H477" s="79" t="s">
        <v>38</v>
      </c>
      <c r="I477" s="80">
        <v>6.0000000000000001E-3</v>
      </c>
      <c r="J477" s="81">
        <v>1</v>
      </c>
      <c r="K477" s="82" t="s">
        <v>106</v>
      </c>
      <c r="L477" s="81">
        <v>1</v>
      </c>
      <c r="M477" s="81">
        <v>0</v>
      </c>
      <c r="N477" s="81">
        <v>0</v>
      </c>
      <c r="O477" s="83" t="s">
        <v>43</v>
      </c>
      <c r="P477" s="84">
        <v>0.61458333333333337</v>
      </c>
      <c r="Q477" s="81">
        <v>168</v>
      </c>
      <c r="R477" s="85" t="s">
        <v>114</v>
      </c>
    </row>
    <row r="478" spans="1:18" ht="15" customHeight="1" x14ac:dyDescent="0.3">
      <c r="A478" s="139" t="s">
        <v>28</v>
      </c>
      <c r="B478" s="139" t="s">
        <v>48</v>
      </c>
      <c r="C478" s="140">
        <v>0.72916666666666663</v>
      </c>
      <c r="D478" s="139" t="s">
        <v>30</v>
      </c>
      <c r="E478" s="141"/>
      <c r="F478" s="139" t="s">
        <v>108</v>
      </c>
      <c r="G478" s="241"/>
      <c r="H478" s="103" t="s">
        <v>48</v>
      </c>
      <c r="I478" s="159">
        <v>0</v>
      </c>
      <c r="J478" s="105">
        <v>0</v>
      </c>
      <c r="K478" s="106" t="s">
        <v>109</v>
      </c>
      <c r="L478" s="105">
        <v>0</v>
      </c>
      <c r="M478" s="105">
        <v>0</v>
      </c>
      <c r="N478" s="105">
        <v>0</v>
      </c>
      <c r="O478" s="107" t="s">
        <v>43</v>
      </c>
      <c r="P478" s="108">
        <v>0.72916666666666663</v>
      </c>
      <c r="Q478" s="105">
        <v>168</v>
      </c>
      <c r="R478" s="109" t="s">
        <v>109</v>
      </c>
    </row>
    <row r="479" spans="1:18" ht="15" customHeight="1" x14ac:dyDescent="0.3">
      <c r="A479" s="201" t="s">
        <v>28</v>
      </c>
      <c r="B479" s="201" t="s">
        <v>29</v>
      </c>
      <c r="C479" s="202">
        <v>0.93402777777777779</v>
      </c>
      <c r="D479" s="201" t="s">
        <v>30</v>
      </c>
      <c r="E479" s="203"/>
      <c r="F479" s="201" t="s">
        <v>31</v>
      </c>
      <c r="G479" s="241"/>
      <c r="H479" s="79" t="s">
        <v>29</v>
      </c>
      <c r="I479" s="80">
        <v>1.7899999999999999E-2</v>
      </c>
      <c r="J479" s="81">
        <v>3</v>
      </c>
      <c r="K479" s="82" t="s">
        <v>197</v>
      </c>
      <c r="L479" s="81">
        <v>3</v>
      </c>
      <c r="M479" s="81">
        <v>0</v>
      </c>
      <c r="N479" s="81">
        <v>0</v>
      </c>
      <c r="O479" s="83" t="s">
        <v>43</v>
      </c>
      <c r="P479" s="84">
        <v>0.93402777777777779</v>
      </c>
      <c r="Q479" s="81">
        <v>168</v>
      </c>
      <c r="R479" s="85" t="s">
        <v>127</v>
      </c>
    </row>
    <row r="480" spans="1:18" ht="15" customHeight="1" thickBot="1" x14ac:dyDescent="0.35">
      <c r="A480" s="171" t="s">
        <v>28</v>
      </c>
      <c r="B480" s="171" t="s">
        <v>35</v>
      </c>
      <c r="C480" s="172">
        <v>0.96875</v>
      </c>
      <c r="D480" s="171" t="s">
        <v>30</v>
      </c>
      <c r="E480" s="173"/>
      <c r="F480" s="171" t="s">
        <v>108</v>
      </c>
      <c r="G480" s="242"/>
      <c r="H480" s="174" t="s">
        <v>35</v>
      </c>
      <c r="I480" s="175">
        <v>0</v>
      </c>
      <c r="J480" s="176">
        <v>0</v>
      </c>
      <c r="K480" s="177" t="s">
        <v>109</v>
      </c>
      <c r="L480" s="176">
        <v>0</v>
      </c>
      <c r="M480" s="176">
        <v>0</v>
      </c>
      <c r="N480" s="176">
        <v>0</v>
      </c>
      <c r="O480" s="178" t="s">
        <v>43</v>
      </c>
      <c r="P480" s="179">
        <v>0.96875</v>
      </c>
      <c r="Q480" s="176">
        <v>168</v>
      </c>
      <c r="R480" s="180" t="s">
        <v>109</v>
      </c>
    </row>
    <row r="481" spans="1:18" ht="17.399999999999999" customHeight="1" thickBot="1" x14ac:dyDescent="0.35">
      <c r="A481" s="265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7"/>
    </row>
    <row r="482" spans="1:18" ht="22.05" customHeight="1" thickTop="1" thickBot="1" x14ac:dyDescent="0.35">
      <c r="A482" s="236" t="s">
        <v>8</v>
      </c>
      <c r="B482" s="234"/>
      <c r="C482" s="234"/>
      <c r="D482" s="234"/>
      <c r="E482" s="234"/>
      <c r="F482" s="235"/>
      <c r="G482" s="68">
        <v>46078</v>
      </c>
      <c r="H482" s="233" t="s">
        <v>9</v>
      </c>
      <c r="I482" s="234"/>
      <c r="J482" s="234"/>
      <c r="K482" s="234"/>
      <c r="L482" s="234"/>
      <c r="M482" s="234"/>
      <c r="N482" s="234"/>
      <c r="O482" s="234"/>
      <c r="P482" s="234"/>
      <c r="Q482" s="234"/>
      <c r="R482" s="235"/>
    </row>
    <row r="483" spans="1:18" ht="24" customHeight="1" x14ac:dyDescent="0.3">
      <c r="A483" s="69" t="s">
        <v>10</v>
      </c>
      <c r="B483" s="69" t="s">
        <v>11</v>
      </c>
      <c r="C483" s="70" t="s">
        <v>12</v>
      </c>
      <c r="D483" s="69" t="s">
        <v>13</v>
      </c>
      <c r="E483" s="69" t="s">
        <v>14</v>
      </c>
      <c r="F483" s="71" t="s">
        <v>15</v>
      </c>
      <c r="G483" s="72" t="s">
        <v>16</v>
      </c>
      <c r="H483" s="69" t="s">
        <v>17</v>
      </c>
      <c r="I483" s="73" t="s">
        <v>18</v>
      </c>
      <c r="J483" s="74" t="s">
        <v>19</v>
      </c>
      <c r="K483" s="75" t="s">
        <v>20</v>
      </c>
      <c r="L483" s="74" t="s">
        <v>21</v>
      </c>
      <c r="M483" s="74" t="s">
        <v>22</v>
      </c>
      <c r="N483" s="74" t="s">
        <v>23</v>
      </c>
      <c r="O483" s="69" t="s">
        <v>24</v>
      </c>
      <c r="P483" s="70" t="s">
        <v>25</v>
      </c>
      <c r="Q483" s="74" t="s">
        <v>26</v>
      </c>
      <c r="R483" s="69" t="s">
        <v>27</v>
      </c>
    </row>
    <row r="484" spans="1:18" ht="49.95" customHeight="1" x14ac:dyDescent="0.3">
      <c r="A484" s="154" t="s">
        <v>28</v>
      </c>
      <c r="B484" s="154" t="s">
        <v>35</v>
      </c>
      <c r="C484" s="155">
        <v>0.47916666666666669</v>
      </c>
      <c r="D484" s="154" t="s">
        <v>30</v>
      </c>
      <c r="E484" s="156"/>
      <c r="F484" s="154" t="s">
        <v>31</v>
      </c>
      <c r="G484" s="240"/>
      <c r="H484" s="31" t="s">
        <v>35</v>
      </c>
      <c r="I484" s="32">
        <v>4.7600000000000003E-2</v>
      </c>
      <c r="J484" s="33">
        <v>8</v>
      </c>
      <c r="K484" s="34" t="s">
        <v>106</v>
      </c>
      <c r="L484" s="33">
        <v>8</v>
      </c>
      <c r="M484" s="33">
        <v>0</v>
      </c>
      <c r="N484" s="33">
        <v>0</v>
      </c>
      <c r="O484" s="35" t="s">
        <v>89</v>
      </c>
      <c r="P484" s="36">
        <v>0.47916666666666669</v>
      </c>
      <c r="Q484" s="33">
        <v>168</v>
      </c>
      <c r="R484" s="37" t="s">
        <v>92</v>
      </c>
    </row>
    <row r="485" spans="1:18" ht="49.95" customHeight="1" x14ac:dyDescent="0.3">
      <c r="A485" s="48" t="s">
        <v>28</v>
      </c>
      <c r="B485" s="48" t="s">
        <v>48</v>
      </c>
      <c r="C485" s="49">
        <v>0.52083333333333337</v>
      </c>
      <c r="D485" s="48" t="s">
        <v>30</v>
      </c>
      <c r="E485" s="50"/>
      <c r="F485" s="48" t="s">
        <v>31</v>
      </c>
      <c r="G485" s="241"/>
      <c r="H485" s="51" t="s">
        <v>48</v>
      </c>
      <c r="I485" s="52">
        <v>6.5500000000000003E-2</v>
      </c>
      <c r="J485" s="53">
        <v>11</v>
      </c>
      <c r="K485" s="54" t="s">
        <v>166</v>
      </c>
      <c r="L485" s="53">
        <v>12</v>
      </c>
      <c r="M485" s="53">
        <v>0</v>
      </c>
      <c r="N485" s="53">
        <v>0</v>
      </c>
      <c r="O485" s="55" t="s">
        <v>102</v>
      </c>
      <c r="P485" s="56">
        <v>0.52083333333333337</v>
      </c>
      <c r="Q485" s="53">
        <v>168</v>
      </c>
      <c r="R485" s="57" t="s">
        <v>266</v>
      </c>
    </row>
    <row r="486" spans="1:18" ht="49.95" customHeight="1" thickBot="1" x14ac:dyDescent="0.35">
      <c r="A486" s="126" t="s">
        <v>28</v>
      </c>
      <c r="B486" s="126" t="s">
        <v>38</v>
      </c>
      <c r="C486" s="127">
        <v>0.61458333333333337</v>
      </c>
      <c r="D486" s="126" t="s">
        <v>30</v>
      </c>
      <c r="E486" s="128"/>
      <c r="F486" s="126" t="s">
        <v>31</v>
      </c>
      <c r="G486" s="242"/>
      <c r="H486" s="129" t="s">
        <v>38</v>
      </c>
      <c r="I486" s="225">
        <v>5.9499999999999997E-2</v>
      </c>
      <c r="J486" s="131">
        <v>10</v>
      </c>
      <c r="K486" s="132" t="s">
        <v>97</v>
      </c>
      <c r="L486" s="131">
        <v>10</v>
      </c>
      <c r="M486" s="131">
        <v>0</v>
      </c>
      <c r="N486" s="131">
        <v>0</v>
      </c>
      <c r="O486" s="133" t="s">
        <v>102</v>
      </c>
      <c r="P486" s="134">
        <v>0.61458333333333337</v>
      </c>
      <c r="Q486" s="131">
        <v>168</v>
      </c>
      <c r="R486" s="135" t="s">
        <v>132</v>
      </c>
    </row>
    <row r="487" spans="1:18" ht="17.399999999999999" customHeight="1" thickBot="1" x14ac:dyDescent="0.35">
      <c r="A487" s="265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7"/>
    </row>
    <row r="488" spans="1:18" ht="22.05" customHeight="1" thickTop="1" thickBot="1" x14ac:dyDescent="0.35">
      <c r="A488" s="236" t="s">
        <v>8</v>
      </c>
      <c r="B488" s="234"/>
      <c r="C488" s="234"/>
      <c r="D488" s="234"/>
      <c r="E488" s="234"/>
      <c r="F488" s="235"/>
      <c r="G488" s="68">
        <v>46079</v>
      </c>
      <c r="H488" s="233" t="s">
        <v>9</v>
      </c>
      <c r="I488" s="234"/>
      <c r="J488" s="234"/>
      <c r="K488" s="234"/>
      <c r="L488" s="234"/>
      <c r="M488" s="234"/>
      <c r="N488" s="234"/>
      <c r="O488" s="234"/>
      <c r="P488" s="234"/>
      <c r="Q488" s="234"/>
      <c r="R488" s="235"/>
    </row>
    <row r="489" spans="1:18" ht="24" customHeight="1" x14ac:dyDescent="0.3">
      <c r="A489" s="69" t="s">
        <v>10</v>
      </c>
      <c r="B489" s="69" t="s">
        <v>11</v>
      </c>
      <c r="C489" s="70" t="s">
        <v>12</v>
      </c>
      <c r="D489" s="69" t="s">
        <v>13</v>
      </c>
      <c r="E489" s="69" t="s">
        <v>14</v>
      </c>
      <c r="F489" s="71" t="s">
        <v>15</v>
      </c>
      <c r="G489" s="72" t="s">
        <v>16</v>
      </c>
      <c r="H489" s="69" t="s">
        <v>17</v>
      </c>
      <c r="I489" s="73" t="s">
        <v>18</v>
      </c>
      <c r="J489" s="74" t="s">
        <v>19</v>
      </c>
      <c r="K489" s="75" t="s">
        <v>20</v>
      </c>
      <c r="L489" s="74" t="s">
        <v>21</v>
      </c>
      <c r="M489" s="74" t="s">
        <v>22</v>
      </c>
      <c r="N489" s="74" t="s">
        <v>23</v>
      </c>
      <c r="O489" s="69" t="s">
        <v>24</v>
      </c>
      <c r="P489" s="70" t="s">
        <v>25</v>
      </c>
      <c r="Q489" s="74" t="s">
        <v>26</v>
      </c>
      <c r="R489" s="69" t="s">
        <v>27</v>
      </c>
    </row>
    <row r="490" spans="1:18" ht="15" customHeight="1" x14ac:dyDescent="0.3">
      <c r="A490" s="76" t="s">
        <v>28</v>
      </c>
      <c r="B490" s="76" t="s">
        <v>29</v>
      </c>
      <c r="C490" s="77">
        <v>4.8611111111111112E-2</v>
      </c>
      <c r="D490" s="76" t="s">
        <v>30</v>
      </c>
      <c r="E490" s="78"/>
      <c r="F490" s="76" t="s">
        <v>108</v>
      </c>
      <c r="G490" s="240"/>
      <c r="H490" s="79" t="s">
        <v>29</v>
      </c>
      <c r="I490" s="80">
        <v>0</v>
      </c>
      <c r="J490" s="81">
        <v>0</v>
      </c>
      <c r="K490" s="82" t="s">
        <v>109</v>
      </c>
      <c r="L490" s="81">
        <v>0</v>
      </c>
      <c r="M490" s="81">
        <v>0</v>
      </c>
      <c r="N490" s="81">
        <v>0</v>
      </c>
      <c r="O490" s="83" t="s">
        <v>80</v>
      </c>
      <c r="P490" s="84">
        <v>4.8611111111111112E-2</v>
      </c>
      <c r="Q490" s="81">
        <v>168</v>
      </c>
      <c r="R490" s="85" t="s">
        <v>109</v>
      </c>
    </row>
    <row r="491" spans="1:18" ht="15" customHeight="1" x14ac:dyDescent="0.3">
      <c r="A491" s="38" t="s">
        <v>28</v>
      </c>
      <c r="B491" s="38" t="s">
        <v>44</v>
      </c>
      <c r="C491" s="39">
        <v>0.1145833333333333</v>
      </c>
      <c r="D491" s="38" t="s">
        <v>30</v>
      </c>
      <c r="E491" s="40"/>
      <c r="F491" s="38" t="s">
        <v>31</v>
      </c>
      <c r="G491" s="241"/>
      <c r="H491" s="41" t="s">
        <v>44</v>
      </c>
      <c r="I491" s="42">
        <v>6.0000000000000001E-3</v>
      </c>
      <c r="J491" s="43">
        <v>1</v>
      </c>
      <c r="K491" s="44" t="s">
        <v>267</v>
      </c>
      <c r="L491" s="43">
        <v>1</v>
      </c>
      <c r="M491" s="43">
        <v>0</v>
      </c>
      <c r="N491" s="43">
        <v>0</v>
      </c>
      <c r="O491" s="45" t="s">
        <v>80</v>
      </c>
      <c r="P491" s="46">
        <v>0.1145833333333333</v>
      </c>
      <c r="Q491" s="43">
        <v>168</v>
      </c>
      <c r="R491" s="47" t="s">
        <v>114</v>
      </c>
    </row>
    <row r="492" spans="1:18" ht="15" customHeight="1" x14ac:dyDescent="0.3">
      <c r="A492" s="28" t="s">
        <v>28</v>
      </c>
      <c r="B492" s="28" t="s">
        <v>51</v>
      </c>
      <c r="C492" s="29">
        <v>0.25347222222222221</v>
      </c>
      <c r="D492" s="28" t="s">
        <v>30</v>
      </c>
      <c r="E492" s="30"/>
      <c r="F492" s="28" t="s">
        <v>49</v>
      </c>
      <c r="G492" s="241"/>
      <c r="H492" s="31" t="s">
        <v>51</v>
      </c>
      <c r="I492" s="157">
        <v>0.63690000000000002</v>
      </c>
      <c r="J492" s="33">
        <v>107</v>
      </c>
      <c r="K492" s="34" t="s">
        <v>106</v>
      </c>
      <c r="L492" s="33">
        <v>10</v>
      </c>
      <c r="M492" s="33">
        <v>0</v>
      </c>
      <c r="N492" s="33">
        <v>0</v>
      </c>
      <c r="O492" s="35" t="s">
        <v>186</v>
      </c>
      <c r="P492" s="36">
        <v>0.25347222222222221</v>
      </c>
      <c r="Q492" s="33">
        <v>168</v>
      </c>
      <c r="R492" s="37" t="s">
        <v>268</v>
      </c>
    </row>
    <row r="493" spans="1:18" ht="15" customHeight="1" x14ac:dyDescent="0.3">
      <c r="A493" s="86" t="s">
        <v>28</v>
      </c>
      <c r="B493" s="86" t="s">
        <v>35</v>
      </c>
      <c r="C493" s="87">
        <v>0.33333333333333331</v>
      </c>
      <c r="D493" s="86" t="s">
        <v>30</v>
      </c>
      <c r="E493" s="88"/>
      <c r="F493" s="86" t="s">
        <v>108</v>
      </c>
      <c r="G493" s="241"/>
      <c r="H493" s="11" t="s">
        <v>35</v>
      </c>
      <c r="I493" s="12">
        <v>0</v>
      </c>
      <c r="J493" s="13">
        <v>0</v>
      </c>
      <c r="K493" s="14" t="s">
        <v>109</v>
      </c>
      <c r="L493" s="13">
        <v>0</v>
      </c>
      <c r="M493" s="13">
        <v>0</v>
      </c>
      <c r="N493" s="13">
        <v>0</v>
      </c>
      <c r="O493" s="15" t="s">
        <v>80</v>
      </c>
      <c r="P493" s="16">
        <v>0.33333333333333331</v>
      </c>
      <c r="Q493" s="13">
        <v>168</v>
      </c>
      <c r="R493" s="17" t="s">
        <v>109</v>
      </c>
    </row>
    <row r="494" spans="1:18" ht="15" customHeight="1" x14ac:dyDescent="0.3">
      <c r="A494" s="28" t="s">
        <v>28</v>
      </c>
      <c r="B494" s="28" t="s">
        <v>101</v>
      </c>
      <c r="C494" s="29">
        <v>0.36458333333333331</v>
      </c>
      <c r="D494" s="28" t="s">
        <v>30</v>
      </c>
      <c r="E494" s="30"/>
      <c r="F494" s="28" t="s">
        <v>108</v>
      </c>
      <c r="G494" s="241"/>
      <c r="H494" s="31" t="s">
        <v>101</v>
      </c>
      <c r="I494" s="32">
        <v>0</v>
      </c>
      <c r="J494" s="33">
        <v>0</v>
      </c>
      <c r="K494" s="34" t="s">
        <v>109</v>
      </c>
      <c r="L494" s="33">
        <v>0</v>
      </c>
      <c r="M494" s="33">
        <v>0</v>
      </c>
      <c r="N494" s="33">
        <v>0</v>
      </c>
      <c r="O494" s="35" t="s">
        <v>102</v>
      </c>
      <c r="P494" s="36">
        <v>0.36458333333333331</v>
      </c>
      <c r="Q494" s="33">
        <v>168</v>
      </c>
      <c r="R494" s="37" t="s">
        <v>109</v>
      </c>
    </row>
    <row r="495" spans="1:18" ht="15" customHeight="1" x14ac:dyDescent="0.3">
      <c r="A495" s="143" t="s">
        <v>28</v>
      </c>
      <c r="B495" s="143" t="s">
        <v>38</v>
      </c>
      <c r="C495" s="144">
        <v>0.58333333333333337</v>
      </c>
      <c r="D495" s="143" t="s">
        <v>30</v>
      </c>
      <c r="E495" s="145"/>
      <c r="F495" s="143" t="s">
        <v>31</v>
      </c>
      <c r="G495" s="241"/>
      <c r="H495" s="146" t="s">
        <v>38</v>
      </c>
      <c r="I495" s="147">
        <v>1.1900000000000001E-2</v>
      </c>
      <c r="J495" s="148">
        <v>2</v>
      </c>
      <c r="K495" s="149" t="s">
        <v>94</v>
      </c>
      <c r="L495" s="148">
        <v>2</v>
      </c>
      <c r="M495" s="148">
        <v>0</v>
      </c>
      <c r="N495" s="148">
        <v>0</v>
      </c>
      <c r="O495" s="150" t="s">
        <v>92</v>
      </c>
      <c r="P495" s="151">
        <v>0.58333333333333337</v>
      </c>
      <c r="Q495" s="148">
        <v>168</v>
      </c>
      <c r="R495" s="152" t="s">
        <v>89</v>
      </c>
    </row>
    <row r="496" spans="1:18" ht="15" customHeight="1" thickBot="1" x14ac:dyDescent="0.35">
      <c r="A496" s="207" t="s">
        <v>28</v>
      </c>
      <c r="B496" s="207" t="s">
        <v>40</v>
      </c>
      <c r="C496" s="208">
        <v>0.73958333333333337</v>
      </c>
      <c r="D496" s="207" t="s">
        <v>30</v>
      </c>
      <c r="E496" s="209"/>
      <c r="F496" s="207" t="s">
        <v>31</v>
      </c>
      <c r="G496" s="242"/>
      <c r="H496" s="210" t="s">
        <v>40</v>
      </c>
      <c r="I496" s="223">
        <v>2.98E-2</v>
      </c>
      <c r="J496" s="212">
        <v>5</v>
      </c>
      <c r="K496" s="213" t="s">
        <v>174</v>
      </c>
      <c r="L496" s="212">
        <v>5</v>
      </c>
      <c r="M496" s="212">
        <v>0</v>
      </c>
      <c r="N496" s="212">
        <v>0</v>
      </c>
      <c r="O496" s="214" t="s">
        <v>186</v>
      </c>
      <c r="P496" s="215">
        <v>0.73958333333333337</v>
      </c>
      <c r="Q496" s="212">
        <v>168</v>
      </c>
      <c r="R496" s="216" t="s">
        <v>186</v>
      </c>
    </row>
    <row r="497" spans="1:18" ht="17.399999999999999" customHeight="1" thickBot="1" x14ac:dyDescent="0.35">
      <c r="A497" s="265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7"/>
    </row>
    <row r="498" spans="1:18" ht="22.05" customHeight="1" thickTop="1" thickBot="1" x14ac:dyDescent="0.35">
      <c r="A498" s="236" t="s">
        <v>8</v>
      </c>
      <c r="B498" s="234"/>
      <c r="C498" s="234"/>
      <c r="D498" s="234"/>
      <c r="E498" s="234"/>
      <c r="F498" s="235"/>
      <c r="G498" s="68">
        <v>46080</v>
      </c>
      <c r="H498" s="233" t="s">
        <v>9</v>
      </c>
      <c r="I498" s="234"/>
      <c r="J498" s="234"/>
      <c r="K498" s="234"/>
      <c r="L498" s="234"/>
      <c r="M498" s="234"/>
      <c r="N498" s="234"/>
      <c r="O498" s="234"/>
      <c r="P498" s="234"/>
      <c r="Q498" s="234"/>
      <c r="R498" s="235"/>
    </row>
    <row r="499" spans="1:18" ht="24" customHeight="1" x14ac:dyDescent="0.3">
      <c r="A499" s="69" t="s">
        <v>10</v>
      </c>
      <c r="B499" s="69" t="s">
        <v>11</v>
      </c>
      <c r="C499" s="70" t="s">
        <v>12</v>
      </c>
      <c r="D499" s="69" t="s">
        <v>13</v>
      </c>
      <c r="E499" s="69" t="s">
        <v>14</v>
      </c>
      <c r="F499" s="71" t="s">
        <v>15</v>
      </c>
      <c r="G499" s="72" t="s">
        <v>16</v>
      </c>
      <c r="H499" s="69" t="s">
        <v>17</v>
      </c>
      <c r="I499" s="73" t="s">
        <v>18</v>
      </c>
      <c r="J499" s="74" t="s">
        <v>19</v>
      </c>
      <c r="K499" s="75" t="s">
        <v>20</v>
      </c>
      <c r="L499" s="74" t="s">
        <v>21</v>
      </c>
      <c r="M499" s="74" t="s">
        <v>22</v>
      </c>
      <c r="N499" s="74" t="s">
        <v>23</v>
      </c>
      <c r="O499" s="69" t="s">
        <v>24</v>
      </c>
      <c r="P499" s="70" t="s">
        <v>25</v>
      </c>
      <c r="Q499" s="74" t="s">
        <v>26</v>
      </c>
      <c r="R499" s="69" t="s">
        <v>27</v>
      </c>
    </row>
    <row r="500" spans="1:18" ht="15" customHeight="1" x14ac:dyDescent="0.3">
      <c r="A500" s="8" t="s">
        <v>28</v>
      </c>
      <c r="B500" s="8" t="s">
        <v>29</v>
      </c>
      <c r="C500" s="9">
        <v>0.1145833333333333</v>
      </c>
      <c r="D500" s="8" t="s">
        <v>30</v>
      </c>
      <c r="E500" s="10"/>
      <c r="F500" s="8" t="s">
        <v>31</v>
      </c>
      <c r="G500" s="240"/>
      <c r="H500" s="11" t="s">
        <v>29</v>
      </c>
      <c r="I500" s="12">
        <v>2.3800000000000002E-2</v>
      </c>
      <c r="J500" s="13">
        <v>4</v>
      </c>
      <c r="K500" s="14" t="s">
        <v>183</v>
      </c>
      <c r="L500" s="13">
        <v>4</v>
      </c>
      <c r="M500" s="13">
        <v>0</v>
      </c>
      <c r="N500" s="13">
        <v>0</v>
      </c>
      <c r="O500" s="15" t="s">
        <v>87</v>
      </c>
      <c r="P500" s="16">
        <v>0.1145833333333333</v>
      </c>
      <c r="Q500" s="13">
        <v>168</v>
      </c>
      <c r="R500" s="17" t="s">
        <v>133</v>
      </c>
    </row>
    <row r="501" spans="1:18" ht="15" customHeight="1" x14ac:dyDescent="0.3">
      <c r="A501" s="38" t="s">
        <v>28</v>
      </c>
      <c r="B501" s="38" t="s">
        <v>35</v>
      </c>
      <c r="C501" s="39">
        <v>0.31944444444444448</v>
      </c>
      <c r="D501" s="38" t="s">
        <v>30</v>
      </c>
      <c r="E501" s="40"/>
      <c r="F501" s="38" t="s">
        <v>108</v>
      </c>
      <c r="G501" s="241"/>
      <c r="H501" s="41" t="s">
        <v>35</v>
      </c>
      <c r="I501" s="42">
        <v>0</v>
      </c>
      <c r="J501" s="43">
        <v>0</v>
      </c>
      <c r="K501" s="44" t="s">
        <v>109</v>
      </c>
      <c r="L501" s="43">
        <v>0</v>
      </c>
      <c r="M501" s="43">
        <v>0</v>
      </c>
      <c r="N501" s="43">
        <v>0</v>
      </c>
      <c r="O501" s="45" t="s">
        <v>80</v>
      </c>
      <c r="P501" s="46">
        <v>0.31944444444444448</v>
      </c>
      <c r="Q501" s="43">
        <v>168</v>
      </c>
      <c r="R501" s="47" t="s">
        <v>109</v>
      </c>
    </row>
    <row r="502" spans="1:18" ht="15" customHeight="1" x14ac:dyDescent="0.3">
      <c r="A502" s="86" t="s">
        <v>28</v>
      </c>
      <c r="B502" s="86" t="s">
        <v>38</v>
      </c>
      <c r="C502" s="87">
        <v>0.45833333333333331</v>
      </c>
      <c r="D502" s="86" t="s">
        <v>30</v>
      </c>
      <c r="E502" s="88"/>
      <c r="F502" s="86" t="s">
        <v>31</v>
      </c>
      <c r="G502" s="241"/>
      <c r="H502" s="11" t="s">
        <v>38</v>
      </c>
      <c r="I502" s="12">
        <v>1.1900000000000001E-2</v>
      </c>
      <c r="J502" s="13">
        <v>2</v>
      </c>
      <c r="K502" s="14" t="s">
        <v>183</v>
      </c>
      <c r="L502" s="13">
        <v>2</v>
      </c>
      <c r="M502" s="13">
        <v>0</v>
      </c>
      <c r="N502" s="13">
        <v>0</v>
      </c>
      <c r="O502" s="15" t="s">
        <v>92</v>
      </c>
      <c r="P502" s="16">
        <v>0.45833333333333331</v>
      </c>
      <c r="Q502" s="13">
        <v>168</v>
      </c>
      <c r="R502" s="17" t="s">
        <v>89</v>
      </c>
    </row>
    <row r="503" spans="1:18" ht="15" customHeight="1" x14ac:dyDescent="0.3">
      <c r="A503" s="18" t="s">
        <v>28</v>
      </c>
      <c r="B503" s="18" t="s">
        <v>40</v>
      </c>
      <c r="C503" s="19">
        <v>0.61458333333333337</v>
      </c>
      <c r="D503" s="18" t="s">
        <v>30</v>
      </c>
      <c r="E503" s="20"/>
      <c r="F503" s="18" t="s">
        <v>31</v>
      </c>
      <c r="G503" s="241"/>
      <c r="H503" s="21" t="s">
        <v>40</v>
      </c>
      <c r="I503" s="22">
        <v>2.98E-2</v>
      </c>
      <c r="J503" s="23">
        <v>5</v>
      </c>
      <c r="K503" s="24" t="s">
        <v>97</v>
      </c>
      <c r="L503" s="23">
        <v>5</v>
      </c>
      <c r="M503" s="23">
        <v>0</v>
      </c>
      <c r="N503" s="23">
        <v>0</v>
      </c>
      <c r="O503" s="25" t="s">
        <v>186</v>
      </c>
      <c r="P503" s="26">
        <v>0.61458333333333337</v>
      </c>
      <c r="Q503" s="23">
        <v>168</v>
      </c>
      <c r="R503" s="27" t="s">
        <v>186</v>
      </c>
    </row>
    <row r="504" spans="1:18" ht="15" customHeight="1" x14ac:dyDescent="0.3">
      <c r="A504" s="86" t="s">
        <v>28</v>
      </c>
      <c r="B504" s="86" t="s">
        <v>44</v>
      </c>
      <c r="C504" s="87">
        <v>0.73611111111111116</v>
      </c>
      <c r="D504" s="86" t="s">
        <v>30</v>
      </c>
      <c r="E504" s="88"/>
      <c r="F504" s="86" t="s">
        <v>31</v>
      </c>
      <c r="G504" s="241"/>
      <c r="H504" s="11" t="s">
        <v>44</v>
      </c>
      <c r="I504" s="12">
        <v>4.1700000000000001E-2</v>
      </c>
      <c r="J504" s="13">
        <v>7</v>
      </c>
      <c r="K504" s="14" t="s">
        <v>106</v>
      </c>
      <c r="L504" s="13">
        <v>7</v>
      </c>
      <c r="M504" s="13">
        <v>0</v>
      </c>
      <c r="N504" s="13">
        <v>0</v>
      </c>
      <c r="O504" s="15" t="s">
        <v>127</v>
      </c>
      <c r="P504" s="16">
        <v>0.73611111111111116</v>
      </c>
      <c r="Q504" s="13">
        <v>168</v>
      </c>
      <c r="R504" s="17" t="s">
        <v>95</v>
      </c>
    </row>
    <row r="505" spans="1:18" ht="15" customHeight="1" thickBot="1" x14ac:dyDescent="0.35">
      <c r="A505" s="207" t="s">
        <v>28</v>
      </c>
      <c r="B505" s="207" t="s">
        <v>48</v>
      </c>
      <c r="C505" s="208">
        <v>0.9375</v>
      </c>
      <c r="D505" s="207" t="s">
        <v>30</v>
      </c>
      <c r="E505" s="209"/>
      <c r="F505" s="207" t="s">
        <v>31</v>
      </c>
      <c r="G505" s="242"/>
      <c r="H505" s="210" t="s">
        <v>48</v>
      </c>
      <c r="I505" s="223">
        <v>8.9300000000000004E-2</v>
      </c>
      <c r="J505" s="212">
        <v>15</v>
      </c>
      <c r="K505" s="213" t="s">
        <v>206</v>
      </c>
      <c r="L505" s="212">
        <v>15</v>
      </c>
      <c r="M505" s="212">
        <v>0</v>
      </c>
      <c r="N505" s="212">
        <v>0</v>
      </c>
      <c r="O505" s="214" t="s">
        <v>144</v>
      </c>
      <c r="P505" s="215">
        <v>0.9375</v>
      </c>
      <c r="Q505" s="212">
        <v>168</v>
      </c>
      <c r="R505" s="216" t="s">
        <v>145</v>
      </c>
    </row>
    <row r="506" spans="1:18" ht="17.399999999999999" customHeight="1" thickBot="1" x14ac:dyDescent="0.35">
      <c r="A506" s="265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7"/>
    </row>
    <row r="507" spans="1:18" ht="22.05" customHeight="1" thickTop="1" thickBot="1" x14ac:dyDescent="0.35">
      <c r="A507" s="236" t="s">
        <v>8</v>
      </c>
      <c r="B507" s="234"/>
      <c r="C507" s="234"/>
      <c r="D507" s="234"/>
      <c r="E507" s="234"/>
      <c r="F507" s="235"/>
      <c r="G507" s="68">
        <v>46081</v>
      </c>
      <c r="H507" s="233" t="s">
        <v>9</v>
      </c>
      <c r="I507" s="234"/>
      <c r="J507" s="234"/>
      <c r="K507" s="234"/>
      <c r="L507" s="234"/>
      <c r="M507" s="234"/>
      <c r="N507" s="234"/>
      <c r="O507" s="234"/>
      <c r="P507" s="234"/>
      <c r="Q507" s="234"/>
      <c r="R507" s="235"/>
    </row>
    <row r="508" spans="1:18" ht="24" customHeight="1" x14ac:dyDescent="0.3">
      <c r="A508" s="69" t="s">
        <v>10</v>
      </c>
      <c r="B508" s="69" t="s">
        <v>11</v>
      </c>
      <c r="C508" s="70" t="s">
        <v>12</v>
      </c>
      <c r="D508" s="69" t="s">
        <v>13</v>
      </c>
      <c r="E508" s="69" t="s">
        <v>14</v>
      </c>
      <c r="F508" s="71" t="s">
        <v>15</v>
      </c>
      <c r="G508" s="72" t="s">
        <v>16</v>
      </c>
      <c r="H508" s="69" t="s">
        <v>17</v>
      </c>
      <c r="I508" s="73" t="s">
        <v>18</v>
      </c>
      <c r="J508" s="74" t="s">
        <v>19</v>
      </c>
      <c r="K508" s="75" t="s">
        <v>20</v>
      </c>
      <c r="L508" s="74" t="s">
        <v>21</v>
      </c>
      <c r="M508" s="74" t="s">
        <v>22</v>
      </c>
      <c r="N508" s="74" t="s">
        <v>23</v>
      </c>
      <c r="O508" s="69" t="s">
        <v>24</v>
      </c>
      <c r="P508" s="70" t="s">
        <v>25</v>
      </c>
      <c r="Q508" s="74" t="s">
        <v>26</v>
      </c>
      <c r="R508" s="69" t="s">
        <v>27</v>
      </c>
    </row>
    <row r="509" spans="1:18" ht="49.95" customHeight="1" x14ac:dyDescent="0.3">
      <c r="A509" s="122" t="s">
        <v>28</v>
      </c>
      <c r="B509" s="122" t="s">
        <v>51</v>
      </c>
      <c r="C509" s="123">
        <v>0.2361111111111111</v>
      </c>
      <c r="D509" s="122" t="s">
        <v>30</v>
      </c>
      <c r="E509" s="124"/>
      <c r="F509" s="122" t="s">
        <v>31</v>
      </c>
      <c r="G509" s="243"/>
      <c r="H509" s="41" t="s">
        <v>51</v>
      </c>
      <c r="I509" s="42">
        <v>7.4700000000000003E-2</v>
      </c>
      <c r="J509" s="43">
        <v>13</v>
      </c>
      <c r="K509" s="44" t="s">
        <v>97</v>
      </c>
      <c r="L509" s="43">
        <v>13</v>
      </c>
      <c r="M509" s="43">
        <v>0</v>
      </c>
      <c r="N509" s="43">
        <v>0</v>
      </c>
      <c r="O509" s="45" t="s">
        <v>102</v>
      </c>
      <c r="P509" s="46">
        <v>0.2361111111111111</v>
      </c>
      <c r="Q509" s="43">
        <v>174</v>
      </c>
      <c r="R509" s="47" t="s">
        <v>213</v>
      </c>
    </row>
    <row r="510" spans="1:18" ht="49.95" customHeight="1" x14ac:dyDescent="0.3">
      <c r="A510" s="48" t="s">
        <v>28</v>
      </c>
      <c r="B510" s="48" t="s">
        <v>35</v>
      </c>
      <c r="C510" s="49">
        <v>0.33333333333333331</v>
      </c>
      <c r="D510" s="48" t="s">
        <v>30</v>
      </c>
      <c r="E510" s="50"/>
      <c r="F510" s="48" t="s">
        <v>31</v>
      </c>
      <c r="G510" s="241"/>
      <c r="H510" s="51" t="s">
        <v>35</v>
      </c>
      <c r="I510" s="52">
        <v>3.5700000000000003E-2</v>
      </c>
      <c r="J510" s="53">
        <v>6</v>
      </c>
      <c r="K510" s="54" t="s">
        <v>94</v>
      </c>
      <c r="L510" s="53">
        <v>6</v>
      </c>
      <c r="M510" s="53">
        <v>0</v>
      </c>
      <c r="N510" s="53">
        <v>0</v>
      </c>
      <c r="O510" s="55" t="s">
        <v>133</v>
      </c>
      <c r="P510" s="56">
        <v>0.33333333333333331</v>
      </c>
      <c r="Q510" s="53">
        <v>168</v>
      </c>
      <c r="R510" s="57" t="s">
        <v>87</v>
      </c>
    </row>
    <row r="511" spans="1:18" ht="49.95" customHeight="1" thickBot="1" x14ac:dyDescent="0.35">
      <c r="A511" s="126" t="s">
        <v>28</v>
      </c>
      <c r="B511" s="126" t="s">
        <v>38</v>
      </c>
      <c r="C511" s="127">
        <v>0.68055555555555547</v>
      </c>
      <c r="D511" s="126" t="s">
        <v>30</v>
      </c>
      <c r="E511" s="128"/>
      <c r="F511" s="126" t="s">
        <v>31</v>
      </c>
      <c r="G511" s="242"/>
      <c r="H511" s="129" t="s">
        <v>38</v>
      </c>
      <c r="I511" s="225">
        <v>0.1012</v>
      </c>
      <c r="J511" s="131">
        <v>17</v>
      </c>
      <c r="K511" s="132" t="s">
        <v>113</v>
      </c>
      <c r="L511" s="131">
        <v>18</v>
      </c>
      <c r="M511" s="131">
        <v>0</v>
      </c>
      <c r="N511" s="131">
        <v>0</v>
      </c>
      <c r="O511" s="133" t="s">
        <v>269</v>
      </c>
      <c r="P511" s="134">
        <v>0.68055555555555547</v>
      </c>
      <c r="Q511" s="131">
        <v>168</v>
      </c>
      <c r="R511" s="135" t="s">
        <v>270</v>
      </c>
    </row>
    <row r="512" spans="1:18" ht="17.399999999999999" customHeight="1" thickBot="1" x14ac:dyDescent="0.35">
      <c r="A512" s="265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7"/>
    </row>
    <row r="513" spans="1:18" ht="22.05" customHeight="1" thickTop="1" thickBot="1" x14ac:dyDescent="0.35">
      <c r="A513" s="236" t="s">
        <v>8</v>
      </c>
      <c r="B513" s="234"/>
      <c r="C513" s="234"/>
      <c r="D513" s="234"/>
      <c r="E513" s="234"/>
      <c r="F513" s="235"/>
      <c r="G513" s="68">
        <v>46082</v>
      </c>
      <c r="H513" s="233" t="s">
        <v>9</v>
      </c>
      <c r="I513" s="234"/>
      <c r="J513" s="234"/>
      <c r="K513" s="234"/>
      <c r="L513" s="234"/>
      <c r="M513" s="234"/>
      <c r="N513" s="234"/>
      <c r="O513" s="234"/>
      <c r="P513" s="234"/>
      <c r="Q513" s="234"/>
      <c r="R513" s="235"/>
    </row>
    <row r="514" spans="1:18" ht="24" customHeight="1" x14ac:dyDescent="0.3">
      <c r="A514" s="69" t="s">
        <v>10</v>
      </c>
      <c r="B514" s="69" t="s">
        <v>11</v>
      </c>
      <c r="C514" s="70" t="s">
        <v>12</v>
      </c>
      <c r="D514" s="69" t="s">
        <v>13</v>
      </c>
      <c r="E514" s="69" t="s">
        <v>14</v>
      </c>
      <c r="F514" s="71" t="s">
        <v>15</v>
      </c>
      <c r="G514" s="72" t="s">
        <v>16</v>
      </c>
      <c r="H514" s="69" t="s">
        <v>17</v>
      </c>
      <c r="I514" s="73" t="s">
        <v>18</v>
      </c>
      <c r="J514" s="74" t="s">
        <v>19</v>
      </c>
      <c r="K514" s="75" t="s">
        <v>20</v>
      </c>
      <c r="L514" s="74" t="s">
        <v>21</v>
      </c>
      <c r="M514" s="74" t="s">
        <v>22</v>
      </c>
      <c r="N514" s="74" t="s">
        <v>23</v>
      </c>
      <c r="O514" s="69" t="s">
        <v>24</v>
      </c>
      <c r="P514" s="70" t="s">
        <v>25</v>
      </c>
      <c r="Q514" s="74" t="s">
        <v>26</v>
      </c>
      <c r="R514" s="69" t="s">
        <v>27</v>
      </c>
    </row>
    <row r="515" spans="1:18" ht="49.95" customHeight="1" x14ac:dyDescent="0.3">
      <c r="A515" s="154" t="s">
        <v>28</v>
      </c>
      <c r="B515" s="154" t="s">
        <v>29</v>
      </c>
      <c r="C515" s="155">
        <v>8.3333333333333329E-2</v>
      </c>
      <c r="D515" s="154" t="s">
        <v>30</v>
      </c>
      <c r="E515" s="156"/>
      <c r="F515" s="154" t="s">
        <v>31</v>
      </c>
      <c r="G515" s="243"/>
      <c r="H515" s="31" t="s">
        <v>29</v>
      </c>
      <c r="I515" s="32">
        <v>0.14879999999999999</v>
      </c>
      <c r="J515" s="33">
        <v>25</v>
      </c>
      <c r="K515" s="34" t="s">
        <v>251</v>
      </c>
      <c r="L515" s="33">
        <v>1</v>
      </c>
      <c r="M515" s="33">
        <v>0</v>
      </c>
      <c r="N515" s="33">
        <v>0</v>
      </c>
      <c r="O515" s="35" t="s">
        <v>80</v>
      </c>
      <c r="P515" s="36">
        <v>8.3333333333333329E-2</v>
      </c>
      <c r="Q515" s="33">
        <v>168</v>
      </c>
      <c r="R515" s="37" t="s">
        <v>252</v>
      </c>
    </row>
    <row r="516" spans="1:18" ht="49.95" customHeight="1" x14ac:dyDescent="0.3">
      <c r="A516" s="18" t="s">
        <v>28</v>
      </c>
      <c r="B516" s="18" t="s">
        <v>35</v>
      </c>
      <c r="C516" s="19">
        <v>0.31944444444444448</v>
      </c>
      <c r="D516" s="18" t="s">
        <v>30</v>
      </c>
      <c r="E516" s="20"/>
      <c r="F516" s="18" t="s">
        <v>31</v>
      </c>
      <c r="G516" s="241"/>
      <c r="H516" s="21" t="s">
        <v>35</v>
      </c>
      <c r="I516" s="22">
        <v>1.1900000000000001E-2</v>
      </c>
      <c r="J516" s="23">
        <v>2</v>
      </c>
      <c r="K516" s="24" t="s">
        <v>205</v>
      </c>
      <c r="L516" s="23">
        <v>2</v>
      </c>
      <c r="M516" s="23">
        <v>0</v>
      </c>
      <c r="N516" s="23">
        <v>0</v>
      </c>
      <c r="O516" s="25" t="s">
        <v>92</v>
      </c>
      <c r="P516" s="26">
        <v>0.31944444444444448</v>
      </c>
      <c r="Q516" s="23">
        <v>168</v>
      </c>
      <c r="R516" s="27" t="s">
        <v>89</v>
      </c>
    </row>
    <row r="517" spans="1:18" ht="49.95" customHeight="1" x14ac:dyDescent="0.3">
      <c r="A517" s="201" t="s">
        <v>28</v>
      </c>
      <c r="B517" s="201" t="s">
        <v>101</v>
      </c>
      <c r="C517" s="202">
        <v>0.33333333333333331</v>
      </c>
      <c r="D517" s="201" t="s">
        <v>30</v>
      </c>
      <c r="E517" s="203"/>
      <c r="F517" s="201" t="s">
        <v>108</v>
      </c>
      <c r="G517" s="241"/>
      <c r="H517" s="79" t="s">
        <v>101</v>
      </c>
      <c r="I517" s="80">
        <v>0</v>
      </c>
      <c r="J517" s="81">
        <v>0</v>
      </c>
      <c r="K517" s="82" t="s">
        <v>109</v>
      </c>
      <c r="L517" s="81">
        <v>0</v>
      </c>
      <c r="M517" s="81">
        <v>0</v>
      </c>
      <c r="N517" s="81">
        <v>0</v>
      </c>
      <c r="O517" s="83" t="s">
        <v>102</v>
      </c>
      <c r="P517" s="84">
        <v>0.33333333333333331</v>
      </c>
      <c r="Q517" s="81">
        <v>168</v>
      </c>
      <c r="R517" s="85" t="s">
        <v>109</v>
      </c>
    </row>
    <row r="518" spans="1:18" ht="49.95" customHeight="1" x14ac:dyDescent="0.3">
      <c r="A518" s="86" t="s">
        <v>28</v>
      </c>
      <c r="B518" s="86" t="s">
        <v>48</v>
      </c>
      <c r="C518" s="87">
        <v>0.51041666666666663</v>
      </c>
      <c r="D518" s="86" t="s">
        <v>30</v>
      </c>
      <c r="E518" s="88"/>
      <c r="F518" s="86" t="s">
        <v>31</v>
      </c>
      <c r="G518" s="241"/>
      <c r="H518" s="11" t="s">
        <v>48</v>
      </c>
      <c r="I518" s="12">
        <v>4.1700000000000001E-2</v>
      </c>
      <c r="J518" s="13">
        <v>7</v>
      </c>
      <c r="K518" s="14" t="s">
        <v>97</v>
      </c>
      <c r="L518" s="13">
        <v>8</v>
      </c>
      <c r="M518" s="13">
        <v>0</v>
      </c>
      <c r="N518" s="13">
        <v>0</v>
      </c>
      <c r="O518" s="15" t="s">
        <v>127</v>
      </c>
      <c r="P518" s="16">
        <v>0.51041666666666663</v>
      </c>
      <c r="Q518" s="13">
        <v>168</v>
      </c>
      <c r="R518" s="17" t="s">
        <v>95</v>
      </c>
    </row>
    <row r="519" spans="1:18" ht="49.95" customHeight="1" x14ac:dyDescent="0.3">
      <c r="A519" s="161" t="s">
        <v>28</v>
      </c>
      <c r="B519" s="161" t="s">
        <v>38</v>
      </c>
      <c r="C519" s="162">
        <v>0.63194444444444442</v>
      </c>
      <c r="D519" s="161" t="s">
        <v>30</v>
      </c>
      <c r="E519" s="163"/>
      <c r="F519" s="161" t="s">
        <v>31</v>
      </c>
      <c r="G519" s="242"/>
      <c r="H519" s="164" t="s">
        <v>38</v>
      </c>
      <c r="I519" s="224">
        <v>6.5500000000000003E-2</v>
      </c>
      <c r="J519" s="166">
        <v>11</v>
      </c>
      <c r="K519" s="167" t="s">
        <v>91</v>
      </c>
      <c r="L519" s="166">
        <v>11</v>
      </c>
      <c r="M519" s="166">
        <v>0</v>
      </c>
      <c r="N519" s="166">
        <v>0</v>
      </c>
      <c r="O519" s="168" t="s">
        <v>102</v>
      </c>
      <c r="P519" s="169">
        <v>0.63194444444444442</v>
      </c>
      <c r="Q519" s="166">
        <v>168</v>
      </c>
      <c r="R519" s="170" t="s">
        <v>218</v>
      </c>
    </row>
  </sheetData>
  <mergeCells count="270">
    <mergeCell ref="H4:R4"/>
    <mergeCell ref="G145:G150"/>
    <mergeCell ref="H122:R122"/>
    <mergeCell ref="G154:G156"/>
    <mergeCell ref="A113:F113"/>
    <mergeCell ref="A3:R3"/>
    <mergeCell ref="G44:G46"/>
    <mergeCell ref="G399:G401"/>
    <mergeCell ref="G390:G395"/>
    <mergeCell ref="G325:G331"/>
    <mergeCell ref="A47:R47"/>
    <mergeCell ref="H177:R177"/>
    <mergeCell ref="G99:G101"/>
    <mergeCell ref="H191:R191"/>
    <mergeCell ref="H73:R73"/>
    <mergeCell ref="G380:G386"/>
    <mergeCell ref="A4:F4"/>
    <mergeCell ref="G130:G134"/>
    <mergeCell ref="H88:R88"/>
    <mergeCell ref="G295:G299"/>
    <mergeCell ref="A72:R72"/>
    <mergeCell ref="A121:R121"/>
    <mergeCell ref="G350:G354"/>
    <mergeCell ref="A67:F67"/>
    <mergeCell ref="H513:R513"/>
    <mergeCell ref="A472:R472"/>
    <mergeCell ref="A410:R410"/>
    <mergeCell ref="A378:F378"/>
    <mergeCell ref="A418:F418"/>
    <mergeCell ref="A356:F356"/>
    <mergeCell ref="A66:R66"/>
    <mergeCell ref="H348:R348"/>
    <mergeCell ref="H363:R363"/>
    <mergeCell ref="A487:R487"/>
    <mergeCell ref="G413:G416"/>
    <mergeCell ref="G445:G450"/>
    <mergeCell ref="G454:G456"/>
    <mergeCell ref="G310:G315"/>
    <mergeCell ref="H388:R388"/>
    <mergeCell ref="A347:R347"/>
    <mergeCell ref="G405:G409"/>
    <mergeCell ref="G193:G196"/>
    <mergeCell ref="G240:G244"/>
    <mergeCell ref="H308:R308"/>
    <mergeCell ref="A488:F488"/>
    <mergeCell ref="G115:G120"/>
    <mergeCell ref="H427:R427"/>
    <mergeCell ref="G15:G17"/>
    <mergeCell ref="A427:F427"/>
    <mergeCell ref="A237:R237"/>
    <mergeCell ref="A498:F498"/>
    <mergeCell ref="G509:G511"/>
    <mergeCell ref="A417:R417"/>
    <mergeCell ref="A507:F507"/>
    <mergeCell ref="G234:G236"/>
    <mergeCell ref="A363:F363"/>
    <mergeCell ref="H97:R97"/>
    <mergeCell ref="A25:R25"/>
    <mergeCell ref="A128:F128"/>
    <mergeCell ref="A246:F246"/>
    <mergeCell ref="G60:G65"/>
    <mergeCell ref="H33:R33"/>
    <mergeCell ref="H42:R42"/>
    <mergeCell ref="G2:J2"/>
    <mergeCell ref="G248:G251"/>
    <mergeCell ref="A253:F253"/>
    <mergeCell ref="A342:F342"/>
    <mergeCell ref="G50:G56"/>
    <mergeCell ref="G215:G221"/>
    <mergeCell ref="N1:R1"/>
    <mergeCell ref="A96:R96"/>
    <mergeCell ref="A451:R451"/>
    <mergeCell ref="A293:F293"/>
    <mergeCell ref="G179:G181"/>
    <mergeCell ref="A19:F19"/>
    <mergeCell ref="A308:F308"/>
    <mergeCell ref="G185:G189"/>
    <mergeCell ref="A332:R332"/>
    <mergeCell ref="G270:G276"/>
    <mergeCell ref="A432:R432"/>
    <mergeCell ref="H278:R278"/>
    <mergeCell ref="K2:R2"/>
    <mergeCell ref="G6:G11"/>
    <mergeCell ref="H287:R287"/>
    <mergeCell ref="A143:F143"/>
    <mergeCell ref="H293:R293"/>
    <mergeCell ref="G225:G230"/>
    <mergeCell ref="A497:R497"/>
    <mergeCell ref="A26:F26"/>
    <mergeCell ref="A443:F443"/>
    <mergeCell ref="G374:G376"/>
    <mergeCell ref="A12:R12"/>
    <mergeCell ref="H58:R58"/>
    <mergeCell ref="G303:G306"/>
    <mergeCell ref="G28:G31"/>
    <mergeCell ref="G170:G175"/>
    <mergeCell ref="G75:G79"/>
    <mergeCell ref="A57:R57"/>
    <mergeCell ref="G358:G361"/>
    <mergeCell ref="A32:R32"/>
    <mergeCell ref="H473:R473"/>
    <mergeCell ref="H488:R488"/>
    <mergeCell ref="H342:R342"/>
    <mergeCell ref="G484:G486"/>
    <mergeCell ref="H158:R158"/>
    <mergeCell ref="H198:R198"/>
    <mergeCell ref="A261:R261"/>
    <mergeCell ref="A207:F207"/>
    <mergeCell ref="A103:F103"/>
    <mergeCell ref="G255:G260"/>
    <mergeCell ref="A222:R222"/>
    <mergeCell ref="H482:R482"/>
    <mergeCell ref="A88:F88"/>
    <mergeCell ref="H136:R136"/>
    <mergeCell ref="G365:G370"/>
    <mergeCell ref="A457:R457"/>
    <mergeCell ref="G124:G126"/>
    <mergeCell ref="G90:G95"/>
    <mergeCell ref="H443:R443"/>
    <mergeCell ref="G460:G464"/>
    <mergeCell ref="A177:F177"/>
    <mergeCell ref="G420:G425"/>
    <mergeCell ref="A268:F268"/>
    <mergeCell ref="A388:F388"/>
    <mergeCell ref="G319:G321"/>
    <mergeCell ref="G468:G471"/>
    <mergeCell ref="A136:F136"/>
    <mergeCell ref="A426:R426"/>
    <mergeCell ref="G280:G285"/>
    <mergeCell ref="A287:F287"/>
    <mergeCell ref="A168:F168"/>
    <mergeCell ref="H213:R213"/>
    <mergeCell ref="H397:R397"/>
    <mergeCell ref="A197:R197"/>
    <mergeCell ref="A466:F466"/>
    <mergeCell ref="A348:F348"/>
    <mergeCell ref="H458:R458"/>
    <mergeCell ref="H262:R262"/>
    <mergeCell ref="H433:R433"/>
    <mergeCell ref="A481:R481"/>
    <mergeCell ref="H498:R498"/>
    <mergeCell ref="H507:R507"/>
    <mergeCell ref="A102:R102"/>
    <mergeCell ref="G200:G205"/>
    <mergeCell ref="G209:G211"/>
    <mergeCell ref="A232:F232"/>
    <mergeCell ref="H246:R246"/>
    <mergeCell ref="H317:R317"/>
    <mergeCell ref="A403:F403"/>
    <mergeCell ref="A245:R245"/>
    <mergeCell ref="A157:R157"/>
    <mergeCell ref="H356:R356"/>
    <mergeCell ref="A191:F191"/>
    <mergeCell ref="H301:R301"/>
    <mergeCell ref="H183:R183"/>
    <mergeCell ref="A458:F458"/>
    <mergeCell ref="A452:F452"/>
    <mergeCell ref="A402:R402"/>
    <mergeCell ref="G490:G496"/>
    <mergeCell ref="G515:G519"/>
    <mergeCell ref="A223:F223"/>
    <mergeCell ref="A2:F2"/>
    <mergeCell ref="A33:F33"/>
    <mergeCell ref="A42:F42"/>
    <mergeCell ref="A213:F213"/>
    <mergeCell ref="A278:F278"/>
    <mergeCell ref="H143:R143"/>
    <mergeCell ref="A307:R307"/>
    <mergeCell ref="A322:R322"/>
    <mergeCell ref="A262:F262"/>
    <mergeCell ref="A433:F433"/>
    <mergeCell ref="A333:F333"/>
    <mergeCell ref="A122:F122"/>
    <mergeCell ref="A411:F411"/>
    <mergeCell ref="H207:R207"/>
    <mergeCell ref="H238:R238"/>
    <mergeCell ref="A482:F482"/>
    <mergeCell ref="A513:F513"/>
    <mergeCell ref="A371:R371"/>
    <mergeCell ref="A231:R231"/>
    <mergeCell ref="G435:G441"/>
    <mergeCell ref="G500:G505"/>
    <mergeCell ref="G475:G480"/>
    <mergeCell ref="A506:R506"/>
    <mergeCell ref="H81:R81"/>
    <mergeCell ref="G335:G340"/>
    <mergeCell ref="G138:G141"/>
    <mergeCell ref="A362:R362"/>
    <mergeCell ref="G69:G71"/>
    <mergeCell ref="H268:R268"/>
    <mergeCell ref="A127:R127"/>
    <mergeCell ref="A167:R167"/>
    <mergeCell ref="A73:F73"/>
    <mergeCell ref="A176:R176"/>
    <mergeCell ref="G105:G111"/>
    <mergeCell ref="A142:R142"/>
    <mergeCell ref="A182:R182"/>
    <mergeCell ref="G289:G291"/>
    <mergeCell ref="A387:R387"/>
    <mergeCell ref="A396:R396"/>
    <mergeCell ref="G264:G266"/>
    <mergeCell ref="G344:G346"/>
    <mergeCell ref="A473:F473"/>
    <mergeCell ref="A442:R442"/>
    <mergeCell ref="A316:R316"/>
    <mergeCell ref="A397:F397"/>
    <mergeCell ref="H466:R466"/>
    <mergeCell ref="A341:R341"/>
    <mergeCell ref="A512:R512"/>
    <mergeCell ref="A465:R465"/>
    <mergeCell ref="G21:G24"/>
    <mergeCell ref="H152:R152"/>
    <mergeCell ref="H323:R323"/>
    <mergeCell ref="H223:R223"/>
    <mergeCell ref="G429:G431"/>
    <mergeCell ref="H232:R232"/>
    <mergeCell ref="H403:R403"/>
    <mergeCell ref="A151:R151"/>
    <mergeCell ref="A97:F97"/>
    <mergeCell ref="H378:R378"/>
    <mergeCell ref="H418:R418"/>
    <mergeCell ref="A135:R135"/>
    <mergeCell ref="H452:R452"/>
    <mergeCell ref="A206:R206"/>
    <mergeCell ref="A81:F81"/>
    <mergeCell ref="A377:R377"/>
    <mergeCell ref="A152:F152"/>
    <mergeCell ref="A323:F323"/>
    <mergeCell ref="A372:F372"/>
    <mergeCell ref="G83:G86"/>
    <mergeCell ref="H1:L1"/>
    <mergeCell ref="A1:E1"/>
    <mergeCell ref="A198:F198"/>
    <mergeCell ref="H103:R103"/>
    <mergeCell ref="A238:F238"/>
    <mergeCell ref="A286:R286"/>
    <mergeCell ref="A317:F317"/>
    <mergeCell ref="H168:R168"/>
    <mergeCell ref="A267:R267"/>
    <mergeCell ref="A301:F301"/>
    <mergeCell ref="H113:R113"/>
    <mergeCell ref="A18:R18"/>
    <mergeCell ref="A13:F13"/>
    <mergeCell ref="A190:R190"/>
    <mergeCell ref="A112:R112"/>
    <mergeCell ref="A58:F58"/>
    <mergeCell ref="H128:R128"/>
    <mergeCell ref="H13:R13"/>
    <mergeCell ref="G35:G40"/>
    <mergeCell ref="H253:R253"/>
    <mergeCell ref="A48:F48"/>
    <mergeCell ref="H19:R19"/>
    <mergeCell ref="G160:G166"/>
    <mergeCell ref="H48:R48"/>
    <mergeCell ref="A355:R355"/>
    <mergeCell ref="H372:R372"/>
    <mergeCell ref="H26:R26"/>
    <mergeCell ref="A183:F183"/>
    <mergeCell ref="A41:R41"/>
    <mergeCell ref="A212:R212"/>
    <mergeCell ref="A252:R252"/>
    <mergeCell ref="H333:R333"/>
    <mergeCell ref="H411:R411"/>
    <mergeCell ref="A277:R277"/>
    <mergeCell ref="H67:R67"/>
    <mergeCell ref="A158:F158"/>
    <mergeCell ref="A292:R292"/>
    <mergeCell ref="A300:R300"/>
    <mergeCell ref="A87:R87"/>
    <mergeCell ref="A80:R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1"/>
  <sheetViews>
    <sheetView workbookViewId="0"/>
  </sheetViews>
  <sheetFormatPr defaultRowHeight="15.6" outlineLevelCol="1" x14ac:dyDescent="0.3"/>
  <cols>
    <col min="1" max="1" width="11.5546875" style="252" bestFit="1" customWidth="1"/>
    <col min="2" max="2" width="10.109375" style="252" bestFit="1" customWidth="1"/>
    <col min="3" max="3" width="7" style="252" bestFit="1" customWidth="1"/>
    <col min="4" max="4" width="5.5546875" style="252" bestFit="1" customWidth="1"/>
    <col min="5" max="5" width="7.5546875" style="252" bestFit="1" customWidth="1"/>
    <col min="6" max="6" width="4.21875" style="252" bestFit="1" customWidth="1"/>
    <col min="7" max="7" width="10" style="252" bestFit="1" customWidth="1"/>
    <col min="8" max="8" width="10.109375" style="252" bestFit="1" customWidth="1"/>
    <col min="9" max="10" width="8.5546875" style="252" bestFit="1" customWidth="1"/>
    <col min="11" max="11" width="10.5546875" style="252" bestFit="1" customWidth="1"/>
    <col min="12" max="12" width="18.109375" style="252" bestFit="1" customWidth="1"/>
    <col min="13" max="13" width="7.6640625" style="252" bestFit="1" customWidth="1" outlineLevel="1"/>
    <col min="14" max="14" width="6.33203125" style="252" bestFit="1" customWidth="1" outlineLevel="1"/>
    <col min="15" max="15" width="8.5546875" style="252" bestFit="1" customWidth="1" outlineLevel="1"/>
    <col min="16" max="16" width="13.6640625" style="252" bestFit="1" customWidth="1"/>
    <col min="17" max="25" width="3.88671875" style="252" bestFit="1" customWidth="1"/>
    <col min="26" max="26" width="4.109375" style="252" bestFit="1" customWidth="1"/>
    <col min="27" max="27" width="5" style="252" bestFit="1" customWidth="1"/>
    <col min="28" max="29" width="4.21875" style="252" bestFit="1" customWidth="1"/>
    <col min="30" max="31" width="4.5546875" style="252" bestFit="1" customWidth="1"/>
    <col min="32" max="32" width="3.88671875" style="252" bestFit="1" customWidth="1"/>
    <col min="33" max="33" width="5.21875" style="252" bestFit="1" customWidth="1"/>
    <col min="34" max="34" width="3.88671875" style="252" bestFit="1" customWidth="1"/>
    <col min="35" max="35" width="5.21875" style="252" bestFit="1" customWidth="1"/>
    <col min="36" max="36" width="3.8867187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  <row r="2" spans="1:36" x14ac:dyDescent="0.3">
      <c r="A2" s="253" t="s">
        <v>300</v>
      </c>
      <c r="B2" s="254">
        <v>46017</v>
      </c>
      <c r="C2" s="255" t="s">
        <v>29</v>
      </c>
      <c r="D2" s="256" t="s">
        <v>301</v>
      </c>
      <c r="E2" s="255" t="s">
        <v>1</v>
      </c>
      <c r="F2" s="255" t="s">
        <v>302</v>
      </c>
      <c r="G2" s="257">
        <v>6.1499999999999999E-2</v>
      </c>
      <c r="H2" s="258">
        <v>179</v>
      </c>
      <c r="I2" s="258">
        <v>11</v>
      </c>
      <c r="J2" s="258">
        <v>0</v>
      </c>
      <c r="K2" s="255" t="s">
        <v>303</v>
      </c>
      <c r="L2" s="259" t="s">
        <v>32</v>
      </c>
      <c r="M2" s="258">
        <v>0</v>
      </c>
      <c r="N2" s="258">
        <v>0</v>
      </c>
      <c r="O2" s="258">
        <v>8</v>
      </c>
      <c r="P2" s="255" t="s">
        <v>33</v>
      </c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8" t="s">
        <v>304</v>
      </c>
      <c r="AB2" s="251"/>
      <c r="AC2" s="251"/>
      <c r="AD2" s="251"/>
      <c r="AE2" s="251"/>
      <c r="AF2" s="258" t="s">
        <v>37</v>
      </c>
      <c r="AG2" s="251"/>
      <c r="AH2" s="251"/>
      <c r="AI2" s="251"/>
      <c r="AJ2" s="251"/>
    </row>
    <row r="3" spans="1:36" x14ac:dyDescent="0.3">
      <c r="A3" s="253" t="s">
        <v>300</v>
      </c>
      <c r="B3" s="254">
        <v>46017</v>
      </c>
      <c r="C3" s="255" t="s">
        <v>35</v>
      </c>
      <c r="D3" s="256" t="s">
        <v>305</v>
      </c>
      <c r="E3" s="255" t="s">
        <v>1</v>
      </c>
      <c r="F3" s="255" t="s">
        <v>302</v>
      </c>
      <c r="G3" s="257">
        <v>5.5899999999999998E-2</v>
      </c>
      <c r="H3" s="258">
        <v>179</v>
      </c>
      <c r="I3" s="258">
        <v>10</v>
      </c>
      <c r="J3" s="258">
        <v>0</v>
      </c>
      <c r="K3" s="255" t="s">
        <v>303</v>
      </c>
      <c r="L3" s="259" t="s">
        <v>36</v>
      </c>
      <c r="M3" s="258">
        <v>1</v>
      </c>
      <c r="N3" s="258">
        <v>0</v>
      </c>
      <c r="O3" s="258">
        <v>2</v>
      </c>
      <c r="P3" s="255" t="s">
        <v>33</v>
      </c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8" t="s">
        <v>37</v>
      </c>
      <c r="AG3" s="251"/>
      <c r="AH3" s="251"/>
      <c r="AI3" s="251"/>
      <c r="AJ3" s="251"/>
    </row>
    <row r="4" spans="1:36" x14ac:dyDescent="0.3">
      <c r="A4" s="253" t="s">
        <v>300</v>
      </c>
      <c r="B4" s="254">
        <v>46017</v>
      </c>
      <c r="C4" s="255" t="s">
        <v>38</v>
      </c>
      <c r="D4" s="256" t="s">
        <v>306</v>
      </c>
      <c r="E4" s="255" t="s">
        <v>1</v>
      </c>
      <c r="F4" s="255" t="s">
        <v>302</v>
      </c>
      <c r="G4" s="257">
        <v>5.5899999999999998E-2</v>
      </c>
      <c r="H4" s="258">
        <v>179</v>
      </c>
      <c r="I4" s="258">
        <v>10</v>
      </c>
      <c r="J4" s="258">
        <v>0</v>
      </c>
      <c r="K4" s="255" t="s">
        <v>303</v>
      </c>
      <c r="L4" s="259" t="s">
        <v>39</v>
      </c>
      <c r="M4" s="258">
        <v>0</v>
      </c>
      <c r="N4" s="258">
        <v>0</v>
      </c>
      <c r="O4" s="258">
        <v>2</v>
      </c>
      <c r="P4" s="255" t="s">
        <v>33</v>
      </c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8" t="s">
        <v>37</v>
      </c>
      <c r="AG4" s="251"/>
      <c r="AH4" s="251"/>
      <c r="AI4" s="251"/>
      <c r="AJ4" s="251"/>
    </row>
    <row r="5" spans="1:36" x14ac:dyDescent="0.3">
      <c r="A5" s="253" t="s">
        <v>300</v>
      </c>
      <c r="B5" s="254">
        <v>46017</v>
      </c>
      <c r="C5" s="255" t="s">
        <v>40</v>
      </c>
      <c r="D5" s="256" t="s">
        <v>307</v>
      </c>
      <c r="E5" s="255" t="s">
        <v>1</v>
      </c>
      <c r="F5" s="255" t="s">
        <v>302</v>
      </c>
      <c r="G5" s="257">
        <v>5.0299999999999997E-2</v>
      </c>
      <c r="H5" s="258">
        <v>179</v>
      </c>
      <c r="I5" s="258">
        <v>9</v>
      </c>
      <c r="J5" s="258">
        <v>0</v>
      </c>
      <c r="K5" s="255" t="s">
        <v>303</v>
      </c>
      <c r="L5" s="259" t="s">
        <v>41</v>
      </c>
      <c r="M5" s="258">
        <v>0</v>
      </c>
      <c r="N5" s="258">
        <v>0</v>
      </c>
      <c r="O5" s="258">
        <v>0</v>
      </c>
      <c r="P5" s="255" t="s">
        <v>42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8" t="s">
        <v>43</v>
      </c>
      <c r="AG5" s="251"/>
      <c r="AH5" s="251"/>
      <c r="AI5" s="251"/>
      <c r="AJ5" s="251"/>
    </row>
    <row r="6" spans="1:36" x14ac:dyDescent="0.3">
      <c r="A6" s="253" t="s">
        <v>300</v>
      </c>
      <c r="B6" s="254">
        <v>46017</v>
      </c>
      <c r="C6" s="255" t="s">
        <v>44</v>
      </c>
      <c r="D6" s="256" t="s">
        <v>308</v>
      </c>
      <c r="E6" s="255" t="s">
        <v>1</v>
      </c>
      <c r="F6" s="255" t="s">
        <v>302</v>
      </c>
      <c r="G6" s="257">
        <v>7.2599999999999998E-2</v>
      </c>
      <c r="H6" s="258">
        <v>179</v>
      </c>
      <c r="I6" s="258">
        <v>13</v>
      </c>
      <c r="J6" s="258">
        <v>0</v>
      </c>
      <c r="K6" s="255" t="s">
        <v>303</v>
      </c>
      <c r="L6" s="259" t="s">
        <v>45</v>
      </c>
      <c r="M6" s="258">
        <v>0</v>
      </c>
      <c r="N6" s="258">
        <v>2</v>
      </c>
      <c r="O6" s="258">
        <v>2</v>
      </c>
      <c r="P6" s="255" t="s">
        <v>46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8" t="s">
        <v>55</v>
      </c>
      <c r="AF6" s="258" t="s">
        <v>309</v>
      </c>
      <c r="AG6" s="251"/>
      <c r="AH6" s="251"/>
      <c r="AI6" s="251"/>
      <c r="AJ6" s="251"/>
    </row>
    <row r="7" spans="1:36" x14ac:dyDescent="0.3">
      <c r="A7" s="253" t="s">
        <v>300</v>
      </c>
      <c r="B7" s="254">
        <v>46017</v>
      </c>
      <c r="C7" s="255" t="s">
        <v>48</v>
      </c>
      <c r="D7" s="256" t="s">
        <v>310</v>
      </c>
      <c r="E7" s="255" t="s">
        <v>1</v>
      </c>
      <c r="F7" s="255" t="s">
        <v>302</v>
      </c>
      <c r="G7" s="257">
        <v>0.55869999999999997</v>
      </c>
      <c r="H7" s="258">
        <v>179</v>
      </c>
      <c r="I7" s="258">
        <v>100</v>
      </c>
      <c r="J7" s="258">
        <v>90</v>
      </c>
      <c r="K7" s="255" t="s">
        <v>303</v>
      </c>
      <c r="L7" s="259" t="s">
        <v>36</v>
      </c>
      <c r="M7" s="258">
        <v>2</v>
      </c>
      <c r="N7" s="258">
        <v>0</v>
      </c>
      <c r="O7" s="258">
        <v>5</v>
      </c>
      <c r="P7" s="255" t="s">
        <v>33</v>
      </c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8" t="s">
        <v>37</v>
      </c>
      <c r="AG7" s="251"/>
      <c r="AH7" s="251"/>
      <c r="AI7" s="258" t="s">
        <v>311</v>
      </c>
      <c r="AJ7" s="251"/>
    </row>
    <row r="8" spans="1:36" x14ac:dyDescent="0.3">
      <c r="A8" s="253" t="s">
        <v>312</v>
      </c>
      <c r="B8" s="254">
        <v>46018</v>
      </c>
      <c r="C8" s="255" t="s">
        <v>51</v>
      </c>
      <c r="D8" s="256" t="s">
        <v>313</v>
      </c>
      <c r="E8" s="255" t="s">
        <v>1</v>
      </c>
      <c r="F8" s="255" t="s">
        <v>302</v>
      </c>
      <c r="G8" s="257">
        <v>5.9499999999999997E-2</v>
      </c>
      <c r="H8" s="258">
        <v>185</v>
      </c>
      <c r="I8" s="258">
        <v>11</v>
      </c>
      <c r="J8" s="258">
        <v>0</v>
      </c>
      <c r="K8" s="255" t="s">
        <v>303</v>
      </c>
      <c r="L8" s="259" t="s">
        <v>45</v>
      </c>
      <c r="M8" s="258">
        <v>0</v>
      </c>
      <c r="N8" s="258">
        <v>1</v>
      </c>
      <c r="O8" s="258">
        <v>3</v>
      </c>
      <c r="P8" s="255" t="s">
        <v>33</v>
      </c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8" t="s">
        <v>304</v>
      </c>
      <c r="AB8" s="251"/>
      <c r="AC8" s="251"/>
      <c r="AD8" s="251"/>
      <c r="AE8" s="251"/>
      <c r="AF8" s="258" t="s">
        <v>37</v>
      </c>
      <c r="AG8" s="251"/>
      <c r="AH8" s="251"/>
      <c r="AI8" s="251"/>
      <c r="AJ8" s="251"/>
    </row>
    <row r="9" spans="1:36" x14ac:dyDescent="0.3">
      <c r="A9" s="253" t="s">
        <v>312</v>
      </c>
      <c r="B9" s="254">
        <v>46018</v>
      </c>
      <c r="C9" s="255" t="s">
        <v>35</v>
      </c>
      <c r="D9" s="256" t="s">
        <v>314</v>
      </c>
      <c r="E9" s="255" t="s">
        <v>1</v>
      </c>
      <c r="F9" s="255" t="s">
        <v>302</v>
      </c>
      <c r="G9" s="257">
        <v>0.82120000000000004</v>
      </c>
      <c r="H9" s="258">
        <v>179</v>
      </c>
      <c r="I9" s="258">
        <v>147</v>
      </c>
      <c r="J9" s="258">
        <v>137</v>
      </c>
      <c r="K9" s="255" t="s">
        <v>303</v>
      </c>
      <c r="L9" s="259" t="s">
        <v>52</v>
      </c>
      <c r="M9" s="258">
        <v>0</v>
      </c>
      <c r="N9" s="258">
        <v>0</v>
      </c>
      <c r="O9" s="258">
        <v>0</v>
      </c>
      <c r="P9" s="255" t="s">
        <v>33</v>
      </c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8" t="s">
        <v>37</v>
      </c>
      <c r="AG9" s="251"/>
      <c r="AH9" s="251"/>
      <c r="AI9" s="258" t="s">
        <v>315</v>
      </c>
      <c r="AJ9" s="251"/>
    </row>
    <row r="10" spans="1:36" x14ac:dyDescent="0.3">
      <c r="A10" s="253" t="s">
        <v>312</v>
      </c>
      <c r="B10" s="254">
        <v>46018</v>
      </c>
      <c r="C10" s="255" t="s">
        <v>38</v>
      </c>
      <c r="D10" s="256" t="s">
        <v>316</v>
      </c>
      <c r="E10" s="255" t="s">
        <v>1</v>
      </c>
      <c r="F10" s="255" t="s">
        <v>302</v>
      </c>
      <c r="G10" s="257">
        <v>0.87150000000000005</v>
      </c>
      <c r="H10" s="258">
        <v>179</v>
      </c>
      <c r="I10" s="258">
        <v>156</v>
      </c>
      <c r="J10" s="258">
        <v>135</v>
      </c>
      <c r="K10" s="255" t="s">
        <v>303</v>
      </c>
      <c r="L10" s="259" t="s">
        <v>45</v>
      </c>
      <c r="M10" s="258">
        <v>0</v>
      </c>
      <c r="N10" s="258">
        <v>3</v>
      </c>
      <c r="O10" s="258">
        <v>4</v>
      </c>
      <c r="P10" s="255" t="s">
        <v>55</v>
      </c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8" t="s">
        <v>127</v>
      </c>
      <c r="AE10" s="258" t="s">
        <v>46</v>
      </c>
      <c r="AF10" s="258" t="s">
        <v>37</v>
      </c>
      <c r="AG10" s="251"/>
      <c r="AH10" s="251"/>
      <c r="AI10" s="258" t="s">
        <v>123</v>
      </c>
      <c r="AJ10" s="251"/>
    </row>
    <row r="11" spans="1:36" x14ac:dyDescent="0.3">
      <c r="A11" s="253" t="s">
        <v>317</v>
      </c>
      <c r="B11" s="254">
        <v>46019</v>
      </c>
      <c r="C11" s="255" t="s">
        <v>29</v>
      </c>
      <c r="D11" s="256" t="s">
        <v>318</v>
      </c>
      <c r="E11" s="255" t="s">
        <v>1</v>
      </c>
      <c r="F11" s="255" t="s">
        <v>302</v>
      </c>
      <c r="G11" s="257">
        <v>1.1396999999999999</v>
      </c>
      <c r="H11" s="258">
        <v>179</v>
      </c>
      <c r="I11" s="258">
        <v>204</v>
      </c>
      <c r="J11" s="258">
        <v>204</v>
      </c>
      <c r="K11" s="255" t="s">
        <v>303</v>
      </c>
      <c r="L11" s="259" t="s">
        <v>45</v>
      </c>
      <c r="M11" s="258">
        <v>0</v>
      </c>
      <c r="N11" s="258">
        <v>3</v>
      </c>
      <c r="O11" s="258">
        <v>3</v>
      </c>
      <c r="P11" s="255" t="s">
        <v>58</v>
      </c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8" t="s">
        <v>319</v>
      </c>
      <c r="AH11" s="251"/>
      <c r="AI11" s="258" t="s">
        <v>311</v>
      </c>
      <c r="AJ11" s="251"/>
    </row>
    <row r="12" spans="1:36" x14ac:dyDescent="0.3">
      <c r="A12" s="253" t="s">
        <v>317</v>
      </c>
      <c r="B12" s="254">
        <v>46019</v>
      </c>
      <c r="C12" s="255" t="s">
        <v>35</v>
      </c>
      <c r="D12" s="256" t="s">
        <v>305</v>
      </c>
      <c r="E12" s="255" t="s">
        <v>1</v>
      </c>
      <c r="F12" s="255" t="s">
        <v>302</v>
      </c>
      <c r="G12" s="257">
        <v>0.87709999999999999</v>
      </c>
      <c r="H12" s="258">
        <v>179</v>
      </c>
      <c r="I12" s="258">
        <v>157</v>
      </c>
      <c r="J12" s="258">
        <v>146</v>
      </c>
      <c r="K12" s="255" t="s">
        <v>303</v>
      </c>
      <c r="L12" s="259" t="s">
        <v>60</v>
      </c>
      <c r="M12" s="258">
        <v>0</v>
      </c>
      <c r="N12" s="258">
        <v>0</v>
      </c>
      <c r="O12" s="258">
        <v>2</v>
      </c>
      <c r="P12" s="255" t="s">
        <v>46</v>
      </c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8" t="s">
        <v>73</v>
      </c>
      <c r="AF12" s="258" t="s">
        <v>37</v>
      </c>
      <c r="AG12" s="258" t="s">
        <v>320</v>
      </c>
      <c r="AH12" s="251"/>
      <c r="AI12" s="258" t="s">
        <v>311</v>
      </c>
      <c r="AJ12" s="251"/>
    </row>
    <row r="13" spans="1:36" x14ac:dyDescent="0.3">
      <c r="A13" s="253" t="s">
        <v>317</v>
      </c>
      <c r="B13" s="254">
        <v>46019</v>
      </c>
      <c r="C13" s="255" t="s">
        <v>48</v>
      </c>
      <c r="D13" s="256" t="s">
        <v>321</v>
      </c>
      <c r="E13" s="255" t="s">
        <v>1</v>
      </c>
      <c r="F13" s="255" t="s">
        <v>302</v>
      </c>
      <c r="G13" s="257">
        <v>0.60340000000000005</v>
      </c>
      <c r="H13" s="258">
        <v>179</v>
      </c>
      <c r="I13" s="258">
        <v>108</v>
      </c>
      <c r="J13" s="258">
        <v>90</v>
      </c>
      <c r="K13" s="255" t="s">
        <v>303</v>
      </c>
      <c r="L13" s="259" t="s">
        <v>62</v>
      </c>
      <c r="M13" s="258">
        <v>0</v>
      </c>
      <c r="N13" s="258">
        <v>0</v>
      </c>
      <c r="O13" s="258">
        <v>2</v>
      </c>
      <c r="P13" s="255" t="s">
        <v>63</v>
      </c>
      <c r="Q13" s="251"/>
      <c r="R13" s="251"/>
      <c r="S13" s="251"/>
      <c r="T13" s="251"/>
      <c r="U13" s="251"/>
      <c r="V13" s="251"/>
      <c r="W13" s="251"/>
      <c r="X13" s="251"/>
      <c r="Y13" s="251"/>
      <c r="Z13" s="258" t="s">
        <v>198</v>
      </c>
      <c r="AA13" s="251"/>
      <c r="AB13" s="251"/>
      <c r="AC13" s="251"/>
      <c r="AD13" s="251"/>
      <c r="AE13" s="258" t="s">
        <v>63</v>
      </c>
      <c r="AF13" s="258" t="s">
        <v>37</v>
      </c>
      <c r="AG13" s="251"/>
      <c r="AH13" s="251"/>
      <c r="AI13" s="258" t="s">
        <v>311</v>
      </c>
      <c r="AJ13" s="251"/>
    </row>
    <row r="14" spans="1:36" x14ac:dyDescent="0.3">
      <c r="A14" s="253" t="s">
        <v>317</v>
      </c>
      <c r="B14" s="254">
        <v>46019</v>
      </c>
      <c r="C14" s="255" t="s">
        <v>38</v>
      </c>
      <c r="D14" s="256" t="s">
        <v>322</v>
      </c>
      <c r="E14" s="255" t="s">
        <v>1</v>
      </c>
      <c r="F14" s="255" t="s">
        <v>302</v>
      </c>
      <c r="G14" s="257">
        <v>0.83799999999999997</v>
      </c>
      <c r="H14" s="258">
        <v>179</v>
      </c>
      <c r="I14" s="258">
        <v>150</v>
      </c>
      <c r="J14" s="258">
        <v>135</v>
      </c>
      <c r="K14" s="255" t="s">
        <v>303</v>
      </c>
      <c r="L14" s="259" t="s">
        <v>36</v>
      </c>
      <c r="M14" s="258">
        <v>2</v>
      </c>
      <c r="N14" s="258">
        <v>0</v>
      </c>
      <c r="O14" s="258">
        <v>2</v>
      </c>
      <c r="P14" s="255" t="s">
        <v>63</v>
      </c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8" t="s">
        <v>63</v>
      </c>
      <c r="AF14" s="258" t="s">
        <v>37</v>
      </c>
      <c r="AG14" s="251"/>
      <c r="AH14" s="251"/>
      <c r="AI14" s="258" t="s">
        <v>123</v>
      </c>
      <c r="AJ14" s="251"/>
    </row>
    <row r="15" spans="1:36" x14ac:dyDescent="0.3">
      <c r="A15" s="253" t="s">
        <v>323</v>
      </c>
      <c r="B15" s="254">
        <v>46020</v>
      </c>
      <c r="C15" s="255" t="s">
        <v>40</v>
      </c>
      <c r="D15" s="256" t="s">
        <v>324</v>
      </c>
      <c r="E15" s="255" t="s">
        <v>1</v>
      </c>
      <c r="F15" s="255" t="s">
        <v>302</v>
      </c>
      <c r="G15" s="257">
        <v>5.5899999999999998E-2</v>
      </c>
      <c r="H15" s="258">
        <v>179</v>
      </c>
      <c r="I15" s="258">
        <v>10</v>
      </c>
      <c r="J15" s="258">
        <v>0</v>
      </c>
      <c r="K15" s="255" t="s">
        <v>303</v>
      </c>
      <c r="L15" s="259" t="s">
        <v>36</v>
      </c>
      <c r="M15" s="258">
        <v>2</v>
      </c>
      <c r="N15" s="258">
        <v>1</v>
      </c>
      <c r="O15" s="258">
        <v>8</v>
      </c>
      <c r="P15" s="255" t="s">
        <v>66</v>
      </c>
      <c r="Q15" s="251"/>
      <c r="R15" s="251"/>
      <c r="S15" s="251"/>
      <c r="T15" s="251"/>
      <c r="U15" s="251"/>
      <c r="V15" s="251"/>
      <c r="W15" s="251"/>
      <c r="X15" s="251"/>
      <c r="Y15" s="251"/>
      <c r="Z15" s="258" t="s">
        <v>208</v>
      </c>
      <c r="AA15" s="251"/>
      <c r="AB15" s="251"/>
      <c r="AC15" s="258" t="s">
        <v>160</v>
      </c>
      <c r="AD15" s="251"/>
      <c r="AE15" s="251"/>
      <c r="AF15" s="258" t="s">
        <v>247</v>
      </c>
      <c r="AG15" s="251"/>
      <c r="AH15" s="251"/>
      <c r="AI15" s="251"/>
      <c r="AJ15" s="251"/>
    </row>
    <row r="16" spans="1:36" x14ac:dyDescent="0.3">
      <c r="A16" s="253" t="s">
        <v>323</v>
      </c>
      <c r="B16" s="254">
        <v>46020</v>
      </c>
      <c r="C16" s="255" t="s">
        <v>35</v>
      </c>
      <c r="D16" s="256" t="s">
        <v>325</v>
      </c>
      <c r="E16" s="255" t="s">
        <v>1</v>
      </c>
      <c r="F16" s="255" t="s">
        <v>302</v>
      </c>
      <c r="G16" s="257">
        <v>0.86029999999999995</v>
      </c>
      <c r="H16" s="258">
        <v>179</v>
      </c>
      <c r="I16" s="258">
        <v>154</v>
      </c>
      <c r="J16" s="258">
        <v>135</v>
      </c>
      <c r="K16" s="255" t="s">
        <v>303</v>
      </c>
      <c r="L16" s="259" t="s">
        <v>68</v>
      </c>
      <c r="M16" s="258">
        <v>0</v>
      </c>
      <c r="N16" s="258">
        <v>0</v>
      </c>
      <c r="O16" s="258">
        <v>0</v>
      </c>
      <c r="P16" s="255" t="s">
        <v>69</v>
      </c>
      <c r="Q16" s="251"/>
      <c r="R16" s="251"/>
      <c r="S16" s="251"/>
      <c r="T16" s="251"/>
      <c r="U16" s="251"/>
      <c r="V16" s="251"/>
      <c r="W16" s="251"/>
      <c r="X16" s="251"/>
      <c r="Y16" s="251"/>
      <c r="Z16" s="258" t="s">
        <v>326</v>
      </c>
      <c r="AA16" s="251"/>
      <c r="AB16" s="251"/>
      <c r="AC16" s="251"/>
      <c r="AD16" s="251"/>
      <c r="AE16" s="258" t="s">
        <v>83</v>
      </c>
      <c r="AF16" s="258" t="s">
        <v>37</v>
      </c>
      <c r="AG16" s="251"/>
      <c r="AH16" s="251"/>
      <c r="AI16" s="258" t="s">
        <v>123</v>
      </c>
      <c r="AJ16" s="251"/>
    </row>
    <row r="17" spans="1:36" x14ac:dyDescent="0.3">
      <c r="A17" s="253" t="s">
        <v>323</v>
      </c>
      <c r="B17" s="254">
        <v>46020</v>
      </c>
      <c r="C17" s="255" t="s">
        <v>38</v>
      </c>
      <c r="D17" s="256" t="s">
        <v>307</v>
      </c>
      <c r="E17" s="255" t="s">
        <v>1</v>
      </c>
      <c r="F17" s="255" t="s">
        <v>302</v>
      </c>
      <c r="G17" s="257">
        <v>0.32400000000000001</v>
      </c>
      <c r="H17" s="258">
        <v>179</v>
      </c>
      <c r="I17" s="258">
        <v>58</v>
      </c>
      <c r="J17" s="258">
        <v>45</v>
      </c>
      <c r="K17" s="255" t="s">
        <v>303</v>
      </c>
      <c r="L17" s="259" t="s">
        <v>36</v>
      </c>
      <c r="M17" s="258">
        <v>3</v>
      </c>
      <c r="N17" s="258">
        <v>0</v>
      </c>
      <c r="O17" s="258">
        <v>3</v>
      </c>
      <c r="P17" s="255" t="s">
        <v>69</v>
      </c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8" t="s">
        <v>83</v>
      </c>
      <c r="AF17" s="258" t="s">
        <v>37</v>
      </c>
      <c r="AG17" s="251"/>
      <c r="AH17" s="251"/>
      <c r="AI17" s="258" t="s">
        <v>327</v>
      </c>
      <c r="AJ17" s="251"/>
    </row>
    <row r="18" spans="1:36" x14ac:dyDescent="0.3">
      <c r="A18" s="253" t="s">
        <v>323</v>
      </c>
      <c r="B18" s="254">
        <v>46020</v>
      </c>
      <c r="C18" s="255" t="s">
        <v>48</v>
      </c>
      <c r="D18" s="256" t="s">
        <v>328</v>
      </c>
      <c r="E18" s="255" t="s">
        <v>1</v>
      </c>
      <c r="F18" s="255" t="s">
        <v>302</v>
      </c>
      <c r="G18" s="257">
        <v>0.91620000000000001</v>
      </c>
      <c r="H18" s="258">
        <v>179</v>
      </c>
      <c r="I18" s="258">
        <v>164</v>
      </c>
      <c r="J18" s="258">
        <v>135</v>
      </c>
      <c r="K18" s="255" t="s">
        <v>303</v>
      </c>
      <c r="L18" s="259" t="s">
        <v>72</v>
      </c>
      <c r="M18" s="258">
        <v>0</v>
      </c>
      <c r="N18" s="258">
        <v>0</v>
      </c>
      <c r="O18" s="258">
        <v>0</v>
      </c>
      <c r="P18" s="255" t="s">
        <v>73</v>
      </c>
      <c r="Q18" s="251"/>
      <c r="R18" s="251"/>
      <c r="S18" s="251"/>
      <c r="T18" s="251"/>
      <c r="U18" s="251"/>
      <c r="V18" s="251"/>
      <c r="W18" s="251"/>
      <c r="X18" s="251"/>
      <c r="Y18" s="251"/>
      <c r="Z18" s="258" t="s">
        <v>329</v>
      </c>
      <c r="AA18" s="258" t="s">
        <v>330</v>
      </c>
      <c r="AB18" s="251"/>
      <c r="AC18" s="258" t="s">
        <v>160</v>
      </c>
      <c r="AD18" s="251"/>
      <c r="AE18" s="258" t="s">
        <v>73</v>
      </c>
      <c r="AF18" s="258" t="s">
        <v>37</v>
      </c>
      <c r="AG18" s="251"/>
      <c r="AH18" s="251"/>
      <c r="AI18" s="258" t="s">
        <v>123</v>
      </c>
      <c r="AJ18" s="251"/>
    </row>
    <row r="19" spans="1:36" x14ac:dyDescent="0.3">
      <c r="A19" s="253" t="s">
        <v>331</v>
      </c>
      <c r="B19" s="254">
        <v>46021</v>
      </c>
      <c r="C19" s="255" t="s">
        <v>44</v>
      </c>
      <c r="D19" s="256" t="s">
        <v>332</v>
      </c>
      <c r="E19" s="255" t="s">
        <v>1</v>
      </c>
      <c r="F19" s="255" t="s">
        <v>302</v>
      </c>
      <c r="G19" s="257">
        <v>0.28489999999999999</v>
      </c>
      <c r="H19" s="258">
        <v>179</v>
      </c>
      <c r="I19" s="258">
        <v>51</v>
      </c>
      <c r="J19" s="258">
        <v>0</v>
      </c>
      <c r="K19" s="255" t="s">
        <v>303</v>
      </c>
      <c r="L19" s="259" t="s">
        <v>45</v>
      </c>
      <c r="M19" s="258">
        <v>0</v>
      </c>
      <c r="N19" s="258">
        <v>8</v>
      </c>
      <c r="O19" s="258">
        <v>37</v>
      </c>
      <c r="P19" s="255" t="s">
        <v>75</v>
      </c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8" t="s">
        <v>333</v>
      </c>
      <c r="AC19" s="258" t="s">
        <v>269</v>
      </c>
      <c r="AD19" s="258" t="s">
        <v>80</v>
      </c>
      <c r="AE19" s="258" t="s">
        <v>334</v>
      </c>
      <c r="AF19" s="258" t="s">
        <v>37</v>
      </c>
      <c r="AG19" s="251"/>
      <c r="AH19" s="251"/>
      <c r="AI19" s="251"/>
      <c r="AJ19" s="251"/>
    </row>
    <row r="20" spans="1:36" x14ac:dyDescent="0.3">
      <c r="A20" s="253" t="s">
        <v>331</v>
      </c>
      <c r="B20" s="254">
        <v>46021</v>
      </c>
      <c r="C20" s="255" t="s">
        <v>40</v>
      </c>
      <c r="D20" s="256" t="s">
        <v>335</v>
      </c>
      <c r="E20" s="255" t="s">
        <v>1</v>
      </c>
      <c r="F20" s="255" t="s">
        <v>302</v>
      </c>
      <c r="G20" s="257">
        <v>0.56979999999999997</v>
      </c>
      <c r="H20" s="258">
        <v>179</v>
      </c>
      <c r="I20" s="258">
        <v>102</v>
      </c>
      <c r="J20" s="258">
        <v>90</v>
      </c>
      <c r="K20" s="255" t="s">
        <v>303</v>
      </c>
      <c r="L20" s="259" t="s">
        <v>62</v>
      </c>
      <c r="M20" s="258">
        <v>0</v>
      </c>
      <c r="N20" s="258">
        <v>0</v>
      </c>
      <c r="O20" s="258">
        <v>4</v>
      </c>
      <c r="P20" s="255" t="s">
        <v>46</v>
      </c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8" t="s">
        <v>55</v>
      </c>
      <c r="AF20" s="258" t="s">
        <v>37</v>
      </c>
      <c r="AG20" s="251"/>
      <c r="AH20" s="251"/>
      <c r="AI20" s="258" t="s">
        <v>311</v>
      </c>
      <c r="AJ20" s="251"/>
    </row>
    <row r="21" spans="1:36" x14ac:dyDescent="0.3">
      <c r="A21" s="253" t="s">
        <v>331</v>
      </c>
      <c r="B21" s="254">
        <v>46021</v>
      </c>
      <c r="C21" s="255" t="s">
        <v>38</v>
      </c>
      <c r="D21" s="256" t="s">
        <v>307</v>
      </c>
      <c r="E21" s="255" t="s">
        <v>1</v>
      </c>
      <c r="F21" s="255" t="s">
        <v>302</v>
      </c>
      <c r="G21" s="257">
        <v>0.5978</v>
      </c>
      <c r="H21" s="258">
        <v>179</v>
      </c>
      <c r="I21" s="258">
        <v>107</v>
      </c>
      <c r="J21" s="258">
        <v>90</v>
      </c>
      <c r="K21" s="255" t="s">
        <v>303</v>
      </c>
      <c r="L21" s="259" t="s">
        <v>36</v>
      </c>
      <c r="M21" s="258">
        <v>2</v>
      </c>
      <c r="N21" s="258">
        <v>0</v>
      </c>
      <c r="O21" s="258">
        <v>6</v>
      </c>
      <c r="P21" s="255" t="s">
        <v>78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8" t="s">
        <v>336</v>
      </c>
      <c r="AF21" s="258" t="s">
        <v>309</v>
      </c>
      <c r="AG21" s="251"/>
      <c r="AH21" s="251"/>
      <c r="AI21" s="258" t="s">
        <v>311</v>
      </c>
      <c r="AJ21" s="251"/>
    </row>
    <row r="22" spans="1:36" x14ac:dyDescent="0.3">
      <c r="A22" s="253" t="s">
        <v>331</v>
      </c>
      <c r="B22" s="254">
        <v>46021</v>
      </c>
      <c r="C22" s="255" t="s">
        <v>48</v>
      </c>
      <c r="D22" s="256" t="s">
        <v>337</v>
      </c>
      <c r="E22" s="255" t="s">
        <v>1</v>
      </c>
      <c r="F22" s="255" t="s">
        <v>302</v>
      </c>
      <c r="G22" s="257">
        <v>0.61450000000000005</v>
      </c>
      <c r="H22" s="258">
        <v>179</v>
      </c>
      <c r="I22" s="258">
        <v>110</v>
      </c>
      <c r="J22" s="258">
        <v>90</v>
      </c>
      <c r="K22" s="255" t="s">
        <v>303</v>
      </c>
      <c r="L22" s="259" t="s">
        <v>32</v>
      </c>
      <c r="M22" s="258">
        <v>0</v>
      </c>
      <c r="N22" s="258">
        <v>0</v>
      </c>
      <c r="O22" s="258">
        <v>6</v>
      </c>
      <c r="P22" s="255" t="s">
        <v>80</v>
      </c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8" t="s">
        <v>334</v>
      </c>
      <c r="AF22" s="258" t="s">
        <v>37</v>
      </c>
      <c r="AG22" s="251"/>
      <c r="AH22" s="251"/>
      <c r="AI22" s="258" t="s">
        <v>311</v>
      </c>
      <c r="AJ22" s="251"/>
    </row>
    <row r="23" spans="1:36" x14ac:dyDescent="0.3">
      <c r="A23" s="253" t="s">
        <v>331</v>
      </c>
      <c r="B23" s="254">
        <v>46021</v>
      </c>
      <c r="C23" s="255" t="s">
        <v>29</v>
      </c>
      <c r="D23" s="256" t="s">
        <v>338</v>
      </c>
      <c r="E23" s="255" t="s">
        <v>1</v>
      </c>
      <c r="F23" s="255" t="s">
        <v>302</v>
      </c>
      <c r="G23" s="257">
        <v>0.30809999999999998</v>
      </c>
      <c r="H23" s="258">
        <v>185</v>
      </c>
      <c r="I23" s="258">
        <v>57</v>
      </c>
      <c r="J23" s="258">
        <v>45</v>
      </c>
      <c r="K23" s="255" t="s">
        <v>303</v>
      </c>
      <c r="L23" s="259" t="s">
        <v>36</v>
      </c>
      <c r="M23" s="258">
        <v>1</v>
      </c>
      <c r="N23" s="258">
        <v>0</v>
      </c>
      <c r="O23" s="258">
        <v>4</v>
      </c>
      <c r="P23" s="255" t="s">
        <v>46</v>
      </c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8" t="s">
        <v>55</v>
      </c>
      <c r="AF23" s="258" t="s">
        <v>37</v>
      </c>
      <c r="AG23" s="251"/>
      <c r="AH23" s="251"/>
      <c r="AI23" s="258" t="s">
        <v>327</v>
      </c>
      <c r="AJ23" s="251"/>
    </row>
    <row r="24" spans="1:36" x14ac:dyDescent="0.3">
      <c r="A24" s="253" t="s">
        <v>331</v>
      </c>
      <c r="B24" s="254">
        <v>46021</v>
      </c>
      <c r="C24" s="255" t="s">
        <v>35</v>
      </c>
      <c r="D24" s="256" t="s">
        <v>339</v>
      </c>
      <c r="E24" s="255" t="s">
        <v>1</v>
      </c>
      <c r="F24" s="255" t="s">
        <v>302</v>
      </c>
      <c r="G24" s="257">
        <v>0.84919999999999995</v>
      </c>
      <c r="H24" s="258">
        <v>179</v>
      </c>
      <c r="I24" s="258">
        <v>152</v>
      </c>
      <c r="J24" s="258">
        <v>135</v>
      </c>
      <c r="K24" s="255" t="s">
        <v>303</v>
      </c>
      <c r="L24" s="259" t="s">
        <v>45</v>
      </c>
      <c r="M24" s="258">
        <v>0</v>
      </c>
      <c r="N24" s="258">
        <v>5</v>
      </c>
      <c r="O24" s="258">
        <v>13</v>
      </c>
      <c r="P24" s="255" t="s">
        <v>83</v>
      </c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8" t="s">
        <v>69</v>
      </c>
      <c r="AF24" s="258" t="s">
        <v>37</v>
      </c>
      <c r="AG24" s="251"/>
      <c r="AH24" s="251"/>
      <c r="AI24" s="258" t="s">
        <v>123</v>
      </c>
      <c r="AJ24" s="251"/>
    </row>
    <row r="25" spans="1:36" x14ac:dyDescent="0.3">
      <c r="A25" s="253" t="s">
        <v>340</v>
      </c>
      <c r="B25" s="254">
        <v>46022</v>
      </c>
      <c r="C25" s="255" t="s">
        <v>35</v>
      </c>
      <c r="D25" s="256" t="s">
        <v>341</v>
      </c>
      <c r="E25" s="255" t="s">
        <v>1</v>
      </c>
      <c r="F25" s="255" t="s">
        <v>302</v>
      </c>
      <c r="G25" s="257">
        <v>0.62009999999999998</v>
      </c>
      <c r="H25" s="258">
        <v>179</v>
      </c>
      <c r="I25" s="258">
        <v>111</v>
      </c>
      <c r="J25" s="258">
        <v>90</v>
      </c>
      <c r="K25" s="255" t="s">
        <v>303</v>
      </c>
      <c r="L25" s="259" t="s">
        <v>85</v>
      </c>
      <c r="M25" s="258">
        <v>0</v>
      </c>
      <c r="N25" s="258">
        <v>0</v>
      </c>
      <c r="O25" s="258">
        <v>4</v>
      </c>
      <c r="P25" s="255" t="s">
        <v>80</v>
      </c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8" t="s">
        <v>114</v>
      </c>
      <c r="AE25" s="258" t="s">
        <v>334</v>
      </c>
      <c r="AF25" s="258" t="s">
        <v>37</v>
      </c>
      <c r="AG25" s="251"/>
      <c r="AH25" s="251"/>
      <c r="AI25" s="258" t="s">
        <v>311</v>
      </c>
      <c r="AJ25" s="251"/>
    </row>
    <row r="26" spans="1:36" x14ac:dyDescent="0.3">
      <c r="A26" s="253" t="s">
        <v>340</v>
      </c>
      <c r="B26" s="254">
        <v>46022</v>
      </c>
      <c r="C26" s="255" t="s">
        <v>48</v>
      </c>
      <c r="D26" s="256" t="s">
        <v>342</v>
      </c>
      <c r="E26" s="255" t="s">
        <v>1</v>
      </c>
      <c r="F26" s="255" t="s">
        <v>302</v>
      </c>
      <c r="G26" s="257">
        <v>0.64800000000000002</v>
      </c>
      <c r="H26" s="258">
        <v>179</v>
      </c>
      <c r="I26" s="258">
        <v>116</v>
      </c>
      <c r="J26" s="258">
        <v>90</v>
      </c>
      <c r="K26" s="255" t="s">
        <v>303</v>
      </c>
      <c r="L26" s="259" t="s">
        <v>45</v>
      </c>
      <c r="M26" s="258">
        <v>0</v>
      </c>
      <c r="N26" s="258">
        <v>1</v>
      </c>
      <c r="O26" s="258">
        <v>11</v>
      </c>
      <c r="P26" s="255" t="s">
        <v>87</v>
      </c>
      <c r="Q26" s="251"/>
      <c r="R26" s="251"/>
      <c r="S26" s="251"/>
      <c r="T26" s="251"/>
      <c r="U26" s="251"/>
      <c r="V26" s="251"/>
      <c r="W26" s="251"/>
      <c r="X26" s="251"/>
      <c r="Y26" s="251"/>
      <c r="Z26" s="258" t="s">
        <v>208</v>
      </c>
      <c r="AA26" s="251"/>
      <c r="AB26" s="251"/>
      <c r="AC26" s="251"/>
      <c r="AD26" s="258" t="s">
        <v>186</v>
      </c>
      <c r="AE26" s="258" t="s">
        <v>334</v>
      </c>
      <c r="AF26" s="258" t="s">
        <v>37</v>
      </c>
      <c r="AG26" s="251"/>
      <c r="AH26" s="251"/>
      <c r="AI26" s="258" t="s">
        <v>311</v>
      </c>
      <c r="AJ26" s="251"/>
    </row>
    <row r="27" spans="1:36" x14ac:dyDescent="0.3">
      <c r="A27" s="253" t="s">
        <v>340</v>
      </c>
      <c r="B27" s="254">
        <v>46022</v>
      </c>
      <c r="C27" s="255" t="s">
        <v>38</v>
      </c>
      <c r="D27" s="256" t="s">
        <v>307</v>
      </c>
      <c r="E27" s="255" t="s">
        <v>1</v>
      </c>
      <c r="F27" s="255" t="s">
        <v>302</v>
      </c>
      <c r="G27" s="257">
        <v>0.6704</v>
      </c>
      <c r="H27" s="258">
        <v>179</v>
      </c>
      <c r="I27" s="258">
        <v>120</v>
      </c>
      <c r="J27" s="258">
        <v>90</v>
      </c>
      <c r="K27" s="255" t="s">
        <v>303</v>
      </c>
      <c r="L27" s="259" t="s">
        <v>32</v>
      </c>
      <c r="M27" s="258">
        <v>0</v>
      </c>
      <c r="N27" s="258">
        <v>0</v>
      </c>
      <c r="O27" s="258">
        <v>1</v>
      </c>
      <c r="P27" s="255" t="s">
        <v>89</v>
      </c>
      <c r="Q27" s="251"/>
      <c r="R27" s="251"/>
      <c r="S27" s="251"/>
      <c r="T27" s="251"/>
      <c r="U27" s="251"/>
      <c r="V27" s="251"/>
      <c r="W27" s="251"/>
      <c r="X27" s="251"/>
      <c r="Y27" s="258" t="s">
        <v>343</v>
      </c>
      <c r="Z27" s="251"/>
      <c r="AA27" s="251"/>
      <c r="AB27" s="251"/>
      <c r="AC27" s="251"/>
      <c r="AD27" s="258" t="s">
        <v>80</v>
      </c>
      <c r="AE27" s="258" t="s">
        <v>334</v>
      </c>
      <c r="AF27" s="258" t="s">
        <v>37</v>
      </c>
      <c r="AG27" s="251"/>
      <c r="AH27" s="251"/>
      <c r="AI27" s="258" t="s">
        <v>311</v>
      </c>
      <c r="AJ27" s="251"/>
    </row>
    <row r="28" spans="1:36" x14ac:dyDescent="0.3">
      <c r="A28" s="253" t="s">
        <v>344</v>
      </c>
      <c r="B28" s="254">
        <v>46023</v>
      </c>
      <c r="C28" s="255" t="s">
        <v>29</v>
      </c>
      <c r="D28" s="256" t="s">
        <v>345</v>
      </c>
      <c r="E28" s="255" t="s">
        <v>1</v>
      </c>
      <c r="F28" s="255" t="s">
        <v>302</v>
      </c>
      <c r="G28" s="257">
        <v>2.3800000000000002E-2</v>
      </c>
      <c r="H28" s="258">
        <v>168</v>
      </c>
      <c r="I28" s="258">
        <v>4</v>
      </c>
      <c r="J28" s="258">
        <v>0</v>
      </c>
      <c r="K28" s="255" t="s">
        <v>303</v>
      </c>
      <c r="L28" s="259" t="s">
        <v>91</v>
      </c>
      <c r="M28" s="258">
        <v>0</v>
      </c>
      <c r="N28" s="258">
        <v>0</v>
      </c>
      <c r="O28" s="258">
        <v>4</v>
      </c>
      <c r="P28" s="255" t="s">
        <v>92</v>
      </c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8" t="s">
        <v>192</v>
      </c>
      <c r="AD28" s="258" t="s">
        <v>89</v>
      </c>
      <c r="AE28" s="251"/>
      <c r="AF28" s="251"/>
      <c r="AG28" s="251"/>
      <c r="AH28" s="251"/>
      <c r="AI28" s="251"/>
      <c r="AJ28" s="251"/>
    </row>
    <row r="29" spans="1:36" x14ac:dyDescent="0.3">
      <c r="A29" s="253" t="s">
        <v>344</v>
      </c>
      <c r="B29" s="254">
        <v>46023</v>
      </c>
      <c r="C29" s="255" t="s">
        <v>44</v>
      </c>
      <c r="D29" s="256" t="s">
        <v>301</v>
      </c>
      <c r="E29" s="255" t="s">
        <v>1</v>
      </c>
      <c r="F29" s="255" t="s">
        <v>302</v>
      </c>
      <c r="G29" s="257">
        <v>0.32140000000000002</v>
      </c>
      <c r="H29" s="258">
        <v>168</v>
      </c>
      <c r="I29" s="258">
        <v>54</v>
      </c>
      <c r="J29" s="258">
        <v>45</v>
      </c>
      <c r="K29" s="255" t="s">
        <v>303</v>
      </c>
      <c r="L29" s="259" t="s">
        <v>94</v>
      </c>
      <c r="M29" s="258">
        <v>0</v>
      </c>
      <c r="N29" s="258">
        <v>0</v>
      </c>
      <c r="O29" s="258">
        <v>10</v>
      </c>
      <c r="P29" s="255" t="s">
        <v>95</v>
      </c>
      <c r="Q29" s="251"/>
      <c r="R29" s="251"/>
      <c r="S29" s="251"/>
      <c r="T29" s="251"/>
      <c r="U29" s="251"/>
      <c r="V29" s="251"/>
      <c r="W29" s="251"/>
      <c r="X29" s="251"/>
      <c r="Y29" s="251"/>
      <c r="Z29" s="258" t="s">
        <v>326</v>
      </c>
      <c r="AA29" s="251"/>
      <c r="AB29" s="251"/>
      <c r="AC29" s="251"/>
      <c r="AD29" s="258" t="s">
        <v>127</v>
      </c>
      <c r="AE29" s="251"/>
      <c r="AF29" s="251"/>
      <c r="AG29" s="251"/>
      <c r="AH29" s="251"/>
      <c r="AI29" s="258" t="s">
        <v>327</v>
      </c>
      <c r="AJ29" s="251"/>
    </row>
    <row r="30" spans="1:36" x14ac:dyDescent="0.3">
      <c r="A30" s="253" t="s">
        <v>344</v>
      </c>
      <c r="B30" s="254">
        <v>46023</v>
      </c>
      <c r="C30" s="255" t="s">
        <v>51</v>
      </c>
      <c r="D30" s="256" t="s">
        <v>346</v>
      </c>
      <c r="E30" s="255" t="s">
        <v>1</v>
      </c>
      <c r="F30" s="255" t="s">
        <v>302</v>
      </c>
      <c r="G30" s="257">
        <v>0.77380000000000004</v>
      </c>
      <c r="H30" s="258">
        <v>168</v>
      </c>
      <c r="I30" s="258">
        <v>130</v>
      </c>
      <c r="J30" s="258">
        <v>130</v>
      </c>
      <c r="K30" s="255" t="s">
        <v>303</v>
      </c>
      <c r="L30" s="259" t="s">
        <v>97</v>
      </c>
      <c r="M30" s="258">
        <v>0</v>
      </c>
      <c r="N30" s="258">
        <v>0</v>
      </c>
      <c r="O30" s="258">
        <v>7</v>
      </c>
      <c r="P30" s="255" t="s">
        <v>80</v>
      </c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8" t="s">
        <v>98</v>
      </c>
      <c r="AH30" s="251"/>
      <c r="AI30" s="251"/>
      <c r="AJ30" s="251"/>
    </row>
    <row r="31" spans="1:36" x14ac:dyDescent="0.3">
      <c r="A31" s="253" t="s">
        <v>344</v>
      </c>
      <c r="B31" s="254">
        <v>46023</v>
      </c>
      <c r="C31" s="255" t="s">
        <v>35</v>
      </c>
      <c r="D31" s="256" t="s">
        <v>314</v>
      </c>
      <c r="E31" s="255" t="s">
        <v>1</v>
      </c>
      <c r="F31" s="255" t="s">
        <v>302</v>
      </c>
      <c r="G31" s="257">
        <v>0.80359999999999998</v>
      </c>
      <c r="H31" s="258">
        <v>168</v>
      </c>
      <c r="I31" s="258">
        <v>135</v>
      </c>
      <c r="J31" s="258">
        <v>130</v>
      </c>
      <c r="K31" s="255" t="s">
        <v>303</v>
      </c>
      <c r="L31" s="259" t="s">
        <v>99</v>
      </c>
      <c r="M31" s="258">
        <v>0</v>
      </c>
      <c r="N31" s="258">
        <v>0</v>
      </c>
      <c r="O31" s="258">
        <v>8</v>
      </c>
      <c r="P31" s="255" t="s">
        <v>87</v>
      </c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8" t="s">
        <v>160</v>
      </c>
      <c r="AD31" s="258" t="s">
        <v>133</v>
      </c>
      <c r="AE31" s="251"/>
      <c r="AF31" s="251"/>
      <c r="AG31" s="258" t="s">
        <v>240</v>
      </c>
      <c r="AH31" s="251"/>
      <c r="AI31" s="258" t="s">
        <v>311</v>
      </c>
      <c r="AJ31" s="251"/>
    </row>
    <row r="32" spans="1:36" x14ac:dyDescent="0.3">
      <c r="A32" s="253" t="s">
        <v>344</v>
      </c>
      <c r="B32" s="254">
        <v>46023</v>
      </c>
      <c r="C32" s="255" t="s">
        <v>101</v>
      </c>
      <c r="D32" s="256" t="s">
        <v>347</v>
      </c>
      <c r="E32" s="255" t="s">
        <v>1</v>
      </c>
      <c r="F32" s="255" t="s">
        <v>302</v>
      </c>
      <c r="G32" s="257">
        <v>0.28570000000000001</v>
      </c>
      <c r="H32" s="258">
        <v>168</v>
      </c>
      <c r="I32" s="258">
        <v>48</v>
      </c>
      <c r="J32" s="258">
        <v>45</v>
      </c>
      <c r="K32" s="255" t="s">
        <v>303</v>
      </c>
      <c r="L32" s="259" t="s">
        <v>91</v>
      </c>
      <c r="M32" s="258">
        <v>0</v>
      </c>
      <c r="N32" s="258">
        <v>0</v>
      </c>
      <c r="O32" s="258">
        <v>4</v>
      </c>
      <c r="P32" s="255" t="s">
        <v>102</v>
      </c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8" t="s">
        <v>104</v>
      </c>
      <c r="AD32" s="251"/>
      <c r="AE32" s="251"/>
      <c r="AF32" s="251"/>
      <c r="AG32" s="251"/>
      <c r="AH32" s="251"/>
      <c r="AI32" s="258" t="s">
        <v>327</v>
      </c>
      <c r="AJ32" s="251"/>
    </row>
    <row r="33" spans="1:36" x14ac:dyDescent="0.3">
      <c r="A33" s="253" t="s">
        <v>344</v>
      </c>
      <c r="B33" s="254">
        <v>46023</v>
      </c>
      <c r="C33" s="255" t="s">
        <v>38</v>
      </c>
      <c r="D33" s="256" t="s">
        <v>348</v>
      </c>
      <c r="E33" s="255" t="s">
        <v>1</v>
      </c>
      <c r="F33" s="255" t="s">
        <v>302</v>
      </c>
      <c r="G33" s="257">
        <v>0.875</v>
      </c>
      <c r="H33" s="258">
        <v>168</v>
      </c>
      <c r="I33" s="258">
        <v>147</v>
      </c>
      <c r="J33" s="258">
        <v>140</v>
      </c>
      <c r="K33" s="255" t="s">
        <v>303</v>
      </c>
      <c r="L33" s="259" t="s">
        <v>94</v>
      </c>
      <c r="M33" s="258">
        <v>0</v>
      </c>
      <c r="N33" s="258">
        <v>0</v>
      </c>
      <c r="O33" s="258">
        <v>11</v>
      </c>
      <c r="P33" s="255" t="s">
        <v>104</v>
      </c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8" t="s">
        <v>144</v>
      </c>
      <c r="AD33" s="251"/>
      <c r="AE33" s="251"/>
      <c r="AF33" s="251"/>
      <c r="AG33" s="251"/>
      <c r="AH33" s="251"/>
      <c r="AI33" s="258" t="s">
        <v>349</v>
      </c>
      <c r="AJ33" s="251"/>
    </row>
    <row r="34" spans="1:36" x14ac:dyDescent="0.3">
      <c r="A34" s="253" t="s">
        <v>344</v>
      </c>
      <c r="B34" s="254">
        <v>46023</v>
      </c>
      <c r="C34" s="255" t="s">
        <v>40</v>
      </c>
      <c r="D34" s="256" t="s">
        <v>350</v>
      </c>
      <c r="E34" s="255" t="s">
        <v>1</v>
      </c>
      <c r="F34" s="255" t="s">
        <v>302</v>
      </c>
      <c r="G34" s="257">
        <v>0.875</v>
      </c>
      <c r="H34" s="258">
        <v>168</v>
      </c>
      <c r="I34" s="258">
        <v>147</v>
      </c>
      <c r="J34" s="258">
        <v>140</v>
      </c>
      <c r="K34" s="255" t="s">
        <v>303</v>
      </c>
      <c r="L34" s="259" t="s">
        <v>106</v>
      </c>
      <c r="M34" s="258">
        <v>0</v>
      </c>
      <c r="N34" s="258">
        <v>0</v>
      </c>
      <c r="O34" s="258">
        <v>11</v>
      </c>
      <c r="P34" s="255" t="s">
        <v>102</v>
      </c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8" t="s">
        <v>160</v>
      </c>
      <c r="AD34" s="251"/>
      <c r="AE34" s="251"/>
      <c r="AF34" s="251"/>
      <c r="AG34" s="251"/>
      <c r="AH34" s="251"/>
      <c r="AI34" s="258" t="s">
        <v>349</v>
      </c>
      <c r="AJ34" s="258" t="s">
        <v>351</v>
      </c>
    </row>
    <row r="35" spans="1:36" x14ac:dyDescent="0.3">
      <c r="A35" s="253" t="s">
        <v>300</v>
      </c>
      <c r="B35" s="254">
        <v>46024</v>
      </c>
      <c r="C35" s="255" t="s">
        <v>29</v>
      </c>
      <c r="D35" s="256" t="s">
        <v>301</v>
      </c>
      <c r="E35" s="255" t="s">
        <v>1</v>
      </c>
      <c r="F35" s="255" t="s">
        <v>302</v>
      </c>
      <c r="G35" s="257">
        <v>0</v>
      </c>
      <c r="H35" s="258">
        <v>174</v>
      </c>
      <c r="I35" s="258">
        <v>0</v>
      </c>
      <c r="J35" s="258">
        <v>0</v>
      </c>
      <c r="K35" s="255" t="s">
        <v>303</v>
      </c>
      <c r="L35" s="259" t="s">
        <v>109</v>
      </c>
      <c r="M35" s="258">
        <v>0</v>
      </c>
      <c r="N35" s="258">
        <v>0</v>
      </c>
      <c r="O35" s="258">
        <v>0</v>
      </c>
      <c r="P35" s="255" t="s">
        <v>102</v>
      </c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</row>
    <row r="36" spans="1:36" x14ac:dyDescent="0.3">
      <c r="A36" s="253" t="s">
        <v>300</v>
      </c>
      <c r="B36" s="254">
        <v>46024</v>
      </c>
      <c r="C36" s="255" t="s">
        <v>35</v>
      </c>
      <c r="D36" s="256" t="s">
        <v>305</v>
      </c>
      <c r="E36" s="255" t="s">
        <v>1</v>
      </c>
      <c r="F36" s="255" t="s">
        <v>302</v>
      </c>
      <c r="G36" s="257">
        <v>0</v>
      </c>
      <c r="H36" s="258">
        <v>168</v>
      </c>
      <c r="I36" s="258">
        <v>0</v>
      </c>
      <c r="J36" s="258">
        <v>0</v>
      </c>
      <c r="K36" s="255" t="s">
        <v>303</v>
      </c>
      <c r="L36" s="259" t="s">
        <v>109</v>
      </c>
      <c r="M36" s="258">
        <v>0</v>
      </c>
      <c r="N36" s="258">
        <v>0</v>
      </c>
      <c r="O36" s="258">
        <v>0</v>
      </c>
      <c r="P36" s="255" t="s">
        <v>102</v>
      </c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</row>
    <row r="37" spans="1:36" x14ac:dyDescent="0.3">
      <c r="A37" s="253" t="s">
        <v>300</v>
      </c>
      <c r="B37" s="254">
        <v>46024</v>
      </c>
      <c r="C37" s="255" t="s">
        <v>38</v>
      </c>
      <c r="D37" s="256" t="s">
        <v>306</v>
      </c>
      <c r="E37" s="255" t="s">
        <v>1</v>
      </c>
      <c r="F37" s="255" t="s">
        <v>302</v>
      </c>
      <c r="G37" s="257">
        <v>0</v>
      </c>
      <c r="H37" s="258">
        <v>168</v>
      </c>
      <c r="I37" s="258">
        <v>0</v>
      </c>
      <c r="J37" s="258">
        <v>0</v>
      </c>
      <c r="K37" s="255" t="s">
        <v>303</v>
      </c>
      <c r="L37" s="259" t="s">
        <v>109</v>
      </c>
      <c r="M37" s="258">
        <v>0</v>
      </c>
      <c r="N37" s="258">
        <v>0</v>
      </c>
      <c r="O37" s="258">
        <v>0</v>
      </c>
      <c r="P37" s="255" t="s">
        <v>102</v>
      </c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</row>
    <row r="38" spans="1:36" x14ac:dyDescent="0.3">
      <c r="A38" s="253" t="s">
        <v>300</v>
      </c>
      <c r="B38" s="254">
        <v>46024</v>
      </c>
      <c r="C38" s="255" t="s">
        <v>40</v>
      </c>
      <c r="D38" s="256" t="s">
        <v>307</v>
      </c>
      <c r="E38" s="255" t="s">
        <v>1</v>
      </c>
      <c r="F38" s="255" t="s">
        <v>302</v>
      </c>
      <c r="G38" s="257">
        <v>0.58930000000000005</v>
      </c>
      <c r="H38" s="258">
        <v>168</v>
      </c>
      <c r="I38" s="258">
        <v>99</v>
      </c>
      <c r="J38" s="258">
        <v>90</v>
      </c>
      <c r="K38" s="255" t="s">
        <v>303</v>
      </c>
      <c r="L38" s="259" t="s">
        <v>110</v>
      </c>
      <c r="M38" s="258">
        <v>0</v>
      </c>
      <c r="N38" s="258">
        <v>0</v>
      </c>
      <c r="O38" s="258">
        <v>10</v>
      </c>
      <c r="P38" s="255" t="s">
        <v>89</v>
      </c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8" t="s">
        <v>160</v>
      </c>
      <c r="AD38" s="258" t="s">
        <v>92</v>
      </c>
      <c r="AE38" s="251"/>
      <c r="AF38" s="251"/>
      <c r="AG38" s="251"/>
      <c r="AH38" s="251"/>
      <c r="AI38" s="258" t="s">
        <v>311</v>
      </c>
      <c r="AJ38" s="251"/>
    </row>
    <row r="39" spans="1:36" x14ac:dyDescent="0.3">
      <c r="A39" s="253" t="s">
        <v>300</v>
      </c>
      <c r="B39" s="254">
        <v>46024</v>
      </c>
      <c r="C39" s="255" t="s">
        <v>44</v>
      </c>
      <c r="D39" s="256" t="s">
        <v>308</v>
      </c>
      <c r="E39" s="255" t="s">
        <v>1</v>
      </c>
      <c r="F39" s="255" t="s">
        <v>302</v>
      </c>
      <c r="G39" s="257">
        <v>0.33329999999999999</v>
      </c>
      <c r="H39" s="258">
        <v>168</v>
      </c>
      <c r="I39" s="258">
        <v>56</v>
      </c>
      <c r="J39" s="258">
        <v>45</v>
      </c>
      <c r="K39" s="255" t="s">
        <v>303</v>
      </c>
      <c r="L39" s="259" t="s">
        <v>97</v>
      </c>
      <c r="M39" s="258">
        <v>0</v>
      </c>
      <c r="N39" s="258">
        <v>0</v>
      </c>
      <c r="O39" s="258">
        <v>12</v>
      </c>
      <c r="P39" s="255" t="s">
        <v>102</v>
      </c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8" t="s">
        <v>160</v>
      </c>
      <c r="AD39" s="258" t="s">
        <v>132</v>
      </c>
      <c r="AE39" s="251"/>
      <c r="AF39" s="251"/>
      <c r="AG39" s="251"/>
      <c r="AH39" s="251"/>
      <c r="AI39" s="258" t="s">
        <v>327</v>
      </c>
      <c r="AJ39" s="251"/>
    </row>
    <row r="40" spans="1:36" x14ac:dyDescent="0.3">
      <c r="A40" s="253" t="s">
        <v>300</v>
      </c>
      <c r="B40" s="254">
        <v>46024</v>
      </c>
      <c r="C40" s="255" t="s">
        <v>48</v>
      </c>
      <c r="D40" s="256" t="s">
        <v>310</v>
      </c>
      <c r="E40" s="255" t="s">
        <v>1</v>
      </c>
      <c r="F40" s="255" t="s">
        <v>302</v>
      </c>
      <c r="G40" s="257">
        <v>0.54759999999999998</v>
      </c>
      <c r="H40" s="258">
        <v>168</v>
      </c>
      <c r="I40" s="258">
        <v>92</v>
      </c>
      <c r="J40" s="258">
        <v>80</v>
      </c>
      <c r="K40" s="255" t="s">
        <v>303</v>
      </c>
      <c r="L40" s="259" t="s">
        <v>113</v>
      </c>
      <c r="M40" s="258">
        <v>0</v>
      </c>
      <c r="N40" s="258">
        <v>0</v>
      </c>
      <c r="O40" s="258">
        <v>14</v>
      </c>
      <c r="P40" s="255" t="s">
        <v>114</v>
      </c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8" t="s">
        <v>104</v>
      </c>
      <c r="AD40" s="258" t="s">
        <v>80</v>
      </c>
      <c r="AE40" s="251"/>
      <c r="AF40" s="251"/>
      <c r="AG40" s="251"/>
      <c r="AH40" s="251"/>
      <c r="AI40" s="258" t="s">
        <v>352</v>
      </c>
      <c r="AJ40" s="251"/>
    </row>
    <row r="41" spans="1:36" x14ac:dyDescent="0.3">
      <c r="A41" s="253" t="s">
        <v>312</v>
      </c>
      <c r="B41" s="254">
        <v>46025</v>
      </c>
      <c r="C41" s="255" t="s">
        <v>51</v>
      </c>
      <c r="D41" s="256" t="s">
        <v>313</v>
      </c>
      <c r="E41" s="255" t="s">
        <v>1</v>
      </c>
      <c r="F41" s="255" t="s">
        <v>302</v>
      </c>
      <c r="G41" s="257">
        <v>0.52869999999999995</v>
      </c>
      <c r="H41" s="258">
        <v>174</v>
      </c>
      <c r="I41" s="258">
        <v>92</v>
      </c>
      <c r="J41" s="258">
        <v>90</v>
      </c>
      <c r="K41" s="255" t="s">
        <v>303</v>
      </c>
      <c r="L41" s="259" t="s">
        <v>116</v>
      </c>
      <c r="M41" s="258">
        <v>0</v>
      </c>
      <c r="N41" s="258">
        <v>0</v>
      </c>
      <c r="O41" s="258">
        <v>4</v>
      </c>
      <c r="P41" s="255" t="s">
        <v>80</v>
      </c>
      <c r="Q41" s="251"/>
      <c r="R41" s="251"/>
      <c r="S41" s="251"/>
      <c r="T41" s="251"/>
      <c r="U41" s="251"/>
      <c r="V41" s="258" t="s">
        <v>353</v>
      </c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8" t="s">
        <v>311</v>
      </c>
      <c r="AJ41" s="251"/>
    </row>
    <row r="42" spans="1:36" x14ac:dyDescent="0.3">
      <c r="A42" s="253" t="s">
        <v>312</v>
      </c>
      <c r="B42" s="254">
        <v>46025</v>
      </c>
      <c r="C42" s="255" t="s">
        <v>35</v>
      </c>
      <c r="D42" s="256" t="s">
        <v>314</v>
      </c>
      <c r="E42" s="255" t="s">
        <v>1</v>
      </c>
      <c r="F42" s="255" t="s">
        <v>302</v>
      </c>
      <c r="G42" s="257">
        <v>0.86309999999999998</v>
      </c>
      <c r="H42" s="258">
        <v>168</v>
      </c>
      <c r="I42" s="258">
        <v>145</v>
      </c>
      <c r="J42" s="258">
        <v>135</v>
      </c>
      <c r="K42" s="255" t="s">
        <v>303</v>
      </c>
      <c r="L42" s="259" t="s">
        <v>97</v>
      </c>
      <c r="M42" s="258">
        <v>0</v>
      </c>
      <c r="N42" s="258">
        <v>0</v>
      </c>
      <c r="O42" s="258">
        <v>13</v>
      </c>
      <c r="P42" s="255" t="s">
        <v>102</v>
      </c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8" t="s">
        <v>132</v>
      </c>
      <c r="AE42" s="251"/>
      <c r="AF42" s="251"/>
      <c r="AG42" s="251"/>
      <c r="AH42" s="251"/>
      <c r="AI42" s="258" t="s">
        <v>123</v>
      </c>
      <c r="AJ42" s="251"/>
    </row>
    <row r="43" spans="1:36" x14ac:dyDescent="0.3">
      <c r="A43" s="253" t="s">
        <v>312</v>
      </c>
      <c r="B43" s="254">
        <v>46025</v>
      </c>
      <c r="C43" s="255" t="s">
        <v>38</v>
      </c>
      <c r="D43" s="256" t="s">
        <v>316</v>
      </c>
      <c r="E43" s="255" t="s">
        <v>1</v>
      </c>
      <c r="F43" s="255" t="s">
        <v>302</v>
      </c>
      <c r="G43" s="257">
        <v>0.99399999999999999</v>
      </c>
      <c r="H43" s="258">
        <v>168</v>
      </c>
      <c r="I43" s="258">
        <v>167</v>
      </c>
      <c r="J43" s="258">
        <v>157</v>
      </c>
      <c r="K43" s="255" t="s">
        <v>303</v>
      </c>
      <c r="L43" s="259" t="s">
        <v>119</v>
      </c>
      <c r="M43" s="258">
        <v>0</v>
      </c>
      <c r="N43" s="258">
        <v>0</v>
      </c>
      <c r="O43" s="258">
        <v>15</v>
      </c>
      <c r="P43" s="255" t="s">
        <v>58</v>
      </c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8" t="s">
        <v>132</v>
      </c>
      <c r="AE43" s="251"/>
      <c r="AF43" s="251"/>
      <c r="AG43" s="251"/>
      <c r="AH43" s="251"/>
      <c r="AI43" s="258" t="s">
        <v>354</v>
      </c>
      <c r="AJ43" s="251"/>
    </row>
    <row r="44" spans="1:36" x14ac:dyDescent="0.3">
      <c r="A44" s="253" t="s">
        <v>317</v>
      </c>
      <c r="B44" s="254">
        <v>46026</v>
      </c>
      <c r="C44" s="255" t="s">
        <v>29</v>
      </c>
      <c r="D44" s="256" t="s">
        <v>318</v>
      </c>
      <c r="E44" s="255" t="s">
        <v>1</v>
      </c>
      <c r="F44" s="255" t="s">
        <v>302</v>
      </c>
      <c r="G44" s="257">
        <v>0.98209999999999997</v>
      </c>
      <c r="H44" s="258">
        <v>168</v>
      </c>
      <c r="I44" s="258">
        <v>165</v>
      </c>
      <c r="J44" s="258">
        <v>160</v>
      </c>
      <c r="K44" s="255" t="s">
        <v>303</v>
      </c>
      <c r="L44" s="259" t="s">
        <v>113</v>
      </c>
      <c r="M44" s="258">
        <v>0</v>
      </c>
      <c r="N44" s="258">
        <v>0</v>
      </c>
      <c r="O44" s="258">
        <v>14</v>
      </c>
      <c r="P44" s="255" t="s">
        <v>58</v>
      </c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8" t="s">
        <v>269</v>
      </c>
      <c r="AD44" s="251"/>
      <c r="AE44" s="251"/>
      <c r="AF44" s="251"/>
      <c r="AG44" s="258" t="s">
        <v>355</v>
      </c>
      <c r="AH44" s="251"/>
      <c r="AI44" s="251"/>
      <c r="AJ44" s="251"/>
    </row>
    <row r="45" spans="1:36" x14ac:dyDescent="0.3">
      <c r="A45" s="253" t="s">
        <v>317</v>
      </c>
      <c r="B45" s="254">
        <v>46026</v>
      </c>
      <c r="C45" s="255" t="s">
        <v>35</v>
      </c>
      <c r="D45" s="256" t="s">
        <v>305</v>
      </c>
      <c r="E45" s="255" t="s">
        <v>1</v>
      </c>
      <c r="F45" s="255" t="s">
        <v>302</v>
      </c>
      <c r="G45" s="257">
        <v>1.1900000000000001E-2</v>
      </c>
      <c r="H45" s="258">
        <v>168</v>
      </c>
      <c r="I45" s="258">
        <v>2</v>
      </c>
      <c r="J45" s="258">
        <v>0</v>
      </c>
      <c r="K45" s="255" t="s">
        <v>303</v>
      </c>
      <c r="L45" s="259" t="s">
        <v>106</v>
      </c>
      <c r="M45" s="258">
        <v>0</v>
      </c>
      <c r="N45" s="258">
        <v>0</v>
      </c>
      <c r="O45" s="258">
        <v>2</v>
      </c>
      <c r="P45" s="255" t="s">
        <v>92</v>
      </c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8" t="s">
        <v>89</v>
      </c>
      <c r="AE45" s="251"/>
      <c r="AF45" s="251"/>
      <c r="AG45" s="251"/>
      <c r="AH45" s="251"/>
      <c r="AI45" s="251"/>
      <c r="AJ45" s="251"/>
    </row>
    <row r="46" spans="1:36" x14ac:dyDescent="0.3">
      <c r="A46" s="253" t="s">
        <v>317</v>
      </c>
      <c r="B46" s="254">
        <v>46026</v>
      </c>
      <c r="C46" s="255" t="s">
        <v>101</v>
      </c>
      <c r="D46" s="256" t="s">
        <v>314</v>
      </c>
      <c r="E46" s="255" t="s">
        <v>1</v>
      </c>
      <c r="F46" s="255" t="s">
        <v>302</v>
      </c>
      <c r="G46" s="257">
        <v>0.80359999999999998</v>
      </c>
      <c r="H46" s="258">
        <v>168</v>
      </c>
      <c r="I46" s="258">
        <v>135</v>
      </c>
      <c r="J46" s="258">
        <v>135</v>
      </c>
      <c r="K46" s="255" t="s">
        <v>303</v>
      </c>
      <c r="L46" s="259" t="s">
        <v>122</v>
      </c>
      <c r="M46" s="258">
        <v>0</v>
      </c>
      <c r="N46" s="258">
        <v>0</v>
      </c>
      <c r="O46" s="258">
        <v>3</v>
      </c>
      <c r="P46" s="255" t="s">
        <v>102</v>
      </c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8" t="s">
        <v>123</v>
      </c>
      <c r="AJ46" s="251"/>
    </row>
    <row r="47" spans="1:36" x14ac:dyDescent="0.3">
      <c r="A47" s="253" t="s">
        <v>317</v>
      </c>
      <c r="B47" s="254">
        <v>46026</v>
      </c>
      <c r="C47" s="255" t="s">
        <v>48</v>
      </c>
      <c r="D47" s="256" t="s">
        <v>321</v>
      </c>
      <c r="E47" s="255" t="s">
        <v>1</v>
      </c>
      <c r="F47" s="255" t="s">
        <v>302</v>
      </c>
      <c r="G47" s="257">
        <v>0.79169999999999996</v>
      </c>
      <c r="H47" s="258">
        <v>168</v>
      </c>
      <c r="I47" s="258">
        <v>133</v>
      </c>
      <c r="J47" s="258">
        <v>130</v>
      </c>
      <c r="K47" s="255" t="s">
        <v>303</v>
      </c>
      <c r="L47" s="259" t="s">
        <v>97</v>
      </c>
      <c r="M47" s="258">
        <v>0</v>
      </c>
      <c r="N47" s="258">
        <v>0</v>
      </c>
      <c r="O47" s="258">
        <v>6</v>
      </c>
      <c r="P47" s="255" t="s">
        <v>95</v>
      </c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8" t="s">
        <v>127</v>
      </c>
      <c r="AE47" s="251"/>
      <c r="AF47" s="251"/>
      <c r="AG47" s="251"/>
      <c r="AH47" s="251"/>
      <c r="AI47" s="258" t="s">
        <v>356</v>
      </c>
      <c r="AJ47" s="251"/>
    </row>
    <row r="48" spans="1:36" x14ac:dyDescent="0.3">
      <c r="A48" s="253" t="s">
        <v>317</v>
      </c>
      <c r="B48" s="254">
        <v>46026</v>
      </c>
      <c r="C48" s="255" t="s">
        <v>38</v>
      </c>
      <c r="D48" s="256" t="s">
        <v>322</v>
      </c>
      <c r="E48" s="255" t="s">
        <v>1</v>
      </c>
      <c r="F48" s="255" t="s">
        <v>302</v>
      </c>
      <c r="G48" s="257">
        <v>0.58930000000000005</v>
      </c>
      <c r="H48" s="258">
        <v>168</v>
      </c>
      <c r="I48" s="258">
        <v>99</v>
      </c>
      <c r="J48" s="258">
        <v>90</v>
      </c>
      <c r="K48" s="255" t="s">
        <v>303</v>
      </c>
      <c r="L48" s="259" t="s">
        <v>113</v>
      </c>
      <c r="M48" s="258">
        <v>0</v>
      </c>
      <c r="N48" s="258">
        <v>0</v>
      </c>
      <c r="O48" s="258">
        <v>12</v>
      </c>
      <c r="P48" s="255" t="s">
        <v>114</v>
      </c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8" t="s">
        <v>92</v>
      </c>
      <c r="AE48" s="251"/>
      <c r="AF48" s="258" t="s">
        <v>42</v>
      </c>
      <c r="AG48" s="251"/>
      <c r="AH48" s="251"/>
      <c r="AI48" s="258" t="s">
        <v>311</v>
      </c>
      <c r="AJ48" s="251"/>
    </row>
    <row r="49" spans="1:36" x14ac:dyDescent="0.3">
      <c r="A49" s="253" t="s">
        <v>323</v>
      </c>
      <c r="B49" s="254">
        <v>46027</v>
      </c>
      <c r="C49" s="255" t="s">
        <v>40</v>
      </c>
      <c r="D49" s="256" t="s">
        <v>324</v>
      </c>
      <c r="E49" s="255" t="s">
        <v>1</v>
      </c>
      <c r="F49" s="255" t="s">
        <v>302</v>
      </c>
      <c r="G49" s="257">
        <v>6.0000000000000001E-3</v>
      </c>
      <c r="H49" s="258">
        <v>168</v>
      </c>
      <c r="I49" s="258">
        <v>1</v>
      </c>
      <c r="J49" s="258">
        <v>0</v>
      </c>
      <c r="K49" s="255" t="s">
        <v>303</v>
      </c>
      <c r="L49" s="259" t="s">
        <v>126</v>
      </c>
      <c r="M49" s="258">
        <v>0</v>
      </c>
      <c r="N49" s="258">
        <v>0</v>
      </c>
      <c r="O49" s="258">
        <v>1</v>
      </c>
      <c r="P49" s="255" t="s">
        <v>80</v>
      </c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8" t="s">
        <v>114</v>
      </c>
      <c r="AE49" s="251"/>
      <c r="AF49" s="251"/>
      <c r="AG49" s="251"/>
      <c r="AH49" s="251"/>
      <c r="AI49" s="251"/>
      <c r="AJ49" s="251"/>
    </row>
    <row r="50" spans="1:36" x14ac:dyDescent="0.3">
      <c r="A50" s="253" t="s">
        <v>323</v>
      </c>
      <c r="B50" s="254">
        <v>46027</v>
      </c>
      <c r="C50" s="255" t="s">
        <v>35</v>
      </c>
      <c r="D50" s="256" t="s">
        <v>325</v>
      </c>
      <c r="E50" s="255" t="s">
        <v>1</v>
      </c>
      <c r="F50" s="255" t="s">
        <v>302</v>
      </c>
      <c r="G50" s="257">
        <v>0.85709999999999997</v>
      </c>
      <c r="H50" s="258">
        <v>168</v>
      </c>
      <c r="I50" s="258">
        <v>144</v>
      </c>
      <c r="J50" s="258">
        <v>136</v>
      </c>
      <c r="K50" s="255" t="s">
        <v>303</v>
      </c>
      <c r="L50" s="259" t="s">
        <v>94</v>
      </c>
      <c r="M50" s="258">
        <v>0</v>
      </c>
      <c r="N50" s="258">
        <v>0</v>
      </c>
      <c r="O50" s="258">
        <v>12</v>
      </c>
      <c r="P50" s="255" t="s">
        <v>127</v>
      </c>
      <c r="Q50" s="251"/>
      <c r="R50" s="251"/>
      <c r="S50" s="251"/>
      <c r="T50" s="251"/>
      <c r="U50" s="251"/>
      <c r="V50" s="251"/>
      <c r="W50" s="251"/>
      <c r="X50" s="251"/>
      <c r="Y50" s="251"/>
      <c r="Z50" s="258" t="s">
        <v>208</v>
      </c>
      <c r="AA50" s="251"/>
      <c r="AB50" s="251"/>
      <c r="AC50" s="251"/>
      <c r="AD50" s="258" t="s">
        <v>95</v>
      </c>
      <c r="AE50" s="251"/>
      <c r="AF50" s="251"/>
      <c r="AG50" s="251"/>
      <c r="AH50" s="251"/>
      <c r="AI50" s="258" t="s">
        <v>357</v>
      </c>
      <c r="AJ50" s="251"/>
    </row>
    <row r="51" spans="1:36" x14ac:dyDescent="0.3">
      <c r="A51" s="253" t="s">
        <v>323</v>
      </c>
      <c r="B51" s="254">
        <v>46027</v>
      </c>
      <c r="C51" s="255" t="s">
        <v>38</v>
      </c>
      <c r="D51" s="256" t="s">
        <v>307</v>
      </c>
      <c r="E51" s="255" t="s">
        <v>1</v>
      </c>
      <c r="F51" s="255" t="s">
        <v>302</v>
      </c>
      <c r="G51" s="257">
        <v>0.60709999999999997</v>
      </c>
      <c r="H51" s="258">
        <v>168</v>
      </c>
      <c r="I51" s="258">
        <v>102</v>
      </c>
      <c r="J51" s="258">
        <v>91</v>
      </c>
      <c r="K51" s="255" t="s">
        <v>303</v>
      </c>
      <c r="L51" s="259" t="s">
        <v>129</v>
      </c>
      <c r="M51" s="258">
        <v>0</v>
      </c>
      <c r="N51" s="258">
        <v>0</v>
      </c>
      <c r="O51" s="258">
        <v>15</v>
      </c>
      <c r="P51" s="255" t="s">
        <v>102</v>
      </c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8" t="s">
        <v>160</v>
      </c>
      <c r="AD51" s="258" t="s">
        <v>132</v>
      </c>
      <c r="AE51" s="251"/>
      <c r="AF51" s="251"/>
      <c r="AG51" s="258" t="s">
        <v>180</v>
      </c>
      <c r="AH51" s="251"/>
      <c r="AI51" s="258" t="s">
        <v>358</v>
      </c>
      <c r="AJ51" s="251"/>
    </row>
    <row r="52" spans="1:36" x14ac:dyDescent="0.3">
      <c r="A52" s="253" t="s">
        <v>323</v>
      </c>
      <c r="B52" s="254">
        <v>46027</v>
      </c>
      <c r="C52" s="255" t="s">
        <v>48</v>
      </c>
      <c r="D52" s="256" t="s">
        <v>328</v>
      </c>
      <c r="E52" s="255" t="s">
        <v>1</v>
      </c>
      <c r="F52" s="255" t="s">
        <v>302</v>
      </c>
      <c r="G52" s="257">
        <v>0.86899999999999999</v>
      </c>
      <c r="H52" s="258">
        <v>168</v>
      </c>
      <c r="I52" s="258">
        <v>146</v>
      </c>
      <c r="J52" s="258">
        <v>135</v>
      </c>
      <c r="K52" s="255" t="s">
        <v>303</v>
      </c>
      <c r="L52" s="259" t="s">
        <v>91</v>
      </c>
      <c r="M52" s="258">
        <v>0</v>
      </c>
      <c r="N52" s="258">
        <v>0</v>
      </c>
      <c r="O52" s="258">
        <v>14</v>
      </c>
      <c r="P52" s="255" t="s">
        <v>92</v>
      </c>
      <c r="Q52" s="251"/>
      <c r="R52" s="251"/>
      <c r="S52" s="251"/>
      <c r="T52" s="251"/>
      <c r="U52" s="251"/>
      <c r="V52" s="251"/>
      <c r="W52" s="251"/>
      <c r="X52" s="251"/>
      <c r="Y52" s="251"/>
      <c r="Z52" s="258" t="s">
        <v>359</v>
      </c>
      <c r="AA52" s="251"/>
      <c r="AB52" s="251"/>
      <c r="AC52" s="251"/>
      <c r="AD52" s="258" t="s">
        <v>89</v>
      </c>
      <c r="AE52" s="251"/>
      <c r="AF52" s="251"/>
      <c r="AG52" s="251"/>
      <c r="AH52" s="251"/>
      <c r="AI52" s="258" t="s">
        <v>123</v>
      </c>
      <c r="AJ52" s="251"/>
    </row>
    <row r="53" spans="1:36" x14ac:dyDescent="0.3">
      <c r="A53" s="253" t="s">
        <v>331</v>
      </c>
      <c r="B53" s="254">
        <v>46028</v>
      </c>
      <c r="C53" s="255" t="s">
        <v>44</v>
      </c>
      <c r="D53" s="256" t="s">
        <v>332</v>
      </c>
      <c r="E53" s="255" t="s">
        <v>1</v>
      </c>
      <c r="F53" s="255" t="s">
        <v>302</v>
      </c>
      <c r="G53" s="257">
        <v>0</v>
      </c>
      <c r="H53" s="258">
        <v>168</v>
      </c>
      <c r="I53" s="258">
        <v>0</v>
      </c>
      <c r="J53" s="258">
        <v>0</v>
      </c>
      <c r="K53" s="255" t="s">
        <v>303</v>
      </c>
      <c r="L53" s="259" t="s">
        <v>109</v>
      </c>
      <c r="M53" s="258">
        <v>0</v>
      </c>
      <c r="N53" s="258">
        <v>0</v>
      </c>
      <c r="O53" s="258">
        <v>0</v>
      </c>
      <c r="P53" s="255" t="s">
        <v>80</v>
      </c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</row>
    <row r="54" spans="1:36" x14ac:dyDescent="0.3">
      <c r="A54" s="253" t="s">
        <v>331</v>
      </c>
      <c r="B54" s="254">
        <v>46028</v>
      </c>
      <c r="C54" s="255" t="s">
        <v>40</v>
      </c>
      <c r="D54" s="256" t="s">
        <v>335</v>
      </c>
      <c r="E54" s="255" t="s">
        <v>1</v>
      </c>
      <c r="F54" s="255" t="s">
        <v>302</v>
      </c>
      <c r="G54" s="257">
        <v>5.9499999999999997E-2</v>
      </c>
      <c r="H54" s="258">
        <v>168</v>
      </c>
      <c r="I54" s="258">
        <v>10</v>
      </c>
      <c r="J54" s="258">
        <v>0</v>
      </c>
      <c r="K54" s="255" t="s">
        <v>303</v>
      </c>
      <c r="L54" s="259" t="s">
        <v>110</v>
      </c>
      <c r="M54" s="258">
        <v>0</v>
      </c>
      <c r="N54" s="258">
        <v>0</v>
      </c>
      <c r="O54" s="258">
        <v>10</v>
      </c>
      <c r="P54" s="255" t="s">
        <v>102</v>
      </c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8" t="s">
        <v>132</v>
      </c>
      <c r="AE54" s="251"/>
      <c r="AF54" s="251"/>
      <c r="AG54" s="251"/>
      <c r="AH54" s="251"/>
      <c r="AI54" s="251"/>
      <c r="AJ54" s="251"/>
    </row>
    <row r="55" spans="1:36" x14ac:dyDescent="0.3">
      <c r="A55" s="253" t="s">
        <v>331</v>
      </c>
      <c r="B55" s="254">
        <v>46028</v>
      </c>
      <c r="C55" s="255" t="s">
        <v>38</v>
      </c>
      <c r="D55" s="256" t="s">
        <v>307</v>
      </c>
      <c r="E55" s="255" t="s">
        <v>1</v>
      </c>
      <c r="F55" s="255" t="s">
        <v>302</v>
      </c>
      <c r="G55" s="257">
        <v>0.30359999999999998</v>
      </c>
      <c r="H55" s="258">
        <v>168</v>
      </c>
      <c r="I55" s="258">
        <v>51</v>
      </c>
      <c r="J55" s="258">
        <v>45</v>
      </c>
      <c r="K55" s="255" t="s">
        <v>303</v>
      </c>
      <c r="L55" s="259" t="s">
        <v>113</v>
      </c>
      <c r="M55" s="258">
        <v>0</v>
      </c>
      <c r="N55" s="258">
        <v>0</v>
      </c>
      <c r="O55" s="258">
        <v>8</v>
      </c>
      <c r="P55" s="255" t="s">
        <v>133</v>
      </c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8" t="s">
        <v>87</v>
      </c>
      <c r="AE55" s="251"/>
      <c r="AF55" s="251"/>
      <c r="AG55" s="258" t="s">
        <v>180</v>
      </c>
      <c r="AH55" s="251"/>
      <c r="AI55" s="251"/>
      <c r="AJ55" s="251"/>
    </row>
    <row r="56" spans="1:36" x14ac:dyDescent="0.3">
      <c r="A56" s="253" t="s">
        <v>331</v>
      </c>
      <c r="B56" s="254">
        <v>46028</v>
      </c>
      <c r="C56" s="255" t="s">
        <v>48</v>
      </c>
      <c r="D56" s="256" t="s">
        <v>337</v>
      </c>
      <c r="E56" s="255" t="s">
        <v>1</v>
      </c>
      <c r="F56" s="255" t="s">
        <v>302</v>
      </c>
      <c r="G56" s="257">
        <v>2.3800000000000002E-2</v>
      </c>
      <c r="H56" s="258">
        <v>168</v>
      </c>
      <c r="I56" s="258">
        <v>4</v>
      </c>
      <c r="J56" s="258">
        <v>0</v>
      </c>
      <c r="K56" s="255" t="s">
        <v>303</v>
      </c>
      <c r="L56" s="259" t="s">
        <v>97</v>
      </c>
      <c r="M56" s="258">
        <v>0</v>
      </c>
      <c r="N56" s="258">
        <v>0</v>
      </c>
      <c r="O56" s="258">
        <v>4</v>
      </c>
      <c r="P56" s="255" t="s">
        <v>95</v>
      </c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8" t="s">
        <v>160</v>
      </c>
      <c r="AD56" s="258" t="s">
        <v>127</v>
      </c>
      <c r="AE56" s="251"/>
      <c r="AF56" s="251"/>
      <c r="AG56" s="251"/>
      <c r="AH56" s="251"/>
      <c r="AI56" s="251"/>
      <c r="AJ56" s="251"/>
    </row>
    <row r="57" spans="1:36" x14ac:dyDescent="0.3">
      <c r="A57" s="253" t="s">
        <v>331</v>
      </c>
      <c r="B57" s="254">
        <v>46028</v>
      </c>
      <c r="C57" s="255" t="s">
        <v>29</v>
      </c>
      <c r="D57" s="256" t="s">
        <v>338</v>
      </c>
      <c r="E57" s="255" t="s">
        <v>1</v>
      </c>
      <c r="F57" s="255" t="s">
        <v>302</v>
      </c>
      <c r="G57" s="257">
        <v>0.27979999999999999</v>
      </c>
      <c r="H57" s="258">
        <v>168</v>
      </c>
      <c r="I57" s="258">
        <v>47</v>
      </c>
      <c r="J57" s="258">
        <v>45</v>
      </c>
      <c r="K57" s="255" t="s">
        <v>303</v>
      </c>
      <c r="L57" s="259" t="s">
        <v>106</v>
      </c>
      <c r="M57" s="258">
        <v>0</v>
      </c>
      <c r="N57" s="258">
        <v>0</v>
      </c>
      <c r="O57" s="258">
        <v>2</v>
      </c>
      <c r="P57" s="255" t="s">
        <v>92</v>
      </c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8" t="s">
        <v>89</v>
      </c>
      <c r="AE57" s="251"/>
      <c r="AF57" s="251"/>
      <c r="AG57" s="251"/>
      <c r="AH57" s="251"/>
      <c r="AI57" s="258" t="s">
        <v>327</v>
      </c>
      <c r="AJ57" s="251"/>
    </row>
    <row r="58" spans="1:36" x14ac:dyDescent="0.3">
      <c r="A58" s="253" t="s">
        <v>331</v>
      </c>
      <c r="B58" s="254">
        <v>46028</v>
      </c>
      <c r="C58" s="255" t="s">
        <v>35</v>
      </c>
      <c r="D58" s="256" t="s">
        <v>339</v>
      </c>
      <c r="E58" s="255" t="s">
        <v>1</v>
      </c>
      <c r="F58" s="255" t="s">
        <v>302</v>
      </c>
      <c r="G58" s="257">
        <v>0.82140000000000002</v>
      </c>
      <c r="H58" s="258">
        <v>168</v>
      </c>
      <c r="I58" s="258">
        <v>138</v>
      </c>
      <c r="J58" s="258">
        <v>135</v>
      </c>
      <c r="K58" s="255" t="s">
        <v>303</v>
      </c>
      <c r="L58" s="259" t="s">
        <v>113</v>
      </c>
      <c r="M58" s="258">
        <v>0</v>
      </c>
      <c r="N58" s="258">
        <v>0</v>
      </c>
      <c r="O58" s="258">
        <v>6</v>
      </c>
      <c r="P58" s="255" t="s">
        <v>95</v>
      </c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8" t="s">
        <v>127</v>
      </c>
      <c r="AE58" s="251"/>
      <c r="AF58" s="251"/>
      <c r="AG58" s="251"/>
      <c r="AH58" s="251"/>
      <c r="AI58" s="258" t="s">
        <v>123</v>
      </c>
      <c r="AJ58" s="251"/>
    </row>
    <row r="59" spans="1:36" x14ac:dyDescent="0.3">
      <c r="A59" s="253" t="s">
        <v>340</v>
      </c>
      <c r="B59" s="254">
        <v>46029</v>
      </c>
      <c r="C59" s="255" t="s">
        <v>35</v>
      </c>
      <c r="D59" s="256" t="s">
        <v>341</v>
      </c>
      <c r="E59" s="255" t="s">
        <v>1</v>
      </c>
      <c r="F59" s="255" t="s">
        <v>302</v>
      </c>
      <c r="G59" s="257">
        <v>0.60119999999999996</v>
      </c>
      <c r="H59" s="258">
        <v>168</v>
      </c>
      <c r="I59" s="258">
        <v>101</v>
      </c>
      <c r="J59" s="258">
        <v>90</v>
      </c>
      <c r="K59" s="255" t="s">
        <v>303</v>
      </c>
      <c r="L59" s="259" t="s">
        <v>97</v>
      </c>
      <c r="M59" s="258">
        <v>0</v>
      </c>
      <c r="N59" s="258">
        <v>0</v>
      </c>
      <c r="O59" s="258">
        <v>13</v>
      </c>
      <c r="P59" s="255" t="s">
        <v>102</v>
      </c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8" t="s">
        <v>160</v>
      </c>
      <c r="AD59" s="258" t="s">
        <v>132</v>
      </c>
      <c r="AE59" s="251"/>
      <c r="AF59" s="251"/>
      <c r="AG59" s="251"/>
      <c r="AH59" s="251"/>
      <c r="AI59" s="258" t="s">
        <v>311</v>
      </c>
      <c r="AJ59" s="251"/>
    </row>
    <row r="60" spans="1:36" x14ac:dyDescent="0.3">
      <c r="A60" s="253" t="s">
        <v>340</v>
      </c>
      <c r="B60" s="254">
        <v>46029</v>
      </c>
      <c r="C60" s="255" t="s">
        <v>48</v>
      </c>
      <c r="D60" s="256" t="s">
        <v>342</v>
      </c>
      <c r="E60" s="255" t="s">
        <v>1</v>
      </c>
      <c r="F60" s="255" t="s">
        <v>302</v>
      </c>
      <c r="G60" s="257">
        <v>0.86899999999999999</v>
      </c>
      <c r="H60" s="258">
        <v>168</v>
      </c>
      <c r="I60" s="258">
        <v>146</v>
      </c>
      <c r="J60" s="258">
        <v>135</v>
      </c>
      <c r="K60" s="255" t="s">
        <v>303</v>
      </c>
      <c r="L60" s="259" t="s">
        <v>99</v>
      </c>
      <c r="M60" s="258">
        <v>0</v>
      </c>
      <c r="N60" s="258">
        <v>0</v>
      </c>
      <c r="O60" s="258">
        <v>14</v>
      </c>
      <c r="P60" s="255" t="s">
        <v>102</v>
      </c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8" t="s">
        <v>360</v>
      </c>
      <c r="AC60" s="251"/>
      <c r="AD60" s="258" t="s">
        <v>132</v>
      </c>
      <c r="AE60" s="251"/>
      <c r="AF60" s="251"/>
      <c r="AG60" s="251"/>
      <c r="AH60" s="251"/>
      <c r="AI60" s="258" t="s">
        <v>123</v>
      </c>
      <c r="AJ60" s="251"/>
    </row>
    <row r="61" spans="1:36" x14ac:dyDescent="0.3">
      <c r="A61" s="253" t="s">
        <v>340</v>
      </c>
      <c r="B61" s="254">
        <v>46029</v>
      </c>
      <c r="C61" s="255" t="s">
        <v>38</v>
      </c>
      <c r="D61" s="256" t="s">
        <v>307</v>
      </c>
      <c r="E61" s="255" t="s">
        <v>1</v>
      </c>
      <c r="F61" s="255" t="s">
        <v>302</v>
      </c>
      <c r="G61" s="257">
        <v>0.60119999999999996</v>
      </c>
      <c r="H61" s="258">
        <v>168</v>
      </c>
      <c r="I61" s="258">
        <v>101</v>
      </c>
      <c r="J61" s="258">
        <v>90</v>
      </c>
      <c r="K61" s="255" t="s">
        <v>303</v>
      </c>
      <c r="L61" s="259" t="s">
        <v>140</v>
      </c>
      <c r="M61" s="258">
        <v>0</v>
      </c>
      <c r="N61" s="258">
        <v>0</v>
      </c>
      <c r="O61" s="258">
        <v>13</v>
      </c>
      <c r="P61" s="255" t="s">
        <v>102</v>
      </c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8" t="s">
        <v>160</v>
      </c>
      <c r="AD61" s="258" t="s">
        <v>132</v>
      </c>
      <c r="AE61" s="251"/>
      <c r="AF61" s="251"/>
      <c r="AG61" s="258" t="s">
        <v>180</v>
      </c>
      <c r="AH61" s="251"/>
      <c r="AI61" s="258" t="s">
        <v>327</v>
      </c>
      <c r="AJ61" s="251"/>
    </row>
    <row r="62" spans="1:36" x14ac:dyDescent="0.3">
      <c r="A62" s="253" t="s">
        <v>344</v>
      </c>
      <c r="B62" s="254">
        <v>46030</v>
      </c>
      <c r="C62" s="255" t="s">
        <v>29</v>
      </c>
      <c r="D62" s="256" t="s">
        <v>345</v>
      </c>
      <c r="E62" s="255" t="s">
        <v>1</v>
      </c>
      <c r="F62" s="255" t="s">
        <v>302</v>
      </c>
      <c r="G62" s="257">
        <v>0.11310000000000001</v>
      </c>
      <c r="H62" s="258">
        <v>168</v>
      </c>
      <c r="I62" s="258">
        <v>19</v>
      </c>
      <c r="J62" s="258">
        <v>0</v>
      </c>
      <c r="K62" s="255" t="s">
        <v>303</v>
      </c>
      <c r="L62" s="259" t="s">
        <v>97</v>
      </c>
      <c r="M62" s="258">
        <v>0</v>
      </c>
      <c r="N62" s="258">
        <v>0</v>
      </c>
      <c r="O62" s="258">
        <v>19</v>
      </c>
      <c r="P62" s="255" t="s">
        <v>142</v>
      </c>
      <c r="Q62" s="251"/>
      <c r="R62" s="251"/>
      <c r="S62" s="251"/>
      <c r="T62" s="251"/>
      <c r="U62" s="251"/>
      <c r="V62" s="251"/>
      <c r="W62" s="251"/>
      <c r="X62" s="258" t="s">
        <v>361</v>
      </c>
      <c r="Y62" s="251"/>
      <c r="Z62" s="251"/>
      <c r="AA62" s="251"/>
      <c r="AB62" s="251"/>
      <c r="AC62" s="258" t="s">
        <v>148</v>
      </c>
      <c r="AD62" s="258" t="s">
        <v>132</v>
      </c>
      <c r="AE62" s="251"/>
      <c r="AF62" s="251"/>
      <c r="AG62" s="251"/>
      <c r="AH62" s="251"/>
      <c r="AI62" s="251"/>
      <c r="AJ62" s="251"/>
    </row>
    <row r="63" spans="1:36" x14ac:dyDescent="0.3">
      <c r="A63" s="253" t="s">
        <v>344</v>
      </c>
      <c r="B63" s="254">
        <v>46030</v>
      </c>
      <c r="C63" s="255" t="s">
        <v>44</v>
      </c>
      <c r="D63" s="256" t="s">
        <v>301</v>
      </c>
      <c r="E63" s="255" t="s">
        <v>1</v>
      </c>
      <c r="F63" s="255" t="s">
        <v>302</v>
      </c>
      <c r="G63" s="257">
        <v>8.9300000000000004E-2</v>
      </c>
      <c r="H63" s="258">
        <v>168</v>
      </c>
      <c r="I63" s="258">
        <v>15</v>
      </c>
      <c r="J63" s="258">
        <v>0</v>
      </c>
      <c r="K63" s="255" t="s">
        <v>303</v>
      </c>
      <c r="L63" s="259" t="s">
        <v>113</v>
      </c>
      <c r="M63" s="258">
        <v>0</v>
      </c>
      <c r="N63" s="258">
        <v>0</v>
      </c>
      <c r="O63" s="258">
        <v>15</v>
      </c>
      <c r="P63" s="255" t="s">
        <v>144</v>
      </c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8" t="s">
        <v>269</v>
      </c>
      <c r="AD63" s="258" t="s">
        <v>132</v>
      </c>
      <c r="AE63" s="251"/>
      <c r="AF63" s="251"/>
      <c r="AG63" s="251"/>
      <c r="AH63" s="251"/>
      <c r="AI63" s="251"/>
      <c r="AJ63" s="251"/>
    </row>
    <row r="64" spans="1:36" x14ac:dyDescent="0.3">
      <c r="A64" s="253" t="s">
        <v>344</v>
      </c>
      <c r="B64" s="254">
        <v>46030</v>
      </c>
      <c r="C64" s="255" t="s">
        <v>51</v>
      </c>
      <c r="D64" s="256" t="s">
        <v>346</v>
      </c>
      <c r="E64" s="255" t="s">
        <v>1</v>
      </c>
      <c r="F64" s="255" t="s">
        <v>302</v>
      </c>
      <c r="G64" s="257">
        <v>0.38690000000000002</v>
      </c>
      <c r="H64" s="258">
        <v>168</v>
      </c>
      <c r="I64" s="258">
        <v>65</v>
      </c>
      <c r="J64" s="258">
        <v>45</v>
      </c>
      <c r="K64" s="255" t="s">
        <v>303</v>
      </c>
      <c r="L64" s="259" t="s">
        <v>91</v>
      </c>
      <c r="M64" s="258">
        <v>0</v>
      </c>
      <c r="N64" s="258">
        <v>0</v>
      </c>
      <c r="O64" s="258">
        <v>22</v>
      </c>
      <c r="P64" s="255" t="s">
        <v>102</v>
      </c>
      <c r="Q64" s="251"/>
      <c r="R64" s="251"/>
      <c r="S64" s="251"/>
      <c r="T64" s="251"/>
      <c r="U64" s="251"/>
      <c r="V64" s="251"/>
      <c r="W64" s="251"/>
      <c r="X64" s="258" t="s">
        <v>362</v>
      </c>
      <c r="Y64" s="258" t="s">
        <v>363</v>
      </c>
      <c r="Z64" s="251"/>
      <c r="AA64" s="251"/>
      <c r="AB64" s="251"/>
      <c r="AC64" s="251"/>
      <c r="AD64" s="258" t="s">
        <v>132</v>
      </c>
      <c r="AE64" s="251"/>
      <c r="AF64" s="251"/>
      <c r="AG64" s="258" t="s">
        <v>180</v>
      </c>
      <c r="AH64" s="251"/>
      <c r="AI64" s="251"/>
      <c r="AJ64" s="251"/>
    </row>
    <row r="65" spans="1:36" x14ac:dyDescent="0.3">
      <c r="A65" s="253" t="s">
        <v>344</v>
      </c>
      <c r="B65" s="254">
        <v>46030</v>
      </c>
      <c r="C65" s="255" t="s">
        <v>35</v>
      </c>
      <c r="D65" s="256" t="s">
        <v>314</v>
      </c>
      <c r="E65" s="255" t="s">
        <v>1</v>
      </c>
      <c r="F65" s="255" t="s">
        <v>302</v>
      </c>
      <c r="G65" s="257">
        <v>0.52980000000000005</v>
      </c>
      <c r="H65" s="258">
        <v>168</v>
      </c>
      <c r="I65" s="258">
        <v>89</v>
      </c>
      <c r="J65" s="258">
        <v>75</v>
      </c>
      <c r="K65" s="255" t="s">
        <v>303</v>
      </c>
      <c r="L65" s="259" t="s">
        <v>106</v>
      </c>
      <c r="M65" s="258">
        <v>0</v>
      </c>
      <c r="N65" s="258">
        <v>0</v>
      </c>
      <c r="O65" s="258">
        <v>16</v>
      </c>
      <c r="P65" s="255" t="s">
        <v>142</v>
      </c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8" t="s">
        <v>148</v>
      </c>
      <c r="AD65" s="258" t="s">
        <v>132</v>
      </c>
      <c r="AE65" s="251"/>
      <c r="AF65" s="251"/>
      <c r="AG65" s="251"/>
      <c r="AH65" s="251"/>
      <c r="AI65" s="258" t="s">
        <v>364</v>
      </c>
      <c r="AJ65" s="251"/>
    </row>
    <row r="66" spans="1:36" x14ac:dyDescent="0.3">
      <c r="A66" s="253" t="s">
        <v>344</v>
      </c>
      <c r="B66" s="254">
        <v>46030</v>
      </c>
      <c r="C66" s="255" t="s">
        <v>101</v>
      </c>
      <c r="D66" s="256" t="s">
        <v>347</v>
      </c>
      <c r="E66" s="255" t="s">
        <v>1</v>
      </c>
      <c r="F66" s="255" t="s">
        <v>302</v>
      </c>
      <c r="G66" s="257">
        <v>0.85119999999999996</v>
      </c>
      <c r="H66" s="258">
        <v>168</v>
      </c>
      <c r="I66" s="258">
        <v>143</v>
      </c>
      <c r="J66" s="258">
        <v>135</v>
      </c>
      <c r="K66" s="255" t="s">
        <v>303</v>
      </c>
      <c r="L66" s="259" t="s">
        <v>97</v>
      </c>
      <c r="M66" s="258">
        <v>0</v>
      </c>
      <c r="N66" s="258">
        <v>0</v>
      </c>
      <c r="O66" s="258">
        <v>11</v>
      </c>
      <c r="P66" s="255" t="s">
        <v>148</v>
      </c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8" t="s">
        <v>142</v>
      </c>
      <c r="AD66" s="251"/>
      <c r="AE66" s="251"/>
      <c r="AF66" s="251"/>
      <c r="AG66" s="251"/>
      <c r="AH66" s="251"/>
      <c r="AI66" s="258" t="s">
        <v>123</v>
      </c>
      <c r="AJ66" s="251"/>
    </row>
    <row r="67" spans="1:36" x14ac:dyDescent="0.3">
      <c r="A67" s="253" t="s">
        <v>344</v>
      </c>
      <c r="B67" s="254">
        <v>46030</v>
      </c>
      <c r="C67" s="255" t="s">
        <v>38</v>
      </c>
      <c r="D67" s="256" t="s">
        <v>348</v>
      </c>
      <c r="E67" s="255" t="s">
        <v>1</v>
      </c>
      <c r="F67" s="255" t="s">
        <v>302</v>
      </c>
      <c r="G67" s="257">
        <v>0.57140000000000002</v>
      </c>
      <c r="H67" s="258">
        <v>168</v>
      </c>
      <c r="I67" s="258">
        <v>96</v>
      </c>
      <c r="J67" s="258">
        <v>45</v>
      </c>
      <c r="K67" s="255" t="s">
        <v>303</v>
      </c>
      <c r="L67" s="259" t="s">
        <v>97</v>
      </c>
      <c r="M67" s="258">
        <v>0</v>
      </c>
      <c r="N67" s="258">
        <v>0</v>
      </c>
      <c r="O67" s="258">
        <v>52</v>
      </c>
      <c r="P67" s="255" t="s">
        <v>150</v>
      </c>
      <c r="Q67" s="251"/>
      <c r="R67" s="251"/>
      <c r="S67" s="251"/>
      <c r="T67" s="251"/>
      <c r="U67" s="251"/>
      <c r="V67" s="251"/>
      <c r="W67" s="251"/>
      <c r="X67" s="251"/>
      <c r="Y67" s="251"/>
      <c r="Z67" s="258" t="s">
        <v>365</v>
      </c>
      <c r="AA67" s="258" t="s">
        <v>366</v>
      </c>
      <c r="AB67" s="258" t="s">
        <v>367</v>
      </c>
      <c r="AC67" s="258" t="s">
        <v>368</v>
      </c>
      <c r="AD67" s="258" t="s">
        <v>132</v>
      </c>
      <c r="AE67" s="251"/>
      <c r="AF67" s="251"/>
      <c r="AG67" s="251"/>
      <c r="AH67" s="251"/>
      <c r="AI67" s="258" t="s">
        <v>327</v>
      </c>
      <c r="AJ67" s="251"/>
    </row>
    <row r="68" spans="1:36" x14ac:dyDescent="0.3">
      <c r="A68" s="253" t="s">
        <v>344</v>
      </c>
      <c r="B68" s="254">
        <v>46030</v>
      </c>
      <c r="C68" s="255" t="s">
        <v>40</v>
      </c>
      <c r="D68" s="256" t="s">
        <v>350</v>
      </c>
      <c r="E68" s="255" t="s">
        <v>1</v>
      </c>
      <c r="F68" s="255" t="s">
        <v>302</v>
      </c>
      <c r="G68" s="257">
        <v>0.60119999999999996</v>
      </c>
      <c r="H68" s="258">
        <v>168</v>
      </c>
      <c r="I68" s="258">
        <v>101</v>
      </c>
      <c r="J68" s="258">
        <v>45</v>
      </c>
      <c r="K68" s="255" t="s">
        <v>303</v>
      </c>
      <c r="L68" s="259" t="s">
        <v>97</v>
      </c>
      <c r="M68" s="258">
        <v>0</v>
      </c>
      <c r="N68" s="258">
        <v>0</v>
      </c>
      <c r="O68" s="258">
        <v>57</v>
      </c>
      <c r="P68" s="255" t="s">
        <v>152</v>
      </c>
      <c r="Q68" s="251"/>
      <c r="R68" s="251"/>
      <c r="S68" s="251"/>
      <c r="T68" s="251"/>
      <c r="U68" s="251"/>
      <c r="V68" s="251"/>
      <c r="W68" s="251"/>
      <c r="X68" s="251"/>
      <c r="Y68" s="251"/>
      <c r="Z68" s="258" t="s">
        <v>369</v>
      </c>
      <c r="AA68" s="258" t="s">
        <v>366</v>
      </c>
      <c r="AB68" s="258" t="s">
        <v>367</v>
      </c>
      <c r="AC68" s="258" t="s">
        <v>368</v>
      </c>
      <c r="AD68" s="258" t="s">
        <v>132</v>
      </c>
      <c r="AE68" s="251"/>
      <c r="AF68" s="251"/>
      <c r="AG68" s="251"/>
      <c r="AH68" s="251"/>
      <c r="AI68" s="258" t="s">
        <v>327</v>
      </c>
      <c r="AJ68" s="251"/>
    </row>
    <row r="69" spans="1:36" x14ac:dyDescent="0.3">
      <c r="A69" s="253" t="s">
        <v>300</v>
      </c>
      <c r="B69" s="254">
        <v>46031</v>
      </c>
      <c r="C69" s="255" t="s">
        <v>29</v>
      </c>
      <c r="D69" s="256" t="s">
        <v>301</v>
      </c>
      <c r="E69" s="255" t="s">
        <v>1</v>
      </c>
      <c r="F69" s="255" t="s">
        <v>302</v>
      </c>
      <c r="G69" s="257">
        <v>0.2024</v>
      </c>
      <c r="H69" s="258">
        <v>168</v>
      </c>
      <c r="I69" s="258">
        <v>34</v>
      </c>
      <c r="J69" s="258">
        <v>0</v>
      </c>
      <c r="K69" s="255" t="s">
        <v>303</v>
      </c>
      <c r="L69" s="259" t="s">
        <v>97</v>
      </c>
      <c r="M69" s="258">
        <v>0</v>
      </c>
      <c r="N69" s="258">
        <v>0</v>
      </c>
      <c r="O69" s="258">
        <v>34</v>
      </c>
      <c r="P69" s="255" t="s">
        <v>154</v>
      </c>
      <c r="Q69" s="251"/>
      <c r="R69" s="251"/>
      <c r="S69" s="251"/>
      <c r="T69" s="251"/>
      <c r="U69" s="251"/>
      <c r="V69" s="251"/>
      <c r="W69" s="251"/>
      <c r="X69" s="251"/>
      <c r="Y69" s="258" t="s">
        <v>370</v>
      </c>
      <c r="Z69" s="251"/>
      <c r="AA69" s="251"/>
      <c r="AB69" s="258" t="s">
        <v>371</v>
      </c>
      <c r="AC69" s="258" t="s">
        <v>368</v>
      </c>
      <c r="AD69" s="258" t="s">
        <v>132</v>
      </c>
      <c r="AE69" s="251"/>
      <c r="AF69" s="251"/>
      <c r="AG69" s="251"/>
      <c r="AH69" s="251"/>
      <c r="AI69" s="251"/>
      <c r="AJ69" s="251"/>
    </row>
    <row r="70" spans="1:36" x14ac:dyDescent="0.3">
      <c r="A70" s="253" t="s">
        <v>300</v>
      </c>
      <c r="B70" s="254">
        <v>46031</v>
      </c>
      <c r="C70" s="255" t="s">
        <v>35</v>
      </c>
      <c r="D70" s="256" t="s">
        <v>305</v>
      </c>
      <c r="E70" s="255" t="s">
        <v>1</v>
      </c>
      <c r="F70" s="255" t="s">
        <v>302</v>
      </c>
      <c r="G70" s="257">
        <v>0.1905</v>
      </c>
      <c r="H70" s="258">
        <v>168</v>
      </c>
      <c r="I70" s="258">
        <v>32</v>
      </c>
      <c r="J70" s="258">
        <v>0</v>
      </c>
      <c r="K70" s="255" t="s">
        <v>303</v>
      </c>
      <c r="L70" s="259" t="s">
        <v>97</v>
      </c>
      <c r="M70" s="258">
        <v>0</v>
      </c>
      <c r="N70" s="258">
        <v>0</v>
      </c>
      <c r="O70" s="258">
        <v>32</v>
      </c>
      <c r="P70" s="255" t="s">
        <v>156</v>
      </c>
      <c r="Q70" s="251"/>
      <c r="R70" s="251"/>
      <c r="S70" s="251"/>
      <c r="T70" s="251"/>
      <c r="U70" s="251"/>
      <c r="V70" s="251"/>
      <c r="W70" s="251"/>
      <c r="X70" s="251"/>
      <c r="Y70" s="251"/>
      <c r="Z70" s="258" t="s">
        <v>208</v>
      </c>
      <c r="AA70" s="251"/>
      <c r="AB70" s="258" t="s">
        <v>372</v>
      </c>
      <c r="AC70" s="258" t="s">
        <v>368</v>
      </c>
      <c r="AD70" s="258" t="s">
        <v>132</v>
      </c>
      <c r="AE70" s="251"/>
      <c r="AF70" s="251"/>
      <c r="AG70" s="251"/>
      <c r="AH70" s="251"/>
      <c r="AI70" s="251"/>
      <c r="AJ70" s="251"/>
    </row>
    <row r="71" spans="1:36" x14ac:dyDescent="0.3">
      <c r="A71" s="253" t="s">
        <v>300</v>
      </c>
      <c r="B71" s="254">
        <v>46031</v>
      </c>
      <c r="C71" s="255" t="s">
        <v>38</v>
      </c>
      <c r="D71" s="256" t="s">
        <v>306</v>
      </c>
      <c r="E71" s="255" t="s">
        <v>1</v>
      </c>
      <c r="F71" s="255" t="s">
        <v>302</v>
      </c>
      <c r="G71" s="257">
        <v>0.28570000000000001</v>
      </c>
      <c r="H71" s="258">
        <v>168</v>
      </c>
      <c r="I71" s="258">
        <v>48</v>
      </c>
      <c r="J71" s="258">
        <v>0</v>
      </c>
      <c r="K71" s="255" t="s">
        <v>303</v>
      </c>
      <c r="L71" s="259" t="s">
        <v>97</v>
      </c>
      <c r="M71" s="258">
        <v>0</v>
      </c>
      <c r="N71" s="258">
        <v>0</v>
      </c>
      <c r="O71" s="258">
        <v>48</v>
      </c>
      <c r="P71" s="255" t="s">
        <v>158</v>
      </c>
      <c r="Q71" s="251"/>
      <c r="R71" s="251"/>
      <c r="S71" s="251"/>
      <c r="T71" s="251"/>
      <c r="U71" s="251"/>
      <c r="V71" s="251"/>
      <c r="W71" s="251"/>
      <c r="X71" s="251"/>
      <c r="Y71" s="258" t="s">
        <v>343</v>
      </c>
      <c r="Z71" s="258" t="s">
        <v>198</v>
      </c>
      <c r="AA71" s="258" t="s">
        <v>373</v>
      </c>
      <c r="AB71" s="258" t="s">
        <v>367</v>
      </c>
      <c r="AC71" s="258" t="s">
        <v>368</v>
      </c>
      <c r="AD71" s="258" t="s">
        <v>132</v>
      </c>
      <c r="AE71" s="251"/>
      <c r="AF71" s="251"/>
      <c r="AG71" s="251"/>
      <c r="AH71" s="251"/>
      <c r="AI71" s="251"/>
      <c r="AJ71" s="251"/>
    </row>
    <row r="72" spans="1:36" x14ac:dyDescent="0.3">
      <c r="A72" s="253" t="s">
        <v>300</v>
      </c>
      <c r="B72" s="254">
        <v>46031</v>
      </c>
      <c r="C72" s="255" t="s">
        <v>40</v>
      </c>
      <c r="D72" s="256" t="s">
        <v>307</v>
      </c>
      <c r="E72" s="255" t="s">
        <v>1</v>
      </c>
      <c r="F72" s="255" t="s">
        <v>302</v>
      </c>
      <c r="G72" s="257">
        <v>0.1845</v>
      </c>
      <c r="H72" s="258">
        <v>168</v>
      </c>
      <c r="I72" s="258">
        <v>31</v>
      </c>
      <c r="J72" s="258">
        <v>0</v>
      </c>
      <c r="K72" s="255" t="s">
        <v>303</v>
      </c>
      <c r="L72" s="259" t="s">
        <v>97</v>
      </c>
      <c r="M72" s="258">
        <v>0</v>
      </c>
      <c r="N72" s="258">
        <v>0</v>
      </c>
      <c r="O72" s="258">
        <v>31</v>
      </c>
      <c r="P72" s="255" t="s">
        <v>160</v>
      </c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8" t="s">
        <v>374</v>
      </c>
      <c r="AC72" s="258" t="s">
        <v>375</v>
      </c>
      <c r="AD72" s="258" t="s">
        <v>132</v>
      </c>
      <c r="AE72" s="251"/>
      <c r="AF72" s="251"/>
      <c r="AG72" s="251"/>
      <c r="AH72" s="251"/>
      <c r="AI72" s="251"/>
      <c r="AJ72" s="251"/>
    </row>
    <row r="73" spans="1:36" x14ac:dyDescent="0.3">
      <c r="A73" s="253" t="s">
        <v>300</v>
      </c>
      <c r="B73" s="254">
        <v>46031</v>
      </c>
      <c r="C73" s="255" t="s">
        <v>44</v>
      </c>
      <c r="D73" s="256" t="s">
        <v>308</v>
      </c>
      <c r="E73" s="255" t="s">
        <v>1</v>
      </c>
      <c r="F73" s="255" t="s">
        <v>302</v>
      </c>
      <c r="G73" s="257">
        <v>0.47020000000000001</v>
      </c>
      <c r="H73" s="258">
        <v>168</v>
      </c>
      <c r="I73" s="258">
        <v>79</v>
      </c>
      <c r="J73" s="258">
        <v>45</v>
      </c>
      <c r="K73" s="255" t="s">
        <v>303</v>
      </c>
      <c r="L73" s="259" t="s">
        <v>97</v>
      </c>
      <c r="M73" s="258">
        <v>0</v>
      </c>
      <c r="N73" s="258">
        <v>0</v>
      </c>
      <c r="O73" s="258">
        <v>35</v>
      </c>
      <c r="P73" s="255" t="s">
        <v>75</v>
      </c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8" t="s">
        <v>367</v>
      </c>
      <c r="AC73" s="258" t="s">
        <v>368</v>
      </c>
      <c r="AD73" s="258" t="s">
        <v>132</v>
      </c>
      <c r="AE73" s="251"/>
      <c r="AF73" s="251"/>
      <c r="AG73" s="251"/>
      <c r="AH73" s="251"/>
      <c r="AI73" s="258" t="s">
        <v>327</v>
      </c>
      <c r="AJ73" s="251"/>
    </row>
    <row r="74" spans="1:36" x14ac:dyDescent="0.3">
      <c r="A74" s="253" t="s">
        <v>300</v>
      </c>
      <c r="B74" s="254">
        <v>46031</v>
      </c>
      <c r="C74" s="255" t="s">
        <v>48</v>
      </c>
      <c r="D74" s="256" t="s">
        <v>310</v>
      </c>
      <c r="E74" s="255" t="s">
        <v>1</v>
      </c>
      <c r="F74" s="255" t="s">
        <v>302</v>
      </c>
      <c r="G74" s="257">
        <v>0.9405</v>
      </c>
      <c r="H74" s="258">
        <v>168</v>
      </c>
      <c r="I74" s="258">
        <v>158</v>
      </c>
      <c r="J74" s="258">
        <v>135</v>
      </c>
      <c r="K74" s="255" t="s">
        <v>303</v>
      </c>
      <c r="L74" s="259" t="s">
        <v>97</v>
      </c>
      <c r="M74" s="258">
        <v>0</v>
      </c>
      <c r="N74" s="258">
        <v>0</v>
      </c>
      <c r="O74" s="258">
        <v>25</v>
      </c>
      <c r="P74" s="255" t="s">
        <v>163</v>
      </c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8" t="s">
        <v>360</v>
      </c>
      <c r="AC74" s="258" t="s">
        <v>368</v>
      </c>
      <c r="AD74" s="258" t="s">
        <v>132</v>
      </c>
      <c r="AE74" s="251"/>
      <c r="AF74" s="251"/>
      <c r="AG74" s="251"/>
      <c r="AH74" s="251"/>
      <c r="AI74" s="258" t="s">
        <v>123</v>
      </c>
      <c r="AJ74" s="251"/>
    </row>
    <row r="75" spans="1:36" x14ac:dyDescent="0.3">
      <c r="A75" s="253" t="s">
        <v>312</v>
      </c>
      <c r="B75" s="254">
        <v>46032</v>
      </c>
      <c r="C75" s="255" t="s">
        <v>51</v>
      </c>
      <c r="D75" s="256" t="s">
        <v>313</v>
      </c>
      <c r="E75" s="255" t="s">
        <v>1</v>
      </c>
      <c r="F75" s="255" t="s">
        <v>302</v>
      </c>
      <c r="G75" s="257">
        <v>0.58620000000000005</v>
      </c>
      <c r="H75" s="258">
        <v>174</v>
      </c>
      <c r="I75" s="258">
        <v>102</v>
      </c>
      <c r="J75" s="258">
        <v>90</v>
      </c>
      <c r="K75" s="255" t="s">
        <v>303</v>
      </c>
      <c r="L75" s="259" t="s">
        <v>97</v>
      </c>
      <c r="M75" s="258">
        <v>0</v>
      </c>
      <c r="N75" s="258">
        <v>0</v>
      </c>
      <c r="O75" s="258">
        <v>14</v>
      </c>
      <c r="P75" s="255" t="s">
        <v>114</v>
      </c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8" t="s">
        <v>104</v>
      </c>
      <c r="AD75" s="258" t="s">
        <v>80</v>
      </c>
      <c r="AE75" s="251"/>
      <c r="AF75" s="251"/>
      <c r="AG75" s="258" t="s">
        <v>180</v>
      </c>
      <c r="AH75" s="251"/>
      <c r="AI75" s="258" t="s">
        <v>327</v>
      </c>
      <c r="AJ75" s="251"/>
    </row>
    <row r="76" spans="1:36" x14ac:dyDescent="0.3">
      <c r="A76" s="253" t="s">
        <v>312</v>
      </c>
      <c r="B76" s="254">
        <v>46032</v>
      </c>
      <c r="C76" s="255" t="s">
        <v>35</v>
      </c>
      <c r="D76" s="256" t="s">
        <v>314</v>
      </c>
      <c r="E76" s="255" t="s">
        <v>1</v>
      </c>
      <c r="F76" s="255" t="s">
        <v>302</v>
      </c>
      <c r="G76" s="257">
        <v>0.91069999999999995</v>
      </c>
      <c r="H76" s="258">
        <v>168</v>
      </c>
      <c r="I76" s="258">
        <v>153</v>
      </c>
      <c r="J76" s="258">
        <v>135</v>
      </c>
      <c r="K76" s="255" t="s">
        <v>303</v>
      </c>
      <c r="L76" s="259" t="s">
        <v>166</v>
      </c>
      <c r="M76" s="258">
        <v>0</v>
      </c>
      <c r="N76" s="258">
        <v>0</v>
      </c>
      <c r="O76" s="258">
        <v>21</v>
      </c>
      <c r="P76" s="255" t="s">
        <v>102</v>
      </c>
      <c r="Q76" s="251"/>
      <c r="R76" s="251"/>
      <c r="S76" s="251"/>
      <c r="T76" s="251"/>
      <c r="U76" s="251"/>
      <c r="V76" s="251"/>
      <c r="W76" s="251"/>
      <c r="X76" s="251"/>
      <c r="Y76" s="258" t="s">
        <v>376</v>
      </c>
      <c r="Z76" s="251"/>
      <c r="AA76" s="251"/>
      <c r="AB76" s="251"/>
      <c r="AC76" s="258" t="s">
        <v>104</v>
      </c>
      <c r="AD76" s="258" t="s">
        <v>132</v>
      </c>
      <c r="AE76" s="251"/>
      <c r="AF76" s="251"/>
      <c r="AG76" s="251"/>
      <c r="AH76" s="251"/>
      <c r="AI76" s="258" t="s">
        <v>123</v>
      </c>
      <c r="AJ76" s="251"/>
    </row>
    <row r="77" spans="1:36" x14ac:dyDescent="0.3">
      <c r="A77" s="253" t="s">
        <v>312</v>
      </c>
      <c r="B77" s="254">
        <v>46032</v>
      </c>
      <c r="C77" s="255" t="s">
        <v>38</v>
      </c>
      <c r="D77" s="256" t="s">
        <v>316</v>
      </c>
      <c r="E77" s="255" t="s">
        <v>1</v>
      </c>
      <c r="F77" s="255" t="s">
        <v>302</v>
      </c>
      <c r="G77" s="257">
        <v>0.88690000000000002</v>
      </c>
      <c r="H77" s="258">
        <v>168</v>
      </c>
      <c r="I77" s="258">
        <v>149</v>
      </c>
      <c r="J77" s="258">
        <v>135</v>
      </c>
      <c r="K77" s="255" t="s">
        <v>303</v>
      </c>
      <c r="L77" s="259" t="s">
        <v>113</v>
      </c>
      <c r="M77" s="258">
        <v>0</v>
      </c>
      <c r="N77" s="258">
        <v>0</v>
      </c>
      <c r="O77" s="258">
        <v>17</v>
      </c>
      <c r="P77" s="255" t="s">
        <v>142</v>
      </c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8" t="s">
        <v>148</v>
      </c>
      <c r="AD77" s="258" t="s">
        <v>132</v>
      </c>
      <c r="AE77" s="251"/>
      <c r="AF77" s="251"/>
      <c r="AG77" s="251"/>
      <c r="AH77" s="251"/>
      <c r="AI77" s="258" t="s">
        <v>123</v>
      </c>
      <c r="AJ77" s="251"/>
    </row>
    <row r="78" spans="1:36" x14ac:dyDescent="0.3">
      <c r="A78" s="253" t="s">
        <v>317</v>
      </c>
      <c r="B78" s="254">
        <v>46033</v>
      </c>
      <c r="C78" s="255" t="s">
        <v>29</v>
      </c>
      <c r="D78" s="256" t="s">
        <v>318</v>
      </c>
      <c r="E78" s="255" t="s">
        <v>1</v>
      </c>
      <c r="F78" s="255" t="s">
        <v>302</v>
      </c>
      <c r="G78" s="257">
        <v>0.36309999999999998</v>
      </c>
      <c r="H78" s="258">
        <v>168</v>
      </c>
      <c r="I78" s="258">
        <v>61</v>
      </c>
      <c r="J78" s="258">
        <v>60</v>
      </c>
      <c r="K78" s="255" t="s">
        <v>303</v>
      </c>
      <c r="L78" s="259" t="s">
        <v>113</v>
      </c>
      <c r="M78" s="258">
        <v>0</v>
      </c>
      <c r="N78" s="258">
        <v>0</v>
      </c>
      <c r="O78" s="258">
        <v>9</v>
      </c>
      <c r="P78" s="255" t="s">
        <v>80</v>
      </c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8" t="s">
        <v>114</v>
      </c>
      <c r="AE78" s="251"/>
      <c r="AF78" s="251"/>
      <c r="AG78" s="258" t="s">
        <v>377</v>
      </c>
      <c r="AH78" s="251"/>
      <c r="AI78" s="251"/>
      <c r="AJ78" s="251"/>
    </row>
    <row r="79" spans="1:36" x14ac:dyDescent="0.3">
      <c r="A79" s="253" t="s">
        <v>317</v>
      </c>
      <c r="B79" s="254">
        <v>46033</v>
      </c>
      <c r="C79" s="255" t="s">
        <v>35</v>
      </c>
      <c r="D79" s="256" t="s">
        <v>305</v>
      </c>
      <c r="E79" s="255" t="s">
        <v>1</v>
      </c>
      <c r="F79" s="255" t="s">
        <v>302</v>
      </c>
      <c r="G79" s="257">
        <v>0.27379999999999999</v>
      </c>
      <c r="H79" s="258">
        <v>168</v>
      </c>
      <c r="I79" s="258">
        <v>46</v>
      </c>
      <c r="J79" s="258">
        <v>45</v>
      </c>
      <c r="K79" s="255" t="s">
        <v>303</v>
      </c>
      <c r="L79" s="259" t="s">
        <v>110</v>
      </c>
      <c r="M79" s="258">
        <v>0</v>
      </c>
      <c r="N79" s="258">
        <v>0</v>
      </c>
      <c r="O79" s="258">
        <v>2</v>
      </c>
      <c r="P79" s="255" t="s">
        <v>80</v>
      </c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8" t="s">
        <v>114</v>
      </c>
      <c r="AE79" s="251"/>
      <c r="AF79" s="251"/>
      <c r="AG79" s="251"/>
      <c r="AH79" s="251"/>
      <c r="AI79" s="258" t="s">
        <v>327</v>
      </c>
      <c r="AJ79" s="251"/>
    </row>
    <row r="80" spans="1:36" x14ac:dyDescent="0.3">
      <c r="A80" s="253" t="s">
        <v>317</v>
      </c>
      <c r="B80" s="254">
        <v>46033</v>
      </c>
      <c r="C80" s="255" t="s">
        <v>101</v>
      </c>
      <c r="D80" s="256" t="s">
        <v>314</v>
      </c>
      <c r="E80" s="255" t="s">
        <v>1</v>
      </c>
      <c r="F80" s="255" t="s">
        <v>302</v>
      </c>
      <c r="G80" s="257">
        <v>0.80359999999999998</v>
      </c>
      <c r="H80" s="258">
        <v>168</v>
      </c>
      <c r="I80" s="258">
        <v>135</v>
      </c>
      <c r="J80" s="258">
        <v>135</v>
      </c>
      <c r="K80" s="255" t="s">
        <v>303</v>
      </c>
      <c r="L80" s="259" t="s">
        <v>122</v>
      </c>
      <c r="M80" s="258">
        <v>0</v>
      </c>
      <c r="N80" s="258">
        <v>0</v>
      </c>
      <c r="O80" s="258">
        <v>3</v>
      </c>
      <c r="P80" s="255" t="s">
        <v>102</v>
      </c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8" t="s">
        <v>123</v>
      </c>
      <c r="AJ80" s="251"/>
    </row>
    <row r="81" spans="1:36" x14ac:dyDescent="0.3">
      <c r="A81" s="253" t="s">
        <v>317</v>
      </c>
      <c r="B81" s="254">
        <v>46033</v>
      </c>
      <c r="C81" s="255" t="s">
        <v>48</v>
      </c>
      <c r="D81" s="256" t="s">
        <v>321</v>
      </c>
      <c r="E81" s="255" t="s">
        <v>1</v>
      </c>
      <c r="F81" s="255" t="s">
        <v>302</v>
      </c>
      <c r="G81" s="257">
        <v>0.88690000000000002</v>
      </c>
      <c r="H81" s="258">
        <v>168</v>
      </c>
      <c r="I81" s="258">
        <v>149</v>
      </c>
      <c r="J81" s="258">
        <v>135</v>
      </c>
      <c r="K81" s="255" t="s">
        <v>303</v>
      </c>
      <c r="L81" s="259" t="s">
        <v>171</v>
      </c>
      <c r="M81" s="258">
        <v>0</v>
      </c>
      <c r="N81" s="258">
        <v>0</v>
      </c>
      <c r="O81" s="258">
        <v>17</v>
      </c>
      <c r="P81" s="255" t="s">
        <v>95</v>
      </c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8" t="s">
        <v>69</v>
      </c>
      <c r="AF81" s="258" t="s">
        <v>234</v>
      </c>
      <c r="AG81" s="251"/>
      <c r="AH81" s="251"/>
      <c r="AI81" s="258" t="s">
        <v>123</v>
      </c>
      <c r="AJ81" s="251"/>
    </row>
    <row r="82" spans="1:36" x14ac:dyDescent="0.3">
      <c r="A82" s="253" t="s">
        <v>317</v>
      </c>
      <c r="B82" s="254">
        <v>46033</v>
      </c>
      <c r="C82" s="255" t="s">
        <v>38</v>
      </c>
      <c r="D82" s="256" t="s">
        <v>322</v>
      </c>
      <c r="E82" s="255" t="s">
        <v>1</v>
      </c>
      <c r="F82" s="255" t="s">
        <v>302</v>
      </c>
      <c r="G82" s="257">
        <v>0.5595</v>
      </c>
      <c r="H82" s="258">
        <v>168</v>
      </c>
      <c r="I82" s="258">
        <v>94</v>
      </c>
      <c r="J82" s="258">
        <v>90</v>
      </c>
      <c r="K82" s="255" t="s">
        <v>303</v>
      </c>
      <c r="L82" s="259" t="s">
        <v>113</v>
      </c>
      <c r="M82" s="258">
        <v>0</v>
      </c>
      <c r="N82" s="258">
        <v>0</v>
      </c>
      <c r="O82" s="258">
        <v>6</v>
      </c>
      <c r="P82" s="255" t="s">
        <v>87</v>
      </c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8" t="s">
        <v>133</v>
      </c>
      <c r="AE82" s="251"/>
      <c r="AF82" s="251"/>
      <c r="AG82" s="258" t="s">
        <v>378</v>
      </c>
      <c r="AH82" s="251"/>
      <c r="AI82" s="251"/>
      <c r="AJ82" s="251"/>
    </row>
    <row r="83" spans="1:36" x14ac:dyDescent="0.3">
      <c r="A83" s="253" t="s">
        <v>323</v>
      </c>
      <c r="B83" s="254">
        <v>46034</v>
      </c>
      <c r="C83" s="255" t="s">
        <v>40</v>
      </c>
      <c r="D83" s="256" t="s">
        <v>324</v>
      </c>
      <c r="E83" s="255" t="s">
        <v>1</v>
      </c>
      <c r="F83" s="255" t="s">
        <v>302</v>
      </c>
      <c r="G83" s="257">
        <v>6.0000000000000001E-3</v>
      </c>
      <c r="H83" s="258">
        <v>168</v>
      </c>
      <c r="I83" s="258">
        <v>1</v>
      </c>
      <c r="J83" s="258">
        <v>0</v>
      </c>
      <c r="K83" s="255" t="s">
        <v>303</v>
      </c>
      <c r="L83" s="259" t="s">
        <v>99</v>
      </c>
      <c r="M83" s="258">
        <v>0</v>
      </c>
      <c r="N83" s="258">
        <v>0</v>
      </c>
      <c r="O83" s="258">
        <v>1</v>
      </c>
      <c r="P83" s="255" t="s">
        <v>80</v>
      </c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8" t="s">
        <v>114</v>
      </c>
      <c r="AE83" s="251"/>
      <c r="AF83" s="251"/>
      <c r="AG83" s="251"/>
      <c r="AH83" s="251"/>
      <c r="AI83" s="251"/>
      <c r="AJ83" s="251"/>
    </row>
    <row r="84" spans="1:36" x14ac:dyDescent="0.3">
      <c r="A84" s="253" t="s">
        <v>323</v>
      </c>
      <c r="B84" s="254">
        <v>46034</v>
      </c>
      <c r="C84" s="255" t="s">
        <v>35</v>
      </c>
      <c r="D84" s="256" t="s">
        <v>325</v>
      </c>
      <c r="E84" s="255" t="s">
        <v>1</v>
      </c>
      <c r="F84" s="255" t="s">
        <v>302</v>
      </c>
      <c r="G84" s="257">
        <v>0.8155</v>
      </c>
      <c r="H84" s="258">
        <v>168</v>
      </c>
      <c r="I84" s="258">
        <v>137</v>
      </c>
      <c r="J84" s="258">
        <v>135</v>
      </c>
      <c r="K84" s="255" t="s">
        <v>303</v>
      </c>
      <c r="L84" s="259" t="s">
        <v>174</v>
      </c>
      <c r="M84" s="258">
        <v>0</v>
      </c>
      <c r="N84" s="258">
        <v>0</v>
      </c>
      <c r="O84" s="258">
        <v>5</v>
      </c>
      <c r="P84" s="255" t="s">
        <v>92</v>
      </c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8" t="s">
        <v>89</v>
      </c>
      <c r="AE84" s="251"/>
      <c r="AF84" s="251"/>
      <c r="AG84" s="251"/>
      <c r="AH84" s="251"/>
      <c r="AI84" s="258" t="s">
        <v>123</v>
      </c>
      <c r="AJ84" s="251"/>
    </row>
    <row r="85" spans="1:36" x14ac:dyDescent="0.3">
      <c r="A85" s="253" t="s">
        <v>323</v>
      </c>
      <c r="B85" s="254">
        <v>46034</v>
      </c>
      <c r="C85" s="255" t="s">
        <v>38</v>
      </c>
      <c r="D85" s="256" t="s">
        <v>307</v>
      </c>
      <c r="E85" s="255" t="s">
        <v>1</v>
      </c>
      <c r="F85" s="255" t="s">
        <v>302</v>
      </c>
      <c r="G85" s="257">
        <v>0.54759999999999998</v>
      </c>
      <c r="H85" s="258">
        <v>168</v>
      </c>
      <c r="I85" s="258">
        <v>92</v>
      </c>
      <c r="J85" s="258">
        <v>90</v>
      </c>
      <c r="K85" s="255" t="s">
        <v>303</v>
      </c>
      <c r="L85" s="259" t="s">
        <v>140</v>
      </c>
      <c r="M85" s="258">
        <v>0</v>
      </c>
      <c r="N85" s="258">
        <v>0</v>
      </c>
      <c r="O85" s="258">
        <v>4</v>
      </c>
      <c r="P85" s="255" t="s">
        <v>92</v>
      </c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8" t="s">
        <v>89</v>
      </c>
      <c r="AE85" s="251"/>
      <c r="AF85" s="251"/>
      <c r="AG85" s="258" t="s">
        <v>180</v>
      </c>
      <c r="AH85" s="251"/>
      <c r="AI85" s="258" t="s">
        <v>327</v>
      </c>
      <c r="AJ85" s="251"/>
    </row>
    <row r="86" spans="1:36" x14ac:dyDescent="0.3">
      <c r="A86" s="253" t="s">
        <v>323</v>
      </c>
      <c r="B86" s="254">
        <v>46034</v>
      </c>
      <c r="C86" s="255" t="s">
        <v>48</v>
      </c>
      <c r="D86" s="256" t="s">
        <v>328</v>
      </c>
      <c r="E86" s="255" t="s">
        <v>1</v>
      </c>
      <c r="F86" s="255" t="s">
        <v>302</v>
      </c>
      <c r="G86" s="257">
        <v>0.82740000000000002</v>
      </c>
      <c r="H86" s="258">
        <v>168</v>
      </c>
      <c r="I86" s="258">
        <v>139</v>
      </c>
      <c r="J86" s="258">
        <v>135</v>
      </c>
      <c r="K86" s="255" t="s">
        <v>303</v>
      </c>
      <c r="L86" s="259" t="s">
        <v>177</v>
      </c>
      <c r="M86" s="258">
        <v>0</v>
      </c>
      <c r="N86" s="258">
        <v>0</v>
      </c>
      <c r="O86" s="258">
        <v>7</v>
      </c>
      <c r="P86" s="255" t="s">
        <v>87</v>
      </c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8" t="s">
        <v>133</v>
      </c>
      <c r="AE86" s="251"/>
      <c r="AF86" s="251"/>
      <c r="AG86" s="251"/>
      <c r="AH86" s="251"/>
      <c r="AI86" s="258" t="s">
        <v>123</v>
      </c>
      <c r="AJ86" s="251"/>
    </row>
    <row r="87" spans="1:36" x14ac:dyDescent="0.3">
      <c r="A87" s="253" t="s">
        <v>331</v>
      </c>
      <c r="B87" s="254">
        <v>46035</v>
      </c>
      <c r="C87" s="255" t="s">
        <v>44</v>
      </c>
      <c r="D87" s="256" t="s">
        <v>332</v>
      </c>
      <c r="E87" s="255" t="s">
        <v>1</v>
      </c>
      <c r="F87" s="255" t="s">
        <v>302</v>
      </c>
      <c r="G87" s="257">
        <v>1.1900000000000001E-2</v>
      </c>
      <c r="H87" s="258">
        <v>168</v>
      </c>
      <c r="I87" s="258">
        <v>2</v>
      </c>
      <c r="J87" s="258">
        <v>0</v>
      </c>
      <c r="K87" s="255" t="s">
        <v>303</v>
      </c>
      <c r="L87" s="259" t="s">
        <v>179</v>
      </c>
      <c r="M87" s="258">
        <v>0</v>
      </c>
      <c r="N87" s="258">
        <v>0</v>
      </c>
      <c r="O87" s="258">
        <v>2</v>
      </c>
      <c r="P87" s="255" t="s">
        <v>92</v>
      </c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8" t="s">
        <v>89</v>
      </c>
      <c r="AE87" s="251"/>
      <c r="AF87" s="251"/>
      <c r="AG87" s="251"/>
      <c r="AH87" s="251"/>
      <c r="AI87" s="251"/>
      <c r="AJ87" s="251"/>
    </row>
    <row r="88" spans="1:36" x14ac:dyDescent="0.3">
      <c r="A88" s="253" t="s">
        <v>331</v>
      </c>
      <c r="B88" s="254">
        <v>46035</v>
      </c>
      <c r="C88" s="255" t="s">
        <v>40</v>
      </c>
      <c r="D88" s="256" t="s">
        <v>335</v>
      </c>
      <c r="E88" s="255" t="s">
        <v>1</v>
      </c>
      <c r="F88" s="255" t="s">
        <v>302</v>
      </c>
      <c r="G88" s="257">
        <v>0.26790000000000003</v>
      </c>
      <c r="H88" s="258">
        <v>168</v>
      </c>
      <c r="I88" s="258">
        <v>45</v>
      </c>
      <c r="J88" s="258">
        <v>45</v>
      </c>
      <c r="K88" s="255" t="s">
        <v>303</v>
      </c>
      <c r="L88" s="259" t="s">
        <v>140</v>
      </c>
      <c r="M88" s="258">
        <v>0</v>
      </c>
      <c r="N88" s="258">
        <v>0</v>
      </c>
      <c r="O88" s="258">
        <v>1</v>
      </c>
      <c r="P88" s="255" t="s">
        <v>80</v>
      </c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8" t="s">
        <v>180</v>
      </c>
      <c r="AH88" s="251"/>
      <c r="AI88" s="251"/>
      <c r="AJ88" s="251"/>
    </row>
    <row r="89" spans="1:36" x14ac:dyDescent="0.3">
      <c r="A89" s="253" t="s">
        <v>331</v>
      </c>
      <c r="B89" s="254">
        <v>46035</v>
      </c>
      <c r="C89" s="255" t="s">
        <v>38</v>
      </c>
      <c r="D89" s="256" t="s">
        <v>307</v>
      </c>
      <c r="E89" s="255" t="s">
        <v>1</v>
      </c>
      <c r="F89" s="255" t="s">
        <v>302</v>
      </c>
      <c r="G89" s="257">
        <v>0.82740000000000002</v>
      </c>
      <c r="H89" s="258">
        <v>168</v>
      </c>
      <c r="I89" s="258">
        <v>139</v>
      </c>
      <c r="J89" s="258">
        <v>135</v>
      </c>
      <c r="K89" s="255" t="s">
        <v>303</v>
      </c>
      <c r="L89" s="259" t="s">
        <v>119</v>
      </c>
      <c r="M89" s="258">
        <v>0</v>
      </c>
      <c r="N89" s="258">
        <v>0</v>
      </c>
      <c r="O89" s="258">
        <v>7</v>
      </c>
      <c r="P89" s="255" t="s">
        <v>87</v>
      </c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8" t="s">
        <v>133</v>
      </c>
      <c r="AE89" s="251"/>
      <c r="AF89" s="251"/>
      <c r="AG89" s="251"/>
      <c r="AH89" s="251"/>
      <c r="AI89" s="258" t="s">
        <v>123</v>
      </c>
      <c r="AJ89" s="251"/>
    </row>
    <row r="90" spans="1:36" x14ac:dyDescent="0.3">
      <c r="A90" s="253" t="s">
        <v>331</v>
      </c>
      <c r="B90" s="254">
        <v>46035</v>
      </c>
      <c r="C90" s="255" t="s">
        <v>48</v>
      </c>
      <c r="D90" s="256" t="s">
        <v>337</v>
      </c>
      <c r="E90" s="255" t="s">
        <v>1</v>
      </c>
      <c r="F90" s="255" t="s">
        <v>302</v>
      </c>
      <c r="G90" s="257">
        <v>0.28570000000000001</v>
      </c>
      <c r="H90" s="258">
        <v>168</v>
      </c>
      <c r="I90" s="258">
        <v>48</v>
      </c>
      <c r="J90" s="258">
        <v>45</v>
      </c>
      <c r="K90" s="255" t="s">
        <v>303</v>
      </c>
      <c r="L90" s="259" t="s">
        <v>113</v>
      </c>
      <c r="M90" s="258">
        <v>0</v>
      </c>
      <c r="N90" s="258">
        <v>0</v>
      </c>
      <c r="O90" s="258">
        <v>4</v>
      </c>
      <c r="P90" s="255" t="s">
        <v>95</v>
      </c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8" t="s">
        <v>127</v>
      </c>
      <c r="AE90" s="251"/>
      <c r="AF90" s="251"/>
      <c r="AG90" s="251"/>
      <c r="AH90" s="251"/>
      <c r="AI90" s="258" t="s">
        <v>327</v>
      </c>
      <c r="AJ90" s="251"/>
    </row>
    <row r="91" spans="1:36" x14ac:dyDescent="0.3">
      <c r="A91" s="253" t="s">
        <v>331</v>
      </c>
      <c r="B91" s="254">
        <v>46035</v>
      </c>
      <c r="C91" s="255" t="s">
        <v>29</v>
      </c>
      <c r="D91" s="256" t="s">
        <v>338</v>
      </c>
      <c r="E91" s="255" t="s">
        <v>1</v>
      </c>
      <c r="F91" s="255" t="s">
        <v>302</v>
      </c>
      <c r="G91" s="257">
        <v>0.27379999999999999</v>
      </c>
      <c r="H91" s="258">
        <v>168</v>
      </c>
      <c r="I91" s="258">
        <v>46</v>
      </c>
      <c r="J91" s="258">
        <v>45</v>
      </c>
      <c r="K91" s="255" t="s">
        <v>303</v>
      </c>
      <c r="L91" s="259" t="s">
        <v>110</v>
      </c>
      <c r="M91" s="258">
        <v>0</v>
      </c>
      <c r="N91" s="258">
        <v>0</v>
      </c>
      <c r="O91" s="258">
        <v>2</v>
      </c>
      <c r="P91" s="255" t="s">
        <v>80</v>
      </c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8" t="s">
        <v>114</v>
      </c>
      <c r="AE91" s="251"/>
      <c r="AF91" s="251"/>
      <c r="AG91" s="251"/>
      <c r="AH91" s="251"/>
      <c r="AI91" s="258" t="s">
        <v>327</v>
      </c>
      <c r="AJ91" s="251"/>
    </row>
    <row r="92" spans="1:36" x14ac:dyDescent="0.3">
      <c r="A92" s="253" t="s">
        <v>331</v>
      </c>
      <c r="B92" s="254">
        <v>46035</v>
      </c>
      <c r="C92" s="255" t="s">
        <v>35</v>
      </c>
      <c r="D92" s="256" t="s">
        <v>339</v>
      </c>
      <c r="E92" s="255" t="s">
        <v>1</v>
      </c>
      <c r="F92" s="255" t="s">
        <v>302</v>
      </c>
      <c r="G92" s="257">
        <v>0.80359999999999998</v>
      </c>
      <c r="H92" s="258">
        <v>168</v>
      </c>
      <c r="I92" s="258">
        <v>135</v>
      </c>
      <c r="J92" s="258">
        <v>135</v>
      </c>
      <c r="K92" s="255" t="s">
        <v>303</v>
      </c>
      <c r="L92" s="259" t="s">
        <v>122</v>
      </c>
      <c r="M92" s="258">
        <v>0</v>
      </c>
      <c r="N92" s="258">
        <v>0</v>
      </c>
      <c r="O92" s="258">
        <v>3</v>
      </c>
      <c r="P92" s="255" t="s">
        <v>80</v>
      </c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8" t="s">
        <v>123</v>
      </c>
      <c r="AJ92" s="251"/>
    </row>
    <row r="93" spans="1:36" x14ac:dyDescent="0.3">
      <c r="A93" s="253" t="s">
        <v>340</v>
      </c>
      <c r="B93" s="254">
        <v>46036</v>
      </c>
      <c r="C93" s="255" t="s">
        <v>35</v>
      </c>
      <c r="D93" s="256" t="s">
        <v>341</v>
      </c>
      <c r="E93" s="255" t="s">
        <v>1</v>
      </c>
      <c r="F93" s="255" t="s">
        <v>302</v>
      </c>
      <c r="G93" s="257">
        <v>0.27379999999999999</v>
      </c>
      <c r="H93" s="258">
        <v>168</v>
      </c>
      <c r="I93" s="258">
        <v>46</v>
      </c>
      <c r="J93" s="258">
        <v>45</v>
      </c>
      <c r="K93" s="255" t="s">
        <v>303</v>
      </c>
      <c r="L93" s="259" t="s">
        <v>182</v>
      </c>
      <c r="M93" s="258">
        <v>0</v>
      </c>
      <c r="N93" s="258">
        <v>0</v>
      </c>
      <c r="O93" s="258">
        <v>2</v>
      </c>
      <c r="P93" s="255" t="s">
        <v>80</v>
      </c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8" t="s">
        <v>114</v>
      </c>
      <c r="AE93" s="251"/>
      <c r="AF93" s="251"/>
      <c r="AG93" s="251"/>
      <c r="AH93" s="251"/>
      <c r="AI93" s="258" t="s">
        <v>327</v>
      </c>
      <c r="AJ93" s="251"/>
    </row>
    <row r="94" spans="1:36" x14ac:dyDescent="0.3">
      <c r="A94" s="253" t="s">
        <v>340</v>
      </c>
      <c r="B94" s="254">
        <v>46036</v>
      </c>
      <c r="C94" s="255" t="s">
        <v>48</v>
      </c>
      <c r="D94" s="256" t="s">
        <v>342</v>
      </c>
      <c r="E94" s="255" t="s">
        <v>1</v>
      </c>
      <c r="F94" s="255" t="s">
        <v>302</v>
      </c>
      <c r="G94" s="257">
        <v>0.85119999999999996</v>
      </c>
      <c r="H94" s="258">
        <v>168</v>
      </c>
      <c r="I94" s="258">
        <v>143</v>
      </c>
      <c r="J94" s="258">
        <v>135</v>
      </c>
      <c r="K94" s="255" t="s">
        <v>303</v>
      </c>
      <c r="L94" s="259" t="s">
        <v>183</v>
      </c>
      <c r="M94" s="258">
        <v>0</v>
      </c>
      <c r="N94" s="258">
        <v>0</v>
      </c>
      <c r="O94" s="258">
        <v>11</v>
      </c>
      <c r="P94" s="255" t="s">
        <v>89</v>
      </c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8" t="s">
        <v>92</v>
      </c>
      <c r="AE94" s="251"/>
      <c r="AF94" s="251"/>
      <c r="AG94" s="251"/>
      <c r="AH94" s="251"/>
      <c r="AI94" s="258" t="s">
        <v>123</v>
      </c>
      <c r="AJ94" s="251"/>
    </row>
    <row r="95" spans="1:36" x14ac:dyDescent="0.3">
      <c r="A95" s="253" t="s">
        <v>340</v>
      </c>
      <c r="B95" s="254">
        <v>46036</v>
      </c>
      <c r="C95" s="255" t="s">
        <v>38</v>
      </c>
      <c r="D95" s="256" t="s">
        <v>307</v>
      </c>
      <c r="E95" s="255" t="s">
        <v>1</v>
      </c>
      <c r="F95" s="255" t="s">
        <v>302</v>
      </c>
      <c r="G95" s="257">
        <v>0.5595</v>
      </c>
      <c r="H95" s="258">
        <v>168</v>
      </c>
      <c r="I95" s="258">
        <v>94</v>
      </c>
      <c r="J95" s="258">
        <v>90</v>
      </c>
      <c r="K95" s="255" t="s">
        <v>303</v>
      </c>
      <c r="L95" s="259" t="s">
        <v>140</v>
      </c>
      <c r="M95" s="258">
        <v>0</v>
      </c>
      <c r="N95" s="258">
        <v>0</v>
      </c>
      <c r="O95" s="258">
        <v>6</v>
      </c>
      <c r="P95" s="255" t="s">
        <v>87</v>
      </c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8" t="s">
        <v>133</v>
      </c>
      <c r="AE95" s="251"/>
      <c r="AF95" s="251"/>
      <c r="AG95" s="258" t="s">
        <v>180</v>
      </c>
      <c r="AH95" s="251"/>
      <c r="AI95" s="258" t="s">
        <v>327</v>
      </c>
      <c r="AJ95" s="251"/>
    </row>
    <row r="96" spans="1:36" x14ac:dyDescent="0.3">
      <c r="A96" s="253" t="s">
        <v>344</v>
      </c>
      <c r="B96" s="254">
        <v>46037</v>
      </c>
      <c r="C96" s="255" t="s">
        <v>29</v>
      </c>
      <c r="D96" s="256" t="s">
        <v>345</v>
      </c>
      <c r="E96" s="255" t="s">
        <v>1</v>
      </c>
      <c r="F96" s="255" t="s">
        <v>302</v>
      </c>
      <c r="G96" s="257">
        <v>0</v>
      </c>
      <c r="H96" s="258">
        <v>168</v>
      </c>
      <c r="I96" s="258">
        <v>0</v>
      </c>
      <c r="J96" s="258">
        <v>0</v>
      </c>
      <c r="K96" s="255" t="s">
        <v>303</v>
      </c>
      <c r="L96" s="259" t="s">
        <v>109</v>
      </c>
      <c r="M96" s="258">
        <v>0</v>
      </c>
      <c r="N96" s="258">
        <v>0</v>
      </c>
      <c r="O96" s="258">
        <v>0</v>
      </c>
      <c r="P96" s="255" t="s">
        <v>80</v>
      </c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</row>
    <row r="97" spans="1:36" x14ac:dyDescent="0.3">
      <c r="A97" s="253" t="s">
        <v>344</v>
      </c>
      <c r="B97" s="254">
        <v>46037</v>
      </c>
      <c r="C97" s="255" t="s">
        <v>44</v>
      </c>
      <c r="D97" s="256" t="s">
        <v>301</v>
      </c>
      <c r="E97" s="255" t="s">
        <v>1</v>
      </c>
      <c r="F97" s="255" t="s">
        <v>302</v>
      </c>
      <c r="G97" s="257">
        <v>3.5700000000000003E-2</v>
      </c>
      <c r="H97" s="258">
        <v>168</v>
      </c>
      <c r="I97" s="258">
        <v>6</v>
      </c>
      <c r="J97" s="258">
        <v>0</v>
      </c>
      <c r="K97" s="255" t="s">
        <v>303</v>
      </c>
      <c r="L97" s="259" t="s">
        <v>129</v>
      </c>
      <c r="M97" s="258">
        <v>0</v>
      </c>
      <c r="N97" s="258">
        <v>0</v>
      </c>
      <c r="O97" s="258">
        <v>6</v>
      </c>
      <c r="P97" s="255" t="s">
        <v>186</v>
      </c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8" t="s">
        <v>160</v>
      </c>
      <c r="AD97" s="258" t="s">
        <v>186</v>
      </c>
      <c r="AE97" s="251"/>
      <c r="AF97" s="251"/>
      <c r="AG97" s="251"/>
      <c r="AH97" s="251"/>
      <c r="AI97" s="251"/>
      <c r="AJ97" s="251"/>
    </row>
    <row r="98" spans="1:36" x14ac:dyDescent="0.3">
      <c r="A98" s="253" t="s">
        <v>344</v>
      </c>
      <c r="B98" s="254">
        <v>46037</v>
      </c>
      <c r="C98" s="255" t="s">
        <v>51</v>
      </c>
      <c r="D98" s="256" t="s">
        <v>346</v>
      </c>
      <c r="E98" s="255" t="s">
        <v>1</v>
      </c>
      <c r="F98" s="255" t="s">
        <v>302</v>
      </c>
      <c r="G98" s="257">
        <v>1.7899999999999999E-2</v>
      </c>
      <c r="H98" s="258">
        <v>168</v>
      </c>
      <c r="I98" s="258">
        <v>3</v>
      </c>
      <c r="J98" s="258">
        <v>0</v>
      </c>
      <c r="K98" s="255" t="s">
        <v>303</v>
      </c>
      <c r="L98" s="259" t="s">
        <v>119</v>
      </c>
      <c r="M98" s="258">
        <v>0</v>
      </c>
      <c r="N98" s="258">
        <v>0</v>
      </c>
      <c r="O98" s="258">
        <v>3</v>
      </c>
      <c r="P98" s="255" t="s">
        <v>80</v>
      </c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8" t="s">
        <v>192</v>
      </c>
      <c r="AD98" s="258" t="s">
        <v>114</v>
      </c>
      <c r="AE98" s="251"/>
      <c r="AF98" s="251"/>
      <c r="AG98" s="251"/>
      <c r="AH98" s="251"/>
      <c r="AI98" s="251"/>
      <c r="AJ98" s="251"/>
    </row>
    <row r="99" spans="1:36" x14ac:dyDescent="0.3">
      <c r="A99" s="253" t="s">
        <v>344</v>
      </c>
      <c r="B99" s="254">
        <v>46037</v>
      </c>
      <c r="C99" s="255" t="s">
        <v>35</v>
      </c>
      <c r="D99" s="256" t="s">
        <v>314</v>
      </c>
      <c r="E99" s="255" t="s">
        <v>1</v>
      </c>
      <c r="F99" s="255" t="s">
        <v>302</v>
      </c>
      <c r="G99" s="257">
        <v>0</v>
      </c>
      <c r="H99" s="258">
        <v>168</v>
      </c>
      <c r="I99" s="258">
        <v>0</v>
      </c>
      <c r="J99" s="258">
        <v>0</v>
      </c>
      <c r="K99" s="255" t="s">
        <v>303</v>
      </c>
      <c r="L99" s="259" t="s">
        <v>109</v>
      </c>
      <c r="M99" s="258">
        <v>0</v>
      </c>
      <c r="N99" s="258">
        <v>0</v>
      </c>
      <c r="O99" s="258">
        <v>0</v>
      </c>
      <c r="P99" s="255" t="s">
        <v>80</v>
      </c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</row>
    <row r="100" spans="1:36" x14ac:dyDescent="0.3">
      <c r="A100" s="253" t="s">
        <v>344</v>
      </c>
      <c r="B100" s="254">
        <v>46037</v>
      </c>
      <c r="C100" s="255" t="s">
        <v>101</v>
      </c>
      <c r="D100" s="256" t="s">
        <v>347</v>
      </c>
      <c r="E100" s="255" t="s">
        <v>1</v>
      </c>
      <c r="F100" s="255" t="s">
        <v>302</v>
      </c>
      <c r="G100" s="257">
        <v>0</v>
      </c>
      <c r="H100" s="258">
        <v>168</v>
      </c>
      <c r="I100" s="258">
        <v>0</v>
      </c>
      <c r="J100" s="258">
        <v>0</v>
      </c>
      <c r="K100" s="255" t="s">
        <v>303</v>
      </c>
      <c r="L100" s="259" t="s">
        <v>109</v>
      </c>
      <c r="M100" s="258">
        <v>0</v>
      </c>
      <c r="N100" s="258">
        <v>0</v>
      </c>
      <c r="O100" s="258">
        <v>0</v>
      </c>
      <c r="P100" s="255" t="s">
        <v>102</v>
      </c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</row>
    <row r="101" spans="1:36" x14ac:dyDescent="0.3">
      <c r="A101" s="253" t="s">
        <v>344</v>
      </c>
      <c r="B101" s="254">
        <v>46037</v>
      </c>
      <c r="C101" s="255" t="s">
        <v>38</v>
      </c>
      <c r="D101" s="256" t="s">
        <v>348</v>
      </c>
      <c r="E101" s="255" t="s">
        <v>1</v>
      </c>
      <c r="F101" s="255" t="s">
        <v>302</v>
      </c>
      <c r="G101" s="257">
        <v>3.5700000000000003E-2</v>
      </c>
      <c r="H101" s="258">
        <v>168</v>
      </c>
      <c r="I101" s="258">
        <v>6</v>
      </c>
      <c r="J101" s="258">
        <v>0</v>
      </c>
      <c r="K101" s="255" t="s">
        <v>303</v>
      </c>
      <c r="L101" s="259" t="s">
        <v>113</v>
      </c>
      <c r="M101" s="258">
        <v>0</v>
      </c>
      <c r="N101" s="258">
        <v>0</v>
      </c>
      <c r="O101" s="258">
        <v>7</v>
      </c>
      <c r="P101" s="255" t="s">
        <v>133</v>
      </c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8" t="s">
        <v>87</v>
      </c>
      <c r="AE101" s="251"/>
      <c r="AF101" s="251"/>
      <c r="AG101" s="251"/>
      <c r="AH101" s="251"/>
      <c r="AI101" s="251"/>
      <c r="AJ101" s="251"/>
    </row>
    <row r="102" spans="1:36" x14ac:dyDescent="0.3">
      <c r="A102" s="253" t="s">
        <v>344</v>
      </c>
      <c r="B102" s="254">
        <v>46037</v>
      </c>
      <c r="C102" s="255" t="s">
        <v>40</v>
      </c>
      <c r="D102" s="256" t="s">
        <v>350</v>
      </c>
      <c r="E102" s="255" t="s">
        <v>1</v>
      </c>
      <c r="F102" s="255" t="s">
        <v>302</v>
      </c>
      <c r="G102" s="257">
        <v>1.7899999999999999E-2</v>
      </c>
      <c r="H102" s="258">
        <v>168</v>
      </c>
      <c r="I102" s="258">
        <v>3</v>
      </c>
      <c r="J102" s="258">
        <v>0</v>
      </c>
      <c r="K102" s="255" t="s">
        <v>303</v>
      </c>
      <c r="L102" s="259" t="s">
        <v>91</v>
      </c>
      <c r="M102" s="258">
        <v>0</v>
      </c>
      <c r="N102" s="258">
        <v>0</v>
      </c>
      <c r="O102" s="258">
        <v>3</v>
      </c>
      <c r="P102" s="255" t="s">
        <v>92</v>
      </c>
      <c r="Q102" s="251"/>
      <c r="R102" s="251"/>
      <c r="S102" s="251"/>
      <c r="T102" s="251"/>
      <c r="U102" s="251"/>
      <c r="V102" s="251"/>
      <c r="W102" s="251"/>
      <c r="X102" s="251"/>
      <c r="Y102" s="251"/>
      <c r="Z102" s="258" t="s">
        <v>208</v>
      </c>
      <c r="AA102" s="251"/>
      <c r="AB102" s="251"/>
      <c r="AC102" s="251"/>
      <c r="AD102" s="258" t="s">
        <v>89</v>
      </c>
      <c r="AE102" s="251"/>
      <c r="AF102" s="251"/>
      <c r="AG102" s="251"/>
      <c r="AH102" s="251"/>
      <c r="AI102" s="251"/>
      <c r="AJ102" s="251"/>
    </row>
    <row r="103" spans="1:36" x14ac:dyDescent="0.3">
      <c r="A103" s="253" t="s">
        <v>300</v>
      </c>
      <c r="B103" s="254">
        <v>46038</v>
      </c>
      <c r="C103" s="255" t="s">
        <v>29</v>
      </c>
      <c r="D103" s="256" t="s">
        <v>301</v>
      </c>
      <c r="E103" s="255" t="s">
        <v>1</v>
      </c>
      <c r="F103" s="255" t="s">
        <v>302</v>
      </c>
      <c r="G103" s="257">
        <v>6.0000000000000001E-3</v>
      </c>
      <c r="H103" s="258">
        <v>168</v>
      </c>
      <c r="I103" s="258">
        <v>1</v>
      </c>
      <c r="J103" s="258">
        <v>0</v>
      </c>
      <c r="K103" s="255" t="s">
        <v>303</v>
      </c>
      <c r="L103" s="259" t="s">
        <v>190</v>
      </c>
      <c r="M103" s="258">
        <v>0</v>
      </c>
      <c r="N103" s="258">
        <v>0</v>
      </c>
      <c r="O103" s="258">
        <v>1</v>
      </c>
      <c r="P103" s="255" t="s">
        <v>80</v>
      </c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8" t="s">
        <v>114</v>
      </c>
      <c r="AE103" s="251"/>
      <c r="AF103" s="251"/>
      <c r="AG103" s="251"/>
      <c r="AH103" s="251"/>
      <c r="AI103" s="251"/>
      <c r="AJ103" s="251"/>
    </row>
    <row r="104" spans="1:36" x14ac:dyDescent="0.3">
      <c r="A104" s="253" t="s">
        <v>300</v>
      </c>
      <c r="B104" s="254">
        <v>46038</v>
      </c>
      <c r="C104" s="255" t="s">
        <v>35</v>
      </c>
      <c r="D104" s="256" t="s">
        <v>305</v>
      </c>
      <c r="E104" s="255" t="s">
        <v>1</v>
      </c>
      <c r="F104" s="255" t="s">
        <v>302</v>
      </c>
      <c r="G104" s="257">
        <v>0</v>
      </c>
      <c r="H104" s="258">
        <v>168</v>
      </c>
      <c r="I104" s="258">
        <v>0</v>
      </c>
      <c r="J104" s="258">
        <v>0</v>
      </c>
      <c r="K104" s="255" t="s">
        <v>303</v>
      </c>
      <c r="L104" s="259" t="s">
        <v>109</v>
      </c>
      <c r="M104" s="258">
        <v>0</v>
      </c>
      <c r="N104" s="258">
        <v>0</v>
      </c>
      <c r="O104" s="258">
        <v>0</v>
      </c>
      <c r="P104" s="255" t="s">
        <v>80</v>
      </c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</row>
    <row r="105" spans="1:36" x14ac:dyDescent="0.3">
      <c r="A105" s="253" t="s">
        <v>300</v>
      </c>
      <c r="B105" s="254">
        <v>46038</v>
      </c>
      <c r="C105" s="255" t="s">
        <v>38</v>
      </c>
      <c r="D105" s="256" t="s">
        <v>306</v>
      </c>
      <c r="E105" s="255" t="s">
        <v>1</v>
      </c>
      <c r="F105" s="255" t="s">
        <v>302</v>
      </c>
      <c r="G105" s="257">
        <v>0</v>
      </c>
      <c r="H105" s="258">
        <v>168</v>
      </c>
      <c r="I105" s="258">
        <v>0</v>
      </c>
      <c r="J105" s="258">
        <v>0</v>
      </c>
      <c r="K105" s="255" t="s">
        <v>303</v>
      </c>
      <c r="L105" s="259" t="s">
        <v>109</v>
      </c>
      <c r="M105" s="258">
        <v>0</v>
      </c>
      <c r="N105" s="258">
        <v>0</v>
      </c>
      <c r="O105" s="258">
        <v>0</v>
      </c>
      <c r="P105" s="255" t="s">
        <v>80</v>
      </c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</row>
    <row r="106" spans="1:36" x14ac:dyDescent="0.3">
      <c r="A106" s="253" t="s">
        <v>300</v>
      </c>
      <c r="B106" s="254">
        <v>46038</v>
      </c>
      <c r="C106" s="255" t="s">
        <v>40</v>
      </c>
      <c r="D106" s="256" t="s">
        <v>307</v>
      </c>
      <c r="E106" s="255" t="s">
        <v>1</v>
      </c>
      <c r="F106" s="255" t="s">
        <v>302</v>
      </c>
      <c r="G106" s="257">
        <v>2.3800000000000002E-2</v>
      </c>
      <c r="H106" s="258">
        <v>168</v>
      </c>
      <c r="I106" s="258">
        <v>4</v>
      </c>
      <c r="J106" s="258">
        <v>0</v>
      </c>
      <c r="K106" s="255" t="s">
        <v>303</v>
      </c>
      <c r="L106" s="259" t="s">
        <v>91</v>
      </c>
      <c r="M106" s="258">
        <v>0</v>
      </c>
      <c r="N106" s="258">
        <v>0</v>
      </c>
      <c r="O106" s="258">
        <v>4</v>
      </c>
      <c r="P106" s="255" t="s">
        <v>87</v>
      </c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8" t="s">
        <v>133</v>
      </c>
      <c r="AE106" s="251"/>
      <c r="AF106" s="251"/>
      <c r="AG106" s="251"/>
      <c r="AH106" s="251"/>
      <c r="AI106" s="251"/>
      <c r="AJ106" s="251"/>
    </row>
    <row r="107" spans="1:36" x14ac:dyDescent="0.3">
      <c r="A107" s="253" t="s">
        <v>300</v>
      </c>
      <c r="B107" s="254">
        <v>46038</v>
      </c>
      <c r="C107" s="255" t="s">
        <v>44</v>
      </c>
      <c r="D107" s="256" t="s">
        <v>308</v>
      </c>
      <c r="E107" s="255" t="s">
        <v>1</v>
      </c>
      <c r="F107" s="255" t="s">
        <v>302</v>
      </c>
      <c r="G107" s="257">
        <v>4.1700000000000001E-2</v>
      </c>
      <c r="H107" s="258">
        <v>168</v>
      </c>
      <c r="I107" s="258">
        <v>7</v>
      </c>
      <c r="J107" s="258">
        <v>0</v>
      </c>
      <c r="K107" s="255" t="s">
        <v>303</v>
      </c>
      <c r="L107" s="259" t="s">
        <v>94</v>
      </c>
      <c r="M107" s="258">
        <v>0</v>
      </c>
      <c r="N107" s="258">
        <v>0</v>
      </c>
      <c r="O107" s="258">
        <v>7</v>
      </c>
      <c r="P107" s="255" t="s">
        <v>127</v>
      </c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8" t="s">
        <v>95</v>
      </c>
      <c r="AE107" s="251"/>
      <c r="AF107" s="251"/>
      <c r="AG107" s="251"/>
      <c r="AH107" s="251"/>
      <c r="AI107" s="251"/>
      <c r="AJ107" s="251"/>
    </row>
    <row r="108" spans="1:36" x14ac:dyDescent="0.3">
      <c r="A108" s="253" t="s">
        <v>300</v>
      </c>
      <c r="B108" s="254">
        <v>46038</v>
      </c>
      <c r="C108" s="255" t="s">
        <v>48</v>
      </c>
      <c r="D108" s="256" t="s">
        <v>310</v>
      </c>
      <c r="E108" s="255" t="s">
        <v>1</v>
      </c>
      <c r="F108" s="255" t="s">
        <v>302</v>
      </c>
      <c r="G108" s="257">
        <v>0</v>
      </c>
      <c r="H108" s="258">
        <v>168</v>
      </c>
      <c r="I108" s="258">
        <v>0</v>
      </c>
      <c r="J108" s="258">
        <v>0</v>
      </c>
      <c r="K108" s="255" t="s">
        <v>303</v>
      </c>
      <c r="L108" s="259" t="s">
        <v>109</v>
      </c>
      <c r="M108" s="258">
        <v>0</v>
      </c>
      <c r="N108" s="258">
        <v>0</v>
      </c>
      <c r="O108" s="258">
        <v>0</v>
      </c>
      <c r="P108" s="255" t="s">
        <v>80</v>
      </c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</row>
    <row r="109" spans="1:36" x14ac:dyDescent="0.3">
      <c r="A109" s="253" t="s">
        <v>312</v>
      </c>
      <c r="B109" s="254">
        <v>46039</v>
      </c>
      <c r="C109" s="255" t="s">
        <v>51</v>
      </c>
      <c r="D109" s="256" t="s">
        <v>313</v>
      </c>
      <c r="E109" s="255" t="s">
        <v>1</v>
      </c>
      <c r="F109" s="255" t="s">
        <v>302</v>
      </c>
      <c r="G109" s="257">
        <v>3.4500000000000003E-2</v>
      </c>
      <c r="H109" s="258">
        <v>174</v>
      </c>
      <c r="I109" s="258">
        <v>6</v>
      </c>
      <c r="J109" s="258">
        <v>0</v>
      </c>
      <c r="K109" s="255" t="s">
        <v>303</v>
      </c>
      <c r="L109" s="259" t="s">
        <v>191</v>
      </c>
      <c r="M109" s="258">
        <v>0</v>
      </c>
      <c r="N109" s="258">
        <v>0</v>
      </c>
      <c r="O109" s="258">
        <v>6</v>
      </c>
      <c r="P109" s="255" t="s">
        <v>133</v>
      </c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8" t="s">
        <v>87</v>
      </c>
      <c r="AE109" s="251"/>
      <c r="AF109" s="251"/>
      <c r="AG109" s="251"/>
      <c r="AH109" s="251"/>
      <c r="AI109" s="251"/>
      <c r="AJ109" s="251"/>
    </row>
    <row r="110" spans="1:36" x14ac:dyDescent="0.3">
      <c r="A110" s="253" t="s">
        <v>312</v>
      </c>
      <c r="B110" s="254">
        <v>46039</v>
      </c>
      <c r="C110" s="255" t="s">
        <v>35</v>
      </c>
      <c r="D110" s="256" t="s">
        <v>314</v>
      </c>
      <c r="E110" s="255" t="s">
        <v>1</v>
      </c>
      <c r="F110" s="255" t="s">
        <v>302</v>
      </c>
      <c r="G110" s="257">
        <v>0.1726</v>
      </c>
      <c r="H110" s="258">
        <v>168</v>
      </c>
      <c r="I110" s="258">
        <v>29</v>
      </c>
      <c r="J110" s="258">
        <v>0</v>
      </c>
      <c r="K110" s="255" t="s">
        <v>303</v>
      </c>
      <c r="L110" s="259" t="s">
        <v>94</v>
      </c>
      <c r="M110" s="258">
        <v>0</v>
      </c>
      <c r="N110" s="258">
        <v>0</v>
      </c>
      <c r="O110" s="258">
        <v>29</v>
      </c>
      <c r="P110" s="255" t="s">
        <v>192</v>
      </c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8" t="s">
        <v>372</v>
      </c>
      <c r="AC110" s="258" t="s">
        <v>379</v>
      </c>
      <c r="AD110" s="258" t="s">
        <v>132</v>
      </c>
      <c r="AE110" s="251"/>
      <c r="AF110" s="251"/>
      <c r="AG110" s="251"/>
      <c r="AH110" s="251"/>
      <c r="AI110" s="251"/>
      <c r="AJ110" s="251"/>
    </row>
    <row r="111" spans="1:36" x14ac:dyDescent="0.3">
      <c r="A111" s="253" t="s">
        <v>312</v>
      </c>
      <c r="B111" s="254">
        <v>46039</v>
      </c>
      <c r="C111" s="255" t="s">
        <v>38</v>
      </c>
      <c r="D111" s="256" t="s">
        <v>316</v>
      </c>
      <c r="E111" s="255" t="s">
        <v>1</v>
      </c>
      <c r="F111" s="255" t="s">
        <v>302</v>
      </c>
      <c r="G111" s="257">
        <v>0.14879999999999999</v>
      </c>
      <c r="H111" s="258">
        <v>168</v>
      </c>
      <c r="I111" s="258">
        <v>25</v>
      </c>
      <c r="J111" s="258">
        <v>0</v>
      </c>
      <c r="K111" s="255" t="s">
        <v>303</v>
      </c>
      <c r="L111" s="259" t="s">
        <v>194</v>
      </c>
      <c r="M111" s="258">
        <v>0</v>
      </c>
      <c r="N111" s="258">
        <v>0</v>
      </c>
      <c r="O111" s="258">
        <v>26</v>
      </c>
      <c r="P111" s="255" t="s">
        <v>114</v>
      </c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8" t="s">
        <v>371</v>
      </c>
      <c r="AC111" s="258" t="s">
        <v>142</v>
      </c>
      <c r="AD111" s="258" t="s">
        <v>80</v>
      </c>
      <c r="AE111" s="251"/>
      <c r="AF111" s="251"/>
      <c r="AG111" s="251"/>
      <c r="AH111" s="251"/>
      <c r="AI111" s="251"/>
      <c r="AJ111" s="251"/>
    </row>
    <row r="112" spans="1:36" x14ac:dyDescent="0.3">
      <c r="A112" s="253" t="s">
        <v>317</v>
      </c>
      <c r="B112" s="254">
        <v>46040</v>
      </c>
      <c r="C112" s="255" t="s">
        <v>29</v>
      </c>
      <c r="D112" s="256" t="s">
        <v>318</v>
      </c>
      <c r="E112" s="255" t="s">
        <v>1</v>
      </c>
      <c r="F112" s="255" t="s">
        <v>302</v>
      </c>
      <c r="G112" s="257">
        <v>0</v>
      </c>
      <c r="H112" s="258">
        <v>168</v>
      </c>
      <c r="I112" s="258">
        <v>0</v>
      </c>
      <c r="J112" s="258">
        <v>0</v>
      </c>
      <c r="K112" s="255" t="s">
        <v>303</v>
      </c>
      <c r="L112" s="259" t="s">
        <v>109</v>
      </c>
      <c r="M112" s="258">
        <v>0</v>
      </c>
      <c r="N112" s="258">
        <v>0</v>
      </c>
      <c r="O112" s="258">
        <v>0</v>
      </c>
      <c r="P112" s="255" t="s">
        <v>80</v>
      </c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</row>
    <row r="113" spans="1:36" x14ac:dyDescent="0.3">
      <c r="A113" s="253" t="s">
        <v>317</v>
      </c>
      <c r="B113" s="254">
        <v>46040</v>
      </c>
      <c r="C113" s="255" t="s">
        <v>35</v>
      </c>
      <c r="D113" s="256" t="s">
        <v>305</v>
      </c>
      <c r="E113" s="255" t="s">
        <v>1</v>
      </c>
      <c r="F113" s="255" t="s">
        <v>302</v>
      </c>
      <c r="G113" s="257">
        <v>1.1900000000000001E-2</v>
      </c>
      <c r="H113" s="258">
        <v>168</v>
      </c>
      <c r="I113" s="258">
        <v>2</v>
      </c>
      <c r="J113" s="258">
        <v>0</v>
      </c>
      <c r="K113" s="255" t="s">
        <v>303</v>
      </c>
      <c r="L113" s="259" t="s">
        <v>196</v>
      </c>
      <c r="M113" s="258">
        <v>0</v>
      </c>
      <c r="N113" s="258">
        <v>0</v>
      </c>
      <c r="O113" s="258">
        <v>2</v>
      </c>
      <c r="P113" s="255" t="s">
        <v>92</v>
      </c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8" t="s">
        <v>89</v>
      </c>
      <c r="AE113" s="251"/>
      <c r="AF113" s="251"/>
      <c r="AG113" s="251"/>
      <c r="AH113" s="251"/>
      <c r="AI113" s="251"/>
      <c r="AJ113" s="251"/>
    </row>
    <row r="114" spans="1:36" x14ac:dyDescent="0.3">
      <c r="A114" s="253" t="s">
        <v>317</v>
      </c>
      <c r="B114" s="254">
        <v>46040</v>
      </c>
      <c r="C114" s="255" t="s">
        <v>101</v>
      </c>
      <c r="D114" s="256" t="s">
        <v>314</v>
      </c>
      <c r="E114" s="255" t="s">
        <v>1</v>
      </c>
      <c r="F114" s="255" t="s">
        <v>302</v>
      </c>
      <c r="G114" s="257">
        <v>0</v>
      </c>
      <c r="H114" s="258">
        <v>168</v>
      </c>
      <c r="I114" s="258">
        <v>0</v>
      </c>
      <c r="J114" s="258">
        <v>0</v>
      </c>
      <c r="K114" s="255" t="s">
        <v>303</v>
      </c>
      <c r="L114" s="259" t="s">
        <v>109</v>
      </c>
      <c r="M114" s="258">
        <v>0</v>
      </c>
      <c r="N114" s="258">
        <v>0</v>
      </c>
      <c r="O114" s="258">
        <v>0</v>
      </c>
      <c r="P114" s="255" t="s">
        <v>102</v>
      </c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</row>
    <row r="115" spans="1:36" x14ac:dyDescent="0.3">
      <c r="A115" s="253" t="s">
        <v>317</v>
      </c>
      <c r="B115" s="254">
        <v>46040</v>
      </c>
      <c r="C115" s="255" t="s">
        <v>48</v>
      </c>
      <c r="D115" s="256" t="s">
        <v>321</v>
      </c>
      <c r="E115" s="255" t="s">
        <v>1</v>
      </c>
      <c r="F115" s="255" t="s">
        <v>302</v>
      </c>
      <c r="G115" s="257">
        <v>0.28570000000000001</v>
      </c>
      <c r="H115" s="258">
        <v>168</v>
      </c>
      <c r="I115" s="258">
        <v>48</v>
      </c>
      <c r="J115" s="258">
        <v>45</v>
      </c>
      <c r="K115" s="255" t="s">
        <v>303</v>
      </c>
      <c r="L115" s="259" t="s">
        <v>97</v>
      </c>
      <c r="M115" s="258">
        <v>0</v>
      </c>
      <c r="N115" s="258">
        <v>0</v>
      </c>
      <c r="O115" s="258">
        <v>4</v>
      </c>
      <c r="P115" s="255" t="s">
        <v>95</v>
      </c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8" t="s">
        <v>127</v>
      </c>
      <c r="AE115" s="251"/>
      <c r="AF115" s="251"/>
      <c r="AG115" s="251"/>
      <c r="AH115" s="251"/>
      <c r="AI115" s="258" t="s">
        <v>327</v>
      </c>
      <c r="AJ115" s="251"/>
    </row>
    <row r="116" spans="1:36" x14ac:dyDescent="0.3">
      <c r="A116" s="253" t="s">
        <v>317</v>
      </c>
      <c r="B116" s="254">
        <v>46040</v>
      </c>
      <c r="C116" s="255" t="s">
        <v>38</v>
      </c>
      <c r="D116" s="256" t="s">
        <v>322</v>
      </c>
      <c r="E116" s="255" t="s">
        <v>1</v>
      </c>
      <c r="F116" s="255" t="s">
        <v>302</v>
      </c>
      <c r="G116" s="257">
        <v>1.7899999999999999E-2</v>
      </c>
      <c r="H116" s="258">
        <v>168</v>
      </c>
      <c r="I116" s="258">
        <v>3</v>
      </c>
      <c r="J116" s="258">
        <v>0</v>
      </c>
      <c r="K116" s="255" t="s">
        <v>303</v>
      </c>
      <c r="L116" s="259" t="s">
        <v>197</v>
      </c>
      <c r="M116" s="258">
        <v>0</v>
      </c>
      <c r="N116" s="258">
        <v>0</v>
      </c>
      <c r="O116" s="258">
        <v>4</v>
      </c>
      <c r="P116" s="255" t="s">
        <v>80</v>
      </c>
      <c r="Q116" s="251"/>
      <c r="R116" s="251"/>
      <c r="S116" s="251"/>
      <c r="T116" s="251"/>
      <c r="U116" s="251"/>
      <c r="V116" s="251"/>
      <c r="W116" s="251"/>
      <c r="X116" s="251"/>
      <c r="Y116" s="251"/>
      <c r="Z116" s="258" t="s">
        <v>198</v>
      </c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</row>
    <row r="117" spans="1:36" x14ac:dyDescent="0.3">
      <c r="A117" s="253" t="s">
        <v>323</v>
      </c>
      <c r="B117" s="254">
        <v>46041</v>
      </c>
      <c r="C117" s="255" t="s">
        <v>40</v>
      </c>
      <c r="D117" s="256" t="s">
        <v>324</v>
      </c>
      <c r="E117" s="255" t="s">
        <v>1</v>
      </c>
      <c r="F117" s="255" t="s">
        <v>302</v>
      </c>
      <c r="G117" s="257">
        <v>6.0000000000000001E-3</v>
      </c>
      <c r="H117" s="258">
        <v>168</v>
      </c>
      <c r="I117" s="258">
        <v>1</v>
      </c>
      <c r="J117" s="258">
        <v>0</v>
      </c>
      <c r="K117" s="255" t="s">
        <v>303</v>
      </c>
      <c r="L117" s="259" t="s">
        <v>199</v>
      </c>
      <c r="M117" s="258">
        <v>0</v>
      </c>
      <c r="N117" s="258">
        <v>0</v>
      </c>
      <c r="O117" s="258">
        <v>1</v>
      </c>
      <c r="P117" s="255" t="s">
        <v>80</v>
      </c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8" t="s">
        <v>114</v>
      </c>
      <c r="AE117" s="251"/>
      <c r="AF117" s="251"/>
      <c r="AG117" s="251"/>
      <c r="AH117" s="251"/>
      <c r="AI117" s="251"/>
      <c r="AJ117" s="251"/>
    </row>
    <row r="118" spans="1:36" x14ac:dyDescent="0.3">
      <c r="A118" s="253" t="s">
        <v>323</v>
      </c>
      <c r="B118" s="254">
        <v>46041</v>
      </c>
      <c r="C118" s="255" t="s">
        <v>35</v>
      </c>
      <c r="D118" s="256" t="s">
        <v>325</v>
      </c>
      <c r="E118" s="255" t="s">
        <v>1</v>
      </c>
      <c r="F118" s="255" t="s">
        <v>302</v>
      </c>
      <c r="G118" s="257">
        <v>2.98E-2</v>
      </c>
      <c r="H118" s="258">
        <v>168</v>
      </c>
      <c r="I118" s="258">
        <v>5</v>
      </c>
      <c r="J118" s="258">
        <v>0</v>
      </c>
      <c r="K118" s="255" t="s">
        <v>303</v>
      </c>
      <c r="L118" s="259" t="s">
        <v>113</v>
      </c>
      <c r="M118" s="258">
        <v>0</v>
      </c>
      <c r="N118" s="258">
        <v>0</v>
      </c>
      <c r="O118" s="258">
        <v>5</v>
      </c>
      <c r="P118" s="255" t="s">
        <v>80</v>
      </c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8" t="s">
        <v>148</v>
      </c>
      <c r="AD118" s="258" t="s">
        <v>114</v>
      </c>
      <c r="AE118" s="251"/>
      <c r="AF118" s="251"/>
      <c r="AG118" s="251"/>
      <c r="AH118" s="251"/>
      <c r="AI118" s="251"/>
      <c r="AJ118" s="251"/>
    </row>
    <row r="119" spans="1:36" x14ac:dyDescent="0.3">
      <c r="A119" s="253" t="s">
        <v>323</v>
      </c>
      <c r="B119" s="254">
        <v>46041</v>
      </c>
      <c r="C119" s="255" t="s">
        <v>38</v>
      </c>
      <c r="D119" s="256" t="s">
        <v>307</v>
      </c>
      <c r="E119" s="255" t="s">
        <v>1</v>
      </c>
      <c r="F119" s="255" t="s">
        <v>302</v>
      </c>
      <c r="G119" s="257">
        <v>3.5700000000000003E-2</v>
      </c>
      <c r="H119" s="258">
        <v>168</v>
      </c>
      <c r="I119" s="258">
        <v>6</v>
      </c>
      <c r="J119" s="258">
        <v>0</v>
      </c>
      <c r="K119" s="255" t="s">
        <v>303</v>
      </c>
      <c r="L119" s="259" t="s">
        <v>94</v>
      </c>
      <c r="M119" s="258">
        <v>0</v>
      </c>
      <c r="N119" s="258">
        <v>0</v>
      </c>
      <c r="O119" s="258">
        <v>7</v>
      </c>
      <c r="P119" s="255" t="s">
        <v>133</v>
      </c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51"/>
      <c r="AC119" s="251"/>
      <c r="AD119" s="258" t="s">
        <v>87</v>
      </c>
      <c r="AE119" s="251"/>
      <c r="AF119" s="251"/>
      <c r="AG119" s="251"/>
      <c r="AH119" s="251"/>
      <c r="AI119" s="251"/>
      <c r="AJ119" s="251"/>
    </row>
    <row r="120" spans="1:36" x14ac:dyDescent="0.3">
      <c r="A120" s="253" t="s">
        <v>323</v>
      </c>
      <c r="B120" s="254">
        <v>46041</v>
      </c>
      <c r="C120" s="255" t="s">
        <v>48</v>
      </c>
      <c r="D120" s="256" t="s">
        <v>328</v>
      </c>
      <c r="E120" s="255" t="s">
        <v>1</v>
      </c>
      <c r="F120" s="255" t="s">
        <v>302</v>
      </c>
      <c r="G120" s="257">
        <v>0.29759999999999998</v>
      </c>
      <c r="H120" s="258">
        <v>168</v>
      </c>
      <c r="I120" s="258">
        <v>50</v>
      </c>
      <c r="J120" s="258">
        <v>50</v>
      </c>
      <c r="K120" s="255" t="s">
        <v>303</v>
      </c>
      <c r="L120" s="259" t="s">
        <v>177</v>
      </c>
      <c r="M120" s="258">
        <v>0</v>
      </c>
      <c r="N120" s="258">
        <v>0</v>
      </c>
      <c r="O120" s="258">
        <v>1</v>
      </c>
      <c r="P120" s="255" t="s">
        <v>80</v>
      </c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  <c r="AA120" s="251"/>
      <c r="AB120" s="251"/>
      <c r="AC120" s="251"/>
      <c r="AD120" s="251"/>
      <c r="AE120" s="251"/>
      <c r="AF120" s="251"/>
      <c r="AG120" s="258" t="s">
        <v>201</v>
      </c>
      <c r="AH120" s="251"/>
      <c r="AI120" s="251"/>
      <c r="AJ120" s="251"/>
    </row>
    <row r="121" spans="1:36" x14ac:dyDescent="0.3">
      <c r="A121" s="253" t="s">
        <v>331</v>
      </c>
      <c r="B121" s="254">
        <v>46042</v>
      </c>
      <c r="C121" s="255" t="s">
        <v>44</v>
      </c>
      <c r="D121" s="256" t="s">
        <v>332</v>
      </c>
      <c r="E121" s="255" t="s">
        <v>1</v>
      </c>
      <c r="F121" s="255" t="s">
        <v>302</v>
      </c>
      <c r="G121" s="257">
        <v>1.1900000000000001E-2</v>
      </c>
      <c r="H121" s="258">
        <v>168</v>
      </c>
      <c r="I121" s="258">
        <v>2</v>
      </c>
      <c r="J121" s="258">
        <v>0</v>
      </c>
      <c r="K121" s="255" t="s">
        <v>303</v>
      </c>
      <c r="L121" s="259" t="s">
        <v>91</v>
      </c>
      <c r="M121" s="258">
        <v>0</v>
      </c>
      <c r="N121" s="258">
        <v>0</v>
      </c>
      <c r="O121" s="258">
        <v>2</v>
      </c>
      <c r="P121" s="255" t="s">
        <v>80</v>
      </c>
      <c r="Q121" s="251"/>
      <c r="R121" s="251"/>
      <c r="S121" s="258" t="s">
        <v>380</v>
      </c>
      <c r="T121" s="251"/>
      <c r="U121" s="251"/>
      <c r="V121" s="251"/>
      <c r="W121" s="251"/>
      <c r="X121" s="251"/>
      <c r="Y121" s="251"/>
      <c r="Z121" s="251"/>
      <c r="AA121" s="251"/>
      <c r="AB121" s="251"/>
      <c r="AC121" s="251"/>
      <c r="AD121" s="258" t="s">
        <v>114</v>
      </c>
      <c r="AE121" s="251"/>
      <c r="AF121" s="251"/>
      <c r="AG121" s="251"/>
      <c r="AH121" s="251"/>
      <c r="AI121" s="251"/>
      <c r="AJ121" s="251"/>
    </row>
    <row r="122" spans="1:36" x14ac:dyDescent="0.3">
      <c r="A122" s="253" t="s">
        <v>331</v>
      </c>
      <c r="B122" s="254">
        <v>46042</v>
      </c>
      <c r="C122" s="255" t="s">
        <v>40</v>
      </c>
      <c r="D122" s="256" t="s">
        <v>335</v>
      </c>
      <c r="E122" s="255" t="s">
        <v>1</v>
      </c>
      <c r="F122" s="255" t="s">
        <v>302</v>
      </c>
      <c r="G122" s="257">
        <v>2.3800000000000002E-2</v>
      </c>
      <c r="H122" s="258">
        <v>168</v>
      </c>
      <c r="I122" s="258">
        <v>4</v>
      </c>
      <c r="J122" s="258">
        <v>0</v>
      </c>
      <c r="K122" s="255" t="s">
        <v>303</v>
      </c>
      <c r="L122" s="259" t="s">
        <v>197</v>
      </c>
      <c r="M122" s="258">
        <v>0</v>
      </c>
      <c r="N122" s="258">
        <v>0</v>
      </c>
      <c r="O122" s="258">
        <v>4</v>
      </c>
      <c r="P122" s="255" t="s">
        <v>87</v>
      </c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51"/>
      <c r="AC122" s="251"/>
      <c r="AD122" s="258" t="s">
        <v>133</v>
      </c>
      <c r="AE122" s="251"/>
      <c r="AF122" s="251"/>
      <c r="AG122" s="251"/>
      <c r="AH122" s="251"/>
      <c r="AI122" s="251"/>
      <c r="AJ122" s="251"/>
    </row>
    <row r="123" spans="1:36" x14ac:dyDescent="0.3">
      <c r="A123" s="253" t="s">
        <v>331</v>
      </c>
      <c r="B123" s="254">
        <v>46042</v>
      </c>
      <c r="C123" s="255" t="s">
        <v>38</v>
      </c>
      <c r="D123" s="256" t="s">
        <v>307</v>
      </c>
      <c r="E123" s="255" t="s">
        <v>1</v>
      </c>
      <c r="F123" s="255" t="s">
        <v>302</v>
      </c>
      <c r="G123" s="257">
        <v>1.7899999999999999E-2</v>
      </c>
      <c r="H123" s="258">
        <v>168</v>
      </c>
      <c r="I123" s="258">
        <v>3</v>
      </c>
      <c r="J123" s="258">
        <v>0</v>
      </c>
      <c r="K123" s="255" t="s">
        <v>303</v>
      </c>
      <c r="L123" s="259" t="s">
        <v>194</v>
      </c>
      <c r="M123" s="258">
        <v>0</v>
      </c>
      <c r="N123" s="258">
        <v>0</v>
      </c>
      <c r="O123" s="258">
        <v>4</v>
      </c>
      <c r="P123" s="255" t="s">
        <v>95</v>
      </c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  <c r="AA123" s="251"/>
      <c r="AB123" s="251"/>
      <c r="AC123" s="251"/>
      <c r="AD123" s="258" t="s">
        <v>127</v>
      </c>
      <c r="AE123" s="251"/>
      <c r="AF123" s="251"/>
      <c r="AG123" s="251"/>
      <c r="AH123" s="251"/>
      <c r="AI123" s="251"/>
      <c r="AJ123" s="251"/>
    </row>
    <row r="124" spans="1:36" x14ac:dyDescent="0.3">
      <c r="A124" s="253" t="s">
        <v>331</v>
      </c>
      <c r="B124" s="254">
        <v>46042</v>
      </c>
      <c r="C124" s="255" t="s">
        <v>48</v>
      </c>
      <c r="D124" s="256" t="s">
        <v>337</v>
      </c>
      <c r="E124" s="255" t="s">
        <v>1</v>
      </c>
      <c r="F124" s="255" t="s">
        <v>302</v>
      </c>
      <c r="G124" s="257">
        <v>4.1700000000000001E-2</v>
      </c>
      <c r="H124" s="258">
        <v>168</v>
      </c>
      <c r="I124" s="258">
        <v>7</v>
      </c>
      <c r="J124" s="258">
        <v>0</v>
      </c>
      <c r="K124" s="255" t="s">
        <v>303</v>
      </c>
      <c r="L124" s="259" t="s">
        <v>94</v>
      </c>
      <c r="M124" s="258">
        <v>0</v>
      </c>
      <c r="N124" s="258">
        <v>0</v>
      </c>
      <c r="O124" s="258">
        <v>7</v>
      </c>
      <c r="P124" s="255" t="s">
        <v>127</v>
      </c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51"/>
      <c r="AC124" s="251"/>
      <c r="AD124" s="258" t="s">
        <v>95</v>
      </c>
      <c r="AE124" s="251"/>
      <c r="AF124" s="251"/>
      <c r="AG124" s="251"/>
      <c r="AH124" s="251"/>
      <c r="AI124" s="251"/>
      <c r="AJ124" s="251"/>
    </row>
    <row r="125" spans="1:36" x14ac:dyDescent="0.3">
      <c r="A125" s="253" t="s">
        <v>331</v>
      </c>
      <c r="B125" s="254">
        <v>46042</v>
      </c>
      <c r="C125" s="255" t="s">
        <v>29</v>
      </c>
      <c r="D125" s="256" t="s">
        <v>338</v>
      </c>
      <c r="E125" s="255" t="s">
        <v>1</v>
      </c>
      <c r="F125" s="255" t="s">
        <v>302</v>
      </c>
      <c r="G125" s="257">
        <v>6.0000000000000001E-3</v>
      </c>
      <c r="H125" s="258">
        <v>168</v>
      </c>
      <c r="I125" s="258">
        <v>1</v>
      </c>
      <c r="J125" s="258">
        <v>0</v>
      </c>
      <c r="K125" s="255" t="s">
        <v>303</v>
      </c>
      <c r="L125" s="259" t="s">
        <v>196</v>
      </c>
      <c r="M125" s="258">
        <v>0</v>
      </c>
      <c r="N125" s="258">
        <v>0</v>
      </c>
      <c r="O125" s="258">
        <v>1</v>
      </c>
      <c r="P125" s="255" t="s">
        <v>80</v>
      </c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  <c r="AA125" s="251"/>
      <c r="AB125" s="251"/>
      <c r="AC125" s="251"/>
      <c r="AD125" s="258" t="s">
        <v>114</v>
      </c>
      <c r="AE125" s="251"/>
      <c r="AF125" s="251"/>
      <c r="AG125" s="251"/>
      <c r="AH125" s="251"/>
      <c r="AI125" s="251"/>
      <c r="AJ125" s="251"/>
    </row>
    <row r="126" spans="1:36" x14ac:dyDescent="0.3">
      <c r="A126" s="253" t="s">
        <v>331</v>
      </c>
      <c r="B126" s="254">
        <v>46042</v>
      </c>
      <c r="C126" s="255" t="s">
        <v>35</v>
      </c>
      <c r="D126" s="256" t="s">
        <v>339</v>
      </c>
      <c r="E126" s="255" t="s">
        <v>1</v>
      </c>
      <c r="F126" s="255" t="s">
        <v>302</v>
      </c>
      <c r="G126" s="257">
        <v>1.1900000000000001E-2</v>
      </c>
      <c r="H126" s="258">
        <v>168</v>
      </c>
      <c r="I126" s="258">
        <v>2</v>
      </c>
      <c r="J126" s="258">
        <v>0</v>
      </c>
      <c r="K126" s="255" t="s">
        <v>303</v>
      </c>
      <c r="L126" s="259" t="s">
        <v>106</v>
      </c>
      <c r="M126" s="258">
        <v>0</v>
      </c>
      <c r="N126" s="258">
        <v>0</v>
      </c>
      <c r="O126" s="258">
        <v>2</v>
      </c>
      <c r="P126" s="255" t="s">
        <v>92</v>
      </c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8" t="s">
        <v>89</v>
      </c>
      <c r="AE126" s="251"/>
      <c r="AF126" s="251"/>
      <c r="AG126" s="251"/>
      <c r="AH126" s="251"/>
      <c r="AI126" s="251"/>
      <c r="AJ126" s="251"/>
    </row>
    <row r="127" spans="1:36" x14ac:dyDescent="0.3">
      <c r="A127" s="253" t="s">
        <v>340</v>
      </c>
      <c r="B127" s="254">
        <v>46043</v>
      </c>
      <c r="C127" s="255" t="s">
        <v>35</v>
      </c>
      <c r="D127" s="256" t="s">
        <v>341</v>
      </c>
      <c r="E127" s="255" t="s">
        <v>1</v>
      </c>
      <c r="F127" s="255" t="s">
        <v>302</v>
      </c>
      <c r="G127" s="257">
        <v>0</v>
      </c>
      <c r="H127" s="258">
        <v>168</v>
      </c>
      <c r="I127" s="258">
        <v>0</v>
      </c>
      <c r="J127" s="258">
        <v>0</v>
      </c>
      <c r="K127" s="255" t="s">
        <v>303</v>
      </c>
      <c r="L127" s="259" t="s">
        <v>109</v>
      </c>
      <c r="M127" s="258">
        <v>0</v>
      </c>
      <c r="N127" s="258">
        <v>0</v>
      </c>
      <c r="O127" s="258">
        <v>0</v>
      </c>
      <c r="P127" s="255" t="s">
        <v>80</v>
      </c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  <c r="AA127" s="251"/>
      <c r="AB127" s="251"/>
      <c r="AC127" s="251"/>
      <c r="AD127" s="251"/>
      <c r="AE127" s="251"/>
      <c r="AF127" s="251"/>
      <c r="AG127" s="251"/>
      <c r="AH127" s="251"/>
      <c r="AI127" s="251"/>
      <c r="AJ127" s="251"/>
    </row>
    <row r="128" spans="1:36" x14ac:dyDescent="0.3">
      <c r="A128" s="253" t="s">
        <v>340</v>
      </c>
      <c r="B128" s="254">
        <v>46043</v>
      </c>
      <c r="C128" s="255" t="s">
        <v>48</v>
      </c>
      <c r="D128" s="256" t="s">
        <v>342</v>
      </c>
      <c r="E128" s="255" t="s">
        <v>1</v>
      </c>
      <c r="F128" s="255" t="s">
        <v>302</v>
      </c>
      <c r="G128" s="257">
        <v>1.1900000000000001E-2</v>
      </c>
      <c r="H128" s="258">
        <v>168</v>
      </c>
      <c r="I128" s="258">
        <v>2</v>
      </c>
      <c r="J128" s="258">
        <v>0</v>
      </c>
      <c r="K128" s="255" t="s">
        <v>303</v>
      </c>
      <c r="L128" s="259" t="s">
        <v>183</v>
      </c>
      <c r="M128" s="258">
        <v>0</v>
      </c>
      <c r="N128" s="258">
        <v>0</v>
      </c>
      <c r="O128" s="258">
        <v>2</v>
      </c>
      <c r="P128" s="255" t="s">
        <v>92</v>
      </c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  <c r="AA128" s="251"/>
      <c r="AB128" s="251"/>
      <c r="AC128" s="251"/>
      <c r="AD128" s="258" t="s">
        <v>89</v>
      </c>
      <c r="AE128" s="251"/>
      <c r="AF128" s="251"/>
      <c r="AG128" s="251"/>
      <c r="AH128" s="251"/>
      <c r="AI128" s="251"/>
      <c r="AJ128" s="251"/>
    </row>
    <row r="129" spans="1:36" x14ac:dyDescent="0.3">
      <c r="A129" s="253" t="s">
        <v>340</v>
      </c>
      <c r="B129" s="254">
        <v>46043</v>
      </c>
      <c r="C129" s="255" t="s">
        <v>38</v>
      </c>
      <c r="D129" s="256" t="s">
        <v>307</v>
      </c>
      <c r="E129" s="255" t="s">
        <v>1</v>
      </c>
      <c r="F129" s="255" t="s">
        <v>302</v>
      </c>
      <c r="G129" s="257">
        <v>0</v>
      </c>
      <c r="H129" s="258">
        <v>168</v>
      </c>
      <c r="I129" s="258">
        <v>0</v>
      </c>
      <c r="J129" s="258">
        <v>0</v>
      </c>
      <c r="K129" s="255" t="s">
        <v>303</v>
      </c>
      <c r="L129" s="259" t="s">
        <v>109</v>
      </c>
      <c r="M129" s="258">
        <v>0</v>
      </c>
      <c r="N129" s="258">
        <v>0</v>
      </c>
      <c r="O129" s="258">
        <v>0</v>
      </c>
      <c r="P129" s="255" t="s">
        <v>80</v>
      </c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  <c r="AA129" s="251"/>
      <c r="AB129" s="251"/>
      <c r="AC129" s="251"/>
      <c r="AD129" s="251"/>
      <c r="AE129" s="251"/>
      <c r="AF129" s="251"/>
      <c r="AG129" s="251"/>
      <c r="AH129" s="251"/>
      <c r="AI129" s="251"/>
      <c r="AJ129" s="251"/>
    </row>
    <row r="130" spans="1:36" x14ac:dyDescent="0.3">
      <c r="A130" s="253" t="s">
        <v>344</v>
      </c>
      <c r="B130" s="254">
        <v>46044</v>
      </c>
      <c r="C130" s="255" t="s">
        <v>29</v>
      </c>
      <c r="D130" s="256" t="s">
        <v>345</v>
      </c>
      <c r="E130" s="255" t="s">
        <v>1</v>
      </c>
      <c r="F130" s="255" t="s">
        <v>302</v>
      </c>
      <c r="G130" s="257">
        <v>0</v>
      </c>
      <c r="H130" s="258">
        <v>168</v>
      </c>
      <c r="I130" s="258">
        <v>0</v>
      </c>
      <c r="J130" s="258">
        <v>0</v>
      </c>
      <c r="K130" s="255" t="s">
        <v>303</v>
      </c>
      <c r="L130" s="259" t="s">
        <v>109</v>
      </c>
      <c r="M130" s="258">
        <v>0</v>
      </c>
      <c r="N130" s="258">
        <v>0</v>
      </c>
      <c r="O130" s="258">
        <v>0</v>
      </c>
      <c r="P130" s="255" t="s">
        <v>80</v>
      </c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  <c r="AD130" s="251"/>
      <c r="AE130" s="251"/>
      <c r="AF130" s="251"/>
      <c r="AG130" s="251"/>
      <c r="AH130" s="251"/>
      <c r="AI130" s="251"/>
      <c r="AJ130" s="251"/>
    </row>
    <row r="131" spans="1:36" x14ac:dyDescent="0.3">
      <c r="A131" s="253" t="s">
        <v>344</v>
      </c>
      <c r="B131" s="254">
        <v>46044</v>
      </c>
      <c r="C131" s="255" t="s">
        <v>44</v>
      </c>
      <c r="D131" s="256" t="s">
        <v>301</v>
      </c>
      <c r="E131" s="255" t="s">
        <v>1</v>
      </c>
      <c r="F131" s="255" t="s">
        <v>302</v>
      </c>
      <c r="G131" s="257">
        <v>0</v>
      </c>
      <c r="H131" s="258">
        <v>168</v>
      </c>
      <c r="I131" s="258">
        <v>0</v>
      </c>
      <c r="J131" s="258">
        <v>0</v>
      </c>
      <c r="K131" s="255" t="s">
        <v>303</v>
      </c>
      <c r="L131" s="259" t="s">
        <v>109</v>
      </c>
      <c r="M131" s="258">
        <v>0</v>
      </c>
      <c r="N131" s="258">
        <v>0</v>
      </c>
      <c r="O131" s="258">
        <v>0</v>
      </c>
      <c r="P131" s="255" t="s">
        <v>80</v>
      </c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51"/>
      <c r="AC131" s="251"/>
      <c r="AD131" s="251"/>
      <c r="AE131" s="251"/>
      <c r="AF131" s="251"/>
      <c r="AG131" s="251"/>
      <c r="AH131" s="251"/>
      <c r="AI131" s="251"/>
      <c r="AJ131" s="251"/>
    </row>
    <row r="132" spans="1:36" x14ac:dyDescent="0.3">
      <c r="A132" s="253" t="s">
        <v>344</v>
      </c>
      <c r="B132" s="254">
        <v>46044</v>
      </c>
      <c r="C132" s="255" t="s">
        <v>51</v>
      </c>
      <c r="D132" s="256" t="s">
        <v>346</v>
      </c>
      <c r="E132" s="255" t="s">
        <v>1</v>
      </c>
      <c r="F132" s="255" t="s">
        <v>302</v>
      </c>
      <c r="G132" s="257">
        <v>0</v>
      </c>
      <c r="H132" s="258">
        <v>168</v>
      </c>
      <c r="I132" s="258">
        <v>0</v>
      </c>
      <c r="J132" s="258">
        <v>0</v>
      </c>
      <c r="K132" s="255" t="s">
        <v>303</v>
      </c>
      <c r="L132" s="259" t="s">
        <v>109</v>
      </c>
      <c r="M132" s="258">
        <v>0</v>
      </c>
      <c r="N132" s="258">
        <v>0</v>
      </c>
      <c r="O132" s="258">
        <v>0</v>
      </c>
      <c r="P132" s="255" t="s">
        <v>80</v>
      </c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  <c r="AA132" s="251"/>
      <c r="AB132" s="251"/>
      <c r="AC132" s="251"/>
      <c r="AD132" s="251"/>
      <c r="AE132" s="251"/>
      <c r="AF132" s="251"/>
      <c r="AG132" s="251"/>
      <c r="AH132" s="251"/>
      <c r="AI132" s="251"/>
      <c r="AJ132" s="251"/>
    </row>
    <row r="133" spans="1:36" x14ac:dyDescent="0.3">
      <c r="A133" s="253" t="s">
        <v>344</v>
      </c>
      <c r="B133" s="254">
        <v>46044</v>
      </c>
      <c r="C133" s="255" t="s">
        <v>35</v>
      </c>
      <c r="D133" s="256" t="s">
        <v>314</v>
      </c>
      <c r="E133" s="255" t="s">
        <v>1</v>
      </c>
      <c r="F133" s="255" t="s">
        <v>302</v>
      </c>
      <c r="G133" s="257">
        <v>0.11899999999999999</v>
      </c>
      <c r="H133" s="258">
        <v>168</v>
      </c>
      <c r="I133" s="258">
        <v>20</v>
      </c>
      <c r="J133" s="258">
        <v>20</v>
      </c>
      <c r="K133" s="255" t="s">
        <v>303</v>
      </c>
      <c r="L133" s="259" t="s">
        <v>203</v>
      </c>
      <c r="M133" s="258">
        <v>0</v>
      </c>
      <c r="N133" s="258">
        <v>0</v>
      </c>
      <c r="O133" s="258">
        <v>1</v>
      </c>
      <c r="P133" s="255" t="s">
        <v>80</v>
      </c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  <c r="AA133" s="251"/>
      <c r="AB133" s="251"/>
      <c r="AC133" s="251"/>
      <c r="AD133" s="251"/>
      <c r="AE133" s="251"/>
      <c r="AF133" s="251"/>
      <c r="AG133" s="251"/>
      <c r="AH133" s="251"/>
      <c r="AI133" s="258" t="s">
        <v>204</v>
      </c>
      <c r="AJ133" s="251"/>
    </row>
    <row r="134" spans="1:36" x14ac:dyDescent="0.3">
      <c r="A134" s="253" t="s">
        <v>344</v>
      </c>
      <c r="B134" s="254">
        <v>46044</v>
      </c>
      <c r="C134" s="255" t="s">
        <v>101</v>
      </c>
      <c r="D134" s="256" t="s">
        <v>347</v>
      </c>
      <c r="E134" s="255" t="s">
        <v>1</v>
      </c>
      <c r="F134" s="255" t="s">
        <v>302</v>
      </c>
      <c r="G134" s="257">
        <v>0</v>
      </c>
      <c r="H134" s="258">
        <v>168</v>
      </c>
      <c r="I134" s="258">
        <v>0</v>
      </c>
      <c r="J134" s="258">
        <v>0</v>
      </c>
      <c r="K134" s="255" t="s">
        <v>303</v>
      </c>
      <c r="L134" s="259" t="s">
        <v>109</v>
      </c>
      <c r="M134" s="258">
        <v>0</v>
      </c>
      <c r="N134" s="258">
        <v>0</v>
      </c>
      <c r="O134" s="258">
        <v>0</v>
      </c>
      <c r="P134" s="255" t="s">
        <v>102</v>
      </c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  <c r="AA134" s="251"/>
      <c r="AB134" s="251"/>
      <c r="AC134" s="251"/>
      <c r="AD134" s="251"/>
      <c r="AE134" s="251"/>
      <c r="AF134" s="251"/>
      <c r="AG134" s="251"/>
      <c r="AH134" s="251"/>
      <c r="AI134" s="251"/>
      <c r="AJ134" s="251"/>
    </row>
    <row r="135" spans="1:36" x14ac:dyDescent="0.3">
      <c r="A135" s="253" t="s">
        <v>344</v>
      </c>
      <c r="B135" s="254">
        <v>46044</v>
      </c>
      <c r="C135" s="255" t="s">
        <v>38</v>
      </c>
      <c r="D135" s="256" t="s">
        <v>348</v>
      </c>
      <c r="E135" s="255" t="s">
        <v>1</v>
      </c>
      <c r="F135" s="255" t="s">
        <v>302</v>
      </c>
      <c r="G135" s="257">
        <v>6.0000000000000001E-3</v>
      </c>
      <c r="H135" s="258">
        <v>168</v>
      </c>
      <c r="I135" s="258">
        <v>1</v>
      </c>
      <c r="J135" s="258">
        <v>0</v>
      </c>
      <c r="K135" s="255" t="s">
        <v>303</v>
      </c>
      <c r="L135" s="259" t="s">
        <v>194</v>
      </c>
      <c r="M135" s="258">
        <v>0</v>
      </c>
      <c r="N135" s="258">
        <v>0</v>
      </c>
      <c r="O135" s="258">
        <v>2</v>
      </c>
      <c r="P135" s="255" t="s">
        <v>80</v>
      </c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8" t="s">
        <v>114</v>
      </c>
      <c r="AE135" s="251"/>
      <c r="AF135" s="251"/>
      <c r="AG135" s="251"/>
      <c r="AH135" s="251"/>
      <c r="AI135" s="251"/>
      <c r="AJ135" s="251"/>
    </row>
    <row r="136" spans="1:36" x14ac:dyDescent="0.3">
      <c r="A136" s="253" t="s">
        <v>344</v>
      </c>
      <c r="B136" s="254">
        <v>46044</v>
      </c>
      <c r="C136" s="255" t="s">
        <v>40</v>
      </c>
      <c r="D136" s="256" t="s">
        <v>350</v>
      </c>
      <c r="E136" s="255" t="s">
        <v>1</v>
      </c>
      <c r="F136" s="255" t="s">
        <v>302</v>
      </c>
      <c r="G136" s="257">
        <v>1.1900000000000001E-2</v>
      </c>
      <c r="H136" s="258">
        <v>168</v>
      </c>
      <c r="I136" s="258">
        <v>2</v>
      </c>
      <c r="J136" s="258">
        <v>0</v>
      </c>
      <c r="K136" s="255" t="s">
        <v>303</v>
      </c>
      <c r="L136" s="259" t="s">
        <v>205</v>
      </c>
      <c r="M136" s="258">
        <v>0</v>
      </c>
      <c r="N136" s="258">
        <v>0</v>
      </c>
      <c r="O136" s="258">
        <v>2</v>
      </c>
      <c r="P136" s="255" t="s">
        <v>92</v>
      </c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  <c r="AA136" s="251"/>
      <c r="AB136" s="251"/>
      <c r="AC136" s="251"/>
      <c r="AD136" s="258" t="s">
        <v>89</v>
      </c>
      <c r="AE136" s="251"/>
      <c r="AF136" s="251"/>
      <c r="AG136" s="251"/>
      <c r="AH136" s="251"/>
      <c r="AI136" s="251"/>
      <c r="AJ136" s="251"/>
    </row>
    <row r="137" spans="1:36" x14ac:dyDescent="0.3">
      <c r="A137" s="253" t="s">
        <v>300</v>
      </c>
      <c r="B137" s="254">
        <v>46045</v>
      </c>
      <c r="C137" s="255" t="s">
        <v>29</v>
      </c>
      <c r="D137" s="256" t="s">
        <v>301</v>
      </c>
      <c r="E137" s="255" t="s">
        <v>1</v>
      </c>
      <c r="F137" s="255" t="s">
        <v>302</v>
      </c>
      <c r="G137" s="257">
        <v>0</v>
      </c>
      <c r="H137" s="258">
        <v>168</v>
      </c>
      <c r="I137" s="258">
        <v>0</v>
      </c>
      <c r="J137" s="258">
        <v>0</v>
      </c>
      <c r="K137" s="255" t="s">
        <v>303</v>
      </c>
      <c r="L137" s="259" t="s">
        <v>109</v>
      </c>
      <c r="M137" s="258">
        <v>0</v>
      </c>
      <c r="N137" s="258">
        <v>0</v>
      </c>
      <c r="O137" s="258">
        <v>0</v>
      </c>
      <c r="P137" s="255" t="s">
        <v>80</v>
      </c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  <c r="AA137" s="251"/>
      <c r="AB137" s="251"/>
      <c r="AC137" s="251"/>
      <c r="AD137" s="251"/>
      <c r="AE137" s="251"/>
      <c r="AF137" s="251"/>
      <c r="AG137" s="251"/>
      <c r="AH137" s="251"/>
      <c r="AI137" s="251"/>
      <c r="AJ137" s="251"/>
    </row>
    <row r="138" spans="1:36" x14ac:dyDescent="0.3">
      <c r="A138" s="253" t="s">
        <v>300</v>
      </c>
      <c r="B138" s="254">
        <v>46045</v>
      </c>
      <c r="C138" s="255" t="s">
        <v>35</v>
      </c>
      <c r="D138" s="256" t="s">
        <v>305</v>
      </c>
      <c r="E138" s="255" t="s">
        <v>1</v>
      </c>
      <c r="F138" s="255" t="s">
        <v>302</v>
      </c>
      <c r="G138" s="257">
        <v>0</v>
      </c>
      <c r="H138" s="258">
        <v>168</v>
      </c>
      <c r="I138" s="258">
        <v>0</v>
      </c>
      <c r="J138" s="258">
        <v>0</v>
      </c>
      <c r="K138" s="255" t="s">
        <v>303</v>
      </c>
      <c r="L138" s="259" t="s">
        <v>109</v>
      </c>
      <c r="M138" s="258">
        <v>0</v>
      </c>
      <c r="N138" s="258">
        <v>0</v>
      </c>
      <c r="O138" s="258">
        <v>0</v>
      </c>
      <c r="P138" s="255" t="s">
        <v>80</v>
      </c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  <c r="AA138" s="251"/>
      <c r="AB138" s="251"/>
      <c r="AC138" s="251"/>
      <c r="AD138" s="251"/>
      <c r="AE138" s="251"/>
      <c r="AF138" s="251"/>
      <c r="AG138" s="251"/>
      <c r="AH138" s="251"/>
      <c r="AI138" s="251"/>
      <c r="AJ138" s="251"/>
    </row>
    <row r="139" spans="1:36" x14ac:dyDescent="0.3">
      <c r="A139" s="253" t="s">
        <v>300</v>
      </c>
      <c r="B139" s="254">
        <v>46045</v>
      </c>
      <c r="C139" s="255" t="s">
        <v>38</v>
      </c>
      <c r="D139" s="256" t="s">
        <v>306</v>
      </c>
      <c r="E139" s="255" t="s">
        <v>1</v>
      </c>
      <c r="F139" s="255" t="s">
        <v>302</v>
      </c>
      <c r="G139" s="257">
        <v>0</v>
      </c>
      <c r="H139" s="258">
        <v>168</v>
      </c>
      <c r="I139" s="258">
        <v>0</v>
      </c>
      <c r="J139" s="258">
        <v>0</v>
      </c>
      <c r="K139" s="255" t="s">
        <v>303</v>
      </c>
      <c r="L139" s="259" t="s">
        <v>109</v>
      </c>
      <c r="M139" s="258">
        <v>0</v>
      </c>
      <c r="N139" s="258">
        <v>0</v>
      </c>
      <c r="O139" s="258">
        <v>0</v>
      </c>
      <c r="P139" s="255" t="s">
        <v>80</v>
      </c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  <c r="AA139" s="251"/>
      <c r="AB139" s="251"/>
      <c r="AC139" s="251"/>
      <c r="AD139" s="251"/>
      <c r="AE139" s="251"/>
      <c r="AF139" s="251"/>
      <c r="AG139" s="251"/>
      <c r="AH139" s="251"/>
      <c r="AI139" s="251"/>
      <c r="AJ139" s="251"/>
    </row>
    <row r="140" spans="1:36" x14ac:dyDescent="0.3">
      <c r="A140" s="253" t="s">
        <v>300</v>
      </c>
      <c r="B140" s="254">
        <v>46045</v>
      </c>
      <c r="C140" s="255" t="s">
        <v>40</v>
      </c>
      <c r="D140" s="256" t="s">
        <v>307</v>
      </c>
      <c r="E140" s="255" t="s">
        <v>1</v>
      </c>
      <c r="F140" s="255" t="s">
        <v>302</v>
      </c>
      <c r="G140" s="257">
        <v>0</v>
      </c>
      <c r="H140" s="258">
        <v>168</v>
      </c>
      <c r="I140" s="258">
        <v>0</v>
      </c>
      <c r="J140" s="258">
        <v>0</v>
      </c>
      <c r="K140" s="255" t="s">
        <v>303</v>
      </c>
      <c r="L140" s="259" t="s">
        <v>109</v>
      </c>
      <c r="M140" s="258">
        <v>0</v>
      </c>
      <c r="N140" s="258">
        <v>0</v>
      </c>
      <c r="O140" s="258">
        <v>0</v>
      </c>
      <c r="P140" s="255" t="s">
        <v>80</v>
      </c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51"/>
      <c r="AC140" s="251"/>
      <c r="AD140" s="251"/>
      <c r="AE140" s="251"/>
      <c r="AF140" s="251"/>
      <c r="AG140" s="251"/>
      <c r="AH140" s="251"/>
      <c r="AI140" s="251"/>
      <c r="AJ140" s="251"/>
    </row>
    <row r="141" spans="1:36" x14ac:dyDescent="0.3">
      <c r="A141" s="253" t="s">
        <v>300</v>
      </c>
      <c r="B141" s="254">
        <v>46045</v>
      </c>
      <c r="C141" s="255" t="s">
        <v>44</v>
      </c>
      <c r="D141" s="256" t="s">
        <v>308</v>
      </c>
      <c r="E141" s="255" t="s">
        <v>1</v>
      </c>
      <c r="F141" s="255" t="s">
        <v>302</v>
      </c>
      <c r="G141" s="257">
        <v>1.7899999999999999E-2</v>
      </c>
      <c r="H141" s="258">
        <v>168</v>
      </c>
      <c r="I141" s="258">
        <v>3</v>
      </c>
      <c r="J141" s="258">
        <v>0</v>
      </c>
      <c r="K141" s="255" t="s">
        <v>303</v>
      </c>
      <c r="L141" s="259" t="s">
        <v>206</v>
      </c>
      <c r="M141" s="258">
        <v>0</v>
      </c>
      <c r="N141" s="258">
        <v>0</v>
      </c>
      <c r="O141" s="258">
        <v>3</v>
      </c>
      <c r="P141" s="255" t="s">
        <v>95</v>
      </c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  <c r="AA141" s="251"/>
      <c r="AB141" s="251"/>
      <c r="AC141" s="251"/>
      <c r="AD141" s="258" t="s">
        <v>127</v>
      </c>
      <c r="AE141" s="251"/>
      <c r="AF141" s="251"/>
      <c r="AG141" s="251"/>
      <c r="AH141" s="251"/>
      <c r="AI141" s="251"/>
      <c r="AJ141" s="251"/>
    </row>
    <row r="142" spans="1:36" x14ac:dyDescent="0.3">
      <c r="A142" s="253" t="s">
        <v>300</v>
      </c>
      <c r="B142" s="254">
        <v>46045</v>
      </c>
      <c r="C142" s="255" t="s">
        <v>48</v>
      </c>
      <c r="D142" s="256" t="s">
        <v>310</v>
      </c>
      <c r="E142" s="255" t="s">
        <v>1</v>
      </c>
      <c r="F142" s="255" t="s">
        <v>302</v>
      </c>
      <c r="G142" s="257">
        <v>0</v>
      </c>
      <c r="H142" s="258">
        <v>168</v>
      </c>
      <c r="I142" s="258">
        <v>0</v>
      </c>
      <c r="J142" s="258">
        <v>0</v>
      </c>
      <c r="K142" s="255" t="s">
        <v>303</v>
      </c>
      <c r="L142" s="259" t="s">
        <v>109</v>
      </c>
      <c r="M142" s="258">
        <v>0</v>
      </c>
      <c r="N142" s="258">
        <v>0</v>
      </c>
      <c r="O142" s="258">
        <v>0</v>
      </c>
      <c r="P142" s="255" t="s">
        <v>80</v>
      </c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51"/>
      <c r="AC142" s="251"/>
      <c r="AD142" s="251"/>
      <c r="AE142" s="251"/>
      <c r="AF142" s="251"/>
      <c r="AG142" s="251"/>
      <c r="AH142" s="251"/>
      <c r="AI142" s="251"/>
      <c r="AJ142" s="251"/>
    </row>
    <row r="143" spans="1:36" x14ac:dyDescent="0.3">
      <c r="A143" s="253" t="s">
        <v>312</v>
      </c>
      <c r="B143" s="254">
        <v>46046</v>
      </c>
      <c r="C143" s="255" t="s">
        <v>51</v>
      </c>
      <c r="D143" s="256" t="s">
        <v>313</v>
      </c>
      <c r="E143" s="255" t="s">
        <v>1</v>
      </c>
      <c r="F143" s="255" t="s">
        <v>302</v>
      </c>
      <c r="G143" s="257">
        <v>5.7000000000000002E-3</v>
      </c>
      <c r="H143" s="258">
        <v>174</v>
      </c>
      <c r="I143" s="258">
        <v>1</v>
      </c>
      <c r="J143" s="258">
        <v>0</v>
      </c>
      <c r="K143" s="255" t="s">
        <v>303</v>
      </c>
      <c r="L143" s="259" t="s">
        <v>197</v>
      </c>
      <c r="M143" s="258">
        <v>0</v>
      </c>
      <c r="N143" s="258">
        <v>0</v>
      </c>
      <c r="O143" s="258">
        <v>1</v>
      </c>
      <c r="P143" s="255" t="s">
        <v>80</v>
      </c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  <c r="AA143" s="251"/>
      <c r="AB143" s="251"/>
      <c r="AC143" s="251"/>
      <c r="AD143" s="258" t="s">
        <v>114</v>
      </c>
      <c r="AE143" s="251"/>
      <c r="AF143" s="251"/>
      <c r="AG143" s="251"/>
      <c r="AH143" s="251"/>
      <c r="AI143" s="251"/>
      <c r="AJ143" s="251"/>
    </row>
    <row r="144" spans="1:36" x14ac:dyDescent="0.3">
      <c r="A144" s="253" t="s">
        <v>312</v>
      </c>
      <c r="B144" s="254">
        <v>46046</v>
      </c>
      <c r="C144" s="255" t="s">
        <v>35</v>
      </c>
      <c r="D144" s="256" t="s">
        <v>314</v>
      </c>
      <c r="E144" s="255" t="s">
        <v>1</v>
      </c>
      <c r="F144" s="255" t="s">
        <v>302</v>
      </c>
      <c r="G144" s="257">
        <v>0</v>
      </c>
      <c r="H144" s="258">
        <v>168</v>
      </c>
      <c r="I144" s="258">
        <v>0</v>
      </c>
      <c r="J144" s="258">
        <v>0</v>
      </c>
      <c r="K144" s="255" t="s">
        <v>303</v>
      </c>
      <c r="L144" s="259" t="s">
        <v>109</v>
      </c>
      <c r="M144" s="258">
        <v>0</v>
      </c>
      <c r="N144" s="258">
        <v>0</v>
      </c>
      <c r="O144" s="258">
        <v>0</v>
      </c>
      <c r="P144" s="255" t="s">
        <v>80</v>
      </c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  <c r="AD144" s="251"/>
      <c r="AE144" s="251"/>
      <c r="AF144" s="251"/>
      <c r="AG144" s="251"/>
      <c r="AH144" s="251"/>
      <c r="AI144" s="251"/>
      <c r="AJ144" s="251"/>
    </row>
    <row r="145" spans="1:36" x14ac:dyDescent="0.3">
      <c r="A145" s="253" t="s">
        <v>312</v>
      </c>
      <c r="B145" s="254">
        <v>46046</v>
      </c>
      <c r="C145" s="255" t="s">
        <v>38</v>
      </c>
      <c r="D145" s="256" t="s">
        <v>316</v>
      </c>
      <c r="E145" s="255" t="s">
        <v>1</v>
      </c>
      <c r="F145" s="255" t="s">
        <v>302</v>
      </c>
      <c r="G145" s="257">
        <v>1.7899999999999999E-2</v>
      </c>
      <c r="H145" s="258">
        <v>168</v>
      </c>
      <c r="I145" s="258">
        <v>3</v>
      </c>
      <c r="J145" s="258">
        <v>0</v>
      </c>
      <c r="K145" s="255" t="s">
        <v>303</v>
      </c>
      <c r="L145" s="259" t="s">
        <v>119</v>
      </c>
      <c r="M145" s="258">
        <v>0</v>
      </c>
      <c r="N145" s="258">
        <v>0</v>
      </c>
      <c r="O145" s="258">
        <v>4</v>
      </c>
      <c r="P145" s="255" t="s">
        <v>95</v>
      </c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  <c r="AA145" s="251"/>
      <c r="AB145" s="251"/>
      <c r="AC145" s="251"/>
      <c r="AD145" s="258" t="s">
        <v>127</v>
      </c>
      <c r="AE145" s="251"/>
      <c r="AF145" s="251"/>
      <c r="AG145" s="251"/>
      <c r="AH145" s="251"/>
      <c r="AI145" s="251"/>
      <c r="AJ145" s="251"/>
    </row>
    <row r="146" spans="1:36" x14ac:dyDescent="0.3">
      <c r="A146" s="253" t="s">
        <v>317</v>
      </c>
      <c r="B146" s="254">
        <v>46047</v>
      </c>
      <c r="C146" s="255" t="s">
        <v>29</v>
      </c>
      <c r="D146" s="256" t="s">
        <v>318</v>
      </c>
      <c r="E146" s="255" t="s">
        <v>1</v>
      </c>
      <c r="F146" s="255" t="s">
        <v>302</v>
      </c>
      <c r="G146" s="257">
        <v>0</v>
      </c>
      <c r="H146" s="258">
        <v>168</v>
      </c>
      <c r="I146" s="258">
        <v>0</v>
      </c>
      <c r="J146" s="258">
        <v>0</v>
      </c>
      <c r="K146" s="255" t="s">
        <v>303</v>
      </c>
      <c r="L146" s="259" t="s">
        <v>109</v>
      </c>
      <c r="M146" s="258">
        <v>0</v>
      </c>
      <c r="N146" s="258">
        <v>0</v>
      </c>
      <c r="O146" s="258">
        <v>0</v>
      </c>
      <c r="P146" s="255" t="s">
        <v>80</v>
      </c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  <c r="AD146" s="251"/>
      <c r="AE146" s="251"/>
      <c r="AF146" s="251"/>
      <c r="AG146" s="251"/>
      <c r="AH146" s="251"/>
      <c r="AI146" s="251"/>
      <c r="AJ146" s="251"/>
    </row>
    <row r="147" spans="1:36" x14ac:dyDescent="0.3">
      <c r="A147" s="253" t="s">
        <v>317</v>
      </c>
      <c r="B147" s="254">
        <v>46047</v>
      </c>
      <c r="C147" s="255" t="s">
        <v>35</v>
      </c>
      <c r="D147" s="256" t="s">
        <v>305</v>
      </c>
      <c r="E147" s="255" t="s">
        <v>1</v>
      </c>
      <c r="F147" s="255" t="s">
        <v>302</v>
      </c>
      <c r="G147" s="257">
        <v>0.28570000000000001</v>
      </c>
      <c r="H147" s="258">
        <v>168</v>
      </c>
      <c r="I147" s="258">
        <v>48</v>
      </c>
      <c r="J147" s="258">
        <v>45</v>
      </c>
      <c r="K147" s="255" t="s">
        <v>303</v>
      </c>
      <c r="L147" s="259" t="s">
        <v>166</v>
      </c>
      <c r="M147" s="258">
        <v>0</v>
      </c>
      <c r="N147" s="258">
        <v>0</v>
      </c>
      <c r="O147" s="258">
        <v>4</v>
      </c>
      <c r="P147" s="255" t="s">
        <v>95</v>
      </c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  <c r="AA147" s="251"/>
      <c r="AB147" s="251"/>
      <c r="AC147" s="251"/>
      <c r="AD147" s="258" t="s">
        <v>127</v>
      </c>
      <c r="AE147" s="251"/>
      <c r="AF147" s="251"/>
      <c r="AG147" s="251"/>
      <c r="AH147" s="251"/>
      <c r="AI147" s="258" t="s">
        <v>327</v>
      </c>
      <c r="AJ147" s="251"/>
    </row>
    <row r="148" spans="1:36" x14ac:dyDescent="0.3">
      <c r="A148" s="253" t="s">
        <v>317</v>
      </c>
      <c r="B148" s="254">
        <v>46047</v>
      </c>
      <c r="C148" s="255" t="s">
        <v>101</v>
      </c>
      <c r="D148" s="256" t="s">
        <v>314</v>
      </c>
      <c r="E148" s="255" t="s">
        <v>1</v>
      </c>
      <c r="F148" s="255" t="s">
        <v>302</v>
      </c>
      <c r="G148" s="257">
        <v>0</v>
      </c>
      <c r="H148" s="258">
        <v>168</v>
      </c>
      <c r="I148" s="258">
        <v>0</v>
      </c>
      <c r="J148" s="258">
        <v>0</v>
      </c>
      <c r="K148" s="255" t="s">
        <v>303</v>
      </c>
      <c r="L148" s="259" t="s">
        <v>109</v>
      </c>
      <c r="M148" s="258">
        <v>0</v>
      </c>
      <c r="N148" s="258">
        <v>0</v>
      </c>
      <c r="O148" s="258">
        <v>0</v>
      </c>
      <c r="P148" s="255" t="s">
        <v>102</v>
      </c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</row>
    <row r="149" spans="1:36" x14ac:dyDescent="0.3">
      <c r="A149" s="253" t="s">
        <v>317</v>
      </c>
      <c r="B149" s="254">
        <v>46047</v>
      </c>
      <c r="C149" s="255" t="s">
        <v>48</v>
      </c>
      <c r="D149" s="256" t="s">
        <v>321</v>
      </c>
      <c r="E149" s="255" t="s">
        <v>1</v>
      </c>
      <c r="F149" s="255" t="s">
        <v>302</v>
      </c>
      <c r="G149" s="257">
        <v>2.3800000000000002E-2</v>
      </c>
      <c r="H149" s="258">
        <v>168</v>
      </c>
      <c r="I149" s="258">
        <v>4</v>
      </c>
      <c r="J149" s="258">
        <v>0</v>
      </c>
      <c r="K149" s="255" t="s">
        <v>303</v>
      </c>
      <c r="L149" s="259" t="s">
        <v>122</v>
      </c>
      <c r="M149" s="258">
        <v>0</v>
      </c>
      <c r="N149" s="258">
        <v>0</v>
      </c>
      <c r="O149" s="258">
        <v>4</v>
      </c>
      <c r="P149" s="255" t="s">
        <v>87</v>
      </c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51"/>
      <c r="AC149" s="251"/>
      <c r="AD149" s="258" t="s">
        <v>133</v>
      </c>
      <c r="AE149" s="251"/>
      <c r="AF149" s="251"/>
      <c r="AG149" s="251"/>
      <c r="AH149" s="251"/>
      <c r="AI149" s="251"/>
      <c r="AJ149" s="251"/>
    </row>
    <row r="150" spans="1:36" x14ac:dyDescent="0.3">
      <c r="A150" s="253" t="s">
        <v>317</v>
      </c>
      <c r="B150" s="254">
        <v>46047</v>
      </c>
      <c r="C150" s="255" t="s">
        <v>38</v>
      </c>
      <c r="D150" s="256" t="s">
        <v>322</v>
      </c>
      <c r="E150" s="255" t="s">
        <v>1</v>
      </c>
      <c r="F150" s="255" t="s">
        <v>302</v>
      </c>
      <c r="G150" s="257">
        <v>0</v>
      </c>
      <c r="H150" s="258">
        <v>168</v>
      </c>
      <c r="I150" s="258">
        <v>0</v>
      </c>
      <c r="J150" s="258">
        <v>0</v>
      </c>
      <c r="K150" s="255" t="s">
        <v>303</v>
      </c>
      <c r="L150" s="259" t="s">
        <v>109</v>
      </c>
      <c r="M150" s="258">
        <v>0</v>
      </c>
      <c r="N150" s="258">
        <v>0</v>
      </c>
      <c r="O150" s="258">
        <v>0</v>
      </c>
      <c r="P150" s="255" t="s">
        <v>80</v>
      </c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  <c r="AA150" s="251"/>
      <c r="AB150" s="251"/>
      <c r="AC150" s="251"/>
      <c r="AD150" s="251"/>
      <c r="AE150" s="251"/>
      <c r="AF150" s="251"/>
      <c r="AG150" s="251"/>
      <c r="AH150" s="251"/>
      <c r="AI150" s="251"/>
      <c r="AJ150" s="251"/>
    </row>
    <row r="151" spans="1:36" x14ac:dyDescent="0.3">
      <c r="A151" s="253" t="s">
        <v>323</v>
      </c>
      <c r="B151" s="254">
        <v>46048</v>
      </c>
      <c r="C151" s="255" t="s">
        <v>40</v>
      </c>
      <c r="D151" s="256" t="s">
        <v>324</v>
      </c>
      <c r="E151" s="255" t="s">
        <v>1</v>
      </c>
      <c r="F151" s="255" t="s">
        <v>302</v>
      </c>
      <c r="G151" s="257">
        <v>6.0000000000000001E-3</v>
      </c>
      <c r="H151" s="258">
        <v>168</v>
      </c>
      <c r="I151" s="258">
        <v>1</v>
      </c>
      <c r="J151" s="258">
        <v>0</v>
      </c>
      <c r="K151" s="255" t="s">
        <v>303</v>
      </c>
      <c r="L151" s="259" t="s">
        <v>199</v>
      </c>
      <c r="M151" s="258">
        <v>0</v>
      </c>
      <c r="N151" s="258">
        <v>0</v>
      </c>
      <c r="O151" s="258">
        <v>1</v>
      </c>
      <c r="P151" s="255" t="s">
        <v>80</v>
      </c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  <c r="AA151" s="251"/>
      <c r="AB151" s="251"/>
      <c r="AC151" s="251"/>
      <c r="AD151" s="258" t="s">
        <v>114</v>
      </c>
      <c r="AE151" s="251"/>
      <c r="AF151" s="251"/>
      <c r="AG151" s="251"/>
      <c r="AH151" s="251"/>
      <c r="AI151" s="251"/>
      <c r="AJ151" s="251"/>
    </row>
    <row r="152" spans="1:36" x14ac:dyDescent="0.3">
      <c r="A152" s="253" t="s">
        <v>323</v>
      </c>
      <c r="B152" s="254">
        <v>46048</v>
      </c>
      <c r="C152" s="255" t="s">
        <v>35</v>
      </c>
      <c r="D152" s="256" t="s">
        <v>325</v>
      </c>
      <c r="E152" s="255" t="s">
        <v>1</v>
      </c>
      <c r="F152" s="255" t="s">
        <v>302</v>
      </c>
      <c r="G152" s="257">
        <v>6.0000000000000001E-3</v>
      </c>
      <c r="H152" s="258">
        <v>168</v>
      </c>
      <c r="I152" s="258">
        <v>1</v>
      </c>
      <c r="J152" s="258">
        <v>0</v>
      </c>
      <c r="K152" s="255" t="s">
        <v>303</v>
      </c>
      <c r="L152" s="259" t="s">
        <v>207</v>
      </c>
      <c r="M152" s="258">
        <v>0</v>
      </c>
      <c r="N152" s="258">
        <v>0</v>
      </c>
      <c r="O152" s="258">
        <v>1</v>
      </c>
      <c r="P152" s="255" t="s">
        <v>80</v>
      </c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  <c r="AA152" s="251"/>
      <c r="AB152" s="251"/>
      <c r="AC152" s="251"/>
      <c r="AD152" s="258" t="s">
        <v>114</v>
      </c>
      <c r="AE152" s="251"/>
      <c r="AF152" s="251"/>
      <c r="AG152" s="251"/>
      <c r="AH152" s="251"/>
      <c r="AI152" s="251"/>
      <c r="AJ152" s="251"/>
    </row>
    <row r="153" spans="1:36" x14ac:dyDescent="0.3">
      <c r="A153" s="253" t="s">
        <v>323</v>
      </c>
      <c r="B153" s="254">
        <v>46048</v>
      </c>
      <c r="C153" s="255" t="s">
        <v>38</v>
      </c>
      <c r="D153" s="256" t="s">
        <v>307</v>
      </c>
      <c r="E153" s="255" t="s">
        <v>1</v>
      </c>
      <c r="F153" s="255" t="s">
        <v>302</v>
      </c>
      <c r="G153" s="257">
        <v>6.0000000000000001E-3</v>
      </c>
      <c r="H153" s="258">
        <v>168</v>
      </c>
      <c r="I153" s="258">
        <v>1</v>
      </c>
      <c r="J153" s="258">
        <v>0</v>
      </c>
      <c r="K153" s="255" t="s">
        <v>303</v>
      </c>
      <c r="L153" s="259" t="s">
        <v>194</v>
      </c>
      <c r="M153" s="258">
        <v>0</v>
      </c>
      <c r="N153" s="258">
        <v>0</v>
      </c>
      <c r="O153" s="258">
        <v>2</v>
      </c>
      <c r="P153" s="255" t="s">
        <v>80</v>
      </c>
      <c r="Q153" s="251"/>
      <c r="R153" s="251"/>
      <c r="S153" s="251"/>
      <c r="T153" s="251"/>
      <c r="U153" s="251"/>
      <c r="V153" s="251"/>
      <c r="W153" s="251"/>
      <c r="X153" s="251"/>
      <c r="Y153" s="251"/>
      <c r="Z153" s="258" t="s">
        <v>208</v>
      </c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</row>
    <row r="154" spans="1:36" x14ac:dyDescent="0.3">
      <c r="A154" s="253" t="s">
        <v>323</v>
      </c>
      <c r="B154" s="254">
        <v>46048</v>
      </c>
      <c r="C154" s="255" t="s">
        <v>48</v>
      </c>
      <c r="D154" s="256" t="s">
        <v>328</v>
      </c>
      <c r="E154" s="255" t="s">
        <v>1</v>
      </c>
      <c r="F154" s="255" t="s">
        <v>302</v>
      </c>
      <c r="G154" s="257">
        <v>6.0000000000000001E-3</v>
      </c>
      <c r="H154" s="258">
        <v>168</v>
      </c>
      <c r="I154" s="258">
        <v>1</v>
      </c>
      <c r="J154" s="258">
        <v>0</v>
      </c>
      <c r="K154" s="255" t="s">
        <v>303</v>
      </c>
      <c r="L154" s="259" t="s">
        <v>209</v>
      </c>
      <c r="M154" s="258">
        <v>0</v>
      </c>
      <c r="N154" s="258">
        <v>0</v>
      </c>
      <c r="O154" s="258">
        <v>1</v>
      </c>
      <c r="P154" s="255" t="s">
        <v>80</v>
      </c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8" t="s">
        <v>114</v>
      </c>
      <c r="AE154" s="251"/>
      <c r="AF154" s="251"/>
      <c r="AG154" s="251"/>
      <c r="AH154" s="251"/>
      <c r="AI154" s="251"/>
      <c r="AJ154" s="251"/>
    </row>
    <row r="155" spans="1:36" x14ac:dyDescent="0.3">
      <c r="A155" s="253" t="s">
        <v>331</v>
      </c>
      <c r="B155" s="254">
        <v>46049</v>
      </c>
      <c r="C155" s="255" t="s">
        <v>44</v>
      </c>
      <c r="D155" s="256" t="s">
        <v>332</v>
      </c>
      <c r="E155" s="255" t="s">
        <v>1</v>
      </c>
      <c r="F155" s="255" t="s">
        <v>302</v>
      </c>
      <c r="G155" s="257">
        <v>0</v>
      </c>
      <c r="H155" s="258">
        <v>168</v>
      </c>
      <c r="I155" s="258">
        <v>0</v>
      </c>
      <c r="J155" s="258">
        <v>0</v>
      </c>
      <c r="K155" s="255" t="s">
        <v>303</v>
      </c>
      <c r="L155" s="259" t="s">
        <v>109</v>
      </c>
      <c r="M155" s="258">
        <v>0</v>
      </c>
      <c r="N155" s="258">
        <v>0</v>
      </c>
      <c r="O155" s="258">
        <v>0</v>
      </c>
      <c r="P155" s="255" t="s">
        <v>80</v>
      </c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  <c r="AA155" s="251"/>
      <c r="AB155" s="251"/>
      <c r="AC155" s="251"/>
      <c r="AD155" s="251"/>
      <c r="AE155" s="251"/>
      <c r="AF155" s="251"/>
      <c r="AG155" s="251"/>
      <c r="AH155" s="251"/>
      <c r="AI155" s="251"/>
      <c r="AJ155" s="251"/>
    </row>
    <row r="156" spans="1:36" x14ac:dyDescent="0.3">
      <c r="A156" s="253" t="s">
        <v>331</v>
      </c>
      <c r="B156" s="254">
        <v>46049</v>
      </c>
      <c r="C156" s="255" t="s">
        <v>40</v>
      </c>
      <c r="D156" s="256" t="s">
        <v>335</v>
      </c>
      <c r="E156" s="255" t="s">
        <v>1</v>
      </c>
      <c r="F156" s="255" t="s">
        <v>302</v>
      </c>
      <c r="G156" s="257">
        <v>0</v>
      </c>
      <c r="H156" s="258">
        <v>168</v>
      </c>
      <c r="I156" s="258">
        <v>0</v>
      </c>
      <c r="J156" s="258">
        <v>0</v>
      </c>
      <c r="K156" s="255" t="s">
        <v>303</v>
      </c>
      <c r="L156" s="259" t="s">
        <v>109</v>
      </c>
      <c r="M156" s="258">
        <v>0</v>
      </c>
      <c r="N156" s="258">
        <v>0</v>
      </c>
      <c r="O156" s="258">
        <v>0</v>
      </c>
      <c r="P156" s="255" t="s">
        <v>80</v>
      </c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</row>
    <row r="157" spans="1:36" x14ac:dyDescent="0.3">
      <c r="A157" s="253" t="s">
        <v>331</v>
      </c>
      <c r="B157" s="254">
        <v>46049</v>
      </c>
      <c r="C157" s="255" t="s">
        <v>38</v>
      </c>
      <c r="D157" s="256" t="s">
        <v>307</v>
      </c>
      <c r="E157" s="255" t="s">
        <v>1</v>
      </c>
      <c r="F157" s="255" t="s">
        <v>302</v>
      </c>
      <c r="G157" s="257">
        <v>4.7600000000000003E-2</v>
      </c>
      <c r="H157" s="258">
        <v>168</v>
      </c>
      <c r="I157" s="258">
        <v>8</v>
      </c>
      <c r="J157" s="258">
        <v>0</v>
      </c>
      <c r="K157" s="255" t="s">
        <v>303</v>
      </c>
      <c r="L157" s="259" t="s">
        <v>174</v>
      </c>
      <c r="M157" s="258">
        <v>0</v>
      </c>
      <c r="N157" s="258">
        <v>0</v>
      </c>
      <c r="O157" s="258">
        <v>9</v>
      </c>
      <c r="P157" s="255" t="s">
        <v>89</v>
      </c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  <c r="AD157" s="258" t="s">
        <v>92</v>
      </c>
      <c r="AE157" s="251"/>
      <c r="AF157" s="251"/>
      <c r="AG157" s="251"/>
      <c r="AH157" s="251"/>
      <c r="AI157" s="251"/>
      <c r="AJ157" s="251"/>
    </row>
    <row r="158" spans="1:36" x14ac:dyDescent="0.3">
      <c r="A158" s="253" t="s">
        <v>331</v>
      </c>
      <c r="B158" s="254">
        <v>46049</v>
      </c>
      <c r="C158" s="255" t="s">
        <v>48</v>
      </c>
      <c r="D158" s="256" t="s">
        <v>337</v>
      </c>
      <c r="E158" s="255" t="s">
        <v>1</v>
      </c>
      <c r="F158" s="255" t="s">
        <v>302</v>
      </c>
      <c r="G158" s="257">
        <v>0</v>
      </c>
      <c r="H158" s="258">
        <v>168</v>
      </c>
      <c r="I158" s="258">
        <v>0</v>
      </c>
      <c r="J158" s="258">
        <v>0</v>
      </c>
      <c r="K158" s="255" t="s">
        <v>303</v>
      </c>
      <c r="L158" s="259" t="s">
        <v>109</v>
      </c>
      <c r="M158" s="258">
        <v>0</v>
      </c>
      <c r="N158" s="258">
        <v>0</v>
      </c>
      <c r="O158" s="258">
        <v>0</v>
      </c>
      <c r="P158" s="255" t="s">
        <v>80</v>
      </c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</row>
    <row r="159" spans="1:36" x14ac:dyDescent="0.3">
      <c r="A159" s="253" t="s">
        <v>331</v>
      </c>
      <c r="B159" s="254">
        <v>46049</v>
      </c>
      <c r="C159" s="255" t="s">
        <v>29</v>
      </c>
      <c r="D159" s="256" t="s">
        <v>338</v>
      </c>
      <c r="E159" s="255" t="s">
        <v>1</v>
      </c>
      <c r="F159" s="255" t="s">
        <v>302</v>
      </c>
      <c r="G159" s="257">
        <v>0</v>
      </c>
      <c r="H159" s="258">
        <v>168</v>
      </c>
      <c r="I159" s="258">
        <v>0</v>
      </c>
      <c r="J159" s="258">
        <v>0</v>
      </c>
      <c r="K159" s="255" t="s">
        <v>303</v>
      </c>
      <c r="L159" s="259" t="s">
        <v>109</v>
      </c>
      <c r="M159" s="258">
        <v>0</v>
      </c>
      <c r="N159" s="258">
        <v>0</v>
      </c>
      <c r="O159" s="258">
        <v>0</v>
      </c>
      <c r="P159" s="255" t="s">
        <v>80</v>
      </c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</row>
    <row r="160" spans="1:36" x14ac:dyDescent="0.3">
      <c r="A160" s="253" t="s">
        <v>331</v>
      </c>
      <c r="B160" s="254">
        <v>46049</v>
      </c>
      <c r="C160" s="255" t="s">
        <v>35</v>
      </c>
      <c r="D160" s="256" t="s">
        <v>339</v>
      </c>
      <c r="E160" s="255" t="s">
        <v>1</v>
      </c>
      <c r="F160" s="255" t="s">
        <v>302</v>
      </c>
      <c r="G160" s="257">
        <v>0.17860000000000001</v>
      </c>
      <c r="H160" s="258">
        <v>168</v>
      </c>
      <c r="I160" s="258">
        <v>30</v>
      </c>
      <c r="J160" s="258">
        <v>30</v>
      </c>
      <c r="K160" s="255" t="s">
        <v>303</v>
      </c>
      <c r="L160" s="259" t="s">
        <v>203</v>
      </c>
      <c r="M160" s="258">
        <v>0</v>
      </c>
      <c r="N160" s="258">
        <v>0</v>
      </c>
      <c r="O160" s="258">
        <v>1</v>
      </c>
      <c r="P160" s="255" t="s">
        <v>80</v>
      </c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8" t="s">
        <v>210</v>
      </c>
      <c r="AJ160" s="251"/>
    </row>
    <row r="161" spans="1:36" x14ac:dyDescent="0.3">
      <c r="A161" s="253" t="s">
        <v>340</v>
      </c>
      <c r="B161" s="254">
        <v>46050</v>
      </c>
      <c r="C161" s="255" t="s">
        <v>35</v>
      </c>
      <c r="D161" s="256" t="s">
        <v>341</v>
      </c>
      <c r="E161" s="255" t="s">
        <v>1</v>
      </c>
      <c r="F161" s="255" t="s">
        <v>302</v>
      </c>
      <c r="G161" s="257">
        <v>1.1900000000000001E-2</v>
      </c>
      <c r="H161" s="258">
        <v>168</v>
      </c>
      <c r="I161" s="258">
        <v>2</v>
      </c>
      <c r="J161" s="258">
        <v>0</v>
      </c>
      <c r="K161" s="255" t="s">
        <v>303</v>
      </c>
      <c r="L161" s="259" t="s">
        <v>194</v>
      </c>
      <c r="M161" s="258">
        <v>0</v>
      </c>
      <c r="N161" s="258">
        <v>0</v>
      </c>
      <c r="O161" s="258">
        <v>2</v>
      </c>
      <c r="P161" s="255" t="s">
        <v>92</v>
      </c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51"/>
      <c r="AC161" s="251"/>
      <c r="AD161" s="258" t="s">
        <v>89</v>
      </c>
      <c r="AE161" s="251"/>
      <c r="AF161" s="251"/>
      <c r="AG161" s="251"/>
      <c r="AH161" s="251"/>
      <c r="AI161" s="251"/>
      <c r="AJ161" s="251"/>
    </row>
    <row r="162" spans="1:36" x14ac:dyDescent="0.3">
      <c r="A162" s="253" t="s">
        <v>340</v>
      </c>
      <c r="B162" s="254">
        <v>46050</v>
      </c>
      <c r="C162" s="255" t="s">
        <v>48</v>
      </c>
      <c r="D162" s="256" t="s">
        <v>342</v>
      </c>
      <c r="E162" s="255" t="s">
        <v>1</v>
      </c>
      <c r="F162" s="255" t="s">
        <v>302</v>
      </c>
      <c r="G162" s="257">
        <v>2.87E-2</v>
      </c>
      <c r="H162" s="258">
        <v>174</v>
      </c>
      <c r="I162" s="258">
        <v>5</v>
      </c>
      <c r="J162" s="258">
        <v>0</v>
      </c>
      <c r="K162" s="255" t="s">
        <v>303</v>
      </c>
      <c r="L162" s="259" t="s">
        <v>97</v>
      </c>
      <c r="M162" s="258">
        <v>0</v>
      </c>
      <c r="N162" s="258">
        <v>0</v>
      </c>
      <c r="O162" s="258">
        <v>5</v>
      </c>
      <c r="P162" s="255" t="s">
        <v>186</v>
      </c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51"/>
      <c r="AC162" s="251"/>
      <c r="AD162" s="258" t="s">
        <v>186</v>
      </c>
      <c r="AE162" s="251"/>
      <c r="AF162" s="251"/>
      <c r="AG162" s="251"/>
      <c r="AH162" s="251"/>
      <c r="AI162" s="251"/>
      <c r="AJ162" s="251"/>
    </row>
    <row r="163" spans="1:36" x14ac:dyDescent="0.3">
      <c r="A163" s="253" t="s">
        <v>340</v>
      </c>
      <c r="B163" s="254">
        <v>46050</v>
      </c>
      <c r="C163" s="255" t="s">
        <v>38</v>
      </c>
      <c r="D163" s="256" t="s">
        <v>307</v>
      </c>
      <c r="E163" s="255" t="s">
        <v>1</v>
      </c>
      <c r="F163" s="255" t="s">
        <v>302</v>
      </c>
      <c r="G163" s="257">
        <v>3.5700000000000003E-2</v>
      </c>
      <c r="H163" s="258">
        <v>168</v>
      </c>
      <c r="I163" s="258">
        <v>6</v>
      </c>
      <c r="J163" s="258">
        <v>0</v>
      </c>
      <c r="K163" s="255" t="s">
        <v>303</v>
      </c>
      <c r="L163" s="259" t="s">
        <v>166</v>
      </c>
      <c r="M163" s="258">
        <v>0</v>
      </c>
      <c r="N163" s="258">
        <v>0</v>
      </c>
      <c r="O163" s="258">
        <v>7</v>
      </c>
      <c r="P163" s="255" t="s">
        <v>133</v>
      </c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51"/>
      <c r="AC163" s="251"/>
      <c r="AD163" s="258" t="s">
        <v>87</v>
      </c>
      <c r="AE163" s="251"/>
      <c r="AF163" s="251"/>
      <c r="AG163" s="251"/>
      <c r="AH163" s="251"/>
      <c r="AI163" s="251"/>
      <c r="AJ163" s="251"/>
    </row>
    <row r="164" spans="1:36" x14ac:dyDescent="0.3">
      <c r="A164" s="253" t="s">
        <v>344</v>
      </c>
      <c r="B164" s="254">
        <v>46051</v>
      </c>
      <c r="C164" s="255" t="s">
        <v>29</v>
      </c>
      <c r="D164" s="256" t="s">
        <v>345</v>
      </c>
      <c r="E164" s="255" t="s">
        <v>1</v>
      </c>
      <c r="F164" s="255" t="s">
        <v>302</v>
      </c>
      <c r="G164" s="257">
        <v>0</v>
      </c>
      <c r="H164" s="258">
        <v>168</v>
      </c>
      <c r="I164" s="258">
        <v>0</v>
      </c>
      <c r="J164" s="258">
        <v>0</v>
      </c>
      <c r="K164" s="255" t="s">
        <v>303</v>
      </c>
      <c r="L164" s="259" t="s">
        <v>109</v>
      </c>
      <c r="M164" s="258">
        <v>0</v>
      </c>
      <c r="N164" s="258">
        <v>0</v>
      </c>
      <c r="O164" s="258">
        <v>0</v>
      </c>
      <c r="P164" s="255" t="s">
        <v>80</v>
      </c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  <c r="AJ164" s="251"/>
    </row>
    <row r="165" spans="1:36" x14ac:dyDescent="0.3">
      <c r="A165" s="253" t="s">
        <v>344</v>
      </c>
      <c r="B165" s="254">
        <v>46051</v>
      </c>
      <c r="C165" s="255" t="s">
        <v>44</v>
      </c>
      <c r="D165" s="256" t="s">
        <v>301</v>
      </c>
      <c r="E165" s="255" t="s">
        <v>1</v>
      </c>
      <c r="F165" s="255" t="s">
        <v>302</v>
      </c>
      <c r="G165" s="257">
        <v>2.3800000000000002E-2</v>
      </c>
      <c r="H165" s="258">
        <v>168</v>
      </c>
      <c r="I165" s="258">
        <v>4</v>
      </c>
      <c r="J165" s="258">
        <v>0</v>
      </c>
      <c r="K165" s="255" t="s">
        <v>303</v>
      </c>
      <c r="L165" s="259" t="s">
        <v>94</v>
      </c>
      <c r="M165" s="258">
        <v>0</v>
      </c>
      <c r="N165" s="258">
        <v>0</v>
      </c>
      <c r="O165" s="258">
        <v>4</v>
      </c>
      <c r="P165" s="255" t="s">
        <v>87</v>
      </c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51"/>
      <c r="AC165" s="251"/>
      <c r="AD165" s="258" t="s">
        <v>133</v>
      </c>
      <c r="AE165" s="251"/>
      <c r="AF165" s="251"/>
      <c r="AG165" s="251"/>
      <c r="AH165" s="251"/>
      <c r="AI165" s="251"/>
      <c r="AJ165" s="251"/>
    </row>
    <row r="166" spans="1:36" x14ac:dyDescent="0.3">
      <c r="A166" s="253" t="s">
        <v>344</v>
      </c>
      <c r="B166" s="254">
        <v>46051</v>
      </c>
      <c r="C166" s="255" t="s">
        <v>51</v>
      </c>
      <c r="D166" s="256" t="s">
        <v>346</v>
      </c>
      <c r="E166" s="255" t="s">
        <v>1</v>
      </c>
      <c r="F166" s="255" t="s">
        <v>302</v>
      </c>
      <c r="G166" s="257">
        <v>0.64880000000000004</v>
      </c>
      <c r="H166" s="258">
        <v>168</v>
      </c>
      <c r="I166" s="258">
        <v>109</v>
      </c>
      <c r="J166" s="258">
        <v>105</v>
      </c>
      <c r="K166" s="255" t="s">
        <v>303</v>
      </c>
      <c r="L166" s="259" t="s">
        <v>183</v>
      </c>
      <c r="M166" s="258">
        <v>0</v>
      </c>
      <c r="N166" s="258">
        <v>0</v>
      </c>
      <c r="O166" s="258">
        <v>8</v>
      </c>
      <c r="P166" s="255" t="s">
        <v>87</v>
      </c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  <c r="AD166" s="258" t="s">
        <v>133</v>
      </c>
      <c r="AE166" s="251"/>
      <c r="AF166" s="251"/>
      <c r="AG166" s="258" t="s">
        <v>381</v>
      </c>
      <c r="AH166" s="251"/>
      <c r="AI166" s="251"/>
      <c r="AJ166" s="251"/>
    </row>
    <row r="167" spans="1:36" x14ac:dyDescent="0.3">
      <c r="A167" s="253" t="s">
        <v>344</v>
      </c>
      <c r="B167" s="254">
        <v>46051</v>
      </c>
      <c r="C167" s="255" t="s">
        <v>35</v>
      </c>
      <c r="D167" s="256" t="s">
        <v>314</v>
      </c>
      <c r="E167" s="255" t="s">
        <v>1</v>
      </c>
      <c r="F167" s="255" t="s">
        <v>302</v>
      </c>
      <c r="G167" s="257">
        <v>0</v>
      </c>
      <c r="H167" s="258">
        <v>168</v>
      </c>
      <c r="I167" s="258">
        <v>0</v>
      </c>
      <c r="J167" s="258">
        <v>0</v>
      </c>
      <c r="K167" s="255" t="s">
        <v>303</v>
      </c>
      <c r="L167" s="259" t="s">
        <v>109</v>
      </c>
      <c r="M167" s="258">
        <v>0</v>
      </c>
      <c r="N167" s="258">
        <v>0</v>
      </c>
      <c r="O167" s="258">
        <v>0</v>
      </c>
      <c r="P167" s="255" t="s">
        <v>80</v>
      </c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51"/>
      <c r="AC167" s="251"/>
      <c r="AD167" s="251"/>
      <c r="AE167" s="251"/>
      <c r="AF167" s="251"/>
      <c r="AG167" s="251"/>
      <c r="AH167" s="251"/>
      <c r="AI167" s="251"/>
      <c r="AJ167" s="251"/>
    </row>
    <row r="168" spans="1:36" x14ac:dyDescent="0.3">
      <c r="A168" s="253" t="s">
        <v>344</v>
      </c>
      <c r="B168" s="254">
        <v>46051</v>
      </c>
      <c r="C168" s="255" t="s">
        <v>101</v>
      </c>
      <c r="D168" s="256" t="s">
        <v>347</v>
      </c>
      <c r="E168" s="255" t="s">
        <v>1</v>
      </c>
      <c r="F168" s="255" t="s">
        <v>302</v>
      </c>
      <c r="G168" s="257">
        <v>0</v>
      </c>
      <c r="H168" s="258">
        <v>168</v>
      </c>
      <c r="I168" s="258">
        <v>0</v>
      </c>
      <c r="J168" s="258">
        <v>0</v>
      </c>
      <c r="K168" s="255" t="s">
        <v>303</v>
      </c>
      <c r="L168" s="259" t="s">
        <v>109</v>
      </c>
      <c r="M168" s="258">
        <v>0</v>
      </c>
      <c r="N168" s="258">
        <v>0</v>
      </c>
      <c r="O168" s="258">
        <v>0</v>
      </c>
      <c r="P168" s="255" t="s">
        <v>102</v>
      </c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/>
      <c r="AH168" s="251"/>
      <c r="AI168" s="251"/>
      <c r="AJ168" s="251"/>
    </row>
    <row r="169" spans="1:36" x14ac:dyDescent="0.3">
      <c r="A169" s="253" t="s">
        <v>344</v>
      </c>
      <c r="B169" s="254">
        <v>46051</v>
      </c>
      <c r="C169" s="255" t="s">
        <v>38</v>
      </c>
      <c r="D169" s="256" t="s">
        <v>348</v>
      </c>
      <c r="E169" s="255" t="s">
        <v>1</v>
      </c>
      <c r="F169" s="255" t="s">
        <v>302</v>
      </c>
      <c r="G169" s="257">
        <v>2.3800000000000002E-2</v>
      </c>
      <c r="H169" s="258">
        <v>168</v>
      </c>
      <c r="I169" s="258">
        <v>4</v>
      </c>
      <c r="J169" s="258">
        <v>0</v>
      </c>
      <c r="K169" s="255" t="s">
        <v>303</v>
      </c>
      <c r="L169" s="259" t="s">
        <v>97</v>
      </c>
      <c r="M169" s="258">
        <v>0</v>
      </c>
      <c r="N169" s="258">
        <v>0</v>
      </c>
      <c r="O169" s="258">
        <v>4</v>
      </c>
      <c r="P169" s="255" t="s">
        <v>87</v>
      </c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51"/>
      <c r="AC169" s="251"/>
      <c r="AD169" s="258" t="s">
        <v>133</v>
      </c>
      <c r="AE169" s="251"/>
      <c r="AF169" s="251"/>
      <c r="AG169" s="251"/>
      <c r="AH169" s="251"/>
      <c r="AI169" s="251"/>
      <c r="AJ169" s="251"/>
    </row>
    <row r="170" spans="1:36" x14ac:dyDescent="0.3">
      <c r="A170" s="253" t="s">
        <v>344</v>
      </c>
      <c r="B170" s="254">
        <v>46051</v>
      </c>
      <c r="C170" s="255" t="s">
        <v>40</v>
      </c>
      <c r="D170" s="256" t="s">
        <v>350</v>
      </c>
      <c r="E170" s="255" t="s">
        <v>1</v>
      </c>
      <c r="F170" s="255" t="s">
        <v>302</v>
      </c>
      <c r="G170" s="257">
        <v>4.7600000000000003E-2</v>
      </c>
      <c r="H170" s="258">
        <v>168</v>
      </c>
      <c r="I170" s="258">
        <v>8</v>
      </c>
      <c r="J170" s="258">
        <v>0</v>
      </c>
      <c r="K170" s="255" t="s">
        <v>303</v>
      </c>
      <c r="L170" s="259" t="s">
        <v>113</v>
      </c>
      <c r="M170" s="258">
        <v>0</v>
      </c>
      <c r="N170" s="258">
        <v>0</v>
      </c>
      <c r="O170" s="258">
        <v>8</v>
      </c>
      <c r="P170" s="255" t="s">
        <v>89</v>
      </c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8" t="s">
        <v>92</v>
      </c>
      <c r="AE170" s="251"/>
      <c r="AF170" s="251"/>
      <c r="AG170" s="251"/>
      <c r="AH170" s="251"/>
      <c r="AI170" s="251"/>
      <c r="AJ170" s="251"/>
    </row>
    <row r="171" spans="1:36" x14ac:dyDescent="0.3">
      <c r="A171" s="253" t="s">
        <v>300</v>
      </c>
      <c r="B171" s="254">
        <v>46052</v>
      </c>
      <c r="C171" s="255" t="s">
        <v>29</v>
      </c>
      <c r="D171" s="256" t="s">
        <v>301</v>
      </c>
      <c r="E171" s="255" t="s">
        <v>1</v>
      </c>
      <c r="F171" s="255" t="s">
        <v>302</v>
      </c>
      <c r="G171" s="257">
        <v>6.0000000000000001E-3</v>
      </c>
      <c r="H171" s="258">
        <v>168</v>
      </c>
      <c r="I171" s="258">
        <v>1</v>
      </c>
      <c r="J171" s="258">
        <v>0</v>
      </c>
      <c r="K171" s="255" t="s">
        <v>303</v>
      </c>
      <c r="L171" s="259" t="s">
        <v>113</v>
      </c>
      <c r="M171" s="258">
        <v>0</v>
      </c>
      <c r="N171" s="258">
        <v>0</v>
      </c>
      <c r="O171" s="258">
        <v>1</v>
      </c>
      <c r="P171" s="255" t="s">
        <v>80</v>
      </c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  <c r="AD171" s="258" t="s">
        <v>114</v>
      </c>
      <c r="AE171" s="251"/>
      <c r="AF171" s="251"/>
      <c r="AG171" s="251"/>
      <c r="AH171" s="251"/>
      <c r="AI171" s="251"/>
      <c r="AJ171" s="251"/>
    </row>
    <row r="172" spans="1:36" x14ac:dyDescent="0.3">
      <c r="A172" s="253" t="s">
        <v>300</v>
      </c>
      <c r="B172" s="254">
        <v>46052</v>
      </c>
      <c r="C172" s="255" t="s">
        <v>35</v>
      </c>
      <c r="D172" s="256" t="s">
        <v>305</v>
      </c>
      <c r="E172" s="255" t="s">
        <v>1</v>
      </c>
      <c r="F172" s="255" t="s">
        <v>302</v>
      </c>
      <c r="G172" s="257">
        <v>6.0000000000000001E-3</v>
      </c>
      <c r="H172" s="258">
        <v>168</v>
      </c>
      <c r="I172" s="258">
        <v>1</v>
      </c>
      <c r="J172" s="258">
        <v>0</v>
      </c>
      <c r="K172" s="255" t="s">
        <v>303</v>
      </c>
      <c r="L172" s="259" t="s">
        <v>212</v>
      </c>
      <c r="M172" s="258">
        <v>0</v>
      </c>
      <c r="N172" s="258">
        <v>0</v>
      </c>
      <c r="O172" s="258">
        <v>1</v>
      </c>
      <c r="P172" s="255" t="s">
        <v>80</v>
      </c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8" t="s">
        <v>114</v>
      </c>
      <c r="AE172" s="251"/>
      <c r="AF172" s="251"/>
      <c r="AG172" s="251"/>
      <c r="AH172" s="251"/>
      <c r="AI172" s="251"/>
      <c r="AJ172" s="251"/>
    </row>
    <row r="173" spans="1:36" x14ac:dyDescent="0.3">
      <c r="A173" s="253" t="s">
        <v>300</v>
      </c>
      <c r="B173" s="254">
        <v>46052</v>
      </c>
      <c r="C173" s="255" t="s">
        <v>38</v>
      </c>
      <c r="D173" s="256" t="s">
        <v>306</v>
      </c>
      <c r="E173" s="255" t="s">
        <v>1</v>
      </c>
      <c r="F173" s="255" t="s">
        <v>302</v>
      </c>
      <c r="G173" s="257">
        <v>0</v>
      </c>
      <c r="H173" s="258">
        <v>168</v>
      </c>
      <c r="I173" s="258">
        <v>0</v>
      </c>
      <c r="J173" s="258">
        <v>0</v>
      </c>
      <c r="K173" s="255" t="s">
        <v>303</v>
      </c>
      <c r="L173" s="259" t="s">
        <v>109</v>
      </c>
      <c r="M173" s="258">
        <v>0</v>
      </c>
      <c r="N173" s="258">
        <v>0</v>
      </c>
      <c r="O173" s="258">
        <v>0</v>
      </c>
      <c r="P173" s="255" t="s">
        <v>80</v>
      </c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  <c r="AA173" s="251"/>
      <c r="AB173" s="251"/>
      <c r="AC173" s="251"/>
      <c r="AD173" s="251"/>
      <c r="AE173" s="251"/>
      <c r="AF173" s="251"/>
      <c r="AG173" s="251"/>
      <c r="AH173" s="251"/>
      <c r="AI173" s="251"/>
      <c r="AJ173" s="251"/>
    </row>
    <row r="174" spans="1:36" x14ac:dyDescent="0.3">
      <c r="A174" s="253" t="s">
        <v>300</v>
      </c>
      <c r="B174" s="254">
        <v>46052</v>
      </c>
      <c r="C174" s="255" t="s">
        <v>40</v>
      </c>
      <c r="D174" s="256" t="s">
        <v>307</v>
      </c>
      <c r="E174" s="255" t="s">
        <v>1</v>
      </c>
      <c r="F174" s="255" t="s">
        <v>302</v>
      </c>
      <c r="G174" s="257">
        <v>4.7600000000000003E-2</v>
      </c>
      <c r="H174" s="258">
        <v>168</v>
      </c>
      <c r="I174" s="258">
        <v>8</v>
      </c>
      <c r="J174" s="258">
        <v>0</v>
      </c>
      <c r="K174" s="255" t="s">
        <v>303</v>
      </c>
      <c r="L174" s="259" t="s">
        <v>174</v>
      </c>
      <c r="M174" s="258">
        <v>0</v>
      </c>
      <c r="N174" s="258">
        <v>0</v>
      </c>
      <c r="O174" s="258">
        <v>8</v>
      </c>
      <c r="P174" s="255" t="s">
        <v>89</v>
      </c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  <c r="AD174" s="258" t="s">
        <v>92</v>
      </c>
      <c r="AE174" s="251"/>
      <c r="AF174" s="251"/>
      <c r="AG174" s="251"/>
      <c r="AH174" s="251"/>
      <c r="AI174" s="251"/>
      <c r="AJ174" s="251"/>
    </row>
    <row r="175" spans="1:36" x14ac:dyDescent="0.3">
      <c r="A175" s="253" t="s">
        <v>300</v>
      </c>
      <c r="B175" s="254">
        <v>46052</v>
      </c>
      <c r="C175" s="255" t="s">
        <v>44</v>
      </c>
      <c r="D175" s="256" t="s">
        <v>308</v>
      </c>
      <c r="E175" s="255" t="s">
        <v>1</v>
      </c>
      <c r="F175" s="255" t="s">
        <v>302</v>
      </c>
      <c r="G175" s="257">
        <v>7.7399999999999997E-2</v>
      </c>
      <c r="H175" s="258">
        <v>168</v>
      </c>
      <c r="I175" s="258">
        <v>13</v>
      </c>
      <c r="J175" s="258">
        <v>0</v>
      </c>
      <c r="K175" s="255" t="s">
        <v>303</v>
      </c>
      <c r="L175" s="259" t="s">
        <v>97</v>
      </c>
      <c r="M175" s="258">
        <v>0</v>
      </c>
      <c r="N175" s="258">
        <v>0</v>
      </c>
      <c r="O175" s="258">
        <v>13</v>
      </c>
      <c r="P175" s="255" t="s">
        <v>102</v>
      </c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8" t="s">
        <v>104</v>
      </c>
      <c r="AD175" s="258" t="s">
        <v>132</v>
      </c>
      <c r="AE175" s="251"/>
      <c r="AF175" s="251"/>
      <c r="AG175" s="251"/>
      <c r="AH175" s="251"/>
      <c r="AI175" s="251"/>
      <c r="AJ175" s="251"/>
    </row>
    <row r="176" spans="1:36" x14ac:dyDescent="0.3">
      <c r="A176" s="253" t="s">
        <v>300</v>
      </c>
      <c r="B176" s="254">
        <v>46052</v>
      </c>
      <c r="C176" s="255" t="s">
        <v>48</v>
      </c>
      <c r="D176" s="256" t="s">
        <v>310</v>
      </c>
      <c r="E176" s="255" t="s">
        <v>1</v>
      </c>
      <c r="F176" s="255" t="s">
        <v>302</v>
      </c>
      <c r="G176" s="257">
        <v>1.1900000000000001E-2</v>
      </c>
      <c r="H176" s="258">
        <v>168</v>
      </c>
      <c r="I176" s="258">
        <v>2</v>
      </c>
      <c r="J176" s="258">
        <v>0</v>
      </c>
      <c r="K176" s="255" t="s">
        <v>303</v>
      </c>
      <c r="L176" s="259" t="s">
        <v>140</v>
      </c>
      <c r="M176" s="258">
        <v>0</v>
      </c>
      <c r="N176" s="258">
        <v>0</v>
      </c>
      <c r="O176" s="258">
        <v>2</v>
      </c>
      <c r="P176" s="255" t="s">
        <v>92</v>
      </c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8" t="s">
        <v>89</v>
      </c>
      <c r="AE176" s="251"/>
      <c r="AF176" s="251"/>
      <c r="AG176" s="251"/>
      <c r="AH176" s="251"/>
      <c r="AI176" s="251"/>
      <c r="AJ176" s="251"/>
    </row>
    <row r="177" spans="1:36" x14ac:dyDescent="0.3">
      <c r="A177" s="253" t="s">
        <v>312</v>
      </c>
      <c r="B177" s="254">
        <v>46053</v>
      </c>
      <c r="C177" s="255" t="s">
        <v>51</v>
      </c>
      <c r="D177" s="256" t="s">
        <v>313</v>
      </c>
      <c r="E177" s="255" t="s">
        <v>1</v>
      </c>
      <c r="F177" s="255" t="s">
        <v>302</v>
      </c>
      <c r="G177" s="257">
        <v>0.31609999999999999</v>
      </c>
      <c r="H177" s="258">
        <v>174</v>
      </c>
      <c r="I177" s="258">
        <v>55</v>
      </c>
      <c r="J177" s="258">
        <v>45</v>
      </c>
      <c r="K177" s="255" t="s">
        <v>303</v>
      </c>
      <c r="L177" s="259" t="s">
        <v>97</v>
      </c>
      <c r="M177" s="258">
        <v>0</v>
      </c>
      <c r="N177" s="258">
        <v>0</v>
      </c>
      <c r="O177" s="258">
        <v>12</v>
      </c>
      <c r="P177" s="255" t="s">
        <v>102</v>
      </c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8" t="s">
        <v>132</v>
      </c>
      <c r="AE177" s="251"/>
      <c r="AF177" s="251"/>
      <c r="AG177" s="258" t="s">
        <v>180</v>
      </c>
      <c r="AH177" s="251"/>
      <c r="AI177" s="251"/>
      <c r="AJ177" s="251"/>
    </row>
    <row r="178" spans="1:36" x14ac:dyDescent="0.3">
      <c r="A178" s="253" t="s">
        <v>312</v>
      </c>
      <c r="B178" s="254">
        <v>46053</v>
      </c>
      <c r="C178" s="255" t="s">
        <v>35</v>
      </c>
      <c r="D178" s="256" t="s">
        <v>314</v>
      </c>
      <c r="E178" s="255" t="s">
        <v>1</v>
      </c>
      <c r="F178" s="255" t="s">
        <v>302</v>
      </c>
      <c r="G178" s="257">
        <v>6.0000000000000001E-3</v>
      </c>
      <c r="H178" s="258">
        <v>168</v>
      </c>
      <c r="I178" s="258">
        <v>1</v>
      </c>
      <c r="J178" s="258">
        <v>0</v>
      </c>
      <c r="K178" s="255" t="s">
        <v>303</v>
      </c>
      <c r="L178" s="259" t="s">
        <v>177</v>
      </c>
      <c r="M178" s="258">
        <v>0</v>
      </c>
      <c r="N178" s="258">
        <v>0</v>
      </c>
      <c r="O178" s="258">
        <v>1</v>
      </c>
      <c r="P178" s="255" t="s">
        <v>80</v>
      </c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8" t="s">
        <v>114</v>
      </c>
      <c r="AE178" s="251"/>
      <c r="AF178" s="251"/>
      <c r="AG178" s="251"/>
      <c r="AH178" s="251"/>
      <c r="AI178" s="251"/>
      <c r="AJ178" s="251"/>
    </row>
    <row r="179" spans="1:36" x14ac:dyDescent="0.3">
      <c r="A179" s="253" t="s">
        <v>312</v>
      </c>
      <c r="B179" s="254">
        <v>46053</v>
      </c>
      <c r="C179" s="255" t="s">
        <v>38</v>
      </c>
      <c r="D179" s="256" t="s">
        <v>316</v>
      </c>
      <c r="E179" s="255" t="s">
        <v>1</v>
      </c>
      <c r="F179" s="255" t="s">
        <v>302</v>
      </c>
      <c r="G179" s="257">
        <v>5.3600000000000002E-2</v>
      </c>
      <c r="H179" s="258">
        <v>168</v>
      </c>
      <c r="I179" s="258">
        <v>9</v>
      </c>
      <c r="J179" s="258">
        <v>0</v>
      </c>
      <c r="K179" s="255" t="s">
        <v>303</v>
      </c>
      <c r="L179" s="259" t="s">
        <v>91</v>
      </c>
      <c r="M179" s="258">
        <v>0</v>
      </c>
      <c r="N179" s="258">
        <v>0</v>
      </c>
      <c r="O179" s="258">
        <v>10</v>
      </c>
      <c r="P179" s="255" t="s">
        <v>89</v>
      </c>
      <c r="Q179" s="251"/>
      <c r="R179" s="251"/>
      <c r="S179" s="251"/>
      <c r="T179" s="251"/>
      <c r="U179" s="251"/>
      <c r="V179" s="258" t="s">
        <v>382</v>
      </c>
      <c r="W179" s="251"/>
      <c r="X179" s="251"/>
      <c r="Y179" s="251"/>
      <c r="Z179" s="251"/>
      <c r="AA179" s="251"/>
      <c r="AB179" s="251"/>
      <c r="AC179" s="251"/>
      <c r="AD179" s="258" t="s">
        <v>92</v>
      </c>
      <c r="AE179" s="251"/>
      <c r="AF179" s="251"/>
      <c r="AG179" s="251"/>
      <c r="AH179" s="251"/>
      <c r="AI179" s="251"/>
      <c r="AJ179" s="251"/>
    </row>
    <row r="180" spans="1:36" x14ac:dyDescent="0.3">
      <c r="A180" s="253" t="s">
        <v>317</v>
      </c>
      <c r="B180" s="254">
        <v>46054</v>
      </c>
      <c r="C180" s="255" t="s">
        <v>29</v>
      </c>
      <c r="D180" s="256" t="s">
        <v>318</v>
      </c>
      <c r="E180" s="255" t="s">
        <v>1</v>
      </c>
      <c r="F180" s="255" t="s">
        <v>302</v>
      </c>
      <c r="G180" s="257">
        <v>0.22620000000000001</v>
      </c>
      <c r="H180" s="258">
        <v>168</v>
      </c>
      <c r="I180" s="258">
        <v>38</v>
      </c>
      <c r="J180" s="258">
        <v>25</v>
      </c>
      <c r="K180" s="255" t="s">
        <v>303</v>
      </c>
      <c r="L180" s="259" t="s">
        <v>110</v>
      </c>
      <c r="M180" s="258">
        <v>0</v>
      </c>
      <c r="N180" s="258">
        <v>0</v>
      </c>
      <c r="O180" s="258">
        <v>14</v>
      </c>
      <c r="P180" s="255" t="s">
        <v>73</v>
      </c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8" t="s">
        <v>133</v>
      </c>
      <c r="AE180" s="258" t="s">
        <v>33</v>
      </c>
      <c r="AF180" s="251"/>
      <c r="AG180" s="258" t="s">
        <v>252</v>
      </c>
      <c r="AH180" s="251"/>
      <c r="AI180" s="251"/>
      <c r="AJ180" s="251"/>
    </row>
    <row r="181" spans="1:36" x14ac:dyDescent="0.3">
      <c r="A181" s="253" t="s">
        <v>317</v>
      </c>
      <c r="B181" s="254">
        <v>46054</v>
      </c>
      <c r="C181" s="255" t="s">
        <v>35</v>
      </c>
      <c r="D181" s="256" t="s">
        <v>305</v>
      </c>
      <c r="E181" s="255" t="s">
        <v>1</v>
      </c>
      <c r="F181" s="255" t="s">
        <v>302</v>
      </c>
      <c r="G181" s="257">
        <v>2.3800000000000002E-2</v>
      </c>
      <c r="H181" s="258">
        <v>168</v>
      </c>
      <c r="I181" s="258">
        <v>4</v>
      </c>
      <c r="J181" s="258">
        <v>0</v>
      </c>
      <c r="K181" s="255" t="s">
        <v>303</v>
      </c>
      <c r="L181" s="259" t="s">
        <v>166</v>
      </c>
      <c r="M181" s="258">
        <v>0</v>
      </c>
      <c r="N181" s="258">
        <v>0</v>
      </c>
      <c r="O181" s="258">
        <v>5</v>
      </c>
      <c r="P181" s="255" t="s">
        <v>87</v>
      </c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8" t="s">
        <v>133</v>
      </c>
      <c r="AE181" s="251"/>
      <c r="AF181" s="251"/>
      <c r="AG181" s="251"/>
      <c r="AH181" s="251"/>
      <c r="AI181" s="251"/>
      <c r="AJ181" s="251"/>
    </row>
    <row r="182" spans="1:36" x14ac:dyDescent="0.3">
      <c r="A182" s="253" t="s">
        <v>317</v>
      </c>
      <c r="B182" s="254">
        <v>46054</v>
      </c>
      <c r="C182" s="255" t="s">
        <v>101</v>
      </c>
      <c r="D182" s="256" t="s">
        <v>314</v>
      </c>
      <c r="E182" s="255" t="s">
        <v>1</v>
      </c>
      <c r="F182" s="255" t="s">
        <v>302</v>
      </c>
      <c r="G182" s="257">
        <v>0</v>
      </c>
      <c r="H182" s="258">
        <v>168</v>
      </c>
      <c r="I182" s="258">
        <v>0</v>
      </c>
      <c r="J182" s="258">
        <v>0</v>
      </c>
      <c r="K182" s="255" t="s">
        <v>303</v>
      </c>
      <c r="L182" s="259" t="s">
        <v>109</v>
      </c>
      <c r="M182" s="258">
        <v>0</v>
      </c>
      <c r="N182" s="258">
        <v>0</v>
      </c>
      <c r="O182" s="258">
        <v>0</v>
      </c>
      <c r="P182" s="255" t="s">
        <v>102</v>
      </c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</row>
    <row r="183" spans="1:36" x14ac:dyDescent="0.3">
      <c r="A183" s="253" t="s">
        <v>317</v>
      </c>
      <c r="B183" s="254">
        <v>46054</v>
      </c>
      <c r="C183" s="255" t="s">
        <v>48</v>
      </c>
      <c r="D183" s="256" t="s">
        <v>321</v>
      </c>
      <c r="E183" s="255" t="s">
        <v>1</v>
      </c>
      <c r="F183" s="255" t="s">
        <v>302</v>
      </c>
      <c r="G183" s="257">
        <v>4.1700000000000001E-2</v>
      </c>
      <c r="H183" s="258">
        <v>168</v>
      </c>
      <c r="I183" s="258">
        <v>7</v>
      </c>
      <c r="J183" s="258">
        <v>0</v>
      </c>
      <c r="K183" s="255" t="s">
        <v>303</v>
      </c>
      <c r="L183" s="259" t="s">
        <v>113</v>
      </c>
      <c r="M183" s="258">
        <v>0</v>
      </c>
      <c r="N183" s="258">
        <v>0</v>
      </c>
      <c r="O183" s="258">
        <v>7</v>
      </c>
      <c r="P183" s="255" t="s">
        <v>127</v>
      </c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8" t="s">
        <v>95</v>
      </c>
      <c r="AE183" s="251"/>
      <c r="AF183" s="251"/>
      <c r="AG183" s="251"/>
      <c r="AH183" s="251"/>
      <c r="AI183" s="251"/>
      <c r="AJ183" s="251"/>
    </row>
    <row r="184" spans="1:36" x14ac:dyDescent="0.3">
      <c r="A184" s="253" t="s">
        <v>317</v>
      </c>
      <c r="B184" s="254">
        <v>46054</v>
      </c>
      <c r="C184" s="255" t="s">
        <v>38</v>
      </c>
      <c r="D184" s="256" t="s">
        <v>322</v>
      </c>
      <c r="E184" s="255" t="s">
        <v>1</v>
      </c>
      <c r="F184" s="255" t="s">
        <v>302</v>
      </c>
      <c r="G184" s="257">
        <v>6.5500000000000003E-2</v>
      </c>
      <c r="H184" s="258">
        <v>168</v>
      </c>
      <c r="I184" s="258">
        <v>11</v>
      </c>
      <c r="J184" s="258">
        <v>0</v>
      </c>
      <c r="K184" s="255" t="s">
        <v>303</v>
      </c>
      <c r="L184" s="259" t="s">
        <v>217</v>
      </c>
      <c r="M184" s="258">
        <v>0</v>
      </c>
      <c r="N184" s="258">
        <v>0</v>
      </c>
      <c r="O184" s="258">
        <v>12</v>
      </c>
      <c r="P184" s="255" t="s">
        <v>102</v>
      </c>
      <c r="Q184" s="251"/>
      <c r="R184" s="251"/>
      <c r="S184" s="251"/>
      <c r="T184" s="251"/>
      <c r="U184" s="251"/>
      <c r="V184" s="251"/>
      <c r="W184" s="251"/>
      <c r="X184" s="251"/>
      <c r="Y184" s="251"/>
      <c r="Z184" s="258" t="s">
        <v>208</v>
      </c>
      <c r="AA184" s="251"/>
      <c r="AB184" s="251"/>
      <c r="AC184" s="251"/>
      <c r="AD184" s="258" t="s">
        <v>132</v>
      </c>
      <c r="AE184" s="251"/>
      <c r="AF184" s="251"/>
      <c r="AG184" s="251"/>
      <c r="AH184" s="251"/>
      <c r="AI184" s="251"/>
      <c r="AJ184" s="251"/>
    </row>
    <row r="185" spans="1:36" x14ac:dyDescent="0.3">
      <c r="A185" s="253" t="s">
        <v>323</v>
      </c>
      <c r="B185" s="254">
        <v>46055</v>
      </c>
      <c r="C185" s="255" t="s">
        <v>40</v>
      </c>
      <c r="D185" s="256" t="s">
        <v>324</v>
      </c>
      <c r="E185" s="255" t="s">
        <v>1</v>
      </c>
      <c r="F185" s="255" t="s">
        <v>302</v>
      </c>
      <c r="G185" s="257">
        <v>0</v>
      </c>
      <c r="H185" s="258">
        <v>168</v>
      </c>
      <c r="I185" s="258">
        <v>0</v>
      </c>
      <c r="J185" s="258">
        <v>0</v>
      </c>
      <c r="K185" s="255" t="s">
        <v>303</v>
      </c>
      <c r="L185" s="259" t="s">
        <v>109</v>
      </c>
      <c r="M185" s="258">
        <v>0</v>
      </c>
      <c r="N185" s="258">
        <v>0</v>
      </c>
      <c r="O185" s="258">
        <v>0</v>
      </c>
      <c r="P185" s="255" t="s">
        <v>80</v>
      </c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</row>
    <row r="186" spans="1:36" x14ac:dyDescent="0.3">
      <c r="A186" s="253" t="s">
        <v>323</v>
      </c>
      <c r="B186" s="254">
        <v>46055</v>
      </c>
      <c r="C186" s="255" t="s">
        <v>35</v>
      </c>
      <c r="D186" s="256" t="s">
        <v>325</v>
      </c>
      <c r="E186" s="255" t="s">
        <v>1</v>
      </c>
      <c r="F186" s="255" t="s">
        <v>302</v>
      </c>
      <c r="G186" s="257">
        <v>1.7899999999999999E-2</v>
      </c>
      <c r="H186" s="258">
        <v>168</v>
      </c>
      <c r="I186" s="258">
        <v>3</v>
      </c>
      <c r="J186" s="258">
        <v>0</v>
      </c>
      <c r="K186" s="255" t="s">
        <v>303</v>
      </c>
      <c r="L186" s="259" t="s">
        <v>197</v>
      </c>
      <c r="M186" s="258">
        <v>0</v>
      </c>
      <c r="N186" s="258">
        <v>0</v>
      </c>
      <c r="O186" s="258">
        <v>4</v>
      </c>
      <c r="P186" s="255" t="s">
        <v>95</v>
      </c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8" t="s">
        <v>127</v>
      </c>
      <c r="AE186" s="251"/>
      <c r="AF186" s="251"/>
      <c r="AG186" s="251"/>
      <c r="AH186" s="251"/>
      <c r="AI186" s="251"/>
      <c r="AJ186" s="251"/>
    </row>
    <row r="187" spans="1:36" x14ac:dyDescent="0.3">
      <c r="A187" s="253" t="s">
        <v>323</v>
      </c>
      <c r="B187" s="254">
        <v>46055</v>
      </c>
      <c r="C187" s="255" t="s">
        <v>38</v>
      </c>
      <c r="D187" s="256" t="s">
        <v>307</v>
      </c>
      <c r="E187" s="255" t="s">
        <v>1</v>
      </c>
      <c r="F187" s="255" t="s">
        <v>302</v>
      </c>
      <c r="G187" s="257">
        <v>1.7899999999999999E-2</v>
      </c>
      <c r="H187" s="258">
        <v>168</v>
      </c>
      <c r="I187" s="258">
        <v>3</v>
      </c>
      <c r="J187" s="258">
        <v>0</v>
      </c>
      <c r="K187" s="255" t="s">
        <v>303</v>
      </c>
      <c r="L187" s="259" t="s">
        <v>197</v>
      </c>
      <c r="M187" s="258">
        <v>0</v>
      </c>
      <c r="N187" s="258">
        <v>0</v>
      </c>
      <c r="O187" s="258">
        <v>4</v>
      </c>
      <c r="P187" s="255" t="s">
        <v>95</v>
      </c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8" t="s">
        <v>127</v>
      </c>
      <c r="AE187" s="251"/>
      <c r="AF187" s="251"/>
      <c r="AG187" s="251"/>
      <c r="AH187" s="251"/>
      <c r="AI187" s="251"/>
      <c r="AJ187" s="251"/>
    </row>
    <row r="188" spans="1:36" x14ac:dyDescent="0.3">
      <c r="A188" s="253" t="s">
        <v>323</v>
      </c>
      <c r="B188" s="254">
        <v>46055</v>
      </c>
      <c r="C188" s="255" t="s">
        <v>48</v>
      </c>
      <c r="D188" s="256" t="s">
        <v>328</v>
      </c>
      <c r="E188" s="255" t="s">
        <v>1</v>
      </c>
      <c r="F188" s="255" t="s">
        <v>302</v>
      </c>
      <c r="G188" s="257">
        <v>4.1700000000000001E-2</v>
      </c>
      <c r="H188" s="258">
        <v>168</v>
      </c>
      <c r="I188" s="258">
        <v>7</v>
      </c>
      <c r="J188" s="258">
        <v>0</v>
      </c>
      <c r="K188" s="255" t="s">
        <v>303</v>
      </c>
      <c r="L188" s="259" t="s">
        <v>110</v>
      </c>
      <c r="M188" s="258">
        <v>0</v>
      </c>
      <c r="N188" s="258">
        <v>0</v>
      </c>
      <c r="O188" s="258">
        <v>7</v>
      </c>
      <c r="P188" s="255" t="s">
        <v>127</v>
      </c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8" t="s">
        <v>95</v>
      </c>
      <c r="AE188" s="251"/>
      <c r="AF188" s="251"/>
      <c r="AG188" s="251"/>
      <c r="AH188" s="251"/>
      <c r="AI188" s="251"/>
      <c r="AJ188" s="251"/>
    </row>
    <row r="189" spans="1:36" x14ac:dyDescent="0.3">
      <c r="A189" s="253" t="s">
        <v>331</v>
      </c>
      <c r="B189" s="254">
        <v>46056</v>
      </c>
      <c r="C189" s="255" t="s">
        <v>44</v>
      </c>
      <c r="D189" s="256" t="s">
        <v>332</v>
      </c>
      <c r="E189" s="255" t="s">
        <v>1</v>
      </c>
      <c r="F189" s="255" t="s">
        <v>302</v>
      </c>
      <c r="G189" s="257">
        <v>0.11899999999999999</v>
      </c>
      <c r="H189" s="258">
        <v>168</v>
      </c>
      <c r="I189" s="258">
        <v>20</v>
      </c>
      <c r="J189" s="258">
        <v>0</v>
      </c>
      <c r="K189" s="255" t="s">
        <v>303</v>
      </c>
      <c r="L189" s="259" t="s">
        <v>91</v>
      </c>
      <c r="M189" s="258">
        <v>0</v>
      </c>
      <c r="N189" s="258">
        <v>0</v>
      </c>
      <c r="O189" s="258">
        <v>20</v>
      </c>
      <c r="P189" s="255" t="s">
        <v>80</v>
      </c>
      <c r="Q189" s="251"/>
      <c r="R189" s="251"/>
      <c r="S189" s="251"/>
      <c r="T189" s="251"/>
      <c r="U189" s="251"/>
      <c r="V189" s="251"/>
      <c r="W189" s="251"/>
      <c r="X189" s="251"/>
      <c r="Y189" s="251"/>
      <c r="Z189" s="258" t="s">
        <v>383</v>
      </c>
      <c r="AA189" s="251"/>
      <c r="AB189" s="251"/>
      <c r="AC189" s="251"/>
      <c r="AD189" s="258" t="s">
        <v>114</v>
      </c>
      <c r="AE189" s="251"/>
      <c r="AF189" s="251"/>
      <c r="AG189" s="251"/>
      <c r="AH189" s="251"/>
      <c r="AI189" s="251"/>
      <c r="AJ189" s="251"/>
    </row>
    <row r="190" spans="1:36" x14ac:dyDescent="0.3">
      <c r="A190" s="253" t="s">
        <v>331</v>
      </c>
      <c r="B190" s="254">
        <v>46056</v>
      </c>
      <c r="C190" s="255" t="s">
        <v>40</v>
      </c>
      <c r="D190" s="256" t="s">
        <v>335</v>
      </c>
      <c r="E190" s="255" t="s">
        <v>1</v>
      </c>
      <c r="F190" s="255" t="s">
        <v>302</v>
      </c>
      <c r="G190" s="257">
        <v>0</v>
      </c>
      <c r="H190" s="258">
        <v>168</v>
      </c>
      <c r="I190" s="258">
        <v>0</v>
      </c>
      <c r="J190" s="258">
        <v>0</v>
      </c>
      <c r="K190" s="255" t="s">
        <v>303</v>
      </c>
      <c r="L190" s="259" t="s">
        <v>109</v>
      </c>
      <c r="M190" s="258">
        <v>0</v>
      </c>
      <c r="N190" s="258">
        <v>0</v>
      </c>
      <c r="O190" s="258">
        <v>0</v>
      </c>
      <c r="P190" s="255" t="s">
        <v>80</v>
      </c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</row>
    <row r="191" spans="1:36" x14ac:dyDescent="0.3">
      <c r="A191" s="253" t="s">
        <v>331</v>
      </c>
      <c r="B191" s="254">
        <v>46056</v>
      </c>
      <c r="C191" s="255" t="s">
        <v>38</v>
      </c>
      <c r="D191" s="256" t="s">
        <v>307</v>
      </c>
      <c r="E191" s="255" t="s">
        <v>1</v>
      </c>
      <c r="F191" s="255" t="s">
        <v>302</v>
      </c>
      <c r="G191" s="257">
        <v>3.5700000000000003E-2</v>
      </c>
      <c r="H191" s="258">
        <v>168</v>
      </c>
      <c r="I191" s="258">
        <v>6</v>
      </c>
      <c r="J191" s="258">
        <v>0</v>
      </c>
      <c r="K191" s="255" t="s">
        <v>303</v>
      </c>
      <c r="L191" s="259" t="s">
        <v>97</v>
      </c>
      <c r="M191" s="258">
        <v>0</v>
      </c>
      <c r="N191" s="258">
        <v>0</v>
      </c>
      <c r="O191" s="258">
        <v>7</v>
      </c>
      <c r="P191" s="255" t="s">
        <v>133</v>
      </c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8" t="s">
        <v>87</v>
      </c>
      <c r="AE191" s="251"/>
      <c r="AF191" s="251"/>
      <c r="AG191" s="251"/>
      <c r="AH191" s="251"/>
      <c r="AI191" s="251"/>
      <c r="AJ191" s="251"/>
    </row>
    <row r="192" spans="1:36" x14ac:dyDescent="0.3">
      <c r="A192" s="253" t="s">
        <v>331</v>
      </c>
      <c r="B192" s="254">
        <v>46056</v>
      </c>
      <c r="C192" s="255" t="s">
        <v>48</v>
      </c>
      <c r="D192" s="256" t="s">
        <v>337</v>
      </c>
      <c r="E192" s="255" t="s">
        <v>1</v>
      </c>
      <c r="F192" s="255" t="s">
        <v>302</v>
      </c>
      <c r="G192" s="257">
        <v>5.9499999999999997E-2</v>
      </c>
      <c r="H192" s="258">
        <v>168</v>
      </c>
      <c r="I192" s="258">
        <v>10</v>
      </c>
      <c r="J192" s="258">
        <v>0</v>
      </c>
      <c r="K192" s="255" t="s">
        <v>303</v>
      </c>
      <c r="L192" s="259" t="s">
        <v>94</v>
      </c>
      <c r="M192" s="258">
        <v>0</v>
      </c>
      <c r="N192" s="258">
        <v>0</v>
      </c>
      <c r="O192" s="258">
        <v>10</v>
      </c>
      <c r="P192" s="255" t="s">
        <v>102</v>
      </c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8" t="s">
        <v>132</v>
      </c>
      <c r="AE192" s="251"/>
      <c r="AF192" s="251"/>
      <c r="AG192" s="251"/>
      <c r="AH192" s="251"/>
      <c r="AI192" s="251"/>
      <c r="AJ192" s="251"/>
    </row>
    <row r="193" spans="1:36" x14ac:dyDescent="0.3">
      <c r="A193" s="253" t="s">
        <v>331</v>
      </c>
      <c r="B193" s="254">
        <v>46056</v>
      </c>
      <c r="C193" s="255" t="s">
        <v>29</v>
      </c>
      <c r="D193" s="256" t="s">
        <v>338</v>
      </c>
      <c r="E193" s="255" t="s">
        <v>1</v>
      </c>
      <c r="F193" s="255" t="s">
        <v>302</v>
      </c>
      <c r="G193" s="257">
        <v>6.0000000000000001E-3</v>
      </c>
      <c r="H193" s="258">
        <v>168</v>
      </c>
      <c r="I193" s="258">
        <v>1</v>
      </c>
      <c r="J193" s="258">
        <v>0</v>
      </c>
      <c r="K193" s="255" t="s">
        <v>303</v>
      </c>
      <c r="L193" s="259" t="s">
        <v>129</v>
      </c>
      <c r="M193" s="258">
        <v>0</v>
      </c>
      <c r="N193" s="258">
        <v>0</v>
      </c>
      <c r="O193" s="258">
        <v>1</v>
      </c>
      <c r="P193" s="255" t="s">
        <v>80</v>
      </c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8" t="s">
        <v>114</v>
      </c>
      <c r="AE193" s="251"/>
      <c r="AF193" s="251"/>
      <c r="AG193" s="251"/>
      <c r="AH193" s="251"/>
      <c r="AI193" s="251"/>
      <c r="AJ193" s="251"/>
    </row>
    <row r="194" spans="1:36" x14ac:dyDescent="0.3">
      <c r="A194" s="253" t="s">
        <v>331</v>
      </c>
      <c r="B194" s="254">
        <v>46056</v>
      </c>
      <c r="C194" s="255" t="s">
        <v>35</v>
      </c>
      <c r="D194" s="256" t="s">
        <v>339</v>
      </c>
      <c r="E194" s="255" t="s">
        <v>1</v>
      </c>
      <c r="F194" s="255" t="s">
        <v>302</v>
      </c>
      <c r="G194" s="257">
        <v>2.3800000000000002E-2</v>
      </c>
      <c r="H194" s="258">
        <v>168</v>
      </c>
      <c r="I194" s="258">
        <v>4</v>
      </c>
      <c r="J194" s="258">
        <v>0</v>
      </c>
      <c r="K194" s="255" t="s">
        <v>303</v>
      </c>
      <c r="L194" s="259" t="s">
        <v>220</v>
      </c>
      <c r="M194" s="258">
        <v>0</v>
      </c>
      <c r="N194" s="258">
        <v>0</v>
      </c>
      <c r="O194" s="258">
        <v>4</v>
      </c>
      <c r="P194" s="255" t="s">
        <v>87</v>
      </c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8" t="s">
        <v>133</v>
      </c>
      <c r="AE194" s="251"/>
      <c r="AF194" s="251"/>
      <c r="AG194" s="251"/>
      <c r="AH194" s="251"/>
      <c r="AI194" s="251"/>
      <c r="AJ194" s="251"/>
    </row>
    <row r="195" spans="1:36" x14ac:dyDescent="0.3">
      <c r="A195" s="253" t="s">
        <v>340</v>
      </c>
      <c r="B195" s="254">
        <v>46057</v>
      </c>
      <c r="C195" s="255" t="s">
        <v>35</v>
      </c>
      <c r="D195" s="256" t="s">
        <v>341</v>
      </c>
      <c r="E195" s="255" t="s">
        <v>1</v>
      </c>
      <c r="F195" s="255" t="s">
        <v>302</v>
      </c>
      <c r="G195" s="257">
        <v>6.0000000000000001E-3</v>
      </c>
      <c r="H195" s="258">
        <v>168</v>
      </c>
      <c r="I195" s="258">
        <v>1</v>
      </c>
      <c r="J195" s="258">
        <v>0</v>
      </c>
      <c r="K195" s="255" t="s">
        <v>303</v>
      </c>
      <c r="L195" s="259" t="s">
        <v>166</v>
      </c>
      <c r="M195" s="258">
        <v>0</v>
      </c>
      <c r="N195" s="258">
        <v>0</v>
      </c>
      <c r="O195" s="258">
        <v>1</v>
      </c>
      <c r="P195" s="255" t="s">
        <v>80</v>
      </c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8" t="s">
        <v>114</v>
      </c>
      <c r="AE195" s="251"/>
      <c r="AF195" s="251"/>
      <c r="AG195" s="251"/>
      <c r="AH195" s="251"/>
      <c r="AI195" s="251"/>
      <c r="AJ195" s="251"/>
    </row>
    <row r="196" spans="1:36" x14ac:dyDescent="0.3">
      <c r="A196" s="253" t="s">
        <v>340</v>
      </c>
      <c r="B196" s="254">
        <v>46057</v>
      </c>
      <c r="C196" s="255" t="s">
        <v>48</v>
      </c>
      <c r="D196" s="256" t="s">
        <v>342</v>
      </c>
      <c r="E196" s="255" t="s">
        <v>1</v>
      </c>
      <c r="F196" s="255" t="s">
        <v>302</v>
      </c>
      <c r="G196" s="257">
        <v>2.87E-2</v>
      </c>
      <c r="H196" s="258">
        <v>174</v>
      </c>
      <c r="I196" s="258">
        <v>5</v>
      </c>
      <c r="J196" s="258">
        <v>0</v>
      </c>
      <c r="K196" s="255" t="s">
        <v>303</v>
      </c>
      <c r="L196" s="259" t="s">
        <v>91</v>
      </c>
      <c r="M196" s="258">
        <v>0</v>
      </c>
      <c r="N196" s="258">
        <v>0</v>
      </c>
      <c r="O196" s="258">
        <v>5</v>
      </c>
      <c r="P196" s="255" t="s">
        <v>87</v>
      </c>
      <c r="Q196" s="251"/>
      <c r="R196" s="251"/>
      <c r="S196" s="251"/>
      <c r="T196" s="251"/>
      <c r="U196" s="251"/>
      <c r="V196" s="251"/>
      <c r="W196" s="251"/>
      <c r="X196" s="251"/>
      <c r="Y196" s="251"/>
      <c r="Z196" s="258" t="s">
        <v>208</v>
      </c>
      <c r="AA196" s="251"/>
      <c r="AB196" s="251"/>
      <c r="AC196" s="251"/>
      <c r="AD196" s="258" t="s">
        <v>133</v>
      </c>
      <c r="AE196" s="251"/>
      <c r="AF196" s="251"/>
      <c r="AG196" s="251"/>
      <c r="AH196" s="251"/>
      <c r="AI196" s="251"/>
      <c r="AJ196" s="251"/>
    </row>
    <row r="197" spans="1:36" x14ac:dyDescent="0.3">
      <c r="A197" s="253" t="s">
        <v>340</v>
      </c>
      <c r="B197" s="254">
        <v>46057</v>
      </c>
      <c r="C197" s="255" t="s">
        <v>38</v>
      </c>
      <c r="D197" s="256" t="s">
        <v>307</v>
      </c>
      <c r="E197" s="255" t="s">
        <v>1</v>
      </c>
      <c r="F197" s="255" t="s">
        <v>302</v>
      </c>
      <c r="G197" s="257">
        <v>1.7899999999999999E-2</v>
      </c>
      <c r="H197" s="258">
        <v>168</v>
      </c>
      <c r="I197" s="258">
        <v>3</v>
      </c>
      <c r="J197" s="258">
        <v>0</v>
      </c>
      <c r="K197" s="255" t="s">
        <v>303</v>
      </c>
      <c r="L197" s="259" t="s">
        <v>129</v>
      </c>
      <c r="M197" s="258">
        <v>0</v>
      </c>
      <c r="N197" s="258">
        <v>0</v>
      </c>
      <c r="O197" s="258">
        <v>4</v>
      </c>
      <c r="P197" s="255" t="s">
        <v>95</v>
      </c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8" t="s">
        <v>127</v>
      </c>
      <c r="AE197" s="251"/>
      <c r="AF197" s="251"/>
      <c r="AG197" s="251"/>
      <c r="AH197" s="251"/>
      <c r="AI197" s="251"/>
      <c r="AJ197" s="251"/>
    </row>
    <row r="198" spans="1:36" x14ac:dyDescent="0.3">
      <c r="A198" s="253" t="s">
        <v>344</v>
      </c>
      <c r="B198" s="254">
        <v>46058</v>
      </c>
      <c r="C198" s="255" t="s">
        <v>29</v>
      </c>
      <c r="D198" s="256" t="s">
        <v>345</v>
      </c>
      <c r="E198" s="255" t="s">
        <v>1</v>
      </c>
      <c r="F198" s="255" t="s">
        <v>302</v>
      </c>
      <c r="G198" s="257">
        <v>6.0000000000000001E-3</v>
      </c>
      <c r="H198" s="258">
        <v>168</v>
      </c>
      <c r="I198" s="258">
        <v>1</v>
      </c>
      <c r="J198" s="258">
        <v>0</v>
      </c>
      <c r="K198" s="255" t="s">
        <v>303</v>
      </c>
      <c r="L198" s="259" t="s">
        <v>207</v>
      </c>
      <c r="M198" s="258">
        <v>0</v>
      </c>
      <c r="N198" s="258">
        <v>0</v>
      </c>
      <c r="O198" s="258">
        <v>1</v>
      </c>
      <c r="P198" s="255" t="s">
        <v>80</v>
      </c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8" t="s">
        <v>114</v>
      </c>
      <c r="AE198" s="251"/>
      <c r="AF198" s="251"/>
      <c r="AG198" s="251"/>
      <c r="AH198" s="251"/>
      <c r="AI198" s="251"/>
      <c r="AJ198" s="251"/>
    </row>
    <row r="199" spans="1:36" x14ac:dyDescent="0.3">
      <c r="A199" s="253" t="s">
        <v>344</v>
      </c>
      <c r="B199" s="254">
        <v>46058</v>
      </c>
      <c r="C199" s="255" t="s">
        <v>44</v>
      </c>
      <c r="D199" s="256" t="s">
        <v>301</v>
      </c>
      <c r="E199" s="255" t="s">
        <v>1</v>
      </c>
      <c r="F199" s="255" t="s">
        <v>302</v>
      </c>
      <c r="G199" s="257">
        <v>3.5700000000000003E-2</v>
      </c>
      <c r="H199" s="258">
        <v>168</v>
      </c>
      <c r="I199" s="258">
        <v>6</v>
      </c>
      <c r="J199" s="258">
        <v>0</v>
      </c>
      <c r="K199" s="255" t="s">
        <v>303</v>
      </c>
      <c r="L199" s="259" t="s">
        <v>140</v>
      </c>
      <c r="M199" s="258">
        <v>0</v>
      </c>
      <c r="N199" s="258">
        <v>0</v>
      </c>
      <c r="O199" s="258">
        <v>6</v>
      </c>
      <c r="P199" s="255" t="s">
        <v>133</v>
      </c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8" t="s">
        <v>87</v>
      </c>
      <c r="AE199" s="251"/>
      <c r="AF199" s="251"/>
      <c r="AG199" s="251"/>
      <c r="AH199" s="251"/>
      <c r="AI199" s="251"/>
      <c r="AJ199" s="251"/>
    </row>
    <row r="200" spans="1:36" x14ac:dyDescent="0.3">
      <c r="A200" s="253" t="s">
        <v>344</v>
      </c>
      <c r="B200" s="254">
        <v>46058</v>
      </c>
      <c r="C200" s="255" t="s">
        <v>51</v>
      </c>
      <c r="D200" s="256" t="s">
        <v>346</v>
      </c>
      <c r="E200" s="255" t="s">
        <v>1</v>
      </c>
      <c r="F200" s="255" t="s">
        <v>302</v>
      </c>
      <c r="G200" s="257">
        <v>0</v>
      </c>
      <c r="H200" s="258">
        <v>168</v>
      </c>
      <c r="I200" s="258">
        <v>0</v>
      </c>
      <c r="J200" s="258">
        <v>0</v>
      </c>
      <c r="K200" s="255" t="s">
        <v>303</v>
      </c>
      <c r="L200" s="259" t="s">
        <v>109</v>
      </c>
      <c r="M200" s="258">
        <v>0</v>
      </c>
      <c r="N200" s="258">
        <v>0</v>
      </c>
      <c r="O200" s="258">
        <v>0</v>
      </c>
      <c r="P200" s="255" t="s">
        <v>80</v>
      </c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</row>
    <row r="201" spans="1:36" x14ac:dyDescent="0.3">
      <c r="A201" s="253" t="s">
        <v>344</v>
      </c>
      <c r="B201" s="254">
        <v>46058</v>
      </c>
      <c r="C201" s="255" t="s">
        <v>35</v>
      </c>
      <c r="D201" s="256" t="s">
        <v>314</v>
      </c>
      <c r="E201" s="255" t="s">
        <v>1</v>
      </c>
      <c r="F201" s="255" t="s">
        <v>302</v>
      </c>
      <c r="G201" s="257">
        <v>1.7899999999999999E-2</v>
      </c>
      <c r="H201" s="258">
        <v>168</v>
      </c>
      <c r="I201" s="258">
        <v>3</v>
      </c>
      <c r="J201" s="258">
        <v>0</v>
      </c>
      <c r="K201" s="255" t="s">
        <v>303</v>
      </c>
      <c r="L201" s="259" t="s">
        <v>183</v>
      </c>
      <c r="M201" s="258">
        <v>0</v>
      </c>
      <c r="N201" s="258">
        <v>0</v>
      </c>
      <c r="O201" s="258">
        <v>3</v>
      </c>
      <c r="P201" s="255" t="s">
        <v>95</v>
      </c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8" t="s">
        <v>127</v>
      </c>
      <c r="AE201" s="251"/>
      <c r="AF201" s="251"/>
      <c r="AG201" s="251"/>
      <c r="AH201" s="251"/>
      <c r="AI201" s="251"/>
      <c r="AJ201" s="251"/>
    </row>
    <row r="202" spans="1:36" x14ac:dyDescent="0.3">
      <c r="A202" s="253" t="s">
        <v>344</v>
      </c>
      <c r="B202" s="254">
        <v>46058</v>
      </c>
      <c r="C202" s="255" t="s">
        <v>101</v>
      </c>
      <c r="D202" s="256" t="s">
        <v>347</v>
      </c>
      <c r="E202" s="255" t="s">
        <v>1</v>
      </c>
      <c r="F202" s="255" t="s">
        <v>302</v>
      </c>
      <c r="G202" s="257">
        <v>0</v>
      </c>
      <c r="H202" s="258">
        <v>168</v>
      </c>
      <c r="I202" s="258">
        <v>0</v>
      </c>
      <c r="J202" s="258">
        <v>0</v>
      </c>
      <c r="K202" s="255" t="s">
        <v>303</v>
      </c>
      <c r="L202" s="259" t="s">
        <v>109</v>
      </c>
      <c r="M202" s="258">
        <v>0</v>
      </c>
      <c r="N202" s="258">
        <v>0</v>
      </c>
      <c r="O202" s="258">
        <v>0</v>
      </c>
      <c r="P202" s="255" t="s">
        <v>102</v>
      </c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</row>
    <row r="203" spans="1:36" x14ac:dyDescent="0.3">
      <c r="A203" s="253" t="s">
        <v>344</v>
      </c>
      <c r="B203" s="254">
        <v>46058</v>
      </c>
      <c r="C203" s="255" t="s">
        <v>38</v>
      </c>
      <c r="D203" s="256" t="s">
        <v>348</v>
      </c>
      <c r="E203" s="255" t="s">
        <v>1</v>
      </c>
      <c r="F203" s="255" t="s">
        <v>302</v>
      </c>
      <c r="G203" s="257">
        <v>8.3299999999999999E-2</v>
      </c>
      <c r="H203" s="258">
        <v>168</v>
      </c>
      <c r="I203" s="258">
        <v>14</v>
      </c>
      <c r="J203" s="258">
        <v>0</v>
      </c>
      <c r="K203" s="255" t="s">
        <v>303</v>
      </c>
      <c r="L203" s="259" t="s">
        <v>166</v>
      </c>
      <c r="M203" s="258">
        <v>0</v>
      </c>
      <c r="N203" s="258">
        <v>0</v>
      </c>
      <c r="O203" s="258">
        <v>14</v>
      </c>
      <c r="P203" s="255" t="s">
        <v>102</v>
      </c>
      <c r="Q203" s="251"/>
      <c r="R203" s="251"/>
      <c r="S203" s="251"/>
      <c r="T203" s="251"/>
      <c r="U203" s="251"/>
      <c r="V203" s="251"/>
      <c r="W203" s="251"/>
      <c r="X203" s="251"/>
      <c r="Y203" s="251"/>
      <c r="Z203" s="258" t="s">
        <v>208</v>
      </c>
      <c r="AA203" s="251"/>
      <c r="AB203" s="251"/>
      <c r="AC203" s="258" t="s">
        <v>104</v>
      </c>
      <c r="AD203" s="258" t="s">
        <v>132</v>
      </c>
      <c r="AE203" s="251"/>
      <c r="AF203" s="251"/>
      <c r="AG203" s="251"/>
      <c r="AH203" s="251"/>
      <c r="AI203" s="251"/>
      <c r="AJ203" s="251"/>
    </row>
    <row r="204" spans="1:36" x14ac:dyDescent="0.3">
      <c r="A204" s="253" t="s">
        <v>344</v>
      </c>
      <c r="B204" s="254">
        <v>46058</v>
      </c>
      <c r="C204" s="255" t="s">
        <v>40</v>
      </c>
      <c r="D204" s="256" t="s">
        <v>350</v>
      </c>
      <c r="E204" s="255" t="s">
        <v>1</v>
      </c>
      <c r="F204" s="255" t="s">
        <v>302</v>
      </c>
      <c r="G204" s="257">
        <v>8.3299999999999999E-2</v>
      </c>
      <c r="H204" s="258">
        <v>168</v>
      </c>
      <c r="I204" s="258">
        <v>14</v>
      </c>
      <c r="J204" s="258">
        <v>0</v>
      </c>
      <c r="K204" s="255" t="s">
        <v>303</v>
      </c>
      <c r="L204" s="259" t="s">
        <v>91</v>
      </c>
      <c r="M204" s="258">
        <v>0</v>
      </c>
      <c r="N204" s="258">
        <v>0</v>
      </c>
      <c r="O204" s="258">
        <v>14</v>
      </c>
      <c r="P204" s="255" t="s">
        <v>142</v>
      </c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8" t="s">
        <v>148</v>
      </c>
      <c r="AD204" s="258" t="s">
        <v>132</v>
      </c>
      <c r="AE204" s="251"/>
      <c r="AF204" s="251"/>
      <c r="AG204" s="251"/>
      <c r="AH204" s="251"/>
      <c r="AI204" s="251"/>
      <c r="AJ204" s="251"/>
    </row>
    <row r="205" spans="1:36" x14ac:dyDescent="0.3">
      <c r="A205" s="253" t="s">
        <v>300</v>
      </c>
      <c r="B205" s="254">
        <v>46059</v>
      </c>
      <c r="C205" s="255" t="s">
        <v>29</v>
      </c>
      <c r="D205" s="256" t="s">
        <v>301</v>
      </c>
      <c r="E205" s="255" t="s">
        <v>1</v>
      </c>
      <c r="F205" s="255" t="s">
        <v>302</v>
      </c>
      <c r="G205" s="257">
        <v>5.3600000000000002E-2</v>
      </c>
      <c r="H205" s="258">
        <v>168</v>
      </c>
      <c r="I205" s="258">
        <v>9</v>
      </c>
      <c r="J205" s="258">
        <v>0</v>
      </c>
      <c r="K205" s="255" t="s">
        <v>303</v>
      </c>
      <c r="L205" s="259" t="s">
        <v>113</v>
      </c>
      <c r="M205" s="258">
        <v>0</v>
      </c>
      <c r="N205" s="258">
        <v>0</v>
      </c>
      <c r="O205" s="258">
        <v>9</v>
      </c>
      <c r="P205" s="255" t="s">
        <v>224</v>
      </c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8" t="s">
        <v>95</v>
      </c>
      <c r="AE205" s="251"/>
      <c r="AF205" s="258" t="s">
        <v>66</v>
      </c>
      <c r="AG205" s="251"/>
      <c r="AH205" s="251"/>
      <c r="AI205" s="251"/>
      <c r="AJ205" s="251"/>
    </row>
    <row r="206" spans="1:36" x14ac:dyDescent="0.3">
      <c r="A206" s="253" t="s">
        <v>300</v>
      </c>
      <c r="B206" s="254">
        <v>46059</v>
      </c>
      <c r="C206" s="255" t="s">
        <v>35</v>
      </c>
      <c r="D206" s="256" t="s">
        <v>305</v>
      </c>
      <c r="E206" s="255" t="s">
        <v>1</v>
      </c>
      <c r="F206" s="255" t="s">
        <v>302</v>
      </c>
      <c r="G206" s="257">
        <v>2.3800000000000002E-2</v>
      </c>
      <c r="H206" s="258">
        <v>168</v>
      </c>
      <c r="I206" s="258">
        <v>4</v>
      </c>
      <c r="J206" s="258">
        <v>0</v>
      </c>
      <c r="K206" s="255" t="s">
        <v>303</v>
      </c>
      <c r="L206" s="259" t="s">
        <v>94</v>
      </c>
      <c r="M206" s="258">
        <v>0</v>
      </c>
      <c r="N206" s="258">
        <v>0</v>
      </c>
      <c r="O206" s="258">
        <v>4</v>
      </c>
      <c r="P206" s="255" t="s">
        <v>66</v>
      </c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8" t="s">
        <v>114</v>
      </c>
      <c r="AE206" s="251"/>
      <c r="AF206" s="258" t="s">
        <v>224</v>
      </c>
      <c r="AG206" s="251"/>
      <c r="AH206" s="251"/>
      <c r="AI206" s="251"/>
      <c r="AJ206" s="251"/>
    </row>
    <row r="207" spans="1:36" x14ac:dyDescent="0.3">
      <c r="A207" s="253" t="s">
        <v>300</v>
      </c>
      <c r="B207" s="254">
        <v>46059</v>
      </c>
      <c r="C207" s="255" t="s">
        <v>38</v>
      </c>
      <c r="D207" s="256" t="s">
        <v>306</v>
      </c>
      <c r="E207" s="255" t="s">
        <v>1</v>
      </c>
      <c r="F207" s="255" t="s">
        <v>302</v>
      </c>
      <c r="G207" s="257">
        <v>1.7899999999999999E-2</v>
      </c>
      <c r="H207" s="258">
        <v>168</v>
      </c>
      <c r="I207" s="258">
        <v>3</v>
      </c>
      <c r="J207" s="258">
        <v>0</v>
      </c>
      <c r="K207" s="255" t="s">
        <v>303</v>
      </c>
      <c r="L207" s="259" t="s">
        <v>183</v>
      </c>
      <c r="M207" s="258">
        <v>0</v>
      </c>
      <c r="N207" s="258">
        <v>0</v>
      </c>
      <c r="O207" s="258">
        <v>3</v>
      </c>
      <c r="P207" s="255" t="s">
        <v>227</v>
      </c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8" t="s">
        <v>127</v>
      </c>
      <c r="AE207" s="251"/>
      <c r="AF207" s="251"/>
      <c r="AG207" s="251"/>
      <c r="AH207" s="251"/>
      <c r="AI207" s="251"/>
      <c r="AJ207" s="251"/>
    </row>
    <row r="208" spans="1:36" x14ac:dyDescent="0.3">
      <c r="A208" s="253" t="s">
        <v>300</v>
      </c>
      <c r="B208" s="254">
        <v>46059</v>
      </c>
      <c r="C208" s="255" t="s">
        <v>40</v>
      </c>
      <c r="D208" s="256" t="s">
        <v>307</v>
      </c>
      <c r="E208" s="255" t="s">
        <v>1</v>
      </c>
      <c r="F208" s="255" t="s">
        <v>302</v>
      </c>
      <c r="G208" s="257">
        <v>8.9300000000000004E-2</v>
      </c>
      <c r="H208" s="258">
        <v>168</v>
      </c>
      <c r="I208" s="258">
        <v>15</v>
      </c>
      <c r="J208" s="258">
        <v>0</v>
      </c>
      <c r="K208" s="255" t="s">
        <v>303</v>
      </c>
      <c r="L208" s="259" t="s">
        <v>94</v>
      </c>
      <c r="M208" s="258">
        <v>0</v>
      </c>
      <c r="N208" s="258">
        <v>0</v>
      </c>
      <c r="O208" s="258">
        <v>15</v>
      </c>
      <c r="P208" s="255" t="s">
        <v>42</v>
      </c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8" t="s">
        <v>192</v>
      </c>
      <c r="AD208" s="258" t="s">
        <v>80</v>
      </c>
      <c r="AE208" s="251"/>
      <c r="AF208" s="258" t="s">
        <v>230</v>
      </c>
      <c r="AG208" s="251"/>
      <c r="AH208" s="251"/>
      <c r="AI208" s="251"/>
      <c r="AJ208" s="251"/>
    </row>
    <row r="209" spans="1:36" x14ac:dyDescent="0.3">
      <c r="A209" s="253" t="s">
        <v>300</v>
      </c>
      <c r="B209" s="254">
        <v>46059</v>
      </c>
      <c r="C209" s="255" t="s">
        <v>44</v>
      </c>
      <c r="D209" s="256" t="s">
        <v>308</v>
      </c>
      <c r="E209" s="255" t="s">
        <v>1</v>
      </c>
      <c r="F209" s="255" t="s">
        <v>302</v>
      </c>
      <c r="G209" s="257">
        <v>8.3299999999999999E-2</v>
      </c>
      <c r="H209" s="258">
        <v>168</v>
      </c>
      <c r="I209" s="258">
        <v>14</v>
      </c>
      <c r="J209" s="258">
        <v>0</v>
      </c>
      <c r="K209" s="255" t="s">
        <v>303</v>
      </c>
      <c r="L209" s="259" t="s">
        <v>94</v>
      </c>
      <c r="M209" s="258">
        <v>0</v>
      </c>
      <c r="N209" s="258">
        <v>0</v>
      </c>
      <c r="O209" s="258">
        <v>14</v>
      </c>
      <c r="P209" s="255" t="s">
        <v>42</v>
      </c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8" t="s">
        <v>132</v>
      </c>
      <c r="AE209" s="251"/>
      <c r="AF209" s="258" t="s">
        <v>230</v>
      </c>
      <c r="AG209" s="251"/>
      <c r="AH209" s="251"/>
      <c r="AI209" s="251"/>
      <c r="AJ209" s="251"/>
    </row>
    <row r="210" spans="1:36" x14ac:dyDescent="0.3">
      <c r="A210" s="253" t="s">
        <v>300</v>
      </c>
      <c r="B210" s="254">
        <v>46059</v>
      </c>
      <c r="C210" s="255" t="s">
        <v>48</v>
      </c>
      <c r="D210" s="256" t="s">
        <v>310</v>
      </c>
      <c r="E210" s="255" t="s">
        <v>1</v>
      </c>
      <c r="F210" s="255" t="s">
        <v>302</v>
      </c>
      <c r="G210" s="257">
        <v>6.5500000000000003E-2</v>
      </c>
      <c r="H210" s="258">
        <v>168</v>
      </c>
      <c r="I210" s="258">
        <v>11</v>
      </c>
      <c r="J210" s="258">
        <v>0</v>
      </c>
      <c r="K210" s="255" t="s">
        <v>303</v>
      </c>
      <c r="L210" s="259" t="s">
        <v>113</v>
      </c>
      <c r="M210" s="258">
        <v>0</v>
      </c>
      <c r="N210" s="258">
        <v>0</v>
      </c>
      <c r="O210" s="258">
        <v>11</v>
      </c>
      <c r="P210" s="255" t="s">
        <v>230</v>
      </c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8" t="s">
        <v>132</v>
      </c>
      <c r="AE210" s="251"/>
      <c r="AF210" s="258" t="s">
        <v>42</v>
      </c>
      <c r="AG210" s="251"/>
      <c r="AH210" s="251"/>
      <c r="AI210" s="251"/>
      <c r="AJ210" s="251"/>
    </row>
    <row r="211" spans="1:36" x14ac:dyDescent="0.3">
      <c r="A211" s="253" t="s">
        <v>312</v>
      </c>
      <c r="B211" s="254">
        <v>46060</v>
      </c>
      <c r="C211" s="255" t="s">
        <v>51</v>
      </c>
      <c r="D211" s="256" t="s">
        <v>313</v>
      </c>
      <c r="E211" s="255" t="s">
        <v>1</v>
      </c>
      <c r="F211" s="255" t="s">
        <v>302</v>
      </c>
      <c r="G211" s="257">
        <v>5.1700000000000003E-2</v>
      </c>
      <c r="H211" s="258">
        <v>174</v>
      </c>
      <c r="I211" s="258">
        <v>9</v>
      </c>
      <c r="J211" s="258">
        <v>0</v>
      </c>
      <c r="K211" s="255" t="s">
        <v>303</v>
      </c>
      <c r="L211" s="259" t="s">
        <v>166</v>
      </c>
      <c r="M211" s="258">
        <v>0</v>
      </c>
      <c r="N211" s="258">
        <v>0</v>
      </c>
      <c r="O211" s="258">
        <v>9</v>
      </c>
      <c r="P211" s="255" t="s">
        <v>43</v>
      </c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8" t="s">
        <v>160</v>
      </c>
      <c r="AD211" s="258" t="s">
        <v>92</v>
      </c>
      <c r="AE211" s="251"/>
      <c r="AF211" s="251"/>
      <c r="AG211" s="251"/>
      <c r="AH211" s="251"/>
      <c r="AI211" s="251"/>
      <c r="AJ211" s="251"/>
    </row>
    <row r="212" spans="1:36" x14ac:dyDescent="0.3">
      <c r="A212" s="253" t="s">
        <v>312</v>
      </c>
      <c r="B212" s="254">
        <v>46060</v>
      </c>
      <c r="C212" s="255" t="s">
        <v>35</v>
      </c>
      <c r="D212" s="256" t="s">
        <v>314</v>
      </c>
      <c r="E212" s="255" t="s">
        <v>1</v>
      </c>
      <c r="F212" s="255" t="s">
        <v>302</v>
      </c>
      <c r="G212" s="257">
        <v>3.5700000000000003E-2</v>
      </c>
      <c r="H212" s="258">
        <v>168</v>
      </c>
      <c r="I212" s="258">
        <v>6</v>
      </c>
      <c r="J212" s="258">
        <v>0</v>
      </c>
      <c r="K212" s="255" t="s">
        <v>303</v>
      </c>
      <c r="L212" s="259" t="s">
        <v>91</v>
      </c>
      <c r="M212" s="258">
        <v>0</v>
      </c>
      <c r="N212" s="258">
        <v>0</v>
      </c>
      <c r="O212" s="258">
        <v>7</v>
      </c>
      <c r="P212" s="255" t="s">
        <v>43</v>
      </c>
      <c r="Q212" s="251"/>
      <c r="R212" s="251"/>
      <c r="S212" s="251"/>
      <c r="T212" s="251"/>
      <c r="U212" s="251"/>
      <c r="V212" s="251"/>
      <c r="W212" s="251"/>
      <c r="X212" s="251"/>
      <c r="Y212" s="251"/>
      <c r="Z212" s="258" t="s">
        <v>208</v>
      </c>
      <c r="AA212" s="251"/>
      <c r="AB212" s="251"/>
      <c r="AC212" s="251"/>
      <c r="AD212" s="258" t="s">
        <v>127</v>
      </c>
      <c r="AE212" s="251"/>
      <c r="AF212" s="258" t="s">
        <v>66</v>
      </c>
      <c r="AG212" s="251"/>
      <c r="AH212" s="251"/>
      <c r="AI212" s="251"/>
      <c r="AJ212" s="251"/>
    </row>
    <row r="213" spans="1:36" x14ac:dyDescent="0.3">
      <c r="A213" s="253" t="s">
        <v>312</v>
      </c>
      <c r="B213" s="254">
        <v>46060</v>
      </c>
      <c r="C213" s="255" t="s">
        <v>38</v>
      </c>
      <c r="D213" s="256" t="s">
        <v>316</v>
      </c>
      <c r="E213" s="255" t="s">
        <v>1</v>
      </c>
      <c r="F213" s="255" t="s">
        <v>302</v>
      </c>
      <c r="G213" s="257">
        <v>0.1012</v>
      </c>
      <c r="H213" s="258">
        <v>168</v>
      </c>
      <c r="I213" s="258">
        <v>17</v>
      </c>
      <c r="J213" s="258">
        <v>0</v>
      </c>
      <c r="K213" s="255" t="s">
        <v>303</v>
      </c>
      <c r="L213" s="259" t="s">
        <v>97</v>
      </c>
      <c r="M213" s="258">
        <v>0</v>
      </c>
      <c r="N213" s="258">
        <v>0</v>
      </c>
      <c r="O213" s="258">
        <v>18</v>
      </c>
      <c r="P213" s="255" t="s">
        <v>234</v>
      </c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8" t="s">
        <v>80</v>
      </c>
      <c r="AE213" s="251"/>
      <c r="AF213" s="258" t="s">
        <v>247</v>
      </c>
      <c r="AG213" s="251"/>
      <c r="AH213" s="251"/>
      <c r="AI213" s="251"/>
      <c r="AJ213" s="251"/>
    </row>
    <row r="214" spans="1:36" x14ac:dyDescent="0.3">
      <c r="A214" s="253" t="s">
        <v>317</v>
      </c>
      <c r="B214" s="254">
        <v>46061</v>
      </c>
      <c r="C214" s="255" t="s">
        <v>29</v>
      </c>
      <c r="D214" s="256" t="s">
        <v>318</v>
      </c>
      <c r="E214" s="255" t="s">
        <v>1</v>
      </c>
      <c r="F214" s="255" t="s">
        <v>302</v>
      </c>
      <c r="G214" s="257">
        <v>6.0000000000000001E-3</v>
      </c>
      <c r="H214" s="258">
        <v>168</v>
      </c>
      <c r="I214" s="258">
        <v>1</v>
      </c>
      <c r="J214" s="258">
        <v>0</v>
      </c>
      <c r="K214" s="255" t="s">
        <v>303</v>
      </c>
      <c r="L214" s="259" t="s">
        <v>97</v>
      </c>
      <c r="M214" s="258">
        <v>0</v>
      </c>
      <c r="N214" s="258">
        <v>0</v>
      </c>
      <c r="O214" s="258">
        <v>1</v>
      </c>
      <c r="P214" s="255" t="s">
        <v>43</v>
      </c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8" t="s">
        <v>42</v>
      </c>
      <c r="AG214" s="251"/>
      <c r="AH214" s="251"/>
      <c r="AI214" s="251"/>
      <c r="AJ214" s="251"/>
    </row>
    <row r="215" spans="1:36" x14ac:dyDescent="0.3">
      <c r="A215" s="253" t="s">
        <v>317</v>
      </c>
      <c r="B215" s="254">
        <v>46061</v>
      </c>
      <c r="C215" s="255" t="s">
        <v>35</v>
      </c>
      <c r="D215" s="256" t="s">
        <v>305</v>
      </c>
      <c r="E215" s="255" t="s">
        <v>1</v>
      </c>
      <c r="F215" s="255" t="s">
        <v>302</v>
      </c>
      <c r="G215" s="257">
        <v>1.7899999999999999E-2</v>
      </c>
      <c r="H215" s="258">
        <v>168</v>
      </c>
      <c r="I215" s="258">
        <v>3</v>
      </c>
      <c r="J215" s="258">
        <v>0</v>
      </c>
      <c r="K215" s="255" t="s">
        <v>303</v>
      </c>
      <c r="L215" s="259" t="s">
        <v>94</v>
      </c>
      <c r="M215" s="258">
        <v>0</v>
      </c>
      <c r="N215" s="258">
        <v>0</v>
      </c>
      <c r="O215" s="258">
        <v>4</v>
      </c>
      <c r="P215" s="255" t="s">
        <v>43</v>
      </c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8" t="s">
        <v>89</v>
      </c>
      <c r="AE215" s="251"/>
      <c r="AF215" s="258" t="s">
        <v>42</v>
      </c>
      <c r="AG215" s="251"/>
      <c r="AH215" s="251"/>
      <c r="AI215" s="251"/>
      <c r="AJ215" s="251"/>
    </row>
    <row r="216" spans="1:36" x14ac:dyDescent="0.3">
      <c r="A216" s="253" t="s">
        <v>317</v>
      </c>
      <c r="B216" s="254">
        <v>46061</v>
      </c>
      <c r="C216" s="255" t="s">
        <v>101</v>
      </c>
      <c r="D216" s="256" t="s">
        <v>314</v>
      </c>
      <c r="E216" s="255" t="s">
        <v>1</v>
      </c>
      <c r="F216" s="255" t="s">
        <v>302</v>
      </c>
      <c r="G216" s="257">
        <v>0</v>
      </c>
      <c r="H216" s="258">
        <v>168</v>
      </c>
      <c r="I216" s="258">
        <v>0</v>
      </c>
      <c r="J216" s="258">
        <v>0</v>
      </c>
      <c r="K216" s="255" t="s">
        <v>303</v>
      </c>
      <c r="L216" s="259" t="s">
        <v>109</v>
      </c>
      <c r="M216" s="258">
        <v>0</v>
      </c>
      <c r="N216" s="258">
        <v>0</v>
      </c>
      <c r="O216" s="258">
        <v>0</v>
      </c>
      <c r="P216" s="255" t="s">
        <v>43</v>
      </c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</row>
    <row r="217" spans="1:36" x14ac:dyDescent="0.3">
      <c r="A217" s="253" t="s">
        <v>317</v>
      </c>
      <c r="B217" s="254">
        <v>46061</v>
      </c>
      <c r="C217" s="255" t="s">
        <v>48</v>
      </c>
      <c r="D217" s="256" t="s">
        <v>321</v>
      </c>
      <c r="E217" s="255" t="s">
        <v>1</v>
      </c>
      <c r="F217" s="255" t="s">
        <v>302</v>
      </c>
      <c r="G217" s="257">
        <v>1.1900000000000001E-2</v>
      </c>
      <c r="H217" s="258">
        <v>168</v>
      </c>
      <c r="I217" s="258">
        <v>2</v>
      </c>
      <c r="J217" s="258">
        <v>0</v>
      </c>
      <c r="K217" s="255" t="s">
        <v>303</v>
      </c>
      <c r="L217" s="259" t="s">
        <v>183</v>
      </c>
      <c r="M217" s="258">
        <v>0</v>
      </c>
      <c r="N217" s="258">
        <v>0</v>
      </c>
      <c r="O217" s="258">
        <v>2</v>
      </c>
      <c r="P217" s="255" t="s">
        <v>43</v>
      </c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8" t="s">
        <v>89</v>
      </c>
      <c r="AE217" s="251"/>
      <c r="AF217" s="251"/>
      <c r="AG217" s="251"/>
      <c r="AH217" s="251"/>
      <c r="AI217" s="251"/>
      <c r="AJ217" s="251"/>
    </row>
    <row r="218" spans="1:36" x14ac:dyDescent="0.3">
      <c r="A218" s="253" t="s">
        <v>317</v>
      </c>
      <c r="B218" s="254">
        <v>46061</v>
      </c>
      <c r="C218" s="255" t="s">
        <v>38</v>
      </c>
      <c r="D218" s="256" t="s">
        <v>322</v>
      </c>
      <c r="E218" s="255" t="s">
        <v>1</v>
      </c>
      <c r="F218" s="255" t="s">
        <v>302</v>
      </c>
      <c r="G218" s="257">
        <v>3.5700000000000003E-2</v>
      </c>
      <c r="H218" s="258">
        <v>168</v>
      </c>
      <c r="I218" s="258">
        <v>6</v>
      </c>
      <c r="J218" s="258">
        <v>0</v>
      </c>
      <c r="K218" s="255" t="s">
        <v>303</v>
      </c>
      <c r="L218" s="259" t="s">
        <v>94</v>
      </c>
      <c r="M218" s="258">
        <v>0</v>
      </c>
      <c r="N218" s="258">
        <v>0</v>
      </c>
      <c r="O218" s="258">
        <v>7</v>
      </c>
      <c r="P218" s="255" t="s">
        <v>43</v>
      </c>
      <c r="Q218" s="251"/>
      <c r="R218" s="251"/>
      <c r="S218" s="251"/>
      <c r="T218" s="251"/>
      <c r="U218" s="251"/>
      <c r="V218" s="251"/>
      <c r="W218" s="251"/>
      <c r="X218" s="251"/>
      <c r="Y218" s="251"/>
      <c r="Z218" s="258" t="s">
        <v>208</v>
      </c>
      <c r="AA218" s="251"/>
      <c r="AB218" s="251"/>
      <c r="AC218" s="251"/>
      <c r="AD218" s="258" t="s">
        <v>133</v>
      </c>
      <c r="AE218" s="251"/>
      <c r="AF218" s="258" t="s">
        <v>42</v>
      </c>
      <c r="AG218" s="251"/>
      <c r="AH218" s="251"/>
      <c r="AI218" s="251"/>
      <c r="AJ218" s="251"/>
    </row>
    <row r="219" spans="1:36" x14ac:dyDescent="0.3">
      <c r="A219" s="253" t="s">
        <v>323</v>
      </c>
      <c r="B219" s="254">
        <v>46062</v>
      </c>
      <c r="C219" s="255" t="s">
        <v>40</v>
      </c>
      <c r="D219" s="256" t="s">
        <v>324</v>
      </c>
      <c r="E219" s="255" t="s">
        <v>1</v>
      </c>
      <c r="F219" s="255" t="s">
        <v>302</v>
      </c>
      <c r="G219" s="257">
        <v>6.0000000000000001E-3</v>
      </c>
      <c r="H219" s="258">
        <v>168</v>
      </c>
      <c r="I219" s="258">
        <v>1</v>
      </c>
      <c r="J219" s="258">
        <v>0</v>
      </c>
      <c r="K219" s="255" t="s">
        <v>303</v>
      </c>
      <c r="L219" s="259" t="s">
        <v>97</v>
      </c>
      <c r="M219" s="258">
        <v>0</v>
      </c>
      <c r="N219" s="258">
        <v>0</v>
      </c>
      <c r="O219" s="258">
        <v>1</v>
      </c>
      <c r="P219" s="255" t="s">
        <v>43</v>
      </c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8" t="s">
        <v>42</v>
      </c>
      <c r="AG219" s="251"/>
      <c r="AH219" s="251"/>
      <c r="AI219" s="251"/>
      <c r="AJ219" s="251"/>
    </row>
    <row r="220" spans="1:36" x14ac:dyDescent="0.3">
      <c r="A220" s="253" t="s">
        <v>323</v>
      </c>
      <c r="B220" s="254">
        <v>46062</v>
      </c>
      <c r="C220" s="255" t="s">
        <v>35</v>
      </c>
      <c r="D220" s="256" t="s">
        <v>325</v>
      </c>
      <c r="E220" s="255" t="s">
        <v>1</v>
      </c>
      <c r="F220" s="255" t="s">
        <v>302</v>
      </c>
      <c r="G220" s="257">
        <v>6.0000000000000001E-3</v>
      </c>
      <c r="H220" s="258">
        <v>168</v>
      </c>
      <c r="I220" s="258">
        <v>1</v>
      </c>
      <c r="J220" s="258">
        <v>0</v>
      </c>
      <c r="K220" s="255" t="s">
        <v>303</v>
      </c>
      <c r="L220" s="259" t="s">
        <v>94</v>
      </c>
      <c r="M220" s="258">
        <v>0</v>
      </c>
      <c r="N220" s="258">
        <v>0</v>
      </c>
      <c r="O220" s="258">
        <v>2</v>
      </c>
      <c r="P220" s="255" t="s">
        <v>43</v>
      </c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8" t="s">
        <v>42</v>
      </c>
      <c r="AG220" s="251"/>
      <c r="AH220" s="251"/>
      <c r="AI220" s="251"/>
      <c r="AJ220" s="251"/>
    </row>
    <row r="221" spans="1:36" x14ac:dyDescent="0.3">
      <c r="A221" s="253" t="s">
        <v>323</v>
      </c>
      <c r="B221" s="254">
        <v>46062</v>
      </c>
      <c r="C221" s="255" t="s">
        <v>38</v>
      </c>
      <c r="D221" s="256" t="s">
        <v>307</v>
      </c>
      <c r="E221" s="255" t="s">
        <v>1</v>
      </c>
      <c r="F221" s="255" t="s">
        <v>302</v>
      </c>
      <c r="G221" s="257">
        <v>2.98E-2</v>
      </c>
      <c r="H221" s="258">
        <v>168</v>
      </c>
      <c r="I221" s="258">
        <v>5</v>
      </c>
      <c r="J221" s="258">
        <v>0</v>
      </c>
      <c r="K221" s="255" t="s">
        <v>303</v>
      </c>
      <c r="L221" s="259" t="s">
        <v>113</v>
      </c>
      <c r="M221" s="258">
        <v>0</v>
      </c>
      <c r="N221" s="258">
        <v>0</v>
      </c>
      <c r="O221" s="258">
        <v>6</v>
      </c>
      <c r="P221" s="255" t="s">
        <v>43</v>
      </c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8" t="s">
        <v>127</v>
      </c>
      <c r="AE221" s="251"/>
      <c r="AF221" s="258" t="s">
        <v>66</v>
      </c>
      <c r="AG221" s="251"/>
      <c r="AH221" s="251"/>
      <c r="AI221" s="251"/>
      <c r="AJ221" s="251"/>
    </row>
    <row r="222" spans="1:36" x14ac:dyDescent="0.3">
      <c r="A222" s="253" t="s">
        <v>323</v>
      </c>
      <c r="B222" s="254">
        <v>46062</v>
      </c>
      <c r="C222" s="255" t="s">
        <v>48</v>
      </c>
      <c r="D222" s="256" t="s">
        <v>328</v>
      </c>
      <c r="E222" s="255" t="s">
        <v>1</v>
      </c>
      <c r="F222" s="255" t="s">
        <v>302</v>
      </c>
      <c r="G222" s="257">
        <v>0.23810000000000001</v>
      </c>
      <c r="H222" s="258">
        <v>168</v>
      </c>
      <c r="I222" s="258">
        <v>40</v>
      </c>
      <c r="J222" s="258">
        <v>40</v>
      </c>
      <c r="K222" s="255" t="s">
        <v>303</v>
      </c>
      <c r="L222" s="259" t="s">
        <v>239</v>
      </c>
      <c r="M222" s="258">
        <v>0</v>
      </c>
      <c r="N222" s="258">
        <v>0</v>
      </c>
      <c r="O222" s="258">
        <v>1</v>
      </c>
      <c r="P222" s="255" t="s">
        <v>43</v>
      </c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8" t="s">
        <v>240</v>
      </c>
      <c r="AH222" s="251"/>
      <c r="AI222" s="251"/>
      <c r="AJ222" s="251"/>
    </row>
    <row r="223" spans="1:36" x14ac:dyDescent="0.3">
      <c r="A223" s="253" t="s">
        <v>331</v>
      </c>
      <c r="B223" s="254">
        <v>46063</v>
      </c>
      <c r="C223" s="255" t="s">
        <v>44</v>
      </c>
      <c r="D223" s="256" t="s">
        <v>332</v>
      </c>
      <c r="E223" s="255" t="s">
        <v>1</v>
      </c>
      <c r="F223" s="255" t="s">
        <v>302</v>
      </c>
      <c r="G223" s="257">
        <v>0</v>
      </c>
      <c r="H223" s="258">
        <v>168</v>
      </c>
      <c r="I223" s="258">
        <v>0</v>
      </c>
      <c r="J223" s="258">
        <v>0</v>
      </c>
      <c r="K223" s="255" t="s">
        <v>303</v>
      </c>
      <c r="L223" s="259" t="s">
        <v>109</v>
      </c>
      <c r="M223" s="258">
        <v>0</v>
      </c>
      <c r="N223" s="258">
        <v>0</v>
      </c>
      <c r="O223" s="258">
        <v>0</v>
      </c>
      <c r="P223" s="255" t="s">
        <v>43</v>
      </c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</row>
    <row r="224" spans="1:36" x14ac:dyDescent="0.3">
      <c r="A224" s="253" t="s">
        <v>331</v>
      </c>
      <c r="B224" s="254">
        <v>46063</v>
      </c>
      <c r="C224" s="255" t="s">
        <v>40</v>
      </c>
      <c r="D224" s="256" t="s">
        <v>335</v>
      </c>
      <c r="E224" s="255" t="s">
        <v>1</v>
      </c>
      <c r="F224" s="255" t="s">
        <v>302</v>
      </c>
      <c r="G224" s="257">
        <v>6.0000000000000001E-3</v>
      </c>
      <c r="H224" s="258">
        <v>168</v>
      </c>
      <c r="I224" s="258">
        <v>1</v>
      </c>
      <c r="J224" s="258">
        <v>0</v>
      </c>
      <c r="K224" s="255" t="s">
        <v>303</v>
      </c>
      <c r="L224" s="259" t="s">
        <v>197</v>
      </c>
      <c r="M224" s="258">
        <v>0</v>
      </c>
      <c r="N224" s="258">
        <v>0</v>
      </c>
      <c r="O224" s="258">
        <v>1</v>
      </c>
      <c r="P224" s="255" t="s">
        <v>43</v>
      </c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8" t="s">
        <v>114</v>
      </c>
      <c r="AE224" s="251"/>
      <c r="AF224" s="251"/>
      <c r="AG224" s="251"/>
      <c r="AH224" s="251"/>
      <c r="AI224" s="251"/>
      <c r="AJ224" s="251"/>
    </row>
    <row r="225" spans="1:36" x14ac:dyDescent="0.3">
      <c r="A225" s="253" t="s">
        <v>331</v>
      </c>
      <c r="B225" s="254">
        <v>46063</v>
      </c>
      <c r="C225" s="255" t="s">
        <v>38</v>
      </c>
      <c r="D225" s="256" t="s">
        <v>307</v>
      </c>
      <c r="E225" s="255" t="s">
        <v>1</v>
      </c>
      <c r="F225" s="255" t="s">
        <v>302</v>
      </c>
      <c r="G225" s="257">
        <v>4.7600000000000003E-2</v>
      </c>
      <c r="H225" s="258">
        <v>168</v>
      </c>
      <c r="I225" s="258">
        <v>8</v>
      </c>
      <c r="J225" s="258">
        <v>0</v>
      </c>
      <c r="K225" s="255" t="s">
        <v>303</v>
      </c>
      <c r="L225" s="259" t="s">
        <v>97</v>
      </c>
      <c r="M225" s="258">
        <v>0</v>
      </c>
      <c r="N225" s="258">
        <v>0</v>
      </c>
      <c r="O225" s="258">
        <v>9</v>
      </c>
      <c r="P225" s="255" t="s">
        <v>43</v>
      </c>
      <c r="Q225" s="251"/>
      <c r="R225" s="251"/>
      <c r="S225" s="251"/>
      <c r="T225" s="251"/>
      <c r="U225" s="251"/>
      <c r="V225" s="251"/>
      <c r="W225" s="251"/>
      <c r="X225" s="251"/>
      <c r="Y225" s="251"/>
      <c r="Z225" s="258" t="s">
        <v>208</v>
      </c>
      <c r="AA225" s="251"/>
      <c r="AB225" s="251"/>
      <c r="AC225" s="251"/>
      <c r="AD225" s="258" t="s">
        <v>133</v>
      </c>
      <c r="AE225" s="251"/>
      <c r="AF225" s="258" t="s">
        <v>224</v>
      </c>
      <c r="AG225" s="251"/>
      <c r="AH225" s="251"/>
      <c r="AI225" s="251"/>
      <c r="AJ225" s="251"/>
    </row>
    <row r="226" spans="1:36" x14ac:dyDescent="0.3">
      <c r="A226" s="253" t="s">
        <v>331</v>
      </c>
      <c r="B226" s="254">
        <v>46063</v>
      </c>
      <c r="C226" s="255" t="s">
        <v>48</v>
      </c>
      <c r="D226" s="256" t="s">
        <v>337</v>
      </c>
      <c r="E226" s="255" t="s">
        <v>1</v>
      </c>
      <c r="F226" s="255" t="s">
        <v>302</v>
      </c>
      <c r="G226" s="257">
        <v>1.7899999999999999E-2</v>
      </c>
      <c r="H226" s="258">
        <v>168</v>
      </c>
      <c r="I226" s="258">
        <v>3</v>
      </c>
      <c r="J226" s="258">
        <v>0</v>
      </c>
      <c r="K226" s="255" t="s">
        <v>303</v>
      </c>
      <c r="L226" s="259" t="s">
        <v>97</v>
      </c>
      <c r="M226" s="258">
        <v>0</v>
      </c>
      <c r="N226" s="258">
        <v>0</v>
      </c>
      <c r="O226" s="258">
        <v>4</v>
      </c>
      <c r="P226" s="255" t="s">
        <v>43</v>
      </c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8" t="s">
        <v>304</v>
      </c>
      <c r="AB226" s="251"/>
      <c r="AC226" s="251"/>
      <c r="AD226" s="251"/>
      <c r="AE226" s="251"/>
      <c r="AF226" s="258" t="s">
        <v>66</v>
      </c>
      <c r="AG226" s="251"/>
      <c r="AH226" s="251"/>
      <c r="AI226" s="251"/>
      <c r="AJ226" s="251"/>
    </row>
    <row r="227" spans="1:36" x14ac:dyDescent="0.3">
      <c r="A227" s="253" t="s">
        <v>331</v>
      </c>
      <c r="B227" s="254">
        <v>46063</v>
      </c>
      <c r="C227" s="255" t="s">
        <v>29</v>
      </c>
      <c r="D227" s="256" t="s">
        <v>338</v>
      </c>
      <c r="E227" s="255" t="s">
        <v>1</v>
      </c>
      <c r="F227" s="255" t="s">
        <v>302</v>
      </c>
      <c r="G227" s="257">
        <v>0</v>
      </c>
      <c r="H227" s="258">
        <v>168</v>
      </c>
      <c r="I227" s="258">
        <v>0</v>
      </c>
      <c r="J227" s="258">
        <v>0</v>
      </c>
      <c r="K227" s="255" t="s">
        <v>303</v>
      </c>
      <c r="L227" s="259" t="s">
        <v>109</v>
      </c>
      <c r="M227" s="258">
        <v>0</v>
      </c>
      <c r="N227" s="258">
        <v>0</v>
      </c>
      <c r="O227" s="258">
        <v>0</v>
      </c>
      <c r="P227" s="255" t="s">
        <v>43</v>
      </c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</row>
    <row r="228" spans="1:36" x14ac:dyDescent="0.3">
      <c r="A228" s="253" t="s">
        <v>331</v>
      </c>
      <c r="B228" s="254">
        <v>46063</v>
      </c>
      <c r="C228" s="255" t="s">
        <v>35</v>
      </c>
      <c r="D228" s="256" t="s">
        <v>339</v>
      </c>
      <c r="E228" s="255" t="s">
        <v>1</v>
      </c>
      <c r="F228" s="255" t="s">
        <v>302</v>
      </c>
      <c r="G228" s="257">
        <v>6.0000000000000001E-3</v>
      </c>
      <c r="H228" s="258">
        <v>168</v>
      </c>
      <c r="I228" s="258">
        <v>1</v>
      </c>
      <c r="J228" s="258">
        <v>0</v>
      </c>
      <c r="K228" s="255" t="s">
        <v>303</v>
      </c>
      <c r="L228" s="259" t="s">
        <v>129</v>
      </c>
      <c r="M228" s="258">
        <v>0</v>
      </c>
      <c r="N228" s="258">
        <v>0</v>
      </c>
      <c r="O228" s="258">
        <v>1</v>
      </c>
      <c r="P228" s="255" t="s">
        <v>43</v>
      </c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8" t="s">
        <v>114</v>
      </c>
      <c r="AE228" s="251"/>
      <c r="AF228" s="251"/>
      <c r="AG228" s="251"/>
      <c r="AH228" s="251"/>
      <c r="AI228" s="251"/>
      <c r="AJ228" s="251"/>
    </row>
    <row r="229" spans="1:36" x14ac:dyDescent="0.3">
      <c r="A229" s="253" t="s">
        <v>340</v>
      </c>
      <c r="B229" s="254">
        <v>46064</v>
      </c>
      <c r="C229" s="255" t="s">
        <v>35</v>
      </c>
      <c r="D229" s="256" t="s">
        <v>341</v>
      </c>
      <c r="E229" s="255" t="s">
        <v>1</v>
      </c>
      <c r="F229" s="255" t="s">
        <v>302</v>
      </c>
      <c r="G229" s="257">
        <v>6.0000000000000001E-3</v>
      </c>
      <c r="H229" s="258">
        <v>168</v>
      </c>
      <c r="I229" s="258">
        <v>1</v>
      </c>
      <c r="J229" s="258">
        <v>0</v>
      </c>
      <c r="K229" s="255" t="s">
        <v>303</v>
      </c>
      <c r="L229" s="259" t="s">
        <v>94</v>
      </c>
      <c r="M229" s="258">
        <v>0</v>
      </c>
      <c r="N229" s="258">
        <v>0</v>
      </c>
      <c r="O229" s="258">
        <v>1</v>
      </c>
      <c r="P229" s="255" t="s">
        <v>43</v>
      </c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8" t="s">
        <v>114</v>
      </c>
      <c r="AE229" s="251"/>
      <c r="AF229" s="251"/>
      <c r="AG229" s="251"/>
      <c r="AH229" s="251"/>
      <c r="AI229" s="251"/>
      <c r="AJ229" s="251"/>
    </row>
    <row r="230" spans="1:36" x14ac:dyDescent="0.3">
      <c r="A230" s="253" t="s">
        <v>340</v>
      </c>
      <c r="B230" s="254">
        <v>46064</v>
      </c>
      <c r="C230" s="255" t="s">
        <v>48</v>
      </c>
      <c r="D230" s="256" t="s">
        <v>342</v>
      </c>
      <c r="E230" s="255" t="s">
        <v>1</v>
      </c>
      <c r="F230" s="255" t="s">
        <v>302</v>
      </c>
      <c r="G230" s="257">
        <v>5.7000000000000002E-3</v>
      </c>
      <c r="H230" s="258">
        <v>174</v>
      </c>
      <c r="I230" s="258">
        <v>1</v>
      </c>
      <c r="J230" s="258">
        <v>0</v>
      </c>
      <c r="K230" s="255" t="s">
        <v>303</v>
      </c>
      <c r="L230" s="259" t="s">
        <v>97</v>
      </c>
      <c r="M230" s="258">
        <v>0</v>
      </c>
      <c r="N230" s="258">
        <v>0</v>
      </c>
      <c r="O230" s="258">
        <v>1</v>
      </c>
      <c r="P230" s="255" t="s">
        <v>43</v>
      </c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8" t="s">
        <v>42</v>
      </c>
      <c r="AG230" s="251"/>
      <c r="AH230" s="251"/>
      <c r="AI230" s="251"/>
      <c r="AJ230" s="251"/>
    </row>
    <row r="231" spans="1:36" x14ac:dyDescent="0.3">
      <c r="A231" s="253" t="s">
        <v>340</v>
      </c>
      <c r="B231" s="254">
        <v>46064</v>
      </c>
      <c r="C231" s="255" t="s">
        <v>38</v>
      </c>
      <c r="D231" s="256" t="s">
        <v>307</v>
      </c>
      <c r="E231" s="255" t="s">
        <v>1</v>
      </c>
      <c r="F231" s="255" t="s">
        <v>302</v>
      </c>
      <c r="G231" s="257">
        <v>5.3600000000000002E-2</v>
      </c>
      <c r="H231" s="258">
        <v>168</v>
      </c>
      <c r="I231" s="258">
        <v>9</v>
      </c>
      <c r="J231" s="258">
        <v>0</v>
      </c>
      <c r="K231" s="255" t="s">
        <v>303</v>
      </c>
      <c r="L231" s="259" t="s">
        <v>91</v>
      </c>
      <c r="M231" s="258">
        <v>0</v>
      </c>
      <c r="N231" s="258">
        <v>0</v>
      </c>
      <c r="O231" s="258">
        <v>10</v>
      </c>
      <c r="P231" s="255" t="s">
        <v>43</v>
      </c>
      <c r="Q231" s="251"/>
      <c r="R231" s="251"/>
      <c r="S231" s="251"/>
      <c r="T231" s="251"/>
      <c r="U231" s="251"/>
      <c r="V231" s="251"/>
      <c r="W231" s="251"/>
      <c r="X231" s="251"/>
      <c r="Y231" s="251"/>
      <c r="Z231" s="258" t="s">
        <v>208</v>
      </c>
      <c r="AA231" s="251"/>
      <c r="AB231" s="251"/>
      <c r="AC231" s="251"/>
      <c r="AD231" s="258" t="s">
        <v>95</v>
      </c>
      <c r="AE231" s="251"/>
      <c r="AF231" s="258" t="s">
        <v>42</v>
      </c>
      <c r="AG231" s="251"/>
      <c r="AH231" s="251"/>
      <c r="AI231" s="251"/>
      <c r="AJ231" s="251"/>
    </row>
    <row r="232" spans="1:36" x14ac:dyDescent="0.3">
      <c r="A232" s="253" t="s">
        <v>344</v>
      </c>
      <c r="B232" s="254">
        <v>46065</v>
      </c>
      <c r="C232" s="255" t="s">
        <v>29</v>
      </c>
      <c r="D232" s="256" t="s">
        <v>345</v>
      </c>
      <c r="E232" s="255" t="s">
        <v>1</v>
      </c>
      <c r="F232" s="255" t="s">
        <v>302</v>
      </c>
      <c r="G232" s="257">
        <v>6.0000000000000001E-3</v>
      </c>
      <c r="H232" s="258">
        <v>168</v>
      </c>
      <c r="I232" s="258">
        <v>1</v>
      </c>
      <c r="J232" s="258">
        <v>0</v>
      </c>
      <c r="K232" s="255" t="s">
        <v>303</v>
      </c>
      <c r="L232" s="259" t="s">
        <v>94</v>
      </c>
      <c r="M232" s="258">
        <v>0</v>
      </c>
      <c r="N232" s="258">
        <v>0</v>
      </c>
      <c r="O232" s="258">
        <v>1</v>
      </c>
      <c r="P232" s="255" t="s">
        <v>43</v>
      </c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8" t="s">
        <v>42</v>
      </c>
      <c r="AG232" s="251"/>
      <c r="AH232" s="251"/>
      <c r="AI232" s="251"/>
      <c r="AJ232" s="251"/>
    </row>
    <row r="233" spans="1:36" x14ac:dyDescent="0.3">
      <c r="A233" s="253" t="s">
        <v>344</v>
      </c>
      <c r="B233" s="254">
        <v>46065</v>
      </c>
      <c r="C233" s="255" t="s">
        <v>44</v>
      </c>
      <c r="D233" s="256" t="s">
        <v>301</v>
      </c>
      <c r="E233" s="255" t="s">
        <v>1</v>
      </c>
      <c r="F233" s="255" t="s">
        <v>302</v>
      </c>
      <c r="G233" s="257">
        <v>0</v>
      </c>
      <c r="H233" s="258">
        <v>168</v>
      </c>
      <c r="I233" s="258">
        <v>0</v>
      </c>
      <c r="J233" s="258">
        <v>0</v>
      </c>
      <c r="K233" s="255" t="s">
        <v>303</v>
      </c>
      <c r="L233" s="259" t="s">
        <v>109</v>
      </c>
      <c r="M233" s="258">
        <v>0</v>
      </c>
      <c r="N233" s="258">
        <v>0</v>
      </c>
      <c r="O233" s="258">
        <v>0</v>
      </c>
      <c r="P233" s="255" t="s">
        <v>43</v>
      </c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</row>
    <row r="234" spans="1:36" x14ac:dyDescent="0.3">
      <c r="A234" s="253" t="s">
        <v>344</v>
      </c>
      <c r="B234" s="254">
        <v>46065</v>
      </c>
      <c r="C234" s="255" t="s">
        <v>51</v>
      </c>
      <c r="D234" s="256" t="s">
        <v>346</v>
      </c>
      <c r="E234" s="255" t="s">
        <v>1</v>
      </c>
      <c r="F234" s="255" t="s">
        <v>302</v>
      </c>
      <c r="G234" s="257">
        <v>0</v>
      </c>
      <c r="H234" s="258">
        <v>168</v>
      </c>
      <c r="I234" s="258">
        <v>0</v>
      </c>
      <c r="J234" s="258">
        <v>0</v>
      </c>
      <c r="K234" s="255" t="s">
        <v>303</v>
      </c>
      <c r="L234" s="259" t="s">
        <v>109</v>
      </c>
      <c r="M234" s="258">
        <v>0</v>
      </c>
      <c r="N234" s="258">
        <v>0</v>
      </c>
      <c r="O234" s="258">
        <v>0</v>
      </c>
      <c r="P234" s="255" t="s">
        <v>43</v>
      </c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</row>
    <row r="235" spans="1:36" x14ac:dyDescent="0.3">
      <c r="A235" s="253" t="s">
        <v>344</v>
      </c>
      <c r="B235" s="254">
        <v>46065</v>
      </c>
      <c r="C235" s="255" t="s">
        <v>35</v>
      </c>
      <c r="D235" s="256" t="s">
        <v>314</v>
      </c>
      <c r="E235" s="255" t="s">
        <v>1</v>
      </c>
      <c r="F235" s="255" t="s">
        <v>302</v>
      </c>
      <c r="G235" s="257">
        <v>0</v>
      </c>
      <c r="H235" s="258">
        <v>168</v>
      </c>
      <c r="I235" s="258">
        <v>0</v>
      </c>
      <c r="J235" s="258">
        <v>0</v>
      </c>
      <c r="K235" s="255" t="s">
        <v>303</v>
      </c>
      <c r="L235" s="259" t="s">
        <v>109</v>
      </c>
      <c r="M235" s="258">
        <v>0</v>
      </c>
      <c r="N235" s="258">
        <v>0</v>
      </c>
      <c r="O235" s="258">
        <v>0</v>
      </c>
      <c r="P235" s="255" t="s">
        <v>43</v>
      </c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</row>
    <row r="236" spans="1:36" x14ac:dyDescent="0.3">
      <c r="A236" s="253" t="s">
        <v>344</v>
      </c>
      <c r="B236" s="254">
        <v>46065</v>
      </c>
      <c r="C236" s="255" t="s">
        <v>101</v>
      </c>
      <c r="D236" s="256" t="s">
        <v>347</v>
      </c>
      <c r="E236" s="255" t="s">
        <v>1</v>
      </c>
      <c r="F236" s="255" t="s">
        <v>302</v>
      </c>
      <c r="G236" s="257">
        <v>0</v>
      </c>
      <c r="H236" s="258">
        <v>168</v>
      </c>
      <c r="I236" s="258">
        <v>0</v>
      </c>
      <c r="J236" s="258">
        <v>0</v>
      </c>
      <c r="K236" s="255" t="s">
        <v>303</v>
      </c>
      <c r="L236" s="259" t="s">
        <v>109</v>
      </c>
      <c r="M236" s="258">
        <v>0</v>
      </c>
      <c r="N236" s="258">
        <v>0</v>
      </c>
      <c r="O236" s="258">
        <v>0</v>
      </c>
      <c r="P236" s="255" t="s">
        <v>43</v>
      </c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</row>
    <row r="237" spans="1:36" x14ac:dyDescent="0.3">
      <c r="A237" s="253" t="s">
        <v>344</v>
      </c>
      <c r="B237" s="254">
        <v>46065</v>
      </c>
      <c r="C237" s="255" t="s">
        <v>38</v>
      </c>
      <c r="D237" s="256" t="s">
        <v>348</v>
      </c>
      <c r="E237" s="255" t="s">
        <v>1</v>
      </c>
      <c r="F237" s="255" t="s">
        <v>302</v>
      </c>
      <c r="G237" s="257">
        <v>0</v>
      </c>
      <c r="H237" s="258">
        <v>168</v>
      </c>
      <c r="I237" s="258">
        <v>0</v>
      </c>
      <c r="J237" s="258">
        <v>0</v>
      </c>
      <c r="K237" s="255" t="s">
        <v>303</v>
      </c>
      <c r="L237" s="259" t="s">
        <v>109</v>
      </c>
      <c r="M237" s="258">
        <v>0</v>
      </c>
      <c r="N237" s="258">
        <v>0</v>
      </c>
      <c r="O237" s="258">
        <v>0</v>
      </c>
      <c r="P237" s="255" t="s">
        <v>43</v>
      </c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</row>
    <row r="238" spans="1:36" x14ac:dyDescent="0.3">
      <c r="A238" s="253" t="s">
        <v>344</v>
      </c>
      <c r="B238" s="254">
        <v>46065</v>
      </c>
      <c r="C238" s="255" t="s">
        <v>40</v>
      </c>
      <c r="D238" s="256" t="s">
        <v>350</v>
      </c>
      <c r="E238" s="255" t="s">
        <v>1</v>
      </c>
      <c r="F238" s="255" t="s">
        <v>302</v>
      </c>
      <c r="G238" s="257">
        <v>6.5500000000000003E-2</v>
      </c>
      <c r="H238" s="258">
        <v>168</v>
      </c>
      <c r="I238" s="258">
        <v>11</v>
      </c>
      <c r="J238" s="258">
        <v>0</v>
      </c>
      <c r="K238" s="255" t="s">
        <v>303</v>
      </c>
      <c r="L238" s="259" t="s">
        <v>110</v>
      </c>
      <c r="M238" s="258">
        <v>0</v>
      </c>
      <c r="N238" s="258">
        <v>0</v>
      </c>
      <c r="O238" s="258">
        <v>11</v>
      </c>
      <c r="P238" s="255" t="s">
        <v>43</v>
      </c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8" t="s">
        <v>73</v>
      </c>
      <c r="AF238" s="258" t="s">
        <v>37</v>
      </c>
      <c r="AG238" s="251"/>
      <c r="AH238" s="251"/>
      <c r="AI238" s="251"/>
      <c r="AJ238" s="251"/>
    </row>
    <row r="239" spans="1:36" x14ac:dyDescent="0.3">
      <c r="A239" s="253" t="s">
        <v>300</v>
      </c>
      <c r="B239" s="254">
        <v>46066</v>
      </c>
      <c r="C239" s="255" t="s">
        <v>29</v>
      </c>
      <c r="D239" s="256" t="s">
        <v>301</v>
      </c>
      <c r="E239" s="255" t="s">
        <v>1</v>
      </c>
      <c r="F239" s="255" t="s">
        <v>302</v>
      </c>
      <c r="G239" s="257">
        <v>2.98E-2</v>
      </c>
      <c r="H239" s="258">
        <v>168</v>
      </c>
      <c r="I239" s="258">
        <v>5</v>
      </c>
      <c r="J239" s="258">
        <v>0</v>
      </c>
      <c r="K239" s="255" t="s">
        <v>303</v>
      </c>
      <c r="L239" s="259" t="s">
        <v>110</v>
      </c>
      <c r="M239" s="258">
        <v>0</v>
      </c>
      <c r="N239" s="258">
        <v>0</v>
      </c>
      <c r="O239" s="258">
        <v>5</v>
      </c>
      <c r="P239" s="255" t="s">
        <v>43</v>
      </c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8" t="s">
        <v>227</v>
      </c>
      <c r="AG239" s="251"/>
      <c r="AH239" s="251"/>
      <c r="AI239" s="251"/>
      <c r="AJ239" s="251"/>
    </row>
    <row r="240" spans="1:36" x14ac:dyDescent="0.3">
      <c r="A240" s="253" t="s">
        <v>300</v>
      </c>
      <c r="B240" s="254">
        <v>46066</v>
      </c>
      <c r="C240" s="255" t="s">
        <v>35</v>
      </c>
      <c r="D240" s="256" t="s">
        <v>305</v>
      </c>
      <c r="E240" s="255" t="s">
        <v>1</v>
      </c>
      <c r="F240" s="255" t="s">
        <v>302</v>
      </c>
      <c r="G240" s="257">
        <v>6.0000000000000001E-3</v>
      </c>
      <c r="H240" s="258">
        <v>168</v>
      </c>
      <c r="I240" s="258">
        <v>1</v>
      </c>
      <c r="J240" s="258">
        <v>0</v>
      </c>
      <c r="K240" s="255" t="s">
        <v>303</v>
      </c>
      <c r="L240" s="259" t="s">
        <v>245</v>
      </c>
      <c r="M240" s="258">
        <v>0</v>
      </c>
      <c r="N240" s="258">
        <v>0</v>
      </c>
      <c r="O240" s="258">
        <v>1</v>
      </c>
      <c r="P240" s="255" t="s">
        <v>43</v>
      </c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8" t="s">
        <v>42</v>
      </c>
      <c r="AG240" s="251"/>
      <c r="AH240" s="251"/>
      <c r="AI240" s="251"/>
      <c r="AJ240" s="251"/>
    </row>
    <row r="241" spans="1:36" x14ac:dyDescent="0.3">
      <c r="A241" s="253" t="s">
        <v>300</v>
      </c>
      <c r="B241" s="254">
        <v>46066</v>
      </c>
      <c r="C241" s="255" t="s">
        <v>38</v>
      </c>
      <c r="D241" s="256" t="s">
        <v>306</v>
      </c>
      <c r="E241" s="255" t="s">
        <v>1</v>
      </c>
      <c r="F241" s="255" t="s">
        <v>302</v>
      </c>
      <c r="G241" s="257">
        <v>3.5700000000000003E-2</v>
      </c>
      <c r="H241" s="258">
        <v>168</v>
      </c>
      <c r="I241" s="258">
        <v>6</v>
      </c>
      <c r="J241" s="258">
        <v>0</v>
      </c>
      <c r="K241" s="255" t="s">
        <v>303</v>
      </c>
      <c r="L241" s="259" t="s">
        <v>106</v>
      </c>
      <c r="M241" s="258">
        <v>0</v>
      </c>
      <c r="N241" s="258">
        <v>0</v>
      </c>
      <c r="O241" s="258">
        <v>6</v>
      </c>
      <c r="P241" s="255" t="s">
        <v>43</v>
      </c>
      <c r="Q241" s="251"/>
      <c r="R241" s="251"/>
      <c r="S241" s="251"/>
      <c r="T241" s="251"/>
      <c r="U241" s="251"/>
      <c r="V241" s="251"/>
      <c r="W241" s="251"/>
      <c r="X241" s="251"/>
      <c r="Y241" s="251"/>
      <c r="Z241" s="258" t="s">
        <v>152</v>
      </c>
      <c r="AA241" s="251"/>
      <c r="AB241" s="251"/>
      <c r="AC241" s="251"/>
      <c r="AD241" s="251"/>
      <c r="AE241" s="251"/>
      <c r="AF241" s="258" t="s">
        <v>230</v>
      </c>
      <c r="AG241" s="251"/>
      <c r="AH241" s="251"/>
      <c r="AI241" s="251"/>
      <c r="AJ241" s="251"/>
    </row>
    <row r="242" spans="1:36" x14ac:dyDescent="0.3">
      <c r="A242" s="253" t="s">
        <v>300</v>
      </c>
      <c r="B242" s="254">
        <v>46066</v>
      </c>
      <c r="C242" s="255" t="s">
        <v>40</v>
      </c>
      <c r="D242" s="256" t="s">
        <v>307</v>
      </c>
      <c r="E242" s="255" t="s">
        <v>1</v>
      </c>
      <c r="F242" s="255" t="s">
        <v>302</v>
      </c>
      <c r="G242" s="257">
        <v>4.7600000000000003E-2</v>
      </c>
      <c r="H242" s="258">
        <v>168</v>
      </c>
      <c r="I242" s="258">
        <v>8</v>
      </c>
      <c r="J242" s="258">
        <v>0</v>
      </c>
      <c r="K242" s="255" t="s">
        <v>303</v>
      </c>
      <c r="L242" s="259" t="s">
        <v>91</v>
      </c>
      <c r="M242" s="258">
        <v>0</v>
      </c>
      <c r="N242" s="258">
        <v>0</v>
      </c>
      <c r="O242" s="258">
        <v>8</v>
      </c>
      <c r="P242" s="255" t="s">
        <v>43</v>
      </c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8" t="s">
        <v>247</v>
      </c>
      <c r="AG242" s="251"/>
      <c r="AH242" s="251"/>
      <c r="AI242" s="251"/>
      <c r="AJ242" s="251"/>
    </row>
    <row r="243" spans="1:36" x14ac:dyDescent="0.3">
      <c r="A243" s="253" t="s">
        <v>300</v>
      </c>
      <c r="B243" s="254">
        <v>46066</v>
      </c>
      <c r="C243" s="255" t="s">
        <v>44</v>
      </c>
      <c r="D243" s="256" t="s">
        <v>308</v>
      </c>
      <c r="E243" s="255" t="s">
        <v>1</v>
      </c>
      <c r="F243" s="255" t="s">
        <v>302</v>
      </c>
      <c r="G243" s="257">
        <v>8.3299999999999999E-2</v>
      </c>
      <c r="H243" s="258">
        <v>168</v>
      </c>
      <c r="I243" s="258">
        <v>14</v>
      </c>
      <c r="J243" s="258">
        <v>0</v>
      </c>
      <c r="K243" s="255" t="s">
        <v>303</v>
      </c>
      <c r="L243" s="259" t="s">
        <v>97</v>
      </c>
      <c r="M243" s="258">
        <v>0</v>
      </c>
      <c r="N243" s="258">
        <v>0</v>
      </c>
      <c r="O243" s="258">
        <v>14</v>
      </c>
      <c r="P243" s="255" t="s">
        <v>43</v>
      </c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8" t="s">
        <v>248</v>
      </c>
      <c r="AG243" s="251"/>
      <c r="AH243" s="251"/>
      <c r="AI243" s="251"/>
      <c r="AJ243" s="251"/>
    </row>
    <row r="244" spans="1:36" x14ac:dyDescent="0.3">
      <c r="A244" s="253" t="s">
        <v>300</v>
      </c>
      <c r="B244" s="254">
        <v>46066</v>
      </c>
      <c r="C244" s="255" t="s">
        <v>48</v>
      </c>
      <c r="D244" s="256" t="s">
        <v>310</v>
      </c>
      <c r="E244" s="255" t="s">
        <v>1</v>
      </c>
      <c r="F244" s="255" t="s">
        <v>302</v>
      </c>
      <c r="G244" s="257">
        <v>1.7899999999999999E-2</v>
      </c>
      <c r="H244" s="258">
        <v>168</v>
      </c>
      <c r="I244" s="258">
        <v>3</v>
      </c>
      <c r="J244" s="258">
        <v>0</v>
      </c>
      <c r="K244" s="255" t="s">
        <v>303</v>
      </c>
      <c r="L244" s="259" t="s">
        <v>97</v>
      </c>
      <c r="M244" s="258">
        <v>0</v>
      </c>
      <c r="N244" s="258">
        <v>0</v>
      </c>
      <c r="O244" s="258">
        <v>3</v>
      </c>
      <c r="P244" s="255" t="s">
        <v>43</v>
      </c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8" t="s">
        <v>224</v>
      </c>
      <c r="AG244" s="251"/>
      <c r="AH244" s="251"/>
      <c r="AI244" s="251"/>
      <c r="AJ244" s="251"/>
    </row>
    <row r="245" spans="1:36" x14ac:dyDescent="0.3">
      <c r="A245" s="253" t="s">
        <v>312</v>
      </c>
      <c r="B245" s="254">
        <v>46067</v>
      </c>
      <c r="C245" s="255" t="s">
        <v>51</v>
      </c>
      <c r="D245" s="256" t="s">
        <v>313</v>
      </c>
      <c r="E245" s="255" t="s">
        <v>1</v>
      </c>
      <c r="F245" s="255" t="s">
        <v>302</v>
      </c>
      <c r="G245" s="257">
        <v>2.87E-2</v>
      </c>
      <c r="H245" s="258">
        <v>174</v>
      </c>
      <c r="I245" s="258">
        <v>5</v>
      </c>
      <c r="J245" s="258">
        <v>0</v>
      </c>
      <c r="K245" s="255" t="s">
        <v>303</v>
      </c>
      <c r="L245" s="259" t="s">
        <v>129</v>
      </c>
      <c r="M245" s="258">
        <v>0</v>
      </c>
      <c r="N245" s="258">
        <v>0</v>
      </c>
      <c r="O245" s="258">
        <v>5</v>
      </c>
      <c r="P245" s="255" t="s">
        <v>43</v>
      </c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8" t="s">
        <v>227</v>
      </c>
      <c r="AG245" s="251"/>
      <c r="AH245" s="251"/>
      <c r="AI245" s="251"/>
      <c r="AJ245" s="251"/>
    </row>
    <row r="246" spans="1:36" x14ac:dyDescent="0.3">
      <c r="A246" s="253" t="s">
        <v>312</v>
      </c>
      <c r="B246" s="254">
        <v>46067</v>
      </c>
      <c r="C246" s="255" t="s">
        <v>35</v>
      </c>
      <c r="D246" s="256" t="s">
        <v>314</v>
      </c>
      <c r="E246" s="255" t="s">
        <v>1</v>
      </c>
      <c r="F246" s="255" t="s">
        <v>302</v>
      </c>
      <c r="G246" s="257">
        <v>3.5700000000000003E-2</v>
      </c>
      <c r="H246" s="258">
        <v>168</v>
      </c>
      <c r="I246" s="258">
        <v>6</v>
      </c>
      <c r="J246" s="258">
        <v>0</v>
      </c>
      <c r="K246" s="255" t="s">
        <v>303</v>
      </c>
      <c r="L246" s="259" t="s">
        <v>106</v>
      </c>
      <c r="M246" s="258">
        <v>0</v>
      </c>
      <c r="N246" s="258">
        <v>0</v>
      </c>
      <c r="O246" s="258">
        <v>7</v>
      </c>
      <c r="P246" s="255" t="s">
        <v>43</v>
      </c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8" t="s">
        <v>249</v>
      </c>
      <c r="AG246" s="251"/>
      <c r="AH246" s="251"/>
      <c r="AI246" s="251"/>
      <c r="AJ246" s="251"/>
    </row>
    <row r="247" spans="1:36" x14ac:dyDescent="0.3">
      <c r="A247" s="253" t="s">
        <v>312</v>
      </c>
      <c r="B247" s="254">
        <v>46067</v>
      </c>
      <c r="C247" s="255" t="s">
        <v>38</v>
      </c>
      <c r="D247" s="256" t="s">
        <v>316</v>
      </c>
      <c r="E247" s="255" t="s">
        <v>1</v>
      </c>
      <c r="F247" s="255" t="s">
        <v>302</v>
      </c>
      <c r="G247" s="257">
        <v>1.7899999999999999E-2</v>
      </c>
      <c r="H247" s="258">
        <v>168</v>
      </c>
      <c r="I247" s="258">
        <v>3</v>
      </c>
      <c r="J247" s="258">
        <v>0</v>
      </c>
      <c r="K247" s="255" t="s">
        <v>303</v>
      </c>
      <c r="L247" s="259" t="s">
        <v>113</v>
      </c>
      <c r="M247" s="258">
        <v>0</v>
      </c>
      <c r="N247" s="258">
        <v>0</v>
      </c>
      <c r="O247" s="258">
        <v>3</v>
      </c>
      <c r="P247" s="255" t="s">
        <v>43</v>
      </c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8" t="s">
        <v>114</v>
      </c>
      <c r="AE247" s="251"/>
      <c r="AF247" s="258" t="s">
        <v>66</v>
      </c>
      <c r="AG247" s="251"/>
      <c r="AH247" s="251"/>
      <c r="AI247" s="251"/>
      <c r="AJ247" s="251"/>
    </row>
    <row r="248" spans="1:36" x14ac:dyDescent="0.3">
      <c r="A248" s="253" t="s">
        <v>317</v>
      </c>
      <c r="B248" s="254">
        <v>46068</v>
      </c>
      <c r="C248" s="255" t="s">
        <v>29</v>
      </c>
      <c r="D248" s="256" t="s">
        <v>318</v>
      </c>
      <c r="E248" s="255" t="s">
        <v>1</v>
      </c>
      <c r="F248" s="255" t="s">
        <v>302</v>
      </c>
      <c r="G248" s="257">
        <v>0.14879999999999999</v>
      </c>
      <c r="H248" s="258">
        <v>168</v>
      </c>
      <c r="I248" s="258">
        <v>25</v>
      </c>
      <c r="J248" s="258">
        <v>25</v>
      </c>
      <c r="K248" s="255" t="s">
        <v>303</v>
      </c>
      <c r="L248" s="259" t="s">
        <v>251</v>
      </c>
      <c r="M248" s="258">
        <v>0</v>
      </c>
      <c r="N248" s="258">
        <v>0</v>
      </c>
      <c r="O248" s="258">
        <v>1</v>
      </c>
      <c r="P248" s="255" t="s">
        <v>43</v>
      </c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8" t="s">
        <v>252</v>
      </c>
      <c r="AH248" s="251"/>
      <c r="AI248" s="251"/>
      <c r="AJ248" s="251"/>
    </row>
    <row r="249" spans="1:36" x14ac:dyDescent="0.3">
      <c r="A249" s="253" t="s">
        <v>317</v>
      </c>
      <c r="B249" s="254">
        <v>46068</v>
      </c>
      <c r="C249" s="255" t="s">
        <v>35</v>
      </c>
      <c r="D249" s="256" t="s">
        <v>305</v>
      </c>
      <c r="E249" s="255" t="s">
        <v>1</v>
      </c>
      <c r="F249" s="255" t="s">
        <v>302</v>
      </c>
      <c r="G249" s="257">
        <v>3.5700000000000003E-2</v>
      </c>
      <c r="H249" s="258">
        <v>168</v>
      </c>
      <c r="I249" s="258">
        <v>6</v>
      </c>
      <c r="J249" s="258">
        <v>0</v>
      </c>
      <c r="K249" s="255" t="s">
        <v>303</v>
      </c>
      <c r="L249" s="259" t="s">
        <v>94</v>
      </c>
      <c r="M249" s="258">
        <v>0</v>
      </c>
      <c r="N249" s="258">
        <v>0</v>
      </c>
      <c r="O249" s="258">
        <v>6</v>
      </c>
      <c r="P249" s="255" t="s">
        <v>43</v>
      </c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8" t="s">
        <v>186</v>
      </c>
      <c r="AE249" s="251"/>
      <c r="AF249" s="258" t="s">
        <v>42</v>
      </c>
      <c r="AG249" s="251"/>
      <c r="AH249" s="251"/>
      <c r="AI249" s="251"/>
      <c r="AJ249" s="251"/>
    </row>
    <row r="250" spans="1:36" x14ac:dyDescent="0.3">
      <c r="A250" s="253" t="s">
        <v>317</v>
      </c>
      <c r="B250" s="254">
        <v>46068</v>
      </c>
      <c r="C250" s="255" t="s">
        <v>101</v>
      </c>
      <c r="D250" s="256" t="s">
        <v>314</v>
      </c>
      <c r="E250" s="255" t="s">
        <v>1</v>
      </c>
      <c r="F250" s="255" t="s">
        <v>302</v>
      </c>
      <c r="G250" s="257">
        <v>0</v>
      </c>
      <c r="H250" s="258">
        <v>168</v>
      </c>
      <c r="I250" s="258">
        <v>0</v>
      </c>
      <c r="J250" s="258">
        <v>0</v>
      </c>
      <c r="K250" s="255" t="s">
        <v>303</v>
      </c>
      <c r="L250" s="259" t="s">
        <v>109</v>
      </c>
      <c r="M250" s="258">
        <v>0</v>
      </c>
      <c r="N250" s="258">
        <v>0</v>
      </c>
      <c r="O250" s="258">
        <v>0</v>
      </c>
      <c r="P250" s="255" t="s">
        <v>43</v>
      </c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</row>
    <row r="251" spans="1:36" x14ac:dyDescent="0.3">
      <c r="A251" s="253" t="s">
        <v>317</v>
      </c>
      <c r="B251" s="254">
        <v>46068</v>
      </c>
      <c r="C251" s="255" t="s">
        <v>48</v>
      </c>
      <c r="D251" s="256" t="s">
        <v>321</v>
      </c>
      <c r="E251" s="255" t="s">
        <v>1</v>
      </c>
      <c r="F251" s="255" t="s">
        <v>302</v>
      </c>
      <c r="G251" s="257">
        <v>0</v>
      </c>
      <c r="H251" s="258">
        <v>168</v>
      </c>
      <c r="I251" s="258">
        <v>0</v>
      </c>
      <c r="J251" s="258">
        <v>0</v>
      </c>
      <c r="K251" s="255" t="s">
        <v>303</v>
      </c>
      <c r="L251" s="259" t="s">
        <v>109</v>
      </c>
      <c r="M251" s="258">
        <v>0</v>
      </c>
      <c r="N251" s="258">
        <v>0</v>
      </c>
      <c r="O251" s="258">
        <v>0</v>
      </c>
      <c r="P251" s="255" t="s">
        <v>43</v>
      </c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</row>
    <row r="252" spans="1:36" x14ac:dyDescent="0.3">
      <c r="A252" s="253" t="s">
        <v>317</v>
      </c>
      <c r="B252" s="254">
        <v>46068</v>
      </c>
      <c r="C252" s="255" t="s">
        <v>38</v>
      </c>
      <c r="D252" s="256" t="s">
        <v>322</v>
      </c>
      <c r="E252" s="255" t="s">
        <v>1</v>
      </c>
      <c r="F252" s="255" t="s">
        <v>302</v>
      </c>
      <c r="G252" s="257">
        <v>6.0000000000000001E-3</v>
      </c>
      <c r="H252" s="258">
        <v>168</v>
      </c>
      <c r="I252" s="258">
        <v>1</v>
      </c>
      <c r="J252" s="258">
        <v>0</v>
      </c>
      <c r="K252" s="255" t="s">
        <v>303</v>
      </c>
      <c r="L252" s="259" t="s">
        <v>97</v>
      </c>
      <c r="M252" s="258">
        <v>0</v>
      </c>
      <c r="N252" s="258">
        <v>0</v>
      </c>
      <c r="O252" s="258">
        <v>1</v>
      </c>
      <c r="P252" s="255" t="s">
        <v>43</v>
      </c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8" t="s">
        <v>114</v>
      </c>
      <c r="AE252" s="251"/>
      <c r="AF252" s="251"/>
      <c r="AG252" s="251"/>
      <c r="AH252" s="251"/>
      <c r="AI252" s="251"/>
      <c r="AJ252" s="251"/>
    </row>
    <row r="253" spans="1:36" x14ac:dyDescent="0.3">
      <c r="A253" s="253" t="s">
        <v>323</v>
      </c>
      <c r="B253" s="254">
        <v>46069</v>
      </c>
      <c r="C253" s="255" t="s">
        <v>40</v>
      </c>
      <c r="D253" s="256" t="s">
        <v>324</v>
      </c>
      <c r="E253" s="255" t="s">
        <v>1</v>
      </c>
      <c r="F253" s="255" t="s">
        <v>302</v>
      </c>
      <c r="G253" s="257">
        <v>0</v>
      </c>
      <c r="H253" s="258">
        <v>168</v>
      </c>
      <c r="I253" s="258">
        <v>0</v>
      </c>
      <c r="J253" s="258">
        <v>0</v>
      </c>
      <c r="K253" s="255" t="s">
        <v>303</v>
      </c>
      <c r="L253" s="259" t="s">
        <v>109</v>
      </c>
      <c r="M253" s="258">
        <v>0</v>
      </c>
      <c r="N253" s="258">
        <v>0</v>
      </c>
      <c r="O253" s="258">
        <v>0</v>
      </c>
      <c r="P253" s="255" t="s">
        <v>43</v>
      </c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</row>
    <row r="254" spans="1:36" x14ac:dyDescent="0.3">
      <c r="A254" s="253" t="s">
        <v>323</v>
      </c>
      <c r="B254" s="254">
        <v>46069</v>
      </c>
      <c r="C254" s="255" t="s">
        <v>35</v>
      </c>
      <c r="D254" s="256" t="s">
        <v>325</v>
      </c>
      <c r="E254" s="255" t="s">
        <v>1</v>
      </c>
      <c r="F254" s="255" t="s">
        <v>302</v>
      </c>
      <c r="G254" s="257">
        <v>0</v>
      </c>
      <c r="H254" s="258">
        <v>168</v>
      </c>
      <c r="I254" s="258">
        <v>0</v>
      </c>
      <c r="J254" s="258">
        <v>0</v>
      </c>
      <c r="K254" s="255" t="s">
        <v>303</v>
      </c>
      <c r="L254" s="259" t="s">
        <v>109</v>
      </c>
      <c r="M254" s="258">
        <v>0</v>
      </c>
      <c r="N254" s="258">
        <v>0</v>
      </c>
      <c r="O254" s="258">
        <v>0</v>
      </c>
      <c r="P254" s="255" t="s">
        <v>43</v>
      </c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</row>
    <row r="255" spans="1:36" x14ac:dyDescent="0.3">
      <c r="A255" s="253" t="s">
        <v>323</v>
      </c>
      <c r="B255" s="254">
        <v>46069</v>
      </c>
      <c r="C255" s="255" t="s">
        <v>38</v>
      </c>
      <c r="D255" s="256" t="s">
        <v>307</v>
      </c>
      <c r="E255" s="255" t="s">
        <v>1</v>
      </c>
      <c r="F255" s="255" t="s">
        <v>302</v>
      </c>
      <c r="G255" s="257">
        <v>3.5700000000000003E-2</v>
      </c>
      <c r="H255" s="258">
        <v>168</v>
      </c>
      <c r="I255" s="258">
        <v>6</v>
      </c>
      <c r="J255" s="258">
        <v>0</v>
      </c>
      <c r="K255" s="255" t="s">
        <v>303</v>
      </c>
      <c r="L255" s="259" t="s">
        <v>94</v>
      </c>
      <c r="M255" s="258">
        <v>0</v>
      </c>
      <c r="N255" s="258">
        <v>0</v>
      </c>
      <c r="O255" s="258">
        <v>6</v>
      </c>
      <c r="P255" s="255" t="s">
        <v>43</v>
      </c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8" t="s">
        <v>114</v>
      </c>
      <c r="AE255" s="251"/>
      <c r="AF255" s="258" t="s">
        <v>227</v>
      </c>
      <c r="AG255" s="251"/>
      <c r="AH255" s="251"/>
      <c r="AI255" s="251"/>
      <c r="AJ255" s="251"/>
    </row>
    <row r="256" spans="1:36" x14ac:dyDescent="0.3">
      <c r="A256" s="253" t="s">
        <v>323</v>
      </c>
      <c r="B256" s="254">
        <v>46069</v>
      </c>
      <c r="C256" s="255" t="s">
        <v>48</v>
      </c>
      <c r="D256" s="256" t="s">
        <v>328</v>
      </c>
      <c r="E256" s="255" t="s">
        <v>1</v>
      </c>
      <c r="F256" s="255" t="s">
        <v>302</v>
      </c>
      <c r="G256" s="257">
        <v>0</v>
      </c>
      <c r="H256" s="258">
        <v>168</v>
      </c>
      <c r="I256" s="258">
        <v>0</v>
      </c>
      <c r="J256" s="258">
        <v>0</v>
      </c>
      <c r="K256" s="255" t="s">
        <v>303</v>
      </c>
      <c r="L256" s="259" t="s">
        <v>109</v>
      </c>
      <c r="M256" s="258">
        <v>0</v>
      </c>
      <c r="N256" s="258">
        <v>0</v>
      </c>
      <c r="O256" s="258">
        <v>0</v>
      </c>
      <c r="P256" s="255" t="s">
        <v>43</v>
      </c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</row>
    <row r="257" spans="1:36" x14ac:dyDescent="0.3">
      <c r="A257" s="253" t="s">
        <v>331</v>
      </c>
      <c r="B257" s="254">
        <v>46070</v>
      </c>
      <c r="C257" s="255" t="s">
        <v>44</v>
      </c>
      <c r="D257" s="256" t="s">
        <v>332</v>
      </c>
      <c r="E257" s="255" t="s">
        <v>1</v>
      </c>
      <c r="F257" s="255" t="s">
        <v>302</v>
      </c>
      <c r="G257" s="257">
        <v>0</v>
      </c>
      <c r="H257" s="258">
        <v>168</v>
      </c>
      <c r="I257" s="258">
        <v>0</v>
      </c>
      <c r="J257" s="258">
        <v>0</v>
      </c>
      <c r="K257" s="255" t="s">
        <v>303</v>
      </c>
      <c r="L257" s="259" t="s">
        <v>109</v>
      </c>
      <c r="M257" s="258">
        <v>0</v>
      </c>
      <c r="N257" s="258">
        <v>0</v>
      </c>
      <c r="O257" s="258">
        <v>0</v>
      </c>
      <c r="P257" s="255" t="s">
        <v>43</v>
      </c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</row>
    <row r="258" spans="1:36" x14ac:dyDescent="0.3">
      <c r="A258" s="253" t="s">
        <v>331</v>
      </c>
      <c r="B258" s="254">
        <v>46070</v>
      </c>
      <c r="C258" s="255" t="s">
        <v>40</v>
      </c>
      <c r="D258" s="256" t="s">
        <v>335</v>
      </c>
      <c r="E258" s="255" t="s">
        <v>1</v>
      </c>
      <c r="F258" s="255" t="s">
        <v>302</v>
      </c>
      <c r="G258" s="257">
        <v>6.0000000000000001E-3</v>
      </c>
      <c r="H258" s="258">
        <v>168</v>
      </c>
      <c r="I258" s="258">
        <v>1</v>
      </c>
      <c r="J258" s="258">
        <v>0</v>
      </c>
      <c r="K258" s="255" t="s">
        <v>303</v>
      </c>
      <c r="L258" s="259" t="s">
        <v>183</v>
      </c>
      <c r="M258" s="258">
        <v>0</v>
      </c>
      <c r="N258" s="258">
        <v>0</v>
      </c>
      <c r="O258" s="258">
        <v>1</v>
      </c>
      <c r="P258" s="255" t="s">
        <v>43</v>
      </c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8" t="s">
        <v>114</v>
      </c>
      <c r="AE258" s="251"/>
      <c r="AF258" s="251"/>
      <c r="AG258" s="251"/>
      <c r="AH258" s="251"/>
      <c r="AI258" s="251"/>
      <c r="AJ258" s="251"/>
    </row>
    <row r="259" spans="1:36" x14ac:dyDescent="0.3">
      <c r="A259" s="253" t="s">
        <v>331</v>
      </c>
      <c r="B259" s="254">
        <v>46070</v>
      </c>
      <c r="C259" s="255" t="s">
        <v>38</v>
      </c>
      <c r="D259" s="256" t="s">
        <v>307</v>
      </c>
      <c r="E259" s="255" t="s">
        <v>1</v>
      </c>
      <c r="F259" s="255" t="s">
        <v>302</v>
      </c>
      <c r="G259" s="257">
        <v>2.98E-2</v>
      </c>
      <c r="H259" s="258">
        <v>168</v>
      </c>
      <c r="I259" s="258">
        <v>5</v>
      </c>
      <c r="J259" s="258">
        <v>0</v>
      </c>
      <c r="K259" s="255" t="s">
        <v>303</v>
      </c>
      <c r="L259" s="259" t="s">
        <v>97</v>
      </c>
      <c r="M259" s="258">
        <v>0</v>
      </c>
      <c r="N259" s="258">
        <v>0</v>
      </c>
      <c r="O259" s="258">
        <v>5</v>
      </c>
      <c r="P259" s="255" t="s">
        <v>43</v>
      </c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8" t="s">
        <v>127</v>
      </c>
      <c r="AE259" s="251"/>
      <c r="AF259" s="258" t="s">
        <v>66</v>
      </c>
      <c r="AG259" s="251"/>
      <c r="AH259" s="251"/>
      <c r="AI259" s="251"/>
      <c r="AJ259" s="251"/>
    </row>
    <row r="260" spans="1:36" x14ac:dyDescent="0.3">
      <c r="A260" s="253" t="s">
        <v>331</v>
      </c>
      <c r="B260" s="254">
        <v>46070</v>
      </c>
      <c r="C260" s="255" t="s">
        <v>48</v>
      </c>
      <c r="D260" s="256" t="s">
        <v>337</v>
      </c>
      <c r="E260" s="255" t="s">
        <v>1</v>
      </c>
      <c r="F260" s="255" t="s">
        <v>302</v>
      </c>
      <c r="G260" s="257">
        <v>6.0000000000000001E-3</v>
      </c>
      <c r="H260" s="258">
        <v>168</v>
      </c>
      <c r="I260" s="258">
        <v>1</v>
      </c>
      <c r="J260" s="258">
        <v>0</v>
      </c>
      <c r="K260" s="255" t="s">
        <v>303</v>
      </c>
      <c r="L260" s="259" t="s">
        <v>197</v>
      </c>
      <c r="M260" s="258">
        <v>0</v>
      </c>
      <c r="N260" s="258">
        <v>0</v>
      </c>
      <c r="O260" s="258">
        <v>1</v>
      </c>
      <c r="P260" s="255" t="s">
        <v>43</v>
      </c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8" t="s">
        <v>114</v>
      </c>
      <c r="AE260" s="251"/>
      <c r="AF260" s="251"/>
      <c r="AG260" s="251"/>
      <c r="AH260" s="251"/>
      <c r="AI260" s="251"/>
      <c r="AJ260" s="251"/>
    </row>
    <row r="261" spans="1:36" x14ac:dyDescent="0.3">
      <c r="A261" s="253" t="s">
        <v>331</v>
      </c>
      <c r="B261" s="254">
        <v>46070</v>
      </c>
      <c r="C261" s="255" t="s">
        <v>29</v>
      </c>
      <c r="D261" s="256" t="s">
        <v>338</v>
      </c>
      <c r="E261" s="255" t="s">
        <v>1</v>
      </c>
      <c r="F261" s="255" t="s">
        <v>302</v>
      </c>
      <c r="G261" s="257">
        <v>0</v>
      </c>
      <c r="H261" s="258">
        <v>168</v>
      </c>
      <c r="I261" s="258">
        <v>0</v>
      </c>
      <c r="J261" s="258">
        <v>0</v>
      </c>
      <c r="K261" s="255" t="s">
        <v>303</v>
      </c>
      <c r="L261" s="259" t="s">
        <v>109</v>
      </c>
      <c r="M261" s="258">
        <v>0</v>
      </c>
      <c r="N261" s="258">
        <v>0</v>
      </c>
      <c r="O261" s="258">
        <v>0</v>
      </c>
      <c r="P261" s="255" t="s">
        <v>43</v>
      </c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</row>
    <row r="262" spans="1:36" x14ac:dyDescent="0.3">
      <c r="A262" s="253" t="s">
        <v>331</v>
      </c>
      <c r="B262" s="254">
        <v>46070</v>
      </c>
      <c r="C262" s="255" t="s">
        <v>35</v>
      </c>
      <c r="D262" s="256" t="s">
        <v>339</v>
      </c>
      <c r="E262" s="255" t="s">
        <v>1</v>
      </c>
      <c r="F262" s="255" t="s">
        <v>302</v>
      </c>
      <c r="G262" s="257">
        <v>0</v>
      </c>
      <c r="H262" s="258">
        <v>168</v>
      </c>
      <c r="I262" s="258">
        <v>0</v>
      </c>
      <c r="J262" s="258">
        <v>0</v>
      </c>
      <c r="K262" s="255" t="s">
        <v>303</v>
      </c>
      <c r="L262" s="259" t="s">
        <v>109</v>
      </c>
      <c r="M262" s="258">
        <v>0</v>
      </c>
      <c r="N262" s="258">
        <v>0</v>
      </c>
      <c r="O262" s="258">
        <v>0</v>
      </c>
      <c r="P262" s="255" t="s">
        <v>43</v>
      </c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</row>
    <row r="263" spans="1:36" x14ac:dyDescent="0.3">
      <c r="A263" s="253" t="s">
        <v>340</v>
      </c>
      <c r="B263" s="254">
        <v>46071</v>
      </c>
      <c r="C263" s="255" t="s">
        <v>35</v>
      </c>
      <c r="D263" s="256" t="s">
        <v>341</v>
      </c>
      <c r="E263" s="255" t="s">
        <v>1</v>
      </c>
      <c r="F263" s="255" t="s">
        <v>302</v>
      </c>
      <c r="G263" s="257">
        <v>1.1900000000000001E-2</v>
      </c>
      <c r="H263" s="258">
        <v>168</v>
      </c>
      <c r="I263" s="258">
        <v>2</v>
      </c>
      <c r="J263" s="258">
        <v>0</v>
      </c>
      <c r="K263" s="255" t="s">
        <v>303</v>
      </c>
      <c r="L263" s="259" t="s">
        <v>197</v>
      </c>
      <c r="M263" s="258">
        <v>0</v>
      </c>
      <c r="N263" s="258">
        <v>0</v>
      </c>
      <c r="O263" s="258">
        <v>2</v>
      </c>
      <c r="P263" s="255" t="s">
        <v>43</v>
      </c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8" t="s">
        <v>89</v>
      </c>
      <c r="AE263" s="251"/>
      <c r="AF263" s="251"/>
      <c r="AG263" s="251"/>
      <c r="AH263" s="251"/>
      <c r="AI263" s="251"/>
      <c r="AJ263" s="251"/>
    </row>
    <row r="264" spans="1:36" x14ac:dyDescent="0.3">
      <c r="A264" s="253" t="s">
        <v>340</v>
      </c>
      <c r="B264" s="254">
        <v>46071</v>
      </c>
      <c r="C264" s="255" t="s">
        <v>48</v>
      </c>
      <c r="D264" s="256" t="s">
        <v>342</v>
      </c>
      <c r="E264" s="255" t="s">
        <v>1</v>
      </c>
      <c r="F264" s="255" t="s">
        <v>302</v>
      </c>
      <c r="G264" s="257">
        <v>6.0000000000000001E-3</v>
      </c>
      <c r="H264" s="258">
        <v>168</v>
      </c>
      <c r="I264" s="258">
        <v>1</v>
      </c>
      <c r="J264" s="258">
        <v>0</v>
      </c>
      <c r="K264" s="255" t="s">
        <v>303</v>
      </c>
      <c r="L264" s="259" t="s">
        <v>94</v>
      </c>
      <c r="M264" s="258">
        <v>0</v>
      </c>
      <c r="N264" s="258">
        <v>0</v>
      </c>
      <c r="O264" s="258">
        <v>1</v>
      </c>
      <c r="P264" s="255" t="s">
        <v>43</v>
      </c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8" t="s">
        <v>42</v>
      </c>
      <c r="AG264" s="251"/>
      <c r="AH264" s="251"/>
      <c r="AI264" s="251"/>
      <c r="AJ264" s="251"/>
    </row>
    <row r="265" spans="1:36" x14ac:dyDescent="0.3">
      <c r="A265" s="253" t="s">
        <v>340</v>
      </c>
      <c r="B265" s="254">
        <v>46071</v>
      </c>
      <c r="C265" s="255" t="s">
        <v>38</v>
      </c>
      <c r="D265" s="256" t="s">
        <v>307</v>
      </c>
      <c r="E265" s="255" t="s">
        <v>1</v>
      </c>
      <c r="F265" s="255" t="s">
        <v>302</v>
      </c>
      <c r="G265" s="257">
        <v>6.0000000000000001E-3</v>
      </c>
      <c r="H265" s="258">
        <v>168</v>
      </c>
      <c r="I265" s="258">
        <v>1</v>
      </c>
      <c r="J265" s="258">
        <v>0</v>
      </c>
      <c r="K265" s="255" t="s">
        <v>303</v>
      </c>
      <c r="L265" s="259" t="s">
        <v>113</v>
      </c>
      <c r="M265" s="258">
        <v>0</v>
      </c>
      <c r="N265" s="258">
        <v>0</v>
      </c>
      <c r="O265" s="258">
        <v>1</v>
      </c>
      <c r="P265" s="255" t="s">
        <v>43</v>
      </c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8" t="s">
        <v>114</v>
      </c>
      <c r="AE265" s="251"/>
      <c r="AF265" s="251"/>
      <c r="AG265" s="251"/>
      <c r="AH265" s="251"/>
      <c r="AI265" s="251"/>
      <c r="AJ265" s="251"/>
    </row>
    <row r="266" spans="1:36" x14ac:dyDescent="0.3">
      <c r="A266" s="253" t="s">
        <v>344</v>
      </c>
      <c r="B266" s="254">
        <v>46072</v>
      </c>
      <c r="C266" s="255" t="s">
        <v>29</v>
      </c>
      <c r="D266" s="256" t="s">
        <v>345</v>
      </c>
      <c r="E266" s="255" t="s">
        <v>1</v>
      </c>
      <c r="F266" s="255" t="s">
        <v>302</v>
      </c>
      <c r="G266" s="257">
        <v>6.0000000000000001E-3</v>
      </c>
      <c r="H266" s="258">
        <v>168</v>
      </c>
      <c r="I266" s="258">
        <v>1</v>
      </c>
      <c r="J266" s="258">
        <v>0</v>
      </c>
      <c r="K266" s="255" t="s">
        <v>303</v>
      </c>
      <c r="L266" s="259" t="s">
        <v>116</v>
      </c>
      <c r="M266" s="258">
        <v>0</v>
      </c>
      <c r="N266" s="258">
        <v>0</v>
      </c>
      <c r="O266" s="258">
        <v>1</v>
      </c>
      <c r="P266" s="255" t="s">
        <v>43</v>
      </c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8" t="s">
        <v>114</v>
      </c>
      <c r="AE266" s="251"/>
      <c r="AF266" s="251"/>
      <c r="AG266" s="251"/>
      <c r="AH266" s="251"/>
      <c r="AI266" s="251"/>
      <c r="AJ266" s="251"/>
    </row>
    <row r="267" spans="1:36" x14ac:dyDescent="0.3">
      <c r="A267" s="253" t="s">
        <v>344</v>
      </c>
      <c r="B267" s="254">
        <v>46072</v>
      </c>
      <c r="C267" s="255" t="s">
        <v>44</v>
      </c>
      <c r="D267" s="256" t="s">
        <v>301</v>
      </c>
      <c r="E267" s="255" t="s">
        <v>1</v>
      </c>
      <c r="F267" s="255" t="s">
        <v>302</v>
      </c>
      <c r="G267" s="257">
        <v>6.0000000000000001E-3</v>
      </c>
      <c r="H267" s="258">
        <v>168</v>
      </c>
      <c r="I267" s="258">
        <v>1</v>
      </c>
      <c r="J267" s="258">
        <v>0</v>
      </c>
      <c r="K267" s="255" t="s">
        <v>303</v>
      </c>
      <c r="L267" s="259" t="s">
        <v>171</v>
      </c>
      <c r="M267" s="258">
        <v>0</v>
      </c>
      <c r="N267" s="258">
        <v>0</v>
      </c>
      <c r="O267" s="258">
        <v>1</v>
      </c>
      <c r="P267" s="255" t="s">
        <v>43</v>
      </c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8" t="s">
        <v>114</v>
      </c>
      <c r="AE267" s="251"/>
      <c r="AF267" s="251"/>
      <c r="AG267" s="251"/>
      <c r="AH267" s="251"/>
      <c r="AI267" s="251"/>
      <c r="AJ267" s="251"/>
    </row>
    <row r="268" spans="1:36" x14ac:dyDescent="0.3">
      <c r="A268" s="253" t="s">
        <v>344</v>
      </c>
      <c r="B268" s="254">
        <v>46072</v>
      </c>
      <c r="C268" s="255" t="s">
        <v>51</v>
      </c>
      <c r="D268" s="256" t="s">
        <v>346</v>
      </c>
      <c r="E268" s="255" t="s">
        <v>1</v>
      </c>
      <c r="F268" s="255" t="s">
        <v>302</v>
      </c>
      <c r="G268" s="257">
        <v>1.7899999999999999E-2</v>
      </c>
      <c r="H268" s="258">
        <v>168</v>
      </c>
      <c r="I268" s="258">
        <v>3</v>
      </c>
      <c r="J268" s="258">
        <v>0</v>
      </c>
      <c r="K268" s="255" t="s">
        <v>303</v>
      </c>
      <c r="L268" s="259" t="s">
        <v>113</v>
      </c>
      <c r="M268" s="258">
        <v>0</v>
      </c>
      <c r="N268" s="258">
        <v>0</v>
      </c>
      <c r="O268" s="258">
        <v>3</v>
      </c>
      <c r="P268" s="255" t="s">
        <v>43</v>
      </c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8" t="s">
        <v>89</v>
      </c>
      <c r="AE268" s="251"/>
      <c r="AF268" s="258" t="s">
        <v>42</v>
      </c>
      <c r="AG268" s="251"/>
      <c r="AH268" s="251"/>
      <c r="AI268" s="251"/>
      <c r="AJ268" s="251"/>
    </row>
    <row r="269" spans="1:36" x14ac:dyDescent="0.3">
      <c r="A269" s="253" t="s">
        <v>344</v>
      </c>
      <c r="B269" s="254">
        <v>46072</v>
      </c>
      <c r="C269" s="255" t="s">
        <v>35</v>
      </c>
      <c r="D269" s="256" t="s">
        <v>314</v>
      </c>
      <c r="E269" s="255" t="s">
        <v>1</v>
      </c>
      <c r="F269" s="255" t="s">
        <v>302</v>
      </c>
      <c r="G269" s="257">
        <v>0.24399999999999999</v>
      </c>
      <c r="H269" s="258">
        <v>168</v>
      </c>
      <c r="I269" s="258">
        <v>41</v>
      </c>
      <c r="J269" s="258">
        <v>40</v>
      </c>
      <c r="K269" s="255" t="s">
        <v>303</v>
      </c>
      <c r="L269" s="259" t="s">
        <v>255</v>
      </c>
      <c r="M269" s="258">
        <v>0</v>
      </c>
      <c r="N269" s="258">
        <v>0</v>
      </c>
      <c r="O269" s="258">
        <v>2</v>
      </c>
      <c r="P269" s="255" t="s">
        <v>43</v>
      </c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8" t="s">
        <v>114</v>
      </c>
      <c r="AE269" s="251"/>
      <c r="AF269" s="251"/>
      <c r="AG269" s="258" t="s">
        <v>240</v>
      </c>
      <c r="AH269" s="251"/>
      <c r="AI269" s="251"/>
      <c r="AJ269" s="251"/>
    </row>
    <row r="270" spans="1:36" x14ac:dyDescent="0.3">
      <c r="A270" s="253" t="s">
        <v>344</v>
      </c>
      <c r="B270" s="254">
        <v>46072</v>
      </c>
      <c r="C270" s="255" t="s">
        <v>101</v>
      </c>
      <c r="D270" s="256" t="s">
        <v>347</v>
      </c>
      <c r="E270" s="255" t="s">
        <v>1</v>
      </c>
      <c r="F270" s="255" t="s">
        <v>302</v>
      </c>
      <c r="G270" s="257">
        <v>0</v>
      </c>
      <c r="H270" s="258">
        <v>168</v>
      </c>
      <c r="I270" s="258">
        <v>0</v>
      </c>
      <c r="J270" s="258">
        <v>0</v>
      </c>
      <c r="K270" s="255" t="s">
        <v>303</v>
      </c>
      <c r="L270" s="259" t="s">
        <v>109</v>
      </c>
      <c r="M270" s="258">
        <v>0</v>
      </c>
      <c r="N270" s="258">
        <v>0</v>
      </c>
      <c r="O270" s="258">
        <v>0</v>
      </c>
      <c r="P270" s="255" t="s">
        <v>43</v>
      </c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</row>
    <row r="271" spans="1:36" x14ac:dyDescent="0.3">
      <c r="A271" s="253" t="s">
        <v>344</v>
      </c>
      <c r="B271" s="254">
        <v>46072</v>
      </c>
      <c r="C271" s="255" t="s">
        <v>38</v>
      </c>
      <c r="D271" s="256" t="s">
        <v>348</v>
      </c>
      <c r="E271" s="255" t="s">
        <v>1</v>
      </c>
      <c r="F271" s="255" t="s">
        <v>302</v>
      </c>
      <c r="G271" s="257">
        <v>0.1012</v>
      </c>
      <c r="H271" s="258">
        <v>168</v>
      </c>
      <c r="I271" s="258">
        <v>17</v>
      </c>
      <c r="J271" s="258">
        <v>0</v>
      </c>
      <c r="K271" s="255" t="s">
        <v>303</v>
      </c>
      <c r="L271" s="259" t="s">
        <v>94</v>
      </c>
      <c r="M271" s="258">
        <v>0</v>
      </c>
      <c r="N271" s="258">
        <v>0</v>
      </c>
      <c r="O271" s="258">
        <v>17</v>
      </c>
      <c r="P271" s="255" t="s">
        <v>43</v>
      </c>
      <c r="Q271" s="251"/>
      <c r="R271" s="251"/>
      <c r="S271" s="251"/>
      <c r="T271" s="251"/>
      <c r="U271" s="251"/>
      <c r="V271" s="251"/>
      <c r="W271" s="251"/>
      <c r="X271" s="251"/>
      <c r="Y271" s="251"/>
      <c r="Z271" s="258" t="s">
        <v>326</v>
      </c>
      <c r="AA271" s="251"/>
      <c r="AB271" s="251"/>
      <c r="AC271" s="251"/>
      <c r="AD271" s="258" t="s">
        <v>80</v>
      </c>
      <c r="AE271" s="251"/>
      <c r="AF271" s="258" t="s">
        <v>66</v>
      </c>
      <c r="AG271" s="251"/>
      <c r="AH271" s="251"/>
      <c r="AI271" s="251"/>
      <c r="AJ271" s="251"/>
    </row>
    <row r="272" spans="1:36" x14ac:dyDescent="0.3">
      <c r="A272" s="253" t="s">
        <v>344</v>
      </c>
      <c r="B272" s="254">
        <v>46072</v>
      </c>
      <c r="C272" s="255" t="s">
        <v>40</v>
      </c>
      <c r="D272" s="256" t="s">
        <v>350</v>
      </c>
      <c r="E272" s="255" t="s">
        <v>1</v>
      </c>
      <c r="F272" s="255" t="s">
        <v>302</v>
      </c>
      <c r="G272" s="257">
        <v>6.0000000000000001E-3</v>
      </c>
      <c r="H272" s="258">
        <v>168</v>
      </c>
      <c r="I272" s="258">
        <v>1</v>
      </c>
      <c r="J272" s="258">
        <v>0</v>
      </c>
      <c r="K272" s="255" t="s">
        <v>303</v>
      </c>
      <c r="L272" s="259" t="s">
        <v>91</v>
      </c>
      <c r="M272" s="258">
        <v>0</v>
      </c>
      <c r="N272" s="258">
        <v>0</v>
      </c>
      <c r="O272" s="258">
        <v>1</v>
      </c>
      <c r="P272" s="255" t="s">
        <v>43</v>
      </c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8" t="s">
        <v>42</v>
      </c>
      <c r="AG272" s="251"/>
      <c r="AH272" s="251"/>
      <c r="AI272" s="251"/>
      <c r="AJ272" s="251"/>
    </row>
    <row r="273" spans="1:36" x14ac:dyDescent="0.3">
      <c r="A273" s="253" t="s">
        <v>300</v>
      </c>
      <c r="B273" s="254">
        <v>46073</v>
      </c>
      <c r="C273" s="255" t="s">
        <v>29</v>
      </c>
      <c r="D273" s="256" t="s">
        <v>301</v>
      </c>
      <c r="E273" s="255" t="s">
        <v>1</v>
      </c>
      <c r="F273" s="255" t="s">
        <v>302</v>
      </c>
      <c r="G273" s="257">
        <v>2.98E-2</v>
      </c>
      <c r="H273" s="258">
        <v>168</v>
      </c>
      <c r="I273" s="258">
        <v>5</v>
      </c>
      <c r="J273" s="258">
        <v>0</v>
      </c>
      <c r="K273" s="255" t="s">
        <v>303</v>
      </c>
      <c r="L273" s="259" t="s">
        <v>174</v>
      </c>
      <c r="M273" s="258">
        <v>0</v>
      </c>
      <c r="N273" s="258">
        <v>0</v>
      </c>
      <c r="O273" s="258">
        <v>5</v>
      </c>
      <c r="P273" s="255" t="s">
        <v>43</v>
      </c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8" t="s">
        <v>186</v>
      </c>
      <c r="AE273" s="251"/>
      <c r="AF273" s="251"/>
      <c r="AG273" s="251"/>
      <c r="AH273" s="251"/>
      <c r="AI273" s="251"/>
      <c r="AJ273" s="251"/>
    </row>
    <row r="274" spans="1:36" x14ac:dyDescent="0.3">
      <c r="A274" s="253" t="s">
        <v>300</v>
      </c>
      <c r="B274" s="254">
        <v>46073</v>
      </c>
      <c r="C274" s="255" t="s">
        <v>35</v>
      </c>
      <c r="D274" s="256" t="s">
        <v>305</v>
      </c>
      <c r="E274" s="255" t="s">
        <v>1</v>
      </c>
      <c r="F274" s="255" t="s">
        <v>302</v>
      </c>
      <c r="G274" s="257">
        <v>0</v>
      </c>
      <c r="H274" s="258">
        <v>168</v>
      </c>
      <c r="I274" s="258">
        <v>0</v>
      </c>
      <c r="J274" s="258">
        <v>0</v>
      </c>
      <c r="K274" s="255" t="s">
        <v>303</v>
      </c>
      <c r="L274" s="259" t="s">
        <v>109</v>
      </c>
      <c r="M274" s="258">
        <v>0</v>
      </c>
      <c r="N274" s="258">
        <v>0</v>
      </c>
      <c r="O274" s="258">
        <v>0</v>
      </c>
      <c r="P274" s="255" t="s">
        <v>43</v>
      </c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</row>
    <row r="275" spans="1:36" x14ac:dyDescent="0.3">
      <c r="A275" s="253" t="s">
        <v>300</v>
      </c>
      <c r="B275" s="254">
        <v>46073</v>
      </c>
      <c r="C275" s="255" t="s">
        <v>38</v>
      </c>
      <c r="D275" s="256" t="s">
        <v>306</v>
      </c>
      <c r="E275" s="255" t="s">
        <v>1</v>
      </c>
      <c r="F275" s="255" t="s">
        <v>302</v>
      </c>
      <c r="G275" s="257">
        <v>1.1900000000000001E-2</v>
      </c>
      <c r="H275" s="258">
        <v>168</v>
      </c>
      <c r="I275" s="258">
        <v>2</v>
      </c>
      <c r="J275" s="258">
        <v>0</v>
      </c>
      <c r="K275" s="255" t="s">
        <v>303</v>
      </c>
      <c r="L275" s="259" t="s">
        <v>94</v>
      </c>
      <c r="M275" s="258">
        <v>0</v>
      </c>
      <c r="N275" s="258">
        <v>0</v>
      </c>
      <c r="O275" s="258">
        <v>2</v>
      </c>
      <c r="P275" s="255" t="s">
        <v>43</v>
      </c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8" t="s">
        <v>66</v>
      </c>
      <c r="AG275" s="251"/>
      <c r="AH275" s="251"/>
      <c r="AI275" s="251"/>
      <c r="AJ275" s="251"/>
    </row>
    <row r="276" spans="1:36" x14ac:dyDescent="0.3">
      <c r="A276" s="253" t="s">
        <v>300</v>
      </c>
      <c r="B276" s="254">
        <v>46073</v>
      </c>
      <c r="C276" s="255" t="s">
        <v>40</v>
      </c>
      <c r="D276" s="256" t="s">
        <v>307</v>
      </c>
      <c r="E276" s="255" t="s">
        <v>1</v>
      </c>
      <c r="F276" s="255" t="s">
        <v>302</v>
      </c>
      <c r="G276" s="257">
        <v>1.1900000000000001E-2</v>
      </c>
      <c r="H276" s="258">
        <v>168</v>
      </c>
      <c r="I276" s="258">
        <v>2</v>
      </c>
      <c r="J276" s="258">
        <v>0</v>
      </c>
      <c r="K276" s="255" t="s">
        <v>303</v>
      </c>
      <c r="L276" s="259" t="s">
        <v>97</v>
      </c>
      <c r="M276" s="258">
        <v>0</v>
      </c>
      <c r="N276" s="258">
        <v>0</v>
      </c>
      <c r="O276" s="258">
        <v>2</v>
      </c>
      <c r="P276" s="255" t="s">
        <v>43</v>
      </c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8" t="s">
        <v>114</v>
      </c>
      <c r="AE276" s="251"/>
      <c r="AF276" s="258" t="s">
        <v>42</v>
      </c>
      <c r="AG276" s="251"/>
      <c r="AH276" s="251"/>
      <c r="AI276" s="251"/>
      <c r="AJ276" s="251"/>
    </row>
    <row r="277" spans="1:36" x14ac:dyDescent="0.3">
      <c r="A277" s="253" t="s">
        <v>300</v>
      </c>
      <c r="B277" s="254">
        <v>46073</v>
      </c>
      <c r="C277" s="255" t="s">
        <v>44</v>
      </c>
      <c r="D277" s="256" t="s">
        <v>308</v>
      </c>
      <c r="E277" s="255" t="s">
        <v>1</v>
      </c>
      <c r="F277" s="255" t="s">
        <v>302</v>
      </c>
      <c r="G277" s="257">
        <v>8.9300000000000004E-2</v>
      </c>
      <c r="H277" s="258">
        <v>168</v>
      </c>
      <c r="I277" s="258">
        <v>15</v>
      </c>
      <c r="J277" s="258">
        <v>0</v>
      </c>
      <c r="K277" s="255" t="s">
        <v>303</v>
      </c>
      <c r="L277" s="259" t="s">
        <v>97</v>
      </c>
      <c r="M277" s="258">
        <v>0</v>
      </c>
      <c r="N277" s="258">
        <v>0</v>
      </c>
      <c r="O277" s="258">
        <v>15</v>
      </c>
      <c r="P277" s="255" t="s">
        <v>234</v>
      </c>
      <c r="Q277" s="251"/>
      <c r="R277" s="251"/>
      <c r="S277" s="251"/>
      <c r="T277" s="251"/>
      <c r="U277" s="251"/>
      <c r="V277" s="251"/>
      <c r="W277" s="251"/>
      <c r="X277" s="251"/>
      <c r="Y277" s="251"/>
      <c r="Z277" s="258" t="s">
        <v>152</v>
      </c>
      <c r="AA277" s="251"/>
      <c r="AB277" s="251"/>
      <c r="AC277" s="251"/>
      <c r="AD277" s="258" t="s">
        <v>186</v>
      </c>
      <c r="AE277" s="251"/>
      <c r="AF277" s="258" t="s">
        <v>247</v>
      </c>
      <c r="AG277" s="251"/>
      <c r="AH277" s="251"/>
      <c r="AI277" s="251"/>
      <c r="AJ277" s="251"/>
    </row>
    <row r="278" spans="1:36" x14ac:dyDescent="0.3">
      <c r="A278" s="253" t="s">
        <v>300</v>
      </c>
      <c r="B278" s="254">
        <v>46073</v>
      </c>
      <c r="C278" s="255" t="s">
        <v>48</v>
      </c>
      <c r="D278" s="256" t="s">
        <v>310</v>
      </c>
      <c r="E278" s="255" t="s">
        <v>1</v>
      </c>
      <c r="F278" s="255" t="s">
        <v>302</v>
      </c>
      <c r="G278" s="257">
        <v>5.3600000000000002E-2</v>
      </c>
      <c r="H278" s="258">
        <v>168</v>
      </c>
      <c r="I278" s="258">
        <v>9</v>
      </c>
      <c r="J278" s="258">
        <v>0</v>
      </c>
      <c r="K278" s="255" t="s">
        <v>303</v>
      </c>
      <c r="L278" s="259" t="s">
        <v>260</v>
      </c>
      <c r="M278" s="258">
        <v>0</v>
      </c>
      <c r="N278" s="258">
        <v>0</v>
      </c>
      <c r="O278" s="258">
        <v>9</v>
      </c>
      <c r="P278" s="255" t="s">
        <v>43</v>
      </c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8" t="s">
        <v>80</v>
      </c>
      <c r="AE278" s="251"/>
      <c r="AF278" s="251"/>
      <c r="AG278" s="251"/>
      <c r="AH278" s="251"/>
      <c r="AI278" s="251"/>
      <c r="AJ278" s="251"/>
    </row>
    <row r="279" spans="1:36" x14ac:dyDescent="0.3">
      <c r="A279" s="253" t="s">
        <v>312</v>
      </c>
      <c r="B279" s="254">
        <v>46074</v>
      </c>
      <c r="C279" s="255" t="s">
        <v>51</v>
      </c>
      <c r="D279" s="256" t="s">
        <v>313</v>
      </c>
      <c r="E279" s="255" t="s">
        <v>1</v>
      </c>
      <c r="F279" s="255" t="s">
        <v>302</v>
      </c>
      <c r="G279" s="257">
        <v>2.87E-2</v>
      </c>
      <c r="H279" s="258">
        <v>174</v>
      </c>
      <c r="I279" s="258">
        <v>5</v>
      </c>
      <c r="J279" s="258">
        <v>0</v>
      </c>
      <c r="K279" s="255" t="s">
        <v>303</v>
      </c>
      <c r="L279" s="259" t="s">
        <v>91</v>
      </c>
      <c r="M279" s="258">
        <v>0</v>
      </c>
      <c r="N279" s="258">
        <v>0</v>
      </c>
      <c r="O279" s="258">
        <v>5</v>
      </c>
      <c r="P279" s="255" t="s">
        <v>43</v>
      </c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8" t="s">
        <v>114</v>
      </c>
      <c r="AE279" s="251"/>
      <c r="AF279" s="258" t="s">
        <v>230</v>
      </c>
      <c r="AG279" s="251"/>
      <c r="AH279" s="251"/>
      <c r="AI279" s="251"/>
      <c r="AJ279" s="251"/>
    </row>
    <row r="280" spans="1:36" x14ac:dyDescent="0.3">
      <c r="A280" s="253" t="s">
        <v>312</v>
      </c>
      <c r="B280" s="254">
        <v>46074</v>
      </c>
      <c r="C280" s="255" t="s">
        <v>35</v>
      </c>
      <c r="D280" s="256" t="s">
        <v>314</v>
      </c>
      <c r="E280" s="255" t="s">
        <v>1</v>
      </c>
      <c r="F280" s="255" t="s">
        <v>302</v>
      </c>
      <c r="G280" s="257">
        <v>1.1900000000000001E-2</v>
      </c>
      <c r="H280" s="258">
        <v>168</v>
      </c>
      <c r="I280" s="258">
        <v>2</v>
      </c>
      <c r="J280" s="258">
        <v>0</v>
      </c>
      <c r="K280" s="255" t="s">
        <v>303</v>
      </c>
      <c r="L280" s="259" t="s">
        <v>91</v>
      </c>
      <c r="M280" s="258">
        <v>0</v>
      </c>
      <c r="N280" s="258">
        <v>0</v>
      </c>
      <c r="O280" s="258">
        <v>2</v>
      </c>
      <c r="P280" s="255" t="s">
        <v>43</v>
      </c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8" t="s">
        <v>114</v>
      </c>
      <c r="AE280" s="251"/>
      <c r="AF280" s="258" t="s">
        <v>42</v>
      </c>
      <c r="AG280" s="251"/>
      <c r="AH280" s="251"/>
      <c r="AI280" s="251"/>
      <c r="AJ280" s="251"/>
    </row>
    <row r="281" spans="1:36" x14ac:dyDescent="0.3">
      <c r="A281" s="253" t="s">
        <v>312</v>
      </c>
      <c r="B281" s="254">
        <v>46074</v>
      </c>
      <c r="C281" s="255" t="s">
        <v>38</v>
      </c>
      <c r="D281" s="256" t="s">
        <v>316</v>
      </c>
      <c r="E281" s="255" t="s">
        <v>1</v>
      </c>
      <c r="F281" s="255" t="s">
        <v>302</v>
      </c>
      <c r="G281" s="257">
        <v>7.7399999999999997E-2</v>
      </c>
      <c r="H281" s="258">
        <v>168</v>
      </c>
      <c r="I281" s="258">
        <v>13</v>
      </c>
      <c r="J281" s="258">
        <v>0</v>
      </c>
      <c r="K281" s="255" t="s">
        <v>303</v>
      </c>
      <c r="L281" s="259" t="s">
        <v>113</v>
      </c>
      <c r="M281" s="258">
        <v>0</v>
      </c>
      <c r="N281" s="258">
        <v>0</v>
      </c>
      <c r="O281" s="258">
        <v>13</v>
      </c>
      <c r="P281" s="255" t="s">
        <v>43</v>
      </c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8" t="s">
        <v>104</v>
      </c>
      <c r="AD281" s="258" t="s">
        <v>95</v>
      </c>
      <c r="AE281" s="251"/>
      <c r="AF281" s="258" t="s">
        <v>224</v>
      </c>
      <c r="AG281" s="251"/>
      <c r="AH281" s="251"/>
      <c r="AI281" s="251"/>
      <c r="AJ281" s="251"/>
    </row>
    <row r="282" spans="1:36" x14ac:dyDescent="0.3">
      <c r="A282" s="253" t="s">
        <v>317</v>
      </c>
      <c r="B282" s="254">
        <v>46075</v>
      </c>
      <c r="C282" s="255" t="s">
        <v>29</v>
      </c>
      <c r="D282" s="256" t="s">
        <v>318</v>
      </c>
      <c r="E282" s="255" t="s">
        <v>1</v>
      </c>
      <c r="F282" s="255" t="s">
        <v>302</v>
      </c>
      <c r="G282" s="257">
        <v>0.26790000000000003</v>
      </c>
      <c r="H282" s="258">
        <v>168</v>
      </c>
      <c r="I282" s="258">
        <v>45</v>
      </c>
      <c r="J282" s="258">
        <v>40</v>
      </c>
      <c r="K282" s="255" t="s">
        <v>303</v>
      </c>
      <c r="L282" s="259" t="s">
        <v>177</v>
      </c>
      <c r="M282" s="258">
        <v>0</v>
      </c>
      <c r="N282" s="258">
        <v>0</v>
      </c>
      <c r="O282" s="258">
        <v>7</v>
      </c>
      <c r="P282" s="255" t="s">
        <v>43</v>
      </c>
      <c r="Q282" s="251"/>
      <c r="R282" s="251"/>
      <c r="S282" s="251"/>
      <c r="T282" s="251"/>
      <c r="U282" s="251"/>
      <c r="V282" s="251"/>
      <c r="W282" s="251"/>
      <c r="X282" s="251"/>
      <c r="Y282" s="251"/>
      <c r="Z282" s="258" t="s">
        <v>198</v>
      </c>
      <c r="AA282" s="251"/>
      <c r="AB282" s="251"/>
      <c r="AC282" s="251"/>
      <c r="AD282" s="258" t="s">
        <v>89</v>
      </c>
      <c r="AE282" s="251"/>
      <c r="AF282" s="251"/>
      <c r="AG282" s="258" t="s">
        <v>240</v>
      </c>
      <c r="AH282" s="251"/>
      <c r="AI282" s="251"/>
      <c r="AJ282" s="251"/>
    </row>
    <row r="283" spans="1:36" x14ac:dyDescent="0.3">
      <c r="A283" s="253" t="s">
        <v>317</v>
      </c>
      <c r="B283" s="254">
        <v>46075</v>
      </c>
      <c r="C283" s="255" t="s">
        <v>35</v>
      </c>
      <c r="D283" s="256" t="s">
        <v>305</v>
      </c>
      <c r="E283" s="255" t="s">
        <v>1</v>
      </c>
      <c r="F283" s="255" t="s">
        <v>302</v>
      </c>
      <c r="G283" s="257">
        <v>6.0000000000000001E-3</v>
      </c>
      <c r="H283" s="258">
        <v>168</v>
      </c>
      <c r="I283" s="258">
        <v>1</v>
      </c>
      <c r="J283" s="258">
        <v>0</v>
      </c>
      <c r="K283" s="255" t="s">
        <v>303</v>
      </c>
      <c r="L283" s="259" t="s">
        <v>183</v>
      </c>
      <c r="M283" s="258">
        <v>0</v>
      </c>
      <c r="N283" s="258">
        <v>0</v>
      </c>
      <c r="O283" s="258">
        <v>1</v>
      </c>
      <c r="P283" s="255" t="s">
        <v>43</v>
      </c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8" t="s">
        <v>114</v>
      </c>
      <c r="AE283" s="251"/>
      <c r="AF283" s="251"/>
      <c r="AG283" s="251"/>
      <c r="AH283" s="251"/>
      <c r="AI283" s="251"/>
      <c r="AJ283" s="251"/>
    </row>
    <row r="284" spans="1:36" x14ac:dyDescent="0.3">
      <c r="A284" s="253" t="s">
        <v>317</v>
      </c>
      <c r="B284" s="254">
        <v>46075</v>
      </c>
      <c r="C284" s="255" t="s">
        <v>101</v>
      </c>
      <c r="D284" s="256" t="s">
        <v>314</v>
      </c>
      <c r="E284" s="255" t="s">
        <v>1</v>
      </c>
      <c r="F284" s="255" t="s">
        <v>302</v>
      </c>
      <c r="G284" s="257">
        <v>0</v>
      </c>
      <c r="H284" s="258">
        <v>168</v>
      </c>
      <c r="I284" s="258">
        <v>0</v>
      </c>
      <c r="J284" s="258">
        <v>0</v>
      </c>
      <c r="K284" s="255" t="s">
        <v>303</v>
      </c>
      <c r="L284" s="259" t="s">
        <v>109</v>
      </c>
      <c r="M284" s="258">
        <v>0</v>
      </c>
      <c r="N284" s="258">
        <v>0</v>
      </c>
      <c r="O284" s="258">
        <v>0</v>
      </c>
      <c r="P284" s="255" t="s">
        <v>43</v>
      </c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</row>
    <row r="285" spans="1:36" x14ac:dyDescent="0.3">
      <c r="A285" s="253" t="s">
        <v>317</v>
      </c>
      <c r="B285" s="254">
        <v>46075</v>
      </c>
      <c r="C285" s="255" t="s">
        <v>48</v>
      </c>
      <c r="D285" s="256" t="s">
        <v>321</v>
      </c>
      <c r="E285" s="255" t="s">
        <v>1</v>
      </c>
      <c r="F285" s="255" t="s">
        <v>302</v>
      </c>
      <c r="G285" s="257">
        <v>1.7899999999999999E-2</v>
      </c>
      <c r="H285" s="258">
        <v>168</v>
      </c>
      <c r="I285" s="258">
        <v>3</v>
      </c>
      <c r="J285" s="258">
        <v>0</v>
      </c>
      <c r="K285" s="255" t="s">
        <v>303</v>
      </c>
      <c r="L285" s="259" t="s">
        <v>110</v>
      </c>
      <c r="M285" s="258">
        <v>0</v>
      </c>
      <c r="N285" s="258">
        <v>0</v>
      </c>
      <c r="O285" s="258">
        <v>3</v>
      </c>
      <c r="P285" s="255" t="s">
        <v>43</v>
      </c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8" t="s">
        <v>127</v>
      </c>
      <c r="AE285" s="251"/>
      <c r="AF285" s="251"/>
      <c r="AG285" s="251"/>
      <c r="AH285" s="251"/>
      <c r="AI285" s="251"/>
      <c r="AJ285" s="251"/>
    </row>
    <row r="286" spans="1:36" x14ac:dyDescent="0.3">
      <c r="A286" s="253" t="s">
        <v>317</v>
      </c>
      <c r="B286" s="254">
        <v>46075</v>
      </c>
      <c r="C286" s="255" t="s">
        <v>38</v>
      </c>
      <c r="D286" s="256" t="s">
        <v>322</v>
      </c>
      <c r="E286" s="255" t="s">
        <v>1</v>
      </c>
      <c r="F286" s="255" t="s">
        <v>302</v>
      </c>
      <c r="G286" s="257">
        <v>4.1700000000000001E-2</v>
      </c>
      <c r="H286" s="258">
        <v>168</v>
      </c>
      <c r="I286" s="258">
        <v>7</v>
      </c>
      <c r="J286" s="258">
        <v>0</v>
      </c>
      <c r="K286" s="255" t="s">
        <v>303</v>
      </c>
      <c r="L286" s="259" t="s">
        <v>129</v>
      </c>
      <c r="M286" s="258">
        <v>0</v>
      </c>
      <c r="N286" s="258">
        <v>0</v>
      </c>
      <c r="O286" s="258">
        <v>7</v>
      </c>
      <c r="P286" s="255" t="s">
        <v>43</v>
      </c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8" t="s">
        <v>95</v>
      </c>
      <c r="AE286" s="251"/>
      <c r="AF286" s="251"/>
      <c r="AG286" s="251"/>
      <c r="AH286" s="251"/>
      <c r="AI286" s="251"/>
      <c r="AJ286" s="251"/>
    </row>
    <row r="287" spans="1:36" x14ac:dyDescent="0.3">
      <c r="A287" s="253" t="s">
        <v>323</v>
      </c>
      <c r="B287" s="254">
        <v>46076</v>
      </c>
      <c r="C287" s="255" t="s">
        <v>40</v>
      </c>
      <c r="D287" s="256" t="s">
        <v>324</v>
      </c>
      <c r="E287" s="255" t="s">
        <v>1</v>
      </c>
      <c r="F287" s="255" t="s">
        <v>302</v>
      </c>
      <c r="G287" s="257">
        <v>0</v>
      </c>
      <c r="H287" s="258">
        <v>168</v>
      </c>
      <c r="I287" s="258">
        <v>0</v>
      </c>
      <c r="J287" s="258">
        <v>0</v>
      </c>
      <c r="K287" s="255" t="s">
        <v>303</v>
      </c>
      <c r="L287" s="259" t="s">
        <v>109</v>
      </c>
      <c r="M287" s="258">
        <v>0</v>
      </c>
      <c r="N287" s="258">
        <v>0</v>
      </c>
      <c r="O287" s="258">
        <v>0</v>
      </c>
      <c r="P287" s="255" t="s">
        <v>43</v>
      </c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</row>
    <row r="288" spans="1:36" x14ac:dyDescent="0.3">
      <c r="A288" s="253" t="s">
        <v>323</v>
      </c>
      <c r="B288" s="254">
        <v>46076</v>
      </c>
      <c r="C288" s="255" t="s">
        <v>35</v>
      </c>
      <c r="D288" s="256" t="s">
        <v>325</v>
      </c>
      <c r="E288" s="255" t="s">
        <v>1</v>
      </c>
      <c r="F288" s="255" t="s">
        <v>302</v>
      </c>
      <c r="G288" s="257">
        <v>0</v>
      </c>
      <c r="H288" s="258">
        <v>168</v>
      </c>
      <c r="I288" s="258">
        <v>0</v>
      </c>
      <c r="J288" s="258">
        <v>0</v>
      </c>
      <c r="K288" s="255" t="s">
        <v>303</v>
      </c>
      <c r="L288" s="259" t="s">
        <v>109</v>
      </c>
      <c r="M288" s="258">
        <v>0</v>
      </c>
      <c r="N288" s="258">
        <v>0</v>
      </c>
      <c r="O288" s="258">
        <v>0</v>
      </c>
      <c r="P288" s="255" t="s">
        <v>43</v>
      </c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</row>
    <row r="289" spans="1:36" x14ac:dyDescent="0.3">
      <c r="A289" s="253" t="s">
        <v>323</v>
      </c>
      <c r="B289" s="254">
        <v>46076</v>
      </c>
      <c r="C289" s="255" t="s">
        <v>38</v>
      </c>
      <c r="D289" s="256" t="s">
        <v>307</v>
      </c>
      <c r="E289" s="255" t="s">
        <v>1</v>
      </c>
      <c r="F289" s="255" t="s">
        <v>302</v>
      </c>
      <c r="G289" s="257">
        <v>1.7899999999999999E-2</v>
      </c>
      <c r="H289" s="258">
        <v>168</v>
      </c>
      <c r="I289" s="258">
        <v>3</v>
      </c>
      <c r="J289" s="258">
        <v>0</v>
      </c>
      <c r="K289" s="255" t="s">
        <v>303</v>
      </c>
      <c r="L289" s="259" t="s">
        <v>97</v>
      </c>
      <c r="M289" s="258">
        <v>0</v>
      </c>
      <c r="N289" s="258">
        <v>0</v>
      </c>
      <c r="O289" s="258">
        <v>3</v>
      </c>
      <c r="P289" s="255" t="s">
        <v>43</v>
      </c>
      <c r="Q289" s="251"/>
      <c r="R289" s="251"/>
      <c r="S289" s="251"/>
      <c r="T289" s="251"/>
      <c r="U289" s="251"/>
      <c r="V289" s="251"/>
      <c r="W289" s="251"/>
      <c r="X289" s="251"/>
      <c r="Y289" s="251"/>
      <c r="Z289" s="258" t="s">
        <v>208</v>
      </c>
      <c r="AA289" s="251"/>
      <c r="AB289" s="251"/>
      <c r="AC289" s="251"/>
      <c r="AD289" s="251"/>
      <c r="AE289" s="251"/>
      <c r="AF289" s="258" t="s">
        <v>66</v>
      </c>
      <c r="AG289" s="251"/>
      <c r="AH289" s="251"/>
      <c r="AI289" s="251"/>
      <c r="AJ289" s="251"/>
    </row>
    <row r="290" spans="1:36" x14ac:dyDescent="0.3">
      <c r="A290" s="253" t="s">
        <v>323</v>
      </c>
      <c r="B290" s="254">
        <v>46076</v>
      </c>
      <c r="C290" s="255" t="s">
        <v>48</v>
      </c>
      <c r="D290" s="256" t="s">
        <v>328</v>
      </c>
      <c r="E290" s="255" t="s">
        <v>1</v>
      </c>
      <c r="F290" s="255" t="s">
        <v>302</v>
      </c>
      <c r="G290" s="257">
        <v>2.98E-2</v>
      </c>
      <c r="H290" s="258">
        <v>168</v>
      </c>
      <c r="I290" s="258">
        <v>5</v>
      </c>
      <c r="J290" s="258">
        <v>0</v>
      </c>
      <c r="K290" s="255" t="s">
        <v>303</v>
      </c>
      <c r="L290" s="259" t="s">
        <v>94</v>
      </c>
      <c r="M290" s="258">
        <v>0</v>
      </c>
      <c r="N290" s="258">
        <v>0</v>
      </c>
      <c r="O290" s="258">
        <v>5</v>
      </c>
      <c r="P290" s="255" t="s">
        <v>43</v>
      </c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8" t="s">
        <v>127</v>
      </c>
      <c r="AE290" s="251"/>
      <c r="AF290" s="258" t="s">
        <v>66</v>
      </c>
      <c r="AG290" s="251"/>
      <c r="AH290" s="251"/>
      <c r="AI290" s="251"/>
      <c r="AJ290" s="251"/>
    </row>
    <row r="291" spans="1:36" x14ac:dyDescent="0.3">
      <c r="A291" s="253" t="s">
        <v>331</v>
      </c>
      <c r="B291" s="254">
        <v>46077</v>
      </c>
      <c r="C291" s="255" t="s">
        <v>44</v>
      </c>
      <c r="D291" s="256" t="s">
        <v>332</v>
      </c>
      <c r="E291" s="255" t="s">
        <v>1</v>
      </c>
      <c r="F291" s="255" t="s">
        <v>302</v>
      </c>
      <c r="G291" s="257">
        <v>1.1900000000000001E-2</v>
      </c>
      <c r="H291" s="258">
        <v>168</v>
      </c>
      <c r="I291" s="258">
        <v>2</v>
      </c>
      <c r="J291" s="258">
        <v>0</v>
      </c>
      <c r="K291" s="255" t="s">
        <v>303</v>
      </c>
      <c r="L291" s="259" t="s">
        <v>91</v>
      </c>
      <c r="M291" s="258">
        <v>0</v>
      </c>
      <c r="N291" s="258">
        <v>0</v>
      </c>
      <c r="O291" s="258">
        <v>2</v>
      </c>
      <c r="P291" s="255" t="s">
        <v>43</v>
      </c>
      <c r="Q291" s="251"/>
      <c r="R291" s="251"/>
      <c r="S291" s="251"/>
      <c r="T291" s="251"/>
      <c r="U291" s="251"/>
      <c r="V291" s="251"/>
      <c r="W291" s="251"/>
      <c r="X291" s="251"/>
      <c r="Y291" s="251"/>
      <c r="Z291" s="258" t="s">
        <v>208</v>
      </c>
      <c r="AA291" s="251"/>
      <c r="AB291" s="251"/>
      <c r="AC291" s="251"/>
      <c r="AD291" s="251"/>
      <c r="AE291" s="251"/>
      <c r="AF291" s="258" t="s">
        <v>42</v>
      </c>
      <c r="AG291" s="251"/>
      <c r="AH291" s="251"/>
      <c r="AI291" s="251"/>
      <c r="AJ291" s="251"/>
    </row>
    <row r="292" spans="1:36" x14ac:dyDescent="0.3">
      <c r="A292" s="253" t="s">
        <v>331</v>
      </c>
      <c r="B292" s="254">
        <v>46077</v>
      </c>
      <c r="C292" s="255" t="s">
        <v>40</v>
      </c>
      <c r="D292" s="256" t="s">
        <v>335</v>
      </c>
      <c r="E292" s="255" t="s">
        <v>1</v>
      </c>
      <c r="F292" s="255" t="s">
        <v>302</v>
      </c>
      <c r="G292" s="257">
        <v>1.7899999999999999E-2</v>
      </c>
      <c r="H292" s="258">
        <v>168</v>
      </c>
      <c r="I292" s="258">
        <v>3</v>
      </c>
      <c r="J292" s="258">
        <v>0</v>
      </c>
      <c r="K292" s="255" t="s">
        <v>303</v>
      </c>
      <c r="L292" s="259" t="s">
        <v>113</v>
      </c>
      <c r="M292" s="258">
        <v>0</v>
      </c>
      <c r="N292" s="258">
        <v>0</v>
      </c>
      <c r="O292" s="258">
        <v>3</v>
      </c>
      <c r="P292" s="255" t="s">
        <v>43</v>
      </c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8" t="s">
        <v>89</v>
      </c>
      <c r="AE292" s="251"/>
      <c r="AF292" s="258" t="s">
        <v>42</v>
      </c>
      <c r="AG292" s="251"/>
      <c r="AH292" s="251"/>
      <c r="AI292" s="251"/>
      <c r="AJ292" s="251"/>
    </row>
    <row r="293" spans="1:36" x14ac:dyDescent="0.3">
      <c r="A293" s="253" t="s">
        <v>331</v>
      </c>
      <c r="B293" s="254">
        <v>46077</v>
      </c>
      <c r="C293" s="255" t="s">
        <v>38</v>
      </c>
      <c r="D293" s="256" t="s">
        <v>307</v>
      </c>
      <c r="E293" s="255" t="s">
        <v>1</v>
      </c>
      <c r="F293" s="255" t="s">
        <v>302</v>
      </c>
      <c r="G293" s="257">
        <v>6.0000000000000001E-3</v>
      </c>
      <c r="H293" s="258">
        <v>168</v>
      </c>
      <c r="I293" s="258">
        <v>1</v>
      </c>
      <c r="J293" s="258">
        <v>0</v>
      </c>
      <c r="K293" s="255" t="s">
        <v>303</v>
      </c>
      <c r="L293" s="259" t="s">
        <v>106</v>
      </c>
      <c r="M293" s="258">
        <v>0</v>
      </c>
      <c r="N293" s="258">
        <v>0</v>
      </c>
      <c r="O293" s="258">
        <v>1</v>
      </c>
      <c r="P293" s="255" t="s">
        <v>43</v>
      </c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8" t="s">
        <v>114</v>
      </c>
      <c r="AE293" s="251"/>
      <c r="AF293" s="251"/>
      <c r="AG293" s="251"/>
      <c r="AH293" s="251"/>
      <c r="AI293" s="251"/>
      <c r="AJ293" s="251"/>
    </row>
    <row r="294" spans="1:36" x14ac:dyDescent="0.3">
      <c r="A294" s="253" t="s">
        <v>331</v>
      </c>
      <c r="B294" s="254">
        <v>46077</v>
      </c>
      <c r="C294" s="255" t="s">
        <v>48</v>
      </c>
      <c r="D294" s="256" t="s">
        <v>337</v>
      </c>
      <c r="E294" s="255" t="s">
        <v>1</v>
      </c>
      <c r="F294" s="255" t="s">
        <v>302</v>
      </c>
      <c r="G294" s="257">
        <v>0</v>
      </c>
      <c r="H294" s="258">
        <v>168</v>
      </c>
      <c r="I294" s="258">
        <v>0</v>
      </c>
      <c r="J294" s="258">
        <v>0</v>
      </c>
      <c r="K294" s="255" t="s">
        <v>303</v>
      </c>
      <c r="L294" s="259" t="s">
        <v>109</v>
      </c>
      <c r="M294" s="258">
        <v>0</v>
      </c>
      <c r="N294" s="258">
        <v>0</v>
      </c>
      <c r="O294" s="258">
        <v>0</v>
      </c>
      <c r="P294" s="255" t="s">
        <v>43</v>
      </c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</row>
    <row r="295" spans="1:36" x14ac:dyDescent="0.3">
      <c r="A295" s="253" t="s">
        <v>331</v>
      </c>
      <c r="B295" s="254">
        <v>46077</v>
      </c>
      <c r="C295" s="255" t="s">
        <v>29</v>
      </c>
      <c r="D295" s="256" t="s">
        <v>338</v>
      </c>
      <c r="E295" s="255" t="s">
        <v>1</v>
      </c>
      <c r="F295" s="255" t="s">
        <v>302</v>
      </c>
      <c r="G295" s="257">
        <v>1.7899999999999999E-2</v>
      </c>
      <c r="H295" s="258">
        <v>168</v>
      </c>
      <c r="I295" s="258">
        <v>3</v>
      </c>
      <c r="J295" s="258">
        <v>0</v>
      </c>
      <c r="K295" s="255" t="s">
        <v>303</v>
      </c>
      <c r="L295" s="259" t="s">
        <v>197</v>
      </c>
      <c r="M295" s="258">
        <v>0</v>
      </c>
      <c r="N295" s="258">
        <v>0</v>
      </c>
      <c r="O295" s="258">
        <v>3</v>
      </c>
      <c r="P295" s="255" t="s">
        <v>43</v>
      </c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8" t="s">
        <v>127</v>
      </c>
      <c r="AE295" s="251"/>
      <c r="AF295" s="251"/>
      <c r="AG295" s="251"/>
      <c r="AH295" s="251"/>
      <c r="AI295" s="251"/>
      <c r="AJ295" s="251"/>
    </row>
    <row r="296" spans="1:36" x14ac:dyDescent="0.3">
      <c r="A296" s="253" t="s">
        <v>331</v>
      </c>
      <c r="B296" s="254">
        <v>46077</v>
      </c>
      <c r="C296" s="255" t="s">
        <v>35</v>
      </c>
      <c r="D296" s="256" t="s">
        <v>339</v>
      </c>
      <c r="E296" s="255" t="s">
        <v>1</v>
      </c>
      <c r="F296" s="255" t="s">
        <v>302</v>
      </c>
      <c r="G296" s="257">
        <v>0</v>
      </c>
      <c r="H296" s="258">
        <v>168</v>
      </c>
      <c r="I296" s="258">
        <v>0</v>
      </c>
      <c r="J296" s="258">
        <v>0</v>
      </c>
      <c r="K296" s="255" t="s">
        <v>303</v>
      </c>
      <c r="L296" s="259" t="s">
        <v>109</v>
      </c>
      <c r="M296" s="258">
        <v>0</v>
      </c>
      <c r="N296" s="258">
        <v>0</v>
      </c>
      <c r="O296" s="258">
        <v>0</v>
      </c>
      <c r="P296" s="255" t="s">
        <v>43</v>
      </c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</row>
    <row r="297" spans="1:36" x14ac:dyDescent="0.3">
      <c r="A297" s="253" t="s">
        <v>340</v>
      </c>
      <c r="B297" s="254">
        <v>46078</v>
      </c>
      <c r="C297" s="255" t="s">
        <v>35</v>
      </c>
      <c r="D297" s="256" t="s">
        <v>341</v>
      </c>
      <c r="E297" s="255" t="s">
        <v>1</v>
      </c>
      <c r="F297" s="255" t="s">
        <v>302</v>
      </c>
      <c r="G297" s="257">
        <v>4.7600000000000003E-2</v>
      </c>
      <c r="H297" s="258">
        <v>168</v>
      </c>
      <c r="I297" s="258">
        <v>8</v>
      </c>
      <c r="J297" s="258">
        <v>0</v>
      </c>
      <c r="K297" s="255" t="s">
        <v>303</v>
      </c>
      <c r="L297" s="259" t="s">
        <v>106</v>
      </c>
      <c r="M297" s="258">
        <v>0</v>
      </c>
      <c r="N297" s="258">
        <v>0</v>
      </c>
      <c r="O297" s="258">
        <v>8</v>
      </c>
      <c r="P297" s="255" t="s">
        <v>89</v>
      </c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8" t="s">
        <v>92</v>
      </c>
      <c r="AE297" s="251"/>
      <c r="AF297" s="251"/>
      <c r="AG297" s="251"/>
      <c r="AH297" s="251"/>
      <c r="AI297" s="251"/>
      <c r="AJ297" s="251"/>
    </row>
    <row r="298" spans="1:36" x14ac:dyDescent="0.3">
      <c r="A298" s="253" t="s">
        <v>340</v>
      </c>
      <c r="B298" s="254">
        <v>46078</v>
      </c>
      <c r="C298" s="255" t="s">
        <v>48</v>
      </c>
      <c r="D298" s="256" t="s">
        <v>342</v>
      </c>
      <c r="E298" s="255" t="s">
        <v>1</v>
      </c>
      <c r="F298" s="255" t="s">
        <v>302</v>
      </c>
      <c r="G298" s="257">
        <v>6.5500000000000003E-2</v>
      </c>
      <c r="H298" s="258">
        <v>168</v>
      </c>
      <c r="I298" s="258">
        <v>11</v>
      </c>
      <c r="J298" s="258">
        <v>0</v>
      </c>
      <c r="K298" s="255" t="s">
        <v>303</v>
      </c>
      <c r="L298" s="259" t="s">
        <v>166</v>
      </c>
      <c r="M298" s="258">
        <v>0</v>
      </c>
      <c r="N298" s="258">
        <v>0</v>
      </c>
      <c r="O298" s="258">
        <v>12</v>
      </c>
      <c r="P298" s="255" t="s">
        <v>102</v>
      </c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8" t="s">
        <v>160</v>
      </c>
      <c r="AD298" s="258" t="s">
        <v>132</v>
      </c>
      <c r="AE298" s="251"/>
      <c r="AF298" s="251"/>
      <c r="AG298" s="251"/>
      <c r="AH298" s="251"/>
      <c r="AI298" s="251"/>
      <c r="AJ298" s="251"/>
    </row>
    <row r="299" spans="1:36" x14ac:dyDescent="0.3">
      <c r="A299" s="253" t="s">
        <v>340</v>
      </c>
      <c r="B299" s="254">
        <v>46078</v>
      </c>
      <c r="C299" s="255" t="s">
        <v>38</v>
      </c>
      <c r="D299" s="256" t="s">
        <v>307</v>
      </c>
      <c r="E299" s="255" t="s">
        <v>1</v>
      </c>
      <c r="F299" s="255" t="s">
        <v>302</v>
      </c>
      <c r="G299" s="257">
        <v>5.9499999999999997E-2</v>
      </c>
      <c r="H299" s="258">
        <v>168</v>
      </c>
      <c r="I299" s="258">
        <v>10</v>
      </c>
      <c r="J299" s="258">
        <v>0</v>
      </c>
      <c r="K299" s="255" t="s">
        <v>303</v>
      </c>
      <c r="L299" s="259" t="s">
        <v>97</v>
      </c>
      <c r="M299" s="258">
        <v>0</v>
      </c>
      <c r="N299" s="258">
        <v>0</v>
      </c>
      <c r="O299" s="258">
        <v>10</v>
      </c>
      <c r="P299" s="255" t="s">
        <v>102</v>
      </c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8" t="s">
        <v>132</v>
      </c>
      <c r="AE299" s="251"/>
      <c r="AF299" s="251"/>
      <c r="AG299" s="251"/>
      <c r="AH299" s="251"/>
      <c r="AI299" s="251"/>
      <c r="AJ299" s="251"/>
    </row>
    <row r="300" spans="1:36" x14ac:dyDescent="0.3">
      <c r="A300" s="253" t="s">
        <v>344</v>
      </c>
      <c r="B300" s="254">
        <v>46079</v>
      </c>
      <c r="C300" s="255" t="s">
        <v>29</v>
      </c>
      <c r="D300" s="256" t="s">
        <v>345</v>
      </c>
      <c r="E300" s="255" t="s">
        <v>1</v>
      </c>
      <c r="F300" s="255" t="s">
        <v>302</v>
      </c>
      <c r="G300" s="257">
        <v>0</v>
      </c>
      <c r="H300" s="258">
        <v>168</v>
      </c>
      <c r="I300" s="258">
        <v>0</v>
      </c>
      <c r="J300" s="258">
        <v>0</v>
      </c>
      <c r="K300" s="255" t="s">
        <v>303</v>
      </c>
      <c r="L300" s="259" t="s">
        <v>109</v>
      </c>
      <c r="M300" s="258">
        <v>0</v>
      </c>
      <c r="N300" s="258">
        <v>0</v>
      </c>
      <c r="O300" s="258">
        <v>0</v>
      </c>
      <c r="P300" s="255" t="s">
        <v>80</v>
      </c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</row>
    <row r="301" spans="1:36" x14ac:dyDescent="0.3">
      <c r="A301" s="253" t="s">
        <v>344</v>
      </c>
      <c r="B301" s="254">
        <v>46079</v>
      </c>
      <c r="C301" s="255" t="s">
        <v>44</v>
      </c>
      <c r="D301" s="256" t="s">
        <v>301</v>
      </c>
      <c r="E301" s="255" t="s">
        <v>1</v>
      </c>
      <c r="F301" s="255" t="s">
        <v>302</v>
      </c>
      <c r="G301" s="257">
        <v>6.0000000000000001E-3</v>
      </c>
      <c r="H301" s="258">
        <v>168</v>
      </c>
      <c r="I301" s="258">
        <v>1</v>
      </c>
      <c r="J301" s="258">
        <v>0</v>
      </c>
      <c r="K301" s="255" t="s">
        <v>303</v>
      </c>
      <c r="L301" s="259" t="s">
        <v>267</v>
      </c>
      <c r="M301" s="258">
        <v>0</v>
      </c>
      <c r="N301" s="258">
        <v>0</v>
      </c>
      <c r="O301" s="258">
        <v>1</v>
      </c>
      <c r="P301" s="255" t="s">
        <v>80</v>
      </c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8" t="s">
        <v>114</v>
      </c>
      <c r="AE301" s="251"/>
      <c r="AF301" s="251"/>
      <c r="AG301" s="251"/>
      <c r="AH301" s="251"/>
      <c r="AI301" s="251"/>
      <c r="AJ301" s="251"/>
    </row>
    <row r="302" spans="1:36" x14ac:dyDescent="0.3">
      <c r="A302" s="253" t="s">
        <v>344</v>
      </c>
      <c r="B302" s="254">
        <v>46079</v>
      </c>
      <c r="C302" s="255" t="s">
        <v>51</v>
      </c>
      <c r="D302" s="256" t="s">
        <v>346</v>
      </c>
      <c r="E302" s="255" t="s">
        <v>1</v>
      </c>
      <c r="F302" s="255" t="s">
        <v>302</v>
      </c>
      <c r="G302" s="257">
        <v>0.63690000000000002</v>
      </c>
      <c r="H302" s="258">
        <v>168</v>
      </c>
      <c r="I302" s="258">
        <v>107</v>
      </c>
      <c r="J302" s="258">
        <v>100</v>
      </c>
      <c r="K302" s="255" t="s">
        <v>303</v>
      </c>
      <c r="L302" s="259" t="s">
        <v>106</v>
      </c>
      <c r="M302" s="258">
        <v>0</v>
      </c>
      <c r="N302" s="258">
        <v>0</v>
      </c>
      <c r="O302" s="258">
        <v>10</v>
      </c>
      <c r="P302" s="255" t="s">
        <v>186</v>
      </c>
      <c r="Q302" s="251"/>
      <c r="R302" s="258" t="s">
        <v>384</v>
      </c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8" t="s">
        <v>186</v>
      </c>
      <c r="AE302" s="251"/>
      <c r="AF302" s="251"/>
      <c r="AG302" s="258" t="s">
        <v>385</v>
      </c>
      <c r="AH302" s="251"/>
      <c r="AI302" s="251"/>
      <c r="AJ302" s="251"/>
    </row>
    <row r="303" spans="1:36" x14ac:dyDescent="0.3">
      <c r="A303" s="253" t="s">
        <v>344</v>
      </c>
      <c r="B303" s="254">
        <v>46079</v>
      </c>
      <c r="C303" s="255" t="s">
        <v>35</v>
      </c>
      <c r="D303" s="256" t="s">
        <v>314</v>
      </c>
      <c r="E303" s="255" t="s">
        <v>1</v>
      </c>
      <c r="F303" s="255" t="s">
        <v>302</v>
      </c>
      <c r="G303" s="257">
        <v>0</v>
      </c>
      <c r="H303" s="258">
        <v>168</v>
      </c>
      <c r="I303" s="258">
        <v>0</v>
      </c>
      <c r="J303" s="258">
        <v>0</v>
      </c>
      <c r="K303" s="255" t="s">
        <v>303</v>
      </c>
      <c r="L303" s="259" t="s">
        <v>109</v>
      </c>
      <c r="M303" s="258">
        <v>0</v>
      </c>
      <c r="N303" s="258">
        <v>0</v>
      </c>
      <c r="O303" s="258">
        <v>0</v>
      </c>
      <c r="P303" s="255" t="s">
        <v>80</v>
      </c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</row>
    <row r="304" spans="1:36" x14ac:dyDescent="0.3">
      <c r="A304" s="253" t="s">
        <v>344</v>
      </c>
      <c r="B304" s="254">
        <v>46079</v>
      </c>
      <c r="C304" s="255" t="s">
        <v>101</v>
      </c>
      <c r="D304" s="256" t="s">
        <v>347</v>
      </c>
      <c r="E304" s="255" t="s">
        <v>1</v>
      </c>
      <c r="F304" s="255" t="s">
        <v>302</v>
      </c>
      <c r="G304" s="257">
        <v>0</v>
      </c>
      <c r="H304" s="258">
        <v>168</v>
      </c>
      <c r="I304" s="258">
        <v>0</v>
      </c>
      <c r="J304" s="258">
        <v>0</v>
      </c>
      <c r="K304" s="255" t="s">
        <v>303</v>
      </c>
      <c r="L304" s="259" t="s">
        <v>109</v>
      </c>
      <c r="M304" s="258">
        <v>0</v>
      </c>
      <c r="N304" s="258">
        <v>0</v>
      </c>
      <c r="O304" s="258">
        <v>0</v>
      </c>
      <c r="P304" s="255" t="s">
        <v>102</v>
      </c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</row>
    <row r="305" spans="1:36" x14ac:dyDescent="0.3">
      <c r="A305" s="253" t="s">
        <v>344</v>
      </c>
      <c r="B305" s="254">
        <v>46079</v>
      </c>
      <c r="C305" s="255" t="s">
        <v>38</v>
      </c>
      <c r="D305" s="256" t="s">
        <v>348</v>
      </c>
      <c r="E305" s="255" t="s">
        <v>1</v>
      </c>
      <c r="F305" s="255" t="s">
        <v>302</v>
      </c>
      <c r="G305" s="257">
        <v>1.1900000000000001E-2</v>
      </c>
      <c r="H305" s="258">
        <v>168</v>
      </c>
      <c r="I305" s="258">
        <v>2</v>
      </c>
      <c r="J305" s="258">
        <v>0</v>
      </c>
      <c r="K305" s="255" t="s">
        <v>303</v>
      </c>
      <c r="L305" s="259" t="s">
        <v>94</v>
      </c>
      <c r="M305" s="258">
        <v>0</v>
      </c>
      <c r="N305" s="258">
        <v>0</v>
      </c>
      <c r="O305" s="258">
        <v>2</v>
      </c>
      <c r="P305" s="255" t="s">
        <v>92</v>
      </c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8" t="s">
        <v>89</v>
      </c>
      <c r="AE305" s="251"/>
      <c r="AF305" s="251"/>
      <c r="AG305" s="251"/>
      <c r="AH305" s="251"/>
      <c r="AI305" s="251"/>
      <c r="AJ305" s="251"/>
    </row>
    <row r="306" spans="1:36" x14ac:dyDescent="0.3">
      <c r="A306" s="253" t="s">
        <v>344</v>
      </c>
      <c r="B306" s="254">
        <v>46079</v>
      </c>
      <c r="C306" s="255" t="s">
        <v>40</v>
      </c>
      <c r="D306" s="256" t="s">
        <v>350</v>
      </c>
      <c r="E306" s="255" t="s">
        <v>1</v>
      </c>
      <c r="F306" s="255" t="s">
        <v>302</v>
      </c>
      <c r="G306" s="257">
        <v>2.98E-2</v>
      </c>
      <c r="H306" s="258">
        <v>168</v>
      </c>
      <c r="I306" s="258">
        <v>5</v>
      </c>
      <c r="J306" s="258">
        <v>0</v>
      </c>
      <c r="K306" s="255" t="s">
        <v>303</v>
      </c>
      <c r="L306" s="259" t="s">
        <v>174</v>
      </c>
      <c r="M306" s="258">
        <v>0</v>
      </c>
      <c r="N306" s="258">
        <v>0</v>
      </c>
      <c r="O306" s="258">
        <v>5</v>
      </c>
      <c r="P306" s="255" t="s">
        <v>186</v>
      </c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8" t="s">
        <v>186</v>
      </c>
      <c r="AE306" s="251"/>
      <c r="AF306" s="251"/>
      <c r="AG306" s="251"/>
      <c r="AH306" s="251"/>
      <c r="AI306" s="251"/>
      <c r="AJ306" s="251"/>
    </row>
    <row r="307" spans="1:36" x14ac:dyDescent="0.3">
      <c r="A307" s="253" t="s">
        <v>300</v>
      </c>
      <c r="B307" s="254">
        <v>46080</v>
      </c>
      <c r="C307" s="255" t="s">
        <v>29</v>
      </c>
      <c r="D307" s="256" t="s">
        <v>301</v>
      </c>
      <c r="E307" s="255" t="s">
        <v>1</v>
      </c>
      <c r="F307" s="255" t="s">
        <v>302</v>
      </c>
      <c r="G307" s="257">
        <v>2.3800000000000002E-2</v>
      </c>
      <c r="H307" s="258">
        <v>168</v>
      </c>
      <c r="I307" s="258">
        <v>4</v>
      </c>
      <c r="J307" s="258">
        <v>0</v>
      </c>
      <c r="K307" s="255" t="s">
        <v>303</v>
      </c>
      <c r="L307" s="259" t="s">
        <v>183</v>
      </c>
      <c r="M307" s="258">
        <v>0</v>
      </c>
      <c r="N307" s="258">
        <v>0</v>
      </c>
      <c r="O307" s="258">
        <v>4</v>
      </c>
      <c r="P307" s="255" t="s">
        <v>87</v>
      </c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8" t="s">
        <v>133</v>
      </c>
      <c r="AE307" s="251"/>
      <c r="AF307" s="251"/>
      <c r="AG307" s="251"/>
      <c r="AH307" s="251"/>
      <c r="AI307" s="251"/>
      <c r="AJ307" s="251"/>
    </row>
    <row r="308" spans="1:36" x14ac:dyDescent="0.3">
      <c r="A308" s="253" t="s">
        <v>300</v>
      </c>
      <c r="B308" s="254">
        <v>46080</v>
      </c>
      <c r="C308" s="255" t="s">
        <v>35</v>
      </c>
      <c r="D308" s="256" t="s">
        <v>305</v>
      </c>
      <c r="E308" s="255" t="s">
        <v>1</v>
      </c>
      <c r="F308" s="255" t="s">
        <v>302</v>
      </c>
      <c r="G308" s="257">
        <v>0</v>
      </c>
      <c r="H308" s="258">
        <v>168</v>
      </c>
      <c r="I308" s="258">
        <v>0</v>
      </c>
      <c r="J308" s="258">
        <v>0</v>
      </c>
      <c r="K308" s="255" t="s">
        <v>303</v>
      </c>
      <c r="L308" s="259" t="s">
        <v>109</v>
      </c>
      <c r="M308" s="258">
        <v>0</v>
      </c>
      <c r="N308" s="258">
        <v>0</v>
      </c>
      <c r="O308" s="258">
        <v>0</v>
      </c>
      <c r="P308" s="255" t="s">
        <v>80</v>
      </c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</row>
    <row r="309" spans="1:36" x14ac:dyDescent="0.3">
      <c r="A309" s="253" t="s">
        <v>300</v>
      </c>
      <c r="B309" s="254">
        <v>46080</v>
      </c>
      <c r="C309" s="255" t="s">
        <v>38</v>
      </c>
      <c r="D309" s="256" t="s">
        <v>306</v>
      </c>
      <c r="E309" s="255" t="s">
        <v>1</v>
      </c>
      <c r="F309" s="255" t="s">
        <v>302</v>
      </c>
      <c r="G309" s="257">
        <v>1.1900000000000001E-2</v>
      </c>
      <c r="H309" s="258">
        <v>168</v>
      </c>
      <c r="I309" s="258">
        <v>2</v>
      </c>
      <c r="J309" s="258">
        <v>0</v>
      </c>
      <c r="K309" s="255" t="s">
        <v>303</v>
      </c>
      <c r="L309" s="259" t="s">
        <v>183</v>
      </c>
      <c r="M309" s="258">
        <v>0</v>
      </c>
      <c r="N309" s="258">
        <v>0</v>
      </c>
      <c r="O309" s="258">
        <v>2</v>
      </c>
      <c r="P309" s="255" t="s">
        <v>92</v>
      </c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8" t="s">
        <v>89</v>
      </c>
      <c r="AE309" s="251"/>
      <c r="AF309" s="251"/>
      <c r="AG309" s="251"/>
      <c r="AH309" s="251"/>
      <c r="AI309" s="251"/>
      <c r="AJ309" s="251"/>
    </row>
    <row r="310" spans="1:36" x14ac:dyDescent="0.3">
      <c r="A310" s="253" t="s">
        <v>300</v>
      </c>
      <c r="B310" s="254">
        <v>46080</v>
      </c>
      <c r="C310" s="255" t="s">
        <v>40</v>
      </c>
      <c r="D310" s="256" t="s">
        <v>307</v>
      </c>
      <c r="E310" s="255" t="s">
        <v>1</v>
      </c>
      <c r="F310" s="255" t="s">
        <v>302</v>
      </c>
      <c r="G310" s="257">
        <v>2.98E-2</v>
      </c>
      <c r="H310" s="258">
        <v>168</v>
      </c>
      <c r="I310" s="258">
        <v>5</v>
      </c>
      <c r="J310" s="258">
        <v>0</v>
      </c>
      <c r="K310" s="255" t="s">
        <v>303</v>
      </c>
      <c r="L310" s="259" t="s">
        <v>97</v>
      </c>
      <c r="M310" s="258">
        <v>0</v>
      </c>
      <c r="N310" s="258">
        <v>0</v>
      </c>
      <c r="O310" s="258">
        <v>5</v>
      </c>
      <c r="P310" s="255" t="s">
        <v>186</v>
      </c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8" t="s">
        <v>186</v>
      </c>
      <c r="AE310" s="251"/>
      <c r="AF310" s="251"/>
      <c r="AG310" s="251"/>
      <c r="AH310" s="251"/>
      <c r="AI310" s="251"/>
      <c r="AJ310" s="251"/>
    </row>
    <row r="311" spans="1:36" x14ac:dyDescent="0.3">
      <c r="A311" s="253" t="s">
        <v>300</v>
      </c>
      <c r="B311" s="254">
        <v>46080</v>
      </c>
      <c r="C311" s="255" t="s">
        <v>44</v>
      </c>
      <c r="D311" s="256" t="s">
        <v>308</v>
      </c>
      <c r="E311" s="255" t="s">
        <v>1</v>
      </c>
      <c r="F311" s="255" t="s">
        <v>302</v>
      </c>
      <c r="G311" s="257">
        <v>4.1700000000000001E-2</v>
      </c>
      <c r="H311" s="258">
        <v>168</v>
      </c>
      <c r="I311" s="258">
        <v>7</v>
      </c>
      <c r="J311" s="258">
        <v>0</v>
      </c>
      <c r="K311" s="255" t="s">
        <v>303</v>
      </c>
      <c r="L311" s="259" t="s">
        <v>106</v>
      </c>
      <c r="M311" s="258">
        <v>0</v>
      </c>
      <c r="N311" s="258">
        <v>0</v>
      </c>
      <c r="O311" s="258">
        <v>7</v>
      </c>
      <c r="P311" s="255" t="s">
        <v>127</v>
      </c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8" t="s">
        <v>95</v>
      </c>
      <c r="AE311" s="251"/>
      <c r="AF311" s="251"/>
      <c r="AG311" s="251"/>
      <c r="AH311" s="251"/>
      <c r="AI311" s="251"/>
      <c r="AJ311" s="251"/>
    </row>
    <row r="312" spans="1:36" x14ac:dyDescent="0.3">
      <c r="A312" s="253" t="s">
        <v>300</v>
      </c>
      <c r="B312" s="254">
        <v>46080</v>
      </c>
      <c r="C312" s="255" t="s">
        <v>48</v>
      </c>
      <c r="D312" s="256" t="s">
        <v>310</v>
      </c>
      <c r="E312" s="255" t="s">
        <v>1</v>
      </c>
      <c r="F312" s="255" t="s">
        <v>302</v>
      </c>
      <c r="G312" s="257">
        <v>8.9300000000000004E-2</v>
      </c>
      <c r="H312" s="258">
        <v>168</v>
      </c>
      <c r="I312" s="258">
        <v>15</v>
      </c>
      <c r="J312" s="258">
        <v>0</v>
      </c>
      <c r="K312" s="255" t="s">
        <v>303</v>
      </c>
      <c r="L312" s="259" t="s">
        <v>206</v>
      </c>
      <c r="M312" s="258">
        <v>0</v>
      </c>
      <c r="N312" s="258">
        <v>0</v>
      </c>
      <c r="O312" s="258">
        <v>15</v>
      </c>
      <c r="P312" s="255" t="s">
        <v>144</v>
      </c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8" t="s">
        <v>269</v>
      </c>
      <c r="AD312" s="258" t="s">
        <v>132</v>
      </c>
      <c r="AE312" s="251"/>
      <c r="AF312" s="251"/>
      <c r="AG312" s="251"/>
      <c r="AH312" s="251"/>
      <c r="AI312" s="251"/>
      <c r="AJ312" s="251"/>
    </row>
    <row r="313" spans="1:36" x14ac:dyDescent="0.3">
      <c r="A313" s="253" t="s">
        <v>312</v>
      </c>
      <c r="B313" s="254">
        <v>46081</v>
      </c>
      <c r="C313" s="255" t="s">
        <v>51</v>
      </c>
      <c r="D313" s="256" t="s">
        <v>313</v>
      </c>
      <c r="E313" s="255" t="s">
        <v>1</v>
      </c>
      <c r="F313" s="255" t="s">
        <v>302</v>
      </c>
      <c r="G313" s="257">
        <v>7.4700000000000003E-2</v>
      </c>
      <c r="H313" s="258">
        <v>174</v>
      </c>
      <c r="I313" s="258">
        <v>13</v>
      </c>
      <c r="J313" s="258">
        <v>0</v>
      </c>
      <c r="K313" s="255" t="s">
        <v>303</v>
      </c>
      <c r="L313" s="259" t="s">
        <v>97</v>
      </c>
      <c r="M313" s="258">
        <v>0</v>
      </c>
      <c r="N313" s="258">
        <v>0</v>
      </c>
      <c r="O313" s="258">
        <v>13</v>
      </c>
      <c r="P313" s="255" t="s">
        <v>102</v>
      </c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8" t="s">
        <v>104</v>
      </c>
      <c r="AD313" s="258" t="s">
        <v>132</v>
      </c>
      <c r="AE313" s="251"/>
      <c r="AF313" s="251"/>
      <c r="AG313" s="251"/>
      <c r="AH313" s="251"/>
      <c r="AI313" s="251"/>
      <c r="AJ313" s="251"/>
    </row>
    <row r="314" spans="1:36" x14ac:dyDescent="0.3">
      <c r="A314" s="253" t="s">
        <v>312</v>
      </c>
      <c r="B314" s="254">
        <v>46081</v>
      </c>
      <c r="C314" s="255" t="s">
        <v>35</v>
      </c>
      <c r="D314" s="256" t="s">
        <v>314</v>
      </c>
      <c r="E314" s="255" t="s">
        <v>1</v>
      </c>
      <c r="F314" s="255" t="s">
        <v>302</v>
      </c>
      <c r="G314" s="257">
        <v>3.5700000000000003E-2</v>
      </c>
      <c r="H314" s="258">
        <v>168</v>
      </c>
      <c r="I314" s="258">
        <v>6</v>
      </c>
      <c r="J314" s="258">
        <v>0</v>
      </c>
      <c r="K314" s="255" t="s">
        <v>303</v>
      </c>
      <c r="L314" s="259" t="s">
        <v>94</v>
      </c>
      <c r="M314" s="258">
        <v>0</v>
      </c>
      <c r="N314" s="258">
        <v>0</v>
      </c>
      <c r="O314" s="258">
        <v>6</v>
      </c>
      <c r="P314" s="255" t="s">
        <v>133</v>
      </c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8" t="s">
        <v>87</v>
      </c>
      <c r="AE314" s="251"/>
      <c r="AF314" s="251"/>
      <c r="AG314" s="251"/>
      <c r="AH314" s="251"/>
      <c r="AI314" s="251"/>
      <c r="AJ314" s="251"/>
    </row>
    <row r="315" spans="1:36" x14ac:dyDescent="0.3">
      <c r="A315" s="253" t="s">
        <v>312</v>
      </c>
      <c r="B315" s="254">
        <v>46081</v>
      </c>
      <c r="C315" s="255" t="s">
        <v>38</v>
      </c>
      <c r="D315" s="256" t="s">
        <v>316</v>
      </c>
      <c r="E315" s="255" t="s">
        <v>1</v>
      </c>
      <c r="F315" s="255" t="s">
        <v>302</v>
      </c>
      <c r="G315" s="257">
        <v>0.1012</v>
      </c>
      <c r="H315" s="258">
        <v>168</v>
      </c>
      <c r="I315" s="258">
        <v>17</v>
      </c>
      <c r="J315" s="258">
        <v>0</v>
      </c>
      <c r="K315" s="255" t="s">
        <v>303</v>
      </c>
      <c r="L315" s="259" t="s">
        <v>113</v>
      </c>
      <c r="M315" s="258">
        <v>0</v>
      </c>
      <c r="N315" s="258">
        <v>0</v>
      </c>
      <c r="O315" s="258">
        <v>18</v>
      </c>
      <c r="P315" s="255" t="s">
        <v>269</v>
      </c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8" t="s">
        <v>144</v>
      </c>
      <c r="AD315" s="258" t="s">
        <v>132</v>
      </c>
      <c r="AE315" s="251"/>
      <c r="AF315" s="251"/>
      <c r="AG315" s="251"/>
      <c r="AH315" s="251"/>
      <c r="AI315" s="251"/>
      <c r="AJ315" s="251"/>
    </row>
    <row r="316" spans="1:36" x14ac:dyDescent="0.3">
      <c r="A316" s="253" t="s">
        <v>317</v>
      </c>
      <c r="B316" s="254">
        <v>46082</v>
      </c>
      <c r="C316" s="255" t="s">
        <v>29</v>
      </c>
      <c r="D316" s="256" t="s">
        <v>318</v>
      </c>
      <c r="E316" s="255" t="s">
        <v>1</v>
      </c>
      <c r="F316" s="255" t="s">
        <v>302</v>
      </c>
      <c r="G316" s="257">
        <v>0.14879999999999999</v>
      </c>
      <c r="H316" s="258">
        <v>168</v>
      </c>
      <c r="I316" s="258">
        <v>25</v>
      </c>
      <c r="J316" s="258">
        <v>25</v>
      </c>
      <c r="K316" s="255" t="s">
        <v>303</v>
      </c>
      <c r="L316" s="259" t="s">
        <v>251</v>
      </c>
      <c r="M316" s="258">
        <v>0</v>
      </c>
      <c r="N316" s="258">
        <v>0</v>
      </c>
      <c r="O316" s="258">
        <v>1</v>
      </c>
      <c r="P316" s="255" t="s">
        <v>80</v>
      </c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8" t="s">
        <v>252</v>
      </c>
      <c r="AH316" s="251"/>
      <c r="AI316" s="251"/>
      <c r="AJ316" s="251"/>
    </row>
    <row r="317" spans="1:36" x14ac:dyDescent="0.3">
      <c r="A317" s="253" t="s">
        <v>317</v>
      </c>
      <c r="B317" s="254">
        <v>46082</v>
      </c>
      <c r="C317" s="255" t="s">
        <v>35</v>
      </c>
      <c r="D317" s="256" t="s">
        <v>305</v>
      </c>
      <c r="E317" s="255" t="s">
        <v>1</v>
      </c>
      <c r="F317" s="255" t="s">
        <v>302</v>
      </c>
      <c r="G317" s="257">
        <v>1.1900000000000001E-2</v>
      </c>
      <c r="H317" s="258">
        <v>168</v>
      </c>
      <c r="I317" s="258">
        <v>2</v>
      </c>
      <c r="J317" s="258">
        <v>0</v>
      </c>
      <c r="K317" s="255" t="s">
        <v>303</v>
      </c>
      <c r="L317" s="259" t="s">
        <v>205</v>
      </c>
      <c r="M317" s="258">
        <v>0</v>
      </c>
      <c r="N317" s="258">
        <v>0</v>
      </c>
      <c r="O317" s="258">
        <v>2</v>
      </c>
      <c r="P317" s="255" t="s">
        <v>92</v>
      </c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8" t="s">
        <v>89</v>
      </c>
      <c r="AE317" s="251"/>
      <c r="AF317" s="251"/>
      <c r="AG317" s="251"/>
      <c r="AH317" s="251"/>
      <c r="AI317" s="251"/>
      <c r="AJ317" s="251"/>
    </row>
    <row r="318" spans="1:36" x14ac:dyDescent="0.3">
      <c r="A318" s="253" t="s">
        <v>317</v>
      </c>
      <c r="B318" s="254">
        <v>46082</v>
      </c>
      <c r="C318" s="255" t="s">
        <v>101</v>
      </c>
      <c r="D318" s="256" t="s">
        <v>314</v>
      </c>
      <c r="E318" s="255" t="s">
        <v>1</v>
      </c>
      <c r="F318" s="255" t="s">
        <v>302</v>
      </c>
      <c r="G318" s="257">
        <v>0</v>
      </c>
      <c r="H318" s="258">
        <v>168</v>
      </c>
      <c r="I318" s="258">
        <v>0</v>
      </c>
      <c r="J318" s="258">
        <v>0</v>
      </c>
      <c r="K318" s="255" t="s">
        <v>303</v>
      </c>
      <c r="L318" s="259" t="s">
        <v>109</v>
      </c>
      <c r="M318" s="258">
        <v>0</v>
      </c>
      <c r="N318" s="258">
        <v>0</v>
      </c>
      <c r="O318" s="258">
        <v>0</v>
      </c>
      <c r="P318" s="255" t="s">
        <v>102</v>
      </c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</row>
    <row r="319" spans="1:36" x14ac:dyDescent="0.3">
      <c r="A319" s="253" t="s">
        <v>317</v>
      </c>
      <c r="B319" s="254">
        <v>46082</v>
      </c>
      <c r="C319" s="255" t="s">
        <v>48</v>
      </c>
      <c r="D319" s="256" t="s">
        <v>321</v>
      </c>
      <c r="E319" s="255" t="s">
        <v>1</v>
      </c>
      <c r="F319" s="255" t="s">
        <v>302</v>
      </c>
      <c r="G319" s="257">
        <v>4.1700000000000001E-2</v>
      </c>
      <c r="H319" s="258">
        <v>168</v>
      </c>
      <c r="I319" s="258">
        <v>7</v>
      </c>
      <c r="J319" s="258">
        <v>0</v>
      </c>
      <c r="K319" s="255" t="s">
        <v>303</v>
      </c>
      <c r="L319" s="259" t="s">
        <v>97</v>
      </c>
      <c r="M319" s="258">
        <v>0</v>
      </c>
      <c r="N319" s="258">
        <v>0</v>
      </c>
      <c r="O319" s="258">
        <v>8</v>
      </c>
      <c r="P319" s="255" t="s">
        <v>127</v>
      </c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8" t="s">
        <v>95</v>
      </c>
      <c r="AE319" s="251"/>
      <c r="AF319" s="251"/>
      <c r="AG319" s="251"/>
      <c r="AH319" s="251"/>
      <c r="AI319" s="251"/>
      <c r="AJ319" s="251"/>
    </row>
    <row r="320" spans="1:36" x14ac:dyDescent="0.3">
      <c r="A320" s="253" t="s">
        <v>317</v>
      </c>
      <c r="B320" s="254">
        <v>46082</v>
      </c>
      <c r="C320" s="255" t="s">
        <v>38</v>
      </c>
      <c r="D320" s="256" t="s">
        <v>322</v>
      </c>
      <c r="E320" s="255" t="s">
        <v>1</v>
      </c>
      <c r="F320" s="255" t="s">
        <v>302</v>
      </c>
      <c r="G320" s="257">
        <v>6.5500000000000003E-2</v>
      </c>
      <c r="H320" s="258">
        <v>168</v>
      </c>
      <c r="I320" s="258">
        <v>11</v>
      </c>
      <c r="J320" s="258">
        <v>0</v>
      </c>
      <c r="K320" s="255" t="s">
        <v>303</v>
      </c>
      <c r="L320" s="259" t="s">
        <v>91</v>
      </c>
      <c r="M320" s="258">
        <v>0</v>
      </c>
      <c r="N320" s="258">
        <v>0</v>
      </c>
      <c r="O320" s="258">
        <v>11</v>
      </c>
      <c r="P320" s="255" t="s">
        <v>102</v>
      </c>
      <c r="Q320" s="251"/>
      <c r="R320" s="251"/>
      <c r="S320" s="251"/>
      <c r="T320" s="251"/>
      <c r="U320" s="251"/>
      <c r="V320" s="251"/>
      <c r="W320" s="251"/>
      <c r="X320" s="251"/>
      <c r="Y320" s="251"/>
      <c r="Z320" s="258" t="s">
        <v>208</v>
      </c>
      <c r="AA320" s="251"/>
      <c r="AB320" s="251"/>
      <c r="AC320" s="251"/>
      <c r="AD320" s="258" t="s">
        <v>132</v>
      </c>
      <c r="AE320" s="251"/>
      <c r="AF320" s="251"/>
      <c r="AG320" s="251"/>
      <c r="AH320" s="251"/>
      <c r="AI320" s="251"/>
      <c r="AJ320" s="251"/>
    </row>
    <row r="321" spans="1:36" ht="21" x14ac:dyDescent="0.3">
      <c r="A321" s="260" t="s">
        <v>515</v>
      </c>
      <c r="B321" s="261"/>
      <c r="C321" s="260">
        <f>SUBTOTAL(103,JED_CAI_LF_LEGACY[Flt])</f>
        <v>319</v>
      </c>
      <c r="D321" s="260"/>
      <c r="E321" s="260">
        <f>SUBTOTAL(103,JED_CAI_LF_LEGACY[Brd-Off])</f>
        <v>319</v>
      </c>
      <c r="F321" s="260"/>
      <c r="G321" s="262">
        <f>SUBTOTAL(101,JED_CAI_LF_LEGACY[LF%])</f>
        <v>0.17569122257053266</v>
      </c>
      <c r="H321" s="263">
        <f>SUBTOTAL(109,JED_CAI_LF_LEGACY[CAP])</f>
        <v>53968</v>
      </c>
      <c r="I321" s="263">
        <f>SUBTOTAL(109,JED_CAI_LF_LEGACY[BKG(Y)])</f>
        <v>9575</v>
      </c>
      <c r="J321" s="263">
        <f>SUBTOTAL(109,JED_CAI_LF_LEGACY[GRP(Y)])</f>
        <v>7636</v>
      </c>
      <c r="K321" s="260"/>
      <c r="L321" s="261"/>
      <c r="M321" s="263">
        <f>SUBTOTAL(109,JED_CAI_LF_LEGACY[TO-DAY])</f>
        <v>13</v>
      </c>
      <c r="N321" s="263">
        <f>SUBTOTAL(109,JED_CAI_LF_LEGACY[Y-DAY])</f>
        <v>24</v>
      </c>
      <c r="O321" s="263">
        <f>SUBTOTAL(109,JED_CAI_LF_LEGACY[WEEKLY])</f>
        <v>1831</v>
      </c>
      <c r="P321" s="264"/>
      <c r="Q321" s="263">
        <f>SUBTOTAL(109,JED_CAI_LF_LEGACY[Y])</f>
        <v>0</v>
      </c>
      <c r="R321" s="263">
        <f>SUBTOTAL(109,JED_CAI_LF_LEGACY[B])</f>
        <v>0</v>
      </c>
      <c r="S321" s="263">
        <f>SUBTOTAL(109,JED_CAI_LF_LEGACY[M])</f>
        <v>0</v>
      </c>
      <c r="T321" s="263">
        <f>SUBTOTAL(109,JED_CAI_LF_LEGACY[H])</f>
        <v>0</v>
      </c>
      <c r="U321" s="263">
        <f>SUBTOTAL(109,JED_CAI_LF_LEGACY[Q])</f>
        <v>0</v>
      </c>
      <c r="V321" s="263">
        <f>SUBTOTAL(109,JED_CAI_LF_LEGACY[K])</f>
        <v>0</v>
      </c>
      <c r="W321" s="263">
        <f>SUBTOTAL(109,JED_CAI_LF_LEGACY[V])</f>
        <v>0</v>
      </c>
      <c r="X321" s="263">
        <f>SUBTOTAL(109,JED_CAI_LF_LEGACY[L])</f>
        <v>0</v>
      </c>
      <c r="Y321" s="263">
        <f>SUBTOTAL(109,JED_CAI_LF_LEGACY[G])</f>
        <v>0</v>
      </c>
      <c r="Z321" s="263">
        <f>SUBTOTAL(109,JED_CAI_LF_LEGACY[S])</f>
        <v>0</v>
      </c>
      <c r="AA321" s="263">
        <f>SUBTOTAL(109,JED_CAI_LF_LEGACY[W])</f>
        <v>0</v>
      </c>
      <c r="AB321" s="263">
        <f>SUBTOTAL(109,JED_CAI_LF_LEGACY[T])</f>
        <v>0</v>
      </c>
      <c r="AC321" s="263">
        <f>SUBTOTAL(109,JED_CAI_LF_LEGACY[X])</f>
        <v>0</v>
      </c>
      <c r="AD321" s="263">
        <f>SUBTOTAL(109,JED_CAI_LF_LEGACY[U])</f>
        <v>0</v>
      </c>
      <c r="AE321" s="263">
        <f>SUBTOTAL(109,JED_CAI_LF_LEGACY[O])</f>
        <v>0</v>
      </c>
      <c r="AF321" s="263">
        <f>SUBTOTAL(109,JED_CAI_LF_LEGACY[I])</f>
        <v>0</v>
      </c>
      <c r="AG321" s="263">
        <f>SUBTOTAL(109,JED_CAI_LF_LEGACY[E])</f>
        <v>0</v>
      </c>
      <c r="AH321" s="263">
        <f>SUBTOTAL(109,JED_CAI_LF_LEGACY[A])</f>
        <v>0</v>
      </c>
      <c r="AI321" s="263">
        <f>SUBTOTAL(109,JED_CAI_LF_LEGACY[P])</f>
        <v>0</v>
      </c>
      <c r="AJ321" s="263">
        <f>SUBTOTAL(103,JED_CAI_LF_LEGACY[N])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313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0.3320312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386</v>
      </c>
      <c r="G1" s="2" t="s">
        <v>2</v>
      </c>
      <c r="H1" s="237" t="s">
        <v>3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45984.112340219843</v>
      </c>
      <c r="H2" s="238"/>
      <c r="I2" s="238"/>
      <c r="J2" s="238"/>
      <c r="K2" s="247">
        <v>45984.112340220483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0" t="s">
        <v>8</v>
      </c>
      <c r="B4" s="234"/>
      <c r="C4" s="234"/>
      <c r="D4" s="234"/>
      <c r="E4" s="234"/>
      <c r="F4" s="235"/>
      <c r="G4" s="4">
        <v>46017</v>
      </c>
      <c r="H4" s="248" t="s">
        <v>9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136" t="s">
        <v>28</v>
      </c>
      <c r="B6" s="136" t="s">
        <v>387</v>
      </c>
      <c r="C6" s="137">
        <v>0.41666666666666669</v>
      </c>
      <c r="D6" s="136" t="s">
        <v>30</v>
      </c>
      <c r="E6" s="138"/>
      <c r="F6" s="136" t="s">
        <v>49</v>
      </c>
      <c r="G6" s="243"/>
      <c r="H6" s="164" t="s">
        <v>387</v>
      </c>
      <c r="I6" s="224">
        <v>0.48809999999999998</v>
      </c>
      <c r="J6" s="166">
        <v>82</v>
      </c>
      <c r="K6" s="167" t="s">
        <v>36</v>
      </c>
      <c r="L6" s="166">
        <v>10</v>
      </c>
      <c r="M6" s="166">
        <v>5</v>
      </c>
      <c r="N6" s="166">
        <v>0</v>
      </c>
      <c r="O6" s="168" t="s">
        <v>388</v>
      </c>
      <c r="P6" s="169">
        <v>0.41666666666666669</v>
      </c>
      <c r="Q6" s="166">
        <v>168</v>
      </c>
      <c r="R6" s="170" t="s">
        <v>389</v>
      </c>
    </row>
    <row r="7" spans="1:92" ht="17.399999999999999" customHeight="1" thickBot="1" x14ac:dyDescent="0.35">
      <c r="A7" s="265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7"/>
    </row>
    <row r="8" spans="1:92" ht="22.05" customHeight="1" thickTop="1" thickBot="1" x14ac:dyDescent="0.35">
      <c r="A8" s="236" t="s">
        <v>8</v>
      </c>
      <c r="B8" s="234"/>
      <c r="C8" s="234"/>
      <c r="D8" s="234"/>
      <c r="E8" s="234"/>
      <c r="F8" s="235"/>
      <c r="G8" s="68">
        <v>46018</v>
      </c>
      <c r="H8" s="233" t="s">
        <v>9</v>
      </c>
      <c r="I8" s="234"/>
      <c r="J8" s="234"/>
      <c r="K8" s="234"/>
      <c r="L8" s="234"/>
      <c r="M8" s="234"/>
      <c r="N8" s="234"/>
      <c r="O8" s="234"/>
      <c r="P8" s="234"/>
      <c r="Q8" s="234"/>
      <c r="R8" s="235"/>
    </row>
    <row r="9" spans="1:92" ht="24" customHeight="1" x14ac:dyDescent="0.3">
      <c r="A9" s="69" t="s">
        <v>10</v>
      </c>
      <c r="B9" s="69" t="s">
        <v>11</v>
      </c>
      <c r="C9" s="70" t="s">
        <v>12</v>
      </c>
      <c r="D9" s="69" t="s">
        <v>13</v>
      </c>
      <c r="E9" s="69" t="s">
        <v>14</v>
      </c>
      <c r="F9" s="71" t="s">
        <v>15</v>
      </c>
      <c r="G9" s="72" t="s">
        <v>16</v>
      </c>
      <c r="H9" s="69" t="s">
        <v>17</v>
      </c>
      <c r="I9" s="73" t="s">
        <v>18</v>
      </c>
      <c r="J9" s="74" t="s">
        <v>19</v>
      </c>
      <c r="K9" s="75" t="s">
        <v>20</v>
      </c>
      <c r="L9" s="74" t="s">
        <v>21</v>
      </c>
      <c r="M9" s="74" t="s">
        <v>22</v>
      </c>
      <c r="N9" s="74" t="s">
        <v>23</v>
      </c>
      <c r="O9" s="69" t="s">
        <v>24</v>
      </c>
      <c r="P9" s="70" t="s">
        <v>25</v>
      </c>
      <c r="Q9" s="74" t="s">
        <v>26</v>
      </c>
      <c r="R9" s="69" t="s">
        <v>27</v>
      </c>
    </row>
    <row r="10" spans="1:92" ht="49.95" customHeight="1" x14ac:dyDescent="0.3">
      <c r="A10" s="185" t="s">
        <v>28</v>
      </c>
      <c r="B10" s="185" t="s">
        <v>390</v>
      </c>
      <c r="C10" s="186">
        <v>0.45833333333333331</v>
      </c>
      <c r="D10" s="185" t="s">
        <v>30</v>
      </c>
      <c r="E10" s="187"/>
      <c r="F10" s="185" t="s">
        <v>49</v>
      </c>
      <c r="G10" s="240"/>
      <c r="H10" s="146" t="s">
        <v>390</v>
      </c>
      <c r="I10" s="158">
        <v>0.82140000000000002</v>
      </c>
      <c r="J10" s="148">
        <v>138</v>
      </c>
      <c r="K10" s="149" t="s">
        <v>391</v>
      </c>
      <c r="L10" s="148">
        <v>0</v>
      </c>
      <c r="M10" s="148">
        <v>0</v>
      </c>
      <c r="N10" s="148">
        <v>0</v>
      </c>
      <c r="O10" s="150" t="s">
        <v>95</v>
      </c>
      <c r="P10" s="151">
        <v>0.45833333333333331</v>
      </c>
      <c r="Q10" s="148">
        <v>168</v>
      </c>
      <c r="R10" s="152" t="s">
        <v>137</v>
      </c>
    </row>
    <row r="11" spans="1:92" ht="49.95" customHeight="1" thickBot="1" x14ac:dyDescent="0.35">
      <c r="A11" s="90" t="s">
        <v>28</v>
      </c>
      <c r="B11" s="90" t="s">
        <v>387</v>
      </c>
      <c r="C11" s="91">
        <v>0.79166666666666663</v>
      </c>
      <c r="D11" s="90" t="s">
        <v>30</v>
      </c>
      <c r="E11" s="92"/>
      <c r="F11" s="90" t="s">
        <v>49</v>
      </c>
      <c r="G11" s="242"/>
      <c r="H11" s="93" t="s">
        <v>387</v>
      </c>
      <c r="I11" s="221">
        <v>0.54759999999999998</v>
      </c>
      <c r="J11" s="95">
        <v>92</v>
      </c>
      <c r="K11" s="96" t="s">
        <v>36</v>
      </c>
      <c r="L11" s="95">
        <v>2</v>
      </c>
      <c r="M11" s="95">
        <v>1</v>
      </c>
      <c r="N11" s="95">
        <v>0</v>
      </c>
      <c r="O11" s="97" t="s">
        <v>92</v>
      </c>
      <c r="P11" s="98">
        <v>0.79166666666666663</v>
      </c>
      <c r="Q11" s="95">
        <v>168</v>
      </c>
      <c r="R11" s="99" t="s">
        <v>392</v>
      </c>
    </row>
    <row r="12" spans="1:92" ht="17.399999999999999" customHeight="1" thickBot="1" x14ac:dyDescent="0.35">
      <c r="A12" s="265"/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7"/>
    </row>
    <row r="13" spans="1:92" ht="22.05" customHeight="1" thickTop="1" thickBot="1" x14ac:dyDescent="0.35">
      <c r="A13" s="236" t="s">
        <v>8</v>
      </c>
      <c r="B13" s="234"/>
      <c r="C13" s="234"/>
      <c r="D13" s="234"/>
      <c r="E13" s="234"/>
      <c r="F13" s="235"/>
      <c r="G13" s="68">
        <v>46019</v>
      </c>
      <c r="H13" s="233" t="s">
        <v>9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5"/>
    </row>
    <row r="14" spans="1:92" ht="24" customHeight="1" x14ac:dyDescent="0.3">
      <c r="A14" s="69" t="s">
        <v>10</v>
      </c>
      <c r="B14" s="69" t="s">
        <v>11</v>
      </c>
      <c r="C14" s="70" t="s">
        <v>12</v>
      </c>
      <c r="D14" s="69" t="s">
        <v>13</v>
      </c>
      <c r="E14" s="69" t="s">
        <v>14</v>
      </c>
      <c r="F14" s="71" t="s">
        <v>15</v>
      </c>
      <c r="G14" s="72" t="s">
        <v>16</v>
      </c>
      <c r="H14" s="69" t="s">
        <v>17</v>
      </c>
      <c r="I14" s="73" t="s">
        <v>18</v>
      </c>
      <c r="J14" s="74" t="s">
        <v>19</v>
      </c>
      <c r="K14" s="75" t="s">
        <v>20</v>
      </c>
      <c r="L14" s="74" t="s">
        <v>21</v>
      </c>
      <c r="M14" s="74" t="s">
        <v>22</v>
      </c>
      <c r="N14" s="74" t="s">
        <v>23</v>
      </c>
      <c r="O14" s="69" t="s">
        <v>24</v>
      </c>
      <c r="P14" s="70" t="s">
        <v>25</v>
      </c>
      <c r="Q14" s="74" t="s">
        <v>26</v>
      </c>
      <c r="R14" s="69" t="s">
        <v>27</v>
      </c>
    </row>
    <row r="15" spans="1:92" ht="49.95" customHeight="1" x14ac:dyDescent="0.3">
      <c r="A15" s="185" t="s">
        <v>28</v>
      </c>
      <c r="B15" s="185" t="s">
        <v>390</v>
      </c>
      <c r="C15" s="186">
        <v>0.48958333333333331</v>
      </c>
      <c r="D15" s="185" t="s">
        <v>30</v>
      </c>
      <c r="E15" s="187"/>
      <c r="F15" s="185" t="s">
        <v>49</v>
      </c>
      <c r="G15" s="240"/>
      <c r="H15" s="146" t="s">
        <v>390</v>
      </c>
      <c r="I15" s="158">
        <v>0.55359999999999998</v>
      </c>
      <c r="J15" s="148">
        <v>93</v>
      </c>
      <c r="K15" s="149" t="s">
        <v>62</v>
      </c>
      <c r="L15" s="148">
        <v>1</v>
      </c>
      <c r="M15" s="148">
        <v>0</v>
      </c>
      <c r="N15" s="148">
        <v>0</v>
      </c>
      <c r="O15" s="150" t="s">
        <v>95</v>
      </c>
      <c r="P15" s="151">
        <v>0.48958333333333331</v>
      </c>
      <c r="Q15" s="148">
        <v>168</v>
      </c>
      <c r="R15" s="152" t="s">
        <v>393</v>
      </c>
    </row>
    <row r="16" spans="1:92" ht="49.95" customHeight="1" thickBot="1" x14ac:dyDescent="0.35">
      <c r="A16" s="161" t="s">
        <v>28</v>
      </c>
      <c r="B16" s="161" t="s">
        <v>387</v>
      </c>
      <c r="C16" s="162">
        <v>0.6875</v>
      </c>
      <c r="D16" s="161" t="s">
        <v>30</v>
      </c>
      <c r="E16" s="163"/>
      <c r="F16" s="161" t="s">
        <v>49</v>
      </c>
      <c r="G16" s="242"/>
      <c r="H16" s="164" t="s">
        <v>387</v>
      </c>
      <c r="I16" s="226">
        <v>0.82140000000000002</v>
      </c>
      <c r="J16" s="166">
        <v>138</v>
      </c>
      <c r="K16" s="167" t="s">
        <v>394</v>
      </c>
      <c r="L16" s="166">
        <v>0</v>
      </c>
      <c r="M16" s="166">
        <v>0</v>
      </c>
      <c r="N16" s="166">
        <v>0</v>
      </c>
      <c r="O16" s="168" t="s">
        <v>80</v>
      </c>
      <c r="P16" s="169">
        <v>0.6875</v>
      </c>
      <c r="Q16" s="166">
        <v>168</v>
      </c>
      <c r="R16" s="170" t="s">
        <v>395</v>
      </c>
    </row>
    <row r="17" spans="1:18" ht="17.399999999999999" customHeight="1" thickBot="1" x14ac:dyDescent="0.35">
      <c r="A17" s="265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7"/>
    </row>
    <row r="18" spans="1:18" ht="22.05" customHeight="1" thickTop="1" thickBot="1" x14ac:dyDescent="0.35">
      <c r="A18" s="236" t="s">
        <v>8</v>
      </c>
      <c r="B18" s="234"/>
      <c r="C18" s="234"/>
      <c r="D18" s="234"/>
      <c r="E18" s="234"/>
      <c r="F18" s="235"/>
      <c r="G18" s="68">
        <v>46020</v>
      </c>
      <c r="H18" s="233" t="s">
        <v>9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5"/>
    </row>
    <row r="19" spans="1:18" ht="24" customHeight="1" x14ac:dyDescent="0.3">
      <c r="A19" s="69" t="s">
        <v>10</v>
      </c>
      <c r="B19" s="69" t="s">
        <v>11</v>
      </c>
      <c r="C19" s="70" t="s">
        <v>12</v>
      </c>
      <c r="D19" s="69" t="s">
        <v>13</v>
      </c>
      <c r="E19" s="69" t="s">
        <v>14</v>
      </c>
      <c r="F19" s="71" t="s">
        <v>15</v>
      </c>
      <c r="G19" s="72" t="s">
        <v>16</v>
      </c>
      <c r="H19" s="69" t="s">
        <v>17</v>
      </c>
      <c r="I19" s="73" t="s">
        <v>18</v>
      </c>
      <c r="J19" s="74" t="s">
        <v>19</v>
      </c>
      <c r="K19" s="75" t="s">
        <v>20</v>
      </c>
      <c r="L19" s="74" t="s">
        <v>21</v>
      </c>
      <c r="M19" s="74" t="s">
        <v>22</v>
      </c>
      <c r="N19" s="74" t="s">
        <v>23</v>
      </c>
      <c r="O19" s="69" t="s">
        <v>24</v>
      </c>
      <c r="P19" s="70" t="s">
        <v>25</v>
      </c>
      <c r="Q19" s="74" t="s">
        <v>26</v>
      </c>
      <c r="R19" s="69" t="s">
        <v>27</v>
      </c>
    </row>
    <row r="20" spans="1:18" ht="49.95" customHeight="1" x14ac:dyDescent="0.3">
      <c r="A20" s="136" t="s">
        <v>28</v>
      </c>
      <c r="B20" s="136" t="s">
        <v>390</v>
      </c>
      <c r="C20" s="137">
        <v>0.33680555555555558</v>
      </c>
      <c r="D20" s="136" t="s">
        <v>30</v>
      </c>
      <c r="E20" s="138"/>
      <c r="F20" s="136" t="s">
        <v>54</v>
      </c>
      <c r="G20" s="240"/>
      <c r="H20" s="21" t="s">
        <v>390</v>
      </c>
      <c r="I20" s="227">
        <v>0.90480000000000005</v>
      </c>
      <c r="J20" s="23">
        <v>152</v>
      </c>
      <c r="K20" s="24" t="s">
        <v>36</v>
      </c>
      <c r="L20" s="23">
        <v>8</v>
      </c>
      <c r="M20" s="23">
        <v>3</v>
      </c>
      <c r="N20" s="23">
        <v>0</v>
      </c>
      <c r="O20" s="25" t="s">
        <v>78</v>
      </c>
      <c r="P20" s="26">
        <v>0.33680555555555558</v>
      </c>
      <c r="Q20" s="23">
        <v>168</v>
      </c>
      <c r="R20" s="27" t="s">
        <v>396</v>
      </c>
    </row>
    <row r="21" spans="1:18" ht="49.95" customHeight="1" thickBot="1" x14ac:dyDescent="0.35">
      <c r="A21" s="171" t="s">
        <v>28</v>
      </c>
      <c r="B21" s="171" t="s">
        <v>387</v>
      </c>
      <c r="C21" s="172">
        <v>0.64583333333333337</v>
      </c>
      <c r="D21" s="171" t="s">
        <v>30</v>
      </c>
      <c r="E21" s="173"/>
      <c r="F21" s="171" t="s">
        <v>49</v>
      </c>
      <c r="G21" s="242"/>
      <c r="H21" s="174" t="s">
        <v>387</v>
      </c>
      <c r="I21" s="228">
        <v>0.58930000000000005</v>
      </c>
      <c r="J21" s="176">
        <v>99</v>
      </c>
      <c r="K21" s="177" t="s">
        <v>32</v>
      </c>
      <c r="L21" s="176">
        <v>1</v>
      </c>
      <c r="M21" s="176">
        <v>0</v>
      </c>
      <c r="N21" s="176">
        <v>0</v>
      </c>
      <c r="O21" s="178" t="s">
        <v>114</v>
      </c>
      <c r="P21" s="179">
        <v>0.64583333333333337</v>
      </c>
      <c r="Q21" s="176">
        <v>168</v>
      </c>
      <c r="R21" s="180" t="s">
        <v>397</v>
      </c>
    </row>
    <row r="22" spans="1:18" ht="17.399999999999999" customHeight="1" thickBot="1" x14ac:dyDescent="0.35">
      <c r="A22" s="265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7"/>
    </row>
    <row r="23" spans="1:18" ht="22.05" customHeight="1" thickTop="1" thickBot="1" x14ac:dyDescent="0.35">
      <c r="A23" s="236" t="s">
        <v>8</v>
      </c>
      <c r="B23" s="234"/>
      <c r="C23" s="234"/>
      <c r="D23" s="234"/>
      <c r="E23" s="234"/>
      <c r="F23" s="235"/>
      <c r="G23" s="68">
        <v>46021</v>
      </c>
      <c r="H23" s="233" t="s">
        <v>9</v>
      </c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4" customHeight="1" x14ac:dyDescent="0.3">
      <c r="A24" s="69" t="s">
        <v>10</v>
      </c>
      <c r="B24" s="69" t="s">
        <v>11</v>
      </c>
      <c r="C24" s="70" t="s">
        <v>12</v>
      </c>
      <c r="D24" s="69" t="s">
        <v>13</v>
      </c>
      <c r="E24" s="69" t="s">
        <v>14</v>
      </c>
      <c r="F24" s="71" t="s">
        <v>15</v>
      </c>
      <c r="G24" s="72" t="s">
        <v>16</v>
      </c>
      <c r="H24" s="69" t="s">
        <v>17</v>
      </c>
      <c r="I24" s="73" t="s">
        <v>18</v>
      </c>
      <c r="J24" s="74" t="s">
        <v>19</v>
      </c>
      <c r="K24" s="75" t="s">
        <v>20</v>
      </c>
      <c r="L24" s="74" t="s">
        <v>21</v>
      </c>
      <c r="M24" s="74" t="s">
        <v>22</v>
      </c>
      <c r="N24" s="74" t="s">
        <v>23</v>
      </c>
      <c r="O24" s="69" t="s">
        <v>24</v>
      </c>
      <c r="P24" s="70" t="s">
        <v>25</v>
      </c>
      <c r="Q24" s="74" t="s">
        <v>26</v>
      </c>
      <c r="R24" s="69" t="s">
        <v>27</v>
      </c>
    </row>
    <row r="25" spans="1:18" ht="49.95" customHeight="1" thickTop="1" thickBot="1" x14ac:dyDescent="0.35">
      <c r="A25" s="122" t="s">
        <v>28</v>
      </c>
      <c r="B25" s="122" t="s">
        <v>387</v>
      </c>
      <c r="C25" s="123">
        <v>0.95138888888888884</v>
      </c>
      <c r="D25" s="122" t="s">
        <v>30</v>
      </c>
      <c r="E25" s="124"/>
      <c r="F25" s="122" t="s">
        <v>49</v>
      </c>
      <c r="G25" s="240"/>
      <c r="H25" s="93" t="s">
        <v>387</v>
      </c>
      <c r="I25" s="153">
        <v>0.83930000000000005</v>
      </c>
      <c r="J25" s="95">
        <v>141</v>
      </c>
      <c r="K25" s="96" t="s">
        <v>60</v>
      </c>
      <c r="L25" s="95">
        <v>1</v>
      </c>
      <c r="M25" s="95">
        <v>0</v>
      </c>
      <c r="N25" s="95">
        <v>0</v>
      </c>
      <c r="O25" s="97" t="s">
        <v>89</v>
      </c>
      <c r="P25" s="98">
        <v>0.95138888888888884</v>
      </c>
      <c r="Q25" s="95">
        <v>168</v>
      </c>
      <c r="R25" s="99" t="s">
        <v>398</v>
      </c>
    </row>
    <row r="26" spans="1:18" ht="17.399999999999999" customHeight="1" thickBot="1" x14ac:dyDescent="0.35">
      <c r="A26" s="265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7"/>
    </row>
    <row r="27" spans="1:18" ht="22.05" customHeight="1" thickTop="1" thickBot="1" x14ac:dyDescent="0.35">
      <c r="A27" s="236" t="s">
        <v>8</v>
      </c>
      <c r="B27" s="234"/>
      <c r="C27" s="234"/>
      <c r="D27" s="234"/>
      <c r="E27" s="234"/>
      <c r="F27" s="235"/>
      <c r="G27" s="68">
        <v>46022</v>
      </c>
      <c r="H27" s="233" t="s">
        <v>9</v>
      </c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4" customHeight="1" x14ac:dyDescent="0.3">
      <c r="A28" s="69" t="s">
        <v>10</v>
      </c>
      <c r="B28" s="69" t="s">
        <v>11</v>
      </c>
      <c r="C28" s="70" t="s">
        <v>12</v>
      </c>
      <c r="D28" s="69" t="s">
        <v>13</v>
      </c>
      <c r="E28" s="69" t="s">
        <v>14</v>
      </c>
      <c r="F28" s="71" t="s">
        <v>15</v>
      </c>
      <c r="G28" s="72" t="s">
        <v>16</v>
      </c>
      <c r="H28" s="69" t="s">
        <v>17</v>
      </c>
      <c r="I28" s="73" t="s">
        <v>18</v>
      </c>
      <c r="J28" s="74" t="s">
        <v>19</v>
      </c>
      <c r="K28" s="75" t="s">
        <v>20</v>
      </c>
      <c r="L28" s="74" t="s">
        <v>21</v>
      </c>
      <c r="M28" s="74" t="s">
        <v>22</v>
      </c>
      <c r="N28" s="74" t="s">
        <v>23</v>
      </c>
      <c r="O28" s="69" t="s">
        <v>24</v>
      </c>
      <c r="P28" s="70" t="s">
        <v>25</v>
      </c>
      <c r="Q28" s="74" t="s">
        <v>26</v>
      </c>
      <c r="R28" s="69" t="s">
        <v>27</v>
      </c>
    </row>
    <row r="29" spans="1:18" ht="49.95" customHeight="1" x14ac:dyDescent="0.3">
      <c r="A29" s="8" t="s">
        <v>28</v>
      </c>
      <c r="B29" s="8" t="s">
        <v>399</v>
      </c>
      <c r="C29" s="9">
        <v>0.40972222222222232</v>
      </c>
      <c r="D29" s="8" t="s">
        <v>30</v>
      </c>
      <c r="E29" s="10"/>
      <c r="F29" s="8" t="s">
        <v>49</v>
      </c>
      <c r="G29" s="240"/>
      <c r="H29" s="11" t="s">
        <v>399</v>
      </c>
      <c r="I29" s="89">
        <v>0.80359999999999998</v>
      </c>
      <c r="J29" s="13">
        <v>135</v>
      </c>
      <c r="K29" s="14" t="s">
        <v>394</v>
      </c>
      <c r="L29" s="13">
        <v>0</v>
      </c>
      <c r="M29" s="13">
        <v>0</v>
      </c>
      <c r="N29" s="13">
        <v>0</v>
      </c>
      <c r="O29" s="15" t="s">
        <v>102</v>
      </c>
      <c r="P29" s="16">
        <v>0.40972222222222232</v>
      </c>
      <c r="Q29" s="13">
        <v>168</v>
      </c>
      <c r="R29" s="17" t="s">
        <v>123</v>
      </c>
    </row>
    <row r="30" spans="1:18" ht="49.95" customHeight="1" x14ac:dyDescent="0.3">
      <c r="A30" s="38" t="s">
        <v>28</v>
      </c>
      <c r="B30" s="38" t="s">
        <v>387</v>
      </c>
      <c r="C30" s="39">
        <v>0.65625</v>
      </c>
      <c r="D30" s="38" t="s">
        <v>30</v>
      </c>
      <c r="E30" s="40"/>
      <c r="F30" s="38" t="s">
        <v>49</v>
      </c>
      <c r="G30" s="241"/>
      <c r="H30" s="41" t="s">
        <v>387</v>
      </c>
      <c r="I30" s="200">
        <v>0.83330000000000004</v>
      </c>
      <c r="J30" s="43">
        <v>140</v>
      </c>
      <c r="K30" s="44" t="s">
        <v>60</v>
      </c>
      <c r="L30" s="43">
        <v>4</v>
      </c>
      <c r="M30" s="43">
        <v>0</v>
      </c>
      <c r="N30" s="43">
        <v>0</v>
      </c>
      <c r="O30" s="45" t="s">
        <v>186</v>
      </c>
      <c r="P30" s="46">
        <v>0.65625</v>
      </c>
      <c r="Q30" s="43">
        <v>168</v>
      </c>
      <c r="R30" s="47" t="s">
        <v>400</v>
      </c>
    </row>
    <row r="31" spans="1:18" ht="49.95" customHeight="1" thickBot="1" x14ac:dyDescent="0.35">
      <c r="A31" s="161" t="s">
        <v>28</v>
      </c>
      <c r="B31" s="161" t="s">
        <v>390</v>
      </c>
      <c r="C31" s="162">
        <v>0.71875</v>
      </c>
      <c r="D31" s="161" t="s">
        <v>30</v>
      </c>
      <c r="E31" s="163"/>
      <c r="F31" s="161" t="s">
        <v>57</v>
      </c>
      <c r="G31" s="242"/>
      <c r="H31" s="164" t="s">
        <v>390</v>
      </c>
      <c r="I31" s="165">
        <v>1.0179</v>
      </c>
      <c r="J31" s="166">
        <v>171</v>
      </c>
      <c r="K31" s="167" t="s">
        <v>68</v>
      </c>
      <c r="L31" s="166">
        <v>0</v>
      </c>
      <c r="M31" s="166">
        <v>0</v>
      </c>
      <c r="N31" s="166">
        <v>0</v>
      </c>
      <c r="O31" s="168" t="s">
        <v>58</v>
      </c>
      <c r="P31" s="169">
        <v>0.71875</v>
      </c>
      <c r="Q31" s="166">
        <v>168</v>
      </c>
      <c r="R31" s="170" t="s">
        <v>401</v>
      </c>
    </row>
    <row r="32" spans="1:18" ht="17.399999999999999" customHeight="1" thickBot="1" x14ac:dyDescent="0.35">
      <c r="A32" s="265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7"/>
    </row>
    <row r="33" spans="1:18" ht="22.05" customHeight="1" thickTop="1" thickBot="1" x14ac:dyDescent="0.35">
      <c r="A33" s="236" t="s">
        <v>8</v>
      </c>
      <c r="B33" s="234"/>
      <c r="C33" s="234"/>
      <c r="D33" s="234"/>
      <c r="E33" s="234"/>
      <c r="F33" s="235"/>
      <c r="G33" s="68">
        <v>46023</v>
      </c>
      <c r="H33" s="233" t="s">
        <v>9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5"/>
    </row>
    <row r="34" spans="1:18" ht="24" customHeight="1" x14ac:dyDescent="0.3">
      <c r="A34" s="69" t="s">
        <v>10</v>
      </c>
      <c r="B34" s="69" t="s">
        <v>11</v>
      </c>
      <c r="C34" s="70" t="s">
        <v>12</v>
      </c>
      <c r="D34" s="69" t="s">
        <v>13</v>
      </c>
      <c r="E34" s="69" t="s">
        <v>14</v>
      </c>
      <c r="F34" s="71" t="s">
        <v>15</v>
      </c>
      <c r="G34" s="72" t="s">
        <v>16</v>
      </c>
      <c r="H34" s="69" t="s">
        <v>17</v>
      </c>
      <c r="I34" s="73" t="s">
        <v>18</v>
      </c>
      <c r="J34" s="74" t="s">
        <v>19</v>
      </c>
      <c r="K34" s="75" t="s">
        <v>20</v>
      </c>
      <c r="L34" s="74" t="s">
        <v>21</v>
      </c>
      <c r="M34" s="74" t="s">
        <v>22</v>
      </c>
      <c r="N34" s="74" t="s">
        <v>23</v>
      </c>
      <c r="O34" s="69" t="s">
        <v>24</v>
      </c>
      <c r="P34" s="70" t="s">
        <v>25</v>
      </c>
      <c r="Q34" s="74" t="s">
        <v>26</v>
      </c>
      <c r="R34" s="69" t="s">
        <v>27</v>
      </c>
    </row>
    <row r="35" spans="1:18" ht="49.95" customHeight="1" thickTop="1" thickBot="1" x14ac:dyDescent="0.35">
      <c r="A35" s="122" t="s">
        <v>28</v>
      </c>
      <c r="B35" s="122" t="s">
        <v>387</v>
      </c>
      <c r="C35" s="123">
        <v>0.27430555555555552</v>
      </c>
      <c r="D35" s="122" t="s">
        <v>30</v>
      </c>
      <c r="E35" s="124"/>
      <c r="F35" s="122" t="s">
        <v>54</v>
      </c>
      <c r="G35" s="240"/>
      <c r="H35" s="93" t="s">
        <v>387</v>
      </c>
      <c r="I35" s="94">
        <v>0.89290000000000003</v>
      </c>
      <c r="J35" s="95">
        <v>150</v>
      </c>
      <c r="K35" s="96" t="s">
        <v>97</v>
      </c>
      <c r="L35" s="95">
        <v>19</v>
      </c>
      <c r="M35" s="95">
        <v>0</v>
      </c>
      <c r="N35" s="95">
        <v>0</v>
      </c>
      <c r="O35" s="97" t="s">
        <v>104</v>
      </c>
      <c r="P35" s="98">
        <v>0.27430555555555552</v>
      </c>
      <c r="Q35" s="95">
        <v>168</v>
      </c>
      <c r="R35" s="99" t="s">
        <v>402</v>
      </c>
    </row>
    <row r="36" spans="1:18" ht="17.399999999999999" customHeight="1" thickBot="1" x14ac:dyDescent="0.35">
      <c r="A36" s="265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7"/>
    </row>
    <row r="37" spans="1:18" ht="22.05" customHeight="1" thickTop="1" thickBot="1" x14ac:dyDescent="0.35">
      <c r="A37" s="236" t="s">
        <v>8</v>
      </c>
      <c r="B37" s="234"/>
      <c r="C37" s="234"/>
      <c r="D37" s="234"/>
      <c r="E37" s="234"/>
      <c r="F37" s="235"/>
      <c r="G37" s="68">
        <v>46024</v>
      </c>
      <c r="H37" s="233" t="s">
        <v>9</v>
      </c>
      <c r="I37" s="234"/>
      <c r="J37" s="234"/>
      <c r="K37" s="234"/>
      <c r="L37" s="234"/>
      <c r="M37" s="234"/>
      <c r="N37" s="234"/>
      <c r="O37" s="234"/>
      <c r="P37" s="234"/>
      <c r="Q37" s="234"/>
      <c r="R37" s="235"/>
    </row>
    <row r="38" spans="1:18" ht="24" customHeight="1" x14ac:dyDescent="0.3">
      <c r="A38" s="69" t="s">
        <v>10</v>
      </c>
      <c r="B38" s="69" t="s">
        <v>11</v>
      </c>
      <c r="C38" s="70" t="s">
        <v>12</v>
      </c>
      <c r="D38" s="69" t="s">
        <v>13</v>
      </c>
      <c r="E38" s="69" t="s">
        <v>14</v>
      </c>
      <c r="F38" s="71" t="s">
        <v>15</v>
      </c>
      <c r="G38" s="72" t="s">
        <v>16</v>
      </c>
      <c r="H38" s="69" t="s">
        <v>17</v>
      </c>
      <c r="I38" s="73" t="s">
        <v>18</v>
      </c>
      <c r="J38" s="74" t="s">
        <v>19</v>
      </c>
      <c r="K38" s="75" t="s">
        <v>20</v>
      </c>
      <c r="L38" s="74" t="s">
        <v>21</v>
      </c>
      <c r="M38" s="74" t="s">
        <v>22</v>
      </c>
      <c r="N38" s="74" t="s">
        <v>23</v>
      </c>
      <c r="O38" s="69" t="s">
        <v>24</v>
      </c>
      <c r="P38" s="70" t="s">
        <v>25</v>
      </c>
      <c r="Q38" s="74" t="s">
        <v>26</v>
      </c>
      <c r="R38" s="69" t="s">
        <v>27</v>
      </c>
    </row>
    <row r="39" spans="1:18" ht="49.95" customHeight="1" thickTop="1" thickBot="1" x14ac:dyDescent="0.35">
      <c r="A39" s="8" t="s">
        <v>28</v>
      </c>
      <c r="B39" s="8" t="s">
        <v>387</v>
      </c>
      <c r="C39" s="9">
        <v>0.41666666666666669</v>
      </c>
      <c r="D39" s="8" t="s">
        <v>30</v>
      </c>
      <c r="E39" s="10"/>
      <c r="F39" s="8" t="s">
        <v>31</v>
      </c>
      <c r="G39" s="240"/>
      <c r="H39" s="192" t="s">
        <v>387</v>
      </c>
      <c r="I39" s="222">
        <v>7.7399999999999997E-2</v>
      </c>
      <c r="J39" s="194">
        <v>13</v>
      </c>
      <c r="K39" s="195" t="s">
        <v>91</v>
      </c>
      <c r="L39" s="194">
        <v>13</v>
      </c>
      <c r="M39" s="194">
        <v>0</v>
      </c>
      <c r="N39" s="194">
        <v>0</v>
      </c>
      <c r="O39" s="196" t="s">
        <v>148</v>
      </c>
      <c r="P39" s="197">
        <v>0.41666666666666669</v>
      </c>
      <c r="Q39" s="194">
        <v>168</v>
      </c>
      <c r="R39" s="198" t="s">
        <v>403</v>
      </c>
    </row>
    <row r="40" spans="1:18" ht="17.399999999999999" customHeight="1" thickBot="1" x14ac:dyDescent="0.35">
      <c r="A40" s="265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7"/>
    </row>
    <row r="41" spans="1:18" ht="22.05" customHeight="1" thickTop="1" thickBot="1" x14ac:dyDescent="0.35">
      <c r="A41" s="236" t="s">
        <v>8</v>
      </c>
      <c r="B41" s="234"/>
      <c r="C41" s="234"/>
      <c r="D41" s="234"/>
      <c r="E41" s="234"/>
      <c r="F41" s="235"/>
      <c r="G41" s="68">
        <v>46025</v>
      </c>
      <c r="H41" s="233" t="s">
        <v>9</v>
      </c>
      <c r="I41" s="234"/>
      <c r="J41" s="234"/>
      <c r="K41" s="234"/>
      <c r="L41" s="234"/>
      <c r="M41" s="234"/>
      <c r="N41" s="234"/>
      <c r="O41" s="234"/>
      <c r="P41" s="234"/>
      <c r="Q41" s="234"/>
      <c r="R41" s="235"/>
    </row>
    <row r="42" spans="1:18" ht="24" customHeight="1" x14ac:dyDescent="0.3">
      <c r="A42" s="69" t="s">
        <v>10</v>
      </c>
      <c r="B42" s="69" t="s">
        <v>11</v>
      </c>
      <c r="C42" s="70" t="s">
        <v>12</v>
      </c>
      <c r="D42" s="69" t="s">
        <v>13</v>
      </c>
      <c r="E42" s="69" t="s">
        <v>14</v>
      </c>
      <c r="F42" s="71" t="s">
        <v>15</v>
      </c>
      <c r="G42" s="72" t="s">
        <v>16</v>
      </c>
      <c r="H42" s="69" t="s">
        <v>17</v>
      </c>
      <c r="I42" s="73" t="s">
        <v>18</v>
      </c>
      <c r="J42" s="74" t="s">
        <v>19</v>
      </c>
      <c r="K42" s="75" t="s">
        <v>20</v>
      </c>
      <c r="L42" s="74" t="s">
        <v>21</v>
      </c>
      <c r="M42" s="74" t="s">
        <v>22</v>
      </c>
      <c r="N42" s="74" t="s">
        <v>23</v>
      </c>
      <c r="O42" s="69" t="s">
        <v>24</v>
      </c>
      <c r="P42" s="70" t="s">
        <v>25</v>
      </c>
      <c r="Q42" s="74" t="s">
        <v>26</v>
      </c>
      <c r="R42" s="69" t="s">
        <v>27</v>
      </c>
    </row>
    <row r="43" spans="1:18" ht="49.95" customHeight="1" x14ac:dyDescent="0.3">
      <c r="A43" s="181" t="s">
        <v>28</v>
      </c>
      <c r="B43" s="181" t="s">
        <v>390</v>
      </c>
      <c r="C43" s="182">
        <v>0.45833333333333331</v>
      </c>
      <c r="D43" s="181" t="s">
        <v>30</v>
      </c>
      <c r="E43" s="183"/>
      <c r="F43" s="181" t="s">
        <v>49</v>
      </c>
      <c r="G43" s="240"/>
      <c r="H43" s="51" t="s">
        <v>390</v>
      </c>
      <c r="I43" s="111">
        <v>0.8155</v>
      </c>
      <c r="J43" s="53">
        <v>137</v>
      </c>
      <c r="K43" s="54" t="s">
        <v>183</v>
      </c>
      <c r="L43" s="53">
        <v>5</v>
      </c>
      <c r="M43" s="53">
        <v>0</v>
      </c>
      <c r="N43" s="53">
        <v>0</v>
      </c>
      <c r="O43" s="55" t="s">
        <v>102</v>
      </c>
      <c r="P43" s="56">
        <v>0.45833333333333331</v>
      </c>
      <c r="Q43" s="53">
        <v>168</v>
      </c>
      <c r="R43" s="57" t="s">
        <v>404</v>
      </c>
    </row>
    <row r="44" spans="1:18" ht="49.95" customHeight="1" thickBot="1" x14ac:dyDescent="0.35">
      <c r="A44" s="58" t="s">
        <v>28</v>
      </c>
      <c r="B44" s="58" t="s">
        <v>387</v>
      </c>
      <c r="C44" s="59">
        <v>0.79166666666666663</v>
      </c>
      <c r="D44" s="58" t="s">
        <v>30</v>
      </c>
      <c r="E44" s="60"/>
      <c r="F44" s="58" t="s">
        <v>49</v>
      </c>
      <c r="G44" s="242"/>
      <c r="H44" s="61" t="s">
        <v>387</v>
      </c>
      <c r="I44" s="62">
        <v>0.8155</v>
      </c>
      <c r="J44" s="63">
        <v>137</v>
      </c>
      <c r="K44" s="64" t="s">
        <v>97</v>
      </c>
      <c r="L44" s="63">
        <v>5</v>
      </c>
      <c r="M44" s="63">
        <v>0</v>
      </c>
      <c r="N44" s="63">
        <v>0</v>
      </c>
      <c r="O44" s="65" t="s">
        <v>102</v>
      </c>
      <c r="P44" s="66">
        <v>0.79166666666666663</v>
      </c>
      <c r="Q44" s="63">
        <v>168</v>
      </c>
      <c r="R44" s="67" t="s">
        <v>404</v>
      </c>
    </row>
    <row r="45" spans="1:18" ht="17.399999999999999" customHeight="1" thickBot="1" x14ac:dyDescent="0.35">
      <c r="A45" s="265"/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7"/>
    </row>
    <row r="46" spans="1:18" ht="22.05" customHeight="1" thickTop="1" thickBot="1" x14ac:dyDescent="0.35">
      <c r="A46" s="236" t="s">
        <v>8</v>
      </c>
      <c r="B46" s="234"/>
      <c r="C46" s="234"/>
      <c r="D46" s="234"/>
      <c r="E46" s="234"/>
      <c r="F46" s="235"/>
      <c r="G46" s="68">
        <v>46026</v>
      </c>
      <c r="H46" s="233" t="s">
        <v>9</v>
      </c>
      <c r="I46" s="234"/>
      <c r="J46" s="234"/>
      <c r="K46" s="234"/>
      <c r="L46" s="234"/>
      <c r="M46" s="234"/>
      <c r="N46" s="234"/>
      <c r="O46" s="234"/>
      <c r="P46" s="234"/>
      <c r="Q46" s="234"/>
      <c r="R46" s="235"/>
    </row>
    <row r="47" spans="1:18" ht="24" customHeight="1" x14ac:dyDescent="0.3">
      <c r="A47" s="69" t="s">
        <v>10</v>
      </c>
      <c r="B47" s="69" t="s">
        <v>11</v>
      </c>
      <c r="C47" s="70" t="s">
        <v>12</v>
      </c>
      <c r="D47" s="69" t="s">
        <v>13</v>
      </c>
      <c r="E47" s="69" t="s">
        <v>14</v>
      </c>
      <c r="F47" s="71" t="s">
        <v>15</v>
      </c>
      <c r="G47" s="72" t="s">
        <v>16</v>
      </c>
      <c r="H47" s="69" t="s">
        <v>17</v>
      </c>
      <c r="I47" s="73" t="s">
        <v>18</v>
      </c>
      <c r="J47" s="74" t="s">
        <v>19</v>
      </c>
      <c r="K47" s="75" t="s">
        <v>20</v>
      </c>
      <c r="L47" s="74" t="s">
        <v>21</v>
      </c>
      <c r="M47" s="74" t="s">
        <v>22</v>
      </c>
      <c r="N47" s="74" t="s">
        <v>23</v>
      </c>
      <c r="O47" s="69" t="s">
        <v>24</v>
      </c>
      <c r="P47" s="70" t="s">
        <v>25</v>
      </c>
      <c r="Q47" s="74" t="s">
        <v>26</v>
      </c>
      <c r="R47" s="69" t="s">
        <v>27</v>
      </c>
    </row>
    <row r="48" spans="1:18" ht="49.95" customHeight="1" x14ac:dyDescent="0.3">
      <c r="A48" s="100" t="s">
        <v>28</v>
      </c>
      <c r="B48" s="100" t="s">
        <v>390</v>
      </c>
      <c r="C48" s="101">
        <v>0.48958333333333331</v>
      </c>
      <c r="D48" s="100" t="s">
        <v>30</v>
      </c>
      <c r="E48" s="102"/>
      <c r="F48" s="100" t="s">
        <v>31</v>
      </c>
      <c r="G48" s="240"/>
      <c r="H48" s="103" t="s">
        <v>390</v>
      </c>
      <c r="I48" s="159">
        <v>0.26790000000000003</v>
      </c>
      <c r="J48" s="105">
        <v>45</v>
      </c>
      <c r="K48" s="106" t="s">
        <v>122</v>
      </c>
      <c r="L48" s="105">
        <v>1</v>
      </c>
      <c r="M48" s="105">
        <v>0</v>
      </c>
      <c r="N48" s="105">
        <v>0</v>
      </c>
      <c r="O48" s="107" t="s">
        <v>102</v>
      </c>
      <c r="P48" s="108">
        <v>0.48958333333333331</v>
      </c>
      <c r="Q48" s="105">
        <v>168</v>
      </c>
      <c r="R48" s="109" t="s">
        <v>327</v>
      </c>
    </row>
    <row r="49" spans="1:18" ht="49.95" customHeight="1" thickBot="1" x14ac:dyDescent="0.35">
      <c r="A49" s="207" t="s">
        <v>28</v>
      </c>
      <c r="B49" s="207" t="s">
        <v>387</v>
      </c>
      <c r="C49" s="208">
        <v>0.6875</v>
      </c>
      <c r="D49" s="207" t="s">
        <v>30</v>
      </c>
      <c r="E49" s="209"/>
      <c r="F49" s="207" t="s">
        <v>49</v>
      </c>
      <c r="G49" s="242"/>
      <c r="H49" s="210" t="s">
        <v>387</v>
      </c>
      <c r="I49" s="211">
        <v>0.80359999999999998</v>
      </c>
      <c r="J49" s="212">
        <v>135</v>
      </c>
      <c r="K49" s="213" t="s">
        <v>191</v>
      </c>
      <c r="L49" s="212">
        <v>3</v>
      </c>
      <c r="M49" s="212">
        <v>0</v>
      </c>
      <c r="N49" s="212">
        <v>0</v>
      </c>
      <c r="O49" s="214" t="s">
        <v>102</v>
      </c>
      <c r="P49" s="215">
        <v>0.6875</v>
      </c>
      <c r="Q49" s="212">
        <v>168</v>
      </c>
      <c r="R49" s="216" t="s">
        <v>123</v>
      </c>
    </row>
    <row r="50" spans="1:18" ht="17.399999999999999" customHeight="1" thickBot="1" x14ac:dyDescent="0.35">
      <c r="A50" s="265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7"/>
    </row>
    <row r="51" spans="1:18" ht="22.05" customHeight="1" thickTop="1" thickBot="1" x14ac:dyDescent="0.35">
      <c r="A51" s="236" t="s">
        <v>8</v>
      </c>
      <c r="B51" s="234"/>
      <c r="C51" s="234"/>
      <c r="D51" s="234"/>
      <c r="E51" s="234"/>
      <c r="F51" s="235"/>
      <c r="G51" s="68">
        <v>46027</v>
      </c>
      <c r="H51" s="233" t="s">
        <v>9</v>
      </c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4" customHeight="1" x14ac:dyDescent="0.3">
      <c r="A52" s="69" t="s">
        <v>10</v>
      </c>
      <c r="B52" s="69" t="s">
        <v>11</v>
      </c>
      <c r="C52" s="70" t="s">
        <v>12</v>
      </c>
      <c r="D52" s="69" t="s">
        <v>13</v>
      </c>
      <c r="E52" s="69" t="s">
        <v>14</v>
      </c>
      <c r="F52" s="71" t="s">
        <v>15</v>
      </c>
      <c r="G52" s="72" t="s">
        <v>16</v>
      </c>
      <c r="H52" s="69" t="s">
        <v>17</v>
      </c>
      <c r="I52" s="73" t="s">
        <v>18</v>
      </c>
      <c r="J52" s="74" t="s">
        <v>19</v>
      </c>
      <c r="K52" s="75" t="s">
        <v>20</v>
      </c>
      <c r="L52" s="74" t="s">
        <v>21</v>
      </c>
      <c r="M52" s="74" t="s">
        <v>22</v>
      </c>
      <c r="N52" s="74" t="s">
        <v>23</v>
      </c>
      <c r="O52" s="69" t="s">
        <v>24</v>
      </c>
      <c r="P52" s="70" t="s">
        <v>25</v>
      </c>
      <c r="Q52" s="74" t="s">
        <v>26</v>
      </c>
      <c r="R52" s="69" t="s">
        <v>27</v>
      </c>
    </row>
    <row r="53" spans="1:18" ht="49.95" customHeight="1" x14ac:dyDescent="0.3">
      <c r="A53" s="181" t="s">
        <v>28</v>
      </c>
      <c r="B53" s="181" t="s">
        <v>390</v>
      </c>
      <c r="C53" s="182">
        <v>0.33680555555555558</v>
      </c>
      <c r="D53" s="181" t="s">
        <v>30</v>
      </c>
      <c r="E53" s="183"/>
      <c r="F53" s="181" t="s">
        <v>54</v>
      </c>
      <c r="G53" s="240"/>
      <c r="H53" s="51" t="s">
        <v>390</v>
      </c>
      <c r="I53" s="125">
        <v>0.91069999999999995</v>
      </c>
      <c r="J53" s="53">
        <v>153</v>
      </c>
      <c r="K53" s="54" t="s">
        <v>94</v>
      </c>
      <c r="L53" s="53">
        <v>20</v>
      </c>
      <c r="M53" s="53">
        <v>0</v>
      </c>
      <c r="N53" s="53">
        <v>0</v>
      </c>
      <c r="O53" s="55" t="s">
        <v>186</v>
      </c>
      <c r="P53" s="56">
        <v>0.33680555555555558</v>
      </c>
      <c r="Q53" s="53">
        <v>168</v>
      </c>
      <c r="R53" s="57" t="s">
        <v>405</v>
      </c>
    </row>
    <row r="54" spans="1:18" ht="49.95" customHeight="1" thickBot="1" x14ac:dyDescent="0.35">
      <c r="A54" s="126" t="s">
        <v>28</v>
      </c>
      <c r="B54" s="126" t="s">
        <v>387</v>
      </c>
      <c r="C54" s="127">
        <v>0.64583333333333337</v>
      </c>
      <c r="D54" s="126" t="s">
        <v>30</v>
      </c>
      <c r="E54" s="128"/>
      <c r="F54" s="126" t="s">
        <v>49</v>
      </c>
      <c r="G54" s="242"/>
      <c r="H54" s="129" t="s">
        <v>387</v>
      </c>
      <c r="I54" s="218">
        <v>0.80359999999999998</v>
      </c>
      <c r="J54" s="131">
        <v>135</v>
      </c>
      <c r="K54" s="132" t="s">
        <v>122</v>
      </c>
      <c r="L54" s="131">
        <v>4</v>
      </c>
      <c r="M54" s="131">
        <v>0</v>
      </c>
      <c r="N54" s="131">
        <v>0</v>
      </c>
      <c r="O54" s="133" t="s">
        <v>102</v>
      </c>
      <c r="P54" s="134">
        <v>0.64583333333333337</v>
      </c>
      <c r="Q54" s="131">
        <v>168</v>
      </c>
      <c r="R54" s="135" t="s">
        <v>123</v>
      </c>
    </row>
    <row r="55" spans="1:18" ht="17.399999999999999" customHeight="1" thickBot="1" x14ac:dyDescent="0.3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7"/>
    </row>
    <row r="56" spans="1:18" ht="22.05" customHeight="1" thickTop="1" thickBot="1" x14ac:dyDescent="0.35">
      <c r="A56" s="236" t="s">
        <v>8</v>
      </c>
      <c r="B56" s="234"/>
      <c r="C56" s="234"/>
      <c r="D56" s="234"/>
      <c r="E56" s="234"/>
      <c r="F56" s="235"/>
      <c r="G56" s="68">
        <v>46028</v>
      </c>
      <c r="H56" s="233" t="s">
        <v>9</v>
      </c>
      <c r="I56" s="234"/>
      <c r="J56" s="234"/>
      <c r="K56" s="234"/>
      <c r="L56" s="234"/>
      <c r="M56" s="234"/>
      <c r="N56" s="234"/>
      <c r="O56" s="234"/>
      <c r="P56" s="234"/>
      <c r="Q56" s="234"/>
      <c r="R56" s="235"/>
    </row>
    <row r="57" spans="1:18" ht="24" customHeight="1" x14ac:dyDescent="0.3">
      <c r="A57" s="69" t="s">
        <v>10</v>
      </c>
      <c r="B57" s="69" t="s">
        <v>11</v>
      </c>
      <c r="C57" s="70" t="s">
        <v>12</v>
      </c>
      <c r="D57" s="69" t="s">
        <v>13</v>
      </c>
      <c r="E57" s="69" t="s">
        <v>14</v>
      </c>
      <c r="F57" s="71" t="s">
        <v>15</v>
      </c>
      <c r="G57" s="72" t="s">
        <v>16</v>
      </c>
      <c r="H57" s="69" t="s">
        <v>17</v>
      </c>
      <c r="I57" s="73" t="s">
        <v>18</v>
      </c>
      <c r="J57" s="74" t="s">
        <v>19</v>
      </c>
      <c r="K57" s="75" t="s">
        <v>20</v>
      </c>
      <c r="L57" s="74" t="s">
        <v>21</v>
      </c>
      <c r="M57" s="74" t="s">
        <v>22</v>
      </c>
      <c r="N57" s="74" t="s">
        <v>23</v>
      </c>
      <c r="O57" s="69" t="s">
        <v>24</v>
      </c>
      <c r="P57" s="70" t="s">
        <v>25</v>
      </c>
      <c r="Q57" s="74" t="s">
        <v>26</v>
      </c>
      <c r="R57" s="69" t="s">
        <v>27</v>
      </c>
    </row>
    <row r="58" spans="1:18" ht="49.95" customHeight="1" thickTop="1" thickBot="1" x14ac:dyDescent="0.35">
      <c r="A58" s="136" t="s">
        <v>28</v>
      </c>
      <c r="B58" s="136" t="s">
        <v>387</v>
      </c>
      <c r="C58" s="137">
        <v>0.70833333333333337</v>
      </c>
      <c r="D58" s="136" t="s">
        <v>30</v>
      </c>
      <c r="E58" s="138"/>
      <c r="F58" s="136" t="s">
        <v>49</v>
      </c>
      <c r="G58" s="240"/>
      <c r="H58" s="164" t="s">
        <v>387</v>
      </c>
      <c r="I58" s="226">
        <v>0.83930000000000005</v>
      </c>
      <c r="J58" s="166">
        <v>141</v>
      </c>
      <c r="K58" s="167" t="s">
        <v>116</v>
      </c>
      <c r="L58" s="166">
        <v>14</v>
      </c>
      <c r="M58" s="166">
        <v>0</v>
      </c>
      <c r="N58" s="166">
        <v>0</v>
      </c>
      <c r="O58" s="168" t="s">
        <v>388</v>
      </c>
      <c r="P58" s="169">
        <v>0.70833333333333337</v>
      </c>
      <c r="Q58" s="166">
        <v>168</v>
      </c>
      <c r="R58" s="170" t="s">
        <v>406</v>
      </c>
    </row>
    <row r="59" spans="1:18" ht="17.399999999999999" customHeight="1" thickBot="1" x14ac:dyDescent="0.35">
      <c r="A59" s="265"/>
      <c r="B59" s="266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7"/>
    </row>
    <row r="60" spans="1:18" ht="22.05" customHeight="1" thickTop="1" thickBot="1" x14ac:dyDescent="0.35">
      <c r="A60" s="236" t="s">
        <v>8</v>
      </c>
      <c r="B60" s="234"/>
      <c r="C60" s="234"/>
      <c r="D60" s="234"/>
      <c r="E60" s="234"/>
      <c r="F60" s="235"/>
      <c r="G60" s="68">
        <v>46029</v>
      </c>
      <c r="H60" s="233" t="s">
        <v>9</v>
      </c>
      <c r="I60" s="234"/>
      <c r="J60" s="234"/>
      <c r="K60" s="234"/>
      <c r="L60" s="234"/>
      <c r="M60" s="234"/>
      <c r="N60" s="234"/>
      <c r="O60" s="234"/>
      <c r="P60" s="234"/>
      <c r="Q60" s="234"/>
      <c r="R60" s="235"/>
    </row>
    <row r="61" spans="1:18" ht="24" customHeight="1" x14ac:dyDescent="0.3">
      <c r="A61" s="69" t="s">
        <v>10</v>
      </c>
      <c r="B61" s="69" t="s">
        <v>11</v>
      </c>
      <c r="C61" s="70" t="s">
        <v>12</v>
      </c>
      <c r="D61" s="69" t="s">
        <v>13</v>
      </c>
      <c r="E61" s="69" t="s">
        <v>14</v>
      </c>
      <c r="F61" s="71" t="s">
        <v>15</v>
      </c>
      <c r="G61" s="72" t="s">
        <v>16</v>
      </c>
      <c r="H61" s="69" t="s">
        <v>17</v>
      </c>
      <c r="I61" s="73" t="s">
        <v>18</v>
      </c>
      <c r="J61" s="74" t="s">
        <v>19</v>
      </c>
      <c r="K61" s="75" t="s">
        <v>20</v>
      </c>
      <c r="L61" s="74" t="s">
        <v>21</v>
      </c>
      <c r="M61" s="74" t="s">
        <v>22</v>
      </c>
      <c r="N61" s="74" t="s">
        <v>23</v>
      </c>
      <c r="O61" s="69" t="s">
        <v>24</v>
      </c>
      <c r="P61" s="70" t="s">
        <v>25</v>
      </c>
      <c r="Q61" s="74" t="s">
        <v>26</v>
      </c>
      <c r="R61" s="69" t="s">
        <v>27</v>
      </c>
    </row>
    <row r="62" spans="1:18" ht="49.95" customHeight="1" x14ac:dyDescent="0.3">
      <c r="A62" s="154" t="s">
        <v>28</v>
      </c>
      <c r="B62" s="154" t="s">
        <v>387</v>
      </c>
      <c r="C62" s="155">
        <v>0.33333333333333331</v>
      </c>
      <c r="D62" s="154" t="s">
        <v>30</v>
      </c>
      <c r="E62" s="156"/>
      <c r="F62" s="154" t="s">
        <v>49</v>
      </c>
      <c r="G62" s="240"/>
      <c r="H62" s="31" t="s">
        <v>387</v>
      </c>
      <c r="I62" s="157">
        <v>0.80359999999999998</v>
      </c>
      <c r="J62" s="33">
        <v>135</v>
      </c>
      <c r="K62" s="34" t="s">
        <v>191</v>
      </c>
      <c r="L62" s="33">
        <v>3</v>
      </c>
      <c r="M62" s="33">
        <v>0</v>
      </c>
      <c r="N62" s="33">
        <v>0</v>
      </c>
      <c r="O62" s="35" t="s">
        <v>102</v>
      </c>
      <c r="P62" s="36">
        <v>0.33333333333333331</v>
      </c>
      <c r="Q62" s="33">
        <v>168</v>
      </c>
      <c r="R62" s="37" t="s">
        <v>123</v>
      </c>
    </row>
    <row r="63" spans="1:18" ht="49.95" customHeight="1" x14ac:dyDescent="0.3">
      <c r="A63" s="38" t="s">
        <v>28</v>
      </c>
      <c r="B63" s="38" t="s">
        <v>399</v>
      </c>
      <c r="C63" s="39">
        <v>0.40972222222222232</v>
      </c>
      <c r="D63" s="38" t="s">
        <v>30</v>
      </c>
      <c r="E63" s="40"/>
      <c r="F63" s="38" t="s">
        <v>54</v>
      </c>
      <c r="G63" s="241"/>
      <c r="H63" s="41" t="s">
        <v>399</v>
      </c>
      <c r="I63" s="184">
        <v>0.85119999999999996</v>
      </c>
      <c r="J63" s="43">
        <v>143</v>
      </c>
      <c r="K63" s="44" t="s">
        <v>113</v>
      </c>
      <c r="L63" s="43">
        <v>11</v>
      </c>
      <c r="M63" s="43">
        <v>0</v>
      </c>
      <c r="N63" s="43">
        <v>0</v>
      </c>
      <c r="O63" s="45" t="s">
        <v>102</v>
      </c>
      <c r="P63" s="46">
        <v>0.40972222222222232</v>
      </c>
      <c r="Q63" s="43">
        <v>168</v>
      </c>
      <c r="R63" s="47" t="s">
        <v>149</v>
      </c>
    </row>
    <row r="64" spans="1:18" ht="49.95" customHeight="1" thickBot="1" x14ac:dyDescent="0.35">
      <c r="A64" s="171" t="s">
        <v>28</v>
      </c>
      <c r="B64" s="171" t="s">
        <v>390</v>
      </c>
      <c r="C64" s="172">
        <v>0.71875</v>
      </c>
      <c r="D64" s="171" t="s">
        <v>30</v>
      </c>
      <c r="E64" s="173"/>
      <c r="F64" s="171" t="s">
        <v>57</v>
      </c>
      <c r="G64" s="242"/>
      <c r="H64" s="174" t="s">
        <v>390</v>
      </c>
      <c r="I64" s="217">
        <v>1.0119</v>
      </c>
      <c r="J64" s="176">
        <v>170</v>
      </c>
      <c r="K64" s="177" t="s">
        <v>407</v>
      </c>
      <c r="L64" s="176">
        <v>4</v>
      </c>
      <c r="M64" s="176">
        <v>0</v>
      </c>
      <c r="N64" s="176">
        <v>0</v>
      </c>
      <c r="O64" s="178" t="s">
        <v>58</v>
      </c>
      <c r="P64" s="179">
        <v>0.71875</v>
      </c>
      <c r="Q64" s="176">
        <v>168</v>
      </c>
      <c r="R64" s="180" t="s">
        <v>408</v>
      </c>
    </row>
    <row r="65" spans="1:18" ht="17.399999999999999" customHeight="1" thickBot="1" x14ac:dyDescent="0.35">
      <c r="A65" s="265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7"/>
    </row>
    <row r="66" spans="1:18" ht="22.05" customHeight="1" thickTop="1" thickBot="1" x14ac:dyDescent="0.35">
      <c r="A66" s="236" t="s">
        <v>8</v>
      </c>
      <c r="B66" s="234"/>
      <c r="C66" s="234"/>
      <c r="D66" s="234"/>
      <c r="E66" s="234"/>
      <c r="F66" s="235"/>
      <c r="G66" s="68">
        <v>46030</v>
      </c>
      <c r="H66" s="233" t="s">
        <v>9</v>
      </c>
      <c r="I66" s="234"/>
      <c r="J66" s="234"/>
      <c r="K66" s="234"/>
      <c r="L66" s="234"/>
      <c r="M66" s="234"/>
      <c r="N66" s="234"/>
      <c r="O66" s="234"/>
      <c r="P66" s="234"/>
      <c r="Q66" s="234"/>
      <c r="R66" s="235"/>
    </row>
    <row r="67" spans="1:18" ht="24" customHeight="1" x14ac:dyDescent="0.3">
      <c r="A67" s="69" t="s">
        <v>10</v>
      </c>
      <c r="B67" s="69" t="s">
        <v>11</v>
      </c>
      <c r="C67" s="70" t="s">
        <v>12</v>
      </c>
      <c r="D67" s="69" t="s">
        <v>13</v>
      </c>
      <c r="E67" s="69" t="s">
        <v>14</v>
      </c>
      <c r="F67" s="71" t="s">
        <v>15</v>
      </c>
      <c r="G67" s="72" t="s">
        <v>16</v>
      </c>
      <c r="H67" s="69" t="s">
        <v>17</v>
      </c>
      <c r="I67" s="73" t="s">
        <v>18</v>
      </c>
      <c r="J67" s="74" t="s">
        <v>19</v>
      </c>
      <c r="K67" s="75" t="s">
        <v>20</v>
      </c>
      <c r="L67" s="74" t="s">
        <v>21</v>
      </c>
      <c r="M67" s="74" t="s">
        <v>22</v>
      </c>
      <c r="N67" s="74" t="s">
        <v>23</v>
      </c>
      <c r="O67" s="69" t="s">
        <v>24</v>
      </c>
      <c r="P67" s="70" t="s">
        <v>25</v>
      </c>
      <c r="Q67" s="74" t="s">
        <v>26</v>
      </c>
      <c r="R67" s="69" t="s">
        <v>27</v>
      </c>
    </row>
    <row r="68" spans="1:18" ht="49.95" customHeight="1" thickTop="1" thickBot="1" x14ac:dyDescent="0.35">
      <c r="A68" s="100" t="s">
        <v>28</v>
      </c>
      <c r="B68" s="100" t="s">
        <v>387</v>
      </c>
      <c r="C68" s="101">
        <v>0.27430555555555552</v>
      </c>
      <c r="D68" s="100" t="s">
        <v>30</v>
      </c>
      <c r="E68" s="102"/>
      <c r="F68" s="100" t="s">
        <v>54</v>
      </c>
      <c r="G68" s="240"/>
      <c r="H68" s="174" t="s">
        <v>387</v>
      </c>
      <c r="I68" s="217">
        <v>0.90480000000000005</v>
      </c>
      <c r="J68" s="176">
        <v>152</v>
      </c>
      <c r="K68" s="177" t="s">
        <v>97</v>
      </c>
      <c r="L68" s="176">
        <v>21</v>
      </c>
      <c r="M68" s="176">
        <v>0</v>
      </c>
      <c r="N68" s="176">
        <v>0</v>
      </c>
      <c r="O68" s="178" t="s">
        <v>160</v>
      </c>
      <c r="P68" s="179">
        <v>0.27430555555555552</v>
      </c>
      <c r="Q68" s="176">
        <v>168</v>
      </c>
      <c r="R68" s="180" t="s">
        <v>409</v>
      </c>
    </row>
    <row r="69" spans="1:18" ht="17.399999999999999" customHeight="1" thickBot="1" x14ac:dyDescent="0.35">
      <c r="A69" s="265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7"/>
    </row>
    <row r="70" spans="1:18" ht="22.05" customHeight="1" thickTop="1" thickBot="1" x14ac:dyDescent="0.35">
      <c r="A70" s="236" t="s">
        <v>8</v>
      </c>
      <c r="B70" s="234"/>
      <c r="C70" s="234"/>
      <c r="D70" s="234"/>
      <c r="E70" s="234"/>
      <c r="F70" s="235"/>
      <c r="G70" s="68">
        <v>46031</v>
      </c>
      <c r="H70" s="233" t="s">
        <v>9</v>
      </c>
      <c r="I70" s="234"/>
      <c r="J70" s="234"/>
      <c r="K70" s="234"/>
      <c r="L70" s="234"/>
      <c r="M70" s="234"/>
      <c r="N70" s="234"/>
      <c r="O70" s="234"/>
      <c r="P70" s="234"/>
      <c r="Q70" s="234"/>
      <c r="R70" s="235"/>
    </row>
    <row r="71" spans="1:18" ht="24" customHeight="1" x14ac:dyDescent="0.3">
      <c r="A71" s="69" t="s">
        <v>10</v>
      </c>
      <c r="B71" s="69" t="s">
        <v>11</v>
      </c>
      <c r="C71" s="70" t="s">
        <v>12</v>
      </c>
      <c r="D71" s="69" t="s">
        <v>13</v>
      </c>
      <c r="E71" s="69" t="s">
        <v>14</v>
      </c>
      <c r="F71" s="71" t="s">
        <v>15</v>
      </c>
      <c r="G71" s="72" t="s">
        <v>16</v>
      </c>
      <c r="H71" s="69" t="s">
        <v>17</v>
      </c>
      <c r="I71" s="73" t="s">
        <v>18</v>
      </c>
      <c r="J71" s="74" t="s">
        <v>19</v>
      </c>
      <c r="K71" s="75" t="s">
        <v>20</v>
      </c>
      <c r="L71" s="74" t="s">
        <v>21</v>
      </c>
      <c r="M71" s="74" t="s">
        <v>22</v>
      </c>
      <c r="N71" s="74" t="s">
        <v>23</v>
      </c>
      <c r="O71" s="69" t="s">
        <v>24</v>
      </c>
      <c r="P71" s="70" t="s">
        <v>25</v>
      </c>
      <c r="Q71" s="74" t="s">
        <v>26</v>
      </c>
      <c r="R71" s="69" t="s">
        <v>27</v>
      </c>
    </row>
    <row r="72" spans="1:18" ht="49.95" customHeight="1" thickTop="1" thickBot="1" x14ac:dyDescent="0.35">
      <c r="A72" s="76" t="s">
        <v>28</v>
      </c>
      <c r="B72" s="76" t="s">
        <v>387</v>
      </c>
      <c r="C72" s="77">
        <v>0.41666666666666669</v>
      </c>
      <c r="D72" s="76" t="s">
        <v>30</v>
      </c>
      <c r="E72" s="78"/>
      <c r="F72" s="76" t="s">
        <v>49</v>
      </c>
      <c r="G72" s="240"/>
      <c r="H72" s="61" t="s">
        <v>387</v>
      </c>
      <c r="I72" s="219">
        <v>0.44640000000000002</v>
      </c>
      <c r="J72" s="63">
        <v>75</v>
      </c>
      <c r="K72" s="64" t="s">
        <v>97</v>
      </c>
      <c r="L72" s="63">
        <v>31</v>
      </c>
      <c r="M72" s="63">
        <v>0</v>
      </c>
      <c r="N72" s="63">
        <v>0</v>
      </c>
      <c r="O72" s="65" t="s">
        <v>160</v>
      </c>
      <c r="P72" s="66">
        <v>0.41666666666666669</v>
      </c>
      <c r="Q72" s="63">
        <v>168</v>
      </c>
      <c r="R72" s="67" t="s">
        <v>410</v>
      </c>
    </row>
    <row r="73" spans="1:18" ht="17.399999999999999" customHeight="1" thickBot="1" x14ac:dyDescent="0.35">
      <c r="A73" s="265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7"/>
    </row>
    <row r="74" spans="1:18" ht="22.05" customHeight="1" thickTop="1" thickBot="1" x14ac:dyDescent="0.35">
      <c r="A74" s="236" t="s">
        <v>8</v>
      </c>
      <c r="B74" s="234"/>
      <c r="C74" s="234"/>
      <c r="D74" s="234"/>
      <c r="E74" s="234"/>
      <c r="F74" s="235"/>
      <c r="G74" s="68">
        <v>46032</v>
      </c>
      <c r="H74" s="233" t="s">
        <v>9</v>
      </c>
      <c r="I74" s="234"/>
      <c r="J74" s="234"/>
      <c r="K74" s="234"/>
      <c r="L74" s="234"/>
      <c r="M74" s="234"/>
      <c r="N74" s="234"/>
      <c r="O74" s="234"/>
      <c r="P74" s="234"/>
      <c r="Q74" s="234"/>
      <c r="R74" s="235"/>
    </row>
    <row r="75" spans="1:18" ht="24" customHeight="1" x14ac:dyDescent="0.3">
      <c r="A75" s="69" t="s">
        <v>10</v>
      </c>
      <c r="B75" s="69" t="s">
        <v>11</v>
      </c>
      <c r="C75" s="70" t="s">
        <v>12</v>
      </c>
      <c r="D75" s="69" t="s">
        <v>13</v>
      </c>
      <c r="E75" s="69" t="s">
        <v>14</v>
      </c>
      <c r="F75" s="71" t="s">
        <v>15</v>
      </c>
      <c r="G75" s="72" t="s">
        <v>16</v>
      </c>
      <c r="H75" s="69" t="s">
        <v>17</v>
      </c>
      <c r="I75" s="73" t="s">
        <v>18</v>
      </c>
      <c r="J75" s="74" t="s">
        <v>19</v>
      </c>
      <c r="K75" s="75" t="s">
        <v>20</v>
      </c>
      <c r="L75" s="74" t="s">
        <v>21</v>
      </c>
      <c r="M75" s="74" t="s">
        <v>22</v>
      </c>
      <c r="N75" s="74" t="s">
        <v>23</v>
      </c>
      <c r="O75" s="69" t="s">
        <v>24</v>
      </c>
      <c r="P75" s="70" t="s">
        <v>25</v>
      </c>
      <c r="Q75" s="74" t="s">
        <v>26</v>
      </c>
      <c r="R75" s="69" t="s">
        <v>27</v>
      </c>
    </row>
    <row r="76" spans="1:18" ht="49.95" customHeight="1" x14ac:dyDescent="0.3">
      <c r="A76" s="100" t="s">
        <v>28</v>
      </c>
      <c r="B76" s="100" t="s">
        <v>390</v>
      </c>
      <c r="C76" s="101">
        <v>0.45833333333333331</v>
      </c>
      <c r="D76" s="100" t="s">
        <v>30</v>
      </c>
      <c r="E76" s="102"/>
      <c r="F76" s="100" t="s">
        <v>54</v>
      </c>
      <c r="G76" s="240"/>
      <c r="H76" s="103" t="s">
        <v>390</v>
      </c>
      <c r="I76" s="104">
        <v>0.88690000000000002</v>
      </c>
      <c r="J76" s="105">
        <v>149</v>
      </c>
      <c r="K76" s="106" t="s">
        <v>91</v>
      </c>
      <c r="L76" s="105">
        <v>17</v>
      </c>
      <c r="M76" s="105">
        <v>0</v>
      </c>
      <c r="N76" s="105">
        <v>0</v>
      </c>
      <c r="O76" s="107" t="s">
        <v>104</v>
      </c>
      <c r="P76" s="108">
        <v>0.45833333333333331</v>
      </c>
      <c r="Q76" s="105">
        <v>168</v>
      </c>
      <c r="R76" s="109" t="s">
        <v>411</v>
      </c>
    </row>
    <row r="77" spans="1:18" ht="49.95" customHeight="1" thickBot="1" x14ac:dyDescent="0.35">
      <c r="A77" s="207" t="s">
        <v>28</v>
      </c>
      <c r="B77" s="207" t="s">
        <v>387</v>
      </c>
      <c r="C77" s="208">
        <v>0.79166666666666663</v>
      </c>
      <c r="D77" s="207" t="s">
        <v>30</v>
      </c>
      <c r="E77" s="209"/>
      <c r="F77" s="207" t="s">
        <v>54</v>
      </c>
      <c r="G77" s="242"/>
      <c r="H77" s="210" t="s">
        <v>387</v>
      </c>
      <c r="I77" s="229">
        <v>0.85709999999999997</v>
      </c>
      <c r="J77" s="212">
        <v>144</v>
      </c>
      <c r="K77" s="213" t="s">
        <v>91</v>
      </c>
      <c r="L77" s="212">
        <v>13</v>
      </c>
      <c r="M77" s="212">
        <v>0</v>
      </c>
      <c r="N77" s="212">
        <v>0</v>
      </c>
      <c r="O77" s="214" t="s">
        <v>142</v>
      </c>
      <c r="P77" s="215">
        <v>0.79166666666666663</v>
      </c>
      <c r="Q77" s="212">
        <v>168</v>
      </c>
      <c r="R77" s="216" t="s">
        <v>412</v>
      </c>
    </row>
    <row r="78" spans="1:18" ht="17.399999999999999" customHeight="1" thickBot="1" x14ac:dyDescent="0.35">
      <c r="A78" s="265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7"/>
    </row>
    <row r="79" spans="1:18" ht="22.05" customHeight="1" thickTop="1" thickBot="1" x14ac:dyDescent="0.35">
      <c r="A79" s="236" t="s">
        <v>8</v>
      </c>
      <c r="B79" s="234"/>
      <c r="C79" s="234"/>
      <c r="D79" s="234"/>
      <c r="E79" s="234"/>
      <c r="F79" s="235"/>
      <c r="G79" s="68">
        <v>46033</v>
      </c>
      <c r="H79" s="233" t="s">
        <v>9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4" customHeight="1" x14ac:dyDescent="0.3">
      <c r="A80" s="69" t="s">
        <v>10</v>
      </c>
      <c r="B80" s="69" t="s">
        <v>11</v>
      </c>
      <c r="C80" s="70" t="s">
        <v>12</v>
      </c>
      <c r="D80" s="69" t="s">
        <v>13</v>
      </c>
      <c r="E80" s="69" t="s">
        <v>14</v>
      </c>
      <c r="F80" s="71" t="s">
        <v>15</v>
      </c>
      <c r="G80" s="72" t="s">
        <v>16</v>
      </c>
      <c r="H80" s="69" t="s">
        <v>17</v>
      </c>
      <c r="I80" s="73" t="s">
        <v>18</v>
      </c>
      <c r="J80" s="74" t="s">
        <v>19</v>
      </c>
      <c r="K80" s="75" t="s">
        <v>20</v>
      </c>
      <c r="L80" s="74" t="s">
        <v>21</v>
      </c>
      <c r="M80" s="74" t="s">
        <v>22</v>
      </c>
      <c r="N80" s="74" t="s">
        <v>23</v>
      </c>
      <c r="O80" s="69" t="s">
        <v>24</v>
      </c>
      <c r="P80" s="70" t="s">
        <v>25</v>
      </c>
      <c r="Q80" s="74" t="s">
        <v>26</v>
      </c>
      <c r="R80" s="69" t="s">
        <v>27</v>
      </c>
    </row>
    <row r="81" spans="1:18" ht="49.95" customHeight="1" x14ac:dyDescent="0.3">
      <c r="A81" s="100" t="s">
        <v>28</v>
      </c>
      <c r="B81" s="100" t="s">
        <v>390</v>
      </c>
      <c r="C81" s="101">
        <v>0.48958333333333331</v>
      </c>
      <c r="D81" s="100" t="s">
        <v>30</v>
      </c>
      <c r="E81" s="102"/>
      <c r="F81" s="100" t="s">
        <v>49</v>
      </c>
      <c r="G81" s="240"/>
      <c r="H81" s="103" t="s">
        <v>390</v>
      </c>
      <c r="I81" s="142">
        <v>0.8155</v>
      </c>
      <c r="J81" s="105">
        <v>137</v>
      </c>
      <c r="K81" s="106" t="s">
        <v>177</v>
      </c>
      <c r="L81" s="105">
        <v>6</v>
      </c>
      <c r="M81" s="105">
        <v>0</v>
      </c>
      <c r="N81" s="105">
        <v>0</v>
      </c>
      <c r="O81" s="107" t="s">
        <v>102</v>
      </c>
      <c r="P81" s="108">
        <v>0.48958333333333331</v>
      </c>
      <c r="Q81" s="105">
        <v>168</v>
      </c>
      <c r="R81" s="109" t="s">
        <v>413</v>
      </c>
    </row>
    <row r="82" spans="1:18" ht="49.95" customHeight="1" thickBot="1" x14ac:dyDescent="0.35">
      <c r="A82" s="126" t="s">
        <v>28</v>
      </c>
      <c r="B82" s="126" t="s">
        <v>387</v>
      </c>
      <c r="C82" s="127">
        <v>0.6875</v>
      </c>
      <c r="D82" s="126" t="s">
        <v>30</v>
      </c>
      <c r="E82" s="128"/>
      <c r="F82" s="126" t="s">
        <v>49</v>
      </c>
      <c r="G82" s="242"/>
      <c r="H82" s="129" t="s">
        <v>387</v>
      </c>
      <c r="I82" s="218">
        <v>0.8095</v>
      </c>
      <c r="J82" s="131">
        <v>136</v>
      </c>
      <c r="K82" s="132" t="s">
        <v>122</v>
      </c>
      <c r="L82" s="131">
        <v>5</v>
      </c>
      <c r="M82" s="131">
        <v>0</v>
      </c>
      <c r="N82" s="131">
        <v>0</v>
      </c>
      <c r="O82" s="133" t="s">
        <v>102</v>
      </c>
      <c r="P82" s="134">
        <v>0.6875</v>
      </c>
      <c r="Q82" s="131">
        <v>168</v>
      </c>
      <c r="R82" s="135" t="s">
        <v>414</v>
      </c>
    </row>
    <row r="83" spans="1:18" ht="17.399999999999999" customHeight="1" thickBot="1" x14ac:dyDescent="0.35">
      <c r="A83" s="265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7"/>
    </row>
    <row r="84" spans="1:18" ht="22.05" customHeight="1" thickTop="1" thickBot="1" x14ac:dyDescent="0.35">
      <c r="A84" s="236" t="s">
        <v>8</v>
      </c>
      <c r="B84" s="234"/>
      <c r="C84" s="234"/>
      <c r="D84" s="234"/>
      <c r="E84" s="234"/>
      <c r="F84" s="235"/>
      <c r="G84" s="68">
        <v>46034</v>
      </c>
      <c r="H84" s="233" t="s">
        <v>9</v>
      </c>
      <c r="I84" s="234"/>
      <c r="J84" s="234"/>
      <c r="K84" s="234"/>
      <c r="L84" s="234"/>
      <c r="M84" s="234"/>
      <c r="N84" s="234"/>
      <c r="O84" s="234"/>
      <c r="P84" s="234"/>
      <c r="Q84" s="234"/>
      <c r="R84" s="235"/>
    </row>
    <row r="85" spans="1:18" ht="24" customHeight="1" x14ac:dyDescent="0.3">
      <c r="A85" s="69" t="s">
        <v>10</v>
      </c>
      <c r="B85" s="69" t="s">
        <v>11</v>
      </c>
      <c r="C85" s="70" t="s">
        <v>12</v>
      </c>
      <c r="D85" s="69" t="s">
        <v>13</v>
      </c>
      <c r="E85" s="69" t="s">
        <v>14</v>
      </c>
      <c r="F85" s="71" t="s">
        <v>15</v>
      </c>
      <c r="G85" s="72" t="s">
        <v>16</v>
      </c>
      <c r="H85" s="69" t="s">
        <v>17</v>
      </c>
      <c r="I85" s="73" t="s">
        <v>18</v>
      </c>
      <c r="J85" s="74" t="s">
        <v>19</v>
      </c>
      <c r="K85" s="75" t="s">
        <v>20</v>
      </c>
      <c r="L85" s="74" t="s">
        <v>21</v>
      </c>
      <c r="M85" s="74" t="s">
        <v>22</v>
      </c>
      <c r="N85" s="74" t="s">
        <v>23</v>
      </c>
      <c r="O85" s="69" t="s">
        <v>24</v>
      </c>
      <c r="P85" s="70" t="s">
        <v>25</v>
      </c>
      <c r="Q85" s="74" t="s">
        <v>26</v>
      </c>
      <c r="R85" s="69" t="s">
        <v>27</v>
      </c>
    </row>
    <row r="86" spans="1:18" ht="49.95" customHeight="1" x14ac:dyDescent="0.3">
      <c r="A86" s="154" t="s">
        <v>28</v>
      </c>
      <c r="B86" s="154" t="s">
        <v>390</v>
      </c>
      <c r="C86" s="155">
        <v>0.33680555555555558</v>
      </c>
      <c r="D86" s="154" t="s">
        <v>30</v>
      </c>
      <c r="E86" s="156"/>
      <c r="F86" s="154" t="s">
        <v>49</v>
      </c>
      <c r="G86" s="240"/>
      <c r="H86" s="31" t="s">
        <v>390</v>
      </c>
      <c r="I86" s="157">
        <v>0.8095</v>
      </c>
      <c r="J86" s="33">
        <v>136</v>
      </c>
      <c r="K86" s="34" t="s">
        <v>174</v>
      </c>
      <c r="L86" s="33">
        <v>3</v>
      </c>
      <c r="M86" s="33">
        <v>0</v>
      </c>
      <c r="N86" s="33">
        <v>0</v>
      </c>
      <c r="O86" s="35" t="s">
        <v>102</v>
      </c>
      <c r="P86" s="36">
        <v>0.33680555555555558</v>
      </c>
      <c r="Q86" s="33">
        <v>168</v>
      </c>
      <c r="R86" s="37" t="s">
        <v>414</v>
      </c>
    </row>
    <row r="87" spans="1:18" ht="49.95" customHeight="1" thickBot="1" x14ac:dyDescent="0.35">
      <c r="A87" s="161" t="s">
        <v>28</v>
      </c>
      <c r="B87" s="161" t="s">
        <v>387</v>
      </c>
      <c r="C87" s="162">
        <v>0.64583333333333337</v>
      </c>
      <c r="D87" s="161" t="s">
        <v>30</v>
      </c>
      <c r="E87" s="163"/>
      <c r="F87" s="161" t="s">
        <v>49</v>
      </c>
      <c r="G87" s="242"/>
      <c r="H87" s="164" t="s">
        <v>387</v>
      </c>
      <c r="I87" s="226">
        <v>0.80359999999999998</v>
      </c>
      <c r="J87" s="166">
        <v>135</v>
      </c>
      <c r="K87" s="167" t="s">
        <v>122</v>
      </c>
      <c r="L87" s="166">
        <v>4</v>
      </c>
      <c r="M87" s="166">
        <v>0</v>
      </c>
      <c r="N87" s="166">
        <v>0</v>
      </c>
      <c r="O87" s="168" t="s">
        <v>102</v>
      </c>
      <c r="P87" s="169">
        <v>0.64583333333333337</v>
      </c>
      <c r="Q87" s="166">
        <v>168</v>
      </c>
      <c r="R87" s="170" t="s">
        <v>123</v>
      </c>
    </row>
    <row r="88" spans="1:18" ht="17.399999999999999" customHeight="1" thickBot="1" x14ac:dyDescent="0.35">
      <c r="A88" s="265"/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7"/>
    </row>
    <row r="89" spans="1:18" ht="22.05" customHeight="1" thickTop="1" thickBot="1" x14ac:dyDescent="0.35">
      <c r="A89" s="236" t="s">
        <v>8</v>
      </c>
      <c r="B89" s="234"/>
      <c r="C89" s="234"/>
      <c r="D89" s="234"/>
      <c r="E89" s="234"/>
      <c r="F89" s="235"/>
      <c r="G89" s="68">
        <v>46035</v>
      </c>
      <c r="H89" s="233" t="s">
        <v>9</v>
      </c>
      <c r="I89" s="234"/>
      <c r="J89" s="234"/>
      <c r="K89" s="234"/>
      <c r="L89" s="234"/>
      <c r="M89" s="234"/>
      <c r="N89" s="234"/>
      <c r="O89" s="234"/>
      <c r="P89" s="234"/>
      <c r="Q89" s="234"/>
      <c r="R89" s="235"/>
    </row>
    <row r="90" spans="1:18" ht="24" customHeight="1" x14ac:dyDescent="0.3">
      <c r="A90" s="69" t="s">
        <v>10</v>
      </c>
      <c r="B90" s="69" t="s">
        <v>11</v>
      </c>
      <c r="C90" s="70" t="s">
        <v>12</v>
      </c>
      <c r="D90" s="69" t="s">
        <v>13</v>
      </c>
      <c r="E90" s="69" t="s">
        <v>14</v>
      </c>
      <c r="F90" s="71" t="s">
        <v>15</v>
      </c>
      <c r="G90" s="72" t="s">
        <v>16</v>
      </c>
      <c r="H90" s="69" t="s">
        <v>17</v>
      </c>
      <c r="I90" s="73" t="s">
        <v>18</v>
      </c>
      <c r="J90" s="74" t="s">
        <v>19</v>
      </c>
      <c r="K90" s="75" t="s">
        <v>20</v>
      </c>
      <c r="L90" s="74" t="s">
        <v>21</v>
      </c>
      <c r="M90" s="74" t="s">
        <v>22</v>
      </c>
      <c r="N90" s="74" t="s">
        <v>23</v>
      </c>
      <c r="O90" s="69" t="s">
        <v>24</v>
      </c>
      <c r="P90" s="70" t="s">
        <v>25</v>
      </c>
      <c r="Q90" s="74" t="s">
        <v>26</v>
      </c>
      <c r="R90" s="69" t="s">
        <v>27</v>
      </c>
    </row>
    <row r="91" spans="1:18" ht="49.95" customHeight="1" thickTop="1" thickBot="1" x14ac:dyDescent="0.35">
      <c r="A91" s="122" t="s">
        <v>28</v>
      </c>
      <c r="B91" s="122" t="s">
        <v>387</v>
      </c>
      <c r="C91" s="123">
        <v>0.70833333333333337</v>
      </c>
      <c r="D91" s="122" t="s">
        <v>30</v>
      </c>
      <c r="E91" s="124"/>
      <c r="F91" s="122" t="s">
        <v>49</v>
      </c>
      <c r="G91" s="240"/>
      <c r="H91" s="93" t="s">
        <v>387</v>
      </c>
      <c r="I91" s="221">
        <v>0.52380000000000004</v>
      </c>
      <c r="J91" s="95">
        <v>88</v>
      </c>
      <c r="K91" s="96" t="s">
        <v>174</v>
      </c>
      <c r="L91" s="95">
        <v>5</v>
      </c>
      <c r="M91" s="95">
        <v>0</v>
      </c>
      <c r="N91" s="95">
        <v>0</v>
      </c>
      <c r="O91" s="97" t="s">
        <v>102</v>
      </c>
      <c r="P91" s="98">
        <v>0.70833333333333337</v>
      </c>
      <c r="Q91" s="95">
        <v>168</v>
      </c>
      <c r="R91" s="99" t="s">
        <v>415</v>
      </c>
    </row>
    <row r="92" spans="1:18" ht="17.399999999999999" customHeight="1" thickBot="1" x14ac:dyDescent="0.35">
      <c r="A92" s="265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7"/>
    </row>
    <row r="93" spans="1:18" ht="22.05" customHeight="1" thickTop="1" thickBot="1" x14ac:dyDescent="0.35">
      <c r="A93" s="236" t="s">
        <v>8</v>
      </c>
      <c r="B93" s="234"/>
      <c r="C93" s="234"/>
      <c r="D93" s="234"/>
      <c r="E93" s="234"/>
      <c r="F93" s="235"/>
      <c r="G93" s="68">
        <v>46036</v>
      </c>
      <c r="H93" s="233" t="s">
        <v>9</v>
      </c>
      <c r="I93" s="234"/>
      <c r="J93" s="234"/>
      <c r="K93" s="234"/>
      <c r="L93" s="234"/>
      <c r="M93" s="234"/>
      <c r="N93" s="234"/>
      <c r="O93" s="234"/>
      <c r="P93" s="234"/>
      <c r="Q93" s="234"/>
      <c r="R93" s="235"/>
    </row>
    <row r="94" spans="1:18" ht="24" customHeight="1" x14ac:dyDescent="0.3">
      <c r="A94" s="69" t="s">
        <v>10</v>
      </c>
      <c r="B94" s="69" t="s">
        <v>11</v>
      </c>
      <c r="C94" s="70" t="s">
        <v>12</v>
      </c>
      <c r="D94" s="69" t="s">
        <v>13</v>
      </c>
      <c r="E94" s="69" t="s">
        <v>14</v>
      </c>
      <c r="F94" s="71" t="s">
        <v>15</v>
      </c>
      <c r="G94" s="72" t="s">
        <v>16</v>
      </c>
      <c r="H94" s="69" t="s">
        <v>17</v>
      </c>
      <c r="I94" s="73" t="s">
        <v>18</v>
      </c>
      <c r="J94" s="74" t="s">
        <v>19</v>
      </c>
      <c r="K94" s="75" t="s">
        <v>20</v>
      </c>
      <c r="L94" s="74" t="s">
        <v>21</v>
      </c>
      <c r="M94" s="74" t="s">
        <v>22</v>
      </c>
      <c r="N94" s="74" t="s">
        <v>23</v>
      </c>
      <c r="O94" s="69" t="s">
        <v>24</v>
      </c>
      <c r="P94" s="70" t="s">
        <v>25</v>
      </c>
      <c r="Q94" s="74" t="s">
        <v>26</v>
      </c>
      <c r="R94" s="69" t="s">
        <v>27</v>
      </c>
    </row>
    <row r="95" spans="1:18" ht="49.95" customHeight="1" x14ac:dyDescent="0.3">
      <c r="A95" s="76" t="s">
        <v>28</v>
      </c>
      <c r="B95" s="76" t="s">
        <v>387</v>
      </c>
      <c r="C95" s="77">
        <v>0.33333333333333331</v>
      </c>
      <c r="D95" s="76" t="s">
        <v>30</v>
      </c>
      <c r="E95" s="78"/>
      <c r="F95" s="76" t="s">
        <v>49</v>
      </c>
      <c r="G95" s="240"/>
      <c r="H95" s="79" t="s">
        <v>387</v>
      </c>
      <c r="I95" s="206">
        <v>0.8095</v>
      </c>
      <c r="J95" s="81">
        <v>136</v>
      </c>
      <c r="K95" s="82" t="s">
        <v>129</v>
      </c>
      <c r="L95" s="81">
        <v>4</v>
      </c>
      <c r="M95" s="81">
        <v>0</v>
      </c>
      <c r="N95" s="81">
        <v>0</v>
      </c>
      <c r="O95" s="83" t="s">
        <v>102</v>
      </c>
      <c r="P95" s="84">
        <v>0.33333333333333331</v>
      </c>
      <c r="Q95" s="81">
        <v>168</v>
      </c>
      <c r="R95" s="85" t="s">
        <v>414</v>
      </c>
    </row>
    <row r="96" spans="1:18" ht="49.95" customHeight="1" x14ac:dyDescent="0.3">
      <c r="A96" s="143" t="s">
        <v>28</v>
      </c>
      <c r="B96" s="143" t="s">
        <v>399</v>
      </c>
      <c r="C96" s="144">
        <v>0.40972222222222232</v>
      </c>
      <c r="D96" s="143" t="s">
        <v>30</v>
      </c>
      <c r="E96" s="145"/>
      <c r="F96" s="143" t="s">
        <v>49</v>
      </c>
      <c r="G96" s="241"/>
      <c r="H96" s="146" t="s">
        <v>399</v>
      </c>
      <c r="I96" s="158">
        <v>0.80359999999999998</v>
      </c>
      <c r="J96" s="148">
        <v>135</v>
      </c>
      <c r="K96" s="149" t="s">
        <v>122</v>
      </c>
      <c r="L96" s="148">
        <v>3</v>
      </c>
      <c r="M96" s="148">
        <v>0</v>
      </c>
      <c r="N96" s="148">
        <v>0</v>
      </c>
      <c r="O96" s="150" t="s">
        <v>102</v>
      </c>
      <c r="P96" s="151">
        <v>0.40972222222222232</v>
      </c>
      <c r="Q96" s="148">
        <v>168</v>
      </c>
      <c r="R96" s="152" t="s">
        <v>123</v>
      </c>
    </row>
    <row r="97" spans="1:18" ht="49.95" customHeight="1" thickBot="1" x14ac:dyDescent="0.35">
      <c r="A97" s="189" t="s">
        <v>28</v>
      </c>
      <c r="B97" s="189" t="s">
        <v>390</v>
      </c>
      <c r="C97" s="190">
        <v>0.71875</v>
      </c>
      <c r="D97" s="189" t="s">
        <v>30</v>
      </c>
      <c r="E97" s="191"/>
      <c r="F97" s="189" t="s">
        <v>49</v>
      </c>
      <c r="G97" s="242"/>
      <c r="H97" s="192" t="s">
        <v>390</v>
      </c>
      <c r="I97" s="193">
        <v>0.74399999999999999</v>
      </c>
      <c r="J97" s="194">
        <v>125</v>
      </c>
      <c r="K97" s="195" t="s">
        <v>122</v>
      </c>
      <c r="L97" s="194">
        <v>2</v>
      </c>
      <c r="M97" s="194">
        <v>0</v>
      </c>
      <c r="N97" s="194">
        <v>0</v>
      </c>
      <c r="O97" s="196" t="s">
        <v>102</v>
      </c>
      <c r="P97" s="197">
        <v>0.71875</v>
      </c>
      <c r="Q97" s="194">
        <v>168</v>
      </c>
      <c r="R97" s="198" t="s">
        <v>416</v>
      </c>
    </row>
    <row r="98" spans="1:18" ht="17.399999999999999" customHeight="1" thickBot="1" x14ac:dyDescent="0.35">
      <c r="A98" s="265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7"/>
    </row>
    <row r="99" spans="1:18" ht="22.05" customHeight="1" thickTop="1" thickBot="1" x14ac:dyDescent="0.35">
      <c r="A99" s="236" t="s">
        <v>8</v>
      </c>
      <c r="B99" s="234"/>
      <c r="C99" s="234"/>
      <c r="D99" s="234"/>
      <c r="E99" s="234"/>
      <c r="F99" s="235"/>
      <c r="G99" s="68">
        <v>46037</v>
      </c>
      <c r="H99" s="233" t="s">
        <v>9</v>
      </c>
      <c r="I99" s="234"/>
      <c r="J99" s="234"/>
      <c r="K99" s="234"/>
      <c r="L99" s="234"/>
      <c r="M99" s="234"/>
      <c r="N99" s="234"/>
      <c r="O99" s="234"/>
      <c r="P99" s="234"/>
      <c r="Q99" s="234"/>
      <c r="R99" s="235"/>
    </row>
    <row r="100" spans="1:18" ht="24" customHeight="1" x14ac:dyDescent="0.3">
      <c r="A100" s="69" t="s">
        <v>10</v>
      </c>
      <c r="B100" s="69" t="s">
        <v>11</v>
      </c>
      <c r="C100" s="70" t="s">
        <v>12</v>
      </c>
      <c r="D100" s="69" t="s">
        <v>13</v>
      </c>
      <c r="E100" s="69" t="s">
        <v>14</v>
      </c>
      <c r="F100" s="71" t="s">
        <v>15</v>
      </c>
      <c r="G100" s="72" t="s">
        <v>16</v>
      </c>
      <c r="H100" s="69" t="s">
        <v>17</v>
      </c>
      <c r="I100" s="73" t="s">
        <v>18</v>
      </c>
      <c r="J100" s="74" t="s">
        <v>19</v>
      </c>
      <c r="K100" s="75" t="s">
        <v>20</v>
      </c>
      <c r="L100" s="74" t="s">
        <v>21</v>
      </c>
      <c r="M100" s="74" t="s">
        <v>22</v>
      </c>
      <c r="N100" s="74" t="s">
        <v>23</v>
      </c>
      <c r="O100" s="69" t="s">
        <v>24</v>
      </c>
      <c r="P100" s="70" t="s">
        <v>25</v>
      </c>
      <c r="Q100" s="74" t="s">
        <v>26</v>
      </c>
      <c r="R100" s="69" t="s">
        <v>27</v>
      </c>
    </row>
    <row r="101" spans="1:18" ht="49.95" customHeight="1" thickTop="1" thickBot="1" x14ac:dyDescent="0.35">
      <c r="A101" s="136" t="s">
        <v>28</v>
      </c>
      <c r="B101" s="136" t="s">
        <v>387</v>
      </c>
      <c r="C101" s="137">
        <v>0.27430555555555552</v>
      </c>
      <c r="D101" s="136" t="s">
        <v>30</v>
      </c>
      <c r="E101" s="138"/>
      <c r="F101" s="136" t="s">
        <v>49</v>
      </c>
      <c r="G101" s="240"/>
      <c r="H101" s="164" t="s">
        <v>387</v>
      </c>
      <c r="I101" s="226">
        <v>0.83330000000000004</v>
      </c>
      <c r="J101" s="166">
        <v>140</v>
      </c>
      <c r="K101" s="167" t="s">
        <v>113</v>
      </c>
      <c r="L101" s="166">
        <v>9</v>
      </c>
      <c r="M101" s="166">
        <v>0</v>
      </c>
      <c r="N101" s="166">
        <v>0</v>
      </c>
      <c r="O101" s="168" t="s">
        <v>102</v>
      </c>
      <c r="P101" s="169">
        <v>0.27430555555555552</v>
      </c>
      <c r="Q101" s="166">
        <v>168</v>
      </c>
      <c r="R101" s="170" t="s">
        <v>417</v>
      </c>
    </row>
    <row r="102" spans="1:18" ht="17.399999999999999" customHeight="1" thickBot="1" x14ac:dyDescent="0.35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7"/>
    </row>
    <row r="103" spans="1:18" ht="22.05" customHeight="1" thickTop="1" thickBot="1" x14ac:dyDescent="0.35">
      <c r="A103" s="236" t="s">
        <v>8</v>
      </c>
      <c r="B103" s="234"/>
      <c r="C103" s="234"/>
      <c r="D103" s="234"/>
      <c r="E103" s="234"/>
      <c r="F103" s="235"/>
      <c r="G103" s="68">
        <v>46038</v>
      </c>
      <c r="H103" s="233" t="s">
        <v>9</v>
      </c>
      <c r="I103" s="234"/>
      <c r="J103" s="234"/>
      <c r="K103" s="234"/>
      <c r="L103" s="234"/>
      <c r="M103" s="234"/>
      <c r="N103" s="234"/>
      <c r="O103" s="234"/>
      <c r="P103" s="234"/>
      <c r="Q103" s="234"/>
      <c r="R103" s="235"/>
    </row>
    <row r="104" spans="1:18" ht="24" customHeight="1" x14ac:dyDescent="0.3">
      <c r="A104" s="69" t="s">
        <v>10</v>
      </c>
      <c r="B104" s="69" t="s">
        <v>11</v>
      </c>
      <c r="C104" s="70" t="s">
        <v>12</v>
      </c>
      <c r="D104" s="69" t="s">
        <v>13</v>
      </c>
      <c r="E104" s="69" t="s">
        <v>14</v>
      </c>
      <c r="F104" s="71" t="s">
        <v>15</v>
      </c>
      <c r="G104" s="72" t="s">
        <v>16</v>
      </c>
      <c r="H104" s="69" t="s">
        <v>17</v>
      </c>
      <c r="I104" s="73" t="s">
        <v>18</v>
      </c>
      <c r="J104" s="74" t="s">
        <v>19</v>
      </c>
      <c r="K104" s="75" t="s">
        <v>20</v>
      </c>
      <c r="L104" s="74" t="s">
        <v>21</v>
      </c>
      <c r="M104" s="74" t="s">
        <v>22</v>
      </c>
      <c r="N104" s="74" t="s">
        <v>23</v>
      </c>
      <c r="O104" s="69" t="s">
        <v>24</v>
      </c>
      <c r="P104" s="70" t="s">
        <v>25</v>
      </c>
      <c r="Q104" s="74" t="s">
        <v>26</v>
      </c>
      <c r="R104" s="69" t="s">
        <v>27</v>
      </c>
    </row>
    <row r="105" spans="1:18" ht="49.95" customHeight="1" thickTop="1" thickBot="1" x14ac:dyDescent="0.35">
      <c r="A105" s="185" t="s">
        <v>28</v>
      </c>
      <c r="B105" s="185" t="s">
        <v>387</v>
      </c>
      <c r="C105" s="186">
        <v>0.41666666666666669</v>
      </c>
      <c r="D105" s="185" t="s">
        <v>30</v>
      </c>
      <c r="E105" s="187"/>
      <c r="F105" s="185" t="s">
        <v>31</v>
      </c>
      <c r="G105" s="240"/>
      <c r="H105" s="115" t="s">
        <v>387</v>
      </c>
      <c r="I105" s="220">
        <v>4.7600000000000003E-2</v>
      </c>
      <c r="J105" s="117">
        <v>8</v>
      </c>
      <c r="K105" s="118" t="s">
        <v>418</v>
      </c>
      <c r="L105" s="117">
        <v>8</v>
      </c>
      <c r="M105" s="117">
        <v>0</v>
      </c>
      <c r="N105" s="117">
        <v>0</v>
      </c>
      <c r="O105" s="119" t="s">
        <v>102</v>
      </c>
      <c r="P105" s="120">
        <v>0.41666666666666669</v>
      </c>
      <c r="Q105" s="117">
        <v>168</v>
      </c>
      <c r="R105" s="121" t="s">
        <v>142</v>
      </c>
    </row>
    <row r="106" spans="1:18" ht="17.399999999999999" customHeight="1" thickBot="1" x14ac:dyDescent="0.35">
      <c r="A106" s="265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7"/>
    </row>
    <row r="107" spans="1:18" ht="22.05" customHeight="1" thickTop="1" thickBot="1" x14ac:dyDescent="0.35">
      <c r="A107" s="236" t="s">
        <v>8</v>
      </c>
      <c r="B107" s="234"/>
      <c r="C107" s="234"/>
      <c r="D107" s="234"/>
      <c r="E107" s="234"/>
      <c r="F107" s="235"/>
      <c r="G107" s="68">
        <v>46039</v>
      </c>
      <c r="H107" s="233" t="s">
        <v>9</v>
      </c>
      <c r="I107" s="234"/>
      <c r="J107" s="234"/>
      <c r="K107" s="234"/>
      <c r="L107" s="234"/>
      <c r="M107" s="234"/>
      <c r="N107" s="234"/>
      <c r="O107" s="234"/>
      <c r="P107" s="234"/>
      <c r="Q107" s="234"/>
      <c r="R107" s="235"/>
    </row>
    <row r="108" spans="1:18" ht="24" customHeight="1" x14ac:dyDescent="0.3">
      <c r="A108" s="69" t="s">
        <v>10</v>
      </c>
      <c r="B108" s="69" t="s">
        <v>11</v>
      </c>
      <c r="C108" s="70" t="s">
        <v>12</v>
      </c>
      <c r="D108" s="69" t="s">
        <v>13</v>
      </c>
      <c r="E108" s="69" t="s">
        <v>14</v>
      </c>
      <c r="F108" s="71" t="s">
        <v>15</v>
      </c>
      <c r="G108" s="72" t="s">
        <v>16</v>
      </c>
      <c r="H108" s="69" t="s">
        <v>17</v>
      </c>
      <c r="I108" s="73" t="s">
        <v>18</v>
      </c>
      <c r="J108" s="74" t="s">
        <v>19</v>
      </c>
      <c r="K108" s="75" t="s">
        <v>20</v>
      </c>
      <c r="L108" s="74" t="s">
        <v>21</v>
      </c>
      <c r="M108" s="74" t="s">
        <v>22</v>
      </c>
      <c r="N108" s="74" t="s">
        <v>23</v>
      </c>
      <c r="O108" s="69" t="s">
        <v>24</v>
      </c>
      <c r="P108" s="70" t="s">
        <v>25</v>
      </c>
      <c r="Q108" s="74" t="s">
        <v>26</v>
      </c>
      <c r="R108" s="69" t="s">
        <v>27</v>
      </c>
    </row>
    <row r="109" spans="1:18" ht="49.95" customHeight="1" x14ac:dyDescent="0.3">
      <c r="A109" s="185" t="s">
        <v>28</v>
      </c>
      <c r="B109" s="185" t="s">
        <v>390</v>
      </c>
      <c r="C109" s="186">
        <v>0.45833333333333331</v>
      </c>
      <c r="D109" s="185" t="s">
        <v>30</v>
      </c>
      <c r="E109" s="187"/>
      <c r="F109" s="185" t="s">
        <v>49</v>
      </c>
      <c r="G109" s="240"/>
      <c r="H109" s="146" t="s">
        <v>390</v>
      </c>
      <c r="I109" s="158">
        <v>0.80359999999999998</v>
      </c>
      <c r="J109" s="148">
        <v>135</v>
      </c>
      <c r="K109" s="149" t="s">
        <v>97</v>
      </c>
      <c r="L109" s="148">
        <v>3</v>
      </c>
      <c r="M109" s="148">
        <v>0</v>
      </c>
      <c r="N109" s="148">
        <v>0</v>
      </c>
      <c r="O109" s="150" t="s">
        <v>102</v>
      </c>
      <c r="P109" s="151">
        <v>0.45833333333333331</v>
      </c>
      <c r="Q109" s="148">
        <v>168</v>
      </c>
      <c r="R109" s="152" t="s">
        <v>123</v>
      </c>
    </row>
    <row r="110" spans="1:18" ht="49.95" customHeight="1" thickBot="1" x14ac:dyDescent="0.35">
      <c r="A110" s="126" t="s">
        <v>28</v>
      </c>
      <c r="B110" s="126" t="s">
        <v>387</v>
      </c>
      <c r="C110" s="127">
        <v>0.79166666666666663</v>
      </c>
      <c r="D110" s="126" t="s">
        <v>30</v>
      </c>
      <c r="E110" s="128"/>
      <c r="F110" s="126" t="s">
        <v>49</v>
      </c>
      <c r="G110" s="242"/>
      <c r="H110" s="129" t="s">
        <v>387</v>
      </c>
      <c r="I110" s="218">
        <v>0.8155</v>
      </c>
      <c r="J110" s="131">
        <v>137</v>
      </c>
      <c r="K110" s="132" t="s">
        <v>97</v>
      </c>
      <c r="L110" s="131">
        <v>6</v>
      </c>
      <c r="M110" s="131">
        <v>0</v>
      </c>
      <c r="N110" s="131">
        <v>0</v>
      </c>
      <c r="O110" s="133" t="s">
        <v>102</v>
      </c>
      <c r="P110" s="134">
        <v>0.79166666666666663</v>
      </c>
      <c r="Q110" s="131">
        <v>168</v>
      </c>
      <c r="R110" s="135" t="s">
        <v>404</v>
      </c>
    </row>
    <row r="111" spans="1:18" ht="17.399999999999999" customHeight="1" thickBot="1" x14ac:dyDescent="0.35">
      <c r="A111" s="265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7"/>
    </row>
    <row r="112" spans="1:18" ht="22.05" customHeight="1" thickTop="1" thickBot="1" x14ac:dyDescent="0.35">
      <c r="A112" s="236" t="s">
        <v>8</v>
      </c>
      <c r="B112" s="234"/>
      <c r="C112" s="234"/>
      <c r="D112" s="234"/>
      <c r="E112" s="234"/>
      <c r="F112" s="235"/>
      <c r="G112" s="68">
        <v>46040</v>
      </c>
      <c r="H112" s="233" t="s">
        <v>9</v>
      </c>
      <c r="I112" s="234"/>
      <c r="J112" s="234"/>
      <c r="K112" s="234"/>
      <c r="L112" s="234"/>
      <c r="M112" s="234"/>
      <c r="N112" s="234"/>
      <c r="O112" s="234"/>
      <c r="P112" s="234"/>
      <c r="Q112" s="234"/>
      <c r="R112" s="235"/>
    </row>
    <row r="113" spans="1:18" ht="24" customHeight="1" x14ac:dyDescent="0.3">
      <c r="A113" s="69" t="s">
        <v>10</v>
      </c>
      <c r="B113" s="69" t="s">
        <v>11</v>
      </c>
      <c r="C113" s="70" t="s">
        <v>12</v>
      </c>
      <c r="D113" s="69" t="s">
        <v>13</v>
      </c>
      <c r="E113" s="69" t="s">
        <v>14</v>
      </c>
      <c r="F113" s="71" t="s">
        <v>15</v>
      </c>
      <c r="G113" s="72" t="s">
        <v>16</v>
      </c>
      <c r="H113" s="69" t="s">
        <v>17</v>
      </c>
      <c r="I113" s="73" t="s">
        <v>18</v>
      </c>
      <c r="J113" s="74" t="s">
        <v>19</v>
      </c>
      <c r="K113" s="75" t="s">
        <v>20</v>
      </c>
      <c r="L113" s="74" t="s">
        <v>21</v>
      </c>
      <c r="M113" s="74" t="s">
        <v>22</v>
      </c>
      <c r="N113" s="74" t="s">
        <v>23</v>
      </c>
      <c r="O113" s="69" t="s">
        <v>24</v>
      </c>
      <c r="P113" s="70" t="s">
        <v>25</v>
      </c>
      <c r="Q113" s="74" t="s">
        <v>26</v>
      </c>
      <c r="R113" s="69" t="s">
        <v>27</v>
      </c>
    </row>
    <row r="114" spans="1:18" ht="49.95" customHeight="1" x14ac:dyDescent="0.3">
      <c r="A114" s="154" t="s">
        <v>28</v>
      </c>
      <c r="B114" s="154" t="s">
        <v>390</v>
      </c>
      <c r="C114" s="155">
        <v>0.48958333333333331</v>
      </c>
      <c r="D114" s="154" t="s">
        <v>30</v>
      </c>
      <c r="E114" s="156"/>
      <c r="F114" s="154" t="s">
        <v>49</v>
      </c>
      <c r="G114" s="240"/>
      <c r="H114" s="31" t="s">
        <v>390</v>
      </c>
      <c r="I114" s="157">
        <v>0.80359999999999998</v>
      </c>
      <c r="J114" s="33">
        <v>135</v>
      </c>
      <c r="K114" s="34" t="s">
        <v>91</v>
      </c>
      <c r="L114" s="33">
        <v>3</v>
      </c>
      <c r="M114" s="33">
        <v>0</v>
      </c>
      <c r="N114" s="33">
        <v>0</v>
      </c>
      <c r="O114" s="35" t="s">
        <v>102</v>
      </c>
      <c r="P114" s="36">
        <v>0.48958333333333331</v>
      </c>
      <c r="Q114" s="33">
        <v>168</v>
      </c>
      <c r="R114" s="37" t="s">
        <v>123</v>
      </c>
    </row>
    <row r="115" spans="1:18" ht="49.95" customHeight="1" thickBot="1" x14ac:dyDescent="0.35">
      <c r="A115" s="112" t="s">
        <v>28</v>
      </c>
      <c r="B115" s="112" t="s">
        <v>387</v>
      </c>
      <c r="C115" s="113">
        <v>0.6875</v>
      </c>
      <c r="D115" s="112" t="s">
        <v>30</v>
      </c>
      <c r="E115" s="114"/>
      <c r="F115" s="112" t="s">
        <v>49</v>
      </c>
      <c r="G115" s="242"/>
      <c r="H115" s="115" t="s">
        <v>387</v>
      </c>
      <c r="I115" s="116">
        <v>0.80359999999999998</v>
      </c>
      <c r="J115" s="117">
        <v>135</v>
      </c>
      <c r="K115" s="118" t="s">
        <v>97</v>
      </c>
      <c r="L115" s="117">
        <v>4</v>
      </c>
      <c r="M115" s="117">
        <v>0</v>
      </c>
      <c r="N115" s="117">
        <v>0</v>
      </c>
      <c r="O115" s="119" t="s">
        <v>102</v>
      </c>
      <c r="P115" s="120">
        <v>0.6875</v>
      </c>
      <c r="Q115" s="117">
        <v>168</v>
      </c>
      <c r="R115" s="121" t="s">
        <v>123</v>
      </c>
    </row>
    <row r="116" spans="1:18" ht="17.399999999999999" customHeight="1" thickBot="1" x14ac:dyDescent="0.35">
      <c r="A116" s="265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7"/>
    </row>
    <row r="117" spans="1:18" ht="22.05" customHeight="1" thickTop="1" thickBot="1" x14ac:dyDescent="0.35">
      <c r="A117" s="236" t="s">
        <v>8</v>
      </c>
      <c r="B117" s="234"/>
      <c r="C117" s="234"/>
      <c r="D117" s="234"/>
      <c r="E117" s="234"/>
      <c r="F117" s="235"/>
      <c r="G117" s="68">
        <v>46041</v>
      </c>
      <c r="H117" s="233" t="s">
        <v>9</v>
      </c>
      <c r="I117" s="234"/>
      <c r="J117" s="234"/>
      <c r="K117" s="234"/>
      <c r="L117" s="234"/>
      <c r="M117" s="234"/>
      <c r="N117" s="234"/>
      <c r="O117" s="234"/>
      <c r="P117" s="234"/>
      <c r="Q117" s="234"/>
      <c r="R117" s="235"/>
    </row>
    <row r="118" spans="1:18" ht="24" customHeight="1" x14ac:dyDescent="0.3">
      <c r="A118" s="69" t="s">
        <v>10</v>
      </c>
      <c r="B118" s="69" t="s">
        <v>11</v>
      </c>
      <c r="C118" s="70" t="s">
        <v>12</v>
      </c>
      <c r="D118" s="69" t="s">
        <v>13</v>
      </c>
      <c r="E118" s="69" t="s">
        <v>14</v>
      </c>
      <c r="F118" s="71" t="s">
        <v>15</v>
      </c>
      <c r="G118" s="72" t="s">
        <v>16</v>
      </c>
      <c r="H118" s="69" t="s">
        <v>17</v>
      </c>
      <c r="I118" s="73" t="s">
        <v>18</v>
      </c>
      <c r="J118" s="74" t="s">
        <v>19</v>
      </c>
      <c r="K118" s="75" t="s">
        <v>20</v>
      </c>
      <c r="L118" s="74" t="s">
        <v>21</v>
      </c>
      <c r="M118" s="74" t="s">
        <v>22</v>
      </c>
      <c r="N118" s="74" t="s">
        <v>23</v>
      </c>
      <c r="O118" s="69" t="s">
        <v>24</v>
      </c>
      <c r="P118" s="70" t="s">
        <v>25</v>
      </c>
      <c r="Q118" s="74" t="s">
        <v>26</v>
      </c>
      <c r="R118" s="69" t="s">
        <v>27</v>
      </c>
    </row>
    <row r="119" spans="1:18" ht="49.95" customHeight="1" x14ac:dyDescent="0.3">
      <c r="A119" s="8" t="s">
        <v>28</v>
      </c>
      <c r="B119" s="8" t="s">
        <v>390</v>
      </c>
      <c r="C119" s="9">
        <v>0.33680555555555558</v>
      </c>
      <c r="D119" s="8" t="s">
        <v>30</v>
      </c>
      <c r="E119" s="10"/>
      <c r="F119" s="8" t="s">
        <v>49</v>
      </c>
      <c r="G119" s="240"/>
      <c r="H119" s="11" t="s">
        <v>390</v>
      </c>
      <c r="I119" s="89">
        <v>0.80359999999999998</v>
      </c>
      <c r="J119" s="13">
        <v>135</v>
      </c>
      <c r="K119" s="14" t="s">
        <v>113</v>
      </c>
      <c r="L119" s="13">
        <v>2</v>
      </c>
      <c r="M119" s="13">
        <v>0</v>
      </c>
      <c r="N119" s="13">
        <v>0</v>
      </c>
      <c r="O119" s="15" t="s">
        <v>102</v>
      </c>
      <c r="P119" s="16">
        <v>0.33680555555555558</v>
      </c>
      <c r="Q119" s="13">
        <v>168</v>
      </c>
      <c r="R119" s="17" t="s">
        <v>123</v>
      </c>
    </row>
    <row r="120" spans="1:18" ht="49.95" customHeight="1" thickBot="1" x14ac:dyDescent="0.35">
      <c r="A120" s="90" t="s">
        <v>28</v>
      </c>
      <c r="B120" s="90" t="s">
        <v>387</v>
      </c>
      <c r="C120" s="91">
        <v>0.64583333333333337</v>
      </c>
      <c r="D120" s="90" t="s">
        <v>30</v>
      </c>
      <c r="E120" s="92"/>
      <c r="F120" s="90" t="s">
        <v>49</v>
      </c>
      <c r="G120" s="242"/>
      <c r="H120" s="93" t="s">
        <v>387</v>
      </c>
      <c r="I120" s="153">
        <v>0.80359999999999998</v>
      </c>
      <c r="J120" s="95">
        <v>135</v>
      </c>
      <c r="K120" s="96" t="s">
        <v>113</v>
      </c>
      <c r="L120" s="95">
        <v>4</v>
      </c>
      <c r="M120" s="95">
        <v>0</v>
      </c>
      <c r="N120" s="95">
        <v>0</v>
      </c>
      <c r="O120" s="97" t="s">
        <v>102</v>
      </c>
      <c r="P120" s="98">
        <v>0.64583333333333337</v>
      </c>
      <c r="Q120" s="95">
        <v>168</v>
      </c>
      <c r="R120" s="99" t="s">
        <v>123</v>
      </c>
    </row>
    <row r="121" spans="1:18" ht="17.399999999999999" customHeight="1" thickBot="1" x14ac:dyDescent="0.35">
      <c r="A121" s="265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7"/>
    </row>
    <row r="122" spans="1:18" ht="22.05" customHeight="1" thickTop="1" thickBot="1" x14ac:dyDescent="0.35">
      <c r="A122" s="236" t="s">
        <v>8</v>
      </c>
      <c r="B122" s="234"/>
      <c r="C122" s="234"/>
      <c r="D122" s="234"/>
      <c r="E122" s="234"/>
      <c r="F122" s="235"/>
      <c r="G122" s="68">
        <v>46042</v>
      </c>
      <c r="H122" s="233" t="s">
        <v>9</v>
      </c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</row>
    <row r="123" spans="1:18" ht="24" customHeight="1" x14ac:dyDescent="0.3">
      <c r="A123" s="69" t="s">
        <v>10</v>
      </c>
      <c r="B123" s="69" t="s">
        <v>11</v>
      </c>
      <c r="C123" s="70" t="s">
        <v>12</v>
      </c>
      <c r="D123" s="69" t="s">
        <v>13</v>
      </c>
      <c r="E123" s="69" t="s">
        <v>14</v>
      </c>
      <c r="F123" s="71" t="s">
        <v>15</v>
      </c>
      <c r="G123" s="72" t="s">
        <v>16</v>
      </c>
      <c r="H123" s="69" t="s">
        <v>17</v>
      </c>
      <c r="I123" s="73" t="s">
        <v>18</v>
      </c>
      <c r="J123" s="74" t="s">
        <v>19</v>
      </c>
      <c r="K123" s="75" t="s">
        <v>20</v>
      </c>
      <c r="L123" s="74" t="s">
        <v>21</v>
      </c>
      <c r="M123" s="74" t="s">
        <v>22</v>
      </c>
      <c r="N123" s="74" t="s">
        <v>23</v>
      </c>
      <c r="O123" s="69" t="s">
        <v>24</v>
      </c>
      <c r="P123" s="70" t="s">
        <v>25</v>
      </c>
      <c r="Q123" s="74" t="s">
        <v>26</v>
      </c>
      <c r="R123" s="69" t="s">
        <v>27</v>
      </c>
    </row>
    <row r="124" spans="1:18" ht="49.95" customHeight="1" thickTop="1" thickBot="1" x14ac:dyDescent="0.35">
      <c r="A124" s="122" t="s">
        <v>28</v>
      </c>
      <c r="B124" s="122" t="s">
        <v>387</v>
      </c>
      <c r="C124" s="123">
        <v>0.70833333333333337</v>
      </c>
      <c r="D124" s="122" t="s">
        <v>30</v>
      </c>
      <c r="E124" s="124"/>
      <c r="F124" s="122" t="s">
        <v>49</v>
      </c>
      <c r="G124" s="240"/>
      <c r="H124" s="93" t="s">
        <v>387</v>
      </c>
      <c r="I124" s="153">
        <v>0.80359999999999998</v>
      </c>
      <c r="J124" s="95">
        <v>135</v>
      </c>
      <c r="K124" s="96" t="s">
        <v>113</v>
      </c>
      <c r="L124" s="95">
        <v>9</v>
      </c>
      <c r="M124" s="95">
        <v>0</v>
      </c>
      <c r="N124" s="95">
        <v>0</v>
      </c>
      <c r="O124" s="97" t="s">
        <v>102</v>
      </c>
      <c r="P124" s="98">
        <v>0.70833333333333337</v>
      </c>
      <c r="Q124" s="95">
        <v>168</v>
      </c>
      <c r="R124" s="99" t="s">
        <v>419</v>
      </c>
    </row>
    <row r="125" spans="1:18" ht="17.399999999999999" customHeight="1" thickBot="1" x14ac:dyDescent="0.35">
      <c r="A125" s="265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7"/>
    </row>
    <row r="126" spans="1:18" ht="22.05" customHeight="1" thickTop="1" thickBot="1" x14ac:dyDescent="0.35">
      <c r="A126" s="236" t="s">
        <v>8</v>
      </c>
      <c r="B126" s="234"/>
      <c r="C126" s="234"/>
      <c r="D126" s="234"/>
      <c r="E126" s="234"/>
      <c r="F126" s="235"/>
      <c r="G126" s="68">
        <v>46043</v>
      </c>
      <c r="H126" s="233" t="s">
        <v>9</v>
      </c>
      <c r="I126" s="234"/>
      <c r="J126" s="234"/>
      <c r="K126" s="234"/>
      <c r="L126" s="234"/>
      <c r="M126" s="234"/>
      <c r="N126" s="234"/>
      <c r="O126" s="234"/>
      <c r="P126" s="234"/>
      <c r="Q126" s="234"/>
      <c r="R126" s="235"/>
    </row>
    <row r="127" spans="1:18" ht="24" customHeight="1" x14ac:dyDescent="0.3">
      <c r="A127" s="69" t="s">
        <v>10</v>
      </c>
      <c r="B127" s="69" t="s">
        <v>11</v>
      </c>
      <c r="C127" s="70" t="s">
        <v>12</v>
      </c>
      <c r="D127" s="69" t="s">
        <v>13</v>
      </c>
      <c r="E127" s="69" t="s">
        <v>14</v>
      </c>
      <c r="F127" s="71" t="s">
        <v>15</v>
      </c>
      <c r="G127" s="72" t="s">
        <v>16</v>
      </c>
      <c r="H127" s="69" t="s">
        <v>17</v>
      </c>
      <c r="I127" s="73" t="s">
        <v>18</v>
      </c>
      <c r="J127" s="74" t="s">
        <v>19</v>
      </c>
      <c r="K127" s="75" t="s">
        <v>20</v>
      </c>
      <c r="L127" s="74" t="s">
        <v>21</v>
      </c>
      <c r="M127" s="74" t="s">
        <v>22</v>
      </c>
      <c r="N127" s="74" t="s">
        <v>23</v>
      </c>
      <c r="O127" s="69" t="s">
        <v>24</v>
      </c>
      <c r="P127" s="70" t="s">
        <v>25</v>
      </c>
      <c r="Q127" s="74" t="s">
        <v>26</v>
      </c>
      <c r="R127" s="69" t="s">
        <v>27</v>
      </c>
    </row>
    <row r="128" spans="1:18" ht="49.95" customHeight="1" x14ac:dyDescent="0.3">
      <c r="A128" s="122" t="s">
        <v>28</v>
      </c>
      <c r="B128" s="122" t="s">
        <v>387</v>
      </c>
      <c r="C128" s="123">
        <v>0.33333333333333331</v>
      </c>
      <c r="D128" s="122" t="s">
        <v>30</v>
      </c>
      <c r="E128" s="124"/>
      <c r="F128" s="122" t="s">
        <v>49</v>
      </c>
      <c r="G128" s="240"/>
      <c r="H128" s="41" t="s">
        <v>387</v>
      </c>
      <c r="I128" s="200">
        <v>0.80359999999999998</v>
      </c>
      <c r="J128" s="43">
        <v>135</v>
      </c>
      <c r="K128" s="44" t="s">
        <v>91</v>
      </c>
      <c r="L128" s="43">
        <v>3</v>
      </c>
      <c r="M128" s="43">
        <v>0</v>
      </c>
      <c r="N128" s="43">
        <v>0</v>
      </c>
      <c r="O128" s="45" t="s">
        <v>102</v>
      </c>
      <c r="P128" s="46">
        <v>0.33333333333333331</v>
      </c>
      <c r="Q128" s="43">
        <v>168</v>
      </c>
      <c r="R128" s="47" t="s">
        <v>123</v>
      </c>
    </row>
    <row r="129" spans="1:18" ht="49.95" customHeight="1" x14ac:dyDescent="0.3">
      <c r="A129" s="201" t="s">
        <v>28</v>
      </c>
      <c r="B129" s="201" t="s">
        <v>399</v>
      </c>
      <c r="C129" s="202">
        <v>0.40972222222222232</v>
      </c>
      <c r="D129" s="201" t="s">
        <v>30</v>
      </c>
      <c r="E129" s="203"/>
      <c r="F129" s="201" t="s">
        <v>49</v>
      </c>
      <c r="G129" s="241"/>
      <c r="H129" s="79" t="s">
        <v>399</v>
      </c>
      <c r="I129" s="206">
        <v>0.80359999999999998</v>
      </c>
      <c r="J129" s="81">
        <v>135</v>
      </c>
      <c r="K129" s="82" t="s">
        <v>113</v>
      </c>
      <c r="L129" s="81">
        <v>4</v>
      </c>
      <c r="M129" s="81">
        <v>0</v>
      </c>
      <c r="N129" s="81">
        <v>0</v>
      </c>
      <c r="O129" s="83" t="s">
        <v>102</v>
      </c>
      <c r="P129" s="84">
        <v>0.40972222222222232</v>
      </c>
      <c r="Q129" s="81">
        <v>168</v>
      </c>
      <c r="R129" s="85" t="s">
        <v>123</v>
      </c>
    </row>
    <row r="130" spans="1:18" ht="49.95" customHeight="1" thickBot="1" x14ac:dyDescent="0.35">
      <c r="A130" s="207" t="s">
        <v>28</v>
      </c>
      <c r="B130" s="207" t="s">
        <v>390</v>
      </c>
      <c r="C130" s="208">
        <v>0.71875</v>
      </c>
      <c r="D130" s="207" t="s">
        <v>30</v>
      </c>
      <c r="E130" s="209"/>
      <c r="F130" s="207" t="s">
        <v>57</v>
      </c>
      <c r="G130" s="242"/>
      <c r="H130" s="210" t="s">
        <v>390</v>
      </c>
      <c r="I130" s="229">
        <v>1.0119</v>
      </c>
      <c r="J130" s="212">
        <v>170</v>
      </c>
      <c r="K130" s="213" t="s">
        <v>113</v>
      </c>
      <c r="L130" s="212">
        <v>2</v>
      </c>
      <c r="M130" s="212">
        <v>0</v>
      </c>
      <c r="N130" s="212">
        <v>0</v>
      </c>
      <c r="O130" s="214" t="s">
        <v>58</v>
      </c>
      <c r="P130" s="215">
        <v>0.71875</v>
      </c>
      <c r="Q130" s="212">
        <v>168</v>
      </c>
      <c r="R130" s="216" t="s">
        <v>408</v>
      </c>
    </row>
    <row r="131" spans="1:18" ht="17.399999999999999" customHeight="1" thickBot="1" x14ac:dyDescent="0.35">
      <c r="A131" s="265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7"/>
    </row>
    <row r="132" spans="1:18" ht="22.05" customHeight="1" thickTop="1" thickBot="1" x14ac:dyDescent="0.35">
      <c r="A132" s="236" t="s">
        <v>8</v>
      </c>
      <c r="B132" s="234"/>
      <c r="C132" s="234"/>
      <c r="D132" s="234"/>
      <c r="E132" s="234"/>
      <c r="F132" s="235"/>
      <c r="G132" s="68">
        <v>46044</v>
      </c>
      <c r="H132" s="233" t="s">
        <v>9</v>
      </c>
      <c r="I132" s="234"/>
      <c r="J132" s="234"/>
      <c r="K132" s="234"/>
      <c r="L132" s="234"/>
      <c r="M132" s="234"/>
      <c r="N132" s="234"/>
      <c r="O132" s="234"/>
      <c r="P132" s="234"/>
      <c r="Q132" s="234"/>
      <c r="R132" s="235"/>
    </row>
    <row r="133" spans="1:18" ht="24" customHeight="1" x14ac:dyDescent="0.3">
      <c r="A133" s="69" t="s">
        <v>10</v>
      </c>
      <c r="B133" s="69" t="s">
        <v>11</v>
      </c>
      <c r="C133" s="70" t="s">
        <v>12</v>
      </c>
      <c r="D133" s="69" t="s">
        <v>13</v>
      </c>
      <c r="E133" s="69" t="s">
        <v>14</v>
      </c>
      <c r="F133" s="71" t="s">
        <v>15</v>
      </c>
      <c r="G133" s="72" t="s">
        <v>16</v>
      </c>
      <c r="H133" s="69" t="s">
        <v>17</v>
      </c>
      <c r="I133" s="73" t="s">
        <v>18</v>
      </c>
      <c r="J133" s="74" t="s">
        <v>19</v>
      </c>
      <c r="K133" s="75" t="s">
        <v>20</v>
      </c>
      <c r="L133" s="74" t="s">
        <v>21</v>
      </c>
      <c r="M133" s="74" t="s">
        <v>22</v>
      </c>
      <c r="N133" s="74" t="s">
        <v>23</v>
      </c>
      <c r="O133" s="69" t="s">
        <v>24</v>
      </c>
      <c r="P133" s="70" t="s">
        <v>25</v>
      </c>
      <c r="Q133" s="74" t="s">
        <v>26</v>
      </c>
      <c r="R133" s="69" t="s">
        <v>27</v>
      </c>
    </row>
    <row r="134" spans="1:18" ht="49.95" customHeight="1" thickTop="1" thickBot="1" x14ac:dyDescent="0.35">
      <c r="A134" s="185" t="s">
        <v>28</v>
      </c>
      <c r="B134" s="185" t="s">
        <v>387</v>
      </c>
      <c r="C134" s="186">
        <v>0.27430555555555552</v>
      </c>
      <c r="D134" s="185" t="s">
        <v>30</v>
      </c>
      <c r="E134" s="187"/>
      <c r="F134" s="185" t="s">
        <v>49</v>
      </c>
      <c r="G134" s="240"/>
      <c r="H134" s="115" t="s">
        <v>387</v>
      </c>
      <c r="I134" s="116">
        <v>0.80359999999999998</v>
      </c>
      <c r="J134" s="117">
        <v>135</v>
      </c>
      <c r="K134" s="118" t="s">
        <v>91</v>
      </c>
      <c r="L134" s="117">
        <v>4</v>
      </c>
      <c r="M134" s="117">
        <v>0</v>
      </c>
      <c r="N134" s="117">
        <v>0</v>
      </c>
      <c r="O134" s="119" t="s">
        <v>102</v>
      </c>
      <c r="P134" s="120">
        <v>0.27430555555555552</v>
      </c>
      <c r="Q134" s="117">
        <v>168</v>
      </c>
      <c r="R134" s="121" t="s">
        <v>123</v>
      </c>
    </row>
    <row r="135" spans="1:18" ht="17.399999999999999" customHeight="1" thickBot="1" x14ac:dyDescent="0.35">
      <c r="A135" s="265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7"/>
    </row>
    <row r="136" spans="1:18" ht="22.05" customHeight="1" thickTop="1" thickBot="1" x14ac:dyDescent="0.35">
      <c r="A136" s="236" t="s">
        <v>8</v>
      </c>
      <c r="B136" s="234"/>
      <c r="C136" s="234"/>
      <c r="D136" s="234"/>
      <c r="E136" s="234"/>
      <c r="F136" s="235"/>
      <c r="G136" s="68">
        <v>46045</v>
      </c>
      <c r="H136" s="233" t="s">
        <v>9</v>
      </c>
      <c r="I136" s="234"/>
      <c r="J136" s="234"/>
      <c r="K136" s="234"/>
      <c r="L136" s="234"/>
      <c r="M136" s="234"/>
      <c r="N136" s="234"/>
      <c r="O136" s="234"/>
      <c r="P136" s="234"/>
      <c r="Q136" s="234"/>
      <c r="R136" s="235"/>
    </row>
    <row r="137" spans="1:18" ht="24" customHeight="1" x14ac:dyDescent="0.3">
      <c r="A137" s="69" t="s">
        <v>10</v>
      </c>
      <c r="B137" s="69" t="s">
        <v>11</v>
      </c>
      <c r="C137" s="70" t="s">
        <v>12</v>
      </c>
      <c r="D137" s="69" t="s">
        <v>13</v>
      </c>
      <c r="E137" s="69" t="s">
        <v>14</v>
      </c>
      <c r="F137" s="71" t="s">
        <v>15</v>
      </c>
      <c r="G137" s="72" t="s">
        <v>16</v>
      </c>
      <c r="H137" s="69" t="s">
        <v>17</v>
      </c>
      <c r="I137" s="73" t="s">
        <v>18</v>
      </c>
      <c r="J137" s="74" t="s">
        <v>19</v>
      </c>
      <c r="K137" s="75" t="s">
        <v>20</v>
      </c>
      <c r="L137" s="74" t="s">
        <v>21</v>
      </c>
      <c r="M137" s="74" t="s">
        <v>22</v>
      </c>
      <c r="N137" s="74" t="s">
        <v>23</v>
      </c>
      <c r="O137" s="69" t="s">
        <v>24</v>
      </c>
      <c r="P137" s="70" t="s">
        <v>25</v>
      </c>
      <c r="Q137" s="74" t="s">
        <v>26</v>
      </c>
      <c r="R137" s="69" t="s">
        <v>27</v>
      </c>
    </row>
    <row r="138" spans="1:18" ht="49.95" customHeight="1" thickTop="1" thickBot="1" x14ac:dyDescent="0.35">
      <c r="A138" s="122" t="s">
        <v>28</v>
      </c>
      <c r="B138" s="122" t="s">
        <v>387</v>
      </c>
      <c r="C138" s="123">
        <v>0.41666666666666669</v>
      </c>
      <c r="D138" s="122" t="s">
        <v>30</v>
      </c>
      <c r="E138" s="124"/>
      <c r="F138" s="122" t="s">
        <v>31</v>
      </c>
      <c r="G138" s="240"/>
      <c r="H138" s="93" t="s">
        <v>387</v>
      </c>
      <c r="I138" s="221">
        <v>5.3600000000000002E-2</v>
      </c>
      <c r="J138" s="95">
        <v>9</v>
      </c>
      <c r="K138" s="96" t="s">
        <v>106</v>
      </c>
      <c r="L138" s="95">
        <v>9</v>
      </c>
      <c r="M138" s="95">
        <v>0</v>
      </c>
      <c r="N138" s="95">
        <v>0</v>
      </c>
      <c r="O138" s="97" t="s">
        <v>102</v>
      </c>
      <c r="P138" s="98">
        <v>0.41666666666666669</v>
      </c>
      <c r="Q138" s="95">
        <v>168</v>
      </c>
      <c r="R138" s="99" t="s">
        <v>420</v>
      </c>
    </row>
    <row r="139" spans="1:18" ht="17.399999999999999" customHeight="1" thickBot="1" x14ac:dyDescent="0.35">
      <c r="A139" s="265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7"/>
    </row>
    <row r="140" spans="1:18" ht="22.05" customHeight="1" thickTop="1" thickBot="1" x14ac:dyDescent="0.35">
      <c r="A140" s="236" t="s">
        <v>8</v>
      </c>
      <c r="B140" s="234"/>
      <c r="C140" s="234"/>
      <c r="D140" s="234"/>
      <c r="E140" s="234"/>
      <c r="F140" s="235"/>
      <c r="G140" s="68">
        <v>46046</v>
      </c>
      <c r="H140" s="233" t="s">
        <v>9</v>
      </c>
      <c r="I140" s="234"/>
      <c r="J140" s="234"/>
      <c r="K140" s="234"/>
      <c r="L140" s="234"/>
      <c r="M140" s="234"/>
      <c r="N140" s="234"/>
      <c r="O140" s="234"/>
      <c r="P140" s="234"/>
      <c r="Q140" s="234"/>
      <c r="R140" s="235"/>
    </row>
    <row r="141" spans="1:18" ht="24" customHeight="1" x14ac:dyDescent="0.3">
      <c r="A141" s="69" t="s">
        <v>10</v>
      </c>
      <c r="B141" s="69" t="s">
        <v>11</v>
      </c>
      <c r="C141" s="70" t="s">
        <v>12</v>
      </c>
      <c r="D141" s="69" t="s">
        <v>13</v>
      </c>
      <c r="E141" s="69" t="s">
        <v>14</v>
      </c>
      <c r="F141" s="71" t="s">
        <v>15</v>
      </c>
      <c r="G141" s="72" t="s">
        <v>16</v>
      </c>
      <c r="H141" s="69" t="s">
        <v>17</v>
      </c>
      <c r="I141" s="73" t="s">
        <v>18</v>
      </c>
      <c r="J141" s="74" t="s">
        <v>19</v>
      </c>
      <c r="K141" s="75" t="s">
        <v>20</v>
      </c>
      <c r="L141" s="74" t="s">
        <v>21</v>
      </c>
      <c r="M141" s="74" t="s">
        <v>22</v>
      </c>
      <c r="N141" s="74" t="s">
        <v>23</v>
      </c>
      <c r="O141" s="69" t="s">
        <v>24</v>
      </c>
      <c r="P141" s="70" t="s">
        <v>25</v>
      </c>
      <c r="Q141" s="74" t="s">
        <v>26</v>
      </c>
      <c r="R141" s="69" t="s">
        <v>27</v>
      </c>
    </row>
    <row r="142" spans="1:18" ht="49.95" customHeight="1" x14ac:dyDescent="0.3">
      <c r="A142" s="76" t="s">
        <v>28</v>
      </c>
      <c r="B142" s="76" t="s">
        <v>390</v>
      </c>
      <c r="C142" s="77">
        <v>0.45833333333333331</v>
      </c>
      <c r="D142" s="76" t="s">
        <v>30</v>
      </c>
      <c r="E142" s="78"/>
      <c r="F142" s="76" t="s">
        <v>49</v>
      </c>
      <c r="G142" s="240"/>
      <c r="H142" s="79" t="s">
        <v>390</v>
      </c>
      <c r="I142" s="206">
        <v>0.8095</v>
      </c>
      <c r="J142" s="81">
        <v>136</v>
      </c>
      <c r="K142" s="82" t="s">
        <v>97</v>
      </c>
      <c r="L142" s="81">
        <v>4</v>
      </c>
      <c r="M142" s="81">
        <v>0</v>
      </c>
      <c r="N142" s="81">
        <v>0</v>
      </c>
      <c r="O142" s="83" t="s">
        <v>102</v>
      </c>
      <c r="P142" s="84">
        <v>0.45833333333333331</v>
      </c>
      <c r="Q142" s="81">
        <v>168</v>
      </c>
      <c r="R142" s="85" t="s">
        <v>414</v>
      </c>
    </row>
    <row r="143" spans="1:18" ht="49.95" customHeight="1" thickBot="1" x14ac:dyDescent="0.35">
      <c r="A143" s="90" t="s">
        <v>28</v>
      </c>
      <c r="B143" s="90" t="s">
        <v>387</v>
      </c>
      <c r="C143" s="91">
        <v>0.79166666666666663</v>
      </c>
      <c r="D143" s="90" t="s">
        <v>30</v>
      </c>
      <c r="E143" s="92"/>
      <c r="F143" s="90" t="s">
        <v>49</v>
      </c>
      <c r="G143" s="242"/>
      <c r="H143" s="93" t="s">
        <v>387</v>
      </c>
      <c r="I143" s="153">
        <v>0.82740000000000002</v>
      </c>
      <c r="J143" s="95">
        <v>139</v>
      </c>
      <c r="K143" s="96" t="s">
        <v>97</v>
      </c>
      <c r="L143" s="95">
        <v>8</v>
      </c>
      <c r="M143" s="95">
        <v>0</v>
      </c>
      <c r="N143" s="95">
        <v>0</v>
      </c>
      <c r="O143" s="97" t="s">
        <v>102</v>
      </c>
      <c r="P143" s="98">
        <v>0.79166666666666663</v>
      </c>
      <c r="Q143" s="95">
        <v>168</v>
      </c>
      <c r="R143" s="99" t="s">
        <v>421</v>
      </c>
    </row>
    <row r="144" spans="1:18" ht="17.399999999999999" customHeight="1" thickBot="1" x14ac:dyDescent="0.35">
      <c r="A144" s="265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7"/>
    </row>
    <row r="145" spans="1:18" ht="22.05" customHeight="1" thickTop="1" thickBot="1" x14ac:dyDescent="0.35">
      <c r="A145" s="236" t="s">
        <v>8</v>
      </c>
      <c r="B145" s="234"/>
      <c r="C145" s="234"/>
      <c r="D145" s="234"/>
      <c r="E145" s="234"/>
      <c r="F145" s="235"/>
      <c r="G145" s="68">
        <v>46047</v>
      </c>
      <c r="H145" s="233" t="s">
        <v>9</v>
      </c>
      <c r="I145" s="234"/>
      <c r="J145" s="234"/>
      <c r="K145" s="234"/>
      <c r="L145" s="234"/>
      <c r="M145" s="234"/>
      <c r="N145" s="234"/>
      <c r="O145" s="234"/>
      <c r="P145" s="234"/>
      <c r="Q145" s="234"/>
      <c r="R145" s="235"/>
    </row>
    <row r="146" spans="1:18" ht="24" customHeight="1" x14ac:dyDescent="0.3">
      <c r="A146" s="69" t="s">
        <v>10</v>
      </c>
      <c r="B146" s="69" t="s">
        <v>11</v>
      </c>
      <c r="C146" s="70" t="s">
        <v>12</v>
      </c>
      <c r="D146" s="69" t="s">
        <v>13</v>
      </c>
      <c r="E146" s="69" t="s">
        <v>14</v>
      </c>
      <c r="F146" s="71" t="s">
        <v>15</v>
      </c>
      <c r="G146" s="72" t="s">
        <v>16</v>
      </c>
      <c r="H146" s="69" t="s">
        <v>17</v>
      </c>
      <c r="I146" s="73" t="s">
        <v>18</v>
      </c>
      <c r="J146" s="74" t="s">
        <v>19</v>
      </c>
      <c r="K146" s="75" t="s">
        <v>20</v>
      </c>
      <c r="L146" s="74" t="s">
        <v>21</v>
      </c>
      <c r="M146" s="74" t="s">
        <v>22</v>
      </c>
      <c r="N146" s="74" t="s">
        <v>23</v>
      </c>
      <c r="O146" s="69" t="s">
        <v>24</v>
      </c>
      <c r="P146" s="70" t="s">
        <v>25</v>
      </c>
      <c r="Q146" s="74" t="s">
        <v>26</v>
      </c>
      <c r="R146" s="69" t="s">
        <v>27</v>
      </c>
    </row>
    <row r="147" spans="1:18" ht="49.95" customHeight="1" x14ac:dyDescent="0.3">
      <c r="A147" s="76" t="s">
        <v>28</v>
      </c>
      <c r="B147" s="76" t="s">
        <v>390</v>
      </c>
      <c r="C147" s="77">
        <v>0.48958333333333331</v>
      </c>
      <c r="D147" s="76" t="s">
        <v>30</v>
      </c>
      <c r="E147" s="78"/>
      <c r="F147" s="76" t="s">
        <v>49</v>
      </c>
      <c r="G147" s="240"/>
      <c r="H147" s="79" t="s">
        <v>390</v>
      </c>
      <c r="I147" s="206">
        <v>0.80359999999999998</v>
      </c>
      <c r="J147" s="81">
        <v>135</v>
      </c>
      <c r="K147" s="82" t="s">
        <v>91</v>
      </c>
      <c r="L147" s="81">
        <v>3</v>
      </c>
      <c r="M147" s="81">
        <v>0</v>
      </c>
      <c r="N147" s="81">
        <v>0</v>
      </c>
      <c r="O147" s="83" t="s">
        <v>102</v>
      </c>
      <c r="P147" s="84">
        <v>0.48958333333333331</v>
      </c>
      <c r="Q147" s="81">
        <v>168</v>
      </c>
      <c r="R147" s="85" t="s">
        <v>123</v>
      </c>
    </row>
    <row r="148" spans="1:18" ht="49.95" customHeight="1" thickBot="1" x14ac:dyDescent="0.35">
      <c r="A148" s="207" t="s">
        <v>28</v>
      </c>
      <c r="B148" s="207" t="s">
        <v>387</v>
      </c>
      <c r="C148" s="208">
        <v>0.6875</v>
      </c>
      <c r="D148" s="207" t="s">
        <v>30</v>
      </c>
      <c r="E148" s="209"/>
      <c r="F148" s="207" t="s">
        <v>49</v>
      </c>
      <c r="G148" s="242"/>
      <c r="H148" s="210" t="s">
        <v>387</v>
      </c>
      <c r="I148" s="211">
        <v>0.83930000000000005</v>
      </c>
      <c r="J148" s="212">
        <v>141</v>
      </c>
      <c r="K148" s="213" t="s">
        <v>97</v>
      </c>
      <c r="L148" s="212">
        <v>11</v>
      </c>
      <c r="M148" s="212">
        <v>0</v>
      </c>
      <c r="N148" s="212">
        <v>0</v>
      </c>
      <c r="O148" s="214" t="s">
        <v>102</v>
      </c>
      <c r="P148" s="215">
        <v>0.6875</v>
      </c>
      <c r="Q148" s="212">
        <v>168</v>
      </c>
      <c r="R148" s="216" t="s">
        <v>422</v>
      </c>
    </row>
    <row r="149" spans="1:18" ht="17.399999999999999" customHeight="1" thickBot="1" x14ac:dyDescent="0.35">
      <c r="A149" s="265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7"/>
    </row>
    <row r="150" spans="1:18" ht="22.05" customHeight="1" thickTop="1" thickBot="1" x14ac:dyDescent="0.35">
      <c r="A150" s="236" t="s">
        <v>8</v>
      </c>
      <c r="B150" s="234"/>
      <c r="C150" s="234"/>
      <c r="D150" s="234"/>
      <c r="E150" s="234"/>
      <c r="F150" s="235"/>
      <c r="G150" s="68">
        <v>46048</v>
      </c>
      <c r="H150" s="233" t="s">
        <v>9</v>
      </c>
      <c r="I150" s="234"/>
      <c r="J150" s="234"/>
      <c r="K150" s="234"/>
      <c r="L150" s="234"/>
      <c r="M150" s="234"/>
      <c r="N150" s="234"/>
      <c r="O150" s="234"/>
      <c r="P150" s="234"/>
      <c r="Q150" s="234"/>
      <c r="R150" s="235"/>
    </row>
    <row r="151" spans="1:18" ht="24" customHeight="1" x14ac:dyDescent="0.3">
      <c r="A151" s="69" t="s">
        <v>10</v>
      </c>
      <c r="B151" s="69" t="s">
        <v>11</v>
      </c>
      <c r="C151" s="70" t="s">
        <v>12</v>
      </c>
      <c r="D151" s="69" t="s">
        <v>13</v>
      </c>
      <c r="E151" s="69" t="s">
        <v>14</v>
      </c>
      <c r="F151" s="71" t="s">
        <v>15</v>
      </c>
      <c r="G151" s="72" t="s">
        <v>16</v>
      </c>
      <c r="H151" s="69" t="s">
        <v>17</v>
      </c>
      <c r="I151" s="73" t="s">
        <v>18</v>
      </c>
      <c r="J151" s="74" t="s">
        <v>19</v>
      </c>
      <c r="K151" s="75" t="s">
        <v>20</v>
      </c>
      <c r="L151" s="74" t="s">
        <v>21</v>
      </c>
      <c r="M151" s="74" t="s">
        <v>22</v>
      </c>
      <c r="N151" s="74" t="s">
        <v>23</v>
      </c>
      <c r="O151" s="69" t="s">
        <v>24</v>
      </c>
      <c r="P151" s="70" t="s">
        <v>25</v>
      </c>
      <c r="Q151" s="74" t="s">
        <v>26</v>
      </c>
      <c r="R151" s="69" t="s">
        <v>27</v>
      </c>
    </row>
    <row r="152" spans="1:18" ht="49.95" customHeight="1" x14ac:dyDescent="0.3">
      <c r="A152" s="185" t="s">
        <v>28</v>
      </c>
      <c r="B152" s="185" t="s">
        <v>390</v>
      </c>
      <c r="C152" s="186">
        <v>0.33680555555555558</v>
      </c>
      <c r="D152" s="185" t="s">
        <v>30</v>
      </c>
      <c r="E152" s="187"/>
      <c r="F152" s="185" t="s">
        <v>49</v>
      </c>
      <c r="G152" s="240"/>
      <c r="H152" s="146" t="s">
        <v>390</v>
      </c>
      <c r="I152" s="158">
        <v>0.80359999999999998</v>
      </c>
      <c r="J152" s="148">
        <v>135</v>
      </c>
      <c r="K152" s="149" t="s">
        <v>113</v>
      </c>
      <c r="L152" s="148">
        <v>2</v>
      </c>
      <c r="M152" s="148">
        <v>0</v>
      </c>
      <c r="N152" s="148">
        <v>0</v>
      </c>
      <c r="O152" s="150" t="s">
        <v>102</v>
      </c>
      <c r="P152" s="151">
        <v>0.33680555555555558</v>
      </c>
      <c r="Q152" s="148">
        <v>168</v>
      </c>
      <c r="R152" s="152" t="s">
        <v>123</v>
      </c>
    </row>
    <row r="153" spans="1:18" ht="49.95" customHeight="1" thickBot="1" x14ac:dyDescent="0.35">
      <c r="A153" s="189" t="s">
        <v>28</v>
      </c>
      <c r="B153" s="189" t="s">
        <v>387</v>
      </c>
      <c r="C153" s="190">
        <v>0.64583333333333337</v>
      </c>
      <c r="D153" s="189" t="s">
        <v>30</v>
      </c>
      <c r="E153" s="191"/>
      <c r="F153" s="189" t="s">
        <v>49</v>
      </c>
      <c r="G153" s="242"/>
      <c r="H153" s="192" t="s">
        <v>387</v>
      </c>
      <c r="I153" s="193">
        <v>0.80359999999999998</v>
      </c>
      <c r="J153" s="194">
        <v>135</v>
      </c>
      <c r="K153" s="195" t="s">
        <v>113</v>
      </c>
      <c r="L153" s="194">
        <v>4</v>
      </c>
      <c r="M153" s="194">
        <v>0</v>
      </c>
      <c r="N153" s="194">
        <v>0</v>
      </c>
      <c r="O153" s="196" t="s">
        <v>102</v>
      </c>
      <c r="P153" s="197">
        <v>0.64583333333333337</v>
      </c>
      <c r="Q153" s="194">
        <v>168</v>
      </c>
      <c r="R153" s="198" t="s">
        <v>123</v>
      </c>
    </row>
    <row r="154" spans="1:18" ht="17.399999999999999" customHeight="1" thickBot="1" x14ac:dyDescent="0.35">
      <c r="A154" s="265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7"/>
    </row>
    <row r="155" spans="1:18" ht="22.05" customHeight="1" thickTop="1" thickBot="1" x14ac:dyDescent="0.35">
      <c r="A155" s="236" t="s">
        <v>8</v>
      </c>
      <c r="B155" s="234"/>
      <c r="C155" s="234"/>
      <c r="D155" s="234"/>
      <c r="E155" s="234"/>
      <c r="F155" s="235"/>
      <c r="G155" s="68">
        <v>46049</v>
      </c>
      <c r="H155" s="233" t="s">
        <v>9</v>
      </c>
      <c r="I155" s="234"/>
      <c r="J155" s="234"/>
      <c r="K155" s="234"/>
      <c r="L155" s="234"/>
      <c r="M155" s="234"/>
      <c r="N155" s="234"/>
      <c r="O155" s="234"/>
      <c r="P155" s="234"/>
      <c r="Q155" s="234"/>
      <c r="R155" s="235"/>
    </row>
    <row r="156" spans="1:18" ht="24" customHeight="1" x14ac:dyDescent="0.3">
      <c r="A156" s="69" t="s">
        <v>10</v>
      </c>
      <c r="B156" s="69" t="s">
        <v>11</v>
      </c>
      <c r="C156" s="70" t="s">
        <v>12</v>
      </c>
      <c r="D156" s="69" t="s">
        <v>13</v>
      </c>
      <c r="E156" s="69" t="s">
        <v>14</v>
      </c>
      <c r="F156" s="71" t="s">
        <v>15</v>
      </c>
      <c r="G156" s="72" t="s">
        <v>16</v>
      </c>
      <c r="H156" s="69" t="s">
        <v>17</v>
      </c>
      <c r="I156" s="73" t="s">
        <v>18</v>
      </c>
      <c r="J156" s="74" t="s">
        <v>19</v>
      </c>
      <c r="K156" s="75" t="s">
        <v>20</v>
      </c>
      <c r="L156" s="74" t="s">
        <v>21</v>
      </c>
      <c r="M156" s="74" t="s">
        <v>22</v>
      </c>
      <c r="N156" s="74" t="s">
        <v>23</v>
      </c>
      <c r="O156" s="69" t="s">
        <v>24</v>
      </c>
      <c r="P156" s="70" t="s">
        <v>25</v>
      </c>
      <c r="Q156" s="74" t="s">
        <v>26</v>
      </c>
      <c r="R156" s="69" t="s">
        <v>27</v>
      </c>
    </row>
    <row r="157" spans="1:18" ht="49.95" customHeight="1" thickTop="1" thickBot="1" x14ac:dyDescent="0.35">
      <c r="A157" s="100" t="s">
        <v>28</v>
      </c>
      <c r="B157" s="100" t="s">
        <v>387</v>
      </c>
      <c r="C157" s="101">
        <v>0.70833333333333337</v>
      </c>
      <c r="D157" s="100" t="s">
        <v>30</v>
      </c>
      <c r="E157" s="102"/>
      <c r="F157" s="100" t="s">
        <v>49</v>
      </c>
      <c r="G157" s="240"/>
      <c r="H157" s="174" t="s">
        <v>387</v>
      </c>
      <c r="I157" s="228">
        <v>0.77980000000000005</v>
      </c>
      <c r="J157" s="176">
        <v>131</v>
      </c>
      <c r="K157" s="177" t="s">
        <v>91</v>
      </c>
      <c r="L157" s="176">
        <v>5</v>
      </c>
      <c r="M157" s="176">
        <v>0</v>
      </c>
      <c r="N157" s="176">
        <v>0</v>
      </c>
      <c r="O157" s="178" t="s">
        <v>102</v>
      </c>
      <c r="P157" s="179">
        <v>0.70833333333333337</v>
      </c>
      <c r="Q157" s="176">
        <v>168</v>
      </c>
      <c r="R157" s="180" t="s">
        <v>423</v>
      </c>
    </row>
    <row r="158" spans="1:18" ht="17.399999999999999" customHeight="1" thickBot="1" x14ac:dyDescent="0.35">
      <c r="A158" s="265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7"/>
    </row>
    <row r="159" spans="1:18" ht="22.05" customHeight="1" thickTop="1" thickBot="1" x14ac:dyDescent="0.35">
      <c r="A159" s="236" t="s">
        <v>8</v>
      </c>
      <c r="B159" s="234"/>
      <c r="C159" s="234"/>
      <c r="D159" s="234"/>
      <c r="E159" s="234"/>
      <c r="F159" s="235"/>
      <c r="G159" s="68">
        <v>46050</v>
      </c>
      <c r="H159" s="233" t="s">
        <v>9</v>
      </c>
      <c r="I159" s="234"/>
      <c r="J159" s="234"/>
      <c r="K159" s="234"/>
      <c r="L159" s="234"/>
      <c r="M159" s="234"/>
      <c r="N159" s="234"/>
      <c r="O159" s="234"/>
      <c r="P159" s="234"/>
      <c r="Q159" s="234"/>
      <c r="R159" s="235"/>
    </row>
    <row r="160" spans="1:18" ht="24" customHeight="1" x14ac:dyDescent="0.3">
      <c r="A160" s="69" t="s">
        <v>10</v>
      </c>
      <c r="B160" s="69" t="s">
        <v>11</v>
      </c>
      <c r="C160" s="70" t="s">
        <v>12</v>
      </c>
      <c r="D160" s="69" t="s">
        <v>13</v>
      </c>
      <c r="E160" s="69" t="s">
        <v>14</v>
      </c>
      <c r="F160" s="71" t="s">
        <v>15</v>
      </c>
      <c r="G160" s="72" t="s">
        <v>16</v>
      </c>
      <c r="H160" s="69" t="s">
        <v>17</v>
      </c>
      <c r="I160" s="73" t="s">
        <v>18</v>
      </c>
      <c r="J160" s="74" t="s">
        <v>19</v>
      </c>
      <c r="K160" s="75" t="s">
        <v>20</v>
      </c>
      <c r="L160" s="74" t="s">
        <v>21</v>
      </c>
      <c r="M160" s="74" t="s">
        <v>22</v>
      </c>
      <c r="N160" s="74" t="s">
        <v>23</v>
      </c>
      <c r="O160" s="69" t="s">
        <v>24</v>
      </c>
      <c r="P160" s="70" t="s">
        <v>25</v>
      </c>
      <c r="Q160" s="74" t="s">
        <v>26</v>
      </c>
      <c r="R160" s="69" t="s">
        <v>27</v>
      </c>
    </row>
    <row r="161" spans="1:18" ht="49.95" customHeight="1" x14ac:dyDescent="0.3">
      <c r="A161" s="154" t="s">
        <v>28</v>
      </c>
      <c r="B161" s="154" t="s">
        <v>387</v>
      </c>
      <c r="C161" s="155">
        <v>0.33333333333333331</v>
      </c>
      <c r="D161" s="154" t="s">
        <v>30</v>
      </c>
      <c r="E161" s="156"/>
      <c r="F161" s="154" t="s">
        <v>49</v>
      </c>
      <c r="G161" s="240"/>
      <c r="H161" s="31" t="s">
        <v>387</v>
      </c>
      <c r="I161" s="157">
        <v>0.80359999999999998</v>
      </c>
      <c r="J161" s="33">
        <v>135</v>
      </c>
      <c r="K161" s="34" t="s">
        <v>91</v>
      </c>
      <c r="L161" s="33">
        <v>3</v>
      </c>
      <c r="M161" s="33">
        <v>0</v>
      </c>
      <c r="N161" s="33">
        <v>0</v>
      </c>
      <c r="O161" s="35" t="s">
        <v>102</v>
      </c>
      <c r="P161" s="36">
        <v>0.33333333333333331</v>
      </c>
      <c r="Q161" s="33">
        <v>168</v>
      </c>
      <c r="R161" s="37" t="s">
        <v>123</v>
      </c>
    </row>
    <row r="162" spans="1:18" ht="49.95" customHeight="1" x14ac:dyDescent="0.3">
      <c r="A162" s="201" t="s">
        <v>28</v>
      </c>
      <c r="B162" s="201" t="s">
        <v>399</v>
      </c>
      <c r="C162" s="202">
        <v>0.40972222222222232</v>
      </c>
      <c r="D162" s="201" t="s">
        <v>30</v>
      </c>
      <c r="E162" s="203"/>
      <c r="F162" s="201" t="s">
        <v>49</v>
      </c>
      <c r="G162" s="241"/>
      <c r="H162" s="79" t="s">
        <v>399</v>
      </c>
      <c r="I162" s="206">
        <v>0.82140000000000002</v>
      </c>
      <c r="J162" s="81">
        <v>138</v>
      </c>
      <c r="K162" s="82" t="s">
        <v>113</v>
      </c>
      <c r="L162" s="81">
        <v>6</v>
      </c>
      <c r="M162" s="81">
        <v>0</v>
      </c>
      <c r="N162" s="81">
        <v>0</v>
      </c>
      <c r="O162" s="83" t="s">
        <v>102</v>
      </c>
      <c r="P162" s="84">
        <v>0.40972222222222232</v>
      </c>
      <c r="Q162" s="81">
        <v>168</v>
      </c>
      <c r="R162" s="85" t="s">
        <v>424</v>
      </c>
    </row>
    <row r="163" spans="1:18" ht="49.95" customHeight="1" thickBot="1" x14ac:dyDescent="0.35">
      <c r="A163" s="161" t="s">
        <v>28</v>
      </c>
      <c r="B163" s="161" t="s">
        <v>390</v>
      </c>
      <c r="C163" s="162">
        <v>0.71875</v>
      </c>
      <c r="D163" s="161" t="s">
        <v>30</v>
      </c>
      <c r="E163" s="163"/>
      <c r="F163" s="161" t="s">
        <v>57</v>
      </c>
      <c r="G163" s="242"/>
      <c r="H163" s="164" t="s">
        <v>390</v>
      </c>
      <c r="I163" s="165">
        <v>1.0179</v>
      </c>
      <c r="J163" s="166">
        <v>171</v>
      </c>
      <c r="K163" s="167" t="s">
        <v>113</v>
      </c>
      <c r="L163" s="166">
        <v>3</v>
      </c>
      <c r="M163" s="166">
        <v>0</v>
      </c>
      <c r="N163" s="166">
        <v>0</v>
      </c>
      <c r="O163" s="168" t="s">
        <v>58</v>
      </c>
      <c r="P163" s="169">
        <v>0.71875</v>
      </c>
      <c r="Q163" s="166">
        <v>168</v>
      </c>
      <c r="R163" s="170" t="s">
        <v>425</v>
      </c>
    </row>
    <row r="164" spans="1:18" ht="17.399999999999999" customHeight="1" thickBot="1" x14ac:dyDescent="0.35">
      <c r="A164" s="265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7"/>
    </row>
    <row r="165" spans="1:18" ht="22.05" customHeight="1" thickTop="1" thickBot="1" x14ac:dyDescent="0.35">
      <c r="A165" s="236" t="s">
        <v>8</v>
      </c>
      <c r="B165" s="234"/>
      <c r="C165" s="234"/>
      <c r="D165" s="234"/>
      <c r="E165" s="234"/>
      <c r="F165" s="235"/>
      <c r="G165" s="68">
        <v>46051</v>
      </c>
      <c r="H165" s="233" t="s">
        <v>9</v>
      </c>
      <c r="I165" s="234"/>
      <c r="J165" s="234"/>
      <c r="K165" s="234"/>
      <c r="L165" s="234"/>
      <c r="M165" s="234"/>
      <c r="N165" s="234"/>
      <c r="O165" s="234"/>
      <c r="P165" s="234"/>
      <c r="Q165" s="234"/>
      <c r="R165" s="235"/>
    </row>
    <row r="166" spans="1:18" ht="24" customHeight="1" x14ac:dyDescent="0.3">
      <c r="A166" s="69" t="s">
        <v>10</v>
      </c>
      <c r="B166" s="69" t="s">
        <v>11</v>
      </c>
      <c r="C166" s="70" t="s">
        <v>12</v>
      </c>
      <c r="D166" s="69" t="s">
        <v>13</v>
      </c>
      <c r="E166" s="69" t="s">
        <v>14</v>
      </c>
      <c r="F166" s="71" t="s">
        <v>15</v>
      </c>
      <c r="G166" s="72" t="s">
        <v>16</v>
      </c>
      <c r="H166" s="69" t="s">
        <v>17</v>
      </c>
      <c r="I166" s="73" t="s">
        <v>18</v>
      </c>
      <c r="J166" s="74" t="s">
        <v>19</v>
      </c>
      <c r="K166" s="75" t="s">
        <v>20</v>
      </c>
      <c r="L166" s="74" t="s">
        <v>21</v>
      </c>
      <c r="M166" s="74" t="s">
        <v>22</v>
      </c>
      <c r="N166" s="74" t="s">
        <v>23</v>
      </c>
      <c r="O166" s="69" t="s">
        <v>24</v>
      </c>
      <c r="P166" s="70" t="s">
        <v>25</v>
      </c>
      <c r="Q166" s="74" t="s">
        <v>26</v>
      </c>
      <c r="R166" s="69" t="s">
        <v>27</v>
      </c>
    </row>
    <row r="167" spans="1:18" ht="49.95" customHeight="1" thickTop="1" thickBot="1" x14ac:dyDescent="0.35">
      <c r="A167" s="122" t="s">
        <v>28</v>
      </c>
      <c r="B167" s="122" t="s">
        <v>387</v>
      </c>
      <c r="C167" s="123">
        <v>0.27430555555555552</v>
      </c>
      <c r="D167" s="122" t="s">
        <v>30</v>
      </c>
      <c r="E167" s="124"/>
      <c r="F167" s="122" t="s">
        <v>49</v>
      </c>
      <c r="G167" s="240"/>
      <c r="H167" s="93" t="s">
        <v>387</v>
      </c>
      <c r="I167" s="153">
        <v>0.8095</v>
      </c>
      <c r="J167" s="95">
        <v>136</v>
      </c>
      <c r="K167" s="96" t="s">
        <v>91</v>
      </c>
      <c r="L167" s="95">
        <v>4</v>
      </c>
      <c r="M167" s="95">
        <v>0</v>
      </c>
      <c r="N167" s="95">
        <v>0</v>
      </c>
      <c r="O167" s="97" t="s">
        <v>102</v>
      </c>
      <c r="P167" s="98">
        <v>0.27430555555555552</v>
      </c>
      <c r="Q167" s="95">
        <v>168</v>
      </c>
      <c r="R167" s="99" t="s">
        <v>414</v>
      </c>
    </row>
    <row r="168" spans="1:18" ht="17.399999999999999" customHeight="1" thickBot="1" x14ac:dyDescent="0.35">
      <c r="A168" s="265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7"/>
    </row>
    <row r="169" spans="1:18" ht="22.05" customHeight="1" thickTop="1" thickBot="1" x14ac:dyDescent="0.35">
      <c r="A169" s="236" t="s">
        <v>8</v>
      </c>
      <c r="B169" s="234"/>
      <c r="C169" s="234"/>
      <c r="D169" s="234"/>
      <c r="E169" s="234"/>
      <c r="F169" s="235"/>
      <c r="G169" s="68">
        <v>46052</v>
      </c>
      <c r="H169" s="233" t="s">
        <v>9</v>
      </c>
      <c r="I169" s="234"/>
      <c r="J169" s="234"/>
      <c r="K169" s="234"/>
      <c r="L169" s="234"/>
      <c r="M169" s="234"/>
      <c r="N169" s="234"/>
      <c r="O169" s="234"/>
      <c r="P169" s="234"/>
      <c r="Q169" s="234"/>
      <c r="R169" s="235"/>
    </row>
    <row r="170" spans="1:18" ht="24" customHeight="1" x14ac:dyDescent="0.3">
      <c r="A170" s="69" t="s">
        <v>10</v>
      </c>
      <c r="B170" s="69" t="s">
        <v>11</v>
      </c>
      <c r="C170" s="70" t="s">
        <v>12</v>
      </c>
      <c r="D170" s="69" t="s">
        <v>13</v>
      </c>
      <c r="E170" s="69" t="s">
        <v>14</v>
      </c>
      <c r="F170" s="71" t="s">
        <v>15</v>
      </c>
      <c r="G170" s="72" t="s">
        <v>16</v>
      </c>
      <c r="H170" s="69" t="s">
        <v>17</v>
      </c>
      <c r="I170" s="73" t="s">
        <v>18</v>
      </c>
      <c r="J170" s="74" t="s">
        <v>19</v>
      </c>
      <c r="K170" s="75" t="s">
        <v>20</v>
      </c>
      <c r="L170" s="74" t="s">
        <v>21</v>
      </c>
      <c r="M170" s="74" t="s">
        <v>22</v>
      </c>
      <c r="N170" s="74" t="s">
        <v>23</v>
      </c>
      <c r="O170" s="69" t="s">
        <v>24</v>
      </c>
      <c r="P170" s="70" t="s">
        <v>25</v>
      </c>
      <c r="Q170" s="74" t="s">
        <v>26</v>
      </c>
      <c r="R170" s="69" t="s">
        <v>27</v>
      </c>
    </row>
    <row r="171" spans="1:18" ht="49.95" customHeight="1" thickTop="1" thickBot="1" x14ac:dyDescent="0.5">
      <c r="A171" s="100" t="s">
        <v>28</v>
      </c>
      <c r="B171" s="100" t="s">
        <v>387</v>
      </c>
      <c r="C171" s="101">
        <v>0.41666666666666669</v>
      </c>
      <c r="D171" s="100" t="s">
        <v>30</v>
      </c>
      <c r="E171" s="102"/>
      <c r="F171" s="100" t="s">
        <v>31</v>
      </c>
      <c r="G171" s="243"/>
      <c r="H171" s="174" t="s">
        <v>387</v>
      </c>
      <c r="I171" s="175">
        <v>7.7399999999999997E-2</v>
      </c>
      <c r="J171" s="176">
        <v>13</v>
      </c>
      <c r="K171" s="177" t="s">
        <v>97</v>
      </c>
      <c r="L171" s="176">
        <v>13</v>
      </c>
      <c r="M171" s="176">
        <v>0</v>
      </c>
      <c r="N171" s="176">
        <v>0</v>
      </c>
      <c r="O171" s="178" t="s">
        <v>269</v>
      </c>
      <c r="P171" s="179">
        <v>0.41666666666666669</v>
      </c>
      <c r="Q171" s="176">
        <v>168</v>
      </c>
      <c r="R171" s="180" t="s">
        <v>426</v>
      </c>
    </row>
    <row r="172" spans="1:18" ht="17.399999999999999" customHeight="1" thickBot="1" x14ac:dyDescent="0.35">
      <c r="A172" s="265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7"/>
    </row>
    <row r="173" spans="1:18" ht="22.05" customHeight="1" thickTop="1" thickBot="1" x14ac:dyDescent="0.35">
      <c r="A173" s="236" t="s">
        <v>8</v>
      </c>
      <c r="B173" s="234"/>
      <c r="C173" s="234"/>
      <c r="D173" s="234"/>
      <c r="E173" s="234"/>
      <c r="F173" s="235"/>
      <c r="G173" s="68">
        <v>46053</v>
      </c>
      <c r="H173" s="233" t="s">
        <v>9</v>
      </c>
      <c r="I173" s="234"/>
      <c r="J173" s="234"/>
      <c r="K173" s="234"/>
      <c r="L173" s="234"/>
      <c r="M173" s="234"/>
      <c r="N173" s="234"/>
      <c r="O173" s="234"/>
      <c r="P173" s="234"/>
      <c r="Q173" s="234"/>
      <c r="R173" s="235"/>
    </row>
    <row r="174" spans="1:18" ht="24" customHeight="1" x14ac:dyDescent="0.3">
      <c r="A174" s="69" t="s">
        <v>10</v>
      </c>
      <c r="B174" s="69" t="s">
        <v>11</v>
      </c>
      <c r="C174" s="70" t="s">
        <v>12</v>
      </c>
      <c r="D174" s="69" t="s">
        <v>13</v>
      </c>
      <c r="E174" s="69" t="s">
        <v>14</v>
      </c>
      <c r="F174" s="71" t="s">
        <v>15</v>
      </c>
      <c r="G174" s="72" t="s">
        <v>16</v>
      </c>
      <c r="H174" s="69" t="s">
        <v>17</v>
      </c>
      <c r="I174" s="73" t="s">
        <v>18</v>
      </c>
      <c r="J174" s="74" t="s">
        <v>19</v>
      </c>
      <c r="K174" s="75" t="s">
        <v>20</v>
      </c>
      <c r="L174" s="74" t="s">
        <v>21</v>
      </c>
      <c r="M174" s="74" t="s">
        <v>22</v>
      </c>
      <c r="N174" s="74" t="s">
        <v>23</v>
      </c>
      <c r="O174" s="69" t="s">
        <v>24</v>
      </c>
      <c r="P174" s="70" t="s">
        <v>25</v>
      </c>
      <c r="Q174" s="74" t="s">
        <v>26</v>
      </c>
      <c r="R174" s="69" t="s">
        <v>27</v>
      </c>
    </row>
    <row r="175" spans="1:18" ht="49.95" customHeight="1" x14ac:dyDescent="0.3">
      <c r="A175" s="8" t="s">
        <v>28</v>
      </c>
      <c r="B175" s="8" t="s">
        <v>390</v>
      </c>
      <c r="C175" s="9">
        <v>0.45833333333333331</v>
      </c>
      <c r="D175" s="8" t="s">
        <v>30</v>
      </c>
      <c r="E175" s="10"/>
      <c r="F175" s="8" t="s">
        <v>49</v>
      </c>
      <c r="G175" s="240"/>
      <c r="H175" s="11" t="s">
        <v>390</v>
      </c>
      <c r="I175" s="89">
        <v>0.80359999999999998</v>
      </c>
      <c r="J175" s="13">
        <v>135</v>
      </c>
      <c r="K175" s="14" t="s">
        <v>97</v>
      </c>
      <c r="L175" s="13">
        <v>3</v>
      </c>
      <c r="M175" s="13">
        <v>0</v>
      </c>
      <c r="N175" s="13">
        <v>0</v>
      </c>
      <c r="O175" s="15" t="s">
        <v>102</v>
      </c>
      <c r="P175" s="16">
        <v>0.45833333333333331</v>
      </c>
      <c r="Q175" s="13">
        <v>168</v>
      </c>
      <c r="R175" s="17" t="s">
        <v>123</v>
      </c>
    </row>
    <row r="176" spans="1:18" ht="49.95" customHeight="1" thickBot="1" x14ac:dyDescent="0.35">
      <c r="A176" s="161" t="s">
        <v>28</v>
      </c>
      <c r="B176" s="161" t="s">
        <v>387</v>
      </c>
      <c r="C176" s="162">
        <v>0.79166666666666663</v>
      </c>
      <c r="D176" s="161" t="s">
        <v>30</v>
      </c>
      <c r="E176" s="163"/>
      <c r="F176" s="161" t="s">
        <v>49</v>
      </c>
      <c r="G176" s="242"/>
      <c r="H176" s="164" t="s">
        <v>387</v>
      </c>
      <c r="I176" s="226">
        <v>0.8095</v>
      </c>
      <c r="J176" s="166">
        <v>136</v>
      </c>
      <c r="K176" s="167" t="s">
        <v>97</v>
      </c>
      <c r="L176" s="166">
        <v>5</v>
      </c>
      <c r="M176" s="166">
        <v>0</v>
      </c>
      <c r="N176" s="166">
        <v>0</v>
      </c>
      <c r="O176" s="168" t="s">
        <v>102</v>
      </c>
      <c r="P176" s="169">
        <v>0.79166666666666663</v>
      </c>
      <c r="Q176" s="166">
        <v>168</v>
      </c>
      <c r="R176" s="170" t="s">
        <v>414</v>
      </c>
    </row>
    <row r="177" spans="1:18" ht="17.399999999999999" customHeight="1" thickBot="1" x14ac:dyDescent="0.35">
      <c r="A177" s="265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7"/>
    </row>
    <row r="178" spans="1:18" ht="22.05" customHeight="1" thickTop="1" thickBot="1" x14ac:dyDescent="0.35">
      <c r="A178" s="236" t="s">
        <v>8</v>
      </c>
      <c r="B178" s="234"/>
      <c r="C178" s="234"/>
      <c r="D178" s="234"/>
      <c r="E178" s="234"/>
      <c r="F178" s="235"/>
      <c r="G178" s="68">
        <v>46054</v>
      </c>
      <c r="H178" s="233" t="s">
        <v>9</v>
      </c>
      <c r="I178" s="234"/>
      <c r="J178" s="234"/>
      <c r="K178" s="234"/>
      <c r="L178" s="234"/>
      <c r="M178" s="234"/>
      <c r="N178" s="234"/>
      <c r="O178" s="234"/>
      <c r="P178" s="234"/>
      <c r="Q178" s="234"/>
      <c r="R178" s="235"/>
    </row>
    <row r="179" spans="1:18" ht="24" customHeight="1" x14ac:dyDescent="0.3">
      <c r="A179" s="69" t="s">
        <v>10</v>
      </c>
      <c r="B179" s="69" t="s">
        <v>11</v>
      </c>
      <c r="C179" s="70" t="s">
        <v>12</v>
      </c>
      <c r="D179" s="69" t="s">
        <v>13</v>
      </c>
      <c r="E179" s="69" t="s">
        <v>14</v>
      </c>
      <c r="F179" s="71" t="s">
        <v>15</v>
      </c>
      <c r="G179" s="72" t="s">
        <v>16</v>
      </c>
      <c r="H179" s="69" t="s">
        <v>17</v>
      </c>
      <c r="I179" s="73" t="s">
        <v>18</v>
      </c>
      <c r="J179" s="74" t="s">
        <v>19</v>
      </c>
      <c r="K179" s="75" t="s">
        <v>20</v>
      </c>
      <c r="L179" s="74" t="s">
        <v>21</v>
      </c>
      <c r="M179" s="74" t="s">
        <v>22</v>
      </c>
      <c r="N179" s="74" t="s">
        <v>23</v>
      </c>
      <c r="O179" s="69" t="s">
        <v>24</v>
      </c>
      <c r="P179" s="70" t="s">
        <v>25</v>
      </c>
      <c r="Q179" s="74" t="s">
        <v>26</v>
      </c>
      <c r="R179" s="69" t="s">
        <v>27</v>
      </c>
    </row>
    <row r="180" spans="1:18" ht="49.95" customHeight="1" x14ac:dyDescent="0.3">
      <c r="A180" s="136" t="s">
        <v>28</v>
      </c>
      <c r="B180" s="136" t="s">
        <v>390</v>
      </c>
      <c r="C180" s="137">
        <v>0.48958333333333331</v>
      </c>
      <c r="D180" s="136" t="s">
        <v>30</v>
      </c>
      <c r="E180" s="138"/>
      <c r="F180" s="136" t="s">
        <v>49</v>
      </c>
      <c r="G180" s="240"/>
      <c r="H180" s="21" t="s">
        <v>390</v>
      </c>
      <c r="I180" s="188">
        <v>0.80359999999999998</v>
      </c>
      <c r="J180" s="23">
        <v>135</v>
      </c>
      <c r="K180" s="24" t="s">
        <v>91</v>
      </c>
      <c r="L180" s="23">
        <v>3</v>
      </c>
      <c r="M180" s="23">
        <v>0</v>
      </c>
      <c r="N180" s="23">
        <v>0</v>
      </c>
      <c r="O180" s="25" t="s">
        <v>80</v>
      </c>
      <c r="P180" s="26">
        <v>0.48958333333333331</v>
      </c>
      <c r="Q180" s="23">
        <v>168</v>
      </c>
      <c r="R180" s="27" t="s">
        <v>123</v>
      </c>
    </row>
    <row r="181" spans="1:18" ht="49.95" customHeight="1" thickBot="1" x14ac:dyDescent="0.35">
      <c r="A181" s="58" t="s">
        <v>28</v>
      </c>
      <c r="B181" s="58" t="s">
        <v>387</v>
      </c>
      <c r="C181" s="59">
        <v>0.6875</v>
      </c>
      <c r="D181" s="58" t="s">
        <v>30</v>
      </c>
      <c r="E181" s="60"/>
      <c r="F181" s="58" t="s">
        <v>49</v>
      </c>
      <c r="G181" s="242"/>
      <c r="H181" s="61" t="s">
        <v>387</v>
      </c>
      <c r="I181" s="62">
        <v>0.82140000000000002</v>
      </c>
      <c r="J181" s="63">
        <v>138</v>
      </c>
      <c r="K181" s="64" t="s">
        <v>97</v>
      </c>
      <c r="L181" s="63">
        <v>7</v>
      </c>
      <c r="M181" s="63">
        <v>0</v>
      </c>
      <c r="N181" s="63">
        <v>0</v>
      </c>
      <c r="O181" s="65" t="s">
        <v>95</v>
      </c>
      <c r="P181" s="66">
        <v>0.6875</v>
      </c>
      <c r="Q181" s="63">
        <v>168</v>
      </c>
      <c r="R181" s="67" t="s">
        <v>137</v>
      </c>
    </row>
    <row r="182" spans="1:18" ht="17.399999999999999" customHeight="1" thickBot="1" x14ac:dyDescent="0.35">
      <c r="A182" s="265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7"/>
    </row>
    <row r="183" spans="1:18" ht="22.05" customHeight="1" thickTop="1" thickBot="1" x14ac:dyDescent="0.35">
      <c r="A183" s="236" t="s">
        <v>8</v>
      </c>
      <c r="B183" s="234"/>
      <c r="C183" s="234"/>
      <c r="D183" s="234"/>
      <c r="E183" s="234"/>
      <c r="F183" s="235"/>
      <c r="G183" s="68">
        <v>46055</v>
      </c>
      <c r="H183" s="233" t="s">
        <v>9</v>
      </c>
      <c r="I183" s="234"/>
      <c r="J183" s="234"/>
      <c r="K183" s="234"/>
      <c r="L183" s="234"/>
      <c r="M183" s="234"/>
      <c r="N183" s="234"/>
      <c r="O183" s="234"/>
      <c r="P183" s="234"/>
      <c r="Q183" s="234"/>
      <c r="R183" s="235"/>
    </row>
    <row r="184" spans="1:18" ht="24" customHeight="1" x14ac:dyDescent="0.3">
      <c r="A184" s="69" t="s">
        <v>10</v>
      </c>
      <c r="B184" s="69" t="s">
        <v>11</v>
      </c>
      <c r="C184" s="70" t="s">
        <v>12</v>
      </c>
      <c r="D184" s="69" t="s">
        <v>13</v>
      </c>
      <c r="E184" s="69" t="s">
        <v>14</v>
      </c>
      <c r="F184" s="71" t="s">
        <v>15</v>
      </c>
      <c r="G184" s="72" t="s">
        <v>16</v>
      </c>
      <c r="H184" s="69" t="s">
        <v>17</v>
      </c>
      <c r="I184" s="73" t="s">
        <v>18</v>
      </c>
      <c r="J184" s="74" t="s">
        <v>19</v>
      </c>
      <c r="K184" s="75" t="s">
        <v>20</v>
      </c>
      <c r="L184" s="74" t="s">
        <v>21</v>
      </c>
      <c r="M184" s="74" t="s">
        <v>22</v>
      </c>
      <c r="N184" s="74" t="s">
        <v>23</v>
      </c>
      <c r="O184" s="69" t="s">
        <v>24</v>
      </c>
      <c r="P184" s="70" t="s">
        <v>25</v>
      </c>
      <c r="Q184" s="74" t="s">
        <v>26</v>
      </c>
      <c r="R184" s="69" t="s">
        <v>27</v>
      </c>
    </row>
    <row r="185" spans="1:18" ht="49.95" customHeight="1" x14ac:dyDescent="0.3">
      <c r="A185" s="122" t="s">
        <v>28</v>
      </c>
      <c r="B185" s="122" t="s">
        <v>390</v>
      </c>
      <c r="C185" s="123">
        <v>0.33680555555555558</v>
      </c>
      <c r="D185" s="122" t="s">
        <v>30</v>
      </c>
      <c r="E185" s="124"/>
      <c r="F185" s="122" t="s">
        <v>49</v>
      </c>
      <c r="G185" s="240"/>
      <c r="H185" s="41" t="s">
        <v>390</v>
      </c>
      <c r="I185" s="200">
        <v>0.80359999999999998</v>
      </c>
      <c r="J185" s="43">
        <v>135</v>
      </c>
      <c r="K185" s="44" t="s">
        <v>113</v>
      </c>
      <c r="L185" s="43">
        <v>2</v>
      </c>
      <c r="M185" s="43">
        <v>0</v>
      </c>
      <c r="N185" s="43">
        <v>0</v>
      </c>
      <c r="O185" s="45" t="s">
        <v>80</v>
      </c>
      <c r="P185" s="46">
        <v>0.33680555555555558</v>
      </c>
      <c r="Q185" s="43">
        <v>168</v>
      </c>
      <c r="R185" s="47" t="s">
        <v>123</v>
      </c>
    </row>
    <row r="186" spans="1:18" ht="49.95" customHeight="1" thickBot="1" x14ac:dyDescent="0.35">
      <c r="A186" s="58" t="s">
        <v>28</v>
      </c>
      <c r="B186" s="58" t="s">
        <v>387</v>
      </c>
      <c r="C186" s="59">
        <v>0.64583333333333337</v>
      </c>
      <c r="D186" s="58" t="s">
        <v>30</v>
      </c>
      <c r="E186" s="60"/>
      <c r="F186" s="58" t="s">
        <v>49</v>
      </c>
      <c r="G186" s="242"/>
      <c r="H186" s="61" t="s">
        <v>387</v>
      </c>
      <c r="I186" s="62">
        <v>0.83930000000000005</v>
      </c>
      <c r="J186" s="63">
        <v>141</v>
      </c>
      <c r="K186" s="64" t="s">
        <v>113</v>
      </c>
      <c r="L186" s="63">
        <v>10</v>
      </c>
      <c r="M186" s="63">
        <v>0</v>
      </c>
      <c r="N186" s="63">
        <v>0</v>
      </c>
      <c r="O186" s="65" t="s">
        <v>133</v>
      </c>
      <c r="P186" s="66">
        <v>0.64583333333333337</v>
      </c>
      <c r="Q186" s="63">
        <v>168</v>
      </c>
      <c r="R186" s="67" t="s">
        <v>427</v>
      </c>
    </row>
    <row r="187" spans="1:18" ht="17.399999999999999" customHeight="1" thickBot="1" x14ac:dyDescent="0.35">
      <c r="A187" s="265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7"/>
    </row>
    <row r="188" spans="1:18" ht="22.05" customHeight="1" thickTop="1" thickBot="1" x14ac:dyDescent="0.35">
      <c r="A188" s="236" t="s">
        <v>8</v>
      </c>
      <c r="B188" s="234"/>
      <c r="C188" s="234"/>
      <c r="D188" s="234"/>
      <c r="E188" s="234"/>
      <c r="F188" s="235"/>
      <c r="G188" s="68">
        <v>46056</v>
      </c>
      <c r="H188" s="233" t="s">
        <v>9</v>
      </c>
      <c r="I188" s="234"/>
      <c r="J188" s="234"/>
      <c r="K188" s="234"/>
      <c r="L188" s="234"/>
      <c r="M188" s="234"/>
      <c r="N188" s="234"/>
      <c r="O188" s="234"/>
      <c r="P188" s="234"/>
      <c r="Q188" s="234"/>
      <c r="R188" s="235"/>
    </row>
    <row r="189" spans="1:18" ht="24" customHeight="1" x14ac:dyDescent="0.3">
      <c r="A189" s="69" t="s">
        <v>10</v>
      </c>
      <c r="B189" s="69" t="s">
        <v>11</v>
      </c>
      <c r="C189" s="70" t="s">
        <v>12</v>
      </c>
      <c r="D189" s="69" t="s">
        <v>13</v>
      </c>
      <c r="E189" s="69" t="s">
        <v>14</v>
      </c>
      <c r="F189" s="71" t="s">
        <v>15</v>
      </c>
      <c r="G189" s="72" t="s">
        <v>16</v>
      </c>
      <c r="H189" s="69" t="s">
        <v>17</v>
      </c>
      <c r="I189" s="73" t="s">
        <v>18</v>
      </c>
      <c r="J189" s="74" t="s">
        <v>19</v>
      </c>
      <c r="K189" s="75" t="s">
        <v>20</v>
      </c>
      <c r="L189" s="74" t="s">
        <v>21</v>
      </c>
      <c r="M189" s="74" t="s">
        <v>22</v>
      </c>
      <c r="N189" s="74" t="s">
        <v>23</v>
      </c>
      <c r="O189" s="69" t="s">
        <v>24</v>
      </c>
      <c r="P189" s="70" t="s">
        <v>25</v>
      </c>
      <c r="Q189" s="74" t="s">
        <v>26</v>
      </c>
      <c r="R189" s="69" t="s">
        <v>27</v>
      </c>
    </row>
    <row r="190" spans="1:18" ht="49.95" customHeight="1" thickTop="1" thickBot="1" x14ac:dyDescent="0.35">
      <c r="A190" s="185" t="s">
        <v>28</v>
      </c>
      <c r="B190" s="185" t="s">
        <v>387</v>
      </c>
      <c r="C190" s="186">
        <v>0.70833333333333337</v>
      </c>
      <c r="D190" s="185" t="s">
        <v>30</v>
      </c>
      <c r="E190" s="187"/>
      <c r="F190" s="185" t="s">
        <v>49</v>
      </c>
      <c r="G190" s="240"/>
      <c r="H190" s="115" t="s">
        <v>387</v>
      </c>
      <c r="I190" s="116">
        <v>0.79759999999999998</v>
      </c>
      <c r="J190" s="117">
        <v>134</v>
      </c>
      <c r="K190" s="118" t="s">
        <v>91</v>
      </c>
      <c r="L190" s="117">
        <v>9</v>
      </c>
      <c r="M190" s="117">
        <v>0</v>
      </c>
      <c r="N190" s="117">
        <v>0</v>
      </c>
      <c r="O190" s="119" t="s">
        <v>87</v>
      </c>
      <c r="P190" s="120">
        <v>0.70833333333333337</v>
      </c>
      <c r="Q190" s="117">
        <v>168</v>
      </c>
      <c r="R190" s="121" t="s">
        <v>428</v>
      </c>
    </row>
    <row r="191" spans="1:18" ht="17.399999999999999" customHeight="1" thickBot="1" x14ac:dyDescent="0.35">
      <c r="A191" s="265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7"/>
    </row>
    <row r="192" spans="1:18" ht="22.05" customHeight="1" thickTop="1" thickBot="1" x14ac:dyDescent="0.35">
      <c r="A192" s="236" t="s">
        <v>8</v>
      </c>
      <c r="B192" s="234"/>
      <c r="C192" s="234"/>
      <c r="D192" s="234"/>
      <c r="E192" s="234"/>
      <c r="F192" s="235"/>
      <c r="G192" s="68">
        <v>46057</v>
      </c>
      <c r="H192" s="233" t="s">
        <v>9</v>
      </c>
      <c r="I192" s="234"/>
      <c r="J192" s="234"/>
      <c r="K192" s="234"/>
      <c r="L192" s="234"/>
      <c r="M192" s="234"/>
      <c r="N192" s="234"/>
      <c r="O192" s="234"/>
      <c r="P192" s="234"/>
      <c r="Q192" s="234"/>
      <c r="R192" s="235"/>
    </row>
    <row r="193" spans="1:18" ht="24" customHeight="1" x14ac:dyDescent="0.3">
      <c r="A193" s="69" t="s">
        <v>10</v>
      </c>
      <c r="B193" s="69" t="s">
        <v>11</v>
      </c>
      <c r="C193" s="70" t="s">
        <v>12</v>
      </c>
      <c r="D193" s="69" t="s">
        <v>13</v>
      </c>
      <c r="E193" s="69" t="s">
        <v>14</v>
      </c>
      <c r="F193" s="71" t="s">
        <v>15</v>
      </c>
      <c r="G193" s="72" t="s">
        <v>16</v>
      </c>
      <c r="H193" s="69" t="s">
        <v>17</v>
      </c>
      <c r="I193" s="73" t="s">
        <v>18</v>
      </c>
      <c r="J193" s="74" t="s">
        <v>19</v>
      </c>
      <c r="K193" s="75" t="s">
        <v>20</v>
      </c>
      <c r="L193" s="74" t="s">
        <v>21</v>
      </c>
      <c r="M193" s="74" t="s">
        <v>22</v>
      </c>
      <c r="N193" s="74" t="s">
        <v>23</v>
      </c>
      <c r="O193" s="69" t="s">
        <v>24</v>
      </c>
      <c r="P193" s="70" t="s">
        <v>25</v>
      </c>
      <c r="Q193" s="74" t="s">
        <v>26</v>
      </c>
      <c r="R193" s="69" t="s">
        <v>27</v>
      </c>
    </row>
    <row r="194" spans="1:18" ht="49.95" customHeight="1" x14ac:dyDescent="0.3">
      <c r="A194" s="181" t="s">
        <v>28</v>
      </c>
      <c r="B194" s="181" t="s">
        <v>387</v>
      </c>
      <c r="C194" s="182">
        <v>0.33333333333333331</v>
      </c>
      <c r="D194" s="181" t="s">
        <v>30</v>
      </c>
      <c r="E194" s="183"/>
      <c r="F194" s="181" t="s">
        <v>49</v>
      </c>
      <c r="G194" s="240"/>
      <c r="H194" s="51" t="s">
        <v>387</v>
      </c>
      <c r="I194" s="111">
        <v>0.8155</v>
      </c>
      <c r="J194" s="53">
        <v>137</v>
      </c>
      <c r="K194" s="54" t="s">
        <v>91</v>
      </c>
      <c r="L194" s="53">
        <v>5</v>
      </c>
      <c r="M194" s="53">
        <v>0</v>
      </c>
      <c r="N194" s="53">
        <v>0</v>
      </c>
      <c r="O194" s="55" t="s">
        <v>92</v>
      </c>
      <c r="P194" s="56">
        <v>0.33333333333333331</v>
      </c>
      <c r="Q194" s="53">
        <v>168</v>
      </c>
      <c r="R194" s="57" t="s">
        <v>175</v>
      </c>
    </row>
    <row r="195" spans="1:18" ht="49.95" customHeight="1" x14ac:dyDescent="0.3">
      <c r="A195" s="18" t="s">
        <v>28</v>
      </c>
      <c r="B195" s="18" t="s">
        <v>399</v>
      </c>
      <c r="C195" s="19">
        <v>0.40972222222222232</v>
      </c>
      <c r="D195" s="18" t="s">
        <v>30</v>
      </c>
      <c r="E195" s="20"/>
      <c r="F195" s="18" t="s">
        <v>49</v>
      </c>
      <c r="G195" s="241"/>
      <c r="H195" s="21" t="s">
        <v>399</v>
      </c>
      <c r="I195" s="188">
        <v>0.8095</v>
      </c>
      <c r="J195" s="23">
        <v>136</v>
      </c>
      <c r="K195" s="24" t="s">
        <v>113</v>
      </c>
      <c r="L195" s="23">
        <v>4</v>
      </c>
      <c r="M195" s="23">
        <v>0</v>
      </c>
      <c r="N195" s="23">
        <v>0</v>
      </c>
      <c r="O195" s="25" t="s">
        <v>80</v>
      </c>
      <c r="P195" s="26">
        <v>0.40972222222222232</v>
      </c>
      <c r="Q195" s="23">
        <v>168</v>
      </c>
      <c r="R195" s="27" t="s">
        <v>429</v>
      </c>
    </row>
    <row r="196" spans="1:18" ht="49.95" customHeight="1" thickBot="1" x14ac:dyDescent="0.35">
      <c r="A196" s="189" t="s">
        <v>28</v>
      </c>
      <c r="B196" s="189" t="s">
        <v>390</v>
      </c>
      <c r="C196" s="190">
        <v>0.71875</v>
      </c>
      <c r="D196" s="189" t="s">
        <v>30</v>
      </c>
      <c r="E196" s="191"/>
      <c r="F196" s="189" t="s">
        <v>57</v>
      </c>
      <c r="G196" s="242"/>
      <c r="H196" s="192" t="s">
        <v>390</v>
      </c>
      <c r="I196" s="199">
        <v>1.0119</v>
      </c>
      <c r="J196" s="194">
        <v>170</v>
      </c>
      <c r="K196" s="195" t="s">
        <v>113</v>
      </c>
      <c r="L196" s="194">
        <v>4</v>
      </c>
      <c r="M196" s="194">
        <v>0</v>
      </c>
      <c r="N196" s="194">
        <v>0</v>
      </c>
      <c r="O196" s="196" t="s">
        <v>58</v>
      </c>
      <c r="P196" s="197">
        <v>0.71875</v>
      </c>
      <c r="Q196" s="194">
        <v>168</v>
      </c>
      <c r="R196" s="198" t="s">
        <v>408</v>
      </c>
    </row>
    <row r="197" spans="1:18" ht="17.399999999999999" customHeight="1" thickBot="1" x14ac:dyDescent="0.35">
      <c r="A197" s="265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7"/>
    </row>
    <row r="198" spans="1:18" ht="22.05" customHeight="1" thickTop="1" thickBot="1" x14ac:dyDescent="0.35">
      <c r="A198" s="236" t="s">
        <v>8</v>
      </c>
      <c r="B198" s="234"/>
      <c r="C198" s="234"/>
      <c r="D198" s="234"/>
      <c r="E198" s="234"/>
      <c r="F198" s="235"/>
      <c r="G198" s="68">
        <v>46058</v>
      </c>
      <c r="H198" s="233" t="s">
        <v>9</v>
      </c>
      <c r="I198" s="234"/>
      <c r="J198" s="234"/>
      <c r="K198" s="234"/>
      <c r="L198" s="234"/>
      <c r="M198" s="234"/>
      <c r="N198" s="234"/>
      <c r="O198" s="234"/>
      <c r="P198" s="234"/>
      <c r="Q198" s="234"/>
      <c r="R198" s="235"/>
    </row>
    <row r="199" spans="1:18" ht="24" customHeight="1" x14ac:dyDescent="0.3">
      <c r="A199" s="69" t="s">
        <v>10</v>
      </c>
      <c r="B199" s="69" t="s">
        <v>11</v>
      </c>
      <c r="C199" s="70" t="s">
        <v>12</v>
      </c>
      <c r="D199" s="69" t="s">
        <v>13</v>
      </c>
      <c r="E199" s="69" t="s">
        <v>14</v>
      </c>
      <c r="F199" s="71" t="s">
        <v>15</v>
      </c>
      <c r="G199" s="72" t="s">
        <v>16</v>
      </c>
      <c r="H199" s="69" t="s">
        <v>17</v>
      </c>
      <c r="I199" s="73" t="s">
        <v>18</v>
      </c>
      <c r="J199" s="74" t="s">
        <v>19</v>
      </c>
      <c r="K199" s="75" t="s">
        <v>20</v>
      </c>
      <c r="L199" s="74" t="s">
        <v>21</v>
      </c>
      <c r="M199" s="74" t="s">
        <v>22</v>
      </c>
      <c r="N199" s="74" t="s">
        <v>23</v>
      </c>
      <c r="O199" s="69" t="s">
        <v>24</v>
      </c>
      <c r="P199" s="70" t="s">
        <v>25</v>
      </c>
      <c r="Q199" s="74" t="s">
        <v>26</v>
      </c>
      <c r="R199" s="69" t="s">
        <v>27</v>
      </c>
    </row>
    <row r="200" spans="1:18" ht="49.95" customHeight="1" thickTop="1" thickBot="1" x14ac:dyDescent="0.35">
      <c r="A200" s="122" t="s">
        <v>28</v>
      </c>
      <c r="B200" s="122" t="s">
        <v>387</v>
      </c>
      <c r="C200" s="123">
        <v>0.27430555555555552</v>
      </c>
      <c r="D200" s="122" t="s">
        <v>30</v>
      </c>
      <c r="E200" s="124"/>
      <c r="F200" s="122" t="s">
        <v>49</v>
      </c>
      <c r="G200" s="240"/>
      <c r="H200" s="93" t="s">
        <v>387</v>
      </c>
      <c r="I200" s="153">
        <v>0.82140000000000002</v>
      </c>
      <c r="J200" s="95">
        <v>138</v>
      </c>
      <c r="K200" s="96" t="s">
        <v>97</v>
      </c>
      <c r="L200" s="95">
        <v>6</v>
      </c>
      <c r="M200" s="95">
        <v>0</v>
      </c>
      <c r="N200" s="95">
        <v>0</v>
      </c>
      <c r="O200" s="97" t="s">
        <v>95</v>
      </c>
      <c r="P200" s="98">
        <v>0.27430555555555552</v>
      </c>
      <c r="Q200" s="95">
        <v>168</v>
      </c>
      <c r="R200" s="99" t="s">
        <v>137</v>
      </c>
    </row>
    <row r="201" spans="1:18" ht="17.399999999999999" customHeight="1" thickBot="1" x14ac:dyDescent="0.35">
      <c r="A201" s="265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7"/>
    </row>
    <row r="202" spans="1:18" ht="22.05" customHeight="1" thickTop="1" thickBot="1" x14ac:dyDescent="0.35">
      <c r="A202" s="236" t="s">
        <v>8</v>
      </c>
      <c r="B202" s="234"/>
      <c r="C202" s="234"/>
      <c r="D202" s="234"/>
      <c r="E202" s="234"/>
      <c r="F202" s="235"/>
      <c r="G202" s="68">
        <v>46059</v>
      </c>
      <c r="H202" s="233" t="s">
        <v>9</v>
      </c>
      <c r="I202" s="234"/>
      <c r="J202" s="234"/>
      <c r="K202" s="234"/>
      <c r="L202" s="234"/>
      <c r="M202" s="234"/>
      <c r="N202" s="234"/>
      <c r="O202" s="234"/>
      <c r="P202" s="234"/>
      <c r="Q202" s="234"/>
      <c r="R202" s="235"/>
    </row>
    <row r="203" spans="1:18" ht="24" customHeight="1" x14ac:dyDescent="0.3">
      <c r="A203" s="69" t="s">
        <v>10</v>
      </c>
      <c r="B203" s="69" t="s">
        <v>11</v>
      </c>
      <c r="C203" s="70" t="s">
        <v>12</v>
      </c>
      <c r="D203" s="69" t="s">
        <v>13</v>
      </c>
      <c r="E203" s="69" t="s">
        <v>14</v>
      </c>
      <c r="F203" s="71" t="s">
        <v>15</v>
      </c>
      <c r="G203" s="72" t="s">
        <v>16</v>
      </c>
      <c r="H203" s="69" t="s">
        <v>17</v>
      </c>
      <c r="I203" s="73" t="s">
        <v>18</v>
      </c>
      <c r="J203" s="74" t="s">
        <v>19</v>
      </c>
      <c r="K203" s="75" t="s">
        <v>20</v>
      </c>
      <c r="L203" s="74" t="s">
        <v>21</v>
      </c>
      <c r="M203" s="74" t="s">
        <v>22</v>
      </c>
      <c r="N203" s="74" t="s">
        <v>23</v>
      </c>
      <c r="O203" s="69" t="s">
        <v>24</v>
      </c>
      <c r="P203" s="70" t="s">
        <v>25</v>
      </c>
      <c r="Q203" s="74" t="s">
        <v>26</v>
      </c>
      <c r="R203" s="69" t="s">
        <v>27</v>
      </c>
    </row>
    <row r="204" spans="1:18" ht="49.95" customHeight="1" thickTop="1" thickBot="1" x14ac:dyDescent="0.35">
      <c r="A204" s="76" t="s">
        <v>28</v>
      </c>
      <c r="B204" s="76" t="s">
        <v>387</v>
      </c>
      <c r="C204" s="77">
        <v>0.41666666666666669</v>
      </c>
      <c r="D204" s="76" t="s">
        <v>30</v>
      </c>
      <c r="E204" s="78"/>
      <c r="F204" s="76" t="s">
        <v>49</v>
      </c>
      <c r="G204" s="240"/>
      <c r="H204" s="61" t="s">
        <v>387</v>
      </c>
      <c r="I204" s="62">
        <v>0.83330000000000004</v>
      </c>
      <c r="J204" s="63">
        <v>140</v>
      </c>
      <c r="K204" s="64" t="s">
        <v>97</v>
      </c>
      <c r="L204" s="63">
        <v>8</v>
      </c>
      <c r="M204" s="63">
        <v>0</v>
      </c>
      <c r="N204" s="63">
        <v>0</v>
      </c>
      <c r="O204" s="65" t="s">
        <v>230</v>
      </c>
      <c r="P204" s="66">
        <v>0.41666666666666669</v>
      </c>
      <c r="Q204" s="63">
        <v>168</v>
      </c>
      <c r="R204" s="67" t="s">
        <v>430</v>
      </c>
    </row>
    <row r="205" spans="1:18" ht="17.399999999999999" customHeight="1" thickBot="1" x14ac:dyDescent="0.35">
      <c r="A205" s="265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7"/>
    </row>
    <row r="206" spans="1:18" ht="22.05" customHeight="1" thickTop="1" thickBot="1" x14ac:dyDescent="0.35">
      <c r="A206" s="236" t="s">
        <v>8</v>
      </c>
      <c r="B206" s="234"/>
      <c r="C206" s="234"/>
      <c r="D206" s="234"/>
      <c r="E206" s="234"/>
      <c r="F206" s="235"/>
      <c r="G206" s="68">
        <v>46060</v>
      </c>
      <c r="H206" s="233" t="s">
        <v>9</v>
      </c>
      <c r="I206" s="234"/>
      <c r="J206" s="234"/>
      <c r="K206" s="234"/>
      <c r="L206" s="234"/>
      <c r="M206" s="234"/>
      <c r="N206" s="234"/>
      <c r="O206" s="234"/>
      <c r="P206" s="234"/>
      <c r="Q206" s="234"/>
      <c r="R206" s="235"/>
    </row>
    <row r="207" spans="1:18" ht="24" customHeight="1" x14ac:dyDescent="0.3">
      <c r="A207" s="69" t="s">
        <v>10</v>
      </c>
      <c r="B207" s="69" t="s">
        <v>11</v>
      </c>
      <c r="C207" s="70" t="s">
        <v>12</v>
      </c>
      <c r="D207" s="69" t="s">
        <v>13</v>
      </c>
      <c r="E207" s="69" t="s">
        <v>14</v>
      </c>
      <c r="F207" s="71" t="s">
        <v>15</v>
      </c>
      <c r="G207" s="72" t="s">
        <v>16</v>
      </c>
      <c r="H207" s="69" t="s">
        <v>17</v>
      </c>
      <c r="I207" s="73" t="s">
        <v>18</v>
      </c>
      <c r="J207" s="74" t="s">
        <v>19</v>
      </c>
      <c r="K207" s="75" t="s">
        <v>20</v>
      </c>
      <c r="L207" s="74" t="s">
        <v>21</v>
      </c>
      <c r="M207" s="74" t="s">
        <v>22</v>
      </c>
      <c r="N207" s="74" t="s">
        <v>23</v>
      </c>
      <c r="O207" s="69" t="s">
        <v>24</v>
      </c>
      <c r="P207" s="70" t="s">
        <v>25</v>
      </c>
      <c r="Q207" s="74" t="s">
        <v>26</v>
      </c>
      <c r="R207" s="69" t="s">
        <v>27</v>
      </c>
    </row>
    <row r="208" spans="1:18" ht="49.95" customHeight="1" x14ac:dyDescent="0.3">
      <c r="A208" s="185" t="s">
        <v>28</v>
      </c>
      <c r="B208" s="185" t="s">
        <v>390</v>
      </c>
      <c r="C208" s="186">
        <v>0.45833333333333331</v>
      </c>
      <c r="D208" s="185" t="s">
        <v>30</v>
      </c>
      <c r="E208" s="187"/>
      <c r="F208" s="185" t="s">
        <v>54</v>
      </c>
      <c r="G208" s="240"/>
      <c r="H208" s="146" t="s">
        <v>390</v>
      </c>
      <c r="I208" s="160">
        <v>0.88690000000000002</v>
      </c>
      <c r="J208" s="148">
        <v>149</v>
      </c>
      <c r="K208" s="149" t="s">
        <v>97</v>
      </c>
      <c r="L208" s="148">
        <v>17</v>
      </c>
      <c r="M208" s="148">
        <v>0</v>
      </c>
      <c r="N208" s="148">
        <v>0</v>
      </c>
      <c r="O208" s="150" t="s">
        <v>114</v>
      </c>
      <c r="P208" s="151">
        <v>0.45833333333333331</v>
      </c>
      <c r="Q208" s="148">
        <v>168</v>
      </c>
      <c r="R208" s="152" t="s">
        <v>431</v>
      </c>
    </row>
    <row r="209" spans="1:18" ht="49.95" customHeight="1" thickBot="1" x14ac:dyDescent="0.35">
      <c r="A209" s="189" t="s">
        <v>28</v>
      </c>
      <c r="B209" s="189" t="s">
        <v>387</v>
      </c>
      <c r="C209" s="190">
        <v>0.79166666666666663</v>
      </c>
      <c r="D209" s="189" t="s">
        <v>30</v>
      </c>
      <c r="E209" s="191"/>
      <c r="F209" s="189" t="s">
        <v>54</v>
      </c>
      <c r="G209" s="242"/>
      <c r="H209" s="192" t="s">
        <v>387</v>
      </c>
      <c r="I209" s="199">
        <v>0.86309999999999998</v>
      </c>
      <c r="J209" s="194">
        <v>145</v>
      </c>
      <c r="K209" s="195" t="s">
        <v>97</v>
      </c>
      <c r="L209" s="194">
        <v>14</v>
      </c>
      <c r="M209" s="194">
        <v>0</v>
      </c>
      <c r="N209" s="194">
        <v>0</v>
      </c>
      <c r="O209" s="196" t="s">
        <v>33</v>
      </c>
      <c r="P209" s="197">
        <v>0.79166666666666663</v>
      </c>
      <c r="Q209" s="194">
        <v>168</v>
      </c>
      <c r="R209" s="198" t="s">
        <v>118</v>
      </c>
    </row>
    <row r="210" spans="1:18" ht="17.399999999999999" customHeight="1" thickBot="1" x14ac:dyDescent="0.35">
      <c r="A210" s="265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7"/>
    </row>
    <row r="211" spans="1:18" ht="22.05" customHeight="1" thickTop="1" thickBot="1" x14ac:dyDescent="0.35">
      <c r="A211" s="236" t="s">
        <v>8</v>
      </c>
      <c r="B211" s="234"/>
      <c r="C211" s="234"/>
      <c r="D211" s="234"/>
      <c r="E211" s="234"/>
      <c r="F211" s="235"/>
      <c r="G211" s="68">
        <v>46061</v>
      </c>
      <c r="H211" s="233" t="s">
        <v>9</v>
      </c>
      <c r="I211" s="234"/>
      <c r="J211" s="234"/>
      <c r="K211" s="234"/>
      <c r="L211" s="234"/>
      <c r="M211" s="234"/>
      <c r="N211" s="234"/>
      <c r="O211" s="234"/>
      <c r="P211" s="234"/>
      <c r="Q211" s="234"/>
      <c r="R211" s="235"/>
    </row>
    <row r="212" spans="1:18" ht="24" customHeight="1" x14ac:dyDescent="0.3">
      <c r="A212" s="69" t="s">
        <v>10</v>
      </c>
      <c r="B212" s="69" t="s">
        <v>11</v>
      </c>
      <c r="C212" s="70" t="s">
        <v>12</v>
      </c>
      <c r="D212" s="69" t="s">
        <v>13</v>
      </c>
      <c r="E212" s="69" t="s">
        <v>14</v>
      </c>
      <c r="F212" s="71" t="s">
        <v>15</v>
      </c>
      <c r="G212" s="72" t="s">
        <v>16</v>
      </c>
      <c r="H212" s="69" t="s">
        <v>17</v>
      </c>
      <c r="I212" s="73" t="s">
        <v>18</v>
      </c>
      <c r="J212" s="74" t="s">
        <v>19</v>
      </c>
      <c r="K212" s="75" t="s">
        <v>20</v>
      </c>
      <c r="L212" s="74" t="s">
        <v>21</v>
      </c>
      <c r="M212" s="74" t="s">
        <v>22</v>
      </c>
      <c r="N212" s="74" t="s">
        <v>23</v>
      </c>
      <c r="O212" s="69" t="s">
        <v>24</v>
      </c>
      <c r="P212" s="70" t="s">
        <v>25</v>
      </c>
      <c r="Q212" s="74" t="s">
        <v>26</v>
      </c>
      <c r="R212" s="69" t="s">
        <v>27</v>
      </c>
    </row>
    <row r="213" spans="1:18" ht="49.95" customHeight="1" x14ac:dyDescent="0.3">
      <c r="A213" s="8" t="s">
        <v>28</v>
      </c>
      <c r="B213" s="8" t="s">
        <v>390</v>
      </c>
      <c r="C213" s="9">
        <v>0.48958333333333331</v>
      </c>
      <c r="D213" s="8" t="s">
        <v>30</v>
      </c>
      <c r="E213" s="10"/>
      <c r="F213" s="8" t="s">
        <v>49</v>
      </c>
      <c r="G213" s="240"/>
      <c r="H213" s="11" t="s">
        <v>390</v>
      </c>
      <c r="I213" s="89">
        <v>0.82740000000000002</v>
      </c>
      <c r="J213" s="13">
        <v>139</v>
      </c>
      <c r="K213" s="14" t="s">
        <v>113</v>
      </c>
      <c r="L213" s="13">
        <v>7</v>
      </c>
      <c r="M213" s="13">
        <v>0</v>
      </c>
      <c r="N213" s="13">
        <v>0</v>
      </c>
      <c r="O213" s="15" t="s">
        <v>33</v>
      </c>
      <c r="P213" s="16">
        <v>0.48958333333333331</v>
      </c>
      <c r="Q213" s="13">
        <v>168</v>
      </c>
      <c r="R213" s="17" t="s">
        <v>432</v>
      </c>
    </row>
    <row r="214" spans="1:18" ht="49.95" customHeight="1" thickBot="1" x14ac:dyDescent="0.35">
      <c r="A214" s="161" t="s">
        <v>28</v>
      </c>
      <c r="B214" s="161" t="s">
        <v>387</v>
      </c>
      <c r="C214" s="162">
        <v>0.6875</v>
      </c>
      <c r="D214" s="161" t="s">
        <v>30</v>
      </c>
      <c r="E214" s="163"/>
      <c r="F214" s="161" t="s">
        <v>49</v>
      </c>
      <c r="G214" s="242"/>
      <c r="H214" s="164" t="s">
        <v>387</v>
      </c>
      <c r="I214" s="226">
        <v>0.83330000000000004</v>
      </c>
      <c r="J214" s="166">
        <v>140</v>
      </c>
      <c r="K214" s="167" t="s">
        <v>97</v>
      </c>
      <c r="L214" s="166">
        <v>10</v>
      </c>
      <c r="M214" s="166">
        <v>0</v>
      </c>
      <c r="N214" s="166">
        <v>0</v>
      </c>
      <c r="O214" s="168" t="s">
        <v>33</v>
      </c>
      <c r="P214" s="169">
        <v>0.6875</v>
      </c>
      <c r="Q214" s="166">
        <v>168</v>
      </c>
      <c r="R214" s="170" t="s">
        <v>433</v>
      </c>
    </row>
    <row r="215" spans="1:18" ht="17.399999999999999" customHeight="1" thickBot="1" x14ac:dyDescent="0.35">
      <c r="A215" s="265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7"/>
    </row>
    <row r="216" spans="1:18" ht="22.05" customHeight="1" thickTop="1" thickBot="1" x14ac:dyDescent="0.35">
      <c r="A216" s="236" t="s">
        <v>8</v>
      </c>
      <c r="B216" s="234"/>
      <c r="C216" s="234"/>
      <c r="D216" s="234"/>
      <c r="E216" s="234"/>
      <c r="F216" s="235"/>
      <c r="G216" s="68">
        <v>46062</v>
      </c>
      <c r="H216" s="233" t="s">
        <v>9</v>
      </c>
      <c r="I216" s="234"/>
      <c r="J216" s="234"/>
      <c r="K216" s="234"/>
      <c r="L216" s="234"/>
      <c r="M216" s="234"/>
      <c r="N216" s="234"/>
      <c r="O216" s="234"/>
      <c r="P216" s="234"/>
      <c r="Q216" s="234"/>
      <c r="R216" s="235"/>
    </row>
    <row r="217" spans="1:18" ht="24" customHeight="1" x14ac:dyDescent="0.3">
      <c r="A217" s="69" t="s">
        <v>10</v>
      </c>
      <c r="B217" s="69" t="s">
        <v>11</v>
      </c>
      <c r="C217" s="70" t="s">
        <v>12</v>
      </c>
      <c r="D217" s="69" t="s">
        <v>13</v>
      </c>
      <c r="E217" s="69" t="s">
        <v>14</v>
      </c>
      <c r="F217" s="71" t="s">
        <v>15</v>
      </c>
      <c r="G217" s="72" t="s">
        <v>16</v>
      </c>
      <c r="H217" s="69" t="s">
        <v>17</v>
      </c>
      <c r="I217" s="73" t="s">
        <v>18</v>
      </c>
      <c r="J217" s="74" t="s">
        <v>19</v>
      </c>
      <c r="K217" s="75" t="s">
        <v>20</v>
      </c>
      <c r="L217" s="74" t="s">
        <v>21</v>
      </c>
      <c r="M217" s="74" t="s">
        <v>22</v>
      </c>
      <c r="N217" s="74" t="s">
        <v>23</v>
      </c>
      <c r="O217" s="69" t="s">
        <v>24</v>
      </c>
      <c r="P217" s="70" t="s">
        <v>25</v>
      </c>
      <c r="Q217" s="74" t="s">
        <v>26</v>
      </c>
      <c r="R217" s="69" t="s">
        <v>27</v>
      </c>
    </row>
    <row r="218" spans="1:18" ht="49.95" customHeight="1" x14ac:dyDescent="0.3">
      <c r="A218" s="100" t="s">
        <v>28</v>
      </c>
      <c r="B218" s="100" t="s">
        <v>390</v>
      </c>
      <c r="C218" s="101">
        <v>0.33680555555555558</v>
      </c>
      <c r="D218" s="100" t="s">
        <v>30</v>
      </c>
      <c r="E218" s="102"/>
      <c r="F218" s="100" t="s">
        <v>49</v>
      </c>
      <c r="G218" s="240"/>
      <c r="H218" s="103" t="s">
        <v>390</v>
      </c>
      <c r="I218" s="142">
        <v>0.80359999999999998</v>
      </c>
      <c r="J218" s="105">
        <v>135</v>
      </c>
      <c r="K218" s="106" t="s">
        <v>113</v>
      </c>
      <c r="L218" s="105">
        <v>2</v>
      </c>
      <c r="M218" s="105">
        <v>0</v>
      </c>
      <c r="N218" s="105">
        <v>0</v>
      </c>
      <c r="O218" s="107" t="s">
        <v>33</v>
      </c>
      <c r="P218" s="108">
        <v>0.33680555555555558</v>
      </c>
      <c r="Q218" s="105">
        <v>168</v>
      </c>
      <c r="R218" s="109" t="s">
        <v>123</v>
      </c>
    </row>
    <row r="219" spans="1:18" ht="49.95" customHeight="1" thickBot="1" x14ac:dyDescent="0.35">
      <c r="A219" s="112" t="s">
        <v>28</v>
      </c>
      <c r="B219" s="112" t="s">
        <v>387</v>
      </c>
      <c r="C219" s="113">
        <v>0.64583333333333337</v>
      </c>
      <c r="D219" s="112" t="s">
        <v>30</v>
      </c>
      <c r="E219" s="114"/>
      <c r="F219" s="112" t="s">
        <v>49</v>
      </c>
      <c r="G219" s="242"/>
      <c r="H219" s="115" t="s">
        <v>387</v>
      </c>
      <c r="I219" s="116">
        <v>0.82740000000000002</v>
      </c>
      <c r="J219" s="117">
        <v>139</v>
      </c>
      <c r="K219" s="118" t="s">
        <v>113</v>
      </c>
      <c r="L219" s="117">
        <v>8</v>
      </c>
      <c r="M219" s="117">
        <v>0</v>
      </c>
      <c r="N219" s="117">
        <v>0</v>
      </c>
      <c r="O219" s="119" t="s">
        <v>33</v>
      </c>
      <c r="P219" s="120">
        <v>0.64583333333333337</v>
      </c>
      <c r="Q219" s="117">
        <v>168</v>
      </c>
      <c r="R219" s="121" t="s">
        <v>434</v>
      </c>
    </row>
    <row r="220" spans="1:18" ht="17.399999999999999" customHeight="1" thickBot="1" x14ac:dyDescent="0.35">
      <c r="A220" s="265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7"/>
    </row>
    <row r="221" spans="1:18" ht="22.05" customHeight="1" thickTop="1" thickBot="1" x14ac:dyDescent="0.35">
      <c r="A221" s="236" t="s">
        <v>8</v>
      </c>
      <c r="B221" s="234"/>
      <c r="C221" s="234"/>
      <c r="D221" s="234"/>
      <c r="E221" s="234"/>
      <c r="F221" s="235"/>
      <c r="G221" s="68">
        <v>46063</v>
      </c>
      <c r="H221" s="233" t="s">
        <v>9</v>
      </c>
      <c r="I221" s="234"/>
      <c r="J221" s="234"/>
      <c r="K221" s="234"/>
      <c r="L221" s="234"/>
      <c r="M221" s="234"/>
      <c r="N221" s="234"/>
      <c r="O221" s="234"/>
      <c r="P221" s="234"/>
      <c r="Q221" s="234"/>
      <c r="R221" s="235"/>
    </row>
    <row r="222" spans="1:18" ht="24" customHeight="1" x14ac:dyDescent="0.3">
      <c r="A222" s="69" t="s">
        <v>10</v>
      </c>
      <c r="B222" s="69" t="s">
        <v>11</v>
      </c>
      <c r="C222" s="70" t="s">
        <v>12</v>
      </c>
      <c r="D222" s="69" t="s">
        <v>13</v>
      </c>
      <c r="E222" s="69" t="s">
        <v>14</v>
      </c>
      <c r="F222" s="71" t="s">
        <v>15</v>
      </c>
      <c r="G222" s="72" t="s">
        <v>16</v>
      </c>
      <c r="H222" s="69" t="s">
        <v>17</v>
      </c>
      <c r="I222" s="73" t="s">
        <v>18</v>
      </c>
      <c r="J222" s="74" t="s">
        <v>19</v>
      </c>
      <c r="K222" s="75" t="s">
        <v>20</v>
      </c>
      <c r="L222" s="74" t="s">
        <v>21</v>
      </c>
      <c r="M222" s="74" t="s">
        <v>22</v>
      </c>
      <c r="N222" s="74" t="s">
        <v>23</v>
      </c>
      <c r="O222" s="69" t="s">
        <v>24</v>
      </c>
      <c r="P222" s="70" t="s">
        <v>25</v>
      </c>
      <c r="Q222" s="74" t="s">
        <v>26</v>
      </c>
      <c r="R222" s="69" t="s">
        <v>27</v>
      </c>
    </row>
    <row r="223" spans="1:18" ht="49.95" customHeight="1" thickTop="1" thickBot="1" x14ac:dyDescent="0.35">
      <c r="A223" s="76" t="s">
        <v>28</v>
      </c>
      <c r="B223" s="76" t="s">
        <v>387</v>
      </c>
      <c r="C223" s="77">
        <v>0.70833333333333337</v>
      </c>
      <c r="D223" s="76" t="s">
        <v>30</v>
      </c>
      <c r="E223" s="78"/>
      <c r="F223" s="76" t="s">
        <v>49</v>
      </c>
      <c r="G223" s="240"/>
      <c r="H223" s="61" t="s">
        <v>387</v>
      </c>
      <c r="I223" s="62">
        <v>0.82140000000000002</v>
      </c>
      <c r="J223" s="63">
        <v>138</v>
      </c>
      <c r="K223" s="64" t="s">
        <v>91</v>
      </c>
      <c r="L223" s="63">
        <v>12</v>
      </c>
      <c r="M223" s="63">
        <v>0</v>
      </c>
      <c r="N223" s="63">
        <v>0</v>
      </c>
      <c r="O223" s="65" t="s">
        <v>33</v>
      </c>
      <c r="P223" s="66">
        <v>0.70833333333333337</v>
      </c>
      <c r="Q223" s="63">
        <v>168</v>
      </c>
      <c r="R223" s="67" t="s">
        <v>435</v>
      </c>
    </row>
    <row r="224" spans="1:18" ht="17.399999999999999" customHeight="1" thickBot="1" x14ac:dyDescent="0.35">
      <c r="A224" s="265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7"/>
    </row>
    <row r="225" spans="1:18" ht="22.05" customHeight="1" thickTop="1" thickBot="1" x14ac:dyDescent="0.35">
      <c r="A225" s="236" t="s">
        <v>8</v>
      </c>
      <c r="B225" s="234"/>
      <c r="C225" s="234"/>
      <c r="D225" s="234"/>
      <c r="E225" s="234"/>
      <c r="F225" s="235"/>
      <c r="G225" s="68">
        <v>46064</v>
      </c>
      <c r="H225" s="233" t="s">
        <v>9</v>
      </c>
      <c r="I225" s="234"/>
      <c r="J225" s="234"/>
      <c r="K225" s="234"/>
      <c r="L225" s="234"/>
      <c r="M225" s="234"/>
      <c r="N225" s="234"/>
      <c r="O225" s="234"/>
      <c r="P225" s="234"/>
      <c r="Q225" s="234"/>
      <c r="R225" s="235"/>
    </row>
    <row r="226" spans="1:18" ht="24" customHeight="1" x14ac:dyDescent="0.3">
      <c r="A226" s="69" t="s">
        <v>10</v>
      </c>
      <c r="B226" s="69" t="s">
        <v>11</v>
      </c>
      <c r="C226" s="70" t="s">
        <v>12</v>
      </c>
      <c r="D226" s="69" t="s">
        <v>13</v>
      </c>
      <c r="E226" s="69" t="s">
        <v>14</v>
      </c>
      <c r="F226" s="71" t="s">
        <v>15</v>
      </c>
      <c r="G226" s="72" t="s">
        <v>16</v>
      </c>
      <c r="H226" s="69" t="s">
        <v>17</v>
      </c>
      <c r="I226" s="73" t="s">
        <v>18</v>
      </c>
      <c r="J226" s="74" t="s">
        <v>19</v>
      </c>
      <c r="K226" s="75" t="s">
        <v>20</v>
      </c>
      <c r="L226" s="74" t="s">
        <v>21</v>
      </c>
      <c r="M226" s="74" t="s">
        <v>22</v>
      </c>
      <c r="N226" s="74" t="s">
        <v>23</v>
      </c>
      <c r="O226" s="69" t="s">
        <v>24</v>
      </c>
      <c r="P226" s="70" t="s">
        <v>25</v>
      </c>
      <c r="Q226" s="74" t="s">
        <v>26</v>
      </c>
      <c r="R226" s="69" t="s">
        <v>27</v>
      </c>
    </row>
    <row r="227" spans="1:18" ht="49.95" customHeight="1" x14ac:dyDescent="0.3">
      <c r="A227" s="76" t="s">
        <v>28</v>
      </c>
      <c r="B227" s="76" t="s">
        <v>387</v>
      </c>
      <c r="C227" s="77">
        <v>0.33333333333333331</v>
      </c>
      <c r="D227" s="76" t="s">
        <v>30</v>
      </c>
      <c r="E227" s="78"/>
      <c r="F227" s="76" t="s">
        <v>49</v>
      </c>
      <c r="G227" s="240"/>
      <c r="H227" s="79" t="s">
        <v>387</v>
      </c>
      <c r="I227" s="206">
        <v>0.8095</v>
      </c>
      <c r="J227" s="81">
        <v>136</v>
      </c>
      <c r="K227" s="82" t="s">
        <v>91</v>
      </c>
      <c r="L227" s="81">
        <v>4</v>
      </c>
      <c r="M227" s="81">
        <v>0</v>
      </c>
      <c r="N227" s="81">
        <v>0</v>
      </c>
      <c r="O227" s="83" t="s">
        <v>33</v>
      </c>
      <c r="P227" s="84">
        <v>0.33333333333333331</v>
      </c>
      <c r="Q227" s="81">
        <v>168</v>
      </c>
      <c r="R227" s="85" t="s">
        <v>429</v>
      </c>
    </row>
    <row r="228" spans="1:18" ht="49.95" customHeight="1" x14ac:dyDescent="0.3">
      <c r="A228" s="139" t="s">
        <v>28</v>
      </c>
      <c r="B228" s="139" t="s">
        <v>399</v>
      </c>
      <c r="C228" s="140">
        <v>0.40972222222222232</v>
      </c>
      <c r="D228" s="139" t="s">
        <v>30</v>
      </c>
      <c r="E228" s="141"/>
      <c r="F228" s="139" t="s">
        <v>49</v>
      </c>
      <c r="G228" s="241"/>
      <c r="H228" s="103" t="s">
        <v>399</v>
      </c>
      <c r="I228" s="142">
        <v>0.8095</v>
      </c>
      <c r="J228" s="105">
        <v>136</v>
      </c>
      <c r="K228" s="106" t="s">
        <v>113</v>
      </c>
      <c r="L228" s="105">
        <v>5</v>
      </c>
      <c r="M228" s="105">
        <v>0</v>
      </c>
      <c r="N228" s="105">
        <v>0</v>
      </c>
      <c r="O228" s="107" t="s">
        <v>33</v>
      </c>
      <c r="P228" s="108">
        <v>0.40972222222222232</v>
      </c>
      <c r="Q228" s="105">
        <v>168</v>
      </c>
      <c r="R228" s="109" t="s">
        <v>429</v>
      </c>
    </row>
    <row r="229" spans="1:18" ht="49.95" customHeight="1" thickBot="1" x14ac:dyDescent="0.35">
      <c r="A229" s="207" t="s">
        <v>28</v>
      </c>
      <c r="B229" s="207" t="s">
        <v>390</v>
      </c>
      <c r="C229" s="208">
        <v>0.71875</v>
      </c>
      <c r="D229" s="207" t="s">
        <v>30</v>
      </c>
      <c r="E229" s="209"/>
      <c r="F229" s="207" t="s">
        <v>57</v>
      </c>
      <c r="G229" s="242"/>
      <c r="H229" s="210" t="s">
        <v>390</v>
      </c>
      <c r="I229" s="229">
        <v>1.0595000000000001</v>
      </c>
      <c r="J229" s="212">
        <v>178</v>
      </c>
      <c r="K229" s="213" t="s">
        <v>113</v>
      </c>
      <c r="L229" s="212">
        <v>10</v>
      </c>
      <c r="M229" s="212">
        <v>0</v>
      </c>
      <c r="N229" s="212">
        <v>0</v>
      </c>
      <c r="O229" s="214" t="s">
        <v>58</v>
      </c>
      <c r="P229" s="215">
        <v>0.71875</v>
      </c>
      <c r="Q229" s="212">
        <v>168</v>
      </c>
      <c r="R229" s="216" t="s">
        <v>436</v>
      </c>
    </row>
    <row r="230" spans="1:18" ht="17.399999999999999" customHeight="1" thickBot="1" x14ac:dyDescent="0.35">
      <c r="A230" s="265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7"/>
    </row>
    <row r="231" spans="1:18" ht="22.05" customHeight="1" thickTop="1" thickBot="1" x14ac:dyDescent="0.35">
      <c r="A231" s="236" t="s">
        <v>8</v>
      </c>
      <c r="B231" s="234"/>
      <c r="C231" s="234"/>
      <c r="D231" s="234"/>
      <c r="E231" s="234"/>
      <c r="F231" s="235"/>
      <c r="G231" s="68">
        <v>46065</v>
      </c>
      <c r="H231" s="233" t="s">
        <v>9</v>
      </c>
      <c r="I231" s="234"/>
      <c r="J231" s="234"/>
      <c r="K231" s="234"/>
      <c r="L231" s="234"/>
      <c r="M231" s="234"/>
      <c r="N231" s="234"/>
      <c r="O231" s="234"/>
      <c r="P231" s="234"/>
      <c r="Q231" s="234"/>
      <c r="R231" s="235"/>
    </row>
    <row r="232" spans="1:18" ht="24" customHeight="1" x14ac:dyDescent="0.3">
      <c r="A232" s="69" t="s">
        <v>10</v>
      </c>
      <c r="B232" s="69" t="s">
        <v>11</v>
      </c>
      <c r="C232" s="70" t="s">
        <v>12</v>
      </c>
      <c r="D232" s="69" t="s">
        <v>13</v>
      </c>
      <c r="E232" s="69" t="s">
        <v>14</v>
      </c>
      <c r="F232" s="71" t="s">
        <v>15</v>
      </c>
      <c r="G232" s="72" t="s">
        <v>16</v>
      </c>
      <c r="H232" s="69" t="s">
        <v>17</v>
      </c>
      <c r="I232" s="73" t="s">
        <v>18</v>
      </c>
      <c r="J232" s="74" t="s">
        <v>19</v>
      </c>
      <c r="K232" s="75" t="s">
        <v>20</v>
      </c>
      <c r="L232" s="74" t="s">
        <v>21</v>
      </c>
      <c r="M232" s="74" t="s">
        <v>22</v>
      </c>
      <c r="N232" s="74" t="s">
        <v>23</v>
      </c>
      <c r="O232" s="69" t="s">
        <v>24</v>
      </c>
      <c r="P232" s="70" t="s">
        <v>25</v>
      </c>
      <c r="Q232" s="74" t="s">
        <v>26</v>
      </c>
      <c r="R232" s="69" t="s">
        <v>27</v>
      </c>
    </row>
    <row r="233" spans="1:18" ht="49.95" customHeight="1" thickTop="1" thickBot="1" x14ac:dyDescent="0.35">
      <c r="A233" s="122" t="s">
        <v>28</v>
      </c>
      <c r="B233" s="122" t="s">
        <v>387</v>
      </c>
      <c r="C233" s="123">
        <v>0.27430555555555552</v>
      </c>
      <c r="D233" s="122" t="s">
        <v>30</v>
      </c>
      <c r="E233" s="124"/>
      <c r="F233" s="122" t="s">
        <v>49</v>
      </c>
      <c r="G233" s="240"/>
      <c r="H233" s="93" t="s">
        <v>387</v>
      </c>
      <c r="I233" s="153">
        <v>0.82740000000000002</v>
      </c>
      <c r="J233" s="95">
        <v>139</v>
      </c>
      <c r="K233" s="96" t="s">
        <v>91</v>
      </c>
      <c r="L233" s="95">
        <v>7</v>
      </c>
      <c r="M233" s="95">
        <v>0</v>
      </c>
      <c r="N233" s="95">
        <v>0</v>
      </c>
      <c r="O233" s="97" t="s">
        <v>33</v>
      </c>
      <c r="P233" s="98">
        <v>0.27430555555555552</v>
      </c>
      <c r="Q233" s="95">
        <v>168</v>
      </c>
      <c r="R233" s="99" t="s">
        <v>178</v>
      </c>
    </row>
    <row r="234" spans="1:18" ht="17.399999999999999" customHeight="1" thickBot="1" x14ac:dyDescent="0.35">
      <c r="A234" s="265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7"/>
    </row>
    <row r="235" spans="1:18" ht="22.05" customHeight="1" thickTop="1" thickBot="1" x14ac:dyDescent="0.35">
      <c r="A235" s="236" t="s">
        <v>8</v>
      </c>
      <c r="B235" s="234"/>
      <c r="C235" s="234"/>
      <c r="D235" s="234"/>
      <c r="E235" s="234"/>
      <c r="F235" s="235"/>
      <c r="G235" s="68">
        <v>46066</v>
      </c>
      <c r="H235" s="233" t="s">
        <v>9</v>
      </c>
      <c r="I235" s="234"/>
      <c r="J235" s="234"/>
      <c r="K235" s="234"/>
      <c r="L235" s="234"/>
      <c r="M235" s="234"/>
      <c r="N235" s="234"/>
      <c r="O235" s="234"/>
      <c r="P235" s="234"/>
      <c r="Q235" s="234"/>
      <c r="R235" s="235"/>
    </row>
    <row r="236" spans="1:18" ht="24" customHeight="1" x14ac:dyDescent="0.3">
      <c r="A236" s="69" t="s">
        <v>10</v>
      </c>
      <c r="B236" s="69" t="s">
        <v>11</v>
      </c>
      <c r="C236" s="70" t="s">
        <v>12</v>
      </c>
      <c r="D236" s="69" t="s">
        <v>13</v>
      </c>
      <c r="E236" s="69" t="s">
        <v>14</v>
      </c>
      <c r="F236" s="71" t="s">
        <v>15</v>
      </c>
      <c r="G236" s="72" t="s">
        <v>16</v>
      </c>
      <c r="H236" s="69" t="s">
        <v>17</v>
      </c>
      <c r="I236" s="73" t="s">
        <v>18</v>
      </c>
      <c r="J236" s="74" t="s">
        <v>19</v>
      </c>
      <c r="K236" s="75" t="s">
        <v>20</v>
      </c>
      <c r="L236" s="74" t="s">
        <v>21</v>
      </c>
      <c r="M236" s="74" t="s">
        <v>22</v>
      </c>
      <c r="N236" s="74" t="s">
        <v>23</v>
      </c>
      <c r="O236" s="69" t="s">
        <v>24</v>
      </c>
      <c r="P236" s="70" t="s">
        <v>25</v>
      </c>
      <c r="Q236" s="74" t="s">
        <v>26</v>
      </c>
      <c r="R236" s="69" t="s">
        <v>27</v>
      </c>
    </row>
    <row r="237" spans="1:18" ht="49.95" customHeight="1" thickTop="1" thickBot="1" x14ac:dyDescent="0.35">
      <c r="A237" s="8" t="s">
        <v>28</v>
      </c>
      <c r="B237" s="8" t="s">
        <v>387</v>
      </c>
      <c r="C237" s="9">
        <v>0.41666666666666669</v>
      </c>
      <c r="D237" s="8" t="s">
        <v>30</v>
      </c>
      <c r="E237" s="10"/>
      <c r="F237" s="8" t="s">
        <v>49</v>
      </c>
      <c r="G237" s="240"/>
      <c r="H237" s="192" t="s">
        <v>387</v>
      </c>
      <c r="I237" s="193">
        <v>0.8155</v>
      </c>
      <c r="J237" s="194">
        <v>137</v>
      </c>
      <c r="K237" s="195" t="s">
        <v>97</v>
      </c>
      <c r="L237" s="194">
        <v>5</v>
      </c>
      <c r="M237" s="194">
        <v>0</v>
      </c>
      <c r="N237" s="194">
        <v>0</v>
      </c>
      <c r="O237" s="196" t="s">
        <v>33</v>
      </c>
      <c r="P237" s="197">
        <v>0.41666666666666669</v>
      </c>
      <c r="Q237" s="194">
        <v>168</v>
      </c>
      <c r="R237" s="198" t="s">
        <v>175</v>
      </c>
    </row>
    <row r="238" spans="1:18" ht="17.399999999999999" customHeight="1" thickBot="1" x14ac:dyDescent="0.35">
      <c r="A238" s="265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7"/>
    </row>
    <row r="239" spans="1:18" ht="22.05" customHeight="1" thickTop="1" thickBot="1" x14ac:dyDescent="0.35">
      <c r="A239" s="236" t="s">
        <v>8</v>
      </c>
      <c r="B239" s="234"/>
      <c r="C239" s="234"/>
      <c r="D239" s="234"/>
      <c r="E239" s="234"/>
      <c r="F239" s="235"/>
      <c r="G239" s="68">
        <v>46067</v>
      </c>
      <c r="H239" s="233" t="s">
        <v>9</v>
      </c>
      <c r="I239" s="234"/>
      <c r="J239" s="234"/>
      <c r="K239" s="234"/>
      <c r="L239" s="234"/>
      <c r="M239" s="234"/>
      <c r="N239" s="234"/>
      <c r="O239" s="234"/>
      <c r="P239" s="234"/>
      <c r="Q239" s="234"/>
      <c r="R239" s="235"/>
    </row>
    <row r="240" spans="1:18" ht="24" customHeight="1" x14ac:dyDescent="0.3">
      <c r="A240" s="69" t="s">
        <v>10</v>
      </c>
      <c r="B240" s="69" t="s">
        <v>11</v>
      </c>
      <c r="C240" s="70" t="s">
        <v>12</v>
      </c>
      <c r="D240" s="69" t="s">
        <v>13</v>
      </c>
      <c r="E240" s="69" t="s">
        <v>14</v>
      </c>
      <c r="F240" s="71" t="s">
        <v>15</v>
      </c>
      <c r="G240" s="72" t="s">
        <v>16</v>
      </c>
      <c r="H240" s="69" t="s">
        <v>17</v>
      </c>
      <c r="I240" s="73" t="s">
        <v>18</v>
      </c>
      <c r="J240" s="74" t="s">
        <v>19</v>
      </c>
      <c r="K240" s="75" t="s">
        <v>20</v>
      </c>
      <c r="L240" s="74" t="s">
        <v>21</v>
      </c>
      <c r="M240" s="74" t="s">
        <v>22</v>
      </c>
      <c r="N240" s="74" t="s">
        <v>23</v>
      </c>
      <c r="O240" s="69" t="s">
        <v>24</v>
      </c>
      <c r="P240" s="70" t="s">
        <v>25</v>
      </c>
      <c r="Q240" s="74" t="s">
        <v>26</v>
      </c>
      <c r="R240" s="69" t="s">
        <v>27</v>
      </c>
    </row>
    <row r="241" spans="1:18" ht="49.95" customHeight="1" x14ac:dyDescent="0.3">
      <c r="A241" s="136" t="s">
        <v>28</v>
      </c>
      <c r="B241" s="136" t="s">
        <v>390</v>
      </c>
      <c r="C241" s="137">
        <v>0.45833333333333331</v>
      </c>
      <c r="D241" s="136" t="s">
        <v>30</v>
      </c>
      <c r="E241" s="138"/>
      <c r="F241" s="136" t="s">
        <v>49</v>
      </c>
      <c r="G241" s="243"/>
      <c r="H241" s="21" t="s">
        <v>390</v>
      </c>
      <c r="I241" s="188">
        <v>0.8095</v>
      </c>
      <c r="J241" s="23">
        <v>136</v>
      </c>
      <c r="K241" s="24" t="s">
        <v>97</v>
      </c>
      <c r="L241" s="23">
        <v>4</v>
      </c>
      <c r="M241" s="23">
        <v>0</v>
      </c>
      <c r="N241" s="23">
        <v>0</v>
      </c>
      <c r="O241" s="25" t="s">
        <v>33</v>
      </c>
      <c r="P241" s="26">
        <v>0.45833333333333331</v>
      </c>
      <c r="Q241" s="23">
        <v>168</v>
      </c>
      <c r="R241" s="27" t="s">
        <v>429</v>
      </c>
    </row>
    <row r="242" spans="1:18" ht="49.95" customHeight="1" thickBot="1" x14ac:dyDescent="0.35">
      <c r="A242" s="126" t="s">
        <v>28</v>
      </c>
      <c r="B242" s="126" t="s">
        <v>387</v>
      </c>
      <c r="C242" s="127">
        <v>0.79166666666666663</v>
      </c>
      <c r="D242" s="126" t="s">
        <v>30</v>
      </c>
      <c r="E242" s="128"/>
      <c r="F242" s="126" t="s">
        <v>49</v>
      </c>
      <c r="G242" s="242"/>
      <c r="H242" s="129" t="s">
        <v>387</v>
      </c>
      <c r="I242" s="218">
        <v>0.82140000000000002</v>
      </c>
      <c r="J242" s="131">
        <v>138</v>
      </c>
      <c r="K242" s="132" t="s">
        <v>97</v>
      </c>
      <c r="L242" s="131">
        <v>6</v>
      </c>
      <c r="M242" s="131">
        <v>0</v>
      </c>
      <c r="N242" s="131">
        <v>0</v>
      </c>
      <c r="O242" s="133" t="s">
        <v>33</v>
      </c>
      <c r="P242" s="134">
        <v>0.79166666666666663</v>
      </c>
      <c r="Q242" s="131">
        <v>168</v>
      </c>
      <c r="R242" s="135" t="s">
        <v>437</v>
      </c>
    </row>
    <row r="243" spans="1:18" ht="17.399999999999999" customHeight="1" thickBot="1" x14ac:dyDescent="0.35">
      <c r="A243" s="265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7"/>
    </row>
    <row r="244" spans="1:18" ht="22.05" customHeight="1" thickTop="1" thickBot="1" x14ac:dyDescent="0.35">
      <c r="A244" s="236" t="s">
        <v>8</v>
      </c>
      <c r="B244" s="234"/>
      <c r="C244" s="234"/>
      <c r="D244" s="234"/>
      <c r="E244" s="234"/>
      <c r="F244" s="235"/>
      <c r="G244" s="68">
        <v>46068</v>
      </c>
      <c r="H244" s="233" t="s">
        <v>9</v>
      </c>
      <c r="I244" s="234"/>
      <c r="J244" s="234"/>
      <c r="K244" s="234"/>
      <c r="L244" s="234"/>
      <c r="M244" s="234"/>
      <c r="N244" s="234"/>
      <c r="O244" s="234"/>
      <c r="P244" s="234"/>
      <c r="Q244" s="234"/>
      <c r="R244" s="235"/>
    </row>
    <row r="245" spans="1:18" ht="24" customHeight="1" x14ac:dyDescent="0.3">
      <c r="A245" s="69" t="s">
        <v>10</v>
      </c>
      <c r="B245" s="69" t="s">
        <v>11</v>
      </c>
      <c r="C245" s="70" t="s">
        <v>12</v>
      </c>
      <c r="D245" s="69" t="s">
        <v>13</v>
      </c>
      <c r="E245" s="69" t="s">
        <v>14</v>
      </c>
      <c r="F245" s="71" t="s">
        <v>15</v>
      </c>
      <c r="G245" s="72" t="s">
        <v>16</v>
      </c>
      <c r="H245" s="69" t="s">
        <v>17</v>
      </c>
      <c r="I245" s="73" t="s">
        <v>18</v>
      </c>
      <c r="J245" s="74" t="s">
        <v>19</v>
      </c>
      <c r="K245" s="75" t="s">
        <v>20</v>
      </c>
      <c r="L245" s="74" t="s">
        <v>21</v>
      </c>
      <c r="M245" s="74" t="s">
        <v>22</v>
      </c>
      <c r="N245" s="74" t="s">
        <v>23</v>
      </c>
      <c r="O245" s="69" t="s">
        <v>24</v>
      </c>
      <c r="P245" s="70" t="s">
        <v>25</v>
      </c>
      <c r="Q245" s="74" t="s">
        <v>26</v>
      </c>
      <c r="R245" s="69" t="s">
        <v>27</v>
      </c>
    </row>
    <row r="246" spans="1:18" ht="49.95" customHeight="1" x14ac:dyDescent="0.3">
      <c r="A246" s="185" t="s">
        <v>28</v>
      </c>
      <c r="B246" s="185" t="s">
        <v>390</v>
      </c>
      <c r="C246" s="186">
        <v>0.48958333333333331</v>
      </c>
      <c r="D246" s="185" t="s">
        <v>30</v>
      </c>
      <c r="E246" s="187"/>
      <c r="F246" s="185" t="s">
        <v>31</v>
      </c>
      <c r="G246" s="240"/>
      <c r="H246" s="146" t="s">
        <v>390</v>
      </c>
      <c r="I246" s="147">
        <v>2.3800000000000002E-2</v>
      </c>
      <c r="J246" s="148">
        <v>4</v>
      </c>
      <c r="K246" s="149" t="s">
        <v>91</v>
      </c>
      <c r="L246" s="148">
        <v>4</v>
      </c>
      <c r="M246" s="148">
        <v>0</v>
      </c>
      <c r="N246" s="148">
        <v>0</v>
      </c>
      <c r="O246" s="150" t="s">
        <v>33</v>
      </c>
      <c r="P246" s="151">
        <v>0.48958333333333331</v>
      </c>
      <c r="Q246" s="148">
        <v>168</v>
      </c>
      <c r="R246" s="152" t="s">
        <v>438</v>
      </c>
    </row>
    <row r="247" spans="1:18" ht="49.95" customHeight="1" thickBot="1" x14ac:dyDescent="0.35">
      <c r="A247" s="58" t="s">
        <v>28</v>
      </c>
      <c r="B247" s="58" t="s">
        <v>387</v>
      </c>
      <c r="C247" s="59">
        <v>0.6875</v>
      </c>
      <c r="D247" s="58" t="s">
        <v>30</v>
      </c>
      <c r="E247" s="60"/>
      <c r="F247" s="58" t="s">
        <v>108</v>
      </c>
      <c r="G247" s="242"/>
      <c r="H247" s="61" t="s">
        <v>387</v>
      </c>
      <c r="I247" s="219">
        <v>0</v>
      </c>
      <c r="J247" s="63">
        <v>0</v>
      </c>
      <c r="K247" s="64" t="s">
        <v>109</v>
      </c>
      <c r="L247" s="63">
        <v>0</v>
      </c>
      <c r="M247" s="63">
        <v>0</v>
      </c>
      <c r="N247" s="63">
        <v>0</v>
      </c>
      <c r="O247" s="65" t="s">
        <v>33</v>
      </c>
      <c r="P247" s="66">
        <v>0.6875</v>
      </c>
      <c r="Q247" s="63">
        <v>168</v>
      </c>
      <c r="R247" s="67" t="s">
        <v>109</v>
      </c>
    </row>
    <row r="248" spans="1:18" ht="17.399999999999999" customHeight="1" thickBot="1" x14ac:dyDescent="0.35">
      <c r="A248" s="265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7"/>
    </row>
    <row r="249" spans="1:18" ht="22.05" customHeight="1" thickTop="1" thickBot="1" x14ac:dyDescent="0.35">
      <c r="A249" s="236" t="s">
        <v>8</v>
      </c>
      <c r="B249" s="234"/>
      <c r="C249" s="234"/>
      <c r="D249" s="234"/>
      <c r="E249" s="234"/>
      <c r="F249" s="235"/>
      <c r="G249" s="68">
        <v>46069</v>
      </c>
      <c r="H249" s="233" t="s">
        <v>9</v>
      </c>
      <c r="I249" s="234"/>
      <c r="J249" s="234"/>
      <c r="K249" s="234"/>
      <c r="L249" s="234"/>
      <c r="M249" s="234"/>
      <c r="N249" s="234"/>
      <c r="O249" s="234"/>
      <c r="P249" s="234"/>
      <c r="Q249" s="234"/>
      <c r="R249" s="235"/>
    </row>
    <row r="250" spans="1:18" ht="24" customHeight="1" x14ac:dyDescent="0.3">
      <c r="A250" s="69" t="s">
        <v>10</v>
      </c>
      <c r="B250" s="69" t="s">
        <v>11</v>
      </c>
      <c r="C250" s="70" t="s">
        <v>12</v>
      </c>
      <c r="D250" s="69" t="s">
        <v>13</v>
      </c>
      <c r="E250" s="69" t="s">
        <v>14</v>
      </c>
      <c r="F250" s="71" t="s">
        <v>15</v>
      </c>
      <c r="G250" s="72" t="s">
        <v>16</v>
      </c>
      <c r="H250" s="69" t="s">
        <v>17</v>
      </c>
      <c r="I250" s="73" t="s">
        <v>18</v>
      </c>
      <c r="J250" s="74" t="s">
        <v>19</v>
      </c>
      <c r="K250" s="75" t="s">
        <v>20</v>
      </c>
      <c r="L250" s="74" t="s">
        <v>21</v>
      </c>
      <c r="M250" s="74" t="s">
        <v>22</v>
      </c>
      <c r="N250" s="74" t="s">
        <v>23</v>
      </c>
      <c r="O250" s="69" t="s">
        <v>24</v>
      </c>
      <c r="P250" s="70" t="s">
        <v>25</v>
      </c>
      <c r="Q250" s="74" t="s">
        <v>26</v>
      </c>
      <c r="R250" s="69" t="s">
        <v>27</v>
      </c>
    </row>
    <row r="251" spans="1:18" ht="49.95" customHeight="1" x14ac:dyDescent="0.3">
      <c r="A251" s="154" t="s">
        <v>28</v>
      </c>
      <c r="B251" s="154" t="s">
        <v>390</v>
      </c>
      <c r="C251" s="155">
        <v>0.33680555555555558</v>
      </c>
      <c r="D251" s="154" t="s">
        <v>30</v>
      </c>
      <c r="E251" s="156"/>
      <c r="F251" s="154" t="s">
        <v>31</v>
      </c>
      <c r="G251" s="240"/>
      <c r="H251" s="31" t="s">
        <v>390</v>
      </c>
      <c r="I251" s="32">
        <v>6.0000000000000001E-3</v>
      </c>
      <c r="J251" s="33">
        <v>1</v>
      </c>
      <c r="K251" s="34" t="s">
        <v>439</v>
      </c>
      <c r="L251" s="33">
        <v>1</v>
      </c>
      <c r="M251" s="33">
        <v>0</v>
      </c>
      <c r="N251" s="33">
        <v>0</v>
      </c>
      <c r="O251" s="35" t="s">
        <v>33</v>
      </c>
      <c r="P251" s="36">
        <v>0.33680555555555558</v>
      </c>
      <c r="Q251" s="33">
        <v>168</v>
      </c>
      <c r="R251" s="37" t="s">
        <v>114</v>
      </c>
    </row>
    <row r="252" spans="1:18" ht="49.95" customHeight="1" thickBot="1" x14ac:dyDescent="0.35">
      <c r="A252" s="171" t="s">
        <v>28</v>
      </c>
      <c r="B252" s="171" t="s">
        <v>387</v>
      </c>
      <c r="C252" s="172">
        <v>0.64583333333333337</v>
      </c>
      <c r="D252" s="171" t="s">
        <v>30</v>
      </c>
      <c r="E252" s="173"/>
      <c r="F252" s="171" t="s">
        <v>108</v>
      </c>
      <c r="G252" s="242"/>
      <c r="H252" s="174" t="s">
        <v>387</v>
      </c>
      <c r="I252" s="175">
        <v>0</v>
      </c>
      <c r="J252" s="176">
        <v>0</v>
      </c>
      <c r="K252" s="177" t="s">
        <v>109</v>
      </c>
      <c r="L252" s="176">
        <v>0</v>
      </c>
      <c r="M252" s="176">
        <v>0</v>
      </c>
      <c r="N252" s="176">
        <v>0</v>
      </c>
      <c r="O252" s="178" t="s">
        <v>33</v>
      </c>
      <c r="P252" s="179">
        <v>0.64583333333333337</v>
      </c>
      <c r="Q252" s="176">
        <v>168</v>
      </c>
      <c r="R252" s="180" t="s">
        <v>109</v>
      </c>
    </row>
    <row r="253" spans="1:18" ht="17.399999999999999" customHeight="1" thickBot="1" x14ac:dyDescent="0.35">
      <c r="A253" s="265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7"/>
    </row>
    <row r="254" spans="1:18" ht="22.05" customHeight="1" thickTop="1" thickBot="1" x14ac:dyDescent="0.35">
      <c r="A254" s="236" t="s">
        <v>8</v>
      </c>
      <c r="B254" s="234"/>
      <c r="C254" s="234"/>
      <c r="D254" s="234"/>
      <c r="E254" s="234"/>
      <c r="F254" s="235"/>
      <c r="G254" s="68">
        <v>46070</v>
      </c>
      <c r="H254" s="233" t="s">
        <v>9</v>
      </c>
      <c r="I254" s="234"/>
      <c r="J254" s="234"/>
      <c r="K254" s="234"/>
      <c r="L254" s="234"/>
      <c r="M254" s="234"/>
      <c r="N254" s="234"/>
      <c r="O254" s="234"/>
      <c r="P254" s="234"/>
      <c r="Q254" s="234"/>
      <c r="R254" s="235"/>
    </row>
    <row r="255" spans="1:18" ht="24" customHeight="1" x14ac:dyDescent="0.3">
      <c r="A255" s="69" t="s">
        <v>10</v>
      </c>
      <c r="B255" s="69" t="s">
        <v>11</v>
      </c>
      <c r="C255" s="70" t="s">
        <v>12</v>
      </c>
      <c r="D255" s="69" t="s">
        <v>13</v>
      </c>
      <c r="E255" s="69" t="s">
        <v>14</v>
      </c>
      <c r="F255" s="71" t="s">
        <v>15</v>
      </c>
      <c r="G255" s="72" t="s">
        <v>16</v>
      </c>
      <c r="H255" s="69" t="s">
        <v>17</v>
      </c>
      <c r="I255" s="73" t="s">
        <v>18</v>
      </c>
      <c r="J255" s="74" t="s">
        <v>19</v>
      </c>
      <c r="K255" s="75" t="s">
        <v>20</v>
      </c>
      <c r="L255" s="74" t="s">
        <v>21</v>
      </c>
      <c r="M255" s="74" t="s">
        <v>22</v>
      </c>
      <c r="N255" s="74" t="s">
        <v>23</v>
      </c>
      <c r="O255" s="69" t="s">
        <v>24</v>
      </c>
      <c r="P255" s="70" t="s">
        <v>25</v>
      </c>
      <c r="Q255" s="74" t="s">
        <v>26</v>
      </c>
      <c r="R255" s="69" t="s">
        <v>27</v>
      </c>
    </row>
    <row r="256" spans="1:18" ht="49.95" customHeight="1" thickTop="1" thickBot="1" x14ac:dyDescent="0.35">
      <c r="A256" s="185" t="s">
        <v>28</v>
      </c>
      <c r="B256" s="185" t="s">
        <v>387</v>
      </c>
      <c r="C256" s="186">
        <v>0.70833333333333337</v>
      </c>
      <c r="D256" s="185" t="s">
        <v>30</v>
      </c>
      <c r="E256" s="187"/>
      <c r="F256" s="185" t="s">
        <v>31</v>
      </c>
      <c r="G256" s="240"/>
      <c r="H256" s="115" t="s">
        <v>387</v>
      </c>
      <c r="I256" s="220">
        <v>1.7899999999999999E-2</v>
      </c>
      <c r="J256" s="117">
        <v>3</v>
      </c>
      <c r="K256" s="118" t="s">
        <v>106</v>
      </c>
      <c r="L256" s="117">
        <v>3</v>
      </c>
      <c r="M256" s="117">
        <v>0</v>
      </c>
      <c r="N256" s="117">
        <v>0</v>
      </c>
      <c r="O256" s="119" t="s">
        <v>33</v>
      </c>
      <c r="P256" s="120">
        <v>0.70833333333333337</v>
      </c>
      <c r="Q256" s="117">
        <v>168</v>
      </c>
      <c r="R256" s="121" t="s">
        <v>127</v>
      </c>
    </row>
    <row r="257" spans="1:18" ht="17.399999999999999" customHeight="1" thickBot="1" x14ac:dyDescent="0.35">
      <c r="A257" s="265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7"/>
    </row>
    <row r="258" spans="1:18" ht="22.05" customHeight="1" thickTop="1" thickBot="1" x14ac:dyDescent="0.35">
      <c r="A258" s="236" t="s">
        <v>8</v>
      </c>
      <c r="B258" s="234"/>
      <c r="C258" s="234"/>
      <c r="D258" s="234"/>
      <c r="E258" s="234"/>
      <c r="F258" s="235"/>
      <c r="G258" s="68">
        <v>46071</v>
      </c>
      <c r="H258" s="233" t="s">
        <v>9</v>
      </c>
      <c r="I258" s="234"/>
      <c r="J258" s="234"/>
      <c r="K258" s="234"/>
      <c r="L258" s="234"/>
      <c r="M258" s="234"/>
      <c r="N258" s="234"/>
      <c r="O258" s="234"/>
      <c r="P258" s="234"/>
      <c r="Q258" s="234"/>
      <c r="R258" s="235"/>
    </row>
    <row r="259" spans="1:18" ht="24" customHeight="1" x14ac:dyDescent="0.3">
      <c r="A259" s="69" t="s">
        <v>10</v>
      </c>
      <c r="B259" s="69" t="s">
        <v>11</v>
      </c>
      <c r="C259" s="70" t="s">
        <v>12</v>
      </c>
      <c r="D259" s="69" t="s">
        <v>13</v>
      </c>
      <c r="E259" s="69" t="s">
        <v>14</v>
      </c>
      <c r="F259" s="71" t="s">
        <v>15</v>
      </c>
      <c r="G259" s="72" t="s">
        <v>16</v>
      </c>
      <c r="H259" s="69" t="s">
        <v>17</v>
      </c>
      <c r="I259" s="73" t="s">
        <v>18</v>
      </c>
      <c r="J259" s="74" t="s">
        <v>19</v>
      </c>
      <c r="K259" s="75" t="s">
        <v>20</v>
      </c>
      <c r="L259" s="74" t="s">
        <v>21</v>
      </c>
      <c r="M259" s="74" t="s">
        <v>22</v>
      </c>
      <c r="N259" s="74" t="s">
        <v>23</v>
      </c>
      <c r="O259" s="69" t="s">
        <v>24</v>
      </c>
      <c r="P259" s="70" t="s">
        <v>25</v>
      </c>
      <c r="Q259" s="74" t="s">
        <v>26</v>
      </c>
      <c r="R259" s="69" t="s">
        <v>27</v>
      </c>
    </row>
    <row r="260" spans="1:18" ht="49.95" customHeight="1" x14ac:dyDescent="0.3">
      <c r="A260" s="185" t="s">
        <v>28</v>
      </c>
      <c r="B260" s="185" t="s">
        <v>387</v>
      </c>
      <c r="C260" s="186">
        <v>0.33333333333333331</v>
      </c>
      <c r="D260" s="185" t="s">
        <v>30</v>
      </c>
      <c r="E260" s="187"/>
      <c r="F260" s="185" t="s">
        <v>31</v>
      </c>
      <c r="G260" s="240"/>
      <c r="H260" s="146" t="s">
        <v>387</v>
      </c>
      <c r="I260" s="147">
        <v>6.0000000000000001E-3</v>
      </c>
      <c r="J260" s="148">
        <v>1</v>
      </c>
      <c r="K260" s="149" t="s">
        <v>197</v>
      </c>
      <c r="L260" s="148">
        <v>1</v>
      </c>
      <c r="M260" s="148">
        <v>0</v>
      </c>
      <c r="N260" s="148">
        <v>0</v>
      </c>
      <c r="O260" s="150" t="s">
        <v>33</v>
      </c>
      <c r="P260" s="151">
        <v>0.33333333333333331</v>
      </c>
      <c r="Q260" s="148">
        <v>168</v>
      </c>
      <c r="R260" s="152" t="s">
        <v>114</v>
      </c>
    </row>
    <row r="261" spans="1:18" ht="49.95" customHeight="1" x14ac:dyDescent="0.3">
      <c r="A261" s="86" t="s">
        <v>28</v>
      </c>
      <c r="B261" s="86" t="s">
        <v>399</v>
      </c>
      <c r="C261" s="87">
        <v>0.40972222222222232</v>
      </c>
      <c r="D261" s="86" t="s">
        <v>30</v>
      </c>
      <c r="E261" s="88"/>
      <c r="F261" s="86" t="s">
        <v>108</v>
      </c>
      <c r="G261" s="241"/>
      <c r="H261" s="11" t="s">
        <v>399</v>
      </c>
      <c r="I261" s="12">
        <v>0</v>
      </c>
      <c r="J261" s="13">
        <v>0</v>
      </c>
      <c r="K261" s="14" t="s">
        <v>109</v>
      </c>
      <c r="L261" s="13">
        <v>0</v>
      </c>
      <c r="M261" s="13">
        <v>0</v>
      </c>
      <c r="N261" s="13">
        <v>0</v>
      </c>
      <c r="O261" s="15" t="s">
        <v>33</v>
      </c>
      <c r="P261" s="16">
        <v>0.40972222222222232</v>
      </c>
      <c r="Q261" s="13">
        <v>168</v>
      </c>
      <c r="R261" s="17" t="s">
        <v>109</v>
      </c>
    </row>
    <row r="262" spans="1:18" ht="49.95" customHeight="1" thickBot="1" x14ac:dyDescent="0.35">
      <c r="A262" s="112" t="s">
        <v>28</v>
      </c>
      <c r="B262" s="112" t="s">
        <v>390</v>
      </c>
      <c r="C262" s="113">
        <v>0.71875</v>
      </c>
      <c r="D262" s="112" t="s">
        <v>30</v>
      </c>
      <c r="E262" s="114"/>
      <c r="F262" s="112" t="s">
        <v>31</v>
      </c>
      <c r="G262" s="242"/>
      <c r="H262" s="115" t="s">
        <v>390</v>
      </c>
      <c r="I262" s="220">
        <v>6.0000000000000001E-3</v>
      </c>
      <c r="J262" s="117">
        <v>1</v>
      </c>
      <c r="K262" s="118" t="s">
        <v>197</v>
      </c>
      <c r="L262" s="117">
        <v>1</v>
      </c>
      <c r="M262" s="117">
        <v>0</v>
      </c>
      <c r="N262" s="117">
        <v>0</v>
      </c>
      <c r="O262" s="119" t="s">
        <v>33</v>
      </c>
      <c r="P262" s="120">
        <v>0.71875</v>
      </c>
      <c r="Q262" s="117">
        <v>168</v>
      </c>
      <c r="R262" s="121" t="s">
        <v>114</v>
      </c>
    </row>
    <row r="263" spans="1:18" ht="17.399999999999999" customHeight="1" thickBot="1" x14ac:dyDescent="0.35">
      <c r="A263" s="265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7"/>
    </row>
    <row r="264" spans="1:18" ht="22.05" customHeight="1" thickTop="1" thickBot="1" x14ac:dyDescent="0.35">
      <c r="A264" s="236" t="s">
        <v>8</v>
      </c>
      <c r="B264" s="234"/>
      <c r="C264" s="234"/>
      <c r="D264" s="234"/>
      <c r="E264" s="234"/>
      <c r="F264" s="235"/>
      <c r="G264" s="68">
        <v>46072</v>
      </c>
      <c r="H264" s="233" t="s">
        <v>9</v>
      </c>
      <c r="I264" s="234"/>
      <c r="J264" s="234"/>
      <c r="K264" s="234"/>
      <c r="L264" s="234"/>
      <c r="M264" s="234"/>
      <c r="N264" s="234"/>
      <c r="O264" s="234"/>
      <c r="P264" s="234"/>
      <c r="Q264" s="234"/>
      <c r="R264" s="235"/>
    </row>
    <row r="265" spans="1:18" ht="24" customHeight="1" x14ac:dyDescent="0.3">
      <c r="A265" s="69" t="s">
        <v>10</v>
      </c>
      <c r="B265" s="69" t="s">
        <v>11</v>
      </c>
      <c r="C265" s="70" t="s">
        <v>12</v>
      </c>
      <c r="D265" s="69" t="s">
        <v>13</v>
      </c>
      <c r="E265" s="69" t="s">
        <v>14</v>
      </c>
      <c r="F265" s="71" t="s">
        <v>15</v>
      </c>
      <c r="G265" s="72" t="s">
        <v>16</v>
      </c>
      <c r="H265" s="69" t="s">
        <v>17</v>
      </c>
      <c r="I265" s="73" t="s">
        <v>18</v>
      </c>
      <c r="J265" s="74" t="s">
        <v>19</v>
      </c>
      <c r="K265" s="75" t="s">
        <v>20</v>
      </c>
      <c r="L265" s="74" t="s">
        <v>21</v>
      </c>
      <c r="M265" s="74" t="s">
        <v>22</v>
      </c>
      <c r="N265" s="74" t="s">
        <v>23</v>
      </c>
      <c r="O265" s="69" t="s">
        <v>24</v>
      </c>
      <c r="P265" s="70" t="s">
        <v>25</v>
      </c>
      <c r="Q265" s="74" t="s">
        <v>26</v>
      </c>
      <c r="R265" s="69" t="s">
        <v>27</v>
      </c>
    </row>
    <row r="266" spans="1:18" ht="49.95" customHeight="1" thickTop="1" thickBot="1" x14ac:dyDescent="0.35">
      <c r="A266" s="122" t="s">
        <v>28</v>
      </c>
      <c r="B266" s="122" t="s">
        <v>387</v>
      </c>
      <c r="C266" s="123">
        <v>0.27430555555555552</v>
      </c>
      <c r="D266" s="122" t="s">
        <v>30</v>
      </c>
      <c r="E266" s="124"/>
      <c r="F266" s="122" t="s">
        <v>108</v>
      </c>
      <c r="G266" s="240"/>
      <c r="H266" s="93" t="s">
        <v>387</v>
      </c>
      <c r="I266" s="221">
        <v>0</v>
      </c>
      <c r="J266" s="95">
        <v>0</v>
      </c>
      <c r="K266" s="96" t="s">
        <v>109</v>
      </c>
      <c r="L266" s="95">
        <v>0</v>
      </c>
      <c r="M266" s="95">
        <v>0</v>
      </c>
      <c r="N266" s="95">
        <v>0</v>
      </c>
      <c r="O266" s="97" t="s">
        <v>33</v>
      </c>
      <c r="P266" s="98">
        <v>0.27430555555555552</v>
      </c>
      <c r="Q266" s="95">
        <v>168</v>
      </c>
      <c r="R266" s="99" t="s">
        <v>109</v>
      </c>
    </row>
    <row r="267" spans="1:18" ht="17.399999999999999" customHeight="1" thickBot="1" x14ac:dyDescent="0.35">
      <c r="A267" s="265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7"/>
    </row>
    <row r="268" spans="1:18" ht="22.05" customHeight="1" thickTop="1" thickBot="1" x14ac:dyDescent="0.35">
      <c r="A268" s="236" t="s">
        <v>8</v>
      </c>
      <c r="B268" s="234"/>
      <c r="C268" s="234"/>
      <c r="D268" s="234"/>
      <c r="E268" s="234"/>
      <c r="F268" s="235"/>
      <c r="G268" s="68">
        <v>46073</v>
      </c>
      <c r="H268" s="233" t="s">
        <v>9</v>
      </c>
      <c r="I268" s="234"/>
      <c r="J268" s="234"/>
      <c r="K268" s="234"/>
      <c r="L268" s="234"/>
      <c r="M268" s="234"/>
      <c r="N268" s="234"/>
      <c r="O268" s="234"/>
      <c r="P268" s="234"/>
      <c r="Q268" s="234"/>
      <c r="R268" s="235"/>
    </row>
    <row r="269" spans="1:18" ht="24" customHeight="1" x14ac:dyDescent="0.3">
      <c r="A269" s="69" t="s">
        <v>10</v>
      </c>
      <c r="B269" s="69" t="s">
        <v>11</v>
      </c>
      <c r="C269" s="70" t="s">
        <v>12</v>
      </c>
      <c r="D269" s="69" t="s">
        <v>13</v>
      </c>
      <c r="E269" s="69" t="s">
        <v>14</v>
      </c>
      <c r="F269" s="71" t="s">
        <v>15</v>
      </c>
      <c r="G269" s="72" t="s">
        <v>16</v>
      </c>
      <c r="H269" s="69" t="s">
        <v>17</v>
      </c>
      <c r="I269" s="73" t="s">
        <v>18</v>
      </c>
      <c r="J269" s="74" t="s">
        <v>19</v>
      </c>
      <c r="K269" s="75" t="s">
        <v>20</v>
      </c>
      <c r="L269" s="74" t="s">
        <v>21</v>
      </c>
      <c r="M269" s="74" t="s">
        <v>22</v>
      </c>
      <c r="N269" s="74" t="s">
        <v>23</v>
      </c>
      <c r="O269" s="69" t="s">
        <v>24</v>
      </c>
      <c r="P269" s="70" t="s">
        <v>25</v>
      </c>
      <c r="Q269" s="74" t="s">
        <v>26</v>
      </c>
      <c r="R269" s="69" t="s">
        <v>27</v>
      </c>
    </row>
    <row r="270" spans="1:18" ht="49.95" customHeight="1" thickTop="1" thickBot="1" x14ac:dyDescent="0.35">
      <c r="A270" s="181" t="s">
        <v>28</v>
      </c>
      <c r="B270" s="181" t="s">
        <v>387</v>
      </c>
      <c r="C270" s="182">
        <v>0.41666666666666669</v>
      </c>
      <c r="D270" s="181" t="s">
        <v>30</v>
      </c>
      <c r="E270" s="183"/>
      <c r="F270" s="181" t="s">
        <v>31</v>
      </c>
      <c r="G270" s="240"/>
      <c r="H270" s="210" t="s">
        <v>387</v>
      </c>
      <c r="I270" s="223">
        <v>2.98E-2</v>
      </c>
      <c r="J270" s="212">
        <v>5</v>
      </c>
      <c r="K270" s="213" t="s">
        <v>97</v>
      </c>
      <c r="L270" s="212">
        <v>5</v>
      </c>
      <c r="M270" s="212">
        <v>0</v>
      </c>
      <c r="N270" s="212">
        <v>0</v>
      </c>
      <c r="O270" s="214" t="s">
        <v>33</v>
      </c>
      <c r="P270" s="215">
        <v>0.41666666666666669</v>
      </c>
      <c r="Q270" s="212">
        <v>168</v>
      </c>
      <c r="R270" s="216" t="s">
        <v>440</v>
      </c>
    </row>
    <row r="271" spans="1:18" ht="17.399999999999999" customHeight="1" thickBot="1" x14ac:dyDescent="0.35">
      <c r="A271" s="265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7"/>
    </row>
    <row r="272" spans="1:18" ht="22.05" customHeight="1" thickTop="1" thickBot="1" x14ac:dyDescent="0.35">
      <c r="A272" s="236" t="s">
        <v>8</v>
      </c>
      <c r="B272" s="234"/>
      <c r="C272" s="234"/>
      <c r="D272" s="234"/>
      <c r="E272" s="234"/>
      <c r="F272" s="235"/>
      <c r="G272" s="68">
        <v>46074</v>
      </c>
      <c r="H272" s="233" t="s">
        <v>9</v>
      </c>
      <c r="I272" s="234"/>
      <c r="J272" s="234"/>
      <c r="K272" s="234"/>
      <c r="L272" s="234"/>
      <c r="M272" s="234"/>
      <c r="N272" s="234"/>
      <c r="O272" s="234"/>
      <c r="P272" s="234"/>
      <c r="Q272" s="234"/>
      <c r="R272" s="235"/>
    </row>
    <row r="273" spans="1:18" ht="24" customHeight="1" x14ac:dyDescent="0.3">
      <c r="A273" s="69" t="s">
        <v>10</v>
      </c>
      <c r="B273" s="69" t="s">
        <v>11</v>
      </c>
      <c r="C273" s="70" t="s">
        <v>12</v>
      </c>
      <c r="D273" s="69" t="s">
        <v>13</v>
      </c>
      <c r="E273" s="69" t="s">
        <v>14</v>
      </c>
      <c r="F273" s="71" t="s">
        <v>15</v>
      </c>
      <c r="G273" s="72" t="s">
        <v>16</v>
      </c>
      <c r="H273" s="69" t="s">
        <v>17</v>
      </c>
      <c r="I273" s="73" t="s">
        <v>18</v>
      </c>
      <c r="J273" s="74" t="s">
        <v>19</v>
      </c>
      <c r="K273" s="75" t="s">
        <v>20</v>
      </c>
      <c r="L273" s="74" t="s">
        <v>21</v>
      </c>
      <c r="M273" s="74" t="s">
        <v>22</v>
      </c>
      <c r="N273" s="74" t="s">
        <v>23</v>
      </c>
      <c r="O273" s="69" t="s">
        <v>24</v>
      </c>
      <c r="P273" s="70" t="s">
        <v>25</v>
      </c>
      <c r="Q273" s="74" t="s">
        <v>26</v>
      </c>
      <c r="R273" s="69" t="s">
        <v>27</v>
      </c>
    </row>
    <row r="274" spans="1:18" ht="49.95" customHeight="1" x14ac:dyDescent="0.3">
      <c r="A274" s="122" t="s">
        <v>28</v>
      </c>
      <c r="B274" s="122" t="s">
        <v>390</v>
      </c>
      <c r="C274" s="123">
        <v>0.45833333333333331</v>
      </c>
      <c r="D274" s="122" t="s">
        <v>30</v>
      </c>
      <c r="E274" s="124"/>
      <c r="F274" s="122" t="s">
        <v>31</v>
      </c>
      <c r="G274" s="240"/>
      <c r="H274" s="41" t="s">
        <v>390</v>
      </c>
      <c r="I274" s="42">
        <v>3.5700000000000003E-2</v>
      </c>
      <c r="J274" s="43">
        <v>6</v>
      </c>
      <c r="K274" s="44" t="s">
        <v>110</v>
      </c>
      <c r="L274" s="43">
        <v>6</v>
      </c>
      <c r="M274" s="43">
        <v>0</v>
      </c>
      <c r="N274" s="43">
        <v>0</v>
      </c>
      <c r="O274" s="45" t="s">
        <v>33</v>
      </c>
      <c r="P274" s="46">
        <v>0.45833333333333331</v>
      </c>
      <c r="Q274" s="43">
        <v>168</v>
      </c>
      <c r="R274" s="47" t="s">
        <v>87</v>
      </c>
    </row>
    <row r="275" spans="1:18" ht="49.95" customHeight="1" thickBot="1" x14ac:dyDescent="0.35">
      <c r="A275" s="171" t="s">
        <v>28</v>
      </c>
      <c r="B275" s="171" t="s">
        <v>387</v>
      </c>
      <c r="C275" s="172">
        <v>0.79166666666666663</v>
      </c>
      <c r="D275" s="171" t="s">
        <v>30</v>
      </c>
      <c r="E275" s="173"/>
      <c r="F275" s="171" t="s">
        <v>31</v>
      </c>
      <c r="G275" s="242"/>
      <c r="H275" s="174" t="s">
        <v>387</v>
      </c>
      <c r="I275" s="175">
        <v>8.3299999999999999E-2</v>
      </c>
      <c r="J275" s="176">
        <v>14</v>
      </c>
      <c r="K275" s="177" t="s">
        <v>113</v>
      </c>
      <c r="L275" s="176">
        <v>14</v>
      </c>
      <c r="M275" s="176">
        <v>0</v>
      </c>
      <c r="N275" s="176">
        <v>0</v>
      </c>
      <c r="O275" s="178" t="s">
        <v>33</v>
      </c>
      <c r="P275" s="179">
        <v>0.79166666666666663</v>
      </c>
      <c r="Q275" s="176">
        <v>168</v>
      </c>
      <c r="R275" s="180" t="s">
        <v>441</v>
      </c>
    </row>
    <row r="276" spans="1:18" ht="17.399999999999999" customHeight="1" thickBot="1" x14ac:dyDescent="0.35">
      <c r="A276" s="265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7"/>
    </row>
    <row r="277" spans="1:18" ht="22.05" customHeight="1" thickTop="1" thickBot="1" x14ac:dyDescent="0.35">
      <c r="A277" s="236" t="s">
        <v>8</v>
      </c>
      <c r="B277" s="234"/>
      <c r="C277" s="234"/>
      <c r="D277" s="234"/>
      <c r="E277" s="234"/>
      <c r="F277" s="235"/>
      <c r="G277" s="68">
        <v>46075</v>
      </c>
      <c r="H277" s="233" t="s">
        <v>9</v>
      </c>
      <c r="I277" s="234"/>
      <c r="J277" s="234"/>
      <c r="K277" s="234"/>
      <c r="L277" s="234"/>
      <c r="M277" s="234"/>
      <c r="N277" s="234"/>
      <c r="O277" s="234"/>
      <c r="P277" s="234"/>
      <c r="Q277" s="234"/>
      <c r="R277" s="235"/>
    </row>
    <row r="278" spans="1:18" ht="24" customHeight="1" x14ac:dyDescent="0.3">
      <c r="A278" s="69" t="s">
        <v>10</v>
      </c>
      <c r="B278" s="69" t="s">
        <v>11</v>
      </c>
      <c r="C278" s="70" t="s">
        <v>12</v>
      </c>
      <c r="D278" s="69" t="s">
        <v>13</v>
      </c>
      <c r="E278" s="69" t="s">
        <v>14</v>
      </c>
      <c r="F278" s="71" t="s">
        <v>15</v>
      </c>
      <c r="G278" s="72" t="s">
        <v>16</v>
      </c>
      <c r="H278" s="69" t="s">
        <v>17</v>
      </c>
      <c r="I278" s="73" t="s">
        <v>18</v>
      </c>
      <c r="J278" s="74" t="s">
        <v>19</v>
      </c>
      <c r="K278" s="75" t="s">
        <v>20</v>
      </c>
      <c r="L278" s="74" t="s">
        <v>21</v>
      </c>
      <c r="M278" s="74" t="s">
        <v>22</v>
      </c>
      <c r="N278" s="74" t="s">
        <v>23</v>
      </c>
      <c r="O278" s="69" t="s">
        <v>24</v>
      </c>
      <c r="P278" s="70" t="s">
        <v>25</v>
      </c>
      <c r="Q278" s="74" t="s">
        <v>26</v>
      </c>
      <c r="R278" s="69" t="s">
        <v>27</v>
      </c>
    </row>
    <row r="279" spans="1:18" ht="49.95" customHeight="1" x14ac:dyDescent="0.3">
      <c r="A279" s="76" t="s">
        <v>28</v>
      </c>
      <c r="B279" s="76" t="s">
        <v>390</v>
      </c>
      <c r="C279" s="77">
        <v>0.48958333333333331</v>
      </c>
      <c r="D279" s="76" t="s">
        <v>30</v>
      </c>
      <c r="E279" s="78"/>
      <c r="F279" s="76" t="s">
        <v>31</v>
      </c>
      <c r="G279" s="240"/>
      <c r="H279" s="79" t="s">
        <v>390</v>
      </c>
      <c r="I279" s="80">
        <v>4.7600000000000003E-2</v>
      </c>
      <c r="J279" s="81">
        <v>8</v>
      </c>
      <c r="K279" s="82" t="s">
        <v>97</v>
      </c>
      <c r="L279" s="81">
        <v>8</v>
      </c>
      <c r="M279" s="81">
        <v>0</v>
      </c>
      <c r="N279" s="81">
        <v>0</v>
      </c>
      <c r="O279" s="83" t="s">
        <v>33</v>
      </c>
      <c r="P279" s="84">
        <v>0.48958333333333331</v>
      </c>
      <c r="Q279" s="81">
        <v>168</v>
      </c>
      <c r="R279" s="85" t="s">
        <v>442</v>
      </c>
    </row>
    <row r="280" spans="1:18" ht="49.95" customHeight="1" thickBot="1" x14ac:dyDescent="0.35">
      <c r="A280" s="112" t="s">
        <v>28</v>
      </c>
      <c r="B280" s="112" t="s">
        <v>387</v>
      </c>
      <c r="C280" s="113">
        <v>0.6875</v>
      </c>
      <c r="D280" s="112" t="s">
        <v>30</v>
      </c>
      <c r="E280" s="114"/>
      <c r="F280" s="112" t="s">
        <v>31</v>
      </c>
      <c r="G280" s="242"/>
      <c r="H280" s="115" t="s">
        <v>387</v>
      </c>
      <c r="I280" s="220">
        <v>6.0000000000000001E-3</v>
      </c>
      <c r="J280" s="117">
        <v>1</v>
      </c>
      <c r="K280" s="118" t="s">
        <v>177</v>
      </c>
      <c r="L280" s="117">
        <v>2</v>
      </c>
      <c r="M280" s="117">
        <v>0</v>
      </c>
      <c r="N280" s="117">
        <v>0</v>
      </c>
      <c r="O280" s="119" t="s">
        <v>33</v>
      </c>
      <c r="P280" s="120">
        <v>0.6875</v>
      </c>
      <c r="Q280" s="117">
        <v>168</v>
      </c>
      <c r="R280" s="121" t="s">
        <v>114</v>
      </c>
    </row>
    <row r="281" spans="1:18" ht="17.399999999999999" customHeight="1" thickBot="1" x14ac:dyDescent="0.35">
      <c r="A281" s="265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7"/>
    </row>
    <row r="282" spans="1:18" ht="22.05" customHeight="1" thickTop="1" thickBot="1" x14ac:dyDescent="0.35">
      <c r="A282" s="236" t="s">
        <v>8</v>
      </c>
      <c r="B282" s="234"/>
      <c r="C282" s="234"/>
      <c r="D282" s="234"/>
      <c r="E282" s="234"/>
      <c r="F282" s="235"/>
      <c r="G282" s="68">
        <v>46076</v>
      </c>
      <c r="H282" s="233" t="s">
        <v>9</v>
      </c>
      <c r="I282" s="234"/>
      <c r="J282" s="234"/>
      <c r="K282" s="234"/>
      <c r="L282" s="234"/>
      <c r="M282" s="234"/>
      <c r="N282" s="234"/>
      <c r="O282" s="234"/>
      <c r="P282" s="234"/>
      <c r="Q282" s="234"/>
      <c r="R282" s="235"/>
    </row>
    <row r="283" spans="1:18" ht="24" customHeight="1" x14ac:dyDescent="0.3">
      <c r="A283" s="69" t="s">
        <v>10</v>
      </c>
      <c r="B283" s="69" t="s">
        <v>11</v>
      </c>
      <c r="C283" s="70" t="s">
        <v>12</v>
      </c>
      <c r="D283" s="69" t="s">
        <v>13</v>
      </c>
      <c r="E283" s="69" t="s">
        <v>14</v>
      </c>
      <c r="F283" s="71" t="s">
        <v>15</v>
      </c>
      <c r="G283" s="72" t="s">
        <v>16</v>
      </c>
      <c r="H283" s="69" t="s">
        <v>17</v>
      </c>
      <c r="I283" s="73" t="s">
        <v>18</v>
      </c>
      <c r="J283" s="74" t="s">
        <v>19</v>
      </c>
      <c r="K283" s="75" t="s">
        <v>20</v>
      </c>
      <c r="L283" s="74" t="s">
        <v>21</v>
      </c>
      <c r="M283" s="74" t="s">
        <v>22</v>
      </c>
      <c r="N283" s="74" t="s">
        <v>23</v>
      </c>
      <c r="O283" s="69" t="s">
        <v>24</v>
      </c>
      <c r="P283" s="70" t="s">
        <v>25</v>
      </c>
      <c r="Q283" s="74" t="s">
        <v>26</v>
      </c>
      <c r="R283" s="69" t="s">
        <v>27</v>
      </c>
    </row>
    <row r="284" spans="1:18" ht="49.95" customHeight="1" x14ac:dyDescent="0.3">
      <c r="A284" s="100" t="s">
        <v>28</v>
      </c>
      <c r="B284" s="100" t="s">
        <v>390</v>
      </c>
      <c r="C284" s="101">
        <v>0.33680555555555558</v>
      </c>
      <c r="D284" s="100" t="s">
        <v>30</v>
      </c>
      <c r="E284" s="102"/>
      <c r="F284" s="100" t="s">
        <v>31</v>
      </c>
      <c r="G284" s="243"/>
      <c r="H284" s="103" t="s">
        <v>390</v>
      </c>
      <c r="I284" s="159">
        <v>1.7899999999999999E-2</v>
      </c>
      <c r="J284" s="105">
        <v>3</v>
      </c>
      <c r="K284" s="106" t="s">
        <v>443</v>
      </c>
      <c r="L284" s="105">
        <v>3</v>
      </c>
      <c r="M284" s="105">
        <v>0</v>
      </c>
      <c r="N284" s="105">
        <v>0</v>
      </c>
      <c r="O284" s="107" t="s">
        <v>33</v>
      </c>
      <c r="P284" s="108">
        <v>0.33680555555555558</v>
      </c>
      <c r="Q284" s="105">
        <v>168</v>
      </c>
      <c r="R284" s="109" t="s">
        <v>127</v>
      </c>
    </row>
    <row r="285" spans="1:18" ht="49.95" customHeight="1" thickBot="1" x14ac:dyDescent="0.35">
      <c r="A285" s="126" t="s">
        <v>28</v>
      </c>
      <c r="B285" s="126" t="s">
        <v>387</v>
      </c>
      <c r="C285" s="127">
        <v>0.64583333333333337</v>
      </c>
      <c r="D285" s="126" t="s">
        <v>30</v>
      </c>
      <c r="E285" s="128"/>
      <c r="F285" s="126" t="s">
        <v>31</v>
      </c>
      <c r="G285" s="242"/>
      <c r="H285" s="129" t="s">
        <v>387</v>
      </c>
      <c r="I285" s="225">
        <v>2.3800000000000002E-2</v>
      </c>
      <c r="J285" s="131">
        <v>4</v>
      </c>
      <c r="K285" s="132" t="s">
        <v>94</v>
      </c>
      <c r="L285" s="131">
        <v>4</v>
      </c>
      <c r="M285" s="131">
        <v>0</v>
      </c>
      <c r="N285" s="131">
        <v>0</v>
      </c>
      <c r="O285" s="133" t="s">
        <v>33</v>
      </c>
      <c r="P285" s="134">
        <v>0.64583333333333337</v>
      </c>
      <c r="Q285" s="131">
        <v>168</v>
      </c>
      <c r="R285" s="135" t="s">
        <v>444</v>
      </c>
    </row>
    <row r="286" spans="1:18" ht="17.399999999999999" customHeight="1" thickBot="1" x14ac:dyDescent="0.35">
      <c r="A286" s="265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7"/>
    </row>
    <row r="287" spans="1:18" ht="22.05" customHeight="1" thickTop="1" thickBot="1" x14ac:dyDescent="0.35">
      <c r="A287" s="236" t="s">
        <v>8</v>
      </c>
      <c r="B287" s="234"/>
      <c r="C287" s="234"/>
      <c r="D287" s="234"/>
      <c r="E287" s="234"/>
      <c r="F287" s="235"/>
      <c r="G287" s="68">
        <v>46077</v>
      </c>
      <c r="H287" s="233" t="s">
        <v>9</v>
      </c>
      <c r="I287" s="234"/>
      <c r="J287" s="234"/>
      <c r="K287" s="234"/>
      <c r="L287" s="234"/>
      <c r="M287" s="234"/>
      <c r="N287" s="234"/>
      <c r="O287" s="234"/>
      <c r="P287" s="234"/>
      <c r="Q287" s="234"/>
      <c r="R287" s="235"/>
    </row>
    <row r="288" spans="1:18" ht="24" customHeight="1" x14ac:dyDescent="0.3">
      <c r="A288" s="69" t="s">
        <v>10</v>
      </c>
      <c r="B288" s="69" t="s">
        <v>11</v>
      </c>
      <c r="C288" s="70" t="s">
        <v>12</v>
      </c>
      <c r="D288" s="69" t="s">
        <v>13</v>
      </c>
      <c r="E288" s="69" t="s">
        <v>14</v>
      </c>
      <c r="F288" s="71" t="s">
        <v>15</v>
      </c>
      <c r="G288" s="72" t="s">
        <v>16</v>
      </c>
      <c r="H288" s="69" t="s">
        <v>17</v>
      </c>
      <c r="I288" s="73" t="s">
        <v>18</v>
      </c>
      <c r="J288" s="74" t="s">
        <v>19</v>
      </c>
      <c r="K288" s="75" t="s">
        <v>20</v>
      </c>
      <c r="L288" s="74" t="s">
        <v>21</v>
      </c>
      <c r="M288" s="74" t="s">
        <v>22</v>
      </c>
      <c r="N288" s="74" t="s">
        <v>23</v>
      </c>
      <c r="O288" s="69" t="s">
        <v>24</v>
      </c>
      <c r="P288" s="70" t="s">
        <v>25</v>
      </c>
      <c r="Q288" s="74" t="s">
        <v>26</v>
      </c>
      <c r="R288" s="69" t="s">
        <v>27</v>
      </c>
    </row>
    <row r="289" spans="1:18" ht="49.95" customHeight="1" thickTop="1" thickBot="1" x14ac:dyDescent="0.35">
      <c r="A289" s="185" t="s">
        <v>28</v>
      </c>
      <c r="B289" s="185" t="s">
        <v>387</v>
      </c>
      <c r="C289" s="186">
        <v>0.70833333333333337</v>
      </c>
      <c r="D289" s="185" t="s">
        <v>30</v>
      </c>
      <c r="E289" s="187"/>
      <c r="F289" s="185" t="s">
        <v>31</v>
      </c>
      <c r="G289" s="240"/>
      <c r="H289" s="115" t="s">
        <v>387</v>
      </c>
      <c r="I289" s="220">
        <v>2.98E-2</v>
      </c>
      <c r="J289" s="117">
        <v>5</v>
      </c>
      <c r="K289" s="118" t="s">
        <v>106</v>
      </c>
      <c r="L289" s="117">
        <v>5</v>
      </c>
      <c r="M289" s="117">
        <v>0</v>
      </c>
      <c r="N289" s="117">
        <v>0</v>
      </c>
      <c r="O289" s="119" t="s">
        <v>33</v>
      </c>
      <c r="P289" s="120">
        <v>0.70833333333333337</v>
      </c>
      <c r="Q289" s="117">
        <v>168</v>
      </c>
      <c r="R289" s="121" t="s">
        <v>186</v>
      </c>
    </row>
    <row r="290" spans="1:18" ht="17.399999999999999" customHeight="1" thickBot="1" x14ac:dyDescent="0.35">
      <c r="A290" s="265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7"/>
    </row>
    <row r="291" spans="1:18" ht="22.05" customHeight="1" thickTop="1" thickBot="1" x14ac:dyDescent="0.35">
      <c r="A291" s="236" t="s">
        <v>8</v>
      </c>
      <c r="B291" s="234"/>
      <c r="C291" s="234"/>
      <c r="D291" s="234"/>
      <c r="E291" s="234"/>
      <c r="F291" s="235"/>
      <c r="G291" s="68">
        <v>46078</v>
      </c>
      <c r="H291" s="233" t="s">
        <v>9</v>
      </c>
      <c r="I291" s="234"/>
      <c r="J291" s="234"/>
      <c r="K291" s="234"/>
      <c r="L291" s="234"/>
      <c r="M291" s="234"/>
      <c r="N291" s="234"/>
      <c r="O291" s="234"/>
      <c r="P291" s="234"/>
      <c r="Q291" s="234"/>
      <c r="R291" s="235"/>
    </row>
    <row r="292" spans="1:18" ht="24" customHeight="1" x14ac:dyDescent="0.3">
      <c r="A292" s="69" t="s">
        <v>10</v>
      </c>
      <c r="B292" s="69" t="s">
        <v>11</v>
      </c>
      <c r="C292" s="70" t="s">
        <v>12</v>
      </c>
      <c r="D292" s="69" t="s">
        <v>13</v>
      </c>
      <c r="E292" s="69" t="s">
        <v>14</v>
      </c>
      <c r="F292" s="71" t="s">
        <v>15</v>
      </c>
      <c r="G292" s="72" t="s">
        <v>16</v>
      </c>
      <c r="H292" s="69" t="s">
        <v>17</v>
      </c>
      <c r="I292" s="73" t="s">
        <v>18</v>
      </c>
      <c r="J292" s="74" t="s">
        <v>19</v>
      </c>
      <c r="K292" s="75" t="s">
        <v>20</v>
      </c>
      <c r="L292" s="74" t="s">
        <v>21</v>
      </c>
      <c r="M292" s="74" t="s">
        <v>22</v>
      </c>
      <c r="N292" s="74" t="s">
        <v>23</v>
      </c>
      <c r="O292" s="69" t="s">
        <v>24</v>
      </c>
      <c r="P292" s="70" t="s">
        <v>25</v>
      </c>
      <c r="Q292" s="74" t="s">
        <v>26</v>
      </c>
      <c r="R292" s="69" t="s">
        <v>27</v>
      </c>
    </row>
    <row r="293" spans="1:18" ht="49.95" customHeight="1" x14ac:dyDescent="0.3">
      <c r="A293" s="100" t="s">
        <v>28</v>
      </c>
      <c r="B293" s="100" t="s">
        <v>387</v>
      </c>
      <c r="C293" s="101">
        <v>0.33333333333333331</v>
      </c>
      <c r="D293" s="100" t="s">
        <v>30</v>
      </c>
      <c r="E293" s="102"/>
      <c r="F293" s="100" t="s">
        <v>108</v>
      </c>
      <c r="G293" s="240"/>
      <c r="H293" s="103" t="s">
        <v>387</v>
      </c>
      <c r="I293" s="159">
        <v>0</v>
      </c>
      <c r="J293" s="105">
        <v>0</v>
      </c>
      <c r="K293" s="106" t="s">
        <v>109</v>
      </c>
      <c r="L293" s="105">
        <v>0</v>
      </c>
      <c r="M293" s="105">
        <v>0</v>
      </c>
      <c r="N293" s="105">
        <v>0</v>
      </c>
      <c r="O293" s="107" t="s">
        <v>80</v>
      </c>
      <c r="P293" s="108">
        <v>0.33333333333333331</v>
      </c>
      <c r="Q293" s="105">
        <v>168</v>
      </c>
      <c r="R293" s="109" t="s">
        <v>109</v>
      </c>
    </row>
    <row r="294" spans="1:18" ht="49.95" customHeight="1" x14ac:dyDescent="0.3">
      <c r="A294" s="38" t="s">
        <v>28</v>
      </c>
      <c r="B294" s="38" t="s">
        <v>399</v>
      </c>
      <c r="C294" s="39">
        <v>0.40972222222222232</v>
      </c>
      <c r="D294" s="38" t="s">
        <v>30</v>
      </c>
      <c r="E294" s="40"/>
      <c r="F294" s="38" t="s">
        <v>108</v>
      </c>
      <c r="G294" s="241"/>
      <c r="H294" s="41" t="s">
        <v>399</v>
      </c>
      <c r="I294" s="42">
        <v>0</v>
      </c>
      <c r="J294" s="43">
        <v>0</v>
      </c>
      <c r="K294" s="44" t="s">
        <v>109</v>
      </c>
      <c r="L294" s="43">
        <v>0</v>
      </c>
      <c r="M294" s="43">
        <v>0</v>
      </c>
      <c r="N294" s="43">
        <v>0</v>
      </c>
      <c r="O294" s="45" t="s">
        <v>80</v>
      </c>
      <c r="P294" s="46">
        <v>0.40972222222222232</v>
      </c>
      <c r="Q294" s="43">
        <v>168</v>
      </c>
      <c r="R294" s="47" t="s">
        <v>109</v>
      </c>
    </row>
    <row r="295" spans="1:18" ht="49.95" customHeight="1" thickBot="1" x14ac:dyDescent="0.35">
      <c r="A295" s="189" t="s">
        <v>28</v>
      </c>
      <c r="B295" s="189" t="s">
        <v>390</v>
      </c>
      <c r="C295" s="190">
        <v>0.71875</v>
      </c>
      <c r="D295" s="189" t="s">
        <v>30</v>
      </c>
      <c r="E295" s="191"/>
      <c r="F295" s="189" t="s">
        <v>31</v>
      </c>
      <c r="G295" s="242"/>
      <c r="H295" s="192" t="s">
        <v>390</v>
      </c>
      <c r="I295" s="222">
        <v>6.0000000000000001E-3</v>
      </c>
      <c r="J295" s="194">
        <v>1</v>
      </c>
      <c r="K295" s="195" t="s">
        <v>177</v>
      </c>
      <c r="L295" s="194">
        <v>2</v>
      </c>
      <c r="M295" s="194">
        <v>0</v>
      </c>
      <c r="N295" s="194">
        <v>0</v>
      </c>
      <c r="O295" s="196" t="s">
        <v>80</v>
      </c>
      <c r="P295" s="197">
        <v>0.71875</v>
      </c>
      <c r="Q295" s="194">
        <v>168</v>
      </c>
      <c r="R295" s="198" t="s">
        <v>114</v>
      </c>
    </row>
    <row r="296" spans="1:18" ht="17.399999999999999" customHeight="1" thickBot="1" x14ac:dyDescent="0.35">
      <c r="A296" s="265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7"/>
    </row>
    <row r="297" spans="1:18" ht="22.05" customHeight="1" thickTop="1" thickBot="1" x14ac:dyDescent="0.35">
      <c r="A297" s="236" t="s">
        <v>8</v>
      </c>
      <c r="B297" s="234"/>
      <c r="C297" s="234"/>
      <c r="D297" s="234"/>
      <c r="E297" s="234"/>
      <c r="F297" s="235"/>
      <c r="G297" s="68">
        <v>46079</v>
      </c>
      <c r="H297" s="233" t="s">
        <v>9</v>
      </c>
      <c r="I297" s="234"/>
      <c r="J297" s="234"/>
      <c r="K297" s="234"/>
      <c r="L297" s="234"/>
      <c r="M297" s="234"/>
      <c r="N297" s="234"/>
      <c r="O297" s="234"/>
      <c r="P297" s="234"/>
      <c r="Q297" s="234"/>
      <c r="R297" s="235"/>
    </row>
    <row r="298" spans="1:18" ht="24" customHeight="1" x14ac:dyDescent="0.3">
      <c r="A298" s="69" t="s">
        <v>10</v>
      </c>
      <c r="B298" s="69" t="s">
        <v>11</v>
      </c>
      <c r="C298" s="70" t="s">
        <v>12</v>
      </c>
      <c r="D298" s="69" t="s">
        <v>13</v>
      </c>
      <c r="E298" s="69" t="s">
        <v>14</v>
      </c>
      <c r="F298" s="71" t="s">
        <v>15</v>
      </c>
      <c r="G298" s="72" t="s">
        <v>16</v>
      </c>
      <c r="H298" s="69" t="s">
        <v>17</v>
      </c>
      <c r="I298" s="73" t="s">
        <v>18</v>
      </c>
      <c r="J298" s="74" t="s">
        <v>19</v>
      </c>
      <c r="K298" s="75" t="s">
        <v>20</v>
      </c>
      <c r="L298" s="74" t="s">
        <v>21</v>
      </c>
      <c r="M298" s="74" t="s">
        <v>22</v>
      </c>
      <c r="N298" s="74" t="s">
        <v>23</v>
      </c>
      <c r="O298" s="69" t="s">
        <v>24</v>
      </c>
      <c r="P298" s="70" t="s">
        <v>25</v>
      </c>
      <c r="Q298" s="74" t="s">
        <v>26</v>
      </c>
      <c r="R298" s="69" t="s">
        <v>27</v>
      </c>
    </row>
    <row r="299" spans="1:18" ht="49.95" customHeight="1" thickTop="1" thickBot="1" x14ac:dyDescent="0.35">
      <c r="A299" s="136" t="s">
        <v>28</v>
      </c>
      <c r="B299" s="136" t="s">
        <v>387</v>
      </c>
      <c r="C299" s="137">
        <v>0.27430555555555552</v>
      </c>
      <c r="D299" s="136" t="s">
        <v>30</v>
      </c>
      <c r="E299" s="138"/>
      <c r="F299" s="136" t="s">
        <v>31</v>
      </c>
      <c r="G299" s="240"/>
      <c r="H299" s="164" t="s">
        <v>387</v>
      </c>
      <c r="I299" s="224">
        <v>6.5500000000000003E-2</v>
      </c>
      <c r="J299" s="166">
        <v>11</v>
      </c>
      <c r="K299" s="167" t="s">
        <v>220</v>
      </c>
      <c r="L299" s="166">
        <v>11</v>
      </c>
      <c r="M299" s="166">
        <v>0</v>
      </c>
      <c r="N299" s="166">
        <v>0</v>
      </c>
      <c r="O299" s="168" t="s">
        <v>114</v>
      </c>
      <c r="P299" s="169">
        <v>0.27430555555555552</v>
      </c>
      <c r="Q299" s="166">
        <v>168</v>
      </c>
      <c r="R299" s="170" t="s">
        <v>445</v>
      </c>
    </row>
    <row r="300" spans="1:18" ht="17.399999999999999" customHeight="1" thickBot="1" x14ac:dyDescent="0.35">
      <c r="A300" s="265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7"/>
    </row>
    <row r="301" spans="1:18" ht="22.05" customHeight="1" thickTop="1" thickBot="1" x14ac:dyDescent="0.35">
      <c r="A301" s="236" t="s">
        <v>8</v>
      </c>
      <c r="B301" s="234"/>
      <c r="C301" s="234"/>
      <c r="D301" s="234"/>
      <c r="E301" s="234"/>
      <c r="F301" s="235"/>
      <c r="G301" s="68">
        <v>46080</v>
      </c>
      <c r="H301" s="233" t="s">
        <v>9</v>
      </c>
      <c r="I301" s="234"/>
      <c r="J301" s="234"/>
      <c r="K301" s="234"/>
      <c r="L301" s="234"/>
      <c r="M301" s="234"/>
      <c r="N301" s="234"/>
      <c r="O301" s="234"/>
      <c r="P301" s="234"/>
      <c r="Q301" s="234"/>
      <c r="R301" s="235"/>
    </row>
    <row r="302" spans="1:18" ht="24" customHeight="1" x14ac:dyDescent="0.3">
      <c r="A302" s="69" t="s">
        <v>10</v>
      </c>
      <c r="B302" s="69" t="s">
        <v>11</v>
      </c>
      <c r="C302" s="70" t="s">
        <v>12</v>
      </c>
      <c r="D302" s="69" t="s">
        <v>13</v>
      </c>
      <c r="E302" s="69" t="s">
        <v>14</v>
      </c>
      <c r="F302" s="71" t="s">
        <v>15</v>
      </c>
      <c r="G302" s="72" t="s">
        <v>16</v>
      </c>
      <c r="H302" s="69" t="s">
        <v>17</v>
      </c>
      <c r="I302" s="73" t="s">
        <v>18</v>
      </c>
      <c r="J302" s="74" t="s">
        <v>19</v>
      </c>
      <c r="K302" s="75" t="s">
        <v>20</v>
      </c>
      <c r="L302" s="74" t="s">
        <v>21</v>
      </c>
      <c r="M302" s="74" t="s">
        <v>22</v>
      </c>
      <c r="N302" s="74" t="s">
        <v>23</v>
      </c>
      <c r="O302" s="69" t="s">
        <v>24</v>
      </c>
      <c r="P302" s="70" t="s">
        <v>25</v>
      </c>
      <c r="Q302" s="74" t="s">
        <v>26</v>
      </c>
      <c r="R302" s="69" t="s">
        <v>27</v>
      </c>
    </row>
    <row r="303" spans="1:18" ht="49.95" customHeight="1" thickTop="1" thickBot="1" x14ac:dyDescent="0.5">
      <c r="A303" s="100" t="s">
        <v>28</v>
      </c>
      <c r="B303" s="100" t="s">
        <v>387</v>
      </c>
      <c r="C303" s="101">
        <v>0.41666666666666669</v>
      </c>
      <c r="D303" s="100" t="s">
        <v>30</v>
      </c>
      <c r="E303" s="102"/>
      <c r="F303" s="100" t="s">
        <v>31</v>
      </c>
      <c r="G303" s="243"/>
      <c r="H303" s="174" t="s">
        <v>387</v>
      </c>
      <c r="I303" s="175">
        <v>1.1900000000000001E-2</v>
      </c>
      <c r="J303" s="176">
        <v>2</v>
      </c>
      <c r="K303" s="177" t="s">
        <v>183</v>
      </c>
      <c r="L303" s="176">
        <v>2</v>
      </c>
      <c r="M303" s="176">
        <v>0</v>
      </c>
      <c r="N303" s="176">
        <v>0</v>
      </c>
      <c r="O303" s="178" t="s">
        <v>92</v>
      </c>
      <c r="P303" s="179">
        <v>0.41666666666666669</v>
      </c>
      <c r="Q303" s="176">
        <v>168</v>
      </c>
      <c r="R303" s="180" t="s">
        <v>89</v>
      </c>
    </row>
    <row r="304" spans="1:18" ht="17.399999999999999" customHeight="1" thickBot="1" x14ac:dyDescent="0.35">
      <c r="A304" s="265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7"/>
    </row>
    <row r="305" spans="1:18" ht="22.05" customHeight="1" thickTop="1" thickBot="1" x14ac:dyDescent="0.35">
      <c r="A305" s="236" t="s">
        <v>8</v>
      </c>
      <c r="B305" s="234"/>
      <c r="C305" s="234"/>
      <c r="D305" s="234"/>
      <c r="E305" s="234"/>
      <c r="F305" s="235"/>
      <c r="G305" s="68">
        <v>46081</v>
      </c>
      <c r="H305" s="233" t="s">
        <v>9</v>
      </c>
      <c r="I305" s="234"/>
      <c r="J305" s="234"/>
      <c r="K305" s="234"/>
      <c r="L305" s="234"/>
      <c r="M305" s="234"/>
      <c r="N305" s="234"/>
      <c r="O305" s="234"/>
      <c r="P305" s="234"/>
      <c r="Q305" s="234"/>
      <c r="R305" s="235"/>
    </row>
    <row r="306" spans="1:18" ht="24" customHeight="1" x14ac:dyDescent="0.3">
      <c r="A306" s="69" t="s">
        <v>10</v>
      </c>
      <c r="B306" s="69" t="s">
        <v>11</v>
      </c>
      <c r="C306" s="70" t="s">
        <v>12</v>
      </c>
      <c r="D306" s="69" t="s">
        <v>13</v>
      </c>
      <c r="E306" s="69" t="s">
        <v>14</v>
      </c>
      <c r="F306" s="71" t="s">
        <v>15</v>
      </c>
      <c r="G306" s="72" t="s">
        <v>16</v>
      </c>
      <c r="H306" s="69" t="s">
        <v>17</v>
      </c>
      <c r="I306" s="73" t="s">
        <v>18</v>
      </c>
      <c r="J306" s="74" t="s">
        <v>19</v>
      </c>
      <c r="K306" s="75" t="s">
        <v>20</v>
      </c>
      <c r="L306" s="74" t="s">
        <v>21</v>
      </c>
      <c r="M306" s="74" t="s">
        <v>22</v>
      </c>
      <c r="N306" s="74" t="s">
        <v>23</v>
      </c>
      <c r="O306" s="69" t="s">
        <v>24</v>
      </c>
      <c r="P306" s="70" t="s">
        <v>25</v>
      </c>
      <c r="Q306" s="74" t="s">
        <v>26</v>
      </c>
      <c r="R306" s="69" t="s">
        <v>27</v>
      </c>
    </row>
    <row r="307" spans="1:18" ht="49.95" customHeight="1" x14ac:dyDescent="0.3">
      <c r="A307" s="122" t="s">
        <v>28</v>
      </c>
      <c r="B307" s="122" t="s">
        <v>390</v>
      </c>
      <c r="C307" s="123">
        <v>0.45833333333333331</v>
      </c>
      <c r="D307" s="122" t="s">
        <v>30</v>
      </c>
      <c r="E307" s="124"/>
      <c r="F307" s="122" t="s">
        <v>31</v>
      </c>
      <c r="G307" s="243"/>
      <c r="H307" s="41" t="s">
        <v>390</v>
      </c>
      <c r="I307" s="42">
        <v>2.3800000000000002E-2</v>
      </c>
      <c r="J307" s="43">
        <v>4</v>
      </c>
      <c r="K307" s="44" t="s">
        <v>129</v>
      </c>
      <c r="L307" s="43">
        <v>4</v>
      </c>
      <c r="M307" s="43">
        <v>0</v>
      </c>
      <c r="N307" s="43">
        <v>0</v>
      </c>
      <c r="O307" s="45" t="s">
        <v>87</v>
      </c>
      <c r="P307" s="46">
        <v>0.45833333333333331</v>
      </c>
      <c r="Q307" s="43">
        <v>168</v>
      </c>
      <c r="R307" s="47" t="s">
        <v>133</v>
      </c>
    </row>
    <row r="308" spans="1:18" ht="49.95" customHeight="1" thickBot="1" x14ac:dyDescent="0.35">
      <c r="A308" s="112" t="s">
        <v>28</v>
      </c>
      <c r="B308" s="112" t="s">
        <v>387</v>
      </c>
      <c r="C308" s="113">
        <v>0.79166666666666663</v>
      </c>
      <c r="D308" s="112" t="s">
        <v>30</v>
      </c>
      <c r="E308" s="114"/>
      <c r="F308" s="112" t="s">
        <v>31</v>
      </c>
      <c r="G308" s="242"/>
      <c r="H308" s="115" t="s">
        <v>387</v>
      </c>
      <c r="I308" s="220">
        <v>2.3800000000000002E-2</v>
      </c>
      <c r="J308" s="117">
        <v>4</v>
      </c>
      <c r="K308" s="118" t="s">
        <v>260</v>
      </c>
      <c r="L308" s="117">
        <v>4</v>
      </c>
      <c r="M308" s="117">
        <v>0</v>
      </c>
      <c r="N308" s="117">
        <v>0</v>
      </c>
      <c r="O308" s="119" t="s">
        <v>87</v>
      </c>
      <c r="P308" s="120">
        <v>0.79166666666666663</v>
      </c>
      <c r="Q308" s="117">
        <v>168</v>
      </c>
      <c r="R308" s="121" t="s">
        <v>133</v>
      </c>
    </row>
    <row r="309" spans="1:18" ht="17.399999999999999" customHeight="1" thickBot="1" x14ac:dyDescent="0.35">
      <c r="A309" s="265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7"/>
    </row>
    <row r="310" spans="1:18" ht="22.05" customHeight="1" thickTop="1" thickBot="1" x14ac:dyDescent="0.35">
      <c r="A310" s="236" t="s">
        <v>8</v>
      </c>
      <c r="B310" s="234"/>
      <c r="C310" s="234"/>
      <c r="D310" s="234"/>
      <c r="E310" s="234"/>
      <c r="F310" s="235"/>
      <c r="G310" s="68">
        <v>46082</v>
      </c>
      <c r="H310" s="233" t="s">
        <v>9</v>
      </c>
      <c r="I310" s="234"/>
      <c r="J310" s="234"/>
      <c r="K310" s="234"/>
      <c r="L310" s="234"/>
      <c r="M310" s="234"/>
      <c r="N310" s="234"/>
      <c r="O310" s="234"/>
      <c r="P310" s="234"/>
      <c r="Q310" s="234"/>
      <c r="R310" s="235"/>
    </row>
    <row r="311" spans="1:18" ht="24" customHeight="1" x14ac:dyDescent="0.3">
      <c r="A311" s="69" t="s">
        <v>10</v>
      </c>
      <c r="B311" s="69" t="s">
        <v>11</v>
      </c>
      <c r="C311" s="70" t="s">
        <v>12</v>
      </c>
      <c r="D311" s="69" t="s">
        <v>13</v>
      </c>
      <c r="E311" s="69" t="s">
        <v>14</v>
      </c>
      <c r="F311" s="71" t="s">
        <v>15</v>
      </c>
      <c r="G311" s="72" t="s">
        <v>16</v>
      </c>
      <c r="H311" s="69" t="s">
        <v>17</v>
      </c>
      <c r="I311" s="73" t="s">
        <v>18</v>
      </c>
      <c r="J311" s="74" t="s">
        <v>19</v>
      </c>
      <c r="K311" s="75" t="s">
        <v>20</v>
      </c>
      <c r="L311" s="74" t="s">
        <v>21</v>
      </c>
      <c r="M311" s="74" t="s">
        <v>22</v>
      </c>
      <c r="N311" s="74" t="s">
        <v>23</v>
      </c>
      <c r="O311" s="69" t="s">
        <v>24</v>
      </c>
      <c r="P311" s="70" t="s">
        <v>25</v>
      </c>
      <c r="Q311" s="74" t="s">
        <v>26</v>
      </c>
      <c r="R311" s="69" t="s">
        <v>27</v>
      </c>
    </row>
    <row r="312" spans="1:18" ht="49.95" customHeight="1" x14ac:dyDescent="0.3">
      <c r="A312" s="154" t="s">
        <v>28</v>
      </c>
      <c r="B312" s="154" t="s">
        <v>390</v>
      </c>
      <c r="C312" s="155">
        <v>0.48958333333333331</v>
      </c>
      <c r="D312" s="154" t="s">
        <v>30</v>
      </c>
      <c r="E312" s="156"/>
      <c r="F312" s="154" t="s">
        <v>31</v>
      </c>
      <c r="G312" s="243"/>
      <c r="H312" s="31" t="s">
        <v>390</v>
      </c>
      <c r="I312" s="32">
        <v>2.3800000000000002E-2</v>
      </c>
      <c r="J312" s="33">
        <v>4</v>
      </c>
      <c r="K312" s="34" t="s">
        <v>97</v>
      </c>
      <c r="L312" s="33">
        <v>4</v>
      </c>
      <c r="M312" s="33">
        <v>0</v>
      </c>
      <c r="N312" s="33">
        <v>0</v>
      </c>
      <c r="O312" s="35" t="s">
        <v>87</v>
      </c>
      <c r="P312" s="36">
        <v>0.48958333333333331</v>
      </c>
      <c r="Q312" s="33">
        <v>168</v>
      </c>
      <c r="R312" s="37" t="s">
        <v>133</v>
      </c>
    </row>
    <row r="313" spans="1:18" ht="49.95" customHeight="1" x14ac:dyDescent="0.3">
      <c r="A313" s="112" t="s">
        <v>28</v>
      </c>
      <c r="B313" s="112" t="s">
        <v>387</v>
      </c>
      <c r="C313" s="113">
        <v>0.6875</v>
      </c>
      <c r="D313" s="112" t="s">
        <v>30</v>
      </c>
      <c r="E313" s="114"/>
      <c r="F313" s="112" t="s">
        <v>31</v>
      </c>
      <c r="G313" s="242"/>
      <c r="H313" s="115" t="s">
        <v>387</v>
      </c>
      <c r="I313" s="220">
        <v>4.1700000000000001E-2</v>
      </c>
      <c r="J313" s="117">
        <v>7</v>
      </c>
      <c r="K313" s="118" t="s">
        <v>97</v>
      </c>
      <c r="L313" s="117">
        <v>7</v>
      </c>
      <c r="M313" s="117">
        <v>0</v>
      </c>
      <c r="N313" s="117">
        <v>0</v>
      </c>
      <c r="O313" s="119" t="s">
        <v>127</v>
      </c>
      <c r="P313" s="120">
        <v>0.6875</v>
      </c>
      <c r="Q313" s="117">
        <v>168</v>
      </c>
      <c r="R313" s="121" t="s">
        <v>95</v>
      </c>
    </row>
  </sheetData>
  <mergeCells count="270">
    <mergeCell ref="H305:R305"/>
    <mergeCell ref="H99:R99"/>
    <mergeCell ref="H277:R277"/>
    <mergeCell ref="G119:G120"/>
    <mergeCell ref="A40:R40"/>
    <mergeCell ref="H27:R27"/>
    <mergeCell ref="H140:R140"/>
    <mergeCell ref="A257:R257"/>
    <mergeCell ref="G109:G110"/>
    <mergeCell ref="A73:R73"/>
    <mergeCell ref="G167"/>
    <mergeCell ref="A132:F132"/>
    <mergeCell ref="G241:G242"/>
    <mergeCell ref="H33:R33"/>
    <mergeCell ref="G266"/>
    <mergeCell ref="G62:G64"/>
    <mergeCell ref="G303"/>
    <mergeCell ref="H46:R46"/>
    <mergeCell ref="H282:R282"/>
    <mergeCell ref="H51:R51"/>
    <mergeCell ref="A4:F4"/>
    <mergeCell ref="A263:R263"/>
    <mergeCell ref="H178:R178"/>
    <mergeCell ref="A144:R144"/>
    <mergeCell ref="H291:R291"/>
    <mergeCell ref="G20:G21"/>
    <mergeCell ref="H297:R297"/>
    <mergeCell ref="A224:R224"/>
    <mergeCell ref="H70:R70"/>
    <mergeCell ref="G213:G214"/>
    <mergeCell ref="G39"/>
    <mergeCell ref="A121:R121"/>
    <mergeCell ref="A155:F155"/>
    <mergeCell ref="A211:F211"/>
    <mergeCell ref="G233"/>
    <mergeCell ref="G218:G219"/>
    <mergeCell ref="H4:R4"/>
    <mergeCell ref="A238:R238"/>
    <mergeCell ref="H122:R122"/>
    <mergeCell ref="A50:R50"/>
    <mergeCell ref="G270"/>
    <mergeCell ref="A235:F235"/>
    <mergeCell ref="A3:R3"/>
    <mergeCell ref="A297:F297"/>
    <mergeCell ref="A55:R55"/>
    <mergeCell ref="G147:G148"/>
    <mergeCell ref="A23:F23"/>
    <mergeCell ref="A290:R290"/>
    <mergeCell ref="N1:R1"/>
    <mergeCell ref="H132:R132"/>
    <mergeCell ref="H310:R310"/>
    <mergeCell ref="G194:G196"/>
    <mergeCell ref="G152:G153"/>
    <mergeCell ref="A93:F93"/>
    <mergeCell ref="G299"/>
    <mergeCell ref="A117:F117"/>
    <mergeCell ref="A173:F173"/>
    <mergeCell ref="K2:R2"/>
    <mergeCell ref="H287:R287"/>
    <mergeCell ref="H84:R84"/>
    <mergeCell ref="G81:G82"/>
    <mergeCell ref="H66:R66"/>
    <mergeCell ref="H155:R155"/>
    <mergeCell ref="A220:R220"/>
    <mergeCell ref="A310:F310"/>
    <mergeCell ref="A201:R201"/>
    <mergeCell ref="H198:R198"/>
    <mergeCell ref="G171"/>
    <mergeCell ref="A103:F103"/>
    <mergeCell ref="G307:G308"/>
    <mergeCell ref="A287:F287"/>
    <mergeCell ref="G2:J2"/>
    <mergeCell ref="G15:G16"/>
    <mergeCell ref="H188:R188"/>
    <mergeCell ref="A244:F244"/>
    <mergeCell ref="G142:G143"/>
    <mergeCell ref="A106:R106"/>
    <mergeCell ref="A140:F140"/>
    <mergeCell ref="A231:F231"/>
    <mergeCell ref="A165:F165"/>
    <mergeCell ref="A234:R234"/>
    <mergeCell ref="G204"/>
    <mergeCell ref="A197:R197"/>
    <mergeCell ref="G128:G130"/>
    <mergeCell ref="G208:G209"/>
    <mergeCell ref="H150:R150"/>
    <mergeCell ref="A187:R187"/>
    <mergeCell ref="A69:R69"/>
    <mergeCell ref="G43:G44"/>
    <mergeCell ref="G35"/>
    <mergeCell ref="A37:F37"/>
    <mergeCell ref="A89:F89"/>
    <mergeCell ref="G138"/>
    <mergeCell ref="H112:R112"/>
    <mergeCell ref="G91"/>
    <mergeCell ref="A282:F282"/>
    <mergeCell ref="G200"/>
    <mergeCell ref="G256"/>
    <mergeCell ref="A136:F136"/>
    <mergeCell ref="A74:F74"/>
    <mergeCell ref="A56:F56"/>
    <mergeCell ref="A145:F145"/>
    <mergeCell ref="A272:F272"/>
    <mergeCell ref="H202:R202"/>
    <mergeCell ref="G279:G280"/>
    <mergeCell ref="H211:R211"/>
    <mergeCell ref="A248:R248"/>
    <mergeCell ref="G180:G181"/>
    <mergeCell ref="H192:R192"/>
    <mergeCell ref="H74:R74"/>
    <mergeCell ref="G72"/>
    <mergeCell ref="H60:R60"/>
    <mergeCell ref="H173:R173"/>
    <mergeCell ref="H264:R264"/>
    <mergeCell ref="H254:R254"/>
    <mergeCell ref="G260:G262"/>
    <mergeCell ref="A264:F264"/>
    <mergeCell ref="A158:R158"/>
    <mergeCell ref="A192:F192"/>
    <mergeCell ref="H272:R272"/>
    <mergeCell ref="A281:R281"/>
    <mergeCell ref="H23:R23"/>
    <mergeCell ref="A78:R78"/>
    <mergeCell ref="H225:R225"/>
    <mergeCell ref="A271:R271"/>
    <mergeCell ref="A205:R205"/>
    <mergeCell ref="A46:F46"/>
    <mergeCell ref="A65:R65"/>
    <mergeCell ref="A268:F268"/>
    <mergeCell ref="G53:G54"/>
    <mergeCell ref="A32:R32"/>
    <mergeCell ref="G25"/>
    <mergeCell ref="A2:F2"/>
    <mergeCell ref="A26:R26"/>
    <mergeCell ref="A33:F33"/>
    <mergeCell ref="A139:R139"/>
    <mergeCell ref="H56:R56"/>
    <mergeCell ref="A154:R154"/>
    <mergeCell ref="A210:R210"/>
    <mergeCell ref="H117:R117"/>
    <mergeCell ref="G227:G229"/>
    <mergeCell ref="A188:F188"/>
    <mergeCell ref="A126:F126"/>
    <mergeCell ref="A116:R116"/>
    <mergeCell ref="A206:F206"/>
    <mergeCell ref="A122:F122"/>
    <mergeCell ref="A131:R131"/>
    <mergeCell ref="G114:G115"/>
    <mergeCell ref="A112:F112"/>
    <mergeCell ref="G161:G163"/>
    <mergeCell ref="A102:R102"/>
    <mergeCell ref="A111:R111"/>
    <mergeCell ref="H159:R159"/>
    <mergeCell ref="A83:R83"/>
    <mergeCell ref="A92:R92"/>
    <mergeCell ref="A216:F216"/>
    <mergeCell ref="A305:F305"/>
    <mergeCell ref="G185:G186"/>
    <mergeCell ref="H8:R8"/>
    <mergeCell ref="A99:F99"/>
    <mergeCell ref="A277:F277"/>
    <mergeCell ref="A221:F221"/>
    <mergeCell ref="G312:G313"/>
    <mergeCell ref="H244:R244"/>
    <mergeCell ref="A27:F27"/>
    <mergeCell ref="H165:R165"/>
    <mergeCell ref="A177:R177"/>
    <mergeCell ref="G29:G31"/>
    <mergeCell ref="A18:F18"/>
    <mergeCell ref="A164:R164"/>
    <mergeCell ref="H41:R41"/>
    <mergeCell ref="H93:R93"/>
    <mergeCell ref="G175:G176"/>
    <mergeCell ref="A254:F254"/>
    <mergeCell ref="A309:R309"/>
    <mergeCell ref="G237"/>
    <mergeCell ref="G293:G295"/>
    <mergeCell ref="G274:G275"/>
    <mergeCell ref="A276:R276"/>
    <mergeCell ref="G251:G252"/>
    <mergeCell ref="A291:F291"/>
    <mergeCell ref="A59:R59"/>
    <mergeCell ref="A60:F60"/>
    <mergeCell ref="H258:R258"/>
    <mergeCell ref="A182:R182"/>
    <mergeCell ref="A304:R304"/>
    <mergeCell ref="A70:F70"/>
    <mergeCell ref="A98:R98"/>
    <mergeCell ref="A191:R191"/>
    <mergeCell ref="G86:G87"/>
    <mergeCell ref="G124"/>
    <mergeCell ref="A296:R296"/>
    <mergeCell ref="H107:R107"/>
    <mergeCell ref="A88:R88"/>
    <mergeCell ref="H301:R301"/>
    <mergeCell ref="A169:F169"/>
    <mergeCell ref="H183:R183"/>
    <mergeCell ref="A225:F225"/>
    <mergeCell ref="H239:R239"/>
    <mergeCell ref="A178:F178"/>
    <mergeCell ref="G68"/>
    <mergeCell ref="A79:F79"/>
    <mergeCell ref="A300:R300"/>
    <mergeCell ref="H235:R235"/>
    <mergeCell ref="A301:F301"/>
    <mergeCell ref="G105"/>
    <mergeCell ref="A150:F150"/>
    <mergeCell ref="G223"/>
    <mergeCell ref="A159:F159"/>
    <mergeCell ref="A17:R17"/>
    <mergeCell ref="H89:R89"/>
    <mergeCell ref="H169:R169"/>
    <mergeCell ref="A22:R22"/>
    <mergeCell ref="A135:R135"/>
    <mergeCell ref="A253:R253"/>
    <mergeCell ref="H79:R79"/>
    <mergeCell ref="G76:G77"/>
    <mergeCell ref="A215:R215"/>
    <mergeCell ref="A125:R125"/>
    <mergeCell ref="G157"/>
    <mergeCell ref="A249:F249"/>
    <mergeCell ref="A230:R230"/>
    <mergeCell ref="G284:G285"/>
    <mergeCell ref="A202:F202"/>
    <mergeCell ref="A258:F258"/>
    <mergeCell ref="G289"/>
    <mergeCell ref="G101"/>
    <mergeCell ref="G190"/>
    <mergeCell ref="A243:R243"/>
    <mergeCell ref="G95:G97"/>
    <mergeCell ref="H1:L1"/>
    <mergeCell ref="A1:E1"/>
    <mergeCell ref="A198:F198"/>
    <mergeCell ref="H103:R103"/>
    <mergeCell ref="G134"/>
    <mergeCell ref="H221:R221"/>
    <mergeCell ref="A286:R286"/>
    <mergeCell ref="A267:R267"/>
    <mergeCell ref="A149:R149"/>
    <mergeCell ref="G10:G11"/>
    <mergeCell ref="A239:F239"/>
    <mergeCell ref="A13:F13"/>
    <mergeCell ref="H37:R37"/>
    <mergeCell ref="H268:R268"/>
    <mergeCell ref="G6"/>
    <mergeCell ref="H13:R13"/>
    <mergeCell ref="G246:G247"/>
    <mergeCell ref="A51:F51"/>
    <mergeCell ref="A107:F107"/>
    <mergeCell ref="H249:R249"/>
    <mergeCell ref="H18:R18"/>
    <mergeCell ref="A41:F41"/>
    <mergeCell ref="H126:R126"/>
    <mergeCell ref="A183:F183"/>
    <mergeCell ref="A7:R7"/>
    <mergeCell ref="A84:F84"/>
    <mergeCell ref="H206:R206"/>
    <mergeCell ref="A66:F66"/>
    <mergeCell ref="A172:R172"/>
    <mergeCell ref="G48:G49"/>
    <mergeCell ref="H231:R231"/>
    <mergeCell ref="A36:R36"/>
    <mergeCell ref="A45:R45"/>
    <mergeCell ref="H136:R136"/>
    <mergeCell ref="G58"/>
    <mergeCell ref="H145:R145"/>
    <mergeCell ref="A168:R168"/>
    <mergeCell ref="H216:R216"/>
    <mergeCell ref="A12:R12"/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5"/>
  <sheetViews>
    <sheetView workbookViewId="0"/>
  </sheetViews>
  <sheetFormatPr defaultRowHeight="15.6" outlineLevelCol="1" x14ac:dyDescent="0.3"/>
  <cols>
    <col min="1" max="1" width="11.5546875" style="252" bestFit="1" customWidth="1"/>
    <col min="2" max="2" width="10.109375" style="252" bestFit="1" customWidth="1"/>
    <col min="3" max="3" width="7" style="252" bestFit="1" customWidth="1"/>
    <col min="4" max="4" width="5.5546875" style="252" bestFit="1" customWidth="1"/>
    <col min="5" max="5" width="8.109375" style="252" bestFit="1" customWidth="1"/>
    <col min="6" max="6" width="4.21875" style="252" bestFit="1" customWidth="1"/>
    <col min="7" max="7" width="10" style="252" bestFit="1" customWidth="1"/>
    <col min="8" max="10" width="10.109375" style="252" bestFit="1" customWidth="1"/>
    <col min="11" max="11" width="10.5546875" style="252" bestFit="1" customWidth="1"/>
    <col min="12" max="12" width="18.109375" style="252" bestFit="1" customWidth="1"/>
    <col min="13" max="13" width="7.6640625" style="252" bestFit="1" customWidth="1" outlineLevel="1"/>
    <col min="14" max="14" width="6.33203125" style="252" bestFit="1" customWidth="1" outlineLevel="1"/>
    <col min="15" max="15" width="8" style="252" bestFit="1" customWidth="1" outlineLevel="1"/>
    <col min="16" max="16" width="13.6640625" style="252" bestFit="1" customWidth="1"/>
    <col min="17" max="27" width="3.88671875" style="252" bestFit="1" customWidth="1"/>
    <col min="28" max="29" width="4.21875" style="252" bestFit="1" customWidth="1"/>
    <col min="30" max="30" width="4.5546875" style="252" bestFit="1" customWidth="1"/>
    <col min="31" max="32" width="3.88671875" style="252" bestFit="1" customWidth="1"/>
    <col min="33" max="33" width="4.21875" style="252" bestFit="1" customWidth="1"/>
    <col min="34" max="34" width="3.88671875" style="252" bestFit="1" customWidth="1"/>
    <col min="35" max="35" width="5.21875" style="252" bestFit="1" customWidth="1"/>
    <col min="36" max="36" width="3.8867187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  <row r="2" spans="1:36" x14ac:dyDescent="0.3">
      <c r="A2" s="253" t="s">
        <v>300</v>
      </c>
      <c r="B2" s="254">
        <v>46017</v>
      </c>
      <c r="C2" s="255" t="s">
        <v>387</v>
      </c>
      <c r="D2" s="256" t="s">
        <v>446</v>
      </c>
      <c r="E2" s="255" t="s">
        <v>386</v>
      </c>
      <c r="F2" s="255" t="s">
        <v>302</v>
      </c>
      <c r="G2" s="257">
        <v>0.48809999999999998</v>
      </c>
      <c r="H2" s="258">
        <v>168</v>
      </c>
      <c r="I2" s="258">
        <v>82</v>
      </c>
      <c r="J2" s="258">
        <v>65</v>
      </c>
      <c r="K2" s="255" t="s">
        <v>303</v>
      </c>
      <c r="L2" s="259" t="s">
        <v>36</v>
      </c>
      <c r="M2" s="258">
        <v>5</v>
      </c>
      <c r="N2" s="258">
        <v>0</v>
      </c>
      <c r="O2" s="258">
        <v>10</v>
      </c>
      <c r="P2" s="255" t="s">
        <v>388</v>
      </c>
      <c r="Q2" s="251"/>
      <c r="R2" s="251"/>
      <c r="S2" s="251"/>
      <c r="T2" s="251"/>
      <c r="U2" s="251"/>
      <c r="V2" s="251"/>
      <c r="W2" s="251"/>
      <c r="X2" s="251"/>
      <c r="Y2" s="251"/>
      <c r="Z2" s="258" t="s">
        <v>208</v>
      </c>
      <c r="AA2" s="251"/>
      <c r="AB2" s="251"/>
      <c r="AC2" s="258" t="s">
        <v>388</v>
      </c>
      <c r="AD2" s="258" t="s">
        <v>132</v>
      </c>
      <c r="AE2" s="251"/>
      <c r="AF2" s="251"/>
      <c r="AG2" s="258" t="s">
        <v>447</v>
      </c>
      <c r="AH2" s="251"/>
      <c r="AI2" s="258" t="s">
        <v>448</v>
      </c>
      <c r="AJ2" s="251"/>
    </row>
    <row r="3" spans="1:36" x14ac:dyDescent="0.3">
      <c r="A3" s="253" t="s">
        <v>312</v>
      </c>
      <c r="B3" s="254">
        <v>46018</v>
      </c>
      <c r="C3" s="255" t="s">
        <v>390</v>
      </c>
      <c r="D3" s="256" t="s">
        <v>306</v>
      </c>
      <c r="E3" s="255" t="s">
        <v>386</v>
      </c>
      <c r="F3" s="255" t="s">
        <v>302</v>
      </c>
      <c r="G3" s="257">
        <v>0.82140000000000002</v>
      </c>
      <c r="H3" s="258">
        <v>168</v>
      </c>
      <c r="I3" s="258">
        <v>138</v>
      </c>
      <c r="J3" s="258">
        <v>135</v>
      </c>
      <c r="K3" s="255" t="s">
        <v>303</v>
      </c>
      <c r="L3" s="259" t="s">
        <v>391</v>
      </c>
      <c r="M3" s="258">
        <v>0</v>
      </c>
      <c r="N3" s="258">
        <v>0</v>
      </c>
      <c r="O3" s="258">
        <v>0</v>
      </c>
      <c r="P3" s="255" t="s">
        <v>95</v>
      </c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8" t="s">
        <v>127</v>
      </c>
      <c r="AE3" s="251"/>
      <c r="AF3" s="251"/>
      <c r="AG3" s="251"/>
      <c r="AH3" s="251"/>
      <c r="AI3" s="258" t="s">
        <v>123</v>
      </c>
      <c r="AJ3" s="251"/>
    </row>
    <row r="4" spans="1:36" x14ac:dyDescent="0.3">
      <c r="A4" s="253" t="s">
        <v>312</v>
      </c>
      <c r="B4" s="254">
        <v>46018</v>
      </c>
      <c r="C4" s="255" t="s">
        <v>387</v>
      </c>
      <c r="D4" s="256" t="s">
        <v>449</v>
      </c>
      <c r="E4" s="255" t="s">
        <v>386</v>
      </c>
      <c r="F4" s="255" t="s">
        <v>302</v>
      </c>
      <c r="G4" s="257">
        <v>0.54759999999999998</v>
      </c>
      <c r="H4" s="258">
        <v>168</v>
      </c>
      <c r="I4" s="258">
        <v>92</v>
      </c>
      <c r="J4" s="258">
        <v>90</v>
      </c>
      <c r="K4" s="255" t="s">
        <v>303</v>
      </c>
      <c r="L4" s="259" t="s">
        <v>36</v>
      </c>
      <c r="M4" s="258">
        <v>1</v>
      </c>
      <c r="N4" s="258">
        <v>0</v>
      </c>
      <c r="O4" s="258">
        <v>2</v>
      </c>
      <c r="P4" s="255" t="s">
        <v>92</v>
      </c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8" t="s">
        <v>89</v>
      </c>
      <c r="AE4" s="251"/>
      <c r="AF4" s="251"/>
      <c r="AG4" s="251"/>
      <c r="AH4" s="251"/>
      <c r="AI4" s="258" t="s">
        <v>311</v>
      </c>
      <c r="AJ4" s="251"/>
    </row>
    <row r="5" spans="1:36" x14ac:dyDescent="0.3">
      <c r="A5" s="253" t="s">
        <v>317</v>
      </c>
      <c r="B5" s="254">
        <v>46019</v>
      </c>
      <c r="C5" s="255" t="s">
        <v>390</v>
      </c>
      <c r="D5" s="256" t="s">
        <v>450</v>
      </c>
      <c r="E5" s="255" t="s">
        <v>386</v>
      </c>
      <c r="F5" s="255" t="s">
        <v>302</v>
      </c>
      <c r="G5" s="257">
        <v>0.55359999999999998</v>
      </c>
      <c r="H5" s="258">
        <v>168</v>
      </c>
      <c r="I5" s="258">
        <v>93</v>
      </c>
      <c r="J5" s="258">
        <v>90</v>
      </c>
      <c r="K5" s="255" t="s">
        <v>303</v>
      </c>
      <c r="L5" s="259" t="s">
        <v>62</v>
      </c>
      <c r="M5" s="258">
        <v>0</v>
      </c>
      <c r="N5" s="258">
        <v>0</v>
      </c>
      <c r="O5" s="258">
        <v>1</v>
      </c>
      <c r="P5" s="255" t="s">
        <v>95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8" t="s">
        <v>127</v>
      </c>
      <c r="AE5" s="251"/>
      <c r="AF5" s="251"/>
      <c r="AG5" s="251"/>
      <c r="AH5" s="251"/>
      <c r="AI5" s="258" t="s">
        <v>311</v>
      </c>
      <c r="AJ5" s="251"/>
    </row>
    <row r="6" spans="1:36" x14ac:dyDescent="0.3">
      <c r="A6" s="253" t="s">
        <v>317</v>
      </c>
      <c r="B6" s="254">
        <v>46019</v>
      </c>
      <c r="C6" s="255" t="s">
        <v>387</v>
      </c>
      <c r="D6" s="256" t="s">
        <v>451</v>
      </c>
      <c r="E6" s="255" t="s">
        <v>386</v>
      </c>
      <c r="F6" s="255" t="s">
        <v>302</v>
      </c>
      <c r="G6" s="257">
        <v>0.82140000000000002</v>
      </c>
      <c r="H6" s="258">
        <v>168</v>
      </c>
      <c r="I6" s="258">
        <v>138</v>
      </c>
      <c r="J6" s="258">
        <v>135</v>
      </c>
      <c r="K6" s="255" t="s">
        <v>303</v>
      </c>
      <c r="L6" s="259" t="s">
        <v>394</v>
      </c>
      <c r="M6" s="258">
        <v>0</v>
      </c>
      <c r="N6" s="258">
        <v>0</v>
      </c>
      <c r="O6" s="258">
        <v>0</v>
      </c>
      <c r="P6" s="255" t="s">
        <v>80</v>
      </c>
      <c r="Q6" s="251"/>
      <c r="R6" s="251"/>
      <c r="S6" s="251"/>
      <c r="T6" s="251"/>
      <c r="U6" s="251"/>
      <c r="V6" s="251"/>
      <c r="W6" s="251"/>
      <c r="X6" s="251"/>
      <c r="Y6" s="251"/>
      <c r="Z6" s="258" t="s">
        <v>152</v>
      </c>
      <c r="AA6" s="251"/>
      <c r="AB6" s="251"/>
      <c r="AC6" s="251"/>
      <c r="AD6" s="258" t="s">
        <v>114</v>
      </c>
      <c r="AE6" s="251"/>
      <c r="AF6" s="251"/>
      <c r="AG6" s="251"/>
      <c r="AH6" s="251"/>
      <c r="AI6" s="258" t="s">
        <v>123</v>
      </c>
      <c r="AJ6" s="251"/>
    </row>
    <row r="7" spans="1:36" x14ac:dyDescent="0.3">
      <c r="A7" s="253" t="s">
        <v>323</v>
      </c>
      <c r="B7" s="254">
        <v>46020</v>
      </c>
      <c r="C7" s="255" t="s">
        <v>390</v>
      </c>
      <c r="D7" s="256" t="s">
        <v>452</v>
      </c>
      <c r="E7" s="255" t="s">
        <v>386</v>
      </c>
      <c r="F7" s="255" t="s">
        <v>302</v>
      </c>
      <c r="G7" s="257">
        <v>0.90480000000000005</v>
      </c>
      <c r="H7" s="258">
        <v>168</v>
      </c>
      <c r="I7" s="258">
        <v>152</v>
      </c>
      <c r="J7" s="258">
        <v>135</v>
      </c>
      <c r="K7" s="255" t="s">
        <v>303</v>
      </c>
      <c r="L7" s="259" t="s">
        <v>36</v>
      </c>
      <c r="M7" s="258">
        <v>3</v>
      </c>
      <c r="N7" s="258">
        <v>0</v>
      </c>
      <c r="O7" s="258">
        <v>8</v>
      </c>
      <c r="P7" s="255" t="s">
        <v>78</v>
      </c>
      <c r="Q7" s="251"/>
      <c r="R7" s="251"/>
      <c r="S7" s="251"/>
      <c r="T7" s="251"/>
      <c r="U7" s="251"/>
      <c r="V7" s="251"/>
      <c r="W7" s="251"/>
      <c r="X7" s="251"/>
      <c r="Y7" s="251"/>
      <c r="Z7" s="258" t="s">
        <v>365</v>
      </c>
      <c r="AA7" s="251"/>
      <c r="AB7" s="251"/>
      <c r="AC7" s="251"/>
      <c r="AD7" s="251"/>
      <c r="AE7" s="258" t="s">
        <v>78</v>
      </c>
      <c r="AF7" s="258" t="s">
        <v>247</v>
      </c>
      <c r="AG7" s="251"/>
      <c r="AH7" s="251"/>
      <c r="AI7" s="258" t="s">
        <v>123</v>
      </c>
      <c r="AJ7" s="251"/>
    </row>
    <row r="8" spans="1:36" x14ac:dyDescent="0.3">
      <c r="A8" s="253" t="s">
        <v>323</v>
      </c>
      <c r="B8" s="254">
        <v>46020</v>
      </c>
      <c r="C8" s="255" t="s">
        <v>387</v>
      </c>
      <c r="D8" s="256" t="s">
        <v>453</v>
      </c>
      <c r="E8" s="255" t="s">
        <v>386</v>
      </c>
      <c r="F8" s="255" t="s">
        <v>302</v>
      </c>
      <c r="G8" s="257">
        <v>0.58930000000000005</v>
      </c>
      <c r="H8" s="258">
        <v>168</v>
      </c>
      <c r="I8" s="258">
        <v>99</v>
      </c>
      <c r="J8" s="258">
        <v>90</v>
      </c>
      <c r="K8" s="255" t="s">
        <v>303</v>
      </c>
      <c r="L8" s="259" t="s">
        <v>32</v>
      </c>
      <c r="M8" s="258">
        <v>0</v>
      </c>
      <c r="N8" s="258">
        <v>0</v>
      </c>
      <c r="O8" s="258">
        <v>1</v>
      </c>
      <c r="P8" s="255" t="s">
        <v>114</v>
      </c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8" t="s">
        <v>80</v>
      </c>
      <c r="AE8" s="251"/>
      <c r="AF8" s="251"/>
      <c r="AG8" s="251"/>
      <c r="AH8" s="251"/>
      <c r="AI8" s="258" t="s">
        <v>311</v>
      </c>
      <c r="AJ8" s="251"/>
    </row>
    <row r="9" spans="1:36" x14ac:dyDescent="0.3">
      <c r="A9" s="253" t="s">
        <v>331</v>
      </c>
      <c r="B9" s="254">
        <v>46021</v>
      </c>
      <c r="C9" s="255" t="s">
        <v>387</v>
      </c>
      <c r="D9" s="256" t="s">
        <v>454</v>
      </c>
      <c r="E9" s="255" t="s">
        <v>386</v>
      </c>
      <c r="F9" s="255" t="s">
        <v>302</v>
      </c>
      <c r="G9" s="257">
        <v>0.83930000000000005</v>
      </c>
      <c r="H9" s="258">
        <v>168</v>
      </c>
      <c r="I9" s="258">
        <v>141</v>
      </c>
      <c r="J9" s="258">
        <v>130</v>
      </c>
      <c r="K9" s="255" t="s">
        <v>303</v>
      </c>
      <c r="L9" s="259" t="s">
        <v>60</v>
      </c>
      <c r="M9" s="258">
        <v>0</v>
      </c>
      <c r="N9" s="258">
        <v>0</v>
      </c>
      <c r="O9" s="258">
        <v>1</v>
      </c>
      <c r="P9" s="255" t="s">
        <v>89</v>
      </c>
      <c r="Q9" s="251"/>
      <c r="R9" s="251"/>
      <c r="S9" s="251"/>
      <c r="T9" s="251"/>
      <c r="U9" s="251"/>
      <c r="V9" s="251"/>
      <c r="W9" s="251"/>
      <c r="X9" s="251"/>
      <c r="Y9" s="251"/>
      <c r="Z9" s="258" t="s">
        <v>198</v>
      </c>
      <c r="AA9" s="251"/>
      <c r="AB9" s="251"/>
      <c r="AC9" s="251"/>
      <c r="AD9" s="258" t="s">
        <v>92</v>
      </c>
      <c r="AE9" s="251"/>
      <c r="AF9" s="251"/>
      <c r="AG9" s="251"/>
      <c r="AH9" s="251"/>
      <c r="AI9" s="258" t="s">
        <v>356</v>
      </c>
      <c r="AJ9" s="251"/>
    </row>
    <row r="10" spans="1:36" x14ac:dyDescent="0.3">
      <c r="A10" s="253" t="s">
        <v>340</v>
      </c>
      <c r="B10" s="254">
        <v>46022</v>
      </c>
      <c r="C10" s="255" t="s">
        <v>399</v>
      </c>
      <c r="D10" s="256" t="s">
        <v>455</v>
      </c>
      <c r="E10" s="255" t="s">
        <v>386</v>
      </c>
      <c r="F10" s="255" t="s">
        <v>302</v>
      </c>
      <c r="G10" s="257">
        <v>0.80359999999999998</v>
      </c>
      <c r="H10" s="258">
        <v>168</v>
      </c>
      <c r="I10" s="258">
        <v>135</v>
      </c>
      <c r="J10" s="258">
        <v>135</v>
      </c>
      <c r="K10" s="255" t="s">
        <v>303</v>
      </c>
      <c r="L10" s="259" t="s">
        <v>394</v>
      </c>
      <c r="M10" s="258">
        <v>0</v>
      </c>
      <c r="N10" s="258">
        <v>0</v>
      </c>
      <c r="O10" s="258">
        <v>0</v>
      </c>
      <c r="P10" s="255" t="s">
        <v>102</v>
      </c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8" t="s">
        <v>123</v>
      </c>
      <c r="AJ10" s="251"/>
    </row>
    <row r="11" spans="1:36" x14ac:dyDescent="0.3">
      <c r="A11" s="253" t="s">
        <v>340</v>
      </c>
      <c r="B11" s="254">
        <v>46022</v>
      </c>
      <c r="C11" s="255" t="s">
        <v>387</v>
      </c>
      <c r="D11" s="256" t="s">
        <v>456</v>
      </c>
      <c r="E11" s="255" t="s">
        <v>386</v>
      </c>
      <c r="F11" s="255" t="s">
        <v>302</v>
      </c>
      <c r="G11" s="257">
        <v>0.83330000000000004</v>
      </c>
      <c r="H11" s="258">
        <v>168</v>
      </c>
      <c r="I11" s="258">
        <v>140</v>
      </c>
      <c r="J11" s="258">
        <v>135</v>
      </c>
      <c r="K11" s="255" t="s">
        <v>303</v>
      </c>
      <c r="L11" s="259" t="s">
        <v>60</v>
      </c>
      <c r="M11" s="258">
        <v>0</v>
      </c>
      <c r="N11" s="258">
        <v>0</v>
      </c>
      <c r="O11" s="258">
        <v>4</v>
      </c>
      <c r="P11" s="255" t="s">
        <v>186</v>
      </c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8" t="s">
        <v>186</v>
      </c>
      <c r="AE11" s="251"/>
      <c r="AF11" s="251"/>
      <c r="AG11" s="251"/>
      <c r="AH11" s="251"/>
      <c r="AI11" s="258" t="s">
        <v>123</v>
      </c>
      <c r="AJ11" s="251"/>
    </row>
    <row r="12" spans="1:36" x14ac:dyDescent="0.3">
      <c r="A12" s="253" t="s">
        <v>340</v>
      </c>
      <c r="B12" s="254">
        <v>46022</v>
      </c>
      <c r="C12" s="255" t="s">
        <v>390</v>
      </c>
      <c r="D12" s="256" t="s">
        <v>457</v>
      </c>
      <c r="E12" s="255" t="s">
        <v>386</v>
      </c>
      <c r="F12" s="255" t="s">
        <v>302</v>
      </c>
      <c r="G12" s="257">
        <v>1.0179</v>
      </c>
      <c r="H12" s="258">
        <v>168</v>
      </c>
      <c r="I12" s="258">
        <v>171</v>
      </c>
      <c r="J12" s="258">
        <v>165</v>
      </c>
      <c r="K12" s="255" t="s">
        <v>303</v>
      </c>
      <c r="L12" s="259" t="s">
        <v>68</v>
      </c>
      <c r="M12" s="258">
        <v>0</v>
      </c>
      <c r="N12" s="258">
        <v>0</v>
      </c>
      <c r="O12" s="258">
        <v>0</v>
      </c>
      <c r="P12" s="255" t="s">
        <v>58</v>
      </c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8" t="s">
        <v>87</v>
      </c>
      <c r="AE12" s="251"/>
      <c r="AF12" s="251"/>
      <c r="AG12" s="258" t="s">
        <v>240</v>
      </c>
      <c r="AH12" s="251"/>
      <c r="AI12" s="258" t="s">
        <v>416</v>
      </c>
      <c r="AJ12" s="251"/>
    </row>
    <row r="13" spans="1:36" x14ac:dyDescent="0.3">
      <c r="A13" s="253" t="s">
        <v>344</v>
      </c>
      <c r="B13" s="254">
        <v>46023</v>
      </c>
      <c r="C13" s="255" t="s">
        <v>387</v>
      </c>
      <c r="D13" s="256" t="s">
        <v>458</v>
      </c>
      <c r="E13" s="255" t="s">
        <v>386</v>
      </c>
      <c r="F13" s="255" t="s">
        <v>302</v>
      </c>
      <c r="G13" s="257">
        <v>0.89290000000000003</v>
      </c>
      <c r="H13" s="258">
        <v>168</v>
      </c>
      <c r="I13" s="258">
        <v>150</v>
      </c>
      <c r="J13" s="258">
        <v>135</v>
      </c>
      <c r="K13" s="255" t="s">
        <v>303</v>
      </c>
      <c r="L13" s="259" t="s">
        <v>97</v>
      </c>
      <c r="M13" s="258">
        <v>0</v>
      </c>
      <c r="N13" s="258">
        <v>0</v>
      </c>
      <c r="O13" s="258">
        <v>19</v>
      </c>
      <c r="P13" s="255" t="s">
        <v>104</v>
      </c>
      <c r="Q13" s="251"/>
      <c r="R13" s="251"/>
      <c r="S13" s="251"/>
      <c r="T13" s="251"/>
      <c r="U13" s="251"/>
      <c r="V13" s="251"/>
      <c r="W13" s="251"/>
      <c r="X13" s="251"/>
      <c r="Y13" s="258" t="s">
        <v>343</v>
      </c>
      <c r="Z13" s="251"/>
      <c r="AA13" s="251"/>
      <c r="AB13" s="251"/>
      <c r="AC13" s="258" t="s">
        <v>459</v>
      </c>
      <c r="AD13" s="251"/>
      <c r="AE13" s="251"/>
      <c r="AF13" s="251"/>
      <c r="AG13" s="251"/>
      <c r="AH13" s="251"/>
      <c r="AI13" s="258" t="s">
        <v>123</v>
      </c>
      <c r="AJ13" s="251"/>
    </row>
    <row r="14" spans="1:36" x14ac:dyDescent="0.3">
      <c r="A14" s="253" t="s">
        <v>300</v>
      </c>
      <c r="B14" s="254">
        <v>46024</v>
      </c>
      <c r="C14" s="255" t="s">
        <v>387</v>
      </c>
      <c r="D14" s="256" t="s">
        <v>446</v>
      </c>
      <c r="E14" s="255" t="s">
        <v>386</v>
      </c>
      <c r="F14" s="255" t="s">
        <v>302</v>
      </c>
      <c r="G14" s="257">
        <v>7.7399999999999997E-2</v>
      </c>
      <c r="H14" s="258">
        <v>168</v>
      </c>
      <c r="I14" s="258">
        <v>13</v>
      </c>
      <c r="J14" s="258">
        <v>0</v>
      </c>
      <c r="K14" s="255" t="s">
        <v>303</v>
      </c>
      <c r="L14" s="259" t="s">
        <v>91</v>
      </c>
      <c r="M14" s="258">
        <v>0</v>
      </c>
      <c r="N14" s="258">
        <v>0</v>
      </c>
      <c r="O14" s="258">
        <v>13</v>
      </c>
      <c r="P14" s="255" t="s">
        <v>148</v>
      </c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8" t="s">
        <v>403</v>
      </c>
      <c r="AD14" s="251"/>
      <c r="AE14" s="251"/>
      <c r="AF14" s="251"/>
      <c r="AG14" s="251"/>
      <c r="AH14" s="251"/>
      <c r="AI14" s="251"/>
      <c r="AJ14" s="251"/>
    </row>
    <row r="15" spans="1:36" x14ac:dyDescent="0.3">
      <c r="A15" s="253" t="s">
        <v>312</v>
      </c>
      <c r="B15" s="254">
        <v>46025</v>
      </c>
      <c r="C15" s="255" t="s">
        <v>390</v>
      </c>
      <c r="D15" s="256" t="s">
        <v>306</v>
      </c>
      <c r="E15" s="255" t="s">
        <v>386</v>
      </c>
      <c r="F15" s="255" t="s">
        <v>302</v>
      </c>
      <c r="G15" s="257">
        <v>0.8155</v>
      </c>
      <c r="H15" s="258">
        <v>168</v>
      </c>
      <c r="I15" s="258">
        <v>137</v>
      </c>
      <c r="J15" s="258">
        <v>135</v>
      </c>
      <c r="K15" s="255" t="s">
        <v>303</v>
      </c>
      <c r="L15" s="259" t="s">
        <v>183</v>
      </c>
      <c r="M15" s="258">
        <v>0</v>
      </c>
      <c r="N15" s="258">
        <v>0</v>
      </c>
      <c r="O15" s="258">
        <v>5</v>
      </c>
      <c r="P15" s="255" t="s">
        <v>102</v>
      </c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8" t="s">
        <v>192</v>
      </c>
      <c r="AD15" s="251"/>
      <c r="AE15" s="251"/>
      <c r="AF15" s="251"/>
      <c r="AG15" s="251"/>
      <c r="AH15" s="251"/>
      <c r="AI15" s="258" t="s">
        <v>123</v>
      </c>
      <c r="AJ15" s="251"/>
    </row>
    <row r="16" spans="1:36" x14ac:dyDescent="0.3">
      <c r="A16" s="253" t="s">
        <v>312</v>
      </c>
      <c r="B16" s="254">
        <v>46025</v>
      </c>
      <c r="C16" s="255" t="s">
        <v>387</v>
      </c>
      <c r="D16" s="256" t="s">
        <v>449</v>
      </c>
      <c r="E16" s="255" t="s">
        <v>386</v>
      </c>
      <c r="F16" s="255" t="s">
        <v>302</v>
      </c>
      <c r="G16" s="257">
        <v>0.8155</v>
      </c>
      <c r="H16" s="258">
        <v>168</v>
      </c>
      <c r="I16" s="258">
        <v>137</v>
      </c>
      <c r="J16" s="258">
        <v>135</v>
      </c>
      <c r="K16" s="255" t="s">
        <v>303</v>
      </c>
      <c r="L16" s="259" t="s">
        <v>97</v>
      </c>
      <c r="M16" s="258">
        <v>0</v>
      </c>
      <c r="N16" s="258">
        <v>0</v>
      </c>
      <c r="O16" s="258">
        <v>5</v>
      </c>
      <c r="P16" s="255" t="s">
        <v>102</v>
      </c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8" t="s">
        <v>192</v>
      </c>
      <c r="AD16" s="251"/>
      <c r="AE16" s="251"/>
      <c r="AF16" s="251"/>
      <c r="AG16" s="251"/>
      <c r="AH16" s="251"/>
      <c r="AI16" s="258" t="s">
        <v>123</v>
      </c>
      <c r="AJ16" s="251"/>
    </row>
    <row r="17" spans="1:36" x14ac:dyDescent="0.3">
      <c r="A17" s="253" t="s">
        <v>317</v>
      </c>
      <c r="B17" s="254">
        <v>46026</v>
      </c>
      <c r="C17" s="255" t="s">
        <v>390</v>
      </c>
      <c r="D17" s="256" t="s">
        <v>450</v>
      </c>
      <c r="E17" s="255" t="s">
        <v>386</v>
      </c>
      <c r="F17" s="255" t="s">
        <v>302</v>
      </c>
      <c r="G17" s="257">
        <v>0.26790000000000003</v>
      </c>
      <c r="H17" s="258">
        <v>168</v>
      </c>
      <c r="I17" s="258">
        <v>45</v>
      </c>
      <c r="J17" s="258">
        <v>45</v>
      </c>
      <c r="K17" s="255" t="s">
        <v>303</v>
      </c>
      <c r="L17" s="259" t="s">
        <v>122</v>
      </c>
      <c r="M17" s="258">
        <v>0</v>
      </c>
      <c r="N17" s="258">
        <v>0</v>
      </c>
      <c r="O17" s="258">
        <v>1</v>
      </c>
      <c r="P17" s="255" t="s">
        <v>102</v>
      </c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8" t="s">
        <v>327</v>
      </c>
      <c r="AJ17" s="251"/>
    </row>
    <row r="18" spans="1:36" x14ac:dyDescent="0.3">
      <c r="A18" s="253" t="s">
        <v>317</v>
      </c>
      <c r="B18" s="254">
        <v>46026</v>
      </c>
      <c r="C18" s="255" t="s">
        <v>387</v>
      </c>
      <c r="D18" s="256" t="s">
        <v>451</v>
      </c>
      <c r="E18" s="255" t="s">
        <v>386</v>
      </c>
      <c r="F18" s="255" t="s">
        <v>302</v>
      </c>
      <c r="G18" s="257">
        <v>0.80359999999999998</v>
      </c>
      <c r="H18" s="258">
        <v>168</v>
      </c>
      <c r="I18" s="258">
        <v>135</v>
      </c>
      <c r="J18" s="258">
        <v>135</v>
      </c>
      <c r="K18" s="255" t="s">
        <v>303</v>
      </c>
      <c r="L18" s="259" t="s">
        <v>191</v>
      </c>
      <c r="M18" s="258">
        <v>0</v>
      </c>
      <c r="N18" s="258">
        <v>0</v>
      </c>
      <c r="O18" s="258">
        <v>3</v>
      </c>
      <c r="P18" s="255" t="s">
        <v>102</v>
      </c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8" t="s">
        <v>123</v>
      </c>
      <c r="AJ18" s="251"/>
    </row>
    <row r="19" spans="1:36" x14ac:dyDescent="0.3">
      <c r="A19" s="253" t="s">
        <v>323</v>
      </c>
      <c r="B19" s="254">
        <v>46027</v>
      </c>
      <c r="C19" s="255" t="s">
        <v>390</v>
      </c>
      <c r="D19" s="256" t="s">
        <v>452</v>
      </c>
      <c r="E19" s="255" t="s">
        <v>386</v>
      </c>
      <c r="F19" s="255" t="s">
        <v>302</v>
      </c>
      <c r="G19" s="257">
        <v>0.91069999999999995</v>
      </c>
      <c r="H19" s="258">
        <v>168</v>
      </c>
      <c r="I19" s="258">
        <v>153</v>
      </c>
      <c r="J19" s="258">
        <v>135</v>
      </c>
      <c r="K19" s="255" t="s">
        <v>303</v>
      </c>
      <c r="L19" s="259" t="s">
        <v>94</v>
      </c>
      <c r="M19" s="258">
        <v>0</v>
      </c>
      <c r="N19" s="258">
        <v>0</v>
      </c>
      <c r="O19" s="258">
        <v>20</v>
      </c>
      <c r="P19" s="255" t="s">
        <v>186</v>
      </c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8" t="s">
        <v>89</v>
      </c>
      <c r="AE19" s="258" t="s">
        <v>46</v>
      </c>
      <c r="AF19" s="258" t="s">
        <v>247</v>
      </c>
      <c r="AG19" s="251"/>
      <c r="AH19" s="251"/>
      <c r="AI19" s="258" t="s">
        <v>123</v>
      </c>
      <c r="AJ19" s="251"/>
    </row>
    <row r="20" spans="1:36" x14ac:dyDescent="0.3">
      <c r="A20" s="253" t="s">
        <v>323</v>
      </c>
      <c r="B20" s="254">
        <v>46027</v>
      </c>
      <c r="C20" s="255" t="s">
        <v>387</v>
      </c>
      <c r="D20" s="256" t="s">
        <v>453</v>
      </c>
      <c r="E20" s="255" t="s">
        <v>386</v>
      </c>
      <c r="F20" s="255" t="s">
        <v>302</v>
      </c>
      <c r="G20" s="257">
        <v>0.80359999999999998</v>
      </c>
      <c r="H20" s="258">
        <v>168</v>
      </c>
      <c r="I20" s="258">
        <v>135</v>
      </c>
      <c r="J20" s="258">
        <v>135</v>
      </c>
      <c r="K20" s="255" t="s">
        <v>303</v>
      </c>
      <c r="L20" s="259" t="s">
        <v>122</v>
      </c>
      <c r="M20" s="258">
        <v>0</v>
      </c>
      <c r="N20" s="258">
        <v>0</v>
      </c>
      <c r="O20" s="258">
        <v>4</v>
      </c>
      <c r="P20" s="255" t="s">
        <v>102</v>
      </c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8" t="s">
        <v>123</v>
      </c>
      <c r="AJ20" s="251"/>
    </row>
    <row r="21" spans="1:36" x14ac:dyDescent="0.3">
      <c r="A21" s="253" t="s">
        <v>331</v>
      </c>
      <c r="B21" s="254">
        <v>46028</v>
      </c>
      <c r="C21" s="255" t="s">
        <v>387</v>
      </c>
      <c r="D21" s="256" t="s">
        <v>460</v>
      </c>
      <c r="E21" s="255" t="s">
        <v>386</v>
      </c>
      <c r="F21" s="255" t="s">
        <v>302</v>
      </c>
      <c r="G21" s="257">
        <v>0.83930000000000005</v>
      </c>
      <c r="H21" s="258">
        <v>168</v>
      </c>
      <c r="I21" s="258">
        <v>141</v>
      </c>
      <c r="J21" s="258">
        <v>130</v>
      </c>
      <c r="K21" s="255" t="s">
        <v>303</v>
      </c>
      <c r="L21" s="259" t="s">
        <v>116</v>
      </c>
      <c r="M21" s="258">
        <v>0</v>
      </c>
      <c r="N21" s="258">
        <v>0</v>
      </c>
      <c r="O21" s="258">
        <v>14</v>
      </c>
      <c r="P21" s="255" t="s">
        <v>388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8" t="s">
        <v>375</v>
      </c>
      <c r="AD21" s="251"/>
      <c r="AE21" s="251"/>
      <c r="AF21" s="251"/>
      <c r="AG21" s="251"/>
      <c r="AH21" s="251"/>
      <c r="AI21" s="258" t="s">
        <v>356</v>
      </c>
      <c r="AJ21" s="251"/>
    </row>
    <row r="22" spans="1:36" x14ac:dyDescent="0.3">
      <c r="A22" s="253" t="s">
        <v>340</v>
      </c>
      <c r="B22" s="254">
        <v>46029</v>
      </c>
      <c r="C22" s="255" t="s">
        <v>387</v>
      </c>
      <c r="D22" s="256" t="s">
        <v>314</v>
      </c>
      <c r="E22" s="255" t="s">
        <v>386</v>
      </c>
      <c r="F22" s="255" t="s">
        <v>302</v>
      </c>
      <c r="G22" s="257">
        <v>0.80359999999999998</v>
      </c>
      <c r="H22" s="258">
        <v>168</v>
      </c>
      <c r="I22" s="258">
        <v>135</v>
      </c>
      <c r="J22" s="258">
        <v>135</v>
      </c>
      <c r="K22" s="255" t="s">
        <v>303</v>
      </c>
      <c r="L22" s="259" t="s">
        <v>191</v>
      </c>
      <c r="M22" s="258">
        <v>0</v>
      </c>
      <c r="N22" s="258">
        <v>0</v>
      </c>
      <c r="O22" s="258">
        <v>3</v>
      </c>
      <c r="P22" s="255" t="s">
        <v>102</v>
      </c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8" t="s">
        <v>123</v>
      </c>
      <c r="AJ22" s="251"/>
    </row>
    <row r="23" spans="1:36" x14ac:dyDescent="0.3">
      <c r="A23" s="253" t="s">
        <v>340</v>
      </c>
      <c r="B23" s="254">
        <v>46029</v>
      </c>
      <c r="C23" s="255" t="s">
        <v>399</v>
      </c>
      <c r="D23" s="256" t="s">
        <v>455</v>
      </c>
      <c r="E23" s="255" t="s">
        <v>386</v>
      </c>
      <c r="F23" s="255" t="s">
        <v>302</v>
      </c>
      <c r="G23" s="257">
        <v>0.85119999999999996</v>
      </c>
      <c r="H23" s="258">
        <v>168</v>
      </c>
      <c r="I23" s="258">
        <v>143</v>
      </c>
      <c r="J23" s="258">
        <v>135</v>
      </c>
      <c r="K23" s="255" t="s">
        <v>303</v>
      </c>
      <c r="L23" s="259" t="s">
        <v>113</v>
      </c>
      <c r="M23" s="258">
        <v>0</v>
      </c>
      <c r="N23" s="258">
        <v>0</v>
      </c>
      <c r="O23" s="258">
        <v>11</v>
      </c>
      <c r="P23" s="255" t="s">
        <v>102</v>
      </c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8" t="s">
        <v>142</v>
      </c>
      <c r="AD23" s="251"/>
      <c r="AE23" s="251"/>
      <c r="AF23" s="251"/>
      <c r="AG23" s="251"/>
      <c r="AH23" s="251"/>
      <c r="AI23" s="258" t="s">
        <v>123</v>
      </c>
      <c r="AJ23" s="251"/>
    </row>
    <row r="24" spans="1:36" x14ac:dyDescent="0.3">
      <c r="A24" s="253" t="s">
        <v>340</v>
      </c>
      <c r="B24" s="254">
        <v>46029</v>
      </c>
      <c r="C24" s="255" t="s">
        <v>390</v>
      </c>
      <c r="D24" s="256" t="s">
        <v>457</v>
      </c>
      <c r="E24" s="255" t="s">
        <v>386</v>
      </c>
      <c r="F24" s="255" t="s">
        <v>302</v>
      </c>
      <c r="G24" s="257">
        <v>1.0119</v>
      </c>
      <c r="H24" s="258">
        <v>168</v>
      </c>
      <c r="I24" s="258">
        <v>170</v>
      </c>
      <c r="J24" s="258">
        <v>170</v>
      </c>
      <c r="K24" s="255" t="s">
        <v>303</v>
      </c>
      <c r="L24" s="259" t="s">
        <v>407</v>
      </c>
      <c r="M24" s="258">
        <v>0</v>
      </c>
      <c r="N24" s="258">
        <v>0</v>
      </c>
      <c r="O24" s="258">
        <v>4</v>
      </c>
      <c r="P24" s="255" t="s">
        <v>58</v>
      </c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8" t="s">
        <v>408</v>
      </c>
      <c r="AJ24" s="251"/>
    </row>
    <row r="25" spans="1:36" x14ac:dyDescent="0.3">
      <c r="A25" s="253" t="s">
        <v>344</v>
      </c>
      <c r="B25" s="254">
        <v>46030</v>
      </c>
      <c r="C25" s="255" t="s">
        <v>387</v>
      </c>
      <c r="D25" s="256" t="s">
        <v>458</v>
      </c>
      <c r="E25" s="255" t="s">
        <v>386</v>
      </c>
      <c r="F25" s="255" t="s">
        <v>302</v>
      </c>
      <c r="G25" s="257">
        <v>0.90480000000000005</v>
      </c>
      <c r="H25" s="258">
        <v>168</v>
      </c>
      <c r="I25" s="258">
        <v>152</v>
      </c>
      <c r="J25" s="258">
        <v>135</v>
      </c>
      <c r="K25" s="255" t="s">
        <v>303</v>
      </c>
      <c r="L25" s="259" t="s">
        <v>97</v>
      </c>
      <c r="M25" s="258">
        <v>0</v>
      </c>
      <c r="N25" s="258">
        <v>0</v>
      </c>
      <c r="O25" s="258">
        <v>21</v>
      </c>
      <c r="P25" s="255" t="s">
        <v>160</v>
      </c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8" t="s">
        <v>360</v>
      </c>
      <c r="AC25" s="258" t="s">
        <v>461</v>
      </c>
      <c r="AD25" s="251"/>
      <c r="AE25" s="251"/>
      <c r="AF25" s="251"/>
      <c r="AG25" s="251"/>
      <c r="AH25" s="251"/>
      <c r="AI25" s="258" t="s">
        <v>123</v>
      </c>
      <c r="AJ25" s="251"/>
    </row>
    <row r="26" spans="1:36" x14ac:dyDescent="0.3">
      <c r="A26" s="253" t="s">
        <v>300</v>
      </c>
      <c r="B26" s="254">
        <v>46031</v>
      </c>
      <c r="C26" s="255" t="s">
        <v>387</v>
      </c>
      <c r="D26" s="256" t="s">
        <v>446</v>
      </c>
      <c r="E26" s="255" t="s">
        <v>386</v>
      </c>
      <c r="F26" s="255" t="s">
        <v>302</v>
      </c>
      <c r="G26" s="257">
        <v>0.44640000000000002</v>
      </c>
      <c r="H26" s="258">
        <v>168</v>
      </c>
      <c r="I26" s="258">
        <v>75</v>
      </c>
      <c r="J26" s="258">
        <v>45</v>
      </c>
      <c r="K26" s="255" t="s">
        <v>303</v>
      </c>
      <c r="L26" s="259" t="s">
        <v>97</v>
      </c>
      <c r="M26" s="258">
        <v>0</v>
      </c>
      <c r="N26" s="258">
        <v>0</v>
      </c>
      <c r="O26" s="258">
        <v>31</v>
      </c>
      <c r="P26" s="255" t="s">
        <v>160</v>
      </c>
      <c r="Q26" s="251"/>
      <c r="R26" s="251"/>
      <c r="S26" s="251"/>
      <c r="T26" s="251"/>
      <c r="U26" s="251"/>
      <c r="V26" s="251"/>
      <c r="W26" s="251"/>
      <c r="X26" s="251"/>
      <c r="Y26" s="251"/>
      <c r="Z26" s="258" t="s">
        <v>152</v>
      </c>
      <c r="AA26" s="251"/>
      <c r="AB26" s="258" t="s">
        <v>367</v>
      </c>
      <c r="AC26" s="258" t="s">
        <v>461</v>
      </c>
      <c r="AD26" s="251"/>
      <c r="AE26" s="251"/>
      <c r="AF26" s="251"/>
      <c r="AG26" s="251"/>
      <c r="AH26" s="251"/>
      <c r="AI26" s="258" t="s">
        <v>327</v>
      </c>
      <c r="AJ26" s="251"/>
    </row>
    <row r="27" spans="1:36" x14ac:dyDescent="0.3">
      <c r="A27" s="253" t="s">
        <v>312</v>
      </c>
      <c r="B27" s="254">
        <v>46032</v>
      </c>
      <c r="C27" s="255" t="s">
        <v>390</v>
      </c>
      <c r="D27" s="256" t="s">
        <v>306</v>
      </c>
      <c r="E27" s="255" t="s">
        <v>386</v>
      </c>
      <c r="F27" s="255" t="s">
        <v>302</v>
      </c>
      <c r="G27" s="257">
        <v>0.88690000000000002</v>
      </c>
      <c r="H27" s="258">
        <v>168</v>
      </c>
      <c r="I27" s="258">
        <v>149</v>
      </c>
      <c r="J27" s="258">
        <v>135</v>
      </c>
      <c r="K27" s="255" t="s">
        <v>303</v>
      </c>
      <c r="L27" s="259" t="s">
        <v>91</v>
      </c>
      <c r="M27" s="258">
        <v>0</v>
      </c>
      <c r="N27" s="258">
        <v>0</v>
      </c>
      <c r="O27" s="258">
        <v>17</v>
      </c>
      <c r="P27" s="255" t="s">
        <v>104</v>
      </c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8" t="s">
        <v>459</v>
      </c>
      <c r="AD27" s="251"/>
      <c r="AE27" s="251"/>
      <c r="AF27" s="251"/>
      <c r="AG27" s="251"/>
      <c r="AH27" s="251"/>
      <c r="AI27" s="258" t="s">
        <v>123</v>
      </c>
      <c r="AJ27" s="251"/>
    </row>
    <row r="28" spans="1:36" x14ac:dyDescent="0.3">
      <c r="A28" s="253" t="s">
        <v>312</v>
      </c>
      <c r="B28" s="254">
        <v>46032</v>
      </c>
      <c r="C28" s="255" t="s">
        <v>387</v>
      </c>
      <c r="D28" s="256" t="s">
        <v>449</v>
      </c>
      <c r="E28" s="255" t="s">
        <v>386</v>
      </c>
      <c r="F28" s="255" t="s">
        <v>302</v>
      </c>
      <c r="G28" s="257">
        <v>0.85709999999999997</v>
      </c>
      <c r="H28" s="258">
        <v>168</v>
      </c>
      <c r="I28" s="258">
        <v>144</v>
      </c>
      <c r="J28" s="258">
        <v>135</v>
      </c>
      <c r="K28" s="255" t="s">
        <v>303</v>
      </c>
      <c r="L28" s="259" t="s">
        <v>91</v>
      </c>
      <c r="M28" s="258">
        <v>0</v>
      </c>
      <c r="N28" s="258">
        <v>0</v>
      </c>
      <c r="O28" s="258">
        <v>13</v>
      </c>
      <c r="P28" s="255" t="s">
        <v>142</v>
      </c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8" t="s">
        <v>102</v>
      </c>
      <c r="AD28" s="251"/>
      <c r="AE28" s="251"/>
      <c r="AF28" s="251"/>
      <c r="AG28" s="251"/>
      <c r="AH28" s="251"/>
      <c r="AI28" s="258" t="s">
        <v>123</v>
      </c>
      <c r="AJ28" s="251"/>
    </row>
    <row r="29" spans="1:36" x14ac:dyDescent="0.3">
      <c r="A29" s="253" t="s">
        <v>317</v>
      </c>
      <c r="B29" s="254">
        <v>46033</v>
      </c>
      <c r="C29" s="255" t="s">
        <v>390</v>
      </c>
      <c r="D29" s="256" t="s">
        <v>450</v>
      </c>
      <c r="E29" s="255" t="s">
        <v>386</v>
      </c>
      <c r="F29" s="255" t="s">
        <v>302</v>
      </c>
      <c r="G29" s="257">
        <v>0.8155</v>
      </c>
      <c r="H29" s="258">
        <v>168</v>
      </c>
      <c r="I29" s="258">
        <v>137</v>
      </c>
      <c r="J29" s="258">
        <v>136</v>
      </c>
      <c r="K29" s="255" t="s">
        <v>303</v>
      </c>
      <c r="L29" s="259" t="s">
        <v>177</v>
      </c>
      <c r="M29" s="258">
        <v>0</v>
      </c>
      <c r="N29" s="258">
        <v>0</v>
      </c>
      <c r="O29" s="258">
        <v>6</v>
      </c>
      <c r="P29" s="255" t="s">
        <v>102</v>
      </c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8" t="s">
        <v>160</v>
      </c>
      <c r="AD29" s="251"/>
      <c r="AE29" s="251"/>
      <c r="AF29" s="251"/>
      <c r="AG29" s="251"/>
      <c r="AH29" s="251"/>
      <c r="AI29" s="258" t="s">
        <v>357</v>
      </c>
      <c r="AJ29" s="251"/>
    </row>
    <row r="30" spans="1:36" x14ac:dyDescent="0.3">
      <c r="A30" s="253" t="s">
        <v>317</v>
      </c>
      <c r="B30" s="254">
        <v>46033</v>
      </c>
      <c r="C30" s="255" t="s">
        <v>387</v>
      </c>
      <c r="D30" s="256" t="s">
        <v>451</v>
      </c>
      <c r="E30" s="255" t="s">
        <v>386</v>
      </c>
      <c r="F30" s="255" t="s">
        <v>302</v>
      </c>
      <c r="G30" s="257">
        <v>0.8095</v>
      </c>
      <c r="H30" s="258">
        <v>168</v>
      </c>
      <c r="I30" s="258">
        <v>136</v>
      </c>
      <c r="J30" s="258">
        <v>135</v>
      </c>
      <c r="K30" s="255" t="s">
        <v>303</v>
      </c>
      <c r="L30" s="259" t="s">
        <v>122</v>
      </c>
      <c r="M30" s="258">
        <v>0</v>
      </c>
      <c r="N30" s="258">
        <v>0</v>
      </c>
      <c r="O30" s="258">
        <v>5</v>
      </c>
      <c r="P30" s="255" t="s">
        <v>102</v>
      </c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8" t="s">
        <v>160</v>
      </c>
      <c r="AD30" s="251"/>
      <c r="AE30" s="251"/>
      <c r="AF30" s="251"/>
      <c r="AG30" s="251"/>
      <c r="AH30" s="251"/>
      <c r="AI30" s="258" t="s">
        <v>123</v>
      </c>
      <c r="AJ30" s="251"/>
    </row>
    <row r="31" spans="1:36" x14ac:dyDescent="0.3">
      <c r="A31" s="253" t="s">
        <v>323</v>
      </c>
      <c r="B31" s="254">
        <v>46034</v>
      </c>
      <c r="C31" s="255" t="s">
        <v>390</v>
      </c>
      <c r="D31" s="256" t="s">
        <v>452</v>
      </c>
      <c r="E31" s="255" t="s">
        <v>386</v>
      </c>
      <c r="F31" s="255" t="s">
        <v>302</v>
      </c>
      <c r="G31" s="257">
        <v>0.8095</v>
      </c>
      <c r="H31" s="258">
        <v>168</v>
      </c>
      <c r="I31" s="258">
        <v>136</v>
      </c>
      <c r="J31" s="258">
        <v>135</v>
      </c>
      <c r="K31" s="255" t="s">
        <v>303</v>
      </c>
      <c r="L31" s="259" t="s">
        <v>174</v>
      </c>
      <c r="M31" s="258">
        <v>0</v>
      </c>
      <c r="N31" s="258">
        <v>0</v>
      </c>
      <c r="O31" s="258">
        <v>3</v>
      </c>
      <c r="P31" s="255" t="s">
        <v>102</v>
      </c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8" t="s">
        <v>160</v>
      </c>
      <c r="AD31" s="251"/>
      <c r="AE31" s="251"/>
      <c r="AF31" s="251"/>
      <c r="AG31" s="251"/>
      <c r="AH31" s="251"/>
      <c r="AI31" s="258" t="s">
        <v>123</v>
      </c>
      <c r="AJ31" s="251"/>
    </row>
    <row r="32" spans="1:36" x14ac:dyDescent="0.3">
      <c r="A32" s="253" t="s">
        <v>323</v>
      </c>
      <c r="B32" s="254">
        <v>46034</v>
      </c>
      <c r="C32" s="255" t="s">
        <v>387</v>
      </c>
      <c r="D32" s="256" t="s">
        <v>453</v>
      </c>
      <c r="E32" s="255" t="s">
        <v>386</v>
      </c>
      <c r="F32" s="255" t="s">
        <v>302</v>
      </c>
      <c r="G32" s="257">
        <v>0.80359999999999998</v>
      </c>
      <c r="H32" s="258">
        <v>168</v>
      </c>
      <c r="I32" s="258">
        <v>135</v>
      </c>
      <c r="J32" s="258">
        <v>135</v>
      </c>
      <c r="K32" s="255" t="s">
        <v>303</v>
      </c>
      <c r="L32" s="259" t="s">
        <v>122</v>
      </c>
      <c r="M32" s="258">
        <v>0</v>
      </c>
      <c r="N32" s="258">
        <v>0</v>
      </c>
      <c r="O32" s="258">
        <v>4</v>
      </c>
      <c r="P32" s="255" t="s">
        <v>102</v>
      </c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8" t="s">
        <v>123</v>
      </c>
      <c r="AJ32" s="251"/>
    </row>
    <row r="33" spans="1:36" x14ac:dyDescent="0.3">
      <c r="A33" s="253" t="s">
        <v>331</v>
      </c>
      <c r="B33" s="254">
        <v>46035</v>
      </c>
      <c r="C33" s="255" t="s">
        <v>387</v>
      </c>
      <c r="D33" s="256" t="s">
        <v>460</v>
      </c>
      <c r="E33" s="255" t="s">
        <v>386</v>
      </c>
      <c r="F33" s="255" t="s">
        <v>302</v>
      </c>
      <c r="G33" s="257">
        <v>0.52380000000000004</v>
      </c>
      <c r="H33" s="258">
        <v>168</v>
      </c>
      <c r="I33" s="258">
        <v>88</v>
      </c>
      <c r="J33" s="258">
        <v>85</v>
      </c>
      <c r="K33" s="255" t="s">
        <v>303</v>
      </c>
      <c r="L33" s="259" t="s">
        <v>174</v>
      </c>
      <c r="M33" s="258">
        <v>0</v>
      </c>
      <c r="N33" s="258">
        <v>0</v>
      </c>
      <c r="O33" s="258">
        <v>5</v>
      </c>
      <c r="P33" s="255" t="s">
        <v>102</v>
      </c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8" t="s">
        <v>160</v>
      </c>
      <c r="AD33" s="251"/>
      <c r="AE33" s="251"/>
      <c r="AF33" s="258" t="s">
        <v>42</v>
      </c>
      <c r="AG33" s="251"/>
      <c r="AH33" s="251"/>
      <c r="AI33" s="258" t="s">
        <v>462</v>
      </c>
      <c r="AJ33" s="258" t="s">
        <v>463</v>
      </c>
    </row>
    <row r="34" spans="1:36" x14ac:dyDescent="0.3">
      <c r="A34" s="253" t="s">
        <v>340</v>
      </c>
      <c r="B34" s="254">
        <v>46036</v>
      </c>
      <c r="C34" s="255" t="s">
        <v>387</v>
      </c>
      <c r="D34" s="256" t="s">
        <v>314</v>
      </c>
      <c r="E34" s="255" t="s">
        <v>386</v>
      </c>
      <c r="F34" s="255" t="s">
        <v>302</v>
      </c>
      <c r="G34" s="257">
        <v>0.8095</v>
      </c>
      <c r="H34" s="258">
        <v>168</v>
      </c>
      <c r="I34" s="258">
        <v>136</v>
      </c>
      <c r="J34" s="258">
        <v>135</v>
      </c>
      <c r="K34" s="255" t="s">
        <v>303</v>
      </c>
      <c r="L34" s="259" t="s">
        <v>129</v>
      </c>
      <c r="M34" s="258">
        <v>0</v>
      </c>
      <c r="N34" s="258">
        <v>0</v>
      </c>
      <c r="O34" s="258">
        <v>4</v>
      </c>
      <c r="P34" s="255" t="s">
        <v>102</v>
      </c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8" t="s">
        <v>160</v>
      </c>
      <c r="AD34" s="251"/>
      <c r="AE34" s="251"/>
      <c r="AF34" s="251"/>
      <c r="AG34" s="251"/>
      <c r="AH34" s="251"/>
      <c r="AI34" s="258" t="s">
        <v>123</v>
      </c>
      <c r="AJ34" s="251"/>
    </row>
    <row r="35" spans="1:36" x14ac:dyDescent="0.3">
      <c r="A35" s="253" t="s">
        <v>340</v>
      </c>
      <c r="B35" s="254">
        <v>46036</v>
      </c>
      <c r="C35" s="255" t="s">
        <v>399</v>
      </c>
      <c r="D35" s="256" t="s">
        <v>455</v>
      </c>
      <c r="E35" s="255" t="s">
        <v>386</v>
      </c>
      <c r="F35" s="255" t="s">
        <v>302</v>
      </c>
      <c r="G35" s="257">
        <v>0.80359999999999998</v>
      </c>
      <c r="H35" s="258">
        <v>168</v>
      </c>
      <c r="I35" s="258">
        <v>135</v>
      </c>
      <c r="J35" s="258">
        <v>135</v>
      </c>
      <c r="K35" s="255" t="s">
        <v>303</v>
      </c>
      <c r="L35" s="259" t="s">
        <v>122</v>
      </c>
      <c r="M35" s="258">
        <v>0</v>
      </c>
      <c r="N35" s="258">
        <v>0</v>
      </c>
      <c r="O35" s="258">
        <v>3</v>
      </c>
      <c r="P35" s="255" t="s">
        <v>102</v>
      </c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8" t="s">
        <v>123</v>
      </c>
      <c r="AJ35" s="251"/>
    </row>
    <row r="36" spans="1:36" x14ac:dyDescent="0.3">
      <c r="A36" s="253" t="s">
        <v>340</v>
      </c>
      <c r="B36" s="254">
        <v>46036</v>
      </c>
      <c r="C36" s="255" t="s">
        <v>390</v>
      </c>
      <c r="D36" s="256" t="s">
        <v>457</v>
      </c>
      <c r="E36" s="255" t="s">
        <v>386</v>
      </c>
      <c r="F36" s="255" t="s">
        <v>302</v>
      </c>
      <c r="G36" s="257">
        <v>0.74399999999999999</v>
      </c>
      <c r="H36" s="258">
        <v>168</v>
      </c>
      <c r="I36" s="258">
        <v>125</v>
      </c>
      <c r="J36" s="258">
        <v>125</v>
      </c>
      <c r="K36" s="255" t="s">
        <v>303</v>
      </c>
      <c r="L36" s="259" t="s">
        <v>122</v>
      </c>
      <c r="M36" s="258">
        <v>0</v>
      </c>
      <c r="N36" s="258">
        <v>0</v>
      </c>
      <c r="O36" s="258">
        <v>2</v>
      </c>
      <c r="P36" s="255" t="s">
        <v>102</v>
      </c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8" t="s">
        <v>416</v>
      </c>
      <c r="AJ36" s="251"/>
    </row>
    <row r="37" spans="1:36" x14ac:dyDescent="0.3">
      <c r="A37" s="253" t="s">
        <v>344</v>
      </c>
      <c r="B37" s="254">
        <v>46037</v>
      </c>
      <c r="C37" s="255" t="s">
        <v>387</v>
      </c>
      <c r="D37" s="256" t="s">
        <v>458</v>
      </c>
      <c r="E37" s="255" t="s">
        <v>386</v>
      </c>
      <c r="F37" s="255" t="s">
        <v>302</v>
      </c>
      <c r="G37" s="257">
        <v>0.83330000000000004</v>
      </c>
      <c r="H37" s="258">
        <v>168</v>
      </c>
      <c r="I37" s="258">
        <v>140</v>
      </c>
      <c r="J37" s="258">
        <v>135</v>
      </c>
      <c r="K37" s="255" t="s">
        <v>303</v>
      </c>
      <c r="L37" s="259" t="s">
        <v>113</v>
      </c>
      <c r="M37" s="258">
        <v>0</v>
      </c>
      <c r="N37" s="258">
        <v>0</v>
      </c>
      <c r="O37" s="258">
        <v>9</v>
      </c>
      <c r="P37" s="255" t="s">
        <v>102</v>
      </c>
      <c r="Q37" s="251"/>
      <c r="R37" s="251"/>
      <c r="S37" s="251"/>
      <c r="T37" s="251"/>
      <c r="U37" s="251"/>
      <c r="V37" s="251"/>
      <c r="W37" s="251"/>
      <c r="X37" s="251"/>
      <c r="Y37" s="251"/>
      <c r="Z37" s="258" t="s">
        <v>208</v>
      </c>
      <c r="AA37" s="251"/>
      <c r="AB37" s="251"/>
      <c r="AC37" s="258" t="s">
        <v>148</v>
      </c>
      <c r="AD37" s="251"/>
      <c r="AE37" s="251"/>
      <c r="AF37" s="251"/>
      <c r="AG37" s="251"/>
      <c r="AH37" s="251"/>
      <c r="AI37" s="258" t="s">
        <v>123</v>
      </c>
      <c r="AJ37" s="251"/>
    </row>
    <row r="38" spans="1:36" x14ac:dyDescent="0.3">
      <c r="A38" s="253" t="s">
        <v>300</v>
      </c>
      <c r="B38" s="254">
        <v>46038</v>
      </c>
      <c r="C38" s="255" t="s">
        <v>387</v>
      </c>
      <c r="D38" s="256" t="s">
        <v>446</v>
      </c>
      <c r="E38" s="255" t="s">
        <v>386</v>
      </c>
      <c r="F38" s="255" t="s">
        <v>302</v>
      </c>
      <c r="G38" s="257">
        <v>4.7600000000000003E-2</v>
      </c>
      <c r="H38" s="258">
        <v>168</v>
      </c>
      <c r="I38" s="258">
        <v>8</v>
      </c>
      <c r="J38" s="258">
        <v>0</v>
      </c>
      <c r="K38" s="255" t="s">
        <v>303</v>
      </c>
      <c r="L38" s="259" t="s">
        <v>418</v>
      </c>
      <c r="M38" s="258">
        <v>0</v>
      </c>
      <c r="N38" s="258">
        <v>0</v>
      </c>
      <c r="O38" s="258">
        <v>8</v>
      </c>
      <c r="P38" s="255" t="s">
        <v>102</v>
      </c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8" t="s">
        <v>142</v>
      </c>
      <c r="AD38" s="251"/>
      <c r="AE38" s="251"/>
      <c r="AF38" s="251"/>
      <c r="AG38" s="251"/>
      <c r="AH38" s="251"/>
      <c r="AI38" s="251"/>
      <c r="AJ38" s="251"/>
    </row>
    <row r="39" spans="1:36" x14ac:dyDescent="0.3">
      <c r="A39" s="253" t="s">
        <v>312</v>
      </c>
      <c r="B39" s="254">
        <v>46039</v>
      </c>
      <c r="C39" s="255" t="s">
        <v>390</v>
      </c>
      <c r="D39" s="256" t="s">
        <v>306</v>
      </c>
      <c r="E39" s="255" t="s">
        <v>386</v>
      </c>
      <c r="F39" s="255" t="s">
        <v>302</v>
      </c>
      <c r="G39" s="257">
        <v>0.80359999999999998</v>
      </c>
      <c r="H39" s="258">
        <v>168</v>
      </c>
      <c r="I39" s="258">
        <v>135</v>
      </c>
      <c r="J39" s="258">
        <v>135</v>
      </c>
      <c r="K39" s="255" t="s">
        <v>303</v>
      </c>
      <c r="L39" s="259" t="s">
        <v>97</v>
      </c>
      <c r="M39" s="258">
        <v>0</v>
      </c>
      <c r="N39" s="258">
        <v>0</v>
      </c>
      <c r="O39" s="258">
        <v>3</v>
      </c>
      <c r="P39" s="255" t="s">
        <v>102</v>
      </c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8" t="s">
        <v>123</v>
      </c>
      <c r="AJ39" s="251"/>
    </row>
    <row r="40" spans="1:36" x14ac:dyDescent="0.3">
      <c r="A40" s="253" t="s">
        <v>312</v>
      </c>
      <c r="B40" s="254">
        <v>46039</v>
      </c>
      <c r="C40" s="255" t="s">
        <v>387</v>
      </c>
      <c r="D40" s="256" t="s">
        <v>449</v>
      </c>
      <c r="E40" s="255" t="s">
        <v>386</v>
      </c>
      <c r="F40" s="255" t="s">
        <v>302</v>
      </c>
      <c r="G40" s="257">
        <v>0.8155</v>
      </c>
      <c r="H40" s="258">
        <v>168</v>
      </c>
      <c r="I40" s="258">
        <v>137</v>
      </c>
      <c r="J40" s="258">
        <v>135</v>
      </c>
      <c r="K40" s="255" t="s">
        <v>303</v>
      </c>
      <c r="L40" s="259" t="s">
        <v>97</v>
      </c>
      <c r="M40" s="258">
        <v>0</v>
      </c>
      <c r="N40" s="258">
        <v>0</v>
      </c>
      <c r="O40" s="258">
        <v>6</v>
      </c>
      <c r="P40" s="255" t="s">
        <v>102</v>
      </c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8" t="s">
        <v>192</v>
      </c>
      <c r="AD40" s="251"/>
      <c r="AE40" s="251"/>
      <c r="AF40" s="251"/>
      <c r="AG40" s="251"/>
      <c r="AH40" s="251"/>
      <c r="AI40" s="258" t="s">
        <v>123</v>
      </c>
      <c r="AJ40" s="251"/>
    </row>
    <row r="41" spans="1:36" x14ac:dyDescent="0.3">
      <c r="A41" s="253" t="s">
        <v>317</v>
      </c>
      <c r="B41" s="254">
        <v>46040</v>
      </c>
      <c r="C41" s="255" t="s">
        <v>390</v>
      </c>
      <c r="D41" s="256" t="s">
        <v>450</v>
      </c>
      <c r="E41" s="255" t="s">
        <v>386</v>
      </c>
      <c r="F41" s="255" t="s">
        <v>302</v>
      </c>
      <c r="G41" s="257">
        <v>0.80359999999999998</v>
      </c>
      <c r="H41" s="258">
        <v>168</v>
      </c>
      <c r="I41" s="258">
        <v>135</v>
      </c>
      <c r="J41" s="258">
        <v>135</v>
      </c>
      <c r="K41" s="255" t="s">
        <v>303</v>
      </c>
      <c r="L41" s="259" t="s">
        <v>91</v>
      </c>
      <c r="M41" s="258">
        <v>0</v>
      </c>
      <c r="N41" s="258">
        <v>0</v>
      </c>
      <c r="O41" s="258">
        <v>3</v>
      </c>
      <c r="P41" s="255" t="s">
        <v>102</v>
      </c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8" t="s">
        <v>123</v>
      </c>
      <c r="AJ41" s="251"/>
    </row>
    <row r="42" spans="1:36" x14ac:dyDescent="0.3">
      <c r="A42" s="253" t="s">
        <v>317</v>
      </c>
      <c r="B42" s="254">
        <v>46040</v>
      </c>
      <c r="C42" s="255" t="s">
        <v>387</v>
      </c>
      <c r="D42" s="256" t="s">
        <v>451</v>
      </c>
      <c r="E42" s="255" t="s">
        <v>386</v>
      </c>
      <c r="F42" s="255" t="s">
        <v>302</v>
      </c>
      <c r="G42" s="257">
        <v>0.80359999999999998</v>
      </c>
      <c r="H42" s="258">
        <v>168</v>
      </c>
      <c r="I42" s="258">
        <v>135</v>
      </c>
      <c r="J42" s="258">
        <v>135</v>
      </c>
      <c r="K42" s="255" t="s">
        <v>303</v>
      </c>
      <c r="L42" s="259" t="s">
        <v>97</v>
      </c>
      <c r="M42" s="258">
        <v>0</v>
      </c>
      <c r="N42" s="258">
        <v>0</v>
      </c>
      <c r="O42" s="258">
        <v>4</v>
      </c>
      <c r="P42" s="255" t="s">
        <v>102</v>
      </c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8" t="s">
        <v>123</v>
      </c>
      <c r="AJ42" s="251"/>
    </row>
    <row r="43" spans="1:36" x14ac:dyDescent="0.3">
      <c r="A43" s="253" t="s">
        <v>323</v>
      </c>
      <c r="B43" s="254">
        <v>46041</v>
      </c>
      <c r="C43" s="255" t="s">
        <v>390</v>
      </c>
      <c r="D43" s="256" t="s">
        <v>452</v>
      </c>
      <c r="E43" s="255" t="s">
        <v>386</v>
      </c>
      <c r="F43" s="255" t="s">
        <v>302</v>
      </c>
      <c r="G43" s="257">
        <v>0.80359999999999998</v>
      </c>
      <c r="H43" s="258">
        <v>168</v>
      </c>
      <c r="I43" s="258">
        <v>135</v>
      </c>
      <c r="J43" s="258">
        <v>135</v>
      </c>
      <c r="K43" s="255" t="s">
        <v>303</v>
      </c>
      <c r="L43" s="259" t="s">
        <v>113</v>
      </c>
      <c r="M43" s="258">
        <v>0</v>
      </c>
      <c r="N43" s="258">
        <v>0</v>
      </c>
      <c r="O43" s="258">
        <v>2</v>
      </c>
      <c r="P43" s="255" t="s">
        <v>102</v>
      </c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8" t="s">
        <v>123</v>
      </c>
      <c r="AJ43" s="251"/>
    </row>
    <row r="44" spans="1:36" x14ac:dyDescent="0.3">
      <c r="A44" s="253" t="s">
        <v>323</v>
      </c>
      <c r="B44" s="254">
        <v>46041</v>
      </c>
      <c r="C44" s="255" t="s">
        <v>387</v>
      </c>
      <c r="D44" s="256" t="s">
        <v>453</v>
      </c>
      <c r="E44" s="255" t="s">
        <v>386</v>
      </c>
      <c r="F44" s="255" t="s">
        <v>302</v>
      </c>
      <c r="G44" s="257">
        <v>0.80359999999999998</v>
      </c>
      <c r="H44" s="258">
        <v>168</v>
      </c>
      <c r="I44" s="258">
        <v>135</v>
      </c>
      <c r="J44" s="258">
        <v>135</v>
      </c>
      <c r="K44" s="255" t="s">
        <v>303</v>
      </c>
      <c r="L44" s="259" t="s">
        <v>113</v>
      </c>
      <c r="M44" s="258">
        <v>0</v>
      </c>
      <c r="N44" s="258">
        <v>0</v>
      </c>
      <c r="O44" s="258">
        <v>4</v>
      </c>
      <c r="P44" s="255" t="s">
        <v>102</v>
      </c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8" t="s">
        <v>123</v>
      </c>
      <c r="AJ44" s="251"/>
    </row>
    <row r="45" spans="1:36" x14ac:dyDescent="0.3">
      <c r="A45" s="253" t="s">
        <v>331</v>
      </c>
      <c r="B45" s="254">
        <v>46042</v>
      </c>
      <c r="C45" s="255" t="s">
        <v>387</v>
      </c>
      <c r="D45" s="256" t="s">
        <v>460</v>
      </c>
      <c r="E45" s="255" t="s">
        <v>386</v>
      </c>
      <c r="F45" s="255" t="s">
        <v>302</v>
      </c>
      <c r="G45" s="257">
        <v>0.80359999999999998</v>
      </c>
      <c r="H45" s="258">
        <v>168</v>
      </c>
      <c r="I45" s="258">
        <v>135</v>
      </c>
      <c r="J45" s="258">
        <v>130</v>
      </c>
      <c r="K45" s="255" t="s">
        <v>303</v>
      </c>
      <c r="L45" s="259" t="s">
        <v>113</v>
      </c>
      <c r="M45" s="258">
        <v>0</v>
      </c>
      <c r="N45" s="258">
        <v>0</v>
      </c>
      <c r="O45" s="258">
        <v>9</v>
      </c>
      <c r="P45" s="255" t="s">
        <v>102</v>
      </c>
      <c r="Q45" s="251"/>
      <c r="R45" s="251"/>
      <c r="S45" s="251"/>
      <c r="T45" s="251"/>
      <c r="U45" s="251"/>
      <c r="V45" s="251"/>
      <c r="W45" s="251"/>
      <c r="X45" s="251"/>
      <c r="Y45" s="251"/>
      <c r="Z45" s="258" t="s">
        <v>198</v>
      </c>
      <c r="AA45" s="251"/>
      <c r="AB45" s="251"/>
      <c r="AC45" s="258" t="s">
        <v>192</v>
      </c>
      <c r="AD45" s="251"/>
      <c r="AE45" s="251"/>
      <c r="AF45" s="251"/>
      <c r="AG45" s="251"/>
      <c r="AH45" s="251"/>
      <c r="AI45" s="258" t="s">
        <v>356</v>
      </c>
      <c r="AJ45" s="251"/>
    </row>
    <row r="46" spans="1:36" x14ac:dyDescent="0.3">
      <c r="A46" s="253" t="s">
        <v>340</v>
      </c>
      <c r="B46" s="254">
        <v>46043</v>
      </c>
      <c r="C46" s="255" t="s">
        <v>387</v>
      </c>
      <c r="D46" s="256" t="s">
        <v>314</v>
      </c>
      <c r="E46" s="255" t="s">
        <v>386</v>
      </c>
      <c r="F46" s="255" t="s">
        <v>302</v>
      </c>
      <c r="G46" s="257">
        <v>0.80359999999999998</v>
      </c>
      <c r="H46" s="258">
        <v>168</v>
      </c>
      <c r="I46" s="258">
        <v>135</v>
      </c>
      <c r="J46" s="258">
        <v>135</v>
      </c>
      <c r="K46" s="255" t="s">
        <v>303</v>
      </c>
      <c r="L46" s="259" t="s">
        <v>91</v>
      </c>
      <c r="M46" s="258">
        <v>0</v>
      </c>
      <c r="N46" s="258">
        <v>0</v>
      </c>
      <c r="O46" s="258">
        <v>3</v>
      </c>
      <c r="P46" s="255" t="s">
        <v>102</v>
      </c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8" t="s">
        <v>123</v>
      </c>
      <c r="AJ46" s="251"/>
    </row>
    <row r="47" spans="1:36" x14ac:dyDescent="0.3">
      <c r="A47" s="253" t="s">
        <v>340</v>
      </c>
      <c r="B47" s="254">
        <v>46043</v>
      </c>
      <c r="C47" s="255" t="s">
        <v>399</v>
      </c>
      <c r="D47" s="256" t="s">
        <v>455</v>
      </c>
      <c r="E47" s="255" t="s">
        <v>386</v>
      </c>
      <c r="F47" s="255" t="s">
        <v>302</v>
      </c>
      <c r="G47" s="257">
        <v>0.80359999999999998</v>
      </c>
      <c r="H47" s="258">
        <v>168</v>
      </c>
      <c r="I47" s="258">
        <v>135</v>
      </c>
      <c r="J47" s="258">
        <v>135</v>
      </c>
      <c r="K47" s="255" t="s">
        <v>303</v>
      </c>
      <c r="L47" s="259" t="s">
        <v>113</v>
      </c>
      <c r="M47" s="258">
        <v>0</v>
      </c>
      <c r="N47" s="258">
        <v>0</v>
      </c>
      <c r="O47" s="258">
        <v>4</v>
      </c>
      <c r="P47" s="255" t="s">
        <v>102</v>
      </c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8" t="s">
        <v>123</v>
      </c>
      <c r="AJ47" s="251"/>
    </row>
    <row r="48" spans="1:36" x14ac:dyDescent="0.3">
      <c r="A48" s="253" t="s">
        <v>340</v>
      </c>
      <c r="B48" s="254">
        <v>46043</v>
      </c>
      <c r="C48" s="255" t="s">
        <v>390</v>
      </c>
      <c r="D48" s="256" t="s">
        <v>457</v>
      </c>
      <c r="E48" s="255" t="s">
        <v>386</v>
      </c>
      <c r="F48" s="255" t="s">
        <v>302</v>
      </c>
      <c r="G48" s="257">
        <v>1.0119</v>
      </c>
      <c r="H48" s="258">
        <v>168</v>
      </c>
      <c r="I48" s="258">
        <v>170</v>
      </c>
      <c r="J48" s="258">
        <v>170</v>
      </c>
      <c r="K48" s="255" t="s">
        <v>303</v>
      </c>
      <c r="L48" s="259" t="s">
        <v>113</v>
      </c>
      <c r="M48" s="258">
        <v>0</v>
      </c>
      <c r="N48" s="258">
        <v>0</v>
      </c>
      <c r="O48" s="258">
        <v>2</v>
      </c>
      <c r="P48" s="255" t="s">
        <v>58</v>
      </c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8" t="s">
        <v>408</v>
      </c>
      <c r="AJ48" s="251"/>
    </row>
    <row r="49" spans="1:36" x14ac:dyDescent="0.3">
      <c r="A49" s="253" t="s">
        <v>344</v>
      </c>
      <c r="B49" s="254">
        <v>46044</v>
      </c>
      <c r="C49" s="255" t="s">
        <v>387</v>
      </c>
      <c r="D49" s="256" t="s">
        <v>458</v>
      </c>
      <c r="E49" s="255" t="s">
        <v>386</v>
      </c>
      <c r="F49" s="255" t="s">
        <v>302</v>
      </c>
      <c r="G49" s="257">
        <v>0.80359999999999998</v>
      </c>
      <c r="H49" s="258">
        <v>168</v>
      </c>
      <c r="I49" s="258">
        <v>135</v>
      </c>
      <c r="J49" s="258">
        <v>135</v>
      </c>
      <c r="K49" s="255" t="s">
        <v>303</v>
      </c>
      <c r="L49" s="259" t="s">
        <v>91</v>
      </c>
      <c r="M49" s="258">
        <v>0</v>
      </c>
      <c r="N49" s="258">
        <v>0</v>
      </c>
      <c r="O49" s="258">
        <v>4</v>
      </c>
      <c r="P49" s="255" t="s">
        <v>102</v>
      </c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8" t="s">
        <v>123</v>
      </c>
      <c r="AJ49" s="251"/>
    </row>
    <row r="50" spans="1:36" x14ac:dyDescent="0.3">
      <c r="A50" s="253" t="s">
        <v>300</v>
      </c>
      <c r="B50" s="254">
        <v>46045</v>
      </c>
      <c r="C50" s="255" t="s">
        <v>387</v>
      </c>
      <c r="D50" s="256" t="s">
        <v>446</v>
      </c>
      <c r="E50" s="255" t="s">
        <v>386</v>
      </c>
      <c r="F50" s="255" t="s">
        <v>302</v>
      </c>
      <c r="G50" s="257">
        <v>5.3600000000000002E-2</v>
      </c>
      <c r="H50" s="258">
        <v>168</v>
      </c>
      <c r="I50" s="258">
        <v>9</v>
      </c>
      <c r="J50" s="258">
        <v>0</v>
      </c>
      <c r="K50" s="255" t="s">
        <v>303</v>
      </c>
      <c r="L50" s="259" t="s">
        <v>106</v>
      </c>
      <c r="M50" s="258">
        <v>0</v>
      </c>
      <c r="N50" s="258">
        <v>0</v>
      </c>
      <c r="O50" s="258">
        <v>9</v>
      </c>
      <c r="P50" s="255" t="s">
        <v>102</v>
      </c>
      <c r="Q50" s="251"/>
      <c r="R50" s="251"/>
      <c r="S50" s="251"/>
      <c r="T50" s="251"/>
      <c r="U50" s="251"/>
      <c r="V50" s="251"/>
      <c r="W50" s="251"/>
      <c r="X50" s="251"/>
      <c r="Y50" s="251"/>
      <c r="Z50" s="258" t="s">
        <v>208</v>
      </c>
      <c r="AA50" s="251"/>
      <c r="AB50" s="251"/>
      <c r="AC50" s="258" t="s">
        <v>142</v>
      </c>
      <c r="AD50" s="251"/>
      <c r="AE50" s="251"/>
      <c r="AF50" s="251"/>
      <c r="AG50" s="251"/>
      <c r="AH50" s="251"/>
      <c r="AI50" s="251"/>
      <c r="AJ50" s="251"/>
    </row>
    <row r="51" spans="1:36" x14ac:dyDescent="0.3">
      <c r="A51" s="253" t="s">
        <v>312</v>
      </c>
      <c r="B51" s="254">
        <v>46046</v>
      </c>
      <c r="C51" s="255" t="s">
        <v>390</v>
      </c>
      <c r="D51" s="256" t="s">
        <v>306</v>
      </c>
      <c r="E51" s="255" t="s">
        <v>386</v>
      </c>
      <c r="F51" s="255" t="s">
        <v>302</v>
      </c>
      <c r="G51" s="257">
        <v>0.8095</v>
      </c>
      <c r="H51" s="258">
        <v>168</v>
      </c>
      <c r="I51" s="258">
        <v>136</v>
      </c>
      <c r="J51" s="258">
        <v>135</v>
      </c>
      <c r="K51" s="255" t="s">
        <v>303</v>
      </c>
      <c r="L51" s="259" t="s">
        <v>97</v>
      </c>
      <c r="M51" s="258">
        <v>0</v>
      </c>
      <c r="N51" s="258">
        <v>0</v>
      </c>
      <c r="O51" s="258">
        <v>4</v>
      </c>
      <c r="P51" s="255" t="s">
        <v>102</v>
      </c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8" t="s">
        <v>160</v>
      </c>
      <c r="AD51" s="251"/>
      <c r="AE51" s="251"/>
      <c r="AF51" s="251"/>
      <c r="AG51" s="251"/>
      <c r="AH51" s="251"/>
      <c r="AI51" s="258" t="s">
        <v>123</v>
      </c>
      <c r="AJ51" s="251"/>
    </row>
    <row r="52" spans="1:36" x14ac:dyDescent="0.3">
      <c r="A52" s="253" t="s">
        <v>312</v>
      </c>
      <c r="B52" s="254">
        <v>46046</v>
      </c>
      <c r="C52" s="255" t="s">
        <v>387</v>
      </c>
      <c r="D52" s="256" t="s">
        <v>449</v>
      </c>
      <c r="E52" s="255" t="s">
        <v>386</v>
      </c>
      <c r="F52" s="255" t="s">
        <v>302</v>
      </c>
      <c r="G52" s="257">
        <v>0.82740000000000002</v>
      </c>
      <c r="H52" s="258">
        <v>168</v>
      </c>
      <c r="I52" s="258">
        <v>139</v>
      </c>
      <c r="J52" s="258">
        <v>135</v>
      </c>
      <c r="K52" s="255" t="s">
        <v>303</v>
      </c>
      <c r="L52" s="259" t="s">
        <v>97</v>
      </c>
      <c r="M52" s="258">
        <v>0</v>
      </c>
      <c r="N52" s="258">
        <v>0</v>
      </c>
      <c r="O52" s="258">
        <v>8</v>
      </c>
      <c r="P52" s="255" t="s">
        <v>102</v>
      </c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8" t="s">
        <v>148</v>
      </c>
      <c r="AD52" s="251"/>
      <c r="AE52" s="251"/>
      <c r="AF52" s="251"/>
      <c r="AG52" s="251"/>
      <c r="AH52" s="251"/>
      <c r="AI52" s="258" t="s">
        <v>123</v>
      </c>
      <c r="AJ52" s="251"/>
    </row>
    <row r="53" spans="1:36" x14ac:dyDescent="0.3">
      <c r="A53" s="253" t="s">
        <v>317</v>
      </c>
      <c r="B53" s="254">
        <v>46047</v>
      </c>
      <c r="C53" s="255" t="s">
        <v>390</v>
      </c>
      <c r="D53" s="256" t="s">
        <v>450</v>
      </c>
      <c r="E53" s="255" t="s">
        <v>386</v>
      </c>
      <c r="F53" s="255" t="s">
        <v>302</v>
      </c>
      <c r="G53" s="257">
        <v>0.80359999999999998</v>
      </c>
      <c r="H53" s="258">
        <v>168</v>
      </c>
      <c r="I53" s="258">
        <v>135</v>
      </c>
      <c r="J53" s="258">
        <v>135</v>
      </c>
      <c r="K53" s="255" t="s">
        <v>303</v>
      </c>
      <c r="L53" s="259" t="s">
        <v>91</v>
      </c>
      <c r="M53" s="258">
        <v>0</v>
      </c>
      <c r="N53" s="258">
        <v>0</v>
      </c>
      <c r="O53" s="258">
        <v>3</v>
      </c>
      <c r="P53" s="255" t="s">
        <v>102</v>
      </c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8" t="s">
        <v>123</v>
      </c>
      <c r="AJ53" s="251"/>
    </row>
    <row r="54" spans="1:36" x14ac:dyDescent="0.3">
      <c r="A54" s="253" t="s">
        <v>317</v>
      </c>
      <c r="B54" s="254">
        <v>46047</v>
      </c>
      <c r="C54" s="255" t="s">
        <v>387</v>
      </c>
      <c r="D54" s="256" t="s">
        <v>451</v>
      </c>
      <c r="E54" s="255" t="s">
        <v>386</v>
      </c>
      <c r="F54" s="255" t="s">
        <v>302</v>
      </c>
      <c r="G54" s="257">
        <v>0.83930000000000005</v>
      </c>
      <c r="H54" s="258">
        <v>168</v>
      </c>
      <c r="I54" s="258">
        <v>141</v>
      </c>
      <c r="J54" s="258">
        <v>135</v>
      </c>
      <c r="K54" s="255" t="s">
        <v>303</v>
      </c>
      <c r="L54" s="259" t="s">
        <v>97</v>
      </c>
      <c r="M54" s="258">
        <v>0</v>
      </c>
      <c r="N54" s="258">
        <v>0</v>
      </c>
      <c r="O54" s="258">
        <v>11</v>
      </c>
      <c r="P54" s="255" t="s">
        <v>102</v>
      </c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8" t="s">
        <v>388</v>
      </c>
      <c r="AD54" s="251"/>
      <c r="AE54" s="251"/>
      <c r="AF54" s="251"/>
      <c r="AG54" s="251"/>
      <c r="AH54" s="251"/>
      <c r="AI54" s="258" t="s">
        <v>123</v>
      </c>
      <c r="AJ54" s="251"/>
    </row>
    <row r="55" spans="1:36" x14ac:dyDescent="0.3">
      <c r="A55" s="253" t="s">
        <v>323</v>
      </c>
      <c r="B55" s="254">
        <v>46048</v>
      </c>
      <c r="C55" s="255" t="s">
        <v>390</v>
      </c>
      <c r="D55" s="256" t="s">
        <v>452</v>
      </c>
      <c r="E55" s="255" t="s">
        <v>386</v>
      </c>
      <c r="F55" s="255" t="s">
        <v>302</v>
      </c>
      <c r="G55" s="257">
        <v>0.80359999999999998</v>
      </c>
      <c r="H55" s="258">
        <v>168</v>
      </c>
      <c r="I55" s="258">
        <v>135</v>
      </c>
      <c r="J55" s="258">
        <v>135</v>
      </c>
      <c r="K55" s="255" t="s">
        <v>303</v>
      </c>
      <c r="L55" s="259" t="s">
        <v>113</v>
      </c>
      <c r="M55" s="258">
        <v>0</v>
      </c>
      <c r="N55" s="258">
        <v>0</v>
      </c>
      <c r="O55" s="258">
        <v>2</v>
      </c>
      <c r="P55" s="255" t="s">
        <v>102</v>
      </c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8" t="s">
        <v>123</v>
      </c>
      <c r="AJ55" s="251"/>
    </row>
    <row r="56" spans="1:36" x14ac:dyDescent="0.3">
      <c r="A56" s="253" t="s">
        <v>323</v>
      </c>
      <c r="B56" s="254">
        <v>46048</v>
      </c>
      <c r="C56" s="255" t="s">
        <v>387</v>
      </c>
      <c r="D56" s="256" t="s">
        <v>453</v>
      </c>
      <c r="E56" s="255" t="s">
        <v>386</v>
      </c>
      <c r="F56" s="255" t="s">
        <v>302</v>
      </c>
      <c r="G56" s="257">
        <v>0.80359999999999998</v>
      </c>
      <c r="H56" s="258">
        <v>168</v>
      </c>
      <c r="I56" s="258">
        <v>135</v>
      </c>
      <c r="J56" s="258">
        <v>135</v>
      </c>
      <c r="K56" s="255" t="s">
        <v>303</v>
      </c>
      <c r="L56" s="259" t="s">
        <v>113</v>
      </c>
      <c r="M56" s="258">
        <v>0</v>
      </c>
      <c r="N56" s="258">
        <v>0</v>
      </c>
      <c r="O56" s="258">
        <v>4</v>
      </c>
      <c r="P56" s="255" t="s">
        <v>102</v>
      </c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8" t="s">
        <v>123</v>
      </c>
      <c r="AJ56" s="251"/>
    </row>
    <row r="57" spans="1:36" x14ac:dyDescent="0.3">
      <c r="A57" s="253" t="s">
        <v>331</v>
      </c>
      <c r="B57" s="254">
        <v>46049</v>
      </c>
      <c r="C57" s="255" t="s">
        <v>387</v>
      </c>
      <c r="D57" s="256" t="s">
        <v>460</v>
      </c>
      <c r="E57" s="255" t="s">
        <v>386</v>
      </c>
      <c r="F57" s="255" t="s">
        <v>302</v>
      </c>
      <c r="G57" s="257">
        <v>0.77980000000000005</v>
      </c>
      <c r="H57" s="258">
        <v>168</v>
      </c>
      <c r="I57" s="258">
        <v>131</v>
      </c>
      <c r="J57" s="258">
        <v>130</v>
      </c>
      <c r="K57" s="255" t="s">
        <v>303</v>
      </c>
      <c r="L57" s="259" t="s">
        <v>91</v>
      </c>
      <c r="M57" s="258">
        <v>0</v>
      </c>
      <c r="N57" s="258">
        <v>0</v>
      </c>
      <c r="O57" s="258">
        <v>5</v>
      </c>
      <c r="P57" s="255" t="s">
        <v>102</v>
      </c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8" t="s">
        <v>160</v>
      </c>
      <c r="AD57" s="251"/>
      <c r="AE57" s="251"/>
      <c r="AF57" s="251"/>
      <c r="AG57" s="251"/>
      <c r="AH57" s="251"/>
      <c r="AI57" s="258" t="s">
        <v>356</v>
      </c>
      <c r="AJ57" s="251"/>
    </row>
    <row r="58" spans="1:36" x14ac:dyDescent="0.3">
      <c r="A58" s="253" t="s">
        <v>340</v>
      </c>
      <c r="B58" s="254">
        <v>46050</v>
      </c>
      <c r="C58" s="255" t="s">
        <v>387</v>
      </c>
      <c r="D58" s="256" t="s">
        <v>314</v>
      </c>
      <c r="E58" s="255" t="s">
        <v>386</v>
      </c>
      <c r="F58" s="255" t="s">
        <v>302</v>
      </c>
      <c r="G58" s="257">
        <v>0.80359999999999998</v>
      </c>
      <c r="H58" s="258">
        <v>168</v>
      </c>
      <c r="I58" s="258">
        <v>135</v>
      </c>
      <c r="J58" s="258">
        <v>135</v>
      </c>
      <c r="K58" s="255" t="s">
        <v>303</v>
      </c>
      <c r="L58" s="259" t="s">
        <v>91</v>
      </c>
      <c r="M58" s="258">
        <v>0</v>
      </c>
      <c r="N58" s="258">
        <v>0</v>
      </c>
      <c r="O58" s="258">
        <v>3</v>
      </c>
      <c r="P58" s="255" t="s">
        <v>102</v>
      </c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8" t="s">
        <v>123</v>
      </c>
      <c r="AJ58" s="251"/>
    </row>
    <row r="59" spans="1:36" x14ac:dyDescent="0.3">
      <c r="A59" s="253" t="s">
        <v>340</v>
      </c>
      <c r="B59" s="254">
        <v>46050</v>
      </c>
      <c r="C59" s="255" t="s">
        <v>399</v>
      </c>
      <c r="D59" s="256" t="s">
        <v>455</v>
      </c>
      <c r="E59" s="255" t="s">
        <v>386</v>
      </c>
      <c r="F59" s="255" t="s">
        <v>302</v>
      </c>
      <c r="G59" s="257">
        <v>0.82140000000000002</v>
      </c>
      <c r="H59" s="258">
        <v>168</v>
      </c>
      <c r="I59" s="258">
        <v>138</v>
      </c>
      <c r="J59" s="258">
        <v>135</v>
      </c>
      <c r="K59" s="255" t="s">
        <v>303</v>
      </c>
      <c r="L59" s="259" t="s">
        <v>113</v>
      </c>
      <c r="M59" s="258">
        <v>0</v>
      </c>
      <c r="N59" s="258">
        <v>0</v>
      </c>
      <c r="O59" s="258">
        <v>6</v>
      </c>
      <c r="P59" s="255" t="s">
        <v>102</v>
      </c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8" t="s">
        <v>104</v>
      </c>
      <c r="AD59" s="251"/>
      <c r="AE59" s="251"/>
      <c r="AF59" s="251"/>
      <c r="AG59" s="251"/>
      <c r="AH59" s="251"/>
      <c r="AI59" s="258" t="s">
        <v>123</v>
      </c>
      <c r="AJ59" s="251"/>
    </row>
    <row r="60" spans="1:36" x14ac:dyDescent="0.3">
      <c r="A60" s="253" t="s">
        <v>340</v>
      </c>
      <c r="B60" s="254">
        <v>46050</v>
      </c>
      <c r="C60" s="255" t="s">
        <v>390</v>
      </c>
      <c r="D60" s="256" t="s">
        <v>457</v>
      </c>
      <c r="E60" s="255" t="s">
        <v>386</v>
      </c>
      <c r="F60" s="255" t="s">
        <v>302</v>
      </c>
      <c r="G60" s="257">
        <v>1.0179</v>
      </c>
      <c r="H60" s="258">
        <v>168</v>
      </c>
      <c r="I60" s="258">
        <v>171</v>
      </c>
      <c r="J60" s="258">
        <v>170</v>
      </c>
      <c r="K60" s="255" t="s">
        <v>303</v>
      </c>
      <c r="L60" s="259" t="s">
        <v>113</v>
      </c>
      <c r="M60" s="258">
        <v>0</v>
      </c>
      <c r="N60" s="258">
        <v>0</v>
      </c>
      <c r="O60" s="258">
        <v>3</v>
      </c>
      <c r="P60" s="255" t="s">
        <v>58</v>
      </c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8" t="s">
        <v>160</v>
      </c>
      <c r="AD60" s="251"/>
      <c r="AE60" s="251"/>
      <c r="AF60" s="251"/>
      <c r="AG60" s="251"/>
      <c r="AH60" s="251"/>
      <c r="AI60" s="258" t="s">
        <v>408</v>
      </c>
      <c r="AJ60" s="251"/>
    </row>
    <row r="61" spans="1:36" x14ac:dyDescent="0.3">
      <c r="A61" s="253" t="s">
        <v>344</v>
      </c>
      <c r="B61" s="254">
        <v>46051</v>
      </c>
      <c r="C61" s="255" t="s">
        <v>387</v>
      </c>
      <c r="D61" s="256" t="s">
        <v>458</v>
      </c>
      <c r="E61" s="255" t="s">
        <v>386</v>
      </c>
      <c r="F61" s="255" t="s">
        <v>302</v>
      </c>
      <c r="G61" s="257">
        <v>0.8095</v>
      </c>
      <c r="H61" s="258">
        <v>168</v>
      </c>
      <c r="I61" s="258">
        <v>136</v>
      </c>
      <c r="J61" s="258">
        <v>135</v>
      </c>
      <c r="K61" s="255" t="s">
        <v>303</v>
      </c>
      <c r="L61" s="259" t="s">
        <v>91</v>
      </c>
      <c r="M61" s="258">
        <v>0</v>
      </c>
      <c r="N61" s="258">
        <v>0</v>
      </c>
      <c r="O61" s="258">
        <v>4</v>
      </c>
      <c r="P61" s="255" t="s">
        <v>102</v>
      </c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8" t="s">
        <v>160</v>
      </c>
      <c r="AD61" s="251"/>
      <c r="AE61" s="251"/>
      <c r="AF61" s="251"/>
      <c r="AG61" s="251"/>
      <c r="AH61" s="251"/>
      <c r="AI61" s="258" t="s">
        <v>123</v>
      </c>
      <c r="AJ61" s="251"/>
    </row>
    <row r="62" spans="1:36" x14ac:dyDescent="0.3">
      <c r="A62" s="253" t="s">
        <v>300</v>
      </c>
      <c r="B62" s="254">
        <v>46052</v>
      </c>
      <c r="C62" s="255" t="s">
        <v>387</v>
      </c>
      <c r="D62" s="256" t="s">
        <v>446</v>
      </c>
      <c r="E62" s="255" t="s">
        <v>386</v>
      </c>
      <c r="F62" s="255" t="s">
        <v>302</v>
      </c>
      <c r="G62" s="257">
        <v>7.7399999999999997E-2</v>
      </c>
      <c r="H62" s="258">
        <v>168</v>
      </c>
      <c r="I62" s="258">
        <v>13</v>
      </c>
      <c r="J62" s="258">
        <v>0</v>
      </c>
      <c r="K62" s="255" t="s">
        <v>303</v>
      </c>
      <c r="L62" s="259" t="s">
        <v>97</v>
      </c>
      <c r="M62" s="258">
        <v>0</v>
      </c>
      <c r="N62" s="258">
        <v>0</v>
      </c>
      <c r="O62" s="258">
        <v>13</v>
      </c>
      <c r="P62" s="255" t="s">
        <v>269</v>
      </c>
      <c r="Q62" s="251"/>
      <c r="R62" s="251"/>
      <c r="S62" s="251"/>
      <c r="T62" s="251"/>
      <c r="U62" s="251"/>
      <c r="V62" s="251"/>
      <c r="W62" s="251"/>
      <c r="X62" s="251"/>
      <c r="Y62" s="251"/>
      <c r="Z62" s="258" t="s">
        <v>208</v>
      </c>
      <c r="AA62" s="251"/>
      <c r="AB62" s="251"/>
      <c r="AC62" s="258" t="s">
        <v>368</v>
      </c>
      <c r="AD62" s="251"/>
      <c r="AE62" s="251"/>
      <c r="AF62" s="251"/>
      <c r="AG62" s="251"/>
      <c r="AH62" s="251"/>
      <c r="AI62" s="251"/>
      <c r="AJ62" s="251"/>
    </row>
    <row r="63" spans="1:36" x14ac:dyDescent="0.3">
      <c r="A63" s="253" t="s">
        <v>312</v>
      </c>
      <c r="B63" s="254">
        <v>46053</v>
      </c>
      <c r="C63" s="255" t="s">
        <v>390</v>
      </c>
      <c r="D63" s="256" t="s">
        <v>306</v>
      </c>
      <c r="E63" s="255" t="s">
        <v>386</v>
      </c>
      <c r="F63" s="255" t="s">
        <v>302</v>
      </c>
      <c r="G63" s="257">
        <v>0.80359999999999998</v>
      </c>
      <c r="H63" s="258">
        <v>168</v>
      </c>
      <c r="I63" s="258">
        <v>135</v>
      </c>
      <c r="J63" s="258">
        <v>135</v>
      </c>
      <c r="K63" s="255" t="s">
        <v>303</v>
      </c>
      <c r="L63" s="259" t="s">
        <v>97</v>
      </c>
      <c r="M63" s="258">
        <v>0</v>
      </c>
      <c r="N63" s="258">
        <v>0</v>
      </c>
      <c r="O63" s="258">
        <v>3</v>
      </c>
      <c r="P63" s="255" t="s">
        <v>102</v>
      </c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8" t="s">
        <v>123</v>
      </c>
      <c r="AJ63" s="251"/>
    </row>
    <row r="64" spans="1:36" x14ac:dyDescent="0.3">
      <c r="A64" s="253" t="s">
        <v>312</v>
      </c>
      <c r="B64" s="254">
        <v>46053</v>
      </c>
      <c r="C64" s="255" t="s">
        <v>387</v>
      </c>
      <c r="D64" s="256" t="s">
        <v>449</v>
      </c>
      <c r="E64" s="255" t="s">
        <v>386</v>
      </c>
      <c r="F64" s="255" t="s">
        <v>302</v>
      </c>
      <c r="G64" s="257">
        <v>0.8095</v>
      </c>
      <c r="H64" s="258">
        <v>168</v>
      </c>
      <c r="I64" s="258">
        <v>136</v>
      </c>
      <c r="J64" s="258">
        <v>135</v>
      </c>
      <c r="K64" s="255" t="s">
        <v>303</v>
      </c>
      <c r="L64" s="259" t="s">
        <v>97</v>
      </c>
      <c r="M64" s="258">
        <v>0</v>
      </c>
      <c r="N64" s="258">
        <v>0</v>
      </c>
      <c r="O64" s="258">
        <v>5</v>
      </c>
      <c r="P64" s="255" t="s">
        <v>102</v>
      </c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8" t="s">
        <v>160</v>
      </c>
      <c r="AD64" s="251"/>
      <c r="AE64" s="251"/>
      <c r="AF64" s="251"/>
      <c r="AG64" s="251"/>
      <c r="AH64" s="251"/>
      <c r="AI64" s="258" t="s">
        <v>123</v>
      </c>
      <c r="AJ64" s="251"/>
    </row>
    <row r="65" spans="1:36" x14ac:dyDescent="0.3">
      <c r="A65" s="253" t="s">
        <v>317</v>
      </c>
      <c r="B65" s="254">
        <v>46054</v>
      </c>
      <c r="C65" s="255" t="s">
        <v>390</v>
      </c>
      <c r="D65" s="256" t="s">
        <v>450</v>
      </c>
      <c r="E65" s="255" t="s">
        <v>386</v>
      </c>
      <c r="F65" s="255" t="s">
        <v>302</v>
      </c>
      <c r="G65" s="257">
        <v>0.80359999999999998</v>
      </c>
      <c r="H65" s="258">
        <v>168</v>
      </c>
      <c r="I65" s="258">
        <v>135</v>
      </c>
      <c r="J65" s="258">
        <v>135</v>
      </c>
      <c r="K65" s="255" t="s">
        <v>303</v>
      </c>
      <c r="L65" s="259" t="s">
        <v>91</v>
      </c>
      <c r="M65" s="258">
        <v>0</v>
      </c>
      <c r="N65" s="258">
        <v>0</v>
      </c>
      <c r="O65" s="258">
        <v>3</v>
      </c>
      <c r="P65" s="255" t="s">
        <v>80</v>
      </c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8" t="s">
        <v>123</v>
      </c>
      <c r="AJ65" s="251"/>
    </row>
    <row r="66" spans="1:36" x14ac:dyDescent="0.3">
      <c r="A66" s="253" t="s">
        <v>317</v>
      </c>
      <c r="B66" s="254">
        <v>46054</v>
      </c>
      <c r="C66" s="255" t="s">
        <v>387</v>
      </c>
      <c r="D66" s="256" t="s">
        <v>451</v>
      </c>
      <c r="E66" s="255" t="s">
        <v>386</v>
      </c>
      <c r="F66" s="255" t="s">
        <v>302</v>
      </c>
      <c r="G66" s="257">
        <v>0.82140000000000002</v>
      </c>
      <c r="H66" s="258">
        <v>168</v>
      </c>
      <c r="I66" s="258">
        <v>138</v>
      </c>
      <c r="J66" s="258">
        <v>135</v>
      </c>
      <c r="K66" s="255" t="s">
        <v>303</v>
      </c>
      <c r="L66" s="259" t="s">
        <v>97</v>
      </c>
      <c r="M66" s="258">
        <v>0</v>
      </c>
      <c r="N66" s="258">
        <v>0</v>
      </c>
      <c r="O66" s="258">
        <v>7</v>
      </c>
      <c r="P66" s="255" t="s">
        <v>95</v>
      </c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8" t="s">
        <v>127</v>
      </c>
      <c r="AE66" s="251"/>
      <c r="AF66" s="251"/>
      <c r="AG66" s="251"/>
      <c r="AH66" s="251"/>
      <c r="AI66" s="258" t="s">
        <v>123</v>
      </c>
      <c r="AJ66" s="251"/>
    </row>
    <row r="67" spans="1:36" x14ac:dyDescent="0.3">
      <c r="A67" s="253" t="s">
        <v>323</v>
      </c>
      <c r="B67" s="254">
        <v>46055</v>
      </c>
      <c r="C67" s="255" t="s">
        <v>390</v>
      </c>
      <c r="D67" s="256" t="s">
        <v>452</v>
      </c>
      <c r="E67" s="255" t="s">
        <v>386</v>
      </c>
      <c r="F67" s="255" t="s">
        <v>302</v>
      </c>
      <c r="G67" s="257">
        <v>0.80359999999999998</v>
      </c>
      <c r="H67" s="258">
        <v>168</v>
      </c>
      <c r="I67" s="258">
        <v>135</v>
      </c>
      <c r="J67" s="258">
        <v>135</v>
      </c>
      <c r="K67" s="255" t="s">
        <v>303</v>
      </c>
      <c r="L67" s="259" t="s">
        <v>113</v>
      </c>
      <c r="M67" s="258">
        <v>0</v>
      </c>
      <c r="N67" s="258">
        <v>0</v>
      </c>
      <c r="O67" s="258">
        <v>2</v>
      </c>
      <c r="P67" s="255" t="s">
        <v>80</v>
      </c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8" t="s">
        <v>123</v>
      </c>
      <c r="AJ67" s="251"/>
    </row>
    <row r="68" spans="1:36" x14ac:dyDescent="0.3">
      <c r="A68" s="253" t="s">
        <v>323</v>
      </c>
      <c r="B68" s="254">
        <v>46055</v>
      </c>
      <c r="C68" s="255" t="s">
        <v>387</v>
      </c>
      <c r="D68" s="256" t="s">
        <v>453</v>
      </c>
      <c r="E68" s="255" t="s">
        <v>386</v>
      </c>
      <c r="F68" s="255" t="s">
        <v>302</v>
      </c>
      <c r="G68" s="257">
        <v>0.83930000000000005</v>
      </c>
      <c r="H68" s="258">
        <v>168</v>
      </c>
      <c r="I68" s="258">
        <v>141</v>
      </c>
      <c r="J68" s="258">
        <v>135</v>
      </c>
      <c r="K68" s="255" t="s">
        <v>303</v>
      </c>
      <c r="L68" s="259" t="s">
        <v>113</v>
      </c>
      <c r="M68" s="258">
        <v>0</v>
      </c>
      <c r="N68" s="258">
        <v>0</v>
      </c>
      <c r="O68" s="258">
        <v>10</v>
      </c>
      <c r="P68" s="255" t="s">
        <v>133</v>
      </c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8" t="s">
        <v>87</v>
      </c>
      <c r="AE68" s="251"/>
      <c r="AF68" s="251"/>
      <c r="AG68" s="251"/>
      <c r="AH68" s="251"/>
      <c r="AI68" s="258" t="s">
        <v>123</v>
      </c>
      <c r="AJ68" s="251"/>
    </row>
    <row r="69" spans="1:36" x14ac:dyDescent="0.3">
      <c r="A69" s="253" t="s">
        <v>331</v>
      </c>
      <c r="B69" s="254">
        <v>46056</v>
      </c>
      <c r="C69" s="255" t="s">
        <v>387</v>
      </c>
      <c r="D69" s="256" t="s">
        <v>460</v>
      </c>
      <c r="E69" s="255" t="s">
        <v>386</v>
      </c>
      <c r="F69" s="255" t="s">
        <v>302</v>
      </c>
      <c r="G69" s="257">
        <v>0.79759999999999998</v>
      </c>
      <c r="H69" s="258">
        <v>168</v>
      </c>
      <c r="I69" s="258">
        <v>134</v>
      </c>
      <c r="J69" s="258">
        <v>130</v>
      </c>
      <c r="K69" s="255" t="s">
        <v>303</v>
      </c>
      <c r="L69" s="259" t="s">
        <v>91</v>
      </c>
      <c r="M69" s="258">
        <v>0</v>
      </c>
      <c r="N69" s="258">
        <v>0</v>
      </c>
      <c r="O69" s="258">
        <v>9</v>
      </c>
      <c r="P69" s="255" t="s">
        <v>87</v>
      </c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8" t="s">
        <v>133</v>
      </c>
      <c r="AE69" s="251"/>
      <c r="AF69" s="251"/>
      <c r="AG69" s="251"/>
      <c r="AH69" s="251"/>
      <c r="AI69" s="258" t="s">
        <v>356</v>
      </c>
      <c r="AJ69" s="251"/>
    </row>
    <row r="70" spans="1:36" x14ac:dyDescent="0.3">
      <c r="A70" s="253" t="s">
        <v>340</v>
      </c>
      <c r="B70" s="254">
        <v>46057</v>
      </c>
      <c r="C70" s="255" t="s">
        <v>387</v>
      </c>
      <c r="D70" s="256" t="s">
        <v>314</v>
      </c>
      <c r="E70" s="255" t="s">
        <v>386</v>
      </c>
      <c r="F70" s="255" t="s">
        <v>302</v>
      </c>
      <c r="G70" s="257">
        <v>0.8155</v>
      </c>
      <c r="H70" s="258">
        <v>168</v>
      </c>
      <c r="I70" s="258">
        <v>137</v>
      </c>
      <c r="J70" s="258">
        <v>135</v>
      </c>
      <c r="K70" s="255" t="s">
        <v>303</v>
      </c>
      <c r="L70" s="259" t="s">
        <v>91</v>
      </c>
      <c r="M70" s="258">
        <v>0</v>
      </c>
      <c r="N70" s="258">
        <v>0</v>
      </c>
      <c r="O70" s="258">
        <v>5</v>
      </c>
      <c r="P70" s="255" t="s">
        <v>92</v>
      </c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8" t="s">
        <v>89</v>
      </c>
      <c r="AE70" s="251"/>
      <c r="AF70" s="251"/>
      <c r="AG70" s="251"/>
      <c r="AH70" s="251"/>
      <c r="AI70" s="258" t="s">
        <v>123</v>
      </c>
      <c r="AJ70" s="251"/>
    </row>
    <row r="71" spans="1:36" x14ac:dyDescent="0.3">
      <c r="A71" s="253" t="s">
        <v>340</v>
      </c>
      <c r="B71" s="254">
        <v>46057</v>
      </c>
      <c r="C71" s="255" t="s">
        <v>399</v>
      </c>
      <c r="D71" s="256" t="s">
        <v>455</v>
      </c>
      <c r="E71" s="255" t="s">
        <v>386</v>
      </c>
      <c r="F71" s="255" t="s">
        <v>302</v>
      </c>
      <c r="G71" s="257">
        <v>0.8095</v>
      </c>
      <c r="H71" s="258">
        <v>168</v>
      </c>
      <c r="I71" s="258">
        <v>136</v>
      </c>
      <c r="J71" s="258">
        <v>135</v>
      </c>
      <c r="K71" s="255" t="s">
        <v>303</v>
      </c>
      <c r="L71" s="259" t="s">
        <v>113</v>
      </c>
      <c r="M71" s="258">
        <v>0</v>
      </c>
      <c r="N71" s="258">
        <v>0</v>
      </c>
      <c r="O71" s="258">
        <v>4</v>
      </c>
      <c r="P71" s="255" t="s">
        <v>80</v>
      </c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8" t="s">
        <v>114</v>
      </c>
      <c r="AE71" s="251"/>
      <c r="AF71" s="251"/>
      <c r="AG71" s="251"/>
      <c r="AH71" s="251"/>
      <c r="AI71" s="258" t="s">
        <v>123</v>
      </c>
      <c r="AJ71" s="251"/>
    </row>
    <row r="72" spans="1:36" x14ac:dyDescent="0.3">
      <c r="A72" s="253" t="s">
        <v>340</v>
      </c>
      <c r="B72" s="254">
        <v>46057</v>
      </c>
      <c r="C72" s="255" t="s">
        <v>390</v>
      </c>
      <c r="D72" s="256" t="s">
        <v>457</v>
      </c>
      <c r="E72" s="255" t="s">
        <v>386</v>
      </c>
      <c r="F72" s="255" t="s">
        <v>302</v>
      </c>
      <c r="G72" s="257">
        <v>1.0119</v>
      </c>
      <c r="H72" s="258">
        <v>168</v>
      </c>
      <c r="I72" s="258">
        <v>170</v>
      </c>
      <c r="J72" s="258">
        <v>170</v>
      </c>
      <c r="K72" s="255" t="s">
        <v>303</v>
      </c>
      <c r="L72" s="259" t="s">
        <v>113</v>
      </c>
      <c r="M72" s="258">
        <v>0</v>
      </c>
      <c r="N72" s="258">
        <v>0</v>
      </c>
      <c r="O72" s="258">
        <v>4</v>
      </c>
      <c r="P72" s="255" t="s">
        <v>58</v>
      </c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8" t="s">
        <v>408</v>
      </c>
      <c r="AJ72" s="251"/>
    </row>
    <row r="73" spans="1:36" x14ac:dyDescent="0.3">
      <c r="A73" s="253" t="s">
        <v>344</v>
      </c>
      <c r="B73" s="254">
        <v>46058</v>
      </c>
      <c r="C73" s="255" t="s">
        <v>387</v>
      </c>
      <c r="D73" s="256" t="s">
        <v>458</v>
      </c>
      <c r="E73" s="255" t="s">
        <v>386</v>
      </c>
      <c r="F73" s="255" t="s">
        <v>302</v>
      </c>
      <c r="G73" s="257">
        <v>0.82140000000000002</v>
      </c>
      <c r="H73" s="258">
        <v>168</v>
      </c>
      <c r="I73" s="258">
        <v>138</v>
      </c>
      <c r="J73" s="258">
        <v>135</v>
      </c>
      <c r="K73" s="255" t="s">
        <v>303</v>
      </c>
      <c r="L73" s="259" t="s">
        <v>97</v>
      </c>
      <c r="M73" s="258">
        <v>0</v>
      </c>
      <c r="N73" s="258">
        <v>0</v>
      </c>
      <c r="O73" s="258">
        <v>6</v>
      </c>
      <c r="P73" s="255" t="s">
        <v>95</v>
      </c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8" t="s">
        <v>127</v>
      </c>
      <c r="AE73" s="251"/>
      <c r="AF73" s="251"/>
      <c r="AG73" s="251"/>
      <c r="AH73" s="251"/>
      <c r="AI73" s="258" t="s">
        <v>123</v>
      </c>
      <c r="AJ73" s="251"/>
    </row>
    <row r="74" spans="1:36" x14ac:dyDescent="0.3">
      <c r="A74" s="253" t="s">
        <v>300</v>
      </c>
      <c r="B74" s="254">
        <v>46059</v>
      </c>
      <c r="C74" s="255" t="s">
        <v>387</v>
      </c>
      <c r="D74" s="256" t="s">
        <v>446</v>
      </c>
      <c r="E74" s="255" t="s">
        <v>386</v>
      </c>
      <c r="F74" s="255" t="s">
        <v>302</v>
      </c>
      <c r="G74" s="257">
        <v>0.83330000000000004</v>
      </c>
      <c r="H74" s="258">
        <v>168</v>
      </c>
      <c r="I74" s="258">
        <v>140</v>
      </c>
      <c r="J74" s="258">
        <v>135</v>
      </c>
      <c r="K74" s="255" t="s">
        <v>303</v>
      </c>
      <c r="L74" s="259" t="s">
        <v>97</v>
      </c>
      <c r="M74" s="258">
        <v>0</v>
      </c>
      <c r="N74" s="258">
        <v>0</v>
      </c>
      <c r="O74" s="258">
        <v>8</v>
      </c>
      <c r="P74" s="255" t="s">
        <v>230</v>
      </c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8" t="s">
        <v>133</v>
      </c>
      <c r="AE74" s="251"/>
      <c r="AF74" s="258" t="s">
        <v>42</v>
      </c>
      <c r="AG74" s="251"/>
      <c r="AH74" s="251"/>
      <c r="AI74" s="258" t="s">
        <v>123</v>
      </c>
      <c r="AJ74" s="251"/>
    </row>
    <row r="75" spans="1:36" x14ac:dyDescent="0.3">
      <c r="A75" s="253" t="s">
        <v>312</v>
      </c>
      <c r="B75" s="254">
        <v>46060</v>
      </c>
      <c r="C75" s="255" t="s">
        <v>390</v>
      </c>
      <c r="D75" s="256" t="s">
        <v>306</v>
      </c>
      <c r="E75" s="255" t="s">
        <v>386</v>
      </c>
      <c r="F75" s="255" t="s">
        <v>302</v>
      </c>
      <c r="G75" s="257">
        <v>0.88690000000000002</v>
      </c>
      <c r="H75" s="258">
        <v>168</v>
      </c>
      <c r="I75" s="258">
        <v>149</v>
      </c>
      <c r="J75" s="258">
        <v>135</v>
      </c>
      <c r="K75" s="255" t="s">
        <v>303</v>
      </c>
      <c r="L75" s="259" t="s">
        <v>97</v>
      </c>
      <c r="M75" s="258">
        <v>0</v>
      </c>
      <c r="N75" s="258">
        <v>0</v>
      </c>
      <c r="O75" s="258">
        <v>17</v>
      </c>
      <c r="P75" s="255" t="s">
        <v>114</v>
      </c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8" t="s">
        <v>269</v>
      </c>
      <c r="AD75" s="258" t="s">
        <v>80</v>
      </c>
      <c r="AE75" s="251"/>
      <c r="AF75" s="251"/>
      <c r="AG75" s="251"/>
      <c r="AH75" s="251"/>
      <c r="AI75" s="258" t="s">
        <v>123</v>
      </c>
      <c r="AJ75" s="251"/>
    </row>
    <row r="76" spans="1:36" x14ac:dyDescent="0.3">
      <c r="A76" s="253" t="s">
        <v>312</v>
      </c>
      <c r="B76" s="254">
        <v>46060</v>
      </c>
      <c r="C76" s="255" t="s">
        <v>387</v>
      </c>
      <c r="D76" s="256" t="s">
        <v>449</v>
      </c>
      <c r="E76" s="255" t="s">
        <v>386</v>
      </c>
      <c r="F76" s="255" t="s">
        <v>302</v>
      </c>
      <c r="G76" s="257">
        <v>0.86309999999999998</v>
      </c>
      <c r="H76" s="258">
        <v>168</v>
      </c>
      <c r="I76" s="258">
        <v>145</v>
      </c>
      <c r="J76" s="258">
        <v>135</v>
      </c>
      <c r="K76" s="255" t="s">
        <v>303</v>
      </c>
      <c r="L76" s="259" t="s">
        <v>97</v>
      </c>
      <c r="M76" s="258">
        <v>0</v>
      </c>
      <c r="N76" s="258">
        <v>0</v>
      </c>
      <c r="O76" s="258">
        <v>14</v>
      </c>
      <c r="P76" s="255" t="s">
        <v>33</v>
      </c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8" t="s">
        <v>132</v>
      </c>
      <c r="AE76" s="251"/>
      <c r="AF76" s="251"/>
      <c r="AG76" s="251"/>
      <c r="AH76" s="251"/>
      <c r="AI76" s="258" t="s">
        <v>123</v>
      </c>
      <c r="AJ76" s="251"/>
    </row>
    <row r="77" spans="1:36" x14ac:dyDescent="0.3">
      <c r="A77" s="253" t="s">
        <v>317</v>
      </c>
      <c r="B77" s="254">
        <v>46061</v>
      </c>
      <c r="C77" s="255" t="s">
        <v>390</v>
      </c>
      <c r="D77" s="256" t="s">
        <v>450</v>
      </c>
      <c r="E77" s="255" t="s">
        <v>386</v>
      </c>
      <c r="F77" s="255" t="s">
        <v>302</v>
      </c>
      <c r="G77" s="257">
        <v>0.82740000000000002</v>
      </c>
      <c r="H77" s="258">
        <v>168</v>
      </c>
      <c r="I77" s="258">
        <v>139</v>
      </c>
      <c r="J77" s="258">
        <v>135</v>
      </c>
      <c r="K77" s="255" t="s">
        <v>303</v>
      </c>
      <c r="L77" s="259" t="s">
        <v>113</v>
      </c>
      <c r="M77" s="258">
        <v>0</v>
      </c>
      <c r="N77" s="258">
        <v>0</v>
      </c>
      <c r="O77" s="258">
        <v>7</v>
      </c>
      <c r="P77" s="255" t="s">
        <v>33</v>
      </c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8" t="s">
        <v>78</v>
      </c>
      <c r="AF77" s="251"/>
      <c r="AG77" s="251"/>
      <c r="AH77" s="251"/>
      <c r="AI77" s="258" t="s">
        <v>123</v>
      </c>
      <c r="AJ77" s="251"/>
    </row>
    <row r="78" spans="1:36" x14ac:dyDescent="0.3">
      <c r="A78" s="253" t="s">
        <v>317</v>
      </c>
      <c r="B78" s="254">
        <v>46061</v>
      </c>
      <c r="C78" s="255" t="s">
        <v>387</v>
      </c>
      <c r="D78" s="256" t="s">
        <v>451</v>
      </c>
      <c r="E78" s="255" t="s">
        <v>386</v>
      </c>
      <c r="F78" s="255" t="s">
        <v>302</v>
      </c>
      <c r="G78" s="257">
        <v>0.83330000000000004</v>
      </c>
      <c r="H78" s="258">
        <v>168</v>
      </c>
      <c r="I78" s="258">
        <v>140</v>
      </c>
      <c r="J78" s="258">
        <v>135</v>
      </c>
      <c r="K78" s="255" t="s">
        <v>303</v>
      </c>
      <c r="L78" s="259" t="s">
        <v>97</v>
      </c>
      <c r="M78" s="258">
        <v>0</v>
      </c>
      <c r="N78" s="258">
        <v>0</v>
      </c>
      <c r="O78" s="258">
        <v>10</v>
      </c>
      <c r="P78" s="255" t="s">
        <v>33</v>
      </c>
      <c r="Q78" s="251"/>
      <c r="R78" s="251"/>
      <c r="S78" s="251"/>
      <c r="T78" s="251"/>
      <c r="U78" s="251"/>
      <c r="V78" s="251"/>
      <c r="W78" s="251"/>
      <c r="X78" s="251"/>
      <c r="Y78" s="251"/>
      <c r="Z78" s="258" t="s">
        <v>198</v>
      </c>
      <c r="AA78" s="251"/>
      <c r="AB78" s="251"/>
      <c r="AC78" s="251"/>
      <c r="AD78" s="258" t="s">
        <v>89</v>
      </c>
      <c r="AE78" s="251"/>
      <c r="AF78" s="251"/>
      <c r="AG78" s="251"/>
      <c r="AH78" s="251"/>
      <c r="AI78" s="258" t="s">
        <v>123</v>
      </c>
      <c r="AJ78" s="251"/>
    </row>
    <row r="79" spans="1:36" x14ac:dyDescent="0.3">
      <c r="A79" s="253" t="s">
        <v>323</v>
      </c>
      <c r="B79" s="254">
        <v>46062</v>
      </c>
      <c r="C79" s="255" t="s">
        <v>390</v>
      </c>
      <c r="D79" s="256" t="s">
        <v>452</v>
      </c>
      <c r="E79" s="255" t="s">
        <v>386</v>
      </c>
      <c r="F79" s="255" t="s">
        <v>302</v>
      </c>
      <c r="G79" s="257">
        <v>0.80359999999999998</v>
      </c>
      <c r="H79" s="258">
        <v>168</v>
      </c>
      <c r="I79" s="258">
        <v>135</v>
      </c>
      <c r="J79" s="258">
        <v>135</v>
      </c>
      <c r="K79" s="255" t="s">
        <v>303</v>
      </c>
      <c r="L79" s="259" t="s">
        <v>113</v>
      </c>
      <c r="M79" s="258">
        <v>0</v>
      </c>
      <c r="N79" s="258">
        <v>0</v>
      </c>
      <c r="O79" s="258">
        <v>2</v>
      </c>
      <c r="P79" s="255" t="s">
        <v>33</v>
      </c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8" t="s">
        <v>123</v>
      </c>
      <c r="AJ79" s="251"/>
    </row>
    <row r="80" spans="1:36" x14ac:dyDescent="0.3">
      <c r="A80" s="253" t="s">
        <v>323</v>
      </c>
      <c r="B80" s="254">
        <v>46062</v>
      </c>
      <c r="C80" s="255" t="s">
        <v>387</v>
      </c>
      <c r="D80" s="256" t="s">
        <v>453</v>
      </c>
      <c r="E80" s="255" t="s">
        <v>386</v>
      </c>
      <c r="F80" s="255" t="s">
        <v>302</v>
      </c>
      <c r="G80" s="257">
        <v>0.82740000000000002</v>
      </c>
      <c r="H80" s="258">
        <v>168</v>
      </c>
      <c r="I80" s="258">
        <v>139</v>
      </c>
      <c r="J80" s="258">
        <v>135</v>
      </c>
      <c r="K80" s="255" t="s">
        <v>303</v>
      </c>
      <c r="L80" s="259" t="s">
        <v>113</v>
      </c>
      <c r="M80" s="258">
        <v>0</v>
      </c>
      <c r="N80" s="258">
        <v>0</v>
      </c>
      <c r="O80" s="258">
        <v>8</v>
      </c>
      <c r="P80" s="255" t="s">
        <v>33</v>
      </c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8" t="s">
        <v>192</v>
      </c>
      <c r="AD80" s="258" t="s">
        <v>89</v>
      </c>
      <c r="AE80" s="251"/>
      <c r="AF80" s="251"/>
      <c r="AG80" s="251"/>
      <c r="AH80" s="251"/>
      <c r="AI80" s="258" t="s">
        <v>123</v>
      </c>
      <c r="AJ80" s="251"/>
    </row>
    <row r="81" spans="1:36" x14ac:dyDescent="0.3">
      <c r="A81" s="253" t="s">
        <v>331</v>
      </c>
      <c r="B81" s="254">
        <v>46063</v>
      </c>
      <c r="C81" s="255" t="s">
        <v>387</v>
      </c>
      <c r="D81" s="256" t="s">
        <v>460</v>
      </c>
      <c r="E81" s="255" t="s">
        <v>386</v>
      </c>
      <c r="F81" s="255" t="s">
        <v>302</v>
      </c>
      <c r="G81" s="257">
        <v>0.82140000000000002</v>
      </c>
      <c r="H81" s="258">
        <v>168</v>
      </c>
      <c r="I81" s="258">
        <v>138</v>
      </c>
      <c r="J81" s="258">
        <v>130</v>
      </c>
      <c r="K81" s="255" t="s">
        <v>303</v>
      </c>
      <c r="L81" s="259" t="s">
        <v>91</v>
      </c>
      <c r="M81" s="258">
        <v>0</v>
      </c>
      <c r="N81" s="258">
        <v>0</v>
      </c>
      <c r="O81" s="258">
        <v>12</v>
      </c>
      <c r="P81" s="255" t="s">
        <v>33</v>
      </c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8" t="s">
        <v>160</v>
      </c>
      <c r="AD81" s="258" t="s">
        <v>95</v>
      </c>
      <c r="AE81" s="251"/>
      <c r="AF81" s="251"/>
      <c r="AG81" s="251"/>
      <c r="AH81" s="251"/>
      <c r="AI81" s="258" t="s">
        <v>356</v>
      </c>
      <c r="AJ81" s="251"/>
    </row>
    <row r="82" spans="1:36" x14ac:dyDescent="0.3">
      <c r="A82" s="253" t="s">
        <v>340</v>
      </c>
      <c r="B82" s="254">
        <v>46064</v>
      </c>
      <c r="C82" s="255" t="s">
        <v>387</v>
      </c>
      <c r="D82" s="256" t="s">
        <v>314</v>
      </c>
      <c r="E82" s="255" t="s">
        <v>386</v>
      </c>
      <c r="F82" s="255" t="s">
        <v>302</v>
      </c>
      <c r="G82" s="257">
        <v>0.8095</v>
      </c>
      <c r="H82" s="258">
        <v>168</v>
      </c>
      <c r="I82" s="258">
        <v>136</v>
      </c>
      <c r="J82" s="258">
        <v>135</v>
      </c>
      <c r="K82" s="255" t="s">
        <v>303</v>
      </c>
      <c r="L82" s="259" t="s">
        <v>91</v>
      </c>
      <c r="M82" s="258">
        <v>0</v>
      </c>
      <c r="N82" s="258">
        <v>0</v>
      </c>
      <c r="O82" s="258">
        <v>4</v>
      </c>
      <c r="P82" s="255" t="s">
        <v>33</v>
      </c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8" t="s">
        <v>114</v>
      </c>
      <c r="AE82" s="251"/>
      <c r="AF82" s="251"/>
      <c r="AG82" s="251"/>
      <c r="AH82" s="251"/>
      <c r="AI82" s="258" t="s">
        <v>123</v>
      </c>
      <c r="AJ82" s="251"/>
    </row>
    <row r="83" spans="1:36" x14ac:dyDescent="0.3">
      <c r="A83" s="253" t="s">
        <v>340</v>
      </c>
      <c r="B83" s="254">
        <v>46064</v>
      </c>
      <c r="C83" s="255" t="s">
        <v>399</v>
      </c>
      <c r="D83" s="256" t="s">
        <v>455</v>
      </c>
      <c r="E83" s="255" t="s">
        <v>386</v>
      </c>
      <c r="F83" s="255" t="s">
        <v>302</v>
      </c>
      <c r="G83" s="257">
        <v>0.8095</v>
      </c>
      <c r="H83" s="258">
        <v>168</v>
      </c>
      <c r="I83" s="258">
        <v>136</v>
      </c>
      <c r="J83" s="258">
        <v>135</v>
      </c>
      <c r="K83" s="255" t="s">
        <v>303</v>
      </c>
      <c r="L83" s="259" t="s">
        <v>113</v>
      </c>
      <c r="M83" s="258">
        <v>0</v>
      </c>
      <c r="N83" s="258">
        <v>0</v>
      </c>
      <c r="O83" s="258">
        <v>5</v>
      </c>
      <c r="P83" s="255" t="s">
        <v>33</v>
      </c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8" t="s">
        <v>114</v>
      </c>
      <c r="AE83" s="251"/>
      <c r="AF83" s="251"/>
      <c r="AG83" s="251"/>
      <c r="AH83" s="251"/>
      <c r="AI83" s="258" t="s">
        <v>123</v>
      </c>
      <c r="AJ83" s="251"/>
    </row>
    <row r="84" spans="1:36" x14ac:dyDescent="0.3">
      <c r="A84" s="253" t="s">
        <v>340</v>
      </c>
      <c r="B84" s="254">
        <v>46064</v>
      </c>
      <c r="C84" s="255" t="s">
        <v>390</v>
      </c>
      <c r="D84" s="256" t="s">
        <v>457</v>
      </c>
      <c r="E84" s="255" t="s">
        <v>386</v>
      </c>
      <c r="F84" s="255" t="s">
        <v>302</v>
      </c>
      <c r="G84" s="257">
        <v>1.0595000000000001</v>
      </c>
      <c r="H84" s="258">
        <v>168</v>
      </c>
      <c r="I84" s="258">
        <v>178</v>
      </c>
      <c r="J84" s="258">
        <v>170</v>
      </c>
      <c r="K84" s="255" t="s">
        <v>303</v>
      </c>
      <c r="L84" s="259" t="s">
        <v>113</v>
      </c>
      <c r="M84" s="258">
        <v>0</v>
      </c>
      <c r="N84" s="258">
        <v>0</v>
      </c>
      <c r="O84" s="258">
        <v>10</v>
      </c>
      <c r="P84" s="255" t="s">
        <v>58</v>
      </c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8" t="s">
        <v>46</v>
      </c>
      <c r="AF84" s="251"/>
      <c r="AG84" s="251"/>
      <c r="AH84" s="251"/>
      <c r="AI84" s="258" t="s">
        <v>408</v>
      </c>
      <c r="AJ84" s="251"/>
    </row>
    <row r="85" spans="1:36" x14ac:dyDescent="0.3">
      <c r="A85" s="253" t="s">
        <v>344</v>
      </c>
      <c r="B85" s="254">
        <v>46065</v>
      </c>
      <c r="C85" s="255" t="s">
        <v>387</v>
      </c>
      <c r="D85" s="256" t="s">
        <v>458</v>
      </c>
      <c r="E85" s="255" t="s">
        <v>386</v>
      </c>
      <c r="F85" s="255" t="s">
        <v>302</v>
      </c>
      <c r="G85" s="257">
        <v>0.82740000000000002</v>
      </c>
      <c r="H85" s="258">
        <v>168</v>
      </c>
      <c r="I85" s="258">
        <v>139</v>
      </c>
      <c r="J85" s="258">
        <v>135</v>
      </c>
      <c r="K85" s="255" t="s">
        <v>303</v>
      </c>
      <c r="L85" s="259" t="s">
        <v>91</v>
      </c>
      <c r="M85" s="258">
        <v>0</v>
      </c>
      <c r="N85" s="258">
        <v>0</v>
      </c>
      <c r="O85" s="258">
        <v>7</v>
      </c>
      <c r="P85" s="255" t="s">
        <v>33</v>
      </c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8" t="s">
        <v>133</v>
      </c>
      <c r="AE85" s="251"/>
      <c r="AF85" s="251"/>
      <c r="AG85" s="251"/>
      <c r="AH85" s="251"/>
      <c r="AI85" s="258" t="s">
        <v>123</v>
      </c>
      <c r="AJ85" s="251"/>
    </row>
    <row r="86" spans="1:36" x14ac:dyDescent="0.3">
      <c r="A86" s="253" t="s">
        <v>300</v>
      </c>
      <c r="B86" s="254">
        <v>46066</v>
      </c>
      <c r="C86" s="255" t="s">
        <v>387</v>
      </c>
      <c r="D86" s="256" t="s">
        <v>446</v>
      </c>
      <c r="E86" s="255" t="s">
        <v>386</v>
      </c>
      <c r="F86" s="255" t="s">
        <v>302</v>
      </c>
      <c r="G86" s="257">
        <v>0.8155</v>
      </c>
      <c r="H86" s="258">
        <v>168</v>
      </c>
      <c r="I86" s="258">
        <v>137</v>
      </c>
      <c r="J86" s="258">
        <v>135</v>
      </c>
      <c r="K86" s="255" t="s">
        <v>303</v>
      </c>
      <c r="L86" s="259" t="s">
        <v>97</v>
      </c>
      <c r="M86" s="258">
        <v>0</v>
      </c>
      <c r="N86" s="258">
        <v>0</v>
      </c>
      <c r="O86" s="258">
        <v>5</v>
      </c>
      <c r="P86" s="255" t="s">
        <v>33</v>
      </c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8" t="s">
        <v>89</v>
      </c>
      <c r="AE86" s="251"/>
      <c r="AF86" s="251"/>
      <c r="AG86" s="251"/>
      <c r="AH86" s="251"/>
      <c r="AI86" s="258" t="s">
        <v>123</v>
      </c>
      <c r="AJ86" s="251"/>
    </row>
    <row r="87" spans="1:36" x14ac:dyDescent="0.3">
      <c r="A87" s="253" t="s">
        <v>312</v>
      </c>
      <c r="B87" s="254">
        <v>46067</v>
      </c>
      <c r="C87" s="255" t="s">
        <v>390</v>
      </c>
      <c r="D87" s="256" t="s">
        <v>306</v>
      </c>
      <c r="E87" s="255" t="s">
        <v>386</v>
      </c>
      <c r="F87" s="255" t="s">
        <v>302</v>
      </c>
      <c r="G87" s="257">
        <v>0.8095</v>
      </c>
      <c r="H87" s="258">
        <v>168</v>
      </c>
      <c r="I87" s="258">
        <v>136</v>
      </c>
      <c r="J87" s="258">
        <v>135</v>
      </c>
      <c r="K87" s="255" t="s">
        <v>303</v>
      </c>
      <c r="L87" s="259" t="s">
        <v>97</v>
      </c>
      <c r="M87" s="258">
        <v>0</v>
      </c>
      <c r="N87" s="258">
        <v>0</v>
      </c>
      <c r="O87" s="258">
        <v>4</v>
      </c>
      <c r="P87" s="255" t="s">
        <v>33</v>
      </c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8" t="s">
        <v>114</v>
      </c>
      <c r="AE87" s="251"/>
      <c r="AF87" s="251"/>
      <c r="AG87" s="251"/>
      <c r="AH87" s="251"/>
      <c r="AI87" s="258" t="s">
        <v>123</v>
      </c>
      <c r="AJ87" s="251"/>
    </row>
    <row r="88" spans="1:36" x14ac:dyDescent="0.3">
      <c r="A88" s="253" t="s">
        <v>312</v>
      </c>
      <c r="B88" s="254">
        <v>46067</v>
      </c>
      <c r="C88" s="255" t="s">
        <v>387</v>
      </c>
      <c r="D88" s="256" t="s">
        <v>449</v>
      </c>
      <c r="E88" s="255" t="s">
        <v>386</v>
      </c>
      <c r="F88" s="255" t="s">
        <v>302</v>
      </c>
      <c r="G88" s="257">
        <v>0.82140000000000002</v>
      </c>
      <c r="H88" s="258">
        <v>168</v>
      </c>
      <c r="I88" s="258">
        <v>138</v>
      </c>
      <c r="J88" s="258">
        <v>135</v>
      </c>
      <c r="K88" s="255" t="s">
        <v>303</v>
      </c>
      <c r="L88" s="259" t="s">
        <v>97</v>
      </c>
      <c r="M88" s="258">
        <v>0</v>
      </c>
      <c r="N88" s="258">
        <v>0</v>
      </c>
      <c r="O88" s="258">
        <v>6</v>
      </c>
      <c r="P88" s="255" t="s">
        <v>33</v>
      </c>
      <c r="Q88" s="251"/>
      <c r="R88" s="251"/>
      <c r="S88" s="251"/>
      <c r="T88" s="251"/>
      <c r="U88" s="251"/>
      <c r="V88" s="251"/>
      <c r="W88" s="251"/>
      <c r="X88" s="251"/>
      <c r="Y88" s="251"/>
      <c r="Z88" s="258" t="s">
        <v>208</v>
      </c>
      <c r="AA88" s="251"/>
      <c r="AB88" s="251"/>
      <c r="AC88" s="251"/>
      <c r="AD88" s="258" t="s">
        <v>114</v>
      </c>
      <c r="AE88" s="258" t="s">
        <v>73</v>
      </c>
      <c r="AF88" s="251"/>
      <c r="AG88" s="251"/>
      <c r="AH88" s="251"/>
      <c r="AI88" s="258" t="s">
        <v>123</v>
      </c>
      <c r="AJ88" s="251"/>
    </row>
    <row r="89" spans="1:36" x14ac:dyDescent="0.3">
      <c r="A89" s="253" t="s">
        <v>317</v>
      </c>
      <c r="B89" s="254">
        <v>46068</v>
      </c>
      <c r="C89" s="255" t="s">
        <v>390</v>
      </c>
      <c r="D89" s="256" t="s">
        <v>450</v>
      </c>
      <c r="E89" s="255" t="s">
        <v>386</v>
      </c>
      <c r="F89" s="255" t="s">
        <v>302</v>
      </c>
      <c r="G89" s="257">
        <v>2.3800000000000002E-2</v>
      </c>
      <c r="H89" s="258">
        <v>168</v>
      </c>
      <c r="I89" s="258">
        <v>4</v>
      </c>
      <c r="J89" s="258">
        <v>0</v>
      </c>
      <c r="K89" s="255" t="s">
        <v>303</v>
      </c>
      <c r="L89" s="259" t="s">
        <v>91</v>
      </c>
      <c r="M89" s="258">
        <v>0</v>
      </c>
      <c r="N89" s="258">
        <v>0</v>
      </c>
      <c r="O89" s="258">
        <v>4</v>
      </c>
      <c r="P89" s="255" t="s">
        <v>33</v>
      </c>
      <c r="Q89" s="251"/>
      <c r="R89" s="251"/>
      <c r="S89" s="251"/>
      <c r="T89" s="251"/>
      <c r="U89" s="251"/>
      <c r="V89" s="251"/>
      <c r="W89" s="251"/>
      <c r="X89" s="251"/>
      <c r="Y89" s="251"/>
      <c r="Z89" s="258" t="s">
        <v>152</v>
      </c>
      <c r="AA89" s="251"/>
      <c r="AB89" s="251"/>
      <c r="AC89" s="251"/>
      <c r="AD89" s="258" t="s">
        <v>114</v>
      </c>
      <c r="AE89" s="258" t="s">
        <v>73</v>
      </c>
      <c r="AF89" s="251"/>
      <c r="AG89" s="251"/>
      <c r="AH89" s="251"/>
      <c r="AI89" s="251"/>
      <c r="AJ89" s="251"/>
    </row>
    <row r="90" spans="1:36" x14ac:dyDescent="0.3">
      <c r="A90" s="253" t="s">
        <v>317</v>
      </c>
      <c r="B90" s="254">
        <v>46068</v>
      </c>
      <c r="C90" s="255" t="s">
        <v>387</v>
      </c>
      <c r="D90" s="256" t="s">
        <v>451</v>
      </c>
      <c r="E90" s="255" t="s">
        <v>386</v>
      </c>
      <c r="F90" s="255" t="s">
        <v>302</v>
      </c>
      <c r="G90" s="257">
        <v>0</v>
      </c>
      <c r="H90" s="258">
        <v>168</v>
      </c>
      <c r="I90" s="258">
        <v>0</v>
      </c>
      <c r="J90" s="258">
        <v>0</v>
      </c>
      <c r="K90" s="255" t="s">
        <v>303</v>
      </c>
      <c r="L90" s="259" t="s">
        <v>109</v>
      </c>
      <c r="M90" s="258">
        <v>0</v>
      </c>
      <c r="N90" s="258">
        <v>0</v>
      </c>
      <c r="O90" s="258">
        <v>0</v>
      </c>
      <c r="P90" s="255" t="s">
        <v>33</v>
      </c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</row>
    <row r="91" spans="1:36" x14ac:dyDescent="0.3">
      <c r="A91" s="253" t="s">
        <v>323</v>
      </c>
      <c r="B91" s="254">
        <v>46069</v>
      </c>
      <c r="C91" s="255" t="s">
        <v>390</v>
      </c>
      <c r="D91" s="256" t="s">
        <v>452</v>
      </c>
      <c r="E91" s="255" t="s">
        <v>386</v>
      </c>
      <c r="F91" s="255" t="s">
        <v>302</v>
      </c>
      <c r="G91" s="257">
        <v>6.0000000000000001E-3</v>
      </c>
      <c r="H91" s="258">
        <v>168</v>
      </c>
      <c r="I91" s="258">
        <v>1</v>
      </c>
      <c r="J91" s="258">
        <v>0</v>
      </c>
      <c r="K91" s="255" t="s">
        <v>303</v>
      </c>
      <c r="L91" s="259" t="s">
        <v>439</v>
      </c>
      <c r="M91" s="258">
        <v>0</v>
      </c>
      <c r="N91" s="258">
        <v>0</v>
      </c>
      <c r="O91" s="258">
        <v>1</v>
      </c>
      <c r="P91" s="255" t="s">
        <v>33</v>
      </c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8" t="s">
        <v>114</v>
      </c>
      <c r="AE91" s="251"/>
      <c r="AF91" s="251"/>
      <c r="AG91" s="251"/>
      <c r="AH91" s="251"/>
      <c r="AI91" s="251"/>
      <c r="AJ91" s="251"/>
    </row>
    <row r="92" spans="1:36" x14ac:dyDescent="0.3">
      <c r="A92" s="253" t="s">
        <v>323</v>
      </c>
      <c r="B92" s="254">
        <v>46069</v>
      </c>
      <c r="C92" s="255" t="s">
        <v>387</v>
      </c>
      <c r="D92" s="256" t="s">
        <v>453</v>
      </c>
      <c r="E92" s="255" t="s">
        <v>386</v>
      </c>
      <c r="F92" s="255" t="s">
        <v>302</v>
      </c>
      <c r="G92" s="257">
        <v>0</v>
      </c>
      <c r="H92" s="258">
        <v>168</v>
      </c>
      <c r="I92" s="258">
        <v>0</v>
      </c>
      <c r="J92" s="258">
        <v>0</v>
      </c>
      <c r="K92" s="255" t="s">
        <v>303</v>
      </c>
      <c r="L92" s="259" t="s">
        <v>109</v>
      </c>
      <c r="M92" s="258">
        <v>0</v>
      </c>
      <c r="N92" s="258">
        <v>0</v>
      </c>
      <c r="O92" s="258">
        <v>0</v>
      </c>
      <c r="P92" s="255" t="s">
        <v>33</v>
      </c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</row>
    <row r="93" spans="1:36" x14ac:dyDescent="0.3">
      <c r="A93" s="253" t="s">
        <v>331</v>
      </c>
      <c r="B93" s="254">
        <v>46070</v>
      </c>
      <c r="C93" s="255" t="s">
        <v>387</v>
      </c>
      <c r="D93" s="256" t="s">
        <v>460</v>
      </c>
      <c r="E93" s="255" t="s">
        <v>386</v>
      </c>
      <c r="F93" s="255" t="s">
        <v>302</v>
      </c>
      <c r="G93" s="257">
        <v>1.7899999999999999E-2</v>
      </c>
      <c r="H93" s="258">
        <v>168</v>
      </c>
      <c r="I93" s="258">
        <v>3</v>
      </c>
      <c r="J93" s="258">
        <v>0</v>
      </c>
      <c r="K93" s="255" t="s">
        <v>303</v>
      </c>
      <c r="L93" s="259" t="s">
        <v>106</v>
      </c>
      <c r="M93" s="258">
        <v>0</v>
      </c>
      <c r="N93" s="258">
        <v>0</v>
      </c>
      <c r="O93" s="258">
        <v>3</v>
      </c>
      <c r="P93" s="255" t="s">
        <v>33</v>
      </c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8" t="s">
        <v>127</v>
      </c>
      <c r="AE93" s="251"/>
      <c r="AF93" s="251"/>
      <c r="AG93" s="251"/>
      <c r="AH93" s="251"/>
      <c r="AI93" s="251"/>
      <c r="AJ93" s="251"/>
    </row>
    <row r="94" spans="1:36" x14ac:dyDescent="0.3">
      <c r="A94" s="253" t="s">
        <v>340</v>
      </c>
      <c r="B94" s="254">
        <v>46071</v>
      </c>
      <c r="C94" s="255" t="s">
        <v>387</v>
      </c>
      <c r="D94" s="256" t="s">
        <v>314</v>
      </c>
      <c r="E94" s="255" t="s">
        <v>386</v>
      </c>
      <c r="F94" s="255" t="s">
        <v>302</v>
      </c>
      <c r="G94" s="257">
        <v>6.0000000000000001E-3</v>
      </c>
      <c r="H94" s="258">
        <v>168</v>
      </c>
      <c r="I94" s="258">
        <v>1</v>
      </c>
      <c r="J94" s="258">
        <v>0</v>
      </c>
      <c r="K94" s="255" t="s">
        <v>303</v>
      </c>
      <c r="L94" s="259" t="s">
        <v>197</v>
      </c>
      <c r="M94" s="258">
        <v>0</v>
      </c>
      <c r="N94" s="258">
        <v>0</v>
      </c>
      <c r="O94" s="258">
        <v>1</v>
      </c>
      <c r="P94" s="255" t="s">
        <v>33</v>
      </c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8" t="s">
        <v>114</v>
      </c>
      <c r="AE94" s="251"/>
      <c r="AF94" s="251"/>
      <c r="AG94" s="251"/>
      <c r="AH94" s="251"/>
      <c r="AI94" s="251"/>
      <c r="AJ94" s="251"/>
    </row>
    <row r="95" spans="1:36" x14ac:dyDescent="0.3">
      <c r="A95" s="253" t="s">
        <v>340</v>
      </c>
      <c r="B95" s="254">
        <v>46071</v>
      </c>
      <c r="C95" s="255" t="s">
        <v>399</v>
      </c>
      <c r="D95" s="256" t="s">
        <v>455</v>
      </c>
      <c r="E95" s="255" t="s">
        <v>386</v>
      </c>
      <c r="F95" s="255" t="s">
        <v>302</v>
      </c>
      <c r="G95" s="257">
        <v>0</v>
      </c>
      <c r="H95" s="258">
        <v>168</v>
      </c>
      <c r="I95" s="258">
        <v>0</v>
      </c>
      <c r="J95" s="258">
        <v>0</v>
      </c>
      <c r="K95" s="255" t="s">
        <v>303</v>
      </c>
      <c r="L95" s="259" t="s">
        <v>109</v>
      </c>
      <c r="M95" s="258">
        <v>0</v>
      </c>
      <c r="N95" s="258">
        <v>0</v>
      </c>
      <c r="O95" s="258">
        <v>0</v>
      </c>
      <c r="P95" s="255" t="s">
        <v>33</v>
      </c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</row>
    <row r="96" spans="1:36" x14ac:dyDescent="0.3">
      <c r="A96" s="253" t="s">
        <v>340</v>
      </c>
      <c r="B96" s="254">
        <v>46071</v>
      </c>
      <c r="C96" s="255" t="s">
        <v>390</v>
      </c>
      <c r="D96" s="256" t="s">
        <v>457</v>
      </c>
      <c r="E96" s="255" t="s">
        <v>386</v>
      </c>
      <c r="F96" s="255" t="s">
        <v>302</v>
      </c>
      <c r="G96" s="257">
        <v>6.0000000000000001E-3</v>
      </c>
      <c r="H96" s="258">
        <v>168</v>
      </c>
      <c r="I96" s="258">
        <v>1</v>
      </c>
      <c r="J96" s="258">
        <v>0</v>
      </c>
      <c r="K96" s="255" t="s">
        <v>303</v>
      </c>
      <c r="L96" s="259" t="s">
        <v>197</v>
      </c>
      <c r="M96" s="258">
        <v>0</v>
      </c>
      <c r="N96" s="258">
        <v>0</v>
      </c>
      <c r="O96" s="258">
        <v>1</v>
      </c>
      <c r="P96" s="255" t="s">
        <v>33</v>
      </c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8" t="s">
        <v>114</v>
      </c>
      <c r="AE96" s="251"/>
      <c r="AF96" s="251"/>
      <c r="AG96" s="251"/>
      <c r="AH96" s="251"/>
      <c r="AI96" s="251"/>
      <c r="AJ96" s="251"/>
    </row>
    <row r="97" spans="1:36" x14ac:dyDescent="0.3">
      <c r="A97" s="253" t="s">
        <v>344</v>
      </c>
      <c r="B97" s="254">
        <v>46072</v>
      </c>
      <c r="C97" s="255" t="s">
        <v>387</v>
      </c>
      <c r="D97" s="256" t="s">
        <v>458</v>
      </c>
      <c r="E97" s="255" t="s">
        <v>386</v>
      </c>
      <c r="F97" s="255" t="s">
        <v>302</v>
      </c>
      <c r="G97" s="257">
        <v>0</v>
      </c>
      <c r="H97" s="258">
        <v>168</v>
      </c>
      <c r="I97" s="258">
        <v>0</v>
      </c>
      <c r="J97" s="258">
        <v>0</v>
      </c>
      <c r="K97" s="255" t="s">
        <v>303</v>
      </c>
      <c r="L97" s="259" t="s">
        <v>109</v>
      </c>
      <c r="M97" s="258">
        <v>0</v>
      </c>
      <c r="N97" s="258">
        <v>0</v>
      </c>
      <c r="O97" s="258">
        <v>0</v>
      </c>
      <c r="P97" s="255" t="s">
        <v>33</v>
      </c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</row>
    <row r="98" spans="1:36" x14ac:dyDescent="0.3">
      <c r="A98" s="253" t="s">
        <v>300</v>
      </c>
      <c r="B98" s="254">
        <v>46073</v>
      </c>
      <c r="C98" s="255" t="s">
        <v>387</v>
      </c>
      <c r="D98" s="256" t="s">
        <v>446</v>
      </c>
      <c r="E98" s="255" t="s">
        <v>386</v>
      </c>
      <c r="F98" s="255" t="s">
        <v>302</v>
      </c>
      <c r="G98" s="257">
        <v>2.98E-2</v>
      </c>
      <c r="H98" s="258">
        <v>168</v>
      </c>
      <c r="I98" s="258">
        <v>5</v>
      </c>
      <c r="J98" s="258">
        <v>0</v>
      </c>
      <c r="K98" s="255" t="s">
        <v>303</v>
      </c>
      <c r="L98" s="259" t="s">
        <v>97</v>
      </c>
      <c r="M98" s="258">
        <v>0</v>
      </c>
      <c r="N98" s="258">
        <v>0</v>
      </c>
      <c r="O98" s="258">
        <v>5</v>
      </c>
      <c r="P98" s="255" t="s">
        <v>33</v>
      </c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8" t="s">
        <v>89</v>
      </c>
      <c r="AE98" s="258" t="s">
        <v>83</v>
      </c>
      <c r="AF98" s="251"/>
      <c r="AG98" s="251"/>
      <c r="AH98" s="251"/>
      <c r="AI98" s="251"/>
      <c r="AJ98" s="251"/>
    </row>
    <row r="99" spans="1:36" x14ac:dyDescent="0.3">
      <c r="A99" s="253" t="s">
        <v>312</v>
      </c>
      <c r="B99" s="254">
        <v>46074</v>
      </c>
      <c r="C99" s="255" t="s">
        <v>390</v>
      </c>
      <c r="D99" s="256" t="s">
        <v>306</v>
      </c>
      <c r="E99" s="255" t="s">
        <v>386</v>
      </c>
      <c r="F99" s="255" t="s">
        <v>302</v>
      </c>
      <c r="G99" s="257">
        <v>3.5700000000000003E-2</v>
      </c>
      <c r="H99" s="258">
        <v>168</v>
      </c>
      <c r="I99" s="258">
        <v>6</v>
      </c>
      <c r="J99" s="258">
        <v>0</v>
      </c>
      <c r="K99" s="255" t="s">
        <v>303</v>
      </c>
      <c r="L99" s="259" t="s">
        <v>110</v>
      </c>
      <c r="M99" s="258">
        <v>0</v>
      </c>
      <c r="N99" s="258">
        <v>0</v>
      </c>
      <c r="O99" s="258">
        <v>6</v>
      </c>
      <c r="P99" s="255" t="s">
        <v>33</v>
      </c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8" t="s">
        <v>87</v>
      </c>
      <c r="AE99" s="251"/>
      <c r="AF99" s="251"/>
      <c r="AG99" s="251"/>
      <c r="AH99" s="251"/>
      <c r="AI99" s="251"/>
      <c r="AJ99" s="251"/>
    </row>
    <row r="100" spans="1:36" x14ac:dyDescent="0.3">
      <c r="A100" s="253" t="s">
        <v>312</v>
      </c>
      <c r="B100" s="254">
        <v>46074</v>
      </c>
      <c r="C100" s="255" t="s">
        <v>387</v>
      </c>
      <c r="D100" s="256" t="s">
        <v>449</v>
      </c>
      <c r="E100" s="255" t="s">
        <v>386</v>
      </c>
      <c r="F100" s="255" t="s">
        <v>302</v>
      </c>
      <c r="G100" s="257">
        <v>8.3299999999999999E-2</v>
      </c>
      <c r="H100" s="258">
        <v>168</v>
      </c>
      <c r="I100" s="258">
        <v>14</v>
      </c>
      <c r="J100" s="258">
        <v>0</v>
      </c>
      <c r="K100" s="255" t="s">
        <v>303</v>
      </c>
      <c r="L100" s="259" t="s">
        <v>113</v>
      </c>
      <c r="M100" s="258">
        <v>0</v>
      </c>
      <c r="N100" s="258">
        <v>0</v>
      </c>
      <c r="O100" s="258">
        <v>14</v>
      </c>
      <c r="P100" s="255" t="s">
        <v>33</v>
      </c>
      <c r="Q100" s="251"/>
      <c r="R100" s="251"/>
      <c r="S100" s="251"/>
      <c r="T100" s="251"/>
      <c r="U100" s="251"/>
      <c r="V100" s="251"/>
      <c r="W100" s="251"/>
      <c r="X100" s="251"/>
      <c r="Y100" s="251"/>
      <c r="Z100" s="258" t="s">
        <v>198</v>
      </c>
      <c r="AA100" s="251"/>
      <c r="AB100" s="251"/>
      <c r="AC100" s="251"/>
      <c r="AD100" s="258" t="s">
        <v>92</v>
      </c>
      <c r="AE100" s="258" t="s">
        <v>83</v>
      </c>
      <c r="AF100" s="251"/>
      <c r="AG100" s="251"/>
      <c r="AH100" s="251"/>
      <c r="AI100" s="251"/>
      <c r="AJ100" s="251"/>
    </row>
    <row r="101" spans="1:36" x14ac:dyDescent="0.3">
      <c r="A101" s="253" t="s">
        <v>317</v>
      </c>
      <c r="B101" s="254">
        <v>46075</v>
      </c>
      <c r="C101" s="255" t="s">
        <v>390</v>
      </c>
      <c r="D101" s="256" t="s">
        <v>450</v>
      </c>
      <c r="E101" s="255" t="s">
        <v>386</v>
      </c>
      <c r="F101" s="255" t="s">
        <v>302</v>
      </c>
      <c r="G101" s="257">
        <v>4.7600000000000003E-2</v>
      </c>
      <c r="H101" s="258">
        <v>168</v>
      </c>
      <c r="I101" s="258">
        <v>8</v>
      </c>
      <c r="J101" s="258">
        <v>0</v>
      </c>
      <c r="K101" s="255" t="s">
        <v>303</v>
      </c>
      <c r="L101" s="259" t="s">
        <v>97</v>
      </c>
      <c r="M101" s="258">
        <v>0</v>
      </c>
      <c r="N101" s="258">
        <v>0</v>
      </c>
      <c r="O101" s="258">
        <v>8</v>
      </c>
      <c r="P101" s="255" t="s">
        <v>33</v>
      </c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8" t="s">
        <v>133</v>
      </c>
      <c r="AE101" s="258" t="s">
        <v>78</v>
      </c>
      <c r="AF101" s="251"/>
      <c r="AG101" s="251"/>
      <c r="AH101" s="251"/>
      <c r="AI101" s="251"/>
      <c r="AJ101" s="251"/>
    </row>
    <row r="102" spans="1:36" x14ac:dyDescent="0.3">
      <c r="A102" s="253" t="s">
        <v>317</v>
      </c>
      <c r="B102" s="254">
        <v>46075</v>
      </c>
      <c r="C102" s="255" t="s">
        <v>387</v>
      </c>
      <c r="D102" s="256" t="s">
        <v>451</v>
      </c>
      <c r="E102" s="255" t="s">
        <v>386</v>
      </c>
      <c r="F102" s="255" t="s">
        <v>302</v>
      </c>
      <c r="G102" s="257">
        <v>6.0000000000000001E-3</v>
      </c>
      <c r="H102" s="258">
        <v>168</v>
      </c>
      <c r="I102" s="258">
        <v>1</v>
      </c>
      <c r="J102" s="258">
        <v>0</v>
      </c>
      <c r="K102" s="255" t="s">
        <v>303</v>
      </c>
      <c r="L102" s="259" t="s">
        <v>177</v>
      </c>
      <c r="M102" s="258">
        <v>0</v>
      </c>
      <c r="N102" s="258">
        <v>0</v>
      </c>
      <c r="O102" s="258">
        <v>2</v>
      </c>
      <c r="P102" s="255" t="s">
        <v>33</v>
      </c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8" t="s">
        <v>114</v>
      </c>
      <c r="AE102" s="251"/>
      <c r="AF102" s="251"/>
      <c r="AG102" s="251"/>
      <c r="AH102" s="251"/>
      <c r="AI102" s="251"/>
      <c r="AJ102" s="251"/>
    </row>
    <row r="103" spans="1:36" x14ac:dyDescent="0.3">
      <c r="A103" s="253" t="s">
        <v>323</v>
      </c>
      <c r="B103" s="254">
        <v>46076</v>
      </c>
      <c r="C103" s="255" t="s">
        <v>390</v>
      </c>
      <c r="D103" s="256" t="s">
        <v>452</v>
      </c>
      <c r="E103" s="255" t="s">
        <v>386</v>
      </c>
      <c r="F103" s="255" t="s">
        <v>302</v>
      </c>
      <c r="G103" s="257">
        <v>1.7899999999999999E-2</v>
      </c>
      <c r="H103" s="258">
        <v>168</v>
      </c>
      <c r="I103" s="258">
        <v>3</v>
      </c>
      <c r="J103" s="258">
        <v>0</v>
      </c>
      <c r="K103" s="255" t="s">
        <v>303</v>
      </c>
      <c r="L103" s="259" t="s">
        <v>443</v>
      </c>
      <c r="M103" s="258">
        <v>0</v>
      </c>
      <c r="N103" s="258">
        <v>0</v>
      </c>
      <c r="O103" s="258">
        <v>3</v>
      </c>
      <c r="P103" s="255" t="s">
        <v>33</v>
      </c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8" t="s">
        <v>127</v>
      </c>
      <c r="AE103" s="251"/>
      <c r="AF103" s="251"/>
      <c r="AG103" s="251"/>
      <c r="AH103" s="251"/>
      <c r="AI103" s="251"/>
      <c r="AJ103" s="251"/>
    </row>
    <row r="104" spans="1:36" x14ac:dyDescent="0.3">
      <c r="A104" s="253" t="s">
        <v>323</v>
      </c>
      <c r="B104" s="254">
        <v>46076</v>
      </c>
      <c r="C104" s="255" t="s">
        <v>387</v>
      </c>
      <c r="D104" s="256" t="s">
        <v>453</v>
      </c>
      <c r="E104" s="255" t="s">
        <v>386</v>
      </c>
      <c r="F104" s="255" t="s">
        <v>302</v>
      </c>
      <c r="G104" s="257">
        <v>2.3800000000000002E-2</v>
      </c>
      <c r="H104" s="258">
        <v>168</v>
      </c>
      <c r="I104" s="258">
        <v>4</v>
      </c>
      <c r="J104" s="258">
        <v>0</v>
      </c>
      <c r="K104" s="255" t="s">
        <v>303</v>
      </c>
      <c r="L104" s="259" t="s">
        <v>94</v>
      </c>
      <c r="M104" s="258">
        <v>0</v>
      </c>
      <c r="N104" s="258">
        <v>0</v>
      </c>
      <c r="O104" s="258">
        <v>4</v>
      </c>
      <c r="P104" s="255" t="s">
        <v>33</v>
      </c>
      <c r="Q104" s="251"/>
      <c r="R104" s="251"/>
      <c r="S104" s="251"/>
      <c r="T104" s="251"/>
      <c r="U104" s="251"/>
      <c r="V104" s="251"/>
      <c r="W104" s="251"/>
      <c r="X104" s="251"/>
      <c r="Y104" s="251"/>
      <c r="Z104" s="258" t="s">
        <v>208</v>
      </c>
      <c r="AA104" s="251"/>
      <c r="AB104" s="251"/>
      <c r="AC104" s="251"/>
      <c r="AD104" s="258" t="s">
        <v>89</v>
      </c>
      <c r="AE104" s="258" t="s">
        <v>73</v>
      </c>
      <c r="AF104" s="251"/>
      <c r="AG104" s="251"/>
      <c r="AH104" s="251"/>
      <c r="AI104" s="251"/>
      <c r="AJ104" s="251"/>
    </row>
    <row r="105" spans="1:36" x14ac:dyDescent="0.3">
      <c r="A105" s="253" t="s">
        <v>331</v>
      </c>
      <c r="B105" s="254">
        <v>46077</v>
      </c>
      <c r="C105" s="255" t="s">
        <v>387</v>
      </c>
      <c r="D105" s="256" t="s">
        <v>460</v>
      </c>
      <c r="E105" s="255" t="s">
        <v>386</v>
      </c>
      <c r="F105" s="255" t="s">
        <v>302</v>
      </c>
      <c r="G105" s="257">
        <v>2.98E-2</v>
      </c>
      <c r="H105" s="258">
        <v>168</v>
      </c>
      <c r="I105" s="258">
        <v>5</v>
      </c>
      <c r="J105" s="258">
        <v>0</v>
      </c>
      <c r="K105" s="255" t="s">
        <v>303</v>
      </c>
      <c r="L105" s="259" t="s">
        <v>106</v>
      </c>
      <c r="M105" s="258">
        <v>0</v>
      </c>
      <c r="N105" s="258">
        <v>0</v>
      </c>
      <c r="O105" s="258">
        <v>5</v>
      </c>
      <c r="P105" s="255" t="s">
        <v>33</v>
      </c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8" t="s">
        <v>186</v>
      </c>
      <c r="AE105" s="251"/>
      <c r="AF105" s="251"/>
      <c r="AG105" s="251"/>
      <c r="AH105" s="251"/>
      <c r="AI105" s="251"/>
      <c r="AJ105" s="251"/>
    </row>
    <row r="106" spans="1:36" x14ac:dyDescent="0.3">
      <c r="A106" s="253" t="s">
        <v>340</v>
      </c>
      <c r="B106" s="254">
        <v>46078</v>
      </c>
      <c r="C106" s="255" t="s">
        <v>387</v>
      </c>
      <c r="D106" s="256" t="s">
        <v>314</v>
      </c>
      <c r="E106" s="255" t="s">
        <v>386</v>
      </c>
      <c r="F106" s="255" t="s">
        <v>302</v>
      </c>
      <c r="G106" s="257">
        <v>0</v>
      </c>
      <c r="H106" s="258">
        <v>168</v>
      </c>
      <c r="I106" s="258">
        <v>0</v>
      </c>
      <c r="J106" s="258">
        <v>0</v>
      </c>
      <c r="K106" s="255" t="s">
        <v>303</v>
      </c>
      <c r="L106" s="259" t="s">
        <v>109</v>
      </c>
      <c r="M106" s="258">
        <v>0</v>
      </c>
      <c r="N106" s="258">
        <v>0</v>
      </c>
      <c r="O106" s="258">
        <v>0</v>
      </c>
      <c r="P106" s="255" t="s">
        <v>80</v>
      </c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</row>
    <row r="107" spans="1:36" x14ac:dyDescent="0.3">
      <c r="A107" s="253" t="s">
        <v>340</v>
      </c>
      <c r="B107" s="254">
        <v>46078</v>
      </c>
      <c r="C107" s="255" t="s">
        <v>399</v>
      </c>
      <c r="D107" s="256" t="s">
        <v>455</v>
      </c>
      <c r="E107" s="255" t="s">
        <v>386</v>
      </c>
      <c r="F107" s="255" t="s">
        <v>302</v>
      </c>
      <c r="G107" s="257">
        <v>0</v>
      </c>
      <c r="H107" s="258">
        <v>168</v>
      </c>
      <c r="I107" s="258">
        <v>0</v>
      </c>
      <c r="J107" s="258">
        <v>0</v>
      </c>
      <c r="K107" s="255" t="s">
        <v>303</v>
      </c>
      <c r="L107" s="259" t="s">
        <v>109</v>
      </c>
      <c r="M107" s="258">
        <v>0</v>
      </c>
      <c r="N107" s="258">
        <v>0</v>
      </c>
      <c r="O107" s="258">
        <v>0</v>
      </c>
      <c r="P107" s="255" t="s">
        <v>80</v>
      </c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</row>
    <row r="108" spans="1:36" x14ac:dyDescent="0.3">
      <c r="A108" s="253" t="s">
        <v>340</v>
      </c>
      <c r="B108" s="254">
        <v>46078</v>
      </c>
      <c r="C108" s="255" t="s">
        <v>390</v>
      </c>
      <c r="D108" s="256" t="s">
        <v>457</v>
      </c>
      <c r="E108" s="255" t="s">
        <v>386</v>
      </c>
      <c r="F108" s="255" t="s">
        <v>302</v>
      </c>
      <c r="G108" s="257">
        <v>6.0000000000000001E-3</v>
      </c>
      <c r="H108" s="258">
        <v>168</v>
      </c>
      <c r="I108" s="258">
        <v>1</v>
      </c>
      <c r="J108" s="258">
        <v>0</v>
      </c>
      <c r="K108" s="255" t="s">
        <v>303</v>
      </c>
      <c r="L108" s="259" t="s">
        <v>177</v>
      </c>
      <c r="M108" s="258">
        <v>0</v>
      </c>
      <c r="N108" s="258">
        <v>0</v>
      </c>
      <c r="O108" s="258">
        <v>2</v>
      </c>
      <c r="P108" s="255" t="s">
        <v>80</v>
      </c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8" t="s">
        <v>114</v>
      </c>
      <c r="AE108" s="251"/>
      <c r="AF108" s="251"/>
      <c r="AG108" s="251"/>
      <c r="AH108" s="251"/>
      <c r="AI108" s="251"/>
      <c r="AJ108" s="251"/>
    </row>
    <row r="109" spans="1:36" x14ac:dyDescent="0.3">
      <c r="A109" s="253" t="s">
        <v>344</v>
      </c>
      <c r="B109" s="254">
        <v>46079</v>
      </c>
      <c r="C109" s="255" t="s">
        <v>387</v>
      </c>
      <c r="D109" s="256" t="s">
        <v>458</v>
      </c>
      <c r="E109" s="255" t="s">
        <v>386</v>
      </c>
      <c r="F109" s="255" t="s">
        <v>302</v>
      </c>
      <c r="G109" s="257">
        <v>6.5500000000000003E-2</v>
      </c>
      <c r="H109" s="258">
        <v>168</v>
      </c>
      <c r="I109" s="258">
        <v>11</v>
      </c>
      <c r="J109" s="258">
        <v>0</v>
      </c>
      <c r="K109" s="255" t="s">
        <v>303</v>
      </c>
      <c r="L109" s="259" t="s">
        <v>220</v>
      </c>
      <c r="M109" s="258">
        <v>0</v>
      </c>
      <c r="N109" s="258">
        <v>0</v>
      </c>
      <c r="O109" s="258">
        <v>11</v>
      </c>
      <c r="P109" s="255" t="s">
        <v>114</v>
      </c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8" t="s">
        <v>192</v>
      </c>
      <c r="AD109" s="258" t="s">
        <v>80</v>
      </c>
      <c r="AE109" s="251"/>
      <c r="AF109" s="251"/>
      <c r="AG109" s="251"/>
      <c r="AH109" s="251"/>
      <c r="AI109" s="251"/>
      <c r="AJ109" s="251"/>
    </row>
    <row r="110" spans="1:36" x14ac:dyDescent="0.3">
      <c r="A110" s="253" t="s">
        <v>300</v>
      </c>
      <c r="B110" s="254">
        <v>46080</v>
      </c>
      <c r="C110" s="255" t="s">
        <v>387</v>
      </c>
      <c r="D110" s="256" t="s">
        <v>446</v>
      </c>
      <c r="E110" s="255" t="s">
        <v>386</v>
      </c>
      <c r="F110" s="255" t="s">
        <v>302</v>
      </c>
      <c r="G110" s="257">
        <v>1.1900000000000001E-2</v>
      </c>
      <c r="H110" s="258">
        <v>168</v>
      </c>
      <c r="I110" s="258">
        <v>2</v>
      </c>
      <c r="J110" s="258">
        <v>0</v>
      </c>
      <c r="K110" s="255" t="s">
        <v>303</v>
      </c>
      <c r="L110" s="259" t="s">
        <v>183</v>
      </c>
      <c r="M110" s="258">
        <v>0</v>
      </c>
      <c r="N110" s="258">
        <v>0</v>
      </c>
      <c r="O110" s="258">
        <v>2</v>
      </c>
      <c r="P110" s="255" t="s">
        <v>92</v>
      </c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  <c r="AD110" s="258" t="s">
        <v>89</v>
      </c>
      <c r="AE110" s="251"/>
      <c r="AF110" s="251"/>
      <c r="AG110" s="251"/>
      <c r="AH110" s="251"/>
      <c r="AI110" s="251"/>
      <c r="AJ110" s="251"/>
    </row>
    <row r="111" spans="1:36" x14ac:dyDescent="0.3">
      <c r="A111" s="253" t="s">
        <v>312</v>
      </c>
      <c r="B111" s="254">
        <v>46081</v>
      </c>
      <c r="C111" s="255" t="s">
        <v>390</v>
      </c>
      <c r="D111" s="256" t="s">
        <v>306</v>
      </c>
      <c r="E111" s="255" t="s">
        <v>386</v>
      </c>
      <c r="F111" s="255" t="s">
        <v>302</v>
      </c>
      <c r="G111" s="257">
        <v>2.3800000000000002E-2</v>
      </c>
      <c r="H111" s="258">
        <v>168</v>
      </c>
      <c r="I111" s="258">
        <v>4</v>
      </c>
      <c r="J111" s="258">
        <v>0</v>
      </c>
      <c r="K111" s="255" t="s">
        <v>303</v>
      </c>
      <c r="L111" s="259" t="s">
        <v>129</v>
      </c>
      <c r="M111" s="258">
        <v>0</v>
      </c>
      <c r="N111" s="258">
        <v>0</v>
      </c>
      <c r="O111" s="258">
        <v>4</v>
      </c>
      <c r="P111" s="255" t="s">
        <v>87</v>
      </c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8" t="s">
        <v>133</v>
      </c>
      <c r="AE111" s="251"/>
      <c r="AF111" s="251"/>
      <c r="AG111" s="251"/>
      <c r="AH111" s="251"/>
      <c r="AI111" s="251"/>
      <c r="AJ111" s="251"/>
    </row>
    <row r="112" spans="1:36" x14ac:dyDescent="0.3">
      <c r="A112" s="253" t="s">
        <v>312</v>
      </c>
      <c r="B112" s="254">
        <v>46081</v>
      </c>
      <c r="C112" s="255" t="s">
        <v>387</v>
      </c>
      <c r="D112" s="256" t="s">
        <v>449</v>
      </c>
      <c r="E112" s="255" t="s">
        <v>386</v>
      </c>
      <c r="F112" s="255" t="s">
        <v>302</v>
      </c>
      <c r="G112" s="257">
        <v>2.3800000000000002E-2</v>
      </c>
      <c r="H112" s="258">
        <v>168</v>
      </c>
      <c r="I112" s="258">
        <v>4</v>
      </c>
      <c r="J112" s="258">
        <v>0</v>
      </c>
      <c r="K112" s="255" t="s">
        <v>303</v>
      </c>
      <c r="L112" s="259" t="s">
        <v>260</v>
      </c>
      <c r="M112" s="258">
        <v>0</v>
      </c>
      <c r="N112" s="258">
        <v>0</v>
      </c>
      <c r="O112" s="258">
        <v>4</v>
      </c>
      <c r="P112" s="255" t="s">
        <v>87</v>
      </c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8" t="s">
        <v>133</v>
      </c>
      <c r="AE112" s="251"/>
      <c r="AF112" s="251"/>
      <c r="AG112" s="251"/>
      <c r="AH112" s="251"/>
      <c r="AI112" s="251"/>
      <c r="AJ112" s="251"/>
    </row>
    <row r="113" spans="1:36" x14ac:dyDescent="0.3">
      <c r="A113" s="253" t="s">
        <v>317</v>
      </c>
      <c r="B113" s="254">
        <v>46082</v>
      </c>
      <c r="C113" s="255" t="s">
        <v>390</v>
      </c>
      <c r="D113" s="256" t="s">
        <v>450</v>
      </c>
      <c r="E113" s="255" t="s">
        <v>386</v>
      </c>
      <c r="F113" s="255" t="s">
        <v>302</v>
      </c>
      <c r="G113" s="257">
        <v>2.3800000000000002E-2</v>
      </c>
      <c r="H113" s="258">
        <v>168</v>
      </c>
      <c r="I113" s="258">
        <v>4</v>
      </c>
      <c r="J113" s="258">
        <v>0</v>
      </c>
      <c r="K113" s="255" t="s">
        <v>303</v>
      </c>
      <c r="L113" s="259" t="s">
        <v>97</v>
      </c>
      <c r="M113" s="258">
        <v>0</v>
      </c>
      <c r="N113" s="258">
        <v>0</v>
      </c>
      <c r="O113" s="258">
        <v>4</v>
      </c>
      <c r="P113" s="255" t="s">
        <v>87</v>
      </c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8" t="s">
        <v>133</v>
      </c>
      <c r="AE113" s="251"/>
      <c r="AF113" s="251"/>
      <c r="AG113" s="251"/>
      <c r="AH113" s="251"/>
      <c r="AI113" s="251"/>
      <c r="AJ113" s="251"/>
    </row>
    <row r="114" spans="1:36" x14ac:dyDescent="0.3">
      <c r="A114" s="253" t="s">
        <v>317</v>
      </c>
      <c r="B114" s="254">
        <v>46082</v>
      </c>
      <c r="C114" s="255" t="s">
        <v>387</v>
      </c>
      <c r="D114" s="256" t="s">
        <v>451</v>
      </c>
      <c r="E114" s="255" t="s">
        <v>386</v>
      </c>
      <c r="F114" s="255" t="s">
        <v>302</v>
      </c>
      <c r="G114" s="257">
        <v>4.1700000000000001E-2</v>
      </c>
      <c r="H114" s="258">
        <v>168</v>
      </c>
      <c r="I114" s="258">
        <v>7</v>
      </c>
      <c r="J114" s="258">
        <v>0</v>
      </c>
      <c r="K114" s="255" t="s">
        <v>303</v>
      </c>
      <c r="L114" s="259" t="s">
        <v>97</v>
      </c>
      <c r="M114" s="258">
        <v>0</v>
      </c>
      <c r="N114" s="258">
        <v>0</v>
      </c>
      <c r="O114" s="258">
        <v>7</v>
      </c>
      <c r="P114" s="255" t="s">
        <v>127</v>
      </c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8" t="s">
        <v>95</v>
      </c>
      <c r="AE114" s="251"/>
      <c r="AF114" s="251"/>
      <c r="AG114" s="251"/>
      <c r="AH114" s="251"/>
      <c r="AI114" s="251"/>
      <c r="AJ114" s="251"/>
    </row>
    <row r="115" spans="1:36" ht="21" x14ac:dyDescent="0.3">
      <c r="A115" s="260" t="s">
        <v>515</v>
      </c>
      <c r="B115" s="261"/>
      <c r="C115" s="260">
        <f>SUBTOTAL(103,JED_HBE_LF_LEGACY[Flt])</f>
        <v>113</v>
      </c>
      <c r="D115" s="260"/>
      <c r="E115" s="260">
        <f>SUBTOTAL(103,JED_HBE_LF_LEGACY[Brd-Off])</f>
        <v>113</v>
      </c>
      <c r="F115" s="260"/>
      <c r="G115" s="262">
        <f>SUBTOTAL(101,JED_HBE_LF_LEGACY[LF%])</f>
        <v>0.60030265486725642</v>
      </c>
      <c r="H115" s="263">
        <f>SUBTOTAL(109,JED_HBE_LF_LEGACY[CAP])</f>
        <v>18984</v>
      </c>
      <c r="I115" s="263">
        <f>SUBTOTAL(109,JED_HBE_LF_LEGACY[BKG(Y)])</f>
        <v>11396</v>
      </c>
      <c r="J115" s="263">
        <f>SUBTOTAL(109,JED_HBE_LF_LEGACY[GRP(Y)])</f>
        <v>10936</v>
      </c>
      <c r="K115" s="260"/>
      <c r="L115" s="261"/>
      <c r="M115" s="263">
        <f>SUBTOTAL(109,JED_HBE_LF_LEGACY[TO-DAY])</f>
        <v>9</v>
      </c>
      <c r="N115" s="263">
        <f>SUBTOTAL(109,JED_HBE_LF_LEGACY[Y-DAY])</f>
        <v>0</v>
      </c>
      <c r="O115" s="263">
        <f>SUBTOTAL(109,JED_HBE_LF_LEGACY[WEEKLY])</f>
        <v>647</v>
      </c>
      <c r="P115" s="264"/>
      <c r="Q115" s="263">
        <f>SUBTOTAL(109,JED_HBE_LF_LEGACY[Y])</f>
        <v>0</v>
      </c>
      <c r="R115" s="263">
        <f>SUBTOTAL(109,JED_HBE_LF_LEGACY[B])</f>
        <v>0</v>
      </c>
      <c r="S115" s="263">
        <f>SUBTOTAL(109,JED_HBE_LF_LEGACY[M])</f>
        <v>0</v>
      </c>
      <c r="T115" s="263">
        <f>SUBTOTAL(109,JED_HBE_LF_LEGACY[H])</f>
        <v>0</v>
      </c>
      <c r="U115" s="263">
        <f>SUBTOTAL(109,JED_HBE_LF_LEGACY[Q])</f>
        <v>0</v>
      </c>
      <c r="V115" s="263">
        <f>SUBTOTAL(109,JED_HBE_LF_LEGACY[K])</f>
        <v>0</v>
      </c>
      <c r="W115" s="263">
        <f>SUBTOTAL(109,JED_HBE_LF_LEGACY[V])</f>
        <v>0</v>
      </c>
      <c r="X115" s="263">
        <f>SUBTOTAL(109,JED_HBE_LF_LEGACY[L])</f>
        <v>0</v>
      </c>
      <c r="Y115" s="263">
        <f>SUBTOTAL(109,JED_HBE_LF_LEGACY[G])</f>
        <v>0</v>
      </c>
      <c r="Z115" s="263">
        <f>SUBTOTAL(109,JED_HBE_LF_LEGACY[S])</f>
        <v>0</v>
      </c>
      <c r="AA115" s="263">
        <f>SUBTOTAL(109,JED_HBE_LF_LEGACY[W])</f>
        <v>0</v>
      </c>
      <c r="AB115" s="263">
        <f>SUBTOTAL(109,JED_HBE_LF_LEGACY[T])</f>
        <v>0</v>
      </c>
      <c r="AC115" s="263">
        <f>SUBTOTAL(109,JED_HBE_LF_LEGACY[X])</f>
        <v>0</v>
      </c>
      <c r="AD115" s="263">
        <f>SUBTOTAL(109,JED_HBE_LF_LEGACY[U])</f>
        <v>0</v>
      </c>
      <c r="AE115" s="263">
        <f>SUBTOTAL(109,JED_HBE_LF_LEGACY[O])</f>
        <v>0</v>
      </c>
      <c r="AF115" s="263">
        <f>SUBTOTAL(109,JED_HBE_LF_LEGACY[I])</f>
        <v>0</v>
      </c>
      <c r="AG115" s="263">
        <f>SUBTOTAL(109,JED_HBE_LF_LEGACY[E])</f>
        <v>0</v>
      </c>
      <c r="AH115" s="263">
        <f>SUBTOTAL(109,JED_HBE_LF_LEGACY[A])</f>
        <v>0</v>
      </c>
      <c r="AI115" s="263">
        <f>SUBTOTAL(109,JED_HBE_LF_LEGACY[P])</f>
        <v>0</v>
      </c>
      <c r="AJ115" s="263">
        <f>SUBTOTAL(103,JED_HBE_LF_LEGACY[N])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7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0.886718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464</v>
      </c>
      <c r="G1" s="2" t="s">
        <v>2</v>
      </c>
      <c r="H1" s="237" t="s">
        <v>465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45984.112355776073</v>
      </c>
      <c r="H2" s="238"/>
      <c r="I2" s="238"/>
      <c r="J2" s="238"/>
      <c r="K2" s="247">
        <v>45984.112355776699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0" t="s">
        <v>8</v>
      </c>
      <c r="B4" s="234"/>
      <c r="C4" s="234"/>
      <c r="D4" s="234"/>
      <c r="E4" s="234"/>
      <c r="F4" s="235"/>
      <c r="G4" s="4">
        <v>46050</v>
      </c>
      <c r="H4" s="248" t="s">
        <v>9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54" t="s">
        <v>28</v>
      </c>
      <c r="B6" s="154" t="s">
        <v>466</v>
      </c>
      <c r="C6" s="155">
        <v>0.2673611111111111</v>
      </c>
      <c r="D6" s="154" t="s">
        <v>30</v>
      </c>
      <c r="E6" s="156"/>
      <c r="F6" s="154" t="s">
        <v>31</v>
      </c>
      <c r="G6" s="240"/>
      <c r="H6" s="31" t="s">
        <v>466</v>
      </c>
      <c r="I6" s="32">
        <v>1.1900000000000001E-2</v>
      </c>
      <c r="J6" s="33">
        <v>2</v>
      </c>
      <c r="K6" s="34" t="s">
        <v>91</v>
      </c>
      <c r="L6" s="33">
        <v>2</v>
      </c>
      <c r="M6" s="33">
        <v>0</v>
      </c>
      <c r="N6" s="33">
        <v>0</v>
      </c>
      <c r="O6" s="35" t="s">
        <v>224</v>
      </c>
      <c r="P6" s="36">
        <v>0.2673611111111111</v>
      </c>
      <c r="Q6" s="33">
        <v>168</v>
      </c>
      <c r="R6" s="37" t="s">
        <v>467</v>
      </c>
    </row>
    <row r="7" spans="1:92" ht="49.95" customHeight="1" thickBot="1" x14ac:dyDescent="0.35">
      <c r="A7" s="90" t="s">
        <v>28</v>
      </c>
      <c r="B7" s="90" t="s">
        <v>468</v>
      </c>
      <c r="C7" s="91">
        <v>0.65625</v>
      </c>
      <c r="D7" s="90" t="s">
        <v>30</v>
      </c>
      <c r="E7" s="92"/>
      <c r="F7" s="90" t="s">
        <v>31</v>
      </c>
      <c r="G7" s="242"/>
      <c r="H7" s="93" t="s">
        <v>468</v>
      </c>
      <c r="I7" s="221">
        <v>6.0000000000000001E-3</v>
      </c>
      <c r="J7" s="95">
        <v>1</v>
      </c>
      <c r="K7" s="96" t="s">
        <v>197</v>
      </c>
      <c r="L7" s="95">
        <v>1</v>
      </c>
      <c r="M7" s="95">
        <v>0</v>
      </c>
      <c r="N7" s="95">
        <v>0</v>
      </c>
      <c r="O7" s="97" t="s">
        <v>224</v>
      </c>
      <c r="P7" s="98">
        <v>0.65625</v>
      </c>
      <c r="Q7" s="95">
        <v>168</v>
      </c>
      <c r="R7" s="99" t="s">
        <v>42</v>
      </c>
    </row>
    <row r="8" spans="1:92" ht="17.399999999999999" customHeight="1" thickBot="1" x14ac:dyDescent="0.35">
      <c r="A8" s="265"/>
      <c r="B8" s="266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7"/>
    </row>
    <row r="9" spans="1:92" ht="22.05" customHeight="1" thickTop="1" thickBot="1" x14ac:dyDescent="0.35">
      <c r="A9" s="236" t="s">
        <v>8</v>
      </c>
      <c r="B9" s="234"/>
      <c r="C9" s="234"/>
      <c r="D9" s="234"/>
      <c r="E9" s="234"/>
      <c r="F9" s="235"/>
      <c r="G9" s="68">
        <v>46051</v>
      </c>
      <c r="H9" s="233" t="s">
        <v>9</v>
      </c>
      <c r="I9" s="234"/>
      <c r="J9" s="234"/>
      <c r="K9" s="234"/>
      <c r="L9" s="234"/>
      <c r="M9" s="234"/>
      <c r="N9" s="234"/>
      <c r="O9" s="234"/>
      <c r="P9" s="234"/>
      <c r="Q9" s="234"/>
      <c r="R9" s="235"/>
    </row>
    <row r="10" spans="1:92" ht="24" customHeight="1" x14ac:dyDescent="0.3">
      <c r="A10" s="69" t="s">
        <v>10</v>
      </c>
      <c r="B10" s="69" t="s">
        <v>11</v>
      </c>
      <c r="C10" s="70" t="s">
        <v>12</v>
      </c>
      <c r="D10" s="69" t="s">
        <v>13</v>
      </c>
      <c r="E10" s="69" t="s">
        <v>14</v>
      </c>
      <c r="F10" s="71" t="s">
        <v>15</v>
      </c>
      <c r="G10" s="72" t="s">
        <v>16</v>
      </c>
      <c r="H10" s="69" t="s">
        <v>17</v>
      </c>
      <c r="I10" s="73" t="s">
        <v>18</v>
      </c>
      <c r="J10" s="74" t="s">
        <v>19</v>
      </c>
      <c r="K10" s="75" t="s">
        <v>20</v>
      </c>
      <c r="L10" s="74" t="s">
        <v>21</v>
      </c>
      <c r="M10" s="74" t="s">
        <v>22</v>
      </c>
      <c r="N10" s="74" t="s">
        <v>23</v>
      </c>
      <c r="O10" s="69" t="s">
        <v>24</v>
      </c>
      <c r="P10" s="70" t="s">
        <v>25</v>
      </c>
      <c r="Q10" s="74" t="s">
        <v>26</v>
      </c>
      <c r="R10" s="69" t="s">
        <v>27</v>
      </c>
    </row>
    <row r="11" spans="1:92" ht="49.95" customHeight="1" x14ac:dyDescent="0.3">
      <c r="A11" s="185" t="s">
        <v>28</v>
      </c>
      <c r="B11" s="185" t="s">
        <v>469</v>
      </c>
      <c r="C11" s="186">
        <v>8.3333333333333329E-2</v>
      </c>
      <c r="D11" s="185" t="s">
        <v>30</v>
      </c>
      <c r="E11" s="187"/>
      <c r="F11" s="185" t="s">
        <v>31</v>
      </c>
      <c r="G11" s="240"/>
      <c r="H11" s="146" t="s">
        <v>469</v>
      </c>
      <c r="I11" s="147">
        <v>1.1900000000000001E-2</v>
      </c>
      <c r="J11" s="148">
        <v>2</v>
      </c>
      <c r="K11" s="149" t="s">
        <v>99</v>
      </c>
      <c r="L11" s="148">
        <v>2</v>
      </c>
      <c r="M11" s="148">
        <v>0</v>
      </c>
      <c r="N11" s="148">
        <v>0</v>
      </c>
      <c r="O11" s="150" t="s">
        <v>224</v>
      </c>
      <c r="P11" s="151">
        <v>8.3333333333333329E-2</v>
      </c>
      <c r="Q11" s="148">
        <v>168</v>
      </c>
      <c r="R11" s="152" t="s">
        <v>265</v>
      </c>
    </row>
    <row r="12" spans="1:92" ht="49.95" customHeight="1" x14ac:dyDescent="0.3">
      <c r="A12" s="201" t="s">
        <v>28</v>
      </c>
      <c r="B12" s="201" t="s">
        <v>466</v>
      </c>
      <c r="C12" s="202">
        <v>0.68055555555555547</v>
      </c>
      <c r="D12" s="201" t="s">
        <v>30</v>
      </c>
      <c r="E12" s="203"/>
      <c r="F12" s="201" t="s">
        <v>31</v>
      </c>
      <c r="G12" s="241"/>
      <c r="H12" s="79" t="s">
        <v>466</v>
      </c>
      <c r="I12" s="80">
        <v>1.1900000000000001E-2</v>
      </c>
      <c r="J12" s="81">
        <v>2</v>
      </c>
      <c r="K12" s="82" t="s">
        <v>97</v>
      </c>
      <c r="L12" s="81">
        <v>2</v>
      </c>
      <c r="M12" s="81">
        <v>0</v>
      </c>
      <c r="N12" s="81">
        <v>0</v>
      </c>
      <c r="O12" s="83" t="s">
        <v>66</v>
      </c>
      <c r="P12" s="84">
        <v>0.68055555555555547</v>
      </c>
      <c r="Q12" s="81">
        <v>168</v>
      </c>
      <c r="R12" s="85" t="s">
        <v>66</v>
      </c>
    </row>
    <row r="13" spans="1:92" ht="49.95" customHeight="1" thickBot="1" x14ac:dyDescent="0.35">
      <c r="A13" s="171" t="s">
        <v>28</v>
      </c>
      <c r="B13" s="171" t="s">
        <v>470</v>
      </c>
      <c r="C13" s="172">
        <v>0.70833333333333337</v>
      </c>
      <c r="D13" s="171" t="s">
        <v>30</v>
      </c>
      <c r="E13" s="173"/>
      <c r="F13" s="171" t="s">
        <v>31</v>
      </c>
      <c r="G13" s="242"/>
      <c r="H13" s="174" t="s">
        <v>470</v>
      </c>
      <c r="I13" s="175">
        <v>2.3800000000000002E-2</v>
      </c>
      <c r="J13" s="176">
        <v>4</v>
      </c>
      <c r="K13" s="177" t="s">
        <v>113</v>
      </c>
      <c r="L13" s="176">
        <v>4</v>
      </c>
      <c r="M13" s="176">
        <v>0</v>
      </c>
      <c r="N13" s="176">
        <v>0</v>
      </c>
      <c r="O13" s="178" t="s">
        <v>55</v>
      </c>
      <c r="P13" s="179">
        <v>0.70833333333333337</v>
      </c>
      <c r="Q13" s="176">
        <v>168</v>
      </c>
      <c r="R13" s="180" t="s">
        <v>230</v>
      </c>
    </row>
    <row r="14" spans="1:92" ht="17.399999999999999" customHeight="1" thickBot="1" x14ac:dyDescent="0.35">
      <c r="A14" s="265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7"/>
    </row>
    <row r="15" spans="1:92" ht="22.05" customHeight="1" thickTop="1" thickBot="1" x14ac:dyDescent="0.35">
      <c r="A15" s="236" t="s">
        <v>8</v>
      </c>
      <c r="B15" s="234"/>
      <c r="C15" s="234"/>
      <c r="D15" s="234"/>
      <c r="E15" s="234"/>
      <c r="F15" s="235"/>
      <c r="G15" s="68">
        <v>46052</v>
      </c>
      <c r="H15" s="233" t="s">
        <v>9</v>
      </c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4" customHeight="1" x14ac:dyDescent="0.3">
      <c r="A16" s="69" t="s">
        <v>10</v>
      </c>
      <c r="B16" s="69" t="s">
        <v>11</v>
      </c>
      <c r="C16" s="70" t="s">
        <v>12</v>
      </c>
      <c r="D16" s="69" t="s">
        <v>13</v>
      </c>
      <c r="E16" s="69" t="s">
        <v>14</v>
      </c>
      <c r="F16" s="71" t="s">
        <v>15</v>
      </c>
      <c r="G16" s="72" t="s">
        <v>16</v>
      </c>
      <c r="H16" s="69" t="s">
        <v>17</v>
      </c>
      <c r="I16" s="73" t="s">
        <v>18</v>
      </c>
      <c r="J16" s="74" t="s">
        <v>19</v>
      </c>
      <c r="K16" s="75" t="s">
        <v>20</v>
      </c>
      <c r="L16" s="74" t="s">
        <v>21</v>
      </c>
      <c r="M16" s="74" t="s">
        <v>22</v>
      </c>
      <c r="N16" s="74" t="s">
        <v>23</v>
      </c>
      <c r="O16" s="69" t="s">
        <v>24</v>
      </c>
      <c r="P16" s="70" t="s">
        <v>25</v>
      </c>
      <c r="Q16" s="74" t="s">
        <v>26</v>
      </c>
      <c r="R16" s="69" t="s">
        <v>27</v>
      </c>
    </row>
    <row r="17" spans="1:18" ht="49.95" customHeight="1" thickTop="1" thickBot="1" x14ac:dyDescent="0.35">
      <c r="A17" s="185" t="s">
        <v>28</v>
      </c>
      <c r="B17" s="185" t="s">
        <v>468</v>
      </c>
      <c r="C17" s="186">
        <v>0.29166666666666669</v>
      </c>
      <c r="D17" s="185" t="s">
        <v>30</v>
      </c>
      <c r="E17" s="187"/>
      <c r="F17" s="185" t="s">
        <v>31</v>
      </c>
      <c r="G17" s="240"/>
      <c r="H17" s="115" t="s">
        <v>468</v>
      </c>
      <c r="I17" s="220">
        <v>2.98E-2</v>
      </c>
      <c r="J17" s="117">
        <v>5</v>
      </c>
      <c r="K17" s="118" t="s">
        <v>91</v>
      </c>
      <c r="L17" s="117">
        <v>5</v>
      </c>
      <c r="M17" s="117">
        <v>0</v>
      </c>
      <c r="N17" s="117">
        <v>0</v>
      </c>
      <c r="O17" s="119" t="s">
        <v>42</v>
      </c>
      <c r="P17" s="120">
        <v>0.29166666666666669</v>
      </c>
      <c r="Q17" s="117">
        <v>168</v>
      </c>
      <c r="R17" s="121" t="s">
        <v>471</v>
      </c>
    </row>
    <row r="18" spans="1:18" ht="17.399999999999999" customHeight="1" thickBot="1" x14ac:dyDescent="0.35">
      <c r="A18" s="265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7"/>
    </row>
    <row r="19" spans="1:18" ht="22.05" customHeight="1" thickTop="1" thickBot="1" x14ac:dyDescent="0.35">
      <c r="A19" s="236" t="s">
        <v>8</v>
      </c>
      <c r="B19" s="234"/>
      <c r="C19" s="234"/>
      <c r="D19" s="234"/>
      <c r="E19" s="234"/>
      <c r="F19" s="235"/>
      <c r="G19" s="68">
        <v>46053</v>
      </c>
      <c r="H19" s="233" t="s">
        <v>9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4" customHeight="1" x14ac:dyDescent="0.3">
      <c r="A20" s="69" t="s">
        <v>10</v>
      </c>
      <c r="B20" s="69" t="s">
        <v>11</v>
      </c>
      <c r="C20" s="70" t="s">
        <v>12</v>
      </c>
      <c r="D20" s="69" t="s">
        <v>13</v>
      </c>
      <c r="E20" s="69" t="s">
        <v>14</v>
      </c>
      <c r="F20" s="71" t="s">
        <v>15</v>
      </c>
      <c r="G20" s="72" t="s">
        <v>16</v>
      </c>
      <c r="H20" s="69" t="s">
        <v>17</v>
      </c>
      <c r="I20" s="73" t="s">
        <v>18</v>
      </c>
      <c r="J20" s="74" t="s">
        <v>19</v>
      </c>
      <c r="K20" s="75" t="s">
        <v>20</v>
      </c>
      <c r="L20" s="74" t="s">
        <v>21</v>
      </c>
      <c r="M20" s="74" t="s">
        <v>22</v>
      </c>
      <c r="N20" s="74" t="s">
        <v>23</v>
      </c>
      <c r="O20" s="69" t="s">
        <v>24</v>
      </c>
      <c r="P20" s="70" t="s">
        <v>25</v>
      </c>
      <c r="Q20" s="74" t="s">
        <v>26</v>
      </c>
      <c r="R20" s="69" t="s">
        <v>27</v>
      </c>
    </row>
    <row r="21" spans="1:18" ht="49.95" customHeight="1" x14ac:dyDescent="0.3">
      <c r="A21" s="136" t="s">
        <v>28</v>
      </c>
      <c r="B21" s="136" t="s">
        <v>468</v>
      </c>
      <c r="C21" s="137">
        <v>0.30208333333333331</v>
      </c>
      <c r="D21" s="136" t="s">
        <v>30</v>
      </c>
      <c r="E21" s="138"/>
      <c r="F21" s="136" t="s">
        <v>31</v>
      </c>
      <c r="G21" s="240"/>
      <c r="H21" s="21" t="s">
        <v>468</v>
      </c>
      <c r="I21" s="22">
        <v>2.3800000000000002E-2</v>
      </c>
      <c r="J21" s="23">
        <v>4</v>
      </c>
      <c r="K21" s="24" t="s">
        <v>97</v>
      </c>
      <c r="L21" s="23">
        <v>4</v>
      </c>
      <c r="M21" s="23">
        <v>0</v>
      </c>
      <c r="N21" s="23">
        <v>0</v>
      </c>
      <c r="O21" s="25" t="s">
        <v>55</v>
      </c>
      <c r="P21" s="26">
        <v>0.30208333333333331</v>
      </c>
      <c r="Q21" s="23">
        <v>168</v>
      </c>
      <c r="R21" s="27" t="s">
        <v>230</v>
      </c>
    </row>
    <row r="22" spans="1:18" ht="49.95" customHeight="1" x14ac:dyDescent="0.3">
      <c r="A22" s="143" t="s">
        <v>28</v>
      </c>
      <c r="B22" s="143" t="s">
        <v>466</v>
      </c>
      <c r="C22" s="144">
        <v>0.46180555555555558</v>
      </c>
      <c r="D22" s="143" t="s">
        <v>30</v>
      </c>
      <c r="E22" s="145"/>
      <c r="F22" s="143" t="s">
        <v>31</v>
      </c>
      <c r="G22" s="241"/>
      <c r="H22" s="146" t="s">
        <v>466</v>
      </c>
      <c r="I22" s="147">
        <v>6.0000000000000001E-3</v>
      </c>
      <c r="J22" s="148">
        <v>1</v>
      </c>
      <c r="K22" s="149" t="s">
        <v>97</v>
      </c>
      <c r="L22" s="148">
        <v>1</v>
      </c>
      <c r="M22" s="148">
        <v>0</v>
      </c>
      <c r="N22" s="148">
        <v>0</v>
      </c>
      <c r="O22" s="150" t="s">
        <v>224</v>
      </c>
      <c r="P22" s="151">
        <v>0.46180555555555558</v>
      </c>
      <c r="Q22" s="148">
        <v>168</v>
      </c>
      <c r="R22" s="152" t="s">
        <v>42</v>
      </c>
    </row>
    <row r="23" spans="1:18" ht="49.95" customHeight="1" thickBot="1" x14ac:dyDescent="0.35">
      <c r="A23" s="58" t="s">
        <v>28</v>
      </c>
      <c r="B23" s="58" t="s">
        <v>470</v>
      </c>
      <c r="C23" s="59">
        <v>0.6875</v>
      </c>
      <c r="D23" s="58" t="s">
        <v>30</v>
      </c>
      <c r="E23" s="60"/>
      <c r="F23" s="58" t="s">
        <v>31</v>
      </c>
      <c r="G23" s="242"/>
      <c r="H23" s="61" t="s">
        <v>470</v>
      </c>
      <c r="I23" s="219">
        <v>5.3600000000000002E-2</v>
      </c>
      <c r="J23" s="63">
        <v>9</v>
      </c>
      <c r="K23" s="64" t="s">
        <v>113</v>
      </c>
      <c r="L23" s="63">
        <v>9</v>
      </c>
      <c r="M23" s="63">
        <v>0</v>
      </c>
      <c r="N23" s="63">
        <v>0</v>
      </c>
      <c r="O23" s="65" t="s">
        <v>114</v>
      </c>
      <c r="P23" s="66">
        <v>0.6875</v>
      </c>
      <c r="Q23" s="63">
        <v>168</v>
      </c>
      <c r="R23" s="67" t="s">
        <v>472</v>
      </c>
    </row>
    <row r="24" spans="1:18" ht="17.399999999999999" customHeight="1" thickBot="1" x14ac:dyDescent="0.35">
      <c r="A24" s="265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7"/>
    </row>
    <row r="25" spans="1:18" ht="22.05" customHeight="1" thickTop="1" thickBot="1" x14ac:dyDescent="0.35">
      <c r="A25" s="236" t="s">
        <v>8</v>
      </c>
      <c r="B25" s="234"/>
      <c r="C25" s="234"/>
      <c r="D25" s="234"/>
      <c r="E25" s="234"/>
      <c r="F25" s="235"/>
      <c r="G25" s="68">
        <v>46054</v>
      </c>
      <c r="H25" s="233" t="s">
        <v>9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5"/>
    </row>
    <row r="26" spans="1:18" ht="24" customHeight="1" x14ac:dyDescent="0.3">
      <c r="A26" s="69" t="s">
        <v>10</v>
      </c>
      <c r="B26" s="69" t="s">
        <v>11</v>
      </c>
      <c r="C26" s="70" t="s">
        <v>12</v>
      </c>
      <c r="D26" s="69" t="s">
        <v>13</v>
      </c>
      <c r="E26" s="69" t="s">
        <v>14</v>
      </c>
      <c r="F26" s="71" t="s">
        <v>15</v>
      </c>
      <c r="G26" s="72" t="s">
        <v>16</v>
      </c>
      <c r="H26" s="69" t="s">
        <v>17</v>
      </c>
      <c r="I26" s="73" t="s">
        <v>18</v>
      </c>
      <c r="J26" s="74" t="s">
        <v>19</v>
      </c>
      <c r="K26" s="75" t="s">
        <v>20</v>
      </c>
      <c r="L26" s="74" t="s">
        <v>21</v>
      </c>
      <c r="M26" s="74" t="s">
        <v>22</v>
      </c>
      <c r="N26" s="74" t="s">
        <v>23</v>
      </c>
      <c r="O26" s="69" t="s">
        <v>24</v>
      </c>
      <c r="P26" s="70" t="s">
        <v>25</v>
      </c>
      <c r="Q26" s="74" t="s">
        <v>26</v>
      </c>
      <c r="R26" s="69" t="s">
        <v>27</v>
      </c>
    </row>
    <row r="27" spans="1:18" ht="49.95" customHeight="1" x14ac:dyDescent="0.3">
      <c r="A27" s="76" t="s">
        <v>28</v>
      </c>
      <c r="B27" s="76" t="s">
        <v>468</v>
      </c>
      <c r="C27" s="77">
        <v>0.76736111111111116</v>
      </c>
      <c r="D27" s="76" t="s">
        <v>30</v>
      </c>
      <c r="E27" s="78"/>
      <c r="F27" s="76" t="s">
        <v>31</v>
      </c>
      <c r="G27" s="240"/>
      <c r="H27" s="79" t="s">
        <v>468</v>
      </c>
      <c r="I27" s="80">
        <v>3.5700000000000003E-2</v>
      </c>
      <c r="J27" s="81">
        <v>6</v>
      </c>
      <c r="K27" s="82" t="s">
        <v>91</v>
      </c>
      <c r="L27" s="81">
        <v>6</v>
      </c>
      <c r="M27" s="81">
        <v>0</v>
      </c>
      <c r="N27" s="81">
        <v>0</v>
      </c>
      <c r="O27" s="83" t="s">
        <v>127</v>
      </c>
      <c r="P27" s="84">
        <v>0.76736111111111116</v>
      </c>
      <c r="Q27" s="81">
        <v>168</v>
      </c>
      <c r="R27" s="85" t="s">
        <v>473</v>
      </c>
    </row>
    <row r="28" spans="1:18" ht="49.95" customHeight="1" thickBot="1" x14ac:dyDescent="0.35">
      <c r="A28" s="161" t="s">
        <v>28</v>
      </c>
      <c r="B28" s="161" t="s">
        <v>470</v>
      </c>
      <c r="C28" s="162">
        <v>0.85069444444444453</v>
      </c>
      <c r="D28" s="161" t="s">
        <v>30</v>
      </c>
      <c r="E28" s="163"/>
      <c r="F28" s="161" t="s">
        <v>31</v>
      </c>
      <c r="G28" s="242"/>
      <c r="H28" s="164" t="s">
        <v>470</v>
      </c>
      <c r="I28" s="224">
        <v>3.5700000000000003E-2</v>
      </c>
      <c r="J28" s="166">
        <v>6</v>
      </c>
      <c r="K28" s="167" t="s">
        <v>116</v>
      </c>
      <c r="L28" s="166">
        <v>6</v>
      </c>
      <c r="M28" s="166">
        <v>0</v>
      </c>
      <c r="N28" s="166">
        <v>0</v>
      </c>
      <c r="O28" s="168" t="s">
        <v>127</v>
      </c>
      <c r="P28" s="169">
        <v>0.85069444444444453</v>
      </c>
      <c r="Q28" s="166">
        <v>168</v>
      </c>
      <c r="R28" s="170" t="s">
        <v>473</v>
      </c>
    </row>
    <row r="29" spans="1:18" ht="17.399999999999999" customHeight="1" thickBot="1" x14ac:dyDescent="0.35">
      <c r="A29" s="265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7"/>
    </row>
    <row r="30" spans="1:18" ht="22.05" customHeight="1" thickTop="1" thickBot="1" x14ac:dyDescent="0.35">
      <c r="A30" s="236" t="s">
        <v>8</v>
      </c>
      <c r="B30" s="234"/>
      <c r="C30" s="234"/>
      <c r="D30" s="234"/>
      <c r="E30" s="234"/>
      <c r="F30" s="235"/>
      <c r="G30" s="68">
        <v>46055</v>
      </c>
      <c r="H30" s="233" t="s">
        <v>9</v>
      </c>
      <c r="I30" s="234"/>
      <c r="J30" s="234"/>
      <c r="K30" s="234"/>
      <c r="L30" s="234"/>
      <c r="M30" s="234"/>
      <c r="N30" s="234"/>
      <c r="O30" s="234"/>
      <c r="P30" s="234"/>
      <c r="Q30" s="234"/>
      <c r="R30" s="235"/>
    </row>
    <row r="31" spans="1:18" ht="24" customHeight="1" x14ac:dyDescent="0.3">
      <c r="A31" s="69" t="s">
        <v>10</v>
      </c>
      <c r="B31" s="69" t="s">
        <v>11</v>
      </c>
      <c r="C31" s="70" t="s">
        <v>12</v>
      </c>
      <c r="D31" s="69" t="s">
        <v>13</v>
      </c>
      <c r="E31" s="69" t="s">
        <v>14</v>
      </c>
      <c r="F31" s="71" t="s">
        <v>15</v>
      </c>
      <c r="G31" s="72" t="s">
        <v>16</v>
      </c>
      <c r="H31" s="69" t="s">
        <v>17</v>
      </c>
      <c r="I31" s="73" t="s">
        <v>18</v>
      </c>
      <c r="J31" s="74" t="s">
        <v>19</v>
      </c>
      <c r="K31" s="75" t="s">
        <v>20</v>
      </c>
      <c r="L31" s="74" t="s">
        <v>21</v>
      </c>
      <c r="M31" s="74" t="s">
        <v>22</v>
      </c>
      <c r="N31" s="74" t="s">
        <v>23</v>
      </c>
      <c r="O31" s="69" t="s">
        <v>24</v>
      </c>
      <c r="P31" s="70" t="s">
        <v>25</v>
      </c>
      <c r="Q31" s="74" t="s">
        <v>26</v>
      </c>
      <c r="R31" s="69" t="s">
        <v>27</v>
      </c>
    </row>
    <row r="32" spans="1:18" ht="49.95" customHeight="1" x14ac:dyDescent="0.3">
      <c r="A32" s="122" t="s">
        <v>28</v>
      </c>
      <c r="B32" s="122" t="s">
        <v>468</v>
      </c>
      <c r="C32" s="123">
        <v>0.25347222222222221</v>
      </c>
      <c r="D32" s="122" t="s">
        <v>30</v>
      </c>
      <c r="E32" s="124"/>
      <c r="F32" s="122" t="s">
        <v>31</v>
      </c>
      <c r="G32" s="240"/>
      <c r="H32" s="41" t="s">
        <v>468</v>
      </c>
      <c r="I32" s="42">
        <v>2.98E-2</v>
      </c>
      <c r="J32" s="43">
        <v>5</v>
      </c>
      <c r="K32" s="44" t="s">
        <v>97</v>
      </c>
      <c r="L32" s="43">
        <v>5</v>
      </c>
      <c r="M32" s="43">
        <v>0</v>
      </c>
      <c r="N32" s="43">
        <v>0</v>
      </c>
      <c r="O32" s="45" t="s">
        <v>73</v>
      </c>
      <c r="P32" s="46">
        <v>0.25347222222222221</v>
      </c>
      <c r="Q32" s="43">
        <v>168</v>
      </c>
      <c r="R32" s="47" t="s">
        <v>474</v>
      </c>
    </row>
    <row r="33" spans="1:18" ht="49.95" customHeight="1" x14ac:dyDescent="0.3">
      <c r="A33" s="201" t="s">
        <v>28</v>
      </c>
      <c r="B33" s="201" t="s">
        <v>470</v>
      </c>
      <c r="C33" s="202">
        <v>0.35416666666666669</v>
      </c>
      <c r="D33" s="201" t="s">
        <v>30</v>
      </c>
      <c r="E33" s="203"/>
      <c r="F33" s="201" t="s">
        <v>31</v>
      </c>
      <c r="G33" s="241"/>
      <c r="H33" s="79" t="s">
        <v>470</v>
      </c>
      <c r="I33" s="80">
        <v>5.9499999999999997E-2</v>
      </c>
      <c r="J33" s="81">
        <v>10</v>
      </c>
      <c r="K33" s="82" t="s">
        <v>129</v>
      </c>
      <c r="L33" s="81">
        <v>10</v>
      </c>
      <c r="M33" s="81">
        <v>0</v>
      </c>
      <c r="N33" s="81">
        <v>0</v>
      </c>
      <c r="O33" s="83" t="s">
        <v>89</v>
      </c>
      <c r="P33" s="84">
        <v>0.35416666666666669</v>
      </c>
      <c r="Q33" s="81">
        <v>168</v>
      </c>
      <c r="R33" s="85" t="s">
        <v>475</v>
      </c>
    </row>
    <row r="34" spans="1:18" ht="49.95" customHeight="1" x14ac:dyDescent="0.3">
      <c r="A34" s="28" t="s">
        <v>28</v>
      </c>
      <c r="B34" s="28" t="s">
        <v>469</v>
      </c>
      <c r="C34" s="29">
        <v>0.50694444444444442</v>
      </c>
      <c r="D34" s="28" t="s">
        <v>30</v>
      </c>
      <c r="E34" s="30"/>
      <c r="F34" s="28" t="s">
        <v>31</v>
      </c>
      <c r="G34" s="241"/>
      <c r="H34" s="31" t="s">
        <v>469</v>
      </c>
      <c r="I34" s="32">
        <v>2.98E-2</v>
      </c>
      <c r="J34" s="33">
        <v>5</v>
      </c>
      <c r="K34" s="34" t="s">
        <v>119</v>
      </c>
      <c r="L34" s="33">
        <v>5</v>
      </c>
      <c r="M34" s="33">
        <v>0</v>
      </c>
      <c r="N34" s="33">
        <v>0</v>
      </c>
      <c r="O34" s="35" t="s">
        <v>73</v>
      </c>
      <c r="P34" s="36">
        <v>0.50694444444444442</v>
      </c>
      <c r="Q34" s="33">
        <v>168</v>
      </c>
      <c r="R34" s="37" t="s">
        <v>474</v>
      </c>
    </row>
    <row r="35" spans="1:18" ht="49.95" customHeight="1" thickBot="1" x14ac:dyDescent="0.35">
      <c r="A35" s="207" t="s">
        <v>28</v>
      </c>
      <c r="B35" s="207" t="s">
        <v>466</v>
      </c>
      <c r="C35" s="208">
        <v>0.70833333333333337</v>
      </c>
      <c r="D35" s="207" t="s">
        <v>30</v>
      </c>
      <c r="E35" s="209"/>
      <c r="F35" s="207" t="s">
        <v>31</v>
      </c>
      <c r="G35" s="242"/>
      <c r="H35" s="210" t="s">
        <v>466</v>
      </c>
      <c r="I35" s="223">
        <v>3.5700000000000003E-2</v>
      </c>
      <c r="J35" s="212">
        <v>6</v>
      </c>
      <c r="K35" s="213" t="s">
        <v>106</v>
      </c>
      <c r="L35" s="212">
        <v>6</v>
      </c>
      <c r="M35" s="212">
        <v>0</v>
      </c>
      <c r="N35" s="212">
        <v>0</v>
      </c>
      <c r="O35" s="214" t="s">
        <v>127</v>
      </c>
      <c r="P35" s="215">
        <v>0.70833333333333337</v>
      </c>
      <c r="Q35" s="212">
        <v>168</v>
      </c>
      <c r="R35" s="216" t="s">
        <v>473</v>
      </c>
    </row>
    <row r="36" spans="1:18" ht="17.399999999999999" customHeight="1" thickBot="1" x14ac:dyDescent="0.35">
      <c r="A36" s="265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7"/>
    </row>
    <row r="37" spans="1:18" ht="22.05" customHeight="1" thickTop="1" thickBot="1" x14ac:dyDescent="0.35">
      <c r="A37" s="236" t="s">
        <v>8</v>
      </c>
      <c r="B37" s="234"/>
      <c r="C37" s="234"/>
      <c r="D37" s="234"/>
      <c r="E37" s="234"/>
      <c r="F37" s="235"/>
      <c r="G37" s="68">
        <v>46056</v>
      </c>
      <c r="H37" s="233" t="s">
        <v>9</v>
      </c>
      <c r="I37" s="234"/>
      <c r="J37" s="234"/>
      <c r="K37" s="234"/>
      <c r="L37" s="234"/>
      <c r="M37" s="234"/>
      <c r="N37" s="234"/>
      <c r="O37" s="234"/>
      <c r="P37" s="234"/>
      <c r="Q37" s="234"/>
      <c r="R37" s="235"/>
    </row>
    <row r="38" spans="1:18" ht="24" customHeight="1" x14ac:dyDescent="0.3">
      <c r="A38" s="69" t="s">
        <v>10</v>
      </c>
      <c r="B38" s="69" t="s">
        <v>11</v>
      </c>
      <c r="C38" s="70" t="s">
        <v>12</v>
      </c>
      <c r="D38" s="69" t="s">
        <v>13</v>
      </c>
      <c r="E38" s="69" t="s">
        <v>14</v>
      </c>
      <c r="F38" s="71" t="s">
        <v>15</v>
      </c>
      <c r="G38" s="72" t="s">
        <v>16</v>
      </c>
      <c r="H38" s="69" t="s">
        <v>17</v>
      </c>
      <c r="I38" s="73" t="s">
        <v>18</v>
      </c>
      <c r="J38" s="74" t="s">
        <v>19</v>
      </c>
      <c r="K38" s="75" t="s">
        <v>20</v>
      </c>
      <c r="L38" s="74" t="s">
        <v>21</v>
      </c>
      <c r="M38" s="74" t="s">
        <v>22</v>
      </c>
      <c r="N38" s="74" t="s">
        <v>23</v>
      </c>
      <c r="O38" s="69" t="s">
        <v>24</v>
      </c>
      <c r="P38" s="70" t="s">
        <v>25</v>
      </c>
      <c r="Q38" s="74" t="s">
        <v>26</v>
      </c>
      <c r="R38" s="69" t="s">
        <v>27</v>
      </c>
    </row>
    <row r="39" spans="1:18" ht="49.95" customHeight="1" x14ac:dyDescent="0.3">
      <c r="A39" s="136" t="s">
        <v>28</v>
      </c>
      <c r="B39" s="136" t="s">
        <v>466</v>
      </c>
      <c r="C39" s="137">
        <v>0.32291666666666669</v>
      </c>
      <c r="D39" s="136" t="s">
        <v>30</v>
      </c>
      <c r="E39" s="138"/>
      <c r="F39" s="136" t="s">
        <v>31</v>
      </c>
      <c r="G39" s="243"/>
      <c r="H39" s="21" t="s">
        <v>466</v>
      </c>
      <c r="I39" s="22">
        <v>3.5700000000000003E-2</v>
      </c>
      <c r="J39" s="23">
        <v>6</v>
      </c>
      <c r="K39" s="24" t="s">
        <v>418</v>
      </c>
      <c r="L39" s="23">
        <v>6</v>
      </c>
      <c r="M39" s="23">
        <v>0</v>
      </c>
      <c r="N39" s="23">
        <v>0</v>
      </c>
      <c r="O39" s="25" t="s">
        <v>127</v>
      </c>
      <c r="P39" s="26">
        <v>0.32291666666666669</v>
      </c>
      <c r="Q39" s="23">
        <v>168</v>
      </c>
      <c r="R39" s="27" t="s">
        <v>473</v>
      </c>
    </row>
    <row r="40" spans="1:18" ht="49.95" customHeight="1" thickBot="1" x14ac:dyDescent="0.35">
      <c r="A40" s="90" t="s">
        <v>28</v>
      </c>
      <c r="B40" s="90" t="s">
        <v>470</v>
      </c>
      <c r="C40" s="91">
        <v>0.95138888888888884</v>
      </c>
      <c r="D40" s="90" t="s">
        <v>30</v>
      </c>
      <c r="E40" s="92"/>
      <c r="F40" s="90" t="s">
        <v>31</v>
      </c>
      <c r="G40" s="242"/>
      <c r="H40" s="93" t="s">
        <v>470</v>
      </c>
      <c r="I40" s="221">
        <v>5.9499999999999997E-2</v>
      </c>
      <c r="J40" s="95">
        <v>10</v>
      </c>
      <c r="K40" s="96" t="s">
        <v>260</v>
      </c>
      <c r="L40" s="95">
        <v>10</v>
      </c>
      <c r="M40" s="95">
        <v>0</v>
      </c>
      <c r="N40" s="95">
        <v>0</v>
      </c>
      <c r="O40" s="97" t="s">
        <v>144</v>
      </c>
      <c r="P40" s="98">
        <v>0.95138888888888884</v>
      </c>
      <c r="Q40" s="95">
        <v>168</v>
      </c>
      <c r="R40" s="99" t="s">
        <v>476</v>
      </c>
    </row>
    <row r="41" spans="1:18" ht="17.399999999999999" customHeight="1" thickBot="1" x14ac:dyDescent="0.35">
      <c r="A41" s="265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7"/>
    </row>
    <row r="42" spans="1:18" ht="22.05" customHeight="1" thickTop="1" thickBot="1" x14ac:dyDescent="0.35">
      <c r="A42" s="236" t="s">
        <v>8</v>
      </c>
      <c r="B42" s="234"/>
      <c r="C42" s="234"/>
      <c r="D42" s="234"/>
      <c r="E42" s="234"/>
      <c r="F42" s="235"/>
      <c r="G42" s="68">
        <v>46057</v>
      </c>
      <c r="H42" s="233" t="s">
        <v>9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5"/>
    </row>
    <row r="43" spans="1:18" ht="24" customHeight="1" x14ac:dyDescent="0.3">
      <c r="A43" s="69" t="s">
        <v>10</v>
      </c>
      <c r="B43" s="69" t="s">
        <v>11</v>
      </c>
      <c r="C43" s="70" t="s">
        <v>12</v>
      </c>
      <c r="D43" s="69" t="s">
        <v>13</v>
      </c>
      <c r="E43" s="69" t="s">
        <v>14</v>
      </c>
      <c r="F43" s="71" t="s">
        <v>15</v>
      </c>
      <c r="G43" s="72" t="s">
        <v>16</v>
      </c>
      <c r="H43" s="69" t="s">
        <v>17</v>
      </c>
      <c r="I43" s="73" t="s">
        <v>18</v>
      </c>
      <c r="J43" s="74" t="s">
        <v>19</v>
      </c>
      <c r="K43" s="75" t="s">
        <v>20</v>
      </c>
      <c r="L43" s="74" t="s">
        <v>21</v>
      </c>
      <c r="M43" s="74" t="s">
        <v>22</v>
      </c>
      <c r="N43" s="74" t="s">
        <v>23</v>
      </c>
      <c r="O43" s="69" t="s">
        <v>24</v>
      </c>
      <c r="P43" s="70" t="s">
        <v>25</v>
      </c>
      <c r="Q43" s="74" t="s">
        <v>26</v>
      </c>
      <c r="R43" s="69" t="s">
        <v>27</v>
      </c>
    </row>
    <row r="44" spans="1:18" ht="49.95" customHeight="1" x14ac:dyDescent="0.3">
      <c r="A44" s="76" t="s">
        <v>28</v>
      </c>
      <c r="B44" s="76" t="s">
        <v>466</v>
      </c>
      <c r="C44" s="77">
        <v>0.2673611111111111</v>
      </c>
      <c r="D44" s="76" t="s">
        <v>30</v>
      </c>
      <c r="E44" s="78"/>
      <c r="F44" s="76" t="s">
        <v>108</v>
      </c>
      <c r="G44" s="240"/>
      <c r="H44" s="79" t="s">
        <v>466</v>
      </c>
      <c r="I44" s="80">
        <v>0</v>
      </c>
      <c r="J44" s="81">
        <v>0</v>
      </c>
      <c r="K44" s="82" t="s">
        <v>109</v>
      </c>
      <c r="L44" s="81">
        <v>0</v>
      </c>
      <c r="M44" s="81">
        <v>0</v>
      </c>
      <c r="N44" s="81">
        <v>0</v>
      </c>
      <c r="O44" s="83" t="s">
        <v>75</v>
      </c>
      <c r="P44" s="84">
        <v>0.2673611111111111</v>
      </c>
      <c r="Q44" s="81">
        <v>168</v>
      </c>
      <c r="R44" s="85" t="s">
        <v>109</v>
      </c>
    </row>
    <row r="45" spans="1:18" ht="49.95" customHeight="1" thickBot="1" x14ac:dyDescent="0.35">
      <c r="A45" s="90" t="s">
        <v>28</v>
      </c>
      <c r="B45" s="90" t="s">
        <v>468</v>
      </c>
      <c r="C45" s="91">
        <v>0.65625</v>
      </c>
      <c r="D45" s="90" t="s">
        <v>30</v>
      </c>
      <c r="E45" s="92"/>
      <c r="F45" s="90" t="s">
        <v>108</v>
      </c>
      <c r="G45" s="242"/>
      <c r="H45" s="93" t="s">
        <v>468</v>
      </c>
      <c r="I45" s="221">
        <v>0</v>
      </c>
      <c r="J45" s="95">
        <v>0</v>
      </c>
      <c r="K45" s="96" t="s">
        <v>109</v>
      </c>
      <c r="L45" s="95">
        <v>0</v>
      </c>
      <c r="M45" s="95">
        <v>0</v>
      </c>
      <c r="N45" s="95">
        <v>0</v>
      </c>
      <c r="O45" s="97" t="s">
        <v>75</v>
      </c>
      <c r="P45" s="98">
        <v>0.65625</v>
      </c>
      <c r="Q45" s="95">
        <v>168</v>
      </c>
      <c r="R45" s="99" t="s">
        <v>109</v>
      </c>
    </row>
    <row r="46" spans="1:18" ht="17.399999999999999" customHeight="1" thickBot="1" x14ac:dyDescent="0.35">
      <c r="A46" s="265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7"/>
    </row>
    <row r="47" spans="1:18" ht="22.05" customHeight="1" thickTop="1" thickBot="1" x14ac:dyDescent="0.35">
      <c r="A47" s="236" t="s">
        <v>8</v>
      </c>
      <c r="B47" s="234"/>
      <c r="C47" s="234"/>
      <c r="D47" s="234"/>
      <c r="E47" s="234"/>
      <c r="F47" s="235"/>
      <c r="G47" s="68">
        <v>46058</v>
      </c>
      <c r="H47" s="233" t="s">
        <v>9</v>
      </c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4" customHeight="1" x14ac:dyDescent="0.3">
      <c r="A48" s="69" t="s">
        <v>10</v>
      </c>
      <c r="B48" s="69" t="s">
        <v>11</v>
      </c>
      <c r="C48" s="70" t="s">
        <v>12</v>
      </c>
      <c r="D48" s="69" t="s">
        <v>13</v>
      </c>
      <c r="E48" s="69" t="s">
        <v>14</v>
      </c>
      <c r="F48" s="71" t="s">
        <v>15</v>
      </c>
      <c r="G48" s="72" t="s">
        <v>16</v>
      </c>
      <c r="H48" s="69" t="s">
        <v>17</v>
      </c>
      <c r="I48" s="73" t="s">
        <v>18</v>
      </c>
      <c r="J48" s="74" t="s">
        <v>19</v>
      </c>
      <c r="K48" s="75" t="s">
        <v>20</v>
      </c>
      <c r="L48" s="74" t="s">
        <v>21</v>
      </c>
      <c r="M48" s="74" t="s">
        <v>22</v>
      </c>
      <c r="N48" s="74" t="s">
        <v>23</v>
      </c>
      <c r="O48" s="69" t="s">
        <v>24</v>
      </c>
      <c r="P48" s="70" t="s">
        <v>25</v>
      </c>
      <c r="Q48" s="74" t="s">
        <v>26</v>
      </c>
      <c r="R48" s="69" t="s">
        <v>27</v>
      </c>
    </row>
    <row r="49" spans="1:18" ht="49.95" customHeight="1" x14ac:dyDescent="0.3">
      <c r="A49" s="8" t="s">
        <v>28</v>
      </c>
      <c r="B49" s="8" t="s">
        <v>469</v>
      </c>
      <c r="C49" s="9">
        <v>8.3333333333333329E-2</v>
      </c>
      <c r="D49" s="8" t="s">
        <v>30</v>
      </c>
      <c r="E49" s="10"/>
      <c r="F49" s="8" t="s">
        <v>31</v>
      </c>
      <c r="G49" s="240"/>
      <c r="H49" s="11" t="s">
        <v>469</v>
      </c>
      <c r="I49" s="12">
        <v>6.0000000000000001E-3</v>
      </c>
      <c r="J49" s="13">
        <v>1</v>
      </c>
      <c r="K49" s="14" t="s">
        <v>166</v>
      </c>
      <c r="L49" s="13">
        <v>1</v>
      </c>
      <c r="M49" s="13">
        <v>0</v>
      </c>
      <c r="N49" s="13">
        <v>0</v>
      </c>
      <c r="O49" s="15" t="s">
        <v>75</v>
      </c>
      <c r="P49" s="16">
        <v>8.3333333333333329E-2</v>
      </c>
      <c r="Q49" s="13">
        <v>168</v>
      </c>
      <c r="R49" s="17" t="s">
        <v>304</v>
      </c>
    </row>
    <row r="50" spans="1:18" ht="49.95" customHeight="1" x14ac:dyDescent="0.3">
      <c r="A50" s="143" t="s">
        <v>28</v>
      </c>
      <c r="B50" s="143" t="s">
        <v>466</v>
      </c>
      <c r="C50" s="144">
        <v>0.68055555555555547</v>
      </c>
      <c r="D50" s="143" t="s">
        <v>30</v>
      </c>
      <c r="E50" s="145"/>
      <c r="F50" s="143" t="s">
        <v>108</v>
      </c>
      <c r="G50" s="241"/>
      <c r="H50" s="146" t="s">
        <v>466</v>
      </c>
      <c r="I50" s="147">
        <v>0</v>
      </c>
      <c r="J50" s="148">
        <v>0</v>
      </c>
      <c r="K50" s="149" t="s">
        <v>109</v>
      </c>
      <c r="L50" s="148">
        <v>0</v>
      </c>
      <c r="M50" s="148">
        <v>0</v>
      </c>
      <c r="N50" s="148">
        <v>0</v>
      </c>
      <c r="O50" s="150" t="s">
        <v>75</v>
      </c>
      <c r="P50" s="151">
        <v>0.68055555555555547</v>
      </c>
      <c r="Q50" s="148">
        <v>168</v>
      </c>
      <c r="R50" s="152" t="s">
        <v>109</v>
      </c>
    </row>
    <row r="51" spans="1:18" ht="49.95" customHeight="1" thickBot="1" x14ac:dyDescent="0.35">
      <c r="A51" s="161" t="s">
        <v>28</v>
      </c>
      <c r="B51" s="161" t="s">
        <v>470</v>
      </c>
      <c r="C51" s="162">
        <v>0.70833333333333337</v>
      </c>
      <c r="D51" s="161" t="s">
        <v>30</v>
      </c>
      <c r="E51" s="163"/>
      <c r="F51" s="161" t="s">
        <v>31</v>
      </c>
      <c r="G51" s="242"/>
      <c r="H51" s="164" t="s">
        <v>470</v>
      </c>
      <c r="I51" s="224">
        <v>6.0000000000000001E-3</v>
      </c>
      <c r="J51" s="166">
        <v>1</v>
      </c>
      <c r="K51" s="167" t="s">
        <v>477</v>
      </c>
      <c r="L51" s="166">
        <v>1</v>
      </c>
      <c r="M51" s="166">
        <v>0</v>
      </c>
      <c r="N51" s="166">
        <v>0</v>
      </c>
      <c r="O51" s="168" t="s">
        <v>75</v>
      </c>
      <c r="P51" s="169">
        <v>0.70833333333333337</v>
      </c>
      <c r="Q51" s="166">
        <v>168</v>
      </c>
      <c r="R51" s="170" t="s">
        <v>304</v>
      </c>
    </row>
    <row r="52" spans="1:18" ht="17.399999999999999" customHeight="1" thickBot="1" x14ac:dyDescent="0.35">
      <c r="A52" s="265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7"/>
    </row>
    <row r="53" spans="1:18" ht="22.05" customHeight="1" thickTop="1" thickBot="1" x14ac:dyDescent="0.35">
      <c r="A53" s="236" t="s">
        <v>8</v>
      </c>
      <c r="B53" s="234"/>
      <c r="C53" s="234"/>
      <c r="D53" s="234"/>
      <c r="E53" s="234"/>
      <c r="F53" s="235"/>
      <c r="G53" s="68">
        <v>46059</v>
      </c>
      <c r="H53" s="233" t="s">
        <v>9</v>
      </c>
      <c r="I53" s="234"/>
      <c r="J53" s="234"/>
      <c r="K53" s="234"/>
      <c r="L53" s="234"/>
      <c r="M53" s="234"/>
      <c r="N53" s="234"/>
      <c r="O53" s="234"/>
      <c r="P53" s="234"/>
      <c r="Q53" s="234"/>
      <c r="R53" s="235"/>
    </row>
    <row r="54" spans="1:18" ht="24" customHeight="1" x14ac:dyDescent="0.3">
      <c r="A54" s="69" t="s">
        <v>10</v>
      </c>
      <c r="B54" s="69" t="s">
        <v>11</v>
      </c>
      <c r="C54" s="70" t="s">
        <v>12</v>
      </c>
      <c r="D54" s="69" t="s">
        <v>13</v>
      </c>
      <c r="E54" s="69" t="s">
        <v>14</v>
      </c>
      <c r="F54" s="71" t="s">
        <v>15</v>
      </c>
      <c r="G54" s="72" t="s">
        <v>16</v>
      </c>
      <c r="H54" s="69" t="s">
        <v>17</v>
      </c>
      <c r="I54" s="73" t="s">
        <v>18</v>
      </c>
      <c r="J54" s="74" t="s">
        <v>19</v>
      </c>
      <c r="K54" s="75" t="s">
        <v>20</v>
      </c>
      <c r="L54" s="74" t="s">
        <v>21</v>
      </c>
      <c r="M54" s="74" t="s">
        <v>22</v>
      </c>
      <c r="N54" s="74" t="s">
        <v>23</v>
      </c>
      <c r="O54" s="69" t="s">
        <v>24</v>
      </c>
      <c r="P54" s="70" t="s">
        <v>25</v>
      </c>
      <c r="Q54" s="74" t="s">
        <v>26</v>
      </c>
      <c r="R54" s="69" t="s">
        <v>27</v>
      </c>
    </row>
    <row r="55" spans="1:18" ht="49.95" customHeight="1" thickTop="1" thickBot="1" x14ac:dyDescent="0.35">
      <c r="A55" s="185" t="s">
        <v>28</v>
      </c>
      <c r="B55" s="185" t="s">
        <v>468</v>
      </c>
      <c r="C55" s="186">
        <v>0.29166666666666669</v>
      </c>
      <c r="D55" s="185" t="s">
        <v>30</v>
      </c>
      <c r="E55" s="187"/>
      <c r="F55" s="185" t="s">
        <v>31</v>
      </c>
      <c r="G55" s="240"/>
      <c r="H55" s="115" t="s">
        <v>468</v>
      </c>
      <c r="I55" s="220">
        <v>6.0000000000000001E-3</v>
      </c>
      <c r="J55" s="117">
        <v>1</v>
      </c>
      <c r="K55" s="118" t="s">
        <v>106</v>
      </c>
      <c r="L55" s="117">
        <v>1</v>
      </c>
      <c r="M55" s="117">
        <v>0</v>
      </c>
      <c r="N55" s="117">
        <v>0</v>
      </c>
      <c r="O55" s="119" t="s">
        <v>102</v>
      </c>
      <c r="P55" s="120">
        <v>0.29166666666666669</v>
      </c>
      <c r="Q55" s="117">
        <v>168</v>
      </c>
      <c r="R55" s="121" t="s">
        <v>304</v>
      </c>
    </row>
    <row r="56" spans="1:18" ht="17.399999999999999" customHeight="1" thickBot="1" x14ac:dyDescent="0.35">
      <c r="A56" s="265"/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7"/>
    </row>
    <row r="57" spans="1:18" ht="22.05" customHeight="1" thickTop="1" thickBot="1" x14ac:dyDescent="0.35">
      <c r="A57" s="236" t="s">
        <v>8</v>
      </c>
      <c r="B57" s="234"/>
      <c r="C57" s="234"/>
      <c r="D57" s="234"/>
      <c r="E57" s="234"/>
      <c r="F57" s="235"/>
      <c r="G57" s="68">
        <v>46060</v>
      </c>
      <c r="H57" s="233" t="s">
        <v>9</v>
      </c>
      <c r="I57" s="234"/>
      <c r="J57" s="234"/>
      <c r="K57" s="234"/>
      <c r="L57" s="234"/>
      <c r="M57" s="234"/>
      <c r="N57" s="234"/>
      <c r="O57" s="234"/>
      <c r="P57" s="234"/>
      <c r="Q57" s="234"/>
      <c r="R57" s="235"/>
    </row>
    <row r="58" spans="1:18" ht="24" customHeight="1" x14ac:dyDescent="0.3">
      <c r="A58" s="69" t="s">
        <v>10</v>
      </c>
      <c r="B58" s="69" t="s">
        <v>11</v>
      </c>
      <c r="C58" s="70" t="s">
        <v>12</v>
      </c>
      <c r="D58" s="69" t="s">
        <v>13</v>
      </c>
      <c r="E58" s="69" t="s">
        <v>14</v>
      </c>
      <c r="F58" s="71" t="s">
        <v>15</v>
      </c>
      <c r="G58" s="72" t="s">
        <v>16</v>
      </c>
      <c r="H58" s="69" t="s">
        <v>17</v>
      </c>
      <c r="I58" s="73" t="s">
        <v>18</v>
      </c>
      <c r="J58" s="74" t="s">
        <v>19</v>
      </c>
      <c r="K58" s="75" t="s">
        <v>20</v>
      </c>
      <c r="L58" s="74" t="s">
        <v>21</v>
      </c>
      <c r="M58" s="74" t="s">
        <v>22</v>
      </c>
      <c r="N58" s="74" t="s">
        <v>23</v>
      </c>
      <c r="O58" s="69" t="s">
        <v>24</v>
      </c>
      <c r="P58" s="70" t="s">
        <v>25</v>
      </c>
      <c r="Q58" s="74" t="s">
        <v>26</v>
      </c>
      <c r="R58" s="69" t="s">
        <v>27</v>
      </c>
    </row>
    <row r="59" spans="1:18" ht="49.95" customHeight="1" x14ac:dyDescent="0.3">
      <c r="A59" s="185" t="s">
        <v>28</v>
      </c>
      <c r="B59" s="185" t="s">
        <v>468</v>
      </c>
      <c r="C59" s="186">
        <v>0.30208333333333331</v>
      </c>
      <c r="D59" s="185" t="s">
        <v>30</v>
      </c>
      <c r="E59" s="187"/>
      <c r="F59" s="185" t="s">
        <v>31</v>
      </c>
      <c r="G59" s="240"/>
      <c r="H59" s="146" t="s">
        <v>468</v>
      </c>
      <c r="I59" s="147">
        <v>6.0000000000000001E-3</v>
      </c>
      <c r="J59" s="148">
        <v>1</v>
      </c>
      <c r="K59" s="149" t="s">
        <v>99</v>
      </c>
      <c r="L59" s="148">
        <v>1</v>
      </c>
      <c r="M59" s="148">
        <v>0</v>
      </c>
      <c r="N59" s="148">
        <v>0</v>
      </c>
      <c r="O59" s="150" t="s">
        <v>102</v>
      </c>
      <c r="P59" s="151">
        <v>0.30208333333333331</v>
      </c>
      <c r="Q59" s="148">
        <v>168</v>
      </c>
      <c r="R59" s="152" t="s">
        <v>304</v>
      </c>
    </row>
    <row r="60" spans="1:18" ht="49.95" customHeight="1" x14ac:dyDescent="0.3">
      <c r="A60" s="38" t="s">
        <v>28</v>
      </c>
      <c r="B60" s="38" t="s">
        <v>466</v>
      </c>
      <c r="C60" s="39">
        <v>0.46180555555555558</v>
      </c>
      <c r="D60" s="38" t="s">
        <v>30</v>
      </c>
      <c r="E60" s="40"/>
      <c r="F60" s="38" t="s">
        <v>108</v>
      </c>
      <c r="G60" s="241"/>
      <c r="H60" s="41" t="s">
        <v>466</v>
      </c>
      <c r="I60" s="42">
        <v>0</v>
      </c>
      <c r="J60" s="43">
        <v>0</v>
      </c>
      <c r="K60" s="44" t="s">
        <v>109</v>
      </c>
      <c r="L60" s="43">
        <v>0</v>
      </c>
      <c r="M60" s="43">
        <v>0</v>
      </c>
      <c r="N60" s="43">
        <v>0</v>
      </c>
      <c r="O60" s="45" t="s">
        <v>102</v>
      </c>
      <c r="P60" s="46">
        <v>0.46180555555555558</v>
      </c>
      <c r="Q60" s="43">
        <v>168</v>
      </c>
      <c r="R60" s="47" t="s">
        <v>109</v>
      </c>
    </row>
    <row r="61" spans="1:18" ht="49.95" customHeight="1" thickBot="1" x14ac:dyDescent="0.35">
      <c r="A61" s="189" t="s">
        <v>28</v>
      </c>
      <c r="B61" s="189" t="s">
        <v>470</v>
      </c>
      <c r="C61" s="190">
        <v>0.6875</v>
      </c>
      <c r="D61" s="189" t="s">
        <v>30</v>
      </c>
      <c r="E61" s="191"/>
      <c r="F61" s="189" t="s">
        <v>31</v>
      </c>
      <c r="G61" s="242"/>
      <c r="H61" s="192" t="s">
        <v>470</v>
      </c>
      <c r="I61" s="222">
        <v>2.3800000000000002E-2</v>
      </c>
      <c r="J61" s="194">
        <v>4</v>
      </c>
      <c r="K61" s="195" t="s">
        <v>220</v>
      </c>
      <c r="L61" s="194">
        <v>4</v>
      </c>
      <c r="M61" s="194">
        <v>0</v>
      </c>
      <c r="N61" s="194">
        <v>0</v>
      </c>
      <c r="O61" s="196" t="s">
        <v>102</v>
      </c>
      <c r="P61" s="197">
        <v>0.6875</v>
      </c>
      <c r="Q61" s="194">
        <v>168</v>
      </c>
      <c r="R61" s="198" t="s">
        <v>478</v>
      </c>
    </row>
    <row r="62" spans="1:18" ht="17.399999999999999" customHeight="1" thickBot="1" x14ac:dyDescent="0.35">
      <c r="A62" s="265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7"/>
    </row>
    <row r="63" spans="1:18" ht="22.05" customHeight="1" thickTop="1" thickBot="1" x14ac:dyDescent="0.35">
      <c r="A63" s="236" t="s">
        <v>8</v>
      </c>
      <c r="B63" s="234"/>
      <c r="C63" s="234"/>
      <c r="D63" s="234"/>
      <c r="E63" s="234"/>
      <c r="F63" s="235"/>
      <c r="G63" s="68">
        <v>46061</v>
      </c>
      <c r="H63" s="233" t="s">
        <v>9</v>
      </c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4" customHeight="1" x14ac:dyDescent="0.3">
      <c r="A64" s="69" t="s">
        <v>10</v>
      </c>
      <c r="B64" s="69" t="s">
        <v>11</v>
      </c>
      <c r="C64" s="70" t="s">
        <v>12</v>
      </c>
      <c r="D64" s="69" t="s">
        <v>13</v>
      </c>
      <c r="E64" s="69" t="s">
        <v>14</v>
      </c>
      <c r="F64" s="71" t="s">
        <v>15</v>
      </c>
      <c r="G64" s="72" t="s">
        <v>16</v>
      </c>
      <c r="H64" s="69" t="s">
        <v>17</v>
      </c>
      <c r="I64" s="73" t="s">
        <v>18</v>
      </c>
      <c r="J64" s="74" t="s">
        <v>19</v>
      </c>
      <c r="K64" s="75" t="s">
        <v>20</v>
      </c>
      <c r="L64" s="74" t="s">
        <v>21</v>
      </c>
      <c r="M64" s="74" t="s">
        <v>22</v>
      </c>
      <c r="N64" s="74" t="s">
        <v>23</v>
      </c>
      <c r="O64" s="69" t="s">
        <v>24</v>
      </c>
      <c r="P64" s="70" t="s">
        <v>25</v>
      </c>
      <c r="Q64" s="74" t="s">
        <v>26</v>
      </c>
      <c r="R64" s="69" t="s">
        <v>27</v>
      </c>
    </row>
    <row r="65" spans="1:18" ht="49.95" customHeight="1" x14ac:dyDescent="0.3">
      <c r="A65" s="154" t="s">
        <v>28</v>
      </c>
      <c r="B65" s="154" t="s">
        <v>468</v>
      </c>
      <c r="C65" s="155">
        <v>0.76736111111111116</v>
      </c>
      <c r="D65" s="154" t="s">
        <v>30</v>
      </c>
      <c r="E65" s="156"/>
      <c r="F65" s="154" t="s">
        <v>31</v>
      </c>
      <c r="G65" s="240"/>
      <c r="H65" s="31" t="s">
        <v>468</v>
      </c>
      <c r="I65" s="32">
        <v>2.3800000000000002E-2</v>
      </c>
      <c r="J65" s="33">
        <v>4</v>
      </c>
      <c r="K65" s="34" t="s">
        <v>106</v>
      </c>
      <c r="L65" s="33">
        <v>4</v>
      </c>
      <c r="M65" s="33">
        <v>0</v>
      </c>
      <c r="N65" s="33">
        <v>0</v>
      </c>
      <c r="O65" s="35" t="s">
        <v>102</v>
      </c>
      <c r="P65" s="36">
        <v>0.76736111111111116</v>
      </c>
      <c r="Q65" s="33">
        <v>168</v>
      </c>
      <c r="R65" s="37" t="s">
        <v>478</v>
      </c>
    </row>
    <row r="66" spans="1:18" ht="49.95" customHeight="1" thickBot="1" x14ac:dyDescent="0.35">
      <c r="A66" s="112" t="s">
        <v>28</v>
      </c>
      <c r="B66" s="112" t="s">
        <v>470</v>
      </c>
      <c r="C66" s="113">
        <v>0.85069444444444453</v>
      </c>
      <c r="D66" s="112" t="s">
        <v>30</v>
      </c>
      <c r="E66" s="114"/>
      <c r="F66" s="112" t="s">
        <v>31</v>
      </c>
      <c r="G66" s="242"/>
      <c r="H66" s="115" t="s">
        <v>470</v>
      </c>
      <c r="I66" s="220">
        <v>1.1900000000000001E-2</v>
      </c>
      <c r="J66" s="117">
        <v>2</v>
      </c>
      <c r="K66" s="118" t="s">
        <v>174</v>
      </c>
      <c r="L66" s="117">
        <v>2</v>
      </c>
      <c r="M66" s="117">
        <v>0</v>
      </c>
      <c r="N66" s="117">
        <v>0</v>
      </c>
      <c r="O66" s="119" t="s">
        <v>102</v>
      </c>
      <c r="P66" s="120">
        <v>0.85069444444444453</v>
      </c>
      <c r="Q66" s="117">
        <v>168</v>
      </c>
      <c r="R66" s="121" t="s">
        <v>158</v>
      </c>
    </row>
    <row r="67" spans="1:18" ht="17.399999999999999" customHeight="1" thickBot="1" x14ac:dyDescent="0.35">
      <c r="A67" s="265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7"/>
    </row>
    <row r="68" spans="1:18" ht="22.05" customHeight="1" thickTop="1" thickBot="1" x14ac:dyDescent="0.35">
      <c r="A68" s="236" t="s">
        <v>8</v>
      </c>
      <c r="B68" s="234"/>
      <c r="C68" s="234"/>
      <c r="D68" s="234"/>
      <c r="E68" s="234"/>
      <c r="F68" s="235"/>
      <c r="G68" s="68">
        <v>46062</v>
      </c>
      <c r="H68" s="233" t="s">
        <v>9</v>
      </c>
      <c r="I68" s="234"/>
      <c r="J68" s="234"/>
      <c r="K68" s="234"/>
      <c r="L68" s="234"/>
      <c r="M68" s="234"/>
      <c r="N68" s="234"/>
      <c r="O68" s="234"/>
      <c r="P68" s="234"/>
      <c r="Q68" s="234"/>
      <c r="R68" s="235"/>
    </row>
    <row r="69" spans="1:18" ht="24" customHeight="1" x14ac:dyDescent="0.3">
      <c r="A69" s="69" t="s">
        <v>10</v>
      </c>
      <c r="B69" s="69" t="s">
        <v>11</v>
      </c>
      <c r="C69" s="70" t="s">
        <v>12</v>
      </c>
      <c r="D69" s="69" t="s">
        <v>13</v>
      </c>
      <c r="E69" s="69" t="s">
        <v>14</v>
      </c>
      <c r="F69" s="71" t="s">
        <v>15</v>
      </c>
      <c r="G69" s="72" t="s">
        <v>16</v>
      </c>
      <c r="H69" s="69" t="s">
        <v>17</v>
      </c>
      <c r="I69" s="73" t="s">
        <v>18</v>
      </c>
      <c r="J69" s="74" t="s">
        <v>19</v>
      </c>
      <c r="K69" s="75" t="s">
        <v>20</v>
      </c>
      <c r="L69" s="74" t="s">
        <v>21</v>
      </c>
      <c r="M69" s="74" t="s">
        <v>22</v>
      </c>
      <c r="N69" s="74" t="s">
        <v>23</v>
      </c>
      <c r="O69" s="69" t="s">
        <v>24</v>
      </c>
      <c r="P69" s="70" t="s">
        <v>25</v>
      </c>
      <c r="Q69" s="74" t="s">
        <v>26</v>
      </c>
      <c r="R69" s="69" t="s">
        <v>27</v>
      </c>
    </row>
    <row r="70" spans="1:18" ht="49.95" customHeight="1" x14ac:dyDescent="0.3">
      <c r="A70" s="181" t="s">
        <v>28</v>
      </c>
      <c r="B70" s="181" t="s">
        <v>470</v>
      </c>
      <c r="C70" s="182">
        <v>0.35416666666666669</v>
      </c>
      <c r="D70" s="181" t="s">
        <v>30</v>
      </c>
      <c r="E70" s="183"/>
      <c r="F70" s="181" t="s">
        <v>108</v>
      </c>
      <c r="G70" s="240"/>
      <c r="H70" s="51" t="s">
        <v>470</v>
      </c>
      <c r="I70" s="52">
        <v>0</v>
      </c>
      <c r="J70" s="53">
        <v>0</v>
      </c>
      <c r="K70" s="54" t="s">
        <v>109</v>
      </c>
      <c r="L70" s="53">
        <v>0</v>
      </c>
      <c r="M70" s="53">
        <v>0</v>
      </c>
      <c r="N70" s="53">
        <v>0</v>
      </c>
      <c r="O70" s="55" t="s">
        <v>102</v>
      </c>
      <c r="P70" s="56">
        <v>0.35416666666666669</v>
      </c>
      <c r="Q70" s="53">
        <v>168</v>
      </c>
      <c r="R70" s="57" t="s">
        <v>109</v>
      </c>
    </row>
    <row r="71" spans="1:18" ht="49.95" customHeight="1" x14ac:dyDescent="0.3">
      <c r="A71" s="86" t="s">
        <v>28</v>
      </c>
      <c r="B71" s="86" t="s">
        <v>468</v>
      </c>
      <c r="C71" s="87">
        <v>0.50694444444444442</v>
      </c>
      <c r="D71" s="86" t="s">
        <v>30</v>
      </c>
      <c r="E71" s="88"/>
      <c r="F71" s="86" t="s">
        <v>108</v>
      </c>
      <c r="G71" s="241"/>
      <c r="H71" s="11" t="s">
        <v>468</v>
      </c>
      <c r="I71" s="12">
        <v>0</v>
      </c>
      <c r="J71" s="13">
        <v>0</v>
      </c>
      <c r="K71" s="14" t="s">
        <v>109</v>
      </c>
      <c r="L71" s="13">
        <v>0</v>
      </c>
      <c r="M71" s="13">
        <v>0</v>
      </c>
      <c r="N71" s="13">
        <v>0</v>
      </c>
      <c r="O71" s="15" t="s">
        <v>102</v>
      </c>
      <c r="P71" s="16">
        <v>0.50694444444444442</v>
      </c>
      <c r="Q71" s="13">
        <v>168</v>
      </c>
      <c r="R71" s="17" t="s">
        <v>109</v>
      </c>
    </row>
    <row r="72" spans="1:18" ht="49.95" customHeight="1" thickBot="1" x14ac:dyDescent="0.35">
      <c r="A72" s="112" t="s">
        <v>28</v>
      </c>
      <c r="B72" s="112" t="s">
        <v>466</v>
      </c>
      <c r="C72" s="113">
        <v>0.97916666666666663</v>
      </c>
      <c r="D72" s="112" t="s">
        <v>30</v>
      </c>
      <c r="E72" s="114"/>
      <c r="F72" s="112" t="s">
        <v>108</v>
      </c>
      <c r="G72" s="242"/>
      <c r="H72" s="115" t="s">
        <v>466</v>
      </c>
      <c r="I72" s="220">
        <v>0</v>
      </c>
      <c r="J72" s="117">
        <v>0</v>
      </c>
      <c r="K72" s="118" t="s">
        <v>109</v>
      </c>
      <c r="L72" s="117">
        <v>0</v>
      </c>
      <c r="M72" s="117">
        <v>0</v>
      </c>
      <c r="N72" s="117">
        <v>0</v>
      </c>
      <c r="O72" s="119" t="s">
        <v>102</v>
      </c>
      <c r="P72" s="120">
        <v>0.97916666666666663</v>
      </c>
      <c r="Q72" s="117">
        <v>168</v>
      </c>
      <c r="R72" s="121" t="s">
        <v>109</v>
      </c>
    </row>
    <row r="73" spans="1:18" ht="17.399999999999999" customHeight="1" thickBot="1" x14ac:dyDescent="0.35">
      <c r="A73" s="265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7"/>
    </row>
    <row r="74" spans="1:18" ht="22.05" customHeight="1" thickTop="1" thickBot="1" x14ac:dyDescent="0.35">
      <c r="A74" s="236" t="s">
        <v>8</v>
      </c>
      <c r="B74" s="234"/>
      <c r="C74" s="234"/>
      <c r="D74" s="234"/>
      <c r="E74" s="234"/>
      <c r="F74" s="235"/>
      <c r="G74" s="68">
        <v>46063</v>
      </c>
      <c r="H74" s="233" t="s">
        <v>9</v>
      </c>
      <c r="I74" s="234"/>
      <c r="J74" s="234"/>
      <c r="K74" s="234"/>
      <c r="L74" s="234"/>
      <c r="M74" s="234"/>
      <c r="N74" s="234"/>
      <c r="O74" s="234"/>
      <c r="P74" s="234"/>
      <c r="Q74" s="234"/>
      <c r="R74" s="235"/>
    </row>
    <row r="75" spans="1:18" ht="24" customHeight="1" x14ac:dyDescent="0.3">
      <c r="A75" s="69" t="s">
        <v>10</v>
      </c>
      <c r="B75" s="69" t="s">
        <v>11</v>
      </c>
      <c r="C75" s="70" t="s">
        <v>12</v>
      </c>
      <c r="D75" s="69" t="s">
        <v>13</v>
      </c>
      <c r="E75" s="69" t="s">
        <v>14</v>
      </c>
      <c r="F75" s="71" t="s">
        <v>15</v>
      </c>
      <c r="G75" s="72" t="s">
        <v>16</v>
      </c>
      <c r="H75" s="69" t="s">
        <v>17</v>
      </c>
      <c r="I75" s="73" t="s">
        <v>18</v>
      </c>
      <c r="J75" s="74" t="s">
        <v>19</v>
      </c>
      <c r="K75" s="75" t="s">
        <v>20</v>
      </c>
      <c r="L75" s="74" t="s">
        <v>21</v>
      </c>
      <c r="M75" s="74" t="s">
        <v>22</v>
      </c>
      <c r="N75" s="74" t="s">
        <v>23</v>
      </c>
      <c r="O75" s="69" t="s">
        <v>24</v>
      </c>
      <c r="P75" s="70" t="s">
        <v>25</v>
      </c>
      <c r="Q75" s="74" t="s">
        <v>26</v>
      </c>
      <c r="R75" s="69" t="s">
        <v>27</v>
      </c>
    </row>
    <row r="76" spans="1:18" ht="49.95" customHeight="1" x14ac:dyDescent="0.3">
      <c r="A76" s="154" t="s">
        <v>28</v>
      </c>
      <c r="B76" s="154" t="s">
        <v>466</v>
      </c>
      <c r="C76" s="155">
        <v>0.32291666666666669</v>
      </c>
      <c r="D76" s="154" t="s">
        <v>30</v>
      </c>
      <c r="E76" s="156"/>
      <c r="F76" s="154" t="s">
        <v>31</v>
      </c>
      <c r="G76" s="240"/>
      <c r="H76" s="31" t="s">
        <v>466</v>
      </c>
      <c r="I76" s="32">
        <v>2.98E-2</v>
      </c>
      <c r="J76" s="33">
        <v>5</v>
      </c>
      <c r="K76" s="34" t="s">
        <v>113</v>
      </c>
      <c r="L76" s="33">
        <v>5</v>
      </c>
      <c r="M76" s="33">
        <v>0</v>
      </c>
      <c r="N76" s="33">
        <v>0</v>
      </c>
      <c r="O76" s="35" t="s">
        <v>142</v>
      </c>
      <c r="P76" s="36">
        <v>0.32291666666666669</v>
      </c>
      <c r="Q76" s="33">
        <v>168</v>
      </c>
      <c r="R76" s="37" t="s">
        <v>479</v>
      </c>
    </row>
    <row r="77" spans="1:18" ht="49.95" customHeight="1" thickBot="1" x14ac:dyDescent="0.35">
      <c r="A77" s="161" t="s">
        <v>28</v>
      </c>
      <c r="B77" s="161" t="s">
        <v>470</v>
      </c>
      <c r="C77" s="162">
        <v>0.95138888888888884</v>
      </c>
      <c r="D77" s="161" t="s">
        <v>30</v>
      </c>
      <c r="E77" s="163"/>
      <c r="F77" s="161" t="s">
        <v>108</v>
      </c>
      <c r="G77" s="242"/>
      <c r="H77" s="164" t="s">
        <v>470</v>
      </c>
      <c r="I77" s="224">
        <v>0</v>
      </c>
      <c r="J77" s="166">
        <v>0</v>
      </c>
      <c r="K77" s="167" t="s">
        <v>109</v>
      </c>
      <c r="L77" s="166">
        <v>0</v>
      </c>
      <c r="M77" s="166">
        <v>0</v>
      </c>
      <c r="N77" s="166">
        <v>0</v>
      </c>
      <c r="O77" s="168" t="s">
        <v>102</v>
      </c>
      <c r="P77" s="169">
        <v>0.95138888888888884</v>
      </c>
      <c r="Q77" s="166">
        <v>168</v>
      </c>
      <c r="R77" s="170" t="s">
        <v>109</v>
      </c>
    </row>
    <row r="78" spans="1:18" ht="17.399999999999999" customHeight="1" thickBot="1" x14ac:dyDescent="0.35">
      <c r="A78" s="265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7"/>
    </row>
    <row r="79" spans="1:18" ht="22.05" customHeight="1" thickTop="1" thickBot="1" x14ac:dyDescent="0.35">
      <c r="A79" s="236" t="s">
        <v>8</v>
      </c>
      <c r="B79" s="234"/>
      <c r="C79" s="234"/>
      <c r="D79" s="234"/>
      <c r="E79" s="234"/>
      <c r="F79" s="235"/>
      <c r="G79" s="68">
        <v>46064</v>
      </c>
      <c r="H79" s="233" t="s">
        <v>9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4" customHeight="1" x14ac:dyDescent="0.3">
      <c r="A80" s="69" t="s">
        <v>10</v>
      </c>
      <c r="B80" s="69" t="s">
        <v>11</v>
      </c>
      <c r="C80" s="70" t="s">
        <v>12</v>
      </c>
      <c r="D80" s="69" t="s">
        <v>13</v>
      </c>
      <c r="E80" s="69" t="s">
        <v>14</v>
      </c>
      <c r="F80" s="71" t="s">
        <v>15</v>
      </c>
      <c r="G80" s="72" t="s">
        <v>16</v>
      </c>
      <c r="H80" s="69" t="s">
        <v>17</v>
      </c>
      <c r="I80" s="73" t="s">
        <v>18</v>
      </c>
      <c r="J80" s="74" t="s">
        <v>19</v>
      </c>
      <c r="K80" s="75" t="s">
        <v>20</v>
      </c>
      <c r="L80" s="74" t="s">
        <v>21</v>
      </c>
      <c r="M80" s="74" t="s">
        <v>22</v>
      </c>
      <c r="N80" s="74" t="s">
        <v>23</v>
      </c>
      <c r="O80" s="69" t="s">
        <v>24</v>
      </c>
      <c r="P80" s="70" t="s">
        <v>25</v>
      </c>
      <c r="Q80" s="74" t="s">
        <v>26</v>
      </c>
      <c r="R80" s="69" t="s">
        <v>27</v>
      </c>
    </row>
    <row r="81" spans="1:18" ht="49.95" customHeight="1" x14ac:dyDescent="0.3">
      <c r="A81" s="185" t="s">
        <v>28</v>
      </c>
      <c r="B81" s="185" t="s">
        <v>466</v>
      </c>
      <c r="C81" s="186">
        <v>0.2673611111111111</v>
      </c>
      <c r="D81" s="185" t="s">
        <v>30</v>
      </c>
      <c r="E81" s="187"/>
      <c r="F81" s="185" t="s">
        <v>108</v>
      </c>
      <c r="G81" s="240"/>
      <c r="H81" s="146" t="s">
        <v>466</v>
      </c>
      <c r="I81" s="147">
        <v>0</v>
      </c>
      <c r="J81" s="148">
        <v>0</v>
      </c>
      <c r="K81" s="149" t="s">
        <v>109</v>
      </c>
      <c r="L81" s="148">
        <v>0</v>
      </c>
      <c r="M81" s="148">
        <v>0</v>
      </c>
      <c r="N81" s="148">
        <v>0</v>
      </c>
      <c r="O81" s="150" t="s">
        <v>102</v>
      </c>
      <c r="P81" s="151">
        <v>0.2673611111111111</v>
      </c>
      <c r="Q81" s="148">
        <v>168</v>
      </c>
      <c r="R81" s="152" t="s">
        <v>109</v>
      </c>
    </row>
    <row r="82" spans="1:18" ht="49.95" customHeight="1" thickBot="1" x14ac:dyDescent="0.35">
      <c r="A82" s="90" t="s">
        <v>28</v>
      </c>
      <c r="B82" s="90" t="s">
        <v>468</v>
      </c>
      <c r="C82" s="91">
        <v>0.65625</v>
      </c>
      <c r="D82" s="90" t="s">
        <v>30</v>
      </c>
      <c r="E82" s="92"/>
      <c r="F82" s="90" t="s">
        <v>31</v>
      </c>
      <c r="G82" s="242"/>
      <c r="H82" s="93" t="s">
        <v>468</v>
      </c>
      <c r="I82" s="221">
        <v>1.1900000000000001E-2</v>
      </c>
      <c r="J82" s="95">
        <v>2</v>
      </c>
      <c r="K82" s="96" t="s">
        <v>106</v>
      </c>
      <c r="L82" s="95">
        <v>2</v>
      </c>
      <c r="M82" s="95">
        <v>0</v>
      </c>
      <c r="N82" s="95">
        <v>0</v>
      </c>
      <c r="O82" s="97" t="s">
        <v>102</v>
      </c>
      <c r="P82" s="98">
        <v>0.65625</v>
      </c>
      <c r="Q82" s="95">
        <v>168</v>
      </c>
      <c r="R82" s="99" t="s">
        <v>480</v>
      </c>
    </row>
    <row r="83" spans="1:18" ht="17.399999999999999" customHeight="1" thickBot="1" x14ac:dyDescent="0.35">
      <c r="A83" s="265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7"/>
    </row>
    <row r="84" spans="1:18" ht="22.05" customHeight="1" thickTop="1" thickBot="1" x14ac:dyDescent="0.35">
      <c r="A84" s="236" t="s">
        <v>8</v>
      </c>
      <c r="B84" s="234"/>
      <c r="C84" s="234"/>
      <c r="D84" s="234"/>
      <c r="E84" s="234"/>
      <c r="F84" s="235"/>
      <c r="G84" s="68">
        <v>46065</v>
      </c>
      <c r="H84" s="233" t="s">
        <v>9</v>
      </c>
      <c r="I84" s="234"/>
      <c r="J84" s="234"/>
      <c r="K84" s="234"/>
      <c r="L84" s="234"/>
      <c r="M84" s="234"/>
      <c r="N84" s="234"/>
      <c r="O84" s="234"/>
      <c r="P84" s="234"/>
      <c r="Q84" s="234"/>
      <c r="R84" s="235"/>
    </row>
    <row r="85" spans="1:18" ht="24" customHeight="1" x14ac:dyDescent="0.3">
      <c r="A85" s="69" t="s">
        <v>10</v>
      </c>
      <c r="B85" s="69" t="s">
        <v>11</v>
      </c>
      <c r="C85" s="70" t="s">
        <v>12</v>
      </c>
      <c r="D85" s="69" t="s">
        <v>13</v>
      </c>
      <c r="E85" s="69" t="s">
        <v>14</v>
      </c>
      <c r="F85" s="71" t="s">
        <v>15</v>
      </c>
      <c r="G85" s="72" t="s">
        <v>16</v>
      </c>
      <c r="H85" s="69" t="s">
        <v>17</v>
      </c>
      <c r="I85" s="73" t="s">
        <v>18</v>
      </c>
      <c r="J85" s="74" t="s">
        <v>19</v>
      </c>
      <c r="K85" s="75" t="s">
        <v>20</v>
      </c>
      <c r="L85" s="74" t="s">
        <v>21</v>
      </c>
      <c r="M85" s="74" t="s">
        <v>22</v>
      </c>
      <c r="N85" s="74" t="s">
        <v>23</v>
      </c>
      <c r="O85" s="69" t="s">
        <v>24</v>
      </c>
      <c r="P85" s="70" t="s">
        <v>25</v>
      </c>
      <c r="Q85" s="74" t="s">
        <v>26</v>
      </c>
      <c r="R85" s="69" t="s">
        <v>27</v>
      </c>
    </row>
    <row r="86" spans="1:18" ht="49.95" customHeight="1" x14ac:dyDescent="0.3">
      <c r="A86" s="8" t="s">
        <v>28</v>
      </c>
      <c r="B86" s="8" t="s">
        <v>469</v>
      </c>
      <c r="C86" s="9">
        <v>8.3333333333333329E-2</v>
      </c>
      <c r="D86" s="8" t="s">
        <v>30</v>
      </c>
      <c r="E86" s="10"/>
      <c r="F86" s="8" t="s">
        <v>31</v>
      </c>
      <c r="G86" s="240"/>
      <c r="H86" s="11" t="s">
        <v>469</v>
      </c>
      <c r="I86" s="12">
        <v>6.0000000000000001E-3</v>
      </c>
      <c r="J86" s="13">
        <v>1</v>
      </c>
      <c r="K86" s="14" t="s">
        <v>97</v>
      </c>
      <c r="L86" s="13">
        <v>1</v>
      </c>
      <c r="M86" s="13">
        <v>0</v>
      </c>
      <c r="N86" s="13">
        <v>0</v>
      </c>
      <c r="O86" s="15" t="s">
        <v>102</v>
      </c>
      <c r="P86" s="16">
        <v>8.3333333333333329E-2</v>
      </c>
      <c r="Q86" s="13">
        <v>168</v>
      </c>
      <c r="R86" s="17" t="s">
        <v>160</v>
      </c>
    </row>
    <row r="87" spans="1:18" ht="49.95" customHeight="1" x14ac:dyDescent="0.3">
      <c r="A87" s="48" t="s">
        <v>28</v>
      </c>
      <c r="B87" s="48" t="s">
        <v>466</v>
      </c>
      <c r="C87" s="49">
        <v>0.68055555555555547</v>
      </c>
      <c r="D87" s="48" t="s">
        <v>30</v>
      </c>
      <c r="E87" s="50"/>
      <c r="F87" s="48" t="s">
        <v>31</v>
      </c>
      <c r="G87" s="241"/>
      <c r="H87" s="51" t="s">
        <v>466</v>
      </c>
      <c r="I87" s="52">
        <v>1.1900000000000001E-2</v>
      </c>
      <c r="J87" s="53">
        <v>2</v>
      </c>
      <c r="K87" s="54" t="s">
        <v>97</v>
      </c>
      <c r="L87" s="53">
        <v>2</v>
      </c>
      <c r="M87" s="53">
        <v>0</v>
      </c>
      <c r="N87" s="53">
        <v>0</v>
      </c>
      <c r="O87" s="55" t="s">
        <v>102</v>
      </c>
      <c r="P87" s="56">
        <v>0.68055555555555547</v>
      </c>
      <c r="Q87" s="53">
        <v>168</v>
      </c>
      <c r="R87" s="57" t="s">
        <v>481</v>
      </c>
    </row>
    <row r="88" spans="1:18" ht="49.95" customHeight="1" thickBot="1" x14ac:dyDescent="0.35">
      <c r="A88" s="58" t="s">
        <v>28</v>
      </c>
      <c r="B88" s="58" t="s">
        <v>470</v>
      </c>
      <c r="C88" s="59">
        <v>0.70833333333333337</v>
      </c>
      <c r="D88" s="58" t="s">
        <v>30</v>
      </c>
      <c r="E88" s="60"/>
      <c r="F88" s="58" t="s">
        <v>108</v>
      </c>
      <c r="G88" s="242"/>
      <c r="H88" s="61" t="s">
        <v>470</v>
      </c>
      <c r="I88" s="219">
        <v>0</v>
      </c>
      <c r="J88" s="63">
        <v>0</v>
      </c>
      <c r="K88" s="64" t="s">
        <v>109</v>
      </c>
      <c r="L88" s="63">
        <v>0</v>
      </c>
      <c r="M88" s="63">
        <v>0</v>
      </c>
      <c r="N88" s="63">
        <v>0</v>
      </c>
      <c r="O88" s="65" t="s">
        <v>102</v>
      </c>
      <c r="P88" s="66">
        <v>0.70833333333333337</v>
      </c>
      <c r="Q88" s="63">
        <v>168</v>
      </c>
      <c r="R88" s="67" t="s">
        <v>109</v>
      </c>
    </row>
    <row r="89" spans="1:18" ht="17.399999999999999" customHeight="1" thickBot="1" x14ac:dyDescent="0.35">
      <c r="A89" s="265"/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7"/>
    </row>
    <row r="90" spans="1:18" ht="22.05" customHeight="1" thickTop="1" thickBot="1" x14ac:dyDescent="0.35">
      <c r="A90" s="236" t="s">
        <v>8</v>
      </c>
      <c r="B90" s="234"/>
      <c r="C90" s="234"/>
      <c r="D90" s="234"/>
      <c r="E90" s="234"/>
      <c r="F90" s="235"/>
      <c r="G90" s="68">
        <v>46066</v>
      </c>
      <c r="H90" s="233" t="s">
        <v>9</v>
      </c>
      <c r="I90" s="234"/>
      <c r="J90" s="234"/>
      <c r="K90" s="234"/>
      <c r="L90" s="234"/>
      <c r="M90" s="234"/>
      <c r="N90" s="234"/>
      <c r="O90" s="234"/>
      <c r="P90" s="234"/>
      <c r="Q90" s="234"/>
      <c r="R90" s="235"/>
    </row>
    <row r="91" spans="1:18" ht="24" customHeight="1" x14ac:dyDescent="0.3">
      <c r="A91" s="69" t="s">
        <v>10</v>
      </c>
      <c r="B91" s="69" t="s">
        <v>11</v>
      </c>
      <c r="C91" s="70" t="s">
        <v>12</v>
      </c>
      <c r="D91" s="69" t="s">
        <v>13</v>
      </c>
      <c r="E91" s="69" t="s">
        <v>14</v>
      </c>
      <c r="F91" s="71" t="s">
        <v>15</v>
      </c>
      <c r="G91" s="72" t="s">
        <v>16</v>
      </c>
      <c r="H91" s="69" t="s">
        <v>17</v>
      </c>
      <c r="I91" s="73" t="s">
        <v>18</v>
      </c>
      <c r="J91" s="74" t="s">
        <v>19</v>
      </c>
      <c r="K91" s="75" t="s">
        <v>20</v>
      </c>
      <c r="L91" s="74" t="s">
        <v>21</v>
      </c>
      <c r="M91" s="74" t="s">
        <v>22</v>
      </c>
      <c r="N91" s="74" t="s">
        <v>23</v>
      </c>
      <c r="O91" s="69" t="s">
        <v>24</v>
      </c>
      <c r="P91" s="70" t="s">
        <v>25</v>
      </c>
      <c r="Q91" s="74" t="s">
        <v>26</v>
      </c>
      <c r="R91" s="69" t="s">
        <v>27</v>
      </c>
    </row>
    <row r="92" spans="1:18" ht="49.95" customHeight="1" thickTop="1" thickBot="1" x14ac:dyDescent="0.35">
      <c r="A92" s="136" t="s">
        <v>28</v>
      </c>
      <c r="B92" s="136" t="s">
        <v>468</v>
      </c>
      <c r="C92" s="137">
        <v>0.29166666666666669</v>
      </c>
      <c r="D92" s="136" t="s">
        <v>30</v>
      </c>
      <c r="E92" s="138"/>
      <c r="F92" s="136" t="s">
        <v>31</v>
      </c>
      <c r="G92" s="240"/>
      <c r="H92" s="164" t="s">
        <v>468</v>
      </c>
      <c r="I92" s="224">
        <v>6.0000000000000001E-3</v>
      </c>
      <c r="J92" s="166">
        <v>1</v>
      </c>
      <c r="K92" s="167" t="s">
        <v>110</v>
      </c>
      <c r="L92" s="166">
        <v>1</v>
      </c>
      <c r="M92" s="166">
        <v>0</v>
      </c>
      <c r="N92" s="166">
        <v>0</v>
      </c>
      <c r="O92" s="168" t="s">
        <v>102</v>
      </c>
      <c r="P92" s="169">
        <v>0.29166666666666669</v>
      </c>
      <c r="Q92" s="166">
        <v>168</v>
      </c>
      <c r="R92" s="170" t="s">
        <v>208</v>
      </c>
    </row>
    <row r="93" spans="1:18" ht="17.399999999999999" customHeight="1" thickBot="1" x14ac:dyDescent="0.35">
      <c r="A93" s="265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7"/>
    </row>
    <row r="94" spans="1:18" ht="22.05" customHeight="1" thickTop="1" thickBot="1" x14ac:dyDescent="0.35">
      <c r="A94" s="236" t="s">
        <v>8</v>
      </c>
      <c r="B94" s="234"/>
      <c r="C94" s="234"/>
      <c r="D94" s="234"/>
      <c r="E94" s="234"/>
      <c r="F94" s="235"/>
      <c r="G94" s="68">
        <v>46067</v>
      </c>
      <c r="H94" s="233" t="s">
        <v>9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5"/>
    </row>
    <row r="95" spans="1:18" ht="24" customHeight="1" x14ac:dyDescent="0.3">
      <c r="A95" s="69" t="s">
        <v>10</v>
      </c>
      <c r="B95" s="69" t="s">
        <v>11</v>
      </c>
      <c r="C95" s="70" t="s">
        <v>12</v>
      </c>
      <c r="D95" s="69" t="s">
        <v>13</v>
      </c>
      <c r="E95" s="69" t="s">
        <v>14</v>
      </c>
      <c r="F95" s="71" t="s">
        <v>15</v>
      </c>
      <c r="G95" s="72" t="s">
        <v>16</v>
      </c>
      <c r="H95" s="69" t="s">
        <v>17</v>
      </c>
      <c r="I95" s="73" t="s">
        <v>18</v>
      </c>
      <c r="J95" s="74" t="s">
        <v>19</v>
      </c>
      <c r="K95" s="75" t="s">
        <v>20</v>
      </c>
      <c r="L95" s="74" t="s">
        <v>21</v>
      </c>
      <c r="M95" s="74" t="s">
        <v>22</v>
      </c>
      <c r="N95" s="74" t="s">
        <v>23</v>
      </c>
      <c r="O95" s="69" t="s">
        <v>24</v>
      </c>
      <c r="P95" s="70" t="s">
        <v>25</v>
      </c>
      <c r="Q95" s="74" t="s">
        <v>26</v>
      </c>
      <c r="R95" s="69" t="s">
        <v>27</v>
      </c>
    </row>
    <row r="96" spans="1:18" ht="49.95" customHeight="1" x14ac:dyDescent="0.3">
      <c r="A96" s="76" t="s">
        <v>28</v>
      </c>
      <c r="B96" s="76" t="s">
        <v>468</v>
      </c>
      <c r="C96" s="77">
        <v>0.30208333333333331</v>
      </c>
      <c r="D96" s="76" t="s">
        <v>30</v>
      </c>
      <c r="E96" s="78"/>
      <c r="F96" s="76" t="s">
        <v>108</v>
      </c>
      <c r="G96" s="243"/>
      <c r="H96" s="79" t="s">
        <v>468</v>
      </c>
      <c r="I96" s="80">
        <v>0</v>
      </c>
      <c r="J96" s="81">
        <v>0</v>
      </c>
      <c r="K96" s="82" t="s">
        <v>109</v>
      </c>
      <c r="L96" s="81">
        <v>0</v>
      </c>
      <c r="M96" s="81">
        <v>0</v>
      </c>
      <c r="N96" s="81">
        <v>0</v>
      </c>
      <c r="O96" s="83" t="s">
        <v>102</v>
      </c>
      <c r="P96" s="84">
        <v>0.30208333333333331</v>
      </c>
      <c r="Q96" s="81">
        <v>168</v>
      </c>
      <c r="R96" s="85" t="s">
        <v>109</v>
      </c>
    </row>
    <row r="97" spans="1:18" ht="49.95" customHeight="1" x14ac:dyDescent="0.3">
      <c r="A97" s="143" t="s">
        <v>28</v>
      </c>
      <c r="B97" s="143" t="s">
        <v>466</v>
      </c>
      <c r="C97" s="144">
        <v>0.46180555555555558</v>
      </c>
      <c r="D97" s="143" t="s">
        <v>30</v>
      </c>
      <c r="E97" s="145"/>
      <c r="F97" s="143" t="s">
        <v>108</v>
      </c>
      <c r="G97" s="241"/>
      <c r="H97" s="146" t="s">
        <v>466</v>
      </c>
      <c r="I97" s="147">
        <v>0</v>
      </c>
      <c r="J97" s="148">
        <v>0</v>
      </c>
      <c r="K97" s="149" t="s">
        <v>109</v>
      </c>
      <c r="L97" s="148">
        <v>0</v>
      </c>
      <c r="M97" s="148">
        <v>0</v>
      </c>
      <c r="N97" s="148">
        <v>0</v>
      </c>
      <c r="O97" s="150" t="s">
        <v>102</v>
      </c>
      <c r="P97" s="151">
        <v>0.46180555555555558</v>
      </c>
      <c r="Q97" s="148">
        <v>168</v>
      </c>
      <c r="R97" s="152" t="s">
        <v>109</v>
      </c>
    </row>
    <row r="98" spans="1:18" ht="49.95" customHeight="1" thickBot="1" x14ac:dyDescent="0.35">
      <c r="A98" s="161" t="s">
        <v>28</v>
      </c>
      <c r="B98" s="161" t="s">
        <v>470</v>
      </c>
      <c r="C98" s="162">
        <v>0.6875</v>
      </c>
      <c r="D98" s="161" t="s">
        <v>30</v>
      </c>
      <c r="E98" s="163"/>
      <c r="F98" s="161" t="s">
        <v>31</v>
      </c>
      <c r="G98" s="242"/>
      <c r="H98" s="164" t="s">
        <v>470</v>
      </c>
      <c r="I98" s="224">
        <v>1.1900000000000001E-2</v>
      </c>
      <c r="J98" s="166">
        <v>2</v>
      </c>
      <c r="K98" s="167" t="s">
        <v>482</v>
      </c>
      <c r="L98" s="166">
        <v>2</v>
      </c>
      <c r="M98" s="166">
        <v>0</v>
      </c>
      <c r="N98" s="166">
        <v>0</v>
      </c>
      <c r="O98" s="168" t="s">
        <v>102</v>
      </c>
      <c r="P98" s="169">
        <v>0.6875</v>
      </c>
      <c r="Q98" s="166">
        <v>168</v>
      </c>
      <c r="R98" s="170" t="s">
        <v>158</v>
      </c>
    </row>
    <row r="99" spans="1:18" ht="17.399999999999999" customHeight="1" thickBot="1" x14ac:dyDescent="0.35">
      <c r="A99" s="265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7"/>
    </row>
    <row r="100" spans="1:18" ht="22.05" customHeight="1" thickTop="1" thickBot="1" x14ac:dyDescent="0.35">
      <c r="A100" s="236" t="s">
        <v>8</v>
      </c>
      <c r="B100" s="234"/>
      <c r="C100" s="234"/>
      <c r="D100" s="234"/>
      <c r="E100" s="234"/>
      <c r="F100" s="235"/>
      <c r="G100" s="68">
        <v>46068</v>
      </c>
      <c r="H100" s="233" t="s">
        <v>9</v>
      </c>
      <c r="I100" s="234"/>
      <c r="J100" s="234"/>
      <c r="K100" s="234"/>
      <c r="L100" s="234"/>
      <c r="M100" s="234"/>
      <c r="N100" s="234"/>
      <c r="O100" s="234"/>
      <c r="P100" s="234"/>
      <c r="Q100" s="234"/>
      <c r="R100" s="235"/>
    </row>
    <row r="101" spans="1:18" ht="24" customHeight="1" x14ac:dyDescent="0.3">
      <c r="A101" s="69" t="s">
        <v>10</v>
      </c>
      <c r="B101" s="69" t="s">
        <v>11</v>
      </c>
      <c r="C101" s="70" t="s">
        <v>12</v>
      </c>
      <c r="D101" s="69" t="s">
        <v>13</v>
      </c>
      <c r="E101" s="69" t="s">
        <v>14</v>
      </c>
      <c r="F101" s="71" t="s">
        <v>15</v>
      </c>
      <c r="G101" s="72" t="s">
        <v>16</v>
      </c>
      <c r="H101" s="69" t="s">
        <v>17</v>
      </c>
      <c r="I101" s="73" t="s">
        <v>18</v>
      </c>
      <c r="J101" s="74" t="s">
        <v>19</v>
      </c>
      <c r="K101" s="75" t="s">
        <v>20</v>
      </c>
      <c r="L101" s="74" t="s">
        <v>21</v>
      </c>
      <c r="M101" s="74" t="s">
        <v>22</v>
      </c>
      <c r="N101" s="74" t="s">
        <v>23</v>
      </c>
      <c r="O101" s="69" t="s">
        <v>24</v>
      </c>
      <c r="P101" s="70" t="s">
        <v>25</v>
      </c>
      <c r="Q101" s="74" t="s">
        <v>26</v>
      </c>
      <c r="R101" s="69" t="s">
        <v>27</v>
      </c>
    </row>
    <row r="102" spans="1:18" ht="49.95" customHeight="1" x14ac:dyDescent="0.3">
      <c r="A102" s="136" t="s">
        <v>28</v>
      </c>
      <c r="B102" s="136" t="s">
        <v>468</v>
      </c>
      <c r="C102" s="137">
        <v>0.76736111111111116</v>
      </c>
      <c r="D102" s="136" t="s">
        <v>30</v>
      </c>
      <c r="E102" s="138"/>
      <c r="F102" s="136" t="s">
        <v>31</v>
      </c>
      <c r="G102" s="240"/>
      <c r="H102" s="21" t="s">
        <v>468</v>
      </c>
      <c r="I102" s="22">
        <v>2.3800000000000002E-2</v>
      </c>
      <c r="J102" s="23">
        <v>4</v>
      </c>
      <c r="K102" s="24" t="s">
        <v>97</v>
      </c>
      <c r="L102" s="23">
        <v>4</v>
      </c>
      <c r="M102" s="23">
        <v>0</v>
      </c>
      <c r="N102" s="23">
        <v>0</v>
      </c>
      <c r="O102" s="25" t="s">
        <v>102</v>
      </c>
      <c r="P102" s="26">
        <v>0.76736111111111116</v>
      </c>
      <c r="Q102" s="23">
        <v>168</v>
      </c>
      <c r="R102" s="27" t="s">
        <v>483</v>
      </c>
    </row>
    <row r="103" spans="1:18" ht="49.95" customHeight="1" thickBot="1" x14ac:dyDescent="0.35">
      <c r="A103" s="171" t="s">
        <v>28</v>
      </c>
      <c r="B103" s="171" t="s">
        <v>470</v>
      </c>
      <c r="C103" s="172">
        <v>0.85069444444444453</v>
      </c>
      <c r="D103" s="171" t="s">
        <v>30</v>
      </c>
      <c r="E103" s="173"/>
      <c r="F103" s="171" t="s">
        <v>31</v>
      </c>
      <c r="G103" s="242"/>
      <c r="H103" s="174" t="s">
        <v>470</v>
      </c>
      <c r="I103" s="175">
        <v>4.1700000000000001E-2</v>
      </c>
      <c r="J103" s="176">
        <v>7</v>
      </c>
      <c r="K103" s="177" t="s">
        <v>97</v>
      </c>
      <c r="L103" s="176">
        <v>7</v>
      </c>
      <c r="M103" s="176">
        <v>0</v>
      </c>
      <c r="N103" s="176">
        <v>0</v>
      </c>
      <c r="O103" s="178" t="s">
        <v>102</v>
      </c>
      <c r="P103" s="179">
        <v>0.85069444444444453</v>
      </c>
      <c r="Q103" s="176">
        <v>168</v>
      </c>
      <c r="R103" s="180" t="s">
        <v>484</v>
      </c>
    </row>
    <row r="104" spans="1:18" ht="17.399999999999999" customHeight="1" thickBot="1" x14ac:dyDescent="0.35">
      <c r="A104" s="265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7"/>
    </row>
    <row r="105" spans="1:18" ht="22.05" customHeight="1" thickTop="1" thickBot="1" x14ac:dyDescent="0.35">
      <c r="A105" s="236" t="s">
        <v>8</v>
      </c>
      <c r="B105" s="234"/>
      <c r="C105" s="234"/>
      <c r="D105" s="234"/>
      <c r="E105" s="234"/>
      <c r="F105" s="235"/>
      <c r="G105" s="68">
        <v>46069</v>
      </c>
      <c r="H105" s="233" t="s">
        <v>9</v>
      </c>
      <c r="I105" s="234"/>
      <c r="J105" s="234"/>
      <c r="K105" s="234"/>
      <c r="L105" s="234"/>
      <c r="M105" s="234"/>
      <c r="N105" s="234"/>
      <c r="O105" s="234"/>
      <c r="P105" s="234"/>
      <c r="Q105" s="234"/>
      <c r="R105" s="235"/>
    </row>
    <row r="106" spans="1:18" ht="24" customHeight="1" x14ac:dyDescent="0.3">
      <c r="A106" s="69" t="s">
        <v>10</v>
      </c>
      <c r="B106" s="69" t="s">
        <v>11</v>
      </c>
      <c r="C106" s="70" t="s">
        <v>12</v>
      </c>
      <c r="D106" s="69" t="s">
        <v>13</v>
      </c>
      <c r="E106" s="69" t="s">
        <v>14</v>
      </c>
      <c r="F106" s="71" t="s">
        <v>15</v>
      </c>
      <c r="G106" s="72" t="s">
        <v>16</v>
      </c>
      <c r="H106" s="69" t="s">
        <v>17</v>
      </c>
      <c r="I106" s="73" t="s">
        <v>18</v>
      </c>
      <c r="J106" s="74" t="s">
        <v>19</v>
      </c>
      <c r="K106" s="75" t="s">
        <v>20</v>
      </c>
      <c r="L106" s="74" t="s">
        <v>21</v>
      </c>
      <c r="M106" s="74" t="s">
        <v>22</v>
      </c>
      <c r="N106" s="74" t="s">
        <v>23</v>
      </c>
      <c r="O106" s="69" t="s">
        <v>24</v>
      </c>
      <c r="P106" s="70" t="s">
        <v>25</v>
      </c>
      <c r="Q106" s="74" t="s">
        <v>26</v>
      </c>
      <c r="R106" s="69" t="s">
        <v>27</v>
      </c>
    </row>
    <row r="107" spans="1:18" ht="49.95" customHeight="1" x14ac:dyDescent="0.3">
      <c r="A107" s="154" t="s">
        <v>28</v>
      </c>
      <c r="B107" s="154" t="s">
        <v>468</v>
      </c>
      <c r="C107" s="155">
        <v>0.25347222222222221</v>
      </c>
      <c r="D107" s="154" t="s">
        <v>30</v>
      </c>
      <c r="E107" s="156"/>
      <c r="F107" s="154" t="s">
        <v>31</v>
      </c>
      <c r="G107" s="240"/>
      <c r="H107" s="31" t="s">
        <v>468</v>
      </c>
      <c r="I107" s="32">
        <v>6.0000000000000001E-3</v>
      </c>
      <c r="J107" s="33">
        <v>1</v>
      </c>
      <c r="K107" s="34" t="s">
        <v>129</v>
      </c>
      <c r="L107" s="33">
        <v>1</v>
      </c>
      <c r="M107" s="33">
        <v>0</v>
      </c>
      <c r="N107" s="33">
        <v>0</v>
      </c>
      <c r="O107" s="35" t="s">
        <v>102</v>
      </c>
      <c r="P107" s="36">
        <v>0.25347222222222221</v>
      </c>
      <c r="Q107" s="33">
        <v>168</v>
      </c>
      <c r="R107" s="37" t="s">
        <v>208</v>
      </c>
    </row>
    <row r="108" spans="1:18" ht="49.95" customHeight="1" x14ac:dyDescent="0.3">
      <c r="A108" s="86" t="s">
        <v>28</v>
      </c>
      <c r="B108" s="86" t="s">
        <v>470</v>
      </c>
      <c r="C108" s="87">
        <v>0.35416666666666669</v>
      </c>
      <c r="D108" s="86" t="s">
        <v>30</v>
      </c>
      <c r="E108" s="88"/>
      <c r="F108" s="86" t="s">
        <v>108</v>
      </c>
      <c r="G108" s="241"/>
      <c r="H108" s="11" t="s">
        <v>470</v>
      </c>
      <c r="I108" s="12">
        <v>0</v>
      </c>
      <c r="J108" s="13">
        <v>0</v>
      </c>
      <c r="K108" s="14" t="s">
        <v>109</v>
      </c>
      <c r="L108" s="13">
        <v>0</v>
      </c>
      <c r="M108" s="13">
        <v>0</v>
      </c>
      <c r="N108" s="13">
        <v>0</v>
      </c>
      <c r="O108" s="15" t="s">
        <v>102</v>
      </c>
      <c r="P108" s="16">
        <v>0.35416666666666669</v>
      </c>
      <c r="Q108" s="13">
        <v>168</v>
      </c>
      <c r="R108" s="17" t="s">
        <v>109</v>
      </c>
    </row>
    <row r="109" spans="1:18" ht="49.95" customHeight="1" x14ac:dyDescent="0.3">
      <c r="A109" s="139" t="s">
        <v>28</v>
      </c>
      <c r="B109" s="139" t="s">
        <v>469</v>
      </c>
      <c r="C109" s="140">
        <v>0.50694444444444442</v>
      </c>
      <c r="D109" s="139" t="s">
        <v>30</v>
      </c>
      <c r="E109" s="141"/>
      <c r="F109" s="139" t="s">
        <v>31</v>
      </c>
      <c r="G109" s="241"/>
      <c r="H109" s="103" t="s">
        <v>469</v>
      </c>
      <c r="I109" s="159">
        <v>6.0000000000000001E-3</v>
      </c>
      <c r="J109" s="105">
        <v>1</v>
      </c>
      <c r="K109" s="106" t="s">
        <v>110</v>
      </c>
      <c r="L109" s="105">
        <v>1</v>
      </c>
      <c r="M109" s="105">
        <v>0</v>
      </c>
      <c r="N109" s="105">
        <v>0</v>
      </c>
      <c r="O109" s="107" t="s">
        <v>102</v>
      </c>
      <c r="P109" s="108">
        <v>0.50694444444444442</v>
      </c>
      <c r="Q109" s="105">
        <v>168</v>
      </c>
      <c r="R109" s="109" t="s">
        <v>208</v>
      </c>
    </row>
    <row r="110" spans="1:18" ht="49.95" customHeight="1" thickBot="1" x14ac:dyDescent="0.35">
      <c r="A110" s="207" t="s">
        <v>28</v>
      </c>
      <c r="B110" s="207" t="s">
        <v>466</v>
      </c>
      <c r="C110" s="208">
        <v>0.70833333333333337</v>
      </c>
      <c r="D110" s="207" t="s">
        <v>30</v>
      </c>
      <c r="E110" s="209"/>
      <c r="F110" s="207" t="s">
        <v>31</v>
      </c>
      <c r="G110" s="242"/>
      <c r="H110" s="210" t="s">
        <v>466</v>
      </c>
      <c r="I110" s="223">
        <v>1.1900000000000001E-2</v>
      </c>
      <c r="J110" s="212">
        <v>2</v>
      </c>
      <c r="K110" s="213" t="s">
        <v>91</v>
      </c>
      <c r="L110" s="212">
        <v>2</v>
      </c>
      <c r="M110" s="212">
        <v>0</v>
      </c>
      <c r="N110" s="212">
        <v>0</v>
      </c>
      <c r="O110" s="214" t="s">
        <v>102</v>
      </c>
      <c r="P110" s="215">
        <v>0.70833333333333337</v>
      </c>
      <c r="Q110" s="212">
        <v>168</v>
      </c>
      <c r="R110" s="216" t="s">
        <v>152</v>
      </c>
    </row>
    <row r="111" spans="1:18" ht="17.399999999999999" customHeight="1" thickBot="1" x14ac:dyDescent="0.35">
      <c r="A111" s="265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7"/>
    </row>
    <row r="112" spans="1:18" ht="22.05" customHeight="1" thickTop="1" thickBot="1" x14ac:dyDescent="0.35">
      <c r="A112" s="236" t="s">
        <v>8</v>
      </c>
      <c r="B112" s="234"/>
      <c r="C112" s="234"/>
      <c r="D112" s="234"/>
      <c r="E112" s="234"/>
      <c r="F112" s="235"/>
      <c r="G112" s="68">
        <v>46070</v>
      </c>
      <c r="H112" s="233" t="s">
        <v>9</v>
      </c>
      <c r="I112" s="234"/>
      <c r="J112" s="234"/>
      <c r="K112" s="234"/>
      <c r="L112" s="234"/>
      <c r="M112" s="234"/>
      <c r="N112" s="234"/>
      <c r="O112" s="234"/>
      <c r="P112" s="234"/>
      <c r="Q112" s="234"/>
      <c r="R112" s="235"/>
    </row>
    <row r="113" spans="1:18" ht="24" customHeight="1" x14ac:dyDescent="0.3">
      <c r="A113" s="69" t="s">
        <v>10</v>
      </c>
      <c r="B113" s="69" t="s">
        <v>11</v>
      </c>
      <c r="C113" s="70" t="s">
        <v>12</v>
      </c>
      <c r="D113" s="69" t="s">
        <v>13</v>
      </c>
      <c r="E113" s="69" t="s">
        <v>14</v>
      </c>
      <c r="F113" s="71" t="s">
        <v>15</v>
      </c>
      <c r="G113" s="72" t="s">
        <v>16</v>
      </c>
      <c r="H113" s="69" t="s">
        <v>17</v>
      </c>
      <c r="I113" s="73" t="s">
        <v>18</v>
      </c>
      <c r="J113" s="74" t="s">
        <v>19</v>
      </c>
      <c r="K113" s="75" t="s">
        <v>20</v>
      </c>
      <c r="L113" s="74" t="s">
        <v>21</v>
      </c>
      <c r="M113" s="74" t="s">
        <v>22</v>
      </c>
      <c r="N113" s="74" t="s">
        <v>23</v>
      </c>
      <c r="O113" s="69" t="s">
        <v>24</v>
      </c>
      <c r="P113" s="70" t="s">
        <v>25</v>
      </c>
      <c r="Q113" s="74" t="s">
        <v>26</v>
      </c>
      <c r="R113" s="69" t="s">
        <v>27</v>
      </c>
    </row>
    <row r="114" spans="1:18" ht="49.95" customHeight="1" x14ac:dyDescent="0.3">
      <c r="A114" s="100" t="s">
        <v>28</v>
      </c>
      <c r="B114" s="100" t="s">
        <v>466</v>
      </c>
      <c r="C114" s="101">
        <v>0.32291666666666669</v>
      </c>
      <c r="D114" s="100" t="s">
        <v>30</v>
      </c>
      <c r="E114" s="102"/>
      <c r="F114" s="100" t="s">
        <v>31</v>
      </c>
      <c r="G114" s="240"/>
      <c r="H114" s="103" t="s">
        <v>466</v>
      </c>
      <c r="I114" s="159">
        <v>6.0000000000000001E-3</v>
      </c>
      <c r="J114" s="105">
        <v>1</v>
      </c>
      <c r="K114" s="106" t="s">
        <v>91</v>
      </c>
      <c r="L114" s="105">
        <v>1</v>
      </c>
      <c r="M114" s="105">
        <v>0</v>
      </c>
      <c r="N114" s="105">
        <v>0</v>
      </c>
      <c r="O114" s="107" t="s">
        <v>102</v>
      </c>
      <c r="P114" s="108">
        <v>0.32291666666666669</v>
      </c>
      <c r="Q114" s="105">
        <v>168</v>
      </c>
      <c r="R114" s="109" t="s">
        <v>208</v>
      </c>
    </row>
    <row r="115" spans="1:18" ht="49.95" customHeight="1" thickBot="1" x14ac:dyDescent="0.35">
      <c r="A115" s="126" t="s">
        <v>28</v>
      </c>
      <c r="B115" s="126" t="s">
        <v>470</v>
      </c>
      <c r="C115" s="127">
        <v>0.95138888888888884</v>
      </c>
      <c r="D115" s="126" t="s">
        <v>30</v>
      </c>
      <c r="E115" s="128"/>
      <c r="F115" s="126" t="s">
        <v>108</v>
      </c>
      <c r="G115" s="242"/>
      <c r="H115" s="129" t="s">
        <v>470</v>
      </c>
      <c r="I115" s="225">
        <v>0</v>
      </c>
      <c r="J115" s="131">
        <v>0</v>
      </c>
      <c r="K115" s="132" t="s">
        <v>109</v>
      </c>
      <c r="L115" s="131">
        <v>0</v>
      </c>
      <c r="M115" s="131">
        <v>0</v>
      </c>
      <c r="N115" s="131">
        <v>0</v>
      </c>
      <c r="O115" s="133" t="s">
        <v>102</v>
      </c>
      <c r="P115" s="134">
        <v>0.95138888888888884</v>
      </c>
      <c r="Q115" s="131">
        <v>168</v>
      </c>
      <c r="R115" s="135" t="s">
        <v>109</v>
      </c>
    </row>
    <row r="116" spans="1:18" ht="17.399999999999999" customHeight="1" thickBot="1" x14ac:dyDescent="0.35">
      <c r="A116" s="265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7"/>
    </row>
    <row r="117" spans="1:18" ht="22.05" customHeight="1" thickTop="1" thickBot="1" x14ac:dyDescent="0.35">
      <c r="A117" s="236" t="s">
        <v>8</v>
      </c>
      <c r="B117" s="234"/>
      <c r="C117" s="234"/>
      <c r="D117" s="234"/>
      <c r="E117" s="234"/>
      <c r="F117" s="235"/>
      <c r="G117" s="68">
        <v>46071</v>
      </c>
      <c r="H117" s="233" t="s">
        <v>9</v>
      </c>
      <c r="I117" s="234"/>
      <c r="J117" s="234"/>
      <c r="K117" s="234"/>
      <c r="L117" s="234"/>
      <c r="M117" s="234"/>
      <c r="N117" s="234"/>
      <c r="O117" s="234"/>
      <c r="P117" s="234"/>
      <c r="Q117" s="234"/>
      <c r="R117" s="235"/>
    </row>
    <row r="118" spans="1:18" ht="24" customHeight="1" x14ac:dyDescent="0.3">
      <c r="A118" s="69" t="s">
        <v>10</v>
      </c>
      <c r="B118" s="69" t="s">
        <v>11</v>
      </c>
      <c r="C118" s="70" t="s">
        <v>12</v>
      </c>
      <c r="D118" s="69" t="s">
        <v>13</v>
      </c>
      <c r="E118" s="69" t="s">
        <v>14</v>
      </c>
      <c r="F118" s="71" t="s">
        <v>15</v>
      </c>
      <c r="G118" s="72" t="s">
        <v>16</v>
      </c>
      <c r="H118" s="69" t="s">
        <v>17</v>
      </c>
      <c r="I118" s="73" t="s">
        <v>18</v>
      </c>
      <c r="J118" s="74" t="s">
        <v>19</v>
      </c>
      <c r="K118" s="75" t="s">
        <v>20</v>
      </c>
      <c r="L118" s="74" t="s">
        <v>21</v>
      </c>
      <c r="M118" s="74" t="s">
        <v>22</v>
      </c>
      <c r="N118" s="74" t="s">
        <v>23</v>
      </c>
      <c r="O118" s="69" t="s">
        <v>24</v>
      </c>
      <c r="P118" s="70" t="s">
        <v>25</v>
      </c>
      <c r="Q118" s="74" t="s">
        <v>26</v>
      </c>
      <c r="R118" s="69" t="s">
        <v>27</v>
      </c>
    </row>
    <row r="119" spans="1:18" ht="49.95" customHeight="1" x14ac:dyDescent="0.3">
      <c r="A119" s="122" t="s">
        <v>28</v>
      </c>
      <c r="B119" s="122" t="s">
        <v>466</v>
      </c>
      <c r="C119" s="123">
        <v>0.2673611111111111</v>
      </c>
      <c r="D119" s="122" t="s">
        <v>30</v>
      </c>
      <c r="E119" s="124"/>
      <c r="F119" s="122" t="s">
        <v>108</v>
      </c>
      <c r="G119" s="240"/>
      <c r="H119" s="41" t="s">
        <v>466</v>
      </c>
      <c r="I119" s="42">
        <v>0</v>
      </c>
      <c r="J119" s="43">
        <v>0</v>
      </c>
      <c r="K119" s="44" t="s">
        <v>109</v>
      </c>
      <c r="L119" s="43">
        <v>0</v>
      </c>
      <c r="M119" s="43">
        <v>0</v>
      </c>
      <c r="N119" s="43">
        <v>0</v>
      </c>
      <c r="O119" s="45" t="s">
        <v>102</v>
      </c>
      <c r="P119" s="46">
        <v>0.2673611111111111</v>
      </c>
      <c r="Q119" s="43">
        <v>168</v>
      </c>
      <c r="R119" s="47" t="s">
        <v>109</v>
      </c>
    </row>
    <row r="120" spans="1:18" ht="49.95" customHeight="1" thickBot="1" x14ac:dyDescent="0.35">
      <c r="A120" s="171" t="s">
        <v>28</v>
      </c>
      <c r="B120" s="171" t="s">
        <v>468</v>
      </c>
      <c r="C120" s="172">
        <v>0.65625</v>
      </c>
      <c r="D120" s="171" t="s">
        <v>30</v>
      </c>
      <c r="E120" s="173"/>
      <c r="F120" s="171" t="s">
        <v>31</v>
      </c>
      <c r="G120" s="242"/>
      <c r="H120" s="174" t="s">
        <v>468</v>
      </c>
      <c r="I120" s="175">
        <v>6.0000000000000001E-3</v>
      </c>
      <c r="J120" s="176">
        <v>1</v>
      </c>
      <c r="K120" s="177" t="s">
        <v>106</v>
      </c>
      <c r="L120" s="176">
        <v>1</v>
      </c>
      <c r="M120" s="176">
        <v>0</v>
      </c>
      <c r="N120" s="176">
        <v>0</v>
      </c>
      <c r="O120" s="178" t="s">
        <v>102</v>
      </c>
      <c r="P120" s="179">
        <v>0.65625</v>
      </c>
      <c r="Q120" s="176">
        <v>168</v>
      </c>
      <c r="R120" s="180" t="s">
        <v>208</v>
      </c>
    </row>
    <row r="121" spans="1:18" ht="17.399999999999999" customHeight="1" thickBot="1" x14ac:dyDescent="0.35">
      <c r="A121" s="265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7"/>
    </row>
    <row r="122" spans="1:18" ht="22.05" customHeight="1" thickTop="1" thickBot="1" x14ac:dyDescent="0.35">
      <c r="A122" s="236" t="s">
        <v>8</v>
      </c>
      <c r="B122" s="234"/>
      <c r="C122" s="234"/>
      <c r="D122" s="234"/>
      <c r="E122" s="234"/>
      <c r="F122" s="235"/>
      <c r="G122" s="68">
        <v>46072</v>
      </c>
      <c r="H122" s="233" t="s">
        <v>9</v>
      </c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</row>
    <row r="123" spans="1:18" ht="24" customHeight="1" x14ac:dyDescent="0.3">
      <c r="A123" s="69" t="s">
        <v>10</v>
      </c>
      <c r="B123" s="69" t="s">
        <v>11</v>
      </c>
      <c r="C123" s="70" t="s">
        <v>12</v>
      </c>
      <c r="D123" s="69" t="s">
        <v>13</v>
      </c>
      <c r="E123" s="69" t="s">
        <v>14</v>
      </c>
      <c r="F123" s="71" t="s">
        <v>15</v>
      </c>
      <c r="G123" s="72" t="s">
        <v>16</v>
      </c>
      <c r="H123" s="69" t="s">
        <v>17</v>
      </c>
      <c r="I123" s="73" t="s">
        <v>18</v>
      </c>
      <c r="J123" s="74" t="s">
        <v>19</v>
      </c>
      <c r="K123" s="75" t="s">
        <v>20</v>
      </c>
      <c r="L123" s="74" t="s">
        <v>21</v>
      </c>
      <c r="M123" s="74" t="s">
        <v>22</v>
      </c>
      <c r="N123" s="74" t="s">
        <v>23</v>
      </c>
      <c r="O123" s="69" t="s">
        <v>24</v>
      </c>
      <c r="P123" s="70" t="s">
        <v>25</v>
      </c>
      <c r="Q123" s="74" t="s">
        <v>26</v>
      </c>
      <c r="R123" s="69" t="s">
        <v>27</v>
      </c>
    </row>
    <row r="124" spans="1:18" ht="49.95" customHeight="1" x14ac:dyDescent="0.3">
      <c r="A124" s="122" t="s">
        <v>28</v>
      </c>
      <c r="B124" s="122" t="s">
        <v>469</v>
      </c>
      <c r="C124" s="123">
        <v>8.3333333333333329E-2</v>
      </c>
      <c r="D124" s="122" t="s">
        <v>30</v>
      </c>
      <c r="E124" s="124"/>
      <c r="F124" s="122" t="s">
        <v>108</v>
      </c>
      <c r="G124" s="243"/>
      <c r="H124" s="41" t="s">
        <v>469</v>
      </c>
      <c r="I124" s="42">
        <v>0</v>
      </c>
      <c r="J124" s="43">
        <v>0</v>
      </c>
      <c r="K124" s="44" t="s">
        <v>109</v>
      </c>
      <c r="L124" s="43">
        <v>0</v>
      </c>
      <c r="M124" s="43">
        <v>0</v>
      </c>
      <c r="N124" s="43">
        <v>0</v>
      </c>
      <c r="O124" s="45" t="s">
        <v>102</v>
      </c>
      <c r="P124" s="46">
        <v>8.3333333333333329E-2</v>
      </c>
      <c r="Q124" s="43">
        <v>168</v>
      </c>
      <c r="R124" s="47" t="s">
        <v>109</v>
      </c>
    </row>
    <row r="125" spans="1:18" ht="49.95" customHeight="1" x14ac:dyDescent="0.3">
      <c r="A125" s="143" t="s">
        <v>28</v>
      </c>
      <c r="B125" s="143" t="s">
        <v>466</v>
      </c>
      <c r="C125" s="144">
        <v>0.68055555555555547</v>
      </c>
      <c r="D125" s="143" t="s">
        <v>30</v>
      </c>
      <c r="E125" s="145"/>
      <c r="F125" s="143" t="s">
        <v>108</v>
      </c>
      <c r="G125" s="241"/>
      <c r="H125" s="146" t="s">
        <v>466</v>
      </c>
      <c r="I125" s="147">
        <v>0</v>
      </c>
      <c r="J125" s="148">
        <v>0</v>
      </c>
      <c r="K125" s="149" t="s">
        <v>109</v>
      </c>
      <c r="L125" s="148">
        <v>0</v>
      </c>
      <c r="M125" s="148">
        <v>0</v>
      </c>
      <c r="N125" s="148">
        <v>0</v>
      </c>
      <c r="O125" s="150" t="s">
        <v>102</v>
      </c>
      <c r="P125" s="151">
        <v>0.68055555555555547</v>
      </c>
      <c r="Q125" s="148">
        <v>168</v>
      </c>
      <c r="R125" s="152" t="s">
        <v>109</v>
      </c>
    </row>
    <row r="126" spans="1:18" ht="49.95" customHeight="1" thickBot="1" x14ac:dyDescent="0.35">
      <c r="A126" s="90" t="s">
        <v>28</v>
      </c>
      <c r="B126" s="90" t="s">
        <v>470</v>
      </c>
      <c r="C126" s="91">
        <v>0.70833333333333337</v>
      </c>
      <c r="D126" s="90" t="s">
        <v>30</v>
      </c>
      <c r="E126" s="92"/>
      <c r="F126" s="90" t="s">
        <v>31</v>
      </c>
      <c r="G126" s="242"/>
      <c r="H126" s="93" t="s">
        <v>470</v>
      </c>
      <c r="I126" s="221">
        <v>6.0000000000000001E-3</v>
      </c>
      <c r="J126" s="95">
        <v>1</v>
      </c>
      <c r="K126" s="96" t="s">
        <v>485</v>
      </c>
      <c r="L126" s="95">
        <v>1</v>
      </c>
      <c r="M126" s="95">
        <v>0</v>
      </c>
      <c r="N126" s="95">
        <v>0</v>
      </c>
      <c r="O126" s="97" t="s">
        <v>102</v>
      </c>
      <c r="P126" s="98">
        <v>0.70833333333333337</v>
      </c>
      <c r="Q126" s="95">
        <v>168</v>
      </c>
      <c r="R126" s="99" t="s">
        <v>208</v>
      </c>
    </row>
    <row r="127" spans="1:18" ht="17.399999999999999" customHeight="1" thickBot="1" x14ac:dyDescent="0.35">
      <c r="A127" s="265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7"/>
    </row>
    <row r="128" spans="1:18" ht="22.05" customHeight="1" thickTop="1" thickBot="1" x14ac:dyDescent="0.35">
      <c r="A128" s="236" t="s">
        <v>8</v>
      </c>
      <c r="B128" s="234"/>
      <c r="C128" s="234"/>
      <c r="D128" s="234"/>
      <c r="E128" s="234"/>
      <c r="F128" s="235"/>
      <c r="G128" s="68">
        <v>46073</v>
      </c>
      <c r="H128" s="233" t="s">
        <v>9</v>
      </c>
      <c r="I128" s="234"/>
      <c r="J128" s="234"/>
      <c r="K128" s="234"/>
      <c r="L128" s="234"/>
      <c r="M128" s="234"/>
      <c r="N128" s="234"/>
      <c r="O128" s="234"/>
      <c r="P128" s="234"/>
      <c r="Q128" s="234"/>
      <c r="R128" s="235"/>
    </row>
    <row r="129" spans="1:18" ht="24" customHeight="1" x14ac:dyDescent="0.3">
      <c r="A129" s="69" t="s">
        <v>10</v>
      </c>
      <c r="B129" s="69" t="s">
        <v>11</v>
      </c>
      <c r="C129" s="70" t="s">
        <v>12</v>
      </c>
      <c r="D129" s="69" t="s">
        <v>13</v>
      </c>
      <c r="E129" s="69" t="s">
        <v>14</v>
      </c>
      <c r="F129" s="71" t="s">
        <v>15</v>
      </c>
      <c r="G129" s="72" t="s">
        <v>16</v>
      </c>
      <c r="H129" s="69" t="s">
        <v>17</v>
      </c>
      <c r="I129" s="73" t="s">
        <v>18</v>
      </c>
      <c r="J129" s="74" t="s">
        <v>19</v>
      </c>
      <c r="K129" s="75" t="s">
        <v>20</v>
      </c>
      <c r="L129" s="74" t="s">
        <v>21</v>
      </c>
      <c r="M129" s="74" t="s">
        <v>22</v>
      </c>
      <c r="N129" s="74" t="s">
        <v>23</v>
      </c>
      <c r="O129" s="69" t="s">
        <v>24</v>
      </c>
      <c r="P129" s="70" t="s">
        <v>25</v>
      </c>
      <c r="Q129" s="74" t="s">
        <v>26</v>
      </c>
      <c r="R129" s="69" t="s">
        <v>27</v>
      </c>
    </row>
    <row r="130" spans="1:18" ht="49.95" customHeight="1" thickTop="1" thickBot="1" x14ac:dyDescent="0.35">
      <c r="A130" s="181" t="s">
        <v>28</v>
      </c>
      <c r="B130" s="181" t="s">
        <v>468</v>
      </c>
      <c r="C130" s="182">
        <v>0.29166666666666669</v>
      </c>
      <c r="D130" s="181" t="s">
        <v>30</v>
      </c>
      <c r="E130" s="183"/>
      <c r="F130" s="181" t="s">
        <v>31</v>
      </c>
      <c r="G130" s="240"/>
      <c r="H130" s="210" t="s">
        <v>468</v>
      </c>
      <c r="I130" s="223">
        <v>6.0000000000000001E-3</v>
      </c>
      <c r="J130" s="212">
        <v>1</v>
      </c>
      <c r="K130" s="213" t="s">
        <v>94</v>
      </c>
      <c r="L130" s="212">
        <v>1</v>
      </c>
      <c r="M130" s="212">
        <v>0</v>
      </c>
      <c r="N130" s="212">
        <v>0</v>
      </c>
      <c r="O130" s="214" t="s">
        <v>102</v>
      </c>
      <c r="P130" s="215">
        <v>0.29166666666666669</v>
      </c>
      <c r="Q130" s="212">
        <v>168</v>
      </c>
      <c r="R130" s="216" t="s">
        <v>160</v>
      </c>
    </row>
    <row r="131" spans="1:18" ht="17.399999999999999" customHeight="1" thickBot="1" x14ac:dyDescent="0.35">
      <c r="A131" s="265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7"/>
    </row>
    <row r="132" spans="1:18" ht="22.05" customHeight="1" thickTop="1" thickBot="1" x14ac:dyDescent="0.35">
      <c r="A132" s="236" t="s">
        <v>8</v>
      </c>
      <c r="B132" s="234"/>
      <c r="C132" s="234"/>
      <c r="D132" s="234"/>
      <c r="E132" s="234"/>
      <c r="F132" s="235"/>
      <c r="G132" s="68">
        <v>46074</v>
      </c>
      <c r="H132" s="233" t="s">
        <v>9</v>
      </c>
      <c r="I132" s="234"/>
      <c r="J132" s="234"/>
      <c r="K132" s="234"/>
      <c r="L132" s="234"/>
      <c r="M132" s="234"/>
      <c r="N132" s="234"/>
      <c r="O132" s="234"/>
      <c r="P132" s="234"/>
      <c r="Q132" s="234"/>
      <c r="R132" s="235"/>
    </row>
    <row r="133" spans="1:18" ht="24" customHeight="1" x14ac:dyDescent="0.3">
      <c r="A133" s="69" t="s">
        <v>10</v>
      </c>
      <c r="B133" s="69" t="s">
        <v>11</v>
      </c>
      <c r="C133" s="70" t="s">
        <v>12</v>
      </c>
      <c r="D133" s="69" t="s">
        <v>13</v>
      </c>
      <c r="E133" s="69" t="s">
        <v>14</v>
      </c>
      <c r="F133" s="71" t="s">
        <v>15</v>
      </c>
      <c r="G133" s="72" t="s">
        <v>16</v>
      </c>
      <c r="H133" s="69" t="s">
        <v>17</v>
      </c>
      <c r="I133" s="73" t="s">
        <v>18</v>
      </c>
      <c r="J133" s="74" t="s">
        <v>19</v>
      </c>
      <c r="K133" s="75" t="s">
        <v>20</v>
      </c>
      <c r="L133" s="74" t="s">
        <v>21</v>
      </c>
      <c r="M133" s="74" t="s">
        <v>22</v>
      </c>
      <c r="N133" s="74" t="s">
        <v>23</v>
      </c>
      <c r="O133" s="69" t="s">
        <v>24</v>
      </c>
      <c r="P133" s="70" t="s">
        <v>25</v>
      </c>
      <c r="Q133" s="74" t="s">
        <v>26</v>
      </c>
      <c r="R133" s="69" t="s">
        <v>27</v>
      </c>
    </row>
    <row r="134" spans="1:18" ht="49.95" customHeight="1" x14ac:dyDescent="0.3">
      <c r="A134" s="154" t="s">
        <v>28</v>
      </c>
      <c r="B134" s="154" t="s">
        <v>468</v>
      </c>
      <c r="C134" s="155">
        <v>0.30208333333333331</v>
      </c>
      <c r="D134" s="154" t="s">
        <v>30</v>
      </c>
      <c r="E134" s="156"/>
      <c r="F134" s="154" t="s">
        <v>108</v>
      </c>
      <c r="G134" s="240"/>
      <c r="H134" s="31" t="s">
        <v>468</v>
      </c>
      <c r="I134" s="32">
        <v>0</v>
      </c>
      <c r="J134" s="33">
        <v>0</v>
      </c>
      <c r="K134" s="34" t="s">
        <v>109</v>
      </c>
      <c r="L134" s="33">
        <v>0</v>
      </c>
      <c r="M134" s="33">
        <v>0</v>
      </c>
      <c r="N134" s="33">
        <v>0</v>
      </c>
      <c r="O134" s="35" t="s">
        <v>102</v>
      </c>
      <c r="P134" s="36">
        <v>0.30208333333333331</v>
      </c>
      <c r="Q134" s="33">
        <v>168</v>
      </c>
      <c r="R134" s="37" t="s">
        <v>109</v>
      </c>
    </row>
    <row r="135" spans="1:18" ht="49.95" customHeight="1" x14ac:dyDescent="0.3">
      <c r="A135" s="201" t="s">
        <v>28</v>
      </c>
      <c r="B135" s="201" t="s">
        <v>466</v>
      </c>
      <c r="C135" s="202">
        <v>0.46180555555555558</v>
      </c>
      <c r="D135" s="201" t="s">
        <v>30</v>
      </c>
      <c r="E135" s="203"/>
      <c r="F135" s="201" t="s">
        <v>108</v>
      </c>
      <c r="G135" s="241"/>
      <c r="H135" s="79" t="s">
        <v>466</v>
      </c>
      <c r="I135" s="80">
        <v>0</v>
      </c>
      <c r="J135" s="81">
        <v>0</v>
      </c>
      <c r="K135" s="82" t="s">
        <v>109</v>
      </c>
      <c r="L135" s="81">
        <v>0</v>
      </c>
      <c r="M135" s="81">
        <v>0</v>
      </c>
      <c r="N135" s="81">
        <v>0</v>
      </c>
      <c r="O135" s="83" t="s">
        <v>102</v>
      </c>
      <c r="P135" s="84">
        <v>0.46180555555555558</v>
      </c>
      <c r="Q135" s="81">
        <v>168</v>
      </c>
      <c r="R135" s="85" t="s">
        <v>109</v>
      </c>
    </row>
    <row r="136" spans="1:18" ht="49.95" customHeight="1" thickBot="1" x14ac:dyDescent="0.35">
      <c r="A136" s="171" t="s">
        <v>28</v>
      </c>
      <c r="B136" s="171" t="s">
        <v>470</v>
      </c>
      <c r="C136" s="172">
        <v>0.6875</v>
      </c>
      <c r="D136" s="171" t="s">
        <v>30</v>
      </c>
      <c r="E136" s="173"/>
      <c r="F136" s="171" t="s">
        <v>108</v>
      </c>
      <c r="G136" s="242"/>
      <c r="H136" s="174" t="s">
        <v>470</v>
      </c>
      <c r="I136" s="175">
        <v>0</v>
      </c>
      <c r="J136" s="176">
        <v>0</v>
      </c>
      <c r="K136" s="177" t="s">
        <v>109</v>
      </c>
      <c r="L136" s="176">
        <v>0</v>
      </c>
      <c r="M136" s="176">
        <v>0</v>
      </c>
      <c r="N136" s="176">
        <v>0</v>
      </c>
      <c r="O136" s="178" t="s">
        <v>102</v>
      </c>
      <c r="P136" s="179">
        <v>0.6875</v>
      </c>
      <c r="Q136" s="176">
        <v>168</v>
      </c>
      <c r="R136" s="180" t="s">
        <v>109</v>
      </c>
    </row>
    <row r="137" spans="1:18" ht="17.399999999999999" customHeight="1" thickBot="1" x14ac:dyDescent="0.35">
      <c r="A137" s="265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7"/>
    </row>
    <row r="138" spans="1:18" ht="22.05" customHeight="1" thickTop="1" thickBot="1" x14ac:dyDescent="0.35">
      <c r="A138" s="236" t="s">
        <v>8</v>
      </c>
      <c r="B138" s="234"/>
      <c r="C138" s="234"/>
      <c r="D138" s="234"/>
      <c r="E138" s="234"/>
      <c r="F138" s="235"/>
      <c r="G138" s="68">
        <v>46075</v>
      </c>
      <c r="H138" s="233" t="s">
        <v>9</v>
      </c>
      <c r="I138" s="234"/>
      <c r="J138" s="234"/>
      <c r="K138" s="234"/>
      <c r="L138" s="234"/>
      <c r="M138" s="234"/>
      <c r="N138" s="234"/>
      <c r="O138" s="234"/>
      <c r="P138" s="234"/>
      <c r="Q138" s="234"/>
      <c r="R138" s="235"/>
    </row>
    <row r="139" spans="1:18" ht="24" customHeight="1" x14ac:dyDescent="0.3">
      <c r="A139" s="69" t="s">
        <v>10</v>
      </c>
      <c r="B139" s="69" t="s">
        <v>11</v>
      </c>
      <c r="C139" s="70" t="s">
        <v>12</v>
      </c>
      <c r="D139" s="69" t="s">
        <v>13</v>
      </c>
      <c r="E139" s="69" t="s">
        <v>14</v>
      </c>
      <c r="F139" s="71" t="s">
        <v>15</v>
      </c>
      <c r="G139" s="72" t="s">
        <v>16</v>
      </c>
      <c r="H139" s="69" t="s">
        <v>17</v>
      </c>
      <c r="I139" s="73" t="s">
        <v>18</v>
      </c>
      <c r="J139" s="74" t="s">
        <v>19</v>
      </c>
      <c r="K139" s="75" t="s">
        <v>20</v>
      </c>
      <c r="L139" s="74" t="s">
        <v>21</v>
      </c>
      <c r="M139" s="74" t="s">
        <v>22</v>
      </c>
      <c r="N139" s="74" t="s">
        <v>23</v>
      </c>
      <c r="O139" s="69" t="s">
        <v>24</v>
      </c>
      <c r="P139" s="70" t="s">
        <v>25</v>
      </c>
      <c r="Q139" s="74" t="s">
        <v>26</v>
      </c>
      <c r="R139" s="69" t="s">
        <v>27</v>
      </c>
    </row>
    <row r="140" spans="1:18" ht="49.95" customHeight="1" x14ac:dyDescent="0.3">
      <c r="A140" s="100" t="s">
        <v>28</v>
      </c>
      <c r="B140" s="100" t="s">
        <v>468</v>
      </c>
      <c r="C140" s="101">
        <v>0.76736111111111116</v>
      </c>
      <c r="D140" s="100" t="s">
        <v>30</v>
      </c>
      <c r="E140" s="102"/>
      <c r="F140" s="100" t="s">
        <v>31</v>
      </c>
      <c r="G140" s="243"/>
      <c r="H140" s="103" t="s">
        <v>468</v>
      </c>
      <c r="I140" s="159">
        <v>6.0000000000000001E-3</v>
      </c>
      <c r="J140" s="105">
        <v>1</v>
      </c>
      <c r="K140" s="106" t="s">
        <v>443</v>
      </c>
      <c r="L140" s="105">
        <v>1</v>
      </c>
      <c r="M140" s="105">
        <v>0</v>
      </c>
      <c r="N140" s="105">
        <v>0</v>
      </c>
      <c r="O140" s="107" t="s">
        <v>102</v>
      </c>
      <c r="P140" s="108">
        <v>0.76736111111111116</v>
      </c>
      <c r="Q140" s="105">
        <v>168</v>
      </c>
      <c r="R140" s="109" t="s">
        <v>304</v>
      </c>
    </row>
    <row r="141" spans="1:18" ht="49.95" customHeight="1" thickBot="1" x14ac:dyDescent="0.35">
      <c r="A141" s="189" t="s">
        <v>28</v>
      </c>
      <c r="B141" s="189" t="s">
        <v>470</v>
      </c>
      <c r="C141" s="190">
        <v>0.85069444444444453</v>
      </c>
      <c r="D141" s="189" t="s">
        <v>30</v>
      </c>
      <c r="E141" s="191"/>
      <c r="F141" s="189" t="s">
        <v>31</v>
      </c>
      <c r="G141" s="242"/>
      <c r="H141" s="192" t="s">
        <v>470</v>
      </c>
      <c r="I141" s="222">
        <v>1.1900000000000001E-2</v>
      </c>
      <c r="J141" s="194">
        <v>2</v>
      </c>
      <c r="K141" s="195" t="s">
        <v>486</v>
      </c>
      <c r="L141" s="194">
        <v>2</v>
      </c>
      <c r="M141" s="194">
        <v>0</v>
      </c>
      <c r="N141" s="194">
        <v>0</v>
      </c>
      <c r="O141" s="196" t="s">
        <v>102</v>
      </c>
      <c r="P141" s="197">
        <v>0.85069444444444453</v>
      </c>
      <c r="Q141" s="194">
        <v>168</v>
      </c>
      <c r="R141" s="198" t="s">
        <v>158</v>
      </c>
    </row>
    <row r="142" spans="1:18" ht="17.399999999999999" customHeight="1" thickBot="1" x14ac:dyDescent="0.35">
      <c r="A142" s="265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7"/>
    </row>
    <row r="143" spans="1:18" ht="22.05" customHeight="1" thickTop="1" thickBot="1" x14ac:dyDescent="0.35">
      <c r="A143" s="236" t="s">
        <v>8</v>
      </c>
      <c r="B143" s="234"/>
      <c r="C143" s="234"/>
      <c r="D143" s="234"/>
      <c r="E143" s="234"/>
      <c r="F143" s="235"/>
      <c r="G143" s="68">
        <v>46076</v>
      </c>
      <c r="H143" s="233" t="s">
        <v>9</v>
      </c>
      <c r="I143" s="234"/>
      <c r="J143" s="234"/>
      <c r="K143" s="234"/>
      <c r="L143" s="234"/>
      <c r="M143" s="234"/>
      <c r="N143" s="234"/>
      <c r="O143" s="234"/>
      <c r="P143" s="234"/>
      <c r="Q143" s="234"/>
      <c r="R143" s="235"/>
    </row>
    <row r="144" spans="1:18" ht="24" customHeight="1" x14ac:dyDescent="0.3">
      <c r="A144" s="69" t="s">
        <v>10</v>
      </c>
      <c r="B144" s="69" t="s">
        <v>11</v>
      </c>
      <c r="C144" s="70" t="s">
        <v>12</v>
      </c>
      <c r="D144" s="69" t="s">
        <v>13</v>
      </c>
      <c r="E144" s="69" t="s">
        <v>14</v>
      </c>
      <c r="F144" s="71" t="s">
        <v>15</v>
      </c>
      <c r="G144" s="72" t="s">
        <v>16</v>
      </c>
      <c r="H144" s="69" t="s">
        <v>17</v>
      </c>
      <c r="I144" s="73" t="s">
        <v>18</v>
      </c>
      <c r="J144" s="74" t="s">
        <v>19</v>
      </c>
      <c r="K144" s="75" t="s">
        <v>20</v>
      </c>
      <c r="L144" s="74" t="s">
        <v>21</v>
      </c>
      <c r="M144" s="74" t="s">
        <v>22</v>
      </c>
      <c r="N144" s="74" t="s">
        <v>23</v>
      </c>
      <c r="O144" s="69" t="s">
        <v>24</v>
      </c>
      <c r="P144" s="70" t="s">
        <v>25</v>
      </c>
      <c r="Q144" s="74" t="s">
        <v>26</v>
      </c>
      <c r="R144" s="69" t="s">
        <v>27</v>
      </c>
    </row>
    <row r="145" spans="1:18" ht="49.95" customHeight="1" x14ac:dyDescent="0.3">
      <c r="A145" s="8" t="s">
        <v>28</v>
      </c>
      <c r="B145" s="8" t="s">
        <v>470</v>
      </c>
      <c r="C145" s="9">
        <v>0.35416666666666669</v>
      </c>
      <c r="D145" s="8" t="s">
        <v>30</v>
      </c>
      <c r="E145" s="10"/>
      <c r="F145" s="8" t="s">
        <v>31</v>
      </c>
      <c r="G145" s="240"/>
      <c r="H145" s="11" t="s">
        <v>470</v>
      </c>
      <c r="I145" s="12">
        <v>1.1900000000000001E-2</v>
      </c>
      <c r="J145" s="13">
        <v>2</v>
      </c>
      <c r="K145" s="14" t="s">
        <v>113</v>
      </c>
      <c r="L145" s="13">
        <v>2</v>
      </c>
      <c r="M145" s="13">
        <v>0</v>
      </c>
      <c r="N145" s="13">
        <v>0</v>
      </c>
      <c r="O145" s="15" t="s">
        <v>102</v>
      </c>
      <c r="P145" s="16">
        <v>0.35416666666666669</v>
      </c>
      <c r="Q145" s="13">
        <v>168</v>
      </c>
      <c r="R145" s="17" t="s">
        <v>487</v>
      </c>
    </row>
    <row r="146" spans="1:18" ht="49.95" customHeight="1" x14ac:dyDescent="0.3">
      <c r="A146" s="18" t="s">
        <v>28</v>
      </c>
      <c r="B146" s="18" t="s">
        <v>468</v>
      </c>
      <c r="C146" s="19">
        <v>0.50694444444444442</v>
      </c>
      <c r="D146" s="18" t="s">
        <v>30</v>
      </c>
      <c r="E146" s="20"/>
      <c r="F146" s="18" t="s">
        <v>31</v>
      </c>
      <c r="G146" s="241"/>
      <c r="H146" s="21" t="s">
        <v>468</v>
      </c>
      <c r="I146" s="22">
        <v>1.7899999999999999E-2</v>
      </c>
      <c r="J146" s="23">
        <v>3</v>
      </c>
      <c r="K146" s="24" t="s">
        <v>106</v>
      </c>
      <c r="L146" s="23">
        <v>3</v>
      </c>
      <c r="M146" s="23">
        <v>0</v>
      </c>
      <c r="N146" s="23">
        <v>0</v>
      </c>
      <c r="O146" s="25" t="s">
        <v>102</v>
      </c>
      <c r="P146" s="26">
        <v>0.50694444444444442</v>
      </c>
      <c r="Q146" s="23">
        <v>168</v>
      </c>
      <c r="R146" s="27" t="s">
        <v>330</v>
      </c>
    </row>
    <row r="147" spans="1:18" ht="49.95" customHeight="1" thickBot="1" x14ac:dyDescent="0.35">
      <c r="A147" s="171" t="s">
        <v>28</v>
      </c>
      <c r="B147" s="171" t="s">
        <v>466</v>
      </c>
      <c r="C147" s="172">
        <v>0.97916666666666663</v>
      </c>
      <c r="D147" s="171" t="s">
        <v>30</v>
      </c>
      <c r="E147" s="173"/>
      <c r="F147" s="171" t="s">
        <v>108</v>
      </c>
      <c r="G147" s="242"/>
      <c r="H147" s="174" t="s">
        <v>466</v>
      </c>
      <c r="I147" s="175">
        <v>0</v>
      </c>
      <c r="J147" s="176">
        <v>0</v>
      </c>
      <c r="K147" s="177" t="s">
        <v>109</v>
      </c>
      <c r="L147" s="176">
        <v>0</v>
      </c>
      <c r="M147" s="176">
        <v>0</v>
      </c>
      <c r="N147" s="176">
        <v>0</v>
      </c>
      <c r="O147" s="178" t="s">
        <v>102</v>
      </c>
      <c r="P147" s="179">
        <v>0.97916666666666663</v>
      </c>
      <c r="Q147" s="176">
        <v>168</v>
      </c>
      <c r="R147" s="180" t="s">
        <v>109</v>
      </c>
    </row>
    <row r="148" spans="1:18" ht="17.399999999999999" customHeight="1" thickBot="1" x14ac:dyDescent="0.35">
      <c r="A148" s="265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7"/>
    </row>
    <row r="149" spans="1:18" ht="22.05" customHeight="1" thickTop="1" thickBot="1" x14ac:dyDescent="0.35">
      <c r="A149" s="236" t="s">
        <v>8</v>
      </c>
      <c r="B149" s="234"/>
      <c r="C149" s="234"/>
      <c r="D149" s="234"/>
      <c r="E149" s="234"/>
      <c r="F149" s="235"/>
      <c r="G149" s="68">
        <v>46077</v>
      </c>
      <c r="H149" s="233" t="s">
        <v>9</v>
      </c>
      <c r="I149" s="234"/>
      <c r="J149" s="234"/>
      <c r="K149" s="234"/>
      <c r="L149" s="234"/>
      <c r="M149" s="234"/>
      <c r="N149" s="234"/>
      <c r="O149" s="234"/>
      <c r="P149" s="234"/>
      <c r="Q149" s="234"/>
      <c r="R149" s="235"/>
    </row>
    <row r="150" spans="1:18" ht="24" customHeight="1" x14ac:dyDescent="0.3">
      <c r="A150" s="69" t="s">
        <v>10</v>
      </c>
      <c r="B150" s="69" t="s">
        <v>11</v>
      </c>
      <c r="C150" s="70" t="s">
        <v>12</v>
      </c>
      <c r="D150" s="69" t="s">
        <v>13</v>
      </c>
      <c r="E150" s="69" t="s">
        <v>14</v>
      </c>
      <c r="F150" s="71" t="s">
        <v>15</v>
      </c>
      <c r="G150" s="72" t="s">
        <v>16</v>
      </c>
      <c r="H150" s="69" t="s">
        <v>17</v>
      </c>
      <c r="I150" s="73" t="s">
        <v>18</v>
      </c>
      <c r="J150" s="74" t="s">
        <v>19</v>
      </c>
      <c r="K150" s="75" t="s">
        <v>20</v>
      </c>
      <c r="L150" s="74" t="s">
        <v>21</v>
      </c>
      <c r="M150" s="74" t="s">
        <v>22</v>
      </c>
      <c r="N150" s="74" t="s">
        <v>23</v>
      </c>
      <c r="O150" s="69" t="s">
        <v>24</v>
      </c>
      <c r="P150" s="70" t="s">
        <v>25</v>
      </c>
      <c r="Q150" s="74" t="s">
        <v>26</v>
      </c>
      <c r="R150" s="69" t="s">
        <v>27</v>
      </c>
    </row>
    <row r="151" spans="1:18" ht="49.95" customHeight="1" x14ac:dyDescent="0.3">
      <c r="A151" s="122" t="s">
        <v>28</v>
      </c>
      <c r="B151" s="122" t="s">
        <v>466</v>
      </c>
      <c r="C151" s="123">
        <v>0.32291666666666669</v>
      </c>
      <c r="D151" s="122" t="s">
        <v>30</v>
      </c>
      <c r="E151" s="124"/>
      <c r="F151" s="122" t="s">
        <v>108</v>
      </c>
      <c r="G151" s="243"/>
      <c r="H151" s="41" t="s">
        <v>466</v>
      </c>
      <c r="I151" s="42">
        <v>0</v>
      </c>
      <c r="J151" s="43">
        <v>0</v>
      </c>
      <c r="K151" s="44" t="s">
        <v>109</v>
      </c>
      <c r="L151" s="43">
        <v>0</v>
      </c>
      <c r="M151" s="43">
        <v>0</v>
      </c>
      <c r="N151" s="43">
        <v>0</v>
      </c>
      <c r="O151" s="45" t="s">
        <v>102</v>
      </c>
      <c r="P151" s="46">
        <v>0.32291666666666669</v>
      </c>
      <c r="Q151" s="43">
        <v>168</v>
      </c>
      <c r="R151" s="47" t="s">
        <v>109</v>
      </c>
    </row>
    <row r="152" spans="1:18" ht="49.95" customHeight="1" thickBot="1" x14ac:dyDescent="0.35">
      <c r="A152" s="189" t="s">
        <v>28</v>
      </c>
      <c r="B152" s="189" t="s">
        <v>470</v>
      </c>
      <c r="C152" s="190">
        <v>0.95138888888888884</v>
      </c>
      <c r="D152" s="189" t="s">
        <v>30</v>
      </c>
      <c r="E152" s="191"/>
      <c r="F152" s="189" t="s">
        <v>31</v>
      </c>
      <c r="G152" s="242"/>
      <c r="H152" s="192" t="s">
        <v>470</v>
      </c>
      <c r="I152" s="222">
        <v>1.1900000000000001E-2</v>
      </c>
      <c r="J152" s="194">
        <v>2</v>
      </c>
      <c r="K152" s="195" t="s">
        <v>94</v>
      </c>
      <c r="L152" s="194">
        <v>2</v>
      </c>
      <c r="M152" s="194">
        <v>0</v>
      </c>
      <c r="N152" s="194">
        <v>0</v>
      </c>
      <c r="O152" s="196" t="s">
        <v>102</v>
      </c>
      <c r="P152" s="197">
        <v>0.95138888888888884</v>
      </c>
      <c r="Q152" s="194">
        <v>168</v>
      </c>
      <c r="R152" s="198" t="s">
        <v>481</v>
      </c>
    </row>
    <row r="153" spans="1:18" ht="17.399999999999999" customHeight="1" thickBot="1" x14ac:dyDescent="0.35">
      <c r="A153" s="265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7"/>
    </row>
    <row r="154" spans="1:18" ht="22.05" customHeight="1" thickTop="1" thickBot="1" x14ac:dyDescent="0.35">
      <c r="A154" s="236" t="s">
        <v>8</v>
      </c>
      <c r="B154" s="234"/>
      <c r="C154" s="234"/>
      <c r="D154" s="234"/>
      <c r="E154" s="234"/>
      <c r="F154" s="235"/>
      <c r="G154" s="68">
        <v>46078</v>
      </c>
      <c r="H154" s="233" t="s">
        <v>9</v>
      </c>
      <c r="I154" s="234"/>
      <c r="J154" s="234"/>
      <c r="K154" s="234"/>
      <c r="L154" s="234"/>
      <c r="M154" s="234"/>
      <c r="N154" s="234"/>
      <c r="O154" s="234"/>
      <c r="P154" s="234"/>
      <c r="Q154" s="234"/>
      <c r="R154" s="235"/>
    </row>
    <row r="155" spans="1:18" ht="24" customHeight="1" x14ac:dyDescent="0.3">
      <c r="A155" s="69" t="s">
        <v>10</v>
      </c>
      <c r="B155" s="69" t="s">
        <v>11</v>
      </c>
      <c r="C155" s="70" t="s">
        <v>12</v>
      </c>
      <c r="D155" s="69" t="s">
        <v>13</v>
      </c>
      <c r="E155" s="69" t="s">
        <v>14</v>
      </c>
      <c r="F155" s="71" t="s">
        <v>15</v>
      </c>
      <c r="G155" s="72" t="s">
        <v>16</v>
      </c>
      <c r="H155" s="69" t="s">
        <v>17</v>
      </c>
      <c r="I155" s="73" t="s">
        <v>18</v>
      </c>
      <c r="J155" s="74" t="s">
        <v>19</v>
      </c>
      <c r="K155" s="75" t="s">
        <v>20</v>
      </c>
      <c r="L155" s="74" t="s">
        <v>21</v>
      </c>
      <c r="M155" s="74" t="s">
        <v>22</v>
      </c>
      <c r="N155" s="74" t="s">
        <v>23</v>
      </c>
      <c r="O155" s="69" t="s">
        <v>24</v>
      </c>
      <c r="P155" s="70" t="s">
        <v>25</v>
      </c>
      <c r="Q155" s="74" t="s">
        <v>26</v>
      </c>
      <c r="R155" s="69" t="s">
        <v>27</v>
      </c>
    </row>
    <row r="156" spans="1:18" ht="49.95" customHeight="1" x14ac:dyDescent="0.3">
      <c r="A156" s="136" t="s">
        <v>28</v>
      </c>
      <c r="B156" s="136" t="s">
        <v>466</v>
      </c>
      <c r="C156" s="137">
        <v>0.2673611111111111</v>
      </c>
      <c r="D156" s="136" t="s">
        <v>30</v>
      </c>
      <c r="E156" s="138"/>
      <c r="F156" s="136" t="s">
        <v>108</v>
      </c>
      <c r="G156" s="240"/>
      <c r="H156" s="21" t="s">
        <v>466</v>
      </c>
      <c r="I156" s="22">
        <v>0</v>
      </c>
      <c r="J156" s="23">
        <v>0</v>
      </c>
      <c r="K156" s="24" t="s">
        <v>109</v>
      </c>
      <c r="L156" s="23">
        <v>0</v>
      </c>
      <c r="M156" s="23">
        <v>0</v>
      </c>
      <c r="N156" s="23">
        <v>0</v>
      </c>
      <c r="O156" s="25" t="s">
        <v>75</v>
      </c>
      <c r="P156" s="26">
        <v>0.2673611111111111</v>
      </c>
      <c r="Q156" s="23">
        <v>168</v>
      </c>
      <c r="R156" s="27" t="s">
        <v>109</v>
      </c>
    </row>
    <row r="157" spans="1:18" ht="49.95" customHeight="1" thickBot="1" x14ac:dyDescent="0.35">
      <c r="A157" s="126" t="s">
        <v>28</v>
      </c>
      <c r="B157" s="126" t="s">
        <v>468</v>
      </c>
      <c r="C157" s="127">
        <v>0.65625</v>
      </c>
      <c r="D157" s="126" t="s">
        <v>30</v>
      </c>
      <c r="E157" s="128"/>
      <c r="F157" s="126" t="s">
        <v>31</v>
      </c>
      <c r="G157" s="242"/>
      <c r="H157" s="129" t="s">
        <v>468</v>
      </c>
      <c r="I157" s="225">
        <v>6.0000000000000001E-3</v>
      </c>
      <c r="J157" s="131">
        <v>1</v>
      </c>
      <c r="K157" s="132" t="s">
        <v>206</v>
      </c>
      <c r="L157" s="131">
        <v>1</v>
      </c>
      <c r="M157" s="131">
        <v>0</v>
      </c>
      <c r="N157" s="131">
        <v>0</v>
      </c>
      <c r="O157" s="133" t="s">
        <v>75</v>
      </c>
      <c r="P157" s="134">
        <v>0.65625</v>
      </c>
      <c r="Q157" s="131">
        <v>168</v>
      </c>
      <c r="R157" s="135" t="s">
        <v>304</v>
      </c>
    </row>
    <row r="158" spans="1:18" ht="17.399999999999999" customHeight="1" thickBot="1" x14ac:dyDescent="0.35">
      <c r="A158" s="265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7"/>
    </row>
    <row r="159" spans="1:18" ht="22.05" customHeight="1" thickTop="1" thickBot="1" x14ac:dyDescent="0.35">
      <c r="A159" s="236" t="s">
        <v>8</v>
      </c>
      <c r="B159" s="234"/>
      <c r="C159" s="234"/>
      <c r="D159" s="234"/>
      <c r="E159" s="234"/>
      <c r="F159" s="235"/>
      <c r="G159" s="68">
        <v>46079</v>
      </c>
      <c r="H159" s="233" t="s">
        <v>9</v>
      </c>
      <c r="I159" s="234"/>
      <c r="J159" s="234"/>
      <c r="K159" s="234"/>
      <c r="L159" s="234"/>
      <c r="M159" s="234"/>
      <c r="N159" s="234"/>
      <c r="O159" s="234"/>
      <c r="P159" s="234"/>
      <c r="Q159" s="234"/>
      <c r="R159" s="235"/>
    </row>
    <row r="160" spans="1:18" ht="24" customHeight="1" x14ac:dyDescent="0.3">
      <c r="A160" s="69" t="s">
        <v>10</v>
      </c>
      <c r="B160" s="69" t="s">
        <v>11</v>
      </c>
      <c r="C160" s="70" t="s">
        <v>12</v>
      </c>
      <c r="D160" s="69" t="s">
        <v>13</v>
      </c>
      <c r="E160" s="69" t="s">
        <v>14</v>
      </c>
      <c r="F160" s="71" t="s">
        <v>15</v>
      </c>
      <c r="G160" s="72" t="s">
        <v>16</v>
      </c>
      <c r="H160" s="69" t="s">
        <v>17</v>
      </c>
      <c r="I160" s="73" t="s">
        <v>18</v>
      </c>
      <c r="J160" s="74" t="s">
        <v>19</v>
      </c>
      <c r="K160" s="75" t="s">
        <v>20</v>
      </c>
      <c r="L160" s="74" t="s">
        <v>21</v>
      </c>
      <c r="M160" s="74" t="s">
        <v>22</v>
      </c>
      <c r="N160" s="74" t="s">
        <v>23</v>
      </c>
      <c r="O160" s="69" t="s">
        <v>24</v>
      </c>
      <c r="P160" s="70" t="s">
        <v>25</v>
      </c>
      <c r="Q160" s="74" t="s">
        <v>26</v>
      </c>
      <c r="R160" s="69" t="s">
        <v>27</v>
      </c>
    </row>
    <row r="161" spans="1:18" ht="49.95" customHeight="1" x14ac:dyDescent="0.3">
      <c r="A161" s="136" t="s">
        <v>28</v>
      </c>
      <c r="B161" s="136" t="s">
        <v>469</v>
      </c>
      <c r="C161" s="137">
        <v>8.3333333333333329E-2</v>
      </c>
      <c r="D161" s="136" t="s">
        <v>30</v>
      </c>
      <c r="E161" s="138"/>
      <c r="F161" s="136" t="s">
        <v>108</v>
      </c>
      <c r="G161" s="243"/>
      <c r="H161" s="21" t="s">
        <v>469</v>
      </c>
      <c r="I161" s="22">
        <v>0</v>
      </c>
      <c r="J161" s="23">
        <v>0</v>
      </c>
      <c r="K161" s="24" t="s">
        <v>109</v>
      </c>
      <c r="L161" s="23">
        <v>0</v>
      </c>
      <c r="M161" s="23">
        <v>0</v>
      </c>
      <c r="N161" s="23">
        <v>0</v>
      </c>
      <c r="O161" s="25" t="s">
        <v>75</v>
      </c>
      <c r="P161" s="26">
        <v>8.3333333333333329E-2</v>
      </c>
      <c r="Q161" s="23">
        <v>168</v>
      </c>
      <c r="R161" s="27" t="s">
        <v>109</v>
      </c>
    </row>
    <row r="162" spans="1:18" ht="49.95" customHeight="1" x14ac:dyDescent="0.3">
      <c r="A162" s="48" t="s">
        <v>28</v>
      </c>
      <c r="B162" s="48" t="s">
        <v>466</v>
      </c>
      <c r="C162" s="49">
        <v>0.68055555555555547</v>
      </c>
      <c r="D162" s="48" t="s">
        <v>30</v>
      </c>
      <c r="E162" s="50"/>
      <c r="F162" s="48" t="s">
        <v>108</v>
      </c>
      <c r="G162" s="241"/>
      <c r="H162" s="51" t="s">
        <v>466</v>
      </c>
      <c r="I162" s="52">
        <v>0</v>
      </c>
      <c r="J162" s="53">
        <v>0</v>
      </c>
      <c r="K162" s="54" t="s">
        <v>109</v>
      </c>
      <c r="L162" s="53">
        <v>0</v>
      </c>
      <c r="M162" s="53">
        <v>0</v>
      </c>
      <c r="N162" s="53">
        <v>0</v>
      </c>
      <c r="O162" s="55" t="s">
        <v>75</v>
      </c>
      <c r="P162" s="56">
        <v>0.68055555555555547</v>
      </c>
      <c r="Q162" s="53">
        <v>168</v>
      </c>
      <c r="R162" s="57" t="s">
        <v>109</v>
      </c>
    </row>
    <row r="163" spans="1:18" ht="49.95" customHeight="1" thickBot="1" x14ac:dyDescent="0.35">
      <c r="A163" s="171" t="s">
        <v>28</v>
      </c>
      <c r="B163" s="171" t="s">
        <v>470</v>
      </c>
      <c r="C163" s="172">
        <v>0.70833333333333337</v>
      </c>
      <c r="D163" s="171" t="s">
        <v>30</v>
      </c>
      <c r="E163" s="173"/>
      <c r="F163" s="171" t="s">
        <v>31</v>
      </c>
      <c r="G163" s="242"/>
      <c r="H163" s="174" t="s">
        <v>470</v>
      </c>
      <c r="I163" s="175">
        <v>6.0000000000000001E-3</v>
      </c>
      <c r="J163" s="176">
        <v>1</v>
      </c>
      <c r="K163" s="177" t="s">
        <v>99</v>
      </c>
      <c r="L163" s="176">
        <v>1</v>
      </c>
      <c r="M163" s="176">
        <v>0</v>
      </c>
      <c r="N163" s="176">
        <v>0</v>
      </c>
      <c r="O163" s="178" t="s">
        <v>75</v>
      </c>
      <c r="P163" s="179">
        <v>0.70833333333333337</v>
      </c>
      <c r="Q163" s="176">
        <v>168</v>
      </c>
      <c r="R163" s="180" t="s">
        <v>304</v>
      </c>
    </row>
    <row r="164" spans="1:18" ht="17.399999999999999" customHeight="1" thickBot="1" x14ac:dyDescent="0.35">
      <c r="A164" s="265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7"/>
    </row>
    <row r="165" spans="1:18" ht="22.05" customHeight="1" thickTop="1" thickBot="1" x14ac:dyDescent="0.35">
      <c r="A165" s="236" t="s">
        <v>8</v>
      </c>
      <c r="B165" s="234"/>
      <c r="C165" s="234"/>
      <c r="D165" s="234"/>
      <c r="E165" s="234"/>
      <c r="F165" s="235"/>
      <c r="G165" s="68">
        <v>46080</v>
      </c>
      <c r="H165" s="233" t="s">
        <v>9</v>
      </c>
      <c r="I165" s="234"/>
      <c r="J165" s="234"/>
      <c r="K165" s="234"/>
      <c r="L165" s="234"/>
      <c r="M165" s="234"/>
      <c r="N165" s="234"/>
      <c r="O165" s="234"/>
      <c r="P165" s="234"/>
      <c r="Q165" s="234"/>
      <c r="R165" s="235"/>
    </row>
    <row r="166" spans="1:18" ht="24" customHeight="1" x14ac:dyDescent="0.3">
      <c r="A166" s="69" t="s">
        <v>10</v>
      </c>
      <c r="B166" s="69" t="s">
        <v>11</v>
      </c>
      <c r="C166" s="70" t="s">
        <v>12</v>
      </c>
      <c r="D166" s="69" t="s">
        <v>13</v>
      </c>
      <c r="E166" s="69" t="s">
        <v>14</v>
      </c>
      <c r="F166" s="71" t="s">
        <v>15</v>
      </c>
      <c r="G166" s="72" t="s">
        <v>16</v>
      </c>
      <c r="H166" s="69" t="s">
        <v>17</v>
      </c>
      <c r="I166" s="73" t="s">
        <v>18</v>
      </c>
      <c r="J166" s="74" t="s">
        <v>19</v>
      </c>
      <c r="K166" s="75" t="s">
        <v>20</v>
      </c>
      <c r="L166" s="74" t="s">
        <v>21</v>
      </c>
      <c r="M166" s="74" t="s">
        <v>22</v>
      </c>
      <c r="N166" s="74" t="s">
        <v>23</v>
      </c>
      <c r="O166" s="69" t="s">
        <v>24</v>
      </c>
      <c r="P166" s="70" t="s">
        <v>25</v>
      </c>
      <c r="Q166" s="74" t="s">
        <v>26</v>
      </c>
      <c r="R166" s="69" t="s">
        <v>27</v>
      </c>
    </row>
    <row r="167" spans="1:18" ht="49.95" customHeight="1" thickTop="1" thickBot="1" x14ac:dyDescent="0.5">
      <c r="A167" s="8" t="s">
        <v>28</v>
      </c>
      <c r="B167" s="8" t="s">
        <v>468</v>
      </c>
      <c r="C167" s="9">
        <v>0.29166666666666669</v>
      </c>
      <c r="D167" s="8" t="s">
        <v>30</v>
      </c>
      <c r="E167" s="10"/>
      <c r="F167" s="8" t="s">
        <v>108</v>
      </c>
      <c r="G167" s="243"/>
      <c r="H167" s="192" t="s">
        <v>468</v>
      </c>
      <c r="I167" s="222">
        <v>0</v>
      </c>
      <c r="J167" s="194">
        <v>0</v>
      </c>
      <c r="K167" s="195" t="s">
        <v>109</v>
      </c>
      <c r="L167" s="194">
        <v>0</v>
      </c>
      <c r="M167" s="194">
        <v>0</v>
      </c>
      <c r="N167" s="194">
        <v>0</v>
      </c>
      <c r="O167" s="196" t="s">
        <v>75</v>
      </c>
      <c r="P167" s="197">
        <v>0.29166666666666669</v>
      </c>
      <c r="Q167" s="194">
        <v>168</v>
      </c>
      <c r="R167" s="198" t="s">
        <v>109</v>
      </c>
    </row>
    <row r="168" spans="1:18" ht="17.399999999999999" customHeight="1" thickBot="1" x14ac:dyDescent="0.35">
      <c r="A168" s="265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7"/>
    </row>
    <row r="169" spans="1:18" ht="22.05" customHeight="1" thickTop="1" thickBot="1" x14ac:dyDescent="0.35">
      <c r="A169" s="236" t="s">
        <v>8</v>
      </c>
      <c r="B169" s="234"/>
      <c r="C169" s="234"/>
      <c r="D169" s="234"/>
      <c r="E169" s="234"/>
      <c r="F169" s="235"/>
      <c r="G169" s="68">
        <v>46081</v>
      </c>
      <c r="H169" s="233" t="s">
        <v>9</v>
      </c>
      <c r="I169" s="234"/>
      <c r="J169" s="234"/>
      <c r="K169" s="234"/>
      <c r="L169" s="234"/>
      <c r="M169" s="234"/>
      <c r="N169" s="234"/>
      <c r="O169" s="234"/>
      <c r="P169" s="234"/>
      <c r="Q169" s="234"/>
      <c r="R169" s="235"/>
    </row>
    <row r="170" spans="1:18" ht="24" customHeight="1" x14ac:dyDescent="0.3">
      <c r="A170" s="69" t="s">
        <v>10</v>
      </c>
      <c r="B170" s="69" t="s">
        <v>11</v>
      </c>
      <c r="C170" s="70" t="s">
        <v>12</v>
      </c>
      <c r="D170" s="69" t="s">
        <v>13</v>
      </c>
      <c r="E170" s="69" t="s">
        <v>14</v>
      </c>
      <c r="F170" s="71" t="s">
        <v>15</v>
      </c>
      <c r="G170" s="72" t="s">
        <v>16</v>
      </c>
      <c r="H170" s="69" t="s">
        <v>17</v>
      </c>
      <c r="I170" s="73" t="s">
        <v>18</v>
      </c>
      <c r="J170" s="74" t="s">
        <v>19</v>
      </c>
      <c r="K170" s="75" t="s">
        <v>20</v>
      </c>
      <c r="L170" s="74" t="s">
        <v>21</v>
      </c>
      <c r="M170" s="74" t="s">
        <v>22</v>
      </c>
      <c r="N170" s="74" t="s">
        <v>23</v>
      </c>
      <c r="O170" s="69" t="s">
        <v>24</v>
      </c>
      <c r="P170" s="70" t="s">
        <v>25</v>
      </c>
      <c r="Q170" s="74" t="s">
        <v>26</v>
      </c>
      <c r="R170" s="69" t="s">
        <v>27</v>
      </c>
    </row>
    <row r="171" spans="1:18" ht="49.95" customHeight="1" x14ac:dyDescent="0.3">
      <c r="A171" s="181" t="s">
        <v>28</v>
      </c>
      <c r="B171" s="181" t="s">
        <v>468</v>
      </c>
      <c r="C171" s="182">
        <v>0.30208333333333331</v>
      </c>
      <c r="D171" s="181" t="s">
        <v>30</v>
      </c>
      <c r="E171" s="183"/>
      <c r="F171" s="181" t="s">
        <v>31</v>
      </c>
      <c r="G171" s="243"/>
      <c r="H171" s="51" t="s">
        <v>468</v>
      </c>
      <c r="I171" s="52">
        <v>2.98E-2</v>
      </c>
      <c r="J171" s="53">
        <v>5</v>
      </c>
      <c r="K171" s="54" t="s">
        <v>217</v>
      </c>
      <c r="L171" s="53">
        <v>5</v>
      </c>
      <c r="M171" s="53">
        <v>0</v>
      </c>
      <c r="N171" s="53">
        <v>0</v>
      </c>
      <c r="O171" s="55" t="s">
        <v>75</v>
      </c>
      <c r="P171" s="56">
        <v>0.30208333333333331</v>
      </c>
      <c r="Q171" s="53">
        <v>168</v>
      </c>
      <c r="R171" s="57" t="s">
        <v>488</v>
      </c>
    </row>
    <row r="172" spans="1:18" ht="49.95" customHeight="1" x14ac:dyDescent="0.3">
      <c r="A172" s="139" t="s">
        <v>28</v>
      </c>
      <c r="B172" s="139" t="s">
        <v>466</v>
      </c>
      <c r="C172" s="140">
        <v>0.46180555555555558</v>
      </c>
      <c r="D172" s="139" t="s">
        <v>30</v>
      </c>
      <c r="E172" s="141"/>
      <c r="F172" s="139" t="s">
        <v>31</v>
      </c>
      <c r="G172" s="241"/>
      <c r="H172" s="103" t="s">
        <v>466</v>
      </c>
      <c r="I172" s="159">
        <v>2.3800000000000002E-2</v>
      </c>
      <c r="J172" s="105">
        <v>4</v>
      </c>
      <c r="K172" s="106" t="s">
        <v>197</v>
      </c>
      <c r="L172" s="105">
        <v>4</v>
      </c>
      <c r="M172" s="105">
        <v>0</v>
      </c>
      <c r="N172" s="105">
        <v>0</v>
      </c>
      <c r="O172" s="107" t="s">
        <v>75</v>
      </c>
      <c r="P172" s="108">
        <v>0.46180555555555558</v>
      </c>
      <c r="Q172" s="105">
        <v>168</v>
      </c>
      <c r="R172" s="109" t="s">
        <v>483</v>
      </c>
    </row>
    <row r="173" spans="1:18" ht="49.95" customHeight="1" thickBot="1" x14ac:dyDescent="0.35">
      <c r="A173" s="207" t="s">
        <v>28</v>
      </c>
      <c r="B173" s="207" t="s">
        <v>470</v>
      </c>
      <c r="C173" s="208">
        <v>0.6875</v>
      </c>
      <c r="D173" s="207" t="s">
        <v>30</v>
      </c>
      <c r="E173" s="209"/>
      <c r="F173" s="207" t="s">
        <v>108</v>
      </c>
      <c r="G173" s="242"/>
      <c r="H173" s="210" t="s">
        <v>470</v>
      </c>
      <c r="I173" s="223">
        <v>0</v>
      </c>
      <c r="J173" s="212">
        <v>0</v>
      </c>
      <c r="K173" s="213" t="s">
        <v>109</v>
      </c>
      <c r="L173" s="212">
        <v>0</v>
      </c>
      <c r="M173" s="212">
        <v>0</v>
      </c>
      <c r="N173" s="212">
        <v>0</v>
      </c>
      <c r="O173" s="214" t="s">
        <v>75</v>
      </c>
      <c r="P173" s="215">
        <v>0.6875</v>
      </c>
      <c r="Q173" s="212">
        <v>168</v>
      </c>
      <c r="R173" s="216" t="s">
        <v>109</v>
      </c>
    </row>
    <row r="174" spans="1:18" ht="17.399999999999999" customHeight="1" thickBot="1" x14ac:dyDescent="0.35">
      <c r="A174" s="265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7"/>
    </row>
    <row r="175" spans="1:18" ht="22.05" customHeight="1" thickTop="1" thickBot="1" x14ac:dyDescent="0.35">
      <c r="A175" s="236" t="s">
        <v>8</v>
      </c>
      <c r="B175" s="234"/>
      <c r="C175" s="234"/>
      <c r="D175" s="234"/>
      <c r="E175" s="234"/>
      <c r="F175" s="235"/>
      <c r="G175" s="68">
        <v>46082</v>
      </c>
      <c r="H175" s="233" t="s">
        <v>9</v>
      </c>
      <c r="I175" s="234"/>
      <c r="J175" s="234"/>
      <c r="K175" s="234"/>
      <c r="L175" s="234"/>
      <c r="M175" s="234"/>
      <c r="N175" s="234"/>
      <c r="O175" s="234"/>
      <c r="P175" s="234"/>
      <c r="Q175" s="234"/>
      <c r="R175" s="235"/>
    </row>
    <row r="176" spans="1:18" ht="24" customHeight="1" x14ac:dyDescent="0.3">
      <c r="A176" s="69" t="s">
        <v>10</v>
      </c>
      <c r="B176" s="69" t="s">
        <v>11</v>
      </c>
      <c r="C176" s="70" t="s">
        <v>12</v>
      </c>
      <c r="D176" s="69" t="s">
        <v>13</v>
      </c>
      <c r="E176" s="69" t="s">
        <v>14</v>
      </c>
      <c r="F176" s="71" t="s">
        <v>15</v>
      </c>
      <c r="G176" s="72" t="s">
        <v>16</v>
      </c>
      <c r="H176" s="69" t="s">
        <v>17</v>
      </c>
      <c r="I176" s="73" t="s">
        <v>18</v>
      </c>
      <c r="J176" s="74" t="s">
        <v>19</v>
      </c>
      <c r="K176" s="75" t="s">
        <v>20</v>
      </c>
      <c r="L176" s="74" t="s">
        <v>21</v>
      </c>
      <c r="M176" s="74" t="s">
        <v>22</v>
      </c>
      <c r="N176" s="74" t="s">
        <v>23</v>
      </c>
      <c r="O176" s="69" t="s">
        <v>24</v>
      </c>
      <c r="P176" s="70" t="s">
        <v>25</v>
      </c>
      <c r="Q176" s="74" t="s">
        <v>26</v>
      </c>
      <c r="R176" s="69" t="s">
        <v>27</v>
      </c>
    </row>
    <row r="177" spans="1:18" ht="49.95" customHeight="1" x14ac:dyDescent="0.3">
      <c r="A177" s="185" t="s">
        <v>28</v>
      </c>
      <c r="B177" s="185" t="s">
        <v>468</v>
      </c>
      <c r="C177" s="186">
        <v>0.76736111111111116</v>
      </c>
      <c r="D177" s="185" t="s">
        <v>30</v>
      </c>
      <c r="E177" s="187"/>
      <c r="F177" s="185" t="s">
        <v>108</v>
      </c>
      <c r="G177" s="243"/>
      <c r="H177" s="146" t="s">
        <v>468</v>
      </c>
      <c r="I177" s="147">
        <v>0</v>
      </c>
      <c r="J177" s="148">
        <v>0</v>
      </c>
      <c r="K177" s="149" t="s">
        <v>109</v>
      </c>
      <c r="L177" s="148">
        <v>0</v>
      </c>
      <c r="M177" s="148">
        <v>0</v>
      </c>
      <c r="N177" s="148">
        <v>0</v>
      </c>
      <c r="O177" s="150" t="s">
        <v>102</v>
      </c>
      <c r="P177" s="151">
        <v>0.76736111111111116</v>
      </c>
      <c r="Q177" s="148">
        <v>168</v>
      </c>
      <c r="R177" s="152" t="s">
        <v>109</v>
      </c>
    </row>
    <row r="178" spans="1:18" ht="49.95" customHeight="1" x14ac:dyDescent="0.3">
      <c r="A178" s="171" t="s">
        <v>28</v>
      </c>
      <c r="B178" s="171" t="s">
        <v>470</v>
      </c>
      <c r="C178" s="172">
        <v>0.85069444444444453</v>
      </c>
      <c r="D178" s="171" t="s">
        <v>30</v>
      </c>
      <c r="E178" s="173"/>
      <c r="F178" s="171" t="s">
        <v>31</v>
      </c>
      <c r="G178" s="242"/>
      <c r="H178" s="174" t="s">
        <v>470</v>
      </c>
      <c r="I178" s="175">
        <v>2.3800000000000002E-2</v>
      </c>
      <c r="J178" s="176">
        <v>4</v>
      </c>
      <c r="K178" s="177" t="s">
        <v>220</v>
      </c>
      <c r="L178" s="176">
        <v>4</v>
      </c>
      <c r="M178" s="176">
        <v>0</v>
      </c>
      <c r="N178" s="176">
        <v>0</v>
      </c>
      <c r="O178" s="178" t="s">
        <v>102</v>
      </c>
      <c r="P178" s="179">
        <v>0.85069444444444453</v>
      </c>
      <c r="Q178" s="176">
        <v>168</v>
      </c>
      <c r="R178" s="180" t="s">
        <v>148</v>
      </c>
    </row>
  </sheetData>
  <mergeCells count="138">
    <mergeCell ref="H4:R4"/>
    <mergeCell ref="H122:R122"/>
    <mergeCell ref="A57:F57"/>
    <mergeCell ref="A3:R3"/>
    <mergeCell ref="G156:G157"/>
    <mergeCell ref="G107:G110"/>
    <mergeCell ref="G130"/>
    <mergeCell ref="A4:F4"/>
    <mergeCell ref="A29:R29"/>
    <mergeCell ref="G11:G13"/>
    <mergeCell ref="A121:R121"/>
    <mergeCell ref="H138:R138"/>
    <mergeCell ref="H90:R90"/>
    <mergeCell ref="G119:G120"/>
    <mergeCell ref="A24:R24"/>
    <mergeCell ref="A73:R73"/>
    <mergeCell ref="A138:F138"/>
    <mergeCell ref="A132:F132"/>
    <mergeCell ref="G102:G103"/>
    <mergeCell ref="A25:F25"/>
    <mergeCell ref="G32:G35"/>
    <mergeCell ref="A148:R148"/>
    <mergeCell ref="A94:F94"/>
    <mergeCell ref="G49:G51"/>
    <mergeCell ref="H30:R30"/>
    <mergeCell ref="A128:F128"/>
    <mergeCell ref="A174:R174"/>
    <mergeCell ref="A37:F37"/>
    <mergeCell ref="H112:R112"/>
    <mergeCell ref="A158:R158"/>
    <mergeCell ref="G167"/>
    <mergeCell ref="G6:G7"/>
    <mergeCell ref="A14:R14"/>
    <mergeCell ref="G2:J2"/>
    <mergeCell ref="A100:F100"/>
    <mergeCell ref="A53:F53"/>
    <mergeCell ref="A165:F165"/>
    <mergeCell ref="N1:R1"/>
    <mergeCell ref="H132:R132"/>
    <mergeCell ref="A63:F63"/>
    <mergeCell ref="G21:G23"/>
    <mergeCell ref="G86:G88"/>
    <mergeCell ref="A19:F19"/>
    <mergeCell ref="A68:F68"/>
    <mergeCell ref="H42:R42"/>
    <mergeCell ref="A52:R52"/>
    <mergeCell ref="A117:F117"/>
    <mergeCell ref="H100:R100"/>
    <mergeCell ref="K2:R2"/>
    <mergeCell ref="A143:F143"/>
    <mergeCell ref="H57:R57"/>
    <mergeCell ref="A67:R67"/>
    <mergeCell ref="H84:R84"/>
    <mergeCell ref="G81:G82"/>
    <mergeCell ref="H149:R149"/>
    <mergeCell ref="H154:R154"/>
    <mergeCell ref="A78:R78"/>
    <mergeCell ref="A90:F90"/>
    <mergeCell ref="A74:F74"/>
    <mergeCell ref="A105:F105"/>
    <mergeCell ref="A89:R89"/>
    <mergeCell ref="A154:F154"/>
    <mergeCell ref="G59:G61"/>
    <mergeCell ref="A104:R104"/>
    <mergeCell ref="H74:R74"/>
    <mergeCell ref="H68:R68"/>
    <mergeCell ref="A2:F2"/>
    <mergeCell ref="A42:F42"/>
    <mergeCell ref="H25:R25"/>
    <mergeCell ref="H143:R143"/>
    <mergeCell ref="H117:R117"/>
    <mergeCell ref="A116:R116"/>
    <mergeCell ref="G134:G136"/>
    <mergeCell ref="G177:G178"/>
    <mergeCell ref="A8:R8"/>
    <mergeCell ref="A122:F122"/>
    <mergeCell ref="A131:R131"/>
    <mergeCell ref="H94:R94"/>
    <mergeCell ref="G96:G98"/>
    <mergeCell ref="G114:G115"/>
    <mergeCell ref="G70:G72"/>
    <mergeCell ref="A112:F112"/>
    <mergeCell ref="G161:G163"/>
    <mergeCell ref="A9:F9"/>
    <mergeCell ref="A93:R93"/>
    <mergeCell ref="H19:R19"/>
    <mergeCell ref="A30:F30"/>
    <mergeCell ref="A111:R111"/>
    <mergeCell ref="H159:R159"/>
    <mergeCell ref="A83:R83"/>
    <mergeCell ref="H47:R47"/>
    <mergeCell ref="G171:G173"/>
    <mergeCell ref="H105:R105"/>
    <mergeCell ref="A142:R142"/>
    <mergeCell ref="G92"/>
    <mergeCell ref="H15:R15"/>
    <mergeCell ref="A153:R153"/>
    <mergeCell ref="G55"/>
    <mergeCell ref="A137:R137"/>
    <mergeCell ref="A46:R46"/>
    <mergeCell ref="G151:G152"/>
    <mergeCell ref="H165:R165"/>
    <mergeCell ref="A149:F149"/>
    <mergeCell ref="H63:R63"/>
    <mergeCell ref="A164:R164"/>
    <mergeCell ref="G39:G40"/>
    <mergeCell ref="A56:R56"/>
    <mergeCell ref="G27:G28"/>
    <mergeCell ref="G140:G141"/>
    <mergeCell ref="A169:F169"/>
    <mergeCell ref="A79:F79"/>
    <mergeCell ref="A36:R36"/>
    <mergeCell ref="A168:R168"/>
    <mergeCell ref="G124:G126"/>
    <mergeCell ref="H53:R53"/>
    <mergeCell ref="A84:F84"/>
    <mergeCell ref="A41:R41"/>
    <mergeCell ref="H175:R175"/>
    <mergeCell ref="A99:R99"/>
    <mergeCell ref="H1:L1"/>
    <mergeCell ref="A1:E1"/>
    <mergeCell ref="A18:R18"/>
    <mergeCell ref="H9:R9"/>
    <mergeCell ref="A47:F47"/>
    <mergeCell ref="A175:F175"/>
    <mergeCell ref="G65:G66"/>
    <mergeCell ref="A159:F159"/>
    <mergeCell ref="H169:R169"/>
    <mergeCell ref="A62:R62"/>
    <mergeCell ref="G145:G147"/>
    <mergeCell ref="H79:R79"/>
    <mergeCell ref="G17"/>
    <mergeCell ref="G76:G77"/>
    <mergeCell ref="H128:R128"/>
    <mergeCell ref="H37:R37"/>
    <mergeCell ref="A15:F15"/>
    <mergeCell ref="A127:R127"/>
    <mergeCell ref="G44:G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9"/>
  <sheetViews>
    <sheetView workbookViewId="0"/>
  </sheetViews>
  <sheetFormatPr defaultRowHeight="15.6" outlineLevelCol="1" x14ac:dyDescent="0.3"/>
  <cols>
    <col min="1" max="1" width="11.5546875" style="252" bestFit="1" customWidth="1"/>
    <col min="2" max="2" width="10.109375" style="252" bestFit="1" customWidth="1"/>
    <col min="3" max="3" width="6.77734375" style="252" bestFit="1" customWidth="1"/>
    <col min="4" max="4" width="5.5546875" style="252" bestFit="1" customWidth="1"/>
    <col min="5" max="5" width="7.77734375" style="252" bestFit="1" customWidth="1"/>
    <col min="6" max="6" width="4.21875" style="252" bestFit="1" customWidth="1"/>
    <col min="7" max="7" width="8.44140625" style="252" bestFit="1" customWidth="1"/>
    <col min="8" max="8" width="10.109375" style="252" bestFit="1" customWidth="1"/>
    <col min="9" max="10" width="7" style="252" bestFit="1" customWidth="1"/>
    <col min="11" max="11" width="10.5546875" style="252" bestFit="1" customWidth="1"/>
    <col min="12" max="12" width="18.109375" style="252" bestFit="1" customWidth="1"/>
    <col min="13" max="13" width="7.6640625" style="252" bestFit="1" customWidth="1" outlineLevel="1"/>
    <col min="14" max="14" width="6.33203125" style="252" bestFit="1" customWidth="1" outlineLevel="1"/>
    <col min="15" max="15" width="8" style="252" bestFit="1" customWidth="1" outlineLevel="1"/>
    <col min="16" max="16" width="13.6640625" style="252" bestFit="1" customWidth="1"/>
    <col min="17" max="26" width="3.88671875" style="252" bestFit="1" customWidth="1"/>
    <col min="27" max="27" width="4" style="252" bestFit="1" customWidth="1"/>
    <col min="28" max="36" width="3.8867187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  <row r="2" spans="1:36" x14ac:dyDescent="0.3">
      <c r="A2" s="253" t="s">
        <v>340</v>
      </c>
      <c r="B2" s="254">
        <v>46050</v>
      </c>
      <c r="C2" s="255" t="s">
        <v>466</v>
      </c>
      <c r="D2" s="256" t="s">
        <v>489</v>
      </c>
      <c r="E2" s="255" t="s">
        <v>464</v>
      </c>
      <c r="F2" s="255" t="s">
        <v>302</v>
      </c>
      <c r="G2" s="257">
        <v>1.1900000000000001E-2</v>
      </c>
      <c r="H2" s="258">
        <v>168</v>
      </c>
      <c r="I2" s="258">
        <v>2</v>
      </c>
      <c r="J2" s="258">
        <v>0</v>
      </c>
      <c r="K2" s="255" t="s">
        <v>303</v>
      </c>
      <c r="L2" s="259" t="s">
        <v>91</v>
      </c>
      <c r="M2" s="258">
        <v>0</v>
      </c>
      <c r="N2" s="258">
        <v>0</v>
      </c>
      <c r="O2" s="258">
        <v>2</v>
      </c>
      <c r="P2" s="255" t="s">
        <v>224</v>
      </c>
      <c r="Q2" s="251"/>
      <c r="R2" s="251"/>
      <c r="S2" s="251"/>
      <c r="T2" s="251"/>
      <c r="U2" s="251"/>
      <c r="V2" s="251"/>
      <c r="W2" s="251"/>
      <c r="X2" s="251"/>
      <c r="Y2" s="258" t="s">
        <v>343</v>
      </c>
      <c r="Z2" s="251"/>
      <c r="AA2" s="251"/>
      <c r="AB2" s="251"/>
      <c r="AC2" s="251"/>
      <c r="AD2" s="251"/>
      <c r="AE2" s="251"/>
      <c r="AF2" s="258" t="s">
        <v>42</v>
      </c>
      <c r="AG2" s="251"/>
      <c r="AH2" s="251"/>
      <c r="AI2" s="251"/>
      <c r="AJ2" s="251"/>
    </row>
    <row r="3" spans="1:36" x14ac:dyDescent="0.3">
      <c r="A3" s="253" t="s">
        <v>340</v>
      </c>
      <c r="B3" s="254">
        <v>46050</v>
      </c>
      <c r="C3" s="255" t="s">
        <v>468</v>
      </c>
      <c r="D3" s="256" t="s">
        <v>456</v>
      </c>
      <c r="E3" s="255" t="s">
        <v>464</v>
      </c>
      <c r="F3" s="255" t="s">
        <v>302</v>
      </c>
      <c r="G3" s="257">
        <v>6.0000000000000001E-3</v>
      </c>
      <c r="H3" s="258">
        <v>168</v>
      </c>
      <c r="I3" s="258">
        <v>1</v>
      </c>
      <c r="J3" s="258">
        <v>0</v>
      </c>
      <c r="K3" s="255" t="s">
        <v>303</v>
      </c>
      <c r="L3" s="259" t="s">
        <v>197</v>
      </c>
      <c r="M3" s="258">
        <v>0</v>
      </c>
      <c r="N3" s="258">
        <v>0</v>
      </c>
      <c r="O3" s="258">
        <v>1</v>
      </c>
      <c r="P3" s="255" t="s">
        <v>224</v>
      </c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8" t="s">
        <v>42</v>
      </c>
      <c r="AG3" s="251"/>
      <c r="AH3" s="251"/>
      <c r="AI3" s="251"/>
      <c r="AJ3" s="251"/>
    </row>
    <row r="4" spans="1:36" x14ac:dyDescent="0.3">
      <c r="A4" s="253" t="s">
        <v>344</v>
      </c>
      <c r="B4" s="254">
        <v>46051</v>
      </c>
      <c r="C4" s="255" t="s">
        <v>469</v>
      </c>
      <c r="D4" s="256" t="s">
        <v>318</v>
      </c>
      <c r="E4" s="255" t="s">
        <v>464</v>
      </c>
      <c r="F4" s="255" t="s">
        <v>302</v>
      </c>
      <c r="G4" s="257">
        <v>1.1900000000000001E-2</v>
      </c>
      <c r="H4" s="258">
        <v>168</v>
      </c>
      <c r="I4" s="258">
        <v>2</v>
      </c>
      <c r="J4" s="258">
        <v>0</v>
      </c>
      <c r="K4" s="255" t="s">
        <v>303</v>
      </c>
      <c r="L4" s="259" t="s">
        <v>99</v>
      </c>
      <c r="M4" s="258">
        <v>0</v>
      </c>
      <c r="N4" s="258">
        <v>0</v>
      </c>
      <c r="O4" s="258">
        <v>2</v>
      </c>
      <c r="P4" s="255" t="s">
        <v>224</v>
      </c>
      <c r="Q4" s="251"/>
      <c r="R4" s="251"/>
      <c r="S4" s="251"/>
      <c r="T4" s="251"/>
      <c r="U4" s="251"/>
      <c r="V4" s="251"/>
      <c r="W4" s="251"/>
      <c r="X4" s="251"/>
      <c r="Y4" s="251"/>
      <c r="Z4" s="258" t="s">
        <v>208</v>
      </c>
      <c r="AA4" s="251"/>
      <c r="AB4" s="251"/>
      <c r="AC4" s="251"/>
      <c r="AD4" s="251"/>
      <c r="AE4" s="251"/>
      <c r="AF4" s="258" t="s">
        <v>42</v>
      </c>
      <c r="AG4" s="251"/>
      <c r="AH4" s="251"/>
      <c r="AI4" s="251"/>
      <c r="AJ4" s="251"/>
    </row>
    <row r="5" spans="1:36" x14ac:dyDescent="0.3">
      <c r="A5" s="253" t="s">
        <v>344</v>
      </c>
      <c r="B5" s="254">
        <v>46051</v>
      </c>
      <c r="C5" s="255" t="s">
        <v>466</v>
      </c>
      <c r="D5" s="256" t="s">
        <v>316</v>
      </c>
      <c r="E5" s="255" t="s">
        <v>464</v>
      </c>
      <c r="F5" s="255" t="s">
        <v>302</v>
      </c>
      <c r="G5" s="257">
        <v>1.1900000000000001E-2</v>
      </c>
      <c r="H5" s="258">
        <v>168</v>
      </c>
      <c r="I5" s="258">
        <v>2</v>
      </c>
      <c r="J5" s="258">
        <v>0</v>
      </c>
      <c r="K5" s="255" t="s">
        <v>303</v>
      </c>
      <c r="L5" s="259" t="s">
        <v>97</v>
      </c>
      <c r="M5" s="258">
        <v>0</v>
      </c>
      <c r="N5" s="258">
        <v>0</v>
      </c>
      <c r="O5" s="258">
        <v>2</v>
      </c>
      <c r="P5" s="255" t="s">
        <v>66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8" t="s">
        <v>66</v>
      </c>
      <c r="AG5" s="251"/>
      <c r="AH5" s="251"/>
      <c r="AI5" s="251"/>
      <c r="AJ5" s="251"/>
    </row>
    <row r="6" spans="1:36" x14ac:dyDescent="0.3">
      <c r="A6" s="253" t="s">
        <v>344</v>
      </c>
      <c r="B6" s="254">
        <v>46051</v>
      </c>
      <c r="C6" s="255" t="s">
        <v>470</v>
      </c>
      <c r="D6" s="256" t="s">
        <v>460</v>
      </c>
      <c r="E6" s="255" t="s">
        <v>464</v>
      </c>
      <c r="F6" s="255" t="s">
        <v>302</v>
      </c>
      <c r="G6" s="257">
        <v>2.3800000000000002E-2</v>
      </c>
      <c r="H6" s="258">
        <v>168</v>
      </c>
      <c r="I6" s="258">
        <v>4</v>
      </c>
      <c r="J6" s="258">
        <v>0</v>
      </c>
      <c r="K6" s="255" t="s">
        <v>303</v>
      </c>
      <c r="L6" s="259" t="s">
        <v>113</v>
      </c>
      <c r="M6" s="258">
        <v>0</v>
      </c>
      <c r="N6" s="258">
        <v>0</v>
      </c>
      <c r="O6" s="258">
        <v>4</v>
      </c>
      <c r="P6" s="255" t="s">
        <v>55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8" t="s">
        <v>230</v>
      </c>
      <c r="AG6" s="251"/>
      <c r="AH6" s="251"/>
      <c r="AI6" s="251"/>
      <c r="AJ6" s="251"/>
    </row>
    <row r="7" spans="1:36" x14ac:dyDescent="0.3">
      <c r="A7" s="253" t="s">
        <v>300</v>
      </c>
      <c r="B7" s="254">
        <v>46052</v>
      </c>
      <c r="C7" s="255" t="s">
        <v>468</v>
      </c>
      <c r="D7" s="256" t="s">
        <v>490</v>
      </c>
      <c r="E7" s="255" t="s">
        <v>464</v>
      </c>
      <c r="F7" s="255" t="s">
        <v>302</v>
      </c>
      <c r="G7" s="257">
        <v>2.98E-2</v>
      </c>
      <c r="H7" s="258">
        <v>168</v>
      </c>
      <c r="I7" s="258">
        <v>5</v>
      </c>
      <c r="J7" s="258">
        <v>0</v>
      </c>
      <c r="K7" s="255" t="s">
        <v>303</v>
      </c>
      <c r="L7" s="259" t="s">
        <v>91</v>
      </c>
      <c r="M7" s="258">
        <v>0</v>
      </c>
      <c r="N7" s="258">
        <v>0</v>
      </c>
      <c r="O7" s="258">
        <v>5</v>
      </c>
      <c r="P7" s="255" t="s">
        <v>42</v>
      </c>
      <c r="Q7" s="251"/>
      <c r="R7" s="251"/>
      <c r="S7" s="251"/>
      <c r="T7" s="251"/>
      <c r="U7" s="251"/>
      <c r="V7" s="251"/>
      <c r="W7" s="251"/>
      <c r="X7" s="258" t="s">
        <v>491</v>
      </c>
      <c r="Y7" s="251"/>
      <c r="Z7" s="251"/>
      <c r="AA7" s="251"/>
      <c r="AB7" s="251"/>
      <c r="AC7" s="251"/>
      <c r="AD7" s="251"/>
      <c r="AE7" s="251"/>
      <c r="AF7" s="258" t="s">
        <v>224</v>
      </c>
      <c r="AG7" s="251"/>
      <c r="AH7" s="251"/>
      <c r="AI7" s="251"/>
      <c r="AJ7" s="251"/>
    </row>
    <row r="8" spans="1:36" x14ac:dyDescent="0.3">
      <c r="A8" s="253" t="s">
        <v>312</v>
      </c>
      <c r="B8" s="254">
        <v>46053</v>
      </c>
      <c r="C8" s="255" t="s">
        <v>468</v>
      </c>
      <c r="D8" s="256" t="s">
        <v>492</v>
      </c>
      <c r="E8" s="255" t="s">
        <v>464</v>
      </c>
      <c r="F8" s="255" t="s">
        <v>302</v>
      </c>
      <c r="G8" s="257">
        <v>2.3800000000000002E-2</v>
      </c>
      <c r="H8" s="258">
        <v>168</v>
      </c>
      <c r="I8" s="258">
        <v>4</v>
      </c>
      <c r="J8" s="258">
        <v>0</v>
      </c>
      <c r="K8" s="255" t="s">
        <v>303</v>
      </c>
      <c r="L8" s="259" t="s">
        <v>97</v>
      </c>
      <c r="M8" s="258">
        <v>0</v>
      </c>
      <c r="N8" s="258">
        <v>0</v>
      </c>
      <c r="O8" s="258">
        <v>4</v>
      </c>
      <c r="P8" s="255" t="s">
        <v>55</v>
      </c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8" t="s">
        <v>230</v>
      </c>
      <c r="AG8" s="251"/>
      <c r="AH8" s="251"/>
      <c r="AI8" s="251"/>
      <c r="AJ8" s="251"/>
    </row>
    <row r="9" spans="1:36" x14ac:dyDescent="0.3">
      <c r="A9" s="253" t="s">
        <v>312</v>
      </c>
      <c r="B9" s="254">
        <v>46053</v>
      </c>
      <c r="C9" s="255" t="s">
        <v>466</v>
      </c>
      <c r="D9" s="256" t="s">
        <v>493</v>
      </c>
      <c r="E9" s="255" t="s">
        <v>464</v>
      </c>
      <c r="F9" s="255" t="s">
        <v>302</v>
      </c>
      <c r="G9" s="257">
        <v>6.0000000000000001E-3</v>
      </c>
      <c r="H9" s="258">
        <v>168</v>
      </c>
      <c r="I9" s="258">
        <v>1</v>
      </c>
      <c r="J9" s="258">
        <v>0</v>
      </c>
      <c r="K9" s="255" t="s">
        <v>303</v>
      </c>
      <c r="L9" s="259" t="s">
        <v>97</v>
      </c>
      <c r="M9" s="258">
        <v>0</v>
      </c>
      <c r="N9" s="258">
        <v>0</v>
      </c>
      <c r="O9" s="258">
        <v>1</v>
      </c>
      <c r="P9" s="255" t="s">
        <v>224</v>
      </c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8" t="s">
        <v>42</v>
      </c>
      <c r="AG9" s="251"/>
      <c r="AH9" s="251"/>
      <c r="AI9" s="251"/>
      <c r="AJ9" s="251"/>
    </row>
    <row r="10" spans="1:36" x14ac:dyDescent="0.3">
      <c r="A10" s="253" t="s">
        <v>312</v>
      </c>
      <c r="B10" s="254">
        <v>46053</v>
      </c>
      <c r="C10" s="255" t="s">
        <v>470</v>
      </c>
      <c r="D10" s="256" t="s">
        <v>451</v>
      </c>
      <c r="E10" s="255" t="s">
        <v>464</v>
      </c>
      <c r="F10" s="255" t="s">
        <v>302</v>
      </c>
      <c r="G10" s="257">
        <v>5.3600000000000002E-2</v>
      </c>
      <c r="H10" s="258">
        <v>168</v>
      </c>
      <c r="I10" s="258">
        <v>9</v>
      </c>
      <c r="J10" s="258">
        <v>0</v>
      </c>
      <c r="K10" s="255" t="s">
        <v>303</v>
      </c>
      <c r="L10" s="259" t="s">
        <v>113</v>
      </c>
      <c r="M10" s="258">
        <v>0</v>
      </c>
      <c r="N10" s="258">
        <v>0</v>
      </c>
      <c r="O10" s="258">
        <v>9</v>
      </c>
      <c r="P10" s="255" t="s">
        <v>114</v>
      </c>
      <c r="Q10" s="251"/>
      <c r="R10" s="251"/>
      <c r="S10" s="251"/>
      <c r="T10" s="251"/>
      <c r="U10" s="251"/>
      <c r="V10" s="251"/>
      <c r="W10" s="251"/>
      <c r="X10" s="251"/>
      <c r="Y10" s="251"/>
      <c r="Z10" s="258" t="s">
        <v>208</v>
      </c>
      <c r="AA10" s="251"/>
      <c r="AB10" s="251"/>
      <c r="AC10" s="251"/>
      <c r="AD10" s="258" t="s">
        <v>89</v>
      </c>
      <c r="AE10" s="258" t="s">
        <v>55</v>
      </c>
      <c r="AF10" s="258" t="s">
        <v>230</v>
      </c>
      <c r="AG10" s="251"/>
      <c r="AH10" s="251"/>
      <c r="AI10" s="251"/>
      <c r="AJ10" s="251"/>
    </row>
    <row r="11" spans="1:36" x14ac:dyDescent="0.3">
      <c r="A11" s="253" t="s">
        <v>317</v>
      </c>
      <c r="B11" s="254">
        <v>46054</v>
      </c>
      <c r="C11" s="255" t="s">
        <v>468</v>
      </c>
      <c r="D11" s="256" t="s">
        <v>494</v>
      </c>
      <c r="E11" s="255" t="s">
        <v>464</v>
      </c>
      <c r="F11" s="255" t="s">
        <v>302</v>
      </c>
      <c r="G11" s="257">
        <v>3.5700000000000003E-2</v>
      </c>
      <c r="H11" s="258">
        <v>168</v>
      </c>
      <c r="I11" s="258">
        <v>6</v>
      </c>
      <c r="J11" s="258">
        <v>0</v>
      </c>
      <c r="K11" s="255" t="s">
        <v>303</v>
      </c>
      <c r="L11" s="259" t="s">
        <v>91</v>
      </c>
      <c r="M11" s="258">
        <v>0</v>
      </c>
      <c r="N11" s="258">
        <v>0</v>
      </c>
      <c r="O11" s="258">
        <v>6</v>
      </c>
      <c r="P11" s="255" t="s">
        <v>127</v>
      </c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8" t="s">
        <v>55</v>
      </c>
      <c r="AF11" s="258" t="s">
        <v>230</v>
      </c>
      <c r="AG11" s="251"/>
      <c r="AH11" s="251"/>
      <c r="AI11" s="251"/>
      <c r="AJ11" s="251"/>
    </row>
    <row r="12" spans="1:36" x14ac:dyDescent="0.3">
      <c r="A12" s="253" t="s">
        <v>317</v>
      </c>
      <c r="B12" s="254">
        <v>46054</v>
      </c>
      <c r="C12" s="255" t="s">
        <v>470</v>
      </c>
      <c r="D12" s="256" t="s">
        <v>495</v>
      </c>
      <c r="E12" s="255" t="s">
        <v>464</v>
      </c>
      <c r="F12" s="255" t="s">
        <v>302</v>
      </c>
      <c r="G12" s="257">
        <v>3.5700000000000003E-2</v>
      </c>
      <c r="H12" s="258">
        <v>168</v>
      </c>
      <c r="I12" s="258">
        <v>6</v>
      </c>
      <c r="J12" s="258">
        <v>0</v>
      </c>
      <c r="K12" s="255" t="s">
        <v>303</v>
      </c>
      <c r="L12" s="259" t="s">
        <v>116</v>
      </c>
      <c r="M12" s="258">
        <v>0</v>
      </c>
      <c r="N12" s="258">
        <v>0</v>
      </c>
      <c r="O12" s="258">
        <v>6</v>
      </c>
      <c r="P12" s="255" t="s">
        <v>127</v>
      </c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8" t="s">
        <v>55</v>
      </c>
      <c r="AF12" s="258" t="s">
        <v>230</v>
      </c>
      <c r="AG12" s="251"/>
      <c r="AH12" s="251"/>
      <c r="AI12" s="251"/>
      <c r="AJ12" s="251"/>
    </row>
    <row r="13" spans="1:36" x14ac:dyDescent="0.3">
      <c r="A13" s="253" t="s">
        <v>323</v>
      </c>
      <c r="B13" s="254">
        <v>46055</v>
      </c>
      <c r="C13" s="255" t="s">
        <v>468</v>
      </c>
      <c r="D13" s="256" t="s">
        <v>346</v>
      </c>
      <c r="E13" s="255" t="s">
        <v>464</v>
      </c>
      <c r="F13" s="255" t="s">
        <v>302</v>
      </c>
      <c r="G13" s="257">
        <v>2.98E-2</v>
      </c>
      <c r="H13" s="258">
        <v>168</v>
      </c>
      <c r="I13" s="258">
        <v>5</v>
      </c>
      <c r="J13" s="258">
        <v>0</v>
      </c>
      <c r="K13" s="255" t="s">
        <v>303</v>
      </c>
      <c r="L13" s="259" t="s">
        <v>97</v>
      </c>
      <c r="M13" s="258">
        <v>0</v>
      </c>
      <c r="N13" s="258">
        <v>0</v>
      </c>
      <c r="O13" s="258">
        <v>5</v>
      </c>
      <c r="P13" s="255" t="s">
        <v>73</v>
      </c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8" t="s">
        <v>73</v>
      </c>
      <c r="AF13" s="258" t="s">
        <v>230</v>
      </c>
      <c r="AG13" s="251"/>
      <c r="AH13" s="251"/>
      <c r="AI13" s="251"/>
      <c r="AJ13" s="251"/>
    </row>
    <row r="14" spans="1:36" x14ac:dyDescent="0.3">
      <c r="A14" s="253" t="s">
        <v>323</v>
      </c>
      <c r="B14" s="254">
        <v>46055</v>
      </c>
      <c r="C14" s="255" t="s">
        <v>470</v>
      </c>
      <c r="D14" s="256" t="s">
        <v>496</v>
      </c>
      <c r="E14" s="255" t="s">
        <v>464</v>
      </c>
      <c r="F14" s="255" t="s">
        <v>302</v>
      </c>
      <c r="G14" s="257">
        <v>5.9499999999999997E-2</v>
      </c>
      <c r="H14" s="258">
        <v>168</v>
      </c>
      <c r="I14" s="258">
        <v>10</v>
      </c>
      <c r="J14" s="258">
        <v>0</v>
      </c>
      <c r="K14" s="255" t="s">
        <v>303</v>
      </c>
      <c r="L14" s="259" t="s">
        <v>129</v>
      </c>
      <c r="M14" s="258">
        <v>0</v>
      </c>
      <c r="N14" s="258">
        <v>0</v>
      </c>
      <c r="O14" s="258">
        <v>10</v>
      </c>
      <c r="P14" s="255" t="s">
        <v>89</v>
      </c>
      <c r="Q14" s="251"/>
      <c r="R14" s="251"/>
      <c r="S14" s="251"/>
      <c r="T14" s="251"/>
      <c r="U14" s="251"/>
      <c r="V14" s="251"/>
      <c r="W14" s="251"/>
      <c r="X14" s="251"/>
      <c r="Y14" s="251"/>
      <c r="Z14" s="258" t="s">
        <v>198</v>
      </c>
      <c r="AA14" s="251"/>
      <c r="AB14" s="251"/>
      <c r="AC14" s="251"/>
      <c r="AD14" s="258" t="s">
        <v>114</v>
      </c>
      <c r="AE14" s="258" t="s">
        <v>55</v>
      </c>
      <c r="AF14" s="258" t="s">
        <v>230</v>
      </c>
      <c r="AG14" s="251"/>
      <c r="AH14" s="251"/>
      <c r="AI14" s="251"/>
      <c r="AJ14" s="251"/>
    </row>
    <row r="15" spans="1:36" x14ac:dyDescent="0.3">
      <c r="A15" s="253" t="s">
        <v>323</v>
      </c>
      <c r="B15" s="254">
        <v>46055</v>
      </c>
      <c r="C15" s="255" t="s">
        <v>469</v>
      </c>
      <c r="D15" s="256" t="s">
        <v>497</v>
      </c>
      <c r="E15" s="255" t="s">
        <v>464</v>
      </c>
      <c r="F15" s="255" t="s">
        <v>302</v>
      </c>
      <c r="G15" s="257">
        <v>2.98E-2</v>
      </c>
      <c r="H15" s="258">
        <v>168</v>
      </c>
      <c r="I15" s="258">
        <v>5</v>
      </c>
      <c r="J15" s="258">
        <v>0</v>
      </c>
      <c r="K15" s="255" t="s">
        <v>303</v>
      </c>
      <c r="L15" s="259" t="s">
        <v>119</v>
      </c>
      <c r="M15" s="258">
        <v>0</v>
      </c>
      <c r="N15" s="258">
        <v>0</v>
      </c>
      <c r="O15" s="258">
        <v>5</v>
      </c>
      <c r="P15" s="255" t="s">
        <v>73</v>
      </c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8" t="s">
        <v>73</v>
      </c>
      <c r="AF15" s="258" t="s">
        <v>230</v>
      </c>
      <c r="AG15" s="251"/>
      <c r="AH15" s="251"/>
      <c r="AI15" s="251"/>
      <c r="AJ15" s="251"/>
    </row>
    <row r="16" spans="1:36" x14ac:dyDescent="0.3">
      <c r="A16" s="253" t="s">
        <v>323</v>
      </c>
      <c r="B16" s="254">
        <v>46055</v>
      </c>
      <c r="C16" s="255" t="s">
        <v>466</v>
      </c>
      <c r="D16" s="256" t="s">
        <v>460</v>
      </c>
      <c r="E16" s="255" t="s">
        <v>464</v>
      </c>
      <c r="F16" s="255" t="s">
        <v>302</v>
      </c>
      <c r="G16" s="257">
        <v>3.5700000000000003E-2</v>
      </c>
      <c r="H16" s="258">
        <v>168</v>
      </c>
      <c r="I16" s="258">
        <v>6</v>
      </c>
      <c r="J16" s="258">
        <v>0</v>
      </c>
      <c r="K16" s="255" t="s">
        <v>303</v>
      </c>
      <c r="L16" s="259" t="s">
        <v>106</v>
      </c>
      <c r="M16" s="258">
        <v>0</v>
      </c>
      <c r="N16" s="258">
        <v>0</v>
      </c>
      <c r="O16" s="258">
        <v>6</v>
      </c>
      <c r="P16" s="255" t="s">
        <v>127</v>
      </c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8" t="s">
        <v>55</v>
      </c>
      <c r="AF16" s="258" t="s">
        <v>230</v>
      </c>
      <c r="AG16" s="251"/>
      <c r="AH16" s="251"/>
      <c r="AI16" s="251"/>
      <c r="AJ16" s="251"/>
    </row>
    <row r="17" spans="1:36" x14ac:dyDescent="0.3">
      <c r="A17" s="253" t="s">
        <v>331</v>
      </c>
      <c r="B17" s="254">
        <v>46056</v>
      </c>
      <c r="C17" s="255" t="s">
        <v>466</v>
      </c>
      <c r="D17" s="256" t="s">
        <v>498</v>
      </c>
      <c r="E17" s="255" t="s">
        <v>464</v>
      </c>
      <c r="F17" s="255" t="s">
        <v>302</v>
      </c>
      <c r="G17" s="257">
        <v>3.5700000000000003E-2</v>
      </c>
      <c r="H17" s="258">
        <v>168</v>
      </c>
      <c r="I17" s="258">
        <v>6</v>
      </c>
      <c r="J17" s="258">
        <v>0</v>
      </c>
      <c r="K17" s="255" t="s">
        <v>303</v>
      </c>
      <c r="L17" s="259" t="s">
        <v>418</v>
      </c>
      <c r="M17" s="258">
        <v>0</v>
      </c>
      <c r="N17" s="258">
        <v>0</v>
      </c>
      <c r="O17" s="258">
        <v>6</v>
      </c>
      <c r="P17" s="255" t="s">
        <v>127</v>
      </c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8" t="s">
        <v>55</v>
      </c>
      <c r="AF17" s="258" t="s">
        <v>230</v>
      </c>
      <c r="AG17" s="251"/>
      <c r="AH17" s="251"/>
      <c r="AI17" s="251"/>
      <c r="AJ17" s="251"/>
    </row>
    <row r="18" spans="1:36" x14ac:dyDescent="0.3">
      <c r="A18" s="253" t="s">
        <v>331</v>
      </c>
      <c r="B18" s="254">
        <v>46056</v>
      </c>
      <c r="C18" s="255" t="s">
        <v>470</v>
      </c>
      <c r="D18" s="256" t="s">
        <v>454</v>
      </c>
      <c r="E18" s="255" t="s">
        <v>464</v>
      </c>
      <c r="F18" s="255" t="s">
        <v>302</v>
      </c>
      <c r="G18" s="257">
        <v>5.9499999999999997E-2</v>
      </c>
      <c r="H18" s="258">
        <v>168</v>
      </c>
      <c r="I18" s="258">
        <v>10</v>
      </c>
      <c r="J18" s="258">
        <v>0</v>
      </c>
      <c r="K18" s="255" t="s">
        <v>303</v>
      </c>
      <c r="L18" s="259" t="s">
        <v>260</v>
      </c>
      <c r="M18" s="258">
        <v>0</v>
      </c>
      <c r="N18" s="258">
        <v>0</v>
      </c>
      <c r="O18" s="258">
        <v>10</v>
      </c>
      <c r="P18" s="255" t="s">
        <v>144</v>
      </c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8" t="s">
        <v>160</v>
      </c>
      <c r="AD18" s="258" t="s">
        <v>127</v>
      </c>
      <c r="AE18" s="258" t="s">
        <v>55</v>
      </c>
      <c r="AF18" s="258" t="s">
        <v>230</v>
      </c>
      <c r="AG18" s="251"/>
      <c r="AH18" s="251"/>
      <c r="AI18" s="251"/>
      <c r="AJ18" s="251"/>
    </row>
    <row r="19" spans="1:36" x14ac:dyDescent="0.3">
      <c r="A19" s="253" t="s">
        <v>340</v>
      </c>
      <c r="B19" s="254">
        <v>46057</v>
      </c>
      <c r="C19" s="255" t="s">
        <v>466</v>
      </c>
      <c r="D19" s="256" t="s">
        <v>489</v>
      </c>
      <c r="E19" s="255" t="s">
        <v>464</v>
      </c>
      <c r="F19" s="255" t="s">
        <v>302</v>
      </c>
      <c r="G19" s="257">
        <v>0</v>
      </c>
      <c r="H19" s="258">
        <v>168</v>
      </c>
      <c r="I19" s="258">
        <v>0</v>
      </c>
      <c r="J19" s="258">
        <v>0</v>
      </c>
      <c r="K19" s="255" t="s">
        <v>303</v>
      </c>
      <c r="L19" s="259" t="s">
        <v>109</v>
      </c>
      <c r="M19" s="258">
        <v>0</v>
      </c>
      <c r="N19" s="258">
        <v>0</v>
      </c>
      <c r="O19" s="258">
        <v>0</v>
      </c>
      <c r="P19" s="255" t="s">
        <v>75</v>
      </c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</row>
    <row r="20" spans="1:36" x14ac:dyDescent="0.3">
      <c r="A20" s="253" t="s">
        <v>340</v>
      </c>
      <c r="B20" s="254">
        <v>46057</v>
      </c>
      <c r="C20" s="255" t="s">
        <v>468</v>
      </c>
      <c r="D20" s="256" t="s">
        <v>456</v>
      </c>
      <c r="E20" s="255" t="s">
        <v>464</v>
      </c>
      <c r="F20" s="255" t="s">
        <v>302</v>
      </c>
      <c r="G20" s="257">
        <v>0</v>
      </c>
      <c r="H20" s="258">
        <v>168</v>
      </c>
      <c r="I20" s="258">
        <v>0</v>
      </c>
      <c r="J20" s="258">
        <v>0</v>
      </c>
      <c r="K20" s="255" t="s">
        <v>303</v>
      </c>
      <c r="L20" s="259" t="s">
        <v>109</v>
      </c>
      <c r="M20" s="258">
        <v>0</v>
      </c>
      <c r="N20" s="258">
        <v>0</v>
      </c>
      <c r="O20" s="258">
        <v>0</v>
      </c>
      <c r="P20" s="255" t="s">
        <v>75</v>
      </c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</row>
    <row r="21" spans="1:36" x14ac:dyDescent="0.3">
      <c r="A21" s="253" t="s">
        <v>344</v>
      </c>
      <c r="B21" s="254">
        <v>46058</v>
      </c>
      <c r="C21" s="255" t="s">
        <v>469</v>
      </c>
      <c r="D21" s="256" t="s">
        <v>318</v>
      </c>
      <c r="E21" s="255" t="s">
        <v>464</v>
      </c>
      <c r="F21" s="255" t="s">
        <v>302</v>
      </c>
      <c r="G21" s="257">
        <v>6.0000000000000001E-3</v>
      </c>
      <c r="H21" s="258">
        <v>168</v>
      </c>
      <c r="I21" s="258">
        <v>1</v>
      </c>
      <c r="J21" s="258">
        <v>0</v>
      </c>
      <c r="K21" s="255" t="s">
        <v>303</v>
      </c>
      <c r="L21" s="259" t="s">
        <v>166</v>
      </c>
      <c r="M21" s="258">
        <v>0</v>
      </c>
      <c r="N21" s="258">
        <v>0</v>
      </c>
      <c r="O21" s="258">
        <v>1</v>
      </c>
      <c r="P21" s="255" t="s">
        <v>75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8" t="s">
        <v>304</v>
      </c>
      <c r="AB21" s="251"/>
      <c r="AC21" s="251"/>
      <c r="AD21" s="251"/>
      <c r="AE21" s="251"/>
      <c r="AF21" s="251"/>
      <c r="AG21" s="251"/>
      <c r="AH21" s="251"/>
      <c r="AI21" s="251"/>
      <c r="AJ21" s="251"/>
    </row>
    <row r="22" spans="1:36" x14ac:dyDescent="0.3">
      <c r="A22" s="253" t="s">
        <v>344</v>
      </c>
      <c r="B22" s="254">
        <v>46058</v>
      </c>
      <c r="C22" s="255" t="s">
        <v>466</v>
      </c>
      <c r="D22" s="256" t="s">
        <v>316</v>
      </c>
      <c r="E22" s="255" t="s">
        <v>464</v>
      </c>
      <c r="F22" s="255" t="s">
        <v>302</v>
      </c>
      <c r="G22" s="257">
        <v>0</v>
      </c>
      <c r="H22" s="258">
        <v>168</v>
      </c>
      <c r="I22" s="258">
        <v>0</v>
      </c>
      <c r="J22" s="258">
        <v>0</v>
      </c>
      <c r="K22" s="255" t="s">
        <v>303</v>
      </c>
      <c r="L22" s="259" t="s">
        <v>109</v>
      </c>
      <c r="M22" s="258">
        <v>0</v>
      </c>
      <c r="N22" s="258">
        <v>0</v>
      </c>
      <c r="O22" s="258">
        <v>0</v>
      </c>
      <c r="P22" s="255" t="s">
        <v>75</v>
      </c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</row>
    <row r="23" spans="1:36" x14ac:dyDescent="0.3">
      <c r="A23" s="253" t="s">
        <v>344</v>
      </c>
      <c r="B23" s="254">
        <v>46058</v>
      </c>
      <c r="C23" s="255" t="s">
        <v>470</v>
      </c>
      <c r="D23" s="256" t="s">
        <v>460</v>
      </c>
      <c r="E23" s="255" t="s">
        <v>464</v>
      </c>
      <c r="F23" s="255" t="s">
        <v>302</v>
      </c>
      <c r="G23" s="257">
        <v>6.0000000000000001E-3</v>
      </c>
      <c r="H23" s="258">
        <v>168</v>
      </c>
      <c r="I23" s="258">
        <v>1</v>
      </c>
      <c r="J23" s="258">
        <v>0</v>
      </c>
      <c r="K23" s="255" t="s">
        <v>303</v>
      </c>
      <c r="L23" s="259" t="s">
        <v>477</v>
      </c>
      <c r="M23" s="258">
        <v>0</v>
      </c>
      <c r="N23" s="258">
        <v>0</v>
      </c>
      <c r="O23" s="258">
        <v>1</v>
      </c>
      <c r="P23" s="255" t="s">
        <v>75</v>
      </c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8" t="s">
        <v>304</v>
      </c>
      <c r="AB23" s="251"/>
      <c r="AC23" s="251"/>
      <c r="AD23" s="251"/>
      <c r="AE23" s="251"/>
      <c r="AF23" s="251"/>
      <c r="AG23" s="251"/>
      <c r="AH23" s="251"/>
      <c r="AI23" s="251"/>
      <c r="AJ23" s="251"/>
    </row>
    <row r="24" spans="1:36" x14ac:dyDescent="0.3">
      <c r="A24" s="253" t="s">
        <v>300</v>
      </c>
      <c r="B24" s="254">
        <v>46059</v>
      </c>
      <c r="C24" s="255" t="s">
        <v>468</v>
      </c>
      <c r="D24" s="256" t="s">
        <v>490</v>
      </c>
      <c r="E24" s="255" t="s">
        <v>464</v>
      </c>
      <c r="F24" s="255" t="s">
        <v>302</v>
      </c>
      <c r="G24" s="257">
        <v>6.0000000000000001E-3</v>
      </c>
      <c r="H24" s="258">
        <v>168</v>
      </c>
      <c r="I24" s="258">
        <v>1</v>
      </c>
      <c r="J24" s="258">
        <v>0</v>
      </c>
      <c r="K24" s="255" t="s">
        <v>303</v>
      </c>
      <c r="L24" s="259" t="s">
        <v>106</v>
      </c>
      <c r="M24" s="258">
        <v>0</v>
      </c>
      <c r="N24" s="258">
        <v>0</v>
      </c>
      <c r="O24" s="258">
        <v>1</v>
      </c>
      <c r="P24" s="255" t="s">
        <v>102</v>
      </c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8" t="s">
        <v>304</v>
      </c>
      <c r="AB24" s="251"/>
      <c r="AC24" s="251"/>
      <c r="AD24" s="251"/>
      <c r="AE24" s="251"/>
      <c r="AF24" s="251"/>
      <c r="AG24" s="251"/>
      <c r="AH24" s="251"/>
      <c r="AI24" s="251"/>
      <c r="AJ24" s="251"/>
    </row>
    <row r="25" spans="1:36" x14ac:dyDescent="0.3">
      <c r="A25" s="253" t="s">
        <v>312</v>
      </c>
      <c r="B25" s="254">
        <v>46060</v>
      </c>
      <c r="C25" s="255" t="s">
        <v>468</v>
      </c>
      <c r="D25" s="256" t="s">
        <v>492</v>
      </c>
      <c r="E25" s="255" t="s">
        <v>464</v>
      </c>
      <c r="F25" s="255" t="s">
        <v>302</v>
      </c>
      <c r="G25" s="257">
        <v>6.0000000000000001E-3</v>
      </c>
      <c r="H25" s="258">
        <v>168</v>
      </c>
      <c r="I25" s="258">
        <v>1</v>
      </c>
      <c r="J25" s="258">
        <v>0</v>
      </c>
      <c r="K25" s="255" t="s">
        <v>303</v>
      </c>
      <c r="L25" s="259" t="s">
        <v>99</v>
      </c>
      <c r="M25" s="258">
        <v>0</v>
      </c>
      <c r="N25" s="258">
        <v>0</v>
      </c>
      <c r="O25" s="258">
        <v>1</v>
      </c>
      <c r="P25" s="255" t="s">
        <v>102</v>
      </c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8" t="s">
        <v>304</v>
      </c>
      <c r="AB25" s="251"/>
      <c r="AC25" s="251"/>
      <c r="AD25" s="251"/>
      <c r="AE25" s="251"/>
      <c r="AF25" s="251"/>
      <c r="AG25" s="251"/>
      <c r="AH25" s="251"/>
      <c r="AI25" s="251"/>
      <c r="AJ25" s="251"/>
    </row>
    <row r="26" spans="1:36" x14ac:dyDescent="0.3">
      <c r="A26" s="253" t="s">
        <v>312</v>
      </c>
      <c r="B26" s="254">
        <v>46060</v>
      </c>
      <c r="C26" s="255" t="s">
        <v>466</v>
      </c>
      <c r="D26" s="256" t="s">
        <v>493</v>
      </c>
      <c r="E26" s="255" t="s">
        <v>464</v>
      </c>
      <c r="F26" s="255" t="s">
        <v>302</v>
      </c>
      <c r="G26" s="257">
        <v>0</v>
      </c>
      <c r="H26" s="258">
        <v>168</v>
      </c>
      <c r="I26" s="258">
        <v>0</v>
      </c>
      <c r="J26" s="258">
        <v>0</v>
      </c>
      <c r="K26" s="255" t="s">
        <v>303</v>
      </c>
      <c r="L26" s="259" t="s">
        <v>109</v>
      </c>
      <c r="M26" s="258">
        <v>0</v>
      </c>
      <c r="N26" s="258">
        <v>0</v>
      </c>
      <c r="O26" s="258">
        <v>0</v>
      </c>
      <c r="P26" s="255" t="s">
        <v>102</v>
      </c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</row>
    <row r="27" spans="1:36" x14ac:dyDescent="0.3">
      <c r="A27" s="253" t="s">
        <v>312</v>
      </c>
      <c r="B27" s="254">
        <v>46060</v>
      </c>
      <c r="C27" s="255" t="s">
        <v>470</v>
      </c>
      <c r="D27" s="256" t="s">
        <v>451</v>
      </c>
      <c r="E27" s="255" t="s">
        <v>464</v>
      </c>
      <c r="F27" s="255" t="s">
        <v>302</v>
      </c>
      <c r="G27" s="257">
        <v>2.3800000000000002E-2</v>
      </c>
      <c r="H27" s="258">
        <v>168</v>
      </c>
      <c r="I27" s="258">
        <v>4</v>
      </c>
      <c r="J27" s="258">
        <v>0</v>
      </c>
      <c r="K27" s="255" t="s">
        <v>303</v>
      </c>
      <c r="L27" s="259" t="s">
        <v>220</v>
      </c>
      <c r="M27" s="258">
        <v>0</v>
      </c>
      <c r="N27" s="258">
        <v>0</v>
      </c>
      <c r="O27" s="258">
        <v>4</v>
      </c>
      <c r="P27" s="255" t="s">
        <v>102</v>
      </c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8" t="s">
        <v>478</v>
      </c>
      <c r="AB27" s="251"/>
      <c r="AC27" s="251"/>
      <c r="AD27" s="251"/>
      <c r="AE27" s="251"/>
      <c r="AF27" s="251"/>
      <c r="AG27" s="251"/>
      <c r="AH27" s="251"/>
      <c r="AI27" s="251"/>
      <c r="AJ27" s="251"/>
    </row>
    <row r="28" spans="1:36" x14ac:dyDescent="0.3">
      <c r="A28" s="253" t="s">
        <v>317</v>
      </c>
      <c r="B28" s="254">
        <v>46061</v>
      </c>
      <c r="C28" s="255" t="s">
        <v>468</v>
      </c>
      <c r="D28" s="256" t="s">
        <v>494</v>
      </c>
      <c r="E28" s="255" t="s">
        <v>464</v>
      </c>
      <c r="F28" s="255" t="s">
        <v>302</v>
      </c>
      <c r="G28" s="257">
        <v>2.3800000000000002E-2</v>
      </c>
      <c r="H28" s="258">
        <v>168</v>
      </c>
      <c r="I28" s="258">
        <v>4</v>
      </c>
      <c r="J28" s="258">
        <v>0</v>
      </c>
      <c r="K28" s="255" t="s">
        <v>303</v>
      </c>
      <c r="L28" s="259" t="s">
        <v>106</v>
      </c>
      <c r="M28" s="258">
        <v>0</v>
      </c>
      <c r="N28" s="258">
        <v>0</v>
      </c>
      <c r="O28" s="258">
        <v>4</v>
      </c>
      <c r="P28" s="255" t="s">
        <v>102</v>
      </c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8" t="s">
        <v>478</v>
      </c>
      <c r="AB28" s="251"/>
      <c r="AC28" s="251"/>
      <c r="AD28" s="251"/>
      <c r="AE28" s="251"/>
      <c r="AF28" s="251"/>
      <c r="AG28" s="251"/>
      <c r="AH28" s="251"/>
      <c r="AI28" s="251"/>
      <c r="AJ28" s="251"/>
    </row>
    <row r="29" spans="1:36" x14ac:dyDescent="0.3">
      <c r="A29" s="253" t="s">
        <v>317</v>
      </c>
      <c r="B29" s="254">
        <v>46061</v>
      </c>
      <c r="C29" s="255" t="s">
        <v>470</v>
      </c>
      <c r="D29" s="256" t="s">
        <v>495</v>
      </c>
      <c r="E29" s="255" t="s">
        <v>464</v>
      </c>
      <c r="F29" s="255" t="s">
        <v>302</v>
      </c>
      <c r="G29" s="257">
        <v>1.1900000000000001E-2</v>
      </c>
      <c r="H29" s="258">
        <v>168</v>
      </c>
      <c r="I29" s="258">
        <v>2</v>
      </c>
      <c r="J29" s="258">
        <v>0</v>
      </c>
      <c r="K29" s="255" t="s">
        <v>303</v>
      </c>
      <c r="L29" s="259" t="s">
        <v>174</v>
      </c>
      <c r="M29" s="258">
        <v>0</v>
      </c>
      <c r="N29" s="258">
        <v>0</v>
      </c>
      <c r="O29" s="258">
        <v>2</v>
      </c>
      <c r="P29" s="255" t="s">
        <v>102</v>
      </c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8" t="s">
        <v>158</v>
      </c>
      <c r="AB29" s="251"/>
      <c r="AC29" s="251"/>
      <c r="AD29" s="251"/>
      <c r="AE29" s="251"/>
      <c r="AF29" s="251"/>
      <c r="AG29" s="251"/>
      <c r="AH29" s="251"/>
      <c r="AI29" s="251"/>
      <c r="AJ29" s="251"/>
    </row>
    <row r="30" spans="1:36" x14ac:dyDescent="0.3">
      <c r="A30" s="253" t="s">
        <v>323</v>
      </c>
      <c r="B30" s="254">
        <v>46062</v>
      </c>
      <c r="C30" s="255" t="s">
        <v>470</v>
      </c>
      <c r="D30" s="256" t="s">
        <v>496</v>
      </c>
      <c r="E30" s="255" t="s">
        <v>464</v>
      </c>
      <c r="F30" s="255" t="s">
        <v>302</v>
      </c>
      <c r="G30" s="257">
        <v>0</v>
      </c>
      <c r="H30" s="258">
        <v>168</v>
      </c>
      <c r="I30" s="258">
        <v>0</v>
      </c>
      <c r="J30" s="258">
        <v>0</v>
      </c>
      <c r="K30" s="255" t="s">
        <v>303</v>
      </c>
      <c r="L30" s="259" t="s">
        <v>109</v>
      </c>
      <c r="M30" s="258">
        <v>0</v>
      </c>
      <c r="N30" s="258">
        <v>0</v>
      </c>
      <c r="O30" s="258">
        <v>0</v>
      </c>
      <c r="P30" s="255" t="s">
        <v>102</v>
      </c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</row>
    <row r="31" spans="1:36" x14ac:dyDescent="0.3">
      <c r="A31" s="253" t="s">
        <v>323</v>
      </c>
      <c r="B31" s="254">
        <v>46062</v>
      </c>
      <c r="C31" s="255" t="s">
        <v>468</v>
      </c>
      <c r="D31" s="256" t="s">
        <v>497</v>
      </c>
      <c r="E31" s="255" t="s">
        <v>464</v>
      </c>
      <c r="F31" s="255" t="s">
        <v>302</v>
      </c>
      <c r="G31" s="257">
        <v>0</v>
      </c>
      <c r="H31" s="258">
        <v>168</v>
      </c>
      <c r="I31" s="258">
        <v>0</v>
      </c>
      <c r="J31" s="258">
        <v>0</v>
      </c>
      <c r="K31" s="255" t="s">
        <v>303</v>
      </c>
      <c r="L31" s="259" t="s">
        <v>109</v>
      </c>
      <c r="M31" s="258">
        <v>0</v>
      </c>
      <c r="N31" s="258">
        <v>0</v>
      </c>
      <c r="O31" s="258">
        <v>0</v>
      </c>
      <c r="P31" s="255" t="s">
        <v>102</v>
      </c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</row>
    <row r="32" spans="1:36" x14ac:dyDescent="0.3">
      <c r="A32" s="253" t="s">
        <v>323</v>
      </c>
      <c r="B32" s="254">
        <v>46062</v>
      </c>
      <c r="C32" s="255" t="s">
        <v>466</v>
      </c>
      <c r="D32" s="256" t="s">
        <v>328</v>
      </c>
      <c r="E32" s="255" t="s">
        <v>464</v>
      </c>
      <c r="F32" s="255" t="s">
        <v>302</v>
      </c>
      <c r="G32" s="257">
        <v>0</v>
      </c>
      <c r="H32" s="258">
        <v>168</v>
      </c>
      <c r="I32" s="258">
        <v>0</v>
      </c>
      <c r="J32" s="258">
        <v>0</v>
      </c>
      <c r="K32" s="255" t="s">
        <v>303</v>
      </c>
      <c r="L32" s="259" t="s">
        <v>109</v>
      </c>
      <c r="M32" s="258">
        <v>0</v>
      </c>
      <c r="N32" s="258">
        <v>0</v>
      </c>
      <c r="O32" s="258">
        <v>0</v>
      </c>
      <c r="P32" s="255" t="s">
        <v>102</v>
      </c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</row>
    <row r="33" spans="1:36" x14ac:dyDescent="0.3">
      <c r="A33" s="253" t="s">
        <v>331</v>
      </c>
      <c r="B33" s="254">
        <v>46063</v>
      </c>
      <c r="C33" s="255" t="s">
        <v>466</v>
      </c>
      <c r="D33" s="256" t="s">
        <v>498</v>
      </c>
      <c r="E33" s="255" t="s">
        <v>464</v>
      </c>
      <c r="F33" s="255" t="s">
        <v>302</v>
      </c>
      <c r="G33" s="257">
        <v>2.98E-2</v>
      </c>
      <c r="H33" s="258">
        <v>168</v>
      </c>
      <c r="I33" s="258">
        <v>5</v>
      </c>
      <c r="J33" s="258">
        <v>0</v>
      </c>
      <c r="K33" s="255" t="s">
        <v>303</v>
      </c>
      <c r="L33" s="259" t="s">
        <v>113</v>
      </c>
      <c r="M33" s="258">
        <v>0</v>
      </c>
      <c r="N33" s="258">
        <v>0</v>
      </c>
      <c r="O33" s="258">
        <v>5</v>
      </c>
      <c r="P33" s="255" t="s">
        <v>142</v>
      </c>
      <c r="Q33" s="251"/>
      <c r="R33" s="251"/>
      <c r="S33" s="251"/>
      <c r="T33" s="251"/>
      <c r="U33" s="251"/>
      <c r="V33" s="251"/>
      <c r="W33" s="258" t="s">
        <v>499</v>
      </c>
      <c r="X33" s="251"/>
      <c r="Y33" s="251"/>
      <c r="Z33" s="251"/>
      <c r="AA33" s="251"/>
      <c r="AB33" s="251"/>
      <c r="AC33" s="258" t="s">
        <v>148</v>
      </c>
      <c r="AD33" s="251"/>
      <c r="AE33" s="251"/>
      <c r="AF33" s="251"/>
      <c r="AG33" s="251"/>
      <c r="AH33" s="251"/>
      <c r="AI33" s="251"/>
      <c r="AJ33" s="251"/>
    </row>
    <row r="34" spans="1:36" x14ac:dyDescent="0.3">
      <c r="A34" s="253" t="s">
        <v>331</v>
      </c>
      <c r="B34" s="254">
        <v>46063</v>
      </c>
      <c r="C34" s="255" t="s">
        <v>470</v>
      </c>
      <c r="D34" s="256" t="s">
        <v>454</v>
      </c>
      <c r="E34" s="255" t="s">
        <v>464</v>
      </c>
      <c r="F34" s="255" t="s">
        <v>302</v>
      </c>
      <c r="G34" s="257">
        <v>0</v>
      </c>
      <c r="H34" s="258">
        <v>168</v>
      </c>
      <c r="I34" s="258">
        <v>0</v>
      </c>
      <c r="J34" s="258">
        <v>0</v>
      </c>
      <c r="K34" s="255" t="s">
        <v>303</v>
      </c>
      <c r="L34" s="259" t="s">
        <v>109</v>
      </c>
      <c r="M34" s="258">
        <v>0</v>
      </c>
      <c r="N34" s="258">
        <v>0</v>
      </c>
      <c r="O34" s="258">
        <v>0</v>
      </c>
      <c r="P34" s="255" t="s">
        <v>102</v>
      </c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</row>
    <row r="35" spans="1:36" x14ac:dyDescent="0.3">
      <c r="A35" s="253" t="s">
        <v>340</v>
      </c>
      <c r="B35" s="254">
        <v>46064</v>
      </c>
      <c r="C35" s="255" t="s">
        <v>466</v>
      </c>
      <c r="D35" s="256" t="s">
        <v>489</v>
      </c>
      <c r="E35" s="255" t="s">
        <v>464</v>
      </c>
      <c r="F35" s="255" t="s">
        <v>302</v>
      </c>
      <c r="G35" s="257">
        <v>0</v>
      </c>
      <c r="H35" s="258">
        <v>168</v>
      </c>
      <c r="I35" s="258">
        <v>0</v>
      </c>
      <c r="J35" s="258">
        <v>0</v>
      </c>
      <c r="K35" s="255" t="s">
        <v>303</v>
      </c>
      <c r="L35" s="259" t="s">
        <v>109</v>
      </c>
      <c r="M35" s="258">
        <v>0</v>
      </c>
      <c r="N35" s="258">
        <v>0</v>
      </c>
      <c r="O35" s="258">
        <v>0</v>
      </c>
      <c r="P35" s="255" t="s">
        <v>102</v>
      </c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</row>
    <row r="36" spans="1:36" x14ac:dyDescent="0.3">
      <c r="A36" s="253" t="s">
        <v>340</v>
      </c>
      <c r="B36" s="254">
        <v>46064</v>
      </c>
      <c r="C36" s="255" t="s">
        <v>468</v>
      </c>
      <c r="D36" s="256" t="s">
        <v>456</v>
      </c>
      <c r="E36" s="255" t="s">
        <v>464</v>
      </c>
      <c r="F36" s="255" t="s">
        <v>302</v>
      </c>
      <c r="G36" s="257">
        <v>1.1900000000000001E-2</v>
      </c>
      <c r="H36" s="258">
        <v>168</v>
      </c>
      <c r="I36" s="258">
        <v>2</v>
      </c>
      <c r="J36" s="258">
        <v>0</v>
      </c>
      <c r="K36" s="255" t="s">
        <v>303</v>
      </c>
      <c r="L36" s="259" t="s">
        <v>106</v>
      </c>
      <c r="M36" s="258">
        <v>0</v>
      </c>
      <c r="N36" s="258">
        <v>0</v>
      </c>
      <c r="O36" s="258">
        <v>2</v>
      </c>
      <c r="P36" s="255" t="s">
        <v>102</v>
      </c>
      <c r="Q36" s="251"/>
      <c r="R36" s="251"/>
      <c r="S36" s="251"/>
      <c r="T36" s="251"/>
      <c r="U36" s="251"/>
      <c r="V36" s="251"/>
      <c r="W36" s="251"/>
      <c r="X36" s="251"/>
      <c r="Y36" s="258" t="s">
        <v>343</v>
      </c>
      <c r="Z36" s="251"/>
      <c r="AA36" s="258" t="s">
        <v>304</v>
      </c>
      <c r="AB36" s="251"/>
      <c r="AC36" s="251"/>
      <c r="AD36" s="251"/>
      <c r="AE36" s="251"/>
      <c r="AF36" s="251"/>
      <c r="AG36" s="251"/>
      <c r="AH36" s="251"/>
      <c r="AI36" s="251"/>
      <c r="AJ36" s="251"/>
    </row>
    <row r="37" spans="1:36" x14ac:dyDescent="0.3">
      <c r="A37" s="253" t="s">
        <v>344</v>
      </c>
      <c r="B37" s="254">
        <v>46065</v>
      </c>
      <c r="C37" s="255" t="s">
        <v>469</v>
      </c>
      <c r="D37" s="256" t="s">
        <v>318</v>
      </c>
      <c r="E37" s="255" t="s">
        <v>464</v>
      </c>
      <c r="F37" s="255" t="s">
        <v>302</v>
      </c>
      <c r="G37" s="257">
        <v>6.0000000000000001E-3</v>
      </c>
      <c r="H37" s="258">
        <v>168</v>
      </c>
      <c r="I37" s="258">
        <v>1</v>
      </c>
      <c r="J37" s="258">
        <v>0</v>
      </c>
      <c r="K37" s="255" t="s">
        <v>303</v>
      </c>
      <c r="L37" s="259" t="s">
        <v>97</v>
      </c>
      <c r="M37" s="258">
        <v>0</v>
      </c>
      <c r="N37" s="258">
        <v>0</v>
      </c>
      <c r="O37" s="258">
        <v>1</v>
      </c>
      <c r="P37" s="255" t="s">
        <v>102</v>
      </c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8" t="s">
        <v>160</v>
      </c>
      <c r="AD37" s="251"/>
      <c r="AE37" s="251"/>
      <c r="AF37" s="251"/>
      <c r="AG37" s="251"/>
      <c r="AH37" s="251"/>
      <c r="AI37" s="251"/>
      <c r="AJ37" s="251"/>
    </row>
    <row r="38" spans="1:36" x14ac:dyDescent="0.3">
      <c r="A38" s="253" t="s">
        <v>344</v>
      </c>
      <c r="B38" s="254">
        <v>46065</v>
      </c>
      <c r="C38" s="255" t="s">
        <v>466</v>
      </c>
      <c r="D38" s="256" t="s">
        <v>316</v>
      </c>
      <c r="E38" s="255" t="s">
        <v>464</v>
      </c>
      <c r="F38" s="255" t="s">
        <v>302</v>
      </c>
      <c r="G38" s="257">
        <v>1.1900000000000001E-2</v>
      </c>
      <c r="H38" s="258">
        <v>168</v>
      </c>
      <c r="I38" s="258">
        <v>2</v>
      </c>
      <c r="J38" s="258">
        <v>0</v>
      </c>
      <c r="K38" s="255" t="s">
        <v>303</v>
      </c>
      <c r="L38" s="259" t="s">
        <v>97</v>
      </c>
      <c r="M38" s="258">
        <v>0</v>
      </c>
      <c r="N38" s="258">
        <v>0</v>
      </c>
      <c r="O38" s="258">
        <v>2</v>
      </c>
      <c r="P38" s="255" t="s">
        <v>102</v>
      </c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8" t="s">
        <v>304</v>
      </c>
      <c r="AB38" s="251"/>
      <c r="AC38" s="258" t="s">
        <v>160</v>
      </c>
      <c r="AD38" s="251"/>
      <c r="AE38" s="251"/>
      <c r="AF38" s="251"/>
      <c r="AG38" s="251"/>
      <c r="AH38" s="251"/>
      <c r="AI38" s="251"/>
      <c r="AJ38" s="251"/>
    </row>
    <row r="39" spans="1:36" x14ac:dyDescent="0.3">
      <c r="A39" s="253" t="s">
        <v>344</v>
      </c>
      <c r="B39" s="254">
        <v>46065</v>
      </c>
      <c r="C39" s="255" t="s">
        <v>470</v>
      </c>
      <c r="D39" s="256" t="s">
        <v>460</v>
      </c>
      <c r="E39" s="255" t="s">
        <v>464</v>
      </c>
      <c r="F39" s="255" t="s">
        <v>302</v>
      </c>
      <c r="G39" s="257">
        <v>0</v>
      </c>
      <c r="H39" s="258">
        <v>168</v>
      </c>
      <c r="I39" s="258">
        <v>0</v>
      </c>
      <c r="J39" s="258">
        <v>0</v>
      </c>
      <c r="K39" s="255" t="s">
        <v>303</v>
      </c>
      <c r="L39" s="259" t="s">
        <v>109</v>
      </c>
      <c r="M39" s="258">
        <v>0</v>
      </c>
      <c r="N39" s="258">
        <v>0</v>
      </c>
      <c r="O39" s="258">
        <v>0</v>
      </c>
      <c r="P39" s="255" t="s">
        <v>102</v>
      </c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</row>
    <row r="40" spans="1:36" x14ac:dyDescent="0.3">
      <c r="A40" s="253" t="s">
        <v>300</v>
      </c>
      <c r="B40" s="254">
        <v>46066</v>
      </c>
      <c r="C40" s="255" t="s">
        <v>468</v>
      </c>
      <c r="D40" s="256" t="s">
        <v>490</v>
      </c>
      <c r="E40" s="255" t="s">
        <v>464</v>
      </c>
      <c r="F40" s="255" t="s">
        <v>302</v>
      </c>
      <c r="G40" s="257">
        <v>6.0000000000000001E-3</v>
      </c>
      <c r="H40" s="258">
        <v>168</v>
      </c>
      <c r="I40" s="258">
        <v>1</v>
      </c>
      <c r="J40" s="258">
        <v>0</v>
      </c>
      <c r="K40" s="255" t="s">
        <v>303</v>
      </c>
      <c r="L40" s="259" t="s">
        <v>110</v>
      </c>
      <c r="M40" s="258">
        <v>0</v>
      </c>
      <c r="N40" s="258">
        <v>0</v>
      </c>
      <c r="O40" s="258">
        <v>1</v>
      </c>
      <c r="P40" s="255" t="s">
        <v>102</v>
      </c>
      <c r="Q40" s="251"/>
      <c r="R40" s="251"/>
      <c r="S40" s="251"/>
      <c r="T40" s="251"/>
      <c r="U40" s="251"/>
      <c r="V40" s="251"/>
      <c r="W40" s="251"/>
      <c r="X40" s="251"/>
      <c r="Y40" s="251"/>
      <c r="Z40" s="258" t="s">
        <v>208</v>
      </c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</row>
    <row r="41" spans="1:36" x14ac:dyDescent="0.3">
      <c r="A41" s="253" t="s">
        <v>312</v>
      </c>
      <c r="B41" s="254">
        <v>46067</v>
      </c>
      <c r="C41" s="255" t="s">
        <v>468</v>
      </c>
      <c r="D41" s="256" t="s">
        <v>492</v>
      </c>
      <c r="E41" s="255" t="s">
        <v>464</v>
      </c>
      <c r="F41" s="255" t="s">
        <v>302</v>
      </c>
      <c r="G41" s="257">
        <v>0</v>
      </c>
      <c r="H41" s="258">
        <v>168</v>
      </c>
      <c r="I41" s="258">
        <v>0</v>
      </c>
      <c r="J41" s="258">
        <v>0</v>
      </c>
      <c r="K41" s="255" t="s">
        <v>303</v>
      </c>
      <c r="L41" s="259" t="s">
        <v>109</v>
      </c>
      <c r="M41" s="258">
        <v>0</v>
      </c>
      <c r="N41" s="258">
        <v>0</v>
      </c>
      <c r="O41" s="258">
        <v>0</v>
      </c>
      <c r="P41" s="255" t="s">
        <v>102</v>
      </c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</row>
    <row r="42" spans="1:36" x14ac:dyDescent="0.3">
      <c r="A42" s="253" t="s">
        <v>312</v>
      </c>
      <c r="B42" s="254">
        <v>46067</v>
      </c>
      <c r="C42" s="255" t="s">
        <v>466</v>
      </c>
      <c r="D42" s="256" t="s">
        <v>493</v>
      </c>
      <c r="E42" s="255" t="s">
        <v>464</v>
      </c>
      <c r="F42" s="255" t="s">
        <v>302</v>
      </c>
      <c r="G42" s="257">
        <v>0</v>
      </c>
      <c r="H42" s="258">
        <v>168</v>
      </c>
      <c r="I42" s="258">
        <v>0</v>
      </c>
      <c r="J42" s="258">
        <v>0</v>
      </c>
      <c r="K42" s="255" t="s">
        <v>303</v>
      </c>
      <c r="L42" s="259" t="s">
        <v>109</v>
      </c>
      <c r="M42" s="258">
        <v>0</v>
      </c>
      <c r="N42" s="258">
        <v>0</v>
      </c>
      <c r="O42" s="258">
        <v>0</v>
      </c>
      <c r="P42" s="255" t="s">
        <v>102</v>
      </c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</row>
    <row r="43" spans="1:36" x14ac:dyDescent="0.3">
      <c r="A43" s="253" t="s">
        <v>312</v>
      </c>
      <c r="B43" s="254">
        <v>46067</v>
      </c>
      <c r="C43" s="255" t="s">
        <v>470</v>
      </c>
      <c r="D43" s="256" t="s">
        <v>451</v>
      </c>
      <c r="E43" s="255" t="s">
        <v>464</v>
      </c>
      <c r="F43" s="255" t="s">
        <v>302</v>
      </c>
      <c r="G43" s="257">
        <v>1.1900000000000001E-2</v>
      </c>
      <c r="H43" s="258">
        <v>168</v>
      </c>
      <c r="I43" s="258">
        <v>2</v>
      </c>
      <c r="J43" s="258">
        <v>0</v>
      </c>
      <c r="K43" s="255" t="s">
        <v>303</v>
      </c>
      <c r="L43" s="259" t="s">
        <v>482</v>
      </c>
      <c r="M43" s="258">
        <v>0</v>
      </c>
      <c r="N43" s="258">
        <v>0</v>
      </c>
      <c r="O43" s="258">
        <v>2</v>
      </c>
      <c r="P43" s="255" t="s">
        <v>102</v>
      </c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8" t="s">
        <v>158</v>
      </c>
      <c r="AB43" s="251"/>
      <c r="AC43" s="251"/>
      <c r="AD43" s="251"/>
      <c r="AE43" s="251"/>
      <c r="AF43" s="251"/>
      <c r="AG43" s="251"/>
      <c r="AH43" s="251"/>
      <c r="AI43" s="251"/>
      <c r="AJ43" s="251"/>
    </row>
    <row r="44" spans="1:36" x14ac:dyDescent="0.3">
      <c r="A44" s="253" t="s">
        <v>317</v>
      </c>
      <c r="B44" s="254">
        <v>46068</v>
      </c>
      <c r="C44" s="255" t="s">
        <v>468</v>
      </c>
      <c r="D44" s="256" t="s">
        <v>494</v>
      </c>
      <c r="E44" s="255" t="s">
        <v>464</v>
      </c>
      <c r="F44" s="255" t="s">
        <v>302</v>
      </c>
      <c r="G44" s="257">
        <v>2.3800000000000002E-2</v>
      </c>
      <c r="H44" s="258">
        <v>168</v>
      </c>
      <c r="I44" s="258">
        <v>4</v>
      </c>
      <c r="J44" s="258">
        <v>0</v>
      </c>
      <c r="K44" s="255" t="s">
        <v>303</v>
      </c>
      <c r="L44" s="259" t="s">
        <v>97</v>
      </c>
      <c r="M44" s="258">
        <v>0</v>
      </c>
      <c r="N44" s="258">
        <v>0</v>
      </c>
      <c r="O44" s="258">
        <v>4</v>
      </c>
      <c r="P44" s="255" t="s">
        <v>102</v>
      </c>
      <c r="Q44" s="251"/>
      <c r="R44" s="251"/>
      <c r="S44" s="251"/>
      <c r="T44" s="251"/>
      <c r="U44" s="251"/>
      <c r="V44" s="251"/>
      <c r="W44" s="251"/>
      <c r="X44" s="251"/>
      <c r="Y44" s="251"/>
      <c r="Z44" s="258" t="s">
        <v>483</v>
      </c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</row>
    <row r="45" spans="1:36" x14ac:dyDescent="0.3">
      <c r="A45" s="253" t="s">
        <v>317</v>
      </c>
      <c r="B45" s="254">
        <v>46068</v>
      </c>
      <c r="C45" s="255" t="s">
        <v>470</v>
      </c>
      <c r="D45" s="256" t="s">
        <v>495</v>
      </c>
      <c r="E45" s="255" t="s">
        <v>464</v>
      </c>
      <c r="F45" s="255" t="s">
        <v>302</v>
      </c>
      <c r="G45" s="257">
        <v>4.1700000000000001E-2</v>
      </c>
      <c r="H45" s="258">
        <v>168</v>
      </c>
      <c r="I45" s="258">
        <v>7</v>
      </c>
      <c r="J45" s="258">
        <v>0</v>
      </c>
      <c r="K45" s="255" t="s">
        <v>303</v>
      </c>
      <c r="L45" s="259" t="s">
        <v>97</v>
      </c>
      <c r="M45" s="258">
        <v>0</v>
      </c>
      <c r="N45" s="258">
        <v>0</v>
      </c>
      <c r="O45" s="258">
        <v>7</v>
      </c>
      <c r="P45" s="255" t="s">
        <v>102</v>
      </c>
      <c r="Q45" s="251"/>
      <c r="R45" s="251"/>
      <c r="S45" s="251"/>
      <c r="T45" s="251"/>
      <c r="U45" s="251"/>
      <c r="V45" s="258" t="s">
        <v>382</v>
      </c>
      <c r="W45" s="251"/>
      <c r="X45" s="251"/>
      <c r="Y45" s="251"/>
      <c r="Z45" s="258" t="s">
        <v>208</v>
      </c>
      <c r="AA45" s="258" t="s">
        <v>488</v>
      </c>
      <c r="AB45" s="251"/>
      <c r="AC45" s="251"/>
      <c r="AD45" s="251"/>
      <c r="AE45" s="251"/>
      <c r="AF45" s="251"/>
      <c r="AG45" s="251"/>
      <c r="AH45" s="251"/>
      <c r="AI45" s="251"/>
      <c r="AJ45" s="251"/>
    </row>
    <row r="46" spans="1:36" x14ac:dyDescent="0.3">
      <c r="A46" s="253" t="s">
        <v>323</v>
      </c>
      <c r="B46" s="254">
        <v>46069</v>
      </c>
      <c r="C46" s="255" t="s">
        <v>468</v>
      </c>
      <c r="D46" s="256" t="s">
        <v>346</v>
      </c>
      <c r="E46" s="255" t="s">
        <v>464</v>
      </c>
      <c r="F46" s="255" t="s">
        <v>302</v>
      </c>
      <c r="G46" s="257">
        <v>6.0000000000000001E-3</v>
      </c>
      <c r="H46" s="258">
        <v>168</v>
      </c>
      <c r="I46" s="258">
        <v>1</v>
      </c>
      <c r="J46" s="258">
        <v>0</v>
      </c>
      <c r="K46" s="255" t="s">
        <v>303</v>
      </c>
      <c r="L46" s="259" t="s">
        <v>129</v>
      </c>
      <c r="M46" s="258">
        <v>0</v>
      </c>
      <c r="N46" s="258">
        <v>0</v>
      </c>
      <c r="O46" s="258">
        <v>1</v>
      </c>
      <c r="P46" s="255" t="s">
        <v>102</v>
      </c>
      <c r="Q46" s="251"/>
      <c r="R46" s="251"/>
      <c r="S46" s="251"/>
      <c r="T46" s="251"/>
      <c r="U46" s="251"/>
      <c r="V46" s="251"/>
      <c r="W46" s="251"/>
      <c r="X46" s="251"/>
      <c r="Y46" s="251"/>
      <c r="Z46" s="258" t="s">
        <v>208</v>
      </c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</row>
    <row r="47" spans="1:36" x14ac:dyDescent="0.3">
      <c r="A47" s="253" t="s">
        <v>323</v>
      </c>
      <c r="B47" s="254">
        <v>46069</v>
      </c>
      <c r="C47" s="255" t="s">
        <v>470</v>
      </c>
      <c r="D47" s="256" t="s">
        <v>496</v>
      </c>
      <c r="E47" s="255" t="s">
        <v>464</v>
      </c>
      <c r="F47" s="255" t="s">
        <v>302</v>
      </c>
      <c r="G47" s="257">
        <v>0</v>
      </c>
      <c r="H47" s="258">
        <v>168</v>
      </c>
      <c r="I47" s="258">
        <v>0</v>
      </c>
      <c r="J47" s="258">
        <v>0</v>
      </c>
      <c r="K47" s="255" t="s">
        <v>303</v>
      </c>
      <c r="L47" s="259" t="s">
        <v>109</v>
      </c>
      <c r="M47" s="258">
        <v>0</v>
      </c>
      <c r="N47" s="258">
        <v>0</v>
      </c>
      <c r="O47" s="258">
        <v>0</v>
      </c>
      <c r="P47" s="255" t="s">
        <v>102</v>
      </c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</row>
    <row r="48" spans="1:36" x14ac:dyDescent="0.3">
      <c r="A48" s="253" t="s">
        <v>323</v>
      </c>
      <c r="B48" s="254">
        <v>46069</v>
      </c>
      <c r="C48" s="255" t="s">
        <v>469</v>
      </c>
      <c r="D48" s="256" t="s">
        <v>497</v>
      </c>
      <c r="E48" s="255" t="s">
        <v>464</v>
      </c>
      <c r="F48" s="255" t="s">
        <v>302</v>
      </c>
      <c r="G48" s="257">
        <v>6.0000000000000001E-3</v>
      </c>
      <c r="H48" s="258">
        <v>168</v>
      </c>
      <c r="I48" s="258">
        <v>1</v>
      </c>
      <c r="J48" s="258">
        <v>0</v>
      </c>
      <c r="K48" s="255" t="s">
        <v>303</v>
      </c>
      <c r="L48" s="259" t="s">
        <v>110</v>
      </c>
      <c r="M48" s="258">
        <v>0</v>
      </c>
      <c r="N48" s="258">
        <v>0</v>
      </c>
      <c r="O48" s="258">
        <v>1</v>
      </c>
      <c r="P48" s="255" t="s">
        <v>102</v>
      </c>
      <c r="Q48" s="251"/>
      <c r="R48" s="251"/>
      <c r="S48" s="251"/>
      <c r="T48" s="251"/>
      <c r="U48" s="251"/>
      <c r="V48" s="251"/>
      <c r="W48" s="251"/>
      <c r="X48" s="251"/>
      <c r="Y48" s="251"/>
      <c r="Z48" s="258" t="s">
        <v>208</v>
      </c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</row>
    <row r="49" spans="1:36" x14ac:dyDescent="0.3">
      <c r="A49" s="253" t="s">
        <v>323</v>
      </c>
      <c r="B49" s="254">
        <v>46069</v>
      </c>
      <c r="C49" s="255" t="s">
        <v>466</v>
      </c>
      <c r="D49" s="256" t="s">
        <v>460</v>
      </c>
      <c r="E49" s="255" t="s">
        <v>464</v>
      </c>
      <c r="F49" s="255" t="s">
        <v>302</v>
      </c>
      <c r="G49" s="257">
        <v>1.1900000000000001E-2</v>
      </c>
      <c r="H49" s="258">
        <v>168</v>
      </c>
      <c r="I49" s="258">
        <v>2</v>
      </c>
      <c r="J49" s="258">
        <v>0</v>
      </c>
      <c r="K49" s="255" t="s">
        <v>303</v>
      </c>
      <c r="L49" s="259" t="s">
        <v>91</v>
      </c>
      <c r="M49" s="258">
        <v>0</v>
      </c>
      <c r="N49" s="258">
        <v>0</v>
      </c>
      <c r="O49" s="258">
        <v>2</v>
      </c>
      <c r="P49" s="255" t="s">
        <v>102</v>
      </c>
      <c r="Q49" s="251"/>
      <c r="R49" s="251"/>
      <c r="S49" s="251"/>
      <c r="T49" s="251"/>
      <c r="U49" s="251"/>
      <c r="V49" s="251"/>
      <c r="W49" s="251"/>
      <c r="X49" s="251"/>
      <c r="Y49" s="251"/>
      <c r="Z49" s="258" t="s">
        <v>152</v>
      </c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</row>
    <row r="50" spans="1:36" x14ac:dyDescent="0.3">
      <c r="A50" s="253" t="s">
        <v>331</v>
      </c>
      <c r="B50" s="254">
        <v>46070</v>
      </c>
      <c r="C50" s="255" t="s">
        <v>466</v>
      </c>
      <c r="D50" s="256" t="s">
        <v>498</v>
      </c>
      <c r="E50" s="255" t="s">
        <v>464</v>
      </c>
      <c r="F50" s="255" t="s">
        <v>302</v>
      </c>
      <c r="G50" s="257">
        <v>6.0000000000000001E-3</v>
      </c>
      <c r="H50" s="258">
        <v>168</v>
      </c>
      <c r="I50" s="258">
        <v>1</v>
      </c>
      <c r="J50" s="258">
        <v>0</v>
      </c>
      <c r="K50" s="255" t="s">
        <v>303</v>
      </c>
      <c r="L50" s="259" t="s">
        <v>91</v>
      </c>
      <c r="M50" s="258">
        <v>0</v>
      </c>
      <c r="N50" s="258">
        <v>0</v>
      </c>
      <c r="O50" s="258">
        <v>1</v>
      </c>
      <c r="P50" s="255" t="s">
        <v>102</v>
      </c>
      <c r="Q50" s="251"/>
      <c r="R50" s="251"/>
      <c r="S50" s="251"/>
      <c r="T50" s="251"/>
      <c r="U50" s="251"/>
      <c r="V50" s="251"/>
      <c r="W50" s="251"/>
      <c r="X50" s="251"/>
      <c r="Y50" s="251"/>
      <c r="Z50" s="258" t="s">
        <v>208</v>
      </c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</row>
    <row r="51" spans="1:36" x14ac:dyDescent="0.3">
      <c r="A51" s="253" t="s">
        <v>331</v>
      </c>
      <c r="B51" s="254">
        <v>46070</v>
      </c>
      <c r="C51" s="255" t="s">
        <v>470</v>
      </c>
      <c r="D51" s="256" t="s">
        <v>454</v>
      </c>
      <c r="E51" s="255" t="s">
        <v>464</v>
      </c>
      <c r="F51" s="255" t="s">
        <v>302</v>
      </c>
      <c r="G51" s="257">
        <v>0</v>
      </c>
      <c r="H51" s="258">
        <v>168</v>
      </c>
      <c r="I51" s="258">
        <v>0</v>
      </c>
      <c r="J51" s="258">
        <v>0</v>
      </c>
      <c r="K51" s="255" t="s">
        <v>303</v>
      </c>
      <c r="L51" s="259" t="s">
        <v>109</v>
      </c>
      <c r="M51" s="258">
        <v>0</v>
      </c>
      <c r="N51" s="258">
        <v>0</v>
      </c>
      <c r="O51" s="258">
        <v>0</v>
      </c>
      <c r="P51" s="255" t="s">
        <v>102</v>
      </c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</row>
    <row r="52" spans="1:36" x14ac:dyDescent="0.3">
      <c r="A52" s="253" t="s">
        <v>340</v>
      </c>
      <c r="B52" s="254">
        <v>46071</v>
      </c>
      <c r="C52" s="255" t="s">
        <v>466</v>
      </c>
      <c r="D52" s="256" t="s">
        <v>489</v>
      </c>
      <c r="E52" s="255" t="s">
        <v>464</v>
      </c>
      <c r="F52" s="255" t="s">
        <v>302</v>
      </c>
      <c r="G52" s="257">
        <v>0</v>
      </c>
      <c r="H52" s="258">
        <v>168</v>
      </c>
      <c r="I52" s="258">
        <v>0</v>
      </c>
      <c r="J52" s="258">
        <v>0</v>
      </c>
      <c r="K52" s="255" t="s">
        <v>303</v>
      </c>
      <c r="L52" s="259" t="s">
        <v>109</v>
      </c>
      <c r="M52" s="258">
        <v>0</v>
      </c>
      <c r="N52" s="258">
        <v>0</v>
      </c>
      <c r="O52" s="258">
        <v>0</v>
      </c>
      <c r="P52" s="255" t="s">
        <v>102</v>
      </c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</row>
    <row r="53" spans="1:36" x14ac:dyDescent="0.3">
      <c r="A53" s="253" t="s">
        <v>340</v>
      </c>
      <c r="B53" s="254">
        <v>46071</v>
      </c>
      <c r="C53" s="255" t="s">
        <v>468</v>
      </c>
      <c r="D53" s="256" t="s">
        <v>456</v>
      </c>
      <c r="E53" s="255" t="s">
        <v>464</v>
      </c>
      <c r="F53" s="255" t="s">
        <v>302</v>
      </c>
      <c r="G53" s="257">
        <v>6.0000000000000001E-3</v>
      </c>
      <c r="H53" s="258">
        <v>168</v>
      </c>
      <c r="I53" s="258">
        <v>1</v>
      </c>
      <c r="J53" s="258">
        <v>0</v>
      </c>
      <c r="K53" s="255" t="s">
        <v>303</v>
      </c>
      <c r="L53" s="259" t="s">
        <v>106</v>
      </c>
      <c r="M53" s="258">
        <v>0</v>
      </c>
      <c r="N53" s="258">
        <v>0</v>
      </c>
      <c r="O53" s="258">
        <v>1</v>
      </c>
      <c r="P53" s="255" t="s">
        <v>102</v>
      </c>
      <c r="Q53" s="251"/>
      <c r="R53" s="251"/>
      <c r="S53" s="251"/>
      <c r="T53" s="251"/>
      <c r="U53" s="251"/>
      <c r="V53" s="251"/>
      <c r="W53" s="251"/>
      <c r="X53" s="251"/>
      <c r="Y53" s="251"/>
      <c r="Z53" s="258" t="s">
        <v>208</v>
      </c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</row>
    <row r="54" spans="1:36" x14ac:dyDescent="0.3">
      <c r="A54" s="253" t="s">
        <v>344</v>
      </c>
      <c r="B54" s="254">
        <v>46072</v>
      </c>
      <c r="C54" s="255" t="s">
        <v>469</v>
      </c>
      <c r="D54" s="256" t="s">
        <v>318</v>
      </c>
      <c r="E54" s="255" t="s">
        <v>464</v>
      </c>
      <c r="F54" s="255" t="s">
        <v>302</v>
      </c>
      <c r="G54" s="257">
        <v>0</v>
      </c>
      <c r="H54" s="258">
        <v>168</v>
      </c>
      <c r="I54" s="258">
        <v>0</v>
      </c>
      <c r="J54" s="258">
        <v>0</v>
      </c>
      <c r="K54" s="255" t="s">
        <v>303</v>
      </c>
      <c r="L54" s="259" t="s">
        <v>109</v>
      </c>
      <c r="M54" s="258">
        <v>0</v>
      </c>
      <c r="N54" s="258">
        <v>0</v>
      </c>
      <c r="O54" s="258">
        <v>0</v>
      </c>
      <c r="P54" s="255" t="s">
        <v>102</v>
      </c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</row>
    <row r="55" spans="1:36" x14ac:dyDescent="0.3">
      <c r="A55" s="253" t="s">
        <v>344</v>
      </c>
      <c r="B55" s="254">
        <v>46072</v>
      </c>
      <c r="C55" s="255" t="s">
        <v>466</v>
      </c>
      <c r="D55" s="256" t="s">
        <v>316</v>
      </c>
      <c r="E55" s="255" t="s">
        <v>464</v>
      </c>
      <c r="F55" s="255" t="s">
        <v>302</v>
      </c>
      <c r="G55" s="257">
        <v>0</v>
      </c>
      <c r="H55" s="258">
        <v>168</v>
      </c>
      <c r="I55" s="258">
        <v>0</v>
      </c>
      <c r="J55" s="258">
        <v>0</v>
      </c>
      <c r="K55" s="255" t="s">
        <v>303</v>
      </c>
      <c r="L55" s="259" t="s">
        <v>109</v>
      </c>
      <c r="M55" s="258">
        <v>0</v>
      </c>
      <c r="N55" s="258">
        <v>0</v>
      </c>
      <c r="O55" s="258">
        <v>0</v>
      </c>
      <c r="P55" s="255" t="s">
        <v>102</v>
      </c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</row>
    <row r="56" spans="1:36" x14ac:dyDescent="0.3">
      <c r="A56" s="253" t="s">
        <v>344</v>
      </c>
      <c r="B56" s="254">
        <v>46072</v>
      </c>
      <c r="C56" s="255" t="s">
        <v>470</v>
      </c>
      <c r="D56" s="256" t="s">
        <v>460</v>
      </c>
      <c r="E56" s="255" t="s">
        <v>464</v>
      </c>
      <c r="F56" s="255" t="s">
        <v>302</v>
      </c>
      <c r="G56" s="257">
        <v>6.0000000000000001E-3</v>
      </c>
      <c r="H56" s="258">
        <v>168</v>
      </c>
      <c r="I56" s="258">
        <v>1</v>
      </c>
      <c r="J56" s="258">
        <v>0</v>
      </c>
      <c r="K56" s="255" t="s">
        <v>303</v>
      </c>
      <c r="L56" s="259" t="s">
        <v>485</v>
      </c>
      <c r="M56" s="258">
        <v>0</v>
      </c>
      <c r="N56" s="258">
        <v>0</v>
      </c>
      <c r="O56" s="258">
        <v>1</v>
      </c>
      <c r="P56" s="255" t="s">
        <v>102</v>
      </c>
      <c r="Q56" s="251"/>
      <c r="R56" s="251"/>
      <c r="S56" s="251"/>
      <c r="T56" s="251"/>
      <c r="U56" s="251"/>
      <c r="V56" s="251"/>
      <c r="W56" s="251"/>
      <c r="X56" s="251"/>
      <c r="Y56" s="251"/>
      <c r="Z56" s="258" t="s">
        <v>208</v>
      </c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</row>
    <row r="57" spans="1:36" x14ac:dyDescent="0.3">
      <c r="A57" s="253" t="s">
        <v>300</v>
      </c>
      <c r="B57" s="254">
        <v>46073</v>
      </c>
      <c r="C57" s="255" t="s">
        <v>468</v>
      </c>
      <c r="D57" s="256" t="s">
        <v>490</v>
      </c>
      <c r="E57" s="255" t="s">
        <v>464</v>
      </c>
      <c r="F57" s="255" t="s">
        <v>302</v>
      </c>
      <c r="G57" s="257">
        <v>6.0000000000000001E-3</v>
      </c>
      <c r="H57" s="258">
        <v>168</v>
      </c>
      <c r="I57" s="258">
        <v>1</v>
      </c>
      <c r="J57" s="258">
        <v>0</v>
      </c>
      <c r="K57" s="255" t="s">
        <v>303</v>
      </c>
      <c r="L57" s="259" t="s">
        <v>94</v>
      </c>
      <c r="M57" s="258">
        <v>0</v>
      </c>
      <c r="N57" s="258">
        <v>0</v>
      </c>
      <c r="O57" s="258">
        <v>1</v>
      </c>
      <c r="P57" s="255" t="s">
        <v>102</v>
      </c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8" t="s">
        <v>160</v>
      </c>
      <c r="AD57" s="251"/>
      <c r="AE57" s="251"/>
      <c r="AF57" s="251"/>
      <c r="AG57" s="251"/>
      <c r="AH57" s="251"/>
      <c r="AI57" s="251"/>
      <c r="AJ57" s="251"/>
    </row>
    <row r="58" spans="1:36" x14ac:dyDescent="0.3">
      <c r="A58" s="253" t="s">
        <v>312</v>
      </c>
      <c r="B58" s="254">
        <v>46074</v>
      </c>
      <c r="C58" s="255" t="s">
        <v>468</v>
      </c>
      <c r="D58" s="256" t="s">
        <v>492</v>
      </c>
      <c r="E58" s="255" t="s">
        <v>464</v>
      </c>
      <c r="F58" s="255" t="s">
        <v>302</v>
      </c>
      <c r="G58" s="257">
        <v>0</v>
      </c>
      <c r="H58" s="258">
        <v>168</v>
      </c>
      <c r="I58" s="258">
        <v>0</v>
      </c>
      <c r="J58" s="258">
        <v>0</v>
      </c>
      <c r="K58" s="255" t="s">
        <v>303</v>
      </c>
      <c r="L58" s="259" t="s">
        <v>109</v>
      </c>
      <c r="M58" s="258">
        <v>0</v>
      </c>
      <c r="N58" s="258">
        <v>0</v>
      </c>
      <c r="O58" s="258">
        <v>0</v>
      </c>
      <c r="P58" s="255" t="s">
        <v>102</v>
      </c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</row>
    <row r="59" spans="1:36" x14ac:dyDescent="0.3">
      <c r="A59" s="253" t="s">
        <v>312</v>
      </c>
      <c r="B59" s="254">
        <v>46074</v>
      </c>
      <c r="C59" s="255" t="s">
        <v>466</v>
      </c>
      <c r="D59" s="256" t="s">
        <v>493</v>
      </c>
      <c r="E59" s="255" t="s">
        <v>464</v>
      </c>
      <c r="F59" s="255" t="s">
        <v>302</v>
      </c>
      <c r="G59" s="257">
        <v>0</v>
      </c>
      <c r="H59" s="258">
        <v>168</v>
      </c>
      <c r="I59" s="258">
        <v>0</v>
      </c>
      <c r="J59" s="258">
        <v>0</v>
      </c>
      <c r="K59" s="255" t="s">
        <v>303</v>
      </c>
      <c r="L59" s="259" t="s">
        <v>109</v>
      </c>
      <c r="M59" s="258">
        <v>0</v>
      </c>
      <c r="N59" s="258">
        <v>0</v>
      </c>
      <c r="O59" s="258">
        <v>0</v>
      </c>
      <c r="P59" s="255" t="s">
        <v>102</v>
      </c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</row>
    <row r="60" spans="1:36" x14ac:dyDescent="0.3">
      <c r="A60" s="253" t="s">
        <v>312</v>
      </c>
      <c r="B60" s="254">
        <v>46074</v>
      </c>
      <c r="C60" s="255" t="s">
        <v>470</v>
      </c>
      <c r="D60" s="256" t="s">
        <v>451</v>
      </c>
      <c r="E60" s="255" t="s">
        <v>464</v>
      </c>
      <c r="F60" s="255" t="s">
        <v>302</v>
      </c>
      <c r="G60" s="257">
        <v>0</v>
      </c>
      <c r="H60" s="258">
        <v>168</v>
      </c>
      <c r="I60" s="258">
        <v>0</v>
      </c>
      <c r="J60" s="258">
        <v>0</v>
      </c>
      <c r="K60" s="255" t="s">
        <v>303</v>
      </c>
      <c r="L60" s="259" t="s">
        <v>109</v>
      </c>
      <c r="M60" s="258">
        <v>0</v>
      </c>
      <c r="N60" s="258">
        <v>0</v>
      </c>
      <c r="O60" s="258">
        <v>0</v>
      </c>
      <c r="P60" s="255" t="s">
        <v>102</v>
      </c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</row>
    <row r="61" spans="1:36" x14ac:dyDescent="0.3">
      <c r="A61" s="253" t="s">
        <v>317</v>
      </c>
      <c r="B61" s="254">
        <v>46075</v>
      </c>
      <c r="C61" s="255" t="s">
        <v>468</v>
      </c>
      <c r="D61" s="256" t="s">
        <v>494</v>
      </c>
      <c r="E61" s="255" t="s">
        <v>464</v>
      </c>
      <c r="F61" s="255" t="s">
        <v>302</v>
      </c>
      <c r="G61" s="257">
        <v>6.0000000000000001E-3</v>
      </c>
      <c r="H61" s="258">
        <v>168</v>
      </c>
      <c r="I61" s="258">
        <v>1</v>
      </c>
      <c r="J61" s="258">
        <v>0</v>
      </c>
      <c r="K61" s="255" t="s">
        <v>303</v>
      </c>
      <c r="L61" s="259" t="s">
        <v>443</v>
      </c>
      <c r="M61" s="258">
        <v>0</v>
      </c>
      <c r="N61" s="258">
        <v>0</v>
      </c>
      <c r="O61" s="258">
        <v>1</v>
      </c>
      <c r="P61" s="255" t="s">
        <v>102</v>
      </c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8" t="s">
        <v>304</v>
      </c>
      <c r="AB61" s="251"/>
      <c r="AC61" s="251"/>
      <c r="AD61" s="251"/>
      <c r="AE61" s="251"/>
      <c r="AF61" s="251"/>
      <c r="AG61" s="251"/>
      <c r="AH61" s="251"/>
      <c r="AI61" s="251"/>
      <c r="AJ61" s="251"/>
    </row>
    <row r="62" spans="1:36" x14ac:dyDescent="0.3">
      <c r="A62" s="253" t="s">
        <v>317</v>
      </c>
      <c r="B62" s="254">
        <v>46075</v>
      </c>
      <c r="C62" s="255" t="s">
        <v>470</v>
      </c>
      <c r="D62" s="256" t="s">
        <v>495</v>
      </c>
      <c r="E62" s="255" t="s">
        <v>464</v>
      </c>
      <c r="F62" s="255" t="s">
        <v>302</v>
      </c>
      <c r="G62" s="257">
        <v>1.1900000000000001E-2</v>
      </c>
      <c r="H62" s="258">
        <v>168</v>
      </c>
      <c r="I62" s="258">
        <v>2</v>
      </c>
      <c r="J62" s="258">
        <v>0</v>
      </c>
      <c r="K62" s="255" t="s">
        <v>303</v>
      </c>
      <c r="L62" s="259" t="s">
        <v>486</v>
      </c>
      <c r="M62" s="258">
        <v>0</v>
      </c>
      <c r="N62" s="258">
        <v>0</v>
      </c>
      <c r="O62" s="258">
        <v>2</v>
      </c>
      <c r="P62" s="255" t="s">
        <v>102</v>
      </c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8" t="s">
        <v>158</v>
      </c>
      <c r="AB62" s="251"/>
      <c r="AC62" s="251"/>
      <c r="AD62" s="251"/>
      <c r="AE62" s="251"/>
      <c r="AF62" s="251"/>
      <c r="AG62" s="251"/>
      <c r="AH62" s="251"/>
      <c r="AI62" s="251"/>
      <c r="AJ62" s="251"/>
    </row>
    <row r="63" spans="1:36" x14ac:dyDescent="0.3">
      <c r="A63" s="253" t="s">
        <v>323</v>
      </c>
      <c r="B63" s="254">
        <v>46076</v>
      </c>
      <c r="C63" s="255" t="s">
        <v>470</v>
      </c>
      <c r="D63" s="256" t="s">
        <v>496</v>
      </c>
      <c r="E63" s="255" t="s">
        <v>464</v>
      </c>
      <c r="F63" s="255" t="s">
        <v>302</v>
      </c>
      <c r="G63" s="257">
        <v>1.1900000000000001E-2</v>
      </c>
      <c r="H63" s="258">
        <v>168</v>
      </c>
      <c r="I63" s="258">
        <v>2</v>
      </c>
      <c r="J63" s="258">
        <v>0</v>
      </c>
      <c r="K63" s="255" t="s">
        <v>303</v>
      </c>
      <c r="L63" s="259" t="s">
        <v>113</v>
      </c>
      <c r="M63" s="258">
        <v>0</v>
      </c>
      <c r="N63" s="258">
        <v>0</v>
      </c>
      <c r="O63" s="258">
        <v>2</v>
      </c>
      <c r="P63" s="255" t="s">
        <v>102</v>
      </c>
      <c r="Q63" s="251"/>
      <c r="R63" s="251"/>
      <c r="S63" s="251"/>
      <c r="T63" s="251"/>
      <c r="U63" s="251"/>
      <c r="V63" s="251"/>
      <c r="W63" s="251"/>
      <c r="X63" s="251"/>
      <c r="Y63" s="251"/>
      <c r="Z63" s="258" t="s">
        <v>208</v>
      </c>
      <c r="AA63" s="251"/>
      <c r="AB63" s="251"/>
      <c r="AC63" s="258" t="s">
        <v>160</v>
      </c>
      <c r="AD63" s="251"/>
      <c r="AE63" s="251"/>
      <c r="AF63" s="251"/>
      <c r="AG63" s="251"/>
      <c r="AH63" s="251"/>
      <c r="AI63" s="251"/>
      <c r="AJ63" s="251"/>
    </row>
    <row r="64" spans="1:36" x14ac:dyDescent="0.3">
      <c r="A64" s="253" t="s">
        <v>323</v>
      </c>
      <c r="B64" s="254">
        <v>46076</v>
      </c>
      <c r="C64" s="255" t="s">
        <v>468</v>
      </c>
      <c r="D64" s="256" t="s">
        <v>497</v>
      </c>
      <c r="E64" s="255" t="s">
        <v>464</v>
      </c>
      <c r="F64" s="255" t="s">
        <v>302</v>
      </c>
      <c r="G64" s="257">
        <v>1.7899999999999999E-2</v>
      </c>
      <c r="H64" s="258">
        <v>168</v>
      </c>
      <c r="I64" s="258">
        <v>3</v>
      </c>
      <c r="J64" s="258">
        <v>0</v>
      </c>
      <c r="K64" s="255" t="s">
        <v>303</v>
      </c>
      <c r="L64" s="259" t="s">
        <v>106</v>
      </c>
      <c r="M64" s="258">
        <v>0</v>
      </c>
      <c r="N64" s="258">
        <v>0</v>
      </c>
      <c r="O64" s="258">
        <v>3</v>
      </c>
      <c r="P64" s="255" t="s">
        <v>102</v>
      </c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8" t="s">
        <v>330</v>
      </c>
      <c r="AB64" s="251"/>
      <c r="AC64" s="251"/>
      <c r="AD64" s="251"/>
      <c r="AE64" s="251"/>
      <c r="AF64" s="251"/>
      <c r="AG64" s="251"/>
      <c r="AH64" s="251"/>
      <c r="AI64" s="251"/>
      <c r="AJ64" s="251"/>
    </row>
    <row r="65" spans="1:36" x14ac:dyDescent="0.3">
      <c r="A65" s="253" t="s">
        <v>323</v>
      </c>
      <c r="B65" s="254">
        <v>46076</v>
      </c>
      <c r="C65" s="255" t="s">
        <v>466</v>
      </c>
      <c r="D65" s="256" t="s">
        <v>328</v>
      </c>
      <c r="E65" s="255" t="s">
        <v>464</v>
      </c>
      <c r="F65" s="255" t="s">
        <v>302</v>
      </c>
      <c r="G65" s="257">
        <v>0</v>
      </c>
      <c r="H65" s="258">
        <v>168</v>
      </c>
      <c r="I65" s="258">
        <v>0</v>
      </c>
      <c r="J65" s="258">
        <v>0</v>
      </c>
      <c r="K65" s="255" t="s">
        <v>303</v>
      </c>
      <c r="L65" s="259" t="s">
        <v>109</v>
      </c>
      <c r="M65" s="258">
        <v>0</v>
      </c>
      <c r="N65" s="258">
        <v>0</v>
      </c>
      <c r="O65" s="258">
        <v>0</v>
      </c>
      <c r="P65" s="255" t="s">
        <v>102</v>
      </c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</row>
    <row r="66" spans="1:36" x14ac:dyDescent="0.3">
      <c r="A66" s="253" t="s">
        <v>331</v>
      </c>
      <c r="B66" s="254">
        <v>46077</v>
      </c>
      <c r="C66" s="255" t="s">
        <v>466</v>
      </c>
      <c r="D66" s="256" t="s">
        <v>498</v>
      </c>
      <c r="E66" s="255" t="s">
        <v>464</v>
      </c>
      <c r="F66" s="255" t="s">
        <v>302</v>
      </c>
      <c r="G66" s="257">
        <v>0</v>
      </c>
      <c r="H66" s="258">
        <v>168</v>
      </c>
      <c r="I66" s="258">
        <v>0</v>
      </c>
      <c r="J66" s="258">
        <v>0</v>
      </c>
      <c r="K66" s="255" t="s">
        <v>303</v>
      </c>
      <c r="L66" s="259" t="s">
        <v>109</v>
      </c>
      <c r="M66" s="258">
        <v>0</v>
      </c>
      <c r="N66" s="258">
        <v>0</v>
      </c>
      <c r="O66" s="258">
        <v>0</v>
      </c>
      <c r="P66" s="255" t="s">
        <v>102</v>
      </c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</row>
    <row r="67" spans="1:36" x14ac:dyDescent="0.3">
      <c r="A67" s="253" t="s">
        <v>331</v>
      </c>
      <c r="B67" s="254">
        <v>46077</v>
      </c>
      <c r="C67" s="255" t="s">
        <v>470</v>
      </c>
      <c r="D67" s="256" t="s">
        <v>454</v>
      </c>
      <c r="E67" s="255" t="s">
        <v>464</v>
      </c>
      <c r="F67" s="255" t="s">
        <v>302</v>
      </c>
      <c r="G67" s="257">
        <v>1.1900000000000001E-2</v>
      </c>
      <c r="H67" s="258">
        <v>168</v>
      </c>
      <c r="I67" s="258">
        <v>2</v>
      </c>
      <c r="J67" s="258">
        <v>0</v>
      </c>
      <c r="K67" s="255" t="s">
        <v>303</v>
      </c>
      <c r="L67" s="259" t="s">
        <v>94</v>
      </c>
      <c r="M67" s="258">
        <v>0</v>
      </c>
      <c r="N67" s="258">
        <v>0</v>
      </c>
      <c r="O67" s="258">
        <v>2</v>
      </c>
      <c r="P67" s="255" t="s">
        <v>102</v>
      </c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8" t="s">
        <v>304</v>
      </c>
      <c r="AB67" s="251"/>
      <c r="AC67" s="258" t="s">
        <v>160</v>
      </c>
      <c r="AD67" s="251"/>
      <c r="AE67" s="251"/>
      <c r="AF67" s="251"/>
      <c r="AG67" s="251"/>
      <c r="AH67" s="251"/>
      <c r="AI67" s="251"/>
      <c r="AJ67" s="251"/>
    </row>
    <row r="68" spans="1:36" x14ac:dyDescent="0.3">
      <c r="A68" s="253" t="s">
        <v>340</v>
      </c>
      <c r="B68" s="254">
        <v>46078</v>
      </c>
      <c r="C68" s="255" t="s">
        <v>466</v>
      </c>
      <c r="D68" s="256" t="s">
        <v>489</v>
      </c>
      <c r="E68" s="255" t="s">
        <v>464</v>
      </c>
      <c r="F68" s="255" t="s">
        <v>302</v>
      </c>
      <c r="G68" s="257">
        <v>0</v>
      </c>
      <c r="H68" s="258">
        <v>168</v>
      </c>
      <c r="I68" s="258">
        <v>0</v>
      </c>
      <c r="J68" s="258">
        <v>0</v>
      </c>
      <c r="K68" s="255" t="s">
        <v>303</v>
      </c>
      <c r="L68" s="259" t="s">
        <v>109</v>
      </c>
      <c r="M68" s="258">
        <v>0</v>
      </c>
      <c r="N68" s="258">
        <v>0</v>
      </c>
      <c r="O68" s="258">
        <v>0</v>
      </c>
      <c r="P68" s="255" t="s">
        <v>75</v>
      </c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</row>
    <row r="69" spans="1:36" x14ac:dyDescent="0.3">
      <c r="A69" s="253" t="s">
        <v>340</v>
      </c>
      <c r="B69" s="254">
        <v>46078</v>
      </c>
      <c r="C69" s="255" t="s">
        <v>468</v>
      </c>
      <c r="D69" s="256" t="s">
        <v>456</v>
      </c>
      <c r="E69" s="255" t="s">
        <v>464</v>
      </c>
      <c r="F69" s="255" t="s">
        <v>302</v>
      </c>
      <c r="G69" s="257">
        <v>6.0000000000000001E-3</v>
      </c>
      <c r="H69" s="258">
        <v>168</v>
      </c>
      <c r="I69" s="258">
        <v>1</v>
      </c>
      <c r="J69" s="258">
        <v>0</v>
      </c>
      <c r="K69" s="255" t="s">
        <v>303</v>
      </c>
      <c r="L69" s="259" t="s">
        <v>206</v>
      </c>
      <c r="M69" s="258">
        <v>0</v>
      </c>
      <c r="N69" s="258">
        <v>0</v>
      </c>
      <c r="O69" s="258">
        <v>1</v>
      </c>
      <c r="P69" s="255" t="s">
        <v>75</v>
      </c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8" t="s">
        <v>304</v>
      </c>
      <c r="AB69" s="251"/>
      <c r="AC69" s="251"/>
      <c r="AD69" s="251"/>
      <c r="AE69" s="251"/>
      <c r="AF69" s="251"/>
      <c r="AG69" s="251"/>
      <c r="AH69" s="251"/>
      <c r="AI69" s="251"/>
      <c r="AJ69" s="251"/>
    </row>
    <row r="70" spans="1:36" x14ac:dyDescent="0.3">
      <c r="A70" s="253" t="s">
        <v>344</v>
      </c>
      <c r="B70" s="254">
        <v>46079</v>
      </c>
      <c r="C70" s="255" t="s">
        <v>469</v>
      </c>
      <c r="D70" s="256" t="s">
        <v>318</v>
      </c>
      <c r="E70" s="255" t="s">
        <v>464</v>
      </c>
      <c r="F70" s="255" t="s">
        <v>302</v>
      </c>
      <c r="G70" s="257">
        <v>0</v>
      </c>
      <c r="H70" s="258">
        <v>168</v>
      </c>
      <c r="I70" s="258">
        <v>0</v>
      </c>
      <c r="J70" s="258">
        <v>0</v>
      </c>
      <c r="K70" s="255" t="s">
        <v>303</v>
      </c>
      <c r="L70" s="259" t="s">
        <v>109</v>
      </c>
      <c r="M70" s="258">
        <v>0</v>
      </c>
      <c r="N70" s="258">
        <v>0</v>
      </c>
      <c r="O70" s="258">
        <v>0</v>
      </c>
      <c r="P70" s="255" t="s">
        <v>75</v>
      </c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</row>
    <row r="71" spans="1:36" x14ac:dyDescent="0.3">
      <c r="A71" s="253" t="s">
        <v>344</v>
      </c>
      <c r="B71" s="254">
        <v>46079</v>
      </c>
      <c r="C71" s="255" t="s">
        <v>466</v>
      </c>
      <c r="D71" s="256" t="s">
        <v>316</v>
      </c>
      <c r="E71" s="255" t="s">
        <v>464</v>
      </c>
      <c r="F71" s="255" t="s">
        <v>302</v>
      </c>
      <c r="G71" s="257">
        <v>0</v>
      </c>
      <c r="H71" s="258">
        <v>168</v>
      </c>
      <c r="I71" s="258">
        <v>0</v>
      </c>
      <c r="J71" s="258">
        <v>0</v>
      </c>
      <c r="K71" s="255" t="s">
        <v>303</v>
      </c>
      <c r="L71" s="259" t="s">
        <v>109</v>
      </c>
      <c r="M71" s="258">
        <v>0</v>
      </c>
      <c r="N71" s="258">
        <v>0</v>
      </c>
      <c r="O71" s="258">
        <v>0</v>
      </c>
      <c r="P71" s="255" t="s">
        <v>75</v>
      </c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</row>
    <row r="72" spans="1:36" x14ac:dyDescent="0.3">
      <c r="A72" s="253" t="s">
        <v>344</v>
      </c>
      <c r="B72" s="254">
        <v>46079</v>
      </c>
      <c r="C72" s="255" t="s">
        <v>470</v>
      </c>
      <c r="D72" s="256" t="s">
        <v>460</v>
      </c>
      <c r="E72" s="255" t="s">
        <v>464</v>
      </c>
      <c r="F72" s="255" t="s">
        <v>302</v>
      </c>
      <c r="G72" s="257">
        <v>6.0000000000000001E-3</v>
      </c>
      <c r="H72" s="258">
        <v>168</v>
      </c>
      <c r="I72" s="258">
        <v>1</v>
      </c>
      <c r="J72" s="258">
        <v>0</v>
      </c>
      <c r="K72" s="255" t="s">
        <v>303</v>
      </c>
      <c r="L72" s="259" t="s">
        <v>99</v>
      </c>
      <c r="M72" s="258">
        <v>0</v>
      </c>
      <c r="N72" s="258">
        <v>0</v>
      </c>
      <c r="O72" s="258">
        <v>1</v>
      </c>
      <c r="P72" s="255" t="s">
        <v>75</v>
      </c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8" t="s">
        <v>304</v>
      </c>
      <c r="AB72" s="251"/>
      <c r="AC72" s="251"/>
      <c r="AD72" s="251"/>
      <c r="AE72" s="251"/>
      <c r="AF72" s="251"/>
      <c r="AG72" s="251"/>
      <c r="AH72" s="251"/>
      <c r="AI72" s="251"/>
      <c r="AJ72" s="251"/>
    </row>
    <row r="73" spans="1:36" x14ac:dyDescent="0.3">
      <c r="A73" s="253" t="s">
        <v>300</v>
      </c>
      <c r="B73" s="254">
        <v>46080</v>
      </c>
      <c r="C73" s="255" t="s">
        <v>468</v>
      </c>
      <c r="D73" s="256" t="s">
        <v>490</v>
      </c>
      <c r="E73" s="255" t="s">
        <v>464</v>
      </c>
      <c r="F73" s="255" t="s">
        <v>302</v>
      </c>
      <c r="G73" s="257">
        <v>0</v>
      </c>
      <c r="H73" s="258">
        <v>168</v>
      </c>
      <c r="I73" s="258">
        <v>0</v>
      </c>
      <c r="J73" s="258">
        <v>0</v>
      </c>
      <c r="K73" s="255" t="s">
        <v>303</v>
      </c>
      <c r="L73" s="259" t="s">
        <v>109</v>
      </c>
      <c r="M73" s="258">
        <v>0</v>
      </c>
      <c r="N73" s="258">
        <v>0</v>
      </c>
      <c r="O73" s="258">
        <v>0</v>
      </c>
      <c r="P73" s="255" t="s">
        <v>75</v>
      </c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</row>
    <row r="74" spans="1:36" x14ac:dyDescent="0.3">
      <c r="A74" s="253" t="s">
        <v>312</v>
      </c>
      <c r="B74" s="254">
        <v>46081</v>
      </c>
      <c r="C74" s="255" t="s">
        <v>468</v>
      </c>
      <c r="D74" s="256" t="s">
        <v>492</v>
      </c>
      <c r="E74" s="255" t="s">
        <v>464</v>
      </c>
      <c r="F74" s="255" t="s">
        <v>302</v>
      </c>
      <c r="G74" s="257">
        <v>2.98E-2</v>
      </c>
      <c r="H74" s="258">
        <v>168</v>
      </c>
      <c r="I74" s="258">
        <v>5</v>
      </c>
      <c r="J74" s="258">
        <v>0</v>
      </c>
      <c r="K74" s="255" t="s">
        <v>303</v>
      </c>
      <c r="L74" s="259" t="s">
        <v>217</v>
      </c>
      <c r="M74" s="258">
        <v>0</v>
      </c>
      <c r="N74" s="258">
        <v>0</v>
      </c>
      <c r="O74" s="258">
        <v>5</v>
      </c>
      <c r="P74" s="255" t="s">
        <v>75</v>
      </c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8" t="s">
        <v>488</v>
      </c>
      <c r="AB74" s="251"/>
      <c r="AC74" s="251"/>
      <c r="AD74" s="251"/>
      <c r="AE74" s="251"/>
      <c r="AF74" s="251"/>
      <c r="AG74" s="251"/>
      <c r="AH74" s="251"/>
      <c r="AI74" s="251"/>
      <c r="AJ74" s="251"/>
    </row>
    <row r="75" spans="1:36" x14ac:dyDescent="0.3">
      <c r="A75" s="253" t="s">
        <v>312</v>
      </c>
      <c r="B75" s="254">
        <v>46081</v>
      </c>
      <c r="C75" s="255" t="s">
        <v>466</v>
      </c>
      <c r="D75" s="256" t="s">
        <v>493</v>
      </c>
      <c r="E75" s="255" t="s">
        <v>464</v>
      </c>
      <c r="F75" s="255" t="s">
        <v>302</v>
      </c>
      <c r="G75" s="257">
        <v>2.3800000000000002E-2</v>
      </c>
      <c r="H75" s="258">
        <v>168</v>
      </c>
      <c r="I75" s="258">
        <v>4</v>
      </c>
      <c r="J75" s="258">
        <v>0</v>
      </c>
      <c r="K75" s="255" t="s">
        <v>303</v>
      </c>
      <c r="L75" s="259" t="s">
        <v>197</v>
      </c>
      <c r="M75" s="258">
        <v>0</v>
      </c>
      <c r="N75" s="258">
        <v>0</v>
      </c>
      <c r="O75" s="258">
        <v>4</v>
      </c>
      <c r="P75" s="255" t="s">
        <v>75</v>
      </c>
      <c r="Q75" s="251"/>
      <c r="R75" s="251"/>
      <c r="S75" s="251"/>
      <c r="T75" s="251"/>
      <c r="U75" s="251"/>
      <c r="V75" s="251"/>
      <c r="W75" s="251"/>
      <c r="X75" s="251"/>
      <c r="Y75" s="251"/>
      <c r="Z75" s="258" t="s">
        <v>483</v>
      </c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</row>
    <row r="76" spans="1:36" x14ac:dyDescent="0.3">
      <c r="A76" s="253" t="s">
        <v>312</v>
      </c>
      <c r="B76" s="254">
        <v>46081</v>
      </c>
      <c r="C76" s="255" t="s">
        <v>470</v>
      </c>
      <c r="D76" s="256" t="s">
        <v>451</v>
      </c>
      <c r="E76" s="255" t="s">
        <v>464</v>
      </c>
      <c r="F76" s="255" t="s">
        <v>302</v>
      </c>
      <c r="G76" s="257">
        <v>0</v>
      </c>
      <c r="H76" s="258">
        <v>168</v>
      </c>
      <c r="I76" s="258">
        <v>0</v>
      </c>
      <c r="J76" s="258">
        <v>0</v>
      </c>
      <c r="K76" s="255" t="s">
        <v>303</v>
      </c>
      <c r="L76" s="259" t="s">
        <v>109</v>
      </c>
      <c r="M76" s="258">
        <v>0</v>
      </c>
      <c r="N76" s="258">
        <v>0</v>
      </c>
      <c r="O76" s="258">
        <v>0</v>
      </c>
      <c r="P76" s="255" t="s">
        <v>75</v>
      </c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</row>
    <row r="77" spans="1:36" x14ac:dyDescent="0.3">
      <c r="A77" s="253" t="s">
        <v>317</v>
      </c>
      <c r="B77" s="254">
        <v>46082</v>
      </c>
      <c r="C77" s="255" t="s">
        <v>468</v>
      </c>
      <c r="D77" s="256" t="s">
        <v>494</v>
      </c>
      <c r="E77" s="255" t="s">
        <v>464</v>
      </c>
      <c r="F77" s="255" t="s">
        <v>302</v>
      </c>
      <c r="G77" s="257">
        <v>0</v>
      </c>
      <c r="H77" s="258">
        <v>168</v>
      </c>
      <c r="I77" s="258">
        <v>0</v>
      </c>
      <c r="J77" s="258">
        <v>0</v>
      </c>
      <c r="K77" s="255" t="s">
        <v>303</v>
      </c>
      <c r="L77" s="259" t="s">
        <v>109</v>
      </c>
      <c r="M77" s="258">
        <v>0</v>
      </c>
      <c r="N77" s="258">
        <v>0</v>
      </c>
      <c r="O77" s="258">
        <v>0</v>
      </c>
      <c r="P77" s="255" t="s">
        <v>102</v>
      </c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</row>
    <row r="78" spans="1:36" x14ac:dyDescent="0.3">
      <c r="A78" s="253" t="s">
        <v>317</v>
      </c>
      <c r="B78" s="254">
        <v>46082</v>
      </c>
      <c r="C78" s="255" t="s">
        <v>470</v>
      </c>
      <c r="D78" s="256" t="s">
        <v>495</v>
      </c>
      <c r="E78" s="255" t="s">
        <v>464</v>
      </c>
      <c r="F78" s="255" t="s">
        <v>302</v>
      </c>
      <c r="G78" s="257">
        <v>2.3800000000000002E-2</v>
      </c>
      <c r="H78" s="258">
        <v>168</v>
      </c>
      <c r="I78" s="258">
        <v>4</v>
      </c>
      <c r="J78" s="258">
        <v>0</v>
      </c>
      <c r="K78" s="255" t="s">
        <v>303</v>
      </c>
      <c r="L78" s="259" t="s">
        <v>220</v>
      </c>
      <c r="M78" s="258">
        <v>0</v>
      </c>
      <c r="N78" s="258">
        <v>0</v>
      </c>
      <c r="O78" s="258">
        <v>4</v>
      </c>
      <c r="P78" s="255" t="s">
        <v>102</v>
      </c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8" t="s">
        <v>148</v>
      </c>
      <c r="AD78" s="251"/>
      <c r="AE78" s="251"/>
      <c r="AF78" s="251"/>
      <c r="AG78" s="251"/>
      <c r="AH78" s="251"/>
      <c r="AI78" s="251"/>
      <c r="AJ78" s="251"/>
    </row>
    <row r="79" spans="1:36" ht="21" x14ac:dyDescent="0.3">
      <c r="A79" s="260" t="s">
        <v>515</v>
      </c>
      <c r="B79" s="261"/>
      <c r="C79" s="260">
        <f>SUBTOTAL(103,JED_ATZ_LF_LEGACY[Flt])</f>
        <v>77</v>
      </c>
      <c r="D79" s="260"/>
      <c r="E79" s="260">
        <f>SUBTOTAL(103,JED_ATZ_LF_LEGACY[Brd-Off])</f>
        <v>77</v>
      </c>
      <c r="F79" s="260"/>
      <c r="G79" s="262">
        <f>SUBTOTAL(101,JED_ATZ_LF_LEGACY[LF%])</f>
        <v>1.1993506493506501E-2</v>
      </c>
      <c r="H79" s="263">
        <f>SUBTOTAL(109,JED_ATZ_LF_LEGACY[CAP])</f>
        <v>12936</v>
      </c>
      <c r="I79" s="263">
        <f>SUBTOTAL(109,JED_ATZ_LF_LEGACY[BKG(Y)])</f>
        <v>155</v>
      </c>
      <c r="J79" s="263">
        <f>SUBTOTAL(109,JED_ATZ_LF_LEGACY[GRP(Y)])</f>
        <v>0</v>
      </c>
      <c r="K79" s="260"/>
      <c r="L79" s="261"/>
      <c r="M79" s="263">
        <f>SUBTOTAL(109,JED_ATZ_LF_LEGACY[TO-DAY])</f>
        <v>0</v>
      </c>
      <c r="N79" s="263">
        <f>SUBTOTAL(109,JED_ATZ_LF_LEGACY[Y-DAY])</f>
        <v>0</v>
      </c>
      <c r="O79" s="263">
        <f>SUBTOTAL(109,JED_ATZ_LF_LEGACY[WEEKLY])</f>
        <v>155</v>
      </c>
      <c r="P79" s="264"/>
      <c r="Q79" s="263">
        <f>SUBTOTAL(109,JED_ATZ_LF_LEGACY[Y])</f>
        <v>0</v>
      </c>
      <c r="R79" s="263">
        <f>SUBTOTAL(109,JED_ATZ_LF_LEGACY[B])</f>
        <v>0</v>
      </c>
      <c r="S79" s="263">
        <f>SUBTOTAL(109,JED_ATZ_LF_LEGACY[M])</f>
        <v>0</v>
      </c>
      <c r="T79" s="263">
        <f>SUBTOTAL(109,JED_ATZ_LF_LEGACY[H])</f>
        <v>0</v>
      </c>
      <c r="U79" s="263">
        <f>SUBTOTAL(109,JED_ATZ_LF_LEGACY[Q])</f>
        <v>0</v>
      </c>
      <c r="V79" s="263">
        <f>SUBTOTAL(109,JED_ATZ_LF_LEGACY[K])</f>
        <v>0</v>
      </c>
      <c r="W79" s="263">
        <f>SUBTOTAL(109,JED_ATZ_LF_LEGACY[V])</f>
        <v>0</v>
      </c>
      <c r="X79" s="263">
        <f>SUBTOTAL(109,JED_ATZ_LF_LEGACY[L])</f>
        <v>0</v>
      </c>
      <c r="Y79" s="263">
        <f>SUBTOTAL(109,JED_ATZ_LF_LEGACY[G])</f>
        <v>0</v>
      </c>
      <c r="Z79" s="263">
        <f>SUBTOTAL(109,JED_ATZ_LF_LEGACY[S])</f>
        <v>0</v>
      </c>
      <c r="AA79" s="263">
        <f>SUBTOTAL(109,JED_ATZ_LF_LEGACY[W])</f>
        <v>0</v>
      </c>
      <c r="AB79" s="263">
        <f>SUBTOTAL(109,JED_ATZ_LF_LEGACY[T])</f>
        <v>0</v>
      </c>
      <c r="AC79" s="263">
        <f>SUBTOTAL(109,JED_ATZ_LF_LEGACY[X])</f>
        <v>0</v>
      </c>
      <c r="AD79" s="263">
        <f>SUBTOTAL(109,JED_ATZ_LF_LEGACY[U])</f>
        <v>0</v>
      </c>
      <c r="AE79" s="263">
        <f>SUBTOTAL(109,JED_ATZ_LF_LEGACY[O])</f>
        <v>0</v>
      </c>
      <c r="AF79" s="263">
        <f>SUBTOTAL(109,JED_ATZ_LF_LEGACY[I])</f>
        <v>0</v>
      </c>
      <c r="AG79" s="263">
        <f>SUBTOTAL(109,JED_ATZ_LF_LEGACY[E])</f>
        <v>0</v>
      </c>
      <c r="AH79" s="263">
        <f>SUBTOTAL(109,JED_ATZ_LF_LEGACY[A])</f>
        <v>0</v>
      </c>
      <c r="AI79" s="263">
        <f>SUBTOTAL(109,JED_ATZ_LF_LEGACY[P])</f>
        <v>0</v>
      </c>
      <c r="AJ79" s="263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3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332031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500</v>
      </c>
      <c r="G1" s="2" t="s">
        <v>2</v>
      </c>
      <c r="H1" s="237" t="s">
        <v>465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45984.112364792891</v>
      </c>
      <c r="H2" s="238"/>
      <c r="I2" s="238"/>
      <c r="J2" s="238"/>
      <c r="K2" s="247">
        <v>45984.112364793473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0" t="s">
        <v>8</v>
      </c>
      <c r="B4" s="234"/>
      <c r="C4" s="234"/>
      <c r="D4" s="234"/>
      <c r="E4" s="234"/>
      <c r="F4" s="235"/>
      <c r="G4" s="4">
        <v>46056</v>
      </c>
      <c r="H4" s="248" t="s">
        <v>9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6" t="s">
        <v>28</v>
      </c>
      <c r="B6" s="76" t="s">
        <v>501</v>
      </c>
      <c r="C6" s="77">
        <v>0.1145833333333333</v>
      </c>
      <c r="D6" s="76" t="s">
        <v>30</v>
      </c>
      <c r="E6" s="78"/>
      <c r="F6" s="76" t="s">
        <v>57</v>
      </c>
      <c r="G6" s="240"/>
      <c r="H6" s="79" t="s">
        <v>501</v>
      </c>
      <c r="I6" s="80">
        <v>0</v>
      </c>
      <c r="J6" s="81">
        <v>0</v>
      </c>
      <c r="K6" s="82" t="s">
        <v>109</v>
      </c>
      <c r="L6" s="81">
        <v>0</v>
      </c>
      <c r="M6" s="81">
        <v>0</v>
      </c>
      <c r="N6" s="81">
        <v>0</v>
      </c>
      <c r="O6" s="83" t="s">
        <v>58</v>
      </c>
      <c r="P6" s="84">
        <v>0.1145833333333333</v>
      </c>
      <c r="Q6" s="81">
        <v>168</v>
      </c>
      <c r="R6" s="85" t="s">
        <v>109</v>
      </c>
    </row>
    <row r="7" spans="1:92" ht="49.95" customHeight="1" x14ac:dyDescent="0.3">
      <c r="A7" s="143" t="s">
        <v>28</v>
      </c>
      <c r="B7" s="143" t="s">
        <v>502</v>
      </c>
      <c r="C7" s="144">
        <v>0.41666666666666669</v>
      </c>
      <c r="D7" s="143" t="s">
        <v>30</v>
      </c>
      <c r="E7" s="145"/>
      <c r="F7" s="143" t="s">
        <v>57</v>
      </c>
      <c r="G7" s="241"/>
      <c r="H7" s="146" t="s">
        <v>502</v>
      </c>
      <c r="I7" s="147">
        <v>0</v>
      </c>
      <c r="J7" s="148">
        <v>0</v>
      </c>
      <c r="K7" s="149" t="s">
        <v>109</v>
      </c>
      <c r="L7" s="148">
        <v>0</v>
      </c>
      <c r="M7" s="148">
        <v>0</v>
      </c>
      <c r="N7" s="148">
        <v>0</v>
      </c>
      <c r="O7" s="150" t="s">
        <v>58</v>
      </c>
      <c r="P7" s="151">
        <v>0.41666666666666669</v>
      </c>
      <c r="Q7" s="148">
        <v>168</v>
      </c>
      <c r="R7" s="152" t="s">
        <v>109</v>
      </c>
    </row>
    <row r="8" spans="1:92" ht="49.95" customHeight="1" x14ac:dyDescent="0.3">
      <c r="A8" s="86" t="s">
        <v>28</v>
      </c>
      <c r="B8" s="86" t="s">
        <v>503</v>
      </c>
      <c r="C8" s="87">
        <v>0.6875</v>
      </c>
      <c r="D8" s="86" t="s">
        <v>30</v>
      </c>
      <c r="E8" s="88"/>
      <c r="F8" s="86" t="s">
        <v>57</v>
      </c>
      <c r="G8" s="241"/>
      <c r="H8" s="11" t="s">
        <v>503</v>
      </c>
      <c r="I8" s="12">
        <v>0</v>
      </c>
      <c r="J8" s="13">
        <v>0</v>
      </c>
      <c r="K8" s="14" t="s">
        <v>109</v>
      </c>
      <c r="L8" s="13">
        <v>0</v>
      </c>
      <c r="M8" s="13">
        <v>0</v>
      </c>
      <c r="N8" s="13">
        <v>0</v>
      </c>
      <c r="O8" s="15" t="s">
        <v>58</v>
      </c>
      <c r="P8" s="16">
        <v>0.6875</v>
      </c>
      <c r="Q8" s="13">
        <v>168</v>
      </c>
      <c r="R8" s="17" t="s">
        <v>109</v>
      </c>
    </row>
    <row r="9" spans="1:92" ht="49.95" customHeight="1" thickBot="1" x14ac:dyDescent="0.35">
      <c r="A9" s="161" t="s">
        <v>28</v>
      </c>
      <c r="B9" s="161" t="s">
        <v>504</v>
      </c>
      <c r="C9" s="162">
        <v>0.79166666666666663</v>
      </c>
      <c r="D9" s="161" t="s">
        <v>30</v>
      </c>
      <c r="E9" s="163"/>
      <c r="F9" s="161" t="s">
        <v>57</v>
      </c>
      <c r="G9" s="242"/>
      <c r="H9" s="164" t="s">
        <v>504</v>
      </c>
      <c r="I9" s="224">
        <v>0</v>
      </c>
      <c r="J9" s="166">
        <v>0</v>
      </c>
      <c r="K9" s="167" t="s">
        <v>109</v>
      </c>
      <c r="L9" s="166">
        <v>0</v>
      </c>
      <c r="M9" s="166">
        <v>0</v>
      </c>
      <c r="N9" s="166">
        <v>0</v>
      </c>
      <c r="O9" s="168" t="s">
        <v>58</v>
      </c>
      <c r="P9" s="169">
        <v>0.79166666666666663</v>
      </c>
      <c r="Q9" s="166">
        <v>168</v>
      </c>
      <c r="R9" s="170" t="s">
        <v>109</v>
      </c>
    </row>
    <row r="10" spans="1:92" ht="17.399999999999999" customHeight="1" thickBot="1" x14ac:dyDescent="0.35">
      <c r="A10" s="265"/>
      <c r="B10" s="266"/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7"/>
    </row>
    <row r="11" spans="1:92" ht="22.05" customHeight="1" thickTop="1" thickBot="1" x14ac:dyDescent="0.35">
      <c r="A11" s="236" t="s">
        <v>8</v>
      </c>
      <c r="B11" s="234"/>
      <c r="C11" s="234"/>
      <c r="D11" s="234"/>
      <c r="E11" s="234"/>
      <c r="F11" s="235"/>
      <c r="G11" s="68">
        <v>46063</v>
      </c>
      <c r="H11" s="233" t="s">
        <v>9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4" customHeight="1" x14ac:dyDescent="0.3">
      <c r="A12" s="69" t="s">
        <v>10</v>
      </c>
      <c r="B12" s="69" t="s">
        <v>11</v>
      </c>
      <c r="C12" s="70" t="s">
        <v>12</v>
      </c>
      <c r="D12" s="69" t="s">
        <v>13</v>
      </c>
      <c r="E12" s="69" t="s">
        <v>14</v>
      </c>
      <c r="F12" s="71" t="s">
        <v>15</v>
      </c>
      <c r="G12" s="72" t="s">
        <v>16</v>
      </c>
      <c r="H12" s="69" t="s">
        <v>17</v>
      </c>
      <c r="I12" s="73" t="s">
        <v>18</v>
      </c>
      <c r="J12" s="74" t="s">
        <v>19</v>
      </c>
      <c r="K12" s="75" t="s">
        <v>20</v>
      </c>
      <c r="L12" s="74" t="s">
        <v>21</v>
      </c>
      <c r="M12" s="74" t="s">
        <v>22</v>
      </c>
      <c r="N12" s="74" t="s">
        <v>23</v>
      </c>
      <c r="O12" s="69" t="s">
        <v>24</v>
      </c>
      <c r="P12" s="70" t="s">
        <v>25</v>
      </c>
      <c r="Q12" s="74" t="s">
        <v>26</v>
      </c>
      <c r="R12" s="69" t="s">
        <v>27</v>
      </c>
    </row>
    <row r="13" spans="1:92" ht="49.95" customHeight="1" x14ac:dyDescent="0.3">
      <c r="A13" s="122" t="s">
        <v>28</v>
      </c>
      <c r="B13" s="122" t="s">
        <v>501</v>
      </c>
      <c r="C13" s="123">
        <v>0.1145833333333333</v>
      </c>
      <c r="D13" s="122" t="s">
        <v>30</v>
      </c>
      <c r="E13" s="124"/>
      <c r="F13" s="122" t="s">
        <v>57</v>
      </c>
      <c r="G13" s="243"/>
      <c r="H13" s="41" t="s">
        <v>501</v>
      </c>
      <c r="I13" s="42">
        <v>0</v>
      </c>
      <c r="J13" s="43">
        <v>0</v>
      </c>
      <c r="K13" s="44" t="s">
        <v>109</v>
      </c>
      <c r="L13" s="43">
        <v>0</v>
      </c>
      <c r="M13" s="43">
        <v>0</v>
      </c>
      <c r="N13" s="43">
        <v>0</v>
      </c>
      <c r="O13" s="45" t="s">
        <v>58</v>
      </c>
      <c r="P13" s="46">
        <v>0.1145833333333333</v>
      </c>
      <c r="Q13" s="43">
        <v>168</v>
      </c>
      <c r="R13" s="47" t="s">
        <v>109</v>
      </c>
    </row>
    <row r="14" spans="1:92" ht="49.95" customHeight="1" x14ac:dyDescent="0.3">
      <c r="A14" s="18" t="s">
        <v>28</v>
      </c>
      <c r="B14" s="18" t="s">
        <v>502</v>
      </c>
      <c r="C14" s="19">
        <v>0.34375</v>
      </c>
      <c r="D14" s="18" t="s">
        <v>30</v>
      </c>
      <c r="E14" s="20"/>
      <c r="F14" s="18" t="s">
        <v>57</v>
      </c>
      <c r="G14" s="241"/>
      <c r="H14" s="21" t="s">
        <v>502</v>
      </c>
      <c r="I14" s="22">
        <v>0</v>
      </c>
      <c r="J14" s="23">
        <v>0</v>
      </c>
      <c r="K14" s="24" t="s">
        <v>109</v>
      </c>
      <c r="L14" s="23">
        <v>0</v>
      </c>
      <c r="M14" s="23">
        <v>0</v>
      </c>
      <c r="N14" s="23">
        <v>0</v>
      </c>
      <c r="O14" s="25" t="s">
        <v>58</v>
      </c>
      <c r="P14" s="26">
        <v>0.34375</v>
      </c>
      <c r="Q14" s="23">
        <v>168</v>
      </c>
      <c r="R14" s="27" t="s">
        <v>109</v>
      </c>
    </row>
    <row r="15" spans="1:92" ht="49.95" customHeight="1" x14ac:dyDescent="0.3">
      <c r="A15" s="86" t="s">
        <v>28</v>
      </c>
      <c r="B15" s="86" t="s">
        <v>503</v>
      </c>
      <c r="C15" s="87">
        <v>0.6875</v>
      </c>
      <c r="D15" s="86" t="s">
        <v>30</v>
      </c>
      <c r="E15" s="88"/>
      <c r="F15" s="86" t="s">
        <v>57</v>
      </c>
      <c r="G15" s="241"/>
      <c r="H15" s="11" t="s">
        <v>503</v>
      </c>
      <c r="I15" s="12">
        <v>0</v>
      </c>
      <c r="J15" s="13">
        <v>0</v>
      </c>
      <c r="K15" s="14" t="s">
        <v>109</v>
      </c>
      <c r="L15" s="13">
        <v>0</v>
      </c>
      <c r="M15" s="13">
        <v>0</v>
      </c>
      <c r="N15" s="13">
        <v>0</v>
      </c>
      <c r="O15" s="15" t="s">
        <v>58</v>
      </c>
      <c r="P15" s="16">
        <v>0.6875</v>
      </c>
      <c r="Q15" s="13">
        <v>168</v>
      </c>
      <c r="R15" s="17" t="s">
        <v>109</v>
      </c>
    </row>
    <row r="16" spans="1:92" ht="49.95" customHeight="1" thickBot="1" x14ac:dyDescent="0.35">
      <c r="A16" s="171" t="s">
        <v>28</v>
      </c>
      <c r="B16" s="171" t="s">
        <v>504</v>
      </c>
      <c r="C16" s="172">
        <v>0.78125</v>
      </c>
      <c r="D16" s="171" t="s">
        <v>30</v>
      </c>
      <c r="E16" s="173"/>
      <c r="F16" s="171" t="s">
        <v>57</v>
      </c>
      <c r="G16" s="242"/>
      <c r="H16" s="174" t="s">
        <v>504</v>
      </c>
      <c r="I16" s="175">
        <v>0</v>
      </c>
      <c r="J16" s="176">
        <v>0</v>
      </c>
      <c r="K16" s="177" t="s">
        <v>109</v>
      </c>
      <c r="L16" s="176">
        <v>0</v>
      </c>
      <c r="M16" s="176">
        <v>0</v>
      </c>
      <c r="N16" s="176">
        <v>0</v>
      </c>
      <c r="O16" s="178" t="s">
        <v>58</v>
      </c>
      <c r="P16" s="179">
        <v>0.78125</v>
      </c>
      <c r="Q16" s="176">
        <v>168</v>
      </c>
      <c r="R16" s="180" t="s">
        <v>109</v>
      </c>
    </row>
    <row r="17" spans="1:18" ht="17.399999999999999" customHeight="1" thickBot="1" x14ac:dyDescent="0.35">
      <c r="A17" s="265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7"/>
    </row>
    <row r="18" spans="1:18" ht="22.05" customHeight="1" thickTop="1" thickBot="1" x14ac:dyDescent="0.35">
      <c r="A18" s="236" t="s">
        <v>8</v>
      </c>
      <c r="B18" s="234"/>
      <c r="C18" s="234"/>
      <c r="D18" s="234"/>
      <c r="E18" s="234"/>
      <c r="F18" s="235"/>
      <c r="G18" s="68">
        <v>46070</v>
      </c>
      <c r="H18" s="233" t="s">
        <v>9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5"/>
    </row>
    <row r="19" spans="1:18" ht="24" customHeight="1" x14ac:dyDescent="0.3">
      <c r="A19" s="69" t="s">
        <v>10</v>
      </c>
      <c r="B19" s="69" t="s">
        <v>11</v>
      </c>
      <c r="C19" s="70" t="s">
        <v>12</v>
      </c>
      <c r="D19" s="69" t="s">
        <v>13</v>
      </c>
      <c r="E19" s="69" t="s">
        <v>14</v>
      </c>
      <c r="F19" s="71" t="s">
        <v>15</v>
      </c>
      <c r="G19" s="72" t="s">
        <v>16</v>
      </c>
      <c r="H19" s="69" t="s">
        <v>17</v>
      </c>
      <c r="I19" s="73" t="s">
        <v>18</v>
      </c>
      <c r="J19" s="74" t="s">
        <v>19</v>
      </c>
      <c r="K19" s="75" t="s">
        <v>20</v>
      </c>
      <c r="L19" s="74" t="s">
        <v>21</v>
      </c>
      <c r="M19" s="74" t="s">
        <v>22</v>
      </c>
      <c r="N19" s="74" t="s">
        <v>23</v>
      </c>
      <c r="O19" s="69" t="s">
        <v>24</v>
      </c>
      <c r="P19" s="70" t="s">
        <v>25</v>
      </c>
      <c r="Q19" s="74" t="s">
        <v>26</v>
      </c>
      <c r="R19" s="69" t="s">
        <v>27</v>
      </c>
    </row>
    <row r="20" spans="1:18" ht="49.95" customHeight="1" x14ac:dyDescent="0.3">
      <c r="A20" s="154" t="s">
        <v>28</v>
      </c>
      <c r="B20" s="154" t="s">
        <v>501</v>
      </c>
      <c r="C20" s="155">
        <v>0.1145833333333333</v>
      </c>
      <c r="D20" s="154" t="s">
        <v>30</v>
      </c>
      <c r="E20" s="156"/>
      <c r="F20" s="154" t="s">
        <v>57</v>
      </c>
      <c r="G20" s="240"/>
      <c r="H20" s="31" t="s">
        <v>501</v>
      </c>
      <c r="I20" s="32">
        <v>0</v>
      </c>
      <c r="J20" s="33">
        <v>0</v>
      </c>
      <c r="K20" s="34" t="s">
        <v>109</v>
      </c>
      <c r="L20" s="33">
        <v>0</v>
      </c>
      <c r="M20" s="33">
        <v>0</v>
      </c>
      <c r="N20" s="33">
        <v>0</v>
      </c>
      <c r="O20" s="35" t="s">
        <v>58</v>
      </c>
      <c r="P20" s="36">
        <v>0.1145833333333333</v>
      </c>
      <c r="Q20" s="33">
        <v>168</v>
      </c>
      <c r="R20" s="37" t="s">
        <v>109</v>
      </c>
    </row>
    <row r="21" spans="1:18" ht="49.95" customHeight="1" x14ac:dyDescent="0.3">
      <c r="A21" s="201" t="s">
        <v>28</v>
      </c>
      <c r="B21" s="201" t="s">
        <v>502</v>
      </c>
      <c r="C21" s="202">
        <v>0.41666666666666669</v>
      </c>
      <c r="D21" s="201" t="s">
        <v>30</v>
      </c>
      <c r="E21" s="203"/>
      <c r="F21" s="201" t="s">
        <v>57</v>
      </c>
      <c r="G21" s="241"/>
      <c r="H21" s="79" t="s">
        <v>502</v>
      </c>
      <c r="I21" s="80">
        <v>0</v>
      </c>
      <c r="J21" s="81">
        <v>0</v>
      </c>
      <c r="K21" s="82" t="s">
        <v>109</v>
      </c>
      <c r="L21" s="81">
        <v>0</v>
      </c>
      <c r="M21" s="81">
        <v>0</v>
      </c>
      <c r="N21" s="81">
        <v>0</v>
      </c>
      <c r="O21" s="83" t="s">
        <v>58</v>
      </c>
      <c r="P21" s="84">
        <v>0.41666666666666669</v>
      </c>
      <c r="Q21" s="81">
        <v>168</v>
      </c>
      <c r="R21" s="85" t="s">
        <v>109</v>
      </c>
    </row>
    <row r="22" spans="1:18" ht="49.95" customHeight="1" x14ac:dyDescent="0.3">
      <c r="A22" s="18" t="s">
        <v>28</v>
      </c>
      <c r="B22" s="18" t="s">
        <v>503</v>
      </c>
      <c r="C22" s="19">
        <v>0.6875</v>
      </c>
      <c r="D22" s="18" t="s">
        <v>30</v>
      </c>
      <c r="E22" s="20"/>
      <c r="F22" s="18" t="s">
        <v>57</v>
      </c>
      <c r="G22" s="241"/>
      <c r="H22" s="21" t="s">
        <v>503</v>
      </c>
      <c r="I22" s="22">
        <v>0</v>
      </c>
      <c r="J22" s="23">
        <v>0</v>
      </c>
      <c r="K22" s="24" t="s">
        <v>109</v>
      </c>
      <c r="L22" s="23">
        <v>0</v>
      </c>
      <c r="M22" s="23">
        <v>0</v>
      </c>
      <c r="N22" s="23">
        <v>0</v>
      </c>
      <c r="O22" s="25" t="s">
        <v>58</v>
      </c>
      <c r="P22" s="26">
        <v>0.6875</v>
      </c>
      <c r="Q22" s="23">
        <v>168</v>
      </c>
      <c r="R22" s="27" t="s">
        <v>109</v>
      </c>
    </row>
    <row r="23" spans="1:18" ht="49.95" customHeight="1" thickBot="1" x14ac:dyDescent="0.35">
      <c r="A23" s="171" t="s">
        <v>28</v>
      </c>
      <c r="B23" s="171" t="s">
        <v>504</v>
      </c>
      <c r="C23" s="172">
        <v>0.77083333333333337</v>
      </c>
      <c r="D23" s="171" t="s">
        <v>30</v>
      </c>
      <c r="E23" s="173"/>
      <c r="F23" s="171" t="s">
        <v>57</v>
      </c>
      <c r="G23" s="242"/>
      <c r="H23" s="174" t="s">
        <v>504</v>
      </c>
      <c r="I23" s="175">
        <v>0</v>
      </c>
      <c r="J23" s="176">
        <v>0</v>
      </c>
      <c r="K23" s="177" t="s">
        <v>109</v>
      </c>
      <c r="L23" s="176">
        <v>0</v>
      </c>
      <c r="M23" s="176">
        <v>0</v>
      </c>
      <c r="N23" s="176">
        <v>0</v>
      </c>
      <c r="O23" s="178" t="s">
        <v>58</v>
      </c>
      <c r="P23" s="179">
        <v>0.77083333333333337</v>
      </c>
      <c r="Q23" s="176">
        <v>168</v>
      </c>
      <c r="R23" s="180" t="s">
        <v>109</v>
      </c>
    </row>
    <row r="24" spans="1:18" ht="17.399999999999999" customHeight="1" thickBot="1" x14ac:dyDescent="0.35">
      <c r="A24" s="265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7"/>
    </row>
    <row r="25" spans="1:18" ht="22.05" customHeight="1" thickTop="1" thickBot="1" x14ac:dyDescent="0.35">
      <c r="A25" s="236" t="s">
        <v>8</v>
      </c>
      <c r="B25" s="234"/>
      <c r="C25" s="234"/>
      <c r="D25" s="234"/>
      <c r="E25" s="234"/>
      <c r="F25" s="235"/>
      <c r="G25" s="68">
        <v>46077</v>
      </c>
      <c r="H25" s="233" t="s">
        <v>9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5"/>
    </row>
    <row r="26" spans="1:18" ht="24" customHeight="1" x14ac:dyDescent="0.3">
      <c r="A26" s="69" t="s">
        <v>10</v>
      </c>
      <c r="B26" s="69" t="s">
        <v>11</v>
      </c>
      <c r="C26" s="70" t="s">
        <v>12</v>
      </c>
      <c r="D26" s="69" t="s">
        <v>13</v>
      </c>
      <c r="E26" s="69" t="s">
        <v>14</v>
      </c>
      <c r="F26" s="71" t="s">
        <v>15</v>
      </c>
      <c r="G26" s="72" t="s">
        <v>16</v>
      </c>
      <c r="H26" s="69" t="s">
        <v>17</v>
      </c>
      <c r="I26" s="73" t="s">
        <v>18</v>
      </c>
      <c r="J26" s="74" t="s">
        <v>19</v>
      </c>
      <c r="K26" s="75" t="s">
        <v>20</v>
      </c>
      <c r="L26" s="74" t="s">
        <v>21</v>
      </c>
      <c r="M26" s="74" t="s">
        <v>22</v>
      </c>
      <c r="N26" s="74" t="s">
        <v>23</v>
      </c>
      <c r="O26" s="69" t="s">
        <v>24</v>
      </c>
      <c r="P26" s="70" t="s">
        <v>25</v>
      </c>
      <c r="Q26" s="74" t="s">
        <v>26</v>
      </c>
      <c r="R26" s="69" t="s">
        <v>27</v>
      </c>
    </row>
    <row r="27" spans="1:18" ht="49.95" customHeight="1" x14ac:dyDescent="0.3">
      <c r="A27" s="185" t="s">
        <v>28</v>
      </c>
      <c r="B27" s="185" t="s">
        <v>501</v>
      </c>
      <c r="C27" s="186">
        <v>0.1145833333333333</v>
      </c>
      <c r="D27" s="185" t="s">
        <v>30</v>
      </c>
      <c r="E27" s="187"/>
      <c r="F27" s="185" t="s">
        <v>57</v>
      </c>
      <c r="G27" s="243"/>
      <c r="H27" s="146" t="s">
        <v>501</v>
      </c>
      <c r="I27" s="147">
        <v>0</v>
      </c>
      <c r="J27" s="148">
        <v>0</v>
      </c>
      <c r="K27" s="149" t="s">
        <v>109</v>
      </c>
      <c r="L27" s="148">
        <v>0</v>
      </c>
      <c r="M27" s="148">
        <v>0</v>
      </c>
      <c r="N27" s="148">
        <v>0</v>
      </c>
      <c r="O27" s="150" t="s">
        <v>58</v>
      </c>
      <c r="P27" s="151">
        <v>0.1145833333333333</v>
      </c>
      <c r="Q27" s="148">
        <v>168</v>
      </c>
      <c r="R27" s="152" t="s">
        <v>109</v>
      </c>
    </row>
    <row r="28" spans="1:18" ht="49.95" customHeight="1" x14ac:dyDescent="0.3">
      <c r="A28" s="38" t="s">
        <v>28</v>
      </c>
      <c r="B28" s="38" t="s">
        <v>502</v>
      </c>
      <c r="C28" s="39">
        <v>0.34375</v>
      </c>
      <c r="D28" s="38" t="s">
        <v>30</v>
      </c>
      <c r="E28" s="40"/>
      <c r="F28" s="38" t="s">
        <v>57</v>
      </c>
      <c r="G28" s="241"/>
      <c r="H28" s="41" t="s">
        <v>502</v>
      </c>
      <c r="I28" s="42">
        <v>0</v>
      </c>
      <c r="J28" s="43">
        <v>0</v>
      </c>
      <c r="K28" s="44" t="s">
        <v>109</v>
      </c>
      <c r="L28" s="43">
        <v>0</v>
      </c>
      <c r="M28" s="43">
        <v>0</v>
      </c>
      <c r="N28" s="43">
        <v>0</v>
      </c>
      <c r="O28" s="45" t="s">
        <v>58</v>
      </c>
      <c r="P28" s="46">
        <v>0.34375</v>
      </c>
      <c r="Q28" s="43">
        <v>168</v>
      </c>
      <c r="R28" s="47" t="s">
        <v>109</v>
      </c>
    </row>
    <row r="29" spans="1:18" ht="49.95" customHeight="1" x14ac:dyDescent="0.3">
      <c r="A29" s="18" t="s">
        <v>28</v>
      </c>
      <c r="B29" s="18" t="s">
        <v>503</v>
      </c>
      <c r="C29" s="19">
        <v>0.6875</v>
      </c>
      <c r="D29" s="18" t="s">
        <v>30</v>
      </c>
      <c r="E29" s="20"/>
      <c r="F29" s="18" t="s">
        <v>57</v>
      </c>
      <c r="G29" s="241"/>
      <c r="H29" s="21" t="s">
        <v>503</v>
      </c>
      <c r="I29" s="22">
        <v>0</v>
      </c>
      <c r="J29" s="23">
        <v>0</v>
      </c>
      <c r="K29" s="24" t="s">
        <v>109</v>
      </c>
      <c r="L29" s="23">
        <v>0</v>
      </c>
      <c r="M29" s="23">
        <v>0</v>
      </c>
      <c r="N29" s="23">
        <v>0</v>
      </c>
      <c r="O29" s="25" t="s">
        <v>58</v>
      </c>
      <c r="P29" s="26">
        <v>0.6875</v>
      </c>
      <c r="Q29" s="23">
        <v>168</v>
      </c>
      <c r="R29" s="27" t="s">
        <v>109</v>
      </c>
    </row>
    <row r="30" spans="1:18" ht="49.95" customHeight="1" thickBot="1" x14ac:dyDescent="0.35">
      <c r="A30" s="58" t="s">
        <v>28</v>
      </c>
      <c r="B30" s="58" t="s">
        <v>504</v>
      </c>
      <c r="C30" s="59">
        <v>0.79166666666666663</v>
      </c>
      <c r="D30" s="58" t="s">
        <v>30</v>
      </c>
      <c r="E30" s="60"/>
      <c r="F30" s="58" t="s">
        <v>57</v>
      </c>
      <c r="G30" s="242"/>
      <c r="H30" s="61" t="s">
        <v>504</v>
      </c>
      <c r="I30" s="219">
        <v>0</v>
      </c>
      <c r="J30" s="63">
        <v>0</v>
      </c>
      <c r="K30" s="64" t="s">
        <v>109</v>
      </c>
      <c r="L30" s="63">
        <v>0</v>
      </c>
      <c r="M30" s="63">
        <v>0</v>
      </c>
      <c r="N30" s="63">
        <v>0</v>
      </c>
      <c r="O30" s="65" t="s">
        <v>58</v>
      </c>
      <c r="P30" s="66">
        <v>0.79166666666666663</v>
      </c>
      <c r="Q30" s="63">
        <v>168</v>
      </c>
      <c r="R30" s="67" t="s">
        <v>109</v>
      </c>
    </row>
    <row r="31" spans="1:18" ht="17.399999999999999" customHeight="1" thickBot="1" x14ac:dyDescent="0.35">
      <c r="A31" s="265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7"/>
    </row>
    <row r="32" spans="1:18" ht="15" thickTop="1" x14ac:dyDescent="0.3"/>
  </sheetData>
  <mergeCells count="23">
    <mergeCell ref="A31:R31"/>
    <mergeCell ref="A11:F11"/>
    <mergeCell ref="A24:R24"/>
    <mergeCell ref="H18:R18"/>
    <mergeCell ref="G27:G30"/>
    <mergeCell ref="H25:R25"/>
    <mergeCell ref="G2:J2"/>
    <mergeCell ref="A4:F4"/>
    <mergeCell ref="G6:G9"/>
    <mergeCell ref="A17:R17"/>
    <mergeCell ref="A25:F25"/>
    <mergeCell ref="H11:R11"/>
    <mergeCell ref="A10:R10"/>
    <mergeCell ref="G20:G23"/>
    <mergeCell ref="K2:R2"/>
    <mergeCell ref="H1:L1"/>
    <mergeCell ref="A1:E1"/>
    <mergeCell ref="A18:F18"/>
    <mergeCell ref="H4:R4"/>
    <mergeCell ref="A2:F2"/>
    <mergeCell ref="A3:R3"/>
    <mergeCell ref="G13:G16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/>
  </sheetViews>
  <sheetFormatPr defaultRowHeight="15.6" outlineLevelCol="1" x14ac:dyDescent="0.3"/>
  <cols>
    <col min="1" max="1" width="8.5546875" style="252" bestFit="1" customWidth="1"/>
    <col min="2" max="2" width="10.109375" style="252" bestFit="1" customWidth="1"/>
    <col min="3" max="3" width="6.77734375" style="252" bestFit="1" customWidth="1"/>
    <col min="4" max="4" width="5.5546875" style="252" bestFit="1" customWidth="1"/>
    <col min="5" max="5" width="7.77734375" style="252" bestFit="1" customWidth="1"/>
    <col min="6" max="6" width="4.21875" style="252" bestFit="1" customWidth="1"/>
    <col min="7" max="7" width="8.44140625" style="252" bestFit="1" customWidth="1"/>
    <col min="8" max="8" width="8.5546875" style="252" bestFit="1" customWidth="1"/>
    <col min="9" max="10" width="7" style="252" bestFit="1" customWidth="1"/>
    <col min="11" max="11" width="10.5546875" style="252" bestFit="1" customWidth="1"/>
    <col min="12" max="12" width="9" style="252" bestFit="1" customWidth="1"/>
    <col min="13" max="13" width="7.6640625" style="252" bestFit="1" customWidth="1" outlineLevel="1"/>
    <col min="14" max="14" width="6.33203125" style="252" bestFit="1" customWidth="1" outlineLevel="1"/>
    <col min="15" max="15" width="8" style="252" bestFit="1" customWidth="1" outlineLevel="1"/>
    <col min="16" max="16" width="13.6640625" style="252" bestFit="1" customWidth="1"/>
    <col min="17" max="36" width="3.8867187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  <row r="2" spans="1:36" x14ac:dyDescent="0.3">
      <c r="A2" s="253" t="s">
        <v>331</v>
      </c>
      <c r="B2" s="254">
        <v>46056</v>
      </c>
      <c r="C2" s="255" t="s">
        <v>501</v>
      </c>
      <c r="D2" s="256" t="s">
        <v>301</v>
      </c>
      <c r="E2" s="255" t="s">
        <v>500</v>
      </c>
      <c r="F2" s="255" t="s">
        <v>302</v>
      </c>
      <c r="G2" s="257">
        <v>0</v>
      </c>
      <c r="H2" s="258">
        <v>168</v>
      </c>
      <c r="I2" s="258">
        <v>0</v>
      </c>
      <c r="J2" s="258">
        <v>0</v>
      </c>
      <c r="K2" s="255" t="s">
        <v>303</v>
      </c>
      <c r="L2" s="259" t="s">
        <v>109</v>
      </c>
      <c r="M2" s="258">
        <v>0</v>
      </c>
      <c r="N2" s="258">
        <v>0</v>
      </c>
      <c r="O2" s="258">
        <v>0</v>
      </c>
      <c r="P2" s="255" t="s">
        <v>58</v>
      </c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</row>
    <row r="3" spans="1:36" x14ac:dyDescent="0.3">
      <c r="A3" s="253" t="s">
        <v>331</v>
      </c>
      <c r="B3" s="254">
        <v>46056</v>
      </c>
      <c r="C3" s="255" t="s">
        <v>502</v>
      </c>
      <c r="D3" s="256" t="s">
        <v>446</v>
      </c>
      <c r="E3" s="255" t="s">
        <v>500</v>
      </c>
      <c r="F3" s="255" t="s">
        <v>302</v>
      </c>
      <c r="G3" s="257">
        <v>0</v>
      </c>
      <c r="H3" s="258">
        <v>168</v>
      </c>
      <c r="I3" s="258">
        <v>0</v>
      </c>
      <c r="J3" s="258">
        <v>0</v>
      </c>
      <c r="K3" s="255" t="s">
        <v>303</v>
      </c>
      <c r="L3" s="259" t="s">
        <v>109</v>
      </c>
      <c r="M3" s="258">
        <v>0</v>
      </c>
      <c r="N3" s="258">
        <v>0</v>
      </c>
      <c r="O3" s="258">
        <v>0</v>
      </c>
      <c r="P3" s="255" t="s">
        <v>58</v>
      </c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</row>
    <row r="4" spans="1:36" x14ac:dyDescent="0.3">
      <c r="A4" s="253" t="s">
        <v>331</v>
      </c>
      <c r="B4" s="254">
        <v>46056</v>
      </c>
      <c r="C4" s="255" t="s">
        <v>503</v>
      </c>
      <c r="D4" s="256" t="s">
        <v>451</v>
      </c>
      <c r="E4" s="255" t="s">
        <v>500</v>
      </c>
      <c r="F4" s="255" t="s">
        <v>302</v>
      </c>
      <c r="G4" s="257">
        <v>0</v>
      </c>
      <c r="H4" s="258">
        <v>168</v>
      </c>
      <c r="I4" s="258">
        <v>0</v>
      </c>
      <c r="J4" s="258">
        <v>0</v>
      </c>
      <c r="K4" s="255" t="s">
        <v>303</v>
      </c>
      <c r="L4" s="259" t="s">
        <v>109</v>
      </c>
      <c r="M4" s="258">
        <v>0</v>
      </c>
      <c r="N4" s="258">
        <v>0</v>
      </c>
      <c r="O4" s="258">
        <v>0</v>
      </c>
      <c r="P4" s="255" t="s">
        <v>58</v>
      </c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</row>
    <row r="5" spans="1:36" x14ac:dyDescent="0.3">
      <c r="A5" s="253" t="s">
        <v>331</v>
      </c>
      <c r="B5" s="254">
        <v>46056</v>
      </c>
      <c r="C5" s="255" t="s">
        <v>504</v>
      </c>
      <c r="D5" s="256" t="s">
        <v>449</v>
      </c>
      <c r="E5" s="255" t="s">
        <v>500</v>
      </c>
      <c r="F5" s="255" t="s">
        <v>302</v>
      </c>
      <c r="G5" s="257">
        <v>0</v>
      </c>
      <c r="H5" s="258">
        <v>168</v>
      </c>
      <c r="I5" s="258">
        <v>0</v>
      </c>
      <c r="J5" s="258">
        <v>0</v>
      </c>
      <c r="K5" s="255" t="s">
        <v>303</v>
      </c>
      <c r="L5" s="259" t="s">
        <v>109</v>
      </c>
      <c r="M5" s="258">
        <v>0</v>
      </c>
      <c r="N5" s="258">
        <v>0</v>
      </c>
      <c r="O5" s="258">
        <v>0</v>
      </c>
      <c r="P5" s="255" t="s">
        <v>58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</row>
    <row r="6" spans="1:36" x14ac:dyDescent="0.3">
      <c r="A6" s="253" t="s">
        <v>331</v>
      </c>
      <c r="B6" s="254">
        <v>46063</v>
      </c>
      <c r="C6" s="255" t="s">
        <v>501</v>
      </c>
      <c r="D6" s="256" t="s">
        <v>301</v>
      </c>
      <c r="E6" s="255" t="s">
        <v>500</v>
      </c>
      <c r="F6" s="255" t="s">
        <v>302</v>
      </c>
      <c r="G6" s="257">
        <v>0</v>
      </c>
      <c r="H6" s="258">
        <v>168</v>
      </c>
      <c r="I6" s="258">
        <v>0</v>
      </c>
      <c r="J6" s="258">
        <v>0</v>
      </c>
      <c r="K6" s="255" t="s">
        <v>303</v>
      </c>
      <c r="L6" s="259" t="s">
        <v>109</v>
      </c>
      <c r="M6" s="258">
        <v>0</v>
      </c>
      <c r="N6" s="258">
        <v>0</v>
      </c>
      <c r="O6" s="258">
        <v>0</v>
      </c>
      <c r="P6" s="255" t="s">
        <v>58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</row>
    <row r="7" spans="1:36" x14ac:dyDescent="0.3">
      <c r="A7" s="253" t="s">
        <v>331</v>
      </c>
      <c r="B7" s="254">
        <v>46063</v>
      </c>
      <c r="C7" s="255" t="s">
        <v>502</v>
      </c>
      <c r="D7" s="256" t="s">
        <v>505</v>
      </c>
      <c r="E7" s="255" t="s">
        <v>500</v>
      </c>
      <c r="F7" s="255" t="s">
        <v>302</v>
      </c>
      <c r="G7" s="257">
        <v>0</v>
      </c>
      <c r="H7" s="258">
        <v>168</v>
      </c>
      <c r="I7" s="258">
        <v>0</v>
      </c>
      <c r="J7" s="258">
        <v>0</v>
      </c>
      <c r="K7" s="255" t="s">
        <v>303</v>
      </c>
      <c r="L7" s="259" t="s">
        <v>109</v>
      </c>
      <c r="M7" s="258">
        <v>0</v>
      </c>
      <c r="N7" s="258">
        <v>0</v>
      </c>
      <c r="O7" s="258">
        <v>0</v>
      </c>
      <c r="P7" s="255" t="s">
        <v>58</v>
      </c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</row>
    <row r="8" spans="1:36" x14ac:dyDescent="0.3">
      <c r="A8" s="253" t="s">
        <v>331</v>
      </c>
      <c r="B8" s="254">
        <v>46063</v>
      </c>
      <c r="C8" s="255" t="s">
        <v>503</v>
      </c>
      <c r="D8" s="256" t="s">
        <v>451</v>
      </c>
      <c r="E8" s="255" t="s">
        <v>500</v>
      </c>
      <c r="F8" s="255" t="s">
        <v>302</v>
      </c>
      <c r="G8" s="257">
        <v>0</v>
      </c>
      <c r="H8" s="258">
        <v>168</v>
      </c>
      <c r="I8" s="258">
        <v>0</v>
      </c>
      <c r="J8" s="258">
        <v>0</v>
      </c>
      <c r="K8" s="255" t="s">
        <v>303</v>
      </c>
      <c r="L8" s="259" t="s">
        <v>109</v>
      </c>
      <c r="M8" s="258">
        <v>0</v>
      </c>
      <c r="N8" s="258">
        <v>0</v>
      </c>
      <c r="O8" s="258">
        <v>0</v>
      </c>
      <c r="P8" s="255" t="s">
        <v>58</v>
      </c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</row>
    <row r="9" spans="1:36" x14ac:dyDescent="0.3">
      <c r="A9" s="253" t="s">
        <v>331</v>
      </c>
      <c r="B9" s="254">
        <v>46063</v>
      </c>
      <c r="C9" s="255" t="s">
        <v>504</v>
      </c>
      <c r="D9" s="256" t="s">
        <v>506</v>
      </c>
      <c r="E9" s="255" t="s">
        <v>500</v>
      </c>
      <c r="F9" s="255" t="s">
        <v>302</v>
      </c>
      <c r="G9" s="257">
        <v>0</v>
      </c>
      <c r="H9" s="258">
        <v>168</v>
      </c>
      <c r="I9" s="258">
        <v>0</v>
      </c>
      <c r="J9" s="258">
        <v>0</v>
      </c>
      <c r="K9" s="255" t="s">
        <v>303</v>
      </c>
      <c r="L9" s="259" t="s">
        <v>109</v>
      </c>
      <c r="M9" s="258">
        <v>0</v>
      </c>
      <c r="N9" s="258">
        <v>0</v>
      </c>
      <c r="O9" s="258">
        <v>0</v>
      </c>
      <c r="P9" s="255" t="s">
        <v>58</v>
      </c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</row>
    <row r="10" spans="1:36" x14ac:dyDescent="0.3">
      <c r="A10" s="253" t="s">
        <v>331</v>
      </c>
      <c r="B10" s="254">
        <v>46070</v>
      </c>
      <c r="C10" s="255" t="s">
        <v>501</v>
      </c>
      <c r="D10" s="256" t="s">
        <v>301</v>
      </c>
      <c r="E10" s="255" t="s">
        <v>500</v>
      </c>
      <c r="F10" s="255" t="s">
        <v>302</v>
      </c>
      <c r="G10" s="257">
        <v>0</v>
      </c>
      <c r="H10" s="258">
        <v>168</v>
      </c>
      <c r="I10" s="258">
        <v>0</v>
      </c>
      <c r="J10" s="258">
        <v>0</v>
      </c>
      <c r="K10" s="255" t="s">
        <v>303</v>
      </c>
      <c r="L10" s="259" t="s">
        <v>109</v>
      </c>
      <c r="M10" s="258">
        <v>0</v>
      </c>
      <c r="N10" s="258">
        <v>0</v>
      </c>
      <c r="O10" s="258">
        <v>0</v>
      </c>
      <c r="P10" s="255" t="s">
        <v>58</v>
      </c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</row>
    <row r="11" spans="1:36" x14ac:dyDescent="0.3">
      <c r="A11" s="253" t="s">
        <v>331</v>
      </c>
      <c r="B11" s="254">
        <v>46070</v>
      </c>
      <c r="C11" s="255" t="s">
        <v>502</v>
      </c>
      <c r="D11" s="256" t="s">
        <v>446</v>
      </c>
      <c r="E11" s="255" t="s">
        <v>500</v>
      </c>
      <c r="F11" s="255" t="s">
        <v>302</v>
      </c>
      <c r="G11" s="257">
        <v>0</v>
      </c>
      <c r="H11" s="258">
        <v>168</v>
      </c>
      <c r="I11" s="258">
        <v>0</v>
      </c>
      <c r="J11" s="258">
        <v>0</v>
      </c>
      <c r="K11" s="255" t="s">
        <v>303</v>
      </c>
      <c r="L11" s="259" t="s">
        <v>109</v>
      </c>
      <c r="M11" s="258">
        <v>0</v>
      </c>
      <c r="N11" s="258">
        <v>0</v>
      </c>
      <c r="O11" s="258">
        <v>0</v>
      </c>
      <c r="P11" s="255" t="s">
        <v>58</v>
      </c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</row>
    <row r="12" spans="1:36" x14ac:dyDescent="0.3">
      <c r="A12" s="253" t="s">
        <v>331</v>
      </c>
      <c r="B12" s="254">
        <v>46070</v>
      </c>
      <c r="C12" s="255" t="s">
        <v>503</v>
      </c>
      <c r="D12" s="256" t="s">
        <v>451</v>
      </c>
      <c r="E12" s="255" t="s">
        <v>500</v>
      </c>
      <c r="F12" s="255" t="s">
        <v>302</v>
      </c>
      <c r="G12" s="257">
        <v>0</v>
      </c>
      <c r="H12" s="258">
        <v>168</v>
      </c>
      <c r="I12" s="258">
        <v>0</v>
      </c>
      <c r="J12" s="258">
        <v>0</v>
      </c>
      <c r="K12" s="255" t="s">
        <v>303</v>
      </c>
      <c r="L12" s="259" t="s">
        <v>109</v>
      </c>
      <c r="M12" s="258">
        <v>0</v>
      </c>
      <c r="N12" s="258">
        <v>0</v>
      </c>
      <c r="O12" s="258">
        <v>0</v>
      </c>
      <c r="P12" s="255" t="s">
        <v>58</v>
      </c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</row>
    <row r="13" spans="1:36" x14ac:dyDescent="0.3">
      <c r="A13" s="253" t="s">
        <v>331</v>
      </c>
      <c r="B13" s="254">
        <v>46070</v>
      </c>
      <c r="C13" s="255" t="s">
        <v>504</v>
      </c>
      <c r="D13" s="256" t="s">
        <v>507</v>
      </c>
      <c r="E13" s="255" t="s">
        <v>500</v>
      </c>
      <c r="F13" s="255" t="s">
        <v>302</v>
      </c>
      <c r="G13" s="257">
        <v>0</v>
      </c>
      <c r="H13" s="258">
        <v>168</v>
      </c>
      <c r="I13" s="258">
        <v>0</v>
      </c>
      <c r="J13" s="258">
        <v>0</v>
      </c>
      <c r="K13" s="255" t="s">
        <v>303</v>
      </c>
      <c r="L13" s="259" t="s">
        <v>109</v>
      </c>
      <c r="M13" s="258">
        <v>0</v>
      </c>
      <c r="N13" s="258">
        <v>0</v>
      </c>
      <c r="O13" s="258">
        <v>0</v>
      </c>
      <c r="P13" s="255" t="s">
        <v>58</v>
      </c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</row>
    <row r="14" spans="1:36" x14ac:dyDescent="0.3">
      <c r="A14" s="253" t="s">
        <v>331</v>
      </c>
      <c r="B14" s="254">
        <v>46077</v>
      </c>
      <c r="C14" s="255" t="s">
        <v>501</v>
      </c>
      <c r="D14" s="256" t="s">
        <v>301</v>
      </c>
      <c r="E14" s="255" t="s">
        <v>500</v>
      </c>
      <c r="F14" s="255" t="s">
        <v>302</v>
      </c>
      <c r="G14" s="257">
        <v>0</v>
      </c>
      <c r="H14" s="258">
        <v>168</v>
      </c>
      <c r="I14" s="258">
        <v>0</v>
      </c>
      <c r="J14" s="258">
        <v>0</v>
      </c>
      <c r="K14" s="255" t="s">
        <v>303</v>
      </c>
      <c r="L14" s="259" t="s">
        <v>109</v>
      </c>
      <c r="M14" s="258">
        <v>0</v>
      </c>
      <c r="N14" s="258">
        <v>0</v>
      </c>
      <c r="O14" s="258">
        <v>0</v>
      </c>
      <c r="P14" s="255" t="s">
        <v>58</v>
      </c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</row>
    <row r="15" spans="1:36" x14ac:dyDescent="0.3">
      <c r="A15" s="253" t="s">
        <v>331</v>
      </c>
      <c r="B15" s="254">
        <v>46077</v>
      </c>
      <c r="C15" s="255" t="s">
        <v>502</v>
      </c>
      <c r="D15" s="256" t="s">
        <v>505</v>
      </c>
      <c r="E15" s="255" t="s">
        <v>500</v>
      </c>
      <c r="F15" s="255" t="s">
        <v>302</v>
      </c>
      <c r="G15" s="257">
        <v>0</v>
      </c>
      <c r="H15" s="258">
        <v>168</v>
      </c>
      <c r="I15" s="258">
        <v>0</v>
      </c>
      <c r="J15" s="258">
        <v>0</v>
      </c>
      <c r="K15" s="255" t="s">
        <v>303</v>
      </c>
      <c r="L15" s="259" t="s">
        <v>109</v>
      </c>
      <c r="M15" s="258">
        <v>0</v>
      </c>
      <c r="N15" s="258">
        <v>0</v>
      </c>
      <c r="O15" s="258">
        <v>0</v>
      </c>
      <c r="P15" s="255" t="s">
        <v>58</v>
      </c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</row>
    <row r="16" spans="1:36" x14ac:dyDescent="0.3">
      <c r="A16" s="253" t="s">
        <v>331</v>
      </c>
      <c r="B16" s="254">
        <v>46077</v>
      </c>
      <c r="C16" s="255" t="s">
        <v>503</v>
      </c>
      <c r="D16" s="256" t="s">
        <v>451</v>
      </c>
      <c r="E16" s="255" t="s">
        <v>500</v>
      </c>
      <c r="F16" s="255" t="s">
        <v>302</v>
      </c>
      <c r="G16" s="257">
        <v>0</v>
      </c>
      <c r="H16" s="258">
        <v>168</v>
      </c>
      <c r="I16" s="258">
        <v>0</v>
      </c>
      <c r="J16" s="258">
        <v>0</v>
      </c>
      <c r="K16" s="255" t="s">
        <v>303</v>
      </c>
      <c r="L16" s="259" t="s">
        <v>109</v>
      </c>
      <c r="M16" s="258">
        <v>0</v>
      </c>
      <c r="N16" s="258">
        <v>0</v>
      </c>
      <c r="O16" s="258">
        <v>0</v>
      </c>
      <c r="P16" s="255" t="s">
        <v>58</v>
      </c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</row>
    <row r="17" spans="1:36" x14ac:dyDescent="0.3">
      <c r="A17" s="253" t="s">
        <v>331</v>
      </c>
      <c r="B17" s="254">
        <v>46077</v>
      </c>
      <c r="C17" s="255" t="s">
        <v>504</v>
      </c>
      <c r="D17" s="256" t="s">
        <v>449</v>
      </c>
      <c r="E17" s="255" t="s">
        <v>500</v>
      </c>
      <c r="F17" s="255" t="s">
        <v>302</v>
      </c>
      <c r="G17" s="257">
        <v>0</v>
      </c>
      <c r="H17" s="258">
        <v>168</v>
      </c>
      <c r="I17" s="258">
        <v>0</v>
      </c>
      <c r="J17" s="258">
        <v>0</v>
      </c>
      <c r="K17" s="255" t="s">
        <v>303</v>
      </c>
      <c r="L17" s="259" t="s">
        <v>109</v>
      </c>
      <c r="M17" s="258">
        <v>0</v>
      </c>
      <c r="N17" s="258">
        <v>0</v>
      </c>
      <c r="O17" s="258">
        <v>0</v>
      </c>
      <c r="P17" s="255" t="s">
        <v>58</v>
      </c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</row>
    <row r="18" spans="1:36" ht="21" x14ac:dyDescent="0.3">
      <c r="A18" s="260" t="s">
        <v>515</v>
      </c>
      <c r="B18" s="261"/>
      <c r="C18" s="260">
        <f>SUBTOTAL(103,JED_LXR_LF_LEGACY[Flt])</f>
        <v>16</v>
      </c>
      <c r="D18" s="260"/>
      <c r="E18" s="260">
        <f>SUBTOTAL(103,JED_LXR_LF_LEGACY[Brd-Off])</f>
        <v>16</v>
      </c>
      <c r="F18" s="260"/>
      <c r="G18" s="262">
        <f>SUBTOTAL(101,JED_LXR_LF_LEGACY[LF%])</f>
        <v>0</v>
      </c>
      <c r="H18" s="263">
        <f>SUBTOTAL(109,JED_LXR_LF_LEGACY[CAP])</f>
        <v>2688</v>
      </c>
      <c r="I18" s="263">
        <f>SUBTOTAL(109,JED_LXR_LF_LEGACY[BKG(Y)])</f>
        <v>0</v>
      </c>
      <c r="J18" s="263">
        <f>SUBTOTAL(109,JED_LXR_LF_LEGACY[GRP(Y)])</f>
        <v>0</v>
      </c>
      <c r="K18" s="260"/>
      <c r="L18" s="261"/>
      <c r="M18" s="263">
        <f>SUBTOTAL(109,JED_LXR_LF_LEGACY[TO-DAY])</f>
        <v>0</v>
      </c>
      <c r="N18" s="263">
        <f>SUBTOTAL(109,JED_LXR_LF_LEGACY[Y-DAY])</f>
        <v>0</v>
      </c>
      <c r="O18" s="263">
        <f>SUBTOTAL(109,JED_LXR_LF_LEGACY[WEEKLY])</f>
        <v>0</v>
      </c>
      <c r="P18" s="264"/>
      <c r="Q18" s="263">
        <f>SUBTOTAL(109,JED_LXR_LF_LEGACY[Y])</f>
        <v>0</v>
      </c>
      <c r="R18" s="263">
        <f>SUBTOTAL(109,JED_LXR_LF_LEGACY[B])</f>
        <v>0</v>
      </c>
      <c r="S18" s="263">
        <f>SUBTOTAL(109,JED_LXR_LF_LEGACY[M])</f>
        <v>0</v>
      </c>
      <c r="T18" s="263">
        <f>SUBTOTAL(109,JED_LXR_LF_LEGACY[H])</f>
        <v>0</v>
      </c>
      <c r="U18" s="263">
        <f>SUBTOTAL(109,JED_LXR_LF_LEGACY[Q])</f>
        <v>0</v>
      </c>
      <c r="V18" s="263">
        <f>SUBTOTAL(109,JED_LXR_LF_LEGACY[K])</f>
        <v>0</v>
      </c>
      <c r="W18" s="263">
        <f>SUBTOTAL(109,JED_LXR_LF_LEGACY[V])</f>
        <v>0</v>
      </c>
      <c r="X18" s="263">
        <f>SUBTOTAL(109,JED_LXR_LF_LEGACY[L])</f>
        <v>0</v>
      </c>
      <c r="Y18" s="263">
        <f>SUBTOTAL(109,JED_LXR_LF_LEGACY[G])</f>
        <v>0</v>
      </c>
      <c r="Z18" s="263">
        <f>SUBTOTAL(109,JED_LXR_LF_LEGACY[S])</f>
        <v>0</v>
      </c>
      <c r="AA18" s="263">
        <f>SUBTOTAL(109,JED_LXR_LF_LEGACY[W])</f>
        <v>0</v>
      </c>
      <c r="AB18" s="263">
        <f>SUBTOTAL(109,JED_LXR_LF_LEGACY[T])</f>
        <v>0</v>
      </c>
      <c r="AC18" s="263">
        <f>SUBTOTAL(109,JED_LXR_LF_LEGACY[X])</f>
        <v>0</v>
      </c>
      <c r="AD18" s="263">
        <f>SUBTOTAL(109,JED_LXR_LF_LEGACY[U])</f>
        <v>0</v>
      </c>
      <c r="AE18" s="263">
        <f>SUBTOTAL(109,JED_LXR_LF_LEGACY[O])</f>
        <v>0</v>
      </c>
      <c r="AF18" s="263">
        <f>SUBTOTAL(109,JED_LXR_LF_LEGACY[I])</f>
        <v>0</v>
      </c>
      <c r="AG18" s="263">
        <f>SUBTOTAL(109,JED_LXR_LF_LEGACY[E])</f>
        <v>0</v>
      </c>
      <c r="AH18" s="263">
        <f>SUBTOTAL(109,JED_LXR_LF_LEGACY[A])</f>
        <v>0</v>
      </c>
      <c r="AI18" s="263">
        <f>SUBTOTAL(109,JED_LXR_LF_LEGACY[P])</f>
        <v>0</v>
      </c>
      <c r="AJ18" s="263">
        <f>SUBTOTAL(103,JED_LXR_LF_LEGACY[N])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1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441406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508</v>
      </c>
      <c r="G1" s="2" t="s">
        <v>2</v>
      </c>
      <c r="H1" s="237" t="s">
        <v>465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45984.112366526657</v>
      </c>
      <c r="H2" s="238"/>
      <c r="I2" s="238"/>
      <c r="J2" s="238"/>
      <c r="K2" s="247">
        <v>45984.112366527253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0" t="s">
        <v>8</v>
      </c>
      <c r="B4" s="234"/>
      <c r="C4" s="234"/>
      <c r="D4" s="234"/>
      <c r="E4" s="234"/>
      <c r="F4" s="235"/>
      <c r="G4" s="4">
        <v>46062</v>
      </c>
      <c r="H4" s="248" t="s">
        <v>9</v>
      </c>
      <c r="I4" s="234"/>
      <c r="J4" s="234"/>
      <c r="K4" s="234"/>
      <c r="L4" s="234"/>
      <c r="M4" s="234"/>
      <c r="N4" s="234"/>
      <c r="O4" s="234"/>
      <c r="P4" s="234"/>
      <c r="Q4" s="234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0" t="s">
        <v>28</v>
      </c>
      <c r="B6" s="100" t="s">
        <v>509</v>
      </c>
      <c r="C6" s="101">
        <v>0.25347222222222221</v>
      </c>
      <c r="D6" s="100" t="s">
        <v>30</v>
      </c>
      <c r="E6" s="102"/>
      <c r="F6" s="100" t="s">
        <v>57</v>
      </c>
      <c r="G6" s="240"/>
      <c r="H6" s="103" t="s">
        <v>509</v>
      </c>
      <c r="I6" s="159">
        <v>0</v>
      </c>
      <c r="J6" s="105">
        <v>0</v>
      </c>
      <c r="K6" s="106" t="s">
        <v>109</v>
      </c>
      <c r="L6" s="105">
        <v>0</v>
      </c>
      <c r="M6" s="105">
        <v>0</v>
      </c>
      <c r="N6" s="105">
        <v>0</v>
      </c>
      <c r="O6" s="107" t="s">
        <v>58</v>
      </c>
      <c r="P6" s="108">
        <v>0.25347222222222221</v>
      </c>
      <c r="Q6" s="105">
        <v>168</v>
      </c>
      <c r="R6" s="109" t="s">
        <v>109</v>
      </c>
    </row>
    <row r="7" spans="1:92" ht="49.95" customHeight="1" thickBot="1" x14ac:dyDescent="0.35">
      <c r="A7" s="90" t="s">
        <v>28</v>
      </c>
      <c r="B7" s="90" t="s">
        <v>510</v>
      </c>
      <c r="C7" s="91">
        <v>0.70833333333333337</v>
      </c>
      <c r="D7" s="90" t="s">
        <v>30</v>
      </c>
      <c r="E7" s="92"/>
      <c r="F7" s="90" t="s">
        <v>57</v>
      </c>
      <c r="G7" s="242"/>
      <c r="H7" s="93" t="s">
        <v>510</v>
      </c>
      <c r="I7" s="221">
        <v>0</v>
      </c>
      <c r="J7" s="95">
        <v>0</v>
      </c>
      <c r="K7" s="96" t="s">
        <v>109</v>
      </c>
      <c r="L7" s="95">
        <v>0</v>
      </c>
      <c r="M7" s="95">
        <v>0</v>
      </c>
      <c r="N7" s="95">
        <v>0</v>
      </c>
      <c r="O7" s="97" t="s">
        <v>58</v>
      </c>
      <c r="P7" s="98">
        <v>0.70833333333333337</v>
      </c>
      <c r="Q7" s="95">
        <v>168</v>
      </c>
      <c r="R7" s="99" t="s">
        <v>109</v>
      </c>
    </row>
    <row r="8" spans="1:92" ht="17.399999999999999" customHeight="1" thickBot="1" x14ac:dyDescent="0.35">
      <c r="A8" s="265"/>
      <c r="B8" s="266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7"/>
    </row>
    <row r="9" spans="1:92" ht="22.05" customHeight="1" thickTop="1" thickBot="1" x14ac:dyDescent="0.35">
      <c r="A9" s="236" t="s">
        <v>8</v>
      </c>
      <c r="B9" s="234"/>
      <c r="C9" s="234"/>
      <c r="D9" s="234"/>
      <c r="E9" s="234"/>
      <c r="F9" s="235"/>
      <c r="G9" s="68">
        <v>46076</v>
      </c>
      <c r="H9" s="233" t="s">
        <v>9</v>
      </c>
      <c r="I9" s="234"/>
      <c r="J9" s="234"/>
      <c r="K9" s="234"/>
      <c r="L9" s="234"/>
      <c r="M9" s="234"/>
      <c r="N9" s="234"/>
      <c r="O9" s="234"/>
      <c r="P9" s="234"/>
      <c r="Q9" s="234"/>
      <c r="R9" s="235"/>
    </row>
    <row r="10" spans="1:92" ht="24" customHeight="1" x14ac:dyDescent="0.3">
      <c r="A10" s="69" t="s">
        <v>10</v>
      </c>
      <c r="B10" s="69" t="s">
        <v>11</v>
      </c>
      <c r="C10" s="70" t="s">
        <v>12</v>
      </c>
      <c r="D10" s="69" t="s">
        <v>13</v>
      </c>
      <c r="E10" s="69" t="s">
        <v>14</v>
      </c>
      <c r="F10" s="71" t="s">
        <v>15</v>
      </c>
      <c r="G10" s="72" t="s">
        <v>16</v>
      </c>
      <c r="H10" s="69" t="s">
        <v>17</v>
      </c>
      <c r="I10" s="73" t="s">
        <v>18</v>
      </c>
      <c r="J10" s="74" t="s">
        <v>19</v>
      </c>
      <c r="K10" s="75" t="s">
        <v>20</v>
      </c>
      <c r="L10" s="74" t="s">
        <v>21</v>
      </c>
      <c r="M10" s="74" t="s">
        <v>22</v>
      </c>
      <c r="N10" s="74" t="s">
        <v>23</v>
      </c>
      <c r="O10" s="69" t="s">
        <v>24</v>
      </c>
      <c r="P10" s="70" t="s">
        <v>25</v>
      </c>
      <c r="Q10" s="74" t="s">
        <v>26</v>
      </c>
      <c r="R10" s="69" t="s">
        <v>27</v>
      </c>
    </row>
    <row r="11" spans="1:92" ht="49.95" customHeight="1" x14ac:dyDescent="0.3">
      <c r="A11" s="76" t="s">
        <v>28</v>
      </c>
      <c r="B11" s="76" t="s">
        <v>509</v>
      </c>
      <c r="C11" s="77">
        <v>0.25347222222222221</v>
      </c>
      <c r="D11" s="76" t="s">
        <v>30</v>
      </c>
      <c r="E11" s="78"/>
      <c r="F11" s="76" t="s">
        <v>57</v>
      </c>
      <c r="G11" s="240"/>
      <c r="H11" s="79" t="s">
        <v>509</v>
      </c>
      <c r="I11" s="80">
        <v>0</v>
      </c>
      <c r="J11" s="81">
        <v>0</v>
      </c>
      <c r="K11" s="82" t="s">
        <v>109</v>
      </c>
      <c r="L11" s="81">
        <v>0</v>
      </c>
      <c r="M11" s="81">
        <v>0</v>
      </c>
      <c r="N11" s="81">
        <v>0</v>
      </c>
      <c r="O11" s="83" t="s">
        <v>58</v>
      </c>
      <c r="P11" s="84">
        <v>0.25347222222222221</v>
      </c>
      <c r="Q11" s="81">
        <v>168</v>
      </c>
      <c r="R11" s="85" t="s">
        <v>109</v>
      </c>
    </row>
    <row r="12" spans="1:92" ht="49.95" customHeight="1" thickBot="1" x14ac:dyDescent="0.35">
      <c r="A12" s="189" t="s">
        <v>28</v>
      </c>
      <c r="B12" s="189" t="s">
        <v>510</v>
      </c>
      <c r="C12" s="190">
        <v>0.70833333333333337</v>
      </c>
      <c r="D12" s="189" t="s">
        <v>30</v>
      </c>
      <c r="E12" s="191"/>
      <c r="F12" s="189" t="s">
        <v>57</v>
      </c>
      <c r="G12" s="242"/>
      <c r="H12" s="192" t="s">
        <v>510</v>
      </c>
      <c r="I12" s="222">
        <v>0</v>
      </c>
      <c r="J12" s="194">
        <v>0</v>
      </c>
      <c r="K12" s="195" t="s">
        <v>109</v>
      </c>
      <c r="L12" s="194">
        <v>0</v>
      </c>
      <c r="M12" s="194">
        <v>0</v>
      </c>
      <c r="N12" s="194">
        <v>0</v>
      </c>
      <c r="O12" s="196" t="s">
        <v>58</v>
      </c>
      <c r="P12" s="197">
        <v>0.70833333333333337</v>
      </c>
      <c r="Q12" s="194">
        <v>168</v>
      </c>
      <c r="R12" s="198" t="s">
        <v>109</v>
      </c>
    </row>
    <row r="13" spans="1:92" ht="17.399999999999999" customHeight="1" thickBot="1" x14ac:dyDescent="0.35">
      <c r="A13" s="265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7"/>
    </row>
    <row r="14" spans="1:92" ht="22.05" customHeight="1" thickTop="1" thickBot="1" x14ac:dyDescent="0.35">
      <c r="A14" s="236" t="s">
        <v>8</v>
      </c>
      <c r="B14" s="234"/>
      <c r="C14" s="234"/>
      <c r="D14" s="234"/>
      <c r="E14" s="234"/>
      <c r="F14" s="235"/>
      <c r="G14" s="68">
        <v>46077</v>
      </c>
      <c r="H14" s="233" t="s">
        <v>9</v>
      </c>
      <c r="I14" s="234"/>
      <c r="J14" s="234"/>
      <c r="K14" s="234"/>
      <c r="L14" s="234"/>
      <c r="M14" s="234"/>
      <c r="N14" s="234"/>
      <c r="O14" s="234"/>
      <c r="P14" s="234"/>
      <c r="Q14" s="234"/>
      <c r="R14" s="235"/>
    </row>
    <row r="15" spans="1:92" ht="24" customHeight="1" x14ac:dyDescent="0.3">
      <c r="A15" s="69" t="s">
        <v>10</v>
      </c>
      <c r="B15" s="69" t="s">
        <v>11</v>
      </c>
      <c r="C15" s="70" t="s">
        <v>12</v>
      </c>
      <c r="D15" s="69" t="s">
        <v>13</v>
      </c>
      <c r="E15" s="69" t="s">
        <v>14</v>
      </c>
      <c r="F15" s="71" t="s">
        <v>15</v>
      </c>
      <c r="G15" s="72" t="s">
        <v>16</v>
      </c>
      <c r="H15" s="69" t="s">
        <v>17</v>
      </c>
      <c r="I15" s="73" t="s">
        <v>18</v>
      </c>
      <c r="J15" s="74" t="s">
        <v>19</v>
      </c>
      <c r="K15" s="75" t="s">
        <v>20</v>
      </c>
      <c r="L15" s="74" t="s">
        <v>21</v>
      </c>
      <c r="M15" s="74" t="s">
        <v>22</v>
      </c>
      <c r="N15" s="74" t="s">
        <v>23</v>
      </c>
      <c r="O15" s="69" t="s">
        <v>24</v>
      </c>
      <c r="P15" s="70" t="s">
        <v>25</v>
      </c>
      <c r="Q15" s="74" t="s">
        <v>26</v>
      </c>
      <c r="R15" s="69" t="s">
        <v>27</v>
      </c>
    </row>
    <row r="16" spans="1:92" ht="49.95" customHeight="1" thickTop="1" thickBot="1" x14ac:dyDescent="0.5">
      <c r="A16" s="185" t="s">
        <v>28</v>
      </c>
      <c r="B16" s="185" t="s">
        <v>511</v>
      </c>
      <c r="C16" s="186">
        <v>0.63541666666666663</v>
      </c>
      <c r="D16" s="185" t="s">
        <v>30</v>
      </c>
      <c r="E16" s="187"/>
      <c r="F16" s="185" t="s">
        <v>57</v>
      </c>
      <c r="G16" s="243"/>
      <c r="H16" s="115" t="s">
        <v>511</v>
      </c>
      <c r="I16" s="220">
        <v>0</v>
      </c>
      <c r="J16" s="117">
        <v>0</v>
      </c>
      <c r="K16" s="118" t="s">
        <v>109</v>
      </c>
      <c r="L16" s="117">
        <v>0</v>
      </c>
      <c r="M16" s="117">
        <v>0</v>
      </c>
      <c r="N16" s="117">
        <v>0</v>
      </c>
      <c r="O16" s="119" t="s">
        <v>58</v>
      </c>
      <c r="P16" s="120">
        <v>0.63541666666666663</v>
      </c>
      <c r="Q16" s="117">
        <v>168</v>
      </c>
      <c r="R16" s="121" t="s">
        <v>109</v>
      </c>
    </row>
    <row r="17" spans="1:18" ht="17.399999999999999" customHeight="1" thickBot="1" x14ac:dyDescent="0.35">
      <c r="A17" s="265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7"/>
    </row>
    <row r="18" spans="1:18" ht="15" thickTop="1" x14ac:dyDescent="0.3"/>
  </sheetData>
  <mergeCells count="19">
    <mergeCell ref="A17:R17"/>
    <mergeCell ref="A8:R8"/>
    <mergeCell ref="N1:R1"/>
    <mergeCell ref="A9:F9"/>
    <mergeCell ref="A13:R13"/>
    <mergeCell ref="K2:R2"/>
    <mergeCell ref="G11:G12"/>
    <mergeCell ref="H14:R14"/>
    <mergeCell ref="H1:L1"/>
    <mergeCell ref="A1:E1"/>
    <mergeCell ref="G16"/>
    <mergeCell ref="H4:R4"/>
    <mergeCell ref="A2:F2"/>
    <mergeCell ref="A3:R3"/>
    <mergeCell ref="H9:R9"/>
    <mergeCell ref="A14:F14"/>
    <mergeCell ref="G6:G7"/>
    <mergeCell ref="G2:J2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"/>
  <sheetViews>
    <sheetView workbookViewId="0"/>
  </sheetViews>
  <sheetFormatPr defaultRowHeight="15.6" outlineLevelCol="1" x14ac:dyDescent="0.3"/>
  <cols>
    <col min="1" max="1" width="8.6640625" style="252" bestFit="1" customWidth="1"/>
    <col min="2" max="2" width="10.109375" style="252" bestFit="1" customWidth="1"/>
    <col min="3" max="3" width="6.77734375" style="252" bestFit="1" customWidth="1"/>
    <col min="4" max="4" width="5.5546875" style="252" bestFit="1" customWidth="1"/>
    <col min="5" max="5" width="8.5546875" style="252" bestFit="1" customWidth="1"/>
    <col min="6" max="6" width="4.21875" style="252" bestFit="1" customWidth="1"/>
    <col min="7" max="7" width="8.44140625" style="252" bestFit="1" customWidth="1"/>
    <col min="8" max="10" width="7" style="252" bestFit="1" customWidth="1"/>
    <col min="11" max="11" width="10.5546875" style="252" bestFit="1" customWidth="1"/>
    <col min="12" max="12" width="9" style="252" bestFit="1" customWidth="1"/>
    <col min="13" max="13" width="7.6640625" style="252" bestFit="1" customWidth="1" outlineLevel="1"/>
    <col min="14" max="14" width="6.33203125" style="252" bestFit="1" customWidth="1" outlineLevel="1"/>
    <col min="15" max="15" width="8" style="252" bestFit="1" customWidth="1" outlineLevel="1"/>
    <col min="16" max="16" width="13.6640625" style="252" bestFit="1" customWidth="1"/>
    <col min="17" max="36" width="3.8867187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  <row r="2" spans="1:36" x14ac:dyDescent="0.3">
      <c r="A2" s="253" t="s">
        <v>323</v>
      </c>
      <c r="B2" s="254">
        <v>46062</v>
      </c>
      <c r="C2" s="255" t="s">
        <v>509</v>
      </c>
      <c r="D2" s="256" t="s">
        <v>346</v>
      </c>
      <c r="E2" s="255" t="s">
        <v>508</v>
      </c>
      <c r="F2" s="255" t="s">
        <v>302</v>
      </c>
      <c r="G2" s="257">
        <v>0</v>
      </c>
      <c r="H2" s="258">
        <v>168</v>
      </c>
      <c r="I2" s="258">
        <v>0</v>
      </c>
      <c r="J2" s="258">
        <v>0</v>
      </c>
      <c r="K2" s="255" t="s">
        <v>303</v>
      </c>
      <c r="L2" s="259" t="s">
        <v>109</v>
      </c>
      <c r="M2" s="258">
        <v>0</v>
      </c>
      <c r="N2" s="258">
        <v>0</v>
      </c>
      <c r="O2" s="258">
        <v>0</v>
      </c>
      <c r="P2" s="255" t="s">
        <v>58</v>
      </c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</row>
    <row r="3" spans="1:36" x14ac:dyDescent="0.3">
      <c r="A3" s="253" t="s">
        <v>323</v>
      </c>
      <c r="B3" s="254">
        <v>46062</v>
      </c>
      <c r="C3" s="255" t="s">
        <v>510</v>
      </c>
      <c r="D3" s="256" t="s">
        <v>460</v>
      </c>
      <c r="E3" s="255" t="s">
        <v>508</v>
      </c>
      <c r="F3" s="255" t="s">
        <v>302</v>
      </c>
      <c r="G3" s="257">
        <v>0</v>
      </c>
      <c r="H3" s="258">
        <v>168</v>
      </c>
      <c r="I3" s="258">
        <v>0</v>
      </c>
      <c r="J3" s="258">
        <v>0</v>
      </c>
      <c r="K3" s="255" t="s">
        <v>303</v>
      </c>
      <c r="L3" s="259" t="s">
        <v>109</v>
      </c>
      <c r="M3" s="258">
        <v>0</v>
      </c>
      <c r="N3" s="258">
        <v>0</v>
      </c>
      <c r="O3" s="258">
        <v>0</v>
      </c>
      <c r="P3" s="255" t="s">
        <v>58</v>
      </c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</row>
    <row r="4" spans="1:36" x14ac:dyDescent="0.3">
      <c r="A4" s="253" t="s">
        <v>323</v>
      </c>
      <c r="B4" s="254">
        <v>46076</v>
      </c>
      <c r="C4" s="255" t="s">
        <v>509</v>
      </c>
      <c r="D4" s="256" t="s">
        <v>346</v>
      </c>
      <c r="E4" s="255" t="s">
        <v>508</v>
      </c>
      <c r="F4" s="255" t="s">
        <v>302</v>
      </c>
      <c r="G4" s="257">
        <v>0</v>
      </c>
      <c r="H4" s="258">
        <v>168</v>
      </c>
      <c r="I4" s="258">
        <v>0</v>
      </c>
      <c r="J4" s="258">
        <v>0</v>
      </c>
      <c r="K4" s="255" t="s">
        <v>303</v>
      </c>
      <c r="L4" s="259" t="s">
        <v>109</v>
      </c>
      <c r="M4" s="258">
        <v>0</v>
      </c>
      <c r="N4" s="258">
        <v>0</v>
      </c>
      <c r="O4" s="258">
        <v>0</v>
      </c>
      <c r="P4" s="255" t="s">
        <v>58</v>
      </c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</row>
    <row r="5" spans="1:36" x14ac:dyDescent="0.3">
      <c r="A5" s="253" t="s">
        <v>323</v>
      </c>
      <c r="B5" s="254">
        <v>46076</v>
      </c>
      <c r="C5" s="255" t="s">
        <v>510</v>
      </c>
      <c r="D5" s="256" t="s">
        <v>460</v>
      </c>
      <c r="E5" s="255" t="s">
        <v>508</v>
      </c>
      <c r="F5" s="255" t="s">
        <v>302</v>
      </c>
      <c r="G5" s="257">
        <v>0</v>
      </c>
      <c r="H5" s="258">
        <v>168</v>
      </c>
      <c r="I5" s="258">
        <v>0</v>
      </c>
      <c r="J5" s="258">
        <v>0</v>
      </c>
      <c r="K5" s="255" t="s">
        <v>303</v>
      </c>
      <c r="L5" s="259" t="s">
        <v>109</v>
      </c>
      <c r="M5" s="258">
        <v>0</v>
      </c>
      <c r="N5" s="258">
        <v>0</v>
      </c>
      <c r="O5" s="258">
        <v>0</v>
      </c>
      <c r="P5" s="255" t="s">
        <v>58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</row>
    <row r="6" spans="1:36" x14ac:dyDescent="0.3">
      <c r="A6" s="253" t="s">
        <v>331</v>
      </c>
      <c r="B6" s="254">
        <v>46077</v>
      </c>
      <c r="C6" s="255" t="s">
        <v>511</v>
      </c>
      <c r="D6" s="256" t="s">
        <v>512</v>
      </c>
      <c r="E6" s="255" t="s">
        <v>508</v>
      </c>
      <c r="F6" s="255" t="s">
        <v>302</v>
      </c>
      <c r="G6" s="257">
        <v>0</v>
      </c>
      <c r="H6" s="258">
        <v>168</v>
      </c>
      <c r="I6" s="258">
        <v>0</v>
      </c>
      <c r="J6" s="258">
        <v>0</v>
      </c>
      <c r="K6" s="255" t="s">
        <v>303</v>
      </c>
      <c r="L6" s="259" t="s">
        <v>109</v>
      </c>
      <c r="M6" s="258">
        <v>0</v>
      </c>
      <c r="N6" s="258">
        <v>0</v>
      </c>
      <c r="O6" s="258">
        <v>0</v>
      </c>
      <c r="P6" s="255" t="s">
        <v>58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</row>
    <row r="7" spans="1:36" ht="21" x14ac:dyDescent="0.3">
      <c r="A7" s="260" t="s">
        <v>515</v>
      </c>
      <c r="B7" s="261"/>
      <c r="C7" s="260">
        <f>SUBTOTAL(103,JED_ASW_LF_LEGACY[Flt])</f>
        <v>5</v>
      </c>
      <c r="D7" s="260"/>
      <c r="E7" s="260">
        <f>SUBTOTAL(103,JED_ASW_LF_LEGACY[Brd-Off])</f>
        <v>5</v>
      </c>
      <c r="F7" s="260"/>
      <c r="G7" s="262">
        <f>SUBTOTAL(101,JED_ASW_LF_LEGACY[LF%])</f>
        <v>0</v>
      </c>
      <c r="H7" s="263">
        <f>SUBTOTAL(109,JED_ASW_LF_LEGACY[CAP])</f>
        <v>840</v>
      </c>
      <c r="I7" s="263">
        <f>SUBTOTAL(109,JED_ASW_LF_LEGACY[BKG(Y)])</f>
        <v>0</v>
      </c>
      <c r="J7" s="263">
        <f>SUBTOTAL(109,JED_ASW_LF_LEGACY[GRP(Y)])</f>
        <v>0</v>
      </c>
      <c r="K7" s="260"/>
      <c r="L7" s="261"/>
      <c r="M7" s="263">
        <f>SUBTOTAL(109,JED_ASW_LF_LEGACY[TO-DAY])</f>
        <v>0</v>
      </c>
      <c r="N7" s="263">
        <f>SUBTOTAL(109,JED_ASW_LF_LEGACY[Y-DAY])</f>
        <v>0</v>
      </c>
      <c r="O7" s="263">
        <f>SUBTOTAL(109,JED_ASW_LF_LEGACY[WEEKLY])</f>
        <v>0</v>
      </c>
      <c r="P7" s="264"/>
      <c r="Q7" s="263">
        <f>SUBTOTAL(109,JED_ASW_LF_LEGACY[Y])</f>
        <v>0</v>
      </c>
      <c r="R7" s="263">
        <f>SUBTOTAL(109,JED_ASW_LF_LEGACY[B])</f>
        <v>0</v>
      </c>
      <c r="S7" s="263">
        <f>SUBTOTAL(109,JED_ASW_LF_LEGACY[M])</f>
        <v>0</v>
      </c>
      <c r="T7" s="263">
        <f>SUBTOTAL(109,JED_ASW_LF_LEGACY[H])</f>
        <v>0</v>
      </c>
      <c r="U7" s="263">
        <f>SUBTOTAL(109,JED_ASW_LF_LEGACY[Q])</f>
        <v>0</v>
      </c>
      <c r="V7" s="263">
        <f>SUBTOTAL(109,JED_ASW_LF_LEGACY[K])</f>
        <v>0</v>
      </c>
      <c r="W7" s="263">
        <f>SUBTOTAL(109,JED_ASW_LF_LEGACY[V])</f>
        <v>0</v>
      </c>
      <c r="X7" s="263">
        <f>SUBTOTAL(109,JED_ASW_LF_LEGACY[L])</f>
        <v>0</v>
      </c>
      <c r="Y7" s="263">
        <f>SUBTOTAL(109,JED_ASW_LF_LEGACY[G])</f>
        <v>0</v>
      </c>
      <c r="Z7" s="263">
        <f>SUBTOTAL(109,JED_ASW_LF_LEGACY[S])</f>
        <v>0</v>
      </c>
      <c r="AA7" s="263">
        <f>SUBTOTAL(109,JED_ASW_LF_LEGACY[W])</f>
        <v>0</v>
      </c>
      <c r="AB7" s="263">
        <f>SUBTOTAL(109,JED_ASW_LF_LEGACY[T])</f>
        <v>0</v>
      </c>
      <c r="AC7" s="263">
        <f>SUBTOTAL(109,JED_ASW_LF_LEGACY[X])</f>
        <v>0</v>
      </c>
      <c r="AD7" s="263">
        <f>SUBTOTAL(109,JED_ASW_LF_LEGACY[U])</f>
        <v>0</v>
      </c>
      <c r="AE7" s="263">
        <f>SUBTOTAL(109,JED_ASW_LF_LEGACY[O])</f>
        <v>0</v>
      </c>
      <c r="AF7" s="263">
        <f>SUBTOTAL(109,JED_ASW_LF_LEGACY[I])</f>
        <v>0</v>
      </c>
      <c r="AG7" s="263">
        <f>SUBTOTAL(109,JED_ASW_LF_LEGACY[E])</f>
        <v>0</v>
      </c>
      <c r="AH7" s="263">
        <f>SUBTOTAL(109,JED_ASW_LF_LEGACY[A])</f>
        <v>0</v>
      </c>
      <c r="AI7" s="263">
        <f>SUBTOTAL(109,JED_ASW_LF_LEGACY[P])</f>
        <v>0</v>
      </c>
      <c r="AJ7" s="263">
        <f>SUBTOTAL(103,JED_ASW_LF_LEGACY[N])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5"/>
  <sheetViews>
    <sheetView workbookViewId="0"/>
  </sheetViews>
  <sheetFormatPr defaultRowHeight="14.4" x14ac:dyDescent="0.3"/>
  <cols>
    <col min="6" max="6" width="16.55468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513</v>
      </c>
      <c r="G1" s="2" t="s">
        <v>2</v>
      </c>
      <c r="H1" s="237" t="s">
        <v>465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45984.112367336937</v>
      </c>
      <c r="H2" s="238"/>
      <c r="I2" s="238"/>
      <c r="J2" s="238"/>
      <c r="K2" s="247">
        <v>45984.112367337591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0"/>
      <c r="B4" s="230"/>
      <c r="C4" s="230"/>
      <c r="D4" s="230"/>
      <c r="E4" s="230"/>
      <c r="F4" s="230"/>
      <c r="G4" s="230"/>
      <c r="H4" s="231"/>
      <c r="I4" s="232"/>
      <c r="J4" s="232"/>
      <c r="K4" s="232"/>
      <c r="L4" s="232"/>
      <c r="M4" s="232"/>
      <c r="N4" s="232"/>
      <c r="O4" s="232"/>
      <c r="P4" s="232"/>
      <c r="Q4" s="232"/>
      <c r="R4" s="23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"/>
  <sheetViews>
    <sheetView workbookViewId="0"/>
  </sheetViews>
  <sheetFormatPr defaultRowHeight="15.6" outlineLevelCol="1" x14ac:dyDescent="0.3"/>
  <cols>
    <col min="1" max="1" width="4.109375" style="252" bestFit="1" customWidth="1"/>
    <col min="2" max="2" width="5.33203125" style="252" bestFit="1" customWidth="1"/>
    <col min="3" max="3" width="3" style="252" bestFit="1" customWidth="1"/>
    <col min="4" max="4" width="4.21875" style="252" bestFit="1" customWidth="1"/>
    <col min="5" max="5" width="7.109375" style="252" bestFit="1" customWidth="1"/>
    <col min="6" max="6" width="4" style="252" bestFit="1" customWidth="1"/>
    <col min="7" max="8" width="4.21875" style="252" bestFit="1" customWidth="1"/>
    <col min="9" max="10" width="6.44140625" style="252" bestFit="1" customWidth="1"/>
    <col min="11" max="11" width="6.109375" style="252" bestFit="1" customWidth="1"/>
    <col min="12" max="12" width="8.77734375" style="252" bestFit="1" customWidth="1"/>
    <col min="13" max="13" width="7.33203125" style="252" bestFit="1" customWidth="1" outlineLevel="1"/>
    <col min="14" max="14" width="6" style="252" bestFit="1" customWidth="1" outlineLevel="1"/>
    <col min="15" max="15" width="7.6640625" style="252" bestFit="1" customWidth="1" outlineLevel="1"/>
    <col min="16" max="16" width="13.21875" style="252" bestFit="1" customWidth="1"/>
    <col min="17" max="17" width="2" style="252" bestFit="1" customWidth="1"/>
    <col min="18" max="18" width="2.109375" style="252" bestFit="1" customWidth="1"/>
    <col min="19" max="19" width="2.6640625" style="252" bestFit="1" customWidth="1"/>
    <col min="20" max="20" width="2.21875" style="252" bestFit="1" customWidth="1"/>
    <col min="21" max="21" width="2.33203125" style="252" bestFit="1" customWidth="1"/>
    <col min="22" max="22" width="2" style="252" bestFit="1" customWidth="1"/>
    <col min="23" max="23" width="2.109375" style="252" bestFit="1" customWidth="1"/>
    <col min="24" max="24" width="1.88671875" style="252" bestFit="1" customWidth="1"/>
    <col min="25" max="25" width="2.21875" style="252" bestFit="1" customWidth="1"/>
    <col min="26" max="26" width="1.88671875" style="252" bestFit="1" customWidth="1"/>
    <col min="27" max="27" width="2.77734375" style="252" bestFit="1" customWidth="1"/>
    <col min="28" max="29" width="2" style="252" bestFit="1" customWidth="1"/>
    <col min="30" max="31" width="2.33203125" style="252" bestFit="1" customWidth="1"/>
    <col min="32" max="32" width="1.5546875" style="252" bestFit="1" customWidth="1"/>
    <col min="33" max="33" width="2" style="252" bestFit="1" customWidth="1"/>
    <col min="34" max="34" width="2.109375" style="252" bestFit="1" customWidth="1"/>
    <col min="35" max="35" width="2" style="252" bestFit="1" customWidth="1"/>
    <col min="36" max="36" width="2.3320312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5"/>
  <sheetViews>
    <sheetView workbookViewId="0"/>
  </sheetViews>
  <sheetFormatPr defaultRowHeight="14.4" x14ac:dyDescent="0.3"/>
  <cols>
    <col min="6" max="6" width="17.777343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239" t="s">
        <v>0</v>
      </c>
      <c r="B1" s="238"/>
      <c r="C1" s="238"/>
      <c r="D1" s="238"/>
      <c r="E1" s="238"/>
      <c r="F1" s="1" t="s">
        <v>514</v>
      </c>
      <c r="G1" s="2" t="s">
        <v>2</v>
      </c>
      <c r="H1" s="237" t="s">
        <v>465</v>
      </c>
      <c r="I1" s="238"/>
      <c r="J1" s="238"/>
      <c r="K1" s="238"/>
      <c r="L1" s="238"/>
      <c r="M1" s="1" t="s">
        <v>4</v>
      </c>
      <c r="N1" s="246" t="s">
        <v>5</v>
      </c>
      <c r="O1" s="238"/>
      <c r="P1" s="238"/>
      <c r="Q1" s="238"/>
      <c r="R1" s="23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4" t="s">
        <v>6</v>
      </c>
      <c r="B2" s="238"/>
      <c r="C2" s="238"/>
      <c r="D2" s="238"/>
      <c r="E2" s="238"/>
      <c r="F2" s="238"/>
      <c r="G2" s="245">
        <v>45984.112367492802</v>
      </c>
      <c r="H2" s="238"/>
      <c r="I2" s="238"/>
      <c r="J2" s="238"/>
      <c r="K2" s="247">
        <v>45984.112367493362</v>
      </c>
      <c r="L2" s="238"/>
      <c r="M2" s="238"/>
      <c r="N2" s="238"/>
      <c r="O2" s="238"/>
      <c r="P2" s="238"/>
      <c r="Q2" s="238"/>
      <c r="R2" s="2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9" t="s">
        <v>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0"/>
      <c r="B4" s="230"/>
      <c r="C4" s="230"/>
      <c r="D4" s="230"/>
      <c r="E4" s="230"/>
      <c r="F4" s="230"/>
      <c r="G4" s="230"/>
      <c r="H4" s="231"/>
      <c r="I4" s="232"/>
      <c r="J4" s="232"/>
      <c r="K4" s="232"/>
      <c r="L4" s="232"/>
      <c r="M4" s="232"/>
      <c r="N4" s="232"/>
      <c r="O4" s="232"/>
      <c r="P4" s="232"/>
      <c r="Q4" s="232"/>
      <c r="R4" s="23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"/>
  <sheetViews>
    <sheetView workbookViewId="0"/>
  </sheetViews>
  <sheetFormatPr defaultRowHeight="15.6" outlineLevelCol="1" x14ac:dyDescent="0.3"/>
  <cols>
    <col min="1" max="1" width="4.109375" style="252" bestFit="1" customWidth="1"/>
    <col min="2" max="2" width="5.33203125" style="252" bestFit="1" customWidth="1"/>
    <col min="3" max="3" width="3" style="252" bestFit="1" customWidth="1"/>
    <col min="4" max="4" width="4.21875" style="252" bestFit="1" customWidth="1"/>
    <col min="5" max="5" width="7.109375" style="252" bestFit="1" customWidth="1"/>
    <col min="6" max="6" width="4" style="252" bestFit="1" customWidth="1"/>
    <col min="7" max="8" width="4.21875" style="252" bestFit="1" customWidth="1"/>
    <col min="9" max="10" width="6.44140625" style="252" bestFit="1" customWidth="1"/>
    <col min="11" max="11" width="6.109375" style="252" bestFit="1" customWidth="1"/>
    <col min="12" max="12" width="8.77734375" style="252" bestFit="1" customWidth="1"/>
    <col min="13" max="13" width="7.33203125" style="252" bestFit="1" customWidth="1" outlineLevel="1"/>
    <col min="14" max="14" width="6" style="252" bestFit="1" customWidth="1" outlineLevel="1"/>
    <col min="15" max="15" width="7.6640625" style="252" bestFit="1" customWidth="1" outlineLevel="1"/>
    <col min="16" max="16" width="13.21875" style="252" bestFit="1" customWidth="1"/>
    <col min="17" max="17" width="2" style="252" bestFit="1" customWidth="1"/>
    <col min="18" max="18" width="2.109375" style="252" bestFit="1" customWidth="1"/>
    <col min="19" max="19" width="2.6640625" style="252" bestFit="1" customWidth="1"/>
    <col min="20" max="20" width="2.21875" style="252" bestFit="1" customWidth="1"/>
    <col min="21" max="21" width="2.33203125" style="252" bestFit="1" customWidth="1"/>
    <col min="22" max="22" width="2" style="252" bestFit="1" customWidth="1"/>
    <col min="23" max="23" width="2.109375" style="252" bestFit="1" customWidth="1"/>
    <col min="24" max="24" width="1.88671875" style="252" bestFit="1" customWidth="1"/>
    <col min="25" max="25" width="2.21875" style="252" bestFit="1" customWidth="1"/>
    <col min="26" max="26" width="1.88671875" style="252" bestFit="1" customWidth="1"/>
    <col min="27" max="27" width="2.77734375" style="252" bestFit="1" customWidth="1"/>
    <col min="28" max="29" width="2" style="252" bestFit="1" customWidth="1"/>
    <col min="30" max="31" width="2.33203125" style="252" bestFit="1" customWidth="1"/>
    <col min="32" max="32" width="1.5546875" style="252" bestFit="1" customWidth="1"/>
    <col min="33" max="33" width="2" style="252" bestFit="1" customWidth="1"/>
    <col min="34" max="34" width="2.109375" style="252" bestFit="1" customWidth="1"/>
    <col min="35" max="35" width="2" style="252" bestFit="1" customWidth="1"/>
    <col min="36" max="36" width="2.33203125" style="252" bestFit="1" customWidth="1"/>
    <col min="37" max="16384" width="8.88671875" style="252"/>
  </cols>
  <sheetData>
    <row r="1" spans="1:36" x14ac:dyDescent="0.3">
      <c r="A1" s="251" t="s">
        <v>271</v>
      </c>
      <c r="B1" s="251" t="s">
        <v>272</v>
      </c>
      <c r="C1" s="251" t="s">
        <v>273</v>
      </c>
      <c r="D1" s="251" t="s">
        <v>25</v>
      </c>
      <c r="E1" s="251" t="s">
        <v>274</v>
      </c>
      <c r="F1" s="251" t="s">
        <v>275</v>
      </c>
      <c r="G1" s="251" t="s">
        <v>18</v>
      </c>
      <c r="H1" s="251" t="s">
        <v>276</v>
      </c>
      <c r="I1" s="251" t="s">
        <v>277</v>
      </c>
      <c r="J1" s="251" t="s">
        <v>278</v>
      </c>
      <c r="K1" s="251" t="s">
        <v>279</v>
      </c>
      <c r="L1" s="251" t="s">
        <v>20</v>
      </c>
      <c r="M1" s="251" t="s">
        <v>22</v>
      </c>
      <c r="N1" s="251" t="s">
        <v>23</v>
      </c>
      <c r="O1" s="251" t="s">
        <v>21</v>
      </c>
      <c r="P1" s="251" t="s">
        <v>24</v>
      </c>
      <c r="Q1" s="251" t="s">
        <v>280</v>
      </c>
      <c r="R1" s="251" t="s">
        <v>281</v>
      </c>
      <c r="S1" s="251" t="s">
        <v>282</v>
      </c>
      <c r="T1" s="251" t="s">
        <v>283</v>
      </c>
      <c r="U1" s="251" t="s">
        <v>284</v>
      </c>
      <c r="V1" s="251" t="s">
        <v>285</v>
      </c>
      <c r="W1" s="251" t="s">
        <v>286</v>
      </c>
      <c r="X1" s="251" t="s">
        <v>287</v>
      </c>
      <c r="Y1" s="251" t="s">
        <v>288</v>
      </c>
      <c r="Z1" s="251" t="s">
        <v>289</v>
      </c>
      <c r="AA1" s="251" t="s">
        <v>290</v>
      </c>
      <c r="AB1" s="251" t="s">
        <v>291</v>
      </c>
      <c r="AC1" s="251" t="s">
        <v>292</v>
      </c>
      <c r="AD1" s="251" t="s">
        <v>293</v>
      </c>
      <c r="AE1" s="251" t="s">
        <v>294</v>
      </c>
      <c r="AF1" s="251" t="s">
        <v>295</v>
      </c>
      <c r="AG1" s="251" t="s">
        <v>296</v>
      </c>
      <c r="AH1" s="251" t="s">
        <v>297</v>
      </c>
      <c r="AI1" s="251" t="s">
        <v>298</v>
      </c>
      <c r="AJ1" s="251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JED-CAI</vt:lpstr>
      <vt:lpstr>JED-CAI LF LEGACY</vt:lpstr>
      <vt:lpstr>JED-HBE</vt:lpstr>
      <vt:lpstr>JED-HBE LF LEGACY</vt:lpstr>
      <vt:lpstr>JED-ATZ</vt:lpstr>
      <vt:lpstr>JED-ATZ LF LEGACY</vt:lpstr>
      <vt:lpstr>JED-LXR</vt:lpstr>
      <vt:lpstr>JED-LXR LF LEGACY</vt:lpstr>
      <vt:lpstr>JED-ASW</vt:lpstr>
      <vt:lpstr>JED-ASW LF LEGACY</vt:lpstr>
      <vt:lpstr>JED-SSH</vt:lpstr>
      <vt:lpstr>JED-SSH LF LEGACY</vt:lpstr>
      <vt:lpstr>JED-HRG</vt:lpstr>
      <vt:lpstr>JED-HRG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2025-11-22T23:42:21Z</dcterms:created>
  <dcterms:modified xsi:type="dcterms:W3CDTF">2025-11-22T23:43:01Z</dcterms:modified>
</cp:coreProperties>
</file>