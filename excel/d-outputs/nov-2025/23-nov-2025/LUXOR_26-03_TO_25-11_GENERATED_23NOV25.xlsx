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CODERED\OUTPUTS\"/>
    </mc:Choice>
  </mc:AlternateContent>
  <xr:revisionPtr revIDLastSave="0" documentId="13_ncr:1_{3FEDE13D-CDC5-4783-BF26-5293921F19F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LXR-JED" sheetId="1" r:id="rId1"/>
    <sheet name="LXR-JED LF LEGACY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18" i="2" l="1"/>
  <c r="E18" i="2"/>
  <c r="G18" i="2"/>
  <c r="H18" i="2"/>
  <c r="I18" i="2"/>
  <c r="J18" i="2"/>
  <c r="M18" i="2"/>
  <c r="N18" i="2"/>
  <c r="O18" i="2"/>
  <c r="Q18" i="2"/>
  <c r="R18" i="2"/>
  <c r="S18" i="2"/>
  <c r="T18" i="2"/>
  <c r="U18" i="2"/>
  <c r="V18" i="2"/>
  <c r="W18" i="2"/>
  <c r="X18" i="2"/>
  <c r="Y18" i="2"/>
  <c r="Z18" i="2"/>
  <c r="AA18" i="2"/>
  <c r="AB18" i="2"/>
  <c r="AC18" i="2"/>
  <c r="AD18" i="2"/>
  <c r="AE18" i="2"/>
  <c r="AF18" i="2"/>
  <c r="AG18" i="2"/>
  <c r="AH18" i="2"/>
  <c r="AI18" i="2"/>
  <c r="AJ18" i="2"/>
</calcChain>
</file>

<file path=xl/sharedStrings.xml><?xml version="1.0" encoding="utf-8"?>
<sst xmlns="http://schemas.openxmlformats.org/spreadsheetml/2006/main" count="461" uniqueCount="78">
  <si>
    <t>COMPREHENSIVE REPORT</t>
  </si>
  <si>
    <t>LXR-JED</t>
  </si>
  <si>
    <t>FROM</t>
  </si>
  <si>
    <t>2026-01-28</t>
  </si>
  <si>
    <t>TO</t>
  </si>
  <si>
    <t>2026-03-01</t>
  </si>
  <si>
    <t>THIS REPORT GENERATED AT</t>
  </si>
  <si>
    <t>This report uses three pricing arrangement patterns: Pattern 1 is the general ranking among all airlines within the same day, distinguished by thick lines and red color. Pattern 2 is the internal ranking for each airline among its different flights, distinguished by thick lines only at the beginning of each flight within the same airline. Pattern 3 is the price arrangement within a single flight according to price to show differences in features, such as allowed baggage weight</t>
  </si>
  <si>
    <t>OAL</t>
  </si>
  <si>
    <t>LOAD FACTOR ANALYSIS</t>
  </si>
  <si>
    <t>AIRLINE</t>
  </si>
  <si>
    <t>FLIGHT NUM</t>
  </si>
  <si>
    <t>DEPARTURE</t>
  </si>
  <si>
    <t>BAGGAGE</t>
  </si>
  <si>
    <t>AVAILABILITY</t>
  </si>
  <si>
    <t>PUBLISHED FARE</t>
  </si>
  <si>
    <t>RECOMMENDATIONS</t>
  </si>
  <si>
    <t>FLIGHT</t>
  </si>
  <si>
    <t>LF%</t>
  </si>
  <si>
    <t>SOLD</t>
  </si>
  <si>
    <t>LST-SOLD</t>
  </si>
  <si>
    <t>WEEKLY</t>
  </si>
  <si>
    <t>TO-DAY</t>
  </si>
  <si>
    <t>Y-DAY</t>
  </si>
  <si>
    <t>LOWEST AVAIL</t>
  </si>
  <si>
    <t>DEP</t>
  </si>
  <si>
    <t>CAPACITY</t>
  </si>
  <si>
    <t>CLASSES</t>
  </si>
  <si>
    <t>Air Cairo</t>
  </si>
  <si>
    <t>SM481</t>
  </si>
  <si>
    <t>30KG + 7KG CABIN</t>
  </si>
  <si>
    <t>FULLY BOOKED</t>
  </si>
  <si>
    <t>NIL</t>
  </si>
  <si>
    <t>CLOSED</t>
  </si>
  <si>
    <t>SM429</t>
  </si>
  <si>
    <t>SM483</t>
  </si>
  <si>
    <t>SM981</t>
  </si>
  <si>
    <t>Day</t>
  </si>
  <si>
    <t>Flt Dt</t>
  </si>
  <si>
    <t>Flt</t>
  </si>
  <si>
    <t>Brd-Off</t>
  </si>
  <si>
    <t>Eqp</t>
  </si>
  <si>
    <t>CAP</t>
  </si>
  <si>
    <t>BKG(Y)</t>
  </si>
  <si>
    <t>GRP(Y)</t>
  </si>
  <si>
    <t>FLT ST</t>
  </si>
  <si>
    <t>Y</t>
  </si>
  <si>
    <t>B</t>
  </si>
  <si>
    <t>M</t>
  </si>
  <si>
    <t>H</t>
  </si>
  <si>
    <t>Q</t>
  </si>
  <si>
    <t>K</t>
  </si>
  <si>
    <t>V</t>
  </si>
  <si>
    <t>L</t>
  </si>
  <si>
    <t>G</t>
  </si>
  <si>
    <t>S</t>
  </si>
  <si>
    <t>W</t>
  </si>
  <si>
    <t>T</t>
  </si>
  <si>
    <t>X</t>
  </si>
  <si>
    <t>U</t>
  </si>
  <si>
    <t>O</t>
  </si>
  <si>
    <t>I</t>
  </si>
  <si>
    <t>E</t>
  </si>
  <si>
    <t>A</t>
  </si>
  <si>
    <t>P</t>
  </si>
  <si>
    <t>N</t>
  </si>
  <si>
    <t>MONDAY</t>
  </si>
  <si>
    <t>23:05</t>
  </si>
  <si>
    <t>320</t>
  </si>
  <si>
    <t>UPCOMING</t>
  </si>
  <si>
    <t>TUESDAY</t>
  </si>
  <si>
    <t>06:20</t>
  </si>
  <si>
    <t>15:20</t>
  </si>
  <si>
    <t>19:00</t>
  </si>
  <si>
    <t>04:35</t>
  </si>
  <si>
    <t>15:05</t>
  </si>
  <si>
    <t>14:50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</si>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</sst>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[$-F800]dddd\,\ mmmm\ dd\,\ yyyy"/>
    <numFmt numFmtId="166" formatCode="dddd\,\ mmmm\ dd\,\ yyyy"/>
    <numFmt numFmtId="167" formatCode="h:mm;@"/>
    <numFmt numFmtId="168" formatCode="0.0%"/>
    <numFmt numFmtId="169" formatCode="[$-409]dddd"/>
  </numFmts>
  <fonts count="20" x14ac:knownFonts="1">
    <font>
      <sz val="11"/>
      <color theme="1"/>
      <name val="Calibri"/>
      <family val="2"/>
      <scheme val="minor"/>
    </font>
    <font>
      <b/>
      <i/>
      <sz val="22"/>
      <color rgb="FFFFFFFF"/>
      <name val="Calibri"/>
    </font>
    <font>
      <b/>
      <i/>
      <sz val="16"/>
      <color rgb="FFED7D31"/>
      <name val="Calibri"/>
    </font>
    <font>
      <b/>
      <i/>
      <u/>
      <sz val="18"/>
      <name val="Calibri"/>
    </font>
    <font>
      <b/>
      <i/>
      <sz val="18"/>
      <name val="Calibri"/>
    </font>
    <font>
      <i/>
      <sz val="13"/>
      <name val="Calibri"/>
    </font>
    <font>
      <b/>
      <i/>
      <sz val="20"/>
      <color rgb="FFFFFFFF"/>
      <name val="Calibri"/>
    </font>
    <font>
      <b/>
      <i/>
      <sz val="20"/>
      <name val="Calibri"/>
    </font>
    <font>
      <b/>
      <i/>
      <sz val="18"/>
      <color rgb="FFFFFFFF"/>
      <name val="Calibri"/>
    </font>
    <font>
      <b/>
      <i/>
      <sz val="14"/>
      <color rgb="FF000000"/>
      <name val="Calibri"/>
    </font>
    <font>
      <b/>
      <i/>
      <sz val="16"/>
      <color rgb="FF000000"/>
      <name val="Calibri"/>
    </font>
    <font>
      <b/>
      <i/>
      <sz val="12"/>
      <color rgb="FFBC0000"/>
      <name val="Calibri"/>
    </font>
    <font>
      <i/>
      <sz val="18"/>
      <color rgb="FFFF0000"/>
      <name val="Calibri"/>
    </font>
    <font>
      <b/>
      <i/>
      <sz val="13"/>
      <name val="Calibri"/>
    </font>
    <font>
      <b/>
      <i/>
      <sz val="13"/>
      <color rgb="FF9C0006"/>
      <name val="Calibri"/>
    </font>
    <font>
      <b/>
      <i/>
      <sz val="14"/>
      <name val="Calibri"/>
    </font>
    <font>
      <sz val="12"/>
      <color theme="1"/>
      <name val="Calibri"/>
    </font>
    <font>
      <b/>
      <i/>
      <sz val="12"/>
      <name val="Calibri"/>
    </font>
    <font>
      <b/>
      <i/>
      <sz val="12"/>
      <color theme="1"/>
      <name val="Calibri"/>
      <family val="2"/>
      <scheme val="minor"/>
    </font>
    <font>
      <b/>
      <i/>
      <sz val="16"/>
      <color rgb="FFFFFFFF"/>
      <name val="Calibri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rgb="FF002060"/>
      </patternFill>
    </fill>
    <fill>
      <patternFill patternType="solid">
        <fgColor rgb="FFFFFF99"/>
      </patternFill>
    </fill>
    <fill>
      <patternFill patternType="solid">
        <fgColor rgb="FF2600FF"/>
      </patternFill>
    </fill>
    <fill>
      <patternFill patternType="solid">
        <fgColor rgb="FFFFA442"/>
      </patternFill>
    </fill>
    <fill>
      <patternFill patternType="solid">
        <fgColor rgb="FF00B0F0"/>
      </patternFill>
    </fill>
    <fill>
      <patternFill patternType="solid">
        <fgColor rgb="FFA8F0BD"/>
      </patternFill>
    </fill>
    <fill>
      <patternFill patternType="solid">
        <fgColor rgb="FFD8E4BC"/>
      </patternFill>
    </fill>
    <fill>
      <patternFill patternType="solid">
        <fgColor rgb="FFCCCCCC"/>
        <bgColor rgb="FFCCCCCC"/>
      </patternFill>
    </fill>
    <fill>
      <patternFill patternType="solid">
        <fgColor rgb="FFFFFFCC"/>
      </patternFill>
    </fill>
    <fill>
      <patternFill patternType="solid">
        <fgColor rgb="FFFFE4B5"/>
      </patternFill>
    </fill>
    <fill>
      <patternFill patternType="solid">
        <fgColor rgb="FFC7FFFF"/>
      </patternFill>
    </fill>
    <fill>
      <patternFill patternType="solid">
        <fgColor rgb="FFB5E7D3"/>
      </patternFill>
    </fill>
    <fill>
      <patternFill patternType="solid">
        <fgColor rgb="FFC5D9F1"/>
      </patternFill>
    </fill>
    <fill>
      <patternFill patternType="solid">
        <fgColor rgb="FF365492"/>
        <bgColor indexed="64"/>
      </patternFill>
    </fill>
  </fills>
  <borders count="19"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ck">
        <color rgb="FFFFFFFF"/>
      </left>
      <right style="thick">
        <color rgb="FFFFFFFF"/>
      </right>
      <top style="thick">
        <color rgb="FFFFFFFF"/>
      </top>
      <bottom style="thick">
        <color rgb="FFFFFFFF"/>
      </bottom>
      <diagonal/>
    </border>
    <border>
      <left style="thick">
        <color rgb="FFD040E3"/>
      </left>
      <right style="thick">
        <color rgb="FFD040E3"/>
      </right>
      <top style="thick">
        <color rgb="FFD040E3"/>
      </top>
      <bottom style="thick">
        <color rgb="FFD040E3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ck">
        <color rgb="FFD040E3"/>
      </left>
      <right style="thick">
        <color rgb="FFD040E3"/>
      </right>
      <top/>
      <bottom/>
      <diagonal/>
    </border>
    <border>
      <left style="thick">
        <color rgb="FFD040E3"/>
      </left>
      <right style="thick">
        <color rgb="FFD040E3"/>
      </right>
      <top/>
      <bottom style="thick">
        <color rgb="FFD040E3"/>
      </bottom>
      <diagonal/>
    </border>
    <border>
      <left style="thick">
        <color rgb="FFA0A0A0"/>
      </left>
      <right/>
      <top/>
      <bottom style="thick">
        <color rgb="FFA0A0A0"/>
      </bottom>
      <diagonal/>
    </border>
    <border>
      <left/>
      <right/>
      <top/>
      <bottom style="thick">
        <color rgb="FFA0A0A0"/>
      </bottom>
      <diagonal/>
    </border>
    <border>
      <left/>
      <right style="thick">
        <color rgb="FFA0A0A0"/>
      </right>
      <top/>
      <bottom style="thick">
        <color rgb="FFA0A0A0"/>
      </bottom>
      <diagonal/>
    </border>
  </borders>
  <cellStyleXfs count="1">
    <xf numFmtId="0" fontId="0" fillId="0" borderId="0"/>
  </cellStyleXfs>
  <cellXfs count="14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right" vertical="center"/>
    </xf>
    <xf numFmtId="0" fontId="0" fillId="0" borderId="1" xfId="0" applyBorder="1"/>
    <xf numFmtId="166" fontId="7" fillId="5" borderId="2" xfId="0" applyNumberFormat="1" applyFont="1" applyFill="1" applyBorder="1" applyAlignment="1">
      <alignment horizontal="center" vertical="center"/>
    </xf>
    <xf numFmtId="0" fontId="9" fillId="6" borderId="2" xfId="0" applyFont="1" applyFill="1" applyBorder="1" applyAlignment="1">
      <alignment horizontal="center" vertical="center"/>
    </xf>
    <xf numFmtId="0" fontId="10" fillId="6" borderId="2" xfId="0" applyFont="1" applyFill="1" applyBorder="1" applyAlignment="1">
      <alignment horizontal="center" vertical="center"/>
    </xf>
    <xf numFmtId="0" fontId="10" fillId="7" borderId="3" xfId="0" applyFont="1" applyFill="1" applyBorder="1" applyAlignment="1">
      <alignment horizontal="center" vertical="center"/>
    </xf>
    <xf numFmtId="49" fontId="11" fillId="8" borderId="2" xfId="0" applyNumberFormat="1" applyFont="1" applyFill="1" applyBorder="1" applyAlignment="1">
      <alignment horizontal="center" vertical="center"/>
    </xf>
    <xf numFmtId="167" fontId="11" fillId="8" borderId="2" xfId="0" applyNumberFormat="1" applyFont="1" applyFill="1" applyBorder="1" applyAlignment="1">
      <alignment horizontal="center" vertical="center"/>
    </xf>
    <xf numFmtId="0" fontId="11" fillId="8" borderId="2" xfId="0" applyFont="1" applyFill="1" applyBorder="1" applyAlignment="1">
      <alignment horizontal="center" vertical="center"/>
    </xf>
    <xf numFmtId="49" fontId="13" fillId="8" borderId="5" xfId="0" applyNumberFormat="1" applyFont="1" applyFill="1" applyBorder="1" applyAlignment="1">
      <alignment horizontal="center" vertical="center"/>
    </xf>
    <xf numFmtId="168" fontId="14" fillId="8" borderId="6" xfId="0" applyNumberFormat="1" applyFont="1" applyFill="1" applyBorder="1" applyAlignment="1">
      <alignment horizontal="center" vertical="center"/>
    </xf>
    <xf numFmtId="1" fontId="13" fillId="8" borderId="6" xfId="0" applyNumberFormat="1" applyFont="1" applyFill="1" applyBorder="1" applyAlignment="1">
      <alignment horizontal="center" vertical="center"/>
    </xf>
    <xf numFmtId="16" fontId="13" fillId="8" borderId="6" xfId="0" applyNumberFormat="1" applyFont="1" applyFill="1" applyBorder="1" applyAlignment="1">
      <alignment horizontal="center" vertical="center"/>
    </xf>
    <xf numFmtId="49" fontId="15" fillId="8" borderId="6" xfId="0" applyNumberFormat="1" applyFont="1" applyFill="1" applyBorder="1" applyAlignment="1">
      <alignment horizontal="center" vertical="center"/>
    </xf>
    <xf numFmtId="167" fontId="13" fillId="8" borderId="6" xfId="0" applyNumberFormat="1" applyFont="1" applyFill="1" applyBorder="1" applyAlignment="1">
      <alignment horizontal="center" vertical="center"/>
    </xf>
    <xf numFmtId="49" fontId="13" fillId="8" borderId="7" xfId="0" applyNumberFormat="1" applyFont="1" applyFill="1" applyBorder="1" applyAlignment="1">
      <alignment horizontal="center" vertical="center"/>
    </xf>
    <xf numFmtId="166" fontId="4" fillId="5" borderId="2" xfId="0" applyNumberFormat="1" applyFont="1" applyFill="1" applyBorder="1" applyAlignment="1">
      <alignment horizontal="center" vertical="center"/>
    </xf>
    <xf numFmtId="49" fontId="9" fillId="6" borderId="2" xfId="0" applyNumberFormat="1" applyFont="1" applyFill="1" applyBorder="1" applyAlignment="1">
      <alignment horizontal="center" vertical="center"/>
    </xf>
    <xf numFmtId="167" fontId="9" fillId="6" borderId="2" xfId="0" applyNumberFormat="1" applyFont="1" applyFill="1" applyBorder="1" applyAlignment="1">
      <alignment horizontal="center" vertical="center"/>
    </xf>
    <xf numFmtId="49" fontId="10" fillId="6" borderId="2" xfId="0" applyNumberFormat="1" applyFont="1" applyFill="1" applyBorder="1" applyAlignment="1">
      <alignment horizontal="center" vertical="center"/>
    </xf>
    <xf numFmtId="49" fontId="10" fillId="7" borderId="3" xfId="0" applyNumberFormat="1" applyFont="1" applyFill="1" applyBorder="1" applyAlignment="1">
      <alignment horizontal="center" vertical="center"/>
    </xf>
    <xf numFmtId="168" fontId="9" fillId="6" borderId="2" xfId="0" applyNumberFormat="1" applyFont="1" applyFill="1" applyBorder="1" applyAlignment="1">
      <alignment horizontal="center" vertical="center"/>
    </xf>
    <xf numFmtId="1" fontId="9" fillId="6" borderId="2" xfId="0" applyNumberFormat="1" applyFont="1" applyFill="1" applyBorder="1" applyAlignment="1">
      <alignment horizontal="center" vertical="center"/>
    </xf>
    <xf numFmtId="16" fontId="9" fillId="6" borderId="2" xfId="0" applyNumberFormat="1" applyFont="1" applyFill="1" applyBorder="1" applyAlignment="1">
      <alignment horizontal="center" vertical="center"/>
    </xf>
    <xf numFmtId="49" fontId="13" fillId="8" borderId="8" xfId="0" applyNumberFormat="1" applyFont="1" applyFill="1" applyBorder="1" applyAlignment="1">
      <alignment horizontal="center" vertical="center"/>
    </xf>
    <xf numFmtId="168" fontId="14" fillId="8" borderId="9" xfId="0" applyNumberFormat="1" applyFont="1" applyFill="1" applyBorder="1" applyAlignment="1">
      <alignment horizontal="center" vertical="center"/>
    </xf>
    <xf numFmtId="1" fontId="13" fillId="8" borderId="9" xfId="0" applyNumberFormat="1" applyFont="1" applyFill="1" applyBorder="1" applyAlignment="1">
      <alignment horizontal="center" vertical="center"/>
    </xf>
    <xf numFmtId="16" fontId="13" fillId="8" borderId="9" xfId="0" applyNumberFormat="1" applyFont="1" applyFill="1" applyBorder="1" applyAlignment="1">
      <alignment horizontal="center" vertical="center"/>
    </xf>
    <xf numFmtId="49" fontId="15" fillId="8" borderId="9" xfId="0" applyNumberFormat="1" applyFont="1" applyFill="1" applyBorder="1" applyAlignment="1">
      <alignment horizontal="center" vertical="center"/>
    </xf>
    <xf numFmtId="167" fontId="13" fillId="8" borderId="9" xfId="0" applyNumberFormat="1" applyFont="1" applyFill="1" applyBorder="1" applyAlignment="1">
      <alignment horizontal="center" vertical="center"/>
    </xf>
    <xf numFmtId="49" fontId="13" fillId="8" borderId="10" xfId="0" applyNumberFormat="1" applyFont="1" applyFill="1" applyBorder="1" applyAlignment="1">
      <alignment horizontal="center" vertical="center"/>
    </xf>
    <xf numFmtId="49" fontId="17" fillId="10" borderId="2" xfId="0" applyNumberFormat="1" applyFont="1" applyFill="1" applyBorder="1" applyAlignment="1">
      <alignment horizontal="center" vertical="center"/>
    </xf>
    <xf numFmtId="167" fontId="17" fillId="10" borderId="2" xfId="0" applyNumberFormat="1" applyFont="1" applyFill="1" applyBorder="1" applyAlignment="1">
      <alignment horizontal="center" vertical="center"/>
    </xf>
    <xf numFmtId="0" fontId="17" fillId="10" borderId="2" xfId="0" applyFont="1" applyFill="1" applyBorder="1" applyAlignment="1">
      <alignment horizontal="center" vertical="center"/>
    </xf>
    <xf numFmtId="49" fontId="13" fillId="10" borderId="8" xfId="0" applyNumberFormat="1" applyFont="1" applyFill="1" applyBorder="1" applyAlignment="1">
      <alignment horizontal="center" vertical="center"/>
    </xf>
    <xf numFmtId="168" fontId="14" fillId="10" borderId="9" xfId="0" applyNumberFormat="1" applyFont="1" applyFill="1" applyBorder="1" applyAlignment="1">
      <alignment horizontal="center" vertical="center"/>
    </xf>
    <xf numFmtId="1" fontId="13" fillId="10" borderId="9" xfId="0" applyNumberFormat="1" applyFont="1" applyFill="1" applyBorder="1" applyAlignment="1">
      <alignment horizontal="center" vertical="center"/>
    </xf>
    <xf numFmtId="16" fontId="13" fillId="10" borderId="9" xfId="0" applyNumberFormat="1" applyFont="1" applyFill="1" applyBorder="1" applyAlignment="1">
      <alignment horizontal="center" vertical="center"/>
    </xf>
    <xf numFmtId="49" fontId="15" fillId="10" borderId="9" xfId="0" applyNumberFormat="1" applyFont="1" applyFill="1" applyBorder="1" applyAlignment="1">
      <alignment horizontal="center" vertical="center"/>
    </xf>
    <xf numFmtId="167" fontId="13" fillId="10" borderId="9" xfId="0" applyNumberFormat="1" applyFont="1" applyFill="1" applyBorder="1" applyAlignment="1">
      <alignment horizontal="center" vertical="center"/>
    </xf>
    <xf numFmtId="49" fontId="13" fillId="10" borderId="10" xfId="0" applyNumberFormat="1" applyFont="1" applyFill="1" applyBorder="1" applyAlignment="1">
      <alignment horizontal="center" vertical="center"/>
    </xf>
    <xf numFmtId="49" fontId="17" fillId="11" borderId="11" xfId="0" applyNumberFormat="1" applyFont="1" applyFill="1" applyBorder="1" applyAlignment="1">
      <alignment horizontal="center" vertical="center"/>
    </xf>
    <xf numFmtId="167" fontId="17" fillId="11" borderId="11" xfId="0" applyNumberFormat="1" applyFont="1" applyFill="1" applyBorder="1" applyAlignment="1">
      <alignment horizontal="center" vertical="center"/>
    </xf>
    <xf numFmtId="0" fontId="17" fillId="11" borderId="11" xfId="0" applyFont="1" applyFill="1" applyBorder="1" applyAlignment="1">
      <alignment horizontal="center" vertical="center"/>
    </xf>
    <xf numFmtId="49" fontId="13" fillId="11" borderId="5" xfId="0" applyNumberFormat="1" applyFont="1" applyFill="1" applyBorder="1" applyAlignment="1">
      <alignment horizontal="center" vertical="center"/>
    </xf>
    <xf numFmtId="168" fontId="14" fillId="11" borderId="6" xfId="0" applyNumberFormat="1" applyFont="1" applyFill="1" applyBorder="1" applyAlignment="1">
      <alignment horizontal="center" vertical="center"/>
    </xf>
    <xf numFmtId="1" fontId="13" fillId="11" borderId="6" xfId="0" applyNumberFormat="1" applyFont="1" applyFill="1" applyBorder="1" applyAlignment="1">
      <alignment horizontal="center" vertical="center"/>
    </xf>
    <xf numFmtId="16" fontId="13" fillId="11" borderId="6" xfId="0" applyNumberFormat="1" applyFont="1" applyFill="1" applyBorder="1" applyAlignment="1">
      <alignment horizontal="center" vertical="center"/>
    </xf>
    <xf numFmtId="49" fontId="15" fillId="11" borderId="6" xfId="0" applyNumberFormat="1" applyFont="1" applyFill="1" applyBorder="1" applyAlignment="1">
      <alignment horizontal="center" vertical="center"/>
    </xf>
    <xf numFmtId="167" fontId="13" fillId="11" borderId="6" xfId="0" applyNumberFormat="1" applyFont="1" applyFill="1" applyBorder="1" applyAlignment="1">
      <alignment horizontal="center" vertical="center"/>
    </xf>
    <xf numFmtId="49" fontId="13" fillId="11" borderId="7" xfId="0" applyNumberFormat="1" applyFont="1" applyFill="1" applyBorder="1" applyAlignment="1">
      <alignment horizontal="center" vertical="center"/>
    </xf>
    <xf numFmtId="49" fontId="11" fillId="12" borderId="2" xfId="0" applyNumberFormat="1" applyFont="1" applyFill="1" applyBorder="1" applyAlignment="1">
      <alignment horizontal="center" vertical="center"/>
    </xf>
    <xf numFmtId="167" fontId="11" fillId="12" borderId="2" xfId="0" applyNumberFormat="1" applyFont="1" applyFill="1" applyBorder="1" applyAlignment="1">
      <alignment horizontal="center" vertical="center"/>
    </xf>
    <xf numFmtId="0" fontId="11" fillId="12" borderId="2" xfId="0" applyFont="1" applyFill="1" applyBorder="1" applyAlignment="1">
      <alignment horizontal="center" vertical="center"/>
    </xf>
    <xf numFmtId="49" fontId="13" fillId="12" borderId="8" xfId="0" applyNumberFormat="1" applyFont="1" applyFill="1" applyBorder="1" applyAlignment="1">
      <alignment horizontal="center" vertical="center"/>
    </xf>
    <xf numFmtId="168" fontId="14" fillId="12" borderId="9" xfId="0" applyNumberFormat="1" applyFont="1" applyFill="1" applyBorder="1" applyAlignment="1">
      <alignment horizontal="center" vertical="center"/>
    </xf>
    <xf numFmtId="1" fontId="13" fillId="12" borderId="9" xfId="0" applyNumberFormat="1" applyFont="1" applyFill="1" applyBorder="1" applyAlignment="1">
      <alignment horizontal="center" vertical="center"/>
    </xf>
    <xf numFmtId="16" fontId="13" fillId="12" borderId="9" xfId="0" applyNumberFormat="1" applyFont="1" applyFill="1" applyBorder="1" applyAlignment="1">
      <alignment horizontal="center" vertical="center"/>
    </xf>
    <xf numFmtId="49" fontId="15" fillId="12" borderId="9" xfId="0" applyNumberFormat="1" applyFont="1" applyFill="1" applyBorder="1" applyAlignment="1">
      <alignment horizontal="center" vertical="center"/>
    </xf>
    <xf numFmtId="167" fontId="13" fillId="12" borderId="9" xfId="0" applyNumberFormat="1" applyFont="1" applyFill="1" applyBorder="1" applyAlignment="1">
      <alignment horizontal="center" vertical="center"/>
    </xf>
    <xf numFmtId="49" fontId="13" fillId="12" borderId="10" xfId="0" applyNumberFormat="1" applyFont="1" applyFill="1" applyBorder="1" applyAlignment="1">
      <alignment horizontal="center" vertical="center"/>
    </xf>
    <xf numFmtId="49" fontId="17" fillId="13" borderId="11" xfId="0" applyNumberFormat="1" applyFont="1" applyFill="1" applyBorder="1" applyAlignment="1">
      <alignment horizontal="center" vertical="center"/>
    </xf>
    <xf numFmtId="167" fontId="17" fillId="13" borderId="11" xfId="0" applyNumberFormat="1" applyFont="1" applyFill="1" applyBorder="1" applyAlignment="1">
      <alignment horizontal="center" vertical="center"/>
    </xf>
    <xf numFmtId="0" fontId="17" fillId="13" borderId="11" xfId="0" applyFont="1" applyFill="1" applyBorder="1" applyAlignment="1">
      <alignment horizontal="center" vertical="center"/>
    </xf>
    <xf numFmtId="49" fontId="13" fillId="13" borderId="5" xfId="0" applyNumberFormat="1" applyFont="1" applyFill="1" applyBorder="1" applyAlignment="1">
      <alignment horizontal="center" vertical="center"/>
    </xf>
    <xf numFmtId="168" fontId="14" fillId="13" borderId="6" xfId="0" applyNumberFormat="1" applyFont="1" applyFill="1" applyBorder="1" applyAlignment="1">
      <alignment horizontal="center" vertical="center"/>
    </xf>
    <xf numFmtId="1" fontId="13" fillId="13" borderId="6" xfId="0" applyNumberFormat="1" applyFont="1" applyFill="1" applyBorder="1" applyAlignment="1">
      <alignment horizontal="center" vertical="center"/>
    </xf>
    <xf numFmtId="16" fontId="13" fillId="13" borderId="6" xfId="0" applyNumberFormat="1" applyFont="1" applyFill="1" applyBorder="1" applyAlignment="1">
      <alignment horizontal="center" vertical="center"/>
    </xf>
    <xf numFmtId="49" fontId="15" fillId="13" borderId="6" xfId="0" applyNumberFormat="1" applyFont="1" applyFill="1" applyBorder="1" applyAlignment="1">
      <alignment horizontal="center" vertical="center"/>
    </xf>
    <xf numFmtId="167" fontId="13" fillId="13" borderId="6" xfId="0" applyNumberFormat="1" applyFont="1" applyFill="1" applyBorder="1" applyAlignment="1">
      <alignment horizontal="center" vertical="center"/>
    </xf>
    <xf numFmtId="49" fontId="13" fillId="13" borderId="7" xfId="0" applyNumberFormat="1" applyFont="1" applyFill="1" applyBorder="1" applyAlignment="1">
      <alignment horizontal="center" vertical="center"/>
    </xf>
    <xf numFmtId="49" fontId="11" fillId="13" borderId="2" xfId="0" applyNumberFormat="1" applyFont="1" applyFill="1" applyBorder="1" applyAlignment="1">
      <alignment horizontal="center" vertical="center"/>
    </xf>
    <xf numFmtId="167" fontId="11" fillId="13" borderId="2" xfId="0" applyNumberFormat="1" applyFont="1" applyFill="1" applyBorder="1" applyAlignment="1">
      <alignment horizontal="center" vertical="center"/>
    </xf>
    <xf numFmtId="0" fontId="11" fillId="13" borderId="2" xfId="0" applyFont="1" applyFill="1" applyBorder="1" applyAlignment="1">
      <alignment horizontal="center" vertical="center"/>
    </xf>
    <xf numFmtId="49" fontId="17" fillId="8" borderId="2" xfId="0" applyNumberFormat="1" applyFont="1" applyFill="1" applyBorder="1" applyAlignment="1">
      <alignment horizontal="center" vertical="center"/>
    </xf>
    <xf numFmtId="167" fontId="17" fillId="8" borderId="2" xfId="0" applyNumberFormat="1" applyFont="1" applyFill="1" applyBorder="1" applyAlignment="1">
      <alignment horizontal="center" vertical="center"/>
    </xf>
    <xf numFmtId="0" fontId="17" fillId="8" borderId="2" xfId="0" applyFont="1" applyFill="1" applyBorder="1" applyAlignment="1">
      <alignment horizontal="center" vertical="center"/>
    </xf>
    <xf numFmtId="49" fontId="17" fillId="12" borderId="11" xfId="0" applyNumberFormat="1" applyFont="1" applyFill="1" applyBorder="1" applyAlignment="1">
      <alignment horizontal="center" vertical="center"/>
    </xf>
    <xf numFmtId="167" fontId="17" fillId="12" borderId="11" xfId="0" applyNumberFormat="1" applyFont="1" applyFill="1" applyBorder="1" applyAlignment="1">
      <alignment horizontal="center" vertical="center"/>
    </xf>
    <xf numFmtId="0" fontId="17" fillId="12" borderId="11" xfId="0" applyFont="1" applyFill="1" applyBorder="1" applyAlignment="1">
      <alignment horizontal="center" vertical="center"/>
    </xf>
    <xf numFmtId="49" fontId="13" fillId="12" borderId="5" xfId="0" applyNumberFormat="1" applyFont="1" applyFill="1" applyBorder="1" applyAlignment="1">
      <alignment horizontal="center" vertical="center"/>
    </xf>
    <xf numFmtId="168" fontId="14" fillId="12" borderId="6" xfId="0" applyNumberFormat="1" applyFont="1" applyFill="1" applyBorder="1" applyAlignment="1">
      <alignment horizontal="center" vertical="center"/>
    </xf>
    <xf numFmtId="1" fontId="13" fillId="12" borderId="6" xfId="0" applyNumberFormat="1" applyFont="1" applyFill="1" applyBorder="1" applyAlignment="1">
      <alignment horizontal="center" vertical="center"/>
    </xf>
    <xf numFmtId="16" fontId="13" fillId="12" borderId="6" xfId="0" applyNumberFormat="1" applyFont="1" applyFill="1" applyBorder="1" applyAlignment="1">
      <alignment horizontal="center" vertical="center"/>
    </xf>
    <xf numFmtId="49" fontId="15" fillId="12" borderId="6" xfId="0" applyNumberFormat="1" applyFont="1" applyFill="1" applyBorder="1" applyAlignment="1">
      <alignment horizontal="center" vertical="center"/>
    </xf>
    <xf numFmtId="167" fontId="13" fillId="12" borderId="6" xfId="0" applyNumberFormat="1" applyFont="1" applyFill="1" applyBorder="1" applyAlignment="1">
      <alignment horizontal="center" vertical="center"/>
    </xf>
    <xf numFmtId="49" fontId="13" fillId="12" borderId="7" xfId="0" applyNumberFormat="1" applyFont="1" applyFill="1" applyBorder="1" applyAlignment="1">
      <alignment horizontal="center" vertical="center"/>
    </xf>
    <xf numFmtId="49" fontId="11" fillId="10" borderId="2" xfId="0" applyNumberFormat="1" applyFont="1" applyFill="1" applyBorder="1" applyAlignment="1">
      <alignment horizontal="center" vertical="center"/>
    </xf>
    <xf numFmtId="167" fontId="11" fillId="10" borderId="2" xfId="0" applyNumberFormat="1" applyFont="1" applyFill="1" applyBorder="1" applyAlignment="1">
      <alignment horizontal="center" vertical="center"/>
    </xf>
    <xf numFmtId="0" fontId="11" fillId="10" borderId="2" xfId="0" applyFont="1" applyFill="1" applyBorder="1" applyAlignment="1">
      <alignment horizontal="center" vertical="center"/>
    </xf>
    <xf numFmtId="49" fontId="13" fillId="10" borderId="5" xfId="0" applyNumberFormat="1" applyFont="1" applyFill="1" applyBorder="1" applyAlignment="1">
      <alignment horizontal="center" vertical="center"/>
    </xf>
    <xf numFmtId="168" fontId="14" fillId="10" borderId="6" xfId="0" applyNumberFormat="1" applyFont="1" applyFill="1" applyBorder="1" applyAlignment="1">
      <alignment horizontal="center" vertical="center"/>
    </xf>
    <xf numFmtId="1" fontId="13" fillId="10" borderId="6" xfId="0" applyNumberFormat="1" applyFont="1" applyFill="1" applyBorder="1" applyAlignment="1">
      <alignment horizontal="center" vertical="center"/>
    </xf>
    <xf numFmtId="16" fontId="13" fillId="10" borderId="6" xfId="0" applyNumberFormat="1" applyFont="1" applyFill="1" applyBorder="1" applyAlignment="1">
      <alignment horizontal="center" vertical="center"/>
    </xf>
    <xf numFmtId="49" fontId="15" fillId="10" borderId="6" xfId="0" applyNumberFormat="1" applyFont="1" applyFill="1" applyBorder="1" applyAlignment="1">
      <alignment horizontal="center" vertical="center"/>
    </xf>
    <xf numFmtId="167" fontId="13" fillId="10" borderId="6" xfId="0" applyNumberFormat="1" applyFont="1" applyFill="1" applyBorder="1" applyAlignment="1">
      <alignment horizontal="center" vertical="center"/>
    </xf>
    <xf numFmtId="49" fontId="13" fillId="10" borderId="7" xfId="0" applyNumberFormat="1" applyFont="1" applyFill="1" applyBorder="1" applyAlignment="1">
      <alignment horizontal="center" vertical="center"/>
    </xf>
    <xf numFmtId="49" fontId="11" fillId="14" borderId="2" xfId="0" applyNumberFormat="1" applyFont="1" applyFill="1" applyBorder="1" applyAlignment="1">
      <alignment horizontal="center" vertical="center"/>
    </xf>
    <xf numFmtId="167" fontId="11" fillId="14" borderId="2" xfId="0" applyNumberFormat="1" applyFont="1" applyFill="1" applyBorder="1" applyAlignment="1">
      <alignment horizontal="center" vertical="center"/>
    </xf>
    <xf numFmtId="0" fontId="11" fillId="14" borderId="2" xfId="0" applyFont="1" applyFill="1" applyBorder="1" applyAlignment="1">
      <alignment horizontal="center" vertical="center"/>
    </xf>
    <xf numFmtId="49" fontId="13" fillId="14" borderId="8" xfId="0" applyNumberFormat="1" applyFont="1" applyFill="1" applyBorder="1" applyAlignment="1">
      <alignment horizontal="center" vertical="center"/>
    </xf>
    <xf numFmtId="168" fontId="14" fillId="14" borderId="9" xfId="0" applyNumberFormat="1" applyFont="1" applyFill="1" applyBorder="1" applyAlignment="1">
      <alignment horizontal="center" vertical="center"/>
    </xf>
    <xf numFmtId="1" fontId="13" fillId="14" borderId="9" xfId="0" applyNumberFormat="1" applyFont="1" applyFill="1" applyBorder="1" applyAlignment="1">
      <alignment horizontal="center" vertical="center"/>
    </xf>
    <xf numFmtId="16" fontId="13" fillId="14" borderId="9" xfId="0" applyNumberFormat="1" applyFont="1" applyFill="1" applyBorder="1" applyAlignment="1">
      <alignment horizontal="center" vertical="center"/>
    </xf>
    <xf numFmtId="49" fontId="15" fillId="14" borderId="9" xfId="0" applyNumberFormat="1" applyFont="1" applyFill="1" applyBorder="1" applyAlignment="1">
      <alignment horizontal="center" vertical="center"/>
    </xf>
    <xf numFmtId="167" fontId="13" fillId="14" borderId="9" xfId="0" applyNumberFormat="1" applyFont="1" applyFill="1" applyBorder="1" applyAlignment="1">
      <alignment horizontal="center" vertical="center"/>
    </xf>
    <xf numFmtId="49" fontId="13" fillId="14" borderId="10" xfId="0" applyNumberFormat="1" applyFont="1" applyFill="1" applyBorder="1" applyAlignment="1">
      <alignment horizontal="center" vertical="center"/>
    </xf>
    <xf numFmtId="49" fontId="8" fillId="4" borderId="2" xfId="0" applyNumberFormat="1" applyFont="1" applyFill="1" applyBorder="1" applyAlignment="1">
      <alignment horizontal="center" vertical="center"/>
    </xf>
    <xf numFmtId="0" fontId="0" fillId="0" borderId="12" xfId="0" applyBorder="1"/>
    <xf numFmtId="0" fontId="0" fillId="0" borderId="13" xfId="0" applyBorder="1"/>
    <xf numFmtId="0" fontId="0" fillId="0" borderId="4" xfId="0" applyBorder="1"/>
    <xf numFmtId="0" fontId="0" fillId="0" borderId="14" xfId="0" applyBorder="1"/>
    <xf numFmtId="0" fontId="0" fillId="0" borderId="15" xfId="0" applyBorder="1"/>
    <xf numFmtId="164" fontId="2" fillId="2" borderId="0" xfId="0" applyNumberFormat="1" applyFont="1" applyFill="1" applyAlignment="1">
      <alignment horizontal="center" vertical="center"/>
    </xf>
    <xf numFmtId="0" fontId="0" fillId="0" borderId="0" xfId="0"/>
    <xf numFmtId="0" fontId="1" fillId="2" borderId="0" xfId="0" applyFont="1" applyFill="1" applyAlignment="1">
      <alignment horizontal="center" vertical="center"/>
    </xf>
    <xf numFmtId="49" fontId="6" fillId="4" borderId="2" xfId="0" applyNumberFormat="1" applyFont="1" applyFill="1" applyBorder="1" applyAlignment="1">
      <alignment horizontal="center" vertical="center"/>
    </xf>
    <xf numFmtId="0" fontId="8" fillId="4" borderId="2" xfId="0" applyFont="1" applyFill="1" applyBorder="1" applyAlignment="1">
      <alignment horizontal="center" vertical="center"/>
    </xf>
    <xf numFmtId="0" fontId="3" fillId="3" borderId="0" xfId="0" applyFont="1" applyFill="1" applyAlignment="1">
      <alignment horizontal="right" vertical="center"/>
    </xf>
    <xf numFmtId="0" fontId="5" fillId="0" borderId="0" xfId="0" applyFont="1" applyAlignment="1">
      <alignment horizontal="left" vertical="center"/>
    </xf>
    <xf numFmtId="0" fontId="12" fillId="0" borderId="4" xfId="0" applyFont="1" applyBorder="1"/>
    <xf numFmtId="166" fontId="3" fillId="3" borderId="0" xfId="0" applyNumberFormat="1" applyFont="1" applyFill="1" applyAlignment="1">
      <alignment horizontal="left" vertical="center"/>
    </xf>
    <xf numFmtId="0" fontId="6" fillId="4" borderId="2" xfId="0" applyFont="1" applyFill="1" applyBorder="1" applyAlignment="1">
      <alignment horizontal="center" vertical="center"/>
    </xf>
    <xf numFmtId="164" fontId="2" fillId="2" borderId="0" xfId="0" applyNumberFormat="1" applyFont="1" applyFill="1" applyAlignment="1">
      <alignment horizontal="left" vertical="center"/>
    </xf>
    <xf numFmtId="18" fontId="3" fillId="3" borderId="0" xfId="0" applyNumberFormat="1" applyFont="1" applyFill="1" applyAlignment="1">
      <alignment horizontal="left" vertical="center"/>
    </xf>
    <xf numFmtId="0" fontId="18" fillId="0" borderId="0" xfId="0" applyFont="1" applyAlignment="1">
      <alignment horizontal="center" vertical="center"/>
    </xf>
    <xf numFmtId="0" fontId="18" fillId="0" borderId="0" xfId="0" applyFont="1"/>
    <xf numFmtId="169" fontId="18" fillId="0" borderId="0" xfId="0" applyNumberFormat="1" applyFont="1" applyAlignment="1">
      <alignment horizontal="center" vertical="center"/>
    </xf>
    <xf numFmtId="15" fontId="18" fillId="0" borderId="0" xfId="0" applyNumberFormat="1" applyFont="1" applyAlignment="1">
      <alignment horizontal="center" vertical="center"/>
    </xf>
    <xf numFmtId="49" fontId="18" fillId="0" borderId="0" xfId="0" applyNumberFormat="1" applyFont="1" applyAlignment="1">
      <alignment horizontal="center" vertical="center"/>
    </xf>
    <xf numFmtId="167" fontId="18" fillId="0" borderId="0" xfId="0" applyNumberFormat="1" applyFont="1" applyAlignment="1">
      <alignment horizontal="center" vertical="center"/>
    </xf>
    <xf numFmtId="168" fontId="18" fillId="0" borderId="0" xfId="0" applyNumberFormat="1" applyFont="1" applyAlignment="1">
      <alignment horizontal="center" vertical="center"/>
    </xf>
    <xf numFmtId="1" fontId="18" fillId="0" borderId="0" xfId="0" applyNumberFormat="1" applyFont="1" applyAlignment="1">
      <alignment horizontal="center" vertical="center"/>
    </xf>
    <xf numFmtId="16" fontId="18" fillId="0" borderId="0" xfId="0" applyNumberFormat="1" applyFont="1" applyAlignment="1">
      <alignment horizontal="center" vertical="center"/>
    </xf>
    <xf numFmtId="0" fontId="19" fillId="15" borderId="0" xfId="0" applyFont="1" applyFill="1" applyAlignment="1">
      <alignment horizontal="center" vertical="center"/>
    </xf>
    <xf numFmtId="15" fontId="19" fillId="15" borderId="0" xfId="0" applyNumberFormat="1" applyFont="1" applyFill="1" applyAlignment="1">
      <alignment horizontal="center" vertical="center"/>
    </xf>
    <xf numFmtId="168" fontId="19" fillId="15" borderId="0" xfId="0" applyNumberFormat="1" applyFont="1" applyFill="1" applyAlignment="1">
      <alignment horizontal="center" vertical="center"/>
    </xf>
    <xf numFmtId="1" fontId="19" fillId="15" borderId="0" xfId="0" applyNumberFormat="1" applyFont="1" applyFill="1" applyAlignment="1">
      <alignment horizontal="center" vertical="center"/>
    </xf>
    <xf numFmtId="0" fontId="19" fillId="15" borderId="0" xfId="0" applyNumberFormat="1" applyFont="1" applyFill="1" applyAlignment="1">
      <alignment horizontal="center" vertical="center"/>
    </xf>
    <xf numFmtId="0" fontId="16" fillId="9" borderId="16" xfId="0" applyFont="1" applyFill="1" applyBorder="1" applyAlignment="1">
      <alignment horizontal="center" vertical="center"/>
    </xf>
    <xf numFmtId="0" fontId="16" fillId="9" borderId="17" xfId="0" applyFont="1" applyFill="1" applyBorder="1" applyAlignment="1">
      <alignment horizontal="center" vertical="center"/>
    </xf>
    <xf numFmtId="0" fontId="16" fillId="9" borderId="18" xfId="0" applyFont="1" applyFill="1" applyBorder="1" applyAlignment="1">
      <alignment horizontal="center" vertical="center"/>
    </xf>
  </cellXfs>
  <cellStyles count="1">
    <cellStyle name="Normal" xfId="0" builtinId="0"/>
  </cellStyles>
  <dxfs count="75"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0" formatCode="General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20" formatCode="d\-mmm\-yy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68" formatCode="0.0%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20" formatCode="d\-mmm\-yy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LXR_JED_LF_LEGACY" displayName="LXR_JED_LF_LEGACY" ref="A1:AJ18" totalsRowCount="1" headerRowDxfId="74" dataDxfId="37" totalsRowDxfId="0">
  <tableColumns count="36">
    <tableColumn id="1" xr3:uid="{00000000-0010-0000-0000-000001000000}" name="Day" totalsRowLabel="TOTAL" dataDxfId="73" totalsRowDxfId="36"/>
    <tableColumn id="2" xr3:uid="{00000000-0010-0000-0000-000002000000}" name="Flt Dt" dataDxfId="72" totalsRowDxfId="35"/>
    <tableColumn id="3" xr3:uid="{00000000-0010-0000-0000-000003000000}" name="Flt" totalsRowFunction="count" dataDxfId="71" totalsRowDxfId="34"/>
    <tableColumn id="4" xr3:uid="{00000000-0010-0000-0000-000004000000}" name="DEP" dataDxfId="70" totalsRowDxfId="33"/>
    <tableColumn id="5" xr3:uid="{00000000-0010-0000-0000-000005000000}" name="Brd-Off" totalsRowFunction="count" dataDxfId="69" totalsRowDxfId="32"/>
    <tableColumn id="6" xr3:uid="{00000000-0010-0000-0000-000006000000}" name="Eqp" dataDxfId="68" totalsRowDxfId="31"/>
    <tableColumn id="7" xr3:uid="{00000000-0010-0000-0000-000007000000}" name="LF%" totalsRowFunction="average" dataDxfId="67" totalsRowDxfId="30"/>
    <tableColumn id="8" xr3:uid="{00000000-0010-0000-0000-000008000000}" name="CAP" totalsRowFunction="sum" dataDxfId="66" totalsRowDxfId="29"/>
    <tableColumn id="9" xr3:uid="{00000000-0010-0000-0000-000009000000}" name="BKG(Y)" totalsRowFunction="sum" dataDxfId="65" totalsRowDxfId="28"/>
    <tableColumn id="10" xr3:uid="{00000000-0010-0000-0000-00000A000000}" name="GRP(Y)" totalsRowFunction="sum" dataDxfId="64" totalsRowDxfId="27"/>
    <tableColumn id="11" xr3:uid="{00000000-0010-0000-0000-00000B000000}" name="FLT ST" dataDxfId="63" totalsRowDxfId="26"/>
    <tableColumn id="12" xr3:uid="{00000000-0010-0000-0000-00000C000000}" name="LST-SOLD" dataDxfId="62" totalsRowDxfId="25"/>
    <tableColumn id="13" xr3:uid="{00000000-0010-0000-0000-00000D000000}" name="TO-DAY" totalsRowFunction="sum" dataDxfId="61" totalsRowDxfId="24"/>
    <tableColumn id="14" xr3:uid="{00000000-0010-0000-0000-00000E000000}" name="Y-DAY" totalsRowFunction="sum" dataDxfId="60" totalsRowDxfId="23"/>
    <tableColumn id="15" xr3:uid="{00000000-0010-0000-0000-00000F000000}" name="WEEKLY" totalsRowFunction="sum" dataDxfId="59" totalsRowDxfId="22"/>
    <tableColumn id="16" xr3:uid="{00000000-0010-0000-0000-000010000000}" name="LOWEST AVAIL" dataDxfId="58" totalsRowDxfId="21"/>
    <tableColumn id="17" xr3:uid="{00000000-0010-0000-0000-000011000000}" name="Y" totalsRowFunction="sum" dataDxfId="57" totalsRowDxfId="20"/>
    <tableColumn id="18" xr3:uid="{00000000-0010-0000-0000-000012000000}" name="B" totalsRowFunction="sum" dataDxfId="56" totalsRowDxfId="19"/>
    <tableColumn id="19" xr3:uid="{00000000-0010-0000-0000-000013000000}" name="M" totalsRowFunction="sum" dataDxfId="55" totalsRowDxfId="18"/>
    <tableColumn id="20" xr3:uid="{00000000-0010-0000-0000-000014000000}" name="H" totalsRowFunction="sum" dataDxfId="54" totalsRowDxfId="17"/>
    <tableColumn id="21" xr3:uid="{00000000-0010-0000-0000-000015000000}" name="Q" totalsRowFunction="sum" dataDxfId="53" totalsRowDxfId="16"/>
    <tableColumn id="22" xr3:uid="{00000000-0010-0000-0000-000016000000}" name="K" totalsRowFunction="sum" dataDxfId="52" totalsRowDxfId="15"/>
    <tableColumn id="23" xr3:uid="{00000000-0010-0000-0000-000017000000}" name="V" totalsRowFunction="sum" dataDxfId="51" totalsRowDxfId="14"/>
    <tableColumn id="24" xr3:uid="{00000000-0010-0000-0000-000018000000}" name="L" totalsRowFunction="sum" dataDxfId="50" totalsRowDxfId="13"/>
    <tableColumn id="25" xr3:uid="{00000000-0010-0000-0000-000019000000}" name="G" totalsRowFunction="sum" dataDxfId="49" totalsRowDxfId="12"/>
    <tableColumn id="26" xr3:uid="{00000000-0010-0000-0000-00001A000000}" name="S" totalsRowFunction="sum" dataDxfId="48" totalsRowDxfId="11"/>
    <tableColumn id="27" xr3:uid="{00000000-0010-0000-0000-00001B000000}" name="W" totalsRowFunction="sum" dataDxfId="47" totalsRowDxfId="10"/>
    <tableColumn id="28" xr3:uid="{00000000-0010-0000-0000-00001C000000}" name="T" totalsRowFunction="sum" dataDxfId="46" totalsRowDxfId="9"/>
    <tableColumn id="29" xr3:uid="{00000000-0010-0000-0000-00001D000000}" name="X" totalsRowFunction="sum" dataDxfId="45" totalsRowDxfId="8"/>
    <tableColumn id="30" xr3:uid="{00000000-0010-0000-0000-00001E000000}" name="U" totalsRowFunction="sum" dataDxfId="44" totalsRowDxfId="7"/>
    <tableColumn id="31" xr3:uid="{00000000-0010-0000-0000-00001F000000}" name="O" totalsRowFunction="sum" dataDxfId="43" totalsRowDxfId="6"/>
    <tableColumn id="32" xr3:uid="{00000000-0010-0000-0000-000020000000}" name="I" totalsRowFunction="sum" dataDxfId="42" totalsRowDxfId="5"/>
    <tableColumn id="33" xr3:uid="{00000000-0010-0000-0000-000021000000}" name="E" totalsRowFunction="sum" dataDxfId="41" totalsRowDxfId="4"/>
    <tableColumn id="34" xr3:uid="{00000000-0010-0000-0000-000022000000}" name="A" totalsRowFunction="sum" dataDxfId="40" totalsRowDxfId="3"/>
    <tableColumn id="35" xr3:uid="{00000000-0010-0000-0000-000023000000}" name="P" totalsRowFunction="sum" dataDxfId="39" totalsRowDxfId="2"/>
    <tableColumn id="36" xr3:uid="{00000000-0010-0000-0000-000024000000}" name="N" totalsRowFunction="count" dataDxfId="38" totalsRow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N44"/>
  <sheetViews>
    <sheetView tabSelected="1" workbookViewId="0">
      <selection sqref="A1:E1"/>
    </sheetView>
  </sheetViews>
  <sheetFormatPr defaultRowHeight="14.4" x14ac:dyDescent="0.3"/>
  <cols>
    <col min="1" max="1" width="10.21875" bestFit="1" customWidth="1"/>
    <col min="2" max="2" width="15.6640625" bestFit="1" customWidth="1"/>
    <col min="3" max="3" width="14.77734375" bestFit="1" customWidth="1"/>
    <col min="4" max="4" width="19" bestFit="1" customWidth="1"/>
    <col min="5" max="5" width="16.44140625" bestFit="1" customWidth="1"/>
    <col min="6" max="6" width="23.44140625" bestFit="1" customWidth="1"/>
    <col min="7" max="7" width="45.44140625" bestFit="1" customWidth="1"/>
    <col min="8" max="8" width="9.44140625" bestFit="1" customWidth="1"/>
    <col min="9" max="9" width="6.77734375" bestFit="1" customWidth="1"/>
    <col min="10" max="10" width="7.5546875" bestFit="1" customWidth="1"/>
    <col min="11" max="11" width="11.88671875" bestFit="1" customWidth="1"/>
    <col min="12" max="12" width="10.5546875" bestFit="1" customWidth="1"/>
    <col min="13" max="13" width="10.109375" bestFit="1" customWidth="1"/>
    <col min="14" max="14" width="8.5546875" bestFit="1" customWidth="1"/>
    <col min="15" max="15" width="17.88671875" bestFit="1" customWidth="1"/>
    <col min="16" max="16" width="7.44140625" bestFit="1" customWidth="1"/>
    <col min="17" max="17" width="12.21875" bestFit="1" customWidth="1"/>
    <col min="18" max="18" width="10.77734375" bestFit="1" customWidth="1"/>
  </cols>
  <sheetData>
    <row r="1" spans="1:92" ht="28.8" customHeight="1" x14ac:dyDescent="0.3">
      <c r="A1" s="117" t="s">
        <v>0</v>
      </c>
      <c r="B1" s="116"/>
      <c r="C1" s="116"/>
      <c r="D1" s="116"/>
      <c r="E1" s="116"/>
      <c r="F1" s="1" t="s">
        <v>1</v>
      </c>
      <c r="G1" s="2" t="s">
        <v>2</v>
      </c>
      <c r="H1" s="115" t="s">
        <v>3</v>
      </c>
      <c r="I1" s="116"/>
      <c r="J1" s="116"/>
      <c r="K1" s="116"/>
      <c r="L1" s="116"/>
      <c r="M1" s="1" t="s">
        <v>4</v>
      </c>
      <c r="N1" s="125" t="s">
        <v>5</v>
      </c>
      <c r="O1" s="116"/>
      <c r="P1" s="116"/>
      <c r="Q1" s="116"/>
      <c r="R1" s="116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3">
      <c r="A2" s="120" t="s">
        <v>6</v>
      </c>
      <c r="B2" s="116"/>
      <c r="C2" s="116"/>
      <c r="D2" s="116"/>
      <c r="E2" s="116"/>
      <c r="F2" s="116"/>
      <c r="G2" s="123">
        <v>45984.112438048149</v>
      </c>
      <c r="H2" s="116"/>
      <c r="I2" s="116"/>
      <c r="J2" s="116"/>
      <c r="K2" s="126">
        <v>45984.112438048724</v>
      </c>
      <c r="L2" s="116"/>
      <c r="M2" s="116"/>
      <c r="N2" s="116"/>
      <c r="O2" s="116"/>
      <c r="P2" s="116"/>
      <c r="Q2" s="116"/>
      <c r="R2" s="116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24" customHeight="1" x14ac:dyDescent="0.3">
      <c r="A3" s="121" t="s">
        <v>7</v>
      </c>
      <c r="B3" s="116"/>
      <c r="C3" s="116"/>
      <c r="D3" s="116"/>
      <c r="E3" s="116"/>
      <c r="F3" s="116"/>
      <c r="G3" s="116"/>
      <c r="H3" s="116"/>
      <c r="I3" s="116"/>
      <c r="J3" s="116"/>
      <c r="K3" s="116"/>
      <c r="L3" s="116"/>
      <c r="M3" s="116"/>
      <c r="N3" s="116"/>
      <c r="O3" s="116"/>
      <c r="P3" s="116"/>
      <c r="Q3" s="116"/>
      <c r="R3" s="116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05" customHeight="1" x14ac:dyDescent="0.3">
      <c r="A4" s="124" t="s">
        <v>8</v>
      </c>
      <c r="B4" s="110"/>
      <c r="C4" s="110"/>
      <c r="D4" s="110"/>
      <c r="E4" s="110"/>
      <c r="F4" s="111"/>
      <c r="G4" s="4">
        <v>46055</v>
      </c>
      <c r="H4" s="119" t="s">
        <v>9</v>
      </c>
      <c r="I4" s="110"/>
      <c r="J4" s="110"/>
      <c r="K4" s="110"/>
      <c r="L4" s="110"/>
      <c r="M4" s="110"/>
      <c r="N4" s="110"/>
      <c r="O4" s="110"/>
      <c r="P4" s="110"/>
      <c r="Q4" s="110"/>
      <c r="R4" s="111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 x14ac:dyDescent="0.3">
      <c r="A5" s="5" t="s">
        <v>10</v>
      </c>
      <c r="B5" s="5" t="s">
        <v>11</v>
      </c>
      <c r="C5" s="5" t="s">
        <v>12</v>
      </c>
      <c r="D5" s="5" t="s">
        <v>13</v>
      </c>
      <c r="E5" s="5" t="s">
        <v>14</v>
      </c>
      <c r="F5" s="6" t="s">
        <v>15</v>
      </c>
      <c r="G5" s="7" t="s">
        <v>16</v>
      </c>
      <c r="H5" s="5" t="s">
        <v>17</v>
      </c>
      <c r="I5" s="5" t="s">
        <v>18</v>
      </c>
      <c r="J5" s="5" t="s">
        <v>19</v>
      </c>
      <c r="K5" s="5" t="s">
        <v>20</v>
      </c>
      <c r="L5" s="5" t="s">
        <v>21</v>
      </c>
      <c r="M5" s="5" t="s">
        <v>22</v>
      </c>
      <c r="N5" s="5" t="s">
        <v>23</v>
      </c>
      <c r="O5" s="5" t="s">
        <v>24</v>
      </c>
      <c r="P5" s="5" t="s">
        <v>25</v>
      </c>
      <c r="Q5" s="5" t="s">
        <v>26</v>
      </c>
      <c r="R5" s="5" t="s">
        <v>27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49.95" customHeight="1" thickTop="1" thickBot="1" x14ac:dyDescent="0.5">
      <c r="A6" s="8" t="s">
        <v>28</v>
      </c>
      <c r="B6" s="8" t="s">
        <v>29</v>
      </c>
      <c r="C6" s="9">
        <v>0.96180555555555547</v>
      </c>
      <c r="D6" s="8" t="s">
        <v>30</v>
      </c>
      <c r="E6" s="10"/>
      <c r="F6" s="8" t="s">
        <v>31</v>
      </c>
      <c r="G6" s="122"/>
      <c r="H6" s="11" t="s">
        <v>29</v>
      </c>
      <c r="I6" s="12">
        <v>0</v>
      </c>
      <c r="J6" s="13">
        <v>0</v>
      </c>
      <c r="K6" s="14" t="s">
        <v>32</v>
      </c>
      <c r="L6" s="13">
        <v>0</v>
      </c>
      <c r="M6" s="13">
        <v>0</v>
      </c>
      <c r="N6" s="13">
        <v>0</v>
      </c>
      <c r="O6" s="15" t="s">
        <v>33</v>
      </c>
      <c r="P6" s="16">
        <v>0.96180555555555547</v>
      </c>
      <c r="Q6" s="13">
        <v>180</v>
      </c>
      <c r="R6" s="17" t="s">
        <v>32</v>
      </c>
    </row>
    <row r="7" spans="1:92" ht="17.399999999999999" customHeight="1" thickBot="1" x14ac:dyDescent="0.35">
      <c r="A7" s="141"/>
      <c r="B7" s="142"/>
      <c r="C7" s="142"/>
      <c r="D7" s="142"/>
      <c r="E7" s="142"/>
      <c r="F7" s="142"/>
      <c r="G7" s="142"/>
      <c r="H7" s="142"/>
      <c r="I7" s="142"/>
      <c r="J7" s="142"/>
      <c r="K7" s="142"/>
      <c r="L7" s="142"/>
      <c r="M7" s="142"/>
      <c r="N7" s="142"/>
      <c r="O7" s="142"/>
      <c r="P7" s="142"/>
      <c r="Q7" s="142"/>
      <c r="R7" s="143"/>
    </row>
    <row r="8" spans="1:92" ht="22.05" customHeight="1" thickTop="1" thickBot="1" x14ac:dyDescent="0.35">
      <c r="A8" s="118" t="s">
        <v>8</v>
      </c>
      <c r="B8" s="110"/>
      <c r="C8" s="110"/>
      <c r="D8" s="110"/>
      <c r="E8" s="110"/>
      <c r="F8" s="111"/>
      <c r="G8" s="18">
        <v>46056</v>
      </c>
      <c r="H8" s="109" t="s">
        <v>9</v>
      </c>
      <c r="I8" s="110"/>
      <c r="J8" s="110"/>
      <c r="K8" s="110"/>
      <c r="L8" s="110"/>
      <c r="M8" s="110"/>
      <c r="N8" s="110"/>
      <c r="O8" s="110"/>
      <c r="P8" s="110"/>
      <c r="Q8" s="110"/>
      <c r="R8" s="111"/>
    </row>
    <row r="9" spans="1:92" ht="24" customHeight="1" x14ac:dyDescent="0.3">
      <c r="A9" s="19" t="s">
        <v>10</v>
      </c>
      <c r="B9" s="19" t="s">
        <v>11</v>
      </c>
      <c r="C9" s="20" t="s">
        <v>12</v>
      </c>
      <c r="D9" s="19" t="s">
        <v>13</v>
      </c>
      <c r="E9" s="19" t="s">
        <v>14</v>
      </c>
      <c r="F9" s="21" t="s">
        <v>15</v>
      </c>
      <c r="G9" s="22" t="s">
        <v>16</v>
      </c>
      <c r="H9" s="19" t="s">
        <v>17</v>
      </c>
      <c r="I9" s="23" t="s">
        <v>18</v>
      </c>
      <c r="J9" s="24" t="s">
        <v>19</v>
      </c>
      <c r="K9" s="25" t="s">
        <v>20</v>
      </c>
      <c r="L9" s="24" t="s">
        <v>21</v>
      </c>
      <c r="M9" s="24" t="s">
        <v>22</v>
      </c>
      <c r="N9" s="24" t="s">
        <v>23</v>
      </c>
      <c r="O9" s="19" t="s">
        <v>24</v>
      </c>
      <c r="P9" s="20" t="s">
        <v>25</v>
      </c>
      <c r="Q9" s="24" t="s">
        <v>26</v>
      </c>
      <c r="R9" s="19" t="s">
        <v>27</v>
      </c>
    </row>
    <row r="10" spans="1:92" ht="49.95" customHeight="1" x14ac:dyDescent="0.3">
      <c r="A10" s="8" t="s">
        <v>28</v>
      </c>
      <c r="B10" s="8" t="s">
        <v>34</v>
      </c>
      <c r="C10" s="9">
        <v>0.2638888888888889</v>
      </c>
      <c r="D10" s="8" t="s">
        <v>30</v>
      </c>
      <c r="E10" s="10"/>
      <c r="F10" s="8" t="s">
        <v>31</v>
      </c>
      <c r="G10" s="112"/>
      <c r="H10" s="26" t="s">
        <v>34</v>
      </c>
      <c r="I10" s="27">
        <v>0</v>
      </c>
      <c r="J10" s="28">
        <v>0</v>
      </c>
      <c r="K10" s="29" t="s">
        <v>32</v>
      </c>
      <c r="L10" s="28">
        <v>0</v>
      </c>
      <c r="M10" s="28">
        <v>0</v>
      </c>
      <c r="N10" s="28">
        <v>0</v>
      </c>
      <c r="O10" s="30" t="s">
        <v>33</v>
      </c>
      <c r="P10" s="31">
        <v>0.2638888888888889</v>
      </c>
      <c r="Q10" s="28">
        <v>180</v>
      </c>
      <c r="R10" s="32" t="s">
        <v>32</v>
      </c>
    </row>
    <row r="11" spans="1:92" ht="49.95" customHeight="1" x14ac:dyDescent="0.3">
      <c r="A11" s="33" t="s">
        <v>28</v>
      </c>
      <c r="B11" s="33" t="s">
        <v>35</v>
      </c>
      <c r="C11" s="34">
        <v>0.63888888888888895</v>
      </c>
      <c r="D11" s="33" t="s">
        <v>30</v>
      </c>
      <c r="E11" s="35"/>
      <c r="F11" s="33" t="s">
        <v>31</v>
      </c>
      <c r="G11" s="113"/>
      <c r="H11" s="36" t="s">
        <v>35</v>
      </c>
      <c r="I11" s="37">
        <v>0</v>
      </c>
      <c r="J11" s="38">
        <v>0</v>
      </c>
      <c r="K11" s="39" t="s">
        <v>32</v>
      </c>
      <c r="L11" s="38">
        <v>0</v>
      </c>
      <c r="M11" s="38">
        <v>0</v>
      </c>
      <c r="N11" s="38">
        <v>0</v>
      </c>
      <c r="O11" s="40" t="s">
        <v>33</v>
      </c>
      <c r="P11" s="41">
        <v>0.63888888888888895</v>
      </c>
      <c r="Q11" s="38">
        <v>180</v>
      </c>
      <c r="R11" s="42" t="s">
        <v>32</v>
      </c>
    </row>
    <row r="12" spans="1:92" ht="49.95" customHeight="1" thickBot="1" x14ac:dyDescent="0.35">
      <c r="A12" s="43" t="s">
        <v>28</v>
      </c>
      <c r="B12" s="43" t="s">
        <v>36</v>
      </c>
      <c r="C12" s="44">
        <v>0.79166666666666663</v>
      </c>
      <c r="D12" s="43" t="s">
        <v>30</v>
      </c>
      <c r="E12" s="45"/>
      <c r="F12" s="43" t="s">
        <v>31</v>
      </c>
      <c r="G12" s="114"/>
      <c r="H12" s="46" t="s">
        <v>36</v>
      </c>
      <c r="I12" s="47">
        <v>0</v>
      </c>
      <c r="J12" s="48">
        <v>0</v>
      </c>
      <c r="K12" s="49" t="s">
        <v>32</v>
      </c>
      <c r="L12" s="48">
        <v>0</v>
      </c>
      <c r="M12" s="48">
        <v>0</v>
      </c>
      <c r="N12" s="48">
        <v>0</v>
      </c>
      <c r="O12" s="50" t="s">
        <v>33</v>
      </c>
      <c r="P12" s="51">
        <v>0.79166666666666663</v>
      </c>
      <c r="Q12" s="48">
        <v>180</v>
      </c>
      <c r="R12" s="52" t="s">
        <v>32</v>
      </c>
    </row>
    <row r="13" spans="1:92" ht="17.399999999999999" customHeight="1" thickBot="1" x14ac:dyDescent="0.35">
      <c r="A13" s="141"/>
      <c r="B13" s="142"/>
      <c r="C13" s="142"/>
      <c r="D13" s="142"/>
      <c r="E13" s="142"/>
      <c r="F13" s="142"/>
      <c r="G13" s="142"/>
      <c r="H13" s="142"/>
      <c r="I13" s="142"/>
      <c r="J13" s="142"/>
      <c r="K13" s="142"/>
      <c r="L13" s="142"/>
      <c r="M13" s="142"/>
      <c r="N13" s="142"/>
      <c r="O13" s="142"/>
      <c r="P13" s="142"/>
      <c r="Q13" s="142"/>
      <c r="R13" s="143"/>
    </row>
    <row r="14" spans="1:92" ht="22.05" customHeight="1" thickTop="1" thickBot="1" x14ac:dyDescent="0.35">
      <c r="A14" s="118" t="s">
        <v>8</v>
      </c>
      <c r="B14" s="110"/>
      <c r="C14" s="110"/>
      <c r="D14" s="110"/>
      <c r="E14" s="110"/>
      <c r="F14" s="111"/>
      <c r="G14" s="18">
        <v>46062</v>
      </c>
      <c r="H14" s="109" t="s">
        <v>9</v>
      </c>
      <c r="I14" s="110"/>
      <c r="J14" s="110"/>
      <c r="K14" s="110"/>
      <c r="L14" s="110"/>
      <c r="M14" s="110"/>
      <c r="N14" s="110"/>
      <c r="O14" s="110"/>
      <c r="P14" s="110"/>
      <c r="Q14" s="110"/>
      <c r="R14" s="111"/>
    </row>
    <row r="15" spans="1:92" ht="24" customHeight="1" x14ac:dyDescent="0.3">
      <c r="A15" s="19" t="s">
        <v>10</v>
      </c>
      <c r="B15" s="19" t="s">
        <v>11</v>
      </c>
      <c r="C15" s="20" t="s">
        <v>12</v>
      </c>
      <c r="D15" s="19" t="s">
        <v>13</v>
      </c>
      <c r="E15" s="19" t="s">
        <v>14</v>
      </c>
      <c r="F15" s="21" t="s">
        <v>15</v>
      </c>
      <c r="G15" s="22" t="s">
        <v>16</v>
      </c>
      <c r="H15" s="19" t="s">
        <v>17</v>
      </c>
      <c r="I15" s="23" t="s">
        <v>18</v>
      </c>
      <c r="J15" s="24" t="s">
        <v>19</v>
      </c>
      <c r="K15" s="25" t="s">
        <v>20</v>
      </c>
      <c r="L15" s="24" t="s">
        <v>21</v>
      </c>
      <c r="M15" s="24" t="s">
        <v>22</v>
      </c>
      <c r="N15" s="24" t="s">
        <v>23</v>
      </c>
      <c r="O15" s="19" t="s">
        <v>24</v>
      </c>
      <c r="P15" s="20" t="s">
        <v>25</v>
      </c>
      <c r="Q15" s="24" t="s">
        <v>26</v>
      </c>
      <c r="R15" s="19" t="s">
        <v>27</v>
      </c>
    </row>
    <row r="16" spans="1:92" ht="49.95" customHeight="1" thickTop="1" thickBot="1" x14ac:dyDescent="0.35">
      <c r="A16" s="8" t="s">
        <v>28</v>
      </c>
      <c r="B16" s="8" t="s">
        <v>29</v>
      </c>
      <c r="C16" s="9">
        <v>0.96180555555555547</v>
      </c>
      <c r="D16" s="8" t="s">
        <v>30</v>
      </c>
      <c r="E16" s="10"/>
      <c r="F16" s="8" t="s">
        <v>31</v>
      </c>
      <c r="G16" s="112"/>
      <c r="H16" s="11" t="s">
        <v>29</v>
      </c>
      <c r="I16" s="12">
        <v>0</v>
      </c>
      <c r="J16" s="13">
        <v>0</v>
      </c>
      <c r="K16" s="14" t="s">
        <v>32</v>
      </c>
      <c r="L16" s="13">
        <v>0</v>
      </c>
      <c r="M16" s="13">
        <v>0</v>
      </c>
      <c r="N16" s="13">
        <v>0</v>
      </c>
      <c r="O16" s="15" t="s">
        <v>33</v>
      </c>
      <c r="P16" s="16">
        <v>0.96180555555555547</v>
      </c>
      <c r="Q16" s="13">
        <v>180</v>
      </c>
      <c r="R16" s="17" t="s">
        <v>32</v>
      </c>
    </row>
    <row r="17" spans="1:18" ht="17.399999999999999" customHeight="1" thickBot="1" x14ac:dyDescent="0.35">
      <c r="A17" s="141"/>
      <c r="B17" s="142"/>
      <c r="C17" s="142"/>
      <c r="D17" s="142"/>
      <c r="E17" s="142"/>
      <c r="F17" s="142"/>
      <c r="G17" s="142"/>
      <c r="H17" s="142"/>
      <c r="I17" s="142"/>
      <c r="J17" s="142"/>
      <c r="K17" s="142"/>
      <c r="L17" s="142"/>
      <c r="M17" s="142"/>
      <c r="N17" s="142"/>
      <c r="O17" s="142"/>
      <c r="P17" s="142"/>
      <c r="Q17" s="142"/>
      <c r="R17" s="143"/>
    </row>
    <row r="18" spans="1:18" ht="22.05" customHeight="1" thickTop="1" thickBot="1" x14ac:dyDescent="0.35">
      <c r="A18" s="118" t="s">
        <v>8</v>
      </c>
      <c r="B18" s="110"/>
      <c r="C18" s="110"/>
      <c r="D18" s="110"/>
      <c r="E18" s="110"/>
      <c r="F18" s="111"/>
      <c r="G18" s="18">
        <v>46063</v>
      </c>
      <c r="H18" s="109" t="s">
        <v>9</v>
      </c>
      <c r="I18" s="110"/>
      <c r="J18" s="110"/>
      <c r="K18" s="110"/>
      <c r="L18" s="110"/>
      <c r="M18" s="110"/>
      <c r="N18" s="110"/>
      <c r="O18" s="110"/>
      <c r="P18" s="110"/>
      <c r="Q18" s="110"/>
      <c r="R18" s="111"/>
    </row>
    <row r="19" spans="1:18" ht="24" customHeight="1" x14ac:dyDescent="0.3">
      <c r="A19" s="19" t="s">
        <v>10</v>
      </c>
      <c r="B19" s="19" t="s">
        <v>11</v>
      </c>
      <c r="C19" s="20" t="s">
        <v>12</v>
      </c>
      <c r="D19" s="19" t="s">
        <v>13</v>
      </c>
      <c r="E19" s="19" t="s">
        <v>14</v>
      </c>
      <c r="F19" s="21" t="s">
        <v>15</v>
      </c>
      <c r="G19" s="22" t="s">
        <v>16</v>
      </c>
      <c r="H19" s="19" t="s">
        <v>17</v>
      </c>
      <c r="I19" s="23" t="s">
        <v>18</v>
      </c>
      <c r="J19" s="24" t="s">
        <v>19</v>
      </c>
      <c r="K19" s="25" t="s">
        <v>20</v>
      </c>
      <c r="L19" s="24" t="s">
        <v>21</v>
      </c>
      <c r="M19" s="24" t="s">
        <v>22</v>
      </c>
      <c r="N19" s="24" t="s">
        <v>23</v>
      </c>
      <c r="O19" s="19" t="s">
        <v>24</v>
      </c>
      <c r="P19" s="20" t="s">
        <v>25</v>
      </c>
      <c r="Q19" s="24" t="s">
        <v>26</v>
      </c>
      <c r="R19" s="19" t="s">
        <v>27</v>
      </c>
    </row>
    <row r="20" spans="1:18" ht="49.95" customHeight="1" x14ac:dyDescent="0.3">
      <c r="A20" s="53" t="s">
        <v>28</v>
      </c>
      <c r="B20" s="53" t="s">
        <v>34</v>
      </c>
      <c r="C20" s="54">
        <v>0.19097222222222221</v>
      </c>
      <c r="D20" s="53" t="s">
        <v>30</v>
      </c>
      <c r="E20" s="55"/>
      <c r="F20" s="53" t="s">
        <v>31</v>
      </c>
      <c r="G20" s="112"/>
      <c r="H20" s="56" t="s">
        <v>34</v>
      </c>
      <c r="I20" s="57">
        <v>0</v>
      </c>
      <c r="J20" s="58">
        <v>0</v>
      </c>
      <c r="K20" s="59" t="s">
        <v>32</v>
      </c>
      <c r="L20" s="58">
        <v>0</v>
      </c>
      <c r="M20" s="58">
        <v>0</v>
      </c>
      <c r="N20" s="58">
        <v>0</v>
      </c>
      <c r="O20" s="60" t="s">
        <v>33</v>
      </c>
      <c r="P20" s="61">
        <v>0.19097222222222221</v>
      </c>
      <c r="Q20" s="58">
        <v>180</v>
      </c>
      <c r="R20" s="62" t="s">
        <v>32</v>
      </c>
    </row>
    <row r="21" spans="1:18" ht="49.95" customHeight="1" x14ac:dyDescent="0.3">
      <c r="A21" s="33" t="s">
        <v>28</v>
      </c>
      <c r="B21" s="33" t="s">
        <v>35</v>
      </c>
      <c r="C21" s="34">
        <v>0.62847222222222221</v>
      </c>
      <c r="D21" s="33" t="s">
        <v>30</v>
      </c>
      <c r="E21" s="35"/>
      <c r="F21" s="33" t="s">
        <v>31</v>
      </c>
      <c r="G21" s="113"/>
      <c r="H21" s="36" t="s">
        <v>35</v>
      </c>
      <c r="I21" s="37">
        <v>0</v>
      </c>
      <c r="J21" s="38">
        <v>0</v>
      </c>
      <c r="K21" s="39" t="s">
        <v>32</v>
      </c>
      <c r="L21" s="38">
        <v>0</v>
      </c>
      <c r="M21" s="38">
        <v>0</v>
      </c>
      <c r="N21" s="38">
        <v>0</v>
      </c>
      <c r="O21" s="40" t="s">
        <v>33</v>
      </c>
      <c r="P21" s="41">
        <v>0.62847222222222221</v>
      </c>
      <c r="Q21" s="38">
        <v>180</v>
      </c>
      <c r="R21" s="42" t="s">
        <v>32</v>
      </c>
    </row>
    <row r="22" spans="1:18" ht="49.95" customHeight="1" thickBot="1" x14ac:dyDescent="0.35">
      <c r="A22" s="63" t="s">
        <v>28</v>
      </c>
      <c r="B22" s="63" t="s">
        <v>36</v>
      </c>
      <c r="C22" s="64">
        <v>0.79166666666666663</v>
      </c>
      <c r="D22" s="63" t="s">
        <v>30</v>
      </c>
      <c r="E22" s="65"/>
      <c r="F22" s="63" t="s">
        <v>31</v>
      </c>
      <c r="G22" s="114"/>
      <c r="H22" s="66" t="s">
        <v>36</v>
      </c>
      <c r="I22" s="67">
        <v>0</v>
      </c>
      <c r="J22" s="68">
        <v>0</v>
      </c>
      <c r="K22" s="69" t="s">
        <v>32</v>
      </c>
      <c r="L22" s="68">
        <v>0</v>
      </c>
      <c r="M22" s="68">
        <v>0</v>
      </c>
      <c r="N22" s="68">
        <v>0</v>
      </c>
      <c r="O22" s="70" t="s">
        <v>33</v>
      </c>
      <c r="P22" s="71">
        <v>0.79166666666666663</v>
      </c>
      <c r="Q22" s="68">
        <v>180</v>
      </c>
      <c r="R22" s="72" t="s">
        <v>32</v>
      </c>
    </row>
    <row r="23" spans="1:18" ht="17.399999999999999" customHeight="1" thickBot="1" x14ac:dyDescent="0.35">
      <c r="A23" s="141"/>
      <c r="B23" s="142"/>
      <c r="C23" s="142"/>
      <c r="D23" s="142"/>
      <c r="E23" s="142"/>
      <c r="F23" s="142"/>
      <c r="G23" s="142"/>
      <c r="H23" s="142"/>
      <c r="I23" s="142"/>
      <c r="J23" s="142"/>
      <c r="K23" s="142"/>
      <c r="L23" s="142"/>
      <c r="M23" s="142"/>
      <c r="N23" s="142"/>
      <c r="O23" s="142"/>
      <c r="P23" s="142"/>
      <c r="Q23" s="142"/>
      <c r="R23" s="143"/>
    </row>
    <row r="24" spans="1:18" ht="22.05" customHeight="1" thickTop="1" thickBot="1" x14ac:dyDescent="0.35">
      <c r="A24" s="118" t="s">
        <v>8</v>
      </c>
      <c r="B24" s="110"/>
      <c r="C24" s="110"/>
      <c r="D24" s="110"/>
      <c r="E24" s="110"/>
      <c r="F24" s="111"/>
      <c r="G24" s="18">
        <v>46069</v>
      </c>
      <c r="H24" s="109" t="s">
        <v>9</v>
      </c>
      <c r="I24" s="110"/>
      <c r="J24" s="110"/>
      <c r="K24" s="110"/>
      <c r="L24" s="110"/>
      <c r="M24" s="110"/>
      <c r="N24" s="110"/>
      <c r="O24" s="110"/>
      <c r="P24" s="110"/>
      <c r="Q24" s="110"/>
      <c r="R24" s="111"/>
    </row>
    <row r="25" spans="1:18" ht="24" customHeight="1" x14ac:dyDescent="0.3">
      <c r="A25" s="19" t="s">
        <v>10</v>
      </c>
      <c r="B25" s="19" t="s">
        <v>11</v>
      </c>
      <c r="C25" s="20" t="s">
        <v>12</v>
      </c>
      <c r="D25" s="19" t="s">
        <v>13</v>
      </c>
      <c r="E25" s="19" t="s">
        <v>14</v>
      </c>
      <c r="F25" s="21" t="s">
        <v>15</v>
      </c>
      <c r="G25" s="22" t="s">
        <v>16</v>
      </c>
      <c r="H25" s="19" t="s">
        <v>17</v>
      </c>
      <c r="I25" s="23" t="s">
        <v>18</v>
      </c>
      <c r="J25" s="24" t="s">
        <v>19</v>
      </c>
      <c r="K25" s="25" t="s">
        <v>20</v>
      </c>
      <c r="L25" s="24" t="s">
        <v>21</v>
      </c>
      <c r="M25" s="24" t="s">
        <v>22</v>
      </c>
      <c r="N25" s="24" t="s">
        <v>23</v>
      </c>
      <c r="O25" s="19" t="s">
        <v>24</v>
      </c>
      <c r="P25" s="20" t="s">
        <v>25</v>
      </c>
      <c r="Q25" s="24" t="s">
        <v>26</v>
      </c>
      <c r="R25" s="19" t="s">
        <v>27</v>
      </c>
    </row>
    <row r="26" spans="1:18" ht="49.95" customHeight="1" thickTop="1" thickBot="1" x14ac:dyDescent="0.35">
      <c r="A26" s="73" t="s">
        <v>28</v>
      </c>
      <c r="B26" s="73" t="s">
        <v>29</v>
      </c>
      <c r="C26" s="74">
        <v>0.96180555555555547</v>
      </c>
      <c r="D26" s="73" t="s">
        <v>30</v>
      </c>
      <c r="E26" s="75"/>
      <c r="F26" s="73" t="s">
        <v>31</v>
      </c>
      <c r="G26" s="112"/>
      <c r="H26" s="66" t="s">
        <v>29</v>
      </c>
      <c r="I26" s="67">
        <v>0</v>
      </c>
      <c r="J26" s="68">
        <v>0</v>
      </c>
      <c r="K26" s="69" t="s">
        <v>32</v>
      </c>
      <c r="L26" s="68">
        <v>0</v>
      </c>
      <c r="M26" s="68">
        <v>0</v>
      </c>
      <c r="N26" s="68">
        <v>0</v>
      </c>
      <c r="O26" s="70" t="s">
        <v>33</v>
      </c>
      <c r="P26" s="71">
        <v>0.96180555555555547</v>
      </c>
      <c r="Q26" s="68">
        <v>180</v>
      </c>
      <c r="R26" s="72" t="s">
        <v>32</v>
      </c>
    </row>
    <row r="27" spans="1:18" ht="17.399999999999999" customHeight="1" thickBot="1" x14ac:dyDescent="0.35">
      <c r="A27" s="141"/>
      <c r="B27" s="142"/>
      <c r="C27" s="142"/>
      <c r="D27" s="142"/>
      <c r="E27" s="142"/>
      <c r="F27" s="142"/>
      <c r="G27" s="142"/>
      <c r="H27" s="142"/>
      <c r="I27" s="142"/>
      <c r="J27" s="142"/>
      <c r="K27" s="142"/>
      <c r="L27" s="142"/>
      <c r="M27" s="142"/>
      <c r="N27" s="142"/>
      <c r="O27" s="142"/>
      <c r="P27" s="142"/>
      <c r="Q27" s="142"/>
      <c r="R27" s="143"/>
    </row>
    <row r="28" spans="1:18" ht="22.05" customHeight="1" thickTop="1" thickBot="1" x14ac:dyDescent="0.35">
      <c r="A28" s="118" t="s">
        <v>8</v>
      </c>
      <c r="B28" s="110"/>
      <c r="C28" s="110"/>
      <c r="D28" s="110"/>
      <c r="E28" s="110"/>
      <c r="F28" s="111"/>
      <c r="G28" s="18">
        <v>46070</v>
      </c>
      <c r="H28" s="109" t="s">
        <v>9</v>
      </c>
      <c r="I28" s="110"/>
      <c r="J28" s="110"/>
      <c r="K28" s="110"/>
      <c r="L28" s="110"/>
      <c r="M28" s="110"/>
      <c r="N28" s="110"/>
      <c r="O28" s="110"/>
      <c r="P28" s="110"/>
      <c r="Q28" s="110"/>
      <c r="R28" s="111"/>
    </row>
    <row r="29" spans="1:18" ht="24" customHeight="1" x14ac:dyDescent="0.3">
      <c r="A29" s="19" t="s">
        <v>10</v>
      </c>
      <c r="B29" s="19" t="s">
        <v>11</v>
      </c>
      <c r="C29" s="20" t="s">
        <v>12</v>
      </c>
      <c r="D29" s="19" t="s">
        <v>13</v>
      </c>
      <c r="E29" s="19" t="s">
        <v>14</v>
      </c>
      <c r="F29" s="21" t="s">
        <v>15</v>
      </c>
      <c r="G29" s="22" t="s">
        <v>16</v>
      </c>
      <c r="H29" s="19" t="s">
        <v>17</v>
      </c>
      <c r="I29" s="23" t="s">
        <v>18</v>
      </c>
      <c r="J29" s="24" t="s">
        <v>19</v>
      </c>
      <c r="K29" s="25" t="s">
        <v>20</v>
      </c>
      <c r="L29" s="24" t="s">
        <v>21</v>
      </c>
      <c r="M29" s="24" t="s">
        <v>22</v>
      </c>
      <c r="N29" s="24" t="s">
        <v>23</v>
      </c>
      <c r="O29" s="19" t="s">
        <v>24</v>
      </c>
      <c r="P29" s="20" t="s">
        <v>25</v>
      </c>
      <c r="Q29" s="24" t="s">
        <v>26</v>
      </c>
      <c r="R29" s="19" t="s">
        <v>27</v>
      </c>
    </row>
    <row r="30" spans="1:18" ht="49.95" customHeight="1" x14ac:dyDescent="0.3">
      <c r="A30" s="53" t="s">
        <v>28</v>
      </c>
      <c r="B30" s="53" t="s">
        <v>34</v>
      </c>
      <c r="C30" s="54">
        <v>0.2638888888888889</v>
      </c>
      <c r="D30" s="53" t="s">
        <v>30</v>
      </c>
      <c r="E30" s="55"/>
      <c r="F30" s="53" t="s">
        <v>31</v>
      </c>
      <c r="G30" s="112"/>
      <c r="H30" s="56" t="s">
        <v>34</v>
      </c>
      <c r="I30" s="57">
        <v>0</v>
      </c>
      <c r="J30" s="58">
        <v>0</v>
      </c>
      <c r="K30" s="59" t="s">
        <v>32</v>
      </c>
      <c r="L30" s="58">
        <v>0</v>
      </c>
      <c r="M30" s="58">
        <v>0</v>
      </c>
      <c r="N30" s="58">
        <v>0</v>
      </c>
      <c r="O30" s="60" t="s">
        <v>33</v>
      </c>
      <c r="P30" s="61">
        <v>0.2638888888888889</v>
      </c>
      <c r="Q30" s="58">
        <v>180</v>
      </c>
      <c r="R30" s="62" t="s">
        <v>32</v>
      </c>
    </row>
    <row r="31" spans="1:18" ht="49.95" customHeight="1" x14ac:dyDescent="0.3">
      <c r="A31" s="76" t="s">
        <v>28</v>
      </c>
      <c r="B31" s="76" t="s">
        <v>35</v>
      </c>
      <c r="C31" s="77">
        <v>0.61805555555555558</v>
      </c>
      <c r="D31" s="76" t="s">
        <v>30</v>
      </c>
      <c r="E31" s="78"/>
      <c r="F31" s="76" t="s">
        <v>31</v>
      </c>
      <c r="G31" s="113"/>
      <c r="H31" s="26" t="s">
        <v>35</v>
      </c>
      <c r="I31" s="27">
        <v>0</v>
      </c>
      <c r="J31" s="28">
        <v>0</v>
      </c>
      <c r="K31" s="29" t="s">
        <v>32</v>
      </c>
      <c r="L31" s="28">
        <v>0</v>
      </c>
      <c r="M31" s="28">
        <v>0</v>
      </c>
      <c r="N31" s="28">
        <v>0</v>
      </c>
      <c r="O31" s="30" t="s">
        <v>33</v>
      </c>
      <c r="P31" s="31">
        <v>0.61805555555555558</v>
      </c>
      <c r="Q31" s="28">
        <v>180</v>
      </c>
      <c r="R31" s="32" t="s">
        <v>32</v>
      </c>
    </row>
    <row r="32" spans="1:18" ht="49.95" customHeight="1" thickBot="1" x14ac:dyDescent="0.35">
      <c r="A32" s="79" t="s">
        <v>28</v>
      </c>
      <c r="B32" s="79" t="s">
        <v>36</v>
      </c>
      <c r="C32" s="80">
        <v>0.79166666666666663</v>
      </c>
      <c r="D32" s="79" t="s">
        <v>30</v>
      </c>
      <c r="E32" s="81"/>
      <c r="F32" s="79" t="s">
        <v>31</v>
      </c>
      <c r="G32" s="114"/>
      <c r="H32" s="82" t="s">
        <v>36</v>
      </c>
      <c r="I32" s="83">
        <v>0</v>
      </c>
      <c r="J32" s="84">
        <v>0</v>
      </c>
      <c r="K32" s="85" t="s">
        <v>32</v>
      </c>
      <c r="L32" s="84">
        <v>0</v>
      </c>
      <c r="M32" s="84">
        <v>0</v>
      </c>
      <c r="N32" s="84">
        <v>0</v>
      </c>
      <c r="O32" s="86" t="s">
        <v>33</v>
      </c>
      <c r="P32" s="87">
        <v>0.79166666666666663</v>
      </c>
      <c r="Q32" s="84">
        <v>180</v>
      </c>
      <c r="R32" s="88" t="s">
        <v>32</v>
      </c>
    </row>
    <row r="33" spans="1:18" ht="17.399999999999999" customHeight="1" thickBot="1" x14ac:dyDescent="0.35">
      <c r="A33" s="141"/>
      <c r="B33" s="142"/>
      <c r="C33" s="142"/>
      <c r="D33" s="142"/>
      <c r="E33" s="142"/>
      <c r="F33" s="142"/>
      <c r="G33" s="142"/>
      <c r="H33" s="142"/>
      <c r="I33" s="142"/>
      <c r="J33" s="142"/>
      <c r="K33" s="142"/>
      <c r="L33" s="142"/>
      <c r="M33" s="142"/>
      <c r="N33" s="142"/>
      <c r="O33" s="142"/>
      <c r="P33" s="142"/>
      <c r="Q33" s="142"/>
      <c r="R33" s="143"/>
    </row>
    <row r="34" spans="1:18" ht="22.05" customHeight="1" thickTop="1" thickBot="1" x14ac:dyDescent="0.35">
      <c r="A34" s="118" t="s">
        <v>8</v>
      </c>
      <c r="B34" s="110"/>
      <c r="C34" s="110"/>
      <c r="D34" s="110"/>
      <c r="E34" s="110"/>
      <c r="F34" s="111"/>
      <c r="G34" s="18">
        <v>46076</v>
      </c>
      <c r="H34" s="109" t="s">
        <v>9</v>
      </c>
      <c r="I34" s="110"/>
      <c r="J34" s="110"/>
      <c r="K34" s="110"/>
      <c r="L34" s="110"/>
      <c r="M34" s="110"/>
      <c r="N34" s="110"/>
      <c r="O34" s="110"/>
      <c r="P34" s="110"/>
      <c r="Q34" s="110"/>
      <c r="R34" s="111"/>
    </row>
    <row r="35" spans="1:18" ht="24" customHeight="1" x14ac:dyDescent="0.3">
      <c r="A35" s="19" t="s">
        <v>10</v>
      </c>
      <c r="B35" s="19" t="s">
        <v>11</v>
      </c>
      <c r="C35" s="20" t="s">
        <v>12</v>
      </c>
      <c r="D35" s="19" t="s">
        <v>13</v>
      </c>
      <c r="E35" s="19" t="s">
        <v>14</v>
      </c>
      <c r="F35" s="21" t="s">
        <v>15</v>
      </c>
      <c r="G35" s="22" t="s">
        <v>16</v>
      </c>
      <c r="H35" s="19" t="s">
        <v>17</v>
      </c>
      <c r="I35" s="23" t="s">
        <v>18</v>
      </c>
      <c r="J35" s="24" t="s">
        <v>19</v>
      </c>
      <c r="K35" s="25" t="s">
        <v>20</v>
      </c>
      <c r="L35" s="24" t="s">
        <v>21</v>
      </c>
      <c r="M35" s="24" t="s">
        <v>22</v>
      </c>
      <c r="N35" s="24" t="s">
        <v>23</v>
      </c>
      <c r="O35" s="19" t="s">
        <v>24</v>
      </c>
      <c r="P35" s="20" t="s">
        <v>25</v>
      </c>
      <c r="Q35" s="24" t="s">
        <v>26</v>
      </c>
      <c r="R35" s="19" t="s">
        <v>27</v>
      </c>
    </row>
    <row r="36" spans="1:18" ht="49.95" customHeight="1" thickTop="1" thickBot="1" x14ac:dyDescent="0.5">
      <c r="A36" s="89" t="s">
        <v>28</v>
      </c>
      <c r="B36" s="89" t="s">
        <v>29</v>
      </c>
      <c r="C36" s="90">
        <v>0.96180555555555547</v>
      </c>
      <c r="D36" s="89" t="s">
        <v>30</v>
      </c>
      <c r="E36" s="91"/>
      <c r="F36" s="89" t="s">
        <v>31</v>
      </c>
      <c r="G36" s="122"/>
      <c r="H36" s="92" t="s">
        <v>29</v>
      </c>
      <c r="I36" s="93">
        <v>0</v>
      </c>
      <c r="J36" s="94">
        <v>0</v>
      </c>
      <c r="K36" s="95" t="s">
        <v>32</v>
      </c>
      <c r="L36" s="94">
        <v>0</v>
      </c>
      <c r="M36" s="94">
        <v>0</v>
      </c>
      <c r="N36" s="94">
        <v>0</v>
      </c>
      <c r="O36" s="96" t="s">
        <v>33</v>
      </c>
      <c r="P36" s="97">
        <v>0.96180555555555547</v>
      </c>
      <c r="Q36" s="94">
        <v>180</v>
      </c>
      <c r="R36" s="98" t="s">
        <v>32</v>
      </c>
    </row>
    <row r="37" spans="1:18" ht="17.399999999999999" customHeight="1" thickBot="1" x14ac:dyDescent="0.35">
      <c r="A37" s="141"/>
      <c r="B37" s="142"/>
      <c r="C37" s="142"/>
      <c r="D37" s="142"/>
      <c r="E37" s="142"/>
      <c r="F37" s="142"/>
      <c r="G37" s="142"/>
      <c r="H37" s="142"/>
      <c r="I37" s="142"/>
      <c r="J37" s="142"/>
      <c r="K37" s="142"/>
      <c r="L37" s="142"/>
      <c r="M37" s="142"/>
      <c r="N37" s="142"/>
      <c r="O37" s="142"/>
      <c r="P37" s="142"/>
      <c r="Q37" s="142"/>
      <c r="R37" s="143"/>
    </row>
    <row r="38" spans="1:18" ht="22.05" customHeight="1" thickTop="1" thickBot="1" x14ac:dyDescent="0.35">
      <c r="A38" s="118" t="s">
        <v>8</v>
      </c>
      <c r="B38" s="110"/>
      <c r="C38" s="110"/>
      <c r="D38" s="110"/>
      <c r="E38" s="110"/>
      <c r="F38" s="111"/>
      <c r="G38" s="18">
        <v>46077</v>
      </c>
      <c r="H38" s="109" t="s">
        <v>9</v>
      </c>
      <c r="I38" s="110"/>
      <c r="J38" s="110"/>
      <c r="K38" s="110"/>
      <c r="L38" s="110"/>
      <c r="M38" s="110"/>
      <c r="N38" s="110"/>
      <c r="O38" s="110"/>
      <c r="P38" s="110"/>
      <c r="Q38" s="110"/>
      <c r="R38" s="111"/>
    </row>
    <row r="39" spans="1:18" ht="24" customHeight="1" x14ac:dyDescent="0.3">
      <c r="A39" s="19" t="s">
        <v>10</v>
      </c>
      <c r="B39" s="19" t="s">
        <v>11</v>
      </c>
      <c r="C39" s="20" t="s">
        <v>12</v>
      </c>
      <c r="D39" s="19" t="s">
        <v>13</v>
      </c>
      <c r="E39" s="19" t="s">
        <v>14</v>
      </c>
      <c r="F39" s="21" t="s">
        <v>15</v>
      </c>
      <c r="G39" s="22" t="s">
        <v>16</v>
      </c>
      <c r="H39" s="19" t="s">
        <v>17</v>
      </c>
      <c r="I39" s="23" t="s">
        <v>18</v>
      </c>
      <c r="J39" s="24" t="s">
        <v>19</v>
      </c>
      <c r="K39" s="25" t="s">
        <v>20</v>
      </c>
      <c r="L39" s="24" t="s">
        <v>21</v>
      </c>
      <c r="M39" s="24" t="s">
        <v>22</v>
      </c>
      <c r="N39" s="24" t="s">
        <v>23</v>
      </c>
      <c r="O39" s="19" t="s">
        <v>24</v>
      </c>
      <c r="P39" s="20" t="s">
        <v>25</v>
      </c>
      <c r="Q39" s="24" t="s">
        <v>26</v>
      </c>
      <c r="R39" s="19" t="s">
        <v>27</v>
      </c>
    </row>
    <row r="40" spans="1:18" ht="49.95" customHeight="1" x14ac:dyDescent="0.3">
      <c r="A40" s="99" t="s">
        <v>28</v>
      </c>
      <c r="B40" s="99" t="s">
        <v>34</v>
      </c>
      <c r="C40" s="100">
        <v>0.19097222222222221</v>
      </c>
      <c r="D40" s="99" t="s">
        <v>30</v>
      </c>
      <c r="E40" s="101"/>
      <c r="F40" s="99" t="s">
        <v>31</v>
      </c>
      <c r="G40" s="122"/>
      <c r="H40" s="102" t="s">
        <v>34</v>
      </c>
      <c r="I40" s="103">
        <v>0</v>
      </c>
      <c r="J40" s="104">
        <v>0</v>
      </c>
      <c r="K40" s="105" t="s">
        <v>32</v>
      </c>
      <c r="L40" s="104">
        <v>0</v>
      </c>
      <c r="M40" s="104">
        <v>0</v>
      </c>
      <c r="N40" s="104">
        <v>0</v>
      </c>
      <c r="O40" s="106" t="s">
        <v>33</v>
      </c>
      <c r="P40" s="107">
        <v>0.19097222222222221</v>
      </c>
      <c r="Q40" s="104">
        <v>180</v>
      </c>
      <c r="R40" s="108" t="s">
        <v>32</v>
      </c>
    </row>
    <row r="41" spans="1:18" ht="49.95" customHeight="1" x14ac:dyDescent="0.3">
      <c r="A41" s="76" t="s">
        <v>28</v>
      </c>
      <c r="B41" s="76" t="s">
        <v>35</v>
      </c>
      <c r="C41" s="77">
        <v>0.63888888888888895</v>
      </c>
      <c r="D41" s="76" t="s">
        <v>30</v>
      </c>
      <c r="E41" s="78"/>
      <c r="F41" s="76" t="s">
        <v>31</v>
      </c>
      <c r="G41" s="113"/>
      <c r="H41" s="26" t="s">
        <v>35</v>
      </c>
      <c r="I41" s="27">
        <v>0</v>
      </c>
      <c r="J41" s="28">
        <v>0</v>
      </c>
      <c r="K41" s="29" t="s">
        <v>32</v>
      </c>
      <c r="L41" s="28">
        <v>0</v>
      </c>
      <c r="M41" s="28">
        <v>0</v>
      </c>
      <c r="N41" s="28">
        <v>0</v>
      </c>
      <c r="O41" s="30" t="s">
        <v>33</v>
      </c>
      <c r="P41" s="31">
        <v>0.63888888888888895</v>
      </c>
      <c r="Q41" s="28">
        <v>180</v>
      </c>
      <c r="R41" s="32" t="s">
        <v>32</v>
      </c>
    </row>
    <row r="42" spans="1:18" ht="49.95" customHeight="1" thickBot="1" x14ac:dyDescent="0.35">
      <c r="A42" s="79" t="s">
        <v>28</v>
      </c>
      <c r="B42" s="79" t="s">
        <v>36</v>
      </c>
      <c r="C42" s="80">
        <v>0.79166666666666663</v>
      </c>
      <c r="D42" s="79" t="s">
        <v>30</v>
      </c>
      <c r="E42" s="81"/>
      <c r="F42" s="79" t="s">
        <v>31</v>
      </c>
      <c r="G42" s="114"/>
      <c r="H42" s="82" t="s">
        <v>36</v>
      </c>
      <c r="I42" s="83">
        <v>0</v>
      </c>
      <c r="J42" s="84">
        <v>0</v>
      </c>
      <c r="K42" s="85" t="s">
        <v>32</v>
      </c>
      <c r="L42" s="84">
        <v>0</v>
      </c>
      <c r="M42" s="84">
        <v>0</v>
      </c>
      <c r="N42" s="84">
        <v>0</v>
      </c>
      <c r="O42" s="86" t="s">
        <v>33</v>
      </c>
      <c r="P42" s="87">
        <v>0.79166666666666663</v>
      </c>
      <c r="Q42" s="84">
        <v>180</v>
      </c>
      <c r="R42" s="88" t="s">
        <v>32</v>
      </c>
    </row>
    <row r="43" spans="1:18" ht="17.399999999999999" customHeight="1" thickBot="1" x14ac:dyDescent="0.35">
      <c r="A43" s="141"/>
      <c r="B43" s="142"/>
      <c r="C43" s="142"/>
      <c r="D43" s="142"/>
      <c r="E43" s="142"/>
      <c r="F43" s="142"/>
      <c r="G43" s="142"/>
      <c r="H43" s="142"/>
      <c r="I43" s="142"/>
      <c r="J43" s="142"/>
      <c r="K43" s="142"/>
      <c r="L43" s="142"/>
      <c r="M43" s="142"/>
      <c r="N43" s="142"/>
      <c r="O43" s="142"/>
      <c r="P43" s="142"/>
      <c r="Q43" s="142"/>
      <c r="R43" s="143"/>
    </row>
    <row r="44" spans="1:18" ht="15" thickTop="1" x14ac:dyDescent="0.3"/>
  </sheetData>
  <mergeCells count="39">
    <mergeCell ref="A43:R43"/>
    <mergeCell ref="A13:R13"/>
    <mergeCell ref="K2:R2"/>
    <mergeCell ref="A34:F34"/>
    <mergeCell ref="H28:R28"/>
    <mergeCell ref="G6"/>
    <mergeCell ref="G10:G12"/>
    <mergeCell ref="A24:F24"/>
    <mergeCell ref="H24:R24"/>
    <mergeCell ref="H18:R18"/>
    <mergeCell ref="H14:R14"/>
    <mergeCell ref="G40:G42"/>
    <mergeCell ref="H34:R34"/>
    <mergeCell ref="A14:F14"/>
    <mergeCell ref="A33:R33"/>
    <mergeCell ref="A8:F8"/>
    <mergeCell ref="A17:R17"/>
    <mergeCell ref="A23:R23"/>
    <mergeCell ref="G36"/>
    <mergeCell ref="A38:F38"/>
    <mergeCell ref="A28:F28"/>
    <mergeCell ref="H1:L1"/>
    <mergeCell ref="A1:E1"/>
    <mergeCell ref="A18:F18"/>
    <mergeCell ref="A37:R37"/>
    <mergeCell ref="G16"/>
    <mergeCell ref="A27:R27"/>
    <mergeCell ref="H4:R4"/>
    <mergeCell ref="A2:F2"/>
    <mergeCell ref="A3:R3"/>
    <mergeCell ref="G2:J2"/>
    <mergeCell ref="A4:F4"/>
    <mergeCell ref="N1:R1"/>
    <mergeCell ref="H8:R8"/>
    <mergeCell ref="G30:G32"/>
    <mergeCell ref="A7:R7"/>
    <mergeCell ref="G26"/>
    <mergeCell ref="H38:R38"/>
    <mergeCell ref="G20:G2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J18"/>
  <sheetViews>
    <sheetView workbookViewId="0"/>
  </sheetViews>
  <sheetFormatPr defaultRowHeight="15.6" outlineLevelCol="1" x14ac:dyDescent="0.3"/>
  <cols>
    <col min="1" max="1" width="8.6640625" style="128" bestFit="1" customWidth="1"/>
    <col min="2" max="2" width="10.109375" style="128" bestFit="1" customWidth="1"/>
    <col min="3" max="3" width="6.77734375" style="128" bestFit="1" customWidth="1"/>
    <col min="4" max="4" width="5.5546875" style="128" bestFit="1" customWidth="1"/>
    <col min="5" max="5" width="7.77734375" style="128" bestFit="1" customWidth="1"/>
    <col min="6" max="6" width="4.21875" style="128" bestFit="1" customWidth="1"/>
    <col min="7" max="7" width="8.44140625" style="128" bestFit="1" customWidth="1"/>
    <col min="8" max="8" width="8.5546875" style="128" bestFit="1" customWidth="1"/>
    <col min="9" max="10" width="7" style="128" bestFit="1" customWidth="1"/>
    <col min="11" max="11" width="10.5546875" style="128" bestFit="1" customWidth="1"/>
    <col min="12" max="12" width="9" style="128" bestFit="1" customWidth="1"/>
    <col min="13" max="13" width="7.6640625" style="128" bestFit="1" customWidth="1" outlineLevel="1"/>
    <col min="14" max="14" width="6.33203125" style="128" bestFit="1" customWidth="1" outlineLevel="1"/>
    <col min="15" max="15" width="8" style="128" bestFit="1" customWidth="1" outlineLevel="1"/>
    <col min="16" max="16" width="13.6640625" style="128" bestFit="1" customWidth="1"/>
    <col min="17" max="36" width="3.88671875" style="128" bestFit="1" customWidth="1"/>
    <col min="37" max="16384" width="8.88671875" style="128"/>
  </cols>
  <sheetData>
    <row r="1" spans="1:36" x14ac:dyDescent="0.3">
      <c r="A1" s="127" t="s">
        <v>37</v>
      </c>
      <c r="B1" s="127" t="s">
        <v>38</v>
      </c>
      <c r="C1" s="127" t="s">
        <v>39</v>
      </c>
      <c r="D1" s="127" t="s">
        <v>25</v>
      </c>
      <c r="E1" s="127" t="s">
        <v>40</v>
      </c>
      <c r="F1" s="127" t="s">
        <v>41</v>
      </c>
      <c r="G1" s="127" t="s">
        <v>18</v>
      </c>
      <c r="H1" s="127" t="s">
        <v>42</v>
      </c>
      <c r="I1" s="127" t="s">
        <v>43</v>
      </c>
      <c r="J1" s="127" t="s">
        <v>44</v>
      </c>
      <c r="K1" s="127" t="s">
        <v>45</v>
      </c>
      <c r="L1" s="127" t="s">
        <v>20</v>
      </c>
      <c r="M1" s="127" t="s">
        <v>22</v>
      </c>
      <c r="N1" s="127" t="s">
        <v>23</v>
      </c>
      <c r="O1" s="127" t="s">
        <v>21</v>
      </c>
      <c r="P1" s="127" t="s">
        <v>24</v>
      </c>
      <c r="Q1" s="127" t="s">
        <v>46</v>
      </c>
      <c r="R1" s="127" t="s">
        <v>47</v>
      </c>
      <c r="S1" s="127" t="s">
        <v>48</v>
      </c>
      <c r="T1" s="127" t="s">
        <v>49</v>
      </c>
      <c r="U1" s="127" t="s">
        <v>50</v>
      </c>
      <c r="V1" s="127" t="s">
        <v>51</v>
      </c>
      <c r="W1" s="127" t="s">
        <v>52</v>
      </c>
      <c r="X1" s="127" t="s">
        <v>53</v>
      </c>
      <c r="Y1" s="127" t="s">
        <v>54</v>
      </c>
      <c r="Z1" s="127" t="s">
        <v>55</v>
      </c>
      <c r="AA1" s="127" t="s">
        <v>56</v>
      </c>
      <c r="AB1" s="127" t="s">
        <v>57</v>
      </c>
      <c r="AC1" s="127" t="s">
        <v>58</v>
      </c>
      <c r="AD1" s="127" t="s">
        <v>59</v>
      </c>
      <c r="AE1" s="127" t="s">
        <v>60</v>
      </c>
      <c r="AF1" s="127" t="s">
        <v>61</v>
      </c>
      <c r="AG1" s="127" t="s">
        <v>62</v>
      </c>
      <c r="AH1" s="127" t="s">
        <v>63</v>
      </c>
      <c r="AI1" s="127" t="s">
        <v>64</v>
      </c>
      <c r="AJ1" s="127" t="s">
        <v>65</v>
      </c>
    </row>
    <row r="2" spans="1:36" x14ac:dyDescent="0.3">
      <c r="A2" s="129" t="s">
        <v>66</v>
      </c>
      <c r="B2" s="130">
        <v>46055</v>
      </c>
      <c r="C2" s="131" t="s">
        <v>29</v>
      </c>
      <c r="D2" s="132" t="s">
        <v>67</v>
      </c>
      <c r="E2" s="131" t="s">
        <v>1</v>
      </c>
      <c r="F2" s="131" t="s">
        <v>68</v>
      </c>
      <c r="G2" s="133">
        <v>0</v>
      </c>
      <c r="H2" s="134">
        <v>180</v>
      </c>
      <c r="I2" s="134">
        <v>0</v>
      </c>
      <c r="J2" s="134">
        <v>0</v>
      </c>
      <c r="K2" s="131" t="s">
        <v>69</v>
      </c>
      <c r="L2" s="135" t="s">
        <v>32</v>
      </c>
      <c r="M2" s="134">
        <v>0</v>
      </c>
      <c r="N2" s="134">
        <v>0</v>
      </c>
      <c r="O2" s="134">
        <v>0</v>
      </c>
      <c r="P2" s="131" t="s">
        <v>33</v>
      </c>
      <c r="Q2" s="127"/>
      <c r="R2" s="127"/>
      <c r="S2" s="127"/>
      <c r="T2" s="127"/>
      <c r="U2" s="127"/>
      <c r="V2" s="127"/>
      <c r="W2" s="127"/>
      <c r="X2" s="127"/>
      <c r="Y2" s="127"/>
      <c r="Z2" s="127"/>
      <c r="AA2" s="127"/>
      <c r="AB2" s="127"/>
      <c r="AC2" s="127"/>
      <c r="AD2" s="127"/>
      <c r="AE2" s="127"/>
      <c r="AF2" s="127"/>
      <c r="AG2" s="127"/>
      <c r="AH2" s="127"/>
      <c r="AI2" s="127"/>
      <c r="AJ2" s="127"/>
    </row>
    <row r="3" spans="1:36" x14ac:dyDescent="0.3">
      <c r="A3" s="129" t="s">
        <v>70</v>
      </c>
      <c r="B3" s="130">
        <v>46056</v>
      </c>
      <c r="C3" s="131" t="s">
        <v>34</v>
      </c>
      <c r="D3" s="132" t="s">
        <v>71</v>
      </c>
      <c r="E3" s="131" t="s">
        <v>1</v>
      </c>
      <c r="F3" s="131" t="s">
        <v>68</v>
      </c>
      <c r="G3" s="133">
        <v>0</v>
      </c>
      <c r="H3" s="134">
        <v>180</v>
      </c>
      <c r="I3" s="134">
        <v>0</v>
      </c>
      <c r="J3" s="134">
        <v>0</v>
      </c>
      <c r="K3" s="131" t="s">
        <v>69</v>
      </c>
      <c r="L3" s="135" t="s">
        <v>32</v>
      </c>
      <c r="M3" s="134">
        <v>0</v>
      </c>
      <c r="N3" s="134">
        <v>0</v>
      </c>
      <c r="O3" s="134">
        <v>0</v>
      </c>
      <c r="P3" s="131" t="s">
        <v>33</v>
      </c>
      <c r="Q3" s="127"/>
      <c r="R3" s="127"/>
      <c r="S3" s="127"/>
      <c r="T3" s="127"/>
      <c r="U3" s="127"/>
      <c r="V3" s="127"/>
      <c r="W3" s="127"/>
      <c r="X3" s="127"/>
      <c r="Y3" s="127"/>
      <c r="Z3" s="127"/>
      <c r="AA3" s="127"/>
      <c r="AB3" s="127"/>
      <c r="AC3" s="127"/>
      <c r="AD3" s="127"/>
      <c r="AE3" s="127"/>
      <c r="AF3" s="127"/>
      <c r="AG3" s="127"/>
      <c r="AH3" s="127"/>
      <c r="AI3" s="127"/>
      <c r="AJ3" s="127"/>
    </row>
    <row r="4" spans="1:36" x14ac:dyDescent="0.3">
      <c r="A4" s="129" t="s">
        <v>70</v>
      </c>
      <c r="B4" s="130">
        <v>46056</v>
      </c>
      <c r="C4" s="131" t="s">
        <v>35</v>
      </c>
      <c r="D4" s="132" t="s">
        <v>72</v>
      </c>
      <c r="E4" s="131" t="s">
        <v>1</v>
      </c>
      <c r="F4" s="131" t="s">
        <v>68</v>
      </c>
      <c r="G4" s="133">
        <v>0</v>
      </c>
      <c r="H4" s="134">
        <v>180</v>
      </c>
      <c r="I4" s="134">
        <v>0</v>
      </c>
      <c r="J4" s="134">
        <v>0</v>
      </c>
      <c r="K4" s="131" t="s">
        <v>69</v>
      </c>
      <c r="L4" s="135" t="s">
        <v>32</v>
      </c>
      <c r="M4" s="134">
        <v>0</v>
      </c>
      <c r="N4" s="134">
        <v>0</v>
      </c>
      <c r="O4" s="134">
        <v>0</v>
      </c>
      <c r="P4" s="131" t="s">
        <v>33</v>
      </c>
      <c r="Q4" s="127"/>
      <c r="R4" s="127"/>
      <c r="S4" s="127"/>
      <c r="T4" s="127"/>
      <c r="U4" s="127"/>
      <c r="V4" s="127"/>
      <c r="W4" s="127"/>
      <c r="X4" s="127"/>
      <c r="Y4" s="127"/>
      <c r="Z4" s="127"/>
      <c r="AA4" s="127"/>
      <c r="AB4" s="127"/>
      <c r="AC4" s="127"/>
      <c r="AD4" s="127"/>
      <c r="AE4" s="127"/>
      <c r="AF4" s="127"/>
      <c r="AG4" s="127"/>
      <c r="AH4" s="127"/>
      <c r="AI4" s="127"/>
      <c r="AJ4" s="127"/>
    </row>
    <row r="5" spans="1:36" x14ac:dyDescent="0.3">
      <c r="A5" s="129" t="s">
        <v>70</v>
      </c>
      <c r="B5" s="130">
        <v>46056</v>
      </c>
      <c r="C5" s="131" t="s">
        <v>36</v>
      </c>
      <c r="D5" s="132" t="s">
        <v>73</v>
      </c>
      <c r="E5" s="131" t="s">
        <v>1</v>
      </c>
      <c r="F5" s="131" t="s">
        <v>68</v>
      </c>
      <c r="G5" s="133">
        <v>0</v>
      </c>
      <c r="H5" s="134">
        <v>180</v>
      </c>
      <c r="I5" s="134">
        <v>0</v>
      </c>
      <c r="J5" s="134">
        <v>0</v>
      </c>
      <c r="K5" s="131" t="s">
        <v>69</v>
      </c>
      <c r="L5" s="135" t="s">
        <v>32</v>
      </c>
      <c r="M5" s="134">
        <v>0</v>
      </c>
      <c r="N5" s="134">
        <v>0</v>
      </c>
      <c r="O5" s="134">
        <v>0</v>
      </c>
      <c r="P5" s="131" t="s">
        <v>33</v>
      </c>
      <c r="Q5" s="127"/>
      <c r="R5" s="127"/>
      <c r="S5" s="127"/>
      <c r="T5" s="127"/>
      <c r="U5" s="127"/>
      <c r="V5" s="127"/>
      <c r="W5" s="127"/>
      <c r="X5" s="127"/>
      <c r="Y5" s="127"/>
      <c r="Z5" s="127"/>
      <c r="AA5" s="127"/>
      <c r="AB5" s="127"/>
      <c r="AC5" s="127"/>
      <c r="AD5" s="127"/>
      <c r="AE5" s="127"/>
      <c r="AF5" s="127"/>
      <c r="AG5" s="127"/>
      <c r="AH5" s="127"/>
      <c r="AI5" s="127"/>
      <c r="AJ5" s="127"/>
    </row>
    <row r="6" spans="1:36" x14ac:dyDescent="0.3">
      <c r="A6" s="129" t="s">
        <v>66</v>
      </c>
      <c r="B6" s="130">
        <v>46062</v>
      </c>
      <c r="C6" s="131" t="s">
        <v>29</v>
      </c>
      <c r="D6" s="132" t="s">
        <v>67</v>
      </c>
      <c r="E6" s="131" t="s">
        <v>1</v>
      </c>
      <c r="F6" s="131" t="s">
        <v>68</v>
      </c>
      <c r="G6" s="133">
        <v>0</v>
      </c>
      <c r="H6" s="134">
        <v>180</v>
      </c>
      <c r="I6" s="134">
        <v>0</v>
      </c>
      <c r="J6" s="134">
        <v>0</v>
      </c>
      <c r="K6" s="131" t="s">
        <v>69</v>
      </c>
      <c r="L6" s="135" t="s">
        <v>32</v>
      </c>
      <c r="M6" s="134">
        <v>0</v>
      </c>
      <c r="N6" s="134">
        <v>0</v>
      </c>
      <c r="O6" s="134">
        <v>0</v>
      </c>
      <c r="P6" s="131" t="s">
        <v>33</v>
      </c>
      <c r="Q6" s="127"/>
      <c r="R6" s="127"/>
      <c r="S6" s="127"/>
      <c r="T6" s="127"/>
      <c r="U6" s="127"/>
      <c r="V6" s="127"/>
      <c r="W6" s="127"/>
      <c r="X6" s="127"/>
      <c r="Y6" s="127"/>
      <c r="Z6" s="127"/>
      <c r="AA6" s="127"/>
      <c r="AB6" s="127"/>
      <c r="AC6" s="127"/>
      <c r="AD6" s="127"/>
      <c r="AE6" s="127"/>
      <c r="AF6" s="127"/>
      <c r="AG6" s="127"/>
      <c r="AH6" s="127"/>
      <c r="AI6" s="127"/>
      <c r="AJ6" s="127"/>
    </row>
    <row r="7" spans="1:36" x14ac:dyDescent="0.3">
      <c r="A7" s="129" t="s">
        <v>70</v>
      </c>
      <c r="B7" s="130">
        <v>46063</v>
      </c>
      <c r="C7" s="131" t="s">
        <v>34</v>
      </c>
      <c r="D7" s="132" t="s">
        <v>74</v>
      </c>
      <c r="E7" s="131" t="s">
        <v>1</v>
      </c>
      <c r="F7" s="131" t="s">
        <v>68</v>
      </c>
      <c r="G7" s="133">
        <v>0</v>
      </c>
      <c r="H7" s="134">
        <v>180</v>
      </c>
      <c r="I7" s="134">
        <v>0</v>
      </c>
      <c r="J7" s="134">
        <v>0</v>
      </c>
      <c r="K7" s="131" t="s">
        <v>69</v>
      </c>
      <c r="L7" s="135" t="s">
        <v>32</v>
      </c>
      <c r="M7" s="134">
        <v>0</v>
      </c>
      <c r="N7" s="134">
        <v>0</v>
      </c>
      <c r="O7" s="134">
        <v>0</v>
      </c>
      <c r="P7" s="131" t="s">
        <v>33</v>
      </c>
      <c r="Q7" s="127"/>
      <c r="R7" s="127"/>
      <c r="S7" s="127"/>
      <c r="T7" s="127"/>
      <c r="U7" s="127"/>
      <c r="V7" s="127"/>
      <c r="W7" s="127"/>
      <c r="X7" s="127"/>
      <c r="Y7" s="127"/>
      <c r="Z7" s="127"/>
      <c r="AA7" s="127"/>
      <c r="AB7" s="127"/>
      <c r="AC7" s="127"/>
      <c r="AD7" s="127"/>
      <c r="AE7" s="127"/>
      <c r="AF7" s="127"/>
      <c r="AG7" s="127"/>
      <c r="AH7" s="127"/>
      <c r="AI7" s="127"/>
      <c r="AJ7" s="127"/>
    </row>
    <row r="8" spans="1:36" x14ac:dyDescent="0.3">
      <c r="A8" s="129" t="s">
        <v>70</v>
      </c>
      <c r="B8" s="130">
        <v>46063</v>
      </c>
      <c r="C8" s="131" t="s">
        <v>35</v>
      </c>
      <c r="D8" s="132" t="s">
        <v>75</v>
      </c>
      <c r="E8" s="131" t="s">
        <v>1</v>
      </c>
      <c r="F8" s="131" t="s">
        <v>68</v>
      </c>
      <c r="G8" s="133">
        <v>0</v>
      </c>
      <c r="H8" s="134">
        <v>180</v>
      </c>
      <c r="I8" s="134">
        <v>0</v>
      </c>
      <c r="J8" s="134">
        <v>0</v>
      </c>
      <c r="K8" s="131" t="s">
        <v>69</v>
      </c>
      <c r="L8" s="135" t="s">
        <v>32</v>
      </c>
      <c r="M8" s="134">
        <v>0</v>
      </c>
      <c r="N8" s="134">
        <v>0</v>
      </c>
      <c r="O8" s="134">
        <v>0</v>
      </c>
      <c r="P8" s="131" t="s">
        <v>33</v>
      </c>
      <c r="Q8" s="127"/>
      <c r="R8" s="127"/>
      <c r="S8" s="127"/>
      <c r="T8" s="127"/>
      <c r="U8" s="127"/>
      <c r="V8" s="127"/>
      <c r="W8" s="127"/>
      <c r="X8" s="127"/>
      <c r="Y8" s="127"/>
      <c r="Z8" s="127"/>
      <c r="AA8" s="127"/>
      <c r="AB8" s="127"/>
      <c r="AC8" s="127"/>
      <c r="AD8" s="127"/>
      <c r="AE8" s="127"/>
      <c r="AF8" s="127"/>
      <c r="AG8" s="127"/>
      <c r="AH8" s="127"/>
      <c r="AI8" s="127"/>
      <c r="AJ8" s="127"/>
    </row>
    <row r="9" spans="1:36" x14ac:dyDescent="0.3">
      <c r="A9" s="129" t="s">
        <v>70</v>
      </c>
      <c r="B9" s="130">
        <v>46063</v>
      </c>
      <c r="C9" s="131" t="s">
        <v>36</v>
      </c>
      <c r="D9" s="132" t="s">
        <v>73</v>
      </c>
      <c r="E9" s="131" t="s">
        <v>1</v>
      </c>
      <c r="F9" s="131" t="s">
        <v>68</v>
      </c>
      <c r="G9" s="133">
        <v>0</v>
      </c>
      <c r="H9" s="134">
        <v>180</v>
      </c>
      <c r="I9" s="134">
        <v>0</v>
      </c>
      <c r="J9" s="134">
        <v>0</v>
      </c>
      <c r="K9" s="131" t="s">
        <v>69</v>
      </c>
      <c r="L9" s="135" t="s">
        <v>32</v>
      </c>
      <c r="M9" s="134">
        <v>0</v>
      </c>
      <c r="N9" s="134">
        <v>0</v>
      </c>
      <c r="O9" s="134">
        <v>0</v>
      </c>
      <c r="P9" s="131" t="s">
        <v>33</v>
      </c>
      <c r="Q9" s="127"/>
      <c r="R9" s="127"/>
      <c r="S9" s="127"/>
      <c r="T9" s="127"/>
      <c r="U9" s="127"/>
      <c r="V9" s="127"/>
      <c r="W9" s="127"/>
      <c r="X9" s="127"/>
      <c r="Y9" s="127"/>
      <c r="Z9" s="127"/>
      <c r="AA9" s="127"/>
      <c r="AB9" s="127"/>
      <c r="AC9" s="127"/>
      <c r="AD9" s="127"/>
      <c r="AE9" s="127"/>
      <c r="AF9" s="127"/>
      <c r="AG9" s="127"/>
      <c r="AH9" s="127"/>
      <c r="AI9" s="127"/>
      <c r="AJ9" s="127"/>
    </row>
    <row r="10" spans="1:36" x14ac:dyDescent="0.3">
      <c r="A10" s="129" t="s">
        <v>66</v>
      </c>
      <c r="B10" s="130">
        <v>46069</v>
      </c>
      <c r="C10" s="131" t="s">
        <v>29</v>
      </c>
      <c r="D10" s="132" t="s">
        <v>67</v>
      </c>
      <c r="E10" s="131" t="s">
        <v>1</v>
      </c>
      <c r="F10" s="131" t="s">
        <v>68</v>
      </c>
      <c r="G10" s="133">
        <v>0</v>
      </c>
      <c r="H10" s="134">
        <v>180</v>
      </c>
      <c r="I10" s="134">
        <v>0</v>
      </c>
      <c r="J10" s="134">
        <v>0</v>
      </c>
      <c r="K10" s="131" t="s">
        <v>69</v>
      </c>
      <c r="L10" s="135" t="s">
        <v>32</v>
      </c>
      <c r="M10" s="134">
        <v>0</v>
      </c>
      <c r="N10" s="134">
        <v>0</v>
      </c>
      <c r="O10" s="134">
        <v>0</v>
      </c>
      <c r="P10" s="131" t="s">
        <v>33</v>
      </c>
      <c r="Q10" s="127"/>
      <c r="R10" s="127"/>
      <c r="S10" s="127"/>
      <c r="T10" s="127"/>
      <c r="U10" s="127"/>
      <c r="V10" s="127"/>
      <c r="W10" s="127"/>
      <c r="X10" s="127"/>
      <c r="Y10" s="127"/>
      <c r="Z10" s="127"/>
      <c r="AA10" s="127"/>
      <c r="AB10" s="127"/>
      <c r="AC10" s="127"/>
      <c r="AD10" s="127"/>
      <c r="AE10" s="127"/>
      <c r="AF10" s="127"/>
      <c r="AG10" s="127"/>
      <c r="AH10" s="127"/>
      <c r="AI10" s="127"/>
      <c r="AJ10" s="127"/>
    </row>
    <row r="11" spans="1:36" x14ac:dyDescent="0.3">
      <c r="A11" s="129" t="s">
        <v>70</v>
      </c>
      <c r="B11" s="130">
        <v>46070</v>
      </c>
      <c r="C11" s="131" t="s">
        <v>34</v>
      </c>
      <c r="D11" s="132" t="s">
        <v>71</v>
      </c>
      <c r="E11" s="131" t="s">
        <v>1</v>
      </c>
      <c r="F11" s="131" t="s">
        <v>68</v>
      </c>
      <c r="G11" s="133">
        <v>0</v>
      </c>
      <c r="H11" s="134">
        <v>180</v>
      </c>
      <c r="I11" s="134">
        <v>0</v>
      </c>
      <c r="J11" s="134">
        <v>0</v>
      </c>
      <c r="K11" s="131" t="s">
        <v>69</v>
      </c>
      <c r="L11" s="135" t="s">
        <v>32</v>
      </c>
      <c r="M11" s="134">
        <v>0</v>
      </c>
      <c r="N11" s="134">
        <v>0</v>
      </c>
      <c r="O11" s="134">
        <v>0</v>
      </c>
      <c r="P11" s="131" t="s">
        <v>33</v>
      </c>
      <c r="Q11" s="127"/>
      <c r="R11" s="127"/>
      <c r="S11" s="127"/>
      <c r="T11" s="127"/>
      <c r="U11" s="127"/>
      <c r="V11" s="127"/>
      <c r="W11" s="127"/>
      <c r="X11" s="127"/>
      <c r="Y11" s="127"/>
      <c r="Z11" s="127"/>
      <c r="AA11" s="127"/>
      <c r="AB11" s="127"/>
      <c r="AC11" s="127"/>
      <c r="AD11" s="127"/>
      <c r="AE11" s="127"/>
      <c r="AF11" s="127"/>
      <c r="AG11" s="127"/>
      <c r="AH11" s="127"/>
      <c r="AI11" s="127"/>
      <c r="AJ11" s="127"/>
    </row>
    <row r="12" spans="1:36" x14ac:dyDescent="0.3">
      <c r="A12" s="129" t="s">
        <v>70</v>
      </c>
      <c r="B12" s="130">
        <v>46070</v>
      </c>
      <c r="C12" s="131" t="s">
        <v>35</v>
      </c>
      <c r="D12" s="132" t="s">
        <v>76</v>
      </c>
      <c r="E12" s="131" t="s">
        <v>1</v>
      </c>
      <c r="F12" s="131" t="s">
        <v>68</v>
      </c>
      <c r="G12" s="133">
        <v>0</v>
      </c>
      <c r="H12" s="134">
        <v>180</v>
      </c>
      <c r="I12" s="134">
        <v>0</v>
      </c>
      <c r="J12" s="134">
        <v>0</v>
      </c>
      <c r="K12" s="131" t="s">
        <v>69</v>
      </c>
      <c r="L12" s="135" t="s">
        <v>32</v>
      </c>
      <c r="M12" s="134">
        <v>0</v>
      </c>
      <c r="N12" s="134">
        <v>0</v>
      </c>
      <c r="O12" s="134">
        <v>0</v>
      </c>
      <c r="P12" s="131" t="s">
        <v>33</v>
      </c>
      <c r="Q12" s="127"/>
      <c r="R12" s="127"/>
      <c r="S12" s="127"/>
      <c r="T12" s="127"/>
      <c r="U12" s="127"/>
      <c r="V12" s="127"/>
      <c r="W12" s="127"/>
      <c r="X12" s="127"/>
      <c r="Y12" s="127"/>
      <c r="Z12" s="127"/>
      <c r="AA12" s="127"/>
      <c r="AB12" s="127"/>
      <c r="AC12" s="127"/>
      <c r="AD12" s="127"/>
      <c r="AE12" s="127"/>
      <c r="AF12" s="127"/>
      <c r="AG12" s="127"/>
      <c r="AH12" s="127"/>
      <c r="AI12" s="127"/>
      <c r="AJ12" s="127"/>
    </row>
    <row r="13" spans="1:36" x14ac:dyDescent="0.3">
      <c r="A13" s="129" t="s">
        <v>70</v>
      </c>
      <c r="B13" s="130">
        <v>46070</v>
      </c>
      <c r="C13" s="131" t="s">
        <v>36</v>
      </c>
      <c r="D13" s="132" t="s">
        <v>73</v>
      </c>
      <c r="E13" s="131" t="s">
        <v>1</v>
      </c>
      <c r="F13" s="131" t="s">
        <v>68</v>
      </c>
      <c r="G13" s="133">
        <v>0</v>
      </c>
      <c r="H13" s="134">
        <v>180</v>
      </c>
      <c r="I13" s="134">
        <v>0</v>
      </c>
      <c r="J13" s="134">
        <v>0</v>
      </c>
      <c r="K13" s="131" t="s">
        <v>69</v>
      </c>
      <c r="L13" s="135" t="s">
        <v>32</v>
      </c>
      <c r="M13" s="134">
        <v>0</v>
      </c>
      <c r="N13" s="134">
        <v>0</v>
      </c>
      <c r="O13" s="134">
        <v>0</v>
      </c>
      <c r="P13" s="131" t="s">
        <v>33</v>
      </c>
      <c r="Q13" s="127"/>
      <c r="R13" s="127"/>
      <c r="S13" s="127"/>
      <c r="T13" s="127"/>
      <c r="U13" s="127"/>
      <c r="V13" s="127"/>
      <c r="W13" s="127"/>
      <c r="X13" s="127"/>
      <c r="Y13" s="127"/>
      <c r="Z13" s="127"/>
      <c r="AA13" s="127"/>
      <c r="AB13" s="127"/>
      <c r="AC13" s="127"/>
      <c r="AD13" s="127"/>
      <c r="AE13" s="127"/>
      <c r="AF13" s="127"/>
      <c r="AG13" s="127"/>
      <c r="AH13" s="127"/>
      <c r="AI13" s="127"/>
      <c r="AJ13" s="127"/>
    </row>
    <row r="14" spans="1:36" x14ac:dyDescent="0.3">
      <c r="A14" s="129" t="s">
        <v>66</v>
      </c>
      <c r="B14" s="130">
        <v>46076</v>
      </c>
      <c r="C14" s="131" t="s">
        <v>29</v>
      </c>
      <c r="D14" s="132" t="s">
        <v>67</v>
      </c>
      <c r="E14" s="131" t="s">
        <v>1</v>
      </c>
      <c r="F14" s="131" t="s">
        <v>68</v>
      </c>
      <c r="G14" s="133">
        <v>0</v>
      </c>
      <c r="H14" s="134">
        <v>180</v>
      </c>
      <c r="I14" s="134">
        <v>0</v>
      </c>
      <c r="J14" s="134">
        <v>0</v>
      </c>
      <c r="K14" s="131" t="s">
        <v>69</v>
      </c>
      <c r="L14" s="135" t="s">
        <v>32</v>
      </c>
      <c r="M14" s="134">
        <v>0</v>
      </c>
      <c r="N14" s="134">
        <v>0</v>
      </c>
      <c r="O14" s="134">
        <v>0</v>
      </c>
      <c r="P14" s="131" t="s">
        <v>33</v>
      </c>
      <c r="Q14" s="127"/>
      <c r="R14" s="127"/>
      <c r="S14" s="127"/>
      <c r="T14" s="127"/>
      <c r="U14" s="127"/>
      <c r="V14" s="127"/>
      <c r="W14" s="127"/>
      <c r="X14" s="127"/>
      <c r="Y14" s="127"/>
      <c r="Z14" s="127"/>
      <c r="AA14" s="127"/>
      <c r="AB14" s="127"/>
      <c r="AC14" s="127"/>
      <c r="AD14" s="127"/>
      <c r="AE14" s="127"/>
      <c r="AF14" s="127"/>
      <c r="AG14" s="127"/>
      <c r="AH14" s="127"/>
      <c r="AI14" s="127"/>
      <c r="AJ14" s="127"/>
    </row>
    <row r="15" spans="1:36" x14ac:dyDescent="0.3">
      <c r="A15" s="129" t="s">
        <v>70</v>
      </c>
      <c r="B15" s="130">
        <v>46077</v>
      </c>
      <c r="C15" s="131" t="s">
        <v>34</v>
      </c>
      <c r="D15" s="132" t="s">
        <v>74</v>
      </c>
      <c r="E15" s="131" t="s">
        <v>1</v>
      </c>
      <c r="F15" s="131" t="s">
        <v>68</v>
      </c>
      <c r="G15" s="133">
        <v>0</v>
      </c>
      <c r="H15" s="134">
        <v>180</v>
      </c>
      <c r="I15" s="134">
        <v>0</v>
      </c>
      <c r="J15" s="134">
        <v>0</v>
      </c>
      <c r="K15" s="131" t="s">
        <v>69</v>
      </c>
      <c r="L15" s="135" t="s">
        <v>32</v>
      </c>
      <c r="M15" s="134">
        <v>0</v>
      </c>
      <c r="N15" s="134">
        <v>0</v>
      </c>
      <c r="O15" s="134">
        <v>0</v>
      </c>
      <c r="P15" s="131" t="s">
        <v>33</v>
      </c>
      <c r="Q15" s="127"/>
      <c r="R15" s="127"/>
      <c r="S15" s="127"/>
      <c r="T15" s="127"/>
      <c r="U15" s="127"/>
      <c r="V15" s="127"/>
      <c r="W15" s="127"/>
      <c r="X15" s="127"/>
      <c r="Y15" s="127"/>
      <c r="Z15" s="127"/>
      <c r="AA15" s="127"/>
      <c r="AB15" s="127"/>
      <c r="AC15" s="127"/>
      <c r="AD15" s="127"/>
      <c r="AE15" s="127"/>
      <c r="AF15" s="127"/>
      <c r="AG15" s="127"/>
      <c r="AH15" s="127"/>
      <c r="AI15" s="127"/>
      <c r="AJ15" s="127"/>
    </row>
    <row r="16" spans="1:36" x14ac:dyDescent="0.3">
      <c r="A16" s="129" t="s">
        <v>70</v>
      </c>
      <c r="B16" s="130">
        <v>46077</v>
      </c>
      <c r="C16" s="131" t="s">
        <v>35</v>
      </c>
      <c r="D16" s="132" t="s">
        <v>72</v>
      </c>
      <c r="E16" s="131" t="s">
        <v>1</v>
      </c>
      <c r="F16" s="131" t="s">
        <v>68</v>
      </c>
      <c r="G16" s="133">
        <v>0</v>
      </c>
      <c r="H16" s="134">
        <v>180</v>
      </c>
      <c r="I16" s="134">
        <v>0</v>
      </c>
      <c r="J16" s="134">
        <v>0</v>
      </c>
      <c r="K16" s="131" t="s">
        <v>69</v>
      </c>
      <c r="L16" s="135" t="s">
        <v>32</v>
      </c>
      <c r="M16" s="134">
        <v>0</v>
      </c>
      <c r="N16" s="134">
        <v>0</v>
      </c>
      <c r="O16" s="134">
        <v>0</v>
      </c>
      <c r="P16" s="131" t="s">
        <v>33</v>
      </c>
      <c r="Q16" s="127"/>
      <c r="R16" s="127"/>
      <c r="S16" s="127"/>
      <c r="T16" s="127"/>
      <c r="U16" s="127"/>
      <c r="V16" s="127"/>
      <c r="W16" s="127"/>
      <c r="X16" s="127"/>
      <c r="Y16" s="127"/>
      <c r="Z16" s="127"/>
      <c r="AA16" s="127"/>
      <c r="AB16" s="127"/>
      <c r="AC16" s="127"/>
      <c r="AD16" s="127"/>
      <c r="AE16" s="127"/>
      <c r="AF16" s="127"/>
      <c r="AG16" s="127"/>
      <c r="AH16" s="127"/>
      <c r="AI16" s="127"/>
      <c r="AJ16" s="127"/>
    </row>
    <row r="17" spans="1:36" x14ac:dyDescent="0.3">
      <c r="A17" s="129" t="s">
        <v>70</v>
      </c>
      <c r="B17" s="130">
        <v>46077</v>
      </c>
      <c r="C17" s="131" t="s">
        <v>36</v>
      </c>
      <c r="D17" s="132" t="s">
        <v>73</v>
      </c>
      <c r="E17" s="131" t="s">
        <v>1</v>
      </c>
      <c r="F17" s="131" t="s">
        <v>68</v>
      </c>
      <c r="G17" s="133">
        <v>0</v>
      </c>
      <c r="H17" s="134">
        <v>180</v>
      </c>
      <c r="I17" s="134">
        <v>0</v>
      </c>
      <c r="J17" s="134">
        <v>0</v>
      </c>
      <c r="K17" s="131" t="s">
        <v>69</v>
      </c>
      <c r="L17" s="135" t="s">
        <v>32</v>
      </c>
      <c r="M17" s="134">
        <v>0</v>
      </c>
      <c r="N17" s="134">
        <v>0</v>
      </c>
      <c r="O17" s="134">
        <v>0</v>
      </c>
      <c r="P17" s="131" t="s">
        <v>33</v>
      </c>
      <c r="Q17" s="127"/>
      <c r="R17" s="127"/>
      <c r="S17" s="127"/>
      <c r="T17" s="127"/>
      <c r="U17" s="127"/>
      <c r="V17" s="127"/>
      <c r="W17" s="127"/>
      <c r="X17" s="127"/>
      <c r="Y17" s="127"/>
      <c r="Z17" s="127"/>
      <c r="AA17" s="127"/>
      <c r="AB17" s="127"/>
      <c r="AC17" s="127"/>
      <c r="AD17" s="127"/>
      <c r="AE17" s="127"/>
      <c r="AF17" s="127"/>
      <c r="AG17" s="127"/>
      <c r="AH17" s="127"/>
      <c r="AI17" s="127"/>
      <c r="AJ17" s="127"/>
    </row>
    <row r="18" spans="1:36" ht="21" x14ac:dyDescent="0.3">
      <c r="A18" s="136" t="s">
        <v>77</v>
      </c>
      <c r="B18" s="137"/>
      <c r="C18" s="136">
        <f>SUBTOTAL(103,LXR_JED_LF_LEGACY[Flt])</f>
        <v>16</v>
      </c>
      <c r="D18" s="136"/>
      <c r="E18" s="136">
        <f>SUBTOTAL(103,LXR_JED_LF_LEGACY[Brd-Off])</f>
        <v>16</v>
      </c>
      <c r="F18" s="136"/>
      <c r="G18" s="138">
        <f>SUBTOTAL(101,LXR_JED_LF_LEGACY[LF%])</f>
        <v>0</v>
      </c>
      <c r="H18" s="139">
        <f>SUBTOTAL(109,LXR_JED_LF_LEGACY[CAP])</f>
        <v>2880</v>
      </c>
      <c r="I18" s="139">
        <f>SUBTOTAL(109,LXR_JED_LF_LEGACY[BKG(Y)])</f>
        <v>0</v>
      </c>
      <c r="J18" s="139">
        <f>SUBTOTAL(109,LXR_JED_LF_LEGACY[GRP(Y)])</f>
        <v>0</v>
      </c>
      <c r="K18" s="136"/>
      <c r="L18" s="137"/>
      <c r="M18" s="139">
        <f>SUBTOTAL(109,LXR_JED_LF_LEGACY[TO-DAY])</f>
        <v>0</v>
      </c>
      <c r="N18" s="139">
        <f>SUBTOTAL(109,LXR_JED_LF_LEGACY[Y-DAY])</f>
        <v>0</v>
      </c>
      <c r="O18" s="139">
        <f>SUBTOTAL(109,LXR_JED_LF_LEGACY[WEEKLY])</f>
        <v>0</v>
      </c>
      <c r="P18" s="140"/>
      <c r="Q18" s="139">
        <f>SUBTOTAL(109,LXR_JED_LF_LEGACY[Y])</f>
        <v>0</v>
      </c>
      <c r="R18" s="139">
        <f>SUBTOTAL(109,LXR_JED_LF_LEGACY[B])</f>
        <v>0</v>
      </c>
      <c r="S18" s="139">
        <f>SUBTOTAL(109,LXR_JED_LF_LEGACY[M])</f>
        <v>0</v>
      </c>
      <c r="T18" s="139">
        <f>SUBTOTAL(109,LXR_JED_LF_LEGACY[H])</f>
        <v>0</v>
      </c>
      <c r="U18" s="139">
        <f>SUBTOTAL(109,LXR_JED_LF_LEGACY[Q])</f>
        <v>0</v>
      </c>
      <c r="V18" s="139">
        <f>SUBTOTAL(109,LXR_JED_LF_LEGACY[K])</f>
        <v>0</v>
      </c>
      <c r="W18" s="139">
        <f>SUBTOTAL(109,LXR_JED_LF_LEGACY[V])</f>
        <v>0</v>
      </c>
      <c r="X18" s="139">
        <f>SUBTOTAL(109,LXR_JED_LF_LEGACY[L])</f>
        <v>0</v>
      </c>
      <c r="Y18" s="139">
        <f>SUBTOTAL(109,LXR_JED_LF_LEGACY[G])</f>
        <v>0</v>
      </c>
      <c r="Z18" s="139">
        <f>SUBTOTAL(109,LXR_JED_LF_LEGACY[S])</f>
        <v>0</v>
      </c>
      <c r="AA18" s="139">
        <f>SUBTOTAL(109,LXR_JED_LF_LEGACY[W])</f>
        <v>0</v>
      </c>
      <c r="AB18" s="139">
        <f>SUBTOTAL(109,LXR_JED_LF_LEGACY[T])</f>
        <v>0</v>
      </c>
      <c r="AC18" s="139">
        <f>SUBTOTAL(109,LXR_JED_LF_LEGACY[X])</f>
        <v>0</v>
      </c>
      <c r="AD18" s="139">
        <f>SUBTOTAL(109,LXR_JED_LF_LEGACY[U])</f>
        <v>0</v>
      </c>
      <c r="AE18" s="139">
        <f>SUBTOTAL(109,LXR_JED_LF_LEGACY[O])</f>
        <v>0</v>
      </c>
      <c r="AF18" s="139">
        <f>SUBTOTAL(109,LXR_JED_LF_LEGACY[I])</f>
        <v>0</v>
      </c>
      <c r="AG18" s="139">
        <f>SUBTOTAL(109,LXR_JED_LF_LEGACY[E])</f>
        <v>0</v>
      </c>
      <c r="AH18" s="139">
        <f>SUBTOTAL(109,LXR_JED_LF_LEGACY[A])</f>
        <v>0</v>
      </c>
      <c r="AI18" s="139">
        <f>SUBTOTAL(109,LXR_JED_LF_LEGACY[P])</f>
        <v>0</v>
      </c>
      <c r="AJ18" s="139">
        <f>SUBTOTAL(103,LXR_JED_LF_LEGACY[N])</f>
        <v>0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LXR-JED</vt:lpstr>
      <vt:lpstr>LXR-JED LF LEGACY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Yanbu Office</cp:lastModifiedBy>
  <dcterms:created xsi:type="dcterms:W3CDTF">2025-11-22T23:45:02Z</dcterms:created>
  <dcterms:modified xsi:type="dcterms:W3CDTF">2025-11-22T23:45:05Z</dcterms:modified>
</cp:coreProperties>
</file>