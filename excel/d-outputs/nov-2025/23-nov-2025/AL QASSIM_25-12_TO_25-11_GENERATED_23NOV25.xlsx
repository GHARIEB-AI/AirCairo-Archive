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8D61E97-4BD5-4D03-A5F0-EBCFFDCD9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Q-CAI" sheetId="1" r:id="rId1"/>
    <sheet name="ELQ-CAI LF LEGACY" sheetId="2" r:id="rId2"/>
    <sheet name="ELQ-ATZ" sheetId="3" r:id="rId3"/>
    <sheet name="ELQ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4" l="1"/>
  <c r="E11" i="4"/>
  <c r="G11" i="4"/>
  <c r="H11" i="4"/>
  <c r="I11" i="4"/>
  <c r="J11" i="4"/>
  <c r="M11" i="4"/>
  <c r="N11" i="4"/>
  <c r="O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C16" i="2"/>
  <c r="E16" i="2"/>
  <c r="G16" i="2"/>
  <c r="H16" i="2"/>
  <c r="I16" i="2"/>
  <c r="J16" i="2"/>
  <c r="M16" i="2"/>
  <c r="N16" i="2"/>
  <c r="O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</calcChain>
</file>

<file path=xl/sharedStrings.xml><?xml version="1.0" encoding="utf-8"?>
<sst xmlns="http://schemas.openxmlformats.org/spreadsheetml/2006/main" count="995" uniqueCount="150">
  <si>
    <t>COMPREHENSIVE REPORT</t>
  </si>
  <si>
    <t>ELQ-CAI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</si>
  <si>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</si>
  <si>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</si>
  <si>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</si>
  <si>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</si>
  <si>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</si>
  <si>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</si>
  <si>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</si>
  <si>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</si>
  <si>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</si>
  <si>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</si>
  <si>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</si>
  <si>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</si>
  <si>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</si>
  <si>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</si>
  <si>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</si>
  <si>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</si>
  <si>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</si>
  <si>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</si>
  <si>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</si>
  <si>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</si>
  <si>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</si>
  <si>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</si>
  <si>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</si>
  <si>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</si>
  <si>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</si>
  <si>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</si>
  <si>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</si>
  <si>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SM428</t>
  </si>
  <si>
    <t>30KG + 7KG CABIN</t>
  </si>
  <si>
    <t>HIGH DEMAND</t>
  </si>
  <si>
    <t>2025-11-23 00:00:00</t>
  </si>
  <si>
    <t>S9</t>
  </si>
  <si>
    <t>S12 &amp; W18 &amp; T5 &amp; X10 &amp; U23 &amp; O85 &amp; I6</t>
  </si>
  <si>
    <t>SEATS AVAILABLE</t>
  </si>
  <si>
    <t>2025-11-22 00:00:00</t>
  </si>
  <si>
    <t>O9</t>
  </si>
  <si>
    <t>S1 &amp; W2 &amp; O12 &amp; I46</t>
  </si>
  <si>
    <t>LOW DEMAND</t>
  </si>
  <si>
    <t>2025-11-21 00:00:00</t>
  </si>
  <si>
    <t>S2 &amp; W4 &amp; O12</t>
  </si>
  <si>
    <t>O4</t>
  </si>
  <si>
    <t>S8 &amp; W4 &amp; O64</t>
  </si>
  <si>
    <t>S1 &amp; T1 &amp; X6 &amp; U10 &amp; O50</t>
  </si>
  <si>
    <t>S2 &amp; X1 &amp; U9 &amp; O11</t>
  </si>
  <si>
    <t>S1 &amp; U9 &amp; O35</t>
  </si>
  <si>
    <t>2025-11-19 00:00:00</t>
  </si>
  <si>
    <t>O15</t>
  </si>
  <si>
    <t>S2 &amp; W1 &amp; O3</t>
  </si>
  <si>
    <t>2025-11-08 00:00:00</t>
  </si>
  <si>
    <t>U9</t>
  </si>
  <si>
    <t>S1 &amp; O12</t>
  </si>
  <si>
    <t>U5 &amp; O21</t>
  </si>
  <si>
    <t>2025-11-14 00:00:00</t>
  </si>
  <si>
    <t>S3 &amp; W2 &amp; U5 &amp; O1</t>
  </si>
  <si>
    <t>2025-11-18 00:00:00</t>
  </si>
  <si>
    <t>S3 &amp; U1 &amp; O10</t>
  </si>
  <si>
    <t>S2 &amp; U6 &amp; O12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</si>
  <si>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</si>
  <si>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</si>
  <si>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</si>
  <si>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</si>
  <si>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</si>
  <si>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</si>
  <si>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</si>
  <si>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</si>
  <si>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</si>
  <si>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</si>
  <si>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</si>
  <si>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</si>
  <si>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</si>
  <si>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</si>
  <si>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</si>
  <si>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</si>
  <si>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</si>
  <si>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</si>
  <si>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</si>
  <si>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</si>
  <si>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</si>
  <si>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</si>
  <si>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</si>
  <si>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</si>
  <si>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</si>
  <si>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</si>
  <si>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</si>
  <si>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</si>
  <si>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</si>
  <si>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</si>
  <si>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19:10</t>
  </si>
  <si>
    <t>320</t>
  </si>
  <si>
    <t>UPCOMING</t>
  </si>
  <si>
    <t>S12</t>
  </si>
  <si>
    <t>W18</t>
  </si>
  <si>
    <t>T5</t>
  </si>
  <si>
    <t>X10</t>
  </si>
  <si>
    <t>U23</t>
  </si>
  <si>
    <t>O85</t>
  </si>
  <si>
    <t>I6</t>
  </si>
  <si>
    <t>THURSDAY</t>
  </si>
  <si>
    <t>S1</t>
  </si>
  <si>
    <t>W2</t>
  </si>
  <si>
    <t>O12</t>
  </si>
  <si>
    <t>I46</t>
  </si>
  <si>
    <t>SATURDAY</t>
  </si>
  <si>
    <t>00:01</t>
  </si>
  <si>
    <t>S2</t>
  </si>
  <si>
    <t>W4</t>
  </si>
  <si>
    <t>S8</t>
  </si>
  <si>
    <t>O64</t>
  </si>
  <si>
    <t>T1</t>
  </si>
  <si>
    <t>X6</t>
  </si>
  <si>
    <t>U10</t>
  </si>
  <si>
    <t>O50</t>
  </si>
  <si>
    <t>X1</t>
  </si>
  <si>
    <t>O11</t>
  </si>
  <si>
    <t>O35</t>
  </si>
  <si>
    <t>W1</t>
  </si>
  <si>
    <t>O3</t>
  </si>
  <si>
    <t>U5</t>
  </si>
  <si>
    <t>O21</t>
  </si>
  <si>
    <t>S3</t>
  </si>
  <si>
    <t>O1</t>
  </si>
  <si>
    <t>U1</t>
  </si>
  <si>
    <t>O10</t>
  </si>
  <si>
    <t>U6</t>
  </si>
  <si>
    <t>ELQ-ATZ</t>
  </si>
  <si>
    <t>SM436</t>
  </si>
  <si>
    <t>W1 &amp; X1 &amp; U12 &amp; O68</t>
  </si>
  <si>
    <t>W1 &amp; U19 &amp; O30</t>
  </si>
  <si>
    <t>X2 &amp; U9 &amp; O30</t>
  </si>
  <si>
    <t>S2 &amp; U4 &amp; O34</t>
  </si>
  <si>
    <t>S2 &amp; X1 &amp; U6 &amp; O49</t>
  </si>
  <si>
    <t>U2</t>
  </si>
  <si>
    <t>S1 &amp; X3 &amp; U5 &amp; O3</t>
  </si>
  <si>
    <t>T2 &amp; X2 &amp; U5 &amp; O3</t>
  </si>
  <si>
    <t>WEDNESDAY</t>
  </si>
  <si>
    <t>00:30</t>
  </si>
  <si>
    <t>U12</t>
  </si>
  <si>
    <t>O68</t>
  </si>
  <si>
    <t>20:30</t>
  </si>
  <si>
    <t>U19</t>
  </si>
  <si>
    <t>O30</t>
  </si>
  <si>
    <t>X2</t>
  </si>
  <si>
    <t>U4</t>
  </si>
  <si>
    <t>O34</t>
  </si>
  <si>
    <t>O49</t>
  </si>
  <si>
    <t>X3</t>
  </si>
  <si>
    <t>T2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</si>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</sst>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7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7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7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7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7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7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168" fontId="17" fillId="8" borderId="6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7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15" fontId="19" fillId="17" borderId="0" xfId="0" applyNumberFormat="1" applyFont="1" applyFill="1" applyAlignment="1">
      <alignment horizontal="center" vertical="center"/>
    </xf>
    <xf numFmtId="168" fontId="19" fillId="17" borderId="0" xfId="0" applyNumberFormat="1" applyFont="1" applyFill="1" applyAlignment="1">
      <alignment horizontal="center" vertical="center"/>
    </xf>
    <xf numFmtId="1" fontId="19" fillId="17" borderId="0" xfId="0" applyNumberFormat="1" applyFont="1" applyFill="1" applyAlignment="1">
      <alignment horizontal="center" vertical="center"/>
    </xf>
    <xf numFmtId="0" fontId="19" fillId="17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Q_CAI_LF_LEGACY" displayName="ELQ_CAI_LF_LEGACY" ref="A1:AJ16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LQ_ATZ_LF_LEGACY" displayName="ELQ_ATZ_LF_LEGACY" ref="A1:AJ11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0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6.109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4.5546875" bestFit="1" customWidth="1"/>
  </cols>
  <sheetData>
    <row r="1" spans="1:92" ht="28.8" customHeight="1" x14ac:dyDescent="0.3">
      <c r="A1" s="104" t="s">
        <v>0</v>
      </c>
      <c r="B1" s="103"/>
      <c r="C1" s="103"/>
      <c r="D1" s="103"/>
      <c r="E1" s="103"/>
      <c r="F1" s="1" t="s">
        <v>1</v>
      </c>
      <c r="G1" s="2" t="s">
        <v>2</v>
      </c>
      <c r="H1" s="102" t="s">
        <v>3</v>
      </c>
      <c r="I1" s="103"/>
      <c r="J1" s="103"/>
      <c r="K1" s="103"/>
      <c r="L1" s="103"/>
      <c r="M1" s="1" t="s">
        <v>4</v>
      </c>
      <c r="N1" s="111" t="s">
        <v>5</v>
      </c>
      <c r="O1" s="103"/>
      <c r="P1" s="103"/>
      <c r="Q1" s="103"/>
      <c r="R1" s="10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7" t="s">
        <v>6</v>
      </c>
      <c r="B2" s="103"/>
      <c r="C2" s="103"/>
      <c r="D2" s="103"/>
      <c r="E2" s="103"/>
      <c r="F2" s="103"/>
      <c r="G2" s="109">
        <v>45984.228688137468</v>
      </c>
      <c r="H2" s="103"/>
      <c r="I2" s="103"/>
      <c r="J2" s="103"/>
      <c r="K2" s="112">
        <v>45984.228688138042</v>
      </c>
      <c r="L2" s="103"/>
      <c r="M2" s="103"/>
      <c r="N2" s="103"/>
      <c r="O2" s="103"/>
      <c r="P2" s="103"/>
      <c r="Q2" s="103"/>
      <c r="R2" s="10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8" t="s">
        <v>7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10" t="s">
        <v>8</v>
      </c>
      <c r="B4" s="98"/>
      <c r="C4" s="98"/>
      <c r="D4" s="98"/>
      <c r="E4" s="98"/>
      <c r="F4" s="99"/>
      <c r="G4" s="4">
        <v>45984</v>
      </c>
      <c r="H4" s="106" t="s">
        <v>9</v>
      </c>
      <c r="I4" s="98"/>
      <c r="J4" s="98"/>
      <c r="K4" s="98"/>
      <c r="L4" s="98"/>
      <c r="M4" s="98"/>
      <c r="N4" s="98"/>
      <c r="O4" s="98"/>
      <c r="P4" s="98"/>
      <c r="Q4" s="98"/>
      <c r="R4" s="9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0.79861111111111116</v>
      </c>
      <c r="D6" s="8" t="s">
        <v>30</v>
      </c>
      <c r="E6" s="10"/>
      <c r="F6" s="8" t="s">
        <v>31</v>
      </c>
      <c r="G6" s="101"/>
      <c r="H6" s="11" t="s">
        <v>29</v>
      </c>
      <c r="I6" s="12">
        <v>0.94640000000000002</v>
      </c>
      <c r="J6" s="13">
        <v>159</v>
      </c>
      <c r="K6" s="14" t="s">
        <v>32</v>
      </c>
      <c r="L6" s="13">
        <v>92</v>
      </c>
      <c r="M6" s="13">
        <v>2</v>
      </c>
      <c r="N6" s="13">
        <v>8</v>
      </c>
      <c r="O6" s="15" t="s">
        <v>33</v>
      </c>
      <c r="P6" s="16">
        <v>0.79861111111111116</v>
      </c>
      <c r="Q6" s="13">
        <v>168</v>
      </c>
      <c r="R6" s="17" t="s">
        <v>34</v>
      </c>
    </row>
    <row r="7" spans="1:92" ht="17.399999999999999" customHeight="1" thickBot="1" x14ac:dyDescent="0.35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92" ht="22.05" customHeight="1" thickTop="1" thickBot="1" x14ac:dyDescent="0.35">
      <c r="A8" s="97" t="s">
        <v>8</v>
      </c>
      <c r="B8" s="98"/>
      <c r="C8" s="98"/>
      <c r="D8" s="98"/>
      <c r="E8" s="98"/>
      <c r="F8" s="99"/>
      <c r="G8" s="18">
        <v>45988</v>
      </c>
      <c r="H8" s="100" t="s">
        <v>9</v>
      </c>
      <c r="I8" s="98"/>
      <c r="J8" s="98"/>
      <c r="K8" s="98"/>
      <c r="L8" s="98"/>
      <c r="M8" s="98"/>
      <c r="N8" s="98"/>
      <c r="O8" s="98"/>
      <c r="P8" s="98"/>
      <c r="Q8" s="98"/>
      <c r="R8" s="99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0.79861111111111116</v>
      </c>
      <c r="D10" s="26" t="s">
        <v>30</v>
      </c>
      <c r="E10" s="28"/>
      <c r="F10" s="26" t="s">
        <v>35</v>
      </c>
      <c r="G10" s="105"/>
      <c r="H10" s="29" t="s">
        <v>29</v>
      </c>
      <c r="I10" s="30">
        <v>0.36309999999999998</v>
      </c>
      <c r="J10" s="31">
        <v>61</v>
      </c>
      <c r="K10" s="32" t="s">
        <v>36</v>
      </c>
      <c r="L10" s="31">
        <v>23</v>
      </c>
      <c r="M10" s="31">
        <v>0</v>
      </c>
      <c r="N10" s="31">
        <v>2</v>
      </c>
      <c r="O10" s="33" t="s">
        <v>37</v>
      </c>
      <c r="P10" s="34">
        <v>0.79861111111111116</v>
      </c>
      <c r="Q10" s="31">
        <v>168</v>
      </c>
      <c r="R10" s="35" t="s">
        <v>38</v>
      </c>
    </row>
    <row r="11" spans="1:92" ht="17.399999999999999" customHeight="1" thickBot="1" x14ac:dyDescent="0.35">
      <c r="A11" s="127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9"/>
    </row>
    <row r="12" spans="1:92" ht="22.05" customHeight="1" thickTop="1" thickBot="1" x14ac:dyDescent="0.35">
      <c r="A12" s="97" t="s">
        <v>8</v>
      </c>
      <c r="B12" s="98"/>
      <c r="C12" s="98"/>
      <c r="D12" s="98"/>
      <c r="E12" s="98"/>
      <c r="F12" s="99"/>
      <c r="G12" s="18">
        <v>45990</v>
      </c>
      <c r="H12" s="100" t="s">
        <v>9</v>
      </c>
      <c r="I12" s="98"/>
      <c r="J12" s="98"/>
      <c r="K12" s="98"/>
      <c r="L12" s="98"/>
      <c r="M12" s="98"/>
      <c r="N12" s="98"/>
      <c r="O12" s="98"/>
      <c r="P12" s="98"/>
      <c r="Q12" s="98"/>
      <c r="R12" s="99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29</v>
      </c>
      <c r="C14" s="37">
        <v>6.9444444444444447E-4</v>
      </c>
      <c r="D14" s="36" t="s">
        <v>30</v>
      </c>
      <c r="E14" s="38"/>
      <c r="F14" s="36" t="s">
        <v>39</v>
      </c>
      <c r="G14" s="105"/>
      <c r="H14" s="39" t="s">
        <v>29</v>
      </c>
      <c r="I14" s="40">
        <v>0.1071</v>
      </c>
      <c r="J14" s="41">
        <v>18</v>
      </c>
      <c r="K14" s="42" t="s">
        <v>40</v>
      </c>
      <c r="L14" s="41">
        <v>2</v>
      </c>
      <c r="M14" s="41">
        <v>0</v>
      </c>
      <c r="N14" s="41">
        <v>0</v>
      </c>
      <c r="O14" s="43" t="s">
        <v>37</v>
      </c>
      <c r="P14" s="44">
        <v>6.9444444444444447E-4</v>
      </c>
      <c r="Q14" s="41">
        <v>168</v>
      </c>
      <c r="R14" s="45" t="s">
        <v>41</v>
      </c>
    </row>
    <row r="15" spans="1:92" ht="17.399999999999999" customHeight="1" thickBot="1" x14ac:dyDescent="0.35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9"/>
    </row>
    <row r="16" spans="1:92" ht="22.05" customHeight="1" thickTop="1" thickBot="1" x14ac:dyDescent="0.35">
      <c r="A16" s="97" t="s">
        <v>8</v>
      </c>
      <c r="B16" s="98"/>
      <c r="C16" s="98"/>
      <c r="D16" s="98"/>
      <c r="E16" s="98"/>
      <c r="F16" s="99"/>
      <c r="G16" s="18">
        <v>45991</v>
      </c>
      <c r="H16" s="100" t="s">
        <v>9</v>
      </c>
      <c r="I16" s="98"/>
      <c r="J16" s="98"/>
      <c r="K16" s="98"/>
      <c r="L16" s="98"/>
      <c r="M16" s="98"/>
      <c r="N16" s="98"/>
      <c r="O16" s="98"/>
      <c r="P16" s="98"/>
      <c r="Q16" s="98"/>
      <c r="R16" s="99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29</v>
      </c>
      <c r="C18" s="47">
        <v>0.79861111111111116</v>
      </c>
      <c r="D18" s="46" t="s">
        <v>30</v>
      </c>
      <c r="E18" s="48"/>
      <c r="F18" s="46" t="s">
        <v>35</v>
      </c>
      <c r="G18" s="105"/>
      <c r="H18" s="49" t="s">
        <v>29</v>
      </c>
      <c r="I18" s="50">
        <v>0.45240000000000002</v>
      </c>
      <c r="J18" s="51">
        <v>76</v>
      </c>
      <c r="K18" s="52" t="s">
        <v>36</v>
      </c>
      <c r="L18" s="51">
        <v>18</v>
      </c>
      <c r="M18" s="51">
        <v>0</v>
      </c>
      <c r="N18" s="51">
        <v>1</v>
      </c>
      <c r="O18" s="53" t="s">
        <v>42</v>
      </c>
      <c r="P18" s="54">
        <v>0.79861111111111116</v>
      </c>
      <c r="Q18" s="51">
        <v>168</v>
      </c>
      <c r="R18" s="55" t="s">
        <v>43</v>
      </c>
    </row>
    <row r="19" spans="1:18" ht="17.399999999999999" customHeight="1" thickBot="1" x14ac:dyDescent="0.35">
      <c r="A19" s="127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9"/>
    </row>
    <row r="20" spans="1:18" ht="22.05" customHeight="1" thickTop="1" thickBot="1" x14ac:dyDescent="0.35">
      <c r="A20" s="97" t="s">
        <v>8</v>
      </c>
      <c r="B20" s="98"/>
      <c r="C20" s="98"/>
      <c r="D20" s="98"/>
      <c r="E20" s="98"/>
      <c r="F20" s="99"/>
      <c r="G20" s="18">
        <v>45995</v>
      </c>
      <c r="H20" s="100" t="s">
        <v>9</v>
      </c>
      <c r="I20" s="98"/>
      <c r="J20" s="98"/>
      <c r="K20" s="98"/>
      <c r="L20" s="98"/>
      <c r="M20" s="98"/>
      <c r="N20" s="98"/>
      <c r="O20" s="98"/>
      <c r="P20" s="98"/>
      <c r="Q20" s="98"/>
      <c r="R20" s="99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6" t="s">
        <v>28</v>
      </c>
      <c r="B22" s="56" t="s">
        <v>29</v>
      </c>
      <c r="C22" s="57">
        <v>0.79861111111111116</v>
      </c>
      <c r="D22" s="56" t="s">
        <v>30</v>
      </c>
      <c r="E22" s="58"/>
      <c r="F22" s="56" t="s">
        <v>35</v>
      </c>
      <c r="G22" s="105"/>
      <c r="H22" s="59" t="s">
        <v>29</v>
      </c>
      <c r="I22" s="60">
        <v>0.40479999999999999</v>
      </c>
      <c r="J22" s="61">
        <v>68</v>
      </c>
      <c r="K22" s="62" t="s">
        <v>40</v>
      </c>
      <c r="L22" s="61">
        <v>12</v>
      </c>
      <c r="M22" s="61">
        <v>0</v>
      </c>
      <c r="N22" s="61">
        <v>0</v>
      </c>
      <c r="O22" s="63" t="s">
        <v>37</v>
      </c>
      <c r="P22" s="64">
        <v>0.79861111111111116</v>
      </c>
      <c r="Q22" s="61">
        <v>168</v>
      </c>
      <c r="R22" s="65" t="s">
        <v>44</v>
      </c>
    </row>
    <row r="23" spans="1:18" ht="17.399999999999999" customHeight="1" thickBot="1" x14ac:dyDescent="0.35">
      <c r="A23" s="127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9"/>
    </row>
    <row r="24" spans="1:18" ht="22.05" customHeight="1" thickTop="1" thickBot="1" x14ac:dyDescent="0.35">
      <c r="A24" s="97" t="s">
        <v>8</v>
      </c>
      <c r="B24" s="98"/>
      <c r="C24" s="98"/>
      <c r="D24" s="98"/>
      <c r="E24" s="98"/>
      <c r="F24" s="99"/>
      <c r="G24" s="18">
        <v>45997</v>
      </c>
      <c r="H24" s="100" t="s">
        <v>9</v>
      </c>
      <c r="I24" s="98"/>
      <c r="J24" s="98"/>
      <c r="K24" s="98"/>
      <c r="L24" s="98"/>
      <c r="M24" s="98"/>
      <c r="N24" s="98"/>
      <c r="O24" s="98"/>
      <c r="P24" s="98"/>
      <c r="Q24" s="98"/>
      <c r="R24" s="99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66" t="s">
        <v>28</v>
      </c>
      <c r="B26" s="66" t="s">
        <v>29</v>
      </c>
      <c r="C26" s="67">
        <v>6.9444444444444447E-4</v>
      </c>
      <c r="D26" s="66" t="s">
        <v>30</v>
      </c>
      <c r="E26" s="68"/>
      <c r="F26" s="66" t="s">
        <v>39</v>
      </c>
      <c r="G26" s="101"/>
      <c r="H26" s="69" t="s">
        <v>29</v>
      </c>
      <c r="I26" s="70">
        <v>0.13689999999999999</v>
      </c>
      <c r="J26" s="71">
        <v>23</v>
      </c>
      <c r="K26" s="72" t="s">
        <v>40</v>
      </c>
      <c r="L26" s="71">
        <v>9</v>
      </c>
      <c r="M26" s="71">
        <v>0</v>
      </c>
      <c r="N26" s="71">
        <v>0</v>
      </c>
      <c r="O26" s="73" t="s">
        <v>37</v>
      </c>
      <c r="P26" s="74">
        <v>6.9444444444444447E-4</v>
      </c>
      <c r="Q26" s="71">
        <v>168</v>
      </c>
      <c r="R26" s="75" t="s">
        <v>45</v>
      </c>
    </row>
    <row r="27" spans="1:18" ht="17.399999999999999" customHeight="1" thickBot="1" x14ac:dyDescent="0.35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9"/>
    </row>
    <row r="28" spans="1:18" ht="22.05" customHeight="1" thickTop="1" thickBot="1" x14ac:dyDescent="0.35">
      <c r="A28" s="97" t="s">
        <v>8</v>
      </c>
      <c r="B28" s="98"/>
      <c r="C28" s="98"/>
      <c r="D28" s="98"/>
      <c r="E28" s="98"/>
      <c r="F28" s="99"/>
      <c r="G28" s="18">
        <v>45998</v>
      </c>
      <c r="H28" s="100" t="s">
        <v>9</v>
      </c>
      <c r="I28" s="98"/>
      <c r="J28" s="98"/>
      <c r="K28" s="98"/>
      <c r="L28" s="98"/>
      <c r="M28" s="98"/>
      <c r="N28" s="98"/>
      <c r="O28" s="98"/>
      <c r="P28" s="98"/>
      <c r="Q28" s="98"/>
      <c r="R28" s="99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66" t="s">
        <v>28</v>
      </c>
      <c r="B30" s="66" t="s">
        <v>29</v>
      </c>
      <c r="C30" s="67">
        <v>0.79861111111111116</v>
      </c>
      <c r="D30" s="66" t="s">
        <v>30</v>
      </c>
      <c r="E30" s="68"/>
      <c r="F30" s="66" t="s">
        <v>39</v>
      </c>
      <c r="G30" s="105"/>
      <c r="H30" s="69" t="s">
        <v>29</v>
      </c>
      <c r="I30" s="70">
        <v>0.26790000000000003</v>
      </c>
      <c r="J30" s="71">
        <v>45</v>
      </c>
      <c r="K30" s="72" t="s">
        <v>36</v>
      </c>
      <c r="L30" s="71">
        <v>8</v>
      </c>
      <c r="M30" s="71">
        <v>0</v>
      </c>
      <c r="N30" s="71">
        <v>2</v>
      </c>
      <c r="O30" s="73" t="s">
        <v>37</v>
      </c>
      <c r="P30" s="74">
        <v>0.79861111111111116</v>
      </c>
      <c r="Q30" s="71">
        <v>168</v>
      </c>
      <c r="R30" s="75" t="s">
        <v>46</v>
      </c>
    </row>
    <row r="31" spans="1:18" ht="17.399999999999999" customHeight="1" thickBot="1" x14ac:dyDescent="0.35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9"/>
    </row>
    <row r="32" spans="1:18" ht="22.05" customHeight="1" thickTop="1" thickBot="1" x14ac:dyDescent="0.35">
      <c r="A32" s="97" t="s">
        <v>8</v>
      </c>
      <c r="B32" s="98"/>
      <c r="C32" s="98"/>
      <c r="D32" s="98"/>
      <c r="E32" s="98"/>
      <c r="F32" s="99"/>
      <c r="G32" s="18">
        <v>46002</v>
      </c>
      <c r="H32" s="100" t="s">
        <v>9</v>
      </c>
      <c r="I32" s="98"/>
      <c r="J32" s="98"/>
      <c r="K32" s="98"/>
      <c r="L32" s="98"/>
      <c r="M32" s="98"/>
      <c r="N32" s="98"/>
      <c r="O32" s="98"/>
      <c r="P32" s="98"/>
      <c r="Q32" s="98"/>
      <c r="R32" s="99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56" t="s">
        <v>28</v>
      </c>
      <c r="B34" s="56" t="s">
        <v>29</v>
      </c>
      <c r="C34" s="57">
        <v>0.79861111111111116</v>
      </c>
      <c r="D34" s="56" t="s">
        <v>30</v>
      </c>
      <c r="E34" s="58"/>
      <c r="F34" s="56" t="s">
        <v>39</v>
      </c>
      <c r="G34" s="105"/>
      <c r="H34" s="59" t="s">
        <v>29</v>
      </c>
      <c r="I34" s="60">
        <v>8.9300000000000004E-2</v>
      </c>
      <c r="J34" s="61">
        <v>15</v>
      </c>
      <c r="K34" s="62" t="s">
        <v>47</v>
      </c>
      <c r="L34" s="61">
        <v>1</v>
      </c>
      <c r="M34" s="61">
        <v>0</v>
      </c>
      <c r="N34" s="61">
        <v>0</v>
      </c>
      <c r="O34" s="63" t="s">
        <v>37</v>
      </c>
      <c r="P34" s="64">
        <v>0.79861111111111116</v>
      </c>
      <c r="Q34" s="61">
        <v>168</v>
      </c>
      <c r="R34" s="65" t="s">
        <v>48</v>
      </c>
    </row>
    <row r="35" spans="1:18" ht="17.399999999999999" customHeight="1" thickBot="1" x14ac:dyDescent="0.35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9"/>
    </row>
    <row r="36" spans="1:18" ht="22.05" customHeight="1" thickTop="1" thickBot="1" x14ac:dyDescent="0.35">
      <c r="A36" s="97" t="s">
        <v>8</v>
      </c>
      <c r="B36" s="98"/>
      <c r="C36" s="98"/>
      <c r="D36" s="98"/>
      <c r="E36" s="98"/>
      <c r="F36" s="99"/>
      <c r="G36" s="18">
        <v>46004</v>
      </c>
      <c r="H36" s="100" t="s">
        <v>9</v>
      </c>
      <c r="I36" s="98"/>
      <c r="J36" s="98"/>
      <c r="K36" s="98"/>
      <c r="L36" s="98"/>
      <c r="M36" s="98"/>
      <c r="N36" s="98"/>
      <c r="O36" s="98"/>
      <c r="P36" s="98"/>
      <c r="Q36" s="98"/>
      <c r="R36" s="99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36" t="s">
        <v>28</v>
      </c>
      <c r="B38" s="36" t="s">
        <v>29</v>
      </c>
      <c r="C38" s="37">
        <v>6.9444444444444447E-4</v>
      </c>
      <c r="D38" s="36" t="s">
        <v>30</v>
      </c>
      <c r="E38" s="38"/>
      <c r="F38" s="36" t="s">
        <v>39</v>
      </c>
      <c r="G38" s="105"/>
      <c r="H38" s="39" t="s">
        <v>29</v>
      </c>
      <c r="I38" s="40">
        <v>3.5700000000000003E-2</v>
      </c>
      <c r="J38" s="41">
        <v>6</v>
      </c>
      <c r="K38" s="42" t="s">
        <v>47</v>
      </c>
      <c r="L38" s="41">
        <v>2</v>
      </c>
      <c r="M38" s="41">
        <v>0</v>
      </c>
      <c r="N38" s="41">
        <v>0</v>
      </c>
      <c r="O38" s="43" t="s">
        <v>37</v>
      </c>
      <c r="P38" s="44">
        <v>6.9444444444444447E-4</v>
      </c>
      <c r="Q38" s="41">
        <v>168</v>
      </c>
      <c r="R38" s="45" t="s">
        <v>49</v>
      </c>
    </row>
    <row r="39" spans="1:18" ht="17.399999999999999" customHeight="1" thickBot="1" x14ac:dyDescent="0.35">
      <c r="A39" s="127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9"/>
    </row>
    <row r="40" spans="1:18" ht="22.05" customHeight="1" thickTop="1" thickBot="1" x14ac:dyDescent="0.35">
      <c r="A40" s="97" t="s">
        <v>8</v>
      </c>
      <c r="B40" s="98"/>
      <c r="C40" s="98"/>
      <c r="D40" s="98"/>
      <c r="E40" s="98"/>
      <c r="F40" s="99"/>
      <c r="G40" s="18">
        <v>46005</v>
      </c>
      <c r="H40" s="100" t="s">
        <v>9</v>
      </c>
      <c r="I40" s="98"/>
      <c r="J40" s="98"/>
      <c r="K40" s="98"/>
      <c r="L40" s="98"/>
      <c r="M40" s="98"/>
      <c r="N40" s="98"/>
      <c r="O40" s="98"/>
      <c r="P40" s="98"/>
      <c r="Q40" s="98"/>
      <c r="R40" s="99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36" t="s">
        <v>28</v>
      </c>
      <c r="B42" s="36" t="s">
        <v>29</v>
      </c>
      <c r="C42" s="37">
        <v>0.79861111111111116</v>
      </c>
      <c r="D42" s="36" t="s">
        <v>30</v>
      </c>
      <c r="E42" s="38"/>
      <c r="F42" s="36" t="s">
        <v>39</v>
      </c>
      <c r="G42" s="105"/>
      <c r="H42" s="39" t="s">
        <v>29</v>
      </c>
      <c r="I42" s="40">
        <v>7.7399999999999997E-2</v>
      </c>
      <c r="J42" s="41">
        <v>13</v>
      </c>
      <c r="K42" s="42" t="s">
        <v>50</v>
      </c>
      <c r="L42" s="41">
        <v>0</v>
      </c>
      <c r="M42" s="41">
        <v>0</v>
      </c>
      <c r="N42" s="41">
        <v>0</v>
      </c>
      <c r="O42" s="43" t="s">
        <v>51</v>
      </c>
      <c r="P42" s="44">
        <v>0.79861111111111116</v>
      </c>
      <c r="Q42" s="41">
        <v>168</v>
      </c>
      <c r="R42" s="45" t="s">
        <v>52</v>
      </c>
    </row>
    <row r="43" spans="1:18" ht="17.399999999999999" customHeight="1" thickBot="1" x14ac:dyDescent="0.35">
      <c r="A43" s="127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9"/>
    </row>
    <row r="44" spans="1:18" ht="22.05" customHeight="1" thickTop="1" thickBot="1" x14ac:dyDescent="0.35">
      <c r="A44" s="97" t="s">
        <v>8</v>
      </c>
      <c r="B44" s="98"/>
      <c r="C44" s="98"/>
      <c r="D44" s="98"/>
      <c r="E44" s="98"/>
      <c r="F44" s="99"/>
      <c r="G44" s="18">
        <v>46009</v>
      </c>
      <c r="H44" s="100" t="s">
        <v>9</v>
      </c>
      <c r="I44" s="98"/>
      <c r="J44" s="98"/>
      <c r="K44" s="98"/>
      <c r="L44" s="98"/>
      <c r="M44" s="98"/>
      <c r="N44" s="98"/>
      <c r="O44" s="98"/>
      <c r="P44" s="98"/>
      <c r="Q44" s="98"/>
      <c r="R44" s="99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76" t="s">
        <v>28</v>
      </c>
      <c r="B46" s="76" t="s">
        <v>29</v>
      </c>
      <c r="C46" s="77">
        <v>0.79861111111111116</v>
      </c>
      <c r="D46" s="76" t="s">
        <v>30</v>
      </c>
      <c r="E46" s="78"/>
      <c r="F46" s="76" t="s">
        <v>39</v>
      </c>
      <c r="G46" s="105"/>
      <c r="H46" s="79" t="s">
        <v>29</v>
      </c>
      <c r="I46" s="80">
        <v>0.15479999999999999</v>
      </c>
      <c r="J46" s="81">
        <v>26</v>
      </c>
      <c r="K46" s="82" t="s">
        <v>47</v>
      </c>
      <c r="L46" s="81">
        <v>9</v>
      </c>
      <c r="M46" s="81">
        <v>0</v>
      </c>
      <c r="N46" s="81">
        <v>0</v>
      </c>
      <c r="O46" s="83" t="s">
        <v>37</v>
      </c>
      <c r="P46" s="84">
        <v>0.79861111111111116</v>
      </c>
      <c r="Q46" s="81">
        <v>168</v>
      </c>
      <c r="R46" s="85" t="s">
        <v>53</v>
      </c>
    </row>
    <row r="47" spans="1:18" ht="17.399999999999999" customHeight="1" thickBot="1" x14ac:dyDescent="0.35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9"/>
    </row>
    <row r="48" spans="1:18" ht="22.05" customHeight="1" thickTop="1" thickBot="1" x14ac:dyDescent="0.35">
      <c r="A48" s="97" t="s">
        <v>8</v>
      </c>
      <c r="B48" s="98"/>
      <c r="C48" s="98"/>
      <c r="D48" s="98"/>
      <c r="E48" s="98"/>
      <c r="F48" s="99"/>
      <c r="G48" s="18">
        <v>46011</v>
      </c>
      <c r="H48" s="100" t="s">
        <v>9</v>
      </c>
      <c r="I48" s="98"/>
      <c r="J48" s="98"/>
      <c r="K48" s="98"/>
      <c r="L48" s="98"/>
      <c r="M48" s="98"/>
      <c r="N48" s="98"/>
      <c r="O48" s="98"/>
      <c r="P48" s="98"/>
      <c r="Q48" s="98"/>
      <c r="R48" s="99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8" t="s">
        <v>28</v>
      </c>
      <c r="B50" s="8" t="s">
        <v>29</v>
      </c>
      <c r="C50" s="9">
        <v>6.9444444444444447E-4</v>
      </c>
      <c r="D50" s="8" t="s">
        <v>30</v>
      </c>
      <c r="E50" s="10"/>
      <c r="F50" s="8" t="s">
        <v>39</v>
      </c>
      <c r="G50" s="105"/>
      <c r="H50" s="11" t="s">
        <v>29</v>
      </c>
      <c r="I50" s="86">
        <v>6.5500000000000003E-2</v>
      </c>
      <c r="J50" s="13">
        <v>11</v>
      </c>
      <c r="K50" s="14" t="s">
        <v>54</v>
      </c>
      <c r="L50" s="13">
        <v>0</v>
      </c>
      <c r="M50" s="13">
        <v>0</v>
      </c>
      <c r="N50" s="13">
        <v>0</v>
      </c>
      <c r="O50" s="15" t="s">
        <v>37</v>
      </c>
      <c r="P50" s="16">
        <v>6.9444444444444447E-4</v>
      </c>
      <c r="Q50" s="13">
        <v>168</v>
      </c>
      <c r="R50" s="17" t="s">
        <v>55</v>
      </c>
    </row>
    <row r="51" spans="1:18" ht="17.399999999999999" customHeight="1" thickBot="1" x14ac:dyDescent="0.35">
      <c r="A51" s="127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9"/>
    </row>
    <row r="52" spans="1:18" ht="22.05" customHeight="1" thickTop="1" thickBot="1" x14ac:dyDescent="0.35">
      <c r="A52" s="97" t="s">
        <v>8</v>
      </c>
      <c r="B52" s="98"/>
      <c r="C52" s="98"/>
      <c r="D52" s="98"/>
      <c r="E52" s="98"/>
      <c r="F52" s="99"/>
      <c r="G52" s="18">
        <v>46012</v>
      </c>
      <c r="H52" s="100" t="s">
        <v>9</v>
      </c>
      <c r="I52" s="98"/>
      <c r="J52" s="98"/>
      <c r="K52" s="98"/>
      <c r="L52" s="98"/>
      <c r="M52" s="98"/>
      <c r="N52" s="98"/>
      <c r="O52" s="98"/>
      <c r="P52" s="98"/>
      <c r="Q52" s="98"/>
      <c r="R52" s="99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87" t="s">
        <v>28</v>
      </c>
      <c r="B54" s="87" t="s">
        <v>29</v>
      </c>
      <c r="C54" s="88">
        <v>0.79861111111111116</v>
      </c>
      <c r="D54" s="87" t="s">
        <v>30</v>
      </c>
      <c r="E54" s="89"/>
      <c r="F54" s="87" t="s">
        <v>39</v>
      </c>
      <c r="G54" s="101"/>
      <c r="H54" s="90" t="s">
        <v>29</v>
      </c>
      <c r="I54" s="91">
        <v>8.3299999999999999E-2</v>
      </c>
      <c r="J54" s="92">
        <v>14</v>
      </c>
      <c r="K54" s="93" t="s">
        <v>56</v>
      </c>
      <c r="L54" s="92">
        <v>1</v>
      </c>
      <c r="M54" s="92">
        <v>0</v>
      </c>
      <c r="N54" s="92">
        <v>0</v>
      </c>
      <c r="O54" s="94" t="s">
        <v>51</v>
      </c>
      <c r="P54" s="95">
        <v>0.79861111111111116</v>
      </c>
      <c r="Q54" s="92">
        <v>168</v>
      </c>
      <c r="R54" s="96" t="s">
        <v>57</v>
      </c>
    </row>
    <row r="55" spans="1:18" ht="17.399999999999999" customHeight="1" thickBot="1" x14ac:dyDescent="0.35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9"/>
    </row>
    <row r="56" spans="1:18" ht="22.05" customHeight="1" thickTop="1" thickBot="1" x14ac:dyDescent="0.35">
      <c r="A56" s="97" t="s">
        <v>8</v>
      </c>
      <c r="B56" s="98"/>
      <c r="C56" s="98"/>
      <c r="D56" s="98"/>
      <c r="E56" s="98"/>
      <c r="F56" s="99"/>
      <c r="G56" s="18">
        <v>46016</v>
      </c>
      <c r="H56" s="100" t="s">
        <v>9</v>
      </c>
      <c r="I56" s="98"/>
      <c r="J56" s="98"/>
      <c r="K56" s="98"/>
      <c r="L56" s="98"/>
      <c r="M56" s="98"/>
      <c r="N56" s="98"/>
      <c r="O56" s="98"/>
      <c r="P56" s="98"/>
      <c r="Q56" s="98"/>
      <c r="R56" s="99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36" t="s">
        <v>28</v>
      </c>
      <c r="B58" s="36" t="s">
        <v>29</v>
      </c>
      <c r="C58" s="37">
        <v>0.79861111111111116</v>
      </c>
      <c r="D58" s="36" t="s">
        <v>30</v>
      </c>
      <c r="E58" s="38"/>
      <c r="F58" s="36" t="s">
        <v>39</v>
      </c>
      <c r="G58" s="101"/>
      <c r="H58" s="39" t="s">
        <v>29</v>
      </c>
      <c r="I58" s="40">
        <v>0.11899999999999999</v>
      </c>
      <c r="J58" s="41">
        <v>20</v>
      </c>
      <c r="K58" s="42" t="s">
        <v>36</v>
      </c>
      <c r="L58" s="41">
        <v>6</v>
      </c>
      <c r="M58" s="41">
        <v>0</v>
      </c>
      <c r="N58" s="41">
        <v>1</v>
      </c>
      <c r="O58" s="43" t="s">
        <v>37</v>
      </c>
      <c r="P58" s="44">
        <v>0.79861111111111116</v>
      </c>
      <c r="Q58" s="41">
        <v>168</v>
      </c>
      <c r="R58" s="45" t="s">
        <v>58</v>
      </c>
    </row>
    <row r="59" spans="1:18" ht="17.399999999999999" customHeight="1" thickBot="1" x14ac:dyDescent="0.35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9"/>
    </row>
    <row r="60" spans="1:18" ht="15" thickTop="1" x14ac:dyDescent="0.3"/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"/>
  <sheetViews>
    <sheetView workbookViewId="0"/>
  </sheetViews>
  <sheetFormatPr defaultRowHeight="15.6" outlineLevelCol="1" x14ac:dyDescent="0.3"/>
  <cols>
    <col min="1" max="1" width="9.88671875" style="114" bestFit="1" customWidth="1"/>
    <col min="2" max="2" width="10.44140625" style="114" bestFit="1" customWidth="1"/>
    <col min="3" max="3" width="6.77734375" style="114" bestFit="1" customWidth="1"/>
    <col min="4" max="4" width="5.5546875" style="114" bestFit="1" customWidth="1"/>
    <col min="5" max="5" width="7.88671875" style="114" bestFit="1" customWidth="1"/>
    <col min="6" max="6" width="4.21875" style="114" bestFit="1" customWidth="1"/>
    <col min="7" max="7" width="10" style="114" bestFit="1" customWidth="1"/>
    <col min="8" max="8" width="8.5546875" style="114" bestFit="1" customWidth="1"/>
    <col min="9" max="10" width="7" style="114" bestFit="1" customWidth="1"/>
    <col min="11" max="11" width="10.5546875" style="114" bestFit="1" customWidth="1"/>
    <col min="12" max="12" width="18.109375" style="114" bestFit="1" customWidth="1"/>
    <col min="13" max="13" width="7.6640625" style="114" bestFit="1" customWidth="1" outlineLevel="1"/>
    <col min="14" max="14" width="6.33203125" style="114" bestFit="1" customWidth="1" outlineLevel="1"/>
    <col min="15" max="15" width="8" style="114" bestFit="1" customWidth="1" outlineLevel="1"/>
    <col min="16" max="16" width="13.6640625" style="114" bestFit="1" customWidth="1"/>
    <col min="17" max="25" width="3.88671875" style="114" bestFit="1" customWidth="1"/>
    <col min="26" max="26" width="4.109375" style="114" bestFit="1" customWidth="1"/>
    <col min="27" max="27" width="5" style="114" bestFit="1" customWidth="1"/>
    <col min="28" max="28" width="3.88671875" style="114" bestFit="1" customWidth="1"/>
    <col min="29" max="29" width="4.21875" style="114" bestFit="1" customWidth="1"/>
    <col min="30" max="31" width="4.5546875" style="114" bestFit="1" customWidth="1"/>
    <col min="32" max="36" width="3.88671875" style="114" bestFit="1" customWidth="1"/>
    <col min="37" max="16384" width="8.88671875" style="114"/>
  </cols>
  <sheetData>
    <row r="1" spans="1:36" x14ac:dyDescent="0.3">
      <c r="A1" s="113" t="s">
        <v>59</v>
      </c>
      <c r="B1" s="113" t="s">
        <v>60</v>
      </c>
      <c r="C1" s="113" t="s">
        <v>61</v>
      </c>
      <c r="D1" s="113" t="s">
        <v>25</v>
      </c>
      <c r="E1" s="113" t="s">
        <v>62</v>
      </c>
      <c r="F1" s="113" t="s">
        <v>63</v>
      </c>
      <c r="G1" s="113" t="s">
        <v>18</v>
      </c>
      <c r="H1" s="113" t="s">
        <v>64</v>
      </c>
      <c r="I1" s="113" t="s">
        <v>65</v>
      </c>
      <c r="J1" s="113" t="s">
        <v>66</v>
      </c>
      <c r="K1" s="113" t="s">
        <v>67</v>
      </c>
      <c r="L1" s="113" t="s">
        <v>20</v>
      </c>
      <c r="M1" s="113" t="s">
        <v>22</v>
      </c>
      <c r="N1" s="113" t="s">
        <v>23</v>
      </c>
      <c r="O1" s="113" t="s">
        <v>21</v>
      </c>
      <c r="P1" s="113" t="s">
        <v>24</v>
      </c>
      <c r="Q1" s="113" t="s">
        <v>68</v>
      </c>
      <c r="R1" s="113" t="s">
        <v>69</v>
      </c>
      <c r="S1" s="113" t="s">
        <v>70</v>
      </c>
      <c r="T1" s="113" t="s">
        <v>71</v>
      </c>
      <c r="U1" s="113" t="s">
        <v>72</v>
      </c>
      <c r="V1" s="113" t="s">
        <v>73</v>
      </c>
      <c r="W1" s="113" t="s">
        <v>74</v>
      </c>
      <c r="X1" s="113" t="s">
        <v>75</v>
      </c>
      <c r="Y1" s="113" t="s">
        <v>76</v>
      </c>
      <c r="Z1" s="113" t="s">
        <v>77</v>
      </c>
      <c r="AA1" s="113" t="s">
        <v>78</v>
      </c>
      <c r="AB1" s="113" t="s">
        <v>79</v>
      </c>
      <c r="AC1" s="113" t="s">
        <v>80</v>
      </c>
      <c r="AD1" s="113" t="s">
        <v>81</v>
      </c>
      <c r="AE1" s="113" t="s">
        <v>82</v>
      </c>
      <c r="AF1" s="113" t="s">
        <v>83</v>
      </c>
      <c r="AG1" s="113" t="s">
        <v>84</v>
      </c>
      <c r="AH1" s="113" t="s">
        <v>85</v>
      </c>
      <c r="AI1" s="113" t="s">
        <v>86</v>
      </c>
      <c r="AJ1" s="113" t="s">
        <v>87</v>
      </c>
    </row>
    <row r="2" spans="1:36" x14ac:dyDescent="0.3">
      <c r="A2" s="115" t="s">
        <v>88</v>
      </c>
      <c r="B2" s="116">
        <v>45984</v>
      </c>
      <c r="C2" s="117" t="s">
        <v>29</v>
      </c>
      <c r="D2" s="118" t="s">
        <v>89</v>
      </c>
      <c r="E2" s="117" t="s">
        <v>1</v>
      </c>
      <c r="F2" s="117" t="s">
        <v>90</v>
      </c>
      <c r="G2" s="119">
        <v>0.94640000000000002</v>
      </c>
      <c r="H2" s="120">
        <v>168</v>
      </c>
      <c r="I2" s="120">
        <v>159</v>
      </c>
      <c r="J2" s="120">
        <v>0</v>
      </c>
      <c r="K2" s="117" t="s">
        <v>91</v>
      </c>
      <c r="L2" s="121" t="s">
        <v>32</v>
      </c>
      <c r="M2" s="120">
        <v>2</v>
      </c>
      <c r="N2" s="120">
        <v>8</v>
      </c>
      <c r="O2" s="120">
        <v>92</v>
      </c>
      <c r="P2" s="117" t="s">
        <v>33</v>
      </c>
      <c r="Q2" s="113"/>
      <c r="R2" s="113"/>
      <c r="S2" s="113"/>
      <c r="T2" s="113"/>
      <c r="U2" s="113"/>
      <c r="V2" s="113"/>
      <c r="W2" s="113"/>
      <c r="X2" s="113"/>
      <c r="Y2" s="113"/>
      <c r="Z2" s="120" t="s">
        <v>92</v>
      </c>
      <c r="AA2" s="120" t="s">
        <v>93</v>
      </c>
      <c r="AB2" s="120" t="s">
        <v>94</v>
      </c>
      <c r="AC2" s="120" t="s">
        <v>95</v>
      </c>
      <c r="AD2" s="120" t="s">
        <v>96</v>
      </c>
      <c r="AE2" s="120" t="s">
        <v>97</v>
      </c>
      <c r="AF2" s="120" t="s">
        <v>98</v>
      </c>
      <c r="AG2" s="113"/>
      <c r="AH2" s="113"/>
      <c r="AI2" s="113"/>
      <c r="AJ2" s="113"/>
    </row>
    <row r="3" spans="1:36" x14ac:dyDescent="0.3">
      <c r="A3" s="115" t="s">
        <v>99</v>
      </c>
      <c r="B3" s="116">
        <v>45988</v>
      </c>
      <c r="C3" s="117" t="s">
        <v>29</v>
      </c>
      <c r="D3" s="118" t="s">
        <v>89</v>
      </c>
      <c r="E3" s="117" t="s">
        <v>1</v>
      </c>
      <c r="F3" s="117" t="s">
        <v>90</v>
      </c>
      <c r="G3" s="119">
        <v>0.36309999999999998</v>
      </c>
      <c r="H3" s="120">
        <v>168</v>
      </c>
      <c r="I3" s="120">
        <v>61</v>
      </c>
      <c r="J3" s="120">
        <v>0</v>
      </c>
      <c r="K3" s="117" t="s">
        <v>91</v>
      </c>
      <c r="L3" s="121" t="s">
        <v>36</v>
      </c>
      <c r="M3" s="120">
        <v>0</v>
      </c>
      <c r="N3" s="120">
        <v>2</v>
      </c>
      <c r="O3" s="120">
        <v>23</v>
      </c>
      <c r="P3" s="117" t="s">
        <v>37</v>
      </c>
      <c r="Q3" s="113"/>
      <c r="R3" s="113"/>
      <c r="S3" s="113"/>
      <c r="T3" s="113"/>
      <c r="U3" s="113"/>
      <c r="V3" s="113"/>
      <c r="W3" s="113"/>
      <c r="X3" s="113"/>
      <c r="Y3" s="113"/>
      <c r="Z3" s="120" t="s">
        <v>100</v>
      </c>
      <c r="AA3" s="120" t="s">
        <v>101</v>
      </c>
      <c r="AB3" s="113"/>
      <c r="AC3" s="113"/>
      <c r="AD3" s="113"/>
      <c r="AE3" s="120" t="s">
        <v>102</v>
      </c>
      <c r="AF3" s="120" t="s">
        <v>103</v>
      </c>
      <c r="AG3" s="113"/>
      <c r="AH3" s="113"/>
      <c r="AI3" s="113"/>
      <c r="AJ3" s="113"/>
    </row>
    <row r="4" spans="1:36" x14ac:dyDescent="0.3">
      <c r="A4" s="115" t="s">
        <v>104</v>
      </c>
      <c r="B4" s="116">
        <v>45990</v>
      </c>
      <c r="C4" s="117" t="s">
        <v>29</v>
      </c>
      <c r="D4" s="118" t="s">
        <v>105</v>
      </c>
      <c r="E4" s="117" t="s">
        <v>1</v>
      </c>
      <c r="F4" s="117" t="s">
        <v>90</v>
      </c>
      <c r="G4" s="119">
        <v>0.1071</v>
      </c>
      <c r="H4" s="120">
        <v>168</v>
      </c>
      <c r="I4" s="120">
        <v>18</v>
      </c>
      <c r="J4" s="120">
        <v>0</v>
      </c>
      <c r="K4" s="117" t="s">
        <v>91</v>
      </c>
      <c r="L4" s="121" t="s">
        <v>40</v>
      </c>
      <c r="M4" s="120">
        <v>0</v>
      </c>
      <c r="N4" s="120">
        <v>0</v>
      </c>
      <c r="O4" s="120">
        <v>2</v>
      </c>
      <c r="P4" s="117" t="s">
        <v>37</v>
      </c>
      <c r="Q4" s="113"/>
      <c r="R4" s="113"/>
      <c r="S4" s="113"/>
      <c r="T4" s="113"/>
      <c r="U4" s="113"/>
      <c r="V4" s="113"/>
      <c r="W4" s="113"/>
      <c r="X4" s="113"/>
      <c r="Y4" s="113"/>
      <c r="Z4" s="120" t="s">
        <v>106</v>
      </c>
      <c r="AA4" s="120" t="s">
        <v>107</v>
      </c>
      <c r="AB4" s="113"/>
      <c r="AC4" s="113"/>
      <c r="AD4" s="113"/>
      <c r="AE4" s="120" t="s">
        <v>102</v>
      </c>
      <c r="AF4" s="113"/>
      <c r="AG4" s="113"/>
      <c r="AH4" s="113"/>
      <c r="AI4" s="113"/>
      <c r="AJ4" s="113"/>
    </row>
    <row r="5" spans="1:36" x14ac:dyDescent="0.3">
      <c r="A5" s="115" t="s">
        <v>88</v>
      </c>
      <c r="B5" s="116">
        <v>45991</v>
      </c>
      <c r="C5" s="117" t="s">
        <v>29</v>
      </c>
      <c r="D5" s="118" t="s">
        <v>89</v>
      </c>
      <c r="E5" s="117" t="s">
        <v>1</v>
      </c>
      <c r="F5" s="117" t="s">
        <v>90</v>
      </c>
      <c r="G5" s="119">
        <v>0.45240000000000002</v>
      </c>
      <c r="H5" s="120">
        <v>168</v>
      </c>
      <c r="I5" s="120">
        <v>76</v>
      </c>
      <c r="J5" s="120">
        <v>0</v>
      </c>
      <c r="K5" s="117" t="s">
        <v>91</v>
      </c>
      <c r="L5" s="121" t="s">
        <v>36</v>
      </c>
      <c r="M5" s="120">
        <v>0</v>
      </c>
      <c r="N5" s="120">
        <v>1</v>
      </c>
      <c r="O5" s="120">
        <v>18</v>
      </c>
      <c r="P5" s="117" t="s">
        <v>42</v>
      </c>
      <c r="Q5" s="113"/>
      <c r="R5" s="113"/>
      <c r="S5" s="113"/>
      <c r="T5" s="113"/>
      <c r="U5" s="113"/>
      <c r="V5" s="113"/>
      <c r="W5" s="113"/>
      <c r="X5" s="113"/>
      <c r="Y5" s="113"/>
      <c r="Z5" s="120" t="s">
        <v>108</v>
      </c>
      <c r="AA5" s="120" t="s">
        <v>107</v>
      </c>
      <c r="AB5" s="113"/>
      <c r="AC5" s="113"/>
      <c r="AD5" s="113"/>
      <c r="AE5" s="120" t="s">
        <v>109</v>
      </c>
      <c r="AF5" s="113"/>
      <c r="AG5" s="113"/>
      <c r="AH5" s="113"/>
      <c r="AI5" s="113"/>
      <c r="AJ5" s="113"/>
    </row>
    <row r="6" spans="1:36" x14ac:dyDescent="0.3">
      <c r="A6" s="115" t="s">
        <v>99</v>
      </c>
      <c r="B6" s="116">
        <v>45995</v>
      </c>
      <c r="C6" s="117" t="s">
        <v>29</v>
      </c>
      <c r="D6" s="118" t="s">
        <v>89</v>
      </c>
      <c r="E6" s="117" t="s">
        <v>1</v>
      </c>
      <c r="F6" s="117" t="s">
        <v>90</v>
      </c>
      <c r="G6" s="119">
        <v>0.40479999999999999</v>
      </c>
      <c r="H6" s="120">
        <v>168</v>
      </c>
      <c r="I6" s="120">
        <v>68</v>
      </c>
      <c r="J6" s="120">
        <v>0</v>
      </c>
      <c r="K6" s="117" t="s">
        <v>91</v>
      </c>
      <c r="L6" s="121" t="s">
        <v>40</v>
      </c>
      <c r="M6" s="120">
        <v>0</v>
      </c>
      <c r="N6" s="120">
        <v>0</v>
      </c>
      <c r="O6" s="120">
        <v>12</v>
      </c>
      <c r="P6" s="117" t="s">
        <v>37</v>
      </c>
      <c r="Q6" s="113"/>
      <c r="R6" s="113"/>
      <c r="S6" s="113"/>
      <c r="T6" s="113"/>
      <c r="U6" s="113"/>
      <c r="V6" s="113"/>
      <c r="W6" s="113"/>
      <c r="X6" s="113"/>
      <c r="Y6" s="113"/>
      <c r="Z6" s="120" t="s">
        <v>100</v>
      </c>
      <c r="AA6" s="113"/>
      <c r="AB6" s="120" t="s">
        <v>110</v>
      </c>
      <c r="AC6" s="120" t="s">
        <v>111</v>
      </c>
      <c r="AD6" s="120" t="s">
        <v>112</v>
      </c>
      <c r="AE6" s="120" t="s">
        <v>113</v>
      </c>
      <c r="AF6" s="113"/>
      <c r="AG6" s="113"/>
      <c r="AH6" s="113"/>
      <c r="AI6" s="113"/>
      <c r="AJ6" s="113"/>
    </row>
    <row r="7" spans="1:36" x14ac:dyDescent="0.3">
      <c r="A7" s="115" t="s">
        <v>104</v>
      </c>
      <c r="B7" s="116">
        <v>45997</v>
      </c>
      <c r="C7" s="117" t="s">
        <v>29</v>
      </c>
      <c r="D7" s="118" t="s">
        <v>105</v>
      </c>
      <c r="E7" s="117" t="s">
        <v>1</v>
      </c>
      <c r="F7" s="117" t="s">
        <v>90</v>
      </c>
      <c r="G7" s="119">
        <v>0.13689999999999999</v>
      </c>
      <c r="H7" s="120">
        <v>168</v>
      </c>
      <c r="I7" s="120">
        <v>23</v>
      </c>
      <c r="J7" s="120">
        <v>0</v>
      </c>
      <c r="K7" s="117" t="s">
        <v>91</v>
      </c>
      <c r="L7" s="121" t="s">
        <v>40</v>
      </c>
      <c r="M7" s="120">
        <v>0</v>
      </c>
      <c r="N7" s="120">
        <v>0</v>
      </c>
      <c r="O7" s="120">
        <v>9</v>
      </c>
      <c r="P7" s="117" t="s">
        <v>37</v>
      </c>
      <c r="Q7" s="113"/>
      <c r="R7" s="113"/>
      <c r="S7" s="113"/>
      <c r="T7" s="113"/>
      <c r="U7" s="113"/>
      <c r="V7" s="113"/>
      <c r="W7" s="113"/>
      <c r="X7" s="113"/>
      <c r="Y7" s="113"/>
      <c r="Z7" s="120" t="s">
        <v>106</v>
      </c>
      <c r="AA7" s="113"/>
      <c r="AB7" s="113"/>
      <c r="AC7" s="120" t="s">
        <v>114</v>
      </c>
      <c r="AD7" s="120" t="s">
        <v>51</v>
      </c>
      <c r="AE7" s="120" t="s">
        <v>115</v>
      </c>
      <c r="AF7" s="113"/>
      <c r="AG7" s="113"/>
      <c r="AH7" s="113"/>
      <c r="AI7" s="113"/>
      <c r="AJ7" s="113"/>
    </row>
    <row r="8" spans="1:36" x14ac:dyDescent="0.3">
      <c r="A8" s="115" t="s">
        <v>88</v>
      </c>
      <c r="B8" s="116">
        <v>45998</v>
      </c>
      <c r="C8" s="117" t="s">
        <v>29</v>
      </c>
      <c r="D8" s="118" t="s">
        <v>89</v>
      </c>
      <c r="E8" s="117" t="s">
        <v>1</v>
      </c>
      <c r="F8" s="117" t="s">
        <v>90</v>
      </c>
      <c r="G8" s="119">
        <v>0.26790000000000003</v>
      </c>
      <c r="H8" s="120">
        <v>168</v>
      </c>
      <c r="I8" s="120">
        <v>45</v>
      </c>
      <c r="J8" s="120">
        <v>0</v>
      </c>
      <c r="K8" s="117" t="s">
        <v>91</v>
      </c>
      <c r="L8" s="121" t="s">
        <v>36</v>
      </c>
      <c r="M8" s="120">
        <v>0</v>
      </c>
      <c r="N8" s="120">
        <v>2</v>
      </c>
      <c r="O8" s="120">
        <v>8</v>
      </c>
      <c r="P8" s="117" t="s">
        <v>37</v>
      </c>
      <c r="Q8" s="113"/>
      <c r="R8" s="113"/>
      <c r="S8" s="113"/>
      <c r="T8" s="113"/>
      <c r="U8" s="113"/>
      <c r="V8" s="113"/>
      <c r="W8" s="113"/>
      <c r="X8" s="113"/>
      <c r="Y8" s="113"/>
      <c r="Z8" s="120" t="s">
        <v>100</v>
      </c>
      <c r="AA8" s="113"/>
      <c r="AB8" s="113"/>
      <c r="AC8" s="113"/>
      <c r="AD8" s="120" t="s">
        <v>51</v>
      </c>
      <c r="AE8" s="120" t="s">
        <v>116</v>
      </c>
      <c r="AF8" s="113"/>
      <c r="AG8" s="113"/>
      <c r="AH8" s="113"/>
      <c r="AI8" s="113"/>
      <c r="AJ8" s="113"/>
    </row>
    <row r="9" spans="1:36" x14ac:dyDescent="0.3">
      <c r="A9" s="115" t="s">
        <v>99</v>
      </c>
      <c r="B9" s="116">
        <v>46002</v>
      </c>
      <c r="C9" s="117" t="s">
        <v>29</v>
      </c>
      <c r="D9" s="118" t="s">
        <v>89</v>
      </c>
      <c r="E9" s="117" t="s">
        <v>1</v>
      </c>
      <c r="F9" s="117" t="s">
        <v>90</v>
      </c>
      <c r="G9" s="119">
        <v>8.9300000000000004E-2</v>
      </c>
      <c r="H9" s="120">
        <v>168</v>
      </c>
      <c r="I9" s="120">
        <v>15</v>
      </c>
      <c r="J9" s="120">
        <v>0</v>
      </c>
      <c r="K9" s="117" t="s">
        <v>91</v>
      </c>
      <c r="L9" s="121" t="s">
        <v>47</v>
      </c>
      <c r="M9" s="120">
        <v>0</v>
      </c>
      <c r="N9" s="120">
        <v>0</v>
      </c>
      <c r="O9" s="120">
        <v>1</v>
      </c>
      <c r="P9" s="117" t="s">
        <v>37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20" t="s">
        <v>48</v>
      </c>
      <c r="AF9" s="113"/>
      <c r="AG9" s="113"/>
      <c r="AH9" s="113"/>
      <c r="AI9" s="113"/>
      <c r="AJ9" s="113"/>
    </row>
    <row r="10" spans="1:36" x14ac:dyDescent="0.3">
      <c r="A10" s="115" t="s">
        <v>104</v>
      </c>
      <c r="B10" s="116">
        <v>46004</v>
      </c>
      <c r="C10" s="117" t="s">
        <v>29</v>
      </c>
      <c r="D10" s="118" t="s">
        <v>105</v>
      </c>
      <c r="E10" s="117" t="s">
        <v>1</v>
      </c>
      <c r="F10" s="117" t="s">
        <v>90</v>
      </c>
      <c r="G10" s="119">
        <v>3.5700000000000003E-2</v>
      </c>
      <c r="H10" s="120">
        <v>168</v>
      </c>
      <c r="I10" s="120">
        <v>6</v>
      </c>
      <c r="J10" s="120">
        <v>0</v>
      </c>
      <c r="K10" s="117" t="s">
        <v>91</v>
      </c>
      <c r="L10" s="121" t="s">
        <v>47</v>
      </c>
      <c r="M10" s="120">
        <v>0</v>
      </c>
      <c r="N10" s="120">
        <v>0</v>
      </c>
      <c r="O10" s="120">
        <v>2</v>
      </c>
      <c r="P10" s="117" t="s">
        <v>37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20" t="s">
        <v>106</v>
      </c>
      <c r="AA10" s="120" t="s">
        <v>117</v>
      </c>
      <c r="AB10" s="113"/>
      <c r="AC10" s="113"/>
      <c r="AD10" s="113"/>
      <c r="AE10" s="120" t="s">
        <v>118</v>
      </c>
      <c r="AF10" s="113"/>
      <c r="AG10" s="113"/>
      <c r="AH10" s="113"/>
      <c r="AI10" s="113"/>
      <c r="AJ10" s="113"/>
    </row>
    <row r="11" spans="1:36" x14ac:dyDescent="0.3">
      <c r="A11" s="115" t="s">
        <v>88</v>
      </c>
      <c r="B11" s="116">
        <v>46005</v>
      </c>
      <c r="C11" s="117" t="s">
        <v>29</v>
      </c>
      <c r="D11" s="118" t="s">
        <v>89</v>
      </c>
      <c r="E11" s="117" t="s">
        <v>1</v>
      </c>
      <c r="F11" s="117" t="s">
        <v>90</v>
      </c>
      <c r="G11" s="119">
        <v>7.7399999999999997E-2</v>
      </c>
      <c r="H11" s="120">
        <v>168</v>
      </c>
      <c r="I11" s="120">
        <v>13</v>
      </c>
      <c r="J11" s="120">
        <v>0</v>
      </c>
      <c r="K11" s="117" t="s">
        <v>91</v>
      </c>
      <c r="L11" s="121" t="s">
        <v>50</v>
      </c>
      <c r="M11" s="120">
        <v>0</v>
      </c>
      <c r="N11" s="120">
        <v>0</v>
      </c>
      <c r="O11" s="120">
        <v>0</v>
      </c>
      <c r="P11" s="117" t="s">
        <v>51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20" t="s">
        <v>100</v>
      </c>
      <c r="AA11" s="113"/>
      <c r="AB11" s="113"/>
      <c r="AC11" s="113"/>
      <c r="AD11" s="113"/>
      <c r="AE11" s="120" t="s">
        <v>102</v>
      </c>
      <c r="AF11" s="113"/>
      <c r="AG11" s="113"/>
      <c r="AH11" s="113"/>
      <c r="AI11" s="113"/>
      <c r="AJ11" s="113"/>
    </row>
    <row r="12" spans="1:36" x14ac:dyDescent="0.3">
      <c r="A12" s="115" t="s">
        <v>99</v>
      </c>
      <c r="B12" s="116">
        <v>46009</v>
      </c>
      <c r="C12" s="117" t="s">
        <v>29</v>
      </c>
      <c r="D12" s="118" t="s">
        <v>89</v>
      </c>
      <c r="E12" s="117" t="s">
        <v>1</v>
      </c>
      <c r="F12" s="117" t="s">
        <v>90</v>
      </c>
      <c r="G12" s="119">
        <v>0.15479999999999999</v>
      </c>
      <c r="H12" s="120">
        <v>168</v>
      </c>
      <c r="I12" s="120">
        <v>26</v>
      </c>
      <c r="J12" s="120">
        <v>0</v>
      </c>
      <c r="K12" s="117" t="s">
        <v>91</v>
      </c>
      <c r="L12" s="121" t="s">
        <v>47</v>
      </c>
      <c r="M12" s="120">
        <v>0</v>
      </c>
      <c r="N12" s="120">
        <v>0</v>
      </c>
      <c r="O12" s="120">
        <v>9</v>
      </c>
      <c r="P12" s="117" t="s">
        <v>37</v>
      </c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20" t="s">
        <v>119</v>
      </c>
      <c r="AE12" s="120" t="s">
        <v>120</v>
      </c>
      <c r="AF12" s="113"/>
      <c r="AG12" s="113"/>
      <c r="AH12" s="113"/>
      <c r="AI12" s="113"/>
      <c r="AJ12" s="113"/>
    </row>
    <row r="13" spans="1:36" x14ac:dyDescent="0.3">
      <c r="A13" s="115" t="s">
        <v>104</v>
      </c>
      <c r="B13" s="116">
        <v>46011</v>
      </c>
      <c r="C13" s="117" t="s">
        <v>29</v>
      </c>
      <c r="D13" s="118" t="s">
        <v>105</v>
      </c>
      <c r="E13" s="117" t="s">
        <v>1</v>
      </c>
      <c r="F13" s="117" t="s">
        <v>90</v>
      </c>
      <c r="G13" s="119">
        <v>6.5500000000000003E-2</v>
      </c>
      <c r="H13" s="120">
        <v>168</v>
      </c>
      <c r="I13" s="120">
        <v>11</v>
      </c>
      <c r="J13" s="120">
        <v>0</v>
      </c>
      <c r="K13" s="117" t="s">
        <v>91</v>
      </c>
      <c r="L13" s="121" t="s">
        <v>54</v>
      </c>
      <c r="M13" s="120">
        <v>0</v>
      </c>
      <c r="N13" s="120">
        <v>0</v>
      </c>
      <c r="O13" s="120">
        <v>0</v>
      </c>
      <c r="P13" s="117" t="s">
        <v>37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20" t="s">
        <v>121</v>
      </c>
      <c r="AA13" s="120" t="s">
        <v>101</v>
      </c>
      <c r="AB13" s="113"/>
      <c r="AC13" s="113"/>
      <c r="AD13" s="120" t="s">
        <v>119</v>
      </c>
      <c r="AE13" s="120" t="s">
        <v>122</v>
      </c>
      <c r="AF13" s="113"/>
      <c r="AG13" s="113"/>
      <c r="AH13" s="113"/>
      <c r="AI13" s="113"/>
      <c r="AJ13" s="113"/>
    </row>
    <row r="14" spans="1:36" x14ac:dyDescent="0.3">
      <c r="A14" s="115" t="s">
        <v>88</v>
      </c>
      <c r="B14" s="116">
        <v>46012</v>
      </c>
      <c r="C14" s="117" t="s">
        <v>29</v>
      </c>
      <c r="D14" s="118" t="s">
        <v>89</v>
      </c>
      <c r="E14" s="117" t="s">
        <v>1</v>
      </c>
      <c r="F14" s="117" t="s">
        <v>90</v>
      </c>
      <c r="G14" s="119">
        <v>8.3299999999999999E-2</v>
      </c>
      <c r="H14" s="120">
        <v>168</v>
      </c>
      <c r="I14" s="120">
        <v>14</v>
      </c>
      <c r="J14" s="120">
        <v>0</v>
      </c>
      <c r="K14" s="117" t="s">
        <v>91</v>
      </c>
      <c r="L14" s="121" t="s">
        <v>56</v>
      </c>
      <c r="M14" s="120">
        <v>0</v>
      </c>
      <c r="N14" s="120">
        <v>0</v>
      </c>
      <c r="O14" s="120">
        <v>1</v>
      </c>
      <c r="P14" s="117" t="s">
        <v>51</v>
      </c>
      <c r="Q14" s="113"/>
      <c r="R14" s="113"/>
      <c r="S14" s="113"/>
      <c r="T14" s="113"/>
      <c r="U14" s="113"/>
      <c r="V14" s="113"/>
      <c r="W14" s="113"/>
      <c r="X14" s="113"/>
      <c r="Y14" s="113"/>
      <c r="Z14" s="120" t="s">
        <v>121</v>
      </c>
      <c r="AA14" s="113"/>
      <c r="AB14" s="113"/>
      <c r="AC14" s="113"/>
      <c r="AD14" s="120" t="s">
        <v>123</v>
      </c>
      <c r="AE14" s="120" t="s">
        <v>124</v>
      </c>
      <c r="AF14" s="113"/>
      <c r="AG14" s="113"/>
      <c r="AH14" s="113"/>
      <c r="AI14" s="113"/>
      <c r="AJ14" s="113"/>
    </row>
    <row r="15" spans="1:36" x14ac:dyDescent="0.3">
      <c r="A15" s="115" t="s">
        <v>99</v>
      </c>
      <c r="B15" s="116">
        <v>46016</v>
      </c>
      <c r="C15" s="117" t="s">
        <v>29</v>
      </c>
      <c r="D15" s="118" t="s">
        <v>89</v>
      </c>
      <c r="E15" s="117" t="s">
        <v>1</v>
      </c>
      <c r="F15" s="117" t="s">
        <v>90</v>
      </c>
      <c r="G15" s="119">
        <v>0.11899999999999999</v>
      </c>
      <c r="H15" s="120">
        <v>168</v>
      </c>
      <c r="I15" s="120">
        <v>20</v>
      </c>
      <c r="J15" s="120">
        <v>0</v>
      </c>
      <c r="K15" s="117" t="s">
        <v>91</v>
      </c>
      <c r="L15" s="121" t="s">
        <v>36</v>
      </c>
      <c r="M15" s="120">
        <v>0</v>
      </c>
      <c r="N15" s="120">
        <v>1</v>
      </c>
      <c r="O15" s="120">
        <v>6</v>
      </c>
      <c r="P15" s="117" t="s">
        <v>37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20" t="s">
        <v>106</v>
      </c>
      <c r="AA15" s="113"/>
      <c r="AB15" s="113"/>
      <c r="AC15" s="113"/>
      <c r="AD15" s="120" t="s">
        <v>125</v>
      </c>
      <c r="AE15" s="120" t="s">
        <v>102</v>
      </c>
      <c r="AF15" s="113"/>
      <c r="AG15" s="113"/>
      <c r="AH15" s="113"/>
      <c r="AI15" s="113"/>
      <c r="AJ15" s="113"/>
    </row>
    <row r="16" spans="1:36" ht="21" x14ac:dyDescent="0.3">
      <c r="A16" s="122" t="s">
        <v>149</v>
      </c>
      <c r="B16" s="123"/>
      <c r="C16" s="122">
        <f>SUBTOTAL(103,ELQ_CAI_LF_LEGACY[Flt])</f>
        <v>14</v>
      </c>
      <c r="D16" s="122"/>
      <c r="E16" s="122">
        <f>SUBTOTAL(103,ELQ_CAI_LF_LEGACY[Brd-Off])</f>
        <v>14</v>
      </c>
      <c r="F16" s="122"/>
      <c r="G16" s="124">
        <f>SUBTOTAL(101,ELQ_CAI_LF_LEGACY[LF%])</f>
        <v>0.23597142857142853</v>
      </c>
      <c r="H16" s="125">
        <f>SUBTOTAL(109,ELQ_CAI_LF_LEGACY[CAP])</f>
        <v>2352</v>
      </c>
      <c r="I16" s="125">
        <f>SUBTOTAL(109,ELQ_CAI_LF_LEGACY[BKG(Y)])</f>
        <v>555</v>
      </c>
      <c r="J16" s="125">
        <f>SUBTOTAL(109,ELQ_CAI_LF_LEGACY[GRP(Y)])</f>
        <v>0</v>
      </c>
      <c r="K16" s="122"/>
      <c r="L16" s="123"/>
      <c r="M16" s="125">
        <f>SUBTOTAL(109,ELQ_CAI_LF_LEGACY[TO-DAY])</f>
        <v>2</v>
      </c>
      <c r="N16" s="125">
        <f>SUBTOTAL(109,ELQ_CAI_LF_LEGACY[Y-DAY])</f>
        <v>14</v>
      </c>
      <c r="O16" s="125">
        <f>SUBTOTAL(109,ELQ_CAI_LF_LEGACY[WEEKLY])</f>
        <v>183</v>
      </c>
      <c r="P16" s="126"/>
      <c r="Q16" s="125">
        <f>SUBTOTAL(109,ELQ_CAI_LF_LEGACY[Y])</f>
        <v>0</v>
      </c>
      <c r="R16" s="125">
        <f>SUBTOTAL(109,ELQ_CAI_LF_LEGACY[B])</f>
        <v>0</v>
      </c>
      <c r="S16" s="125">
        <f>SUBTOTAL(109,ELQ_CAI_LF_LEGACY[M])</f>
        <v>0</v>
      </c>
      <c r="T16" s="125">
        <f>SUBTOTAL(109,ELQ_CAI_LF_LEGACY[H])</f>
        <v>0</v>
      </c>
      <c r="U16" s="125">
        <f>SUBTOTAL(109,ELQ_CAI_LF_LEGACY[Q])</f>
        <v>0</v>
      </c>
      <c r="V16" s="125">
        <f>SUBTOTAL(109,ELQ_CAI_LF_LEGACY[K])</f>
        <v>0</v>
      </c>
      <c r="W16" s="125">
        <f>SUBTOTAL(109,ELQ_CAI_LF_LEGACY[V])</f>
        <v>0</v>
      </c>
      <c r="X16" s="125">
        <f>SUBTOTAL(109,ELQ_CAI_LF_LEGACY[L])</f>
        <v>0</v>
      </c>
      <c r="Y16" s="125">
        <f>SUBTOTAL(109,ELQ_CAI_LF_LEGACY[G])</f>
        <v>0</v>
      </c>
      <c r="Z16" s="125">
        <f>SUBTOTAL(109,ELQ_CAI_LF_LEGACY[S])</f>
        <v>0</v>
      </c>
      <c r="AA16" s="125">
        <f>SUBTOTAL(109,ELQ_CAI_LF_LEGACY[W])</f>
        <v>0</v>
      </c>
      <c r="AB16" s="125">
        <f>SUBTOTAL(109,ELQ_CAI_LF_LEGACY[T])</f>
        <v>0</v>
      </c>
      <c r="AC16" s="125">
        <f>SUBTOTAL(109,ELQ_CAI_LF_LEGACY[X])</f>
        <v>0</v>
      </c>
      <c r="AD16" s="125">
        <f>SUBTOTAL(109,ELQ_CAI_LF_LEGACY[U])</f>
        <v>0</v>
      </c>
      <c r="AE16" s="125">
        <f>SUBTOTAL(109,ELQ_CAI_LF_LEGACY[O])</f>
        <v>0</v>
      </c>
      <c r="AF16" s="125">
        <f>SUBTOTAL(109,ELQ_CAI_LF_LEGACY[I])</f>
        <v>0</v>
      </c>
      <c r="AG16" s="125">
        <f>SUBTOTAL(109,ELQ_CAI_LF_LEGACY[E])</f>
        <v>0</v>
      </c>
      <c r="AH16" s="125">
        <f>SUBTOTAL(109,ELQ_CAI_LF_LEGACY[A])</f>
        <v>0</v>
      </c>
      <c r="AI16" s="125">
        <f>SUBTOTAL(109,ELQ_CAI_LF_LEGACY[P])</f>
        <v>0</v>
      </c>
      <c r="AJ16" s="125">
        <f>SUBTOTAL(103,ELQ_CAI_LF_LEGACY[N])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4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53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5" bestFit="1" customWidth="1"/>
  </cols>
  <sheetData>
    <row r="1" spans="1:92" ht="28.8" customHeight="1" x14ac:dyDescent="0.3">
      <c r="A1" s="104" t="s">
        <v>0</v>
      </c>
      <c r="B1" s="103"/>
      <c r="C1" s="103"/>
      <c r="D1" s="103"/>
      <c r="E1" s="103"/>
      <c r="F1" s="1" t="s">
        <v>126</v>
      </c>
      <c r="G1" s="2" t="s">
        <v>2</v>
      </c>
      <c r="H1" s="102" t="s">
        <v>3</v>
      </c>
      <c r="I1" s="103"/>
      <c r="J1" s="103"/>
      <c r="K1" s="103"/>
      <c r="L1" s="103"/>
      <c r="M1" s="1" t="s">
        <v>4</v>
      </c>
      <c r="N1" s="111" t="s">
        <v>5</v>
      </c>
      <c r="O1" s="103"/>
      <c r="P1" s="103"/>
      <c r="Q1" s="103"/>
      <c r="R1" s="10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7" t="s">
        <v>6</v>
      </c>
      <c r="B2" s="103"/>
      <c r="C2" s="103"/>
      <c r="D2" s="103"/>
      <c r="E2" s="103"/>
      <c r="F2" s="103"/>
      <c r="G2" s="109">
        <v>45984.22875413455</v>
      </c>
      <c r="H2" s="103"/>
      <c r="I2" s="103"/>
      <c r="J2" s="103"/>
      <c r="K2" s="112">
        <v>45984.228754135023</v>
      </c>
      <c r="L2" s="103"/>
      <c r="M2" s="103"/>
      <c r="N2" s="103"/>
      <c r="O2" s="103"/>
      <c r="P2" s="103"/>
      <c r="Q2" s="103"/>
      <c r="R2" s="10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8" t="s">
        <v>7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10" t="s">
        <v>8</v>
      </c>
      <c r="B4" s="98"/>
      <c r="C4" s="98"/>
      <c r="D4" s="98"/>
      <c r="E4" s="98"/>
      <c r="F4" s="99"/>
      <c r="G4" s="4">
        <v>45987</v>
      </c>
      <c r="H4" s="106" t="s">
        <v>9</v>
      </c>
      <c r="I4" s="98"/>
      <c r="J4" s="98"/>
      <c r="K4" s="98"/>
      <c r="L4" s="98"/>
      <c r="M4" s="98"/>
      <c r="N4" s="98"/>
      <c r="O4" s="98"/>
      <c r="P4" s="98"/>
      <c r="Q4" s="98"/>
      <c r="R4" s="9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127</v>
      </c>
      <c r="C6" s="9">
        <v>2.0833333333333329E-2</v>
      </c>
      <c r="D6" s="8" t="s">
        <v>30</v>
      </c>
      <c r="E6" s="10"/>
      <c r="F6" s="8" t="s">
        <v>35</v>
      </c>
      <c r="G6" s="101"/>
      <c r="H6" s="11" t="s">
        <v>127</v>
      </c>
      <c r="I6" s="86">
        <v>0.48809999999999998</v>
      </c>
      <c r="J6" s="13">
        <v>82</v>
      </c>
      <c r="K6" s="14" t="s">
        <v>36</v>
      </c>
      <c r="L6" s="13">
        <v>53</v>
      </c>
      <c r="M6" s="13">
        <v>0</v>
      </c>
      <c r="N6" s="13">
        <v>6</v>
      </c>
      <c r="O6" s="15" t="s">
        <v>51</v>
      </c>
      <c r="P6" s="16">
        <v>2.0833333333333329E-2</v>
      </c>
      <c r="Q6" s="13">
        <v>168</v>
      </c>
      <c r="R6" s="17" t="s">
        <v>128</v>
      </c>
    </row>
    <row r="7" spans="1:92" ht="17.399999999999999" customHeight="1" thickBot="1" x14ac:dyDescent="0.35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92" ht="22.05" customHeight="1" thickTop="1" thickBot="1" x14ac:dyDescent="0.35">
      <c r="A8" s="97" t="s">
        <v>8</v>
      </c>
      <c r="B8" s="98"/>
      <c r="C8" s="98"/>
      <c r="D8" s="98"/>
      <c r="E8" s="98"/>
      <c r="F8" s="99"/>
      <c r="G8" s="18">
        <v>45990</v>
      </c>
      <c r="H8" s="100" t="s">
        <v>9</v>
      </c>
      <c r="I8" s="98"/>
      <c r="J8" s="98"/>
      <c r="K8" s="98"/>
      <c r="L8" s="98"/>
      <c r="M8" s="98"/>
      <c r="N8" s="98"/>
      <c r="O8" s="98"/>
      <c r="P8" s="98"/>
      <c r="Q8" s="98"/>
      <c r="R8" s="99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56" t="s">
        <v>28</v>
      </c>
      <c r="B10" s="56" t="s">
        <v>127</v>
      </c>
      <c r="C10" s="57">
        <v>0.85416666666666663</v>
      </c>
      <c r="D10" s="56" t="s">
        <v>30</v>
      </c>
      <c r="E10" s="58"/>
      <c r="F10" s="56" t="s">
        <v>39</v>
      </c>
      <c r="G10" s="105"/>
      <c r="H10" s="59" t="s">
        <v>127</v>
      </c>
      <c r="I10" s="60">
        <v>0.29759999999999998</v>
      </c>
      <c r="J10" s="61">
        <v>50</v>
      </c>
      <c r="K10" s="62" t="s">
        <v>36</v>
      </c>
      <c r="L10" s="61">
        <v>19</v>
      </c>
      <c r="M10" s="61">
        <v>0</v>
      </c>
      <c r="N10" s="61">
        <v>1</v>
      </c>
      <c r="O10" s="63" t="s">
        <v>123</v>
      </c>
      <c r="P10" s="64">
        <v>0.85416666666666663</v>
      </c>
      <c r="Q10" s="61">
        <v>168</v>
      </c>
      <c r="R10" s="65" t="s">
        <v>129</v>
      </c>
    </row>
    <row r="11" spans="1:92" ht="17.399999999999999" customHeight="1" thickBot="1" x14ac:dyDescent="0.35">
      <c r="A11" s="127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9"/>
    </row>
    <row r="12" spans="1:92" ht="22.05" customHeight="1" thickTop="1" thickBot="1" x14ac:dyDescent="0.35">
      <c r="A12" s="97" t="s">
        <v>8</v>
      </c>
      <c r="B12" s="98"/>
      <c r="C12" s="98"/>
      <c r="D12" s="98"/>
      <c r="E12" s="98"/>
      <c r="F12" s="99"/>
      <c r="G12" s="18">
        <v>45994</v>
      </c>
      <c r="H12" s="100" t="s">
        <v>9</v>
      </c>
      <c r="I12" s="98"/>
      <c r="J12" s="98"/>
      <c r="K12" s="98"/>
      <c r="L12" s="98"/>
      <c r="M12" s="98"/>
      <c r="N12" s="98"/>
      <c r="O12" s="98"/>
      <c r="P12" s="98"/>
      <c r="Q12" s="98"/>
      <c r="R12" s="99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127</v>
      </c>
      <c r="C14" s="37">
        <v>2.0833333333333329E-2</v>
      </c>
      <c r="D14" s="36" t="s">
        <v>30</v>
      </c>
      <c r="E14" s="38"/>
      <c r="F14" s="36" t="s">
        <v>39</v>
      </c>
      <c r="G14" s="105"/>
      <c r="H14" s="39" t="s">
        <v>127</v>
      </c>
      <c r="I14" s="40">
        <v>0.24399999999999999</v>
      </c>
      <c r="J14" s="41">
        <v>41</v>
      </c>
      <c r="K14" s="42" t="s">
        <v>36</v>
      </c>
      <c r="L14" s="41">
        <v>16</v>
      </c>
      <c r="M14" s="41">
        <v>0</v>
      </c>
      <c r="N14" s="41">
        <v>2</v>
      </c>
      <c r="O14" s="43" t="s">
        <v>51</v>
      </c>
      <c r="P14" s="44">
        <v>2.0833333333333329E-2</v>
      </c>
      <c r="Q14" s="41">
        <v>168</v>
      </c>
      <c r="R14" s="45" t="s">
        <v>130</v>
      </c>
    </row>
    <row r="15" spans="1:92" ht="17.399999999999999" customHeight="1" thickBot="1" x14ac:dyDescent="0.35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9"/>
    </row>
    <row r="16" spans="1:92" ht="22.05" customHeight="1" thickTop="1" thickBot="1" x14ac:dyDescent="0.35">
      <c r="A16" s="97" t="s">
        <v>8</v>
      </c>
      <c r="B16" s="98"/>
      <c r="C16" s="98"/>
      <c r="D16" s="98"/>
      <c r="E16" s="98"/>
      <c r="F16" s="99"/>
      <c r="G16" s="18">
        <v>45997</v>
      </c>
      <c r="H16" s="100" t="s">
        <v>9</v>
      </c>
      <c r="I16" s="98"/>
      <c r="J16" s="98"/>
      <c r="K16" s="98"/>
      <c r="L16" s="98"/>
      <c r="M16" s="98"/>
      <c r="N16" s="98"/>
      <c r="O16" s="98"/>
      <c r="P16" s="98"/>
      <c r="Q16" s="98"/>
      <c r="R16" s="99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56" t="s">
        <v>28</v>
      </c>
      <c r="B18" s="56" t="s">
        <v>127</v>
      </c>
      <c r="C18" s="57">
        <v>0.85416666666666663</v>
      </c>
      <c r="D18" s="56" t="s">
        <v>30</v>
      </c>
      <c r="E18" s="58"/>
      <c r="F18" s="56" t="s">
        <v>39</v>
      </c>
      <c r="G18" s="105"/>
      <c r="H18" s="59" t="s">
        <v>127</v>
      </c>
      <c r="I18" s="60">
        <v>0.23810000000000001</v>
      </c>
      <c r="J18" s="61">
        <v>40</v>
      </c>
      <c r="K18" s="62" t="s">
        <v>36</v>
      </c>
      <c r="L18" s="61">
        <v>15</v>
      </c>
      <c r="M18" s="61">
        <v>0</v>
      </c>
      <c r="N18" s="61">
        <v>7</v>
      </c>
      <c r="O18" s="63" t="s">
        <v>37</v>
      </c>
      <c r="P18" s="64">
        <v>0.85416666666666663</v>
      </c>
      <c r="Q18" s="61">
        <v>168</v>
      </c>
      <c r="R18" s="65" t="s">
        <v>131</v>
      </c>
    </row>
    <row r="19" spans="1:18" ht="17.399999999999999" customHeight="1" thickBot="1" x14ac:dyDescent="0.35">
      <c r="A19" s="127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9"/>
    </row>
    <row r="20" spans="1:18" ht="22.05" customHeight="1" thickTop="1" thickBot="1" x14ac:dyDescent="0.35">
      <c r="A20" s="97" t="s">
        <v>8</v>
      </c>
      <c r="B20" s="98"/>
      <c r="C20" s="98"/>
      <c r="D20" s="98"/>
      <c r="E20" s="98"/>
      <c r="F20" s="99"/>
      <c r="G20" s="18">
        <v>46001</v>
      </c>
      <c r="H20" s="100" t="s">
        <v>9</v>
      </c>
      <c r="I20" s="98"/>
      <c r="J20" s="98"/>
      <c r="K20" s="98"/>
      <c r="L20" s="98"/>
      <c r="M20" s="98"/>
      <c r="N20" s="98"/>
      <c r="O20" s="98"/>
      <c r="P20" s="98"/>
      <c r="Q20" s="98"/>
      <c r="R20" s="99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7" t="s">
        <v>28</v>
      </c>
      <c r="B22" s="87" t="s">
        <v>127</v>
      </c>
      <c r="C22" s="88">
        <v>2.0833333333333329E-2</v>
      </c>
      <c r="D22" s="87" t="s">
        <v>30</v>
      </c>
      <c r="E22" s="89"/>
      <c r="F22" s="87" t="s">
        <v>35</v>
      </c>
      <c r="G22" s="105"/>
      <c r="H22" s="90" t="s">
        <v>127</v>
      </c>
      <c r="I22" s="91">
        <v>0.34520000000000001</v>
      </c>
      <c r="J22" s="92">
        <v>58</v>
      </c>
      <c r="K22" s="93" t="s">
        <v>36</v>
      </c>
      <c r="L22" s="92">
        <v>27</v>
      </c>
      <c r="M22" s="92">
        <v>0</v>
      </c>
      <c r="N22" s="92">
        <v>1</v>
      </c>
      <c r="O22" s="94" t="s">
        <v>37</v>
      </c>
      <c r="P22" s="95">
        <v>2.0833333333333329E-2</v>
      </c>
      <c r="Q22" s="92">
        <v>168</v>
      </c>
      <c r="R22" s="96" t="s">
        <v>132</v>
      </c>
    </row>
    <row r="23" spans="1:18" ht="17.399999999999999" customHeight="1" thickBot="1" x14ac:dyDescent="0.35">
      <c r="A23" s="127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9"/>
    </row>
    <row r="24" spans="1:18" ht="22.05" customHeight="1" thickTop="1" thickBot="1" x14ac:dyDescent="0.35">
      <c r="A24" s="97" t="s">
        <v>8</v>
      </c>
      <c r="B24" s="98"/>
      <c r="C24" s="98"/>
      <c r="D24" s="98"/>
      <c r="E24" s="98"/>
      <c r="F24" s="99"/>
      <c r="G24" s="18">
        <v>46004</v>
      </c>
      <c r="H24" s="100" t="s">
        <v>9</v>
      </c>
      <c r="I24" s="98"/>
      <c r="J24" s="98"/>
      <c r="K24" s="98"/>
      <c r="L24" s="98"/>
      <c r="M24" s="98"/>
      <c r="N24" s="98"/>
      <c r="O24" s="98"/>
      <c r="P24" s="98"/>
      <c r="Q24" s="98"/>
      <c r="R24" s="99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8" t="s">
        <v>28</v>
      </c>
      <c r="B26" s="8" t="s">
        <v>127</v>
      </c>
      <c r="C26" s="9">
        <v>0.85416666666666663</v>
      </c>
      <c r="D26" s="8" t="s">
        <v>30</v>
      </c>
      <c r="E26" s="10"/>
      <c r="F26" s="8" t="s">
        <v>39</v>
      </c>
      <c r="G26" s="101"/>
      <c r="H26" s="11" t="s">
        <v>127</v>
      </c>
      <c r="I26" s="86">
        <v>1.1900000000000001E-2</v>
      </c>
      <c r="J26" s="13">
        <v>2</v>
      </c>
      <c r="K26" s="14" t="s">
        <v>36</v>
      </c>
      <c r="L26" s="13">
        <v>2</v>
      </c>
      <c r="M26" s="13">
        <v>0</v>
      </c>
      <c r="N26" s="13">
        <v>1</v>
      </c>
      <c r="O26" s="15" t="s">
        <v>51</v>
      </c>
      <c r="P26" s="16">
        <v>0.85416666666666663</v>
      </c>
      <c r="Q26" s="13">
        <v>168</v>
      </c>
      <c r="R26" s="17" t="s">
        <v>133</v>
      </c>
    </row>
    <row r="27" spans="1:18" ht="17.399999999999999" customHeight="1" thickBot="1" x14ac:dyDescent="0.35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9"/>
    </row>
    <row r="28" spans="1:18" ht="22.05" customHeight="1" thickTop="1" thickBot="1" x14ac:dyDescent="0.35">
      <c r="A28" s="97" t="s">
        <v>8</v>
      </c>
      <c r="B28" s="98"/>
      <c r="C28" s="98"/>
      <c r="D28" s="98"/>
      <c r="E28" s="98"/>
      <c r="F28" s="99"/>
      <c r="G28" s="18">
        <v>46008</v>
      </c>
      <c r="H28" s="100" t="s">
        <v>9</v>
      </c>
      <c r="I28" s="98"/>
      <c r="J28" s="98"/>
      <c r="K28" s="98"/>
      <c r="L28" s="98"/>
      <c r="M28" s="98"/>
      <c r="N28" s="98"/>
      <c r="O28" s="98"/>
      <c r="P28" s="98"/>
      <c r="Q28" s="98"/>
      <c r="R28" s="99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66" t="s">
        <v>28</v>
      </c>
      <c r="B30" s="66" t="s">
        <v>127</v>
      </c>
      <c r="C30" s="67">
        <v>2.0833333333333329E-2</v>
      </c>
      <c r="D30" s="66" t="s">
        <v>30</v>
      </c>
      <c r="E30" s="68"/>
      <c r="F30" s="66" t="s">
        <v>39</v>
      </c>
      <c r="G30" s="105"/>
      <c r="H30" s="69" t="s">
        <v>127</v>
      </c>
      <c r="I30" s="70">
        <v>7.1400000000000005E-2</v>
      </c>
      <c r="J30" s="71">
        <v>12</v>
      </c>
      <c r="K30" s="72" t="s">
        <v>40</v>
      </c>
      <c r="L30" s="71">
        <v>2</v>
      </c>
      <c r="M30" s="71">
        <v>0</v>
      </c>
      <c r="N30" s="71">
        <v>0</v>
      </c>
      <c r="O30" s="73" t="s">
        <v>94</v>
      </c>
      <c r="P30" s="74">
        <v>2.0833333333333329E-2</v>
      </c>
      <c r="Q30" s="71">
        <v>168</v>
      </c>
      <c r="R30" s="75" t="s">
        <v>134</v>
      </c>
    </row>
    <row r="31" spans="1:18" ht="17.399999999999999" customHeight="1" thickBot="1" x14ac:dyDescent="0.35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9"/>
    </row>
    <row r="32" spans="1:18" ht="22.05" customHeight="1" thickTop="1" thickBot="1" x14ac:dyDescent="0.35">
      <c r="A32" s="97" t="s">
        <v>8</v>
      </c>
      <c r="B32" s="98"/>
      <c r="C32" s="98"/>
      <c r="D32" s="98"/>
      <c r="E32" s="98"/>
      <c r="F32" s="99"/>
      <c r="G32" s="18">
        <v>46011</v>
      </c>
      <c r="H32" s="100" t="s">
        <v>9</v>
      </c>
      <c r="I32" s="98"/>
      <c r="J32" s="98"/>
      <c r="K32" s="98"/>
      <c r="L32" s="98"/>
      <c r="M32" s="98"/>
      <c r="N32" s="98"/>
      <c r="O32" s="98"/>
      <c r="P32" s="98"/>
      <c r="Q32" s="98"/>
      <c r="R32" s="99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87" t="s">
        <v>28</v>
      </c>
      <c r="B34" s="87" t="s">
        <v>127</v>
      </c>
      <c r="C34" s="88">
        <v>0.85416666666666663</v>
      </c>
      <c r="D34" s="87" t="s">
        <v>30</v>
      </c>
      <c r="E34" s="89"/>
      <c r="F34" s="87" t="s">
        <v>39</v>
      </c>
      <c r="G34" s="101"/>
      <c r="H34" s="90" t="s">
        <v>127</v>
      </c>
      <c r="I34" s="91">
        <v>7.1400000000000005E-2</v>
      </c>
      <c r="J34" s="92">
        <v>12</v>
      </c>
      <c r="K34" s="93" t="s">
        <v>40</v>
      </c>
      <c r="L34" s="92">
        <v>3</v>
      </c>
      <c r="M34" s="92">
        <v>0</v>
      </c>
      <c r="N34" s="92">
        <v>0</v>
      </c>
      <c r="O34" s="94" t="s">
        <v>94</v>
      </c>
      <c r="P34" s="95">
        <v>0.85416666666666663</v>
      </c>
      <c r="Q34" s="92">
        <v>168</v>
      </c>
      <c r="R34" s="96" t="s">
        <v>134</v>
      </c>
    </row>
    <row r="35" spans="1:18" ht="17.399999999999999" customHeight="1" thickBot="1" x14ac:dyDescent="0.35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9"/>
    </row>
    <row r="36" spans="1:18" ht="22.05" customHeight="1" thickTop="1" thickBot="1" x14ac:dyDescent="0.35">
      <c r="A36" s="97" t="s">
        <v>8</v>
      </c>
      <c r="B36" s="98"/>
      <c r="C36" s="98"/>
      <c r="D36" s="98"/>
      <c r="E36" s="98"/>
      <c r="F36" s="99"/>
      <c r="G36" s="18">
        <v>46015</v>
      </c>
      <c r="H36" s="100" t="s">
        <v>9</v>
      </c>
      <c r="I36" s="98"/>
      <c r="J36" s="98"/>
      <c r="K36" s="98"/>
      <c r="L36" s="98"/>
      <c r="M36" s="98"/>
      <c r="N36" s="98"/>
      <c r="O36" s="98"/>
      <c r="P36" s="98"/>
      <c r="Q36" s="98"/>
      <c r="R36" s="99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5">
      <c r="A38" s="26" t="s">
        <v>28</v>
      </c>
      <c r="B38" s="26" t="s">
        <v>127</v>
      </c>
      <c r="C38" s="27">
        <v>2.0833333333333329E-2</v>
      </c>
      <c r="D38" s="26" t="s">
        <v>30</v>
      </c>
      <c r="E38" s="28"/>
      <c r="F38" s="26" t="s">
        <v>39</v>
      </c>
      <c r="G38" s="101"/>
      <c r="H38" s="29" t="s">
        <v>127</v>
      </c>
      <c r="I38" s="30">
        <v>7.1400000000000005E-2</v>
      </c>
      <c r="J38" s="31">
        <v>12</v>
      </c>
      <c r="K38" s="32" t="s">
        <v>40</v>
      </c>
      <c r="L38" s="31">
        <v>4</v>
      </c>
      <c r="M38" s="31">
        <v>0</v>
      </c>
      <c r="N38" s="31">
        <v>0</v>
      </c>
      <c r="O38" s="33" t="s">
        <v>114</v>
      </c>
      <c r="P38" s="34">
        <v>2.0833333333333329E-2</v>
      </c>
      <c r="Q38" s="31">
        <v>168</v>
      </c>
      <c r="R38" s="35" t="s">
        <v>135</v>
      </c>
    </row>
    <row r="39" spans="1:18" ht="17.399999999999999" customHeight="1" thickBot="1" x14ac:dyDescent="0.35">
      <c r="A39" s="127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9"/>
    </row>
    <row r="40" spans="1:18" ht="15" thickTop="1" x14ac:dyDescent="0.3"/>
  </sheetData>
  <mergeCells count="43">
    <mergeCell ref="A39:R39"/>
    <mergeCell ref="A15:R15"/>
    <mergeCell ref="H12:R12"/>
    <mergeCell ref="A36:F36"/>
    <mergeCell ref="G34"/>
    <mergeCell ref="G30"/>
    <mergeCell ref="H24:R24"/>
    <mergeCell ref="G14"/>
    <mergeCell ref="G38"/>
    <mergeCell ref="A31:R31"/>
    <mergeCell ref="G10"/>
    <mergeCell ref="H28:R28"/>
    <mergeCell ref="G6"/>
    <mergeCell ref="G18"/>
    <mergeCell ref="A24:F24"/>
    <mergeCell ref="A11:R11"/>
    <mergeCell ref="H36:R36"/>
    <mergeCell ref="A35:R35"/>
    <mergeCell ref="N1:R1"/>
    <mergeCell ref="A28:F28"/>
    <mergeCell ref="A19:R19"/>
    <mergeCell ref="H16:R16"/>
    <mergeCell ref="K2:R2"/>
    <mergeCell ref="H32:R32"/>
    <mergeCell ref="A32:F32"/>
    <mergeCell ref="A8:F8"/>
    <mergeCell ref="G2:J2"/>
    <mergeCell ref="A4:F4"/>
    <mergeCell ref="A23:R23"/>
    <mergeCell ref="A20:F20"/>
    <mergeCell ref="H1:L1"/>
    <mergeCell ref="A1:E1"/>
    <mergeCell ref="A12:F12"/>
    <mergeCell ref="A27:R27"/>
    <mergeCell ref="H4:R4"/>
    <mergeCell ref="G22"/>
    <mergeCell ref="A2:F2"/>
    <mergeCell ref="A3:R3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1"/>
  <sheetViews>
    <sheetView workbookViewId="0"/>
  </sheetViews>
  <sheetFormatPr defaultRowHeight="15.6" outlineLevelCol="1" x14ac:dyDescent="0.3"/>
  <cols>
    <col min="1" max="1" width="11.5546875" style="114" bestFit="1" customWidth="1"/>
    <col min="2" max="2" width="10.44140625" style="114" bestFit="1" customWidth="1"/>
    <col min="3" max="3" width="6.77734375" style="114" bestFit="1" customWidth="1"/>
    <col min="4" max="4" width="5.5546875" style="114" bestFit="1" customWidth="1"/>
    <col min="5" max="5" width="8.109375" style="114" bestFit="1" customWidth="1"/>
    <col min="6" max="6" width="4.21875" style="114" bestFit="1" customWidth="1"/>
    <col min="7" max="7" width="10" style="114" bestFit="1" customWidth="1"/>
    <col min="8" max="8" width="8.5546875" style="114" bestFit="1" customWidth="1"/>
    <col min="9" max="10" width="7" style="114" bestFit="1" customWidth="1"/>
    <col min="11" max="11" width="10.5546875" style="114" bestFit="1" customWidth="1"/>
    <col min="12" max="12" width="18.109375" style="114" bestFit="1" customWidth="1"/>
    <col min="13" max="13" width="7.6640625" style="114" bestFit="1" customWidth="1" outlineLevel="1"/>
    <col min="14" max="14" width="6.33203125" style="114" bestFit="1" customWidth="1" outlineLevel="1"/>
    <col min="15" max="15" width="8" style="114" bestFit="1" customWidth="1" outlineLevel="1"/>
    <col min="16" max="16" width="13.6640625" style="114" bestFit="1" customWidth="1"/>
    <col min="17" max="26" width="3.88671875" style="114" bestFit="1" customWidth="1"/>
    <col min="27" max="27" width="4" style="114" bestFit="1" customWidth="1"/>
    <col min="28" max="29" width="3.88671875" style="114" bestFit="1" customWidth="1"/>
    <col min="30" max="31" width="4.5546875" style="114" bestFit="1" customWidth="1"/>
    <col min="32" max="36" width="3.88671875" style="114" bestFit="1" customWidth="1"/>
    <col min="37" max="16384" width="8.88671875" style="114"/>
  </cols>
  <sheetData>
    <row r="1" spans="1:36" x14ac:dyDescent="0.3">
      <c r="A1" s="113" t="s">
        <v>59</v>
      </c>
      <c r="B1" s="113" t="s">
        <v>60</v>
      </c>
      <c r="C1" s="113" t="s">
        <v>61</v>
      </c>
      <c r="D1" s="113" t="s">
        <v>25</v>
      </c>
      <c r="E1" s="113" t="s">
        <v>62</v>
      </c>
      <c r="F1" s="113" t="s">
        <v>63</v>
      </c>
      <c r="G1" s="113" t="s">
        <v>18</v>
      </c>
      <c r="H1" s="113" t="s">
        <v>64</v>
      </c>
      <c r="I1" s="113" t="s">
        <v>65</v>
      </c>
      <c r="J1" s="113" t="s">
        <v>66</v>
      </c>
      <c r="K1" s="113" t="s">
        <v>67</v>
      </c>
      <c r="L1" s="113" t="s">
        <v>20</v>
      </c>
      <c r="M1" s="113" t="s">
        <v>22</v>
      </c>
      <c r="N1" s="113" t="s">
        <v>23</v>
      </c>
      <c r="O1" s="113" t="s">
        <v>21</v>
      </c>
      <c r="P1" s="113" t="s">
        <v>24</v>
      </c>
      <c r="Q1" s="113" t="s">
        <v>68</v>
      </c>
      <c r="R1" s="113" t="s">
        <v>69</v>
      </c>
      <c r="S1" s="113" t="s">
        <v>70</v>
      </c>
      <c r="T1" s="113" t="s">
        <v>71</v>
      </c>
      <c r="U1" s="113" t="s">
        <v>72</v>
      </c>
      <c r="V1" s="113" t="s">
        <v>73</v>
      </c>
      <c r="W1" s="113" t="s">
        <v>74</v>
      </c>
      <c r="X1" s="113" t="s">
        <v>75</v>
      </c>
      <c r="Y1" s="113" t="s">
        <v>76</v>
      </c>
      <c r="Z1" s="113" t="s">
        <v>77</v>
      </c>
      <c r="AA1" s="113" t="s">
        <v>78</v>
      </c>
      <c r="AB1" s="113" t="s">
        <v>79</v>
      </c>
      <c r="AC1" s="113" t="s">
        <v>80</v>
      </c>
      <c r="AD1" s="113" t="s">
        <v>81</v>
      </c>
      <c r="AE1" s="113" t="s">
        <v>82</v>
      </c>
      <c r="AF1" s="113" t="s">
        <v>83</v>
      </c>
      <c r="AG1" s="113" t="s">
        <v>84</v>
      </c>
      <c r="AH1" s="113" t="s">
        <v>85</v>
      </c>
      <c r="AI1" s="113" t="s">
        <v>86</v>
      </c>
      <c r="AJ1" s="113" t="s">
        <v>87</v>
      </c>
    </row>
    <row r="2" spans="1:36" x14ac:dyDescent="0.3">
      <c r="A2" s="115" t="s">
        <v>136</v>
      </c>
      <c r="B2" s="116">
        <v>45987</v>
      </c>
      <c r="C2" s="117" t="s">
        <v>127</v>
      </c>
      <c r="D2" s="118" t="s">
        <v>137</v>
      </c>
      <c r="E2" s="117" t="s">
        <v>126</v>
      </c>
      <c r="F2" s="117" t="s">
        <v>90</v>
      </c>
      <c r="G2" s="119">
        <v>0.48809999999999998</v>
      </c>
      <c r="H2" s="120">
        <v>168</v>
      </c>
      <c r="I2" s="120">
        <v>82</v>
      </c>
      <c r="J2" s="120">
        <v>0</v>
      </c>
      <c r="K2" s="117" t="s">
        <v>91</v>
      </c>
      <c r="L2" s="121" t="s">
        <v>36</v>
      </c>
      <c r="M2" s="120">
        <v>0</v>
      </c>
      <c r="N2" s="120">
        <v>6</v>
      </c>
      <c r="O2" s="120">
        <v>53</v>
      </c>
      <c r="P2" s="117" t="s">
        <v>51</v>
      </c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20" t="s">
        <v>117</v>
      </c>
      <c r="AB2" s="113"/>
      <c r="AC2" s="120" t="s">
        <v>114</v>
      </c>
      <c r="AD2" s="120" t="s">
        <v>138</v>
      </c>
      <c r="AE2" s="120" t="s">
        <v>139</v>
      </c>
      <c r="AF2" s="113"/>
      <c r="AG2" s="113"/>
      <c r="AH2" s="113"/>
      <c r="AI2" s="113"/>
      <c r="AJ2" s="113"/>
    </row>
    <row r="3" spans="1:36" x14ac:dyDescent="0.3">
      <c r="A3" s="115" t="s">
        <v>104</v>
      </c>
      <c r="B3" s="116">
        <v>45990</v>
      </c>
      <c r="C3" s="117" t="s">
        <v>127</v>
      </c>
      <c r="D3" s="118" t="s">
        <v>140</v>
      </c>
      <c r="E3" s="117" t="s">
        <v>126</v>
      </c>
      <c r="F3" s="117" t="s">
        <v>90</v>
      </c>
      <c r="G3" s="119">
        <v>0.29759999999999998</v>
      </c>
      <c r="H3" s="120">
        <v>168</v>
      </c>
      <c r="I3" s="120">
        <v>50</v>
      </c>
      <c r="J3" s="120">
        <v>0</v>
      </c>
      <c r="K3" s="117" t="s">
        <v>91</v>
      </c>
      <c r="L3" s="121" t="s">
        <v>36</v>
      </c>
      <c r="M3" s="120">
        <v>0</v>
      </c>
      <c r="N3" s="120">
        <v>1</v>
      </c>
      <c r="O3" s="120">
        <v>19</v>
      </c>
      <c r="P3" s="117" t="s">
        <v>123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20" t="s">
        <v>117</v>
      </c>
      <c r="AB3" s="113"/>
      <c r="AC3" s="113"/>
      <c r="AD3" s="120" t="s">
        <v>141</v>
      </c>
      <c r="AE3" s="120" t="s">
        <v>142</v>
      </c>
      <c r="AF3" s="113"/>
      <c r="AG3" s="113"/>
      <c r="AH3" s="113"/>
      <c r="AI3" s="113"/>
      <c r="AJ3" s="113"/>
    </row>
    <row r="4" spans="1:36" x14ac:dyDescent="0.3">
      <c r="A4" s="115" t="s">
        <v>136</v>
      </c>
      <c r="B4" s="116">
        <v>45994</v>
      </c>
      <c r="C4" s="117" t="s">
        <v>127</v>
      </c>
      <c r="D4" s="118" t="s">
        <v>137</v>
      </c>
      <c r="E4" s="117" t="s">
        <v>126</v>
      </c>
      <c r="F4" s="117" t="s">
        <v>90</v>
      </c>
      <c r="G4" s="119">
        <v>0.24399999999999999</v>
      </c>
      <c r="H4" s="120">
        <v>168</v>
      </c>
      <c r="I4" s="120">
        <v>41</v>
      </c>
      <c r="J4" s="120">
        <v>0</v>
      </c>
      <c r="K4" s="117" t="s">
        <v>91</v>
      </c>
      <c r="L4" s="121" t="s">
        <v>36</v>
      </c>
      <c r="M4" s="120">
        <v>0</v>
      </c>
      <c r="N4" s="120">
        <v>2</v>
      </c>
      <c r="O4" s="120">
        <v>16</v>
      </c>
      <c r="P4" s="117" t="s">
        <v>51</v>
      </c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20" t="s">
        <v>143</v>
      </c>
      <c r="AD4" s="120" t="s">
        <v>51</v>
      </c>
      <c r="AE4" s="120" t="s">
        <v>142</v>
      </c>
      <c r="AF4" s="113"/>
      <c r="AG4" s="113"/>
      <c r="AH4" s="113"/>
      <c r="AI4" s="113"/>
      <c r="AJ4" s="113"/>
    </row>
    <row r="5" spans="1:36" x14ac:dyDescent="0.3">
      <c r="A5" s="115" t="s">
        <v>104</v>
      </c>
      <c r="B5" s="116">
        <v>45997</v>
      </c>
      <c r="C5" s="117" t="s">
        <v>127</v>
      </c>
      <c r="D5" s="118" t="s">
        <v>140</v>
      </c>
      <c r="E5" s="117" t="s">
        <v>126</v>
      </c>
      <c r="F5" s="117" t="s">
        <v>90</v>
      </c>
      <c r="G5" s="119">
        <v>0.23810000000000001</v>
      </c>
      <c r="H5" s="120">
        <v>168</v>
      </c>
      <c r="I5" s="120">
        <v>40</v>
      </c>
      <c r="J5" s="120">
        <v>0</v>
      </c>
      <c r="K5" s="117" t="s">
        <v>91</v>
      </c>
      <c r="L5" s="121" t="s">
        <v>36</v>
      </c>
      <c r="M5" s="120">
        <v>0</v>
      </c>
      <c r="N5" s="120">
        <v>7</v>
      </c>
      <c r="O5" s="120">
        <v>15</v>
      </c>
      <c r="P5" s="117" t="s">
        <v>37</v>
      </c>
      <c r="Q5" s="113"/>
      <c r="R5" s="113"/>
      <c r="S5" s="113"/>
      <c r="T5" s="113"/>
      <c r="U5" s="113"/>
      <c r="V5" s="113"/>
      <c r="W5" s="113"/>
      <c r="X5" s="113"/>
      <c r="Y5" s="113"/>
      <c r="Z5" s="120" t="s">
        <v>106</v>
      </c>
      <c r="AA5" s="113"/>
      <c r="AB5" s="113"/>
      <c r="AC5" s="113"/>
      <c r="AD5" s="120" t="s">
        <v>144</v>
      </c>
      <c r="AE5" s="120" t="s">
        <v>145</v>
      </c>
      <c r="AF5" s="113"/>
      <c r="AG5" s="113"/>
      <c r="AH5" s="113"/>
      <c r="AI5" s="113"/>
      <c r="AJ5" s="113"/>
    </row>
    <row r="6" spans="1:36" x14ac:dyDescent="0.3">
      <c r="A6" s="115" t="s">
        <v>136</v>
      </c>
      <c r="B6" s="116">
        <v>46001</v>
      </c>
      <c r="C6" s="117" t="s">
        <v>127</v>
      </c>
      <c r="D6" s="118" t="s">
        <v>137</v>
      </c>
      <c r="E6" s="117" t="s">
        <v>126</v>
      </c>
      <c r="F6" s="117" t="s">
        <v>90</v>
      </c>
      <c r="G6" s="119">
        <v>0.34520000000000001</v>
      </c>
      <c r="H6" s="120">
        <v>168</v>
      </c>
      <c r="I6" s="120">
        <v>58</v>
      </c>
      <c r="J6" s="120">
        <v>0</v>
      </c>
      <c r="K6" s="117" t="s">
        <v>91</v>
      </c>
      <c r="L6" s="121" t="s">
        <v>36</v>
      </c>
      <c r="M6" s="120">
        <v>0</v>
      </c>
      <c r="N6" s="120">
        <v>1</v>
      </c>
      <c r="O6" s="120">
        <v>27</v>
      </c>
      <c r="P6" s="117" t="s">
        <v>37</v>
      </c>
      <c r="Q6" s="113"/>
      <c r="R6" s="113"/>
      <c r="S6" s="113"/>
      <c r="T6" s="113"/>
      <c r="U6" s="113"/>
      <c r="V6" s="113"/>
      <c r="W6" s="113"/>
      <c r="X6" s="113"/>
      <c r="Y6" s="113"/>
      <c r="Z6" s="120" t="s">
        <v>106</v>
      </c>
      <c r="AA6" s="113"/>
      <c r="AB6" s="113"/>
      <c r="AC6" s="120" t="s">
        <v>114</v>
      </c>
      <c r="AD6" s="120" t="s">
        <v>125</v>
      </c>
      <c r="AE6" s="120" t="s">
        <v>146</v>
      </c>
      <c r="AF6" s="113"/>
      <c r="AG6" s="113"/>
      <c r="AH6" s="113"/>
      <c r="AI6" s="113"/>
      <c r="AJ6" s="113"/>
    </row>
    <row r="7" spans="1:36" x14ac:dyDescent="0.3">
      <c r="A7" s="115" t="s">
        <v>104</v>
      </c>
      <c r="B7" s="116">
        <v>46004</v>
      </c>
      <c r="C7" s="117" t="s">
        <v>127</v>
      </c>
      <c r="D7" s="118" t="s">
        <v>140</v>
      </c>
      <c r="E7" s="117" t="s">
        <v>126</v>
      </c>
      <c r="F7" s="117" t="s">
        <v>90</v>
      </c>
      <c r="G7" s="119">
        <v>1.1900000000000001E-2</v>
      </c>
      <c r="H7" s="120">
        <v>168</v>
      </c>
      <c r="I7" s="120">
        <v>2</v>
      </c>
      <c r="J7" s="120">
        <v>0</v>
      </c>
      <c r="K7" s="117" t="s">
        <v>91</v>
      </c>
      <c r="L7" s="121" t="s">
        <v>36</v>
      </c>
      <c r="M7" s="120">
        <v>0</v>
      </c>
      <c r="N7" s="120">
        <v>1</v>
      </c>
      <c r="O7" s="120">
        <v>2</v>
      </c>
      <c r="P7" s="117" t="s">
        <v>51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20" t="s">
        <v>133</v>
      </c>
      <c r="AE7" s="113"/>
      <c r="AF7" s="113"/>
      <c r="AG7" s="113"/>
      <c r="AH7" s="113"/>
      <c r="AI7" s="113"/>
      <c r="AJ7" s="113"/>
    </row>
    <row r="8" spans="1:36" x14ac:dyDescent="0.3">
      <c r="A8" s="115" t="s">
        <v>136</v>
      </c>
      <c r="B8" s="116">
        <v>46008</v>
      </c>
      <c r="C8" s="117" t="s">
        <v>127</v>
      </c>
      <c r="D8" s="118" t="s">
        <v>137</v>
      </c>
      <c r="E8" s="117" t="s">
        <v>126</v>
      </c>
      <c r="F8" s="117" t="s">
        <v>90</v>
      </c>
      <c r="G8" s="119">
        <v>7.1400000000000005E-2</v>
      </c>
      <c r="H8" s="120">
        <v>168</v>
      </c>
      <c r="I8" s="120">
        <v>12</v>
      </c>
      <c r="J8" s="120">
        <v>0</v>
      </c>
      <c r="K8" s="117" t="s">
        <v>91</v>
      </c>
      <c r="L8" s="121" t="s">
        <v>40</v>
      </c>
      <c r="M8" s="120">
        <v>0</v>
      </c>
      <c r="N8" s="120">
        <v>0</v>
      </c>
      <c r="O8" s="120">
        <v>2</v>
      </c>
      <c r="P8" s="117" t="s">
        <v>94</v>
      </c>
      <c r="Q8" s="113"/>
      <c r="R8" s="113"/>
      <c r="S8" s="113"/>
      <c r="T8" s="113"/>
      <c r="U8" s="113"/>
      <c r="V8" s="113"/>
      <c r="W8" s="113"/>
      <c r="X8" s="113"/>
      <c r="Y8" s="113"/>
      <c r="Z8" s="120" t="s">
        <v>100</v>
      </c>
      <c r="AA8" s="113"/>
      <c r="AB8" s="113"/>
      <c r="AC8" s="120" t="s">
        <v>147</v>
      </c>
      <c r="AD8" s="120" t="s">
        <v>119</v>
      </c>
      <c r="AE8" s="120" t="s">
        <v>118</v>
      </c>
      <c r="AF8" s="113"/>
      <c r="AG8" s="113"/>
      <c r="AH8" s="113"/>
      <c r="AI8" s="113"/>
      <c r="AJ8" s="113"/>
    </row>
    <row r="9" spans="1:36" x14ac:dyDescent="0.3">
      <c r="A9" s="115" t="s">
        <v>104</v>
      </c>
      <c r="B9" s="116">
        <v>46011</v>
      </c>
      <c r="C9" s="117" t="s">
        <v>127</v>
      </c>
      <c r="D9" s="118" t="s">
        <v>140</v>
      </c>
      <c r="E9" s="117" t="s">
        <v>126</v>
      </c>
      <c r="F9" s="117" t="s">
        <v>90</v>
      </c>
      <c r="G9" s="119">
        <v>7.1400000000000005E-2</v>
      </c>
      <c r="H9" s="120">
        <v>168</v>
      </c>
      <c r="I9" s="120">
        <v>12</v>
      </c>
      <c r="J9" s="120">
        <v>0</v>
      </c>
      <c r="K9" s="117" t="s">
        <v>91</v>
      </c>
      <c r="L9" s="121" t="s">
        <v>40</v>
      </c>
      <c r="M9" s="120">
        <v>0</v>
      </c>
      <c r="N9" s="120">
        <v>0</v>
      </c>
      <c r="O9" s="120">
        <v>3</v>
      </c>
      <c r="P9" s="117" t="s">
        <v>94</v>
      </c>
      <c r="Q9" s="113"/>
      <c r="R9" s="113"/>
      <c r="S9" s="113"/>
      <c r="T9" s="113"/>
      <c r="U9" s="113"/>
      <c r="V9" s="113"/>
      <c r="W9" s="113"/>
      <c r="X9" s="113"/>
      <c r="Y9" s="113"/>
      <c r="Z9" s="120" t="s">
        <v>100</v>
      </c>
      <c r="AA9" s="113"/>
      <c r="AB9" s="113"/>
      <c r="AC9" s="120" t="s">
        <v>147</v>
      </c>
      <c r="AD9" s="120" t="s">
        <v>119</v>
      </c>
      <c r="AE9" s="120" t="s">
        <v>118</v>
      </c>
      <c r="AF9" s="113"/>
      <c r="AG9" s="113"/>
      <c r="AH9" s="113"/>
      <c r="AI9" s="113"/>
      <c r="AJ9" s="113"/>
    </row>
    <row r="10" spans="1:36" x14ac:dyDescent="0.3">
      <c r="A10" s="115" t="s">
        <v>136</v>
      </c>
      <c r="B10" s="116">
        <v>46015</v>
      </c>
      <c r="C10" s="117" t="s">
        <v>127</v>
      </c>
      <c r="D10" s="118" t="s">
        <v>137</v>
      </c>
      <c r="E10" s="117" t="s">
        <v>126</v>
      </c>
      <c r="F10" s="117" t="s">
        <v>90</v>
      </c>
      <c r="G10" s="119">
        <v>7.1400000000000005E-2</v>
      </c>
      <c r="H10" s="120">
        <v>168</v>
      </c>
      <c r="I10" s="120">
        <v>12</v>
      </c>
      <c r="J10" s="120">
        <v>0</v>
      </c>
      <c r="K10" s="117" t="s">
        <v>91</v>
      </c>
      <c r="L10" s="121" t="s">
        <v>40</v>
      </c>
      <c r="M10" s="120">
        <v>0</v>
      </c>
      <c r="N10" s="120">
        <v>0</v>
      </c>
      <c r="O10" s="120">
        <v>4</v>
      </c>
      <c r="P10" s="117" t="s">
        <v>114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20" t="s">
        <v>148</v>
      </c>
      <c r="AC10" s="120" t="s">
        <v>143</v>
      </c>
      <c r="AD10" s="120" t="s">
        <v>119</v>
      </c>
      <c r="AE10" s="120" t="s">
        <v>118</v>
      </c>
      <c r="AF10" s="113"/>
      <c r="AG10" s="113"/>
      <c r="AH10" s="113"/>
      <c r="AI10" s="113"/>
      <c r="AJ10" s="113"/>
    </row>
    <row r="11" spans="1:36" ht="21" x14ac:dyDescent="0.3">
      <c r="A11" s="122" t="s">
        <v>149</v>
      </c>
      <c r="B11" s="123"/>
      <c r="C11" s="122">
        <f>SUBTOTAL(103,ELQ_ATZ_LF_LEGACY[Flt])</f>
        <v>9</v>
      </c>
      <c r="D11" s="122"/>
      <c r="E11" s="122">
        <f>SUBTOTAL(103,ELQ_ATZ_LF_LEGACY[Brd-Off])</f>
        <v>9</v>
      </c>
      <c r="F11" s="122"/>
      <c r="G11" s="124">
        <f>SUBTOTAL(101,ELQ_ATZ_LF_LEGACY[LF%])</f>
        <v>0.20434444444444441</v>
      </c>
      <c r="H11" s="125">
        <f>SUBTOTAL(109,ELQ_ATZ_LF_LEGACY[CAP])</f>
        <v>1512</v>
      </c>
      <c r="I11" s="125">
        <f>SUBTOTAL(109,ELQ_ATZ_LF_LEGACY[BKG(Y)])</f>
        <v>309</v>
      </c>
      <c r="J11" s="125">
        <f>SUBTOTAL(109,ELQ_ATZ_LF_LEGACY[GRP(Y)])</f>
        <v>0</v>
      </c>
      <c r="K11" s="122"/>
      <c r="L11" s="123"/>
      <c r="M11" s="125">
        <f>SUBTOTAL(109,ELQ_ATZ_LF_LEGACY[TO-DAY])</f>
        <v>0</v>
      </c>
      <c r="N11" s="125">
        <f>SUBTOTAL(109,ELQ_ATZ_LF_LEGACY[Y-DAY])</f>
        <v>18</v>
      </c>
      <c r="O11" s="125">
        <f>SUBTOTAL(109,ELQ_ATZ_LF_LEGACY[WEEKLY])</f>
        <v>141</v>
      </c>
      <c r="P11" s="126"/>
      <c r="Q11" s="125">
        <f>SUBTOTAL(109,ELQ_ATZ_LF_LEGACY[Y])</f>
        <v>0</v>
      </c>
      <c r="R11" s="125">
        <f>SUBTOTAL(109,ELQ_ATZ_LF_LEGACY[B])</f>
        <v>0</v>
      </c>
      <c r="S11" s="125">
        <f>SUBTOTAL(109,ELQ_ATZ_LF_LEGACY[M])</f>
        <v>0</v>
      </c>
      <c r="T11" s="125">
        <f>SUBTOTAL(109,ELQ_ATZ_LF_LEGACY[H])</f>
        <v>0</v>
      </c>
      <c r="U11" s="125">
        <f>SUBTOTAL(109,ELQ_ATZ_LF_LEGACY[Q])</f>
        <v>0</v>
      </c>
      <c r="V11" s="125">
        <f>SUBTOTAL(109,ELQ_ATZ_LF_LEGACY[K])</f>
        <v>0</v>
      </c>
      <c r="W11" s="125">
        <f>SUBTOTAL(109,ELQ_ATZ_LF_LEGACY[V])</f>
        <v>0</v>
      </c>
      <c r="X11" s="125">
        <f>SUBTOTAL(109,ELQ_ATZ_LF_LEGACY[L])</f>
        <v>0</v>
      </c>
      <c r="Y11" s="125">
        <f>SUBTOTAL(109,ELQ_ATZ_LF_LEGACY[G])</f>
        <v>0</v>
      </c>
      <c r="Z11" s="125">
        <f>SUBTOTAL(109,ELQ_ATZ_LF_LEGACY[S])</f>
        <v>0</v>
      </c>
      <c r="AA11" s="125">
        <f>SUBTOTAL(109,ELQ_ATZ_LF_LEGACY[W])</f>
        <v>0</v>
      </c>
      <c r="AB11" s="125">
        <f>SUBTOTAL(109,ELQ_ATZ_LF_LEGACY[T])</f>
        <v>0</v>
      </c>
      <c r="AC11" s="125">
        <f>SUBTOTAL(109,ELQ_ATZ_LF_LEGACY[X])</f>
        <v>0</v>
      </c>
      <c r="AD11" s="125">
        <f>SUBTOTAL(109,ELQ_ATZ_LF_LEGACY[U])</f>
        <v>0</v>
      </c>
      <c r="AE11" s="125">
        <f>SUBTOTAL(109,ELQ_ATZ_LF_LEGACY[O])</f>
        <v>0</v>
      </c>
      <c r="AF11" s="125">
        <f>SUBTOTAL(109,ELQ_ATZ_LF_LEGACY[I])</f>
        <v>0</v>
      </c>
      <c r="AG11" s="125">
        <f>SUBTOTAL(109,ELQ_ATZ_LF_LEGACY[E])</f>
        <v>0</v>
      </c>
      <c r="AH11" s="125">
        <f>SUBTOTAL(109,ELQ_ATZ_LF_LEGACY[A])</f>
        <v>0</v>
      </c>
      <c r="AI11" s="125">
        <f>SUBTOTAL(109,ELQ_ATZ_LF_LEGACY[P])</f>
        <v>0</v>
      </c>
      <c r="AJ11" s="125">
        <f>SUBTOTAL(103,ELQ_ATZ_LF_LEGACY[N])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ELQ-CAI</vt:lpstr>
      <vt:lpstr>ELQ-CAI LF LEGACY</vt:lpstr>
      <vt:lpstr>ELQ-ATZ</vt:lpstr>
      <vt:lpstr>ELQ-ATZ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2025-11-23T02:30:53Z</dcterms:created>
  <dcterms:modified xsi:type="dcterms:W3CDTF">2025-11-23T02:31:00Z</dcterms:modified>
</cp:coreProperties>
</file>