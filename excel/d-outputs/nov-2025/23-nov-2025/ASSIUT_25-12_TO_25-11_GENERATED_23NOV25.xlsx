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D854FAD4-C312-447A-B0B1-5C303D8DB4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Z-RUH" sheetId="1" r:id="rId1"/>
    <sheet name="ATZ-RUH LF LEGACY" sheetId="2" r:id="rId2"/>
    <sheet name="ATZ-DMM" sheetId="3" r:id="rId3"/>
    <sheet name="ATZ-DMM LF LEGACY" sheetId="4" r:id="rId4"/>
    <sheet name="ATZ-TUU" sheetId="5" r:id="rId5"/>
    <sheet name="ATZ-TUU LF LEGACY" sheetId="6" r:id="rId6"/>
    <sheet name="ATZ-AJF" sheetId="7" r:id="rId7"/>
    <sheet name="ATZ-AJF LF LEGACY" sheetId="8" r:id="rId8"/>
    <sheet name="ATZ-AHB" sheetId="9" r:id="rId9"/>
    <sheet name="ATZ-AHB LF LEGACY" sheetId="10" r:id="rId10"/>
    <sheet name="ATZ-ELQ" sheetId="11" r:id="rId11"/>
    <sheet name="ATZ-ELQ LF LEGACY" sheetId="12" r:id="rId12"/>
    <sheet name="ATZ-JED" sheetId="13" r:id="rId13"/>
    <sheet name="ATZ-JED LF LEGACY" sheetId="14" r:id="rId14"/>
    <sheet name="ATZ-MED" sheetId="15" r:id="rId15"/>
    <sheet name="ATZ-MED LF LEGACY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6" l="1"/>
  <c r="E17" i="16"/>
  <c r="G17" i="16"/>
  <c r="H17" i="16"/>
  <c r="I17" i="16"/>
  <c r="J17" i="16"/>
  <c r="M17" i="16"/>
  <c r="N17" i="16"/>
  <c r="O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AJ17" i="16"/>
  <c r="C77" i="14"/>
  <c r="E77" i="14"/>
  <c r="G77" i="14"/>
  <c r="H77" i="14"/>
  <c r="I77" i="14"/>
  <c r="J77" i="14"/>
  <c r="M77" i="14"/>
  <c r="N77" i="14"/>
  <c r="O77" i="14"/>
  <c r="Q77" i="14"/>
  <c r="R77" i="14"/>
  <c r="S77" i="14"/>
  <c r="T77" i="14"/>
  <c r="U77" i="14"/>
  <c r="V77" i="14"/>
  <c r="W77" i="14"/>
  <c r="X77" i="14"/>
  <c r="Y77" i="14"/>
  <c r="Z77" i="14"/>
  <c r="AA77" i="14"/>
  <c r="AB77" i="14"/>
  <c r="AC77" i="14"/>
  <c r="AD77" i="14"/>
  <c r="AE77" i="14"/>
  <c r="AF77" i="14"/>
  <c r="AG77" i="14"/>
  <c r="AH77" i="14"/>
  <c r="AI77" i="14"/>
  <c r="AJ77" i="14"/>
  <c r="C11" i="12"/>
  <c r="E11" i="12"/>
  <c r="G11" i="12"/>
  <c r="H11" i="12"/>
  <c r="I11" i="12"/>
  <c r="J11" i="12"/>
  <c r="M11" i="12"/>
  <c r="N11" i="12"/>
  <c r="O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C7" i="10"/>
  <c r="E7" i="10"/>
  <c r="G7" i="10"/>
  <c r="H7" i="10"/>
  <c r="I7" i="10"/>
  <c r="J7" i="10"/>
  <c r="M7" i="10"/>
  <c r="N7" i="10"/>
  <c r="O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C7" i="8"/>
  <c r="E7" i="8"/>
  <c r="G7" i="8"/>
  <c r="H7" i="8"/>
  <c r="I7" i="8"/>
  <c r="J7" i="8"/>
  <c r="M7" i="8"/>
  <c r="N7" i="8"/>
  <c r="O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C7" i="6"/>
  <c r="E7" i="6"/>
  <c r="G7" i="6"/>
  <c r="H7" i="6"/>
  <c r="I7" i="6"/>
  <c r="J7" i="6"/>
  <c r="M7" i="6"/>
  <c r="N7" i="6"/>
  <c r="O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C12" i="4"/>
  <c r="E12" i="4"/>
  <c r="G12" i="4"/>
  <c r="H12" i="4"/>
  <c r="I12" i="4"/>
  <c r="J12" i="4"/>
  <c r="M12" i="4"/>
  <c r="N12" i="4"/>
  <c r="O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C17" i="2"/>
  <c r="E17" i="2"/>
  <c r="G17" i="2"/>
  <c r="H17" i="2"/>
  <c r="I17" i="2"/>
  <c r="J17" i="2"/>
  <c r="M17" i="2"/>
  <c r="N17" i="2"/>
  <c r="O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</calcChain>
</file>

<file path=xl/sharedStrings.xml><?xml version="1.0" encoding="utf-8"?>
<sst xmlns="http://schemas.openxmlformats.org/spreadsheetml/2006/main" count="5263" uniqueCount="523">
  <si>
    <t>COMPREHENSIVE REPORT</t>
  </si>
  <si>
    <t>ATZ-RUH</t>
  </si>
  <si>
    <t>FROM</t>
  </si>
  <si>
    <t>2025-11-23</t>
  </si>
  <si>
    <t>TO</t>
  </si>
  <si>
    <t>2025-12-26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</si>
  <si>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</si>
  <si>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</si>
  <si>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</si>
  <si>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</si>
  <si>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</si>
  <si>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</si>
  <si>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</si>
  <si>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</si>
  <si>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</si>
  <si>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</si>
  <si>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</si>
  <si>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</si>
  <si>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</si>
  <si>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</si>
  <si>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</si>
  <si>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</si>
  <si>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</si>
  <si>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</si>
  <si>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</si>
  <si>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</si>
  <si>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</si>
  <si>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</si>
  <si>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</si>
  <si>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SM463</t>
  </si>
  <si>
    <t>30KG + 7KG CABIN</t>
  </si>
  <si>
    <t>SEATS AVAILABLE</t>
  </si>
  <si>
    <t>2025-11-22 00:00:00</t>
  </si>
  <si>
    <t>V1</t>
  </si>
  <si>
    <t>H1 &amp; Q1 &amp; K17 &amp; V31 &amp; L29 &amp; S20 &amp; W20 &amp; X6 &amp; U12 &amp; O8 &amp; I2</t>
  </si>
  <si>
    <t>K1</t>
  </si>
  <si>
    <t>Q1 &amp; K19 &amp; V20 &amp; L15 &amp; G10 &amp; S20 &amp; W13 &amp; T4 &amp; X7 &amp; U11 &amp; O5</t>
  </si>
  <si>
    <t>SM465</t>
  </si>
  <si>
    <t>H9</t>
  </si>
  <si>
    <t>Y1 &amp; H4 &amp; V2 &amp; L12 &amp; G14 &amp; S26 &amp; W16 &amp; T17 &amp; X18 &amp; U32 &amp; O3</t>
  </si>
  <si>
    <t>K4</t>
  </si>
  <si>
    <t>H1 &amp; Q18 &amp; K15 &amp; V7 &amp; L1 &amp; S1 &amp; W12 &amp; T16 &amp; X12 &amp; U13 &amp; O6 &amp; I1</t>
  </si>
  <si>
    <t>V2</t>
  </si>
  <si>
    <t>K2 &amp; V7 &amp; L18 &amp; G9 &amp; S9 &amp; W13 &amp; T8 &amp; X8 &amp; U10 &amp; O5</t>
  </si>
  <si>
    <t>V7 &amp; L16 &amp; G12 &amp; S9 &amp; W8 &amp; T12 &amp; X3 &amp; U7 &amp; O12</t>
  </si>
  <si>
    <t>2025-11-23 00:00:00</t>
  </si>
  <si>
    <t>L3</t>
  </si>
  <si>
    <t>V5 &amp; L6 &amp; G9 &amp; S19 &amp; W8 &amp; T9 &amp; X10 &amp; U6 &amp; O9</t>
  </si>
  <si>
    <t>G4</t>
  </si>
  <si>
    <t>L4 &amp; G5 &amp; S20 &amp; W8 &amp; T9 &amp; X9 &amp; U10 &amp; O4</t>
  </si>
  <si>
    <t>L6</t>
  </si>
  <si>
    <t>L3 &amp; G19 &amp; S9 &amp; W7 &amp; T9 &amp; X9 &amp; U3 &amp; O13</t>
  </si>
  <si>
    <t>G2</t>
  </si>
  <si>
    <t>L1 &amp; G5 &amp; S9 &amp; W9 &amp; T8 &amp; X8 &amp; U6 &amp; O10</t>
  </si>
  <si>
    <t>LOW DEMAND</t>
  </si>
  <si>
    <t>G7</t>
  </si>
  <si>
    <t>S9 &amp; W10 &amp; T7 &amp; X11 &amp; U9 &amp; O4</t>
  </si>
  <si>
    <t>S6</t>
  </si>
  <si>
    <t>S3 &amp; W10 &amp; T7 &amp; X10 &amp; U7 &amp; O7</t>
  </si>
  <si>
    <t>W4</t>
  </si>
  <si>
    <t>W3 &amp; T9 &amp; X5 &amp; U9 &amp; O8 &amp; I1</t>
  </si>
  <si>
    <t>X2</t>
  </si>
  <si>
    <t>V1 &amp; W1 &amp; X7 &amp; U9 &amp; O3</t>
  </si>
  <si>
    <t>T5</t>
  </si>
  <si>
    <t>W1 &amp; T2 &amp; X10 &amp; U9 &amp; O3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</si>
  <si>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</si>
  <si>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</si>
  <si>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</si>
  <si>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</si>
  <si>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</si>
  <si>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</si>
  <si>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</si>
  <si>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</si>
  <si>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</si>
  <si>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</si>
  <si>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</si>
  <si>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</si>
  <si>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</si>
  <si>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</si>
  <si>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</si>
  <si>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</si>
  <si>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</si>
  <si>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</si>
  <si>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</si>
  <si>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</si>
  <si>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</si>
  <si>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</si>
  <si>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</si>
  <si>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</si>
  <si>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</si>
  <si>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</si>
  <si>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</si>
  <si>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</si>
  <si>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</si>
  <si>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</si>
  <si>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10:15</t>
  </si>
  <si>
    <t>320</t>
  </si>
  <si>
    <t>UPCOMING</t>
  </si>
  <si>
    <t>H1</t>
  </si>
  <si>
    <t>Q1</t>
  </si>
  <si>
    <t>K17</t>
  </si>
  <si>
    <t>V31</t>
  </si>
  <si>
    <t>L29</t>
  </si>
  <si>
    <t>S20</t>
  </si>
  <si>
    <t>W20</t>
  </si>
  <si>
    <t>X6</t>
  </si>
  <si>
    <t>U12</t>
  </si>
  <si>
    <t>O8</t>
  </si>
  <si>
    <t>I2</t>
  </si>
  <si>
    <t>TUESDAY</t>
  </si>
  <si>
    <t>10:20</t>
  </si>
  <si>
    <t>K19</t>
  </si>
  <si>
    <t>V20</t>
  </si>
  <si>
    <t>L15</t>
  </si>
  <si>
    <t>G10</t>
  </si>
  <si>
    <t>W13</t>
  </si>
  <si>
    <t>T4</t>
  </si>
  <si>
    <t>X7</t>
  </si>
  <si>
    <t>U11</t>
  </si>
  <si>
    <t>O5</t>
  </si>
  <si>
    <t>WEDNESDAY</t>
  </si>
  <si>
    <t>09:45</t>
  </si>
  <si>
    <t>Y1</t>
  </si>
  <si>
    <t>H4</t>
  </si>
  <si>
    <t>L12</t>
  </si>
  <si>
    <t>G14</t>
  </si>
  <si>
    <t>S26</t>
  </si>
  <si>
    <t>W16</t>
  </si>
  <si>
    <t>T17</t>
  </si>
  <si>
    <t>X18</t>
  </si>
  <si>
    <t>U32</t>
  </si>
  <si>
    <t>O3</t>
  </si>
  <si>
    <t>Q18</t>
  </si>
  <si>
    <t>K15</t>
  </si>
  <si>
    <t>V7</t>
  </si>
  <si>
    <t>L1</t>
  </si>
  <si>
    <t>S1</t>
  </si>
  <si>
    <t>W12</t>
  </si>
  <si>
    <t>T16</t>
  </si>
  <si>
    <t>X12</t>
  </si>
  <si>
    <t>U13</t>
  </si>
  <si>
    <t>O6</t>
  </si>
  <si>
    <t>I1</t>
  </si>
  <si>
    <t>K2</t>
  </si>
  <si>
    <t>L18</t>
  </si>
  <si>
    <t>G9</t>
  </si>
  <si>
    <t>S9</t>
  </si>
  <si>
    <t>T8</t>
  </si>
  <si>
    <t>X8</t>
  </si>
  <si>
    <t>U10</t>
  </si>
  <si>
    <t>L16</t>
  </si>
  <si>
    <t>G12</t>
  </si>
  <si>
    <t>W8</t>
  </si>
  <si>
    <t>T12</t>
  </si>
  <si>
    <t>X3</t>
  </si>
  <si>
    <t>U7</t>
  </si>
  <si>
    <t>O12</t>
  </si>
  <si>
    <t>V5</t>
  </si>
  <si>
    <t>S19</t>
  </si>
  <si>
    <t>T9</t>
  </si>
  <si>
    <t>X10</t>
  </si>
  <si>
    <t>U6</t>
  </si>
  <si>
    <t>O9</t>
  </si>
  <si>
    <t>L4</t>
  </si>
  <si>
    <t>G5</t>
  </si>
  <si>
    <t>X9</t>
  </si>
  <si>
    <t>O4</t>
  </si>
  <si>
    <t>G19</t>
  </si>
  <si>
    <t>W7</t>
  </si>
  <si>
    <t>U3</t>
  </si>
  <si>
    <t>O13</t>
  </si>
  <si>
    <t>W9</t>
  </si>
  <si>
    <t>O10</t>
  </si>
  <si>
    <t>W10</t>
  </si>
  <si>
    <t>T7</t>
  </si>
  <si>
    <t>X11</t>
  </si>
  <si>
    <t>U9</t>
  </si>
  <si>
    <t>S3</t>
  </si>
  <si>
    <t>O7</t>
  </si>
  <si>
    <t>W3</t>
  </si>
  <si>
    <t>X5</t>
  </si>
  <si>
    <t>W1</t>
  </si>
  <si>
    <t>T2</t>
  </si>
  <si>
    <t>ATZ-DMM</t>
  </si>
  <si>
    <t>SM437</t>
  </si>
  <si>
    <t>LAST SEATS</t>
  </si>
  <si>
    <t>Q3</t>
  </si>
  <si>
    <t>Q6 &amp; K15 &amp; V15 &amp; L15 &amp; G15 &amp; S20 &amp; W14 &amp; T18 &amp; X14 &amp; U15 &amp; O15 &amp; I14</t>
  </si>
  <si>
    <t>HIGH DEMAND</t>
  </si>
  <si>
    <t>Y2 &amp; M1 &amp; H1 &amp; Q10 &amp; K15 &amp; V10 &amp; L15 &amp; G30 &amp; S16 &amp; W19 &amp; T20 &amp; X20 &amp; U5 &amp; O4 &amp; I1</t>
  </si>
  <si>
    <t>K5</t>
  </si>
  <si>
    <t>K5 &amp; V15 &amp; L15 &amp; G29 &amp; S8 &amp; W18 &amp; T15 &amp; X15 &amp; U15 &amp; O15 &amp; I15</t>
  </si>
  <si>
    <t>Y1 &amp; B1 &amp; K6 &amp; V10 &amp; L10 &amp; G28 &amp; S2 &amp; W6 &amp; T8 &amp; X7 &amp; U4 &amp; O1 &amp; I4</t>
  </si>
  <si>
    <t>V6</t>
  </si>
  <si>
    <t>V1 &amp; L7 &amp; G7 &amp; S17 &amp; W7 &amp; T8 &amp; X7 &amp; U7 &amp; O5</t>
  </si>
  <si>
    <t>G1</t>
  </si>
  <si>
    <t>Q1 &amp; L3 &amp; G6 &amp; S8 &amp; W7 &amp; T8 &amp; X7 &amp; U7 &amp; O4</t>
  </si>
  <si>
    <t>G2 &amp; S7 &amp; W7 &amp; T6 &amp; X7 &amp; U7 &amp; O5</t>
  </si>
  <si>
    <t>S7</t>
  </si>
  <si>
    <t>S1 &amp; W7 &amp; T6 &amp; X7 &amp; U7 &amp; O4</t>
  </si>
  <si>
    <t>W1 &amp; X7 &amp; U7 &amp; O2 &amp; I1</t>
  </si>
  <si>
    <t>W5</t>
  </si>
  <si>
    <t>W2 &amp; T5 &amp; X8 &amp; U5 &amp; O5</t>
  </si>
  <si>
    <t>MONDAY</t>
  </si>
  <si>
    <t>07:00</t>
  </si>
  <si>
    <t>Q6</t>
  </si>
  <si>
    <t>V15</t>
  </si>
  <si>
    <t>G15</t>
  </si>
  <si>
    <t>W14</t>
  </si>
  <si>
    <t>T18</t>
  </si>
  <si>
    <t>X14</t>
  </si>
  <si>
    <t>U15</t>
  </si>
  <si>
    <t>O15</t>
  </si>
  <si>
    <t>I14</t>
  </si>
  <si>
    <t>FRIDAY</t>
  </si>
  <si>
    <t>01:45</t>
  </si>
  <si>
    <t>Y2</t>
  </si>
  <si>
    <t>M1</t>
  </si>
  <si>
    <t>Q10</t>
  </si>
  <si>
    <t>V10</t>
  </si>
  <si>
    <t>G30</t>
  </si>
  <si>
    <t>S16</t>
  </si>
  <si>
    <t>W19</t>
  </si>
  <si>
    <t>T20</t>
  </si>
  <si>
    <t>X20</t>
  </si>
  <si>
    <t>U5</t>
  </si>
  <si>
    <t>G29</t>
  </si>
  <si>
    <t>S8</t>
  </si>
  <si>
    <t>W18</t>
  </si>
  <si>
    <t>T15</t>
  </si>
  <si>
    <t>X15</t>
  </si>
  <si>
    <t>I15</t>
  </si>
  <si>
    <t>B1</t>
  </si>
  <si>
    <t>K6</t>
  </si>
  <si>
    <t>L10</t>
  </si>
  <si>
    <t>G28</t>
  </si>
  <si>
    <t>S2</t>
  </si>
  <si>
    <t>W6</t>
  </si>
  <si>
    <t>U4</t>
  </si>
  <si>
    <t>O1</t>
  </si>
  <si>
    <t>I4</t>
  </si>
  <si>
    <t>L7</t>
  </si>
  <si>
    <t>S17</t>
  </si>
  <si>
    <t>G6</t>
  </si>
  <si>
    <t>T6</t>
  </si>
  <si>
    <t>O2</t>
  </si>
  <si>
    <t>W2</t>
  </si>
  <si>
    <t>ATZ-TUU</t>
  </si>
  <si>
    <t>SM327</t>
  </si>
  <si>
    <t>O36 &amp; I50</t>
  </si>
  <si>
    <t>I9</t>
  </si>
  <si>
    <t>2025-11-20 00:00:00</t>
  </si>
  <si>
    <t>T4 &amp; U4 &amp; O5</t>
  </si>
  <si>
    <t>2025-11-19 00:00:00</t>
  </si>
  <si>
    <t>U5 &amp; O1</t>
  </si>
  <si>
    <t>2025-11-13 00:00:00</t>
  </si>
  <si>
    <t>09:05</t>
  </si>
  <si>
    <t>O36</t>
  </si>
  <si>
    <t>I50</t>
  </si>
  <si>
    <t>ATZ-AJF</t>
  </si>
  <si>
    <t>SM323</t>
  </si>
  <si>
    <t>X36 &amp; U14 &amp; O19 &amp; I44</t>
  </si>
  <si>
    <t>O9 &amp; I31</t>
  </si>
  <si>
    <t>O4 &amp; I6</t>
  </si>
  <si>
    <t>O1 &amp; I5</t>
  </si>
  <si>
    <t>NO BOOKINGS YET</t>
  </si>
  <si>
    <t>NIL</t>
  </si>
  <si>
    <t>11:30</t>
  </si>
  <si>
    <t>X36</t>
  </si>
  <si>
    <t>U14</t>
  </si>
  <si>
    <t>O19</t>
  </si>
  <si>
    <t>I44</t>
  </si>
  <si>
    <t>I31</t>
  </si>
  <si>
    <t>I6</t>
  </si>
  <si>
    <t>I5</t>
  </si>
  <si>
    <t>ATZ-AHB</t>
  </si>
  <si>
    <t>SM445</t>
  </si>
  <si>
    <t>FULLY BOOKED</t>
  </si>
  <si>
    <t>CLOSED</t>
  </si>
  <si>
    <t>L9 &amp; G20 &amp; S20 &amp; W20 &amp; T38 &amp; X18 &amp; U27 &amp; O27</t>
  </si>
  <si>
    <t>W11 &amp; T13 &amp; X18 &amp; U18 &amp; O18 &amp; I18</t>
  </si>
  <si>
    <t>X3 &amp; U7 &amp; O13 &amp; I20</t>
  </si>
  <si>
    <t>I7</t>
  </si>
  <si>
    <t>T1 &amp; X4 &amp; U7 &amp; O4 &amp; I13</t>
  </si>
  <si>
    <t>2025-11-21 00:00:00</t>
  </si>
  <si>
    <t>X1 &amp; U4 &amp; O4 &amp; I6</t>
  </si>
  <si>
    <t>14:00</t>
  </si>
  <si>
    <t>L9</t>
  </si>
  <si>
    <t>G20</t>
  </si>
  <si>
    <t>T38</t>
  </si>
  <si>
    <t>U27</t>
  </si>
  <si>
    <t>O27</t>
  </si>
  <si>
    <t>W11</t>
  </si>
  <si>
    <t>T13</t>
  </si>
  <si>
    <t>U18</t>
  </si>
  <si>
    <t>O18</t>
  </si>
  <si>
    <t>I18</t>
  </si>
  <si>
    <t>I20</t>
  </si>
  <si>
    <t>T1</t>
  </si>
  <si>
    <t>X4</t>
  </si>
  <si>
    <t>I13</t>
  </si>
  <si>
    <t>X1</t>
  </si>
  <si>
    <t>ATZ-ELQ</t>
  </si>
  <si>
    <t>SM435</t>
  </si>
  <si>
    <t>V9</t>
  </si>
  <si>
    <t>V6 &amp; L12 &amp; G13 &amp; S15 &amp; W5 &amp; X7 &amp; U15 &amp; O14 &amp; I19</t>
  </si>
  <si>
    <t>L5</t>
  </si>
  <si>
    <t>V2 &amp; L10 &amp; G15 &amp; S16 &amp; W15 &amp; T11 &amp; X7 &amp; U9 &amp; O5</t>
  </si>
  <si>
    <t>V1 &amp; S20 &amp; X6 &amp; U7 &amp; O12</t>
  </si>
  <si>
    <t>S1 &amp; W8 &amp; T21 &amp; X2 &amp; U7 &amp; O10</t>
  </si>
  <si>
    <t>T1 &amp; X9 &amp; U15 &amp; O5 &amp; I5</t>
  </si>
  <si>
    <t>T2 &amp; X2 &amp; U3 &amp; O5 &amp; I5</t>
  </si>
  <si>
    <t>T2 &amp; O5 &amp; I5</t>
  </si>
  <si>
    <t>U2</t>
  </si>
  <si>
    <t>U3 &amp; O3 &amp; I7</t>
  </si>
  <si>
    <t>X3 &amp; U2 &amp; O4 &amp; I6</t>
  </si>
  <si>
    <t>20:35</t>
  </si>
  <si>
    <t>G13</t>
  </si>
  <si>
    <t>S15</t>
  </si>
  <si>
    <t>O14</t>
  </si>
  <si>
    <t>I19</t>
  </si>
  <si>
    <t>SATURDAY</t>
  </si>
  <si>
    <t>16:35</t>
  </si>
  <si>
    <t>W15</t>
  </si>
  <si>
    <t>T11</t>
  </si>
  <si>
    <t>T21</t>
  </si>
  <si>
    <t>ATZ-JED</t>
  </si>
  <si>
    <t>SM491</t>
  </si>
  <si>
    <t>W3 &amp; T7 &amp; X11 &amp; U13 &amp; O21 &amp; I10 &amp; P115</t>
  </si>
  <si>
    <t>SM455</t>
  </si>
  <si>
    <t>S4</t>
  </si>
  <si>
    <t>Y1 &amp; S4 &amp; W10 &amp; T9 &amp; X11 &amp; U31 &amp; O10 &amp; I9 &amp; P90</t>
  </si>
  <si>
    <t>G2 &amp; S5 &amp; W3 &amp; T5 &amp; X10 &amp; U12 &amp; O22 &amp; I11 &amp; P100</t>
  </si>
  <si>
    <t>SM421</t>
  </si>
  <si>
    <t>S1 &amp; X1 &amp; U39 &amp; O31 &amp; I18 &amp; P90</t>
  </si>
  <si>
    <t>SM453</t>
  </si>
  <si>
    <t>L1 &amp; G4 &amp; S16 &amp; W3 &amp; T10 &amp; X18 &amp; U21 &amp; O5 &amp; I5 &amp; P52</t>
  </si>
  <si>
    <t>G1 &amp; S4 &amp; W19 &amp; T4 &amp; X10 &amp; U17 &amp; O30 &amp; I10 &amp; P45</t>
  </si>
  <si>
    <t>G6 &amp; S14 &amp; W12 &amp; T10 &amp; X9 &amp; U41 &amp; O10 &amp; I2 &amp; P50</t>
  </si>
  <si>
    <t>2025-09-05 00:00:00</t>
  </si>
  <si>
    <t>E45 &amp; P135</t>
  </si>
  <si>
    <t>L1 &amp; G4 &amp; X3 &amp; U14 &amp; O10 &amp; I12 &amp; P134</t>
  </si>
  <si>
    <t>S1 &amp; W2 &amp; X12 &amp; U21 &amp; O18 &amp; I16 &amp; P109</t>
  </si>
  <si>
    <t>S2 &amp; W1 &amp; T9 &amp; X23 &amp; U5 &amp; O3 &amp; I2 &amp; P135</t>
  </si>
  <si>
    <t>S14 &amp; W28 &amp; T15 &amp; X25 &amp; O2 &amp; I1 &amp; P95</t>
  </si>
  <si>
    <t>G3 &amp; S14 &amp; W19 &amp; T22 &amp; X46 &amp; U1 &amp; O1</t>
  </si>
  <si>
    <t>Y1 &amp; G1 &amp; S19 &amp; W11 &amp; T5 &amp; X4 &amp; P85</t>
  </si>
  <si>
    <t>Y2 &amp; G22 &amp; S19 &amp; W25 &amp; T2 &amp; X11 &amp; P90</t>
  </si>
  <si>
    <t>W6 &amp; T30 &amp; X18 &amp; U22 &amp; O3 &amp; I2 &amp; E37 &amp; P45</t>
  </si>
  <si>
    <t>Y1 &amp; S2 &amp; W19 &amp; T23 &amp; X12 &amp; U20 &amp; P45</t>
  </si>
  <si>
    <t>S1 &amp; W1 &amp; T4 &amp; X12 &amp; U10 &amp; O16 &amp; P135</t>
  </si>
  <si>
    <t>L10 &amp; W4 &amp; T4 &amp; X31 &amp; U35 &amp; O30 &amp; I20 &amp; P45</t>
  </si>
  <si>
    <t>2025-11-16 00:00:00</t>
  </si>
  <si>
    <t>V4</t>
  </si>
  <si>
    <t>S1 &amp; W7 &amp; P167</t>
  </si>
  <si>
    <t>S4 &amp; W3 &amp; T10 &amp; X10 &amp; P145</t>
  </si>
  <si>
    <t>X8 &amp; E45 &amp; P115</t>
  </si>
  <si>
    <t>2025-11-12 00:00:00</t>
  </si>
  <si>
    <t>W4 &amp; T3 &amp; X4 &amp; E42 &amp; P125</t>
  </si>
  <si>
    <t>W3 &amp; X12 &amp; U8 &amp; O5 &amp; I5 &amp; E3</t>
  </si>
  <si>
    <t>S2 &amp; X4 &amp; U12 &amp; O9 &amp; I5 &amp; E53 &amp; P45</t>
  </si>
  <si>
    <t>W7 &amp; T4 &amp; X18 &amp; U5 &amp; O5 &amp; I5 &amp; E30 &amp; P45</t>
  </si>
  <si>
    <t>S6 &amp; W4 &amp; T4 &amp; X5 &amp; U15 &amp; O10 &amp; I5 &amp; E40</t>
  </si>
  <si>
    <t>T4 &amp; X3 &amp; U5 &amp; O5 &amp; I5 &amp; E40</t>
  </si>
  <si>
    <t>W2 &amp; X1 &amp; U5 &amp; O5 &amp; I5 &amp; P45</t>
  </si>
  <si>
    <t>S1 &amp; W12 &amp; X2 &amp; P45 &amp; N3</t>
  </si>
  <si>
    <t>T2 &amp; X5 &amp; P135</t>
  </si>
  <si>
    <t>T4 &amp; X4 &amp; U10 &amp; O10 &amp; I10 &amp; P90</t>
  </si>
  <si>
    <t>W1 &amp; X2 &amp; U2 &amp; O14 &amp; I5 &amp; P45</t>
  </si>
  <si>
    <t>T1 &amp; O7 &amp; I26</t>
  </si>
  <si>
    <t>W2 &amp; X2 &amp; P45</t>
  </si>
  <si>
    <t>2025-11-17 00:00:00</t>
  </si>
  <si>
    <t>W1 &amp; X1 &amp; O4 &amp; E40 &amp; P135</t>
  </si>
  <si>
    <t>W2 &amp; T1 &amp; X2 &amp; U10 &amp; O10 &amp; P135</t>
  </si>
  <si>
    <t>2025-11-03 00:00:00</t>
  </si>
  <si>
    <t>P180</t>
  </si>
  <si>
    <t>2025-11-15 00:00:00</t>
  </si>
  <si>
    <t>W1 &amp; T4 &amp; X4 &amp; P135</t>
  </si>
  <si>
    <t>X1 &amp; O5 &amp; I5</t>
  </si>
  <si>
    <t>W1 &amp; O4 &amp; I5 &amp; P90</t>
  </si>
  <si>
    <t>G1 &amp; W3 &amp; O8 &amp; I6 &amp; P90</t>
  </si>
  <si>
    <t>T1 &amp; X5 &amp; U5 &amp; O5 &amp; I5</t>
  </si>
  <si>
    <t>W1 &amp; T3 &amp; X4 &amp; P45</t>
  </si>
  <si>
    <t>W1 &amp; P45</t>
  </si>
  <si>
    <t>2025-11-18 00:00:00</t>
  </si>
  <si>
    <t>W6 &amp; P45</t>
  </si>
  <si>
    <t>T1 &amp; X2 &amp; P180</t>
  </si>
  <si>
    <t>W4 &amp; P90</t>
  </si>
  <si>
    <t>T3 &amp; X4 &amp; E40 &amp; P25</t>
  </si>
  <si>
    <t>2025-11-11 00:00:00</t>
  </si>
  <si>
    <t>X2 &amp; E45 &amp; P45</t>
  </si>
  <si>
    <t>W6 &amp; X1 &amp; P45</t>
  </si>
  <si>
    <t>T3</t>
  </si>
  <si>
    <t>S2 &amp; W1 &amp; T1 &amp; X4 &amp; P45</t>
  </si>
  <si>
    <t>T3 &amp; X4 &amp; P90</t>
  </si>
  <si>
    <t>E51 &amp; P130</t>
  </si>
  <si>
    <t>W1 &amp; T2 &amp; X3 &amp; P135</t>
  </si>
  <si>
    <t>W1 &amp; X4</t>
  </si>
  <si>
    <t>W6 &amp; T1 &amp; X3 &amp; P90</t>
  </si>
  <si>
    <t>T2 &amp; X4 &amp; P90</t>
  </si>
  <si>
    <t>X4 &amp; P45</t>
  </si>
  <si>
    <t>W2 &amp; T1 &amp; X4</t>
  </si>
  <si>
    <t>X1 &amp; P180</t>
  </si>
  <si>
    <t>W1 &amp; T1 &amp; X4 &amp; P90</t>
  </si>
  <si>
    <t>X1 &amp; P45</t>
  </si>
  <si>
    <t>E50 &amp; P45</t>
  </si>
  <si>
    <t>X4 &amp; P90</t>
  </si>
  <si>
    <t>W1 &amp; X2 &amp; P135</t>
  </si>
  <si>
    <t>W1 &amp; X3 &amp; P135</t>
  </si>
  <si>
    <t>X1 &amp; E45 &amp; P135</t>
  </si>
  <si>
    <t>X4 &amp; P175</t>
  </si>
  <si>
    <t>T1 &amp; X4 &amp; E70 &amp; P90</t>
  </si>
  <si>
    <t>W2 &amp; T1 &amp; X4 &amp; P170</t>
  </si>
  <si>
    <t>W3 &amp; T1 &amp; X4</t>
  </si>
  <si>
    <t>07:55</t>
  </si>
  <si>
    <t>O21</t>
  </si>
  <si>
    <t>I10</t>
  </si>
  <si>
    <t>P115</t>
  </si>
  <si>
    <t>U31</t>
  </si>
  <si>
    <t>P90</t>
  </si>
  <si>
    <t>02:15</t>
  </si>
  <si>
    <t>S5</t>
  </si>
  <si>
    <t>O22</t>
  </si>
  <si>
    <t>I11</t>
  </si>
  <si>
    <t>P100</t>
  </si>
  <si>
    <t>08:20</t>
  </si>
  <si>
    <t>U39</t>
  </si>
  <si>
    <t>O31</t>
  </si>
  <si>
    <t>16:40</t>
  </si>
  <si>
    <t>T10</t>
  </si>
  <si>
    <t>U21</t>
  </si>
  <si>
    <t>P52</t>
  </si>
  <si>
    <t>04:00</t>
  </si>
  <si>
    <t>U17</t>
  </si>
  <si>
    <t>O30</t>
  </si>
  <si>
    <t>P45</t>
  </si>
  <si>
    <t>12:40</t>
  </si>
  <si>
    <t>S14</t>
  </si>
  <si>
    <t>U41</t>
  </si>
  <si>
    <t>P50</t>
  </si>
  <si>
    <t>02:35</t>
  </si>
  <si>
    <t>E45</t>
  </si>
  <si>
    <t>P135</t>
  </si>
  <si>
    <t>12:00</t>
  </si>
  <si>
    <t>I12</t>
  </si>
  <si>
    <t>P134</t>
  </si>
  <si>
    <t>22:10</t>
  </si>
  <si>
    <t>I16</t>
  </si>
  <si>
    <t>P109</t>
  </si>
  <si>
    <t>THURSDAY</t>
  </si>
  <si>
    <t>X23</t>
  </si>
  <si>
    <t>13:10</t>
  </si>
  <si>
    <t>W28</t>
  </si>
  <si>
    <t>X25</t>
  </si>
  <si>
    <t>P95</t>
  </si>
  <si>
    <t>03:15</t>
  </si>
  <si>
    <t>G3</t>
  </si>
  <si>
    <t>T22</t>
  </si>
  <si>
    <t>X46</t>
  </si>
  <si>
    <t>U1</t>
  </si>
  <si>
    <t>03:25</t>
  </si>
  <si>
    <t>P85</t>
  </si>
  <si>
    <t>G22</t>
  </si>
  <si>
    <t>W25</t>
  </si>
  <si>
    <t>T30</t>
  </si>
  <si>
    <t>U22</t>
  </si>
  <si>
    <t>E37</t>
  </si>
  <si>
    <t>T23</t>
  </si>
  <si>
    <t>U20</t>
  </si>
  <si>
    <t>O16</t>
  </si>
  <si>
    <t>X31</t>
  </si>
  <si>
    <t>U35</t>
  </si>
  <si>
    <t>P167</t>
  </si>
  <si>
    <t>P145</t>
  </si>
  <si>
    <t>11:55</t>
  </si>
  <si>
    <t>E42</t>
  </si>
  <si>
    <t>P125</t>
  </si>
  <si>
    <t>U8</t>
  </si>
  <si>
    <t>E3</t>
  </si>
  <si>
    <t>08:35</t>
  </si>
  <si>
    <t>E53</t>
  </si>
  <si>
    <t>E30</t>
  </si>
  <si>
    <t>E40</t>
  </si>
  <si>
    <t>07:15</t>
  </si>
  <si>
    <t>N3</t>
  </si>
  <si>
    <t>I26</t>
  </si>
  <si>
    <t>P25</t>
  </si>
  <si>
    <t>04:40</t>
  </si>
  <si>
    <t>E51</t>
  </si>
  <si>
    <t>P130</t>
  </si>
  <si>
    <t>E50</t>
  </si>
  <si>
    <t>P175</t>
  </si>
  <si>
    <t>E70</t>
  </si>
  <si>
    <t>P170</t>
  </si>
  <si>
    <t>ATZ-MED</t>
  </si>
  <si>
    <t>SM487</t>
  </si>
  <si>
    <t>T11 &amp; X20 &amp; U10 &amp; O11 &amp; I19 &amp; P50</t>
  </si>
  <si>
    <t>SM489</t>
  </si>
  <si>
    <t>S1 &amp; W1 &amp; T19 &amp; X18 &amp; U18 &amp; O22 &amp; I23 &amp; P50</t>
  </si>
  <si>
    <t>Y1 &amp; S1 &amp; W1 &amp; T19 &amp; X19 &amp; U5 &amp; O4 &amp; I9 &amp; P97</t>
  </si>
  <si>
    <t>S1 &amp; T1 &amp; X8 &amp; U20 &amp; O14 &amp; I16</t>
  </si>
  <si>
    <t>S3 &amp; W4 &amp; T1 &amp; X5 &amp; U8 &amp; O17 &amp; I28</t>
  </si>
  <si>
    <t>U4 &amp; O14 &amp; I16 &amp; P45</t>
  </si>
  <si>
    <t>U1 &amp; O5 &amp; I14</t>
  </si>
  <si>
    <t>S3 &amp; I18</t>
  </si>
  <si>
    <t>O1 &amp; I5 &amp; P90</t>
  </si>
  <si>
    <t>I8</t>
  </si>
  <si>
    <t>I10 &amp; P3</t>
  </si>
  <si>
    <t>I10 &amp; P135</t>
  </si>
  <si>
    <t>I5 &amp; P90</t>
  </si>
  <si>
    <t>15:30</t>
  </si>
  <si>
    <t>O11</t>
  </si>
  <si>
    <t>11:05</t>
  </si>
  <si>
    <t>T19</t>
  </si>
  <si>
    <t>I23</t>
  </si>
  <si>
    <t>19:15</t>
  </si>
  <si>
    <t>X19</t>
  </si>
  <si>
    <t>P97</t>
  </si>
  <si>
    <t>O17</t>
  </si>
  <si>
    <t>I28</t>
  </si>
  <si>
    <t>P3</t>
  </si>
  <si>
    <t>03:00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</si>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</sst>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2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i/>
      <sz val="13"/>
      <color rgb="FF006100"/>
      <name val="Calibri"/>
    </font>
    <font>
      <b/>
      <i/>
      <sz val="12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D8E4BC"/>
      </patternFill>
    </fill>
    <fill>
      <patternFill patternType="solid">
        <fgColor rgb="FFCCCCCC"/>
        <bgColor rgb="FFCCCCCC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365492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3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4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3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4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3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4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3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4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168" fontId="16" fillId="11" borderId="6" xfId="0" applyNumberFormat="1" applyFont="1" applyFill="1" applyBorder="1" applyAlignment="1">
      <alignment horizontal="center" vertical="center"/>
    </xf>
    <xf numFmtId="168" fontId="16" fillId="10" borderId="6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6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4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6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4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168" fontId="16" fillId="15" borderId="6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16" fontId="13" fillId="15" borderId="6" xfId="0" applyNumberFormat="1" applyFont="1" applyFill="1" applyBorder="1" applyAlignment="1">
      <alignment horizontal="center" vertical="center"/>
    </xf>
    <xf numFmtId="49" fontId="14" fillId="15" borderId="6" xfId="0" applyNumberFormat="1" applyFont="1" applyFill="1" applyBorder="1" applyAlignment="1">
      <alignment horizontal="center" vertical="center"/>
    </xf>
    <xf numFmtId="167" fontId="13" fillId="15" borderId="6" xfId="0" applyNumberFormat="1" applyFont="1" applyFill="1" applyBorder="1" applyAlignment="1">
      <alignment horizontal="center" vertical="center"/>
    </xf>
    <xf numFmtId="49" fontId="13" fillId="15" borderId="7" xfId="0" applyNumberFormat="1" applyFont="1" applyFill="1" applyBorder="1" applyAlignment="1">
      <alignment horizontal="center" vertical="center"/>
    </xf>
    <xf numFmtId="168" fontId="17" fillId="15" borderId="6" xfId="0" applyNumberFormat="1" applyFont="1" applyFill="1" applyBorder="1" applyAlignment="1">
      <alignment horizontal="center" vertical="center"/>
    </xf>
    <xf numFmtId="168" fontId="17" fillId="10" borderId="6" xfId="0" applyNumberFormat="1" applyFont="1" applyFill="1" applyBorder="1" applyAlignment="1">
      <alignment horizontal="center" vertical="center"/>
    </xf>
    <xf numFmtId="168" fontId="16" fillId="8" borderId="6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49" fontId="13" fillId="16" borderId="5" xfId="0" applyNumberFormat="1" applyFont="1" applyFill="1" applyBorder="1" applyAlignment="1">
      <alignment horizontal="center" vertical="center"/>
    </xf>
    <xf numFmtId="168" fontId="16" fillId="16" borderId="6" xfId="0" applyNumberFormat="1" applyFont="1" applyFill="1" applyBorder="1" applyAlignment="1">
      <alignment horizontal="center" vertical="center"/>
    </xf>
    <xf numFmtId="1" fontId="13" fillId="16" borderId="6" xfId="0" applyNumberFormat="1" applyFont="1" applyFill="1" applyBorder="1" applyAlignment="1">
      <alignment horizontal="center" vertical="center"/>
    </xf>
    <xf numFmtId="16" fontId="13" fillId="16" borderId="6" xfId="0" applyNumberFormat="1" applyFont="1" applyFill="1" applyBorder="1" applyAlignment="1">
      <alignment horizontal="center" vertical="center"/>
    </xf>
    <xf numFmtId="49" fontId="14" fillId="16" borderId="6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49" fontId="13" fillId="16" borderId="7" xfId="0" applyNumberFormat="1" applyFont="1" applyFill="1" applyBorder="1" applyAlignment="1">
      <alignment horizontal="center" vertical="center"/>
    </xf>
    <xf numFmtId="168" fontId="16" fillId="12" borderId="6" xfId="0" applyNumberFormat="1" applyFont="1" applyFill="1" applyBorder="1" applyAlignment="1">
      <alignment horizontal="center" vertical="center"/>
    </xf>
    <xf numFmtId="168" fontId="13" fillId="14" borderId="6" xfId="0" applyNumberFormat="1" applyFont="1" applyFill="1" applyBorder="1" applyAlignment="1">
      <alignment horizontal="center" vertical="center"/>
    </xf>
    <xf numFmtId="168" fontId="17" fillId="11" borderId="6" xfId="0" applyNumberFormat="1" applyFont="1" applyFill="1" applyBorder="1" applyAlignment="1">
      <alignment horizontal="center" vertical="center"/>
    </xf>
    <xf numFmtId="168" fontId="13" fillId="15" borderId="6" xfId="0" applyNumberFormat="1" applyFont="1" applyFill="1" applyBorder="1" applyAlignment="1">
      <alignment horizontal="center" vertical="center"/>
    </xf>
    <xf numFmtId="49" fontId="13" fillId="10" borderId="10" xfId="0" applyNumberFormat="1" applyFont="1" applyFill="1" applyBorder="1" applyAlignment="1">
      <alignment horizontal="center" vertical="center"/>
    </xf>
    <xf numFmtId="168" fontId="17" fillId="10" borderId="11" xfId="0" applyNumberFormat="1" applyFont="1" applyFill="1" applyBorder="1" applyAlignment="1">
      <alignment horizontal="center" vertical="center"/>
    </xf>
    <xf numFmtId="1" fontId="13" fillId="10" borderId="11" xfId="0" applyNumberFormat="1" applyFont="1" applyFill="1" applyBorder="1" applyAlignment="1">
      <alignment horizontal="center" vertical="center"/>
    </xf>
    <xf numFmtId="16" fontId="13" fillId="10" borderId="11" xfId="0" applyNumberFormat="1" applyFont="1" applyFill="1" applyBorder="1" applyAlignment="1">
      <alignment horizontal="center" vertical="center"/>
    </xf>
    <xf numFmtId="49" fontId="14" fillId="10" borderId="11" xfId="0" applyNumberFormat="1" applyFont="1" applyFill="1" applyBorder="1" applyAlignment="1">
      <alignment horizontal="center" vertical="center"/>
    </xf>
    <xf numFmtId="167" fontId="13" fillId="10" borderId="11" xfId="0" applyNumberFormat="1" applyFont="1" applyFill="1" applyBorder="1" applyAlignment="1">
      <alignment horizontal="center" vertical="center"/>
    </xf>
    <xf numFmtId="49" fontId="13" fillId="10" borderId="12" xfId="0" applyNumberFormat="1" applyFont="1" applyFill="1" applyBorder="1" applyAlignment="1">
      <alignment horizontal="center" vertical="center"/>
    </xf>
    <xf numFmtId="49" fontId="18" fillId="8" borderId="13" xfId="0" applyNumberFormat="1" applyFont="1" applyFill="1" applyBorder="1" applyAlignment="1">
      <alignment horizontal="center" vertical="center"/>
    </xf>
    <xf numFmtId="167" fontId="18" fillId="8" borderId="13" xfId="0" applyNumberFormat="1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 vertical="center"/>
    </xf>
    <xf numFmtId="168" fontId="17" fillId="8" borderId="6" xfId="0" applyNumberFormat="1" applyFont="1" applyFill="1" applyBorder="1" applyAlignment="1">
      <alignment horizontal="center" vertical="center"/>
    </xf>
    <xf numFmtId="49" fontId="13" fillId="8" borderId="10" xfId="0" applyNumberFormat="1" applyFont="1" applyFill="1" applyBorder="1" applyAlignment="1">
      <alignment horizontal="center" vertical="center"/>
    </xf>
    <xf numFmtId="168" fontId="17" fillId="8" borderId="11" xfId="0" applyNumberFormat="1" applyFont="1" applyFill="1" applyBorder="1" applyAlignment="1">
      <alignment horizontal="center" vertical="center"/>
    </xf>
    <xf numFmtId="1" fontId="13" fillId="8" borderId="11" xfId="0" applyNumberFormat="1" applyFont="1" applyFill="1" applyBorder="1" applyAlignment="1">
      <alignment horizontal="center" vertical="center"/>
    </xf>
    <xf numFmtId="16" fontId="13" fillId="8" borderId="11" xfId="0" applyNumberFormat="1" applyFont="1" applyFill="1" applyBorder="1" applyAlignment="1">
      <alignment horizontal="center" vertical="center"/>
    </xf>
    <xf numFmtId="49" fontId="14" fillId="8" borderId="11" xfId="0" applyNumberFormat="1" applyFont="1" applyFill="1" applyBorder="1" applyAlignment="1">
      <alignment horizontal="center" vertical="center"/>
    </xf>
    <xf numFmtId="167" fontId="13" fillId="8" borderId="11" xfId="0" applyNumberFormat="1" applyFont="1" applyFill="1" applyBorder="1" applyAlignment="1">
      <alignment horizontal="center" vertical="center"/>
    </xf>
    <xf numFmtId="49" fontId="13" fillId="8" borderId="12" xfId="0" applyNumberFormat="1" applyFont="1" applyFill="1" applyBorder="1" applyAlignment="1">
      <alignment horizontal="center" vertical="center"/>
    </xf>
    <xf numFmtId="49" fontId="18" fillId="10" borderId="2" xfId="0" applyNumberFormat="1" applyFont="1" applyFill="1" applyBorder="1" applyAlignment="1">
      <alignment horizontal="center" vertical="center"/>
    </xf>
    <xf numFmtId="167" fontId="18" fillId="10" borderId="2" xfId="0" applyNumberFormat="1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49" fontId="18" fillId="15" borderId="13" xfId="0" applyNumberFormat="1" applyFont="1" applyFill="1" applyBorder="1" applyAlignment="1">
      <alignment horizontal="center" vertical="center"/>
    </xf>
    <xf numFmtId="167" fontId="18" fillId="15" borderId="13" xfId="0" applyNumberFormat="1" applyFont="1" applyFill="1" applyBorder="1" applyAlignment="1">
      <alignment horizontal="center" vertical="center"/>
    </xf>
    <xf numFmtId="0" fontId="18" fillId="15" borderId="13" xfId="0" applyFont="1" applyFill="1" applyBorder="1" applyAlignment="1">
      <alignment horizontal="center" vertical="center"/>
    </xf>
    <xf numFmtId="168" fontId="13" fillId="10" borderId="11" xfId="0" applyNumberFormat="1" applyFont="1" applyFill="1" applyBorder="1" applyAlignment="1">
      <alignment horizontal="center" vertical="center"/>
    </xf>
    <xf numFmtId="49" fontId="18" fillId="13" borderId="13" xfId="0" applyNumberFormat="1" applyFont="1" applyFill="1" applyBorder="1" applyAlignment="1">
      <alignment horizontal="center" vertical="center"/>
    </xf>
    <xf numFmtId="167" fontId="18" fillId="13" borderId="13" xfId="0" applyNumberFormat="1" applyFont="1" applyFill="1" applyBorder="1" applyAlignment="1">
      <alignment horizontal="center" vertical="center"/>
    </xf>
    <xf numFmtId="0" fontId="18" fillId="13" borderId="13" xfId="0" applyFont="1" applyFill="1" applyBorder="1" applyAlignment="1">
      <alignment horizontal="center" vertical="center"/>
    </xf>
    <xf numFmtId="168" fontId="17" fillId="13" borderId="6" xfId="0" applyNumberFormat="1" applyFont="1" applyFill="1" applyBorder="1" applyAlignment="1">
      <alignment horizontal="center" vertical="center"/>
    </xf>
    <xf numFmtId="49" fontId="13" fillId="14" borderId="10" xfId="0" applyNumberFormat="1" applyFont="1" applyFill="1" applyBorder="1" applyAlignment="1">
      <alignment horizontal="center" vertical="center"/>
    </xf>
    <xf numFmtId="168" fontId="17" fillId="14" borderId="11" xfId="0" applyNumberFormat="1" applyFont="1" applyFill="1" applyBorder="1" applyAlignment="1">
      <alignment horizontal="center" vertical="center"/>
    </xf>
    <xf numFmtId="1" fontId="13" fillId="14" borderId="11" xfId="0" applyNumberFormat="1" applyFont="1" applyFill="1" applyBorder="1" applyAlignment="1">
      <alignment horizontal="center" vertical="center"/>
    </xf>
    <xf numFmtId="16" fontId="13" fillId="14" borderId="11" xfId="0" applyNumberFormat="1" applyFont="1" applyFill="1" applyBorder="1" applyAlignment="1">
      <alignment horizontal="center" vertical="center"/>
    </xf>
    <xf numFmtId="49" fontId="14" fillId="14" borderId="11" xfId="0" applyNumberFormat="1" applyFont="1" applyFill="1" applyBorder="1" applyAlignment="1">
      <alignment horizontal="center" vertical="center"/>
    </xf>
    <xf numFmtId="167" fontId="13" fillId="14" borderId="11" xfId="0" applyNumberFormat="1" applyFont="1" applyFill="1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18" fillId="8" borderId="2" xfId="0" applyNumberFormat="1" applyFont="1" applyFill="1" applyBorder="1" applyAlignment="1">
      <alignment horizontal="center" vertical="center"/>
    </xf>
    <xf numFmtId="167" fontId="18" fillId="8" borderId="2" xfId="0" applyNumberFormat="1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49" fontId="18" fillId="11" borderId="13" xfId="0" applyNumberFormat="1" applyFont="1" applyFill="1" applyBorder="1" applyAlignment="1">
      <alignment horizontal="center" vertical="center"/>
    </xf>
    <xf numFmtId="167" fontId="18" fillId="11" borderId="13" xfId="0" applyNumberFormat="1" applyFont="1" applyFill="1" applyBorder="1" applyAlignment="1">
      <alignment horizontal="center" vertical="center"/>
    </xf>
    <xf numFmtId="0" fontId="18" fillId="11" borderId="13" xfId="0" applyFont="1" applyFill="1" applyBorder="1" applyAlignment="1">
      <alignment horizontal="center" vertical="center"/>
    </xf>
    <xf numFmtId="168" fontId="13" fillId="16" borderId="6" xfId="0" applyNumberFormat="1" applyFont="1" applyFill="1" applyBorder="1" applyAlignment="1">
      <alignment horizontal="center" vertical="center"/>
    </xf>
    <xf numFmtId="168" fontId="13" fillId="8" borderId="11" xfId="0" applyNumberFormat="1" applyFont="1" applyFill="1" applyBorder="1" applyAlignment="1">
      <alignment horizontal="center" vertical="center"/>
    </xf>
    <xf numFmtId="49" fontId="18" fillId="10" borderId="13" xfId="0" applyNumberFormat="1" applyFont="1" applyFill="1" applyBorder="1" applyAlignment="1">
      <alignment horizontal="center" vertical="center"/>
    </xf>
    <xf numFmtId="167" fontId="18" fillId="10" borderId="13" xfId="0" applyNumberFormat="1" applyFont="1" applyFill="1" applyBorder="1" applyAlignment="1">
      <alignment horizontal="center" vertical="center"/>
    </xf>
    <xf numFmtId="0" fontId="18" fillId="10" borderId="13" xfId="0" applyFont="1" applyFill="1" applyBorder="1" applyAlignment="1">
      <alignment horizontal="center" vertical="center"/>
    </xf>
    <xf numFmtId="49" fontId="13" fillId="15" borderId="10" xfId="0" applyNumberFormat="1" applyFont="1" applyFill="1" applyBorder="1" applyAlignment="1">
      <alignment horizontal="center" vertical="center"/>
    </xf>
    <xf numFmtId="168" fontId="17" fillId="15" borderId="11" xfId="0" applyNumberFormat="1" applyFont="1" applyFill="1" applyBorder="1" applyAlignment="1">
      <alignment horizontal="center" vertical="center"/>
    </xf>
    <xf numFmtId="1" fontId="13" fillId="15" borderId="11" xfId="0" applyNumberFormat="1" applyFont="1" applyFill="1" applyBorder="1" applyAlignment="1">
      <alignment horizontal="center" vertical="center"/>
    </xf>
    <xf numFmtId="16" fontId="13" fillId="15" borderId="11" xfId="0" applyNumberFormat="1" applyFont="1" applyFill="1" applyBorder="1" applyAlignment="1">
      <alignment horizontal="center" vertical="center"/>
    </xf>
    <xf numFmtId="49" fontId="14" fillId="15" borderId="11" xfId="0" applyNumberFormat="1" applyFont="1" applyFill="1" applyBorder="1" applyAlignment="1">
      <alignment horizontal="center" vertical="center"/>
    </xf>
    <xf numFmtId="167" fontId="13" fillId="15" borderId="11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18" fillId="16" borderId="13" xfId="0" applyNumberFormat="1" applyFont="1" applyFill="1" applyBorder="1" applyAlignment="1">
      <alignment horizontal="center" vertical="center"/>
    </xf>
    <xf numFmtId="167" fontId="18" fillId="16" borderId="13" xfId="0" applyNumberFormat="1" applyFont="1" applyFill="1" applyBorder="1" applyAlignment="1">
      <alignment horizontal="center" vertical="center"/>
    </xf>
    <xf numFmtId="0" fontId="18" fillId="16" borderId="13" xfId="0" applyFont="1" applyFill="1" applyBorder="1" applyAlignment="1">
      <alignment horizontal="center" vertical="center"/>
    </xf>
    <xf numFmtId="168" fontId="17" fillId="16" borderId="6" xfId="0" applyNumberFormat="1" applyFont="1" applyFill="1" applyBorder="1" applyAlignment="1">
      <alignment horizontal="center" vertical="center"/>
    </xf>
    <xf numFmtId="49" fontId="13" fillId="16" borderId="10" xfId="0" applyNumberFormat="1" applyFont="1" applyFill="1" applyBorder="1" applyAlignment="1">
      <alignment horizontal="center" vertical="center"/>
    </xf>
    <xf numFmtId="168" fontId="13" fillId="16" borderId="11" xfId="0" applyNumberFormat="1" applyFont="1" applyFill="1" applyBorder="1" applyAlignment="1">
      <alignment horizontal="center" vertical="center"/>
    </xf>
    <xf numFmtId="1" fontId="13" fillId="16" borderId="11" xfId="0" applyNumberFormat="1" applyFont="1" applyFill="1" applyBorder="1" applyAlignment="1">
      <alignment horizontal="center" vertical="center"/>
    </xf>
    <xf numFmtId="16" fontId="13" fillId="16" borderId="11" xfId="0" applyNumberFormat="1" applyFont="1" applyFill="1" applyBorder="1" applyAlignment="1">
      <alignment horizontal="center" vertical="center"/>
    </xf>
    <xf numFmtId="49" fontId="14" fillId="16" borderId="11" xfId="0" applyNumberFormat="1" applyFont="1" applyFill="1" applyBorder="1" applyAlignment="1">
      <alignment horizontal="center" vertical="center"/>
    </xf>
    <xf numFmtId="167" fontId="13" fillId="16" borderId="11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168" fontId="13" fillId="13" borderId="6" xfId="0" applyNumberFormat="1" applyFont="1" applyFill="1" applyBorder="1" applyAlignment="1">
      <alignment horizontal="center" vertical="center"/>
    </xf>
    <xf numFmtId="168" fontId="16" fillId="15" borderId="11" xfId="0" applyNumberFormat="1" applyFont="1" applyFill="1" applyBorder="1" applyAlignment="1">
      <alignment horizontal="center" vertical="center"/>
    </xf>
    <xf numFmtId="49" fontId="18" fillId="16" borderId="2" xfId="0" applyNumberFormat="1" applyFont="1" applyFill="1" applyBorder="1" applyAlignment="1">
      <alignment horizontal="center" vertical="center"/>
    </xf>
    <xf numFmtId="167" fontId="18" fillId="16" borderId="2" xfId="0" applyNumberFormat="1" applyFont="1" applyFill="1" applyBorder="1" applyAlignment="1">
      <alignment horizontal="center" vertical="center"/>
    </xf>
    <xf numFmtId="0" fontId="18" fillId="16" borderId="2" xfId="0" applyFont="1" applyFill="1" applyBorder="1" applyAlignment="1">
      <alignment horizontal="center" vertical="center"/>
    </xf>
    <xf numFmtId="168" fontId="16" fillId="16" borderId="11" xfId="0" applyNumberFormat="1" applyFont="1" applyFill="1" applyBorder="1" applyAlignment="1">
      <alignment horizontal="center" vertical="center"/>
    </xf>
    <xf numFmtId="49" fontId="18" fillId="12" borderId="13" xfId="0" applyNumberFormat="1" applyFont="1" applyFill="1" applyBorder="1" applyAlignment="1">
      <alignment horizontal="center" vertical="center"/>
    </xf>
    <xf numFmtId="167" fontId="18" fillId="12" borderId="13" xfId="0" applyNumberFormat="1" applyFont="1" applyFill="1" applyBorder="1" applyAlignment="1">
      <alignment horizontal="center" vertical="center"/>
    </xf>
    <xf numFmtId="0" fontId="18" fillId="12" borderId="13" xfId="0" applyFont="1" applyFill="1" applyBorder="1" applyAlignment="1">
      <alignment horizontal="center" vertical="center"/>
    </xf>
    <xf numFmtId="49" fontId="13" fillId="12" borderId="10" xfId="0" applyNumberFormat="1" applyFont="1" applyFill="1" applyBorder="1" applyAlignment="1">
      <alignment horizontal="center" vertical="center"/>
    </xf>
    <xf numFmtId="168" fontId="13" fillId="12" borderId="11" xfId="0" applyNumberFormat="1" applyFont="1" applyFill="1" applyBorder="1" applyAlignment="1">
      <alignment horizontal="center" vertical="center"/>
    </xf>
    <xf numFmtId="1" fontId="13" fillId="12" borderId="11" xfId="0" applyNumberFormat="1" applyFont="1" applyFill="1" applyBorder="1" applyAlignment="1">
      <alignment horizontal="center" vertical="center"/>
    </xf>
    <xf numFmtId="16" fontId="13" fillId="12" borderId="11" xfId="0" applyNumberFormat="1" applyFont="1" applyFill="1" applyBorder="1" applyAlignment="1">
      <alignment horizontal="center" vertical="center"/>
    </xf>
    <xf numFmtId="49" fontId="14" fillId="12" borderId="11" xfId="0" applyNumberFormat="1" applyFont="1" applyFill="1" applyBorder="1" applyAlignment="1">
      <alignment horizontal="center" vertical="center"/>
    </xf>
    <xf numFmtId="167" fontId="13" fillId="12" borderId="11" xfId="0" applyNumberFormat="1" applyFont="1" applyFill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18" fillId="14" borderId="13" xfId="0" applyNumberFormat="1" applyFont="1" applyFill="1" applyBorder="1" applyAlignment="1">
      <alignment horizontal="center" vertical="center"/>
    </xf>
    <xf numFmtId="167" fontId="18" fillId="14" borderId="13" xfId="0" applyNumberFormat="1" applyFont="1" applyFill="1" applyBorder="1" applyAlignment="1">
      <alignment horizontal="center" vertical="center"/>
    </xf>
    <xf numFmtId="0" fontId="18" fillId="14" borderId="13" xfId="0" applyFont="1" applyFill="1" applyBorder="1" applyAlignment="1">
      <alignment horizontal="center" vertical="center"/>
    </xf>
    <xf numFmtId="49" fontId="18" fillId="14" borderId="2" xfId="0" applyNumberFormat="1" applyFont="1" applyFill="1" applyBorder="1" applyAlignment="1">
      <alignment horizontal="center" vertical="center"/>
    </xf>
    <xf numFmtId="167" fontId="18" fillId="14" borderId="2" xfId="0" applyNumberFormat="1" applyFont="1" applyFill="1" applyBorder="1" applyAlignment="1">
      <alignment horizontal="center" vertical="center"/>
    </xf>
    <xf numFmtId="0" fontId="18" fillId="14" borderId="2" xfId="0" applyFont="1" applyFill="1" applyBorder="1" applyAlignment="1">
      <alignment horizontal="center" vertical="center"/>
    </xf>
    <xf numFmtId="168" fontId="16" fillId="14" borderId="11" xfId="0" applyNumberFormat="1" applyFont="1" applyFill="1" applyBorder="1" applyAlignment="1">
      <alignment horizontal="center" vertical="center"/>
    </xf>
    <xf numFmtId="49" fontId="13" fillId="13" borderId="10" xfId="0" applyNumberFormat="1" applyFont="1" applyFill="1" applyBorder="1" applyAlignment="1">
      <alignment horizontal="center" vertical="center"/>
    </xf>
    <xf numFmtId="168" fontId="17" fillId="13" borderId="11" xfId="0" applyNumberFormat="1" applyFont="1" applyFill="1" applyBorder="1" applyAlignment="1">
      <alignment horizontal="center" vertical="center"/>
    </xf>
    <xf numFmtId="1" fontId="13" fillId="13" borderId="11" xfId="0" applyNumberFormat="1" applyFont="1" applyFill="1" applyBorder="1" applyAlignment="1">
      <alignment horizontal="center" vertical="center"/>
    </xf>
    <xf numFmtId="16" fontId="13" fillId="13" borderId="11" xfId="0" applyNumberFormat="1" applyFont="1" applyFill="1" applyBorder="1" applyAlignment="1">
      <alignment horizontal="center" vertical="center"/>
    </xf>
    <xf numFmtId="49" fontId="14" fillId="13" borderId="11" xfId="0" applyNumberFormat="1" applyFont="1" applyFill="1" applyBorder="1" applyAlignment="1">
      <alignment horizontal="center" vertical="center"/>
    </xf>
    <xf numFmtId="167" fontId="13" fillId="13" borderId="11" xfId="0" applyNumberFormat="1" applyFont="1" applyFill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18" fillId="13" borderId="2" xfId="0" applyNumberFormat="1" applyFont="1" applyFill="1" applyBorder="1" applyAlignment="1">
      <alignment horizontal="center" vertical="center"/>
    </xf>
    <xf numFmtId="167" fontId="18" fillId="13" borderId="2" xfId="0" applyNumberFormat="1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168" fontId="13" fillId="13" borderId="11" xfId="0" applyNumberFormat="1" applyFont="1" applyFill="1" applyBorder="1" applyAlignment="1">
      <alignment horizontal="center" vertical="center"/>
    </xf>
    <xf numFmtId="168" fontId="16" fillId="10" borderId="11" xfId="0" applyNumberFormat="1" applyFont="1" applyFill="1" applyBorder="1" applyAlignment="1">
      <alignment horizontal="center" vertical="center"/>
    </xf>
    <xf numFmtId="49" fontId="18" fillId="12" borderId="2" xfId="0" applyNumberFormat="1" applyFont="1" applyFill="1" applyBorder="1" applyAlignment="1">
      <alignment horizontal="center" vertical="center"/>
    </xf>
    <xf numFmtId="167" fontId="18" fillId="12" borderId="2" xfId="0" applyNumberFormat="1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168" fontId="16" fillId="8" borderId="11" xfId="0" applyNumberFormat="1" applyFont="1" applyFill="1" applyBorder="1" applyAlignment="1">
      <alignment horizontal="center" vertical="center"/>
    </xf>
    <xf numFmtId="168" fontId="16" fillId="12" borderId="11" xfId="0" applyNumberFormat="1" applyFont="1" applyFill="1" applyBorder="1" applyAlignment="1">
      <alignment horizontal="center" vertical="center"/>
    </xf>
    <xf numFmtId="168" fontId="16" fillId="13" borderId="11" xfId="0" applyNumberFormat="1" applyFont="1" applyFill="1" applyBorder="1" applyAlignment="1">
      <alignment horizontal="center" vertical="center"/>
    </xf>
    <xf numFmtId="168" fontId="17" fillId="12" borderId="11" xfId="0" applyNumberFormat="1" applyFont="1" applyFill="1" applyBorder="1" applyAlignment="1">
      <alignment horizontal="center" vertical="center"/>
    </xf>
    <xf numFmtId="168" fontId="17" fillId="16" borderId="11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8" fillId="4" borderId="2" xfId="0" applyNumberFormat="1" applyFont="1" applyFill="1" applyBorder="1" applyAlignment="1">
      <alignment horizontal="center" vertical="center"/>
    </xf>
    <xf numFmtId="0" fontId="12" fillId="0" borderId="4" xfId="0" applyFont="1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4" xfId="0" applyBorder="1"/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6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15" xfId="0" applyBorder="1"/>
    <xf numFmtId="0" fontId="0" fillId="0" borderId="14" xfId="0" applyBorder="1"/>
    <xf numFmtId="0" fontId="19" fillId="0" borderId="0" xfId="0" applyFont="1" applyAlignment="1">
      <alignment horizontal="center" vertical="center"/>
    </xf>
    <xf numFmtId="0" fontId="19" fillId="0" borderId="0" xfId="0" applyFont="1"/>
    <xf numFmtId="169" fontId="19" fillId="0" borderId="0" xfId="0" applyNumberFormat="1" applyFont="1" applyAlignment="1">
      <alignment horizontal="center" vertical="center"/>
    </xf>
    <xf numFmtId="15" fontId="19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168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6" fontId="19" fillId="0" borderId="0" xfId="0" applyNumberFormat="1" applyFont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15" fontId="20" fillId="17" borderId="0" xfId="0" applyNumberFormat="1" applyFont="1" applyFill="1" applyAlignment="1">
      <alignment horizontal="center" vertical="center"/>
    </xf>
    <xf numFmtId="168" fontId="20" fillId="17" borderId="0" xfId="0" applyNumberFormat="1" applyFont="1" applyFill="1" applyAlignment="1">
      <alignment horizontal="center" vertical="center"/>
    </xf>
    <xf numFmtId="1" fontId="20" fillId="17" borderId="0" xfId="0" applyNumberFormat="1" applyFont="1" applyFill="1" applyAlignment="1">
      <alignment horizontal="center" vertical="center"/>
    </xf>
    <xf numFmtId="0" fontId="20" fillId="17" borderId="0" xfId="0" applyNumberFormat="1" applyFont="1" applyFill="1" applyAlignment="1">
      <alignment horizontal="center" vertical="center"/>
    </xf>
    <xf numFmtId="0" fontId="15" fillId="9" borderId="16" xfId="0" applyFont="1" applyFill="1" applyBorder="1" applyAlignment="1">
      <alignment horizontal="center" vertical="center"/>
    </xf>
    <xf numFmtId="0" fontId="15" fillId="9" borderId="17" xfId="0" applyFont="1" applyFill="1" applyBorder="1" applyAlignment="1">
      <alignment horizontal="center" vertical="center"/>
    </xf>
    <xf numFmtId="0" fontId="15" fillId="9" borderId="18" xfId="0" applyFont="1" applyFill="1" applyBorder="1" applyAlignment="1">
      <alignment horizontal="center" vertical="center"/>
    </xf>
  </cellXfs>
  <cellStyles count="1">
    <cellStyle name="Normal" xfId="0" builtinId="0"/>
  </cellStyles>
  <dxfs count="60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Z_RUH_LF_LEGACY" displayName="ATZ_RUH_LF_LEGACY" ref="A1:AJ17" totalsRowCount="1" headerRowDxfId="599" dataDxfId="562" totalsRowDxfId="525">
  <tableColumns count="36">
    <tableColumn id="1" xr3:uid="{00000000-0010-0000-0000-000001000000}" name="Day" totalsRowLabel="TOTAL" dataDxfId="598" totalsRowDxfId="561"/>
    <tableColumn id="2" xr3:uid="{00000000-0010-0000-0000-000002000000}" name="Flt Dt" dataDxfId="597" totalsRowDxfId="560"/>
    <tableColumn id="3" xr3:uid="{00000000-0010-0000-0000-000003000000}" name="Flt" totalsRowFunction="count" dataDxfId="596" totalsRowDxfId="559"/>
    <tableColumn id="4" xr3:uid="{00000000-0010-0000-0000-000004000000}" name="DEP" dataDxfId="595" totalsRowDxfId="558"/>
    <tableColumn id="5" xr3:uid="{00000000-0010-0000-0000-000005000000}" name="Brd-Off" totalsRowFunction="count" dataDxfId="594" totalsRowDxfId="557"/>
    <tableColumn id="6" xr3:uid="{00000000-0010-0000-0000-000006000000}" name="Eqp" dataDxfId="593" totalsRowDxfId="556"/>
    <tableColumn id="7" xr3:uid="{00000000-0010-0000-0000-000007000000}" name="LF%" totalsRowFunction="average" dataDxfId="592" totalsRowDxfId="555"/>
    <tableColumn id="8" xr3:uid="{00000000-0010-0000-0000-000008000000}" name="CAP" totalsRowFunction="sum" dataDxfId="591" totalsRowDxfId="554"/>
    <tableColumn id="9" xr3:uid="{00000000-0010-0000-0000-000009000000}" name="BKG(Y)" totalsRowFunction="sum" dataDxfId="590" totalsRowDxfId="553"/>
    <tableColumn id="10" xr3:uid="{00000000-0010-0000-0000-00000A000000}" name="GRP(Y)" totalsRowFunction="sum" dataDxfId="589" totalsRowDxfId="552"/>
    <tableColumn id="11" xr3:uid="{00000000-0010-0000-0000-00000B000000}" name="FLT ST" dataDxfId="588" totalsRowDxfId="551"/>
    <tableColumn id="12" xr3:uid="{00000000-0010-0000-0000-00000C000000}" name="LST-SOLD" dataDxfId="587" totalsRowDxfId="550"/>
    <tableColumn id="13" xr3:uid="{00000000-0010-0000-0000-00000D000000}" name="TO-DAY" totalsRowFunction="sum" dataDxfId="586" totalsRowDxfId="549"/>
    <tableColumn id="14" xr3:uid="{00000000-0010-0000-0000-00000E000000}" name="Y-DAY" totalsRowFunction="sum" dataDxfId="585" totalsRowDxfId="548"/>
    <tableColumn id="15" xr3:uid="{00000000-0010-0000-0000-00000F000000}" name="WEEKLY" totalsRowFunction="sum" dataDxfId="584" totalsRowDxfId="547"/>
    <tableColumn id="16" xr3:uid="{00000000-0010-0000-0000-000010000000}" name="LOWEST AVAIL" dataDxfId="583" totalsRowDxfId="546"/>
    <tableColumn id="17" xr3:uid="{00000000-0010-0000-0000-000011000000}" name="Y" totalsRowFunction="sum" dataDxfId="582" totalsRowDxfId="545"/>
    <tableColumn id="18" xr3:uid="{00000000-0010-0000-0000-000012000000}" name="B" totalsRowFunction="sum" dataDxfId="581" totalsRowDxfId="544"/>
    <tableColumn id="19" xr3:uid="{00000000-0010-0000-0000-000013000000}" name="M" totalsRowFunction="sum" dataDxfId="580" totalsRowDxfId="543"/>
    <tableColumn id="20" xr3:uid="{00000000-0010-0000-0000-000014000000}" name="H" totalsRowFunction="sum" dataDxfId="579" totalsRowDxfId="542"/>
    <tableColumn id="21" xr3:uid="{00000000-0010-0000-0000-000015000000}" name="Q" totalsRowFunction="sum" dataDxfId="578" totalsRowDxfId="541"/>
    <tableColumn id="22" xr3:uid="{00000000-0010-0000-0000-000016000000}" name="K" totalsRowFunction="sum" dataDxfId="577" totalsRowDxfId="540"/>
    <tableColumn id="23" xr3:uid="{00000000-0010-0000-0000-000017000000}" name="V" totalsRowFunction="sum" dataDxfId="576" totalsRowDxfId="539"/>
    <tableColumn id="24" xr3:uid="{00000000-0010-0000-0000-000018000000}" name="L" totalsRowFunction="sum" dataDxfId="575" totalsRowDxfId="538"/>
    <tableColumn id="25" xr3:uid="{00000000-0010-0000-0000-000019000000}" name="G" totalsRowFunction="sum" dataDxfId="574" totalsRowDxfId="537"/>
    <tableColumn id="26" xr3:uid="{00000000-0010-0000-0000-00001A000000}" name="S" totalsRowFunction="sum" dataDxfId="573" totalsRowDxfId="536"/>
    <tableColumn id="27" xr3:uid="{00000000-0010-0000-0000-00001B000000}" name="W" totalsRowFunction="sum" dataDxfId="572" totalsRowDxfId="535"/>
    <tableColumn id="28" xr3:uid="{00000000-0010-0000-0000-00001C000000}" name="T" totalsRowFunction="sum" dataDxfId="571" totalsRowDxfId="534"/>
    <tableColumn id="29" xr3:uid="{00000000-0010-0000-0000-00001D000000}" name="X" totalsRowFunction="sum" dataDxfId="570" totalsRowDxfId="533"/>
    <tableColumn id="30" xr3:uid="{00000000-0010-0000-0000-00001E000000}" name="U" totalsRowFunction="sum" dataDxfId="569" totalsRowDxfId="532"/>
    <tableColumn id="31" xr3:uid="{00000000-0010-0000-0000-00001F000000}" name="O" totalsRowFunction="sum" dataDxfId="568" totalsRowDxfId="531"/>
    <tableColumn id="32" xr3:uid="{00000000-0010-0000-0000-000020000000}" name="I" totalsRowFunction="sum" dataDxfId="567" totalsRowDxfId="530"/>
    <tableColumn id="33" xr3:uid="{00000000-0010-0000-0000-000021000000}" name="E" totalsRowFunction="sum" dataDxfId="566" totalsRowDxfId="529"/>
    <tableColumn id="34" xr3:uid="{00000000-0010-0000-0000-000022000000}" name="A" totalsRowFunction="sum" dataDxfId="565" totalsRowDxfId="528"/>
    <tableColumn id="35" xr3:uid="{00000000-0010-0000-0000-000023000000}" name="P" totalsRowFunction="sum" dataDxfId="564" totalsRowDxfId="527"/>
    <tableColumn id="36" xr3:uid="{00000000-0010-0000-0000-000024000000}" name="N" totalsRowFunction="count" dataDxfId="563" totalsRowDxfId="5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TZ_DMM_LF_LEGACY" displayName="ATZ_DMM_LF_LEGACY" ref="A1:AJ12" totalsRowCount="1" headerRowDxfId="524" dataDxfId="487" totalsRowDxfId="450">
  <tableColumns count="36">
    <tableColumn id="1" xr3:uid="{00000000-0010-0000-0100-000001000000}" name="Day" totalsRowLabel="TOTAL" dataDxfId="523" totalsRowDxfId="486"/>
    <tableColumn id="2" xr3:uid="{00000000-0010-0000-0100-000002000000}" name="Flt Dt" dataDxfId="522" totalsRowDxfId="485"/>
    <tableColumn id="3" xr3:uid="{00000000-0010-0000-0100-000003000000}" name="Flt" totalsRowFunction="count" dataDxfId="521" totalsRowDxfId="484"/>
    <tableColumn id="4" xr3:uid="{00000000-0010-0000-0100-000004000000}" name="DEP" dataDxfId="520" totalsRowDxfId="483"/>
    <tableColumn id="5" xr3:uid="{00000000-0010-0000-0100-000005000000}" name="Brd-Off" totalsRowFunction="count" dataDxfId="519" totalsRowDxfId="482"/>
    <tableColumn id="6" xr3:uid="{00000000-0010-0000-0100-000006000000}" name="Eqp" dataDxfId="518" totalsRowDxfId="481"/>
    <tableColumn id="7" xr3:uid="{00000000-0010-0000-0100-000007000000}" name="LF%" totalsRowFunction="average" dataDxfId="517" totalsRowDxfId="480"/>
    <tableColumn id="8" xr3:uid="{00000000-0010-0000-0100-000008000000}" name="CAP" totalsRowFunction="sum" dataDxfId="516" totalsRowDxfId="479"/>
    <tableColumn id="9" xr3:uid="{00000000-0010-0000-0100-000009000000}" name="BKG(Y)" totalsRowFunction="sum" dataDxfId="515" totalsRowDxfId="478"/>
    <tableColumn id="10" xr3:uid="{00000000-0010-0000-0100-00000A000000}" name="GRP(Y)" totalsRowFunction="sum" dataDxfId="514" totalsRowDxfId="477"/>
    <tableColumn id="11" xr3:uid="{00000000-0010-0000-0100-00000B000000}" name="FLT ST" dataDxfId="513" totalsRowDxfId="476"/>
    <tableColumn id="12" xr3:uid="{00000000-0010-0000-0100-00000C000000}" name="LST-SOLD" dataDxfId="512" totalsRowDxfId="475"/>
    <tableColumn id="13" xr3:uid="{00000000-0010-0000-0100-00000D000000}" name="TO-DAY" totalsRowFunction="sum" dataDxfId="511" totalsRowDxfId="474"/>
    <tableColumn id="14" xr3:uid="{00000000-0010-0000-0100-00000E000000}" name="Y-DAY" totalsRowFunction="sum" dataDxfId="510" totalsRowDxfId="473"/>
    <tableColumn id="15" xr3:uid="{00000000-0010-0000-0100-00000F000000}" name="WEEKLY" totalsRowFunction="sum" dataDxfId="509" totalsRowDxfId="472"/>
    <tableColumn id="16" xr3:uid="{00000000-0010-0000-0100-000010000000}" name="LOWEST AVAIL" dataDxfId="508" totalsRowDxfId="471"/>
    <tableColumn id="17" xr3:uid="{00000000-0010-0000-0100-000011000000}" name="Y" totalsRowFunction="sum" dataDxfId="507" totalsRowDxfId="470"/>
    <tableColumn id="18" xr3:uid="{00000000-0010-0000-0100-000012000000}" name="B" totalsRowFunction="sum" dataDxfId="506" totalsRowDxfId="469"/>
    <tableColumn id="19" xr3:uid="{00000000-0010-0000-0100-000013000000}" name="M" totalsRowFunction="sum" dataDxfId="505" totalsRowDxfId="468"/>
    <tableColumn id="20" xr3:uid="{00000000-0010-0000-0100-000014000000}" name="H" totalsRowFunction="sum" dataDxfId="504" totalsRowDxfId="467"/>
    <tableColumn id="21" xr3:uid="{00000000-0010-0000-0100-000015000000}" name="Q" totalsRowFunction="sum" dataDxfId="503" totalsRowDxfId="466"/>
    <tableColumn id="22" xr3:uid="{00000000-0010-0000-0100-000016000000}" name="K" totalsRowFunction="sum" dataDxfId="502" totalsRowDxfId="465"/>
    <tableColumn id="23" xr3:uid="{00000000-0010-0000-0100-000017000000}" name="V" totalsRowFunction="sum" dataDxfId="501" totalsRowDxfId="464"/>
    <tableColumn id="24" xr3:uid="{00000000-0010-0000-0100-000018000000}" name="L" totalsRowFunction="sum" dataDxfId="500" totalsRowDxfId="463"/>
    <tableColumn id="25" xr3:uid="{00000000-0010-0000-0100-000019000000}" name="G" totalsRowFunction="sum" dataDxfId="499" totalsRowDxfId="462"/>
    <tableColumn id="26" xr3:uid="{00000000-0010-0000-0100-00001A000000}" name="S" totalsRowFunction="sum" dataDxfId="498" totalsRowDxfId="461"/>
    <tableColumn id="27" xr3:uid="{00000000-0010-0000-0100-00001B000000}" name="W" totalsRowFunction="sum" dataDxfId="497" totalsRowDxfId="460"/>
    <tableColumn id="28" xr3:uid="{00000000-0010-0000-0100-00001C000000}" name="T" totalsRowFunction="sum" dataDxfId="496" totalsRowDxfId="459"/>
    <tableColumn id="29" xr3:uid="{00000000-0010-0000-0100-00001D000000}" name="X" totalsRowFunction="sum" dataDxfId="495" totalsRowDxfId="458"/>
    <tableColumn id="30" xr3:uid="{00000000-0010-0000-0100-00001E000000}" name="U" totalsRowFunction="sum" dataDxfId="494" totalsRowDxfId="457"/>
    <tableColumn id="31" xr3:uid="{00000000-0010-0000-0100-00001F000000}" name="O" totalsRowFunction="sum" dataDxfId="493" totalsRowDxfId="456"/>
    <tableColumn id="32" xr3:uid="{00000000-0010-0000-0100-000020000000}" name="I" totalsRowFunction="sum" dataDxfId="492" totalsRowDxfId="455"/>
    <tableColumn id="33" xr3:uid="{00000000-0010-0000-0100-000021000000}" name="E" totalsRowFunction="sum" dataDxfId="491" totalsRowDxfId="454"/>
    <tableColumn id="34" xr3:uid="{00000000-0010-0000-0100-000022000000}" name="A" totalsRowFunction="sum" dataDxfId="490" totalsRowDxfId="453"/>
    <tableColumn id="35" xr3:uid="{00000000-0010-0000-0100-000023000000}" name="P" totalsRowFunction="sum" dataDxfId="489" totalsRowDxfId="452"/>
    <tableColumn id="36" xr3:uid="{00000000-0010-0000-0100-000024000000}" name="N" totalsRowFunction="count" dataDxfId="488" totalsRowDxfId="4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TZ_TUU_LF_LEGACY" displayName="ATZ_TUU_LF_LEGACY" ref="A1:AJ7" totalsRowCount="1" headerRowDxfId="449" dataDxfId="412" totalsRowDxfId="375">
  <tableColumns count="36">
    <tableColumn id="1" xr3:uid="{00000000-0010-0000-0200-000001000000}" name="Day" totalsRowLabel="TOTAL" dataDxfId="448" totalsRowDxfId="411"/>
    <tableColumn id="2" xr3:uid="{00000000-0010-0000-0200-000002000000}" name="Flt Dt" dataDxfId="447" totalsRowDxfId="410"/>
    <tableColumn id="3" xr3:uid="{00000000-0010-0000-0200-000003000000}" name="Flt" totalsRowFunction="count" dataDxfId="446" totalsRowDxfId="409"/>
    <tableColumn id="4" xr3:uid="{00000000-0010-0000-0200-000004000000}" name="DEP" dataDxfId="445" totalsRowDxfId="408"/>
    <tableColumn id="5" xr3:uid="{00000000-0010-0000-0200-000005000000}" name="Brd-Off" totalsRowFunction="count" dataDxfId="444" totalsRowDxfId="407"/>
    <tableColumn id="6" xr3:uid="{00000000-0010-0000-0200-000006000000}" name="Eqp" dataDxfId="443" totalsRowDxfId="406"/>
    <tableColumn id="7" xr3:uid="{00000000-0010-0000-0200-000007000000}" name="LF%" totalsRowFunction="average" dataDxfId="442" totalsRowDxfId="405"/>
    <tableColumn id="8" xr3:uid="{00000000-0010-0000-0200-000008000000}" name="CAP" totalsRowFunction="sum" dataDxfId="441" totalsRowDxfId="404"/>
    <tableColumn id="9" xr3:uid="{00000000-0010-0000-0200-000009000000}" name="BKG(Y)" totalsRowFunction="sum" dataDxfId="440" totalsRowDxfId="403"/>
    <tableColumn id="10" xr3:uid="{00000000-0010-0000-0200-00000A000000}" name="GRP(Y)" totalsRowFunction="sum" dataDxfId="439" totalsRowDxfId="402"/>
    <tableColumn id="11" xr3:uid="{00000000-0010-0000-0200-00000B000000}" name="FLT ST" dataDxfId="438" totalsRowDxfId="401"/>
    <tableColumn id="12" xr3:uid="{00000000-0010-0000-0200-00000C000000}" name="LST-SOLD" dataDxfId="437" totalsRowDxfId="400"/>
    <tableColumn id="13" xr3:uid="{00000000-0010-0000-0200-00000D000000}" name="TO-DAY" totalsRowFunction="sum" dataDxfId="436" totalsRowDxfId="399"/>
    <tableColumn id="14" xr3:uid="{00000000-0010-0000-0200-00000E000000}" name="Y-DAY" totalsRowFunction="sum" dataDxfId="435" totalsRowDxfId="398"/>
    <tableColumn id="15" xr3:uid="{00000000-0010-0000-0200-00000F000000}" name="WEEKLY" totalsRowFunction="sum" dataDxfId="434" totalsRowDxfId="397"/>
    <tableColumn id="16" xr3:uid="{00000000-0010-0000-0200-000010000000}" name="LOWEST AVAIL" dataDxfId="433" totalsRowDxfId="396"/>
    <tableColumn id="17" xr3:uid="{00000000-0010-0000-0200-000011000000}" name="Y" totalsRowFunction="sum" dataDxfId="432" totalsRowDxfId="395"/>
    <tableColumn id="18" xr3:uid="{00000000-0010-0000-0200-000012000000}" name="B" totalsRowFunction="sum" dataDxfId="431" totalsRowDxfId="394"/>
    <tableColumn id="19" xr3:uid="{00000000-0010-0000-0200-000013000000}" name="M" totalsRowFunction="sum" dataDxfId="430" totalsRowDxfId="393"/>
    <tableColumn id="20" xr3:uid="{00000000-0010-0000-0200-000014000000}" name="H" totalsRowFunction="sum" dataDxfId="429" totalsRowDxfId="392"/>
    <tableColumn id="21" xr3:uid="{00000000-0010-0000-0200-000015000000}" name="Q" totalsRowFunction="sum" dataDxfId="428" totalsRowDxfId="391"/>
    <tableColumn id="22" xr3:uid="{00000000-0010-0000-0200-000016000000}" name="K" totalsRowFunction="sum" dataDxfId="427" totalsRowDxfId="390"/>
    <tableColumn id="23" xr3:uid="{00000000-0010-0000-0200-000017000000}" name="V" totalsRowFunction="sum" dataDxfId="426" totalsRowDxfId="389"/>
    <tableColumn id="24" xr3:uid="{00000000-0010-0000-0200-000018000000}" name="L" totalsRowFunction="sum" dataDxfId="425" totalsRowDxfId="388"/>
    <tableColumn id="25" xr3:uid="{00000000-0010-0000-0200-000019000000}" name="G" totalsRowFunction="sum" dataDxfId="424" totalsRowDxfId="387"/>
    <tableColumn id="26" xr3:uid="{00000000-0010-0000-0200-00001A000000}" name="S" totalsRowFunction="sum" dataDxfId="423" totalsRowDxfId="386"/>
    <tableColumn id="27" xr3:uid="{00000000-0010-0000-0200-00001B000000}" name="W" totalsRowFunction="sum" dataDxfId="422" totalsRowDxfId="385"/>
    <tableColumn id="28" xr3:uid="{00000000-0010-0000-0200-00001C000000}" name="T" totalsRowFunction="sum" dataDxfId="421" totalsRowDxfId="384"/>
    <tableColumn id="29" xr3:uid="{00000000-0010-0000-0200-00001D000000}" name="X" totalsRowFunction="sum" dataDxfId="420" totalsRowDxfId="383"/>
    <tableColumn id="30" xr3:uid="{00000000-0010-0000-0200-00001E000000}" name="U" totalsRowFunction="sum" dataDxfId="419" totalsRowDxfId="382"/>
    <tableColumn id="31" xr3:uid="{00000000-0010-0000-0200-00001F000000}" name="O" totalsRowFunction="sum" dataDxfId="418" totalsRowDxfId="381"/>
    <tableColumn id="32" xr3:uid="{00000000-0010-0000-0200-000020000000}" name="I" totalsRowFunction="sum" dataDxfId="417" totalsRowDxfId="380"/>
    <tableColumn id="33" xr3:uid="{00000000-0010-0000-0200-000021000000}" name="E" totalsRowFunction="sum" dataDxfId="416" totalsRowDxfId="379"/>
    <tableColumn id="34" xr3:uid="{00000000-0010-0000-0200-000022000000}" name="A" totalsRowFunction="sum" dataDxfId="415" totalsRowDxfId="378"/>
    <tableColumn id="35" xr3:uid="{00000000-0010-0000-0200-000023000000}" name="P" totalsRowFunction="sum" dataDxfId="414" totalsRowDxfId="377"/>
    <tableColumn id="36" xr3:uid="{00000000-0010-0000-0200-000024000000}" name="N" totalsRowFunction="count" dataDxfId="413" totalsRowDxfId="3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TZ_AJF_LF_LEGACY" displayName="ATZ_AJF_LF_LEGACY" ref="A1:AJ7" totalsRowCount="1" headerRowDxfId="374" dataDxfId="337" totalsRowDxfId="300">
  <tableColumns count="36">
    <tableColumn id="1" xr3:uid="{00000000-0010-0000-0300-000001000000}" name="Day" totalsRowLabel="TOTAL" dataDxfId="373" totalsRowDxfId="336"/>
    <tableColumn id="2" xr3:uid="{00000000-0010-0000-0300-000002000000}" name="Flt Dt" dataDxfId="372" totalsRowDxfId="335"/>
    <tableColumn id="3" xr3:uid="{00000000-0010-0000-0300-000003000000}" name="Flt" totalsRowFunction="count" dataDxfId="371" totalsRowDxfId="334"/>
    <tableColumn id="4" xr3:uid="{00000000-0010-0000-0300-000004000000}" name="DEP" dataDxfId="370" totalsRowDxfId="333"/>
    <tableColumn id="5" xr3:uid="{00000000-0010-0000-0300-000005000000}" name="Brd-Off" totalsRowFunction="count" dataDxfId="369" totalsRowDxfId="332"/>
    <tableColumn id="6" xr3:uid="{00000000-0010-0000-0300-000006000000}" name="Eqp" dataDxfId="368" totalsRowDxfId="331"/>
    <tableColumn id="7" xr3:uid="{00000000-0010-0000-0300-000007000000}" name="LF%" totalsRowFunction="average" dataDxfId="367" totalsRowDxfId="330"/>
    <tableColumn id="8" xr3:uid="{00000000-0010-0000-0300-000008000000}" name="CAP" totalsRowFunction="sum" dataDxfId="366" totalsRowDxfId="329"/>
    <tableColumn id="9" xr3:uid="{00000000-0010-0000-0300-000009000000}" name="BKG(Y)" totalsRowFunction="sum" dataDxfId="365" totalsRowDxfId="328"/>
    <tableColumn id="10" xr3:uid="{00000000-0010-0000-0300-00000A000000}" name="GRP(Y)" totalsRowFunction="sum" dataDxfId="364" totalsRowDxfId="327"/>
    <tableColumn id="11" xr3:uid="{00000000-0010-0000-0300-00000B000000}" name="FLT ST" dataDxfId="363" totalsRowDxfId="326"/>
    <tableColumn id="12" xr3:uid="{00000000-0010-0000-0300-00000C000000}" name="LST-SOLD" dataDxfId="362" totalsRowDxfId="325"/>
    <tableColumn id="13" xr3:uid="{00000000-0010-0000-0300-00000D000000}" name="TO-DAY" totalsRowFunction="sum" dataDxfId="361" totalsRowDxfId="324"/>
    <tableColumn id="14" xr3:uid="{00000000-0010-0000-0300-00000E000000}" name="Y-DAY" totalsRowFunction="sum" dataDxfId="360" totalsRowDxfId="323"/>
    <tableColumn id="15" xr3:uid="{00000000-0010-0000-0300-00000F000000}" name="WEEKLY" totalsRowFunction="sum" dataDxfId="359" totalsRowDxfId="322"/>
    <tableColumn id="16" xr3:uid="{00000000-0010-0000-0300-000010000000}" name="LOWEST AVAIL" dataDxfId="358" totalsRowDxfId="321"/>
    <tableColumn id="17" xr3:uid="{00000000-0010-0000-0300-000011000000}" name="Y" totalsRowFunction="sum" dataDxfId="357" totalsRowDxfId="320"/>
    <tableColumn id="18" xr3:uid="{00000000-0010-0000-0300-000012000000}" name="B" totalsRowFunction="sum" dataDxfId="356" totalsRowDxfId="319"/>
    <tableColumn id="19" xr3:uid="{00000000-0010-0000-0300-000013000000}" name="M" totalsRowFunction="sum" dataDxfId="355" totalsRowDxfId="318"/>
    <tableColumn id="20" xr3:uid="{00000000-0010-0000-0300-000014000000}" name="H" totalsRowFunction="sum" dataDxfId="354" totalsRowDxfId="317"/>
    <tableColumn id="21" xr3:uid="{00000000-0010-0000-0300-000015000000}" name="Q" totalsRowFunction="sum" dataDxfId="353" totalsRowDxfId="316"/>
    <tableColumn id="22" xr3:uid="{00000000-0010-0000-0300-000016000000}" name="K" totalsRowFunction="sum" dataDxfId="352" totalsRowDxfId="315"/>
    <tableColumn id="23" xr3:uid="{00000000-0010-0000-0300-000017000000}" name="V" totalsRowFunction="sum" dataDxfId="351" totalsRowDxfId="314"/>
    <tableColumn id="24" xr3:uid="{00000000-0010-0000-0300-000018000000}" name="L" totalsRowFunction="sum" dataDxfId="350" totalsRowDxfId="313"/>
    <tableColumn id="25" xr3:uid="{00000000-0010-0000-0300-000019000000}" name="G" totalsRowFunction="sum" dataDxfId="349" totalsRowDxfId="312"/>
    <tableColumn id="26" xr3:uid="{00000000-0010-0000-0300-00001A000000}" name="S" totalsRowFunction="sum" dataDxfId="348" totalsRowDxfId="311"/>
    <tableColumn id="27" xr3:uid="{00000000-0010-0000-0300-00001B000000}" name="W" totalsRowFunction="sum" dataDxfId="347" totalsRowDxfId="310"/>
    <tableColumn id="28" xr3:uid="{00000000-0010-0000-0300-00001C000000}" name="T" totalsRowFunction="sum" dataDxfId="346" totalsRowDxfId="309"/>
    <tableColumn id="29" xr3:uid="{00000000-0010-0000-0300-00001D000000}" name="X" totalsRowFunction="sum" dataDxfId="345" totalsRowDxfId="308"/>
    <tableColumn id="30" xr3:uid="{00000000-0010-0000-0300-00001E000000}" name="U" totalsRowFunction="sum" dataDxfId="344" totalsRowDxfId="307"/>
    <tableColumn id="31" xr3:uid="{00000000-0010-0000-0300-00001F000000}" name="O" totalsRowFunction="sum" dataDxfId="343" totalsRowDxfId="306"/>
    <tableColumn id="32" xr3:uid="{00000000-0010-0000-0300-000020000000}" name="I" totalsRowFunction="sum" dataDxfId="342" totalsRowDxfId="305"/>
    <tableColumn id="33" xr3:uid="{00000000-0010-0000-0300-000021000000}" name="E" totalsRowFunction="sum" dataDxfId="341" totalsRowDxfId="304"/>
    <tableColumn id="34" xr3:uid="{00000000-0010-0000-0300-000022000000}" name="A" totalsRowFunction="sum" dataDxfId="340" totalsRowDxfId="303"/>
    <tableColumn id="35" xr3:uid="{00000000-0010-0000-0300-000023000000}" name="P" totalsRowFunction="sum" dataDxfId="339" totalsRowDxfId="302"/>
    <tableColumn id="36" xr3:uid="{00000000-0010-0000-0300-000024000000}" name="N" totalsRowFunction="count" dataDxfId="338" totalsRowDxfId="30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TZ_AHB_LF_LEGACY" displayName="ATZ_AHB_LF_LEGACY" ref="A1:AJ7" totalsRowCount="1" headerRowDxfId="299" dataDxfId="262" totalsRowDxfId="225">
  <tableColumns count="36">
    <tableColumn id="1" xr3:uid="{00000000-0010-0000-0400-000001000000}" name="Day" totalsRowLabel="TOTAL" dataDxfId="298" totalsRowDxfId="261"/>
    <tableColumn id="2" xr3:uid="{00000000-0010-0000-0400-000002000000}" name="Flt Dt" dataDxfId="297" totalsRowDxfId="260"/>
    <tableColumn id="3" xr3:uid="{00000000-0010-0000-0400-000003000000}" name="Flt" totalsRowFunction="count" dataDxfId="296" totalsRowDxfId="259"/>
    <tableColumn id="4" xr3:uid="{00000000-0010-0000-0400-000004000000}" name="DEP" dataDxfId="295" totalsRowDxfId="258"/>
    <tableColumn id="5" xr3:uid="{00000000-0010-0000-0400-000005000000}" name="Brd-Off" totalsRowFunction="count" dataDxfId="294" totalsRowDxfId="257"/>
    <tableColumn id="6" xr3:uid="{00000000-0010-0000-0400-000006000000}" name="Eqp" dataDxfId="293" totalsRowDxfId="256"/>
    <tableColumn id="7" xr3:uid="{00000000-0010-0000-0400-000007000000}" name="LF%" totalsRowFunction="average" dataDxfId="292" totalsRowDxfId="255"/>
    <tableColumn id="8" xr3:uid="{00000000-0010-0000-0400-000008000000}" name="CAP" totalsRowFunction="sum" dataDxfId="291" totalsRowDxfId="254"/>
    <tableColumn id="9" xr3:uid="{00000000-0010-0000-0400-000009000000}" name="BKG(Y)" totalsRowFunction="sum" dataDxfId="290" totalsRowDxfId="253"/>
    <tableColumn id="10" xr3:uid="{00000000-0010-0000-0400-00000A000000}" name="GRP(Y)" totalsRowFunction="sum" dataDxfId="289" totalsRowDxfId="252"/>
    <tableColumn id="11" xr3:uid="{00000000-0010-0000-0400-00000B000000}" name="FLT ST" dataDxfId="288" totalsRowDxfId="251"/>
    <tableColumn id="12" xr3:uid="{00000000-0010-0000-0400-00000C000000}" name="LST-SOLD" dataDxfId="287" totalsRowDxfId="250"/>
    <tableColumn id="13" xr3:uid="{00000000-0010-0000-0400-00000D000000}" name="TO-DAY" totalsRowFunction="sum" dataDxfId="286" totalsRowDxfId="249"/>
    <tableColumn id="14" xr3:uid="{00000000-0010-0000-0400-00000E000000}" name="Y-DAY" totalsRowFunction="sum" dataDxfId="285" totalsRowDxfId="248"/>
    <tableColumn id="15" xr3:uid="{00000000-0010-0000-0400-00000F000000}" name="WEEKLY" totalsRowFunction="sum" dataDxfId="284" totalsRowDxfId="247"/>
    <tableColumn id="16" xr3:uid="{00000000-0010-0000-0400-000010000000}" name="LOWEST AVAIL" dataDxfId="283" totalsRowDxfId="246"/>
    <tableColumn id="17" xr3:uid="{00000000-0010-0000-0400-000011000000}" name="Y" totalsRowFunction="sum" dataDxfId="282" totalsRowDxfId="245"/>
    <tableColumn id="18" xr3:uid="{00000000-0010-0000-0400-000012000000}" name="B" totalsRowFunction="sum" dataDxfId="281" totalsRowDxfId="244"/>
    <tableColumn id="19" xr3:uid="{00000000-0010-0000-0400-000013000000}" name="M" totalsRowFunction="sum" dataDxfId="280" totalsRowDxfId="243"/>
    <tableColumn id="20" xr3:uid="{00000000-0010-0000-0400-000014000000}" name="H" totalsRowFunction="sum" dataDxfId="279" totalsRowDxfId="242"/>
    <tableColumn id="21" xr3:uid="{00000000-0010-0000-0400-000015000000}" name="Q" totalsRowFunction="sum" dataDxfId="278" totalsRowDxfId="241"/>
    <tableColumn id="22" xr3:uid="{00000000-0010-0000-0400-000016000000}" name="K" totalsRowFunction="sum" dataDxfId="277" totalsRowDxfId="240"/>
    <tableColumn id="23" xr3:uid="{00000000-0010-0000-0400-000017000000}" name="V" totalsRowFunction="sum" dataDxfId="276" totalsRowDxfId="239"/>
    <tableColumn id="24" xr3:uid="{00000000-0010-0000-0400-000018000000}" name="L" totalsRowFunction="sum" dataDxfId="275" totalsRowDxfId="238"/>
    <tableColumn id="25" xr3:uid="{00000000-0010-0000-0400-000019000000}" name="G" totalsRowFunction="sum" dataDxfId="274" totalsRowDxfId="237"/>
    <tableColumn id="26" xr3:uid="{00000000-0010-0000-0400-00001A000000}" name="S" totalsRowFunction="sum" dataDxfId="273" totalsRowDxfId="236"/>
    <tableColumn id="27" xr3:uid="{00000000-0010-0000-0400-00001B000000}" name="W" totalsRowFunction="sum" dataDxfId="272" totalsRowDxfId="235"/>
    <tableColumn id="28" xr3:uid="{00000000-0010-0000-0400-00001C000000}" name="T" totalsRowFunction="sum" dataDxfId="271" totalsRowDxfId="234"/>
    <tableColumn id="29" xr3:uid="{00000000-0010-0000-0400-00001D000000}" name="X" totalsRowFunction="sum" dataDxfId="270" totalsRowDxfId="233"/>
    <tableColumn id="30" xr3:uid="{00000000-0010-0000-0400-00001E000000}" name="U" totalsRowFunction="sum" dataDxfId="269" totalsRowDxfId="232"/>
    <tableColumn id="31" xr3:uid="{00000000-0010-0000-0400-00001F000000}" name="O" totalsRowFunction="sum" dataDxfId="268" totalsRowDxfId="231"/>
    <tableColumn id="32" xr3:uid="{00000000-0010-0000-0400-000020000000}" name="I" totalsRowFunction="sum" dataDxfId="267" totalsRowDxfId="230"/>
    <tableColumn id="33" xr3:uid="{00000000-0010-0000-0400-000021000000}" name="E" totalsRowFunction="sum" dataDxfId="266" totalsRowDxfId="229"/>
    <tableColumn id="34" xr3:uid="{00000000-0010-0000-0400-000022000000}" name="A" totalsRowFunction="sum" dataDxfId="265" totalsRowDxfId="228"/>
    <tableColumn id="35" xr3:uid="{00000000-0010-0000-0400-000023000000}" name="P" totalsRowFunction="sum" dataDxfId="264" totalsRowDxfId="227"/>
    <tableColumn id="36" xr3:uid="{00000000-0010-0000-0400-000024000000}" name="N" totalsRowFunction="count" dataDxfId="263" totalsRowDxfId="22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TZ_ELQ_LF_LEGACY" displayName="ATZ_ELQ_LF_LEGACY" ref="A1:AJ11" totalsRowCount="1" headerRowDxfId="224" dataDxfId="187" totalsRowDxfId="150">
  <tableColumns count="36">
    <tableColumn id="1" xr3:uid="{00000000-0010-0000-0500-000001000000}" name="Day" totalsRowLabel="TOTAL" dataDxfId="223" totalsRowDxfId="186"/>
    <tableColumn id="2" xr3:uid="{00000000-0010-0000-0500-000002000000}" name="Flt Dt" dataDxfId="222" totalsRowDxfId="185"/>
    <tableColumn id="3" xr3:uid="{00000000-0010-0000-0500-000003000000}" name="Flt" totalsRowFunction="count" dataDxfId="221" totalsRowDxfId="184"/>
    <tableColumn id="4" xr3:uid="{00000000-0010-0000-0500-000004000000}" name="DEP" dataDxfId="220" totalsRowDxfId="183"/>
    <tableColumn id="5" xr3:uid="{00000000-0010-0000-0500-000005000000}" name="Brd-Off" totalsRowFunction="count" dataDxfId="219" totalsRowDxfId="182"/>
    <tableColumn id="6" xr3:uid="{00000000-0010-0000-0500-000006000000}" name="Eqp" dataDxfId="218" totalsRowDxfId="181"/>
    <tableColumn id="7" xr3:uid="{00000000-0010-0000-0500-000007000000}" name="LF%" totalsRowFunction="average" dataDxfId="217" totalsRowDxfId="180"/>
    <tableColumn id="8" xr3:uid="{00000000-0010-0000-0500-000008000000}" name="CAP" totalsRowFunction="sum" dataDxfId="216" totalsRowDxfId="179"/>
    <tableColumn id="9" xr3:uid="{00000000-0010-0000-0500-000009000000}" name="BKG(Y)" totalsRowFunction="sum" dataDxfId="215" totalsRowDxfId="178"/>
    <tableColumn id="10" xr3:uid="{00000000-0010-0000-0500-00000A000000}" name="GRP(Y)" totalsRowFunction="sum" dataDxfId="214" totalsRowDxfId="177"/>
    <tableColumn id="11" xr3:uid="{00000000-0010-0000-0500-00000B000000}" name="FLT ST" dataDxfId="213" totalsRowDxfId="176"/>
    <tableColumn id="12" xr3:uid="{00000000-0010-0000-0500-00000C000000}" name="LST-SOLD" dataDxfId="212" totalsRowDxfId="175"/>
    <tableColumn id="13" xr3:uid="{00000000-0010-0000-0500-00000D000000}" name="TO-DAY" totalsRowFunction="sum" dataDxfId="211" totalsRowDxfId="174"/>
    <tableColumn id="14" xr3:uid="{00000000-0010-0000-0500-00000E000000}" name="Y-DAY" totalsRowFunction="sum" dataDxfId="210" totalsRowDxfId="173"/>
    <tableColumn id="15" xr3:uid="{00000000-0010-0000-0500-00000F000000}" name="WEEKLY" totalsRowFunction="sum" dataDxfId="209" totalsRowDxfId="172"/>
    <tableColumn id="16" xr3:uid="{00000000-0010-0000-0500-000010000000}" name="LOWEST AVAIL" dataDxfId="208" totalsRowDxfId="171"/>
    <tableColumn id="17" xr3:uid="{00000000-0010-0000-0500-000011000000}" name="Y" totalsRowFunction="sum" dataDxfId="207" totalsRowDxfId="170"/>
    <tableColumn id="18" xr3:uid="{00000000-0010-0000-0500-000012000000}" name="B" totalsRowFunction="sum" dataDxfId="206" totalsRowDxfId="169"/>
    <tableColumn id="19" xr3:uid="{00000000-0010-0000-0500-000013000000}" name="M" totalsRowFunction="sum" dataDxfId="205" totalsRowDxfId="168"/>
    <tableColumn id="20" xr3:uid="{00000000-0010-0000-0500-000014000000}" name="H" totalsRowFunction="sum" dataDxfId="204" totalsRowDxfId="167"/>
    <tableColumn id="21" xr3:uid="{00000000-0010-0000-0500-000015000000}" name="Q" totalsRowFunction="sum" dataDxfId="203" totalsRowDxfId="166"/>
    <tableColumn id="22" xr3:uid="{00000000-0010-0000-0500-000016000000}" name="K" totalsRowFunction="sum" dataDxfId="202" totalsRowDxfId="165"/>
    <tableColumn id="23" xr3:uid="{00000000-0010-0000-0500-000017000000}" name="V" totalsRowFunction="sum" dataDxfId="201" totalsRowDxfId="164"/>
    <tableColumn id="24" xr3:uid="{00000000-0010-0000-0500-000018000000}" name="L" totalsRowFunction="sum" dataDxfId="200" totalsRowDxfId="163"/>
    <tableColumn id="25" xr3:uid="{00000000-0010-0000-0500-000019000000}" name="G" totalsRowFunction="sum" dataDxfId="199" totalsRowDxfId="162"/>
    <tableColumn id="26" xr3:uid="{00000000-0010-0000-0500-00001A000000}" name="S" totalsRowFunction="sum" dataDxfId="198" totalsRowDxfId="161"/>
    <tableColumn id="27" xr3:uid="{00000000-0010-0000-0500-00001B000000}" name="W" totalsRowFunction="sum" dataDxfId="197" totalsRowDxfId="160"/>
    <tableColumn id="28" xr3:uid="{00000000-0010-0000-0500-00001C000000}" name="T" totalsRowFunction="sum" dataDxfId="196" totalsRowDxfId="159"/>
    <tableColumn id="29" xr3:uid="{00000000-0010-0000-0500-00001D000000}" name="X" totalsRowFunction="sum" dataDxfId="195" totalsRowDxfId="158"/>
    <tableColumn id="30" xr3:uid="{00000000-0010-0000-0500-00001E000000}" name="U" totalsRowFunction="sum" dataDxfId="194" totalsRowDxfId="157"/>
    <tableColumn id="31" xr3:uid="{00000000-0010-0000-0500-00001F000000}" name="O" totalsRowFunction="sum" dataDxfId="193" totalsRowDxfId="156"/>
    <tableColumn id="32" xr3:uid="{00000000-0010-0000-0500-000020000000}" name="I" totalsRowFunction="sum" dataDxfId="192" totalsRowDxfId="155"/>
    <tableColumn id="33" xr3:uid="{00000000-0010-0000-0500-000021000000}" name="E" totalsRowFunction="sum" dataDxfId="191" totalsRowDxfId="154"/>
    <tableColumn id="34" xr3:uid="{00000000-0010-0000-0500-000022000000}" name="A" totalsRowFunction="sum" dataDxfId="190" totalsRowDxfId="153"/>
    <tableColumn id="35" xr3:uid="{00000000-0010-0000-0500-000023000000}" name="P" totalsRowFunction="sum" dataDxfId="189" totalsRowDxfId="152"/>
    <tableColumn id="36" xr3:uid="{00000000-0010-0000-0500-000024000000}" name="N" totalsRowFunction="count" dataDxfId="188" totalsRowDxfId="15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TZ_JED_LF_LEGACY" displayName="ATZ_JED_LF_LEGACY" ref="A1:AJ77" totalsRowCount="1" headerRowDxfId="149" dataDxfId="112" totalsRowDxfId="75">
  <tableColumns count="36">
    <tableColumn id="1" xr3:uid="{00000000-0010-0000-0600-000001000000}" name="Day" totalsRowLabel="TOTAL" dataDxfId="148" totalsRowDxfId="111"/>
    <tableColumn id="2" xr3:uid="{00000000-0010-0000-0600-000002000000}" name="Flt Dt" dataDxfId="147" totalsRowDxfId="110"/>
    <tableColumn id="3" xr3:uid="{00000000-0010-0000-0600-000003000000}" name="Flt" totalsRowFunction="count" dataDxfId="146" totalsRowDxfId="109"/>
    <tableColumn id="4" xr3:uid="{00000000-0010-0000-0600-000004000000}" name="DEP" dataDxfId="145" totalsRowDxfId="108"/>
    <tableColumn id="5" xr3:uid="{00000000-0010-0000-0600-000005000000}" name="Brd-Off" totalsRowFunction="count" dataDxfId="144" totalsRowDxfId="107"/>
    <tableColumn id="6" xr3:uid="{00000000-0010-0000-0600-000006000000}" name="Eqp" dataDxfId="143" totalsRowDxfId="106"/>
    <tableColumn id="7" xr3:uid="{00000000-0010-0000-0600-000007000000}" name="LF%" totalsRowFunction="average" dataDxfId="142" totalsRowDxfId="105"/>
    <tableColumn id="8" xr3:uid="{00000000-0010-0000-0600-000008000000}" name="CAP" totalsRowFunction="sum" dataDxfId="141" totalsRowDxfId="104"/>
    <tableColumn id="9" xr3:uid="{00000000-0010-0000-0600-000009000000}" name="BKG(Y)" totalsRowFunction="sum" dataDxfId="140" totalsRowDxfId="103"/>
    <tableColumn id="10" xr3:uid="{00000000-0010-0000-0600-00000A000000}" name="GRP(Y)" totalsRowFunction="sum" dataDxfId="139" totalsRowDxfId="102"/>
    <tableColumn id="11" xr3:uid="{00000000-0010-0000-0600-00000B000000}" name="FLT ST" dataDxfId="138" totalsRowDxfId="101"/>
    <tableColumn id="12" xr3:uid="{00000000-0010-0000-0600-00000C000000}" name="LST-SOLD" dataDxfId="137" totalsRowDxfId="100"/>
    <tableColumn id="13" xr3:uid="{00000000-0010-0000-0600-00000D000000}" name="TO-DAY" totalsRowFunction="sum" dataDxfId="136" totalsRowDxfId="99"/>
    <tableColumn id="14" xr3:uid="{00000000-0010-0000-0600-00000E000000}" name="Y-DAY" totalsRowFunction="sum" dataDxfId="135" totalsRowDxfId="98"/>
    <tableColumn id="15" xr3:uid="{00000000-0010-0000-0600-00000F000000}" name="WEEKLY" totalsRowFunction="sum" dataDxfId="134" totalsRowDxfId="97"/>
    <tableColumn id="16" xr3:uid="{00000000-0010-0000-0600-000010000000}" name="LOWEST AVAIL" dataDxfId="133" totalsRowDxfId="96"/>
    <tableColumn id="17" xr3:uid="{00000000-0010-0000-0600-000011000000}" name="Y" totalsRowFunction="sum" dataDxfId="132" totalsRowDxfId="95"/>
    <tableColumn id="18" xr3:uid="{00000000-0010-0000-0600-000012000000}" name="B" totalsRowFunction="sum" dataDxfId="131" totalsRowDxfId="94"/>
    <tableColumn id="19" xr3:uid="{00000000-0010-0000-0600-000013000000}" name="M" totalsRowFunction="sum" dataDxfId="130" totalsRowDxfId="93"/>
    <tableColumn id="20" xr3:uid="{00000000-0010-0000-0600-000014000000}" name="H" totalsRowFunction="sum" dataDxfId="129" totalsRowDxfId="92"/>
    <tableColumn id="21" xr3:uid="{00000000-0010-0000-0600-000015000000}" name="Q" totalsRowFunction="sum" dataDxfId="128" totalsRowDxfId="91"/>
    <tableColumn id="22" xr3:uid="{00000000-0010-0000-0600-000016000000}" name="K" totalsRowFunction="sum" dataDxfId="127" totalsRowDxfId="90"/>
    <tableColumn id="23" xr3:uid="{00000000-0010-0000-0600-000017000000}" name="V" totalsRowFunction="sum" dataDxfId="126" totalsRowDxfId="89"/>
    <tableColumn id="24" xr3:uid="{00000000-0010-0000-0600-000018000000}" name="L" totalsRowFunction="sum" dataDxfId="125" totalsRowDxfId="88"/>
    <tableColumn id="25" xr3:uid="{00000000-0010-0000-0600-000019000000}" name="G" totalsRowFunction="sum" dataDxfId="124" totalsRowDxfId="87"/>
    <tableColumn id="26" xr3:uid="{00000000-0010-0000-0600-00001A000000}" name="S" totalsRowFunction="sum" dataDxfId="123" totalsRowDxfId="86"/>
    <tableColumn id="27" xr3:uid="{00000000-0010-0000-0600-00001B000000}" name="W" totalsRowFunction="sum" dataDxfId="122" totalsRowDxfId="85"/>
    <tableColumn id="28" xr3:uid="{00000000-0010-0000-0600-00001C000000}" name="T" totalsRowFunction="sum" dataDxfId="121" totalsRowDxfId="84"/>
    <tableColumn id="29" xr3:uid="{00000000-0010-0000-0600-00001D000000}" name="X" totalsRowFunction="sum" dataDxfId="120" totalsRowDxfId="83"/>
    <tableColumn id="30" xr3:uid="{00000000-0010-0000-0600-00001E000000}" name="U" totalsRowFunction="sum" dataDxfId="119" totalsRowDxfId="82"/>
    <tableColumn id="31" xr3:uid="{00000000-0010-0000-0600-00001F000000}" name="O" totalsRowFunction="sum" dataDxfId="118" totalsRowDxfId="81"/>
    <tableColumn id="32" xr3:uid="{00000000-0010-0000-0600-000020000000}" name="I" totalsRowFunction="sum" dataDxfId="117" totalsRowDxfId="80"/>
    <tableColumn id="33" xr3:uid="{00000000-0010-0000-0600-000021000000}" name="E" totalsRowFunction="sum" dataDxfId="116" totalsRowDxfId="79"/>
    <tableColumn id="34" xr3:uid="{00000000-0010-0000-0600-000022000000}" name="A" totalsRowFunction="sum" dataDxfId="115" totalsRowDxfId="78"/>
    <tableColumn id="35" xr3:uid="{00000000-0010-0000-0600-000023000000}" name="P" totalsRowFunction="sum" dataDxfId="114" totalsRowDxfId="77"/>
    <tableColumn id="36" xr3:uid="{00000000-0010-0000-0600-000024000000}" name="N" totalsRowFunction="count" dataDxfId="113" totalsRowDxfId="7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TZ_MED_LF_LEGACY" displayName="ATZ_MED_LF_LEGACY" ref="A1:AJ17" totalsRowCount="1" headerRowDxfId="74" dataDxfId="37" totalsRowDxfId="0">
  <tableColumns count="36">
    <tableColumn id="1" xr3:uid="{00000000-0010-0000-0700-000001000000}" name="Day" totalsRowLabel="TOTAL" dataDxfId="73" totalsRowDxfId="36"/>
    <tableColumn id="2" xr3:uid="{00000000-0010-0000-0700-000002000000}" name="Flt Dt" dataDxfId="72" totalsRowDxfId="35"/>
    <tableColumn id="3" xr3:uid="{00000000-0010-0000-0700-000003000000}" name="Flt" totalsRowFunction="count" dataDxfId="71" totalsRowDxfId="34"/>
    <tableColumn id="4" xr3:uid="{00000000-0010-0000-0700-000004000000}" name="DEP" dataDxfId="70" totalsRowDxfId="33"/>
    <tableColumn id="5" xr3:uid="{00000000-0010-0000-0700-000005000000}" name="Brd-Off" totalsRowFunction="count" dataDxfId="69" totalsRowDxfId="32"/>
    <tableColumn id="6" xr3:uid="{00000000-0010-0000-0700-000006000000}" name="Eqp" dataDxfId="68" totalsRowDxfId="31"/>
    <tableColumn id="7" xr3:uid="{00000000-0010-0000-0700-000007000000}" name="LF%" totalsRowFunction="average" dataDxfId="67" totalsRowDxfId="30"/>
    <tableColumn id="8" xr3:uid="{00000000-0010-0000-0700-000008000000}" name="CAP" totalsRowFunction="sum" dataDxfId="66" totalsRowDxfId="29"/>
    <tableColumn id="9" xr3:uid="{00000000-0010-0000-0700-000009000000}" name="BKG(Y)" totalsRowFunction="sum" dataDxfId="65" totalsRowDxfId="28"/>
    <tableColumn id="10" xr3:uid="{00000000-0010-0000-0700-00000A000000}" name="GRP(Y)" totalsRowFunction="sum" dataDxfId="64" totalsRowDxfId="27"/>
    <tableColumn id="11" xr3:uid="{00000000-0010-0000-0700-00000B000000}" name="FLT ST" dataDxfId="63" totalsRowDxfId="26"/>
    <tableColumn id="12" xr3:uid="{00000000-0010-0000-0700-00000C000000}" name="LST-SOLD" dataDxfId="62" totalsRowDxfId="25"/>
    <tableColumn id="13" xr3:uid="{00000000-0010-0000-0700-00000D000000}" name="TO-DAY" totalsRowFunction="sum" dataDxfId="61" totalsRowDxfId="24"/>
    <tableColumn id="14" xr3:uid="{00000000-0010-0000-0700-00000E000000}" name="Y-DAY" totalsRowFunction="sum" dataDxfId="60" totalsRowDxfId="23"/>
    <tableColumn id="15" xr3:uid="{00000000-0010-0000-0700-00000F000000}" name="WEEKLY" totalsRowFunction="sum" dataDxfId="59" totalsRowDxfId="22"/>
    <tableColumn id="16" xr3:uid="{00000000-0010-0000-0700-000010000000}" name="LOWEST AVAIL" dataDxfId="58" totalsRowDxfId="21"/>
    <tableColumn id="17" xr3:uid="{00000000-0010-0000-0700-000011000000}" name="Y" totalsRowFunction="sum" dataDxfId="57" totalsRowDxfId="20"/>
    <tableColumn id="18" xr3:uid="{00000000-0010-0000-0700-000012000000}" name="B" totalsRowFunction="sum" dataDxfId="56" totalsRowDxfId="19"/>
    <tableColumn id="19" xr3:uid="{00000000-0010-0000-0700-000013000000}" name="M" totalsRowFunction="sum" dataDxfId="55" totalsRowDxfId="18"/>
    <tableColumn id="20" xr3:uid="{00000000-0010-0000-0700-000014000000}" name="H" totalsRowFunction="sum" dataDxfId="54" totalsRowDxfId="17"/>
    <tableColumn id="21" xr3:uid="{00000000-0010-0000-0700-000015000000}" name="Q" totalsRowFunction="sum" dataDxfId="53" totalsRowDxfId="16"/>
    <tableColumn id="22" xr3:uid="{00000000-0010-0000-0700-000016000000}" name="K" totalsRowFunction="sum" dataDxfId="52" totalsRowDxfId="15"/>
    <tableColumn id="23" xr3:uid="{00000000-0010-0000-0700-000017000000}" name="V" totalsRowFunction="sum" dataDxfId="51" totalsRowDxfId="14"/>
    <tableColumn id="24" xr3:uid="{00000000-0010-0000-0700-000018000000}" name="L" totalsRowFunction="sum" dataDxfId="50" totalsRowDxfId="13"/>
    <tableColumn id="25" xr3:uid="{00000000-0010-0000-0700-000019000000}" name="G" totalsRowFunction="sum" dataDxfId="49" totalsRowDxfId="12"/>
    <tableColumn id="26" xr3:uid="{00000000-0010-0000-0700-00001A000000}" name="S" totalsRowFunction="sum" dataDxfId="48" totalsRowDxfId="11"/>
    <tableColumn id="27" xr3:uid="{00000000-0010-0000-0700-00001B000000}" name="W" totalsRowFunction="sum" dataDxfId="47" totalsRowDxfId="10"/>
    <tableColumn id="28" xr3:uid="{00000000-0010-0000-0700-00001C000000}" name="T" totalsRowFunction="sum" dataDxfId="46" totalsRowDxfId="9"/>
    <tableColumn id="29" xr3:uid="{00000000-0010-0000-0700-00001D000000}" name="X" totalsRowFunction="sum" dataDxfId="45" totalsRowDxfId="8"/>
    <tableColumn id="30" xr3:uid="{00000000-0010-0000-0700-00001E000000}" name="U" totalsRowFunction="sum" dataDxfId="44" totalsRowDxfId="7"/>
    <tableColumn id="31" xr3:uid="{00000000-0010-0000-0700-00001F000000}" name="O" totalsRowFunction="sum" dataDxfId="43" totalsRowDxfId="6"/>
    <tableColumn id="32" xr3:uid="{00000000-0010-0000-0700-000020000000}" name="I" totalsRowFunction="sum" dataDxfId="42" totalsRowDxfId="5"/>
    <tableColumn id="33" xr3:uid="{00000000-0010-0000-0700-000021000000}" name="E" totalsRowFunction="sum" dataDxfId="41" totalsRowDxfId="4"/>
    <tableColumn id="34" xr3:uid="{00000000-0010-0000-0700-000022000000}" name="A" totalsRowFunction="sum" dataDxfId="40" totalsRowDxfId="3"/>
    <tableColumn id="35" xr3:uid="{00000000-0010-0000-0700-000023000000}" name="P" totalsRowFunction="sum" dataDxfId="39" totalsRowDxfId="2"/>
    <tableColumn id="36" xr3:uid="{00000000-0010-0000-07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4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74.109375" bestFit="1" customWidth="1"/>
  </cols>
  <sheetData>
    <row r="1" spans="1:92" ht="28.8" customHeight="1" x14ac:dyDescent="0.3">
      <c r="A1" s="220" t="s">
        <v>0</v>
      </c>
      <c r="B1" s="219"/>
      <c r="C1" s="219"/>
      <c r="D1" s="219"/>
      <c r="E1" s="219"/>
      <c r="F1" s="1" t="s">
        <v>1</v>
      </c>
      <c r="G1" s="2" t="s">
        <v>2</v>
      </c>
      <c r="H1" s="218" t="s">
        <v>3</v>
      </c>
      <c r="I1" s="219"/>
      <c r="J1" s="219"/>
      <c r="K1" s="219"/>
      <c r="L1" s="219"/>
      <c r="M1" s="1" t="s">
        <v>4</v>
      </c>
      <c r="N1" s="227" t="s">
        <v>5</v>
      </c>
      <c r="O1" s="219"/>
      <c r="P1" s="219"/>
      <c r="Q1" s="219"/>
      <c r="R1" s="21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23" t="s">
        <v>6</v>
      </c>
      <c r="B2" s="219"/>
      <c r="C2" s="219"/>
      <c r="D2" s="219"/>
      <c r="E2" s="219"/>
      <c r="F2" s="219"/>
      <c r="G2" s="225">
        <v>45984.228696115279</v>
      </c>
      <c r="H2" s="219"/>
      <c r="I2" s="219"/>
      <c r="J2" s="219"/>
      <c r="K2" s="228">
        <v>45984.228696115722</v>
      </c>
      <c r="L2" s="219"/>
      <c r="M2" s="219"/>
      <c r="N2" s="219"/>
      <c r="O2" s="219"/>
      <c r="P2" s="219"/>
      <c r="Q2" s="219"/>
      <c r="R2" s="21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24" t="s">
        <v>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26" t="s">
        <v>8</v>
      </c>
      <c r="B4" s="214"/>
      <c r="C4" s="214"/>
      <c r="D4" s="214"/>
      <c r="E4" s="214"/>
      <c r="F4" s="215"/>
      <c r="G4" s="4">
        <v>45984</v>
      </c>
      <c r="H4" s="222" t="s">
        <v>9</v>
      </c>
      <c r="I4" s="214"/>
      <c r="J4" s="214"/>
      <c r="K4" s="214"/>
      <c r="L4" s="214"/>
      <c r="M4" s="214"/>
      <c r="N4" s="214"/>
      <c r="O4" s="214"/>
      <c r="P4" s="214"/>
      <c r="Q4" s="214"/>
      <c r="R4" s="21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0.42708333333333331</v>
      </c>
      <c r="D6" s="8" t="s">
        <v>30</v>
      </c>
      <c r="E6" s="10"/>
      <c r="F6" s="8" t="s">
        <v>31</v>
      </c>
      <c r="G6" s="217"/>
      <c r="H6" s="11" t="s">
        <v>29</v>
      </c>
      <c r="I6" s="12">
        <v>0.82120000000000004</v>
      </c>
      <c r="J6" s="13">
        <v>147</v>
      </c>
      <c r="K6" s="14" t="s">
        <v>32</v>
      </c>
      <c r="L6" s="13">
        <v>45</v>
      </c>
      <c r="M6" s="13">
        <v>0</v>
      </c>
      <c r="N6" s="13">
        <v>4</v>
      </c>
      <c r="O6" s="15" t="s">
        <v>33</v>
      </c>
      <c r="P6" s="16">
        <v>0.42708333333333331</v>
      </c>
      <c r="Q6" s="13">
        <v>179</v>
      </c>
      <c r="R6" s="17" t="s">
        <v>34</v>
      </c>
    </row>
    <row r="7" spans="1:92" ht="17.399999999999999" customHeight="1" thickBot="1" x14ac:dyDescent="0.35">
      <c r="A7" s="245"/>
      <c r="B7" s="246"/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7"/>
    </row>
    <row r="8" spans="1:92" ht="22.05" customHeight="1" thickTop="1" thickBot="1" x14ac:dyDescent="0.35">
      <c r="A8" s="213" t="s">
        <v>8</v>
      </c>
      <c r="B8" s="214"/>
      <c r="C8" s="214"/>
      <c r="D8" s="214"/>
      <c r="E8" s="214"/>
      <c r="F8" s="215"/>
      <c r="G8" s="18">
        <v>45986</v>
      </c>
      <c r="H8" s="216" t="s">
        <v>9</v>
      </c>
      <c r="I8" s="214"/>
      <c r="J8" s="214"/>
      <c r="K8" s="214"/>
      <c r="L8" s="214"/>
      <c r="M8" s="214"/>
      <c r="N8" s="214"/>
      <c r="O8" s="214"/>
      <c r="P8" s="214"/>
      <c r="Q8" s="214"/>
      <c r="R8" s="215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26" t="s">
        <v>28</v>
      </c>
      <c r="B10" s="26" t="s">
        <v>29</v>
      </c>
      <c r="C10" s="27">
        <v>0.43055555555555558</v>
      </c>
      <c r="D10" s="26" t="s">
        <v>30</v>
      </c>
      <c r="E10" s="28"/>
      <c r="F10" s="26" t="s">
        <v>31</v>
      </c>
      <c r="G10" s="221"/>
      <c r="H10" s="29" t="s">
        <v>29</v>
      </c>
      <c r="I10" s="30">
        <v>0.69830000000000003</v>
      </c>
      <c r="J10" s="31">
        <v>125</v>
      </c>
      <c r="K10" s="32" t="s">
        <v>32</v>
      </c>
      <c r="L10" s="31">
        <v>42</v>
      </c>
      <c r="M10" s="31">
        <v>0</v>
      </c>
      <c r="N10" s="31">
        <v>4</v>
      </c>
      <c r="O10" s="33" t="s">
        <v>35</v>
      </c>
      <c r="P10" s="34">
        <v>0.43055555555555558</v>
      </c>
      <c r="Q10" s="31">
        <v>179</v>
      </c>
      <c r="R10" s="35" t="s">
        <v>36</v>
      </c>
    </row>
    <row r="11" spans="1:92" ht="17.399999999999999" customHeight="1" thickBot="1" x14ac:dyDescent="0.35">
      <c r="A11" s="245"/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7"/>
    </row>
    <row r="12" spans="1:92" ht="22.05" customHeight="1" thickTop="1" thickBot="1" x14ac:dyDescent="0.35">
      <c r="A12" s="213" t="s">
        <v>8</v>
      </c>
      <c r="B12" s="214"/>
      <c r="C12" s="214"/>
      <c r="D12" s="214"/>
      <c r="E12" s="214"/>
      <c r="F12" s="215"/>
      <c r="G12" s="18">
        <v>45987</v>
      </c>
      <c r="H12" s="216" t="s">
        <v>9</v>
      </c>
      <c r="I12" s="214"/>
      <c r="J12" s="214"/>
      <c r="K12" s="214"/>
      <c r="L12" s="214"/>
      <c r="M12" s="214"/>
      <c r="N12" s="214"/>
      <c r="O12" s="214"/>
      <c r="P12" s="214"/>
      <c r="Q12" s="214"/>
      <c r="R12" s="215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36" t="s">
        <v>28</v>
      </c>
      <c r="B14" s="36" t="s">
        <v>37</v>
      </c>
      <c r="C14" s="37">
        <v>0.40625</v>
      </c>
      <c r="D14" s="36" t="s">
        <v>30</v>
      </c>
      <c r="E14" s="38"/>
      <c r="F14" s="36" t="s">
        <v>31</v>
      </c>
      <c r="G14" s="221"/>
      <c r="H14" s="39" t="s">
        <v>37</v>
      </c>
      <c r="I14" s="40">
        <v>0.81010000000000004</v>
      </c>
      <c r="J14" s="41">
        <v>145</v>
      </c>
      <c r="K14" s="42" t="s">
        <v>32</v>
      </c>
      <c r="L14" s="41">
        <v>11</v>
      </c>
      <c r="M14" s="41">
        <v>0</v>
      </c>
      <c r="N14" s="41">
        <v>3</v>
      </c>
      <c r="O14" s="43" t="s">
        <v>38</v>
      </c>
      <c r="P14" s="44">
        <v>0.40625</v>
      </c>
      <c r="Q14" s="41">
        <v>179</v>
      </c>
      <c r="R14" s="45" t="s">
        <v>39</v>
      </c>
    </row>
    <row r="15" spans="1:92" ht="17.399999999999999" customHeight="1" thickBot="1" x14ac:dyDescent="0.35">
      <c r="A15" s="245"/>
      <c r="B15" s="246"/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7"/>
    </row>
    <row r="16" spans="1:92" ht="22.05" customHeight="1" thickTop="1" thickBot="1" x14ac:dyDescent="0.35">
      <c r="A16" s="213" t="s">
        <v>8</v>
      </c>
      <c r="B16" s="214"/>
      <c r="C16" s="214"/>
      <c r="D16" s="214"/>
      <c r="E16" s="214"/>
      <c r="F16" s="215"/>
      <c r="G16" s="18">
        <v>45991</v>
      </c>
      <c r="H16" s="216" t="s">
        <v>9</v>
      </c>
      <c r="I16" s="214"/>
      <c r="J16" s="214"/>
      <c r="K16" s="214"/>
      <c r="L16" s="214"/>
      <c r="M16" s="214"/>
      <c r="N16" s="214"/>
      <c r="O16" s="214"/>
      <c r="P16" s="214"/>
      <c r="Q16" s="214"/>
      <c r="R16" s="215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46" t="s">
        <v>28</v>
      </c>
      <c r="B18" s="46" t="s">
        <v>29</v>
      </c>
      <c r="C18" s="47">
        <v>0.42708333333333331</v>
      </c>
      <c r="D18" s="46" t="s">
        <v>30</v>
      </c>
      <c r="E18" s="48"/>
      <c r="F18" s="46" t="s">
        <v>31</v>
      </c>
      <c r="G18" s="221"/>
      <c r="H18" s="49" t="s">
        <v>29</v>
      </c>
      <c r="I18" s="50">
        <v>0.57540000000000002</v>
      </c>
      <c r="J18" s="51">
        <v>103</v>
      </c>
      <c r="K18" s="52" t="s">
        <v>32</v>
      </c>
      <c r="L18" s="51">
        <v>19</v>
      </c>
      <c r="M18" s="51">
        <v>0</v>
      </c>
      <c r="N18" s="51">
        <v>2</v>
      </c>
      <c r="O18" s="53" t="s">
        <v>40</v>
      </c>
      <c r="P18" s="54">
        <v>0.42708333333333331</v>
      </c>
      <c r="Q18" s="51">
        <v>179</v>
      </c>
      <c r="R18" s="55" t="s">
        <v>41</v>
      </c>
    </row>
    <row r="19" spans="1:18" ht="17.399999999999999" customHeight="1" thickBot="1" x14ac:dyDescent="0.35">
      <c r="A19" s="245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7"/>
    </row>
    <row r="20" spans="1:18" ht="22.05" customHeight="1" thickTop="1" thickBot="1" x14ac:dyDescent="0.35">
      <c r="A20" s="213" t="s">
        <v>8</v>
      </c>
      <c r="B20" s="214"/>
      <c r="C20" s="214"/>
      <c r="D20" s="214"/>
      <c r="E20" s="214"/>
      <c r="F20" s="215"/>
      <c r="G20" s="18">
        <v>45993</v>
      </c>
      <c r="H20" s="216" t="s">
        <v>9</v>
      </c>
      <c r="I20" s="214"/>
      <c r="J20" s="214"/>
      <c r="K20" s="214"/>
      <c r="L20" s="214"/>
      <c r="M20" s="214"/>
      <c r="N20" s="214"/>
      <c r="O20" s="214"/>
      <c r="P20" s="214"/>
      <c r="Q20" s="214"/>
      <c r="R20" s="215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36" t="s">
        <v>28</v>
      </c>
      <c r="B22" s="36" t="s">
        <v>29</v>
      </c>
      <c r="C22" s="37">
        <v>0.43055555555555558</v>
      </c>
      <c r="D22" s="36" t="s">
        <v>30</v>
      </c>
      <c r="E22" s="38"/>
      <c r="F22" s="36" t="s">
        <v>31</v>
      </c>
      <c r="G22" s="221"/>
      <c r="H22" s="39" t="s">
        <v>29</v>
      </c>
      <c r="I22" s="56">
        <v>0.49719999999999998</v>
      </c>
      <c r="J22" s="41">
        <v>89</v>
      </c>
      <c r="K22" s="42" t="s">
        <v>32</v>
      </c>
      <c r="L22" s="41">
        <v>25</v>
      </c>
      <c r="M22" s="41">
        <v>0</v>
      </c>
      <c r="N22" s="41">
        <v>4</v>
      </c>
      <c r="O22" s="43" t="s">
        <v>42</v>
      </c>
      <c r="P22" s="44">
        <v>0.43055555555555558</v>
      </c>
      <c r="Q22" s="41">
        <v>179</v>
      </c>
      <c r="R22" s="45" t="s">
        <v>43</v>
      </c>
    </row>
    <row r="23" spans="1:18" ht="17.399999999999999" customHeight="1" thickBot="1" x14ac:dyDescent="0.35">
      <c r="A23" s="245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7"/>
    </row>
    <row r="24" spans="1:18" ht="22.05" customHeight="1" thickTop="1" thickBot="1" x14ac:dyDescent="0.35">
      <c r="A24" s="213" t="s">
        <v>8</v>
      </c>
      <c r="B24" s="214"/>
      <c r="C24" s="214"/>
      <c r="D24" s="214"/>
      <c r="E24" s="214"/>
      <c r="F24" s="215"/>
      <c r="G24" s="18">
        <v>45994</v>
      </c>
      <c r="H24" s="216" t="s">
        <v>9</v>
      </c>
      <c r="I24" s="214"/>
      <c r="J24" s="214"/>
      <c r="K24" s="214"/>
      <c r="L24" s="214"/>
      <c r="M24" s="214"/>
      <c r="N24" s="214"/>
      <c r="O24" s="214"/>
      <c r="P24" s="214"/>
      <c r="Q24" s="214"/>
      <c r="R24" s="215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26" t="s">
        <v>28</v>
      </c>
      <c r="B26" s="26" t="s">
        <v>37</v>
      </c>
      <c r="C26" s="27">
        <v>0.40625</v>
      </c>
      <c r="D26" s="26" t="s">
        <v>30</v>
      </c>
      <c r="E26" s="28"/>
      <c r="F26" s="26" t="s">
        <v>31</v>
      </c>
      <c r="G26" s="217"/>
      <c r="H26" s="29" t="s">
        <v>37</v>
      </c>
      <c r="I26" s="57">
        <v>0.48039999999999999</v>
      </c>
      <c r="J26" s="31">
        <v>86</v>
      </c>
      <c r="K26" s="32" t="s">
        <v>32</v>
      </c>
      <c r="L26" s="31">
        <v>24</v>
      </c>
      <c r="M26" s="31">
        <v>0</v>
      </c>
      <c r="N26" s="31">
        <v>14</v>
      </c>
      <c r="O26" s="33" t="s">
        <v>42</v>
      </c>
      <c r="P26" s="34">
        <v>0.40625</v>
      </c>
      <c r="Q26" s="31">
        <v>179</v>
      </c>
      <c r="R26" s="35" t="s">
        <v>44</v>
      </c>
    </row>
    <row r="27" spans="1:18" ht="17.399999999999999" customHeight="1" thickBot="1" x14ac:dyDescent="0.35">
      <c r="A27" s="245"/>
      <c r="B27" s="246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7"/>
    </row>
    <row r="28" spans="1:18" ht="22.05" customHeight="1" thickTop="1" thickBot="1" x14ac:dyDescent="0.35">
      <c r="A28" s="213" t="s">
        <v>8</v>
      </c>
      <c r="B28" s="214"/>
      <c r="C28" s="214"/>
      <c r="D28" s="214"/>
      <c r="E28" s="214"/>
      <c r="F28" s="215"/>
      <c r="G28" s="18">
        <v>45998</v>
      </c>
      <c r="H28" s="216" t="s">
        <v>9</v>
      </c>
      <c r="I28" s="214"/>
      <c r="J28" s="214"/>
      <c r="K28" s="214"/>
      <c r="L28" s="214"/>
      <c r="M28" s="214"/>
      <c r="N28" s="214"/>
      <c r="O28" s="214"/>
      <c r="P28" s="214"/>
      <c r="Q28" s="214"/>
      <c r="R28" s="215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58" t="s">
        <v>28</v>
      </c>
      <c r="B30" s="58" t="s">
        <v>29</v>
      </c>
      <c r="C30" s="59">
        <v>0.42708333333333331</v>
      </c>
      <c r="D30" s="58" t="s">
        <v>30</v>
      </c>
      <c r="E30" s="60"/>
      <c r="F30" s="58" t="s">
        <v>31</v>
      </c>
      <c r="G30" s="221"/>
      <c r="H30" s="61" t="s">
        <v>29</v>
      </c>
      <c r="I30" s="62">
        <v>0.45250000000000001</v>
      </c>
      <c r="J30" s="63">
        <v>81</v>
      </c>
      <c r="K30" s="64" t="s">
        <v>45</v>
      </c>
      <c r="L30" s="63">
        <v>29</v>
      </c>
      <c r="M30" s="63">
        <v>1</v>
      </c>
      <c r="N30" s="63">
        <v>2</v>
      </c>
      <c r="O30" s="65" t="s">
        <v>46</v>
      </c>
      <c r="P30" s="66">
        <v>0.42708333333333331</v>
      </c>
      <c r="Q30" s="63">
        <v>179</v>
      </c>
      <c r="R30" s="67" t="s">
        <v>47</v>
      </c>
    </row>
    <row r="31" spans="1:18" ht="17.399999999999999" customHeight="1" thickBot="1" x14ac:dyDescent="0.35">
      <c r="A31" s="245"/>
      <c r="B31" s="246"/>
      <c r="C31" s="246"/>
      <c r="D31" s="246"/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7"/>
    </row>
    <row r="32" spans="1:18" ht="22.05" customHeight="1" thickTop="1" thickBot="1" x14ac:dyDescent="0.35">
      <c r="A32" s="213" t="s">
        <v>8</v>
      </c>
      <c r="B32" s="214"/>
      <c r="C32" s="214"/>
      <c r="D32" s="214"/>
      <c r="E32" s="214"/>
      <c r="F32" s="215"/>
      <c r="G32" s="18">
        <v>46000</v>
      </c>
      <c r="H32" s="216" t="s">
        <v>9</v>
      </c>
      <c r="I32" s="214"/>
      <c r="J32" s="214"/>
      <c r="K32" s="214"/>
      <c r="L32" s="214"/>
      <c r="M32" s="214"/>
      <c r="N32" s="214"/>
      <c r="O32" s="214"/>
      <c r="P32" s="214"/>
      <c r="Q32" s="214"/>
      <c r="R32" s="215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36" t="s">
        <v>28</v>
      </c>
      <c r="B34" s="36" t="s">
        <v>29</v>
      </c>
      <c r="C34" s="37">
        <v>0.43055555555555558</v>
      </c>
      <c r="D34" s="36" t="s">
        <v>30</v>
      </c>
      <c r="E34" s="38"/>
      <c r="F34" s="36" t="s">
        <v>31</v>
      </c>
      <c r="G34" s="221"/>
      <c r="H34" s="39" t="s">
        <v>29</v>
      </c>
      <c r="I34" s="56">
        <v>0.38550000000000001</v>
      </c>
      <c r="J34" s="41">
        <v>69</v>
      </c>
      <c r="K34" s="42" t="s">
        <v>32</v>
      </c>
      <c r="L34" s="41">
        <v>30</v>
      </c>
      <c r="M34" s="41">
        <v>0</v>
      </c>
      <c r="N34" s="41">
        <v>9</v>
      </c>
      <c r="O34" s="43" t="s">
        <v>48</v>
      </c>
      <c r="P34" s="44">
        <v>0.43055555555555558</v>
      </c>
      <c r="Q34" s="41">
        <v>179</v>
      </c>
      <c r="R34" s="45" t="s">
        <v>49</v>
      </c>
    </row>
    <row r="35" spans="1:18" ht="17.399999999999999" customHeight="1" thickBot="1" x14ac:dyDescent="0.35">
      <c r="A35" s="245"/>
      <c r="B35" s="246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7"/>
    </row>
    <row r="36" spans="1:18" ht="22.05" customHeight="1" thickTop="1" thickBot="1" x14ac:dyDescent="0.35">
      <c r="A36" s="213" t="s">
        <v>8</v>
      </c>
      <c r="B36" s="214"/>
      <c r="C36" s="214"/>
      <c r="D36" s="214"/>
      <c r="E36" s="214"/>
      <c r="F36" s="215"/>
      <c r="G36" s="18">
        <v>46001</v>
      </c>
      <c r="H36" s="216" t="s">
        <v>9</v>
      </c>
      <c r="I36" s="214"/>
      <c r="J36" s="214"/>
      <c r="K36" s="214"/>
      <c r="L36" s="214"/>
      <c r="M36" s="214"/>
      <c r="N36" s="214"/>
      <c r="O36" s="214"/>
      <c r="P36" s="214"/>
      <c r="Q36" s="214"/>
      <c r="R36" s="215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68" t="s">
        <v>28</v>
      </c>
      <c r="B38" s="68" t="s">
        <v>37</v>
      </c>
      <c r="C38" s="69">
        <v>0.40625</v>
      </c>
      <c r="D38" s="68" t="s">
        <v>30</v>
      </c>
      <c r="E38" s="70"/>
      <c r="F38" s="68" t="s">
        <v>31</v>
      </c>
      <c r="G38" s="221"/>
      <c r="H38" s="71" t="s">
        <v>37</v>
      </c>
      <c r="I38" s="72">
        <v>0.4022</v>
      </c>
      <c r="J38" s="73">
        <v>72</v>
      </c>
      <c r="K38" s="74" t="s">
        <v>45</v>
      </c>
      <c r="L38" s="73">
        <v>31</v>
      </c>
      <c r="M38" s="73">
        <v>2</v>
      </c>
      <c r="N38" s="73">
        <v>0</v>
      </c>
      <c r="O38" s="75" t="s">
        <v>50</v>
      </c>
      <c r="P38" s="76">
        <v>0.40625</v>
      </c>
      <c r="Q38" s="73">
        <v>179</v>
      </c>
      <c r="R38" s="77" t="s">
        <v>51</v>
      </c>
    </row>
    <row r="39" spans="1:18" ht="17.399999999999999" customHeight="1" thickBot="1" x14ac:dyDescent="0.35">
      <c r="A39" s="245"/>
      <c r="B39" s="246"/>
      <c r="C39" s="246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7"/>
    </row>
    <row r="40" spans="1:18" ht="22.05" customHeight="1" thickTop="1" thickBot="1" x14ac:dyDescent="0.35">
      <c r="A40" s="213" t="s">
        <v>8</v>
      </c>
      <c r="B40" s="214"/>
      <c r="C40" s="214"/>
      <c r="D40" s="214"/>
      <c r="E40" s="214"/>
      <c r="F40" s="215"/>
      <c r="G40" s="18">
        <v>46005</v>
      </c>
      <c r="H40" s="216" t="s">
        <v>9</v>
      </c>
      <c r="I40" s="214"/>
      <c r="J40" s="214"/>
      <c r="K40" s="214"/>
      <c r="L40" s="214"/>
      <c r="M40" s="214"/>
      <c r="N40" s="214"/>
      <c r="O40" s="214"/>
      <c r="P40" s="214"/>
      <c r="Q40" s="214"/>
      <c r="R40" s="215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26" t="s">
        <v>28</v>
      </c>
      <c r="B42" s="26" t="s">
        <v>29</v>
      </c>
      <c r="C42" s="27">
        <v>0.42708333333333331</v>
      </c>
      <c r="D42" s="26" t="s">
        <v>30</v>
      </c>
      <c r="E42" s="28"/>
      <c r="F42" s="26" t="s">
        <v>31</v>
      </c>
      <c r="G42" s="221"/>
      <c r="H42" s="29" t="s">
        <v>29</v>
      </c>
      <c r="I42" s="57">
        <v>0.31280000000000002</v>
      </c>
      <c r="J42" s="31">
        <v>56</v>
      </c>
      <c r="K42" s="32" t="s">
        <v>32</v>
      </c>
      <c r="L42" s="31">
        <v>18</v>
      </c>
      <c r="M42" s="31">
        <v>0</v>
      </c>
      <c r="N42" s="31">
        <v>5</v>
      </c>
      <c r="O42" s="33" t="s">
        <v>52</v>
      </c>
      <c r="P42" s="34">
        <v>0.42708333333333331</v>
      </c>
      <c r="Q42" s="31">
        <v>179</v>
      </c>
      <c r="R42" s="35" t="s">
        <v>53</v>
      </c>
    </row>
    <row r="43" spans="1:18" ht="17.399999999999999" customHeight="1" thickBot="1" x14ac:dyDescent="0.35">
      <c r="A43" s="245"/>
      <c r="B43" s="246"/>
      <c r="C43" s="246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7"/>
    </row>
    <row r="44" spans="1:18" ht="22.05" customHeight="1" thickTop="1" thickBot="1" x14ac:dyDescent="0.35">
      <c r="A44" s="213" t="s">
        <v>8</v>
      </c>
      <c r="B44" s="214"/>
      <c r="C44" s="214"/>
      <c r="D44" s="214"/>
      <c r="E44" s="214"/>
      <c r="F44" s="215"/>
      <c r="G44" s="18">
        <v>46007</v>
      </c>
      <c r="H44" s="216" t="s">
        <v>9</v>
      </c>
      <c r="I44" s="214"/>
      <c r="J44" s="214"/>
      <c r="K44" s="214"/>
      <c r="L44" s="214"/>
      <c r="M44" s="214"/>
      <c r="N44" s="214"/>
      <c r="O44" s="214"/>
      <c r="P44" s="214"/>
      <c r="Q44" s="214"/>
      <c r="R44" s="215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26" t="s">
        <v>28</v>
      </c>
      <c r="B46" s="26" t="s">
        <v>29</v>
      </c>
      <c r="C46" s="27">
        <v>0.43055555555555558</v>
      </c>
      <c r="D46" s="26" t="s">
        <v>30</v>
      </c>
      <c r="E46" s="28"/>
      <c r="F46" s="26" t="s">
        <v>54</v>
      </c>
      <c r="G46" s="221"/>
      <c r="H46" s="29" t="s">
        <v>29</v>
      </c>
      <c r="I46" s="57">
        <v>0.27929999999999999</v>
      </c>
      <c r="J46" s="31">
        <v>50</v>
      </c>
      <c r="K46" s="32" t="s">
        <v>32</v>
      </c>
      <c r="L46" s="31">
        <v>25</v>
      </c>
      <c r="M46" s="31">
        <v>0</v>
      </c>
      <c r="N46" s="31">
        <v>4</v>
      </c>
      <c r="O46" s="33" t="s">
        <v>55</v>
      </c>
      <c r="P46" s="34">
        <v>0.43055555555555558</v>
      </c>
      <c r="Q46" s="31">
        <v>179</v>
      </c>
      <c r="R46" s="35" t="s">
        <v>56</v>
      </c>
    </row>
    <row r="47" spans="1:18" ht="17.399999999999999" customHeight="1" thickBot="1" x14ac:dyDescent="0.35">
      <c r="A47" s="245"/>
      <c r="B47" s="246"/>
      <c r="C47" s="246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247"/>
    </row>
    <row r="48" spans="1:18" ht="22.05" customHeight="1" thickTop="1" thickBot="1" x14ac:dyDescent="0.35">
      <c r="A48" s="213" t="s">
        <v>8</v>
      </c>
      <c r="B48" s="214"/>
      <c r="C48" s="214"/>
      <c r="D48" s="214"/>
      <c r="E48" s="214"/>
      <c r="F48" s="215"/>
      <c r="G48" s="18">
        <v>46008</v>
      </c>
      <c r="H48" s="216" t="s">
        <v>9</v>
      </c>
      <c r="I48" s="214"/>
      <c r="J48" s="214"/>
      <c r="K48" s="214"/>
      <c r="L48" s="214"/>
      <c r="M48" s="214"/>
      <c r="N48" s="214"/>
      <c r="O48" s="214"/>
      <c r="P48" s="214"/>
      <c r="Q48" s="214"/>
      <c r="R48" s="215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36" t="s">
        <v>28</v>
      </c>
      <c r="B50" s="36" t="s">
        <v>37</v>
      </c>
      <c r="C50" s="37">
        <v>0.40625</v>
      </c>
      <c r="D50" s="36" t="s">
        <v>30</v>
      </c>
      <c r="E50" s="38"/>
      <c r="F50" s="36" t="s">
        <v>54</v>
      </c>
      <c r="G50" s="221"/>
      <c r="H50" s="39" t="s">
        <v>37</v>
      </c>
      <c r="I50" s="56">
        <v>0.24579999999999999</v>
      </c>
      <c r="J50" s="41">
        <v>44</v>
      </c>
      <c r="K50" s="42" t="s">
        <v>45</v>
      </c>
      <c r="L50" s="41">
        <v>19</v>
      </c>
      <c r="M50" s="41">
        <v>2</v>
      </c>
      <c r="N50" s="41">
        <v>5</v>
      </c>
      <c r="O50" s="43" t="s">
        <v>57</v>
      </c>
      <c r="P50" s="44">
        <v>0.40625</v>
      </c>
      <c r="Q50" s="41">
        <v>179</v>
      </c>
      <c r="R50" s="45" t="s">
        <v>58</v>
      </c>
    </row>
    <row r="51" spans="1:18" ht="17.399999999999999" customHeight="1" thickBot="1" x14ac:dyDescent="0.35">
      <c r="A51" s="245"/>
      <c r="B51" s="246"/>
      <c r="C51" s="246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7"/>
    </row>
    <row r="52" spans="1:18" ht="22.05" customHeight="1" thickTop="1" thickBot="1" x14ac:dyDescent="0.35">
      <c r="A52" s="213" t="s">
        <v>8</v>
      </c>
      <c r="B52" s="214"/>
      <c r="C52" s="214"/>
      <c r="D52" s="214"/>
      <c r="E52" s="214"/>
      <c r="F52" s="215"/>
      <c r="G52" s="18">
        <v>46012</v>
      </c>
      <c r="H52" s="216" t="s">
        <v>9</v>
      </c>
      <c r="I52" s="214"/>
      <c r="J52" s="214"/>
      <c r="K52" s="214"/>
      <c r="L52" s="214"/>
      <c r="M52" s="214"/>
      <c r="N52" s="214"/>
      <c r="O52" s="214"/>
      <c r="P52" s="214"/>
      <c r="Q52" s="214"/>
      <c r="R52" s="215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5">
      <c r="A54" s="78" t="s">
        <v>28</v>
      </c>
      <c r="B54" s="78" t="s">
        <v>29</v>
      </c>
      <c r="C54" s="79">
        <v>0.42708333333333331</v>
      </c>
      <c r="D54" s="78" t="s">
        <v>30</v>
      </c>
      <c r="E54" s="80"/>
      <c r="F54" s="78" t="s">
        <v>54</v>
      </c>
      <c r="G54" s="217"/>
      <c r="H54" s="81" t="s">
        <v>29</v>
      </c>
      <c r="I54" s="82">
        <v>0.19550000000000001</v>
      </c>
      <c r="J54" s="83">
        <v>35</v>
      </c>
      <c r="K54" s="84" t="s">
        <v>32</v>
      </c>
      <c r="L54" s="83">
        <v>9</v>
      </c>
      <c r="M54" s="83">
        <v>0</v>
      </c>
      <c r="N54" s="83">
        <v>2</v>
      </c>
      <c r="O54" s="85" t="s">
        <v>59</v>
      </c>
      <c r="P54" s="86">
        <v>0.42708333333333331</v>
      </c>
      <c r="Q54" s="83">
        <v>179</v>
      </c>
      <c r="R54" s="87" t="s">
        <v>60</v>
      </c>
    </row>
    <row r="55" spans="1:18" ht="17.399999999999999" customHeight="1" thickBot="1" x14ac:dyDescent="0.35">
      <c r="A55" s="245"/>
      <c r="B55" s="246"/>
      <c r="C55" s="246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7"/>
    </row>
    <row r="56" spans="1:18" ht="22.05" customHeight="1" thickTop="1" thickBot="1" x14ac:dyDescent="0.35">
      <c r="A56" s="213" t="s">
        <v>8</v>
      </c>
      <c r="B56" s="214"/>
      <c r="C56" s="214"/>
      <c r="D56" s="214"/>
      <c r="E56" s="214"/>
      <c r="F56" s="215"/>
      <c r="G56" s="18">
        <v>46014</v>
      </c>
      <c r="H56" s="216" t="s">
        <v>9</v>
      </c>
      <c r="I56" s="214"/>
      <c r="J56" s="214"/>
      <c r="K56" s="214"/>
      <c r="L56" s="214"/>
      <c r="M56" s="214"/>
      <c r="N56" s="214"/>
      <c r="O56" s="214"/>
      <c r="P56" s="214"/>
      <c r="Q56" s="214"/>
      <c r="R56" s="215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35">
      <c r="A58" s="36" t="s">
        <v>28</v>
      </c>
      <c r="B58" s="36" t="s">
        <v>29</v>
      </c>
      <c r="C58" s="37">
        <v>0.43055555555555558</v>
      </c>
      <c r="D58" s="36" t="s">
        <v>30</v>
      </c>
      <c r="E58" s="38"/>
      <c r="F58" s="36" t="s">
        <v>54</v>
      </c>
      <c r="G58" s="221"/>
      <c r="H58" s="39" t="s">
        <v>29</v>
      </c>
      <c r="I58" s="56">
        <v>0.1173</v>
      </c>
      <c r="J58" s="41">
        <v>21</v>
      </c>
      <c r="K58" s="42" t="s">
        <v>32</v>
      </c>
      <c r="L58" s="41">
        <v>7</v>
      </c>
      <c r="M58" s="41">
        <v>0</v>
      </c>
      <c r="N58" s="41">
        <v>1</v>
      </c>
      <c r="O58" s="43" t="s">
        <v>61</v>
      </c>
      <c r="P58" s="44">
        <v>0.43055555555555558</v>
      </c>
      <c r="Q58" s="41">
        <v>179</v>
      </c>
      <c r="R58" s="45" t="s">
        <v>62</v>
      </c>
    </row>
    <row r="59" spans="1:18" ht="17.399999999999999" customHeight="1" thickBot="1" x14ac:dyDescent="0.35">
      <c r="A59" s="245"/>
      <c r="B59" s="246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7"/>
    </row>
    <row r="60" spans="1:18" ht="22.05" customHeight="1" thickTop="1" thickBot="1" x14ac:dyDescent="0.35">
      <c r="A60" s="213" t="s">
        <v>8</v>
      </c>
      <c r="B60" s="214"/>
      <c r="C60" s="214"/>
      <c r="D60" s="214"/>
      <c r="E60" s="214"/>
      <c r="F60" s="215"/>
      <c r="G60" s="18">
        <v>46015</v>
      </c>
      <c r="H60" s="216" t="s">
        <v>9</v>
      </c>
      <c r="I60" s="214"/>
      <c r="J60" s="214"/>
      <c r="K60" s="214"/>
      <c r="L60" s="214"/>
      <c r="M60" s="214"/>
      <c r="N60" s="214"/>
      <c r="O60" s="214"/>
      <c r="P60" s="214"/>
      <c r="Q60" s="214"/>
      <c r="R60" s="215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5">
      <c r="A62" s="58" t="s">
        <v>28</v>
      </c>
      <c r="B62" s="58" t="s">
        <v>37</v>
      </c>
      <c r="C62" s="59">
        <v>0.40625</v>
      </c>
      <c r="D62" s="58" t="s">
        <v>30</v>
      </c>
      <c r="E62" s="60"/>
      <c r="F62" s="58" t="s">
        <v>54</v>
      </c>
      <c r="G62" s="217"/>
      <c r="H62" s="61" t="s">
        <v>37</v>
      </c>
      <c r="I62" s="62">
        <v>0.13969999999999999</v>
      </c>
      <c r="J62" s="63">
        <v>25</v>
      </c>
      <c r="K62" s="64" t="s">
        <v>32</v>
      </c>
      <c r="L62" s="63">
        <v>6</v>
      </c>
      <c r="M62" s="63">
        <v>0</v>
      </c>
      <c r="N62" s="63">
        <v>1</v>
      </c>
      <c r="O62" s="65" t="s">
        <v>63</v>
      </c>
      <c r="P62" s="66">
        <v>0.40625</v>
      </c>
      <c r="Q62" s="63">
        <v>179</v>
      </c>
      <c r="R62" s="67" t="s">
        <v>64</v>
      </c>
    </row>
    <row r="63" spans="1:18" ht="17.399999999999999" customHeight="1" thickBot="1" x14ac:dyDescent="0.35">
      <c r="A63" s="245"/>
      <c r="B63" s="246"/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7"/>
    </row>
    <row r="64" spans="1:18" ht="15" thickTop="1" x14ac:dyDescent="0.3"/>
  </sheetData>
  <mergeCells count="67">
    <mergeCell ref="A63:R63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G6"/>
    <mergeCell ref="G62"/>
    <mergeCell ref="G18"/>
    <mergeCell ref="A24:F24"/>
    <mergeCell ref="A39:R39"/>
    <mergeCell ref="A15:R15"/>
    <mergeCell ref="N1:R1"/>
    <mergeCell ref="H52:R52"/>
    <mergeCell ref="A52:F52"/>
    <mergeCell ref="A28:F28"/>
    <mergeCell ref="A43:R43"/>
    <mergeCell ref="A19:R19"/>
    <mergeCell ref="A44:F44"/>
    <mergeCell ref="H12:R12"/>
    <mergeCell ref="A36:F36"/>
    <mergeCell ref="G34"/>
    <mergeCell ref="A11:R11"/>
    <mergeCell ref="A51:R51"/>
    <mergeCell ref="H48:R48"/>
    <mergeCell ref="G30"/>
    <mergeCell ref="H24:R24"/>
    <mergeCell ref="G14"/>
    <mergeCell ref="A47:R47"/>
    <mergeCell ref="A32:F32"/>
    <mergeCell ref="A8:F8"/>
    <mergeCell ref="H60:R60"/>
    <mergeCell ref="G2:J2"/>
    <mergeCell ref="A4:F4"/>
    <mergeCell ref="A23:R23"/>
    <mergeCell ref="A20:F20"/>
    <mergeCell ref="H36:R36"/>
    <mergeCell ref="G42"/>
    <mergeCell ref="A35:R35"/>
    <mergeCell ref="A59:R59"/>
    <mergeCell ref="A60:F60"/>
    <mergeCell ref="G58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7"/>
  <sheetViews>
    <sheetView workbookViewId="0"/>
  </sheetViews>
  <sheetFormatPr defaultRowHeight="15.6" outlineLevelCol="1" x14ac:dyDescent="0.3"/>
  <cols>
    <col min="1" max="1" width="11.5546875" style="232" bestFit="1" customWidth="1"/>
    <col min="2" max="2" width="10.44140625" style="232" bestFit="1" customWidth="1"/>
    <col min="3" max="3" width="6.77734375" style="232" bestFit="1" customWidth="1"/>
    <col min="4" max="4" width="5.5546875" style="232" bestFit="1" customWidth="1"/>
    <col min="5" max="5" width="8.5546875" style="232" bestFit="1" customWidth="1"/>
    <col min="6" max="6" width="4.21875" style="232" bestFit="1" customWidth="1"/>
    <col min="7" max="7" width="10" style="232" bestFit="1" customWidth="1"/>
    <col min="8" max="9" width="8.5546875" style="232" bestFit="1" customWidth="1"/>
    <col min="10" max="10" width="7" style="232" bestFit="1" customWidth="1"/>
    <col min="11" max="11" width="10.5546875" style="232" bestFit="1" customWidth="1"/>
    <col min="12" max="12" width="18.109375" style="232" bestFit="1" customWidth="1"/>
    <col min="13" max="13" width="7.6640625" style="232" bestFit="1" customWidth="1" outlineLevel="1"/>
    <col min="14" max="14" width="6.33203125" style="232" bestFit="1" customWidth="1" outlineLevel="1"/>
    <col min="15" max="15" width="8" style="232" bestFit="1" customWidth="1" outlineLevel="1"/>
    <col min="16" max="16" width="13.6640625" style="232" bestFit="1" customWidth="1"/>
    <col min="17" max="20" width="3.88671875" style="232" bestFit="1" customWidth="1"/>
    <col min="21" max="21" width="4.5546875" style="232" bestFit="1" customWidth="1"/>
    <col min="22" max="22" width="4.21875" style="232" bestFit="1" customWidth="1"/>
    <col min="23" max="23" width="4.33203125" style="232" bestFit="1" customWidth="1"/>
    <col min="24" max="24" width="4.109375" style="232" bestFit="1" customWidth="1"/>
    <col min="25" max="25" width="4.44140625" style="232" bestFit="1" customWidth="1"/>
    <col min="26" max="26" width="4.109375" style="232" bestFit="1" customWidth="1"/>
    <col min="27" max="27" width="5" style="232" bestFit="1" customWidth="1"/>
    <col min="28" max="29" width="4.21875" style="232" bestFit="1" customWidth="1"/>
    <col min="30" max="31" width="4.5546875" style="232" bestFit="1" customWidth="1"/>
    <col min="32" max="36" width="3.88671875" style="232" bestFit="1" customWidth="1"/>
    <col min="37" max="16384" width="8.88671875" style="232"/>
  </cols>
  <sheetData>
    <row r="1" spans="1:36" x14ac:dyDescent="0.3">
      <c r="A1" s="231" t="s">
        <v>65</v>
      </c>
      <c r="B1" s="231" t="s">
        <v>66</v>
      </c>
      <c r="C1" s="231" t="s">
        <v>67</v>
      </c>
      <c r="D1" s="231" t="s">
        <v>25</v>
      </c>
      <c r="E1" s="231" t="s">
        <v>68</v>
      </c>
      <c r="F1" s="231" t="s">
        <v>69</v>
      </c>
      <c r="G1" s="231" t="s">
        <v>18</v>
      </c>
      <c r="H1" s="231" t="s">
        <v>70</v>
      </c>
      <c r="I1" s="231" t="s">
        <v>71</v>
      </c>
      <c r="J1" s="231" t="s">
        <v>72</v>
      </c>
      <c r="K1" s="231" t="s">
        <v>73</v>
      </c>
      <c r="L1" s="231" t="s">
        <v>20</v>
      </c>
      <c r="M1" s="231" t="s">
        <v>22</v>
      </c>
      <c r="N1" s="231" t="s">
        <v>23</v>
      </c>
      <c r="O1" s="231" t="s">
        <v>21</v>
      </c>
      <c r="P1" s="231" t="s">
        <v>24</v>
      </c>
      <c r="Q1" s="231" t="s">
        <v>74</v>
      </c>
      <c r="R1" s="231" t="s">
        <v>75</v>
      </c>
      <c r="S1" s="231" t="s">
        <v>76</v>
      </c>
      <c r="T1" s="231" t="s">
        <v>77</v>
      </c>
      <c r="U1" s="231" t="s">
        <v>78</v>
      </c>
      <c r="V1" s="231" t="s">
        <v>79</v>
      </c>
      <c r="W1" s="231" t="s">
        <v>80</v>
      </c>
      <c r="X1" s="231" t="s">
        <v>81</v>
      </c>
      <c r="Y1" s="231" t="s">
        <v>82</v>
      </c>
      <c r="Z1" s="231" t="s">
        <v>83</v>
      </c>
      <c r="AA1" s="231" t="s">
        <v>84</v>
      </c>
      <c r="AB1" s="231" t="s">
        <v>85</v>
      </c>
      <c r="AC1" s="231" t="s">
        <v>86</v>
      </c>
      <c r="AD1" s="231" t="s">
        <v>87</v>
      </c>
      <c r="AE1" s="231" t="s">
        <v>88</v>
      </c>
      <c r="AF1" s="231" t="s">
        <v>89</v>
      </c>
      <c r="AG1" s="231" t="s">
        <v>90</v>
      </c>
      <c r="AH1" s="231" t="s">
        <v>91</v>
      </c>
      <c r="AI1" s="231" t="s">
        <v>92</v>
      </c>
      <c r="AJ1" s="231" t="s">
        <v>93</v>
      </c>
    </row>
    <row r="2" spans="1:36" x14ac:dyDescent="0.3">
      <c r="A2" s="233" t="s">
        <v>94</v>
      </c>
      <c r="B2" s="234">
        <v>45984</v>
      </c>
      <c r="C2" s="235" t="s">
        <v>29</v>
      </c>
      <c r="D2" s="236" t="s">
        <v>95</v>
      </c>
      <c r="E2" s="235" t="s">
        <v>1</v>
      </c>
      <c r="F2" s="235" t="s">
        <v>96</v>
      </c>
      <c r="G2" s="237">
        <v>0.82120000000000004</v>
      </c>
      <c r="H2" s="238">
        <v>179</v>
      </c>
      <c r="I2" s="238">
        <v>147</v>
      </c>
      <c r="J2" s="238">
        <v>0</v>
      </c>
      <c r="K2" s="235" t="s">
        <v>97</v>
      </c>
      <c r="L2" s="239" t="s">
        <v>32</v>
      </c>
      <c r="M2" s="238">
        <v>0</v>
      </c>
      <c r="N2" s="238">
        <v>4</v>
      </c>
      <c r="O2" s="238">
        <v>45</v>
      </c>
      <c r="P2" s="235" t="s">
        <v>33</v>
      </c>
      <c r="Q2" s="231"/>
      <c r="R2" s="231"/>
      <c r="S2" s="231"/>
      <c r="T2" s="238" t="s">
        <v>98</v>
      </c>
      <c r="U2" s="238" t="s">
        <v>99</v>
      </c>
      <c r="V2" s="238" t="s">
        <v>100</v>
      </c>
      <c r="W2" s="238" t="s">
        <v>101</v>
      </c>
      <c r="X2" s="238" t="s">
        <v>102</v>
      </c>
      <c r="Y2" s="231"/>
      <c r="Z2" s="238" t="s">
        <v>103</v>
      </c>
      <c r="AA2" s="238" t="s">
        <v>104</v>
      </c>
      <c r="AB2" s="231"/>
      <c r="AC2" s="238" t="s">
        <v>105</v>
      </c>
      <c r="AD2" s="238" t="s">
        <v>106</v>
      </c>
      <c r="AE2" s="238" t="s">
        <v>107</v>
      </c>
      <c r="AF2" s="238" t="s">
        <v>108</v>
      </c>
      <c r="AG2" s="231"/>
      <c r="AH2" s="231"/>
      <c r="AI2" s="231"/>
      <c r="AJ2" s="231"/>
    </row>
    <row r="3" spans="1:36" x14ac:dyDescent="0.3">
      <c r="A3" s="233" t="s">
        <v>109</v>
      </c>
      <c r="B3" s="234">
        <v>45986</v>
      </c>
      <c r="C3" s="235" t="s">
        <v>29</v>
      </c>
      <c r="D3" s="236" t="s">
        <v>110</v>
      </c>
      <c r="E3" s="235" t="s">
        <v>1</v>
      </c>
      <c r="F3" s="235" t="s">
        <v>96</v>
      </c>
      <c r="G3" s="237">
        <v>0.69830000000000003</v>
      </c>
      <c r="H3" s="238">
        <v>179</v>
      </c>
      <c r="I3" s="238">
        <v>125</v>
      </c>
      <c r="J3" s="238">
        <v>0</v>
      </c>
      <c r="K3" s="235" t="s">
        <v>97</v>
      </c>
      <c r="L3" s="239" t="s">
        <v>32</v>
      </c>
      <c r="M3" s="238">
        <v>0</v>
      </c>
      <c r="N3" s="238">
        <v>4</v>
      </c>
      <c r="O3" s="238">
        <v>42</v>
      </c>
      <c r="P3" s="235" t="s">
        <v>35</v>
      </c>
      <c r="Q3" s="231"/>
      <c r="R3" s="231"/>
      <c r="S3" s="231"/>
      <c r="T3" s="231"/>
      <c r="U3" s="238" t="s">
        <v>99</v>
      </c>
      <c r="V3" s="238" t="s">
        <v>111</v>
      </c>
      <c r="W3" s="238" t="s">
        <v>112</v>
      </c>
      <c r="X3" s="238" t="s">
        <v>113</v>
      </c>
      <c r="Y3" s="238" t="s">
        <v>114</v>
      </c>
      <c r="Z3" s="238" t="s">
        <v>103</v>
      </c>
      <c r="AA3" s="238" t="s">
        <v>115</v>
      </c>
      <c r="AB3" s="238" t="s">
        <v>116</v>
      </c>
      <c r="AC3" s="238" t="s">
        <v>117</v>
      </c>
      <c r="AD3" s="238" t="s">
        <v>118</v>
      </c>
      <c r="AE3" s="238" t="s">
        <v>119</v>
      </c>
      <c r="AF3" s="231"/>
      <c r="AG3" s="231"/>
      <c r="AH3" s="231"/>
      <c r="AI3" s="231"/>
      <c r="AJ3" s="231"/>
    </row>
    <row r="4" spans="1:36" x14ac:dyDescent="0.3">
      <c r="A4" s="233" t="s">
        <v>120</v>
      </c>
      <c r="B4" s="234">
        <v>45987</v>
      </c>
      <c r="C4" s="235" t="s">
        <v>37</v>
      </c>
      <c r="D4" s="236" t="s">
        <v>121</v>
      </c>
      <c r="E4" s="235" t="s">
        <v>1</v>
      </c>
      <c r="F4" s="235" t="s">
        <v>96</v>
      </c>
      <c r="G4" s="237">
        <v>0.81010000000000004</v>
      </c>
      <c r="H4" s="238">
        <v>179</v>
      </c>
      <c r="I4" s="238">
        <v>145</v>
      </c>
      <c r="J4" s="238">
        <v>0</v>
      </c>
      <c r="K4" s="235" t="s">
        <v>97</v>
      </c>
      <c r="L4" s="239" t="s">
        <v>32</v>
      </c>
      <c r="M4" s="238">
        <v>0</v>
      </c>
      <c r="N4" s="238">
        <v>3</v>
      </c>
      <c r="O4" s="238">
        <v>11</v>
      </c>
      <c r="P4" s="235" t="s">
        <v>38</v>
      </c>
      <c r="Q4" s="238" t="s">
        <v>122</v>
      </c>
      <c r="R4" s="231"/>
      <c r="S4" s="231"/>
      <c r="T4" s="238" t="s">
        <v>123</v>
      </c>
      <c r="U4" s="231"/>
      <c r="V4" s="231"/>
      <c r="W4" s="238" t="s">
        <v>42</v>
      </c>
      <c r="X4" s="238" t="s">
        <v>124</v>
      </c>
      <c r="Y4" s="238" t="s">
        <v>125</v>
      </c>
      <c r="Z4" s="238" t="s">
        <v>126</v>
      </c>
      <c r="AA4" s="238" t="s">
        <v>127</v>
      </c>
      <c r="AB4" s="238" t="s">
        <v>128</v>
      </c>
      <c r="AC4" s="238" t="s">
        <v>129</v>
      </c>
      <c r="AD4" s="238" t="s">
        <v>130</v>
      </c>
      <c r="AE4" s="238" t="s">
        <v>131</v>
      </c>
      <c r="AF4" s="231"/>
      <c r="AG4" s="231"/>
      <c r="AH4" s="231"/>
      <c r="AI4" s="231"/>
      <c r="AJ4" s="231"/>
    </row>
    <row r="5" spans="1:36" x14ac:dyDescent="0.3">
      <c r="A5" s="233" t="s">
        <v>94</v>
      </c>
      <c r="B5" s="234">
        <v>45991</v>
      </c>
      <c r="C5" s="235" t="s">
        <v>29</v>
      </c>
      <c r="D5" s="236" t="s">
        <v>95</v>
      </c>
      <c r="E5" s="235" t="s">
        <v>1</v>
      </c>
      <c r="F5" s="235" t="s">
        <v>96</v>
      </c>
      <c r="G5" s="237">
        <v>0.57540000000000002</v>
      </c>
      <c r="H5" s="238">
        <v>179</v>
      </c>
      <c r="I5" s="238">
        <v>103</v>
      </c>
      <c r="J5" s="238">
        <v>0</v>
      </c>
      <c r="K5" s="235" t="s">
        <v>97</v>
      </c>
      <c r="L5" s="239" t="s">
        <v>32</v>
      </c>
      <c r="M5" s="238">
        <v>0</v>
      </c>
      <c r="N5" s="238">
        <v>2</v>
      </c>
      <c r="O5" s="238">
        <v>19</v>
      </c>
      <c r="P5" s="235" t="s">
        <v>40</v>
      </c>
      <c r="Q5" s="231"/>
      <c r="R5" s="231"/>
      <c r="S5" s="231"/>
      <c r="T5" s="238" t="s">
        <v>98</v>
      </c>
      <c r="U5" s="238" t="s">
        <v>132</v>
      </c>
      <c r="V5" s="238" t="s">
        <v>133</v>
      </c>
      <c r="W5" s="238" t="s">
        <v>134</v>
      </c>
      <c r="X5" s="238" t="s">
        <v>135</v>
      </c>
      <c r="Y5" s="231"/>
      <c r="Z5" s="238" t="s">
        <v>136</v>
      </c>
      <c r="AA5" s="238" t="s">
        <v>137</v>
      </c>
      <c r="AB5" s="238" t="s">
        <v>138</v>
      </c>
      <c r="AC5" s="238" t="s">
        <v>139</v>
      </c>
      <c r="AD5" s="238" t="s">
        <v>140</v>
      </c>
      <c r="AE5" s="238" t="s">
        <v>141</v>
      </c>
      <c r="AF5" s="238" t="s">
        <v>142</v>
      </c>
      <c r="AG5" s="231"/>
      <c r="AH5" s="231"/>
      <c r="AI5" s="231"/>
      <c r="AJ5" s="231"/>
    </row>
    <row r="6" spans="1:36" x14ac:dyDescent="0.3">
      <c r="A6" s="233" t="s">
        <v>109</v>
      </c>
      <c r="B6" s="234">
        <v>45993</v>
      </c>
      <c r="C6" s="235" t="s">
        <v>29</v>
      </c>
      <c r="D6" s="236" t="s">
        <v>110</v>
      </c>
      <c r="E6" s="235" t="s">
        <v>1</v>
      </c>
      <c r="F6" s="235" t="s">
        <v>96</v>
      </c>
      <c r="G6" s="237">
        <v>0.49719999999999998</v>
      </c>
      <c r="H6" s="238">
        <v>179</v>
      </c>
      <c r="I6" s="238">
        <v>89</v>
      </c>
      <c r="J6" s="238">
        <v>0</v>
      </c>
      <c r="K6" s="235" t="s">
        <v>97</v>
      </c>
      <c r="L6" s="239" t="s">
        <v>32</v>
      </c>
      <c r="M6" s="238">
        <v>0</v>
      </c>
      <c r="N6" s="238">
        <v>4</v>
      </c>
      <c r="O6" s="238">
        <v>25</v>
      </c>
      <c r="P6" s="235" t="s">
        <v>42</v>
      </c>
      <c r="Q6" s="231"/>
      <c r="R6" s="231"/>
      <c r="S6" s="231"/>
      <c r="T6" s="231"/>
      <c r="U6" s="231"/>
      <c r="V6" s="238" t="s">
        <v>143</v>
      </c>
      <c r="W6" s="238" t="s">
        <v>134</v>
      </c>
      <c r="X6" s="238" t="s">
        <v>144</v>
      </c>
      <c r="Y6" s="238" t="s">
        <v>145</v>
      </c>
      <c r="Z6" s="238" t="s">
        <v>146</v>
      </c>
      <c r="AA6" s="238" t="s">
        <v>115</v>
      </c>
      <c r="AB6" s="238" t="s">
        <v>147</v>
      </c>
      <c r="AC6" s="238" t="s">
        <v>148</v>
      </c>
      <c r="AD6" s="238" t="s">
        <v>149</v>
      </c>
      <c r="AE6" s="238" t="s">
        <v>119</v>
      </c>
      <c r="AF6" s="231"/>
      <c r="AG6" s="231"/>
      <c r="AH6" s="231"/>
      <c r="AI6" s="231"/>
      <c r="AJ6" s="231"/>
    </row>
    <row r="7" spans="1:36" x14ac:dyDescent="0.3">
      <c r="A7" s="233" t="s">
        <v>120</v>
      </c>
      <c r="B7" s="234">
        <v>45994</v>
      </c>
      <c r="C7" s="235" t="s">
        <v>37</v>
      </c>
      <c r="D7" s="236" t="s">
        <v>121</v>
      </c>
      <c r="E7" s="235" t="s">
        <v>1</v>
      </c>
      <c r="F7" s="235" t="s">
        <v>96</v>
      </c>
      <c r="G7" s="237">
        <v>0.48039999999999999</v>
      </c>
      <c r="H7" s="238">
        <v>179</v>
      </c>
      <c r="I7" s="238">
        <v>86</v>
      </c>
      <c r="J7" s="238">
        <v>0</v>
      </c>
      <c r="K7" s="235" t="s">
        <v>97</v>
      </c>
      <c r="L7" s="239" t="s">
        <v>32</v>
      </c>
      <c r="M7" s="238">
        <v>0</v>
      </c>
      <c r="N7" s="238">
        <v>14</v>
      </c>
      <c r="O7" s="238">
        <v>24</v>
      </c>
      <c r="P7" s="235" t="s">
        <v>42</v>
      </c>
      <c r="Q7" s="231"/>
      <c r="R7" s="231"/>
      <c r="S7" s="231"/>
      <c r="T7" s="231"/>
      <c r="U7" s="231"/>
      <c r="V7" s="231"/>
      <c r="W7" s="238" t="s">
        <v>134</v>
      </c>
      <c r="X7" s="238" t="s">
        <v>150</v>
      </c>
      <c r="Y7" s="238" t="s">
        <v>151</v>
      </c>
      <c r="Z7" s="238" t="s">
        <v>146</v>
      </c>
      <c r="AA7" s="238" t="s">
        <v>152</v>
      </c>
      <c r="AB7" s="238" t="s">
        <v>153</v>
      </c>
      <c r="AC7" s="238" t="s">
        <v>154</v>
      </c>
      <c r="AD7" s="238" t="s">
        <v>155</v>
      </c>
      <c r="AE7" s="238" t="s">
        <v>156</v>
      </c>
      <c r="AF7" s="231"/>
      <c r="AG7" s="231"/>
      <c r="AH7" s="231"/>
      <c r="AI7" s="231"/>
      <c r="AJ7" s="231"/>
    </row>
    <row r="8" spans="1:36" x14ac:dyDescent="0.3">
      <c r="A8" s="233" t="s">
        <v>94</v>
      </c>
      <c r="B8" s="234">
        <v>45998</v>
      </c>
      <c r="C8" s="235" t="s">
        <v>29</v>
      </c>
      <c r="D8" s="236" t="s">
        <v>95</v>
      </c>
      <c r="E8" s="235" t="s">
        <v>1</v>
      </c>
      <c r="F8" s="235" t="s">
        <v>96</v>
      </c>
      <c r="G8" s="237">
        <v>0.45250000000000001</v>
      </c>
      <c r="H8" s="238">
        <v>179</v>
      </c>
      <c r="I8" s="238">
        <v>81</v>
      </c>
      <c r="J8" s="238">
        <v>0</v>
      </c>
      <c r="K8" s="235" t="s">
        <v>97</v>
      </c>
      <c r="L8" s="239" t="s">
        <v>45</v>
      </c>
      <c r="M8" s="238">
        <v>1</v>
      </c>
      <c r="N8" s="238">
        <v>2</v>
      </c>
      <c r="O8" s="238">
        <v>29</v>
      </c>
      <c r="P8" s="235" t="s">
        <v>46</v>
      </c>
      <c r="Q8" s="231"/>
      <c r="R8" s="231"/>
      <c r="S8" s="231"/>
      <c r="T8" s="231"/>
      <c r="U8" s="231"/>
      <c r="V8" s="231"/>
      <c r="W8" s="238" t="s">
        <v>157</v>
      </c>
      <c r="X8" s="238" t="s">
        <v>50</v>
      </c>
      <c r="Y8" s="238" t="s">
        <v>145</v>
      </c>
      <c r="Z8" s="238" t="s">
        <v>158</v>
      </c>
      <c r="AA8" s="238" t="s">
        <v>152</v>
      </c>
      <c r="AB8" s="238" t="s">
        <v>159</v>
      </c>
      <c r="AC8" s="238" t="s">
        <v>160</v>
      </c>
      <c r="AD8" s="238" t="s">
        <v>161</v>
      </c>
      <c r="AE8" s="238" t="s">
        <v>162</v>
      </c>
      <c r="AF8" s="231"/>
      <c r="AG8" s="231"/>
      <c r="AH8" s="231"/>
      <c r="AI8" s="231"/>
      <c r="AJ8" s="231"/>
    </row>
    <row r="9" spans="1:36" x14ac:dyDescent="0.3">
      <c r="A9" s="233" t="s">
        <v>109</v>
      </c>
      <c r="B9" s="234">
        <v>46000</v>
      </c>
      <c r="C9" s="235" t="s">
        <v>29</v>
      </c>
      <c r="D9" s="236" t="s">
        <v>110</v>
      </c>
      <c r="E9" s="235" t="s">
        <v>1</v>
      </c>
      <c r="F9" s="235" t="s">
        <v>96</v>
      </c>
      <c r="G9" s="237">
        <v>0.38550000000000001</v>
      </c>
      <c r="H9" s="238">
        <v>179</v>
      </c>
      <c r="I9" s="238">
        <v>69</v>
      </c>
      <c r="J9" s="238">
        <v>0</v>
      </c>
      <c r="K9" s="235" t="s">
        <v>97</v>
      </c>
      <c r="L9" s="239" t="s">
        <v>32</v>
      </c>
      <c r="M9" s="238">
        <v>0</v>
      </c>
      <c r="N9" s="238">
        <v>9</v>
      </c>
      <c r="O9" s="238">
        <v>30</v>
      </c>
      <c r="P9" s="235" t="s">
        <v>48</v>
      </c>
      <c r="Q9" s="231"/>
      <c r="R9" s="231"/>
      <c r="S9" s="231"/>
      <c r="T9" s="231"/>
      <c r="U9" s="231"/>
      <c r="V9" s="231"/>
      <c r="W9" s="231"/>
      <c r="X9" s="238" t="s">
        <v>163</v>
      </c>
      <c r="Y9" s="238" t="s">
        <v>164</v>
      </c>
      <c r="Z9" s="238" t="s">
        <v>103</v>
      </c>
      <c r="AA9" s="238" t="s">
        <v>152</v>
      </c>
      <c r="AB9" s="238" t="s">
        <v>159</v>
      </c>
      <c r="AC9" s="238" t="s">
        <v>165</v>
      </c>
      <c r="AD9" s="238" t="s">
        <v>149</v>
      </c>
      <c r="AE9" s="238" t="s">
        <v>166</v>
      </c>
      <c r="AF9" s="231"/>
      <c r="AG9" s="231"/>
      <c r="AH9" s="231"/>
      <c r="AI9" s="231"/>
      <c r="AJ9" s="231"/>
    </row>
    <row r="10" spans="1:36" x14ac:dyDescent="0.3">
      <c r="A10" s="233" t="s">
        <v>120</v>
      </c>
      <c r="B10" s="234">
        <v>46001</v>
      </c>
      <c r="C10" s="235" t="s">
        <v>37</v>
      </c>
      <c r="D10" s="236" t="s">
        <v>121</v>
      </c>
      <c r="E10" s="235" t="s">
        <v>1</v>
      </c>
      <c r="F10" s="235" t="s">
        <v>96</v>
      </c>
      <c r="G10" s="237">
        <v>0.4022</v>
      </c>
      <c r="H10" s="238">
        <v>179</v>
      </c>
      <c r="I10" s="238">
        <v>72</v>
      </c>
      <c r="J10" s="238">
        <v>0</v>
      </c>
      <c r="K10" s="235" t="s">
        <v>97</v>
      </c>
      <c r="L10" s="239" t="s">
        <v>45</v>
      </c>
      <c r="M10" s="238">
        <v>2</v>
      </c>
      <c r="N10" s="238">
        <v>0</v>
      </c>
      <c r="O10" s="238">
        <v>31</v>
      </c>
      <c r="P10" s="235" t="s">
        <v>50</v>
      </c>
      <c r="Q10" s="231"/>
      <c r="R10" s="231"/>
      <c r="S10" s="231"/>
      <c r="T10" s="231"/>
      <c r="U10" s="231"/>
      <c r="V10" s="231"/>
      <c r="W10" s="231"/>
      <c r="X10" s="238" t="s">
        <v>46</v>
      </c>
      <c r="Y10" s="238" t="s">
        <v>167</v>
      </c>
      <c r="Z10" s="238" t="s">
        <v>146</v>
      </c>
      <c r="AA10" s="238" t="s">
        <v>168</v>
      </c>
      <c r="AB10" s="238" t="s">
        <v>159</v>
      </c>
      <c r="AC10" s="238" t="s">
        <v>165</v>
      </c>
      <c r="AD10" s="238" t="s">
        <v>169</v>
      </c>
      <c r="AE10" s="238" t="s">
        <v>170</v>
      </c>
      <c r="AF10" s="231"/>
      <c r="AG10" s="231"/>
      <c r="AH10" s="231"/>
      <c r="AI10" s="231"/>
      <c r="AJ10" s="231"/>
    </row>
    <row r="11" spans="1:36" x14ac:dyDescent="0.3">
      <c r="A11" s="233" t="s">
        <v>94</v>
      </c>
      <c r="B11" s="234">
        <v>46005</v>
      </c>
      <c r="C11" s="235" t="s">
        <v>29</v>
      </c>
      <c r="D11" s="236" t="s">
        <v>95</v>
      </c>
      <c r="E11" s="235" t="s">
        <v>1</v>
      </c>
      <c r="F11" s="235" t="s">
        <v>96</v>
      </c>
      <c r="G11" s="237">
        <v>0.31280000000000002</v>
      </c>
      <c r="H11" s="238">
        <v>179</v>
      </c>
      <c r="I11" s="238">
        <v>56</v>
      </c>
      <c r="J11" s="238">
        <v>0</v>
      </c>
      <c r="K11" s="235" t="s">
        <v>97</v>
      </c>
      <c r="L11" s="239" t="s">
        <v>32</v>
      </c>
      <c r="M11" s="238">
        <v>0</v>
      </c>
      <c r="N11" s="238">
        <v>5</v>
      </c>
      <c r="O11" s="238">
        <v>18</v>
      </c>
      <c r="P11" s="235" t="s">
        <v>52</v>
      </c>
      <c r="Q11" s="231"/>
      <c r="R11" s="231"/>
      <c r="S11" s="231"/>
      <c r="T11" s="231"/>
      <c r="U11" s="231"/>
      <c r="V11" s="231"/>
      <c r="W11" s="231"/>
      <c r="X11" s="238" t="s">
        <v>135</v>
      </c>
      <c r="Y11" s="238" t="s">
        <v>164</v>
      </c>
      <c r="Z11" s="238" t="s">
        <v>146</v>
      </c>
      <c r="AA11" s="238" t="s">
        <v>171</v>
      </c>
      <c r="AB11" s="238" t="s">
        <v>147</v>
      </c>
      <c r="AC11" s="238" t="s">
        <v>148</v>
      </c>
      <c r="AD11" s="238" t="s">
        <v>161</v>
      </c>
      <c r="AE11" s="238" t="s">
        <v>172</v>
      </c>
      <c r="AF11" s="231"/>
      <c r="AG11" s="231"/>
      <c r="AH11" s="231"/>
      <c r="AI11" s="231"/>
      <c r="AJ11" s="231"/>
    </row>
    <row r="12" spans="1:36" x14ac:dyDescent="0.3">
      <c r="A12" s="233" t="s">
        <v>109</v>
      </c>
      <c r="B12" s="234">
        <v>46007</v>
      </c>
      <c r="C12" s="235" t="s">
        <v>29</v>
      </c>
      <c r="D12" s="236" t="s">
        <v>110</v>
      </c>
      <c r="E12" s="235" t="s">
        <v>1</v>
      </c>
      <c r="F12" s="235" t="s">
        <v>96</v>
      </c>
      <c r="G12" s="237">
        <v>0.27929999999999999</v>
      </c>
      <c r="H12" s="238">
        <v>179</v>
      </c>
      <c r="I12" s="238">
        <v>50</v>
      </c>
      <c r="J12" s="238">
        <v>0</v>
      </c>
      <c r="K12" s="235" t="s">
        <v>97</v>
      </c>
      <c r="L12" s="239" t="s">
        <v>32</v>
      </c>
      <c r="M12" s="238">
        <v>0</v>
      </c>
      <c r="N12" s="238">
        <v>4</v>
      </c>
      <c r="O12" s="238">
        <v>25</v>
      </c>
      <c r="P12" s="235" t="s">
        <v>55</v>
      </c>
      <c r="Q12" s="231"/>
      <c r="R12" s="231"/>
      <c r="S12" s="231"/>
      <c r="T12" s="231"/>
      <c r="U12" s="231"/>
      <c r="V12" s="231"/>
      <c r="W12" s="231"/>
      <c r="X12" s="231"/>
      <c r="Y12" s="231"/>
      <c r="Z12" s="238" t="s">
        <v>146</v>
      </c>
      <c r="AA12" s="238" t="s">
        <v>173</v>
      </c>
      <c r="AB12" s="238" t="s">
        <v>174</v>
      </c>
      <c r="AC12" s="238" t="s">
        <v>175</v>
      </c>
      <c r="AD12" s="238" t="s">
        <v>176</v>
      </c>
      <c r="AE12" s="238" t="s">
        <v>166</v>
      </c>
      <c r="AF12" s="231"/>
      <c r="AG12" s="231"/>
      <c r="AH12" s="231"/>
      <c r="AI12" s="231"/>
      <c r="AJ12" s="231"/>
    </row>
    <row r="13" spans="1:36" x14ac:dyDescent="0.3">
      <c r="A13" s="233" t="s">
        <v>120</v>
      </c>
      <c r="B13" s="234">
        <v>46008</v>
      </c>
      <c r="C13" s="235" t="s">
        <v>37</v>
      </c>
      <c r="D13" s="236" t="s">
        <v>121</v>
      </c>
      <c r="E13" s="235" t="s">
        <v>1</v>
      </c>
      <c r="F13" s="235" t="s">
        <v>96</v>
      </c>
      <c r="G13" s="237">
        <v>0.24579999999999999</v>
      </c>
      <c r="H13" s="238">
        <v>179</v>
      </c>
      <c r="I13" s="238">
        <v>44</v>
      </c>
      <c r="J13" s="238">
        <v>0</v>
      </c>
      <c r="K13" s="235" t="s">
        <v>97</v>
      </c>
      <c r="L13" s="239" t="s">
        <v>45</v>
      </c>
      <c r="M13" s="238">
        <v>2</v>
      </c>
      <c r="N13" s="238">
        <v>5</v>
      </c>
      <c r="O13" s="238">
        <v>19</v>
      </c>
      <c r="P13" s="235" t="s">
        <v>57</v>
      </c>
      <c r="Q13" s="231"/>
      <c r="R13" s="231"/>
      <c r="S13" s="231"/>
      <c r="T13" s="231"/>
      <c r="U13" s="231"/>
      <c r="V13" s="231"/>
      <c r="W13" s="231"/>
      <c r="X13" s="231"/>
      <c r="Y13" s="231"/>
      <c r="Z13" s="238" t="s">
        <v>177</v>
      </c>
      <c r="AA13" s="238" t="s">
        <v>173</v>
      </c>
      <c r="AB13" s="238" t="s">
        <v>174</v>
      </c>
      <c r="AC13" s="238" t="s">
        <v>160</v>
      </c>
      <c r="AD13" s="238" t="s">
        <v>155</v>
      </c>
      <c r="AE13" s="238" t="s">
        <v>178</v>
      </c>
      <c r="AF13" s="231"/>
      <c r="AG13" s="231"/>
      <c r="AH13" s="231"/>
      <c r="AI13" s="231"/>
      <c r="AJ13" s="231"/>
    </row>
    <row r="14" spans="1:36" x14ac:dyDescent="0.3">
      <c r="A14" s="233" t="s">
        <v>94</v>
      </c>
      <c r="B14" s="234">
        <v>46012</v>
      </c>
      <c r="C14" s="235" t="s">
        <v>29</v>
      </c>
      <c r="D14" s="236" t="s">
        <v>95</v>
      </c>
      <c r="E14" s="235" t="s">
        <v>1</v>
      </c>
      <c r="F14" s="235" t="s">
        <v>96</v>
      </c>
      <c r="G14" s="237">
        <v>0.19550000000000001</v>
      </c>
      <c r="H14" s="238">
        <v>179</v>
      </c>
      <c r="I14" s="238">
        <v>35</v>
      </c>
      <c r="J14" s="238">
        <v>0</v>
      </c>
      <c r="K14" s="235" t="s">
        <v>97</v>
      </c>
      <c r="L14" s="239" t="s">
        <v>32</v>
      </c>
      <c r="M14" s="238">
        <v>0</v>
      </c>
      <c r="N14" s="238">
        <v>2</v>
      </c>
      <c r="O14" s="238">
        <v>9</v>
      </c>
      <c r="P14" s="235" t="s">
        <v>59</v>
      </c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8" t="s">
        <v>179</v>
      </c>
      <c r="AB14" s="238" t="s">
        <v>159</v>
      </c>
      <c r="AC14" s="238" t="s">
        <v>180</v>
      </c>
      <c r="AD14" s="238" t="s">
        <v>176</v>
      </c>
      <c r="AE14" s="238" t="s">
        <v>107</v>
      </c>
      <c r="AF14" s="238" t="s">
        <v>142</v>
      </c>
      <c r="AG14" s="231"/>
      <c r="AH14" s="231"/>
      <c r="AI14" s="231"/>
      <c r="AJ14" s="231"/>
    </row>
    <row r="15" spans="1:36" x14ac:dyDescent="0.3">
      <c r="A15" s="233" t="s">
        <v>109</v>
      </c>
      <c r="B15" s="234">
        <v>46014</v>
      </c>
      <c r="C15" s="235" t="s">
        <v>29</v>
      </c>
      <c r="D15" s="236" t="s">
        <v>110</v>
      </c>
      <c r="E15" s="235" t="s">
        <v>1</v>
      </c>
      <c r="F15" s="235" t="s">
        <v>96</v>
      </c>
      <c r="G15" s="237">
        <v>0.1173</v>
      </c>
      <c r="H15" s="238">
        <v>179</v>
      </c>
      <c r="I15" s="238">
        <v>21</v>
      </c>
      <c r="J15" s="238">
        <v>0</v>
      </c>
      <c r="K15" s="235" t="s">
        <v>97</v>
      </c>
      <c r="L15" s="239" t="s">
        <v>32</v>
      </c>
      <c r="M15" s="238">
        <v>0</v>
      </c>
      <c r="N15" s="238">
        <v>1</v>
      </c>
      <c r="O15" s="238">
        <v>7</v>
      </c>
      <c r="P15" s="235" t="s">
        <v>61</v>
      </c>
      <c r="Q15" s="231"/>
      <c r="R15" s="231"/>
      <c r="S15" s="231"/>
      <c r="T15" s="231"/>
      <c r="U15" s="231"/>
      <c r="V15" s="231"/>
      <c r="W15" s="238" t="s">
        <v>33</v>
      </c>
      <c r="X15" s="231"/>
      <c r="Y15" s="231"/>
      <c r="Z15" s="231"/>
      <c r="AA15" s="238" t="s">
        <v>181</v>
      </c>
      <c r="AB15" s="231"/>
      <c r="AC15" s="238" t="s">
        <v>117</v>
      </c>
      <c r="AD15" s="238" t="s">
        <v>176</v>
      </c>
      <c r="AE15" s="238" t="s">
        <v>131</v>
      </c>
      <c r="AF15" s="231"/>
      <c r="AG15" s="231"/>
      <c r="AH15" s="231"/>
      <c r="AI15" s="231"/>
      <c r="AJ15" s="231"/>
    </row>
    <row r="16" spans="1:36" x14ac:dyDescent="0.3">
      <c r="A16" s="233" t="s">
        <v>120</v>
      </c>
      <c r="B16" s="234">
        <v>46015</v>
      </c>
      <c r="C16" s="235" t="s">
        <v>37</v>
      </c>
      <c r="D16" s="236" t="s">
        <v>121</v>
      </c>
      <c r="E16" s="235" t="s">
        <v>1</v>
      </c>
      <c r="F16" s="235" t="s">
        <v>96</v>
      </c>
      <c r="G16" s="237">
        <v>0.13969999999999999</v>
      </c>
      <c r="H16" s="238">
        <v>179</v>
      </c>
      <c r="I16" s="238">
        <v>25</v>
      </c>
      <c r="J16" s="238">
        <v>0</v>
      </c>
      <c r="K16" s="235" t="s">
        <v>97</v>
      </c>
      <c r="L16" s="239" t="s">
        <v>32</v>
      </c>
      <c r="M16" s="238">
        <v>0</v>
      </c>
      <c r="N16" s="238">
        <v>1</v>
      </c>
      <c r="O16" s="238">
        <v>6</v>
      </c>
      <c r="P16" s="235" t="s">
        <v>63</v>
      </c>
      <c r="Q16" s="231"/>
      <c r="R16" s="231"/>
      <c r="S16" s="231"/>
      <c r="T16" s="231"/>
      <c r="U16" s="231"/>
      <c r="V16" s="231"/>
      <c r="W16" s="231"/>
      <c r="X16" s="231"/>
      <c r="Y16" s="231"/>
      <c r="Z16" s="231"/>
      <c r="AA16" s="238" t="s">
        <v>181</v>
      </c>
      <c r="AB16" s="238" t="s">
        <v>182</v>
      </c>
      <c r="AC16" s="238" t="s">
        <v>160</v>
      </c>
      <c r="AD16" s="238" t="s">
        <v>176</v>
      </c>
      <c r="AE16" s="238" t="s">
        <v>131</v>
      </c>
      <c r="AF16" s="231"/>
      <c r="AG16" s="231"/>
      <c r="AH16" s="231"/>
      <c r="AI16" s="231"/>
      <c r="AJ16" s="231"/>
    </row>
    <row r="17" spans="1:36" ht="21" x14ac:dyDescent="0.3">
      <c r="A17" s="240" t="s">
        <v>522</v>
      </c>
      <c r="B17" s="241"/>
      <c r="C17" s="240">
        <f>SUBTOTAL(103,ATZ_RUH_LF_LEGACY[Flt])</f>
        <v>15</v>
      </c>
      <c r="D17" s="240"/>
      <c r="E17" s="240">
        <f>SUBTOTAL(103,ATZ_RUH_LF_LEGACY[Brd-Off])</f>
        <v>15</v>
      </c>
      <c r="F17" s="240"/>
      <c r="G17" s="242">
        <f>SUBTOTAL(101,ATZ_RUH_LF_LEGACY[LF%])</f>
        <v>0.42754666666666669</v>
      </c>
      <c r="H17" s="243">
        <f>SUBTOTAL(109,ATZ_RUH_LF_LEGACY[CAP])</f>
        <v>2685</v>
      </c>
      <c r="I17" s="243">
        <f>SUBTOTAL(109,ATZ_RUH_LF_LEGACY[BKG(Y)])</f>
        <v>1148</v>
      </c>
      <c r="J17" s="243">
        <f>SUBTOTAL(109,ATZ_RUH_LF_LEGACY[GRP(Y)])</f>
        <v>0</v>
      </c>
      <c r="K17" s="240"/>
      <c r="L17" s="241"/>
      <c r="M17" s="243">
        <f>SUBTOTAL(109,ATZ_RUH_LF_LEGACY[TO-DAY])</f>
        <v>5</v>
      </c>
      <c r="N17" s="243">
        <f>SUBTOTAL(109,ATZ_RUH_LF_LEGACY[Y-DAY])</f>
        <v>60</v>
      </c>
      <c r="O17" s="243">
        <f>SUBTOTAL(109,ATZ_RUH_LF_LEGACY[WEEKLY])</f>
        <v>340</v>
      </c>
      <c r="P17" s="244"/>
      <c r="Q17" s="243">
        <f>SUBTOTAL(109,ATZ_RUH_LF_LEGACY[Y])</f>
        <v>0</v>
      </c>
      <c r="R17" s="243">
        <f>SUBTOTAL(109,ATZ_RUH_LF_LEGACY[B])</f>
        <v>0</v>
      </c>
      <c r="S17" s="243">
        <f>SUBTOTAL(109,ATZ_RUH_LF_LEGACY[M])</f>
        <v>0</v>
      </c>
      <c r="T17" s="243">
        <f>SUBTOTAL(109,ATZ_RUH_LF_LEGACY[H])</f>
        <v>0</v>
      </c>
      <c r="U17" s="243">
        <f>SUBTOTAL(109,ATZ_RUH_LF_LEGACY[Q])</f>
        <v>0</v>
      </c>
      <c r="V17" s="243">
        <f>SUBTOTAL(109,ATZ_RUH_LF_LEGACY[K])</f>
        <v>0</v>
      </c>
      <c r="W17" s="243">
        <f>SUBTOTAL(109,ATZ_RUH_LF_LEGACY[V])</f>
        <v>0</v>
      </c>
      <c r="X17" s="243">
        <f>SUBTOTAL(109,ATZ_RUH_LF_LEGACY[L])</f>
        <v>0</v>
      </c>
      <c r="Y17" s="243">
        <f>SUBTOTAL(109,ATZ_RUH_LF_LEGACY[G])</f>
        <v>0</v>
      </c>
      <c r="Z17" s="243">
        <f>SUBTOTAL(109,ATZ_RUH_LF_LEGACY[S])</f>
        <v>0</v>
      </c>
      <c r="AA17" s="243">
        <f>SUBTOTAL(109,ATZ_RUH_LF_LEGACY[W])</f>
        <v>0</v>
      </c>
      <c r="AB17" s="243">
        <f>SUBTOTAL(109,ATZ_RUH_LF_LEGACY[T])</f>
        <v>0</v>
      </c>
      <c r="AC17" s="243">
        <f>SUBTOTAL(109,ATZ_RUH_LF_LEGACY[X])</f>
        <v>0</v>
      </c>
      <c r="AD17" s="243">
        <f>SUBTOTAL(109,ATZ_RUH_LF_LEGACY[U])</f>
        <v>0</v>
      </c>
      <c r="AE17" s="243">
        <f>SUBTOTAL(109,ATZ_RUH_LF_LEGACY[O])</f>
        <v>0</v>
      </c>
      <c r="AF17" s="243">
        <f>SUBTOTAL(109,ATZ_RUH_LF_LEGACY[I])</f>
        <v>0</v>
      </c>
      <c r="AG17" s="243">
        <f>SUBTOTAL(109,ATZ_RUH_LF_LEGACY[E])</f>
        <v>0</v>
      </c>
      <c r="AH17" s="243">
        <f>SUBTOTAL(109,ATZ_RUH_LF_LEGACY[A])</f>
        <v>0</v>
      </c>
      <c r="AI17" s="243">
        <f>SUBTOTAL(109,ATZ_RUH_LF_LEGACY[P])</f>
        <v>0</v>
      </c>
      <c r="AJ17" s="243">
        <f>SUBTOTAL(103,ATZ_RUH_LF_LEGACY[N])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42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7.777343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6.21875" bestFit="1" customWidth="1"/>
    <col min="17" max="17" width="12.21875" bestFit="1" customWidth="1"/>
    <col min="18" max="18" width="95.5546875" bestFit="1" customWidth="1"/>
  </cols>
  <sheetData>
    <row r="1" spans="1:92" ht="28.8" customHeight="1" x14ac:dyDescent="0.3">
      <c r="A1" s="220" t="s">
        <v>0</v>
      </c>
      <c r="B1" s="219"/>
      <c r="C1" s="219"/>
      <c r="D1" s="219"/>
      <c r="E1" s="219"/>
      <c r="F1" s="1" t="s">
        <v>183</v>
      </c>
      <c r="G1" s="2" t="s">
        <v>2</v>
      </c>
      <c r="H1" s="218" t="s">
        <v>3</v>
      </c>
      <c r="I1" s="219"/>
      <c r="J1" s="219"/>
      <c r="K1" s="219"/>
      <c r="L1" s="219"/>
      <c r="M1" s="1" t="s">
        <v>4</v>
      </c>
      <c r="N1" s="227" t="s">
        <v>5</v>
      </c>
      <c r="O1" s="219"/>
      <c r="P1" s="219"/>
      <c r="Q1" s="219"/>
      <c r="R1" s="21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23" t="s">
        <v>6</v>
      </c>
      <c r="B2" s="219"/>
      <c r="C2" s="219"/>
      <c r="D2" s="219"/>
      <c r="E2" s="219"/>
      <c r="F2" s="219"/>
      <c r="G2" s="225">
        <v>45984.228701301297</v>
      </c>
      <c r="H2" s="219"/>
      <c r="I2" s="219"/>
      <c r="J2" s="219"/>
      <c r="K2" s="228">
        <v>45984.22870130185</v>
      </c>
      <c r="L2" s="219"/>
      <c r="M2" s="219"/>
      <c r="N2" s="219"/>
      <c r="O2" s="219"/>
      <c r="P2" s="219"/>
      <c r="Q2" s="219"/>
      <c r="R2" s="21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24" t="s">
        <v>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26" t="s">
        <v>8</v>
      </c>
      <c r="B4" s="214"/>
      <c r="C4" s="214"/>
      <c r="D4" s="214"/>
      <c r="E4" s="214"/>
      <c r="F4" s="215"/>
      <c r="G4" s="4">
        <v>45985</v>
      </c>
      <c r="H4" s="222" t="s">
        <v>9</v>
      </c>
      <c r="I4" s="214"/>
      <c r="J4" s="214"/>
      <c r="K4" s="214"/>
      <c r="L4" s="214"/>
      <c r="M4" s="214"/>
      <c r="N4" s="214"/>
      <c r="O4" s="214"/>
      <c r="P4" s="214"/>
      <c r="Q4" s="214"/>
      <c r="R4" s="21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78" t="s">
        <v>28</v>
      </c>
      <c r="B6" s="78" t="s">
        <v>184</v>
      </c>
      <c r="C6" s="79">
        <v>0.29166666666666669</v>
      </c>
      <c r="D6" s="78" t="s">
        <v>30</v>
      </c>
      <c r="E6" s="80"/>
      <c r="F6" s="78" t="s">
        <v>185</v>
      </c>
      <c r="G6" s="217"/>
      <c r="H6" s="81" t="s">
        <v>184</v>
      </c>
      <c r="I6" s="88">
        <v>0.9778</v>
      </c>
      <c r="J6" s="83">
        <v>176</v>
      </c>
      <c r="K6" s="84" t="s">
        <v>32</v>
      </c>
      <c r="L6" s="83">
        <v>47</v>
      </c>
      <c r="M6" s="83">
        <v>0</v>
      </c>
      <c r="N6" s="83">
        <v>13</v>
      </c>
      <c r="O6" s="85" t="s">
        <v>186</v>
      </c>
      <c r="P6" s="86">
        <v>0.29166666666666669</v>
      </c>
      <c r="Q6" s="83">
        <v>180</v>
      </c>
      <c r="R6" s="87" t="s">
        <v>187</v>
      </c>
    </row>
    <row r="7" spans="1:92" ht="17.399999999999999" customHeight="1" thickBot="1" x14ac:dyDescent="0.35">
      <c r="A7" s="245"/>
      <c r="B7" s="246"/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7"/>
    </row>
    <row r="8" spans="1:92" ht="22.05" customHeight="1" thickTop="1" thickBot="1" x14ac:dyDescent="0.35">
      <c r="A8" s="213" t="s">
        <v>8</v>
      </c>
      <c r="B8" s="214"/>
      <c r="C8" s="214"/>
      <c r="D8" s="214"/>
      <c r="E8" s="214"/>
      <c r="F8" s="215"/>
      <c r="G8" s="18">
        <v>45989</v>
      </c>
      <c r="H8" s="216" t="s">
        <v>9</v>
      </c>
      <c r="I8" s="214"/>
      <c r="J8" s="214"/>
      <c r="K8" s="214"/>
      <c r="L8" s="214"/>
      <c r="M8" s="214"/>
      <c r="N8" s="214"/>
      <c r="O8" s="214"/>
      <c r="P8" s="214"/>
      <c r="Q8" s="214"/>
      <c r="R8" s="215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78" t="s">
        <v>28</v>
      </c>
      <c r="B10" s="78" t="s">
        <v>184</v>
      </c>
      <c r="C10" s="79">
        <v>7.2916666666666671E-2</v>
      </c>
      <c r="D10" s="78" t="s">
        <v>30</v>
      </c>
      <c r="E10" s="80"/>
      <c r="F10" s="78" t="s">
        <v>188</v>
      </c>
      <c r="G10" s="221"/>
      <c r="H10" s="81" t="s">
        <v>184</v>
      </c>
      <c r="I10" s="88">
        <v>0.93889999999999996</v>
      </c>
      <c r="J10" s="83">
        <v>169</v>
      </c>
      <c r="K10" s="84" t="s">
        <v>32</v>
      </c>
      <c r="L10" s="83">
        <v>55</v>
      </c>
      <c r="M10" s="83">
        <v>0</v>
      </c>
      <c r="N10" s="83">
        <v>16</v>
      </c>
      <c r="O10" s="85" t="s">
        <v>38</v>
      </c>
      <c r="P10" s="86">
        <v>7.2916666666666671E-2</v>
      </c>
      <c r="Q10" s="83">
        <v>180</v>
      </c>
      <c r="R10" s="87" t="s">
        <v>189</v>
      </c>
    </row>
    <row r="11" spans="1:92" ht="17.399999999999999" customHeight="1" thickBot="1" x14ac:dyDescent="0.35">
      <c r="A11" s="245"/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7"/>
    </row>
    <row r="12" spans="1:92" ht="22.05" customHeight="1" thickTop="1" thickBot="1" x14ac:dyDescent="0.35">
      <c r="A12" s="213" t="s">
        <v>8</v>
      </c>
      <c r="B12" s="214"/>
      <c r="C12" s="214"/>
      <c r="D12" s="214"/>
      <c r="E12" s="214"/>
      <c r="F12" s="215"/>
      <c r="G12" s="18">
        <v>45992</v>
      </c>
      <c r="H12" s="216" t="s">
        <v>9</v>
      </c>
      <c r="I12" s="214"/>
      <c r="J12" s="214"/>
      <c r="K12" s="214"/>
      <c r="L12" s="214"/>
      <c r="M12" s="214"/>
      <c r="N12" s="214"/>
      <c r="O12" s="214"/>
      <c r="P12" s="214"/>
      <c r="Q12" s="214"/>
      <c r="R12" s="215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26" t="s">
        <v>28</v>
      </c>
      <c r="B14" s="26" t="s">
        <v>184</v>
      </c>
      <c r="C14" s="27">
        <v>0.29166666666666669</v>
      </c>
      <c r="D14" s="26" t="s">
        <v>30</v>
      </c>
      <c r="E14" s="28"/>
      <c r="F14" s="26" t="s">
        <v>188</v>
      </c>
      <c r="G14" s="221"/>
      <c r="H14" s="29" t="s">
        <v>184</v>
      </c>
      <c r="I14" s="89">
        <v>0.91669999999999996</v>
      </c>
      <c r="J14" s="31">
        <v>165</v>
      </c>
      <c r="K14" s="32" t="s">
        <v>32</v>
      </c>
      <c r="L14" s="31">
        <v>57</v>
      </c>
      <c r="M14" s="31">
        <v>0</v>
      </c>
      <c r="N14" s="31">
        <v>15</v>
      </c>
      <c r="O14" s="33" t="s">
        <v>190</v>
      </c>
      <c r="P14" s="34">
        <v>0.29166666666666669</v>
      </c>
      <c r="Q14" s="31">
        <v>180</v>
      </c>
      <c r="R14" s="35" t="s">
        <v>191</v>
      </c>
    </row>
    <row r="15" spans="1:92" ht="17.399999999999999" customHeight="1" thickBot="1" x14ac:dyDescent="0.35">
      <c r="A15" s="245"/>
      <c r="B15" s="246"/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7"/>
    </row>
    <row r="16" spans="1:92" ht="22.05" customHeight="1" thickTop="1" thickBot="1" x14ac:dyDescent="0.35">
      <c r="A16" s="213" t="s">
        <v>8</v>
      </c>
      <c r="B16" s="214"/>
      <c r="C16" s="214"/>
      <c r="D16" s="214"/>
      <c r="E16" s="214"/>
      <c r="F16" s="215"/>
      <c r="G16" s="18">
        <v>45996</v>
      </c>
      <c r="H16" s="216" t="s">
        <v>9</v>
      </c>
      <c r="I16" s="214"/>
      <c r="J16" s="214"/>
      <c r="K16" s="214"/>
      <c r="L16" s="214"/>
      <c r="M16" s="214"/>
      <c r="N16" s="214"/>
      <c r="O16" s="214"/>
      <c r="P16" s="214"/>
      <c r="Q16" s="214"/>
      <c r="R16" s="215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68" t="s">
        <v>28</v>
      </c>
      <c r="B18" s="68" t="s">
        <v>184</v>
      </c>
      <c r="C18" s="69">
        <v>7.2916666666666671E-2</v>
      </c>
      <c r="D18" s="68" t="s">
        <v>30</v>
      </c>
      <c r="E18" s="70"/>
      <c r="F18" s="68" t="s">
        <v>31</v>
      </c>
      <c r="G18" s="221"/>
      <c r="H18" s="71" t="s">
        <v>184</v>
      </c>
      <c r="I18" s="72">
        <v>0.4889</v>
      </c>
      <c r="J18" s="73">
        <v>88</v>
      </c>
      <c r="K18" s="74" t="s">
        <v>32</v>
      </c>
      <c r="L18" s="73">
        <v>51</v>
      </c>
      <c r="M18" s="73">
        <v>0</v>
      </c>
      <c r="N18" s="73">
        <v>17</v>
      </c>
      <c r="O18" s="75" t="s">
        <v>40</v>
      </c>
      <c r="P18" s="76">
        <v>7.2916666666666671E-2</v>
      </c>
      <c r="Q18" s="73">
        <v>180</v>
      </c>
      <c r="R18" s="77" t="s">
        <v>192</v>
      </c>
    </row>
    <row r="19" spans="1:18" ht="17.399999999999999" customHeight="1" thickBot="1" x14ac:dyDescent="0.35">
      <c r="A19" s="245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7"/>
    </row>
    <row r="20" spans="1:18" ht="22.05" customHeight="1" thickTop="1" thickBot="1" x14ac:dyDescent="0.35">
      <c r="A20" s="213" t="s">
        <v>8</v>
      </c>
      <c r="B20" s="214"/>
      <c r="C20" s="214"/>
      <c r="D20" s="214"/>
      <c r="E20" s="214"/>
      <c r="F20" s="215"/>
      <c r="G20" s="18">
        <v>45999</v>
      </c>
      <c r="H20" s="216" t="s">
        <v>9</v>
      </c>
      <c r="I20" s="214"/>
      <c r="J20" s="214"/>
      <c r="K20" s="214"/>
      <c r="L20" s="214"/>
      <c r="M20" s="214"/>
      <c r="N20" s="214"/>
      <c r="O20" s="214"/>
      <c r="P20" s="214"/>
      <c r="Q20" s="214"/>
      <c r="R20" s="215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58" t="s">
        <v>28</v>
      </c>
      <c r="B22" s="58" t="s">
        <v>184</v>
      </c>
      <c r="C22" s="59">
        <v>0.29166666666666669</v>
      </c>
      <c r="D22" s="58" t="s">
        <v>30</v>
      </c>
      <c r="E22" s="60"/>
      <c r="F22" s="58" t="s">
        <v>31</v>
      </c>
      <c r="G22" s="221"/>
      <c r="H22" s="61" t="s">
        <v>184</v>
      </c>
      <c r="I22" s="62">
        <v>0.36670000000000003</v>
      </c>
      <c r="J22" s="63">
        <v>66</v>
      </c>
      <c r="K22" s="64" t="s">
        <v>32</v>
      </c>
      <c r="L22" s="63">
        <v>36</v>
      </c>
      <c r="M22" s="63">
        <v>0</v>
      </c>
      <c r="N22" s="63">
        <v>12</v>
      </c>
      <c r="O22" s="65" t="s">
        <v>193</v>
      </c>
      <c r="P22" s="66">
        <v>0.29166666666666669</v>
      </c>
      <c r="Q22" s="63">
        <v>180</v>
      </c>
      <c r="R22" s="67" t="s">
        <v>194</v>
      </c>
    </row>
    <row r="23" spans="1:18" ht="17.399999999999999" customHeight="1" thickBot="1" x14ac:dyDescent="0.35">
      <c r="A23" s="245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7"/>
    </row>
    <row r="24" spans="1:18" ht="22.05" customHeight="1" thickTop="1" thickBot="1" x14ac:dyDescent="0.35">
      <c r="A24" s="213" t="s">
        <v>8</v>
      </c>
      <c r="B24" s="214"/>
      <c r="C24" s="214"/>
      <c r="D24" s="214"/>
      <c r="E24" s="214"/>
      <c r="F24" s="215"/>
      <c r="G24" s="18">
        <v>46003</v>
      </c>
      <c r="H24" s="216" t="s">
        <v>9</v>
      </c>
      <c r="I24" s="214"/>
      <c r="J24" s="214"/>
      <c r="K24" s="214"/>
      <c r="L24" s="214"/>
      <c r="M24" s="214"/>
      <c r="N24" s="214"/>
      <c r="O24" s="214"/>
      <c r="P24" s="214"/>
      <c r="Q24" s="214"/>
      <c r="R24" s="215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8" t="s">
        <v>28</v>
      </c>
      <c r="B26" s="8" t="s">
        <v>184</v>
      </c>
      <c r="C26" s="9">
        <v>7.2916666666666671E-2</v>
      </c>
      <c r="D26" s="8" t="s">
        <v>30</v>
      </c>
      <c r="E26" s="10"/>
      <c r="F26" s="8" t="s">
        <v>54</v>
      </c>
      <c r="G26" s="217"/>
      <c r="H26" s="11" t="s">
        <v>184</v>
      </c>
      <c r="I26" s="90">
        <v>0.2833</v>
      </c>
      <c r="J26" s="13">
        <v>51</v>
      </c>
      <c r="K26" s="14" t="s">
        <v>32</v>
      </c>
      <c r="L26" s="13">
        <v>28</v>
      </c>
      <c r="M26" s="13">
        <v>0</v>
      </c>
      <c r="N26" s="13">
        <v>8</v>
      </c>
      <c r="O26" s="15" t="s">
        <v>195</v>
      </c>
      <c r="P26" s="16">
        <v>7.2916666666666671E-2</v>
      </c>
      <c r="Q26" s="13">
        <v>180</v>
      </c>
      <c r="R26" s="17" t="s">
        <v>196</v>
      </c>
    </row>
    <row r="27" spans="1:18" ht="17.399999999999999" customHeight="1" thickBot="1" x14ac:dyDescent="0.35">
      <c r="A27" s="245"/>
      <c r="B27" s="246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7"/>
    </row>
    <row r="28" spans="1:18" ht="22.05" customHeight="1" thickTop="1" thickBot="1" x14ac:dyDescent="0.35">
      <c r="A28" s="213" t="s">
        <v>8</v>
      </c>
      <c r="B28" s="214"/>
      <c r="C28" s="214"/>
      <c r="D28" s="214"/>
      <c r="E28" s="214"/>
      <c r="F28" s="215"/>
      <c r="G28" s="18">
        <v>46006</v>
      </c>
      <c r="H28" s="216" t="s">
        <v>9</v>
      </c>
      <c r="I28" s="214"/>
      <c r="J28" s="214"/>
      <c r="K28" s="214"/>
      <c r="L28" s="214"/>
      <c r="M28" s="214"/>
      <c r="N28" s="214"/>
      <c r="O28" s="214"/>
      <c r="P28" s="214"/>
      <c r="Q28" s="214"/>
      <c r="R28" s="215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91" t="s">
        <v>28</v>
      </c>
      <c r="B30" s="91" t="s">
        <v>184</v>
      </c>
      <c r="C30" s="92">
        <v>0.29166666666666669</v>
      </c>
      <c r="D30" s="91" t="s">
        <v>30</v>
      </c>
      <c r="E30" s="93"/>
      <c r="F30" s="91" t="s">
        <v>54</v>
      </c>
      <c r="G30" s="221"/>
      <c r="H30" s="94" t="s">
        <v>184</v>
      </c>
      <c r="I30" s="95">
        <v>0.2278</v>
      </c>
      <c r="J30" s="96">
        <v>41</v>
      </c>
      <c r="K30" s="97" t="s">
        <v>32</v>
      </c>
      <c r="L30" s="96">
        <v>25</v>
      </c>
      <c r="M30" s="96">
        <v>0</v>
      </c>
      <c r="N30" s="96">
        <v>12</v>
      </c>
      <c r="O30" s="98" t="s">
        <v>48</v>
      </c>
      <c r="P30" s="99">
        <v>0.29166666666666669</v>
      </c>
      <c r="Q30" s="96">
        <v>180</v>
      </c>
      <c r="R30" s="100" t="s">
        <v>197</v>
      </c>
    </row>
    <row r="31" spans="1:18" ht="17.399999999999999" customHeight="1" thickBot="1" x14ac:dyDescent="0.35">
      <c r="A31" s="245"/>
      <c r="B31" s="246"/>
      <c r="C31" s="246"/>
      <c r="D31" s="246"/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7"/>
    </row>
    <row r="32" spans="1:18" ht="22.05" customHeight="1" thickTop="1" thickBot="1" x14ac:dyDescent="0.35">
      <c r="A32" s="213" t="s">
        <v>8</v>
      </c>
      <c r="B32" s="214"/>
      <c r="C32" s="214"/>
      <c r="D32" s="214"/>
      <c r="E32" s="214"/>
      <c r="F32" s="215"/>
      <c r="G32" s="18">
        <v>46010</v>
      </c>
      <c r="H32" s="216" t="s">
        <v>9</v>
      </c>
      <c r="I32" s="214"/>
      <c r="J32" s="214"/>
      <c r="K32" s="214"/>
      <c r="L32" s="214"/>
      <c r="M32" s="214"/>
      <c r="N32" s="214"/>
      <c r="O32" s="214"/>
      <c r="P32" s="214"/>
      <c r="Q32" s="214"/>
      <c r="R32" s="215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36" t="s">
        <v>28</v>
      </c>
      <c r="B34" s="36" t="s">
        <v>184</v>
      </c>
      <c r="C34" s="37">
        <v>7.2916666666666671E-2</v>
      </c>
      <c r="D34" s="36" t="s">
        <v>30</v>
      </c>
      <c r="E34" s="38"/>
      <c r="F34" s="36" t="s">
        <v>54</v>
      </c>
      <c r="G34" s="217"/>
      <c r="H34" s="39" t="s">
        <v>184</v>
      </c>
      <c r="I34" s="56">
        <v>0.17780000000000001</v>
      </c>
      <c r="J34" s="41">
        <v>32</v>
      </c>
      <c r="K34" s="42" t="s">
        <v>32</v>
      </c>
      <c r="L34" s="41">
        <v>21</v>
      </c>
      <c r="M34" s="41">
        <v>0</v>
      </c>
      <c r="N34" s="41">
        <v>7</v>
      </c>
      <c r="O34" s="43" t="s">
        <v>198</v>
      </c>
      <c r="P34" s="44">
        <v>7.2916666666666671E-2</v>
      </c>
      <c r="Q34" s="41">
        <v>180</v>
      </c>
      <c r="R34" s="45" t="s">
        <v>199</v>
      </c>
    </row>
    <row r="35" spans="1:18" ht="17.399999999999999" customHeight="1" thickBot="1" x14ac:dyDescent="0.35">
      <c r="A35" s="245"/>
      <c r="B35" s="246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7"/>
    </row>
    <row r="36" spans="1:18" ht="22.05" customHeight="1" thickTop="1" thickBot="1" x14ac:dyDescent="0.35">
      <c r="A36" s="213" t="s">
        <v>8</v>
      </c>
      <c r="B36" s="214"/>
      <c r="C36" s="214"/>
      <c r="D36" s="214"/>
      <c r="E36" s="214"/>
      <c r="F36" s="215"/>
      <c r="G36" s="18">
        <v>46013</v>
      </c>
      <c r="H36" s="216" t="s">
        <v>9</v>
      </c>
      <c r="I36" s="214"/>
      <c r="J36" s="214"/>
      <c r="K36" s="214"/>
      <c r="L36" s="214"/>
      <c r="M36" s="214"/>
      <c r="N36" s="214"/>
      <c r="O36" s="214"/>
      <c r="P36" s="214"/>
      <c r="Q36" s="214"/>
      <c r="R36" s="215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5">
      <c r="A38" s="36" t="s">
        <v>28</v>
      </c>
      <c r="B38" s="36" t="s">
        <v>184</v>
      </c>
      <c r="C38" s="37">
        <v>0.29166666666666669</v>
      </c>
      <c r="D38" s="36" t="s">
        <v>30</v>
      </c>
      <c r="E38" s="38"/>
      <c r="F38" s="36" t="s">
        <v>54</v>
      </c>
      <c r="G38" s="217"/>
      <c r="H38" s="39" t="s">
        <v>184</v>
      </c>
      <c r="I38" s="56">
        <v>0.1</v>
      </c>
      <c r="J38" s="41">
        <v>18</v>
      </c>
      <c r="K38" s="42" t="s">
        <v>32</v>
      </c>
      <c r="L38" s="41">
        <v>13</v>
      </c>
      <c r="M38" s="41">
        <v>0</v>
      </c>
      <c r="N38" s="41">
        <v>6</v>
      </c>
      <c r="O38" s="43" t="s">
        <v>174</v>
      </c>
      <c r="P38" s="44">
        <v>0.29166666666666669</v>
      </c>
      <c r="Q38" s="41">
        <v>180</v>
      </c>
      <c r="R38" s="45" t="s">
        <v>200</v>
      </c>
    </row>
    <row r="39" spans="1:18" ht="17.399999999999999" customHeight="1" thickBot="1" x14ac:dyDescent="0.35">
      <c r="A39" s="245"/>
      <c r="B39" s="246"/>
      <c r="C39" s="246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7"/>
    </row>
    <row r="40" spans="1:18" ht="22.05" customHeight="1" thickTop="1" thickBot="1" x14ac:dyDescent="0.35">
      <c r="A40" s="213" t="s">
        <v>8</v>
      </c>
      <c r="B40" s="214"/>
      <c r="C40" s="214"/>
      <c r="D40" s="214"/>
      <c r="E40" s="214"/>
      <c r="F40" s="215"/>
      <c r="G40" s="18">
        <v>46017</v>
      </c>
      <c r="H40" s="216" t="s">
        <v>9</v>
      </c>
      <c r="I40" s="214"/>
      <c r="J40" s="214"/>
      <c r="K40" s="214"/>
      <c r="L40" s="214"/>
      <c r="M40" s="214"/>
      <c r="N40" s="214"/>
      <c r="O40" s="214"/>
      <c r="P40" s="214"/>
      <c r="Q40" s="214"/>
      <c r="R40" s="215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x14ac:dyDescent="0.45">
      <c r="A42" s="58" t="s">
        <v>28</v>
      </c>
      <c r="B42" s="58" t="s">
        <v>184</v>
      </c>
      <c r="C42" s="59">
        <v>7.2916666666666671E-2</v>
      </c>
      <c r="D42" s="58" t="s">
        <v>30</v>
      </c>
      <c r="E42" s="60"/>
      <c r="F42" s="58" t="s">
        <v>54</v>
      </c>
      <c r="G42" s="217"/>
      <c r="H42" s="61" t="s">
        <v>184</v>
      </c>
      <c r="I42" s="62">
        <v>0.1389</v>
      </c>
      <c r="J42" s="63">
        <v>25</v>
      </c>
      <c r="K42" s="64" t="s">
        <v>32</v>
      </c>
      <c r="L42" s="63">
        <v>15</v>
      </c>
      <c r="M42" s="63">
        <v>0</v>
      </c>
      <c r="N42" s="63">
        <v>11</v>
      </c>
      <c r="O42" s="65" t="s">
        <v>201</v>
      </c>
      <c r="P42" s="66">
        <v>7.2916666666666671E-2</v>
      </c>
      <c r="Q42" s="63">
        <v>180</v>
      </c>
      <c r="R42" s="67" t="s">
        <v>202</v>
      </c>
    </row>
  </sheetData>
  <mergeCells count="46">
    <mergeCell ref="G30"/>
    <mergeCell ref="H24:R24"/>
    <mergeCell ref="G14"/>
    <mergeCell ref="G42"/>
    <mergeCell ref="A35:R35"/>
    <mergeCell ref="N1:R1"/>
    <mergeCell ref="A28:F28"/>
    <mergeCell ref="A19:R19"/>
    <mergeCell ref="H16:R16"/>
    <mergeCell ref="K2:R2"/>
    <mergeCell ref="A40:F40"/>
    <mergeCell ref="H32:R32"/>
    <mergeCell ref="G38"/>
    <mergeCell ref="A31:R31"/>
    <mergeCell ref="G10"/>
    <mergeCell ref="H28:R28"/>
    <mergeCell ref="G6"/>
    <mergeCell ref="G18"/>
    <mergeCell ref="A24:F24"/>
    <mergeCell ref="H40:R40"/>
    <mergeCell ref="A2:F2"/>
    <mergeCell ref="A3:R3"/>
    <mergeCell ref="A32:F32"/>
    <mergeCell ref="A8:F8"/>
    <mergeCell ref="G2:J2"/>
    <mergeCell ref="A4:F4"/>
    <mergeCell ref="A23:R23"/>
    <mergeCell ref="A20:F20"/>
    <mergeCell ref="H36:R36"/>
    <mergeCell ref="A39:R39"/>
    <mergeCell ref="A15:R15"/>
    <mergeCell ref="H12:R12"/>
    <mergeCell ref="A36:F36"/>
    <mergeCell ref="G34"/>
    <mergeCell ref="A11:R11"/>
    <mergeCell ref="H1:L1"/>
    <mergeCell ref="A1:E1"/>
    <mergeCell ref="A12:F12"/>
    <mergeCell ref="A27:R27"/>
    <mergeCell ref="H4:R4"/>
    <mergeCell ref="G22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2"/>
  <sheetViews>
    <sheetView workbookViewId="0"/>
  </sheetViews>
  <sheetFormatPr defaultRowHeight="15.6" outlineLevelCol="1" x14ac:dyDescent="0.3"/>
  <cols>
    <col min="1" max="1" width="8.6640625" style="232" bestFit="1" customWidth="1"/>
    <col min="2" max="2" width="10.44140625" style="232" bestFit="1" customWidth="1"/>
    <col min="3" max="3" width="6.77734375" style="232" bestFit="1" customWidth="1"/>
    <col min="4" max="4" width="5.5546875" style="232" bestFit="1" customWidth="1"/>
    <col min="5" max="5" width="9.44140625" style="232" bestFit="1" customWidth="1"/>
    <col min="6" max="6" width="4.21875" style="232" bestFit="1" customWidth="1"/>
    <col min="7" max="7" width="10" style="232" bestFit="1" customWidth="1"/>
    <col min="8" max="8" width="8.5546875" style="232" bestFit="1" customWidth="1"/>
    <col min="9" max="10" width="7" style="232" bestFit="1" customWidth="1"/>
    <col min="11" max="11" width="10.5546875" style="232" bestFit="1" customWidth="1"/>
    <col min="12" max="12" width="18.109375" style="232" bestFit="1" customWidth="1"/>
    <col min="13" max="13" width="7.6640625" style="232" bestFit="1" customWidth="1" outlineLevel="1"/>
    <col min="14" max="14" width="7" style="232" bestFit="1" customWidth="1" outlineLevel="1"/>
    <col min="15" max="15" width="8" style="232" bestFit="1" customWidth="1" outlineLevel="1"/>
    <col min="16" max="16" width="13.6640625" style="232" bestFit="1" customWidth="1"/>
    <col min="17" max="20" width="3.88671875" style="232" bestFit="1" customWidth="1"/>
    <col min="21" max="21" width="4.5546875" style="232" bestFit="1" customWidth="1"/>
    <col min="22" max="22" width="4.21875" style="232" bestFit="1" customWidth="1"/>
    <col min="23" max="23" width="4.33203125" style="232" bestFit="1" customWidth="1"/>
    <col min="24" max="24" width="4.109375" style="232" bestFit="1" customWidth="1"/>
    <col min="25" max="25" width="4.44140625" style="232" bestFit="1" customWidth="1"/>
    <col min="26" max="26" width="4.109375" style="232" bestFit="1" customWidth="1"/>
    <col min="27" max="27" width="5" style="232" bestFit="1" customWidth="1"/>
    <col min="28" max="29" width="4.21875" style="232" bestFit="1" customWidth="1"/>
    <col min="30" max="31" width="4.5546875" style="232" bestFit="1" customWidth="1"/>
    <col min="32" max="36" width="3.88671875" style="232" bestFit="1" customWidth="1"/>
    <col min="37" max="16384" width="8.88671875" style="232"/>
  </cols>
  <sheetData>
    <row r="1" spans="1:36" x14ac:dyDescent="0.3">
      <c r="A1" s="231" t="s">
        <v>65</v>
      </c>
      <c r="B1" s="231" t="s">
        <v>66</v>
      </c>
      <c r="C1" s="231" t="s">
        <v>67</v>
      </c>
      <c r="D1" s="231" t="s">
        <v>25</v>
      </c>
      <c r="E1" s="231" t="s">
        <v>68</v>
      </c>
      <c r="F1" s="231" t="s">
        <v>69</v>
      </c>
      <c r="G1" s="231" t="s">
        <v>18</v>
      </c>
      <c r="H1" s="231" t="s">
        <v>70</v>
      </c>
      <c r="I1" s="231" t="s">
        <v>71</v>
      </c>
      <c r="J1" s="231" t="s">
        <v>72</v>
      </c>
      <c r="K1" s="231" t="s">
        <v>73</v>
      </c>
      <c r="L1" s="231" t="s">
        <v>20</v>
      </c>
      <c r="M1" s="231" t="s">
        <v>22</v>
      </c>
      <c r="N1" s="231" t="s">
        <v>23</v>
      </c>
      <c r="O1" s="231" t="s">
        <v>21</v>
      </c>
      <c r="P1" s="231" t="s">
        <v>24</v>
      </c>
      <c r="Q1" s="231" t="s">
        <v>74</v>
      </c>
      <c r="R1" s="231" t="s">
        <v>75</v>
      </c>
      <c r="S1" s="231" t="s">
        <v>76</v>
      </c>
      <c r="T1" s="231" t="s">
        <v>77</v>
      </c>
      <c r="U1" s="231" t="s">
        <v>78</v>
      </c>
      <c r="V1" s="231" t="s">
        <v>79</v>
      </c>
      <c r="W1" s="231" t="s">
        <v>80</v>
      </c>
      <c r="X1" s="231" t="s">
        <v>81</v>
      </c>
      <c r="Y1" s="231" t="s">
        <v>82</v>
      </c>
      <c r="Z1" s="231" t="s">
        <v>83</v>
      </c>
      <c r="AA1" s="231" t="s">
        <v>84</v>
      </c>
      <c r="AB1" s="231" t="s">
        <v>85</v>
      </c>
      <c r="AC1" s="231" t="s">
        <v>86</v>
      </c>
      <c r="AD1" s="231" t="s">
        <v>87</v>
      </c>
      <c r="AE1" s="231" t="s">
        <v>88</v>
      </c>
      <c r="AF1" s="231" t="s">
        <v>89</v>
      </c>
      <c r="AG1" s="231" t="s">
        <v>90</v>
      </c>
      <c r="AH1" s="231" t="s">
        <v>91</v>
      </c>
      <c r="AI1" s="231" t="s">
        <v>92</v>
      </c>
      <c r="AJ1" s="231" t="s">
        <v>93</v>
      </c>
    </row>
    <row r="2" spans="1:36" x14ac:dyDescent="0.3">
      <c r="A2" s="233" t="s">
        <v>203</v>
      </c>
      <c r="B2" s="234">
        <v>45985</v>
      </c>
      <c r="C2" s="235" t="s">
        <v>184</v>
      </c>
      <c r="D2" s="236" t="s">
        <v>204</v>
      </c>
      <c r="E2" s="235" t="s">
        <v>183</v>
      </c>
      <c r="F2" s="235" t="s">
        <v>96</v>
      </c>
      <c r="G2" s="237">
        <v>0.9778</v>
      </c>
      <c r="H2" s="238">
        <v>180</v>
      </c>
      <c r="I2" s="238">
        <v>176</v>
      </c>
      <c r="J2" s="238">
        <v>0</v>
      </c>
      <c r="K2" s="235" t="s">
        <v>97</v>
      </c>
      <c r="L2" s="239" t="s">
        <v>32</v>
      </c>
      <c r="M2" s="238">
        <v>0</v>
      </c>
      <c r="N2" s="238">
        <v>13</v>
      </c>
      <c r="O2" s="238">
        <v>47</v>
      </c>
      <c r="P2" s="235" t="s">
        <v>186</v>
      </c>
      <c r="Q2" s="231"/>
      <c r="R2" s="231"/>
      <c r="S2" s="231"/>
      <c r="T2" s="231"/>
      <c r="U2" s="238" t="s">
        <v>205</v>
      </c>
      <c r="V2" s="238" t="s">
        <v>133</v>
      </c>
      <c r="W2" s="238" t="s">
        <v>206</v>
      </c>
      <c r="X2" s="238" t="s">
        <v>113</v>
      </c>
      <c r="Y2" s="238" t="s">
        <v>207</v>
      </c>
      <c r="Z2" s="238" t="s">
        <v>103</v>
      </c>
      <c r="AA2" s="238" t="s">
        <v>208</v>
      </c>
      <c r="AB2" s="238" t="s">
        <v>209</v>
      </c>
      <c r="AC2" s="238" t="s">
        <v>210</v>
      </c>
      <c r="AD2" s="238" t="s">
        <v>211</v>
      </c>
      <c r="AE2" s="238" t="s">
        <v>212</v>
      </c>
      <c r="AF2" s="238" t="s">
        <v>213</v>
      </c>
      <c r="AG2" s="231"/>
      <c r="AH2" s="231"/>
      <c r="AI2" s="231"/>
      <c r="AJ2" s="231"/>
    </row>
    <row r="3" spans="1:36" x14ac:dyDescent="0.3">
      <c r="A3" s="233" t="s">
        <v>214</v>
      </c>
      <c r="B3" s="234">
        <v>45989</v>
      </c>
      <c r="C3" s="235" t="s">
        <v>184</v>
      </c>
      <c r="D3" s="236" t="s">
        <v>215</v>
      </c>
      <c r="E3" s="235" t="s">
        <v>183</v>
      </c>
      <c r="F3" s="235" t="s">
        <v>96</v>
      </c>
      <c r="G3" s="237">
        <v>0.93889999999999996</v>
      </c>
      <c r="H3" s="238">
        <v>180</v>
      </c>
      <c r="I3" s="238">
        <v>169</v>
      </c>
      <c r="J3" s="238">
        <v>0</v>
      </c>
      <c r="K3" s="235" t="s">
        <v>97</v>
      </c>
      <c r="L3" s="239" t="s">
        <v>32</v>
      </c>
      <c r="M3" s="238">
        <v>0</v>
      </c>
      <c r="N3" s="238">
        <v>16</v>
      </c>
      <c r="O3" s="238">
        <v>55</v>
      </c>
      <c r="P3" s="235" t="s">
        <v>38</v>
      </c>
      <c r="Q3" s="238" t="s">
        <v>216</v>
      </c>
      <c r="R3" s="231"/>
      <c r="S3" s="238" t="s">
        <v>217</v>
      </c>
      <c r="T3" s="238" t="s">
        <v>98</v>
      </c>
      <c r="U3" s="238" t="s">
        <v>218</v>
      </c>
      <c r="V3" s="238" t="s">
        <v>133</v>
      </c>
      <c r="W3" s="238" t="s">
        <v>219</v>
      </c>
      <c r="X3" s="238" t="s">
        <v>113</v>
      </c>
      <c r="Y3" s="238" t="s">
        <v>220</v>
      </c>
      <c r="Z3" s="238" t="s">
        <v>221</v>
      </c>
      <c r="AA3" s="238" t="s">
        <v>222</v>
      </c>
      <c r="AB3" s="238" t="s">
        <v>223</v>
      </c>
      <c r="AC3" s="238" t="s">
        <v>224</v>
      </c>
      <c r="AD3" s="238" t="s">
        <v>225</v>
      </c>
      <c r="AE3" s="238" t="s">
        <v>166</v>
      </c>
      <c r="AF3" s="238" t="s">
        <v>142</v>
      </c>
      <c r="AG3" s="231"/>
      <c r="AH3" s="231"/>
      <c r="AI3" s="231"/>
      <c r="AJ3" s="231"/>
    </row>
    <row r="4" spans="1:36" x14ac:dyDescent="0.3">
      <c r="A4" s="233" t="s">
        <v>203</v>
      </c>
      <c r="B4" s="234">
        <v>45992</v>
      </c>
      <c r="C4" s="235" t="s">
        <v>184</v>
      </c>
      <c r="D4" s="236" t="s">
        <v>204</v>
      </c>
      <c r="E4" s="235" t="s">
        <v>183</v>
      </c>
      <c r="F4" s="235" t="s">
        <v>96</v>
      </c>
      <c r="G4" s="237">
        <v>0.91669999999999996</v>
      </c>
      <c r="H4" s="238">
        <v>180</v>
      </c>
      <c r="I4" s="238">
        <v>165</v>
      </c>
      <c r="J4" s="238">
        <v>0</v>
      </c>
      <c r="K4" s="235" t="s">
        <v>97</v>
      </c>
      <c r="L4" s="239" t="s">
        <v>32</v>
      </c>
      <c r="M4" s="238">
        <v>0</v>
      </c>
      <c r="N4" s="238">
        <v>15</v>
      </c>
      <c r="O4" s="238">
        <v>57</v>
      </c>
      <c r="P4" s="235" t="s">
        <v>190</v>
      </c>
      <c r="Q4" s="231"/>
      <c r="R4" s="231"/>
      <c r="S4" s="231"/>
      <c r="T4" s="231"/>
      <c r="U4" s="231"/>
      <c r="V4" s="238" t="s">
        <v>190</v>
      </c>
      <c r="W4" s="238" t="s">
        <v>206</v>
      </c>
      <c r="X4" s="238" t="s">
        <v>113</v>
      </c>
      <c r="Y4" s="238" t="s">
        <v>226</v>
      </c>
      <c r="Z4" s="238" t="s">
        <v>227</v>
      </c>
      <c r="AA4" s="238" t="s">
        <v>228</v>
      </c>
      <c r="AB4" s="238" t="s">
        <v>229</v>
      </c>
      <c r="AC4" s="238" t="s">
        <v>230</v>
      </c>
      <c r="AD4" s="238" t="s">
        <v>211</v>
      </c>
      <c r="AE4" s="238" t="s">
        <v>212</v>
      </c>
      <c r="AF4" s="238" t="s">
        <v>231</v>
      </c>
      <c r="AG4" s="231"/>
      <c r="AH4" s="231"/>
      <c r="AI4" s="231"/>
      <c r="AJ4" s="231"/>
    </row>
    <row r="5" spans="1:36" x14ac:dyDescent="0.3">
      <c r="A5" s="233" t="s">
        <v>214</v>
      </c>
      <c r="B5" s="234">
        <v>45996</v>
      </c>
      <c r="C5" s="235" t="s">
        <v>184</v>
      </c>
      <c r="D5" s="236" t="s">
        <v>215</v>
      </c>
      <c r="E5" s="235" t="s">
        <v>183</v>
      </c>
      <c r="F5" s="235" t="s">
        <v>96</v>
      </c>
      <c r="G5" s="237">
        <v>0.4889</v>
      </c>
      <c r="H5" s="238">
        <v>180</v>
      </c>
      <c r="I5" s="238">
        <v>88</v>
      </c>
      <c r="J5" s="238">
        <v>0</v>
      </c>
      <c r="K5" s="235" t="s">
        <v>97</v>
      </c>
      <c r="L5" s="239" t="s">
        <v>32</v>
      </c>
      <c r="M5" s="238">
        <v>0</v>
      </c>
      <c r="N5" s="238">
        <v>17</v>
      </c>
      <c r="O5" s="238">
        <v>51</v>
      </c>
      <c r="P5" s="235" t="s">
        <v>40</v>
      </c>
      <c r="Q5" s="238" t="s">
        <v>122</v>
      </c>
      <c r="R5" s="238" t="s">
        <v>232</v>
      </c>
      <c r="S5" s="231"/>
      <c r="T5" s="231"/>
      <c r="U5" s="231"/>
      <c r="V5" s="238" t="s">
        <v>233</v>
      </c>
      <c r="W5" s="238" t="s">
        <v>219</v>
      </c>
      <c r="X5" s="238" t="s">
        <v>234</v>
      </c>
      <c r="Y5" s="238" t="s">
        <v>235</v>
      </c>
      <c r="Z5" s="238" t="s">
        <v>236</v>
      </c>
      <c r="AA5" s="238" t="s">
        <v>237</v>
      </c>
      <c r="AB5" s="238" t="s">
        <v>147</v>
      </c>
      <c r="AC5" s="238" t="s">
        <v>117</v>
      </c>
      <c r="AD5" s="238" t="s">
        <v>238</v>
      </c>
      <c r="AE5" s="238" t="s">
        <v>239</v>
      </c>
      <c r="AF5" s="238" t="s">
        <v>240</v>
      </c>
      <c r="AG5" s="231"/>
      <c r="AH5" s="231"/>
      <c r="AI5" s="231"/>
      <c r="AJ5" s="231"/>
    </row>
    <row r="6" spans="1:36" x14ac:dyDescent="0.3">
      <c r="A6" s="233" t="s">
        <v>203</v>
      </c>
      <c r="B6" s="234">
        <v>45999</v>
      </c>
      <c r="C6" s="235" t="s">
        <v>184</v>
      </c>
      <c r="D6" s="236" t="s">
        <v>204</v>
      </c>
      <c r="E6" s="235" t="s">
        <v>183</v>
      </c>
      <c r="F6" s="235" t="s">
        <v>96</v>
      </c>
      <c r="G6" s="237">
        <v>0.36670000000000003</v>
      </c>
      <c r="H6" s="238">
        <v>180</v>
      </c>
      <c r="I6" s="238">
        <v>66</v>
      </c>
      <c r="J6" s="238">
        <v>0</v>
      </c>
      <c r="K6" s="235" t="s">
        <v>97</v>
      </c>
      <c r="L6" s="239" t="s">
        <v>32</v>
      </c>
      <c r="M6" s="238">
        <v>0</v>
      </c>
      <c r="N6" s="238">
        <v>12</v>
      </c>
      <c r="O6" s="238">
        <v>36</v>
      </c>
      <c r="P6" s="235" t="s">
        <v>193</v>
      </c>
      <c r="Q6" s="231"/>
      <c r="R6" s="231"/>
      <c r="S6" s="231"/>
      <c r="T6" s="231"/>
      <c r="U6" s="231"/>
      <c r="V6" s="231"/>
      <c r="W6" s="238" t="s">
        <v>33</v>
      </c>
      <c r="X6" s="238" t="s">
        <v>241</v>
      </c>
      <c r="Y6" s="238" t="s">
        <v>55</v>
      </c>
      <c r="Z6" s="238" t="s">
        <v>242</v>
      </c>
      <c r="AA6" s="238" t="s">
        <v>168</v>
      </c>
      <c r="AB6" s="238" t="s">
        <v>147</v>
      </c>
      <c r="AC6" s="238" t="s">
        <v>117</v>
      </c>
      <c r="AD6" s="238" t="s">
        <v>155</v>
      </c>
      <c r="AE6" s="238" t="s">
        <v>119</v>
      </c>
      <c r="AF6" s="231"/>
      <c r="AG6" s="231"/>
      <c r="AH6" s="231"/>
      <c r="AI6" s="231"/>
      <c r="AJ6" s="231"/>
    </row>
    <row r="7" spans="1:36" x14ac:dyDescent="0.3">
      <c r="A7" s="233" t="s">
        <v>214</v>
      </c>
      <c r="B7" s="234">
        <v>46003</v>
      </c>
      <c r="C7" s="235" t="s">
        <v>184</v>
      </c>
      <c r="D7" s="236" t="s">
        <v>215</v>
      </c>
      <c r="E7" s="235" t="s">
        <v>183</v>
      </c>
      <c r="F7" s="235" t="s">
        <v>96</v>
      </c>
      <c r="G7" s="237">
        <v>0.2833</v>
      </c>
      <c r="H7" s="238">
        <v>180</v>
      </c>
      <c r="I7" s="238">
        <v>51</v>
      </c>
      <c r="J7" s="238">
        <v>0</v>
      </c>
      <c r="K7" s="235" t="s">
        <v>97</v>
      </c>
      <c r="L7" s="239" t="s">
        <v>32</v>
      </c>
      <c r="M7" s="238">
        <v>0</v>
      </c>
      <c r="N7" s="238">
        <v>8</v>
      </c>
      <c r="O7" s="238">
        <v>28</v>
      </c>
      <c r="P7" s="235" t="s">
        <v>195</v>
      </c>
      <c r="Q7" s="231"/>
      <c r="R7" s="231"/>
      <c r="S7" s="231"/>
      <c r="T7" s="231"/>
      <c r="U7" s="238" t="s">
        <v>99</v>
      </c>
      <c r="V7" s="231"/>
      <c r="W7" s="231"/>
      <c r="X7" s="238" t="s">
        <v>46</v>
      </c>
      <c r="Y7" s="238" t="s">
        <v>243</v>
      </c>
      <c r="Z7" s="238" t="s">
        <v>227</v>
      </c>
      <c r="AA7" s="238" t="s">
        <v>168</v>
      </c>
      <c r="AB7" s="238" t="s">
        <v>147</v>
      </c>
      <c r="AC7" s="238" t="s">
        <v>117</v>
      </c>
      <c r="AD7" s="238" t="s">
        <v>155</v>
      </c>
      <c r="AE7" s="238" t="s">
        <v>166</v>
      </c>
      <c r="AF7" s="231"/>
      <c r="AG7" s="231"/>
      <c r="AH7" s="231"/>
      <c r="AI7" s="231"/>
      <c r="AJ7" s="231"/>
    </row>
    <row r="8" spans="1:36" x14ac:dyDescent="0.3">
      <c r="A8" s="233" t="s">
        <v>203</v>
      </c>
      <c r="B8" s="234">
        <v>46006</v>
      </c>
      <c r="C8" s="235" t="s">
        <v>184</v>
      </c>
      <c r="D8" s="236" t="s">
        <v>204</v>
      </c>
      <c r="E8" s="235" t="s">
        <v>183</v>
      </c>
      <c r="F8" s="235" t="s">
        <v>96</v>
      </c>
      <c r="G8" s="237">
        <v>0.2278</v>
      </c>
      <c r="H8" s="238">
        <v>180</v>
      </c>
      <c r="I8" s="238">
        <v>41</v>
      </c>
      <c r="J8" s="238">
        <v>0</v>
      </c>
      <c r="K8" s="235" t="s">
        <v>97</v>
      </c>
      <c r="L8" s="239" t="s">
        <v>32</v>
      </c>
      <c r="M8" s="238">
        <v>0</v>
      </c>
      <c r="N8" s="238">
        <v>12</v>
      </c>
      <c r="O8" s="238">
        <v>25</v>
      </c>
      <c r="P8" s="235" t="s">
        <v>48</v>
      </c>
      <c r="Q8" s="231"/>
      <c r="R8" s="231"/>
      <c r="S8" s="231"/>
      <c r="T8" s="231"/>
      <c r="U8" s="231"/>
      <c r="V8" s="231"/>
      <c r="W8" s="231"/>
      <c r="X8" s="231"/>
      <c r="Y8" s="238" t="s">
        <v>52</v>
      </c>
      <c r="Z8" s="238" t="s">
        <v>198</v>
      </c>
      <c r="AA8" s="238" t="s">
        <v>168</v>
      </c>
      <c r="AB8" s="238" t="s">
        <v>244</v>
      </c>
      <c r="AC8" s="238" t="s">
        <v>117</v>
      </c>
      <c r="AD8" s="238" t="s">
        <v>155</v>
      </c>
      <c r="AE8" s="238" t="s">
        <v>119</v>
      </c>
      <c r="AF8" s="231"/>
      <c r="AG8" s="231"/>
      <c r="AH8" s="231"/>
      <c r="AI8" s="231"/>
      <c r="AJ8" s="231"/>
    </row>
    <row r="9" spans="1:36" x14ac:dyDescent="0.3">
      <c r="A9" s="233" t="s">
        <v>214</v>
      </c>
      <c r="B9" s="234">
        <v>46010</v>
      </c>
      <c r="C9" s="235" t="s">
        <v>184</v>
      </c>
      <c r="D9" s="236" t="s">
        <v>215</v>
      </c>
      <c r="E9" s="235" t="s">
        <v>183</v>
      </c>
      <c r="F9" s="235" t="s">
        <v>96</v>
      </c>
      <c r="G9" s="237">
        <v>0.17780000000000001</v>
      </c>
      <c r="H9" s="238">
        <v>180</v>
      </c>
      <c r="I9" s="238">
        <v>32</v>
      </c>
      <c r="J9" s="238">
        <v>0</v>
      </c>
      <c r="K9" s="235" t="s">
        <v>97</v>
      </c>
      <c r="L9" s="239" t="s">
        <v>32</v>
      </c>
      <c r="M9" s="238">
        <v>0</v>
      </c>
      <c r="N9" s="238">
        <v>7</v>
      </c>
      <c r="O9" s="238">
        <v>21</v>
      </c>
      <c r="P9" s="235" t="s">
        <v>198</v>
      </c>
      <c r="Q9" s="231"/>
      <c r="R9" s="231"/>
      <c r="S9" s="231"/>
      <c r="T9" s="231"/>
      <c r="U9" s="231"/>
      <c r="V9" s="231"/>
      <c r="W9" s="231"/>
      <c r="X9" s="231"/>
      <c r="Y9" s="231"/>
      <c r="Z9" s="238" t="s">
        <v>136</v>
      </c>
      <c r="AA9" s="238" t="s">
        <v>168</v>
      </c>
      <c r="AB9" s="238" t="s">
        <v>244</v>
      </c>
      <c r="AC9" s="238" t="s">
        <v>117</v>
      </c>
      <c r="AD9" s="238" t="s">
        <v>155</v>
      </c>
      <c r="AE9" s="238" t="s">
        <v>166</v>
      </c>
      <c r="AF9" s="231"/>
      <c r="AG9" s="231"/>
      <c r="AH9" s="231"/>
      <c r="AI9" s="231"/>
      <c r="AJ9" s="231"/>
    </row>
    <row r="10" spans="1:36" x14ac:dyDescent="0.3">
      <c r="A10" s="233" t="s">
        <v>203</v>
      </c>
      <c r="B10" s="234">
        <v>46013</v>
      </c>
      <c r="C10" s="235" t="s">
        <v>184</v>
      </c>
      <c r="D10" s="236" t="s">
        <v>204</v>
      </c>
      <c r="E10" s="235" t="s">
        <v>183</v>
      </c>
      <c r="F10" s="235" t="s">
        <v>96</v>
      </c>
      <c r="G10" s="237">
        <v>0.1</v>
      </c>
      <c r="H10" s="238">
        <v>180</v>
      </c>
      <c r="I10" s="238">
        <v>18</v>
      </c>
      <c r="J10" s="238">
        <v>0</v>
      </c>
      <c r="K10" s="235" t="s">
        <v>97</v>
      </c>
      <c r="L10" s="239" t="s">
        <v>32</v>
      </c>
      <c r="M10" s="238">
        <v>0</v>
      </c>
      <c r="N10" s="238">
        <v>6</v>
      </c>
      <c r="O10" s="238">
        <v>13</v>
      </c>
      <c r="P10" s="235" t="s">
        <v>174</v>
      </c>
      <c r="Q10" s="231"/>
      <c r="R10" s="231"/>
      <c r="S10" s="231"/>
      <c r="T10" s="231"/>
      <c r="U10" s="231"/>
      <c r="V10" s="231"/>
      <c r="W10" s="231"/>
      <c r="X10" s="231"/>
      <c r="Y10" s="231"/>
      <c r="Z10" s="231"/>
      <c r="AA10" s="238" t="s">
        <v>181</v>
      </c>
      <c r="AB10" s="231"/>
      <c r="AC10" s="238" t="s">
        <v>117</v>
      </c>
      <c r="AD10" s="238" t="s">
        <v>155</v>
      </c>
      <c r="AE10" s="238" t="s">
        <v>245</v>
      </c>
      <c r="AF10" s="238" t="s">
        <v>142</v>
      </c>
      <c r="AG10" s="231"/>
      <c r="AH10" s="231"/>
      <c r="AI10" s="231"/>
      <c r="AJ10" s="231"/>
    </row>
    <row r="11" spans="1:36" x14ac:dyDescent="0.3">
      <c r="A11" s="233" t="s">
        <v>214</v>
      </c>
      <c r="B11" s="234">
        <v>46017</v>
      </c>
      <c r="C11" s="235" t="s">
        <v>184</v>
      </c>
      <c r="D11" s="236" t="s">
        <v>215</v>
      </c>
      <c r="E11" s="235" t="s">
        <v>183</v>
      </c>
      <c r="F11" s="235" t="s">
        <v>96</v>
      </c>
      <c r="G11" s="237">
        <v>0.1389</v>
      </c>
      <c r="H11" s="238">
        <v>180</v>
      </c>
      <c r="I11" s="238">
        <v>25</v>
      </c>
      <c r="J11" s="238">
        <v>0</v>
      </c>
      <c r="K11" s="235" t="s">
        <v>97</v>
      </c>
      <c r="L11" s="239" t="s">
        <v>32</v>
      </c>
      <c r="M11" s="238">
        <v>0</v>
      </c>
      <c r="N11" s="238">
        <v>11</v>
      </c>
      <c r="O11" s="238">
        <v>15</v>
      </c>
      <c r="P11" s="235" t="s">
        <v>201</v>
      </c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8" t="s">
        <v>246</v>
      </c>
      <c r="AB11" s="238" t="s">
        <v>63</v>
      </c>
      <c r="AC11" s="238" t="s">
        <v>148</v>
      </c>
      <c r="AD11" s="238" t="s">
        <v>225</v>
      </c>
      <c r="AE11" s="238" t="s">
        <v>119</v>
      </c>
      <c r="AF11" s="231"/>
      <c r="AG11" s="231"/>
      <c r="AH11" s="231"/>
      <c r="AI11" s="231"/>
      <c r="AJ11" s="231"/>
    </row>
    <row r="12" spans="1:36" ht="21" x14ac:dyDescent="0.3">
      <c r="A12" s="240" t="s">
        <v>522</v>
      </c>
      <c r="B12" s="241"/>
      <c r="C12" s="240">
        <f>SUBTOTAL(103,ATZ_DMM_LF_LEGACY[Flt])</f>
        <v>10</v>
      </c>
      <c r="D12" s="240"/>
      <c r="E12" s="240">
        <f>SUBTOTAL(103,ATZ_DMM_LF_LEGACY[Brd-Off])</f>
        <v>10</v>
      </c>
      <c r="F12" s="240"/>
      <c r="G12" s="242">
        <f>SUBTOTAL(101,ATZ_DMM_LF_LEGACY[LF%])</f>
        <v>0.46167999999999998</v>
      </c>
      <c r="H12" s="243">
        <f>SUBTOTAL(109,ATZ_DMM_LF_LEGACY[CAP])</f>
        <v>1800</v>
      </c>
      <c r="I12" s="243">
        <f>SUBTOTAL(109,ATZ_DMM_LF_LEGACY[BKG(Y)])</f>
        <v>831</v>
      </c>
      <c r="J12" s="243">
        <f>SUBTOTAL(109,ATZ_DMM_LF_LEGACY[GRP(Y)])</f>
        <v>0</v>
      </c>
      <c r="K12" s="240"/>
      <c r="L12" s="241"/>
      <c r="M12" s="243">
        <f>SUBTOTAL(109,ATZ_DMM_LF_LEGACY[TO-DAY])</f>
        <v>0</v>
      </c>
      <c r="N12" s="243">
        <f>SUBTOTAL(109,ATZ_DMM_LF_LEGACY[Y-DAY])</f>
        <v>117</v>
      </c>
      <c r="O12" s="243">
        <f>SUBTOTAL(109,ATZ_DMM_LF_LEGACY[WEEKLY])</f>
        <v>348</v>
      </c>
      <c r="P12" s="244"/>
      <c r="Q12" s="243">
        <f>SUBTOTAL(109,ATZ_DMM_LF_LEGACY[Y])</f>
        <v>0</v>
      </c>
      <c r="R12" s="243">
        <f>SUBTOTAL(109,ATZ_DMM_LF_LEGACY[B])</f>
        <v>0</v>
      </c>
      <c r="S12" s="243">
        <f>SUBTOTAL(109,ATZ_DMM_LF_LEGACY[M])</f>
        <v>0</v>
      </c>
      <c r="T12" s="243">
        <f>SUBTOTAL(109,ATZ_DMM_LF_LEGACY[H])</f>
        <v>0</v>
      </c>
      <c r="U12" s="243">
        <f>SUBTOTAL(109,ATZ_DMM_LF_LEGACY[Q])</f>
        <v>0</v>
      </c>
      <c r="V12" s="243">
        <f>SUBTOTAL(109,ATZ_DMM_LF_LEGACY[K])</f>
        <v>0</v>
      </c>
      <c r="W12" s="243">
        <f>SUBTOTAL(109,ATZ_DMM_LF_LEGACY[V])</f>
        <v>0</v>
      </c>
      <c r="X12" s="243">
        <f>SUBTOTAL(109,ATZ_DMM_LF_LEGACY[L])</f>
        <v>0</v>
      </c>
      <c r="Y12" s="243">
        <f>SUBTOTAL(109,ATZ_DMM_LF_LEGACY[G])</f>
        <v>0</v>
      </c>
      <c r="Z12" s="243">
        <f>SUBTOTAL(109,ATZ_DMM_LF_LEGACY[S])</f>
        <v>0</v>
      </c>
      <c r="AA12" s="243">
        <f>SUBTOTAL(109,ATZ_DMM_LF_LEGACY[W])</f>
        <v>0</v>
      </c>
      <c r="AB12" s="243">
        <f>SUBTOTAL(109,ATZ_DMM_LF_LEGACY[T])</f>
        <v>0</v>
      </c>
      <c r="AC12" s="243">
        <f>SUBTOTAL(109,ATZ_DMM_LF_LEGACY[X])</f>
        <v>0</v>
      </c>
      <c r="AD12" s="243">
        <f>SUBTOTAL(109,ATZ_DMM_LF_LEGACY[U])</f>
        <v>0</v>
      </c>
      <c r="AE12" s="243">
        <f>SUBTOTAL(109,ATZ_DMM_LF_LEGACY[O])</f>
        <v>0</v>
      </c>
      <c r="AF12" s="243">
        <f>SUBTOTAL(109,ATZ_DMM_LF_LEGACY[I])</f>
        <v>0</v>
      </c>
      <c r="AG12" s="243">
        <f>SUBTOTAL(109,ATZ_DMM_LF_LEGACY[E])</f>
        <v>0</v>
      </c>
      <c r="AH12" s="243">
        <f>SUBTOTAL(109,ATZ_DMM_LF_LEGACY[A])</f>
        <v>0</v>
      </c>
      <c r="AI12" s="243">
        <f>SUBTOTAL(109,ATZ_DMM_LF_LEGACY[P])</f>
        <v>0</v>
      </c>
      <c r="AJ12" s="243">
        <f>SUBTOTAL(103,ATZ_DMM_LF_LEGACY[N])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22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4.5546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6.21875" bestFit="1" customWidth="1"/>
    <col min="17" max="17" width="12.21875" bestFit="1" customWidth="1"/>
    <col min="18" max="18" width="15.88671875" bestFit="1" customWidth="1"/>
  </cols>
  <sheetData>
    <row r="1" spans="1:92" ht="28.8" customHeight="1" x14ac:dyDescent="0.3">
      <c r="A1" s="220" t="s">
        <v>0</v>
      </c>
      <c r="B1" s="219"/>
      <c r="C1" s="219"/>
      <c r="D1" s="219"/>
      <c r="E1" s="219"/>
      <c r="F1" s="1" t="s">
        <v>247</v>
      </c>
      <c r="G1" s="2" t="s">
        <v>2</v>
      </c>
      <c r="H1" s="218" t="s">
        <v>3</v>
      </c>
      <c r="I1" s="219"/>
      <c r="J1" s="219"/>
      <c r="K1" s="219"/>
      <c r="L1" s="219"/>
      <c r="M1" s="1" t="s">
        <v>4</v>
      </c>
      <c r="N1" s="227" t="s">
        <v>5</v>
      </c>
      <c r="O1" s="219"/>
      <c r="P1" s="219"/>
      <c r="Q1" s="219"/>
      <c r="R1" s="21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23" t="s">
        <v>6</v>
      </c>
      <c r="B2" s="219"/>
      <c r="C2" s="219"/>
      <c r="D2" s="219"/>
      <c r="E2" s="219"/>
      <c r="F2" s="219"/>
      <c r="G2" s="225">
        <v>45984.228704799512</v>
      </c>
      <c r="H2" s="219"/>
      <c r="I2" s="219"/>
      <c r="J2" s="219"/>
      <c r="K2" s="228">
        <v>45984.22870479992</v>
      </c>
      <c r="L2" s="219"/>
      <c r="M2" s="219"/>
      <c r="N2" s="219"/>
      <c r="O2" s="219"/>
      <c r="P2" s="219"/>
      <c r="Q2" s="219"/>
      <c r="R2" s="21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24" t="s">
        <v>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26" t="s">
        <v>8</v>
      </c>
      <c r="B4" s="214"/>
      <c r="C4" s="214"/>
      <c r="D4" s="214"/>
      <c r="E4" s="214"/>
      <c r="F4" s="215"/>
      <c r="G4" s="4">
        <v>45989</v>
      </c>
      <c r="H4" s="222" t="s">
        <v>9</v>
      </c>
      <c r="I4" s="214"/>
      <c r="J4" s="214"/>
      <c r="K4" s="214"/>
      <c r="L4" s="214"/>
      <c r="M4" s="214"/>
      <c r="N4" s="214"/>
      <c r="O4" s="214"/>
      <c r="P4" s="214"/>
      <c r="Q4" s="214"/>
      <c r="R4" s="21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248</v>
      </c>
      <c r="C6" s="9">
        <v>0.37847222222222232</v>
      </c>
      <c r="D6" s="8" t="s">
        <v>30</v>
      </c>
      <c r="E6" s="10"/>
      <c r="F6" s="8" t="s">
        <v>31</v>
      </c>
      <c r="G6" s="217"/>
      <c r="H6" s="11" t="s">
        <v>248</v>
      </c>
      <c r="I6" s="90">
        <v>0.48039999999999999</v>
      </c>
      <c r="J6" s="13">
        <v>86</v>
      </c>
      <c r="K6" s="14" t="s">
        <v>32</v>
      </c>
      <c r="L6" s="13">
        <v>46</v>
      </c>
      <c r="M6" s="13">
        <v>0</v>
      </c>
      <c r="N6" s="13">
        <v>8</v>
      </c>
      <c r="O6" s="15" t="s">
        <v>162</v>
      </c>
      <c r="P6" s="16">
        <v>0.37847222222222232</v>
      </c>
      <c r="Q6" s="13">
        <v>179</v>
      </c>
      <c r="R6" s="17" t="s">
        <v>249</v>
      </c>
    </row>
    <row r="7" spans="1:92" ht="17.399999999999999" customHeight="1" thickBot="1" x14ac:dyDescent="0.35">
      <c r="A7" s="245"/>
      <c r="B7" s="246"/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7"/>
    </row>
    <row r="8" spans="1:92" ht="22.05" customHeight="1" thickTop="1" thickBot="1" x14ac:dyDescent="0.35">
      <c r="A8" s="213" t="s">
        <v>8</v>
      </c>
      <c r="B8" s="214"/>
      <c r="C8" s="214"/>
      <c r="D8" s="214"/>
      <c r="E8" s="214"/>
      <c r="F8" s="215"/>
      <c r="G8" s="18">
        <v>45996</v>
      </c>
      <c r="H8" s="216" t="s">
        <v>9</v>
      </c>
      <c r="I8" s="214"/>
      <c r="J8" s="214"/>
      <c r="K8" s="214"/>
      <c r="L8" s="214"/>
      <c r="M8" s="214"/>
      <c r="N8" s="214"/>
      <c r="O8" s="214"/>
      <c r="P8" s="214"/>
      <c r="Q8" s="214"/>
      <c r="R8" s="215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91" t="s">
        <v>28</v>
      </c>
      <c r="B10" s="91" t="s">
        <v>248</v>
      </c>
      <c r="C10" s="92">
        <v>0.37847222222222232</v>
      </c>
      <c r="D10" s="91" t="s">
        <v>30</v>
      </c>
      <c r="E10" s="93"/>
      <c r="F10" s="91" t="s">
        <v>54</v>
      </c>
      <c r="G10" s="221"/>
      <c r="H10" s="94" t="s">
        <v>248</v>
      </c>
      <c r="I10" s="95">
        <v>8.3799999999999999E-2</v>
      </c>
      <c r="J10" s="96">
        <v>15</v>
      </c>
      <c r="K10" s="97" t="s">
        <v>32</v>
      </c>
      <c r="L10" s="96">
        <v>11</v>
      </c>
      <c r="M10" s="96">
        <v>0</v>
      </c>
      <c r="N10" s="96">
        <v>3</v>
      </c>
      <c r="O10" s="98" t="s">
        <v>250</v>
      </c>
      <c r="P10" s="99">
        <v>0.37847222222222232</v>
      </c>
      <c r="Q10" s="96">
        <v>179</v>
      </c>
      <c r="R10" s="100" t="s">
        <v>231</v>
      </c>
    </row>
    <row r="11" spans="1:92" ht="17.399999999999999" customHeight="1" thickBot="1" x14ac:dyDescent="0.35">
      <c r="A11" s="245"/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7"/>
    </row>
    <row r="12" spans="1:92" ht="22.05" customHeight="1" thickTop="1" thickBot="1" x14ac:dyDescent="0.35">
      <c r="A12" s="213" t="s">
        <v>8</v>
      </c>
      <c r="B12" s="214"/>
      <c r="C12" s="214"/>
      <c r="D12" s="214"/>
      <c r="E12" s="214"/>
      <c r="F12" s="215"/>
      <c r="G12" s="18">
        <v>46003</v>
      </c>
      <c r="H12" s="216" t="s">
        <v>9</v>
      </c>
      <c r="I12" s="214"/>
      <c r="J12" s="214"/>
      <c r="K12" s="214"/>
      <c r="L12" s="214"/>
      <c r="M12" s="214"/>
      <c r="N12" s="214"/>
      <c r="O12" s="214"/>
      <c r="P12" s="214"/>
      <c r="Q12" s="214"/>
      <c r="R12" s="215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46" t="s">
        <v>28</v>
      </c>
      <c r="B14" s="46" t="s">
        <v>248</v>
      </c>
      <c r="C14" s="47">
        <v>0.37847222222222232</v>
      </c>
      <c r="D14" s="46" t="s">
        <v>30</v>
      </c>
      <c r="E14" s="48"/>
      <c r="F14" s="46" t="s">
        <v>54</v>
      </c>
      <c r="G14" s="221"/>
      <c r="H14" s="49" t="s">
        <v>248</v>
      </c>
      <c r="I14" s="101">
        <v>7.2599999999999998E-2</v>
      </c>
      <c r="J14" s="51">
        <v>13</v>
      </c>
      <c r="K14" s="52" t="s">
        <v>251</v>
      </c>
      <c r="L14" s="51">
        <v>4</v>
      </c>
      <c r="M14" s="51">
        <v>0</v>
      </c>
      <c r="N14" s="51">
        <v>0</v>
      </c>
      <c r="O14" s="53" t="s">
        <v>169</v>
      </c>
      <c r="P14" s="54">
        <v>0.37847222222222232</v>
      </c>
      <c r="Q14" s="51">
        <v>179</v>
      </c>
      <c r="R14" s="55" t="s">
        <v>252</v>
      </c>
    </row>
    <row r="15" spans="1:92" ht="17.399999999999999" customHeight="1" thickBot="1" x14ac:dyDescent="0.35">
      <c r="A15" s="245"/>
      <c r="B15" s="246"/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7"/>
    </row>
    <row r="16" spans="1:92" ht="22.05" customHeight="1" thickTop="1" thickBot="1" x14ac:dyDescent="0.35">
      <c r="A16" s="213" t="s">
        <v>8</v>
      </c>
      <c r="B16" s="214"/>
      <c r="C16" s="214"/>
      <c r="D16" s="214"/>
      <c r="E16" s="214"/>
      <c r="F16" s="215"/>
      <c r="G16" s="18">
        <v>46010</v>
      </c>
      <c r="H16" s="216" t="s">
        <v>9</v>
      </c>
      <c r="I16" s="214"/>
      <c r="J16" s="214"/>
      <c r="K16" s="214"/>
      <c r="L16" s="214"/>
      <c r="M16" s="214"/>
      <c r="N16" s="214"/>
      <c r="O16" s="214"/>
      <c r="P16" s="214"/>
      <c r="Q16" s="214"/>
      <c r="R16" s="215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5">
      <c r="A18" s="26" t="s">
        <v>28</v>
      </c>
      <c r="B18" s="26" t="s">
        <v>248</v>
      </c>
      <c r="C18" s="27">
        <v>0.37847222222222232</v>
      </c>
      <c r="D18" s="26" t="s">
        <v>30</v>
      </c>
      <c r="E18" s="28"/>
      <c r="F18" s="26" t="s">
        <v>54</v>
      </c>
      <c r="G18" s="217"/>
      <c r="H18" s="29" t="s">
        <v>248</v>
      </c>
      <c r="I18" s="57">
        <v>3.3500000000000002E-2</v>
      </c>
      <c r="J18" s="31">
        <v>6</v>
      </c>
      <c r="K18" s="32" t="s">
        <v>253</v>
      </c>
      <c r="L18" s="31">
        <v>1</v>
      </c>
      <c r="M18" s="31">
        <v>0</v>
      </c>
      <c r="N18" s="31">
        <v>0</v>
      </c>
      <c r="O18" s="33" t="s">
        <v>131</v>
      </c>
      <c r="P18" s="34">
        <v>0.37847222222222232</v>
      </c>
      <c r="Q18" s="31">
        <v>179</v>
      </c>
      <c r="R18" s="35" t="s">
        <v>254</v>
      </c>
    </row>
    <row r="19" spans="1:18" ht="17.399999999999999" customHeight="1" thickBot="1" x14ac:dyDescent="0.35">
      <c r="A19" s="245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7"/>
    </row>
    <row r="20" spans="1:18" ht="22.05" customHeight="1" thickTop="1" thickBot="1" x14ac:dyDescent="0.35">
      <c r="A20" s="213" t="s">
        <v>8</v>
      </c>
      <c r="B20" s="214"/>
      <c r="C20" s="214"/>
      <c r="D20" s="214"/>
      <c r="E20" s="214"/>
      <c r="F20" s="215"/>
      <c r="G20" s="18">
        <v>46017</v>
      </c>
      <c r="H20" s="216" t="s">
        <v>9</v>
      </c>
      <c r="I20" s="214"/>
      <c r="J20" s="214"/>
      <c r="K20" s="214"/>
      <c r="L20" s="214"/>
      <c r="M20" s="214"/>
      <c r="N20" s="214"/>
      <c r="O20" s="214"/>
      <c r="P20" s="214"/>
      <c r="Q20" s="214"/>
      <c r="R20" s="215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x14ac:dyDescent="0.45">
      <c r="A22" s="8" t="s">
        <v>28</v>
      </c>
      <c r="B22" s="8" t="s">
        <v>248</v>
      </c>
      <c r="C22" s="9">
        <v>0.37847222222222232</v>
      </c>
      <c r="D22" s="8" t="s">
        <v>30</v>
      </c>
      <c r="E22" s="10"/>
      <c r="F22" s="8" t="s">
        <v>54</v>
      </c>
      <c r="G22" s="217"/>
      <c r="H22" s="11" t="s">
        <v>248</v>
      </c>
      <c r="I22" s="90">
        <v>1.6799999999999999E-2</v>
      </c>
      <c r="J22" s="13">
        <v>3</v>
      </c>
      <c r="K22" s="14" t="s">
        <v>255</v>
      </c>
      <c r="L22" s="13">
        <v>0</v>
      </c>
      <c r="M22" s="13">
        <v>0</v>
      </c>
      <c r="N22" s="13">
        <v>0</v>
      </c>
      <c r="O22" s="15" t="s">
        <v>245</v>
      </c>
      <c r="P22" s="16">
        <v>0.37847222222222232</v>
      </c>
      <c r="Q22" s="13">
        <v>179</v>
      </c>
      <c r="R22" s="17" t="s">
        <v>131</v>
      </c>
    </row>
  </sheetData>
  <mergeCells count="26">
    <mergeCell ref="G22"/>
    <mergeCell ref="A2:F2"/>
    <mergeCell ref="A3:R3"/>
    <mergeCell ref="A8:F8"/>
    <mergeCell ref="G2:J2"/>
    <mergeCell ref="A4:F4"/>
    <mergeCell ref="A20:F20"/>
    <mergeCell ref="A19:R19"/>
    <mergeCell ref="H16:R16"/>
    <mergeCell ref="K2:R2"/>
    <mergeCell ref="G10"/>
    <mergeCell ref="G6"/>
    <mergeCell ref="G18"/>
    <mergeCell ref="A15:R15"/>
    <mergeCell ref="H12:R12"/>
    <mergeCell ref="A11:R11"/>
    <mergeCell ref="A16:F16"/>
    <mergeCell ref="H8:R8"/>
    <mergeCell ref="A7:R7"/>
    <mergeCell ref="H20:R20"/>
    <mergeCell ref="H1:L1"/>
    <mergeCell ref="A1:E1"/>
    <mergeCell ref="A12:F12"/>
    <mergeCell ref="H4:R4"/>
    <mergeCell ref="N1:R1"/>
    <mergeCell ref="G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7"/>
  <sheetViews>
    <sheetView workbookViewId="0"/>
  </sheetViews>
  <sheetFormatPr defaultRowHeight="15.6" outlineLevelCol="1" x14ac:dyDescent="0.3"/>
  <cols>
    <col min="1" max="1" width="6.88671875" style="232" bestFit="1" customWidth="1"/>
    <col min="2" max="2" width="10.44140625" style="232" bestFit="1" customWidth="1"/>
    <col min="3" max="3" width="6.77734375" style="232" bestFit="1" customWidth="1"/>
    <col min="4" max="4" width="5.5546875" style="232" bestFit="1" customWidth="1"/>
    <col min="5" max="5" width="8.5546875" style="232" bestFit="1" customWidth="1"/>
    <col min="6" max="6" width="4.21875" style="232" bestFit="1" customWidth="1"/>
    <col min="7" max="7" width="10" style="232" bestFit="1" customWidth="1"/>
    <col min="8" max="10" width="7" style="232" bestFit="1" customWidth="1"/>
    <col min="11" max="11" width="10.5546875" style="232" bestFit="1" customWidth="1"/>
    <col min="12" max="12" width="18.109375" style="232" bestFit="1" customWidth="1"/>
    <col min="13" max="13" width="7.6640625" style="232" bestFit="1" customWidth="1" outlineLevel="1"/>
    <col min="14" max="14" width="6.33203125" style="232" bestFit="1" customWidth="1" outlineLevel="1"/>
    <col min="15" max="15" width="8" style="232" bestFit="1" customWidth="1" outlineLevel="1"/>
    <col min="16" max="16" width="13.6640625" style="232" bestFit="1" customWidth="1"/>
    <col min="17" max="30" width="3.88671875" style="232" bestFit="1" customWidth="1"/>
    <col min="31" max="31" width="4.5546875" style="232" bestFit="1" customWidth="1"/>
    <col min="32" max="36" width="3.88671875" style="232" bestFit="1" customWidth="1"/>
    <col min="37" max="16384" width="8.88671875" style="232"/>
  </cols>
  <sheetData>
    <row r="1" spans="1:36" x14ac:dyDescent="0.3">
      <c r="A1" s="231" t="s">
        <v>65</v>
      </c>
      <c r="B1" s="231" t="s">
        <v>66</v>
      </c>
      <c r="C1" s="231" t="s">
        <v>67</v>
      </c>
      <c r="D1" s="231" t="s">
        <v>25</v>
      </c>
      <c r="E1" s="231" t="s">
        <v>68</v>
      </c>
      <c r="F1" s="231" t="s">
        <v>69</v>
      </c>
      <c r="G1" s="231" t="s">
        <v>18</v>
      </c>
      <c r="H1" s="231" t="s">
        <v>70</v>
      </c>
      <c r="I1" s="231" t="s">
        <v>71</v>
      </c>
      <c r="J1" s="231" t="s">
        <v>72</v>
      </c>
      <c r="K1" s="231" t="s">
        <v>73</v>
      </c>
      <c r="L1" s="231" t="s">
        <v>20</v>
      </c>
      <c r="M1" s="231" t="s">
        <v>22</v>
      </c>
      <c r="N1" s="231" t="s">
        <v>23</v>
      </c>
      <c r="O1" s="231" t="s">
        <v>21</v>
      </c>
      <c r="P1" s="231" t="s">
        <v>24</v>
      </c>
      <c r="Q1" s="231" t="s">
        <v>74</v>
      </c>
      <c r="R1" s="231" t="s">
        <v>75</v>
      </c>
      <c r="S1" s="231" t="s">
        <v>76</v>
      </c>
      <c r="T1" s="231" t="s">
        <v>77</v>
      </c>
      <c r="U1" s="231" t="s">
        <v>78</v>
      </c>
      <c r="V1" s="231" t="s">
        <v>79</v>
      </c>
      <c r="W1" s="231" t="s">
        <v>80</v>
      </c>
      <c r="X1" s="231" t="s">
        <v>81</v>
      </c>
      <c r="Y1" s="231" t="s">
        <v>82</v>
      </c>
      <c r="Z1" s="231" t="s">
        <v>83</v>
      </c>
      <c r="AA1" s="231" t="s">
        <v>84</v>
      </c>
      <c r="AB1" s="231" t="s">
        <v>85</v>
      </c>
      <c r="AC1" s="231" t="s">
        <v>86</v>
      </c>
      <c r="AD1" s="231" t="s">
        <v>87</v>
      </c>
      <c r="AE1" s="231" t="s">
        <v>88</v>
      </c>
      <c r="AF1" s="231" t="s">
        <v>89</v>
      </c>
      <c r="AG1" s="231" t="s">
        <v>90</v>
      </c>
      <c r="AH1" s="231" t="s">
        <v>91</v>
      </c>
      <c r="AI1" s="231" t="s">
        <v>92</v>
      </c>
      <c r="AJ1" s="231" t="s">
        <v>93</v>
      </c>
    </row>
    <row r="2" spans="1:36" x14ac:dyDescent="0.3">
      <c r="A2" s="233" t="s">
        <v>214</v>
      </c>
      <c r="B2" s="234">
        <v>45989</v>
      </c>
      <c r="C2" s="235" t="s">
        <v>248</v>
      </c>
      <c r="D2" s="236" t="s">
        <v>256</v>
      </c>
      <c r="E2" s="235" t="s">
        <v>247</v>
      </c>
      <c r="F2" s="235" t="s">
        <v>96</v>
      </c>
      <c r="G2" s="237">
        <v>0.48039999999999999</v>
      </c>
      <c r="H2" s="238">
        <v>179</v>
      </c>
      <c r="I2" s="238">
        <v>86</v>
      </c>
      <c r="J2" s="238">
        <v>0</v>
      </c>
      <c r="K2" s="235" t="s">
        <v>97</v>
      </c>
      <c r="L2" s="239" t="s">
        <v>32</v>
      </c>
      <c r="M2" s="238">
        <v>0</v>
      </c>
      <c r="N2" s="238">
        <v>8</v>
      </c>
      <c r="O2" s="238">
        <v>46</v>
      </c>
      <c r="P2" s="235" t="s">
        <v>162</v>
      </c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8" t="s">
        <v>257</v>
      </c>
      <c r="AF2" s="238" t="s">
        <v>258</v>
      </c>
      <c r="AG2" s="231"/>
      <c r="AH2" s="231"/>
      <c r="AI2" s="231"/>
      <c r="AJ2" s="231"/>
    </row>
    <row r="3" spans="1:36" x14ac:dyDescent="0.3">
      <c r="A3" s="233" t="s">
        <v>214</v>
      </c>
      <c r="B3" s="234">
        <v>45996</v>
      </c>
      <c r="C3" s="235" t="s">
        <v>248</v>
      </c>
      <c r="D3" s="236" t="s">
        <v>256</v>
      </c>
      <c r="E3" s="235" t="s">
        <v>247</v>
      </c>
      <c r="F3" s="235" t="s">
        <v>96</v>
      </c>
      <c r="G3" s="237">
        <v>8.3799999999999999E-2</v>
      </c>
      <c r="H3" s="238">
        <v>179</v>
      </c>
      <c r="I3" s="238">
        <v>15</v>
      </c>
      <c r="J3" s="238">
        <v>0</v>
      </c>
      <c r="K3" s="235" t="s">
        <v>97</v>
      </c>
      <c r="L3" s="239" t="s">
        <v>32</v>
      </c>
      <c r="M3" s="238">
        <v>0</v>
      </c>
      <c r="N3" s="238">
        <v>3</v>
      </c>
      <c r="O3" s="238">
        <v>11</v>
      </c>
      <c r="P3" s="235" t="s">
        <v>250</v>
      </c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8" t="s">
        <v>231</v>
      </c>
      <c r="AG3" s="231"/>
      <c r="AH3" s="231"/>
      <c r="AI3" s="231"/>
      <c r="AJ3" s="231"/>
    </row>
    <row r="4" spans="1:36" x14ac:dyDescent="0.3">
      <c r="A4" s="233" t="s">
        <v>214</v>
      </c>
      <c r="B4" s="234">
        <v>46003</v>
      </c>
      <c r="C4" s="235" t="s">
        <v>248</v>
      </c>
      <c r="D4" s="236" t="s">
        <v>256</v>
      </c>
      <c r="E4" s="235" t="s">
        <v>247</v>
      </c>
      <c r="F4" s="235" t="s">
        <v>96</v>
      </c>
      <c r="G4" s="237">
        <v>7.2599999999999998E-2</v>
      </c>
      <c r="H4" s="238">
        <v>179</v>
      </c>
      <c r="I4" s="238">
        <v>13</v>
      </c>
      <c r="J4" s="238">
        <v>0</v>
      </c>
      <c r="K4" s="235" t="s">
        <v>97</v>
      </c>
      <c r="L4" s="239" t="s">
        <v>251</v>
      </c>
      <c r="M4" s="238">
        <v>0</v>
      </c>
      <c r="N4" s="238">
        <v>0</v>
      </c>
      <c r="O4" s="238">
        <v>4</v>
      </c>
      <c r="P4" s="235" t="s">
        <v>169</v>
      </c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8" t="s">
        <v>116</v>
      </c>
      <c r="AC4" s="231"/>
      <c r="AD4" s="238" t="s">
        <v>238</v>
      </c>
      <c r="AE4" s="238" t="s">
        <v>119</v>
      </c>
      <c r="AF4" s="231"/>
      <c r="AG4" s="231"/>
      <c r="AH4" s="231"/>
      <c r="AI4" s="231"/>
      <c r="AJ4" s="231"/>
    </row>
    <row r="5" spans="1:36" x14ac:dyDescent="0.3">
      <c r="A5" s="233" t="s">
        <v>214</v>
      </c>
      <c r="B5" s="234">
        <v>46010</v>
      </c>
      <c r="C5" s="235" t="s">
        <v>248</v>
      </c>
      <c r="D5" s="236" t="s">
        <v>256</v>
      </c>
      <c r="E5" s="235" t="s">
        <v>247</v>
      </c>
      <c r="F5" s="235" t="s">
        <v>96</v>
      </c>
      <c r="G5" s="237">
        <v>3.3500000000000002E-2</v>
      </c>
      <c r="H5" s="238">
        <v>179</v>
      </c>
      <c r="I5" s="238">
        <v>6</v>
      </c>
      <c r="J5" s="238">
        <v>0</v>
      </c>
      <c r="K5" s="235" t="s">
        <v>97</v>
      </c>
      <c r="L5" s="239" t="s">
        <v>253</v>
      </c>
      <c r="M5" s="238">
        <v>0</v>
      </c>
      <c r="N5" s="238">
        <v>0</v>
      </c>
      <c r="O5" s="238">
        <v>1</v>
      </c>
      <c r="P5" s="235" t="s">
        <v>131</v>
      </c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  <c r="AB5" s="231"/>
      <c r="AC5" s="231"/>
      <c r="AD5" s="238" t="s">
        <v>225</v>
      </c>
      <c r="AE5" s="238" t="s">
        <v>239</v>
      </c>
      <c r="AF5" s="231"/>
      <c r="AG5" s="231"/>
      <c r="AH5" s="231"/>
      <c r="AI5" s="231"/>
      <c r="AJ5" s="231"/>
    </row>
    <row r="6" spans="1:36" x14ac:dyDescent="0.3">
      <c r="A6" s="233" t="s">
        <v>214</v>
      </c>
      <c r="B6" s="234">
        <v>46017</v>
      </c>
      <c r="C6" s="235" t="s">
        <v>248</v>
      </c>
      <c r="D6" s="236" t="s">
        <v>256</v>
      </c>
      <c r="E6" s="235" t="s">
        <v>247</v>
      </c>
      <c r="F6" s="235" t="s">
        <v>96</v>
      </c>
      <c r="G6" s="237">
        <v>1.6799999999999999E-2</v>
      </c>
      <c r="H6" s="238">
        <v>179</v>
      </c>
      <c r="I6" s="238">
        <v>3</v>
      </c>
      <c r="J6" s="238">
        <v>0</v>
      </c>
      <c r="K6" s="235" t="s">
        <v>97</v>
      </c>
      <c r="L6" s="239" t="s">
        <v>255</v>
      </c>
      <c r="M6" s="238">
        <v>0</v>
      </c>
      <c r="N6" s="238">
        <v>0</v>
      </c>
      <c r="O6" s="238">
        <v>0</v>
      </c>
      <c r="P6" s="235" t="s">
        <v>245</v>
      </c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231"/>
      <c r="AC6" s="231"/>
      <c r="AD6" s="231"/>
      <c r="AE6" s="238" t="s">
        <v>131</v>
      </c>
      <c r="AF6" s="231"/>
      <c r="AG6" s="231"/>
      <c r="AH6" s="231"/>
      <c r="AI6" s="231"/>
      <c r="AJ6" s="231"/>
    </row>
    <row r="7" spans="1:36" ht="21" x14ac:dyDescent="0.3">
      <c r="A7" s="240" t="s">
        <v>522</v>
      </c>
      <c r="B7" s="241"/>
      <c r="C7" s="240">
        <f>SUBTOTAL(103,ATZ_TUU_LF_LEGACY[Flt])</f>
        <v>5</v>
      </c>
      <c r="D7" s="240"/>
      <c r="E7" s="240">
        <f>SUBTOTAL(103,ATZ_TUU_LF_LEGACY[Brd-Off])</f>
        <v>5</v>
      </c>
      <c r="F7" s="240"/>
      <c r="G7" s="242">
        <f>SUBTOTAL(101,ATZ_TUU_LF_LEGACY[LF%])</f>
        <v>0.13742000000000001</v>
      </c>
      <c r="H7" s="243">
        <f>SUBTOTAL(109,ATZ_TUU_LF_LEGACY[CAP])</f>
        <v>895</v>
      </c>
      <c r="I7" s="243">
        <f>SUBTOTAL(109,ATZ_TUU_LF_LEGACY[BKG(Y)])</f>
        <v>123</v>
      </c>
      <c r="J7" s="243">
        <f>SUBTOTAL(109,ATZ_TUU_LF_LEGACY[GRP(Y)])</f>
        <v>0</v>
      </c>
      <c r="K7" s="240"/>
      <c r="L7" s="241"/>
      <c r="M7" s="243">
        <f>SUBTOTAL(109,ATZ_TUU_LF_LEGACY[TO-DAY])</f>
        <v>0</v>
      </c>
      <c r="N7" s="243">
        <f>SUBTOTAL(109,ATZ_TUU_LF_LEGACY[Y-DAY])</f>
        <v>11</v>
      </c>
      <c r="O7" s="243">
        <f>SUBTOTAL(109,ATZ_TUU_LF_LEGACY[WEEKLY])</f>
        <v>62</v>
      </c>
      <c r="P7" s="244"/>
      <c r="Q7" s="243">
        <f>SUBTOTAL(109,ATZ_TUU_LF_LEGACY[Y])</f>
        <v>0</v>
      </c>
      <c r="R7" s="243">
        <f>SUBTOTAL(109,ATZ_TUU_LF_LEGACY[B])</f>
        <v>0</v>
      </c>
      <c r="S7" s="243">
        <f>SUBTOTAL(109,ATZ_TUU_LF_LEGACY[M])</f>
        <v>0</v>
      </c>
      <c r="T7" s="243">
        <f>SUBTOTAL(109,ATZ_TUU_LF_LEGACY[H])</f>
        <v>0</v>
      </c>
      <c r="U7" s="243">
        <f>SUBTOTAL(109,ATZ_TUU_LF_LEGACY[Q])</f>
        <v>0</v>
      </c>
      <c r="V7" s="243">
        <f>SUBTOTAL(109,ATZ_TUU_LF_LEGACY[K])</f>
        <v>0</v>
      </c>
      <c r="W7" s="243">
        <f>SUBTOTAL(109,ATZ_TUU_LF_LEGACY[V])</f>
        <v>0</v>
      </c>
      <c r="X7" s="243">
        <f>SUBTOTAL(109,ATZ_TUU_LF_LEGACY[L])</f>
        <v>0</v>
      </c>
      <c r="Y7" s="243">
        <f>SUBTOTAL(109,ATZ_TUU_LF_LEGACY[G])</f>
        <v>0</v>
      </c>
      <c r="Z7" s="243">
        <f>SUBTOTAL(109,ATZ_TUU_LF_LEGACY[S])</f>
        <v>0</v>
      </c>
      <c r="AA7" s="243">
        <f>SUBTOTAL(109,ATZ_TUU_LF_LEGACY[W])</f>
        <v>0</v>
      </c>
      <c r="AB7" s="243">
        <f>SUBTOTAL(109,ATZ_TUU_LF_LEGACY[T])</f>
        <v>0</v>
      </c>
      <c r="AC7" s="243">
        <f>SUBTOTAL(109,ATZ_TUU_LF_LEGACY[X])</f>
        <v>0</v>
      </c>
      <c r="AD7" s="243">
        <f>SUBTOTAL(109,ATZ_TUU_LF_LEGACY[U])</f>
        <v>0</v>
      </c>
      <c r="AE7" s="243">
        <f>SUBTOTAL(109,ATZ_TUU_LF_LEGACY[O])</f>
        <v>0</v>
      </c>
      <c r="AF7" s="243">
        <f>SUBTOTAL(109,ATZ_TUU_LF_LEGACY[I])</f>
        <v>0</v>
      </c>
      <c r="AG7" s="243">
        <f>SUBTOTAL(109,ATZ_TUU_LF_LEGACY[E])</f>
        <v>0</v>
      </c>
      <c r="AH7" s="243">
        <f>SUBTOTAL(109,ATZ_TUU_LF_LEGACY[A])</f>
        <v>0</v>
      </c>
      <c r="AI7" s="243">
        <f>SUBTOTAL(109,ATZ_TUU_LF_LEGACY[P])</f>
        <v>0</v>
      </c>
      <c r="AJ7" s="243">
        <f>SUBTOTAL(103,ATZ_TUU_LF_LEGACY[N])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2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4.5546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26" bestFit="1" customWidth="1"/>
  </cols>
  <sheetData>
    <row r="1" spans="1:92" ht="28.8" customHeight="1" x14ac:dyDescent="0.3">
      <c r="A1" s="220" t="s">
        <v>0</v>
      </c>
      <c r="B1" s="219"/>
      <c r="C1" s="219"/>
      <c r="D1" s="219"/>
      <c r="E1" s="219"/>
      <c r="F1" s="1" t="s">
        <v>259</v>
      </c>
      <c r="G1" s="2" t="s">
        <v>2</v>
      </c>
      <c r="H1" s="218" t="s">
        <v>3</v>
      </c>
      <c r="I1" s="219"/>
      <c r="J1" s="219"/>
      <c r="K1" s="219"/>
      <c r="L1" s="219"/>
      <c r="M1" s="1" t="s">
        <v>4</v>
      </c>
      <c r="N1" s="227" t="s">
        <v>5</v>
      </c>
      <c r="O1" s="219"/>
      <c r="P1" s="219"/>
      <c r="Q1" s="219"/>
      <c r="R1" s="21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23" t="s">
        <v>6</v>
      </c>
      <c r="B2" s="219"/>
      <c r="C2" s="219"/>
      <c r="D2" s="219"/>
      <c r="E2" s="219"/>
      <c r="F2" s="219"/>
      <c r="G2" s="225">
        <v>45984.228707781716</v>
      </c>
      <c r="H2" s="219"/>
      <c r="I2" s="219"/>
      <c r="J2" s="219"/>
      <c r="K2" s="228">
        <v>45984.228707782189</v>
      </c>
      <c r="L2" s="219"/>
      <c r="M2" s="219"/>
      <c r="N2" s="219"/>
      <c r="O2" s="219"/>
      <c r="P2" s="219"/>
      <c r="Q2" s="219"/>
      <c r="R2" s="21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24" t="s">
        <v>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26" t="s">
        <v>8</v>
      </c>
      <c r="B4" s="214"/>
      <c r="C4" s="214"/>
      <c r="D4" s="214"/>
      <c r="E4" s="214"/>
      <c r="F4" s="215"/>
      <c r="G4" s="4">
        <v>45989</v>
      </c>
      <c r="H4" s="222" t="s">
        <v>9</v>
      </c>
      <c r="I4" s="214"/>
      <c r="J4" s="214"/>
      <c r="K4" s="214"/>
      <c r="L4" s="214"/>
      <c r="M4" s="214"/>
      <c r="N4" s="214"/>
      <c r="O4" s="214"/>
      <c r="P4" s="214"/>
      <c r="Q4" s="214"/>
      <c r="R4" s="21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68" t="s">
        <v>28</v>
      </c>
      <c r="B6" s="68" t="s">
        <v>260</v>
      </c>
      <c r="C6" s="69">
        <v>0.47916666666666669</v>
      </c>
      <c r="D6" s="68" t="s">
        <v>30</v>
      </c>
      <c r="E6" s="70"/>
      <c r="F6" s="68" t="s">
        <v>31</v>
      </c>
      <c r="G6" s="217"/>
      <c r="H6" s="71" t="s">
        <v>260</v>
      </c>
      <c r="I6" s="102">
        <v>0.63129999999999997</v>
      </c>
      <c r="J6" s="73">
        <v>113</v>
      </c>
      <c r="K6" s="74" t="s">
        <v>32</v>
      </c>
      <c r="L6" s="73">
        <v>67</v>
      </c>
      <c r="M6" s="73">
        <v>0</v>
      </c>
      <c r="N6" s="73">
        <v>17</v>
      </c>
      <c r="O6" s="75" t="s">
        <v>165</v>
      </c>
      <c r="P6" s="76">
        <v>0.47916666666666669</v>
      </c>
      <c r="Q6" s="73">
        <v>179</v>
      </c>
      <c r="R6" s="77" t="s">
        <v>261</v>
      </c>
    </row>
    <row r="7" spans="1:92" ht="17.399999999999999" customHeight="1" thickBot="1" x14ac:dyDescent="0.35">
      <c r="A7" s="245"/>
      <c r="B7" s="246"/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7"/>
    </row>
    <row r="8" spans="1:92" ht="22.05" customHeight="1" thickTop="1" thickBot="1" x14ac:dyDescent="0.35">
      <c r="A8" s="213" t="s">
        <v>8</v>
      </c>
      <c r="B8" s="214"/>
      <c r="C8" s="214"/>
      <c r="D8" s="214"/>
      <c r="E8" s="214"/>
      <c r="F8" s="215"/>
      <c r="G8" s="18">
        <v>45996</v>
      </c>
      <c r="H8" s="216" t="s">
        <v>9</v>
      </c>
      <c r="I8" s="214"/>
      <c r="J8" s="214"/>
      <c r="K8" s="214"/>
      <c r="L8" s="214"/>
      <c r="M8" s="214"/>
      <c r="N8" s="214"/>
      <c r="O8" s="214"/>
      <c r="P8" s="214"/>
      <c r="Q8" s="214"/>
      <c r="R8" s="215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91" t="s">
        <v>28</v>
      </c>
      <c r="B10" s="91" t="s">
        <v>260</v>
      </c>
      <c r="C10" s="92">
        <v>0.47916666666666669</v>
      </c>
      <c r="D10" s="91" t="s">
        <v>30</v>
      </c>
      <c r="E10" s="93"/>
      <c r="F10" s="91" t="s">
        <v>54</v>
      </c>
      <c r="G10" s="221"/>
      <c r="H10" s="94" t="s">
        <v>260</v>
      </c>
      <c r="I10" s="95">
        <v>0.2235</v>
      </c>
      <c r="J10" s="96">
        <v>40</v>
      </c>
      <c r="K10" s="97" t="s">
        <v>32</v>
      </c>
      <c r="L10" s="96">
        <v>18</v>
      </c>
      <c r="M10" s="96">
        <v>0</v>
      </c>
      <c r="N10" s="96">
        <v>7</v>
      </c>
      <c r="O10" s="98" t="s">
        <v>250</v>
      </c>
      <c r="P10" s="99">
        <v>0.47916666666666669</v>
      </c>
      <c r="Q10" s="96">
        <v>179</v>
      </c>
      <c r="R10" s="100" t="s">
        <v>262</v>
      </c>
    </row>
    <row r="11" spans="1:92" ht="17.399999999999999" customHeight="1" thickBot="1" x14ac:dyDescent="0.35">
      <c r="A11" s="245"/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7"/>
    </row>
    <row r="12" spans="1:92" ht="22.05" customHeight="1" thickTop="1" thickBot="1" x14ac:dyDescent="0.35">
      <c r="A12" s="213" t="s">
        <v>8</v>
      </c>
      <c r="B12" s="214"/>
      <c r="C12" s="214"/>
      <c r="D12" s="214"/>
      <c r="E12" s="214"/>
      <c r="F12" s="215"/>
      <c r="G12" s="18">
        <v>46003</v>
      </c>
      <c r="H12" s="216" t="s">
        <v>9</v>
      </c>
      <c r="I12" s="214"/>
      <c r="J12" s="214"/>
      <c r="K12" s="214"/>
      <c r="L12" s="214"/>
      <c r="M12" s="214"/>
      <c r="N12" s="214"/>
      <c r="O12" s="214"/>
      <c r="P12" s="214"/>
      <c r="Q12" s="214"/>
      <c r="R12" s="215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78" t="s">
        <v>28</v>
      </c>
      <c r="B14" s="78" t="s">
        <v>260</v>
      </c>
      <c r="C14" s="79">
        <v>0.47916666666666669</v>
      </c>
      <c r="D14" s="78" t="s">
        <v>30</v>
      </c>
      <c r="E14" s="80"/>
      <c r="F14" s="78" t="s">
        <v>54</v>
      </c>
      <c r="G14" s="221"/>
      <c r="H14" s="81" t="s">
        <v>260</v>
      </c>
      <c r="I14" s="82">
        <v>5.5899999999999998E-2</v>
      </c>
      <c r="J14" s="83">
        <v>10</v>
      </c>
      <c r="K14" s="84" t="s">
        <v>32</v>
      </c>
      <c r="L14" s="83">
        <v>3</v>
      </c>
      <c r="M14" s="83">
        <v>0</v>
      </c>
      <c r="N14" s="83">
        <v>1</v>
      </c>
      <c r="O14" s="85" t="s">
        <v>250</v>
      </c>
      <c r="P14" s="86">
        <v>0.47916666666666669</v>
      </c>
      <c r="Q14" s="83">
        <v>179</v>
      </c>
      <c r="R14" s="87" t="s">
        <v>263</v>
      </c>
    </row>
    <row r="15" spans="1:92" ht="17.399999999999999" customHeight="1" thickBot="1" x14ac:dyDescent="0.35">
      <c r="A15" s="245"/>
      <c r="B15" s="246"/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7"/>
    </row>
    <row r="16" spans="1:92" ht="22.05" customHeight="1" thickTop="1" thickBot="1" x14ac:dyDescent="0.35">
      <c r="A16" s="213" t="s">
        <v>8</v>
      </c>
      <c r="B16" s="214"/>
      <c r="C16" s="214"/>
      <c r="D16" s="214"/>
      <c r="E16" s="214"/>
      <c r="F16" s="215"/>
      <c r="G16" s="18">
        <v>46010</v>
      </c>
      <c r="H16" s="216" t="s">
        <v>9</v>
      </c>
      <c r="I16" s="214"/>
      <c r="J16" s="214"/>
      <c r="K16" s="214"/>
      <c r="L16" s="214"/>
      <c r="M16" s="214"/>
      <c r="N16" s="214"/>
      <c r="O16" s="214"/>
      <c r="P16" s="214"/>
      <c r="Q16" s="214"/>
      <c r="R16" s="215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5">
      <c r="A18" s="91" t="s">
        <v>28</v>
      </c>
      <c r="B18" s="91" t="s">
        <v>260</v>
      </c>
      <c r="C18" s="92">
        <v>0.47916666666666669</v>
      </c>
      <c r="D18" s="91" t="s">
        <v>30</v>
      </c>
      <c r="E18" s="93"/>
      <c r="F18" s="91" t="s">
        <v>54</v>
      </c>
      <c r="G18" s="217"/>
      <c r="H18" s="94" t="s">
        <v>260</v>
      </c>
      <c r="I18" s="95">
        <v>3.3500000000000002E-2</v>
      </c>
      <c r="J18" s="96">
        <v>6</v>
      </c>
      <c r="K18" s="97" t="s">
        <v>251</v>
      </c>
      <c r="L18" s="96">
        <v>4</v>
      </c>
      <c r="M18" s="96">
        <v>0</v>
      </c>
      <c r="N18" s="96">
        <v>0</v>
      </c>
      <c r="O18" s="98" t="s">
        <v>250</v>
      </c>
      <c r="P18" s="99">
        <v>0.47916666666666669</v>
      </c>
      <c r="Q18" s="96">
        <v>179</v>
      </c>
      <c r="R18" s="100" t="s">
        <v>264</v>
      </c>
    </row>
    <row r="19" spans="1:18" ht="17.399999999999999" customHeight="1" thickBot="1" x14ac:dyDescent="0.35">
      <c r="A19" s="245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7"/>
    </row>
    <row r="20" spans="1:18" ht="22.05" customHeight="1" thickTop="1" thickBot="1" x14ac:dyDescent="0.35">
      <c r="A20" s="213" t="s">
        <v>8</v>
      </c>
      <c r="B20" s="214"/>
      <c r="C20" s="214"/>
      <c r="D20" s="214"/>
      <c r="E20" s="214"/>
      <c r="F20" s="215"/>
      <c r="G20" s="18">
        <v>46017</v>
      </c>
      <c r="H20" s="216" t="s">
        <v>9</v>
      </c>
      <c r="I20" s="214"/>
      <c r="J20" s="214"/>
      <c r="K20" s="214"/>
      <c r="L20" s="214"/>
      <c r="M20" s="214"/>
      <c r="N20" s="214"/>
      <c r="O20" s="214"/>
      <c r="P20" s="214"/>
      <c r="Q20" s="214"/>
      <c r="R20" s="215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x14ac:dyDescent="0.45">
      <c r="A22" s="68" t="s">
        <v>28</v>
      </c>
      <c r="B22" s="68" t="s">
        <v>260</v>
      </c>
      <c r="C22" s="69">
        <v>0.47916666666666669</v>
      </c>
      <c r="D22" s="68" t="s">
        <v>30</v>
      </c>
      <c r="E22" s="70"/>
      <c r="F22" s="68" t="s">
        <v>265</v>
      </c>
      <c r="G22" s="217"/>
      <c r="H22" s="71" t="s">
        <v>260</v>
      </c>
      <c r="I22" s="72">
        <v>0</v>
      </c>
      <c r="J22" s="73">
        <v>0</v>
      </c>
      <c r="K22" s="74" t="s">
        <v>266</v>
      </c>
      <c r="L22" s="73">
        <v>0</v>
      </c>
      <c r="M22" s="73">
        <v>0</v>
      </c>
      <c r="N22" s="73">
        <v>0</v>
      </c>
      <c r="O22" s="75" t="s">
        <v>250</v>
      </c>
      <c r="P22" s="76">
        <v>0.47916666666666669</v>
      </c>
      <c r="Q22" s="73">
        <v>179</v>
      </c>
      <c r="R22" s="77" t="s">
        <v>266</v>
      </c>
    </row>
  </sheetData>
  <mergeCells count="26">
    <mergeCell ref="G22"/>
    <mergeCell ref="A2:F2"/>
    <mergeCell ref="A3:R3"/>
    <mergeCell ref="A8:F8"/>
    <mergeCell ref="G2:J2"/>
    <mergeCell ref="A4:F4"/>
    <mergeCell ref="A20:F20"/>
    <mergeCell ref="A19:R19"/>
    <mergeCell ref="H16:R16"/>
    <mergeCell ref="K2:R2"/>
    <mergeCell ref="G10"/>
    <mergeCell ref="G6"/>
    <mergeCell ref="G18"/>
    <mergeCell ref="A15:R15"/>
    <mergeCell ref="H12:R12"/>
    <mergeCell ref="A11:R11"/>
    <mergeCell ref="A16:F16"/>
    <mergeCell ref="H8:R8"/>
    <mergeCell ref="A7:R7"/>
    <mergeCell ref="H20:R20"/>
    <mergeCell ref="H1:L1"/>
    <mergeCell ref="A1:E1"/>
    <mergeCell ref="A12:F12"/>
    <mergeCell ref="H4:R4"/>
    <mergeCell ref="N1:R1"/>
    <mergeCell ref="G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7"/>
  <sheetViews>
    <sheetView workbookViewId="0"/>
  </sheetViews>
  <sheetFormatPr defaultRowHeight="15.6" outlineLevelCol="1" x14ac:dyDescent="0.3"/>
  <cols>
    <col min="1" max="1" width="6.88671875" style="232" bestFit="1" customWidth="1"/>
    <col min="2" max="2" width="10.44140625" style="232" bestFit="1" customWidth="1"/>
    <col min="3" max="3" width="6.77734375" style="232" bestFit="1" customWidth="1"/>
    <col min="4" max="4" width="5.5546875" style="232" bestFit="1" customWidth="1"/>
    <col min="5" max="5" width="7.5546875" style="232" bestFit="1" customWidth="1"/>
    <col min="6" max="6" width="4.21875" style="232" bestFit="1" customWidth="1"/>
    <col min="7" max="7" width="10" style="232" bestFit="1" customWidth="1"/>
    <col min="8" max="10" width="7" style="232" bestFit="1" customWidth="1"/>
    <col min="11" max="11" width="10.5546875" style="232" bestFit="1" customWidth="1"/>
    <col min="12" max="12" width="18.109375" style="232" bestFit="1" customWidth="1"/>
    <col min="13" max="13" width="7.6640625" style="232" bestFit="1" customWidth="1" outlineLevel="1"/>
    <col min="14" max="14" width="6.33203125" style="232" bestFit="1" customWidth="1" outlineLevel="1"/>
    <col min="15" max="15" width="8" style="232" bestFit="1" customWidth="1" outlineLevel="1"/>
    <col min="16" max="16" width="13.6640625" style="232" bestFit="1" customWidth="1"/>
    <col min="17" max="28" width="3.88671875" style="232" bestFit="1" customWidth="1"/>
    <col min="29" max="29" width="4.21875" style="232" bestFit="1" customWidth="1"/>
    <col min="30" max="31" width="4.5546875" style="232" bestFit="1" customWidth="1"/>
    <col min="32" max="36" width="3.88671875" style="232" bestFit="1" customWidth="1"/>
    <col min="37" max="16384" width="8.88671875" style="232"/>
  </cols>
  <sheetData>
    <row r="1" spans="1:36" x14ac:dyDescent="0.3">
      <c r="A1" s="231" t="s">
        <v>65</v>
      </c>
      <c r="B1" s="231" t="s">
        <v>66</v>
      </c>
      <c r="C1" s="231" t="s">
        <v>67</v>
      </c>
      <c r="D1" s="231" t="s">
        <v>25</v>
      </c>
      <c r="E1" s="231" t="s">
        <v>68</v>
      </c>
      <c r="F1" s="231" t="s">
        <v>69</v>
      </c>
      <c r="G1" s="231" t="s">
        <v>18</v>
      </c>
      <c r="H1" s="231" t="s">
        <v>70</v>
      </c>
      <c r="I1" s="231" t="s">
        <v>71</v>
      </c>
      <c r="J1" s="231" t="s">
        <v>72</v>
      </c>
      <c r="K1" s="231" t="s">
        <v>73</v>
      </c>
      <c r="L1" s="231" t="s">
        <v>20</v>
      </c>
      <c r="M1" s="231" t="s">
        <v>22</v>
      </c>
      <c r="N1" s="231" t="s">
        <v>23</v>
      </c>
      <c r="O1" s="231" t="s">
        <v>21</v>
      </c>
      <c r="P1" s="231" t="s">
        <v>24</v>
      </c>
      <c r="Q1" s="231" t="s">
        <v>74</v>
      </c>
      <c r="R1" s="231" t="s">
        <v>75</v>
      </c>
      <c r="S1" s="231" t="s">
        <v>76</v>
      </c>
      <c r="T1" s="231" t="s">
        <v>77</v>
      </c>
      <c r="U1" s="231" t="s">
        <v>78</v>
      </c>
      <c r="V1" s="231" t="s">
        <v>79</v>
      </c>
      <c r="W1" s="231" t="s">
        <v>80</v>
      </c>
      <c r="X1" s="231" t="s">
        <v>81</v>
      </c>
      <c r="Y1" s="231" t="s">
        <v>82</v>
      </c>
      <c r="Z1" s="231" t="s">
        <v>83</v>
      </c>
      <c r="AA1" s="231" t="s">
        <v>84</v>
      </c>
      <c r="AB1" s="231" t="s">
        <v>85</v>
      </c>
      <c r="AC1" s="231" t="s">
        <v>86</v>
      </c>
      <c r="AD1" s="231" t="s">
        <v>87</v>
      </c>
      <c r="AE1" s="231" t="s">
        <v>88</v>
      </c>
      <c r="AF1" s="231" t="s">
        <v>89</v>
      </c>
      <c r="AG1" s="231" t="s">
        <v>90</v>
      </c>
      <c r="AH1" s="231" t="s">
        <v>91</v>
      </c>
      <c r="AI1" s="231" t="s">
        <v>92</v>
      </c>
      <c r="AJ1" s="231" t="s">
        <v>93</v>
      </c>
    </row>
    <row r="2" spans="1:36" x14ac:dyDescent="0.3">
      <c r="A2" s="233" t="s">
        <v>214</v>
      </c>
      <c r="B2" s="234">
        <v>45989</v>
      </c>
      <c r="C2" s="235" t="s">
        <v>260</v>
      </c>
      <c r="D2" s="236" t="s">
        <v>267</v>
      </c>
      <c r="E2" s="235" t="s">
        <v>259</v>
      </c>
      <c r="F2" s="235" t="s">
        <v>96</v>
      </c>
      <c r="G2" s="237">
        <v>0.63129999999999997</v>
      </c>
      <c r="H2" s="238">
        <v>179</v>
      </c>
      <c r="I2" s="238">
        <v>113</v>
      </c>
      <c r="J2" s="238">
        <v>0</v>
      </c>
      <c r="K2" s="235" t="s">
        <v>97</v>
      </c>
      <c r="L2" s="239" t="s">
        <v>32</v>
      </c>
      <c r="M2" s="238">
        <v>0</v>
      </c>
      <c r="N2" s="238">
        <v>17</v>
      </c>
      <c r="O2" s="238">
        <v>67</v>
      </c>
      <c r="P2" s="235" t="s">
        <v>165</v>
      </c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8" t="s">
        <v>268</v>
      </c>
      <c r="AD2" s="238" t="s">
        <v>269</v>
      </c>
      <c r="AE2" s="238" t="s">
        <v>270</v>
      </c>
      <c r="AF2" s="238" t="s">
        <v>271</v>
      </c>
      <c r="AG2" s="231"/>
      <c r="AH2" s="231"/>
      <c r="AI2" s="231"/>
      <c r="AJ2" s="231"/>
    </row>
    <row r="3" spans="1:36" x14ac:dyDescent="0.3">
      <c r="A3" s="233" t="s">
        <v>214</v>
      </c>
      <c r="B3" s="234">
        <v>45996</v>
      </c>
      <c r="C3" s="235" t="s">
        <v>260</v>
      </c>
      <c r="D3" s="236" t="s">
        <v>267</v>
      </c>
      <c r="E3" s="235" t="s">
        <v>259</v>
      </c>
      <c r="F3" s="235" t="s">
        <v>96</v>
      </c>
      <c r="G3" s="237">
        <v>0.2235</v>
      </c>
      <c r="H3" s="238">
        <v>179</v>
      </c>
      <c r="I3" s="238">
        <v>40</v>
      </c>
      <c r="J3" s="238">
        <v>0</v>
      </c>
      <c r="K3" s="235" t="s">
        <v>97</v>
      </c>
      <c r="L3" s="239" t="s">
        <v>32</v>
      </c>
      <c r="M3" s="238">
        <v>0</v>
      </c>
      <c r="N3" s="238">
        <v>7</v>
      </c>
      <c r="O3" s="238">
        <v>18</v>
      </c>
      <c r="P3" s="235" t="s">
        <v>250</v>
      </c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8" t="s">
        <v>162</v>
      </c>
      <c r="AF3" s="238" t="s">
        <v>272</v>
      </c>
      <c r="AG3" s="231"/>
      <c r="AH3" s="231"/>
      <c r="AI3" s="231"/>
      <c r="AJ3" s="231"/>
    </row>
    <row r="4" spans="1:36" x14ac:dyDescent="0.3">
      <c r="A4" s="233" t="s">
        <v>214</v>
      </c>
      <c r="B4" s="234">
        <v>46003</v>
      </c>
      <c r="C4" s="235" t="s">
        <v>260</v>
      </c>
      <c r="D4" s="236" t="s">
        <v>267</v>
      </c>
      <c r="E4" s="235" t="s">
        <v>259</v>
      </c>
      <c r="F4" s="235" t="s">
        <v>96</v>
      </c>
      <c r="G4" s="237">
        <v>5.5899999999999998E-2</v>
      </c>
      <c r="H4" s="238">
        <v>179</v>
      </c>
      <c r="I4" s="238">
        <v>10</v>
      </c>
      <c r="J4" s="238">
        <v>0</v>
      </c>
      <c r="K4" s="235" t="s">
        <v>97</v>
      </c>
      <c r="L4" s="239" t="s">
        <v>32</v>
      </c>
      <c r="M4" s="238">
        <v>0</v>
      </c>
      <c r="N4" s="238">
        <v>1</v>
      </c>
      <c r="O4" s="238">
        <v>3</v>
      </c>
      <c r="P4" s="235" t="s">
        <v>250</v>
      </c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8" t="s">
        <v>166</v>
      </c>
      <c r="AF4" s="238" t="s">
        <v>273</v>
      </c>
      <c r="AG4" s="231"/>
      <c r="AH4" s="231"/>
      <c r="AI4" s="231"/>
      <c r="AJ4" s="231"/>
    </row>
    <row r="5" spans="1:36" x14ac:dyDescent="0.3">
      <c r="A5" s="233" t="s">
        <v>214</v>
      </c>
      <c r="B5" s="234">
        <v>46010</v>
      </c>
      <c r="C5" s="235" t="s">
        <v>260</v>
      </c>
      <c r="D5" s="236" t="s">
        <v>267</v>
      </c>
      <c r="E5" s="235" t="s">
        <v>259</v>
      </c>
      <c r="F5" s="235" t="s">
        <v>96</v>
      </c>
      <c r="G5" s="237">
        <v>3.3500000000000002E-2</v>
      </c>
      <c r="H5" s="238">
        <v>179</v>
      </c>
      <c r="I5" s="238">
        <v>6</v>
      </c>
      <c r="J5" s="238">
        <v>0</v>
      </c>
      <c r="K5" s="235" t="s">
        <v>97</v>
      </c>
      <c r="L5" s="239" t="s">
        <v>251</v>
      </c>
      <c r="M5" s="238">
        <v>0</v>
      </c>
      <c r="N5" s="238">
        <v>0</v>
      </c>
      <c r="O5" s="238">
        <v>4</v>
      </c>
      <c r="P5" s="235" t="s">
        <v>250</v>
      </c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  <c r="AB5" s="231"/>
      <c r="AC5" s="231"/>
      <c r="AD5" s="231"/>
      <c r="AE5" s="238" t="s">
        <v>239</v>
      </c>
      <c r="AF5" s="238" t="s">
        <v>274</v>
      </c>
      <c r="AG5" s="231"/>
      <c r="AH5" s="231"/>
      <c r="AI5" s="231"/>
      <c r="AJ5" s="231"/>
    </row>
    <row r="6" spans="1:36" x14ac:dyDescent="0.3">
      <c r="A6" s="233" t="s">
        <v>214</v>
      </c>
      <c r="B6" s="234">
        <v>46017</v>
      </c>
      <c r="C6" s="235" t="s">
        <v>260</v>
      </c>
      <c r="D6" s="236" t="s">
        <v>267</v>
      </c>
      <c r="E6" s="235" t="s">
        <v>259</v>
      </c>
      <c r="F6" s="235" t="s">
        <v>96</v>
      </c>
      <c r="G6" s="237">
        <v>0</v>
      </c>
      <c r="H6" s="238">
        <v>179</v>
      </c>
      <c r="I6" s="238">
        <v>0</v>
      </c>
      <c r="J6" s="238">
        <v>0</v>
      </c>
      <c r="K6" s="235" t="s">
        <v>97</v>
      </c>
      <c r="L6" s="239" t="s">
        <v>266</v>
      </c>
      <c r="M6" s="238">
        <v>0</v>
      </c>
      <c r="N6" s="238">
        <v>0</v>
      </c>
      <c r="O6" s="238">
        <v>0</v>
      </c>
      <c r="P6" s="235" t="s">
        <v>250</v>
      </c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231"/>
      <c r="AC6" s="231"/>
      <c r="AD6" s="231"/>
      <c r="AE6" s="231"/>
      <c r="AF6" s="231"/>
      <c r="AG6" s="231"/>
      <c r="AH6" s="231"/>
      <c r="AI6" s="231"/>
      <c r="AJ6" s="231"/>
    </row>
    <row r="7" spans="1:36" ht="21" x14ac:dyDescent="0.3">
      <c r="A7" s="240" t="s">
        <v>522</v>
      </c>
      <c r="B7" s="241"/>
      <c r="C7" s="240">
        <f>SUBTOTAL(103,ATZ_AJF_LF_LEGACY[Flt])</f>
        <v>5</v>
      </c>
      <c r="D7" s="240"/>
      <c r="E7" s="240">
        <f>SUBTOTAL(103,ATZ_AJF_LF_LEGACY[Brd-Off])</f>
        <v>5</v>
      </c>
      <c r="F7" s="240"/>
      <c r="G7" s="242">
        <f>SUBTOTAL(101,ATZ_AJF_LF_LEGACY[LF%])</f>
        <v>0.18883999999999998</v>
      </c>
      <c r="H7" s="243">
        <f>SUBTOTAL(109,ATZ_AJF_LF_LEGACY[CAP])</f>
        <v>895</v>
      </c>
      <c r="I7" s="243">
        <f>SUBTOTAL(109,ATZ_AJF_LF_LEGACY[BKG(Y)])</f>
        <v>169</v>
      </c>
      <c r="J7" s="243">
        <f>SUBTOTAL(109,ATZ_AJF_LF_LEGACY[GRP(Y)])</f>
        <v>0</v>
      </c>
      <c r="K7" s="240"/>
      <c r="L7" s="241"/>
      <c r="M7" s="243">
        <f>SUBTOTAL(109,ATZ_AJF_LF_LEGACY[TO-DAY])</f>
        <v>0</v>
      </c>
      <c r="N7" s="243">
        <f>SUBTOTAL(109,ATZ_AJF_LF_LEGACY[Y-DAY])</f>
        <v>25</v>
      </c>
      <c r="O7" s="243">
        <f>SUBTOTAL(109,ATZ_AJF_LF_LEGACY[WEEKLY])</f>
        <v>92</v>
      </c>
      <c r="P7" s="244"/>
      <c r="Q7" s="243">
        <f>SUBTOTAL(109,ATZ_AJF_LF_LEGACY[Y])</f>
        <v>0</v>
      </c>
      <c r="R7" s="243">
        <f>SUBTOTAL(109,ATZ_AJF_LF_LEGACY[B])</f>
        <v>0</v>
      </c>
      <c r="S7" s="243">
        <f>SUBTOTAL(109,ATZ_AJF_LF_LEGACY[M])</f>
        <v>0</v>
      </c>
      <c r="T7" s="243">
        <f>SUBTOTAL(109,ATZ_AJF_LF_LEGACY[H])</f>
        <v>0</v>
      </c>
      <c r="U7" s="243">
        <f>SUBTOTAL(109,ATZ_AJF_LF_LEGACY[Q])</f>
        <v>0</v>
      </c>
      <c r="V7" s="243">
        <f>SUBTOTAL(109,ATZ_AJF_LF_LEGACY[K])</f>
        <v>0</v>
      </c>
      <c r="W7" s="243">
        <f>SUBTOTAL(109,ATZ_AJF_LF_LEGACY[V])</f>
        <v>0</v>
      </c>
      <c r="X7" s="243">
        <f>SUBTOTAL(109,ATZ_AJF_LF_LEGACY[L])</f>
        <v>0</v>
      </c>
      <c r="Y7" s="243">
        <f>SUBTOTAL(109,ATZ_AJF_LF_LEGACY[G])</f>
        <v>0</v>
      </c>
      <c r="Z7" s="243">
        <f>SUBTOTAL(109,ATZ_AJF_LF_LEGACY[S])</f>
        <v>0</v>
      </c>
      <c r="AA7" s="243">
        <f>SUBTOTAL(109,ATZ_AJF_LF_LEGACY[W])</f>
        <v>0</v>
      </c>
      <c r="AB7" s="243">
        <f>SUBTOTAL(109,ATZ_AJF_LF_LEGACY[T])</f>
        <v>0</v>
      </c>
      <c r="AC7" s="243">
        <f>SUBTOTAL(109,ATZ_AJF_LF_LEGACY[X])</f>
        <v>0</v>
      </c>
      <c r="AD7" s="243">
        <f>SUBTOTAL(109,ATZ_AJF_LF_LEGACY[U])</f>
        <v>0</v>
      </c>
      <c r="AE7" s="243">
        <f>SUBTOTAL(109,ATZ_AJF_LF_LEGACY[O])</f>
        <v>0</v>
      </c>
      <c r="AF7" s="243">
        <f>SUBTOTAL(109,ATZ_AJF_LF_LEGACY[I])</f>
        <v>0</v>
      </c>
      <c r="AG7" s="243">
        <f>SUBTOTAL(109,ATZ_AJF_LF_LEGACY[E])</f>
        <v>0</v>
      </c>
      <c r="AH7" s="243">
        <f>SUBTOTAL(109,ATZ_AJF_LF_LEGACY[A])</f>
        <v>0</v>
      </c>
      <c r="AI7" s="243">
        <f>SUBTOTAL(109,ATZ_AJF_LF_LEGACY[P])</f>
        <v>0</v>
      </c>
      <c r="AJ7" s="243">
        <f>SUBTOTAL(103,ATZ_AJF_LF_LEGACY[N])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N22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4.55468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3.21875" bestFit="1" customWidth="1"/>
  </cols>
  <sheetData>
    <row r="1" spans="1:92" ht="28.8" customHeight="1" x14ac:dyDescent="0.3">
      <c r="A1" s="220" t="s">
        <v>0</v>
      </c>
      <c r="B1" s="219"/>
      <c r="C1" s="219"/>
      <c r="D1" s="219"/>
      <c r="E1" s="219"/>
      <c r="F1" s="1" t="s">
        <v>275</v>
      </c>
      <c r="G1" s="2" t="s">
        <v>2</v>
      </c>
      <c r="H1" s="218" t="s">
        <v>3</v>
      </c>
      <c r="I1" s="219"/>
      <c r="J1" s="219"/>
      <c r="K1" s="219"/>
      <c r="L1" s="219"/>
      <c r="M1" s="1" t="s">
        <v>4</v>
      </c>
      <c r="N1" s="227" t="s">
        <v>5</v>
      </c>
      <c r="O1" s="219"/>
      <c r="P1" s="219"/>
      <c r="Q1" s="219"/>
      <c r="R1" s="21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23" t="s">
        <v>6</v>
      </c>
      <c r="B2" s="219"/>
      <c r="C2" s="219"/>
      <c r="D2" s="219"/>
      <c r="E2" s="219"/>
      <c r="F2" s="219"/>
      <c r="G2" s="225">
        <v>45984.22871522903</v>
      </c>
      <c r="H2" s="219"/>
      <c r="I2" s="219"/>
      <c r="J2" s="219"/>
      <c r="K2" s="228">
        <v>45984.228715229488</v>
      </c>
      <c r="L2" s="219"/>
      <c r="M2" s="219"/>
      <c r="N2" s="219"/>
      <c r="O2" s="219"/>
      <c r="P2" s="219"/>
      <c r="Q2" s="219"/>
      <c r="R2" s="21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24" t="s">
        <v>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26" t="s">
        <v>8</v>
      </c>
      <c r="B4" s="214"/>
      <c r="C4" s="214"/>
      <c r="D4" s="214"/>
      <c r="E4" s="214"/>
      <c r="F4" s="215"/>
      <c r="G4" s="4">
        <v>45989</v>
      </c>
      <c r="H4" s="222" t="s">
        <v>9</v>
      </c>
      <c r="I4" s="214"/>
      <c r="J4" s="214"/>
      <c r="K4" s="214"/>
      <c r="L4" s="214"/>
      <c r="M4" s="214"/>
      <c r="N4" s="214"/>
      <c r="O4" s="214"/>
      <c r="P4" s="214"/>
      <c r="Q4" s="214"/>
      <c r="R4" s="21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36" t="s">
        <v>28</v>
      </c>
      <c r="B6" s="36" t="s">
        <v>276</v>
      </c>
      <c r="C6" s="37">
        <v>0.58333333333333337</v>
      </c>
      <c r="D6" s="36" t="s">
        <v>30</v>
      </c>
      <c r="E6" s="38"/>
      <c r="F6" s="36" t="s">
        <v>277</v>
      </c>
      <c r="G6" s="217"/>
      <c r="H6" s="39" t="s">
        <v>276</v>
      </c>
      <c r="I6" s="103">
        <v>1</v>
      </c>
      <c r="J6" s="41">
        <v>179</v>
      </c>
      <c r="K6" s="42" t="s">
        <v>45</v>
      </c>
      <c r="L6" s="41">
        <v>66</v>
      </c>
      <c r="M6" s="41">
        <v>3</v>
      </c>
      <c r="N6" s="41">
        <v>5</v>
      </c>
      <c r="O6" s="43" t="s">
        <v>278</v>
      </c>
      <c r="P6" s="44">
        <v>0.58333333333333337</v>
      </c>
      <c r="Q6" s="41">
        <v>179</v>
      </c>
      <c r="R6" s="45" t="s">
        <v>279</v>
      </c>
    </row>
    <row r="7" spans="1:92" ht="17.399999999999999" customHeight="1" thickBot="1" x14ac:dyDescent="0.35">
      <c r="A7" s="245"/>
      <c r="B7" s="246"/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7"/>
    </row>
    <row r="8" spans="1:92" ht="22.05" customHeight="1" thickTop="1" thickBot="1" x14ac:dyDescent="0.35">
      <c r="A8" s="213" t="s">
        <v>8</v>
      </c>
      <c r="B8" s="214"/>
      <c r="C8" s="214"/>
      <c r="D8" s="214"/>
      <c r="E8" s="214"/>
      <c r="F8" s="215"/>
      <c r="G8" s="18">
        <v>45996</v>
      </c>
      <c r="H8" s="216" t="s">
        <v>9</v>
      </c>
      <c r="I8" s="214"/>
      <c r="J8" s="214"/>
      <c r="K8" s="214"/>
      <c r="L8" s="214"/>
      <c r="M8" s="214"/>
      <c r="N8" s="214"/>
      <c r="O8" s="214"/>
      <c r="P8" s="214"/>
      <c r="Q8" s="214"/>
      <c r="R8" s="215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8" t="s">
        <v>28</v>
      </c>
      <c r="B10" s="8" t="s">
        <v>276</v>
      </c>
      <c r="C10" s="9">
        <v>0.58333333333333337</v>
      </c>
      <c r="D10" s="8" t="s">
        <v>30</v>
      </c>
      <c r="E10" s="10"/>
      <c r="F10" s="8" t="s">
        <v>31</v>
      </c>
      <c r="G10" s="221"/>
      <c r="H10" s="11" t="s">
        <v>276</v>
      </c>
      <c r="I10" s="90">
        <v>0.5363</v>
      </c>
      <c r="J10" s="13">
        <v>96</v>
      </c>
      <c r="K10" s="14" t="s">
        <v>45</v>
      </c>
      <c r="L10" s="13">
        <v>60</v>
      </c>
      <c r="M10" s="13">
        <v>1</v>
      </c>
      <c r="N10" s="13">
        <v>7</v>
      </c>
      <c r="O10" s="15" t="s">
        <v>63</v>
      </c>
      <c r="P10" s="16">
        <v>0.58333333333333337</v>
      </c>
      <c r="Q10" s="13">
        <v>179</v>
      </c>
      <c r="R10" s="17" t="s">
        <v>280</v>
      </c>
    </row>
    <row r="11" spans="1:92" ht="17.399999999999999" customHeight="1" thickBot="1" x14ac:dyDescent="0.35">
      <c r="A11" s="245"/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7"/>
    </row>
    <row r="12" spans="1:92" ht="22.05" customHeight="1" thickTop="1" thickBot="1" x14ac:dyDescent="0.35">
      <c r="A12" s="213" t="s">
        <v>8</v>
      </c>
      <c r="B12" s="214"/>
      <c r="C12" s="214"/>
      <c r="D12" s="214"/>
      <c r="E12" s="214"/>
      <c r="F12" s="215"/>
      <c r="G12" s="18">
        <v>46003</v>
      </c>
      <c r="H12" s="216" t="s">
        <v>9</v>
      </c>
      <c r="I12" s="214"/>
      <c r="J12" s="214"/>
      <c r="K12" s="214"/>
      <c r="L12" s="214"/>
      <c r="M12" s="214"/>
      <c r="N12" s="214"/>
      <c r="O12" s="214"/>
      <c r="P12" s="214"/>
      <c r="Q12" s="214"/>
      <c r="R12" s="215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78" t="s">
        <v>28</v>
      </c>
      <c r="B14" s="78" t="s">
        <v>276</v>
      </c>
      <c r="C14" s="79">
        <v>0.58333333333333337</v>
      </c>
      <c r="D14" s="78" t="s">
        <v>30</v>
      </c>
      <c r="E14" s="80"/>
      <c r="F14" s="78" t="s">
        <v>54</v>
      </c>
      <c r="G14" s="221"/>
      <c r="H14" s="81" t="s">
        <v>276</v>
      </c>
      <c r="I14" s="82">
        <v>0.2402</v>
      </c>
      <c r="J14" s="83">
        <v>43</v>
      </c>
      <c r="K14" s="84" t="s">
        <v>45</v>
      </c>
      <c r="L14" s="83">
        <v>25</v>
      </c>
      <c r="M14" s="83">
        <v>2</v>
      </c>
      <c r="N14" s="83">
        <v>7</v>
      </c>
      <c r="O14" s="85" t="s">
        <v>225</v>
      </c>
      <c r="P14" s="86">
        <v>0.58333333333333337</v>
      </c>
      <c r="Q14" s="83">
        <v>179</v>
      </c>
      <c r="R14" s="87" t="s">
        <v>281</v>
      </c>
    </row>
    <row r="15" spans="1:92" ht="17.399999999999999" customHeight="1" thickBot="1" x14ac:dyDescent="0.35">
      <c r="A15" s="245"/>
      <c r="B15" s="246"/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7"/>
    </row>
    <row r="16" spans="1:92" ht="22.05" customHeight="1" thickTop="1" thickBot="1" x14ac:dyDescent="0.35">
      <c r="A16" s="213" t="s">
        <v>8</v>
      </c>
      <c r="B16" s="214"/>
      <c r="C16" s="214"/>
      <c r="D16" s="214"/>
      <c r="E16" s="214"/>
      <c r="F16" s="215"/>
      <c r="G16" s="18">
        <v>46010</v>
      </c>
      <c r="H16" s="216" t="s">
        <v>9</v>
      </c>
      <c r="I16" s="214"/>
      <c r="J16" s="214"/>
      <c r="K16" s="214"/>
      <c r="L16" s="214"/>
      <c r="M16" s="214"/>
      <c r="N16" s="214"/>
      <c r="O16" s="214"/>
      <c r="P16" s="214"/>
      <c r="Q16" s="214"/>
      <c r="R16" s="215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5">
      <c r="A18" s="58" t="s">
        <v>28</v>
      </c>
      <c r="B18" s="58" t="s">
        <v>276</v>
      </c>
      <c r="C18" s="59">
        <v>0.58333333333333337</v>
      </c>
      <c r="D18" s="58" t="s">
        <v>30</v>
      </c>
      <c r="E18" s="60"/>
      <c r="F18" s="58" t="s">
        <v>54</v>
      </c>
      <c r="G18" s="217"/>
      <c r="H18" s="61" t="s">
        <v>276</v>
      </c>
      <c r="I18" s="62">
        <v>0.16200000000000001</v>
      </c>
      <c r="J18" s="63">
        <v>29</v>
      </c>
      <c r="K18" s="64" t="s">
        <v>32</v>
      </c>
      <c r="L18" s="63">
        <v>9</v>
      </c>
      <c r="M18" s="63">
        <v>0</v>
      </c>
      <c r="N18" s="63">
        <v>1</v>
      </c>
      <c r="O18" s="65" t="s">
        <v>282</v>
      </c>
      <c r="P18" s="66">
        <v>0.58333333333333337</v>
      </c>
      <c r="Q18" s="63">
        <v>179</v>
      </c>
      <c r="R18" s="67" t="s">
        <v>283</v>
      </c>
    </row>
    <row r="19" spans="1:18" ht="17.399999999999999" customHeight="1" thickBot="1" x14ac:dyDescent="0.35">
      <c r="A19" s="245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7"/>
    </row>
    <row r="20" spans="1:18" ht="22.05" customHeight="1" thickTop="1" thickBot="1" x14ac:dyDescent="0.35">
      <c r="A20" s="213" t="s">
        <v>8</v>
      </c>
      <c r="B20" s="214"/>
      <c r="C20" s="214"/>
      <c r="D20" s="214"/>
      <c r="E20" s="214"/>
      <c r="F20" s="215"/>
      <c r="G20" s="18">
        <v>46017</v>
      </c>
      <c r="H20" s="216" t="s">
        <v>9</v>
      </c>
      <c r="I20" s="214"/>
      <c r="J20" s="214"/>
      <c r="K20" s="214"/>
      <c r="L20" s="214"/>
      <c r="M20" s="214"/>
      <c r="N20" s="214"/>
      <c r="O20" s="214"/>
      <c r="P20" s="214"/>
      <c r="Q20" s="214"/>
      <c r="R20" s="215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x14ac:dyDescent="0.45">
      <c r="A22" s="91" t="s">
        <v>28</v>
      </c>
      <c r="B22" s="91" t="s">
        <v>276</v>
      </c>
      <c r="C22" s="92">
        <v>0.58333333333333337</v>
      </c>
      <c r="D22" s="91" t="s">
        <v>30</v>
      </c>
      <c r="E22" s="93"/>
      <c r="F22" s="91" t="s">
        <v>54</v>
      </c>
      <c r="G22" s="217"/>
      <c r="H22" s="94" t="s">
        <v>276</v>
      </c>
      <c r="I22" s="95">
        <v>8.3799999999999999E-2</v>
      </c>
      <c r="J22" s="96">
        <v>15</v>
      </c>
      <c r="K22" s="97" t="s">
        <v>284</v>
      </c>
      <c r="L22" s="96">
        <v>5</v>
      </c>
      <c r="M22" s="96">
        <v>0</v>
      </c>
      <c r="N22" s="96">
        <v>0</v>
      </c>
      <c r="O22" s="98" t="s">
        <v>250</v>
      </c>
      <c r="P22" s="99">
        <v>0.58333333333333337</v>
      </c>
      <c r="Q22" s="96">
        <v>179</v>
      </c>
      <c r="R22" s="100" t="s">
        <v>285</v>
      </c>
    </row>
  </sheetData>
  <mergeCells count="26">
    <mergeCell ref="G22"/>
    <mergeCell ref="A2:F2"/>
    <mergeCell ref="A3:R3"/>
    <mergeCell ref="A8:F8"/>
    <mergeCell ref="G2:J2"/>
    <mergeCell ref="A4:F4"/>
    <mergeCell ref="A20:F20"/>
    <mergeCell ref="A19:R19"/>
    <mergeCell ref="H16:R16"/>
    <mergeCell ref="K2:R2"/>
    <mergeCell ref="G10"/>
    <mergeCell ref="G6"/>
    <mergeCell ref="G18"/>
    <mergeCell ref="A15:R15"/>
    <mergeCell ref="H12:R12"/>
    <mergeCell ref="A11:R11"/>
    <mergeCell ref="A16:F16"/>
    <mergeCell ref="H8:R8"/>
    <mergeCell ref="A7:R7"/>
    <mergeCell ref="H20:R20"/>
    <mergeCell ref="H1:L1"/>
    <mergeCell ref="A1:E1"/>
    <mergeCell ref="A12:F12"/>
    <mergeCell ref="H4:R4"/>
    <mergeCell ref="N1:R1"/>
    <mergeCell ref="G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7"/>
  <sheetViews>
    <sheetView workbookViewId="0"/>
  </sheetViews>
  <sheetFormatPr defaultRowHeight="15.6" outlineLevelCol="1" x14ac:dyDescent="0.3"/>
  <cols>
    <col min="1" max="1" width="6.88671875" style="232" bestFit="1" customWidth="1"/>
    <col min="2" max="2" width="10.44140625" style="232" bestFit="1" customWidth="1"/>
    <col min="3" max="3" width="6.77734375" style="232" bestFit="1" customWidth="1"/>
    <col min="4" max="4" width="5.5546875" style="232" bestFit="1" customWidth="1"/>
    <col min="5" max="5" width="8.33203125" style="232" bestFit="1" customWidth="1"/>
    <col min="6" max="6" width="4.21875" style="232" bestFit="1" customWidth="1"/>
    <col min="7" max="7" width="10" style="232" bestFit="1" customWidth="1"/>
    <col min="8" max="10" width="7" style="232" bestFit="1" customWidth="1"/>
    <col min="11" max="11" width="10.5546875" style="232" bestFit="1" customWidth="1"/>
    <col min="12" max="12" width="18.109375" style="232" bestFit="1" customWidth="1"/>
    <col min="13" max="13" width="7.6640625" style="232" bestFit="1" customWidth="1" outlineLevel="1"/>
    <col min="14" max="14" width="6.33203125" style="232" bestFit="1" customWidth="1" outlineLevel="1"/>
    <col min="15" max="15" width="8" style="232" bestFit="1" customWidth="1" outlineLevel="1"/>
    <col min="16" max="16" width="13.6640625" style="232" bestFit="1" customWidth="1"/>
    <col min="17" max="24" width="3.88671875" style="232" bestFit="1" customWidth="1"/>
    <col min="25" max="25" width="4.44140625" style="232" bestFit="1" customWidth="1"/>
    <col min="26" max="26" width="4.109375" style="232" bestFit="1" customWidth="1"/>
    <col min="27" max="27" width="5" style="232" bestFit="1" customWidth="1"/>
    <col min="28" max="29" width="4.21875" style="232" bestFit="1" customWidth="1"/>
    <col min="30" max="31" width="4.5546875" style="232" bestFit="1" customWidth="1"/>
    <col min="32" max="36" width="3.88671875" style="232" bestFit="1" customWidth="1"/>
    <col min="37" max="16384" width="8.88671875" style="232"/>
  </cols>
  <sheetData>
    <row r="1" spans="1:36" x14ac:dyDescent="0.3">
      <c r="A1" s="231" t="s">
        <v>65</v>
      </c>
      <c r="B1" s="231" t="s">
        <v>66</v>
      </c>
      <c r="C1" s="231" t="s">
        <v>67</v>
      </c>
      <c r="D1" s="231" t="s">
        <v>25</v>
      </c>
      <c r="E1" s="231" t="s">
        <v>68</v>
      </c>
      <c r="F1" s="231" t="s">
        <v>69</v>
      </c>
      <c r="G1" s="231" t="s">
        <v>18</v>
      </c>
      <c r="H1" s="231" t="s">
        <v>70</v>
      </c>
      <c r="I1" s="231" t="s">
        <v>71</v>
      </c>
      <c r="J1" s="231" t="s">
        <v>72</v>
      </c>
      <c r="K1" s="231" t="s">
        <v>73</v>
      </c>
      <c r="L1" s="231" t="s">
        <v>20</v>
      </c>
      <c r="M1" s="231" t="s">
        <v>22</v>
      </c>
      <c r="N1" s="231" t="s">
        <v>23</v>
      </c>
      <c r="O1" s="231" t="s">
        <v>21</v>
      </c>
      <c r="P1" s="231" t="s">
        <v>24</v>
      </c>
      <c r="Q1" s="231" t="s">
        <v>74</v>
      </c>
      <c r="R1" s="231" t="s">
        <v>75</v>
      </c>
      <c r="S1" s="231" t="s">
        <v>76</v>
      </c>
      <c r="T1" s="231" t="s">
        <v>77</v>
      </c>
      <c r="U1" s="231" t="s">
        <v>78</v>
      </c>
      <c r="V1" s="231" t="s">
        <v>79</v>
      </c>
      <c r="W1" s="231" t="s">
        <v>80</v>
      </c>
      <c r="X1" s="231" t="s">
        <v>81</v>
      </c>
      <c r="Y1" s="231" t="s">
        <v>82</v>
      </c>
      <c r="Z1" s="231" t="s">
        <v>83</v>
      </c>
      <c r="AA1" s="231" t="s">
        <v>84</v>
      </c>
      <c r="AB1" s="231" t="s">
        <v>85</v>
      </c>
      <c r="AC1" s="231" t="s">
        <v>86</v>
      </c>
      <c r="AD1" s="231" t="s">
        <v>87</v>
      </c>
      <c r="AE1" s="231" t="s">
        <v>88</v>
      </c>
      <c r="AF1" s="231" t="s">
        <v>89</v>
      </c>
      <c r="AG1" s="231" t="s">
        <v>90</v>
      </c>
      <c r="AH1" s="231" t="s">
        <v>91</v>
      </c>
      <c r="AI1" s="231" t="s">
        <v>92</v>
      </c>
      <c r="AJ1" s="231" t="s">
        <v>93</v>
      </c>
    </row>
    <row r="2" spans="1:36" x14ac:dyDescent="0.3">
      <c r="A2" s="233" t="s">
        <v>214</v>
      </c>
      <c r="B2" s="234">
        <v>45989</v>
      </c>
      <c r="C2" s="235" t="s">
        <v>276</v>
      </c>
      <c r="D2" s="236" t="s">
        <v>286</v>
      </c>
      <c r="E2" s="235" t="s">
        <v>275</v>
      </c>
      <c r="F2" s="235" t="s">
        <v>96</v>
      </c>
      <c r="G2" s="237">
        <v>1</v>
      </c>
      <c r="H2" s="238">
        <v>179</v>
      </c>
      <c r="I2" s="238">
        <v>179</v>
      </c>
      <c r="J2" s="238">
        <v>0</v>
      </c>
      <c r="K2" s="235" t="s">
        <v>97</v>
      </c>
      <c r="L2" s="239" t="s">
        <v>45</v>
      </c>
      <c r="M2" s="238">
        <v>3</v>
      </c>
      <c r="N2" s="238">
        <v>5</v>
      </c>
      <c r="O2" s="238">
        <v>66</v>
      </c>
      <c r="P2" s="235" t="s">
        <v>278</v>
      </c>
      <c r="Q2" s="231"/>
      <c r="R2" s="231"/>
      <c r="S2" s="231"/>
      <c r="T2" s="231"/>
      <c r="U2" s="231"/>
      <c r="V2" s="231"/>
      <c r="W2" s="231"/>
      <c r="X2" s="238" t="s">
        <v>287</v>
      </c>
      <c r="Y2" s="238" t="s">
        <v>288</v>
      </c>
      <c r="Z2" s="238" t="s">
        <v>103</v>
      </c>
      <c r="AA2" s="238" t="s">
        <v>104</v>
      </c>
      <c r="AB2" s="238" t="s">
        <v>289</v>
      </c>
      <c r="AC2" s="238" t="s">
        <v>129</v>
      </c>
      <c r="AD2" s="238" t="s">
        <v>290</v>
      </c>
      <c r="AE2" s="238" t="s">
        <v>291</v>
      </c>
      <c r="AF2" s="231"/>
      <c r="AG2" s="231"/>
      <c r="AH2" s="231"/>
      <c r="AI2" s="231"/>
      <c r="AJ2" s="231"/>
    </row>
    <row r="3" spans="1:36" x14ac:dyDescent="0.3">
      <c r="A3" s="233" t="s">
        <v>214</v>
      </c>
      <c r="B3" s="234">
        <v>45996</v>
      </c>
      <c r="C3" s="235" t="s">
        <v>276</v>
      </c>
      <c r="D3" s="236" t="s">
        <v>286</v>
      </c>
      <c r="E3" s="235" t="s">
        <v>275</v>
      </c>
      <c r="F3" s="235" t="s">
        <v>96</v>
      </c>
      <c r="G3" s="237">
        <v>0.5363</v>
      </c>
      <c r="H3" s="238">
        <v>179</v>
      </c>
      <c r="I3" s="238">
        <v>96</v>
      </c>
      <c r="J3" s="238">
        <v>0</v>
      </c>
      <c r="K3" s="235" t="s">
        <v>97</v>
      </c>
      <c r="L3" s="239" t="s">
        <v>45</v>
      </c>
      <c r="M3" s="238">
        <v>1</v>
      </c>
      <c r="N3" s="238">
        <v>7</v>
      </c>
      <c r="O3" s="238">
        <v>60</v>
      </c>
      <c r="P3" s="235" t="s">
        <v>63</v>
      </c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8" t="s">
        <v>292</v>
      </c>
      <c r="AB3" s="238" t="s">
        <v>293</v>
      </c>
      <c r="AC3" s="238" t="s">
        <v>129</v>
      </c>
      <c r="AD3" s="238" t="s">
        <v>294</v>
      </c>
      <c r="AE3" s="238" t="s">
        <v>295</v>
      </c>
      <c r="AF3" s="238" t="s">
        <v>296</v>
      </c>
      <c r="AG3" s="231"/>
      <c r="AH3" s="231"/>
      <c r="AI3" s="231"/>
      <c r="AJ3" s="231"/>
    </row>
    <row r="4" spans="1:36" x14ac:dyDescent="0.3">
      <c r="A4" s="233" t="s">
        <v>214</v>
      </c>
      <c r="B4" s="234">
        <v>46003</v>
      </c>
      <c r="C4" s="235" t="s">
        <v>276</v>
      </c>
      <c r="D4" s="236" t="s">
        <v>286</v>
      </c>
      <c r="E4" s="235" t="s">
        <v>275</v>
      </c>
      <c r="F4" s="235" t="s">
        <v>96</v>
      </c>
      <c r="G4" s="237">
        <v>0.2402</v>
      </c>
      <c r="H4" s="238">
        <v>179</v>
      </c>
      <c r="I4" s="238">
        <v>43</v>
      </c>
      <c r="J4" s="238">
        <v>0</v>
      </c>
      <c r="K4" s="235" t="s">
        <v>97</v>
      </c>
      <c r="L4" s="239" t="s">
        <v>45</v>
      </c>
      <c r="M4" s="238">
        <v>2</v>
      </c>
      <c r="N4" s="238">
        <v>7</v>
      </c>
      <c r="O4" s="238">
        <v>25</v>
      </c>
      <c r="P4" s="235" t="s">
        <v>225</v>
      </c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8" t="s">
        <v>154</v>
      </c>
      <c r="AD4" s="238" t="s">
        <v>155</v>
      </c>
      <c r="AE4" s="238" t="s">
        <v>170</v>
      </c>
      <c r="AF4" s="238" t="s">
        <v>297</v>
      </c>
      <c r="AG4" s="231"/>
      <c r="AH4" s="231"/>
      <c r="AI4" s="231"/>
      <c r="AJ4" s="231"/>
    </row>
    <row r="5" spans="1:36" x14ac:dyDescent="0.3">
      <c r="A5" s="233" t="s">
        <v>214</v>
      </c>
      <c r="B5" s="234">
        <v>46010</v>
      </c>
      <c r="C5" s="235" t="s">
        <v>276</v>
      </c>
      <c r="D5" s="236" t="s">
        <v>286</v>
      </c>
      <c r="E5" s="235" t="s">
        <v>275</v>
      </c>
      <c r="F5" s="235" t="s">
        <v>96</v>
      </c>
      <c r="G5" s="237">
        <v>0.16200000000000001</v>
      </c>
      <c r="H5" s="238">
        <v>179</v>
      </c>
      <c r="I5" s="238">
        <v>29</v>
      </c>
      <c r="J5" s="238">
        <v>0</v>
      </c>
      <c r="K5" s="235" t="s">
        <v>97</v>
      </c>
      <c r="L5" s="239" t="s">
        <v>32</v>
      </c>
      <c r="M5" s="238">
        <v>0</v>
      </c>
      <c r="N5" s="238">
        <v>1</v>
      </c>
      <c r="O5" s="238">
        <v>9</v>
      </c>
      <c r="P5" s="235" t="s">
        <v>282</v>
      </c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  <c r="AB5" s="238" t="s">
        <v>298</v>
      </c>
      <c r="AC5" s="238" t="s">
        <v>299</v>
      </c>
      <c r="AD5" s="238" t="s">
        <v>155</v>
      </c>
      <c r="AE5" s="238" t="s">
        <v>166</v>
      </c>
      <c r="AF5" s="238" t="s">
        <v>300</v>
      </c>
      <c r="AG5" s="231"/>
      <c r="AH5" s="231"/>
      <c r="AI5" s="231"/>
      <c r="AJ5" s="231"/>
    </row>
    <row r="6" spans="1:36" x14ac:dyDescent="0.3">
      <c r="A6" s="233" t="s">
        <v>214</v>
      </c>
      <c r="B6" s="234">
        <v>46017</v>
      </c>
      <c r="C6" s="235" t="s">
        <v>276</v>
      </c>
      <c r="D6" s="236" t="s">
        <v>286</v>
      </c>
      <c r="E6" s="235" t="s">
        <v>275</v>
      </c>
      <c r="F6" s="235" t="s">
        <v>96</v>
      </c>
      <c r="G6" s="237">
        <v>8.3799999999999999E-2</v>
      </c>
      <c r="H6" s="238">
        <v>179</v>
      </c>
      <c r="I6" s="238">
        <v>15</v>
      </c>
      <c r="J6" s="238">
        <v>0</v>
      </c>
      <c r="K6" s="235" t="s">
        <v>97</v>
      </c>
      <c r="L6" s="239" t="s">
        <v>284</v>
      </c>
      <c r="M6" s="238">
        <v>0</v>
      </c>
      <c r="N6" s="238">
        <v>0</v>
      </c>
      <c r="O6" s="238">
        <v>5</v>
      </c>
      <c r="P6" s="235" t="s">
        <v>250</v>
      </c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231"/>
      <c r="AC6" s="238" t="s">
        <v>301</v>
      </c>
      <c r="AD6" s="238" t="s">
        <v>238</v>
      </c>
      <c r="AE6" s="238" t="s">
        <v>166</v>
      </c>
      <c r="AF6" s="238" t="s">
        <v>273</v>
      </c>
      <c r="AG6" s="231"/>
      <c r="AH6" s="231"/>
      <c r="AI6" s="231"/>
      <c r="AJ6" s="231"/>
    </row>
    <row r="7" spans="1:36" ht="21" x14ac:dyDescent="0.3">
      <c r="A7" s="240" t="s">
        <v>522</v>
      </c>
      <c r="B7" s="241"/>
      <c r="C7" s="240">
        <f>SUBTOTAL(103,ATZ_AHB_LF_LEGACY[Flt])</f>
        <v>5</v>
      </c>
      <c r="D7" s="240"/>
      <c r="E7" s="240">
        <f>SUBTOTAL(103,ATZ_AHB_LF_LEGACY[Brd-Off])</f>
        <v>5</v>
      </c>
      <c r="F7" s="240"/>
      <c r="G7" s="242">
        <f>SUBTOTAL(101,ATZ_AHB_LF_LEGACY[LF%])</f>
        <v>0.40445999999999999</v>
      </c>
      <c r="H7" s="243">
        <f>SUBTOTAL(109,ATZ_AHB_LF_LEGACY[CAP])</f>
        <v>895</v>
      </c>
      <c r="I7" s="243">
        <f>SUBTOTAL(109,ATZ_AHB_LF_LEGACY[BKG(Y)])</f>
        <v>362</v>
      </c>
      <c r="J7" s="243">
        <f>SUBTOTAL(109,ATZ_AHB_LF_LEGACY[GRP(Y)])</f>
        <v>0</v>
      </c>
      <c r="K7" s="240"/>
      <c r="L7" s="241"/>
      <c r="M7" s="243">
        <f>SUBTOTAL(109,ATZ_AHB_LF_LEGACY[TO-DAY])</f>
        <v>6</v>
      </c>
      <c r="N7" s="243">
        <f>SUBTOTAL(109,ATZ_AHB_LF_LEGACY[Y-DAY])</f>
        <v>20</v>
      </c>
      <c r="O7" s="243">
        <f>SUBTOTAL(109,ATZ_AHB_LF_LEGACY[WEEKLY])</f>
        <v>165</v>
      </c>
      <c r="P7" s="244"/>
      <c r="Q7" s="243">
        <f>SUBTOTAL(109,ATZ_AHB_LF_LEGACY[Y])</f>
        <v>0</v>
      </c>
      <c r="R7" s="243">
        <f>SUBTOTAL(109,ATZ_AHB_LF_LEGACY[B])</f>
        <v>0</v>
      </c>
      <c r="S7" s="243">
        <f>SUBTOTAL(109,ATZ_AHB_LF_LEGACY[M])</f>
        <v>0</v>
      </c>
      <c r="T7" s="243">
        <f>SUBTOTAL(109,ATZ_AHB_LF_LEGACY[H])</f>
        <v>0</v>
      </c>
      <c r="U7" s="243">
        <f>SUBTOTAL(109,ATZ_AHB_LF_LEGACY[Q])</f>
        <v>0</v>
      </c>
      <c r="V7" s="243">
        <f>SUBTOTAL(109,ATZ_AHB_LF_LEGACY[K])</f>
        <v>0</v>
      </c>
      <c r="W7" s="243">
        <f>SUBTOTAL(109,ATZ_AHB_LF_LEGACY[V])</f>
        <v>0</v>
      </c>
      <c r="X7" s="243">
        <f>SUBTOTAL(109,ATZ_AHB_LF_LEGACY[L])</f>
        <v>0</v>
      </c>
      <c r="Y7" s="243">
        <f>SUBTOTAL(109,ATZ_AHB_LF_LEGACY[G])</f>
        <v>0</v>
      </c>
      <c r="Z7" s="243">
        <f>SUBTOTAL(109,ATZ_AHB_LF_LEGACY[S])</f>
        <v>0</v>
      </c>
      <c r="AA7" s="243">
        <f>SUBTOTAL(109,ATZ_AHB_LF_LEGACY[W])</f>
        <v>0</v>
      </c>
      <c r="AB7" s="243">
        <f>SUBTOTAL(109,ATZ_AHB_LF_LEGACY[T])</f>
        <v>0</v>
      </c>
      <c r="AC7" s="243">
        <f>SUBTOTAL(109,ATZ_AHB_LF_LEGACY[X])</f>
        <v>0</v>
      </c>
      <c r="AD7" s="243">
        <f>SUBTOTAL(109,ATZ_AHB_LF_LEGACY[U])</f>
        <v>0</v>
      </c>
      <c r="AE7" s="243">
        <f>SUBTOTAL(109,ATZ_AHB_LF_LEGACY[O])</f>
        <v>0</v>
      </c>
      <c r="AF7" s="243">
        <f>SUBTOTAL(109,ATZ_AHB_LF_LEGACY[I])</f>
        <v>0</v>
      </c>
      <c r="AG7" s="243">
        <f>SUBTOTAL(109,ATZ_AHB_LF_LEGACY[E])</f>
        <v>0</v>
      </c>
      <c r="AH7" s="243">
        <f>SUBTOTAL(109,ATZ_AHB_LF_LEGACY[A])</f>
        <v>0</v>
      </c>
      <c r="AI7" s="243">
        <f>SUBTOTAL(109,ATZ_AHB_LF_LEGACY[P])</f>
        <v>0</v>
      </c>
      <c r="AJ7" s="243">
        <f>SUBTOTAL(103,ATZ_AHB_LF_LEGACY[N])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N40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7.66406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7.109375" bestFit="1" customWidth="1"/>
  </cols>
  <sheetData>
    <row r="1" spans="1:92" ht="28.8" customHeight="1" x14ac:dyDescent="0.3">
      <c r="A1" s="220" t="s">
        <v>0</v>
      </c>
      <c r="B1" s="219"/>
      <c r="C1" s="219"/>
      <c r="D1" s="219"/>
      <c r="E1" s="219"/>
      <c r="F1" s="1" t="s">
        <v>302</v>
      </c>
      <c r="G1" s="2" t="s">
        <v>2</v>
      </c>
      <c r="H1" s="218" t="s">
        <v>3</v>
      </c>
      <c r="I1" s="219"/>
      <c r="J1" s="219"/>
      <c r="K1" s="219"/>
      <c r="L1" s="219"/>
      <c r="M1" s="1" t="s">
        <v>4</v>
      </c>
      <c r="N1" s="227" t="s">
        <v>5</v>
      </c>
      <c r="O1" s="219"/>
      <c r="P1" s="219"/>
      <c r="Q1" s="219"/>
      <c r="R1" s="21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23" t="s">
        <v>6</v>
      </c>
      <c r="B2" s="219"/>
      <c r="C2" s="219"/>
      <c r="D2" s="219"/>
      <c r="E2" s="219"/>
      <c r="F2" s="219"/>
      <c r="G2" s="225">
        <v>45984.2287182039</v>
      </c>
      <c r="H2" s="219"/>
      <c r="I2" s="219"/>
      <c r="J2" s="219"/>
      <c r="K2" s="228">
        <v>45984.228718205333</v>
      </c>
      <c r="L2" s="219"/>
      <c r="M2" s="219"/>
      <c r="N2" s="219"/>
      <c r="O2" s="219"/>
      <c r="P2" s="219"/>
      <c r="Q2" s="219"/>
      <c r="R2" s="21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24" t="s">
        <v>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26" t="s">
        <v>8</v>
      </c>
      <c r="B4" s="214"/>
      <c r="C4" s="214"/>
      <c r="D4" s="214"/>
      <c r="E4" s="214"/>
      <c r="F4" s="215"/>
      <c r="G4" s="4">
        <v>45986</v>
      </c>
      <c r="H4" s="222" t="s">
        <v>9</v>
      </c>
      <c r="I4" s="214"/>
      <c r="J4" s="214"/>
      <c r="K4" s="214"/>
      <c r="L4" s="214"/>
      <c r="M4" s="214"/>
      <c r="N4" s="214"/>
      <c r="O4" s="214"/>
      <c r="P4" s="214"/>
      <c r="Q4" s="214"/>
      <c r="R4" s="21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78" t="s">
        <v>28</v>
      </c>
      <c r="B6" s="78" t="s">
        <v>303</v>
      </c>
      <c r="C6" s="79">
        <v>0.85763888888888884</v>
      </c>
      <c r="D6" s="78" t="s">
        <v>30</v>
      </c>
      <c r="E6" s="80"/>
      <c r="F6" s="78" t="s">
        <v>31</v>
      </c>
      <c r="G6" s="217"/>
      <c r="H6" s="81" t="s">
        <v>303</v>
      </c>
      <c r="I6" s="104">
        <v>0.59219999999999995</v>
      </c>
      <c r="J6" s="83">
        <v>106</v>
      </c>
      <c r="K6" s="84" t="s">
        <v>45</v>
      </c>
      <c r="L6" s="83">
        <v>43</v>
      </c>
      <c r="M6" s="83">
        <v>1</v>
      </c>
      <c r="N6" s="83">
        <v>6</v>
      </c>
      <c r="O6" s="85" t="s">
        <v>304</v>
      </c>
      <c r="P6" s="86">
        <v>0.85763888888888884</v>
      </c>
      <c r="Q6" s="83">
        <v>179</v>
      </c>
      <c r="R6" s="87" t="s">
        <v>305</v>
      </c>
    </row>
    <row r="7" spans="1:92" ht="17.399999999999999" customHeight="1" thickBot="1" x14ac:dyDescent="0.35">
      <c r="A7" s="245"/>
      <c r="B7" s="246"/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7"/>
    </row>
    <row r="8" spans="1:92" ht="22.05" customHeight="1" thickTop="1" thickBot="1" x14ac:dyDescent="0.35">
      <c r="A8" s="213" t="s">
        <v>8</v>
      </c>
      <c r="B8" s="214"/>
      <c r="C8" s="214"/>
      <c r="D8" s="214"/>
      <c r="E8" s="214"/>
      <c r="F8" s="215"/>
      <c r="G8" s="18">
        <v>45990</v>
      </c>
      <c r="H8" s="216" t="s">
        <v>9</v>
      </c>
      <c r="I8" s="214"/>
      <c r="J8" s="214"/>
      <c r="K8" s="214"/>
      <c r="L8" s="214"/>
      <c r="M8" s="214"/>
      <c r="N8" s="214"/>
      <c r="O8" s="214"/>
      <c r="P8" s="214"/>
      <c r="Q8" s="214"/>
      <c r="R8" s="215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58" t="s">
        <v>28</v>
      </c>
      <c r="B10" s="58" t="s">
        <v>303</v>
      </c>
      <c r="C10" s="59">
        <v>0.69097222222222221</v>
      </c>
      <c r="D10" s="58" t="s">
        <v>30</v>
      </c>
      <c r="E10" s="60"/>
      <c r="F10" s="58" t="s">
        <v>31</v>
      </c>
      <c r="G10" s="221"/>
      <c r="H10" s="61" t="s">
        <v>303</v>
      </c>
      <c r="I10" s="62">
        <v>0.50280000000000002</v>
      </c>
      <c r="J10" s="63">
        <v>90</v>
      </c>
      <c r="K10" s="64" t="s">
        <v>32</v>
      </c>
      <c r="L10" s="63">
        <v>34</v>
      </c>
      <c r="M10" s="63">
        <v>0</v>
      </c>
      <c r="N10" s="63">
        <v>13</v>
      </c>
      <c r="O10" s="65" t="s">
        <v>306</v>
      </c>
      <c r="P10" s="66">
        <v>0.69097222222222221</v>
      </c>
      <c r="Q10" s="63">
        <v>179</v>
      </c>
      <c r="R10" s="67" t="s">
        <v>307</v>
      </c>
    </row>
    <row r="11" spans="1:92" ht="17.399999999999999" customHeight="1" thickBot="1" x14ac:dyDescent="0.35">
      <c r="A11" s="245"/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7"/>
    </row>
    <row r="12" spans="1:92" ht="22.05" customHeight="1" thickTop="1" thickBot="1" x14ac:dyDescent="0.35">
      <c r="A12" s="213" t="s">
        <v>8</v>
      </c>
      <c r="B12" s="214"/>
      <c r="C12" s="214"/>
      <c r="D12" s="214"/>
      <c r="E12" s="214"/>
      <c r="F12" s="215"/>
      <c r="G12" s="18">
        <v>45993</v>
      </c>
      <c r="H12" s="216" t="s">
        <v>9</v>
      </c>
      <c r="I12" s="214"/>
      <c r="J12" s="214"/>
      <c r="K12" s="214"/>
      <c r="L12" s="214"/>
      <c r="M12" s="214"/>
      <c r="N12" s="214"/>
      <c r="O12" s="214"/>
      <c r="P12" s="214"/>
      <c r="Q12" s="214"/>
      <c r="R12" s="215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91" t="s">
        <v>28</v>
      </c>
      <c r="B14" s="91" t="s">
        <v>303</v>
      </c>
      <c r="C14" s="92">
        <v>0.85763888888888884</v>
      </c>
      <c r="D14" s="91" t="s">
        <v>30</v>
      </c>
      <c r="E14" s="93"/>
      <c r="F14" s="91" t="s">
        <v>54</v>
      </c>
      <c r="G14" s="221"/>
      <c r="H14" s="94" t="s">
        <v>303</v>
      </c>
      <c r="I14" s="95">
        <v>0.25700000000000001</v>
      </c>
      <c r="J14" s="96">
        <v>46</v>
      </c>
      <c r="K14" s="97" t="s">
        <v>45</v>
      </c>
      <c r="L14" s="96">
        <v>18</v>
      </c>
      <c r="M14" s="96">
        <v>2</v>
      </c>
      <c r="N14" s="96">
        <v>5</v>
      </c>
      <c r="O14" s="98" t="s">
        <v>145</v>
      </c>
      <c r="P14" s="99">
        <v>0.85763888888888884</v>
      </c>
      <c r="Q14" s="96">
        <v>179</v>
      </c>
      <c r="R14" s="100" t="s">
        <v>308</v>
      </c>
    </row>
    <row r="15" spans="1:92" ht="17.399999999999999" customHeight="1" thickBot="1" x14ac:dyDescent="0.35">
      <c r="A15" s="245"/>
      <c r="B15" s="246"/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7"/>
    </row>
    <row r="16" spans="1:92" ht="22.05" customHeight="1" thickTop="1" thickBot="1" x14ac:dyDescent="0.35">
      <c r="A16" s="213" t="s">
        <v>8</v>
      </c>
      <c r="B16" s="214"/>
      <c r="C16" s="214"/>
      <c r="D16" s="214"/>
      <c r="E16" s="214"/>
      <c r="F16" s="215"/>
      <c r="G16" s="18">
        <v>45997</v>
      </c>
      <c r="H16" s="216" t="s">
        <v>9</v>
      </c>
      <c r="I16" s="214"/>
      <c r="J16" s="214"/>
      <c r="K16" s="214"/>
      <c r="L16" s="214"/>
      <c r="M16" s="214"/>
      <c r="N16" s="214"/>
      <c r="O16" s="214"/>
      <c r="P16" s="214"/>
      <c r="Q16" s="214"/>
      <c r="R16" s="215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68" t="s">
        <v>28</v>
      </c>
      <c r="B18" s="68" t="s">
        <v>303</v>
      </c>
      <c r="C18" s="69">
        <v>0.69097222222222221</v>
      </c>
      <c r="D18" s="68" t="s">
        <v>30</v>
      </c>
      <c r="E18" s="70"/>
      <c r="F18" s="68" t="s">
        <v>54</v>
      </c>
      <c r="G18" s="221"/>
      <c r="H18" s="71" t="s">
        <v>303</v>
      </c>
      <c r="I18" s="72">
        <v>0.2737</v>
      </c>
      <c r="J18" s="73">
        <v>49</v>
      </c>
      <c r="K18" s="74" t="s">
        <v>32</v>
      </c>
      <c r="L18" s="73">
        <v>29</v>
      </c>
      <c r="M18" s="73">
        <v>0</v>
      </c>
      <c r="N18" s="73">
        <v>11</v>
      </c>
      <c r="O18" s="75" t="s">
        <v>246</v>
      </c>
      <c r="P18" s="76">
        <v>0.69097222222222221</v>
      </c>
      <c r="Q18" s="73">
        <v>179</v>
      </c>
      <c r="R18" s="77" t="s">
        <v>309</v>
      </c>
    </row>
    <row r="19" spans="1:18" ht="17.399999999999999" customHeight="1" thickBot="1" x14ac:dyDescent="0.35">
      <c r="A19" s="245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7"/>
    </row>
    <row r="20" spans="1:18" ht="22.05" customHeight="1" thickTop="1" thickBot="1" x14ac:dyDescent="0.35">
      <c r="A20" s="213" t="s">
        <v>8</v>
      </c>
      <c r="B20" s="214"/>
      <c r="C20" s="214"/>
      <c r="D20" s="214"/>
      <c r="E20" s="214"/>
      <c r="F20" s="215"/>
      <c r="G20" s="18">
        <v>46000</v>
      </c>
      <c r="H20" s="216" t="s">
        <v>9</v>
      </c>
      <c r="I20" s="214"/>
      <c r="J20" s="214"/>
      <c r="K20" s="214"/>
      <c r="L20" s="214"/>
      <c r="M20" s="214"/>
      <c r="N20" s="214"/>
      <c r="O20" s="214"/>
      <c r="P20" s="214"/>
      <c r="Q20" s="214"/>
      <c r="R20" s="215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26" t="s">
        <v>28</v>
      </c>
      <c r="B22" s="26" t="s">
        <v>303</v>
      </c>
      <c r="C22" s="27">
        <v>0.85763888888888884</v>
      </c>
      <c r="D22" s="26" t="s">
        <v>30</v>
      </c>
      <c r="E22" s="28"/>
      <c r="F22" s="26" t="s">
        <v>54</v>
      </c>
      <c r="G22" s="221"/>
      <c r="H22" s="29" t="s">
        <v>303</v>
      </c>
      <c r="I22" s="57">
        <v>0.19550000000000001</v>
      </c>
      <c r="J22" s="31">
        <v>35</v>
      </c>
      <c r="K22" s="32" t="s">
        <v>32</v>
      </c>
      <c r="L22" s="31">
        <v>23</v>
      </c>
      <c r="M22" s="31">
        <v>0</v>
      </c>
      <c r="N22" s="31">
        <v>4</v>
      </c>
      <c r="O22" s="33" t="s">
        <v>105</v>
      </c>
      <c r="P22" s="34">
        <v>0.85763888888888884</v>
      </c>
      <c r="Q22" s="31">
        <v>179</v>
      </c>
      <c r="R22" s="35" t="s">
        <v>310</v>
      </c>
    </row>
    <row r="23" spans="1:18" ht="17.399999999999999" customHeight="1" thickBot="1" x14ac:dyDescent="0.35">
      <c r="A23" s="245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7"/>
    </row>
    <row r="24" spans="1:18" ht="22.05" customHeight="1" thickTop="1" thickBot="1" x14ac:dyDescent="0.35">
      <c r="A24" s="213" t="s">
        <v>8</v>
      </c>
      <c r="B24" s="214"/>
      <c r="C24" s="214"/>
      <c r="D24" s="214"/>
      <c r="E24" s="214"/>
      <c r="F24" s="215"/>
      <c r="G24" s="18">
        <v>46004</v>
      </c>
      <c r="H24" s="216" t="s">
        <v>9</v>
      </c>
      <c r="I24" s="214"/>
      <c r="J24" s="214"/>
      <c r="K24" s="214"/>
      <c r="L24" s="214"/>
      <c r="M24" s="214"/>
      <c r="N24" s="214"/>
      <c r="O24" s="214"/>
      <c r="P24" s="214"/>
      <c r="Q24" s="214"/>
      <c r="R24" s="215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78" t="s">
        <v>28</v>
      </c>
      <c r="B26" s="78" t="s">
        <v>303</v>
      </c>
      <c r="C26" s="79">
        <v>0.69097222222222221</v>
      </c>
      <c r="D26" s="78" t="s">
        <v>30</v>
      </c>
      <c r="E26" s="80"/>
      <c r="F26" s="78" t="s">
        <v>54</v>
      </c>
      <c r="G26" s="217"/>
      <c r="H26" s="81" t="s">
        <v>303</v>
      </c>
      <c r="I26" s="82">
        <v>9.5000000000000001E-2</v>
      </c>
      <c r="J26" s="83">
        <v>17</v>
      </c>
      <c r="K26" s="84" t="s">
        <v>32</v>
      </c>
      <c r="L26" s="83">
        <v>7</v>
      </c>
      <c r="M26" s="83">
        <v>0</v>
      </c>
      <c r="N26" s="83">
        <v>2</v>
      </c>
      <c r="O26" s="85" t="s">
        <v>61</v>
      </c>
      <c r="P26" s="86">
        <v>0.69097222222222221</v>
      </c>
      <c r="Q26" s="83">
        <v>179</v>
      </c>
      <c r="R26" s="87" t="s">
        <v>311</v>
      </c>
    </row>
    <row r="27" spans="1:18" ht="17.399999999999999" customHeight="1" thickBot="1" x14ac:dyDescent="0.35">
      <c r="A27" s="245"/>
      <c r="B27" s="246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7"/>
    </row>
    <row r="28" spans="1:18" ht="22.05" customHeight="1" thickTop="1" thickBot="1" x14ac:dyDescent="0.35">
      <c r="A28" s="213" t="s">
        <v>8</v>
      </c>
      <c r="B28" s="214"/>
      <c r="C28" s="214"/>
      <c r="D28" s="214"/>
      <c r="E28" s="214"/>
      <c r="F28" s="215"/>
      <c r="G28" s="18">
        <v>46007</v>
      </c>
      <c r="H28" s="216" t="s">
        <v>9</v>
      </c>
      <c r="I28" s="214"/>
      <c r="J28" s="214"/>
      <c r="K28" s="214"/>
      <c r="L28" s="214"/>
      <c r="M28" s="214"/>
      <c r="N28" s="214"/>
      <c r="O28" s="214"/>
      <c r="P28" s="214"/>
      <c r="Q28" s="214"/>
      <c r="R28" s="215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8" t="s">
        <v>28</v>
      </c>
      <c r="B30" s="8" t="s">
        <v>303</v>
      </c>
      <c r="C30" s="9">
        <v>0.85763888888888884</v>
      </c>
      <c r="D30" s="8" t="s">
        <v>30</v>
      </c>
      <c r="E30" s="10"/>
      <c r="F30" s="8" t="s">
        <v>54</v>
      </c>
      <c r="G30" s="221"/>
      <c r="H30" s="11" t="s">
        <v>303</v>
      </c>
      <c r="I30" s="90">
        <v>6.7000000000000004E-2</v>
      </c>
      <c r="J30" s="13">
        <v>12</v>
      </c>
      <c r="K30" s="14" t="s">
        <v>32</v>
      </c>
      <c r="L30" s="13">
        <v>6</v>
      </c>
      <c r="M30" s="13">
        <v>0</v>
      </c>
      <c r="N30" s="13">
        <v>1</v>
      </c>
      <c r="O30" s="15" t="s">
        <v>155</v>
      </c>
      <c r="P30" s="16">
        <v>0.85763888888888884</v>
      </c>
      <c r="Q30" s="13">
        <v>179</v>
      </c>
      <c r="R30" s="17" t="s">
        <v>312</v>
      </c>
    </row>
    <row r="31" spans="1:18" ht="17.399999999999999" customHeight="1" thickBot="1" x14ac:dyDescent="0.35">
      <c r="A31" s="245"/>
      <c r="B31" s="246"/>
      <c r="C31" s="246"/>
      <c r="D31" s="246"/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7"/>
    </row>
    <row r="32" spans="1:18" ht="22.05" customHeight="1" thickTop="1" thickBot="1" x14ac:dyDescent="0.35">
      <c r="A32" s="213" t="s">
        <v>8</v>
      </c>
      <c r="B32" s="214"/>
      <c r="C32" s="214"/>
      <c r="D32" s="214"/>
      <c r="E32" s="214"/>
      <c r="F32" s="215"/>
      <c r="G32" s="18">
        <v>46011</v>
      </c>
      <c r="H32" s="216" t="s">
        <v>9</v>
      </c>
      <c r="I32" s="214"/>
      <c r="J32" s="214"/>
      <c r="K32" s="214"/>
      <c r="L32" s="214"/>
      <c r="M32" s="214"/>
      <c r="N32" s="214"/>
      <c r="O32" s="214"/>
      <c r="P32" s="214"/>
      <c r="Q32" s="214"/>
      <c r="R32" s="215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58" t="s">
        <v>28</v>
      </c>
      <c r="B34" s="58" t="s">
        <v>303</v>
      </c>
      <c r="C34" s="59">
        <v>0.69097222222222221</v>
      </c>
      <c r="D34" s="58" t="s">
        <v>30</v>
      </c>
      <c r="E34" s="60"/>
      <c r="F34" s="58" t="s">
        <v>54</v>
      </c>
      <c r="G34" s="217"/>
      <c r="H34" s="61" t="s">
        <v>303</v>
      </c>
      <c r="I34" s="62">
        <v>7.2599999999999998E-2</v>
      </c>
      <c r="J34" s="63">
        <v>13</v>
      </c>
      <c r="K34" s="64" t="s">
        <v>32</v>
      </c>
      <c r="L34" s="63">
        <v>7</v>
      </c>
      <c r="M34" s="63">
        <v>0</v>
      </c>
      <c r="N34" s="63">
        <v>2</v>
      </c>
      <c r="O34" s="65" t="s">
        <v>313</v>
      </c>
      <c r="P34" s="66">
        <v>0.69097222222222221</v>
      </c>
      <c r="Q34" s="63">
        <v>179</v>
      </c>
      <c r="R34" s="67" t="s">
        <v>314</v>
      </c>
    </row>
    <row r="35" spans="1:18" ht="17.399999999999999" customHeight="1" thickBot="1" x14ac:dyDescent="0.35">
      <c r="A35" s="245"/>
      <c r="B35" s="246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7"/>
    </row>
    <row r="36" spans="1:18" ht="22.05" customHeight="1" thickTop="1" thickBot="1" x14ac:dyDescent="0.35">
      <c r="A36" s="213" t="s">
        <v>8</v>
      </c>
      <c r="B36" s="214"/>
      <c r="C36" s="214"/>
      <c r="D36" s="214"/>
      <c r="E36" s="214"/>
      <c r="F36" s="215"/>
      <c r="G36" s="18">
        <v>46014</v>
      </c>
      <c r="H36" s="216" t="s">
        <v>9</v>
      </c>
      <c r="I36" s="214"/>
      <c r="J36" s="214"/>
      <c r="K36" s="214"/>
      <c r="L36" s="214"/>
      <c r="M36" s="214"/>
      <c r="N36" s="214"/>
      <c r="O36" s="214"/>
      <c r="P36" s="214"/>
      <c r="Q36" s="214"/>
      <c r="R36" s="215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5">
      <c r="A38" s="91" t="s">
        <v>28</v>
      </c>
      <c r="B38" s="91" t="s">
        <v>303</v>
      </c>
      <c r="C38" s="92">
        <v>0.85763888888888884</v>
      </c>
      <c r="D38" s="91" t="s">
        <v>30</v>
      </c>
      <c r="E38" s="93"/>
      <c r="F38" s="91" t="s">
        <v>54</v>
      </c>
      <c r="G38" s="217"/>
      <c r="H38" s="94" t="s">
        <v>303</v>
      </c>
      <c r="I38" s="95">
        <v>8.3799999999999999E-2</v>
      </c>
      <c r="J38" s="96">
        <v>15</v>
      </c>
      <c r="K38" s="97" t="s">
        <v>32</v>
      </c>
      <c r="L38" s="96">
        <v>9</v>
      </c>
      <c r="M38" s="96">
        <v>0</v>
      </c>
      <c r="N38" s="96">
        <v>2</v>
      </c>
      <c r="O38" s="98" t="s">
        <v>169</v>
      </c>
      <c r="P38" s="99">
        <v>0.85763888888888884</v>
      </c>
      <c r="Q38" s="96">
        <v>179</v>
      </c>
      <c r="R38" s="100" t="s">
        <v>315</v>
      </c>
    </row>
    <row r="39" spans="1:18" ht="17.399999999999999" customHeight="1" thickBot="1" x14ac:dyDescent="0.35">
      <c r="A39" s="245"/>
      <c r="B39" s="246"/>
      <c r="C39" s="246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7"/>
    </row>
    <row r="40" spans="1:18" ht="15" thickTop="1" x14ac:dyDescent="0.3"/>
  </sheetData>
  <mergeCells count="43">
    <mergeCell ref="A39:R39"/>
    <mergeCell ref="A15:R15"/>
    <mergeCell ref="H12:R12"/>
    <mergeCell ref="A36:F36"/>
    <mergeCell ref="G34"/>
    <mergeCell ref="G30"/>
    <mergeCell ref="H24:R24"/>
    <mergeCell ref="G14"/>
    <mergeCell ref="G38"/>
    <mergeCell ref="A31:R31"/>
    <mergeCell ref="G10"/>
    <mergeCell ref="H28:R28"/>
    <mergeCell ref="G6"/>
    <mergeCell ref="G18"/>
    <mergeCell ref="A24:F24"/>
    <mergeCell ref="A11:R11"/>
    <mergeCell ref="H36:R36"/>
    <mergeCell ref="A35:R35"/>
    <mergeCell ref="N1:R1"/>
    <mergeCell ref="A28:F28"/>
    <mergeCell ref="A19:R19"/>
    <mergeCell ref="H16:R16"/>
    <mergeCell ref="K2:R2"/>
    <mergeCell ref="H32:R32"/>
    <mergeCell ref="A32:F32"/>
    <mergeCell ref="A8:F8"/>
    <mergeCell ref="G2:J2"/>
    <mergeCell ref="A4:F4"/>
    <mergeCell ref="A23:R23"/>
    <mergeCell ref="A20:F20"/>
    <mergeCell ref="H1:L1"/>
    <mergeCell ref="A1:E1"/>
    <mergeCell ref="A12:F12"/>
    <mergeCell ref="A27:R27"/>
    <mergeCell ref="H4:R4"/>
    <mergeCell ref="G22"/>
    <mergeCell ref="A2:F2"/>
    <mergeCell ref="A3:R3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11"/>
  <sheetViews>
    <sheetView workbookViewId="0"/>
  </sheetViews>
  <sheetFormatPr defaultRowHeight="15.6" outlineLevelCol="1" x14ac:dyDescent="0.3"/>
  <cols>
    <col min="1" max="1" width="9.77734375" style="232" bestFit="1" customWidth="1"/>
    <col min="2" max="2" width="10.44140625" style="232" bestFit="1" customWidth="1"/>
    <col min="3" max="3" width="6.77734375" style="232" bestFit="1" customWidth="1"/>
    <col min="4" max="4" width="5.5546875" style="232" bestFit="1" customWidth="1"/>
    <col min="5" max="5" width="8.109375" style="232" bestFit="1" customWidth="1"/>
    <col min="6" max="6" width="4.21875" style="232" bestFit="1" customWidth="1"/>
    <col min="7" max="7" width="10" style="232" bestFit="1" customWidth="1"/>
    <col min="8" max="8" width="8.5546875" style="232" bestFit="1" customWidth="1"/>
    <col min="9" max="10" width="7" style="232" bestFit="1" customWidth="1"/>
    <col min="11" max="11" width="10.5546875" style="232" bestFit="1" customWidth="1"/>
    <col min="12" max="12" width="18.109375" style="232" bestFit="1" customWidth="1"/>
    <col min="13" max="13" width="7.6640625" style="232" bestFit="1" customWidth="1" outlineLevel="1"/>
    <col min="14" max="14" width="6.33203125" style="232" bestFit="1" customWidth="1" outlineLevel="1"/>
    <col min="15" max="15" width="8" style="232" bestFit="1" customWidth="1" outlineLevel="1"/>
    <col min="16" max="16" width="13.6640625" style="232" bestFit="1" customWidth="1"/>
    <col min="17" max="23" width="3.88671875" style="232" bestFit="1" customWidth="1"/>
    <col min="24" max="24" width="4.109375" style="232" bestFit="1" customWidth="1"/>
    <col min="25" max="25" width="4.44140625" style="232" bestFit="1" customWidth="1"/>
    <col min="26" max="26" width="4.109375" style="232" bestFit="1" customWidth="1"/>
    <col min="27" max="27" width="5" style="232" bestFit="1" customWidth="1"/>
    <col min="28" max="28" width="4.21875" style="232" bestFit="1" customWidth="1"/>
    <col min="29" max="29" width="3.88671875" style="232" bestFit="1" customWidth="1"/>
    <col min="30" max="31" width="4.5546875" style="232" bestFit="1" customWidth="1"/>
    <col min="32" max="36" width="3.88671875" style="232" bestFit="1" customWidth="1"/>
    <col min="37" max="16384" width="8.88671875" style="232"/>
  </cols>
  <sheetData>
    <row r="1" spans="1:36" x14ac:dyDescent="0.3">
      <c r="A1" s="231" t="s">
        <v>65</v>
      </c>
      <c r="B1" s="231" t="s">
        <v>66</v>
      </c>
      <c r="C1" s="231" t="s">
        <v>67</v>
      </c>
      <c r="D1" s="231" t="s">
        <v>25</v>
      </c>
      <c r="E1" s="231" t="s">
        <v>68</v>
      </c>
      <c r="F1" s="231" t="s">
        <v>69</v>
      </c>
      <c r="G1" s="231" t="s">
        <v>18</v>
      </c>
      <c r="H1" s="231" t="s">
        <v>70</v>
      </c>
      <c r="I1" s="231" t="s">
        <v>71</v>
      </c>
      <c r="J1" s="231" t="s">
        <v>72</v>
      </c>
      <c r="K1" s="231" t="s">
        <v>73</v>
      </c>
      <c r="L1" s="231" t="s">
        <v>20</v>
      </c>
      <c r="M1" s="231" t="s">
        <v>22</v>
      </c>
      <c r="N1" s="231" t="s">
        <v>23</v>
      </c>
      <c r="O1" s="231" t="s">
        <v>21</v>
      </c>
      <c r="P1" s="231" t="s">
        <v>24</v>
      </c>
      <c r="Q1" s="231" t="s">
        <v>74</v>
      </c>
      <c r="R1" s="231" t="s">
        <v>75</v>
      </c>
      <c r="S1" s="231" t="s">
        <v>76</v>
      </c>
      <c r="T1" s="231" t="s">
        <v>77</v>
      </c>
      <c r="U1" s="231" t="s">
        <v>78</v>
      </c>
      <c r="V1" s="231" t="s">
        <v>79</v>
      </c>
      <c r="W1" s="231" t="s">
        <v>80</v>
      </c>
      <c r="X1" s="231" t="s">
        <v>81</v>
      </c>
      <c r="Y1" s="231" t="s">
        <v>82</v>
      </c>
      <c r="Z1" s="231" t="s">
        <v>83</v>
      </c>
      <c r="AA1" s="231" t="s">
        <v>84</v>
      </c>
      <c r="AB1" s="231" t="s">
        <v>85</v>
      </c>
      <c r="AC1" s="231" t="s">
        <v>86</v>
      </c>
      <c r="AD1" s="231" t="s">
        <v>87</v>
      </c>
      <c r="AE1" s="231" t="s">
        <v>88</v>
      </c>
      <c r="AF1" s="231" t="s">
        <v>89</v>
      </c>
      <c r="AG1" s="231" t="s">
        <v>90</v>
      </c>
      <c r="AH1" s="231" t="s">
        <v>91</v>
      </c>
      <c r="AI1" s="231" t="s">
        <v>92</v>
      </c>
      <c r="AJ1" s="231" t="s">
        <v>93</v>
      </c>
    </row>
    <row r="2" spans="1:36" x14ac:dyDescent="0.3">
      <c r="A2" s="233" t="s">
        <v>109</v>
      </c>
      <c r="B2" s="234">
        <v>45986</v>
      </c>
      <c r="C2" s="235" t="s">
        <v>303</v>
      </c>
      <c r="D2" s="236" t="s">
        <v>316</v>
      </c>
      <c r="E2" s="235" t="s">
        <v>302</v>
      </c>
      <c r="F2" s="235" t="s">
        <v>96</v>
      </c>
      <c r="G2" s="237">
        <v>0.59219999999999995</v>
      </c>
      <c r="H2" s="238">
        <v>179</v>
      </c>
      <c r="I2" s="238">
        <v>106</v>
      </c>
      <c r="J2" s="238">
        <v>0</v>
      </c>
      <c r="K2" s="235" t="s">
        <v>97</v>
      </c>
      <c r="L2" s="239" t="s">
        <v>45</v>
      </c>
      <c r="M2" s="238">
        <v>1</v>
      </c>
      <c r="N2" s="238">
        <v>6</v>
      </c>
      <c r="O2" s="238">
        <v>43</v>
      </c>
      <c r="P2" s="235" t="s">
        <v>304</v>
      </c>
      <c r="Q2" s="231"/>
      <c r="R2" s="231"/>
      <c r="S2" s="231"/>
      <c r="T2" s="231"/>
      <c r="U2" s="231"/>
      <c r="V2" s="231"/>
      <c r="W2" s="238" t="s">
        <v>193</v>
      </c>
      <c r="X2" s="238" t="s">
        <v>124</v>
      </c>
      <c r="Y2" s="238" t="s">
        <v>317</v>
      </c>
      <c r="Z2" s="238" t="s">
        <v>318</v>
      </c>
      <c r="AA2" s="238" t="s">
        <v>201</v>
      </c>
      <c r="AB2" s="231"/>
      <c r="AC2" s="238" t="s">
        <v>117</v>
      </c>
      <c r="AD2" s="238" t="s">
        <v>211</v>
      </c>
      <c r="AE2" s="238" t="s">
        <v>319</v>
      </c>
      <c r="AF2" s="238" t="s">
        <v>320</v>
      </c>
      <c r="AG2" s="231"/>
      <c r="AH2" s="231"/>
      <c r="AI2" s="231"/>
      <c r="AJ2" s="231"/>
    </row>
    <row r="3" spans="1:36" x14ac:dyDescent="0.3">
      <c r="A3" s="233" t="s">
        <v>321</v>
      </c>
      <c r="B3" s="234">
        <v>45990</v>
      </c>
      <c r="C3" s="235" t="s">
        <v>303</v>
      </c>
      <c r="D3" s="236" t="s">
        <v>322</v>
      </c>
      <c r="E3" s="235" t="s">
        <v>302</v>
      </c>
      <c r="F3" s="235" t="s">
        <v>96</v>
      </c>
      <c r="G3" s="237">
        <v>0.50280000000000002</v>
      </c>
      <c r="H3" s="238">
        <v>179</v>
      </c>
      <c r="I3" s="238">
        <v>90</v>
      </c>
      <c r="J3" s="238">
        <v>0</v>
      </c>
      <c r="K3" s="235" t="s">
        <v>97</v>
      </c>
      <c r="L3" s="239" t="s">
        <v>32</v>
      </c>
      <c r="M3" s="238">
        <v>0</v>
      </c>
      <c r="N3" s="238">
        <v>13</v>
      </c>
      <c r="O3" s="238">
        <v>34</v>
      </c>
      <c r="P3" s="235" t="s">
        <v>306</v>
      </c>
      <c r="Q3" s="231"/>
      <c r="R3" s="231"/>
      <c r="S3" s="231"/>
      <c r="T3" s="231"/>
      <c r="U3" s="231"/>
      <c r="V3" s="231"/>
      <c r="W3" s="238" t="s">
        <v>42</v>
      </c>
      <c r="X3" s="238" t="s">
        <v>234</v>
      </c>
      <c r="Y3" s="238" t="s">
        <v>207</v>
      </c>
      <c r="Z3" s="238" t="s">
        <v>221</v>
      </c>
      <c r="AA3" s="238" t="s">
        <v>323</v>
      </c>
      <c r="AB3" s="238" t="s">
        <v>324</v>
      </c>
      <c r="AC3" s="238" t="s">
        <v>117</v>
      </c>
      <c r="AD3" s="238" t="s">
        <v>176</v>
      </c>
      <c r="AE3" s="238" t="s">
        <v>119</v>
      </c>
      <c r="AF3" s="231"/>
      <c r="AG3" s="231"/>
      <c r="AH3" s="231"/>
      <c r="AI3" s="231"/>
      <c r="AJ3" s="231"/>
    </row>
    <row r="4" spans="1:36" x14ac:dyDescent="0.3">
      <c r="A4" s="233" t="s">
        <v>109</v>
      </c>
      <c r="B4" s="234">
        <v>45993</v>
      </c>
      <c r="C4" s="235" t="s">
        <v>303</v>
      </c>
      <c r="D4" s="236" t="s">
        <v>316</v>
      </c>
      <c r="E4" s="235" t="s">
        <v>302</v>
      </c>
      <c r="F4" s="235" t="s">
        <v>96</v>
      </c>
      <c r="G4" s="237">
        <v>0.25700000000000001</v>
      </c>
      <c r="H4" s="238">
        <v>179</v>
      </c>
      <c r="I4" s="238">
        <v>46</v>
      </c>
      <c r="J4" s="238">
        <v>0</v>
      </c>
      <c r="K4" s="235" t="s">
        <v>97</v>
      </c>
      <c r="L4" s="239" t="s">
        <v>45</v>
      </c>
      <c r="M4" s="238">
        <v>2</v>
      </c>
      <c r="N4" s="238">
        <v>5</v>
      </c>
      <c r="O4" s="238">
        <v>18</v>
      </c>
      <c r="P4" s="235" t="s">
        <v>145</v>
      </c>
      <c r="Q4" s="231"/>
      <c r="R4" s="231"/>
      <c r="S4" s="231"/>
      <c r="T4" s="231"/>
      <c r="U4" s="231"/>
      <c r="V4" s="231"/>
      <c r="W4" s="238" t="s">
        <v>33</v>
      </c>
      <c r="X4" s="231"/>
      <c r="Y4" s="231"/>
      <c r="Z4" s="238" t="s">
        <v>103</v>
      </c>
      <c r="AA4" s="231"/>
      <c r="AB4" s="231"/>
      <c r="AC4" s="238" t="s">
        <v>105</v>
      </c>
      <c r="AD4" s="238" t="s">
        <v>155</v>
      </c>
      <c r="AE4" s="238" t="s">
        <v>156</v>
      </c>
      <c r="AF4" s="231"/>
      <c r="AG4" s="231"/>
      <c r="AH4" s="231"/>
      <c r="AI4" s="231"/>
      <c r="AJ4" s="231"/>
    </row>
    <row r="5" spans="1:36" x14ac:dyDescent="0.3">
      <c r="A5" s="233" t="s">
        <v>321</v>
      </c>
      <c r="B5" s="234">
        <v>45997</v>
      </c>
      <c r="C5" s="235" t="s">
        <v>303</v>
      </c>
      <c r="D5" s="236" t="s">
        <v>322</v>
      </c>
      <c r="E5" s="235" t="s">
        <v>302</v>
      </c>
      <c r="F5" s="235" t="s">
        <v>96</v>
      </c>
      <c r="G5" s="237">
        <v>0.2737</v>
      </c>
      <c r="H5" s="238">
        <v>179</v>
      </c>
      <c r="I5" s="238">
        <v>49</v>
      </c>
      <c r="J5" s="238">
        <v>0</v>
      </c>
      <c r="K5" s="235" t="s">
        <v>97</v>
      </c>
      <c r="L5" s="239" t="s">
        <v>32</v>
      </c>
      <c r="M5" s="238">
        <v>0</v>
      </c>
      <c r="N5" s="238">
        <v>11</v>
      </c>
      <c r="O5" s="238">
        <v>29</v>
      </c>
      <c r="P5" s="235" t="s">
        <v>246</v>
      </c>
      <c r="Q5" s="231"/>
      <c r="R5" s="231"/>
      <c r="S5" s="231"/>
      <c r="T5" s="231"/>
      <c r="U5" s="231"/>
      <c r="V5" s="231"/>
      <c r="W5" s="231"/>
      <c r="X5" s="231"/>
      <c r="Y5" s="231"/>
      <c r="Z5" s="238" t="s">
        <v>136</v>
      </c>
      <c r="AA5" s="238" t="s">
        <v>152</v>
      </c>
      <c r="AB5" s="238" t="s">
        <v>325</v>
      </c>
      <c r="AC5" s="238" t="s">
        <v>61</v>
      </c>
      <c r="AD5" s="238" t="s">
        <v>155</v>
      </c>
      <c r="AE5" s="238" t="s">
        <v>172</v>
      </c>
      <c r="AF5" s="231"/>
      <c r="AG5" s="231"/>
      <c r="AH5" s="231"/>
      <c r="AI5" s="231"/>
      <c r="AJ5" s="231"/>
    </row>
    <row r="6" spans="1:36" x14ac:dyDescent="0.3">
      <c r="A6" s="233" t="s">
        <v>109</v>
      </c>
      <c r="B6" s="234">
        <v>46000</v>
      </c>
      <c r="C6" s="235" t="s">
        <v>303</v>
      </c>
      <c r="D6" s="236" t="s">
        <v>316</v>
      </c>
      <c r="E6" s="235" t="s">
        <v>302</v>
      </c>
      <c r="F6" s="235" t="s">
        <v>96</v>
      </c>
      <c r="G6" s="237">
        <v>0.19550000000000001</v>
      </c>
      <c r="H6" s="238">
        <v>179</v>
      </c>
      <c r="I6" s="238">
        <v>35</v>
      </c>
      <c r="J6" s="238">
        <v>0</v>
      </c>
      <c r="K6" s="235" t="s">
        <v>97</v>
      </c>
      <c r="L6" s="239" t="s">
        <v>32</v>
      </c>
      <c r="M6" s="238">
        <v>0</v>
      </c>
      <c r="N6" s="238">
        <v>4</v>
      </c>
      <c r="O6" s="238">
        <v>23</v>
      </c>
      <c r="P6" s="235" t="s">
        <v>105</v>
      </c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238" t="s">
        <v>298</v>
      </c>
      <c r="AC6" s="238" t="s">
        <v>165</v>
      </c>
      <c r="AD6" s="238" t="s">
        <v>211</v>
      </c>
      <c r="AE6" s="238" t="s">
        <v>119</v>
      </c>
      <c r="AF6" s="238" t="s">
        <v>274</v>
      </c>
      <c r="AG6" s="231"/>
      <c r="AH6" s="231"/>
      <c r="AI6" s="231"/>
      <c r="AJ6" s="231"/>
    </row>
    <row r="7" spans="1:36" x14ac:dyDescent="0.3">
      <c r="A7" s="233" t="s">
        <v>321</v>
      </c>
      <c r="B7" s="234">
        <v>46004</v>
      </c>
      <c r="C7" s="235" t="s">
        <v>303</v>
      </c>
      <c r="D7" s="236" t="s">
        <v>322</v>
      </c>
      <c r="E7" s="235" t="s">
        <v>302</v>
      </c>
      <c r="F7" s="235" t="s">
        <v>96</v>
      </c>
      <c r="G7" s="237">
        <v>9.5000000000000001E-2</v>
      </c>
      <c r="H7" s="238">
        <v>179</v>
      </c>
      <c r="I7" s="238">
        <v>17</v>
      </c>
      <c r="J7" s="238">
        <v>0</v>
      </c>
      <c r="K7" s="235" t="s">
        <v>97</v>
      </c>
      <c r="L7" s="239" t="s">
        <v>32</v>
      </c>
      <c r="M7" s="238">
        <v>0</v>
      </c>
      <c r="N7" s="238">
        <v>2</v>
      </c>
      <c r="O7" s="238">
        <v>7</v>
      </c>
      <c r="P7" s="235" t="s">
        <v>61</v>
      </c>
      <c r="Q7" s="231"/>
      <c r="R7" s="231"/>
      <c r="S7" s="231"/>
      <c r="T7" s="231"/>
      <c r="U7" s="231"/>
      <c r="V7" s="231"/>
      <c r="W7" s="231"/>
      <c r="X7" s="231"/>
      <c r="Y7" s="231"/>
      <c r="Z7" s="231"/>
      <c r="AA7" s="231"/>
      <c r="AB7" s="238" t="s">
        <v>182</v>
      </c>
      <c r="AC7" s="238" t="s">
        <v>61</v>
      </c>
      <c r="AD7" s="238" t="s">
        <v>169</v>
      </c>
      <c r="AE7" s="238" t="s">
        <v>119</v>
      </c>
      <c r="AF7" s="238" t="s">
        <v>274</v>
      </c>
      <c r="AG7" s="231"/>
      <c r="AH7" s="231"/>
      <c r="AI7" s="231"/>
      <c r="AJ7" s="231"/>
    </row>
    <row r="8" spans="1:36" x14ac:dyDescent="0.3">
      <c r="A8" s="233" t="s">
        <v>109</v>
      </c>
      <c r="B8" s="234">
        <v>46007</v>
      </c>
      <c r="C8" s="235" t="s">
        <v>303</v>
      </c>
      <c r="D8" s="236" t="s">
        <v>316</v>
      </c>
      <c r="E8" s="235" t="s">
        <v>302</v>
      </c>
      <c r="F8" s="235" t="s">
        <v>96</v>
      </c>
      <c r="G8" s="237">
        <v>6.7000000000000004E-2</v>
      </c>
      <c r="H8" s="238">
        <v>179</v>
      </c>
      <c r="I8" s="238">
        <v>12</v>
      </c>
      <c r="J8" s="238">
        <v>0</v>
      </c>
      <c r="K8" s="235" t="s">
        <v>97</v>
      </c>
      <c r="L8" s="239" t="s">
        <v>32</v>
      </c>
      <c r="M8" s="238">
        <v>0</v>
      </c>
      <c r="N8" s="238">
        <v>1</v>
      </c>
      <c r="O8" s="238">
        <v>6</v>
      </c>
      <c r="P8" s="235" t="s">
        <v>155</v>
      </c>
      <c r="Q8" s="231"/>
      <c r="R8" s="231"/>
      <c r="S8" s="231"/>
      <c r="T8" s="231"/>
      <c r="U8" s="231"/>
      <c r="V8" s="231"/>
      <c r="W8" s="231"/>
      <c r="X8" s="231"/>
      <c r="Y8" s="231"/>
      <c r="Z8" s="231"/>
      <c r="AA8" s="231"/>
      <c r="AB8" s="238" t="s">
        <v>182</v>
      </c>
      <c r="AC8" s="231"/>
      <c r="AD8" s="231"/>
      <c r="AE8" s="238" t="s">
        <v>119</v>
      </c>
      <c r="AF8" s="238" t="s">
        <v>274</v>
      </c>
      <c r="AG8" s="231"/>
      <c r="AH8" s="231"/>
      <c r="AI8" s="231"/>
      <c r="AJ8" s="231"/>
    </row>
    <row r="9" spans="1:36" x14ac:dyDescent="0.3">
      <c r="A9" s="233" t="s">
        <v>321</v>
      </c>
      <c r="B9" s="234">
        <v>46011</v>
      </c>
      <c r="C9" s="235" t="s">
        <v>303</v>
      </c>
      <c r="D9" s="236" t="s">
        <v>322</v>
      </c>
      <c r="E9" s="235" t="s">
        <v>302</v>
      </c>
      <c r="F9" s="235" t="s">
        <v>96</v>
      </c>
      <c r="G9" s="237">
        <v>7.2599999999999998E-2</v>
      </c>
      <c r="H9" s="238">
        <v>179</v>
      </c>
      <c r="I9" s="238">
        <v>13</v>
      </c>
      <c r="J9" s="238">
        <v>0</v>
      </c>
      <c r="K9" s="235" t="s">
        <v>97</v>
      </c>
      <c r="L9" s="239" t="s">
        <v>32</v>
      </c>
      <c r="M9" s="238">
        <v>0</v>
      </c>
      <c r="N9" s="238">
        <v>2</v>
      </c>
      <c r="O9" s="238">
        <v>7</v>
      </c>
      <c r="P9" s="235" t="s">
        <v>313</v>
      </c>
      <c r="Q9" s="231"/>
      <c r="R9" s="231"/>
      <c r="S9" s="231"/>
      <c r="T9" s="231"/>
      <c r="U9" s="231"/>
      <c r="V9" s="231"/>
      <c r="W9" s="231"/>
      <c r="X9" s="231"/>
      <c r="Y9" s="231"/>
      <c r="Z9" s="231"/>
      <c r="AA9" s="231"/>
      <c r="AB9" s="231"/>
      <c r="AC9" s="231"/>
      <c r="AD9" s="238" t="s">
        <v>169</v>
      </c>
      <c r="AE9" s="238" t="s">
        <v>131</v>
      </c>
      <c r="AF9" s="238" t="s">
        <v>282</v>
      </c>
      <c r="AG9" s="231"/>
      <c r="AH9" s="231"/>
      <c r="AI9" s="231"/>
      <c r="AJ9" s="231"/>
    </row>
    <row r="10" spans="1:36" x14ac:dyDescent="0.3">
      <c r="A10" s="233" t="s">
        <v>109</v>
      </c>
      <c r="B10" s="234">
        <v>46014</v>
      </c>
      <c r="C10" s="235" t="s">
        <v>303</v>
      </c>
      <c r="D10" s="236" t="s">
        <v>316</v>
      </c>
      <c r="E10" s="235" t="s">
        <v>302</v>
      </c>
      <c r="F10" s="235" t="s">
        <v>96</v>
      </c>
      <c r="G10" s="237">
        <v>8.3799999999999999E-2</v>
      </c>
      <c r="H10" s="238">
        <v>179</v>
      </c>
      <c r="I10" s="238">
        <v>15</v>
      </c>
      <c r="J10" s="238">
        <v>0</v>
      </c>
      <c r="K10" s="235" t="s">
        <v>97</v>
      </c>
      <c r="L10" s="239" t="s">
        <v>32</v>
      </c>
      <c r="M10" s="238">
        <v>0</v>
      </c>
      <c r="N10" s="238">
        <v>2</v>
      </c>
      <c r="O10" s="238">
        <v>9</v>
      </c>
      <c r="P10" s="235" t="s">
        <v>169</v>
      </c>
      <c r="Q10" s="231"/>
      <c r="R10" s="231"/>
      <c r="S10" s="231"/>
      <c r="T10" s="231"/>
      <c r="U10" s="231"/>
      <c r="V10" s="231"/>
      <c r="W10" s="231"/>
      <c r="X10" s="231"/>
      <c r="Y10" s="231"/>
      <c r="Z10" s="231"/>
      <c r="AA10" s="231"/>
      <c r="AB10" s="231"/>
      <c r="AC10" s="238" t="s">
        <v>154</v>
      </c>
      <c r="AD10" s="238" t="s">
        <v>313</v>
      </c>
      <c r="AE10" s="238" t="s">
        <v>166</v>
      </c>
      <c r="AF10" s="238" t="s">
        <v>273</v>
      </c>
      <c r="AG10" s="231"/>
      <c r="AH10" s="231"/>
      <c r="AI10" s="231"/>
      <c r="AJ10" s="231"/>
    </row>
    <row r="11" spans="1:36" ht="21" x14ac:dyDescent="0.3">
      <c r="A11" s="240" t="s">
        <v>522</v>
      </c>
      <c r="B11" s="241"/>
      <c r="C11" s="240">
        <f>SUBTOTAL(103,ATZ_ELQ_LF_LEGACY[Flt])</f>
        <v>9</v>
      </c>
      <c r="D11" s="240"/>
      <c r="E11" s="240">
        <f>SUBTOTAL(103,ATZ_ELQ_LF_LEGACY[Brd-Off])</f>
        <v>9</v>
      </c>
      <c r="F11" s="240"/>
      <c r="G11" s="242">
        <f>SUBTOTAL(101,ATZ_ELQ_LF_LEGACY[LF%])</f>
        <v>0.2377333333333333</v>
      </c>
      <c r="H11" s="243">
        <f>SUBTOTAL(109,ATZ_ELQ_LF_LEGACY[CAP])</f>
        <v>1611</v>
      </c>
      <c r="I11" s="243">
        <f>SUBTOTAL(109,ATZ_ELQ_LF_LEGACY[BKG(Y)])</f>
        <v>383</v>
      </c>
      <c r="J11" s="243">
        <f>SUBTOTAL(109,ATZ_ELQ_LF_LEGACY[GRP(Y)])</f>
        <v>0</v>
      </c>
      <c r="K11" s="240"/>
      <c r="L11" s="241"/>
      <c r="M11" s="243">
        <f>SUBTOTAL(109,ATZ_ELQ_LF_LEGACY[TO-DAY])</f>
        <v>3</v>
      </c>
      <c r="N11" s="243">
        <f>SUBTOTAL(109,ATZ_ELQ_LF_LEGACY[Y-DAY])</f>
        <v>46</v>
      </c>
      <c r="O11" s="243">
        <f>SUBTOTAL(109,ATZ_ELQ_LF_LEGACY[WEEKLY])</f>
        <v>176</v>
      </c>
      <c r="P11" s="244"/>
      <c r="Q11" s="243">
        <f>SUBTOTAL(109,ATZ_ELQ_LF_LEGACY[Y])</f>
        <v>0</v>
      </c>
      <c r="R11" s="243">
        <f>SUBTOTAL(109,ATZ_ELQ_LF_LEGACY[B])</f>
        <v>0</v>
      </c>
      <c r="S11" s="243">
        <f>SUBTOTAL(109,ATZ_ELQ_LF_LEGACY[M])</f>
        <v>0</v>
      </c>
      <c r="T11" s="243">
        <f>SUBTOTAL(109,ATZ_ELQ_LF_LEGACY[H])</f>
        <v>0</v>
      </c>
      <c r="U11" s="243">
        <f>SUBTOTAL(109,ATZ_ELQ_LF_LEGACY[Q])</f>
        <v>0</v>
      </c>
      <c r="V11" s="243">
        <f>SUBTOTAL(109,ATZ_ELQ_LF_LEGACY[K])</f>
        <v>0</v>
      </c>
      <c r="W11" s="243">
        <f>SUBTOTAL(109,ATZ_ELQ_LF_LEGACY[V])</f>
        <v>0</v>
      </c>
      <c r="X11" s="243">
        <f>SUBTOTAL(109,ATZ_ELQ_LF_LEGACY[L])</f>
        <v>0</v>
      </c>
      <c r="Y11" s="243">
        <f>SUBTOTAL(109,ATZ_ELQ_LF_LEGACY[G])</f>
        <v>0</v>
      </c>
      <c r="Z11" s="243">
        <f>SUBTOTAL(109,ATZ_ELQ_LF_LEGACY[S])</f>
        <v>0</v>
      </c>
      <c r="AA11" s="243">
        <f>SUBTOTAL(109,ATZ_ELQ_LF_LEGACY[W])</f>
        <v>0</v>
      </c>
      <c r="AB11" s="243">
        <f>SUBTOTAL(109,ATZ_ELQ_LF_LEGACY[T])</f>
        <v>0</v>
      </c>
      <c r="AC11" s="243">
        <f>SUBTOTAL(109,ATZ_ELQ_LF_LEGACY[X])</f>
        <v>0</v>
      </c>
      <c r="AD11" s="243">
        <f>SUBTOTAL(109,ATZ_ELQ_LF_LEGACY[U])</f>
        <v>0</v>
      </c>
      <c r="AE11" s="243">
        <f>SUBTOTAL(109,ATZ_ELQ_LF_LEGACY[O])</f>
        <v>0</v>
      </c>
      <c r="AF11" s="243">
        <f>SUBTOTAL(109,ATZ_ELQ_LF_LEGACY[I])</f>
        <v>0</v>
      </c>
      <c r="AG11" s="243">
        <f>SUBTOTAL(109,ATZ_ELQ_LF_LEGACY[E])</f>
        <v>0</v>
      </c>
      <c r="AH11" s="243">
        <f>SUBTOTAL(109,ATZ_ELQ_LF_LEGACY[A])</f>
        <v>0</v>
      </c>
      <c r="AI11" s="243">
        <f>SUBTOTAL(109,ATZ_ELQ_LF_LEGACY[P])</f>
        <v>0</v>
      </c>
      <c r="AJ11" s="243">
        <f>SUBTOTAL(103,ATZ_ELQ_LF_LEGACY[N])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179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61.21875" bestFit="1" customWidth="1"/>
  </cols>
  <sheetData>
    <row r="1" spans="1:92" ht="28.8" customHeight="1" x14ac:dyDescent="0.3">
      <c r="A1" s="220" t="s">
        <v>0</v>
      </c>
      <c r="B1" s="219"/>
      <c r="C1" s="219"/>
      <c r="D1" s="219"/>
      <c r="E1" s="219"/>
      <c r="F1" s="1" t="s">
        <v>326</v>
      </c>
      <c r="G1" s="2" t="s">
        <v>2</v>
      </c>
      <c r="H1" s="218" t="s">
        <v>3</v>
      </c>
      <c r="I1" s="219"/>
      <c r="J1" s="219"/>
      <c r="K1" s="219"/>
      <c r="L1" s="219"/>
      <c r="M1" s="1" t="s">
        <v>4</v>
      </c>
      <c r="N1" s="227" t="s">
        <v>5</v>
      </c>
      <c r="O1" s="219"/>
      <c r="P1" s="219"/>
      <c r="Q1" s="219"/>
      <c r="R1" s="21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23" t="s">
        <v>6</v>
      </c>
      <c r="B2" s="219"/>
      <c r="C2" s="219"/>
      <c r="D2" s="219"/>
      <c r="E2" s="219"/>
      <c r="F2" s="219"/>
      <c r="G2" s="225">
        <v>45984.228744434156</v>
      </c>
      <c r="H2" s="219"/>
      <c r="I2" s="219"/>
      <c r="J2" s="219"/>
      <c r="K2" s="228">
        <v>45984.228744434557</v>
      </c>
      <c r="L2" s="219"/>
      <c r="M2" s="219"/>
      <c r="N2" s="219"/>
      <c r="O2" s="219"/>
      <c r="P2" s="219"/>
      <c r="Q2" s="219"/>
      <c r="R2" s="21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24" t="s">
        <v>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26" t="s">
        <v>8</v>
      </c>
      <c r="B4" s="214"/>
      <c r="C4" s="214"/>
      <c r="D4" s="214"/>
      <c r="E4" s="214"/>
      <c r="F4" s="215"/>
      <c r="G4" s="4">
        <v>45984</v>
      </c>
      <c r="H4" s="222" t="s">
        <v>9</v>
      </c>
      <c r="I4" s="214"/>
      <c r="J4" s="214"/>
      <c r="K4" s="214"/>
      <c r="L4" s="214"/>
      <c r="M4" s="214"/>
      <c r="N4" s="214"/>
      <c r="O4" s="214"/>
      <c r="P4" s="214"/>
      <c r="Q4" s="214"/>
      <c r="R4" s="21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6" t="s">
        <v>28</v>
      </c>
      <c r="B6" s="26" t="s">
        <v>327</v>
      </c>
      <c r="C6" s="27">
        <v>0.3298611111111111</v>
      </c>
      <c r="D6" s="26" t="s">
        <v>30</v>
      </c>
      <c r="E6" s="28"/>
      <c r="F6" s="26" t="s">
        <v>277</v>
      </c>
      <c r="G6" s="221"/>
      <c r="H6" s="105" t="s">
        <v>327</v>
      </c>
      <c r="I6" s="106">
        <v>1</v>
      </c>
      <c r="J6" s="107">
        <v>180</v>
      </c>
      <c r="K6" s="108" t="s">
        <v>32</v>
      </c>
      <c r="L6" s="107">
        <v>16</v>
      </c>
      <c r="M6" s="107">
        <v>0</v>
      </c>
      <c r="N6" s="107">
        <v>1</v>
      </c>
      <c r="O6" s="109" t="s">
        <v>278</v>
      </c>
      <c r="P6" s="110">
        <v>0.3298611111111111</v>
      </c>
      <c r="Q6" s="107">
        <v>180</v>
      </c>
      <c r="R6" s="111" t="s">
        <v>328</v>
      </c>
    </row>
    <row r="7" spans="1:92" ht="49.95" customHeight="1" thickBot="1" x14ac:dyDescent="0.35">
      <c r="A7" s="112" t="s">
        <v>28</v>
      </c>
      <c r="B7" s="112" t="s">
        <v>329</v>
      </c>
      <c r="C7" s="113">
        <v>0.69097222222222221</v>
      </c>
      <c r="D7" s="112" t="s">
        <v>30</v>
      </c>
      <c r="E7" s="114"/>
      <c r="F7" s="112" t="s">
        <v>185</v>
      </c>
      <c r="G7" s="229"/>
      <c r="H7" s="11" t="s">
        <v>329</v>
      </c>
      <c r="I7" s="115">
        <v>0.97219999999999995</v>
      </c>
      <c r="J7" s="13">
        <v>175</v>
      </c>
      <c r="K7" s="14" t="s">
        <v>32</v>
      </c>
      <c r="L7" s="13">
        <v>25</v>
      </c>
      <c r="M7" s="13">
        <v>0</v>
      </c>
      <c r="N7" s="13">
        <v>1</v>
      </c>
      <c r="O7" s="15" t="s">
        <v>330</v>
      </c>
      <c r="P7" s="16">
        <v>0.69097222222222221</v>
      </c>
      <c r="Q7" s="13">
        <v>180</v>
      </c>
      <c r="R7" s="17" t="s">
        <v>331</v>
      </c>
    </row>
    <row r="8" spans="1:92" ht="17.399999999999999" customHeight="1" thickBot="1" x14ac:dyDescent="0.35">
      <c r="A8" s="245"/>
      <c r="B8" s="246"/>
      <c r="C8" s="246"/>
      <c r="D8" s="246"/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7"/>
    </row>
    <row r="9" spans="1:92" ht="22.05" customHeight="1" thickTop="1" thickBot="1" x14ac:dyDescent="0.35">
      <c r="A9" s="213" t="s">
        <v>8</v>
      </c>
      <c r="B9" s="214"/>
      <c r="C9" s="214"/>
      <c r="D9" s="214"/>
      <c r="E9" s="214"/>
      <c r="F9" s="215"/>
      <c r="G9" s="18">
        <v>45985</v>
      </c>
      <c r="H9" s="216" t="s">
        <v>9</v>
      </c>
      <c r="I9" s="214"/>
      <c r="J9" s="214"/>
      <c r="K9" s="214"/>
      <c r="L9" s="214"/>
      <c r="M9" s="214"/>
      <c r="N9" s="214"/>
      <c r="O9" s="214"/>
      <c r="P9" s="214"/>
      <c r="Q9" s="214"/>
      <c r="R9" s="215"/>
    </row>
    <row r="10" spans="1:92" ht="24" customHeight="1" x14ac:dyDescent="0.3">
      <c r="A10" s="19" t="s">
        <v>10</v>
      </c>
      <c r="B10" s="19" t="s">
        <v>11</v>
      </c>
      <c r="C10" s="20" t="s">
        <v>12</v>
      </c>
      <c r="D10" s="19" t="s">
        <v>13</v>
      </c>
      <c r="E10" s="19" t="s">
        <v>14</v>
      </c>
      <c r="F10" s="21" t="s">
        <v>15</v>
      </c>
      <c r="G10" s="22" t="s">
        <v>16</v>
      </c>
      <c r="H10" s="19" t="s">
        <v>17</v>
      </c>
      <c r="I10" s="23" t="s">
        <v>18</v>
      </c>
      <c r="J10" s="24" t="s">
        <v>19</v>
      </c>
      <c r="K10" s="25" t="s">
        <v>20</v>
      </c>
      <c r="L10" s="24" t="s">
        <v>21</v>
      </c>
      <c r="M10" s="24" t="s">
        <v>22</v>
      </c>
      <c r="N10" s="24" t="s">
        <v>23</v>
      </c>
      <c r="O10" s="19" t="s">
        <v>24</v>
      </c>
      <c r="P10" s="20" t="s">
        <v>25</v>
      </c>
      <c r="Q10" s="24" t="s">
        <v>26</v>
      </c>
      <c r="R10" s="19" t="s">
        <v>27</v>
      </c>
    </row>
    <row r="11" spans="1:92" ht="49.95" customHeight="1" x14ac:dyDescent="0.3">
      <c r="A11" s="8" t="s">
        <v>28</v>
      </c>
      <c r="B11" s="8" t="s">
        <v>327</v>
      </c>
      <c r="C11" s="9">
        <v>9.375E-2</v>
      </c>
      <c r="D11" s="8" t="s">
        <v>30</v>
      </c>
      <c r="E11" s="10"/>
      <c r="F11" s="8" t="s">
        <v>188</v>
      </c>
      <c r="G11" s="221"/>
      <c r="H11" s="116" t="s">
        <v>327</v>
      </c>
      <c r="I11" s="117">
        <v>0.94440000000000002</v>
      </c>
      <c r="J11" s="118">
        <v>170</v>
      </c>
      <c r="K11" s="119" t="s">
        <v>32</v>
      </c>
      <c r="L11" s="118">
        <v>24</v>
      </c>
      <c r="M11" s="118">
        <v>0</v>
      </c>
      <c r="N11" s="118">
        <v>1</v>
      </c>
      <c r="O11" s="120" t="s">
        <v>145</v>
      </c>
      <c r="P11" s="121">
        <v>9.375E-2</v>
      </c>
      <c r="Q11" s="118">
        <v>180</v>
      </c>
      <c r="R11" s="122" t="s">
        <v>332</v>
      </c>
    </row>
    <row r="12" spans="1:92" ht="49.95" customHeight="1" x14ac:dyDescent="0.3">
      <c r="A12" s="123" t="s">
        <v>28</v>
      </c>
      <c r="B12" s="123" t="s">
        <v>333</v>
      </c>
      <c r="C12" s="124">
        <v>0.34722222222222232</v>
      </c>
      <c r="D12" s="123" t="s">
        <v>30</v>
      </c>
      <c r="E12" s="125"/>
      <c r="F12" s="123" t="s">
        <v>277</v>
      </c>
      <c r="G12" s="230"/>
      <c r="H12" s="105" t="s">
        <v>333</v>
      </c>
      <c r="I12" s="106">
        <v>1</v>
      </c>
      <c r="J12" s="107">
        <v>180</v>
      </c>
      <c r="K12" s="108" t="s">
        <v>284</v>
      </c>
      <c r="L12" s="107">
        <v>46</v>
      </c>
      <c r="M12" s="107">
        <v>0</v>
      </c>
      <c r="N12" s="107">
        <v>0</v>
      </c>
      <c r="O12" s="109" t="s">
        <v>278</v>
      </c>
      <c r="P12" s="110">
        <v>0.34722222222222232</v>
      </c>
      <c r="Q12" s="107">
        <v>180</v>
      </c>
      <c r="R12" s="111" t="s">
        <v>334</v>
      </c>
    </row>
    <row r="13" spans="1:92" ht="49.95" customHeight="1" thickBot="1" x14ac:dyDescent="0.35">
      <c r="A13" s="126" t="s">
        <v>28</v>
      </c>
      <c r="B13" s="126" t="s">
        <v>335</v>
      </c>
      <c r="C13" s="127">
        <v>0.69444444444444453</v>
      </c>
      <c r="D13" s="126" t="s">
        <v>30</v>
      </c>
      <c r="E13" s="128"/>
      <c r="F13" s="126" t="s">
        <v>31</v>
      </c>
      <c r="G13" s="229"/>
      <c r="H13" s="81" t="s">
        <v>335</v>
      </c>
      <c r="I13" s="104">
        <v>0.75</v>
      </c>
      <c r="J13" s="83">
        <v>135</v>
      </c>
      <c r="K13" s="84" t="s">
        <v>32</v>
      </c>
      <c r="L13" s="83">
        <v>52</v>
      </c>
      <c r="M13" s="83">
        <v>0</v>
      </c>
      <c r="N13" s="83">
        <v>6</v>
      </c>
      <c r="O13" s="85" t="s">
        <v>177</v>
      </c>
      <c r="P13" s="86">
        <v>0.69444444444444453</v>
      </c>
      <c r="Q13" s="83">
        <v>180</v>
      </c>
      <c r="R13" s="87" t="s">
        <v>336</v>
      </c>
    </row>
    <row r="14" spans="1:92" ht="17.399999999999999" customHeight="1" thickBot="1" x14ac:dyDescent="0.35">
      <c r="A14" s="245"/>
      <c r="B14" s="246"/>
      <c r="C14" s="246"/>
      <c r="D14" s="246"/>
      <c r="E14" s="246"/>
      <c r="F14" s="246"/>
      <c r="G14" s="246"/>
      <c r="H14" s="246"/>
      <c r="I14" s="246"/>
      <c r="J14" s="246"/>
      <c r="K14" s="246"/>
      <c r="L14" s="246"/>
      <c r="M14" s="246"/>
      <c r="N14" s="246"/>
      <c r="O14" s="246"/>
      <c r="P14" s="246"/>
      <c r="Q14" s="246"/>
      <c r="R14" s="247"/>
    </row>
    <row r="15" spans="1:92" ht="22.05" customHeight="1" thickTop="1" thickBot="1" x14ac:dyDescent="0.35">
      <c r="A15" s="213" t="s">
        <v>8</v>
      </c>
      <c r="B15" s="214"/>
      <c r="C15" s="214"/>
      <c r="D15" s="214"/>
      <c r="E15" s="214"/>
      <c r="F15" s="215"/>
      <c r="G15" s="18">
        <v>45986</v>
      </c>
      <c r="H15" s="216" t="s">
        <v>9</v>
      </c>
      <c r="I15" s="214"/>
      <c r="J15" s="214"/>
      <c r="K15" s="214"/>
      <c r="L15" s="214"/>
      <c r="M15" s="214"/>
      <c r="N15" s="214"/>
      <c r="O15" s="214"/>
      <c r="P15" s="214"/>
      <c r="Q15" s="214"/>
      <c r="R15" s="215"/>
    </row>
    <row r="16" spans="1:92" ht="24" customHeight="1" x14ac:dyDescent="0.3">
      <c r="A16" s="19" t="s">
        <v>10</v>
      </c>
      <c r="B16" s="19" t="s">
        <v>11</v>
      </c>
      <c r="C16" s="20" t="s">
        <v>12</v>
      </c>
      <c r="D16" s="19" t="s">
        <v>13</v>
      </c>
      <c r="E16" s="19" t="s">
        <v>14</v>
      </c>
      <c r="F16" s="21" t="s">
        <v>15</v>
      </c>
      <c r="G16" s="22" t="s">
        <v>16</v>
      </c>
      <c r="H16" s="19" t="s">
        <v>17</v>
      </c>
      <c r="I16" s="23" t="s">
        <v>18</v>
      </c>
      <c r="J16" s="24" t="s">
        <v>19</v>
      </c>
      <c r="K16" s="25" t="s">
        <v>20</v>
      </c>
      <c r="L16" s="24" t="s">
        <v>21</v>
      </c>
      <c r="M16" s="24" t="s">
        <v>22</v>
      </c>
      <c r="N16" s="24" t="s">
        <v>23</v>
      </c>
      <c r="O16" s="19" t="s">
        <v>24</v>
      </c>
      <c r="P16" s="20" t="s">
        <v>25</v>
      </c>
      <c r="Q16" s="24" t="s">
        <v>26</v>
      </c>
      <c r="R16" s="19" t="s">
        <v>27</v>
      </c>
    </row>
    <row r="17" spans="1:18" ht="49.95" customHeight="1" x14ac:dyDescent="0.3">
      <c r="A17" s="26" t="s">
        <v>28</v>
      </c>
      <c r="B17" s="26" t="s">
        <v>335</v>
      </c>
      <c r="C17" s="27">
        <v>0.16666666666666671</v>
      </c>
      <c r="D17" s="26" t="s">
        <v>30</v>
      </c>
      <c r="E17" s="28"/>
      <c r="F17" s="26" t="s">
        <v>31</v>
      </c>
      <c r="G17" s="217"/>
      <c r="H17" s="105" t="s">
        <v>335</v>
      </c>
      <c r="I17" s="129">
        <v>0.77780000000000005</v>
      </c>
      <c r="J17" s="107">
        <v>140</v>
      </c>
      <c r="K17" s="108" t="s">
        <v>32</v>
      </c>
      <c r="L17" s="107">
        <v>56</v>
      </c>
      <c r="M17" s="107">
        <v>0</v>
      </c>
      <c r="N17" s="107">
        <v>9</v>
      </c>
      <c r="O17" s="109" t="s">
        <v>181</v>
      </c>
      <c r="P17" s="110">
        <v>0.16666666666666671</v>
      </c>
      <c r="Q17" s="107">
        <v>180</v>
      </c>
      <c r="R17" s="111" t="s">
        <v>337</v>
      </c>
    </row>
    <row r="18" spans="1:18" ht="49.95" customHeight="1" thickBot="1" x14ac:dyDescent="0.35">
      <c r="A18" s="130" t="s">
        <v>28</v>
      </c>
      <c r="B18" s="130" t="s">
        <v>329</v>
      </c>
      <c r="C18" s="131">
        <v>0.52777777777777779</v>
      </c>
      <c r="D18" s="130" t="s">
        <v>30</v>
      </c>
      <c r="E18" s="132"/>
      <c r="F18" s="130" t="s">
        <v>188</v>
      </c>
      <c r="G18" s="229"/>
      <c r="H18" s="61" t="s">
        <v>329</v>
      </c>
      <c r="I18" s="133">
        <v>0.85560000000000003</v>
      </c>
      <c r="J18" s="63">
        <v>154</v>
      </c>
      <c r="K18" s="64" t="s">
        <v>32</v>
      </c>
      <c r="L18" s="63">
        <v>70</v>
      </c>
      <c r="M18" s="63">
        <v>0</v>
      </c>
      <c r="N18" s="63">
        <v>3</v>
      </c>
      <c r="O18" s="65" t="s">
        <v>136</v>
      </c>
      <c r="P18" s="66">
        <v>0.52777777777777779</v>
      </c>
      <c r="Q18" s="63">
        <v>180</v>
      </c>
      <c r="R18" s="67" t="s">
        <v>338</v>
      </c>
    </row>
    <row r="19" spans="1:18" ht="17.399999999999999" customHeight="1" thickBot="1" x14ac:dyDescent="0.35">
      <c r="A19" s="245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7"/>
    </row>
    <row r="20" spans="1:18" ht="22.05" customHeight="1" thickTop="1" thickBot="1" x14ac:dyDescent="0.35">
      <c r="A20" s="213" t="s">
        <v>8</v>
      </c>
      <c r="B20" s="214"/>
      <c r="C20" s="214"/>
      <c r="D20" s="214"/>
      <c r="E20" s="214"/>
      <c r="F20" s="215"/>
      <c r="G20" s="18">
        <v>45987</v>
      </c>
      <c r="H20" s="216" t="s">
        <v>9</v>
      </c>
      <c r="I20" s="214"/>
      <c r="J20" s="214"/>
      <c r="K20" s="214"/>
      <c r="L20" s="214"/>
      <c r="M20" s="214"/>
      <c r="N20" s="214"/>
      <c r="O20" s="214"/>
      <c r="P20" s="214"/>
      <c r="Q20" s="214"/>
      <c r="R20" s="215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x14ac:dyDescent="0.3">
      <c r="A22" s="68" t="s">
        <v>28</v>
      </c>
      <c r="B22" s="68" t="s">
        <v>335</v>
      </c>
      <c r="C22" s="69">
        <v>0.1076388888888889</v>
      </c>
      <c r="D22" s="68" t="s">
        <v>30</v>
      </c>
      <c r="E22" s="70"/>
      <c r="F22" s="68" t="s">
        <v>277</v>
      </c>
      <c r="G22" s="221"/>
      <c r="H22" s="134" t="s">
        <v>335</v>
      </c>
      <c r="I22" s="135">
        <v>1</v>
      </c>
      <c r="J22" s="136">
        <v>180</v>
      </c>
      <c r="K22" s="137" t="s">
        <v>339</v>
      </c>
      <c r="L22" s="136">
        <v>0</v>
      </c>
      <c r="M22" s="136">
        <v>0</v>
      </c>
      <c r="N22" s="136">
        <v>0</v>
      </c>
      <c r="O22" s="138" t="s">
        <v>278</v>
      </c>
      <c r="P22" s="139">
        <v>0.1076388888888889</v>
      </c>
      <c r="Q22" s="136">
        <v>180</v>
      </c>
      <c r="R22" s="140" t="s">
        <v>340</v>
      </c>
    </row>
    <row r="23" spans="1:18" ht="49.95" customHeight="1" x14ac:dyDescent="0.3">
      <c r="A23" s="141" t="s">
        <v>28</v>
      </c>
      <c r="B23" s="141" t="s">
        <v>327</v>
      </c>
      <c r="C23" s="142">
        <v>0.5</v>
      </c>
      <c r="D23" s="141" t="s">
        <v>30</v>
      </c>
      <c r="E23" s="143"/>
      <c r="F23" s="141" t="s">
        <v>185</v>
      </c>
      <c r="G23" s="230"/>
      <c r="H23" s="116" t="s">
        <v>327</v>
      </c>
      <c r="I23" s="117">
        <v>0.9889</v>
      </c>
      <c r="J23" s="118">
        <v>178</v>
      </c>
      <c r="K23" s="119" t="s">
        <v>32</v>
      </c>
      <c r="L23" s="118">
        <v>4</v>
      </c>
      <c r="M23" s="118">
        <v>0</v>
      </c>
      <c r="N23" s="118">
        <v>3</v>
      </c>
      <c r="O23" s="120" t="s">
        <v>195</v>
      </c>
      <c r="P23" s="121">
        <v>0.5</v>
      </c>
      <c r="Q23" s="118">
        <v>180</v>
      </c>
      <c r="R23" s="122" t="s">
        <v>341</v>
      </c>
    </row>
    <row r="24" spans="1:18" ht="49.95" customHeight="1" thickBot="1" x14ac:dyDescent="0.35">
      <c r="A24" s="144" t="s">
        <v>28</v>
      </c>
      <c r="B24" s="144" t="s">
        <v>333</v>
      </c>
      <c r="C24" s="145">
        <v>0.92361111111111116</v>
      </c>
      <c r="D24" s="144" t="s">
        <v>30</v>
      </c>
      <c r="E24" s="146"/>
      <c r="F24" s="144" t="s">
        <v>277</v>
      </c>
      <c r="G24" s="229"/>
      <c r="H24" s="39" t="s">
        <v>333</v>
      </c>
      <c r="I24" s="103">
        <v>0.99439999999999995</v>
      </c>
      <c r="J24" s="41">
        <v>179</v>
      </c>
      <c r="K24" s="42" t="s">
        <v>45</v>
      </c>
      <c r="L24" s="41">
        <v>13</v>
      </c>
      <c r="M24" s="41">
        <v>1</v>
      </c>
      <c r="N24" s="41">
        <v>2</v>
      </c>
      <c r="O24" s="43" t="s">
        <v>278</v>
      </c>
      <c r="P24" s="44">
        <v>0.92361111111111116</v>
      </c>
      <c r="Q24" s="41">
        <v>180</v>
      </c>
      <c r="R24" s="45" t="s">
        <v>342</v>
      </c>
    </row>
    <row r="25" spans="1:18" ht="17.399999999999999" customHeight="1" thickBot="1" x14ac:dyDescent="0.35">
      <c r="A25" s="245"/>
      <c r="B25" s="246"/>
      <c r="C25" s="246"/>
      <c r="D25" s="246"/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7"/>
    </row>
    <row r="26" spans="1:18" ht="22.05" customHeight="1" thickTop="1" thickBot="1" x14ac:dyDescent="0.35">
      <c r="A26" s="213" t="s">
        <v>8</v>
      </c>
      <c r="B26" s="214"/>
      <c r="C26" s="214"/>
      <c r="D26" s="214"/>
      <c r="E26" s="214"/>
      <c r="F26" s="215"/>
      <c r="G26" s="18">
        <v>45988</v>
      </c>
      <c r="H26" s="216" t="s">
        <v>9</v>
      </c>
      <c r="I26" s="214"/>
      <c r="J26" s="214"/>
      <c r="K26" s="214"/>
      <c r="L26" s="214"/>
      <c r="M26" s="214"/>
      <c r="N26" s="214"/>
      <c r="O26" s="214"/>
      <c r="P26" s="214"/>
      <c r="Q26" s="214"/>
      <c r="R26" s="215"/>
    </row>
    <row r="27" spans="1:18" ht="24" customHeight="1" x14ac:dyDescent="0.3">
      <c r="A27" s="19" t="s">
        <v>10</v>
      </c>
      <c r="B27" s="19" t="s">
        <v>11</v>
      </c>
      <c r="C27" s="20" t="s">
        <v>12</v>
      </c>
      <c r="D27" s="19" t="s">
        <v>13</v>
      </c>
      <c r="E27" s="19" t="s">
        <v>14</v>
      </c>
      <c r="F27" s="21" t="s">
        <v>15</v>
      </c>
      <c r="G27" s="22" t="s">
        <v>16</v>
      </c>
      <c r="H27" s="19" t="s">
        <v>17</v>
      </c>
      <c r="I27" s="23" t="s">
        <v>18</v>
      </c>
      <c r="J27" s="24" t="s">
        <v>19</v>
      </c>
      <c r="K27" s="25" t="s">
        <v>20</v>
      </c>
      <c r="L27" s="24" t="s">
        <v>21</v>
      </c>
      <c r="M27" s="24" t="s">
        <v>22</v>
      </c>
      <c r="N27" s="24" t="s">
        <v>23</v>
      </c>
      <c r="O27" s="19" t="s">
        <v>24</v>
      </c>
      <c r="P27" s="20" t="s">
        <v>25</v>
      </c>
      <c r="Q27" s="24" t="s">
        <v>26</v>
      </c>
      <c r="R27" s="19" t="s">
        <v>27</v>
      </c>
    </row>
    <row r="28" spans="1:18" ht="49.95" customHeight="1" x14ac:dyDescent="0.3">
      <c r="A28" s="26" t="s">
        <v>28</v>
      </c>
      <c r="B28" s="26" t="s">
        <v>335</v>
      </c>
      <c r="C28" s="27">
        <v>0.3298611111111111</v>
      </c>
      <c r="D28" s="26" t="s">
        <v>30</v>
      </c>
      <c r="E28" s="28"/>
      <c r="F28" s="26" t="s">
        <v>277</v>
      </c>
      <c r="G28" s="221"/>
      <c r="H28" s="105" t="s">
        <v>335</v>
      </c>
      <c r="I28" s="106">
        <v>1</v>
      </c>
      <c r="J28" s="107">
        <v>180</v>
      </c>
      <c r="K28" s="108" t="s">
        <v>32</v>
      </c>
      <c r="L28" s="107">
        <v>15</v>
      </c>
      <c r="M28" s="107">
        <v>0</v>
      </c>
      <c r="N28" s="107">
        <v>1</v>
      </c>
      <c r="O28" s="109" t="s">
        <v>278</v>
      </c>
      <c r="P28" s="110">
        <v>0.3298611111111111</v>
      </c>
      <c r="Q28" s="107">
        <v>180</v>
      </c>
      <c r="R28" s="111" t="s">
        <v>343</v>
      </c>
    </row>
    <row r="29" spans="1:18" ht="49.95" customHeight="1" thickBot="1" x14ac:dyDescent="0.35">
      <c r="A29" s="126" t="s">
        <v>28</v>
      </c>
      <c r="B29" s="126" t="s">
        <v>329</v>
      </c>
      <c r="C29" s="127">
        <v>0.54861111111111105</v>
      </c>
      <c r="D29" s="126" t="s">
        <v>30</v>
      </c>
      <c r="E29" s="128"/>
      <c r="F29" s="126" t="s">
        <v>277</v>
      </c>
      <c r="G29" s="229"/>
      <c r="H29" s="81" t="s">
        <v>329</v>
      </c>
      <c r="I29" s="88">
        <v>1</v>
      </c>
      <c r="J29" s="83">
        <v>180</v>
      </c>
      <c r="K29" s="84" t="s">
        <v>32</v>
      </c>
      <c r="L29" s="83">
        <v>68</v>
      </c>
      <c r="M29" s="83">
        <v>0</v>
      </c>
      <c r="N29" s="83">
        <v>16</v>
      </c>
      <c r="O29" s="85" t="s">
        <v>278</v>
      </c>
      <c r="P29" s="86">
        <v>0.54861111111111105</v>
      </c>
      <c r="Q29" s="83">
        <v>180</v>
      </c>
      <c r="R29" s="87" t="s">
        <v>344</v>
      </c>
    </row>
    <row r="30" spans="1:18" ht="17.399999999999999" customHeight="1" thickBot="1" x14ac:dyDescent="0.35">
      <c r="A30" s="245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7"/>
    </row>
    <row r="31" spans="1:18" ht="22.05" customHeight="1" thickTop="1" thickBot="1" x14ac:dyDescent="0.35">
      <c r="A31" s="213" t="s">
        <v>8</v>
      </c>
      <c r="B31" s="214"/>
      <c r="C31" s="214"/>
      <c r="D31" s="214"/>
      <c r="E31" s="214"/>
      <c r="F31" s="215"/>
      <c r="G31" s="18">
        <v>45989</v>
      </c>
      <c r="H31" s="216" t="s">
        <v>9</v>
      </c>
      <c r="I31" s="214"/>
      <c r="J31" s="214"/>
      <c r="K31" s="214"/>
      <c r="L31" s="214"/>
      <c r="M31" s="214"/>
      <c r="N31" s="214"/>
      <c r="O31" s="214"/>
      <c r="P31" s="214"/>
      <c r="Q31" s="214"/>
      <c r="R31" s="215"/>
    </row>
    <row r="32" spans="1:18" ht="24" customHeight="1" x14ac:dyDescent="0.3">
      <c r="A32" s="19" t="s">
        <v>10</v>
      </c>
      <c r="B32" s="19" t="s">
        <v>11</v>
      </c>
      <c r="C32" s="20" t="s">
        <v>12</v>
      </c>
      <c r="D32" s="19" t="s">
        <v>13</v>
      </c>
      <c r="E32" s="19" t="s">
        <v>14</v>
      </c>
      <c r="F32" s="21" t="s">
        <v>15</v>
      </c>
      <c r="G32" s="22" t="s">
        <v>16</v>
      </c>
      <c r="H32" s="19" t="s">
        <v>17</v>
      </c>
      <c r="I32" s="23" t="s">
        <v>18</v>
      </c>
      <c r="J32" s="24" t="s">
        <v>19</v>
      </c>
      <c r="K32" s="25" t="s">
        <v>20</v>
      </c>
      <c r="L32" s="24" t="s">
        <v>21</v>
      </c>
      <c r="M32" s="24" t="s">
        <v>22</v>
      </c>
      <c r="N32" s="24" t="s">
        <v>23</v>
      </c>
      <c r="O32" s="19" t="s">
        <v>24</v>
      </c>
      <c r="P32" s="20" t="s">
        <v>25</v>
      </c>
      <c r="Q32" s="24" t="s">
        <v>26</v>
      </c>
      <c r="R32" s="19" t="s">
        <v>27</v>
      </c>
    </row>
    <row r="33" spans="1:18" ht="49.95" customHeight="1" thickTop="1" thickBot="1" x14ac:dyDescent="0.35">
      <c r="A33" s="91" t="s">
        <v>28</v>
      </c>
      <c r="B33" s="91" t="s">
        <v>327</v>
      </c>
      <c r="C33" s="92">
        <v>0.13541666666666671</v>
      </c>
      <c r="D33" s="91" t="s">
        <v>30</v>
      </c>
      <c r="E33" s="93"/>
      <c r="F33" s="91" t="s">
        <v>31</v>
      </c>
      <c r="G33" s="221"/>
      <c r="H33" s="94" t="s">
        <v>327</v>
      </c>
      <c r="I33" s="147">
        <v>0.58889999999999998</v>
      </c>
      <c r="J33" s="96">
        <v>106</v>
      </c>
      <c r="K33" s="97" t="s">
        <v>32</v>
      </c>
      <c r="L33" s="96">
        <v>68</v>
      </c>
      <c r="M33" s="96">
        <v>0</v>
      </c>
      <c r="N33" s="96">
        <v>20</v>
      </c>
      <c r="O33" s="98" t="s">
        <v>181</v>
      </c>
      <c r="P33" s="99">
        <v>0.13541666666666671</v>
      </c>
      <c r="Q33" s="96">
        <v>180</v>
      </c>
      <c r="R33" s="100" t="s">
        <v>345</v>
      </c>
    </row>
    <row r="34" spans="1:18" ht="17.399999999999999" customHeight="1" thickBot="1" x14ac:dyDescent="0.35">
      <c r="A34" s="245"/>
      <c r="B34" s="246"/>
      <c r="C34" s="246"/>
      <c r="D34" s="246"/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7"/>
    </row>
    <row r="35" spans="1:18" ht="22.05" customHeight="1" thickTop="1" thickBot="1" x14ac:dyDescent="0.35">
      <c r="A35" s="213" t="s">
        <v>8</v>
      </c>
      <c r="B35" s="214"/>
      <c r="C35" s="214"/>
      <c r="D35" s="214"/>
      <c r="E35" s="214"/>
      <c r="F35" s="215"/>
      <c r="G35" s="18">
        <v>45990</v>
      </c>
      <c r="H35" s="216" t="s">
        <v>9</v>
      </c>
      <c r="I35" s="214"/>
      <c r="J35" s="214"/>
      <c r="K35" s="214"/>
      <c r="L35" s="214"/>
      <c r="M35" s="214"/>
      <c r="N35" s="214"/>
      <c r="O35" s="214"/>
      <c r="P35" s="214"/>
      <c r="Q35" s="214"/>
      <c r="R35" s="215"/>
    </row>
    <row r="36" spans="1:18" ht="24" customHeight="1" x14ac:dyDescent="0.3">
      <c r="A36" s="19" t="s">
        <v>10</v>
      </c>
      <c r="B36" s="19" t="s">
        <v>11</v>
      </c>
      <c r="C36" s="20" t="s">
        <v>12</v>
      </c>
      <c r="D36" s="19" t="s">
        <v>13</v>
      </c>
      <c r="E36" s="19" t="s">
        <v>14</v>
      </c>
      <c r="F36" s="21" t="s">
        <v>15</v>
      </c>
      <c r="G36" s="22" t="s">
        <v>16</v>
      </c>
      <c r="H36" s="19" t="s">
        <v>17</v>
      </c>
      <c r="I36" s="23" t="s">
        <v>18</v>
      </c>
      <c r="J36" s="24" t="s">
        <v>19</v>
      </c>
      <c r="K36" s="25" t="s">
        <v>20</v>
      </c>
      <c r="L36" s="24" t="s">
        <v>21</v>
      </c>
      <c r="M36" s="24" t="s">
        <v>22</v>
      </c>
      <c r="N36" s="24" t="s">
        <v>23</v>
      </c>
      <c r="O36" s="19" t="s">
        <v>24</v>
      </c>
      <c r="P36" s="20" t="s">
        <v>25</v>
      </c>
      <c r="Q36" s="24" t="s">
        <v>26</v>
      </c>
      <c r="R36" s="19" t="s">
        <v>27</v>
      </c>
    </row>
    <row r="37" spans="1:18" ht="49.95" customHeight="1" x14ac:dyDescent="0.3">
      <c r="A37" s="8" t="s">
        <v>28</v>
      </c>
      <c r="B37" s="8" t="s">
        <v>327</v>
      </c>
      <c r="C37" s="9">
        <v>0.1423611111111111</v>
      </c>
      <c r="D37" s="8" t="s">
        <v>30</v>
      </c>
      <c r="E37" s="10"/>
      <c r="F37" s="8" t="s">
        <v>31</v>
      </c>
      <c r="G37" s="221"/>
      <c r="H37" s="116" t="s">
        <v>327</v>
      </c>
      <c r="I37" s="148">
        <v>0.7</v>
      </c>
      <c r="J37" s="118">
        <v>126</v>
      </c>
      <c r="K37" s="119" t="s">
        <v>32</v>
      </c>
      <c r="L37" s="118">
        <v>18</v>
      </c>
      <c r="M37" s="118">
        <v>0</v>
      </c>
      <c r="N37" s="118">
        <v>5</v>
      </c>
      <c r="O37" s="120" t="s">
        <v>136</v>
      </c>
      <c r="P37" s="121">
        <v>0.1423611111111111</v>
      </c>
      <c r="Q37" s="118">
        <v>180</v>
      </c>
      <c r="R37" s="122" t="s">
        <v>346</v>
      </c>
    </row>
    <row r="38" spans="1:18" ht="49.95" customHeight="1" thickBot="1" x14ac:dyDescent="0.35">
      <c r="A38" s="149" t="s">
        <v>28</v>
      </c>
      <c r="B38" s="149" t="s">
        <v>329</v>
      </c>
      <c r="C38" s="150">
        <v>0.52777777777777779</v>
      </c>
      <c r="D38" s="149" t="s">
        <v>30</v>
      </c>
      <c r="E38" s="151"/>
      <c r="F38" s="149" t="s">
        <v>185</v>
      </c>
      <c r="G38" s="229"/>
      <c r="H38" s="29" t="s">
        <v>329</v>
      </c>
      <c r="I38" s="89">
        <v>0.95</v>
      </c>
      <c r="J38" s="31">
        <v>171</v>
      </c>
      <c r="K38" s="32" t="s">
        <v>32</v>
      </c>
      <c r="L38" s="31">
        <v>21</v>
      </c>
      <c r="M38" s="31">
        <v>0</v>
      </c>
      <c r="N38" s="31">
        <v>5</v>
      </c>
      <c r="O38" s="33" t="s">
        <v>195</v>
      </c>
      <c r="P38" s="34">
        <v>0.52777777777777779</v>
      </c>
      <c r="Q38" s="31">
        <v>180</v>
      </c>
      <c r="R38" s="35" t="s">
        <v>347</v>
      </c>
    </row>
    <row r="39" spans="1:18" ht="17.399999999999999" customHeight="1" thickBot="1" x14ac:dyDescent="0.35">
      <c r="A39" s="245"/>
      <c r="B39" s="246"/>
      <c r="C39" s="246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7"/>
    </row>
    <row r="40" spans="1:18" ht="22.05" customHeight="1" thickTop="1" thickBot="1" x14ac:dyDescent="0.35">
      <c r="A40" s="213" t="s">
        <v>8</v>
      </c>
      <c r="B40" s="214"/>
      <c r="C40" s="214"/>
      <c r="D40" s="214"/>
      <c r="E40" s="214"/>
      <c r="F40" s="215"/>
      <c r="G40" s="18">
        <v>45991</v>
      </c>
      <c r="H40" s="216" t="s">
        <v>9</v>
      </c>
      <c r="I40" s="214"/>
      <c r="J40" s="214"/>
      <c r="K40" s="214"/>
      <c r="L40" s="214"/>
      <c r="M40" s="214"/>
      <c r="N40" s="214"/>
      <c r="O40" s="214"/>
      <c r="P40" s="214"/>
      <c r="Q40" s="214"/>
      <c r="R40" s="215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x14ac:dyDescent="0.3">
      <c r="A42" s="8" t="s">
        <v>28</v>
      </c>
      <c r="B42" s="8" t="s">
        <v>327</v>
      </c>
      <c r="C42" s="9">
        <v>0.3298611111111111</v>
      </c>
      <c r="D42" s="8" t="s">
        <v>30</v>
      </c>
      <c r="E42" s="10"/>
      <c r="F42" s="8" t="s">
        <v>188</v>
      </c>
      <c r="G42" s="221"/>
      <c r="H42" s="116" t="s">
        <v>327</v>
      </c>
      <c r="I42" s="117">
        <v>0.90559999999999996</v>
      </c>
      <c r="J42" s="118">
        <v>163</v>
      </c>
      <c r="K42" s="119" t="s">
        <v>32</v>
      </c>
      <c r="L42" s="118">
        <v>56</v>
      </c>
      <c r="M42" s="118">
        <v>0</v>
      </c>
      <c r="N42" s="118">
        <v>8</v>
      </c>
      <c r="O42" s="120" t="s">
        <v>152</v>
      </c>
      <c r="P42" s="121">
        <v>0.3298611111111111</v>
      </c>
      <c r="Q42" s="118">
        <v>180</v>
      </c>
      <c r="R42" s="122" t="s">
        <v>348</v>
      </c>
    </row>
    <row r="43" spans="1:18" ht="49.95" customHeight="1" thickBot="1" x14ac:dyDescent="0.35">
      <c r="A43" s="149" t="s">
        <v>28</v>
      </c>
      <c r="B43" s="149" t="s">
        <v>329</v>
      </c>
      <c r="C43" s="150">
        <v>0.69097222222222221</v>
      </c>
      <c r="D43" s="149" t="s">
        <v>30</v>
      </c>
      <c r="E43" s="151"/>
      <c r="F43" s="149" t="s">
        <v>31</v>
      </c>
      <c r="G43" s="229"/>
      <c r="H43" s="29" t="s">
        <v>329</v>
      </c>
      <c r="I43" s="30">
        <v>0.67779999999999996</v>
      </c>
      <c r="J43" s="31">
        <v>122</v>
      </c>
      <c r="K43" s="32" t="s">
        <v>32</v>
      </c>
      <c r="L43" s="31">
        <v>63</v>
      </c>
      <c r="M43" s="31">
        <v>0</v>
      </c>
      <c r="N43" s="31">
        <v>14</v>
      </c>
      <c r="O43" s="33" t="s">
        <v>181</v>
      </c>
      <c r="P43" s="34">
        <v>0.69097222222222221</v>
      </c>
      <c r="Q43" s="31">
        <v>180</v>
      </c>
      <c r="R43" s="35" t="s">
        <v>349</v>
      </c>
    </row>
    <row r="44" spans="1:18" ht="17.399999999999999" customHeight="1" thickBot="1" x14ac:dyDescent="0.35">
      <c r="A44" s="245"/>
      <c r="B44" s="246"/>
      <c r="C44" s="246"/>
      <c r="D44" s="246"/>
      <c r="E44" s="246"/>
      <c r="F44" s="246"/>
      <c r="G44" s="246"/>
      <c r="H44" s="246"/>
      <c r="I44" s="246"/>
      <c r="J44" s="246"/>
      <c r="K44" s="246"/>
      <c r="L44" s="246"/>
      <c r="M44" s="246"/>
      <c r="N44" s="246"/>
      <c r="O44" s="246"/>
      <c r="P44" s="246"/>
      <c r="Q44" s="246"/>
      <c r="R44" s="247"/>
    </row>
    <row r="45" spans="1:18" ht="22.05" customHeight="1" thickTop="1" thickBot="1" x14ac:dyDescent="0.35">
      <c r="A45" s="213" t="s">
        <v>8</v>
      </c>
      <c r="B45" s="214"/>
      <c r="C45" s="214"/>
      <c r="D45" s="214"/>
      <c r="E45" s="214"/>
      <c r="F45" s="215"/>
      <c r="G45" s="18">
        <v>45992</v>
      </c>
      <c r="H45" s="216" t="s">
        <v>9</v>
      </c>
      <c r="I45" s="214"/>
      <c r="J45" s="214"/>
      <c r="K45" s="214"/>
      <c r="L45" s="214"/>
      <c r="M45" s="214"/>
      <c r="N45" s="214"/>
      <c r="O45" s="214"/>
      <c r="P45" s="214"/>
      <c r="Q45" s="214"/>
      <c r="R45" s="215"/>
    </row>
    <row r="46" spans="1:18" ht="24" customHeight="1" x14ac:dyDescent="0.3">
      <c r="A46" s="19" t="s">
        <v>10</v>
      </c>
      <c r="B46" s="19" t="s">
        <v>11</v>
      </c>
      <c r="C46" s="20" t="s">
        <v>12</v>
      </c>
      <c r="D46" s="19" t="s">
        <v>13</v>
      </c>
      <c r="E46" s="19" t="s">
        <v>14</v>
      </c>
      <c r="F46" s="21" t="s">
        <v>15</v>
      </c>
      <c r="G46" s="22" t="s">
        <v>16</v>
      </c>
      <c r="H46" s="19" t="s">
        <v>17</v>
      </c>
      <c r="I46" s="23" t="s">
        <v>18</v>
      </c>
      <c r="J46" s="24" t="s">
        <v>19</v>
      </c>
      <c r="K46" s="25" t="s">
        <v>20</v>
      </c>
      <c r="L46" s="24" t="s">
        <v>21</v>
      </c>
      <c r="M46" s="24" t="s">
        <v>22</v>
      </c>
      <c r="N46" s="24" t="s">
        <v>23</v>
      </c>
      <c r="O46" s="19" t="s">
        <v>24</v>
      </c>
      <c r="P46" s="20" t="s">
        <v>25</v>
      </c>
      <c r="Q46" s="24" t="s">
        <v>26</v>
      </c>
      <c r="R46" s="19" t="s">
        <v>27</v>
      </c>
    </row>
    <row r="47" spans="1:18" ht="49.95" customHeight="1" x14ac:dyDescent="0.3">
      <c r="A47" s="26" t="s">
        <v>28</v>
      </c>
      <c r="B47" s="26" t="s">
        <v>327</v>
      </c>
      <c r="C47" s="27">
        <v>9.375E-2</v>
      </c>
      <c r="D47" s="26" t="s">
        <v>30</v>
      </c>
      <c r="E47" s="28"/>
      <c r="F47" s="26" t="s">
        <v>277</v>
      </c>
      <c r="G47" s="221"/>
      <c r="H47" s="105" t="s">
        <v>327</v>
      </c>
      <c r="I47" s="106">
        <v>0.99439999999999995</v>
      </c>
      <c r="J47" s="107">
        <v>179</v>
      </c>
      <c r="K47" s="108" t="s">
        <v>32</v>
      </c>
      <c r="L47" s="107">
        <v>40</v>
      </c>
      <c r="M47" s="107">
        <v>0</v>
      </c>
      <c r="N47" s="107">
        <v>8</v>
      </c>
      <c r="O47" s="109" t="s">
        <v>278</v>
      </c>
      <c r="P47" s="110">
        <v>9.375E-2</v>
      </c>
      <c r="Q47" s="107">
        <v>180</v>
      </c>
      <c r="R47" s="111" t="s">
        <v>350</v>
      </c>
    </row>
    <row r="48" spans="1:18" ht="49.95" customHeight="1" thickBot="1" x14ac:dyDescent="0.35">
      <c r="A48" s="144" t="s">
        <v>28</v>
      </c>
      <c r="B48" s="144" t="s">
        <v>335</v>
      </c>
      <c r="C48" s="145">
        <v>0.54861111111111105</v>
      </c>
      <c r="D48" s="144" t="s">
        <v>30</v>
      </c>
      <c r="E48" s="146"/>
      <c r="F48" s="144" t="s">
        <v>277</v>
      </c>
      <c r="G48" s="229"/>
      <c r="H48" s="39" t="s">
        <v>335</v>
      </c>
      <c r="I48" s="103">
        <v>0.99439999999999995</v>
      </c>
      <c r="J48" s="41">
        <v>179</v>
      </c>
      <c r="K48" s="42" t="s">
        <v>45</v>
      </c>
      <c r="L48" s="41">
        <v>97</v>
      </c>
      <c r="M48" s="41">
        <v>0</v>
      </c>
      <c r="N48" s="41">
        <v>0</v>
      </c>
      <c r="O48" s="43" t="s">
        <v>278</v>
      </c>
      <c r="P48" s="44">
        <v>0.54861111111111105</v>
      </c>
      <c r="Q48" s="41">
        <v>180</v>
      </c>
      <c r="R48" s="45" t="s">
        <v>351</v>
      </c>
    </row>
    <row r="49" spans="1:18" ht="17.399999999999999" customHeight="1" thickBot="1" x14ac:dyDescent="0.35">
      <c r="A49" s="245"/>
      <c r="B49" s="246"/>
      <c r="C49" s="246"/>
      <c r="D49" s="246"/>
      <c r="E49" s="246"/>
      <c r="F49" s="246"/>
      <c r="G49" s="246"/>
      <c r="H49" s="246"/>
      <c r="I49" s="246"/>
      <c r="J49" s="246"/>
      <c r="K49" s="246"/>
      <c r="L49" s="246"/>
      <c r="M49" s="246"/>
      <c r="N49" s="246"/>
      <c r="O49" s="246"/>
      <c r="P49" s="246"/>
      <c r="Q49" s="246"/>
      <c r="R49" s="247"/>
    </row>
    <row r="50" spans="1:18" ht="22.05" customHeight="1" thickTop="1" thickBot="1" x14ac:dyDescent="0.35">
      <c r="A50" s="213" t="s">
        <v>8</v>
      </c>
      <c r="B50" s="214"/>
      <c r="C50" s="214"/>
      <c r="D50" s="214"/>
      <c r="E50" s="214"/>
      <c r="F50" s="215"/>
      <c r="G50" s="18">
        <v>45993</v>
      </c>
      <c r="H50" s="216" t="s">
        <v>9</v>
      </c>
      <c r="I50" s="214"/>
      <c r="J50" s="214"/>
      <c r="K50" s="214"/>
      <c r="L50" s="214"/>
      <c r="M50" s="214"/>
      <c r="N50" s="214"/>
      <c r="O50" s="214"/>
      <c r="P50" s="214"/>
      <c r="Q50" s="214"/>
      <c r="R50" s="215"/>
    </row>
    <row r="51" spans="1:18" ht="24" customHeight="1" x14ac:dyDescent="0.3">
      <c r="A51" s="19" t="s">
        <v>10</v>
      </c>
      <c r="B51" s="19" t="s">
        <v>11</v>
      </c>
      <c r="C51" s="20" t="s">
        <v>12</v>
      </c>
      <c r="D51" s="19" t="s">
        <v>13</v>
      </c>
      <c r="E51" s="19" t="s">
        <v>14</v>
      </c>
      <c r="F51" s="21" t="s">
        <v>15</v>
      </c>
      <c r="G51" s="22" t="s">
        <v>16</v>
      </c>
      <c r="H51" s="19" t="s">
        <v>17</v>
      </c>
      <c r="I51" s="23" t="s">
        <v>18</v>
      </c>
      <c r="J51" s="24" t="s">
        <v>19</v>
      </c>
      <c r="K51" s="25" t="s">
        <v>20</v>
      </c>
      <c r="L51" s="24" t="s">
        <v>21</v>
      </c>
      <c r="M51" s="24" t="s">
        <v>22</v>
      </c>
      <c r="N51" s="24" t="s">
        <v>23</v>
      </c>
      <c r="O51" s="19" t="s">
        <v>24</v>
      </c>
      <c r="P51" s="20" t="s">
        <v>25</v>
      </c>
      <c r="Q51" s="24" t="s">
        <v>26</v>
      </c>
      <c r="R51" s="19" t="s">
        <v>27</v>
      </c>
    </row>
    <row r="52" spans="1:18" ht="49.95" customHeight="1" x14ac:dyDescent="0.3">
      <c r="A52" s="78" t="s">
        <v>28</v>
      </c>
      <c r="B52" s="78" t="s">
        <v>335</v>
      </c>
      <c r="C52" s="79">
        <v>0.16666666666666671</v>
      </c>
      <c r="D52" s="78" t="s">
        <v>30</v>
      </c>
      <c r="E52" s="80"/>
      <c r="F52" s="78" t="s">
        <v>185</v>
      </c>
      <c r="G52" s="221"/>
      <c r="H52" s="152" t="s">
        <v>335</v>
      </c>
      <c r="I52" s="153">
        <v>0.97219999999999995</v>
      </c>
      <c r="J52" s="154">
        <v>175</v>
      </c>
      <c r="K52" s="155" t="s">
        <v>352</v>
      </c>
      <c r="L52" s="154">
        <v>1</v>
      </c>
      <c r="M52" s="154">
        <v>0</v>
      </c>
      <c r="N52" s="154">
        <v>0</v>
      </c>
      <c r="O52" s="156" t="s">
        <v>353</v>
      </c>
      <c r="P52" s="157">
        <v>0.16666666666666671</v>
      </c>
      <c r="Q52" s="154">
        <v>180</v>
      </c>
      <c r="R52" s="158" t="s">
        <v>354</v>
      </c>
    </row>
    <row r="53" spans="1:18" ht="49.95" customHeight="1" thickBot="1" x14ac:dyDescent="0.35">
      <c r="A53" s="159" t="s">
        <v>28</v>
      </c>
      <c r="B53" s="159" t="s">
        <v>329</v>
      </c>
      <c r="C53" s="160">
        <v>0.52777777777777779</v>
      </c>
      <c r="D53" s="159" t="s">
        <v>30</v>
      </c>
      <c r="E53" s="161"/>
      <c r="F53" s="159" t="s">
        <v>185</v>
      </c>
      <c r="G53" s="229"/>
      <c r="H53" s="94" t="s">
        <v>329</v>
      </c>
      <c r="I53" s="162">
        <v>0.9556</v>
      </c>
      <c r="J53" s="96">
        <v>172</v>
      </c>
      <c r="K53" s="97" t="s">
        <v>32</v>
      </c>
      <c r="L53" s="96">
        <v>24</v>
      </c>
      <c r="M53" s="96">
        <v>0</v>
      </c>
      <c r="N53" s="96">
        <v>7</v>
      </c>
      <c r="O53" s="98" t="s">
        <v>237</v>
      </c>
      <c r="P53" s="99">
        <v>0.52777777777777779</v>
      </c>
      <c r="Q53" s="96">
        <v>180</v>
      </c>
      <c r="R53" s="100" t="s">
        <v>355</v>
      </c>
    </row>
    <row r="54" spans="1:18" ht="17.399999999999999" customHeight="1" thickBot="1" x14ac:dyDescent="0.35">
      <c r="A54" s="245"/>
      <c r="B54" s="246"/>
      <c r="C54" s="246"/>
      <c r="D54" s="246"/>
      <c r="E54" s="246"/>
      <c r="F54" s="246"/>
      <c r="G54" s="246"/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247"/>
    </row>
    <row r="55" spans="1:18" ht="22.05" customHeight="1" thickTop="1" thickBot="1" x14ac:dyDescent="0.35">
      <c r="A55" s="213" t="s">
        <v>8</v>
      </c>
      <c r="B55" s="214"/>
      <c r="C55" s="214"/>
      <c r="D55" s="214"/>
      <c r="E55" s="214"/>
      <c r="F55" s="215"/>
      <c r="G55" s="18">
        <v>45994</v>
      </c>
      <c r="H55" s="216" t="s">
        <v>9</v>
      </c>
      <c r="I55" s="214"/>
      <c r="J55" s="214"/>
      <c r="K55" s="214"/>
      <c r="L55" s="214"/>
      <c r="M55" s="214"/>
      <c r="N55" s="214"/>
      <c r="O55" s="214"/>
      <c r="P55" s="214"/>
      <c r="Q55" s="214"/>
      <c r="R55" s="215"/>
    </row>
    <row r="56" spans="1:18" ht="24" customHeight="1" x14ac:dyDescent="0.3">
      <c r="A56" s="19" t="s">
        <v>10</v>
      </c>
      <c r="B56" s="19" t="s">
        <v>11</v>
      </c>
      <c r="C56" s="20" t="s">
        <v>12</v>
      </c>
      <c r="D56" s="19" t="s">
        <v>13</v>
      </c>
      <c r="E56" s="19" t="s">
        <v>14</v>
      </c>
      <c r="F56" s="21" t="s">
        <v>15</v>
      </c>
      <c r="G56" s="22" t="s">
        <v>16</v>
      </c>
      <c r="H56" s="19" t="s">
        <v>17</v>
      </c>
      <c r="I56" s="23" t="s">
        <v>18</v>
      </c>
      <c r="J56" s="24" t="s">
        <v>19</v>
      </c>
      <c r="K56" s="25" t="s">
        <v>20</v>
      </c>
      <c r="L56" s="24" t="s">
        <v>21</v>
      </c>
      <c r="M56" s="24" t="s">
        <v>22</v>
      </c>
      <c r="N56" s="24" t="s">
        <v>23</v>
      </c>
      <c r="O56" s="19" t="s">
        <v>24</v>
      </c>
      <c r="P56" s="20" t="s">
        <v>25</v>
      </c>
      <c r="Q56" s="24" t="s">
        <v>26</v>
      </c>
      <c r="R56" s="19" t="s">
        <v>27</v>
      </c>
    </row>
    <row r="57" spans="1:18" ht="49.95" customHeight="1" x14ac:dyDescent="0.3">
      <c r="A57" s="68" t="s">
        <v>28</v>
      </c>
      <c r="B57" s="68" t="s">
        <v>335</v>
      </c>
      <c r="C57" s="69">
        <v>0.1076388888888889</v>
      </c>
      <c r="D57" s="68" t="s">
        <v>30</v>
      </c>
      <c r="E57" s="70"/>
      <c r="F57" s="68" t="s">
        <v>188</v>
      </c>
      <c r="G57" s="221"/>
      <c r="H57" s="134" t="s">
        <v>335</v>
      </c>
      <c r="I57" s="135">
        <v>0.93330000000000002</v>
      </c>
      <c r="J57" s="136">
        <v>168</v>
      </c>
      <c r="K57" s="137" t="s">
        <v>32</v>
      </c>
      <c r="L57" s="136">
        <v>6</v>
      </c>
      <c r="M57" s="136">
        <v>0</v>
      </c>
      <c r="N57" s="136">
        <v>1</v>
      </c>
      <c r="O57" s="138" t="s">
        <v>61</v>
      </c>
      <c r="P57" s="139">
        <v>0.1076388888888889</v>
      </c>
      <c r="Q57" s="136">
        <v>180</v>
      </c>
      <c r="R57" s="140" t="s">
        <v>356</v>
      </c>
    </row>
    <row r="58" spans="1:18" ht="49.95" customHeight="1" x14ac:dyDescent="0.3">
      <c r="A58" s="141" t="s">
        <v>28</v>
      </c>
      <c r="B58" s="141" t="s">
        <v>327</v>
      </c>
      <c r="C58" s="142">
        <v>0.49652777777777768</v>
      </c>
      <c r="D58" s="141" t="s">
        <v>30</v>
      </c>
      <c r="E58" s="143"/>
      <c r="F58" s="141" t="s">
        <v>185</v>
      </c>
      <c r="G58" s="230"/>
      <c r="H58" s="116" t="s">
        <v>327</v>
      </c>
      <c r="I58" s="117">
        <v>0.9889</v>
      </c>
      <c r="J58" s="118">
        <v>178</v>
      </c>
      <c r="K58" s="119" t="s">
        <v>357</v>
      </c>
      <c r="L58" s="118">
        <v>0</v>
      </c>
      <c r="M58" s="118">
        <v>0</v>
      </c>
      <c r="N58" s="118">
        <v>0</v>
      </c>
      <c r="O58" s="120" t="s">
        <v>33</v>
      </c>
      <c r="P58" s="121">
        <v>0.49652777777777768</v>
      </c>
      <c r="Q58" s="118">
        <v>180</v>
      </c>
      <c r="R58" s="122" t="s">
        <v>358</v>
      </c>
    </row>
    <row r="59" spans="1:18" ht="49.95" customHeight="1" thickBot="1" x14ac:dyDescent="0.35">
      <c r="A59" s="130" t="s">
        <v>28</v>
      </c>
      <c r="B59" s="130" t="s">
        <v>333</v>
      </c>
      <c r="C59" s="131">
        <v>0.92361111111111116</v>
      </c>
      <c r="D59" s="130" t="s">
        <v>30</v>
      </c>
      <c r="E59" s="132"/>
      <c r="F59" s="130" t="s">
        <v>54</v>
      </c>
      <c r="G59" s="229"/>
      <c r="H59" s="61" t="s">
        <v>333</v>
      </c>
      <c r="I59" s="62">
        <v>0.2</v>
      </c>
      <c r="J59" s="63">
        <v>36</v>
      </c>
      <c r="K59" s="64" t="s">
        <v>32</v>
      </c>
      <c r="L59" s="63">
        <v>14</v>
      </c>
      <c r="M59" s="63">
        <v>0</v>
      </c>
      <c r="N59" s="63">
        <v>3</v>
      </c>
      <c r="O59" s="65" t="s">
        <v>105</v>
      </c>
      <c r="P59" s="66">
        <v>0.92361111111111116</v>
      </c>
      <c r="Q59" s="63">
        <v>180</v>
      </c>
      <c r="R59" s="67" t="s">
        <v>359</v>
      </c>
    </row>
    <row r="60" spans="1:18" ht="17.399999999999999" customHeight="1" thickBot="1" x14ac:dyDescent="0.35">
      <c r="A60" s="245"/>
      <c r="B60" s="246"/>
      <c r="C60" s="246"/>
      <c r="D60" s="246"/>
      <c r="E60" s="246"/>
      <c r="F60" s="246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246"/>
      <c r="R60" s="247"/>
    </row>
    <row r="61" spans="1:18" ht="22.05" customHeight="1" thickTop="1" thickBot="1" x14ac:dyDescent="0.35">
      <c r="A61" s="213" t="s">
        <v>8</v>
      </c>
      <c r="B61" s="214"/>
      <c r="C61" s="214"/>
      <c r="D61" s="214"/>
      <c r="E61" s="214"/>
      <c r="F61" s="215"/>
      <c r="G61" s="18">
        <v>45995</v>
      </c>
      <c r="H61" s="216" t="s">
        <v>9</v>
      </c>
      <c r="I61" s="214"/>
      <c r="J61" s="214"/>
      <c r="K61" s="214"/>
      <c r="L61" s="214"/>
      <c r="M61" s="214"/>
      <c r="N61" s="214"/>
      <c r="O61" s="214"/>
      <c r="P61" s="214"/>
      <c r="Q61" s="214"/>
      <c r="R61" s="215"/>
    </row>
    <row r="62" spans="1:18" ht="24" customHeight="1" x14ac:dyDescent="0.3">
      <c r="A62" s="19" t="s">
        <v>10</v>
      </c>
      <c r="B62" s="19" t="s">
        <v>11</v>
      </c>
      <c r="C62" s="20" t="s">
        <v>12</v>
      </c>
      <c r="D62" s="19" t="s">
        <v>13</v>
      </c>
      <c r="E62" s="19" t="s">
        <v>14</v>
      </c>
      <c r="F62" s="21" t="s">
        <v>15</v>
      </c>
      <c r="G62" s="22" t="s">
        <v>16</v>
      </c>
      <c r="H62" s="19" t="s">
        <v>17</v>
      </c>
      <c r="I62" s="23" t="s">
        <v>18</v>
      </c>
      <c r="J62" s="24" t="s">
        <v>19</v>
      </c>
      <c r="K62" s="25" t="s">
        <v>20</v>
      </c>
      <c r="L62" s="24" t="s">
        <v>21</v>
      </c>
      <c r="M62" s="24" t="s">
        <v>22</v>
      </c>
      <c r="N62" s="24" t="s">
        <v>23</v>
      </c>
      <c r="O62" s="19" t="s">
        <v>24</v>
      </c>
      <c r="P62" s="20" t="s">
        <v>25</v>
      </c>
      <c r="Q62" s="24" t="s">
        <v>26</v>
      </c>
      <c r="R62" s="19" t="s">
        <v>27</v>
      </c>
    </row>
    <row r="63" spans="1:18" ht="49.95" customHeight="1" x14ac:dyDescent="0.3">
      <c r="A63" s="91" t="s">
        <v>28</v>
      </c>
      <c r="B63" s="91" t="s">
        <v>335</v>
      </c>
      <c r="C63" s="92">
        <v>0.3576388888888889</v>
      </c>
      <c r="D63" s="91" t="s">
        <v>30</v>
      </c>
      <c r="E63" s="93"/>
      <c r="F63" s="91" t="s">
        <v>31</v>
      </c>
      <c r="G63" s="221"/>
      <c r="H63" s="163" t="s">
        <v>335</v>
      </c>
      <c r="I63" s="164">
        <v>0.72219999999999995</v>
      </c>
      <c r="J63" s="165">
        <v>130</v>
      </c>
      <c r="K63" s="166" t="s">
        <v>32</v>
      </c>
      <c r="L63" s="165">
        <v>17</v>
      </c>
      <c r="M63" s="165">
        <v>0</v>
      </c>
      <c r="N63" s="165">
        <v>1</v>
      </c>
      <c r="O63" s="167" t="s">
        <v>313</v>
      </c>
      <c r="P63" s="168">
        <v>0.3576388888888889</v>
      </c>
      <c r="Q63" s="165">
        <v>180</v>
      </c>
      <c r="R63" s="169" t="s">
        <v>360</v>
      </c>
    </row>
    <row r="64" spans="1:18" ht="49.95" customHeight="1" thickBot="1" x14ac:dyDescent="0.35">
      <c r="A64" s="130" t="s">
        <v>28</v>
      </c>
      <c r="B64" s="130" t="s">
        <v>329</v>
      </c>
      <c r="C64" s="131">
        <v>0.54861111111111105</v>
      </c>
      <c r="D64" s="130" t="s">
        <v>30</v>
      </c>
      <c r="E64" s="132"/>
      <c r="F64" s="130" t="s">
        <v>31</v>
      </c>
      <c r="G64" s="229"/>
      <c r="H64" s="61" t="s">
        <v>329</v>
      </c>
      <c r="I64" s="170">
        <v>0.66110000000000002</v>
      </c>
      <c r="J64" s="63">
        <v>119</v>
      </c>
      <c r="K64" s="64" t="s">
        <v>32</v>
      </c>
      <c r="L64" s="63">
        <v>14</v>
      </c>
      <c r="M64" s="63">
        <v>0</v>
      </c>
      <c r="N64" s="63">
        <v>3</v>
      </c>
      <c r="O64" s="65" t="s">
        <v>117</v>
      </c>
      <c r="P64" s="66">
        <v>0.54861111111111105</v>
      </c>
      <c r="Q64" s="63">
        <v>180</v>
      </c>
      <c r="R64" s="67" t="s">
        <v>361</v>
      </c>
    </row>
    <row r="65" spans="1:18" ht="17.399999999999999" customHeight="1" thickBot="1" x14ac:dyDescent="0.35">
      <c r="A65" s="245"/>
      <c r="B65" s="246"/>
      <c r="C65" s="246"/>
      <c r="D65" s="246"/>
      <c r="E65" s="246"/>
      <c r="F65" s="246"/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247"/>
    </row>
    <row r="66" spans="1:18" ht="22.05" customHeight="1" thickTop="1" thickBot="1" x14ac:dyDescent="0.35">
      <c r="A66" s="213" t="s">
        <v>8</v>
      </c>
      <c r="B66" s="214"/>
      <c r="C66" s="214"/>
      <c r="D66" s="214"/>
      <c r="E66" s="214"/>
      <c r="F66" s="215"/>
      <c r="G66" s="18">
        <v>45996</v>
      </c>
      <c r="H66" s="216" t="s">
        <v>9</v>
      </c>
      <c r="I66" s="214"/>
      <c r="J66" s="214"/>
      <c r="K66" s="214"/>
      <c r="L66" s="214"/>
      <c r="M66" s="214"/>
      <c r="N66" s="214"/>
      <c r="O66" s="214"/>
      <c r="P66" s="214"/>
      <c r="Q66" s="214"/>
      <c r="R66" s="215"/>
    </row>
    <row r="67" spans="1:18" ht="24" customHeight="1" x14ac:dyDescent="0.3">
      <c r="A67" s="19" t="s">
        <v>10</v>
      </c>
      <c r="B67" s="19" t="s">
        <v>11</v>
      </c>
      <c r="C67" s="20" t="s">
        <v>12</v>
      </c>
      <c r="D67" s="19" t="s">
        <v>13</v>
      </c>
      <c r="E67" s="19" t="s">
        <v>14</v>
      </c>
      <c r="F67" s="21" t="s">
        <v>15</v>
      </c>
      <c r="G67" s="22" t="s">
        <v>16</v>
      </c>
      <c r="H67" s="19" t="s">
        <v>17</v>
      </c>
      <c r="I67" s="23" t="s">
        <v>18</v>
      </c>
      <c r="J67" s="24" t="s">
        <v>19</v>
      </c>
      <c r="K67" s="25" t="s">
        <v>20</v>
      </c>
      <c r="L67" s="24" t="s">
        <v>21</v>
      </c>
      <c r="M67" s="24" t="s">
        <v>22</v>
      </c>
      <c r="N67" s="24" t="s">
        <v>23</v>
      </c>
      <c r="O67" s="19" t="s">
        <v>24</v>
      </c>
      <c r="P67" s="20" t="s">
        <v>25</v>
      </c>
      <c r="Q67" s="24" t="s">
        <v>26</v>
      </c>
      <c r="R67" s="19" t="s">
        <v>27</v>
      </c>
    </row>
    <row r="68" spans="1:18" ht="49.95" customHeight="1" thickTop="1" thickBot="1" x14ac:dyDescent="0.35">
      <c r="A68" s="68" t="s">
        <v>28</v>
      </c>
      <c r="B68" s="68" t="s">
        <v>327</v>
      </c>
      <c r="C68" s="69">
        <v>0.13541666666666671</v>
      </c>
      <c r="D68" s="68" t="s">
        <v>30</v>
      </c>
      <c r="E68" s="70"/>
      <c r="F68" s="68" t="s">
        <v>31</v>
      </c>
      <c r="G68" s="221"/>
      <c r="H68" s="71" t="s">
        <v>327</v>
      </c>
      <c r="I68" s="72">
        <v>0.49440000000000001</v>
      </c>
      <c r="J68" s="73">
        <v>89</v>
      </c>
      <c r="K68" s="74" t="s">
        <v>32</v>
      </c>
      <c r="L68" s="73">
        <v>32</v>
      </c>
      <c r="M68" s="73">
        <v>0</v>
      </c>
      <c r="N68" s="73">
        <v>4</v>
      </c>
      <c r="O68" s="75" t="s">
        <v>165</v>
      </c>
      <c r="P68" s="76">
        <v>0.13541666666666671</v>
      </c>
      <c r="Q68" s="73">
        <v>180</v>
      </c>
      <c r="R68" s="77" t="s">
        <v>362</v>
      </c>
    </row>
    <row r="69" spans="1:18" ht="17.399999999999999" customHeight="1" thickBot="1" x14ac:dyDescent="0.35">
      <c r="A69" s="245"/>
      <c r="B69" s="246"/>
      <c r="C69" s="246"/>
      <c r="D69" s="246"/>
      <c r="E69" s="246"/>
      <c r="F69" s="246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47"/>
    </row>
    <row r="70" spans="1:18" ht="22.05" customHeight="1" thickTop="1" thickBot="1" x14ac:dyDescent="0.35">
      <c r="A70" s="213" t="s">
        <v>8</v>
      </c>
      <c r="B70" s="214"/>
      <c r="C70" s="214"/>
      <c r="D70" s="214"/>
      <c r="E70" s="214"/>
      <c r="F70" s="215"/>
      <c r="G70" s="18">
        <v>45997</v>
      </c>
      <c r="H70" s="216" t="s">
        <v>9</v>
      </c>
      <c r="I70" s="214"/>
      <c r="J70" s="214"/>
      <c r="K70" s="214"/>
      <c r="L70" s="214"/>
      <c r="M70" s="214"/>
      <c r="N70" s="214"/>
      <c r="O70" s="214"/>
      <c r="P70" s="214"/>
      <c r="Q70" s="214"/>
      <c r="R70" s="215"/>
    </row>
    <row r="71" spans="1:18" ht="24" customHeight="1" x14ac:dyDescent="0.3">
      <c r="A71" s="19" t="s">
        <v>10</v>
      </c>
      <c r="B71" s="19" t="s">
        <v>11</v>
      </c>
      <c r="C71" s="20" t="s">
        <v>12</v>
      </c>
      <c r="D71" s="19" t="s">
        <v>13</v>
      </c>
      <c r="E71" s="19" t="s">
        <v>14</v>
      </c>
      <c r="F71" s="21" t="s">
        <v>15</v>
      </c>
      <c r="G71" s="22" t="s">
        <v>16</v>
      </c>
      <c r="H71" s="19" t="s">
        <v>17</v>
      </c>
      <c r="I71" s="23" t="s">
        <v>18</v>
      </c>
      <c r="J71" s="24" t="s">
        <v>19</v>
      </c>
      <c r="K71" s="25" t="s">
        <v>20</v>
      </c>
      <c r="L71" s="24" t="s">
        <v>21</v>
      </c>
      <c r="M71" s="24" t="s">
        <v>22</v>
      </c>
      <c r="N71" s="24" t="s">
        <v>23</v>
      </c>
      <c r="O71" s="19" t="s">
        <v>24</v>
      </c>
      <c r="P71" s="20" t="s">
        <v>25</v>
      </c>
      <c r="Q71" s="24" t="s">
        <v>26</v>
      </c>
      <c r="R71" s="19" t="s">
        <v>27</v>
      </c>
    </row>
    <row r="72" spans="1:18" ht="49.95" customHeight="1" x14ac:dyDescent="0.3">
      <c r="A72" s="78" t="s">
        <v>28</v>
      </c>
      <c r="B72" s="78" t="s">
        <v>327</v>
      </c>
      <c r="C72" s="79">
        <v>0.1423611111111111</v>
      </c>
      <c r="D72" s="78" t="s">
        <v>30</v>
      </c>
      <c r="E72" s="80"/>
      <c r="F72" s="78" t="s">
        <v>31</v>
      </c>
      <c r="G72" s="221"/>
      <c r="H72" s="152" t="s">
        <v>327</v>
      </c>
      <c r="I72" s="171">
        <v>0.34439999999999998</v>
      </c>
      <c r="J72" s="154">
        <v>62</v>
      </c>
      <c r="K72" s="155" t="s">
        <v>32</v>
      </c>
      <c r="L72" s="154">
        <v>17</v>
      </c>
      <c r="M72" s="154">
        <v>0</v>
      </c>
      <c r="N72" s="154">
        <v>5</v>
      </c>
      <c r="O72" s="156" t="s">
        <v>165</v>
      </c>
      <c r="P72" s="157">
        <v>0.1423611111111111</v>
      </c>
      <c r="Q72" s="154">
        <v>180</v>
      </c>
      <c r="R72" s="158" t="s">
        <v>363</v>
      </c>
    </row>
    <row r="73" spans="1:18" ht="49.95" customHeight="1" x14ac:dyDescent="0.3">
      <c r="A73" s="172" t="s">
        <v>28</v>
      </c>
      <c r="B73" s="172" t="s">
        <v>335</v>
      </c>
      <c r="C73" s="173">
        <v>0.30208333333333331</v>
      </c>
      <c r="D73" s="172" t="s">
        <v>30</v>
      </c>
      <c r="E73" s="174"/>
      <c r="F73" s="172" t="s">
        <v>31</v>
      </c>
      <c r="G73" s="230"/>
      <c r="H73" s="163" t="s">
        <v>335</v>
      </c>
      <c r="I73" s="175">
        <v>0.35</v>
      </c>
      <c r="J73" s="165">
        <v>63</v>
      </c>
      <c r="K73" s="166" t="s">
        <v>32</v>
      </c>
      <c r="L73" s="165">
        <v>16</v>
      </c>
      <c r="M73" s="165">
        <v>0</v>
      </c>
      <c r="N73" s="165">
        <v>2</v>
      </c>
      <c r="O73" s="167" t="s">
        <v>165</v>
      </c>
      <c r="P73" s="168">
        <v>0.30208333333333331</v>
      </c>
      <c r="Q73" s="165">
        <v>180</v>
      </c>
      <c r="R73" s="169" t="s">
        <v>364</v>
      </c>
    </row>
    <row r="74" spans="1:18" ht="49.95" customHeight="1" thickBot="1" x14ac:dyDescent="0.35">
      <c r="A74" s="176" t="s">
        <v>28</v>
      </c>
      <c r="B74" s="176" t="s">
        <v>329</v>
      </c>
      <c r="C74" s="177">
        <v>0.52777777777777779</v>
      </c>
      <c r="D74" s="176" t="s">
        <v>30</v>
      </c>
      <c r="E74" s="178"/>
      <c r="F74" s="176" t="s">
        <v>31</v>
      </c>
      <c r="G74" s="229"/>
      <c r="H74" s="49" t="s">
        <v>329</v>
      </c>
      <c r="I74" s="101">
        <v>0.35</v>
      </c>
      <c r="J74" s="51">
        <v>63</v>
      </c>
      <c r="K74" s="52" t="s">
        <v>253</v>
      </c>
      <c r="L74" s="51">
        <v>4</v>
      </c>
      <c r="M74" s="51">
        <v>0</v>
      </c>
      <c r="N74" s="51">
        <v>0</v>
      </c>
      <c r="O74" s="53" t="s">
        <v>171</v>
      </c>
      <c r="P74" s="54">
        <v>0.52777777777777779</v>
      </c>
      <c r="Q74" s="51">
        <v>180</v>
      </c>
      <c r="R74" s="55" t="s">
        <v>365</v>
      </c>
    </row>
    <row r="75" spans="1:18" ht="17.399999999999999" customHeight="1" thickBot="1" x14ac:dyDescent="0.35">
      <c r="A75" s="245"/>
      <c r="B75" s="246"/>
      <c r="C75" s="246"/>
      <c r="D75" s="246"/>
      <c r="E75" s="246"/>
      <c r="F75" s="246"/>
      <c r="G75" s="246"/>
      <c r="H75" s="246"/>
      <c r="I75" s="246"/>
      <c r="J75" s="246"/>
      <c r="K75" s="246"/>
      <c r="L75" s="246"/>
      <c r="M75" s="246"/>
      <c r="N75" s="246"/>
      <c r="O75" s="246"/>
      <c r="P75" s="246"/>
      <c r="Q75" s="246"/>
      <c r="R75" s="247"/>
    </row>
    <row r="76" spans="1:18" ht="22.05" customHeight="1" thickTop="1" thickBot="1" x14ac:dyDescent="0.35">
      <c r="A76" s="213" t="s">
        <v>8</v>
      </c>
      <c r="B76" s="214"/>
      <c r="C76" s="214"/>
      <c r="D76" s="214"/>
      <c r="E76" s="214"/>
      <c r="F76" s="215"/>
      <c r="G76" s="18">
        <v>45998</v>
      </c>
      <c r="H76" s="216" t="s">
        <v>9</v>
      </c>
      <c r="I76" s="214"/>
      <c r="J76" s="214"/>
      <c r="K76" s="214"/>
      <c r="L76" s="214"/>
      <c r="M76" s="214"/>
      <c r="N76" s="214"/>
      <c r="O76" s="214"/>
      <c r="P76" s="214"/>
      <c r="Q76" s="214"/>
      <c r="R76" s="215"/>
    </row>
    <row r="77" spans="1:18" ht="24" customHeight="1" x14ac:dyDescent="0.3">
      <c r="A77" s="19" t="s">
        <v>10</v>
      </c>
      <c r="B77" s="19" t="s">
        <v>11</v>
      </c>
      <c r="C77" s="20" t="s">
        <v>12</v>
      </c>
      <c r="D77" s="19" t="s">
        <v>13</v>
      </c>
      <c r="E77" s="19" t="s">
        <v>14</v>
      </c>
      <c r="F77" s="21" t="s">
        <v>15</v>
      </c>
      <c r="G77" s="22" t="s">
        <v>16</v>
      </c>
      <c r="H77" s="19" t="s">
        <v>17</v>
      </c>
      <c r="I77" s="23" t="s">
        <v>18</v>
      </c>
      <c r="J77" s="24" t="s">
        <v>19</v>
      </c>
      <c r="K77" s="25" t="s">
        <v>20</v>
      </c>
      <c r="L77" s="24" t="s">
        <v>21</v>
      </c>
      <c r="M77" s="24" t="s">
        <v>22</v>
      </c>
      <c r="N77" s="24" t="s">
        <v>23</v>
      </c>
      <c r="O77" s="19" t="s">
        <v>24</v>
      </c>
      <c r="P77" s="20" t="s">
        <v>25</v>
      </c>
      <c r="Q77" s="24" t="s">
        <v>26</v>
      </c>
      <c r="R77" s="19" t="s">
        <v>27</v>
      </c>
    </row>
    <row r="78" spans="1:18" ht="49.95" customHeight="1" x14ac:dyDescent="0.3">
      <c r="A78" s="46" t="s">
        <v>28</v>
      </c>
      <c r="B78" s="46" t="s">
        <v>327</v>
      </c>
      <c r="C78" s="47">
        <v>0.3298611111111111</v>
      </c>
      <c r="D78" s="46" t="s">
        <v>30</v>
      </c>
      <c r="E78" s="48"/>
      <c r="F78" s="46" t="s">
        <v>31</v>
      </c>
      <c r="G78" s="221"/>
      <c r="H78" s="179" t="s">
        <v>327</v>
      </c>
      <c r="I78" s="180">
        <v>0.78890000000000005</v>
      </c>
      <c r="J78" s="181">
        <v>142</v>
      </c>
      <c r="K78" s="182" t="s">
        <v>32</v>
      </c>
      <c r="L78" s="181">
        <v>3</v>
      </c>
      <c r="M78" s="181">
        <v>0</v>
      </c>
      <c r="N78" s="181">
        <v>3</v>
      </c>
      <c r="O78" s="183" t="s">
        <v>165</v>
      </c>
      <c r="P78" s="184">
        <v>0.3298611111111111</v>
      </c>
      <c r="Q78" s="181">
        <v>180</v>
      </c>
      <c r="R78" s="185" t="s">
        <v>366</v>
      </c>
    </row>
    <row r="79" spans="1:18" ht="49.95" customHeight="1" thickBot="1" x14ac:dyDescent="0.35">
      <c r="A79" s="186" t="s">
        <v>28</v>
      </c>
      <c r="B79" s="186" t="s">
        <v>329</v>
      </c>
      <c r="C79" s="187">
        <v>0.69097222222222221</v>
      </c>
      <c r="D79" s="186" t="s">
        <v>30</v>
      </c>
      <c r="E79" s="188"/>
      <c r="F79" s="186" t="s">
        <v>31</v>
      </c>
      <c r="G79" s="229"/>
      <c r="H79" s="71" t="s">
        <v>329</v>
      </c>
      <c r="I79" s="102">
        <v>0.71109999999999995</v>
      </c>
      <c r="J79" s="73">
        <v>128</v>
      </c>
      <c r="K79" s="74" t="s">
        <v>32</v>
      </c>
      <c r="L79" s="73">
        <v>35</v>
      </c>
      <c r="M79" s="73">
        <v>0</v>
      </c>
      <c r="N79" s="73">
        <v>5</v>
      </c>
      <c r="O79" s="75" t="s">
        <v>105</v>
      </c>
      <c r="P79" s="76">
        <v>0.69097222222222221</v>
      </c>
      <c r="Q79" s="73">
        <v>180</v>
      </c>
      <c r="R79" s="77" t="s">
        <v>367</v>
      </c>
    </row>
    <row r="80" spans="1:18" ht="17.399999999999999" customHeight="1" thickBot="1" x14ac:dyDescent="0.35">
      <c r="A80" s="245"/>
      <c r="B80" s="246"/>
      <c r="C80" s="246"/>
      <c r="D80" s="246"/>
      <c r="E80" s="246"/>
      <c r="F80" s="246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246"/>
      <c r="R80" s="247"/>
    </row>
    <row r="81" spans="1:18" ht="22.05" customHeight="1" thickTop="1" thickBot="1" x14ac:dyDescent="0.35">
      <c r="A81" s="213" t="s">
        <v>8</v>
      </c>
      <c r="B81" s="214"/>
      <c r="C81" s="214"/>
      <c r="D81" s="214"/>
      <c r="E81" s="214"/>
      <c r="F81" s="215"/>
      <c r="G81" s="18">
        <v>45999</v>
      </c>
      <c r="H81" s="216" t="s">
        <v>9</v>
      </c>
      <c r="I81" s="214"/>
      <c r="J81" s="214"/>
      <c r="K81" s="214"/>
      <c r="L81" s="214"/>
      <c r="M81" s="214"/>
      <c r="N81" s="214"/>
      <c r="O81" s="214"/>
      <c r="P81" s="214"/>
      <c r="Q81" s="214"/>
      <c r="R81" s="215"/>
    </row>
    <row r="82" spans="1:18" ht="24" customHeight="1" x14ac:dyDescent="0.3">
      <c r="A82" s="19" t="s">
        <v>10</v>
      </c>
      <c r="B82" s="19" t="s">
        <v>11</v>
      </c>
      <c r="C82" s="20" t="s">
        <v>12</v>
      </c>
      <c r="D82" s="19" t="s">
        <v>13</v>
      </c>
      <c r="E82" s="19" t="s">
        <v>14</v>
      </c>
      <c r="F82" s="21" t="s">
        <v>15</v>
      </c>
      <c r="G82" s="22" t="s">
        <v>16</v>
      </c>
      <c r="H82" s="19" t="s">
        <v>17</v>
      </c>
      <c r="I82" s="23" t="s">
        <v>18</v>
      </c>
      <c r="J82" s="24" t="s">
        <v>19</v>
      </c>
      <c r="K82" s="25" t="s">
        <v>20</v>
      </c>
      <c r="L82" s="24" t="s">
        <v>21</v>
      </c>
      <c r="M82" s="24" t="s">
        <v>22</v>
      </c>
      <c r="N82" s="24" t="s">
        <v>23</v>
      </c>
      <c r="O82" s="19" t="s">
        <v>24</v>
      </c>
      <c r="P82" s="20" t="s">
        <v>25</v>
      </c>
      <c r="Q82" s="24" t="s">
        <v>26</v>
      </c>
      <c r="R82" s="19" t="s">
        <v>27</v>
      </c>
    </row>
    <row r="83" spans="1:18" ht="49.95" customHeight="1" x14ac:dyDescent="0.3">
      <c r="A83" s="78" t="s">
        <v>28</v>
      </c>
      <c r="B83" s="78" t="s">
        <v>327</v>
      </c>
      <c r="C83" s="79">
        <v>9.375E-2</v>
      </c>
      <c r="D83" s="78" t="s">
        <v>30</v>
      </c>
      <c r="E83" s="80"/>
      <c r="F83" s="78" t="s">
        <v>31</v>
      </c>
      <c r="G83" s="221"/>
      <c r="H83" s="152" t="s">
        <v>327</v>
      </c>
      <c r="I83" s="171">
        <v>0.38329999999999997</v>
      </c>
      <c r="J83" s="154">
        <v>69</v>
      </c>
      <c r="K83" s="155" t="s">
        <v>32</v>
      </c>
      <c r="L83" s="154">
        <v>14</v>
      </c>
      <c r="M83" s="154">
        <v>0</v>
      </c>
      <c r="N83" s="154">
        <v>7</v>
      </c>
      <c r="O83" s="156" t="s">
        <v>141</v>
      </c>
      <c r="P83" s="157">
        <v>9.375E-2</v>
      </c>
      <c r="Q83" s="154">
        <v>180</v>
      </c>
      <c r="R83" s="158" t="s">
        <v>368</v>
      </c>
    </row>
    <row r="84" spans="1:18" ht="49.95" customHeight="1" x14ac:dyDescent="0.3">
      <c r="A84" s="189" t="s">
        <v>28</v>
      </c>
      <c r="B84" s="189" t="s">
        <v>333</v>
      </c>
      <c r="C84" s="190">
        <v>0.34722222222222232</v>
      </c>
      <c r="D84" s="189" t="s">
        <v>30</v>
      </c>
      <c r="E84" s="191"/>
      <c r="F84" s="189" t="s">
        <v>54</v>
      </c>
      <c r="G84" s="230"/>
      <c r="H84" s="134" t="s">
        <v>333</v>
      </c>
      <c r="I84" s="192">
        <v>0.18890000000000001</v>
      </c>
      <c r="J84" s="136">
        <v>34</v>
      </c>
      <c r="K84" s="137" t="s">
        <v>32</v>
      </c>
      <c r="L84" s="136">
        <v>27</v>
      </c>
      <c r="M84" s="136">
        <v>0</v>
      </c>
      <c r="N84" s="136">
        <v>1</v>
      </c>
      <c r="O84" s="138" t="s">
        <v>298</v>
      </c>
      <c r="P84" s="139">
        <v>0.34722222222222232</v>
      </c>
      <c r="Q84" s="136">
        <v>180</v>
      </c>
      <c r="R84" s="140" t="s">
        <v>369</v>
      </c>
    </row>
    <row r="85" spans="1:18" ht="49.95" customHeight="1" thickBot="1" x14ac:dyDescent="0.35">
      <c r="A85" s="176" t="s">
        <v>28</v>
      </c>
      <c r="B85" s="176" t="s">
        <v>335</v>
      </c>
      <c r="C85" s="177">
        <v>0.58333333333333337</v>
      </c>
      <c r="D85" s="176" t="s">
        <v>30</v>
      </c>
      <c r="E85" s="178"/>
      <c r="F85" s="176" t="s">
        <v>54</v>
      </c>
      <c r="G85" s="229"/>
      <c r="H85" s="49" t="s">
        <v>335</v>
      </c>
      <c r="I85" s="101">
        <v>0.2722</v>
      </c>
      <c r="J85" s="51">
        <v>49</v>
      </c>
      <c r="K85" s="52" t="s">
        <v>32</v>
      </c>
      <c r="L85" s="51">
        <v>1</v>
      </c>
      <c r="M85" s="51">
        <v>0</v>
      </c>
      <c r="N85" s="51">
        <v>1</v>
      </c>
      <c r="O85" s="53" t="s">
        <v>165</v>
      </c>
      <c r="P85" s="54">
        <v>0.58333333333333337</v>
      </c>
      <c r="Q85" s="51">
        <v>180</v>
      </c>
      <c r="R85" s="55" t="s">
        <v>370</v>
      </c>
    </row>
    <row r="86" spans="1:18" ht="17.399999999999999" customHeight="1" thickBot="1" x14ac:dyDescent="0.35">
      <c r="A86" s="245"/>
      <c r="B86" s="246"/>
      <c r="C86" s="246"/>
      <c r="D86" s="246"/>
      <c r="E86" s="246"/>
      <c r="F86" s="246"/>
      <c r="G86" s="246"/>
      <c r="H86" s="246"/>
      <c r="I86" s="246"/>
      <c r="J86" s="246"/>
      <c r="K86" s="246"/>
      <c r="L86" s="246"/>
      <c r="M86" s="246"/>
      <c r="N86" s="246"/>
      <c r="O86" s="246"/>
      <c r="P86" s="246"/>
      <c r="Q86" s="246"/>
      <c r="R86" s="247"/>
    </row>
    <row r="87" spans="1:18" ht="22.05" customHeight="1" thickTop="1" thickBot="1" x14ac:dyDescent="0.35">
      <c r="A87" s="213" t="s">
        <v>8</v>
      </c>
      <c r="B87" s="214"/>
      <c r="C87" s="214"/>
      <c r="D87" s="214"/>
      <c r="E87" s="214"/>
      <c r="F87" s="215"/>
      <c r="G87" s="18">
        <v>46000</v>
      </c>
      <c r="H87" s="216" t="s">
        <v>9</v>
      </c>
      <c r="I87" s="214"/>
      <c r="J87" s="214"/>
      <c r="K87" s="214"/>
      <c r="L87" s="214"/>
      <c r="M87" s="214"/>
      <c r="N87" s="214"/>
      <c r="O87" s="214"/>
      <c r="P87" s="214"/>
      <c r="Q87" s="214"/>
      <c r="R87" s="215"/>
    </row>
    <row r="88" spans="1:18" ht="24" customHeight="1" x14ac:dyDescent="0.3">
      <c r="A88" s="19" t="s">
        <v>10</v>
      </c>
      <c r="B88" s="19" t="s">
        <v>11</v>
      </c>
      <c r="C88" s="20" t="s">
        <v>12</v>
      </c>
      <c r="D88" s="19" t="s">
        <v>13</v>
      </c>
      <c r="E88" s="19" t="s">
        <v>14</v>
      </c>
      <c r="F88" s="21" t="s">
        <v>15</v>
      </c>
      <c r="G88" s="22" t="s">
        <v>16</v>
      </c>
      <c r="H88" s="19" t="s">
        <v>17</v>
      </c>
      <c r="I88" s="23" t="s">
        <v>18</v>
      </c>
      <c r="J88" s="24" t="s">
        <v>19</v>
      </c>
      <c r="K88" s="25" t="s">
        <v>20</v>
      </c>
      <c r="L88" s="24" t="s">
        <v>21</v>
      </c>
      <c r="M88" s="24" t="s">
        <v>22</v>
      </c>
      <c r="N88" s="24" t="s">
        <v>23</v>
      </c>
      <c r="O88" s="19" t="s">
        <v>24</v>
      </c>
      <c r="P88" s="20" t="s">
        <v>25</v>
      </c>
      <c r="Q88" s="24" t="s">
        <v>26</v>
      </c>
      <c r="R88" s="19" t="s">
        <v>27</v>
      </c>
    </row>
    <row r="89" spans="1:18" ht="49.95" customHeight="1" x14ac:dyDescent="0.3">
      <c r="A89" s="58" t="s">
        <v>28</v>
      </c>
      <c r="B89" s="58" t="s">
        <v>335</v>
      </c>
      <c r="C89" s="59">
        <v>0.16666666666666671</v>
      </c>
      <c r="D89" s="58" t="s">
        <v>30</v>
      </c>
      <c r="E89" s="60"/>
      <c r="F89" s="58" t="s">
        <v>277</v>
      </c>
      <c r="G89" s="221"/>
      <c r="H89" s="193" t="s">
        <v>335</v>
      </c>
      <c r="I89" s="194">
        <v>1.0056</v>
      </c>
      <c r="J89" s="195">
        <v>181</v>
      </c>
      <c r="K89" s="196" t="s">
        <v>371</v>
      </c>
      <c r="L89" s="195">
        <v>2</v>
      </c>
      <c r="M89" s="195">
        <v>0</v>
      </c>
      <c r="N89" s="195">
        <v>0</v>
      </c>
      <c r="O89" s="197" t="s">
        <v>278</v>
      </c>
      <c r="P89" s="198">
        <v>0.16666666666666671</v>
      </c>
      <c r="Q89" s="195">
        <v>180</v>
      </c>
      <c r="R89" s="199" t="s">
        <v>372</v>
      </c>
    </row>
    <row r="90" spans="1:18" ht="49.95" customHeight="1" thickBot="1" x14ac:dyDescent="0.35">
      <c r="A90" s="144" t="s">
        <v>28</v>
      </c>
      <c r="B90" s="144" t="s">
        <v>329</v>
      </c>
      <c r="C90" s="145">
        <v>0.52777777777777779</v>
      </c>
      <c r="D90" s="144" t="s">
        <v>30</v>
      </c>
      <c r="E90" s="146"/>
      <c r="F90" s="144" t="s">
        <v>188</v>
      </c>
      <c r="G90" s="229"/>
      <c r="H90" s="39" t="s">
        <v>329</v>
      </c>
      <c r="I90" s="103">
        <v>0.88890000000000002</v>
      </c>
      <c r="J90" s="41">
        <v>160</v>
      </c>
      <c r="K90" s="42" t="s">
        <v>32</v>
      </c>
      <c r="L90" s="41">
        <v>19</v>
      </c>
      <c r="M90" s="41">
        <v>0</v>
      </c>
      <c r="N90" s="41">
        <v>2</v>
      </c>
      <c r="O90" s="43" t="s">
        <v>148</v>
      </c>
      <c r="P90" s="44">
        <v>0.52777777777777779</v>
      </c>
      <c r="Q90" s="41">
        <v>180</v>
      </c>
      <c r="R90" s="45" t="s">
        <v>373</v>
      </c>
    </row>
    <row r="91" spans="1:18" ht="17.399999999999999" customHeight="1" thickBot="1" x14ac:dyDescent="0.35">
      <c r="A91" s="245"/>
      <c r="B91" s="246"/>
      <c r="C91" s="246"/>
      <c r="D91" s="246"/>
      <c r="E91" s="246"/>
      <c r="F91" s="246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247"/>
    </row>
    <row r="92" spans="1:18" ht="22.05" customHeight="1" thickTop="1" thickBot="1" x14ac:dyDescent="0.35">
      <c r="A92" s="213" t="s">
        <v>8</v>
      </c>
      <c r="B92" s="214"/>
      <c r="C92" s="214"/>
      <c r="D92" s="214"/>
      <c r="E92" s="214"/>
      <c r="F92" s="215"/>
      <c r="G92" s="18">
        <v>46001</v>
      </c>
      <c r="H92" s="216" t="s">
        <v>9</v>
      </c>
      <c r="I92" s="214"/>
      <c r="J92" s="214"/>
      <c r="K92" s="214"/>
      <c r="L92" s="214"/>
      <c r="M92" s="214"/>
      <c r="N92" s="214"/>
      <c r="O92" s="214"/>
      <c r="P92" s="214"/>
      <c r="Q92" s="214"/>
      <c r="R92" s="215"/>
    </row>
    <row r="93" spans="1:18" ht="24" customHeight="1" x14ac:dyDescent="0.3">
      <c r="A93" s="19" t="s">
        <v>10</v>
      </c>
      <c r="B93" s="19" t="s">
        <v>11</v>
      </c>
      <c r="C93" s="20" t="s">
        <v>12</v>
      </c>
      <c r="D93" s="19" t="s">
        <v>13</v>
      </c>
      <c r="E93" s="19" t="s">
        <v>14</v>
      </c>
      <c r="F93" s="21" t="s">
        <v>15</v>
      </c>
      <c r="G93" s="22" t="s">
        <v>16</v>
      </c>
      <c r="H93" s="19" t="s">
        <v>17</v>
      </c>
      <c r="I93" s="23" t="s">
        <v>18</v>
      </c>
      <c r="J93" s="24" t="s">
        <v>19</v>
      </c>
      <c r="K93" s="25" t="s">
        <v>20</v>
      </c>
      <c r="L93" s="24" t="s">
        <v>21</v>
      </c>
      <c r="M93" s="24" t="s">
        <v>22</v>
      </c>
      <c r="N93" s="24" t="s">
        <v>23</v>
      </c>
      <c r="O93" s="19" t="s">
        <v>24</v>
      </c>
      <c r="P93" s="20" t="s">
        <v>25</v>
      </c>
      <c r="Q93" s="24" t="s">
        <v>26</v>
      </c>
      <c r="R93" s="19" t="s">
        <v>27</v>
      </c>
    </row>
    <row r="94" spans="1:18" ht="49.95" customHeight="1" x14ac:dyDescent="0.3">
      <c r="A94" s="8" t="s">
        <v>28</v>
      </c>
      <c r="B94" s="8" t="s">
        <v>335</v>
      </c>
      <c r="C94" s="9">
        <v>0.1076388888888889</v>
      </c>
      <c r="D94" s="8" t="s">
        <v>30</v>
      </c>
      <c r="E94" s="10"/>
      <c r="F94" s="8" t="s">
        <v>277</v>
      </c>
      <c r="G94" s="221"/>
      <c r="H94" s="116" t="s">
        <v>335</v>
      </c>
      <c r="I94" s="117">
        <v>1</v>
      </c>
      <c r="J94" s="118">
        <v>180</v>
      </c>
      <c r="K94" s="119" t="s">
        <v>374</v>
      </c>
      <c r="L94" s="118">
        <v>0</v>
      </c>
      <c r="M94" s="118">
        <v>0</v>
      </c>
      <c r="N94" s="118">
        <v>0</v>
      </c>
      <c r="O94" s="120" t="s">
        <v>278</v>
      </c>
      <c r="P94" s="121">
        <v>0.1076388888888889</v>
      </c>
      <c r="Q94" s="118">
        <v>180</v>
      </c>
      <c r="R94" s="122" t="s">
        <v>375</v>
      </c>
    </row>
    <row r="95" spans="1:18" ht="49.95" customHeight="1" x14ac:dyDescent="0.3">
      <c r="A95" s="200" t="s">
        <v>28</v>
      </c>
      <c r="B95" s="200" t="s">
        <v>327</v>
      </c>
      <c r="C95" s="201">
        <v>0.49652777777777768</v>
      </c>
      <c r="D95" s="200" t="s">
        <v>30</v>
      </c>
      <c r="E95" s="202"/>
      <c r="F95" s="200" t="s">
        <v>31</v>
      </c>
      <c r="G95" s="230"/>
      <c r="H95" s="193" t="s">
        <v>327</v>
      </c>
      <c r="I95" s="203">
        <v>0.8</v>
      </c>
      <c r="J95" s="195">
        <v>144</v>
      </c>
      <c r="K95" s="196" t="s">
        <v>376</v>
      </c>
      <c r="L95" s="195">
        <v>0</v>
      </c>
      <c r="M95" s="195">
        <v>0</v>
      </c>
      <c r="N95" s="195">
        <v>0</v>
      </c>
      <c r="O95" s="197" t="s">
        <v>237</v>
      </c>
      <c r="P95" s="198">
        <v>0.49652777777777768</v>
      </c>
      <c r="Q95" s="195">
        <v>180</v>
      </c>
      <c r="R95" s="199" t="s">
        <v>377</v>
      </c>
    </row>
    <row r="96" spans="1:18" ht="49.95" customHeight="1" thickBot="1" x14ac:dyDescent="0.35">
      <c r="A96" s="126" t="s">
        <v>28</v>
      </c>
      <c r="B96" s="126" t="s">
        <v>333</v>
      </c>
      <c r="C96" s="127">
        <v>0.92361111111111116</v>
      </c>
      <c r="D96" s="126" t="s">
        <v>30</v>
      </c>
      <c r="E96" s="128"/>
      <c r="F96" s="126" t="s">
        <v>54</v>
      </c>
      <c r="G96" s="229"/>
      <c r="H96" s="81" t="s">
        <v>333</v>
      </c>
      <c r="I96" s="82">
        <v>6.1100000000000002E-2</v>
      </c>
      <c r="J96" s="83">
        <v>11</v>
      </c>
      <c r="K96" s="84" t="s">
        <v>45</v>
      </c>
      <c r="L96" s="83">
        <v>10</v>
      </c>
      <c r="M96" s="83">
        <v>1</v>
      </c>
      <c r="N96" s="83">
        <v>0</v>
      </c>
      <c r="O96" s="85" t="s">
        <v>225</v>
      </c>
      <c r="P96" s="86">
        <v>0.92361111111111116</v>
      </c>
      <c r="Q96" s="83">
        <v>180</v>
      </c>
      <c r="R96" s="87" t="s">
        <v>378</v>
      </c>
    </row>
    <row r="97" spans="1:18" ht="17.399999999999999" customHeight="1" thickBot="1" x14ac:dyDescent="0.35">
      <c r="A97" s="245"/>
      <c r="B97" s="246"/>
      <c r="C97" s="246"/>
      <c r="D97" s="246"/>
      <c r="E97" s="246"/>
      <c r="F97" s="246"/>
      <c r="G97" s="246"/>
      <c r="H97" s="246"/>
      <c r="I97" s="246"/>
      <c r="J97" s="246"/>
      <c r="K97" s="246"/>
      <c r="L97" s="246"/>
      <c r="M97" s="246"/>
      <c r="N97" s="246"/>
      <c r="O97" s="246"/>
      <c r="P97" s="246"/>
      <c r="Q97" s="246"/>
      <c r="R97" s="247"/>
    </row>
    <row r="98" spans="1:18" ht="22.05" customHeight="1" thickTop="1" thickBot="1" x14ac:dyDescent="0.35">
      <c r="A98" s="213" t="s">
        <v>8</v>
      </c>
      <c r="B98" s="214"/>
      <c r="C98" s="214"/>
      <c r="D98" s="214"/>
      <c r="E98" s="214"/>
      <c r="F98" s="215"/>
      <c r="G98" s="18">
        <v>46002</v>
      </c>
      <c r="H98" s="216" t="s">
        <v>9</v>
      </c>
      <c r="I98" s="214"/>
      <c r="J98" s="214"/>
      <c r="K98" s="214"/>
      <c r="L98" s="214"/>
      <c r="M98" s="214"/>
      <c r="N98" s="214"/>
      <c r="O98" s="214"/>
      <c r="P98" s="214"/>
      <c r="Q98" s="214"/>
      <c r="R98" s="215"/>
    </row>
    <row r="99" spans="1:18" ht="24" customHeight="1" x14ac:dyDescent="0.3">
      <c r="A99" s="19" t="s">
        <v>10</v>
      </c>
      <c r="B99" s="19" t="s">
        <v>11</v>
      </c>
      <c r="C99" s="20" t="s">
        <v>12</v>
      </c>
      <c r="D99" s="19" t="s">
        <v>13</v>
      </c>
      <c r="E99" s="19" t="s">
        <v>14</v>
      </c>
      <c r="F99" s="21" t="s">
        <v>15</v>
      </c>
      <c r="G99" s="22" t="s">
        <v>16</v>
      </c>
      <c r="H99" s="19" t="s">
        <v>17</v>
      </c>
      <c r="I99" s="23" t="s">
        <v>18</v>
      </c>
      <c r="J99" s="24" t="s">
        <v>19</v>
      </c>
      <c r="K99" s="25" t="s">
        <v>20</v>
      </c>
      <c r="L99" s="24" t="s">
        <v>21</v>
      </c>
      <c r="M99" s="24" t="s">
        <v>22</v>
      </c>
      <c r="N99" s="24" t="s">
        <v>23</v>
      </c>
      <c r="O99" s="19" t="s">
        <v>24</v>
      </c>
      <c r="P99" s="20" t="s">
        <v>25</v>
      </c>
      <c r="Q99" s="24" t="s">
        <v>26</v>
      </c>
      <c r="R99" s="19" t="s">
        <v>27</v>
      </c>
    </row>
    <row r="100" spans="1:18" ht="49.95" customHeight="1" x14ac:dyDescent="0.3">
      <c r="A100" s="91" t="s">
        <v>28</v>
      </c>
      <c r="B100" s="91" t="s">
        <v>335</v>
      </c>
      <c r="C100" s="92">
        <v>0.3576388888888889</v>
      </c>
      <c r="D100" s="91" t="s">
        <v>30</v>
      </c>
      <c r="E100" s="93"/>
      <c r="F100" s="91" t="s">
        <v>31</v>
      </c>
      <c r="G100" s="221"/>
      <c r="H100" s="163" t="s">
        <v>335</v>
      </c>
      <c r="I100" s="164">
        <v>0.55559999999999998</v>
      </c>
      <c r="J100" s="165">
        <v>100</v>
      </c>
      <c r="K100" s="166" t="s">
        <v>32</v>
      </c>
      <c r="L100" s="165">
        <v>10</v>
      </c>
      <c r="M100" s="165">
        <v>0</v>
      </c>
      <c r="N100" s="165">
        <v>8</v>
      </c>
      <c r="O100" s="167" t="s">
        <v>239</v>
      </c>
      <c r="P100" s="168">
        <v>0.3576388888888889</v>
      </c>
      <c r="Q100" s="165">
        <v>180</v>
      </c>
      <c r="R100" s="169" t="s">
        <v>379</v>
      </c>
    </row>
    <row r="101" spans="1:18" ht="49.95" customHeight="1" thickBot="1" x14ac:dyDescent="0.35">
      <c r="A101" s="112" t="s">
        <v>28</v>
      </c>
      <c r="B101" s="112" t="s">
        <v>329</v>
      </c>
      <c r="C101" s="113">
        <v>0.54861111111111105</v>
      </c>
      <c r="D101" s="112" t="s">
        <v>30</v>
      </c>
      <c r="E101" s="114"/>
      <c r="F101" s="112" t="s">
        <v>31</v>
      </c>
      <c r="G101" s="229"/>
      <c r="H101" s="11" t="s">
        <v>329</v>
      </c>
      <c r="I101" s="12">
        <v>0.6</v>
      </c>
      <c r="J101" s="13">
        <v>108</v>
      </c>
      <c r="K101" s="14" t="s">
        <v>32</v>
      </c>
      <c r="L101" s="13">
        <v>17</v>
      </c>
      <c r="M101" s="13">
        <v>0</v>
      </c>
      <c r="N101" s="13">
        <v>7</v>
      </c>
      <c r="O101" s="15" t="s">
        <v>240</v>
      </c>
      <c r="P101" s="16">
        <v>0.54861111111111105</v>
      </c>
      <c r="Q101" s="13">
        <v>180</v>
      </c>
      <c r="R101" s="17" t="s">
        <v>380</v>
      </c>
    </row>
    <row r="102" spans="1:18" ht="17.399999999999999" customHeight="1" thickBot="1" x14ac:dyDescent="0.35">
      <c r="A102" s="245"/>
      <c r="B102" s="246"/>
      <c r="C102" s="246"/>
      <c r="D102" s="246"/>
      <c r="E102" s="246"/>
      <c r="F102" s="246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46"/>
      <c r="R102" s="247"/>
    </row>
    <row r="103" spans="1:18" ht="22.05" customHeight="1" thickTop="1" thickBot="1" x14ac:dyDescent="0.35">
      <c r="A103" s="213" t="s">
        <v>8</v>
      </c>
      <c r="B103" s="214"/>
      <c r="C103" s="214"/>
      <c r="D103" s="214"/>
      <c r="E103" s="214"/>
      <c r="F103" s="215"/>
      <c r="G103" s="18">
        <v>46003</v>
      </c>
      <c r="H103" s="216" t="s">
        <v>9</v>
      </c>
      <c r="I103" s="214"/>
      <c r="J103" s="214"/>
      <c r="K103" s="214"/>
      <c r="L103" s="214"/>
      <c r="M103" s="214"/>
      <c r="N103" s="214"/>
      <c r="O103" s="214"/>
      <c r="P103" s="214"/>
      <c r="Q103" s="214"/>
      <c r="R103" s="215"/>
    </row>
    <row r="104" spans="1:18" ht="24" customHeight="1" x14ac:dyDescent="0.3">
      <c r="A104" s="19" t="s">
        <v>10</v>
      </c>
      <c r="B104" s="19" t="s">
        <v>11</v>
      </c>
      <c r="C104" s="20" t="s">
        <v>12</v>
      </c>
      <c r="D104" s="19" t="s">
        <v>13</v>
      </c>
      <c r="E104" s="19" t="s">
        <v>14</v>
      </c>
      <c r="F104" s="21" t="s">
        <v>15</v>
      </c>
      <c r="G104" s="22" t="s">
        <v>16</v>
      </c>
      <c r="H104" s="19" t="s">
        <v>17</v>
      </c>
      <c r="I104" s="23" t="s">
        <v>18</v>
      </c>
      <c r="J104" s="24" t="s">
        <v>19</v>
      </c>
      <c r="K104" s="25" t="s">
        <v>20</v>
      </c>
      <c r="L104" s="24" t="s">
        <v>21</v>
      </c>
      <c r="M104" s="24" t="s">
        <v>22</v>
      </c>
      <c r="N104" s="24" t="s">
        <v>23</v>
      </c>
      <c r="O104" s="19" t="s">
        <v>24</v>
      </c>
      <c r="P104" s="20" t="s">
        <v>25</v>
      </c>
      <c r="Q104" s="24" t="s">
        <v>26</v>
      </c>
      <c r="R104" s="19" t="s">
        <v>27</v>
      </c>
    </row>
    <row r="105" spans="1:18" ht="49.95" customHeight="1" thickTop="1" thickBot="1" x14ac:dyDescent="0.35">
      <c r="A105" s="8" t="s">
        <v>28</v>
      </c>
      <c r="B105" s="8" t="s">
        <v>327</v>
      </c>
      <c r="C105" s="9">
        <v>0.13541666666666671</v>
      </c>
      <c r="D105" s="8" t="s">
        <v>30</v>
      </c>
      <c r="E105" s="10"/>
      <c r="F105" s="8" t="s">
        <v>54</v>
      </c>
      <c r="G105" s="221"/>
      <c r="H105" s="11" t="s">
        <v>327</v>
      </c>
      <c r="I105" s="90">
        <v>0.1167</v>
      </c>
      <c r="J105" s="13">
        <v>21</v>
      </c>
      <c r="K105" s="14" t="s">
        <v>32</v>
      </c>
      <c r="L105" s="13">
        <v>11</v>
      </c>
      <c r="M105" s="13">
        <v>0</v>
      </c>
      <c r="N105" s="13">
        <v>1</v>
      </c>
      <c r="O105" s="15" t="s">
        <v>116</v>
      </c>
      <c r="P105" s="16">
        <v>0.13541666666666671</v>
      </c>
      <c r="Q105" s="13">
        <v>180</v>
      </c>
      <c r="R105" s="17" t="s">
        <v>381</v>
      </c>
    </row>
    <row r="106" spans="1:18" ht="17.399999999999999" customHeight="1" thickBot="1" x14ac:dyDescent="0.35">
      <c r="A106" s="245"/>
      <c r="B106" s="246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6"/>
      <c r="O106" s="246"/>
      <c r="P106" s="246"/>
      <c r="Q106" s="246"/>
      <c r="R106" s="247"/>
    </row>
    <row r="107" spans="1:18" ht="22.05" customHeight="1" thickTop="1" thickBot="1" x14ac:dyDescent="0.35">
      <c r="A107" s="213" t="s">
        <v>8</v>
      </c>
      <c r="B107" s="214"/>
      <c r="C107" s="214"/>
      <c r="D107" s="214"/>
      <c r="E107" s="214"/>
      <c r="F107" s="215"/>
      <c r="G107" s="18">
        <v>46004</v>
      </c>
      <c r="H107" s="216" t="s">
        <v>9</v>
      </c>
      <c r="I107" s="214"/>
      <c r="J107" s="214"/>
      <c r="K107" s="214"/>
      <c r="L107" s="214"/>
      <c r="M107" s="214"/>
      <c r="N107" s="214"/>
      <c r="O107" s="214"/>
      <c r="P107" s="214"/>
      <c r="Q107" s="214"/>
      <c r="R107" s="215"/>
    </row>
    <row r="108" spans="1:18" ht="24" customHeight="1" x14ac:dyDescent="0.3">
      <c r="A108" s="19" t="s">
        <v>10</v>
      </c>
      <c r="B108" s="19" t="s">
        <v>11</v>
      </c>
      <c r="C108" s="20" t="s">
        <v>12</v>
      </c>
      <c r="D108" s="19" t="s">
        <v>13</v>
      </c>
      <c r="E108" s="19" t="s">
        <v>14</v>
      </c>
      <c r="F108" s="21" t="s">
        <v>15</v>
      </c>
      <c r="G108" s="22" t="s">
        <v>16</v>
      </c>
      <c r="H108" s="19" t="s">
        <v>17</v>
      </c>
      <c r="I108" s="23" t="s">
        <v>18</v>
      </c>
      <c r="J108" s="24" t="s">
        <v>19</v>
      </c>
      <c r="K108" s="25" t="s">
        <v>20</v>
      </c>
      <c r="L108" s="24" t="s">
        <v>21</v>
      </c>
      <c r="M108" s="24" t="s">
        <v>22</v>
      </c>
      <c r="N108" s="24" t="s">
        <v>23</v>
      </c>
      <c r="O108" s="19" t="s">
        <v>24</v>
      </c>
      <c r="P108" s="20" t="s">
        <v>25</v>
      </c>
      <c r="Q108" s="24" t="s">
        <v>26</v>
      </c>
      <c r="R108" s="19" t="s">
        <v>27</v>
      </c>
    </row>
    <row r="109" spans="1:18" ht="49.95" customHeight="1" x14ac:dyDescent="0.3">
      <c r="A109" s="91" t="s">
        <v>28</v>
      </c>
      <c r="B109" s="91" t="s">
        <v>327</v>
      </c>
      <c r="C109" s="92">
        <v>0.1423611111111111</v>
      </c>
      <c r="D109" s="91" t="s">
        <v>30</v>
      </c>
      <c r="E109" s="93"/>
      <c r="F109" s="91" t="s">
        <v>54</v>
      </c>
      <c r="G109" s="217"/>
      <c r="H109" s="163" t="s">
        <v>327</v>
      </c>
      <c r="I109" s="175">
        <v>0.2944</v>
      </c>
      <c r="J109" s="165">
        <v>53</v>
      </c>
      <c r="K109" s="166" t="s">
        <v>32</v>
      </c>
      <c r="L109" s="165">
        <v>3</v>
      </c>
      <c r="M109" s="165">
        <v>0</v>
      </c>
      <c r="N109" s="165">
        <v>1</v>
      </c>
      <c r="O109" s="167" t="s">
        <v>298</v>
      </c>
      <c r="P109" s="168">
        <v>0.1423611111111111</v>
      </c>
      <c r="Q109" s="165">
        <v>180</v>
      </c>
      <c r="R109" s="169" t="s">
        <v>382</v>
      </c>
    </row>
    <row r="110" spans="1:18" ht="49.95" customHeight="1" x14ac:dyDescent="0.3">
      <c r="A110" s="189" t="s">
        <v>28</v>
      </c>
      <c r="B110" s="189" t="s">
        <v>335</v>
      </c>
      <c r="C110" s="190">
        <v>0.30208333333333331</v>
      </c>
      <c r="D110" s="189" t="s">
        <v>30</v>
      </c>
      <c r="E110" s="191"/>
      <c r="F110" s="189" t="s">
        <v>54</v>
      </c>
      <c r="G110" s="230"/>
      <c r="H110" s="134" t="s">
        <v>335</v>
      </c>
      <c r="I110" s="192">
        <v>0.25559999999999999</v>
      </c>
      <c r="J110" s="136">
        <v>46</v>
      </c>
      <c r="K110" s="137" t="s">
        <v>251</v>
      </c>
      <c r="L110" s="136">
        <v>1</v>
      </c>
      <c r="M110" s="136">
        <v>0</v>
      </c>
      <c r="N110" s="136">
        <v>0</v>
      </c>
      <c r="O110" s="138" t="s">
        <v>171</v>
      </c>
      <c r="P110" s="139">
        <v>0.30208333333333331</v>
      </c>
      <c r="Q110" s="136">
        <v>180</v>
      </c>
      <c r="R110" s="140" t="s">
        <v>383</v>
      </c>
    </row>
    <row r="111" spans="1:18" ht="49.95" customHeight="1" thickBot="1" x14ac:dyDescent="0.35">
      <c r="A111" s="144" t="s">
        <v>28</v>
      </c>
      <c r="B111" s="144" t="s">
        <v>329</v>
      </c>
      <c r="C111" s="145">
        <v>0.52777777777777779</v>
      </c>
      <c r="D111" s="144" t="s">
        <v>30</v>
      </c>
      <c r="E111" s="146"/>
      <c r="F111" s="144" t="s">
        <v>54</v>
      </c>
      <c r="G111" s="229"/>
      <c r="H111" s="39" t="s">
        <v>329</v>
      </c>
      <c r="I111" s="56">
        <v>0.2833</v>
      </c>
      <c r="J111" s="41">
        <v>51</v>
      </c>
      <c r="K111" s="42" t="s">
        <v>384</v>
      </c>
      <c r="L111" s="41">
        <v>1</v>
      </c>
      <c r="M111" s="41">
        <v>0</v>
      </c>
      <c r="N111" s="41">
        <v>0</v>
      </c>
      <c r="O111" s="43" t="s">
        <v>171</v>
      </c>
      <c r="P111" s="44">
        <v>0.52777777777777779</v>
      </c>
      <c r="Q111" s="41">
        <v>180</v>
      </c>
      <c r="R111" s="45" t="s">
        <v>385</v>
      </c>
    </row>
    <row r="112" spans="1:18" ht="17.399999999999999" customHeight="1" thickBot="1" x14ac:dyDescent="0.35">
      <c r="A112" s="245"/>
      <c r="B112" s="246"/>
      <c r="C112" s="246"/>
      <c r="D112" s="246"/>
      <c r="E112" s="246"/>
      <c r="F112" s="246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46"/>
      <c r="R112" s="247"/>
    </row>
    <row r="113" spans="1:18" ht="22.05" customHeight="1" thickTop="1" thickBot="1" x14ac:dyDescent="0.35">
      <c r="A113" s="213" t="s">
        <v>8</v>
      </c>
      <c r="B113" s="214"/>
      <c r="C113" s="214"/>
      <c r="D113" s="214"/>
      <c r="E113" s="214"/>
      <c r="F113" s="215"/>
      <c r="G113" s="18">
        <v>46005</v>
      </c>
      <c r="H113" s="216" t="s">
        <v>9</v>
      </c>
      <c r="I113" s="214"/>
      <c r="J113" s="214"/>
      <c r="K113" s="214"/>
      <c r="L113" s="214"/>
      <c r="M113" s="214"/>
      <c r="N113" s="214"/>
      <c r="O113" s="214"/>
      <c r="P113" s="214"/>
      <c r="Q113" s="214"/>
      <c r="R113" s="215"/>
    </row>
    <row r="114" spans="1:18" ht="24" customHeight="1" x14ac:dyDescent="0.3">
      <c r="A114" s="19" t="s">
        <v>10</v>
      </c>
      <c r="B114" s="19" t="s">
        <v>11</v>
      </c>
      <c r="C114" s="20" t="s">
        <v>12</v>
      </c>
      <c r="D114" s="19" t="s">
        <v>13</v>
      </c>
      <c r="E114" s="19" t="s">
        <v>14</v>
      </c>
      <c r="F114" s="21" t="s">
        <v>15</v>
      </c>
      <c r="G114" s="22" t="s">
        <v>16</v>
      </c>
      <c r="H114" s="19" t="s">
        <v>17</v>
      </c>
      <c r="I114" s="23" t="s">
        <v>18</v>
      </c>
      <c r="J114" s="24" t="s">
        <v>19</v>
      </c>
      <c r="K114" s="25" t="s">
        <v>20</v>
      </c>
      <c r="L114" s="24" t="s">
        <v>21</v>
      </c>
      <c r="M114" s="24" t="s">
        <v>22</v>
      </c>
      <c r="N114" s="24" t="s">
        <v>23</v>
      </c>
      <c r="O114" s="19" t="s">
        <v>24</v>
      </c>
      <c r="P114" s="20" t="s">
        <v>25</v>
      </c>
      <c r="Q114" s="24" t="s">
        <v>26</v>
      </c>
      <c r="R114" s="19" t="s">
        <v>27</v>
      </c>
    </row>
    <row r="115" spans="1:18" ht="49.95" customHeight="1" x14ac:dyDescent="0.3">
      <c r="A115" s="58" t="s">
        <v>28</v>
      </c>
      <c r="B115" s="58" t="s">
        <v>327</v>
      </c>
      <c r="C115" s="59">
        <v>0.3298611111111111</v>
      </c>
      <c r="D115" s="58" t="s">
        <v>30</v>
      </c>
      <c r="E115" s="60"/>
      <c r="F115" s="58" t="s">
        <v>277</v>
      </c>
      <c r="G115" s="221"/>
      <c r="H115" s="193" t="s">
        <v>327</v>
      </c>
      <c r="I115" s="194">
        <v>1.0166999999999999</v>
      </c>
      <c r="J115" s="195">
        <v>183</v>
      </c>
      <c r="K115" s="196" t="s">
        <v>352</v>
      </c>
      <c r="L115" s="195">
        <v>1</v>
      </c>
      <c r="M115" s="195">
        <v>0</v>
      </c>
      <c r="N115" s="195">
        <v>0</v>
      </c>
      <c r="O115" s="197" t="s">
        <v>278</v>
      </c>
      <c r="P115" s="198">
        <v>0.3298611111111111</v>
      </c>
      <c r="Q115" s="195">
        <v>180</v>
      </c>
      <c r="R115" s="199" t="s">
        <v>386</v>
      </c>
    </row>
    <row r="116" spans="1:18" ht="49.95" customHeight="1" thickBot="1" x14ac:dyDescent="0.35">
      <c r="A116" s="112" t="s">
        <v>28</v>
      </c>
      <c r="B116" s="112" t="s">
        <v>329</v>
      </c>
      <c r="C116" s="113">
        <v>0.69097222222222221</v>
      </c>
      <c r="D116" s="112" t="s">
        <v>30</v>
      </c>
      <c r="E116" s="114"/>
      <c r="F116" s="112" t="s">
        <v>31</v>
      </c>
      <c r="G116" s="229"/>
      <c r="H116" s="11" t="s">
        <v>329</v>
      </c>
      <c r="I116" s="90">
        <v>0.5222</v>
      </c>
      <c r="J116" s="13">
        <v>94</v>
      </c>
      <c r="K116" s="14" t="s">
        <v>32</v>
      </c>
      <c r="L116" s="13">
        <v>2</v>
      </c>
      <c r="M116" s="13">
        <v>0</v>
      </c>
      <c r="N116" s="13">
        <v>1</v>
      </c>
      <c r="O116" s="15" t="s">
        <v>171</v>
      </c>
      <c r="P116" s="16">
        <v>0.69097222222222221</v>
      </c>
      <c r="Q116" s="13">
        <v>180</v>
      </c>
      <c r="R116" s="17" t="s">
        <v>387</v>
      </c>
    </row>
    <row r="117" spans="1:18" ht="17.399999999999999" customHeight="1" thickBot="1" x14ac:dyDescent="0.35">
      <c r="A117" s="245"/>
      <c r="B117" s="246"/>
      <c r="C117" s="246"/>
      <c r="D117" s="246"/>
      <c r="E117" s="246"/>
      <c r="F117" s="246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246"/>
      <c r="R117" s="247"/>
    </row>
    <row r="118" spans="1:18" ht="22.05" customHeight="1" thickTop="1" thickBot="1" x14ac:dyDescent="0.35">
      <c r="A118" s="213" t="s">
        <v>8</v>
      </c>
      <c r="B118" s="214"/>
      <c r="C118" s="214"/>
      <c r="D118" s="214"/>
      <c r="E118" s="214"/>
      <c r="F118" s="215"/>
      <c r="G118" s="18">
        <v>46006</v>
      </c>
      <c r="H118" s="216" t="s">
        <v>9</v>
      </c>
      <c r="I118" s="214"/>
      <c r="J118" s="214"/>
      <c r="K118" s="214"/>
      <c r="L118" s="214"/>
      <c r="M118" s="214"/>
      <c r="N118" s="214"/>
      <c r="O118" s="214"/>
      <c r="P118" s="214"/>
      <c r="Q118" s="214"/>
      <c r="R118" s="215"/>
    </row>
    <row r="119" spans="1:18" ht="24" customHeight="1" x14ac:dyDescent="0.3">
      <c r="A119" s="19" t="s">
        <v>10</v>
      </c>
      <c r="B119" s="19" t="s">
        <v>11</v>
      </c>
      <c r="C119" s="20" t="s">
        <v>12</v>
      </c>
      <c r="D119" s="19" t="s">
        <v>13</v>
      </c>
      <c r="E119" s="19" t="s">
        <v>14</v>
      </c>
      <c r="F119" s="21" t="s">
        <v>15</v>
      </c>
      <c r="G119" s="22" t="s">
        <v>16</v>
      </c>
      <c r="H119" s="19" t="s">
        <v>17</v>
      </c>
      <c r="I119" s="23" t="s">
        <v>18</v>
      </c>
      <c r="J119" s="24" t="s">
        <v>19</v>
      </c>
      <c r="K119" s="25" t="s">
        <v>20</v>
      </c>
      <c r="L119" s="24" t="s">
        <v>21</v>
      </c>
      <c r="M119" s="24" t="s">
        <v>22</v>
      </c>
      <c r="N119" s="24" t="s">
        <v>23</v>
      </c>
      <c r="O119" s="19" t="s">
        <v>24</v>
      </c>
      <c r="P119" s="20" t="s">
        <v>25</v>
      </c>
      <c r="Q119" s="24" t="s">
        <v>26</v>
      </c>
      <c r="R119" s="19" t="s">
        <v>27</v>
      </c>
    </row>
    <row r="120" spans="1:18" ht="49.95" customHeight="1" x14ac:dyDescent="0.3">
      <c r="A120" s="26" t="s">
        <v>28</v>
      </c>
      <c r="B120" s="26" t="s">
        <v>327</v>
      </c>
      <c r="C120" s="27">
        <v>9.375E-2</v>
      </c>
      <c r="D120" s="26" t="s">
        <v>30</v>
      </c>
      <c r="E120" s="28"/>
      <c r="F120" s="26" t="s">
        <v>31</v>
      </c>
      <c r="G120" s="221"/>
      <c r="H120" s="105" t="s">
        <v>327</v>
      </c>
      <c r="I120" s="204">
        <v>0.4</v>
      </c>
      <c r="J120" s="107">
        <v>72</v>
      </c>
      <c r="K120" s="108" t="s">
        <v>384</v>
      </c>
      <c r="L120" s="107">
        <v>7</v>
      </c>
      <c r="M120" s="107">
        <v>0</v>
      </c>
      <c r="N120" s="107">
        <v>0</v>
      </c>
      <c r="O120" s="109" t="s">
        <v>298</v>
      </c>
      <c r="P120" s="110">
        <v>9.375E-2</v>
      </c>
      <c r="Q120" s="107">
        <v>180</v>
      </c>
      <c r="R120" s="111" t="s">
        <v>388</v>
      </c>
    </row>
    <row r="121" spans="1:18" ht="49.95" customHeight="1" x14ac:dyDescent="0.3">
      <c r="A121" s="172" t="s">
        <v>28</v>
      </c>
      <c r="B121" s="172" t="s">
        <v>329</v>
      </c>
      <c r="C121" s="173">
        <v>0.19444444444444439</v>
      </c>
      <c r="D121" s="172" t="s">
        <v>30</v>
      </c>
      <c r="E121" s="174"/>
      <c r="F121" s="172" t="s">
        <v>31</v>
      </c>
      <c r="G121" s="230"/>
      <c r="H121" s="163" t="s">
        <v>329</v>
      </c>
      <c r="I121" s="175">
        <v>0.5111</v>
      </c>
      <c r="J121" s="165">
        <v>92</v>
      </c>
      <c r="K121" s="166" t="s">
        <v>389</v>
      </c>
      <c r="L121" s="165">
        <v>0</v>
      </c>
      <c r="M121" s="165">
        <v>0</v>
      </c>
      <c r="N121" s="165">
        <v>0</v>
      </c>
      <c r="O121" s="167" t="s">
        <v>171</v>
      </c>
      <c r="P121" s="168">
        <v>0.19444444444444439</v>
      </c>
      <c r="Q121" s="165">
        <v>180</v>
      </c>
      <c r="R121" s="169" t="s">
        <v>390</v>
      </c>
    </row>
    <row r="122" spans="1:18" ht="49.95" customHeight="1" thickBot="1" x14ac:dyDescent="0.35">
      <c r="A122" s="176" t="s">
        <v>28</v>
      </c>
      <c r="B122" s="176" t="s">
        <v>335</v>
      </c>
      <c r="C122" s="177">
        <v>0.54861111111111105</v>
      </c>
      <c r="D122" s="176" t="s">
        <v>30</v>
      </c>
      <c r="E122" s="178"/>
      <c r="F122" s="176" t="s">
        <v>54</v>
      </c>
      <c r="G122" s="229"/>
      <c r="H122" s="49" t="s">
        <v>335</v>
      </c>
      <c r="I122" s="101">
        <v>0.28889999999999999</v>
      </c>
      <c r="J122" s="51">
        <v>52</v>
      </c>
      <c r="K122" s="52" t="s">
        <v>253</v>
      </c>
      <c r="L122" s="51">
        <v>2</v>
      </c>
      <c r="M122" s="51">
        <v>0</v>
      </c>
      <c r="N122" s="51">
        <v>0</v>
      </c>
      <c r="O122" s="53" t="s">
        <v>152</v>
      </c>
      <c r="P122" s="54">
        <v>0.54861111111111105</v>
      </c>
      <c r="Q122" s="51">
        <v>180</v>
      </c>
      <c r="R122" s="55" t="s">
        <v>391</v>
      </c>
    </row>
    <row r="123" spans="1:18" ht="17.399999999999999" customHeight="1" thickBot="1" x14ac:dyDescent="0.35">
      <c r="A123" s="245"/>
      <c r="B123" s="246"/>
      <c r="C123" s="246"/>
      <c r="D123" s="246"/>
      <c r="E123" s="246"/>
      <c r="F123" s="246"/>
      <c r="G123" s="246"/>
      <c r="H123" s="246"/>
      <c r="I123" s="246"/>
      <c r="J123" s="246"/>
      <c r="K123" s="246"/>
      <c r="L123" s="246"/>
      <c r="M123" s="246"/>
      <c r="N123" s="246"/>
      <c r="O123" s="246"/>
      <c r="P123" s="246"/>
      <c r="Q123" s="246"/>
      <c r="R123" s="247"/>
    </row>
    <row r="124" spans="1:18" ht="22.05" customHeight="1" thickTop="1" thickBot="1" x14ac:dyDescent="0.35">
      <c r="A124" s="213" t="s">
        <v>8</v>
      </c>
      <c r="B124" s="214"/>
      <c r="C124" s="214"/>
      <c r="D124" s="214"/>
      <c r="E124" s="214"/>
      <c r="F124" s="215"/>
      <c r="G124" s="18">
        <v>46007</v>
      </c>
      <c r="H124" s="216" t="s">
        <v>9</v>
      </c>
      <c r="I124" s="214"/>
      <c r="J124" s="214"/>
      <c r="K124" s="214"/>
      <c r="L124" s="214"/>
      <c r="M124" s="214"/>
      <c r="N124" s="214"/>
      <c r="O124" s="214"/>
      <c r="P124" s="214"/>
      <c r="Q124" s="214"/>
      <c r="R124" s="215"/>
    </row>
    <row r="125" spans="1:18" ht="24" customHeight="1" x14ac:dyDescent="0.3">
      <c r="A125" s="19" t="s">
        <v>10</v>
      </c>
      <c r="B125" s="19" t="s">
        <v>11</v>
      </c>
      <c r="C125" s="20" t="s">
        <v>12</v>
      </c>
      <c r="D125" s="19" t="s">
        <v>13</v>
      </c>
      <c r="E125" s="19" t="s">
        <v>14</v>
      </c>
      <c r="F125" s="21" t="s">
        <v>15</v>
      </c>
      <c r="G125" s="22" t="s">
        <v>16</v>
      </c>
      <c r="H125" s="19" t="s">
        <v>17</v>
      </c>
      <c r="I125" s="23" t="s">
        <v>18</v>
      </c>
      <c r="J125" s="24" t="s">
        <v>19</v>
      </c>
      <c r="K125" s="25" t="s">
        <v>20</v>
      </c>
      <c r="L125" s="24" t="s">
        <v>21</v>
      </c>
      <c r="M125" s="24" t="s">
        <v>22</v>
      </c>
      <c r="N125" s="24" t="s">
        <v>23</v>
      </c>
      <c r="O125" s="19" t="s">
        <v>24</v>
      </c>
      <c r="P125" s="20" t="s">
        <v>25</v>
      </c>
      <c r="Q125" s="24" t="s">
        <v>26</v>
      </c>
      <c r="R125" s="19" t="s">
        <v>27</v>
      </c>
    </row>
    <row r="126" spans="1:18" ht="49.95" customHeight="1" x14ac:dyDescent="0.3">
      <c r="A126" s="26" t="s">
        <v>28</v>
      </c>
      <c r="B126" s="26" t="s">
        <v>335</v>
      </c>
      <c r="C126" s="27">
        <v>0.16666666666666671</v>
      </c>
      <c r="D126" s="26" t="s">
        <v>30</v>
      </c>
      <c r="E126" s="28"/>
      <c r="F126" s="26" t="s">
        <v>54</v>
      </c>
      <c r="G126" s="221"/>
      <c r="H126" s="105" t="s">
        <v>335</v>
      </c>
      <c r="I126" s="204">
        <v>0.2944</v>
      </c>
      <c r="J126" s="107">
        <v>53</v>
      </c>
      <c r="K126" s="108" t="s">
        <v>251</v>
      </c>
      <c r="L126" s="107">
        <v>1</v>
      </c>
      <c r="M126" s="107">
        <v>0</v>
      </c>
      <c r="N126" s="107">
        <v>0</v>
      </c>
      <c r="O126" s="109" t="s">
        <v>392</v>
      </c>
      <c r="P126" s="110">
        <v>0.16666666666666671</v>
      </c>
      <c r="Q126" s="107">
        <v>180</v>
      </c>
      <c r="R126" s="111" t="s">
        <v>393</v>
      </c>
    </row>
    <row r="127" spans="1:18" ht="49.95" customHeight="1" thickBot="1" x14ac:dyDescent="0.35">
      <c r="A127" s="112" t="s">
        <v>28</v>
      </c>
      <c r="B127" s="112" t="s">
        <v>329</v>
      </c>
      <c r="C127" s="113">
        <v>0.52777777777777779</v>
      </c>
      <c r="D127" s="112" t="s">
        <v>30</v>
      </c>
      <c r="E127" s="114"/>
      <c r="F127" s="112" t="s">
        <v>31</v>
      </c>
      <c r="G127" s="229"/>
      <c r="H127" s="11" t="s">
        <v>329</v>
      </c>
      <c r="I127" s="90">
        <v>0.53890000000000005</v>
      </c>
      <c r="J127" s="13">
        <v>97</v>
      </c>
      <c r="K127" s="14" t="s">
        <v>253</v>
      </c>
      <c r="L127" s="13">
        <v>5</v>
      </c>
      <c r="M127" s="13">
        <v>0</v>
      </c>
      <c r="N127" s="13">
        <v>0</v>
      </c>
      <c r="O127" s="15" t="s">
        <v>298</v>
      </c>
      <c r="P127" s="16">
        <v>0.52777777777777779</v>
      </c>
      <c r="Q127" s="13">
        <v>180</v>
      </c>
      <c r="R127" s="17" t="s">
        <v>394</v>
      </c>
    </row>
    <row r="128" spans="1:18" ht="17.399999999999999" customHeight="1" thickBot="1" x14ac:dyDescent="0.35">
      <c r="A128" s="245"/>
      <c r="B128" s="246"/>
      <c r="C128" s="246"/>
      <c r="D128" s="246"/>
      <c r="E128" s="246"/>
      <c r="F128" s="246"/>
      <c r="G128" s="246"/>
      <c r="H128" s="246"/>
      <c r="I128" s="246"/>
      <c r="J128" s="246"/>
      <c r="K128" s="246"/>
      <c r="L128" s="246"/>
      <c r="M128" s="246"/>
      <c r="N128" s="246"/>
      <c r="O128" s="246"/>
      <c r="P128" s="246"/>
      <c r="Q128" s="246"/>
      <c r="R128" s="247"/>
    </row>
    <row r="129" spans="1:18" ht="22.05" customHeight="1" thickTop="1" thickBot="1" x14ac:dyDescent="0.35">
      <c r="A129" s="213" t="s">
        <v>8</v>
      </c>
      <c r="B129" s="214"/>
      <c r="C129" s="214"/>
      <c r="D129" s="214"/>
      <c r="E129" s="214"/>
      <c r="F129" s="215"/>
      <c r="G129" s="18">
        <v>46008</v>
      </c>
      <c r="H129" s="216" t="s">
        <v>9</v>
      </c>
      <c r="I129" s="214"/>
      <c r="J129" s="214"/>
      <c r="K129" s="214"/>
      <c r="L129" s="214"/>
      <c r="M129" s="214"/>
      <c r="N129" s="214"/>
      <c r="O129" s="214"/>
      <c r="P129" s="214"/>
      <c r="Q129" s="214"/>
      <c r="R129" s="215"/>
    </row>
    <row r="130" spans="1:18" ht="24" customHeight="1" x14ac:dyDescent="0.3">
      <c r="A130" s="19" t="s">
        <v>10</v>
      </c>
      <c r="B130" s="19" t="s">
        <v>11</v>
      </c>
      <c r="C130" s="20" t="s">
        <v>12</v>
      </c>
      <c r="D130" s="19" t="s">
        <v>13</v>
      </c>
      <c r="E130" s="19" t="s">
        <v>14</v>
      </c>
      <c r="F130" s="21" t="s">
        <v>15</v>
      </c>
      <c r="G130" s="22" t="s">
        <v>16</v>
      </c>
      <c r="H130" s="19" t="s">
        <v>17</v>
      </c>
      <c r="I130" s="23" t="s">
        <v>18</v>
      </c>
      <c r="J130" s="24" t="s">
        <v>19</v>
      </c>
      <c r="K130" s="25" t="s">
        <v>20</v>
      </c>
      <c r="L130" s="24" t="s">
        <v>21</v>
      </c>
      <c r="M130" s="24" t="s">
        <v>22</v>
      </c>
      <c r="N130" s="24" t="s">
        <v>23</v>
      </c>
      <c r="O130" s="19" t="s">
        <v>24</v>
      </c>
      <c r="P130" s="20" t="s">
        <v>25</v>
      </c>
      <c r="Q130" s="24" t="s">
        <v>26</v>
      </c>
      <c r="R130" s="19" t="s">
        <v>27</v>
      </c>
    </row>
    <row r="131" spans="1:18" ht="49.95" customHeight="1" x14ac:dyDescent="0.3">
      <c r="A131" s="8" t="s">
        <v>28</v>
      </c>
      <c r="B131" s="8" t="s">
        <v>335</v>
      </c>
      <c r="C131" s="9">
        <v>0.1076388888888889</v>
      </c>
      <c r="D131" s="8" t="s">
        <v>30</v>
      </c>
      <c r="E131" s="10"/>
      <c r="F131" s="8" t="s">
        <v>277</v>
      </c>
      <c r="G131" s="221"/>
      <c r="H131" s="116" t="s">
        <v>335</v>
      </c>
      <c r="I131" s="117">
        <v>1.0056</v>
      </c>
      <c r="J131" s="118">
        <v>181</v>
      </c>
      <c r="K131" s="119" t="s">
        <v>352</v>
      </c>
      <c r="L131" s="118">
        <v>1</v>
      </c>
      <c r="M131" s="118">
        <v>0</v>
      </c>
      <c r="N131" s="118">
        <v>0</v>
      </c>
      <c r="O131" s="120" t="s">
        <v>278</v>
      </c>
      <c r="P131" s="121">
        <v>0.1076388888888889</v>
      </c>
      <c r="Q131" s="118">
        <v>180</v>
      </c>
      <c r="R131" s="122" t="s">
        <v>395</v>
      </c>
    </row>
    <row r="132" spans="1:18" ht="49.95" customHeight="1" x14ac:dyDescent="0.3">
      <c r="A132" s="205" t="s">
        <v>28</v>
      </c>
      <c r="B132" s="205" t="s">
        <v>327</v>
      </c>
      <c r="C132" s="206">
        <v>0.49652777777777768</v>
      </c>
      <c r="D132" s="205" t="s">
        <v>30</v>
      </c>
      <c r="E132" s="207"/>
      <c r="F132" s="205" t="s">
        <v>31</v>
      </c>
      <c r="G132" s="230"/>
      <c r="H132" s="179" t="s">
        <v>327</v>
      </c>
      <c r="I132" s="180">
        <v>0.7833</v>
      </c>
      <c r="J132" s="181">
        <v>141</v>
      </c>
      <c r="K132" s="182" t="s">
        <v>32</v>
      </c>
      <c r="L132" s="181">
        <v>3</v>
      </c>
      <c r="M132" s="181">
        <v>0</v>
      </c>
      <c r="N132" s="181">
        <v>2</v>
      </c>
      <c r="O132" s="183" t="s">
        <v>301</v>
      </c>
      <c r="P132" s="184">
        <v>0.49652777777777768</v>
      </c>
      <c r="Q132" s="181">
        <v>180</v>
      </c>
      <c r="R132" s="185" t="s">
        <v>396</v>
      </c>
    </row>
    <row r="133" spans="1:18" ht="49.95" customHeight="1" thickBot="1" x14ac:dyDescent="0.35">
      <c r="A133" s="126" t="s">
        <v>28</v>
      </c>
      <c r="B133" s="126" t="s">
        <v>333</v>
      </c>
      <c r="C133" s="127">
        <v>0.92361111111111116</v>
      </c>
      <c r="D133" s="126" t="s">
        <v>30</v>
      </c>
      <c r="E133" s="128"/>
      <c r="F133" s="126" t="s">
        <v>54</v>
      </c>
      <c r="G133" s="229"/>
      <c r="H133" s="81" t="s">
        <v>333</v>
      </c>
      <c r="I133" s="82">
        <v>2.7799999999999998E-2</v>
      </c>
      <c r="J133" s="83">
        <v>5</v>
      </c>
      <c r="K133" s="84" t="s">
        <v>352</v>
      </c>
      <c r="L133" s="83">
        <v>1</v>
      </c>
      <c r="M133" s="83">
        <v>0</v>
      </c>
      <c r="N133" s="83">
        <v>0</v>
      </c>
      <c r="O133" s="85" t="s">
        <v>116</v>
      </c>
      <c r="P133" s="86">
        <v>0.92361111111111116</v>
      </c>
      <c r="Q133" s="83">
        <v>180</v>
      </c>
      <c r="R133" s="87" t="s">
        <v>397</v>
      </c>
    </row>
    <row r="134" spans="1:18" ht="17.399999999999999" customHeight="1" thickBot="1" x14ac:dyDescent="0.35">
      <c r="A134" s="245"/>
      <c r="B134" s="246"/>
      <c r="C134" s="246"/>
      <c r="D134" s="246"/>
      <c r="E134" s="246"/>
      <c r="F134" s="246"/>
      <c r="G134" s="246"/>
      <c r="H134" s="246"/>
      <c r="I134" s="246"/>
      <c r="J134" s="246"/>
      <c r="K134" s="246"/>
      <c r="L134" s="246"/>
      <c r="M134" s="246"/>
      <c r="N134" s="246"/>
      <c r="O134" s="246"/>
      <c r="P134" s="246"/>
      <c r="Q134" s="246"/>
      <c r="R134" s="247"/>
    </row>
    <row r="135" spans="1:18" ht="22.05" customHeight="1" thickTop="1" thickBot="1" x14ac:dyDescent="0.35">
      <c r="A135" s="213" t="s">
        <v>8</v>
      </c>
      <c r="B135" s="214"/>
      <c r="C135" s="214"/>
      <c r="D135" s="214"/>
      <c r="E135" s="214"/>
      <c r="F135" s="215"/>
      <c r="G135" s="18">
        <v>46009</v>
      </c>
      <c r="H135" s="216" t="s">
        <v>9</v>
      </c>
      <c r="I135" s="214"/>
      <c r="J135" s="214"/>
      <c r="K135" s="214"/>
      <c r="L135" s="214"/>
      <c r="M135" s="214"/>
      <c r="N135" s="214"/>
      <c r="O135" s="214"/>
      <c r="P135" s="214"/>
      <c r="Q135" s="214"/>
      <c r="R135" s="215"/>
    </row>
    <row r="136" spans="1:18" ht="24" customHeight="1" x14ac:dyDescent="0.3">
      <c r="A136" s="19" t="s">
        <v>10</v>
      </c>
      <c r="B136" s="19" t="s">
        <v>11</v>
      </c>
      <c r="C136" s="20" t="s">
        <v>12</v>
      </c>
      <c r="D136" s="19" t="s">
        <v>13</v>
      </c>
      <c r="E136" s="19" t="s">
        <v>14</v>
      </c>
      <c r="F136" s="21" t="s">
        <v>15</v>
      </c>
      <c r="G136" s="22" t="s">
        <v>16</v>
      </c>
      <c r="H136" s="19" t="s">
        <v>17</v>
      </c>
      <c r="I136" s="23" t="s">
        <v>18</v>
      </c>
      <c r="J136" s="24" t="s">
        <v>19</v>
      </c>
      <c r="K136" s="25" t="s">
        <v>20</v>
      </c>
      <c r="L136" s="24" t="s">
        <v>21</v>
      </c>
      <c r="M136" s="24" t="s">
        <v>22</v>
      </c>
      <c r="N136" s="24" t="s">
        <v>23</v>
      </c>
      <c r="O136" s="19" t="s">
        <v>24</v>
      </c>
      <c r="P136" s="20" t="s">
        <v>25</v>
      </c>
      <c r="Q136" s="24" t="s">
        <v>26</v>
      </c>
      <c r="R136" s="19" t="s">
        <v>27</v>
      </c>
    </row>
    <row r="137" spans="1:18" ht="49.95" customHeight="1" x14ac:dyDescent="0.3">
      <c r="A137" s="8" t="s">
        <v>28</v>
      </c>
      <c r="B137" s="8" t="s">
        <v>335</v>
      </c>
      <c r="C137" s="9">
        <v>0.3576388888888889</v>
      </c>
      <c r="D137" s="8" t="s">
        <v>30</v>
      </c>
      <c r="E137" s="10"/>
      <c r="F137" s="8" t="s">
        <v>31</v>
      </c>
      <c r="G137" s="221"/>
      <c r="H137" s="116" t="s">
        <v>335</v>
      </c>
      <c r="I137" s="208">
        <v>0.53890000000000005</v>
      </c>
      <c r="J137" s="118">
        <v>97</v>
      </c>
      <c r="K137" s="119" t="s">
        <v>253</v>
      </c>
      <c r="L137" s="118">
        <v>3</v>
      </c>
      <c r="M137" s="118">
        <v>0</v>
      </c>
      <c r="N137" s="118">
        <v>0</v>
      </c>
      <c r="O137" s="120" t="s">
        <v>298</v>
      </c>
      <c r="P137" s="121">
        <v>0.3576388888888889</v>
      </c>
      <c r="Q137" s="118">
        <v>180</v>
      </c>
      <c r="R137" s="122" t="s">
        <v>394</v>
      </c>
    </row>
    <row r="138" spans="1:18" ht="49.95" customHeight="1" thickBot="1" x14ac:dyDescent="0.35">
      <c r="A138" s="159" t="s">
        <v>28</v>
      </c>
      <c r="B138" s="159" t="s">
        <v>329</v>
      </c>
      <c r="C138" s="160">
        <v>0.54861111111111105</v>
      </c>
      <c r="D138" s="159" t="s">
        <v>30</v>
      </c>
      <c r="E138" s="161"/>
      <c r="F138" s="159" t="s">
        <v>31</v>
      </c>
      <c r="G138" s="229"/>
      <c r="H138" s="94" t="s">
        <v>329</v>
      </c>
      <c r="I138" s="147">
        <v>0.55559999999999998</v>
      </c>
      <c r="J138" s="96">
        <v>100</v>
      </c>
      <c r="K138" s="97" t="s">
        <v>32</v>
      </c>
      <c r="L138" s="96">
        <v>3</v>
      </c>
      <c r="M138" s="96">
        <v>0</v>
      </c>
      <c r="N138" s="96">
        <v>2</v>
      </c>
      <c r="O138" s="98" t="s">
        <v>301</v>
      </c>
      <c r="P138" s="99">
        <v>0.54861111111111105</v>
      </c>
      <c r="Q138" s="96">
        <v>180</v>
      </c>
      <c r="R138" s="100" t="s">
        <v>398</v>
      </c>
    </row>
    <row r="139" spans="1:18" ht="17.399999999999999" customHeight="1" thickBot="1" x14ac:dyDescent="0.35">
      <c r="A139" s="245"/>
      <c r="B139" s="246"/>
      <c r="C139" s="246"/>
      <c r="D139" s="246"/>
      <c r="E139" s="246"/>
      <c r="F139" s="246"/>
      <c r="G139" s="246"/>
      <c r="H139" s="246"/>
      <c r="I139" s="246"/>
      <c r="J139" s="246"/>
      <c r="K139" s="246"/>
      <c r="L139" s="246"/>
      <c r="M139" s="246"/>
      <c r="N139" s="246"/>
      <c r="O139" s="246"/>
      <c r="P139" s="246"/>
      <c r="Q139" s="246"/>
      <c r="R139" s="247"/>
    </row>
    <row r="140" spans="1:18" ht="22.05" customHeight="1" thickTop="1" thickBot="1" x14ac:dyDescent="0.35">
      <c r="A140" s="213" t="s">
        <v>8</v>
      </c>
      <c r="B140" s="214"/>
      <c r="C140" s="214"/>
      <c r="D140" s="214"/>
      <c r="E140" s="214"/>
      <c r="F140" s="215"/>
      <c r="G140" s="18">
        <v>46010</v>
      </c>
      <c r="H140" s="216" t="s">
        <v>9</v>
      </c>
      <c r="I140" s="214"/>
      <c r="J140" s="214"/>
      <c r="K140" s="214"/>
      <c r="L140" s="214"/>
      <c r="M140" s="214"/>
      <c r="N140" s="214"/>
      <c r="O140" s="214"/>
      <c r="P140" s="214"/>
      <c r="Q140" s="214"/>
      <c r="R140" s="215"/>
    </row>
    <row r="141" spans="1:18" ht="24" customHeight="1" x14ac:dyDescent="0.3">
      <c r="A141" s="19" t="s">
        <v>10</v>
      </c>
      <c r="B141" s="19" t="s">
        <v>11</v>
      </c>
      <c r="C141" s="20" t="s">
        <v>12</v>
      </c>
      <c r="D141" s="19" t="s">
        <v>13</v>
      </c>
      <c r="E141" s="19" t="s">
        <v>14</v>
      </c>
      <c r="F141" s="21" t="s">
        <v>15</v>
      </c>
      <c r="G141" s="22" t="s">
        <v>16</v>
      </c>
      <c r="H141" s="19" t="s">
        <v>17</v>
      </c>
      <c r="I141" s="23" t="s">
        <v>18</v>
      </c>
      <c r="J141" s="24" t="s">
        <v>19</v>
      </c>
      <c r="K141" s="25" t="s">
        <v>20</v>
      </c>
      <c r="L141" s="24" t="s">
        <v>21</v>
      </c>
      <c r="M141" s="24" t="s">
        <v>22</v>
      </c>
      <c r="N141" s="24" t="s">
        <v>23</v>
      </c>
      <c r="O141" s="19" t="s">
        <v>24</v>
      </c>
      <c r="P141" s="20" t="s">
        <v>25</v>
      </c>
      <c r="Q141" s="24" t="s">
        <v>26</v>
      </c>
      <c r="R141" s="19" t="s">
        <v>27</v>
      </c>
    </row>
    <row r="142" spans="1:18" ht="49.95" customHeight="1" thickTop="1" thickBot="1" x14ac:dyDescent="0.35">
      <c r="A142" s="91" t="s">
        <v>28</v>
      </c>
      <c r="B142" s="91" t="s">
        <v>327</v>
      </c>
      <c r="C142" s="92">
        <v>0.13541666666666671</v>
      </c>
      <c r="D142" s="91" t="s">
        <v>30</v>
      </c>
      <c r="E142" s="93"/>
      <c r="F142" s="91" t="s">
        <v>31</v>
      </c>
      <c r="G142" s="221"/>
      <c r="H142" s="94" t="s">
        <v>327</v>
      </c>
      <c r="I142" s="95">
        <v>0.5333</v>
      </c>
      <c r="J142" s="96">
        <v>96</v>
      </c>
      <c r="K142" s="97" t="s">
        <v>251</v>
      </c>
      <c r="L142" s="96">
        <v>1</v>
      </c>
      <c r="M142" s="96">
        <v>0</v>
      </c>
      <c r="N142" s="96">
        <v>0</v>
      </c>
      <c r="O142" s="98" t="s">
        <v>182</v>
      </c>
      <c r="P142" s="99">
        <v>0.13541666666666671</v>
      </c>
      <c r="Q142" s="96">
        <v>180</v>
      </c>
      <c r="R142" s="100" t="s">
        <v>399</v>
      </c>
    </row>
    <row r="143" spans="1:18" ht="17.399999999999999" customHeight="1" thickBot="1" x14ac:dyDescent="0.35">
      <c r="A143" s="245"/>
      <c r="B143" s="246"/>
      <c r="C143" s="246"/>
      <c r="D143" s="246"/>
      <c r="E143" s="246"/>
      <c r="F143" s="246"/>
      <c r="G143" s="246"/>
      <c r="H143" s="246"/>
      <c r="I143" s="246"/>
      <c r="J143" s="246"/>
      <c r="K143" s="246"/>
      <c r="L143" s="246"/>
      <c r="M143" s="246"/>
      <c r="N143" s="246"/>
      <c r="O143" s="246"/>
      <c r="P143" s="246"/>
      <c r="Q143" s="246"/>
      <c r="R143" s="247"/>
    </row>
    <row r="144" spans="1:18" ht="22.05" customHeight="1" thickTop="1" thickBot="1" x14ac:dyDescent="0.35">
      <c r="A144" s="213" t="s">
        <v>8</v>
      </c>
      <c r="B144" s="214"/>
      <c r="C144" s="214"/>
      <c r="D144" s="214"/>
      <c r="E144" s="214"/>
      <c r="F144" s="215"/>
      <c r="G144" s="18">
        <v>46011</v>
      </c>
      <c r="H144" s="216" t="s">
        <v>9</v>
      </c>
      <c r="I144" s="214"/>
      <c r="J144" s="214"/>
      <c r="K144" s="214"/>
      <c r="L144" s="214"/>
      <c r="M144" s="214"/>
      <c r="N144" s="214"/>
      <c r="O144" s="214"/>
      <c r="P144" s="214"/>
      <c r="Q144" s="214"/>
      <c r="R144" s="215"/>
    </row>
    <row r="145" spans="1:18" ht="24" customHeight="1" x14ac:dyDescent="0.3">
      <c r="A145" s="19" t="s">
        <v>10</v>
      </c>
      <c r="B145" s="19" t="s">
        <v>11</v>
      </c>
      <c r="C145" s="20" t="s">
        <v>12</v>
      </c>
      <c r="D145" s="19" t="s">
        <v>13</v>
      </c>
      <c r="E145" s="19" t="s">
        <v>14</v>
      </c>
      <c r="F145" s="21" t="s">
        <v>15</v>
      </c>
      <c r="G145" s="22" t="s">
        <v>16</v>
      </c>
      <c r="H145" s="19" t="s">
        <v>17</v>
      </c>
      <c r="I145" s="23" t="s">
        <v>18</v>
      </c>
      <c r="J145" s="24" t="s">
        <v>19</v>
      </c>
      <c r="K145" s="25" t="s">
        <v>20</v>
      </c>
      <c r="L145" s="24" t="s">
        <v>21</v>
      </c>
      <c r="M145" s="24" t="s">
        <v>22</v>
      </c>
      <c r="N145" s="24" t="s">
        <v>23</v>
      </c>
      <c r="O145" s="19" t="s">
        <v>24</v>
      </c>
      <c r="P145" s="20" t="s">
        <v>25</v>
      </c>
      <c r="Q145" s="24" t="s">
        <v>26</v>
      </c>
      <c r="R145" s="19" t="s">
        <v>27</v>
      </c>
    </row>
    <row r="146" spans="1:18" ht="49.95" customHeight="1" x14ac:dyDescent="0.3">
      <c r="A146" s="26" t="s">
        <v>28</v>
      </c>
      <c r="B146" s="26" t="s">
        <v>335</v>
      </c>
      <c r="C146" s="27">
        <v>0.30208333333333331</v>
      </c>
      <c r="D146" s="26" t="s">
        <v>30</v>
      </c>
      <c r="E146" s="28"/>
      <c r="F146" s="26" t="s">
        <v>54</v>
      </c>
      <c r="G146" s="221"/>
      <c r="H146" s="105" t="s">
        <v>335</v>
      </c>
      <c r="I146" s="204">
        <v>0.2722</v>
      </c>
      <c r="J146" s="107">
        <v>49</v>
      </c>
      <c r="K146" s="108" t="s">
        <v>389</v>
      </c>
      <c r="L146" s="107">
        <v>0</v>
      </c>
      <c r="M146" s="107">
        <v>0</v>
      </c>
      <c r="N146" s="107">
        <v>0</v>
      </c>
      <c r="O146" s="109" t="s">
        <v>116</v>
      </c>
      <c r="P146" s="110">
        <v>0.30208333333333331</v>
      </c>
      <c r="Q146" s="107">
        <v>180</v>
      </c>
      <c r="R146" s="111" t="s">
        <v>400</v>
      </c>
    </row>
    <row r="147" spans="1:18" ht="49.95" customHeight="1" thickBot="1" x14ac:dyDescent="0.35">
      <c r="A147" s="130" t="s">
        <v>28</v>
      </c>
      <c r="B147" s="130" t="s">
        <v>329</v>
      </c>
      <c r="C147" s="131">
        <v>0.52777777777777779</v>
      </c>
      <c r="D147" s="130" t="s">
        <v>30</v>
      </c>
      <c r="E147" s="132"/>
      <c r="F147" s="130" t="s">
        <v>54</v>
      </c>
      <c r="G147" s="229"/>
      <c r="H147" s="61" t="s">
        <v>329</v>
      </c>
      <c r="I147" s="62">
        <v>3.8899999999999997E-2</v>
      </c>
      <c r="J147" s="63">
        <v>7</v>
      </c>
      <c r="K147" s="64" t="s">
        <v>255</v>
      </c>
      <c r="L147" s="63">
        <v>0</v>
      </c>
      <c r="M147" s="63">
        <v>0</v>
      </c>
      <c r="N147" s="63">
        <v>0</v>
      </c>
      <c r="O147" s="65" t="s">
        <v>392</v>
      </c>
      <c r="P147" s="66">
        <v>0.52777777777777779</v>
      </c>
      <c r="Q147" s="63">
        <v>180</v>
      </c>
      <c r="R147" s="67" t="s">
        <v>401</v>
      </c>
    </row>
    <row r="148" spans="1:18" ht="17.399999999999999" customHeight="1" thickBot="1" x14ac:dyDescent="0.35">
      <c r="A148" s="245"/>
      <c r="B148" s="246"/>
      <c r="C148" s="246"/>
      <c r="D148" s="246"/>
      <c r="E148" s="246"/>
      <c r="F148" s="246"/>
      <c r="G148" s="246"/>
      <c r="H148" s="246"/>
      <c r="I148" s="246"/>
      <c r="J148" s="246"/>
      <c r="K148" s="246"/>
      <c r="L148" s="246"/>
      <c r="M148" s="246"/>
      <c r="N148" s="246"/>
      <c r="O148" s="246"/>
      <c r="P148" s="246"/>
      <c r="Q148" s="246"/>
      <c r="R148" s="247"/>
    </row>
    <row r="149" spans="1:18" ht="22.05" customHeight="1" thickTop="1" thickBot="1" x14ac:dyDescent="0.35">
      <c r="A149" s="213" t="s">
        <v>8</v>
      </c>
      <c r="B149" s="214"/>
      <c r="C149" s="214"/>
      <c r="D149" s="214"/>
      <c r="E149" s="214"/>
      <c r="F149" s="215"/>
      <c r="G149" s="18">
        <v>46012</v>
      </c>
      <c r="H149" s="216" t="s">
        <v>9</v>
      </c>
      <c r="I149" s="214"/>
      <c r="J149" s="214"/>
      <c r="K149" s="214"/>
      <c r="L149" s="214"/>
      <c r="M149" s="214"/>
      <c r="N149" s="214"/>
      <c r="O149" s="214"/>
      <c r="P149" s="214"/>
      <c r="Q149" s="214"/>
      <c r="R149" s="215"/>
    </row>
    <row r="150" spans="1:18" ht="24" customHeight="1" x14ac:dyDescent="0.3">
      <c r="A150" s="19" t="s">
        <v>10</v>
      </c>
      <c r="B150" s="19" t="s">
        <v>11</v>
      </c>
      <c r="C150" s="20" t="s">
        <v>12</v>
      </c>
      <c r="D150" s="19" t="s">
        <v>13</v>
      </c>
      <c r="E150" s="19" t="s">
        <v>14</v>
      </c>
      <c r="F150" s="21" t="s">
        <v>15</v>
      </c>
      <c r="G150" s="22" t="s">
        <v>16</v>
      </c>
      <c r="H150" s="19" t="s">
        <v>17</v>
      </c>
      <c r="I150" s="23" t="s">
        <v>18</v>
      </c>
      <c r="J150" s="24" t="s">
        <v>19</v>
      </c>
      <c r="K150" s="25" t="s">
        <v>20</v>
      </c>
      <c r="L150" s="24" t="s">
        <v>21</v>
      </c>
      <c r="M150" s="24" t="s">
        <v>22</v>
      </c>
      <c r="N150" s="24" t="s">
        <v>23</v>
      </c>
      <c r="O150" s="19" t="s">
        <v>24</v>
      </c>
      <c r="P150" s="20" t="s">
        <v>25</v>
      </c>
      <c r="Q150" s="24" t="s">
        <v>26</v>
      </c>
      <c r="R150" s="19" t="s">
        <v>27</v>
      </c>
    </row>
    <row r="151" spans="1:18" ht="49.95" customHeight="1" x14ac:dyDescent="0.3">
      <c r="A151" s="68" t="s">
        <v>28</v>
      </c>
      <c r="B151" s="68" t="s">
        <v>327</v>
      </c>
      <c r="C151" s="69">
        <v>0.3298611111111111</v>
      </c>
      <c r="D151" s="68" t="s">
        <v>30</v>
      </c>
      <c r="E151" s="70"/>
      <c r="F151" s="68" t="s">
        <v>277</v>
      </c>
      <c r="G151" s="221"/>
      <c r="H151" s="134" t="s">
        <v>327</v>
      </c>
      <c r="I151" s="135">
        <v>1.0056</v>
      </c>
      <c r="J151" s="136">
        <v>181</v>
      </c>
      <c r="K151" s="137" t="s">
        <v>352</v>
      </c>
      <c r="L151" s="136">
        <v>2</v>
      </c>
      <c r="M151" s="136">
        <v>0</v>
      </c>
      <c r="N151" s="136">
        <v>0</v>
      </c>
      <c r="O151" s="138" t="s">
        <v>278</v>
      </c>
      <c r="P151" s="139">
        <v>0.3298611111111111</v>
      </c>
      <c r="Q151" s="136">
        <v>180</v>
      </c>
      <c r="R151" s="140" t="s">
        <v>402</v>
      </c>
    </row>
    <row r="152" spans="1:18" ht="49.95" customHeight="1" thickBot="1" x14ac:dyDescent="0.35">
      <c r="A152" s="130" t="s">
        <v>28</v>
      </c>
      <c r="B152" s="130" t="s">
        <v>329</v>
      </c>
      <c r="C152" s="131">
        <v>0.69097222222222221</v>
      </c>
      <c r="D152" s="130" t="s">
        <v>30</v>
      </c>
      <c r="E152" s="132"/>
      <c r="F152" s="130" t="s">
        <v>31</v>
      </c>
      <c r="G152" s="229"/>
      <c r="H152" s="61" t="s">
        <v>329</v>
      </c>
      <c r="I152" s="62">
        <v>0.5333</v>
      </c>
      <c r="J152" s="63">
        <v>96</v>
      </c>
      <c r="K152" s="64" t="s">
        <v>32</v>
      </c>
      <c r="L152" s="63">
        <v>5</v>
      </c>
      <c r="M152" s="63">
        <v>0</v>
      </c>
      <c r="N152" s="63">
        <v>1</v>
      </c>
      <c r="O152" s="65" t="s">
        <v>392</v>
      </c>
      <c r="P152" s="66">
        <v>0.69097222222222221</v>
      </c>
      <c r="Q152" s="63">
        <v>180</v>
      </c>
      <c r="R152" s="67" t="s">
        <v>403</v>
      </c>
    </row>
    <row r="153" spans="1:18" ht="17.399999999999999" customHeight="1" thickBot="1" x14ac:dyDescent="0.35">
      <c r="A153" s="245"/>
      <c r="B153" s="246"/>
      <c r="C153" s="246"/>
      <c r="D153" s="246"/>
      <c r="E153" s="246"/>
      <c r="F153" s="246"/>
      <c r="G153" s="246"/>
      <c r="H153" s="246"/>
      <c r="I153" s="246"/>
      <c r="J153" s="246"/>
      <c r="K153" s="246"/>
      <c r="L153" s="246"/>
      <c r="M153" s="246"/>
      <c r="N153" s="246"/>
      <c r="O153" s="246"/>
      <c r="P153" s="246"/>
      <c r="Q153" s="246"/>
      <c r="R153" s="247"/>
    </row>
    <row r="154" spans="1:18" ht="22.05" customHeight="1" thickTop="1" thickBot="1" x14ac:dyDescent="0.35">
      <c r="A154" s="213" t="s">
        <v>8</v>
      </c>
      <c r="B154" s="214"/>
      <c r="C154" s="214"/>
      <c r="D154" s="214"/>
      <c r="E154" s="214"/>
      <c r="F154" s="215"/>
      <c r="G154" s="18">
        <v>46013</v>
      </c>
      <c r="H154" s="216" t="s">
        <v>9</v>
      </c>
      <c r="I154" s="214"/>
      <c r="J154" s="214"/>
      <c r="K154" s="214"/>
      <c r="L154" s="214"/>
      <c r="M154" s="214"/>
      <c r="N154" s="214"/>
      <c r="O154" s="214"/>
      <c r="P154" s="214"/>
      <c r="Q154" s="214"/>
      <c r="R154" s="215"/>
    </row>
    <row r="155" spans="1:18" ht="24" customHeight="1" x14ac:dyDescent="0.3">
      <c r="A155" s="19" t="s">
        <v>10</v>
      </c>
      <c r="B155" s="19" t="s">
        <v>11</v>
      </c>
      <c r="C155" s="20" t="s">
        <v>12</v>
      </c>
      <c r="D155" s="19" t="s">
        <v>13</v>
      </c>
      <c r="E155" s="19" t="s">
        <v>14</v>
      </c>
      <c r="F155" s="21" t="s">
        <v>15</v>
      </c>
      <c r="G155" s="22" t="s">
        <v>16</v>
      </c>
      <c r="H155" s="19" t="s">
        <v>17</v>
      </c>
      <c r="I155" s="23" t="s">
        <v>18</v>
      </c>
      <c r="J155" s="24" t="s">
        <v>19</v>
      </c>
      <c r="K155" s="25" t="s">
        <v>20</v>
      </c>
      <c r="L155" s="24" t="s">
        <v>21</v>
      </c>
      <c r="M155" s="24" t="s">
        <v>22</v>
      </c>
      <c r="N155" s="24" t="s">
        <v>23</v>
      </c>
      <c r="O155" s="19" t="s">
        <v>24</v>
      </c>
      <c r="P155" s="20" t="s">
        <v>25</v>
      </c>
      <c r="Q155" s="24" t="s">
        <v>26</v>
      </c>
      <c r="R155" s="19" t="s">
        <v>27</v>
      </c>
    </row>
    <row r="156" spans="1:18" ht="49.95" customHeight="1" x14ac:dyDescent="0.3">
      <c r="A156" s="78" t="s">
        <v>28</v>
      </c>
      <c r="B156" s="78" t="s">
        <v>327</v>
      </c>
      <c r="C156" s="79">
        <v>9.375E-2</v>
      </c>
      <c r="D156" s="78" t="s">
        <v>30</v>
      </c>
      <c r="E156" s="80"/>
      <c r="F156" s="78" t="s">
        <v>54</v>
      </c>
      <c r="G156" s="221"/>
      <c r="H156" s="152" t="s">
        <v>327</v>
      </c>
      <c r="I156" s="171">
        <v>0.25559999999999999</v>
      </c>
      <c r="J156" s="154">
        <v>46</v>
      </c>
      <c r="K156" s="155" t="s">
        <v>352</v>
      </c>
      <c r="L156" s="154">
        <v>1</v>
      </c>
      <c r="M156" s="154">
        <v>0</v>
      </c>
      <c r="N156" s="154">
        <v>0</v>
      </c>
      <c r="O156" s="156" t="s">
        <v>154</v>
      </c>
      <c r="P156" s="157">
        <v>9.375E-2</v>
      </c>
      <c r="Q156" s="154">
        <v>180</v>
      </c>
      <c r="R156" s="158" t="s">
        <v>404</v>
      </c>
    </row>
    <row r="157" spans="1:18" ht="49.95" customHeight="1" x14ac:dyDescent="0.3">
      <c r="A157" s="205" t="s">
        <v>28</v>
      </c>
      <c r="B157" s="205" t="s">
        <v>329</v>
      </c>
      <c r="C157" s="206">
        <v>0.19444444444444439</v>
      </c>
      <c r="D157" s="205" t="s">
        <v>30</v>
      </c>
      <c r="E157" s="207"/>
      <c r="F157" s="205" t="s">
        <v>31</v>
      </c>
      <c r="G157" s="230"/>
      <c r="H157" s="179" t="s">
        <v>329</v>
      </c>
      <c r="I157" s="209">
        <v>0.52780000000000005</v>
      </c>
      <c r="J157" s="181">
        <v>95</v>
      </c>
      <c r="K157" s="182" t="s">
        <v>384</v>
      </c>
      <c r="L157" s="181">
        <v>2</v>
      </c>
      <c r="M157" s="181">
        <v>0</v>
      </c>
      <c r="N157" s="181">
        <v>0</v>
      </c>
      <c r="O157" s="183" t="s">
        <v>299</v>
      </c>
      <c r="P157" s="184">
        <v>0.19444444444444439</v>
      </c>
      <c r="Q157" s="181">
        <v>180</v>
      </c>
      <c r="R157" s="185" t="s">
        <v>405</v>
      </c>
    </row>
    <row r="158" spans="1:18" ht="49.95" customHeight="1" x14ac:dyDescent="0.3">
      <c r="A158" s="200" t="s">
        <v>28</v>
      </c>
      <c r="B158" s="200" t="s">
        <v>333</v>
      </c>
      <c r="C158" s="201">
        <v>0.34722222222222232</v>
      </c>
      <c r="D158" s="200" t="s">
        <v>30</v>
      </c>
      <c r="E158" s="202"/>
      <c r="F158" s="200" t="s">
        <v>31</v>
      </c>
      <c r="G158" s="230"/>
      <c r="H158" s="193" t="s">
        <v>333</v>
      </c>
      <c r="I158" s="210">
        <v>0.5222</v>
      </c>
      <c r="J158" s="195">
        <v>94</v>
      </c>
      <c r="K158" s="196" t="s">
        <v>384</v>
      </c>
      <c r="L158" s="195">
        <v>1</v>
      </c>
      <c r="M158" s="195">
        <v>0</v>
      </c>
      <c r="N158" s="195">
        <v>0</v>
      </c>
      <c r="O158" s="197" t="s">
        <v>116</v>
      </c>
      <c r="P158" s="198">
        <v>0.34722222222222232</v>
      </c>
      <c r="Q158" s="195">
        <v>180</v>
      </c>
      <c r="R158" s="199" t="s">
        <v>406</v>
      </c>
    </row>
    <row r="159" spans="1:18" ht="49.95" customHeight="1" thickBot="1" x14ac:dyDescent="0.35">
      <c r="A159" s="159" t="s">
        <v>28</v>
      </c>
      <c r="B159" s="159" t="s">
        <v>335</v>
      </c>
      <c r="C159" s="160">
        <v>0.58333333333333337</v>
      </c>
      <c r="D159" s="159" t="s">
        <v>30</v>
      </c>
      <c r="E159" s="161"/>
      <c r="F159" s="159" t="s">
        <v>31</v>
      </c>
      <c r="G159" s="229"/>
      <c r="H159" s="94" t="s">
        <v>335</v>
      </c>
      <c r="I159" s="147">
        <v>0.76670000000000005</v>
      </c>
      <c r="J159" s="96">
        <v>138</v>
      </c>
      <c r="K159" s="97" t="s">
        <v>253</v>
      </c>
      <c r="L159" s="96">
        <v>1</v>
      </c>
      <c r="M159" s="96">
        <v>0</v>
      </c>
      <c r="N159" s="96">
        <v>0</v>
      </c>
      <c r="O159" s="98" t="s">
        <v>61</v>
      </c>
      <c r="P159" s="99">
        <v>0.58333333333333337</v>
      </c>
      <c r="Q159" s="96">
        <v>180</v>
      </c>
      <c r="R159" s="100" t="s">
        <v>407</v>
      </c>
    </row>
    <row r="160" spans="1:18" ht="17.399999999999999" customHeight="1" thickBot="1" x14ac:dyDescent="0.35">
      <c r="A160" s="245"/>
      <c r="B160" s="246"/>
      <c r="C160" s="246"/>
      <c r="D160" s="246"/>
      <c r="E160" s="246"/>
      <c r="F160" s="246"/>
      <c r="G160" s="246"/>
      <c r="H160" s="246"/>
      <c r="I160" s="246"/>
      <c r="J160" s="246"/>
      <c r="K160" s="246"/>
      <c r="L160" s="246"/>
      <c r="M160" s="246"/>
      <c r="N160" s="246"/>
      <c r="O160" s="246"/>
      <c r="P160" s="246"/>
      <c r="Q160" s="246"/>
      <c r="R160" s="247"/>
    </row>
    <row r="161" spans="1:18" ht="22.05" customHeight="1" thickTop="1" thickBot="1" x14ac:dyDescent="0.35">
      <c r="A161" s="213" t="s">
        <v>8</v>
      </c>
      <c r="B161" s="214"/>
      <c r="C161" s="214"/>
      <c r="D161" s="214"/>
      <c r="E161" s="214"/>
      <c r="F161" s="215"/>
      <c r="G161" s="18">
        <v>46014</v>
      </c>
      <c r="H161" s="216" t="s">
        <v>9</v>
      </c>
      <c r="I161" s="214"/>
      <c r="J161" s="214"/>
      <c r="K161" s="214"/>
      <c r="L161" s="214"/>
      <c r="M161" s="214"/>
      <c r="N161" s="214"/>
      <c r="O161" s="214"/>
      <c r="P161" s="214"/>
      <c r="Q161" s="214"/>
      <c r="R161" s="215"/>
    </row>
    <row r="162" spans="1:18" ht="24" customHeight="1" x14ac:dyDescent="0.3">
      <c r="A162" s="19" t="s">
        <v>10</v>
      </c>
      <c r="B162" s="19" t="s">
        <v>11</v>
      </c>
      <c r="C162" s="20" t="s">
        <v>12</v>
      </c>
      <c r="D162" s="19" t="s">
        <v>13</v>
      </c>
      <c r="E162" s="19" t="s">
        <v>14</v>
      </c>
      <c r="F162" s="21" t="s">
        <v>15</v>
      </c>
      <c r="G162" s="22" t="s">
        <v>16</v>
      </c>
      <c r="H162" s="19" t="s">
        <v>17</v>
      </c>
      <c r="I162" s="23" t="s">
        <v>18</v>
      </c>
      <c r="J162" s="24" t="s">
        <v>19</v>
      </c>
      <c r="K162" s="25" t="s">
        <v>20</v>
      </c>
      <c r="L162" s="24" t="s">
        <v>21</v>
      </c>
      <c r="M162" s="24" t="s">
        <v>22</v>
      </c>
      <c r="N162" s="24" t="s">
        <v>23</v>
      </c>
      <c r="O162" s="19" t="s">
        <v>24</v>
      </c>
      <c r="P162" s="20" t="s">
        <v>25</v>
      </c>
      <c r="Q162" s="24" t="s">
        <v>26</v>
      </c>
      <c r="R162" s="19" t="s">
        <v>27</v>
      </c>
    </row>
    <row r="163" spans="1:18" ht="49.95" customHeight="1" x14ac:dyDescent="0.3">
      <c r="A163" s="58" t="s">
        <v>28</v>
      </c>
      <c r="B163" s="58" t="s">
        <v>335</v>
      </c>
      <c r="C163" s="59">
        <v>0.16666666666666671</v>
      </c>
      <c r="D163" s="58" t="s">
        <v>30</v>
      </c>
      <c r="E163" s="60"/>
      <c r="F163" s="58" t="s">
        <v>277</v>
      </c>
      <c r="G163" s="221"/>
      <c r="H163" s="193" t="s">
        <v>335</v>
      </c>
      <c r="I163" s="194">
        <v>1.0056</v>
      </c>
      <c r="J163" s="195">
        <v>181</v>
      </c>
      <c r="K163" s="196" t="s">
        <v>371</v>
      </c>
      <c r="L163" s="195">
        <v>1</v>
      </c>
      <c r="M163" s="195">
        <v>0</v>
      </c>
      <c r="N163" s="195">
        <v>0</v>
      </c>
      <c r="O163" s="197" t="s">
        <v>278</v>
      </c>
      <c r="P163" s="198">
        <v>0.16666666666666671</v>
      </c>
      <c r="Q163" s="195">
        <v>180</v>
      </c>
      <c r="R163" s="199" t="s">
        <v>402</v>
      </c>
    </row>
    <row r="164" spans="1:18" ht="49.95" customHeight="1" thickBot="1" x14ac:dyDescent="0.35">
      <c r="A164" s="186" t="s">
        <v>28</v>
      </c>
      <c r="B164" s="186" t="s">
        <v>329</v>
      </c>
      <c r="C164" s="187">
        <v>0.52777777777777779</v>
      </c>
      <c r="D164" s="186" t="s">
        <v>30</v>
      </c>
      <c r="E164" s="188"/>
      <c r="F164" s="186" t="s">
        <v>31</v>
      </c>
      <c r="G164" s="229"/>
      <c r="H164" s="71" t="s">
        <v>329</v>
      </c>
      <c r="I164" s="102">
        <v>0.7722</v>
      </c>
      <c r="J164" s="73">
        <v>139</v>
      </c>
      <c r="K164" s="74" t="s">
        <v>32</v>
      </c>
      <c r="L164" s="73">
        <v>1</v>
      </c>
      <c r="M164" s="73">
        <v>0</v>
      </c>
      <c r="N164" s="73">
        <v>1</v>
      </c>
      <c r="O164" s="75" t="s">
        <v>301</v>
      </c>
      <c r="P164" s="76">
        <v>0.52777777777777779</v>
      </c>
      <c r="Q164" s="73">
        <v>180</v>
      </c>
      <c r="R164" s="77" t="s">
        <v>408</v>
      </c>
    </row>
    <row r="165" spans="1:18" ht="17.399999999999999" customHeight="1" thickBot="1" x14ac:dyDescent="0.35">
      <c r="A165" s="245"/>
      <c r="B165" s="246"/>
      <c r="C165" s="246"/>
      <c r="D165" s="246"/>
      <c r="E165" s="246"/>
      <c r="F165" s="246"/>
      <c r="G165" s="246"/>
      <c r="H165" s="246"/>
      <c r="I165" s="246"/>
      <c r="J165" s="246"/>
      <c r="K165" s="246"/>
      <c r="L165" s="246"/>
      <c r="M165" s="246"/>
      <c r="N165" s="246"/>
      <c r="O165" s="246"/>
      <c r="P165" s="246"/>
      <c r="Q165" s="246"/>
      <c r="R165" s="247"/>
    </row>
    <row r="166" spans="1:18" ht="22.05" customHeight="1" thickTop="1" thickBot="1" x14ac:dyDescent="0.35">
      <c r="A166" s="213" t="s">
        <v>8</v>
      </c>
      <c r="B166" s="214"/>
      <c r="C166" s="214"/>
      <c r="D166" s="214"/>
      <c r="E166" s="214"/>
      <c r="F166" s="215"/>
      <c r="G166" s="18">
        <v>46015</v>
      </c>
      <c r="H166" s="216" t="s">
        <v>9</v>
      </c>
      <c r="I166" s="214"/>
      <c r="J166" s="214"/>
      <c r="K166" s="214"/>
      <c r="L166" s="214"/>
      <c r="M166" s="214"/>
      <c r="N166" s="214"/>
      <c r="O166" s="214"/>
      <c r="P166" s="214"/>
      <c r="Q166" s="214"/>
      <c r="R166" s="215"/>
    </row>
    <row r="167" spans="1:18" ht="24" customHeight="1" x14ac:dyDescent="0.3">
      <c r="A167" s="19" t="s">
        <v>10</v>
      </c>
      <c r="B167" s="19" t="s">
        <v>11</v>
      </c>
      <c r="C167" s="20" t="s">
        <v>12</v>
      </c>
      <c r="D167" s="19" t="s">
        <v>13</v>
      </c>
      <c r="E167" s="19" t="s">
        <v>14</v>
      </c>
      <c r="F167" s="21" t="s">
        <v>15</v>
      </c>
      <c r="G167" s="22" t="s">
        <v>16</v>
      </c>
      <c r="H167" s="19" t="s">
        <v>17</v>
      </c>
      <c r="I167" s="23" t="s">
        <v>18</v>
      </c>
      <c r="J167" s="24" t="s">
        <v>19</v>
      </c>
      <c r="K167" s="25" t="s">
        <v>20</v>
      </c>
      <c r="L167" s="24" t="s">
        <v>21</v>
      </c>
      <c r="M167" s="24" t="s">
        <v>22</v>
      </c>
      <c r="N167" s="24" t="s">
        <v>23</v>
      </c>
      <c r="O167" s="19" t="s">
        <v>24</v>
      </c>
      <c r="P167" s="20" t="s">
        <v>25</v>
      </c>
      <c r="Q167" s="24" t="s">
        <v>26</v>
      </c>
      <c r="R167" s="19" t="s">
        <v>27</v>
      </c>
    </row>
    <row r="168" spans="1:18" ht="49.95" customHeight="1" x14ac:dyDescent="0.3">
      <c r="A168" s="46" t="s">
        <v>28</v>
      </c>
      <c r="B168" s="46" t="s">
        <v>335</v>
      </c>
      <c r="C168" s="47">
        <v>0.1076388888888889</v>
      </c>
      <c r="D168" s="46" t="s">
        <v>30</v>
      </c>
      <c r="E168" s="48"/>
      <c r="F168" s="46" t="s">
        <v>277</v>
      </c>
      <c r="G168" s="221"/>
      <c r="H168" s="179" t="s">
        <v>335</v>
      </c>
      <c r="I168" s="211">
        <v>1.0056</v>
      </c>
      <c r="J168" s="181">
        <v>181</v>
      </c>
      <c r="K168" s="182" t="s">
        <v>255</v>
      </c>
      <c r="L168" s="181">
        <v>0</v>
      </c>
      <c r="M168" s="181">
        <v>0</v>
      </c>
      <c r="N168" s="181">
        <v>0</v>
      </c>
      <c r="O168" s="183" t="s">
        <v>278</v>
      </c>
      <c r="P168" s="184">
        <v>0.1076388888888889</v>
      </c>
      <c r="Q168" s="181">
        <v>180</v>
      </c>
      <c r="R168" s="185" t="s">
        <v>409</v>
      </c>
    </row>
    <row r="169" spans="1:18" ht="49.95" customHeight="1" x14ac:dyDescent="0.3">
      <c r="A169" s="172" t="s">
        <v>28</v>
      </c>
      <c r="B169" s="172" t="s">
        <v>327</v>
      </c>
      <c r="C169" s="173">
        <v>0.49652777777777768</v>
      </c>
      <c r="D169" s="172" t="s">
        <v>30</v>
      </c>
      <c r="E169" s="174"/>
      <c r="F169" s="172" t="s">
        <v>185</v>
      </c>
      <c r="G169" s="230"/>
      <c r="H169" s="163" t="s">
        <v>327</v>
      </c>
      <c r="I169" s="212">
        <v>0.99439999999999995</v>
      </c>
      <c r="J169" s="165">
        <v>179</v>
      </c>
      <c r="K169" s="166" t="s">
        <v>371</v>
      </c>
      <c r="L169" s="165">
        <v>1</v>
      </c>
      <c r="M169" s="165">
        <v>0</v>
      </c>
      <c r="N169" s="165">
        <v>0</v>
      </c>
      <c r="O169" s="167" t="s">
        <v>298</v>
      </c>
      <c r="P169" s="168">
        <v>0.49652777777777768</v>
      </c>
      <c r="Q169" s="165">
        <v>180</v>
      </c>
      <c r="R169" s="169" t="s">
        <v>410</v>
      </c>
    </row>
    <row r="170" spans="1:18" ht="49.95" customHeight="1" thickBot="1" x14ac:dyDescent="0.35">
      <c r="A170" s="149" t="s">
        <v>28</v>
      </c>
      <c r="B170" s="149" t="s">
        <v>333</v>
      </c>
      <c r="C170" s="150">
        <v>0.92361111111111116</v>
      </c>
      <c r="D170" s="149" t="s">
        <v>30</v>
      </c>
      <c r="E170" s="151"/>
      <c r="F170" s="149" t="s">
        <v>54</v>
      </c>
      <c r="G170" s="229"/>
      <c r="H170" s="29" t="s">
        <v>333</v>
      </c>
      <c r="I170" s="57">
        <v>0.2944</v>
      </c>
      <c r="J170" s="31">
        <v>53</v>
      </c>
      <c r="K170" s="32" t="s">
        <v>255</v>
      </c>
      <c r="L170" s="31">
        <v>0</v>
      </c>
      <c r="M170" s="31">
        <v>0</v>
      </c>
      <c r="N170" s="31">
        <v>0</v>
      </c>
      <c r="O170" s="33" t="s">
        <v>298</v>
      </c>
      <c r="P170" s="34">
        <v>0.92361111111111116</v>
      </c>
      <c r="Q170" s="31">
        <v>180</v>
      </c>
      <c r="R170" s="35" t="s">
        <v>382</v>
      </c>
    </row>
    <row r="171" spans="1:18" ht="17.399999999999999" customHeight="1" thickBot="1" x14ac:dyDescent="0.35">
      <c r="A171" s="245"/>
      <c r="B171" s="246"/>
      <c r="C171" s="246"/>
      <c r="D171" s="246"/>
      <c r="E171" s="246"/>
      <c r="F171" s="246"/>
      <c r="G171" s="246"/>
      <c r="H171" s="246"/>
      <c r="I171" s="246"/>
      <c r="J171" s="246"/>
      <c r="K171" s="246"/>
      <c r="L171" s="246"/>
      <c r="M171" s="246"/>
      <c r="N171" s="246"/>
      <c r="O171" s="246"/>
      <c r="P171" s="246"/>
      <c r="Q171" s="246"/>
      <c r="R171" s="247"/>
    </row>
    <row r="172" spans="1:18" ht="22.05" customHeight="1" thickTop="1" thickBot="1" x14ac:dyDescent="0.35">
      <c r="A172" s="213" t="s">
        <v>8</v>
      </c>
      <c r="B172" s="214"/>
      <c r="C172" s="214"/>
      <c r="D172" s="214"/>
      <c r="E172" s="214"/>
      <c r="F172" s="215"/>
      <c r="G172" s="18">
        <v>46016</v>
      </c>
      <c r="H172" s="216" t="s">
        <v>9</v>
      </c>
      <c r="I172" s="214"/>
      <c r="J172" s="214"/>
      <c r="K172" s="214"/>
      <c r="L172" s="214"/>
      <c r="M172" s="214"/>
      <c r="N172" s="214"/>
      <c r="O172" s="214"/>
      <c r="P172" s="214"/>
      <c r="Q172" s="214"/>
      <c r="R172" s="215"/>
    </row>
    <row r="173" spans="1:18" ht="24" customHeight="1" x14ac:dyDescent="0.3">
      <c r="A173" s="19" t="s">
        <v>10</v>
      </c>
      <c r="B173" s="19" t="s">
        <v>11</v>
      </c>
      <c r="C173" s="20" t="s">
        <v>12</v>
      </c>
      <c r="D173" s="19" t="s">
        <v>13</v>
      </c>
      <c r="E173" s="19" t="s">
        <v>14</v>
      </c>
      <c r="F173" s="21" t="s">
        <v>15</v>
      </c>
      <c r="G173" s="22" t="s">
        <v>16</v>
      </c>
      <c r="H173" s="19" t="s">
        <v>17</v>
      </c>
      <c r="I173" s="23" t="s">
        <v>18</v>
      </c>
      <c r="J173" s="24" t="s">
        <v>19</v>
      </c>
      <c r="K173" s="25" t="s">
        <v>20</v>
      </c>
      <c r="L173" s="24" t="s">
        <v>21</v>
      </c>
      <c r="M173" s="24" t="s">
        <v>22</v>
      </c>
      <c r="N173" s="24" t="s">
        <v>23</v>
      </c>
      <c r="O173" s="19" t="s">
        <v>24</v>
      </c>
      <c r="P173" s="20" t="s">
        <v>25</v>
      </c>
      <c r="Q173" s="24" t="s">
        <v>26</v>
      </c>
      <c r="R173" s="19" t="s">
        <v>27</v>
      </c>
    </row>
    <row r="174" spans="1:18" ht="49.95" customHeight="1" x14ac:dyDescent="0.3">
      <c r="A174" s="68" t="s">
        <v>28</v>
      </c>
      <c r="B174" s="68" t="s">
        <v>335</v>
      </c>
      <c r="C174" s="69">
        <v>0.3576388888888889</v>
      </c>
      <c r="D174" s="68" t="s">
        <v>30</v>
      </c>
      <c r="E174" s="70"/>
      <c r="F174" s="68" t="s">
        <v>188</v>
      </c>
      <c r="G174" s="217"/>
      <c r="H174" s="134" t="s">
        <v>335</v>
      </c>
      <c r="I174" s="135">
        <v>0.91669999999999996</v>
      </c>
      <c r="J174" s="136">
        <v>165</v>
      </c>
      <c r="K174" s="137" t="s">
        <v>251</v>
      </c>
      <c r="L174" s="136">
        <v>3</v>
      </c>
      <c r="M174" s="136">
        <v>0</v>
      </c>
      <c r="N174" s="136">
        <v>0</v>
      </c>
      <c r="O174" s="138" t="s">
        <v>392</v>
      </c>
      <c r="P174" s="139">
        <v>0.3576388888888889</v>
      </c>
      <c r="Q174" s="136">
        <v>180</v>
      </c>
      <c r="R174" s="140" t="s">
        <v>411</v>
      </c>
    </row>
    <row r="175" spans="1:18" ht="49.95" customHeight="1" thickBot="1" x14ac:dyDescent="0.35">
      <c r="A175" s="126" t="s">
        <v>28</v>
      </c>
      <c r="B175" s="126" t="s">
        <v>329</v>
      </c>
      <c r="C175" s="127">
        <v>0.54861111111111105</v>
      </c>
      <c r="D175" s="126" t="s">
        <v>30</v>
      </c>
      <c r="E175" s="128"/>
      <c r="F175" s="126" t="s">
        <v>185</v>
      </c>
      <c r="G175" s="229"/>
      <c r="H175" s="81" t="s">
        <v>329</v>
      </c>
      <c r="I175" s="88">
        <v>0.98329999999999995</v>
      </c>
      <c r="J175" s="83">
        <v>177</v>
      </c>
      <c r="K175" s="84" t="s">
        <v>253</v>
      </c>
      <c r="L175" s="83">
        <v>2</v>
      </c>
      <c r="M175" s="83">
        <v>0</v>
      </c>
      <c r="N175" s="83">
        <v>0</v>
      </c>
      <c r="O175" s="85" t="s">
        <v>392</v>
      </c>
      <c r="P175" s="86">
        <v>0.54861111111111105</v>
      </c>
      <c r="Q175" s="83">
        <v>180</v>
      </c>
      <c r="R175" s="87" t="s">
        <v>412</v>
      </c>
    </row>
    <row r="176" spans="1:18" ht="17.399999999999999" customHeight="1" thickBot="1" x14ac:dyDescent="0.35">
      <c r="A176" s="245"/>
      <c r="B176" s="246"/>
      <c r="C176" s="246"/>
      <c r="D176" s="246"/>
      <c r="E176" s="246"/>
      <c r="F176" s="246"/>
      <c r="G176" s="246"/>
      <c r="H176" s="246"/>
      <c r="I176" s="246"/>
      <c r="J176" s="246"/>
      <c r="K176" s="246"/>
      <c r="L176" s="246"/>
      <c r="M176" s="246"/>
      <c r="N176" s="246"/>
      <c r="O176" s="246"/>
      <c r="P176" s="246"/>
      <c r="Q176" s="246"/>
      <c r="R176" s="247"/>
    </row>
    <row r="177" spans="1:18" ht="22.05" customHeight="1" thickTop="1" thickBot="1" x14ac:dyDescent="0.35">
      <c r="A177" s="213" t="s">
        <v>8</v>
      </c>
      <c r="B177" s="214"/>
      <c r="C177" s="214"/>
      <c r="D177" s="214"/>
      <c r="E177" s="214"/>
      <c r="F177" s="215"/>
      <c r="G177" s="18">
        <v>46017</v>
      </c>
      <c r="H177" s="216" t="s">
        <v>9</v>
      </c>
      <c r="I177" s="214"/>
      <c r="J177" s="214"/>
      <c r="K177" s="214"/>
      <c r="L177" s="214"/>
      <c r="M177" s="214"/>
      <c r="N177" s="214"/>
      <c r="O177" s="214"/>
      <c r="P177" s="214"/>
      <c r="Q177" s="214"/>
      <c r="R177" s="215"/>
    </row>
    <row r="178" spans="1:18" ht="24" customHeight="1" x14ac:dyDescent="0.3">
      <c r="A178" s="19" t="s">
        <v>10</v>
      </c>
      <c r="B178" s="19" t="s">
        <v>11</v>
      </c>
      <c r="C178" s="20" t="s">
        <v>12</v>
      </c>
      <c r="D178" s="19" t="s">
        <v>13</v>
      </c>
      <c r="E178" s="19" t="s">
        <v>14</v>
      </c>
      <c r="F178" s="21" t="s">
        <v>15</v>
      </c>
      <c r="G178" s="22" t="s">
        <v>16</v>
      </c>
      <c r="H178" s="19" t="s">
        <v>17</v>
      </c>
      <c r="I178" s="23" t="s">
        <v>18</v>
      </c>
      <c r="J178" s="24" t="s">
        <v>19</v>
      </c>
      <c r="K178" s="25" t="s">
        <v>20</v>
      </c>
      <c r="L178" s="24" t="s">
        <v>21</v>
      </c>
      <c r="M178" s="24" t="s">
        <v>22</v>
      </c>
      <c r="N178" s="24" t="s">
        <v>23</v>
      </c>
      <c r="O178" s="19" t="s">
        <v>24</v>
      </c>
      <c r="P178" s="20" t="s">
        <v>25</v>
      </c>
      <c r="Q178" s="24" t="s">
        <v>26</v>
      </c>
      <c r="R178" s="19" t="s">
        <v>27</v>
      </c>
    </row>
    <row r="179" spans="1:18" ht="49.95" customHeight="1" x14ac:dyDescent="0.45">
      <c r="A179" s="36" t="s">
        <v>28</v>
      </c>
      <c r="B179" s="36" t="s">
        <v>327</v>
      </c>
      <c r="C179" s="37">
        <v>0.13541666666666671</v>
      </c>
      <c r="D179" s="36" t="s">
        <v>30</v>
      </c>
      <c r="E179" s="38"/>
      <c r="F179" s="36" t="s">
        <v>54</v>
      </c>
      <c r="G179" s="217"/>
      <c r="H179" s="39" t="s">
        <v>327</v>
      </c>
      <c r="I179" s="56">
        <v>4.4400000000000002E-2</v>
      </c>
      <c r="J179" s="41">
        <v>8</v>
      </c>
      <c r="K179" s="42" t="s">
        <v>357</v>
      </c>
      <c r="L179" s="41">
        <v>0</v>
      </c>
      <c r="M179" s="41">
        <v>0</v>
      </c>
      <c r="N179" s="41">
        <v>0</v>
      </c>
      <c r="O179" s="43" t="s">
        <v>392</v>
      </c>
      <c r="P179" s="44">
        <v>0.13541666666666671</v>
      </c>
      <c r="Q179" s="41">
        <v>180</v>
      </c>
      <c r="R179" s="45" t="s">
        <v>413</v>
      </c>
    </row>
  </sheetData>
  <mergeCells count="142">
    <mergeCell ref="N1:R1"/>
    <mergeCell ref="K2:R2"/>
    <mergeCell ref="A92:F92"/>
    <mergeCell ref="H66:R66"/>
    <mergeCell ref="A166:F166"/>
    <mergeCell ref="H149:R149"/>
    <mergeCell ref="A148:R148"/>
    <mergeCell ref="A45:F45"/>
    <mergeCell ref="A103:F103"/>
    <mergeCell ref="A123:R123"/>
    <mergeCell ref="G33"/>
    <mergeCell ref="A87:F87"/>
    <mergeCell ref="H135:R135"/>
    <mergeCell ref="H92:R92"/>
    <mergeCell ref="A69:R69"/>
    <mergeCell ref="G17:G18"/>
    <mergeCell ref="A25:R25"/>
    <mergeCell ref="H20:R20"/>
    <mergeCell ref="A75:R75"/>
    <mergeCell ref="H4:R4"/>
    <mergeCell ref="A113:F113"/>
    <mergeCell ref="A3:R3"/>
    <mergeCell ref="H31:R31"/>
    <mergeCell ref="A86:R86"/>
    <mergeCell ref="A177:F177"/>
    <mergeCell ref="A65:R65"/>
    <mergeCell ref="G83:G85"/>
    <mergeCell ref="G126:G127"/>
    <mergeCell ref="G42:G43"/>
    <mergeCell ref="A128:R128"/>
    <mergeCell ref="A80:R80"/>
    <mergeCell ref="A26:F26"/>
    <mergeCell ref="A154:F154"/>
    <mergeCell ref="G168:G170"/>
    <mergeCell ref="H40:R40"/>
    <mergeCell ref="A129:F129"/>
    <mergeCell ref="A76:F76"/>
    <mergeCell ref="G109:G111"/>
    <mergeCell ref="G156:G159"/>
    <mergeCell ref="G28:G29"/>
    <mergeCell ref="G37:G38"/>
    <mergeCell ref="A106:R106"/>
    <mergeCell ref="A140:F140"/>
    <mergeCell ref="G174:G175"/>
    <mergeCell ref="A160:R160"/>
    <mergeCell ref="H177:R177"/>
    <mergeCell ref="H98:R98"/>
    <mergeCell ref="G146:G147"/>
    <mergeCell ref="A171:R171"/>
    <mergeCell ref="G63:G64"/>
    <mergeCell ref="A165:R165"/>
    <mergeCell ref="G57:G59"/>
    <mergeCell ref="A9:F9"/>
    <mergeCell ref="G89:G90"/>
    <mergeCell ref="A102:R102"/>
    <mergeCell ref="A117:R117"/>
    <mergeCell ref="G120:G122"/>
    <mergeCell ref="A34:R34"/>
    <mergeCell ref="A143:R143"/>
    <mergeCell ref="A39:R39"/>
    <mergeCell ref="A98:F98"/>
    <mergeCell ref="A49:R49"/>
    <mergeCell ref="G68"/>
    <mergeCell ref="A61:F61"/>
    <mergeCell ref="H154:R154"/>
    <mergeCell ref="G52:G53"/>
    <mergeCell ref="A14:R14"/>
    <mergeCell ref="A97:R97"/>
    <mergeCell ref="H70:R70"/>
    <mergeCell ref="A134:R134"/>
    <mergeCell ref="G11:G13"/>
    <mergeCell ref="A44:R44"/>
    <mergeCell ref="A149:F149"/>
    <mergeCell ref="G78:G79"/>
    <mergeCell ref="G94:G96"/>
    <mergeCell ref="H50:R50"/>
    <mergeCell ref="A2:F2"/>
    <mergeCell ref="A139:R139"/>
    <mergeCell ref="G22:G24"/>
    <mergeCell ref="G72:G74"/>
    <mergeCell ref="A135:F135"/>
    <mergeCell ref="A35:F35"/>
    <mergeCell ref="A8:R8"/>
    <mergeCell ref="A91:R91"/>
    <mergeCell ref="G6:G7"/>
    <mergeCell ref="G2:J2"/>
    <mergeCell ref="A4:F4"/>
    <mergeCell ref="H140:R140"/>
    <mergeCell ref="G100:G101"/>
    <mergeCell ref="G47:G48"/>
    <mergeCell ref="H124:R124"/>
    <mergeCell ref="A60:R60"/>
    <mergeCell ref="H76:R76"/>
    <mergeCell ref="G142"/>
    <mergeCell ref="H144:R144"/>
    <mergeCell ref="G179"/>
    <mergeCell ref="A19:R19"/>
    <mergeCell ref="A112:R112"/>
    <mergeCell ref="A31:F31"/>
    <mergeCell ref="H45:R45"/>
    <mergeCell ref="A40:F40"/>
    <mergeCell ref="H81:R81"/>
    <mergeCell ref="A15:F15"/>
    <mergeCell ref="G163:G164"/>
    <mergeCell ref="G115:G116"/>
    <mergeCell ref="A30:R30"/>
    <mergeCell ref="A107:F107"/>
    <mergeCell ref="A176:R176"/>
    <mergeCell ref="H87:R87"/>
    <mergeCell ref="A70:F70"/>
    <mergeCell ref="H15:R15"/>
    <mergeCell ref="A124:F124"/>
    <mergeCell ref="H107:R107"/>
    <mergeCell ref="H172:R172"/>
    <mergeCell ref="A172:F172"/>
    <mergeCell ref="A153:R153"/>
    <mergeCell ref="A54:R54"/>
    <mergeCell ref="G151:G152"/>
    <mergeCell ref="H26:R26"/>
    <mergeCell ref="H166:R166"/>
    <mergeCell ref="H35:R35"/>
    <mergeCell ref="A66:F66"/>
    <mergeCell ref="A118:F118"/>
    <mergeCell ref="H1:L1"/>
    <mergeCell ref="A1:E1"/>
    <mergeCell ref="A50:F50"/>
    <mergeCell ref="H103:R103"/>
    <mergeCell ref="H55:R55"/>
    <mergeCell ref="A55:F55"/>
    <mergeCell ref="H113:R113"/>
    <mergeCell ref="G137:G138"/>
    <mergeCell ref="H9:R9"/>
    <mergeCell ref="H118:R118"/>
    <mergeCell ref="G105"/>
    <mergeCell ref="H161:R161"/>
    <mergeCell ref="A144:F144"/>
    <mergeCell ref="A20:F20"/>
    <mergeCell ref="H129:R129"/>
    <mergeCell ref="G131:G133"/>
    <mergeCell ref="A81:F81"/>
    <mergeCell ref="H61:R61"/>
    <mergeCell ref="A161:F16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77"/>
  <sheetViews>
    <sheetView workbookViewId="0"/>
  </sheetViews>
  <sheetFormatPr defaultRowHeight="15.6" outlineLevelCol="1" x14ac:dyDescent="0.3"/>
  <cols>
    <col min="1" max="1" width="11.5546875" style="232" bestFit="1" customWidth="1"/>
    <col min="2" max="2" width="10.44140625" style="232" bestFit="1" customWidth="1"/>
    <col min="3" max="3" width="6.77734375" style="232" bestFit="1" customWidth="1"/>
    <col min="4" max="4" width="5.5546875" style="232" bestFit="1" customWidth="1"/>
    <col min="5" max="5" width="7.77734375" style="232" bestFit="1" customWidth="1"/>
    <col min="6" max="6" width="4.21875" style="232" bestFit="1" customWidth="1"/>
    <col min="7" max="7" width="10" style="232" bestFit="1" customWidth="1"/>
    <col min="8" max="8" width="10.109375" style="232" bestFit="1" customWidth="1"/>
    <col min="9" max="10" width="8.5546875" style="232" bestFit="1" customWidth="1"/>
    <col min="11" max="11" width="10.5546875" style="232" bestFit="1" customWidth="1"/>
    <col min="12" max="12" width="18.109375" style="232" bestFit="1" customWidth="1"/>
    <col min="13" max="13" width="7.6640625" style="232" bestFit="1" customWidth="1" outlineLevel="1"/>
    <col min="14" max="14" width="7" style="232" bestFit="1" customWidth="1" outlineLevel="1"/>
    <col min="15" max="15" width="8.5546875" style="232" bestFit="1" customWidth="1" outlineLevel="1"/>
    <col min="16" max="16" width="13.6640625" style="232" bestFit="1" customWidth="1"/>
    <col min="17" max="23" width="3.88671875" style="232" bestFit="1" customWidth="1"/>
    <col min="24" max="24" width="4.109375" style="232" bestFit="1" customWidth="1"/>
    <col min="25" max="25" width="4.44140625" style="232" bestFit="1" customWidth="1"/>
    <col min="26" max="26" width="4.109375" style="232" bestFit="1" customWidth="1"/>
    <col min="27" max="27" width="5" style="232" bestFit="1" customWidth="1"/>
    <col min="28" max="29" width="4.21875" style="232" bestFit="1" customWidth="1"/>
    <col min="30" max="31" width="4.5546875" style="232" bestFit="1" customWidth="1"/>
    <col min="32" max="32" width="3.88671875" style="232" bestFit="1" customWidth="1"/>
    <col min="33" max="33" width="4.21875" style="232" bestFit="1" customWidth="1"/>
    <col min="34" max="34" width="3.88671875" style="232" bestFit="1" customWidth="1"/>
    <col min="35" max="35" width="5.21875" style="232" bestFit="1" customWidth="1"/>
    <col min="36" max="36" width="3.88671875" style="232" bestFit="1" customWidth="1"/>
    <col min="37" max="16384" width="8.88671875" style="232"/>
  </cols>
  <sheetData>
    <row r="1" spans="1:36" x14ac:dyDescent="0.3">
      <c r="A1" s="231" t="s">
        <v>65</v>
      </c>
      <c r="B1" s="231" t="s">
        <v>66</v>
      </c>
      <c r="C1" s="231" t="s">
        <v>67</v>
      </c>
      <c r="D1" s="231" t="s">
        <v>25</v>
      </c>
      <c r="E1" s="231" t="s">
        <v>68</v>
      </c>
      <c r="F1" s="231" t="s">
        <v>69</v>
      </c>
      <c r="G1" s="231" t="s">
        <v>18</v>
      </c>
      <c r="H1" s="231" t="s">
        <v>70</v>
      </c>
      <c r="I1" s="231" t="s">
        <v>71</v>
      </c>
      <c r="J1" s="231" t="s">
        <v>72</v>
      </c>
      <c r="K1" s="231" t="s">
        <v>73</v>
      </c>
      <c r="L1" s="231" t="s">
        <v>20</v>
      </c>
      <c r="M1" s="231" t="s">
        <v>22</v>
      </c>
      <c r="N1" s="231" t="s">
        <v>23</v>
      </c>
      <c r="O1" s="231" t="s">
        <v>21</v>
      </c>
      <c r="P1" s="231" t="s">
        <v>24</v>
      </c>
      <c r="Q1" s="231" t="s">
        <v>74</v>
      </c>
      <c r="R1" s="231" t="s">
        <v>75</v>
      </c>
      <c r="S1" s="231" t="s">
        <v>76</v>
      </c>
      <c r="T1" s="231" t="s">
        <v>77</v>
      </c>
      <c r="U1" s="231" t="s">
        <v>78</v>
      </c>
      <c r="V1" s="231" t="s">
        <v>79</v>
      </c>
      <c r="W1" s="231" t="s">
        <v>80</v>
      </c>
      <c r="X1" s="231" t="s">
        <v>81</v>
      </c>
      <c r="Y1" s="231" t="s">
        <v>82</v>
      </c>
      <c r="Z1" s="231" t="s">
        <v>83</v>
      </c>
      <c r="AA1" s="231" t="s">
        <v>84</v>
      </c>
      <c r="AB1" s="231" t="s">
        <v>85</v>
      </c>
      <c r="AC1" s="231" t="s">
        <v>86</v>
      </c>
      <c r="AD1" s="231" t="s">
        <v>87</v>
      </c>
      <c r="AE1" s="231" t="s">
        <v>88</v>
      </c>
      <c r="AF1" s="231" t="s">
        <v>89</v>
      </c>
      <c r="AG1" s="231" t="s">
        <v>90</v>
      </c>
      <c r="AH1" s="231" t="s">
        <v>91</v>
      </c>
      <c r="AI1" s="231" t="s">
        <v>92</v>
      </c>
      <c r="AJ1" s="231" t="s">
        <v>93</v>
      </c>
    </row>
    <row r="2" spans="1:36" x14ac:dyDescent="0.3">
      <c r="A2" s="233" t="s">
        <v>94</v>
      </c>
      <c r="B2" s="234">
        <v>45984</v>
      </c>
      <c r="C2" s="235" t="s">
        <v>327</v>
      </c>
      <c r="D2" s="236" t="s">
        <v>414</v>
      </c>
      <c r="E2" s="235" t="s">
        <v>326</v>
      </c>
      <c r="F2" s="235" t="s">
        <v>96</v>
      </c>
      <c r="G2" s="237">
        <v>1</v>
      </c>
      <c r="H2" s="238">
        <v>180</v>
      </c>
      <c r="I2" s="238">
        <v>180</v>
      </c>
      <c r="J2" s="238">
        <v>115</v>
      </c>
      <c r="K2" s="235" t="s">
        <v>97</v>
      </c>
      <c r="L2" s="239" t="s">
        <v>32</v>
      </c>
      <c r="M2" s="238">
        <v>0</v>
      </c>
      <c r="N2" s="238">
        <v>1</v>
      </c>
      <c r="O2" s="238">
        <v>16</v>
      </c>
      <c r="P2" s="235" t="s">
        <v>278</v>
      </c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8" t="s">
        <v>179</v>
      </c>
      <c r="AB2" s="238" t="s">
        <v>174</v>
      </c>
      <c r="AC2" s="238" t="s">
        <v>175</v>
      </c>
      <c r="AD2" s="238" t="s">
        <v>140</v>
      </c>
      <c r="AE2" s="238" t="s">
        <v>415</v>
      </c>
      <c r="AF2" s="238" t="s">
        <v>416</v>
      </c>
      <c r="AG2" s="231"/>
      <c r="AH2" s="231"/>
      <c r="AI2" s="238" t="s">
        <v>417</v>
      </c>
      <c r="AJ2" s="231"/>
    </row>
    <row r="3" spans="1:36" x14ac:dyDescent="0.3">
      <c r="A3" s="233" t="s">
        <v>94</v>
      </c>
      <c r="B3" s="234">
        <v>45984</v>
      </c>
      <c r="C3" s="235" t="s">
        <v>329</v>
      </c>
      <c r="D3" s="236" t="s">
        <v>322</v>
      </c>
      <c r="E3" s="235" t="s">
        <v>326</v>
      </c>
      <c r="F3" s="235" t="s">
        <v>96</v>
      </c>
      <c r="G3" s="237">
        <v>0.97219999999999995</v>
      </c>
      <c r="H3" s="238">
        <v>180</v>
      </c>
      <c r="I3" s="238">
        <v>175</v>
      </c>
      <c r="J3" s="238">
        <v>90</v>
      </c>
      <c r="K3" s="235" t="s">
        <v>97</v>
      </c>
      <c r="L3" s="239" t="s">
        <v>32</v>
      </c>
      <c r="M3" s="238">
        <v>0</v>
      </c>
      <c r="N3" s="238">
        <v>1</v>
      </c>
      <c r="O3" s="238">
        <v>25</v>
      </c>
      <c r="P3" s="235" t="s">
        <v>330</v>
      </c>
      <c r="Q3" s="238" t="s">
        <v>122</v>
      </c>
      <c r="R3" s="231"/>
      <c r="S3" s="231"/>
      <c r="T3" s="231"/>
      <c r="U3" s="231"/>
      <c r="V3" s="231"/>
      <c r="W3" s="231"/>
      <c r="X3" s="231"/>
      <c r="Y3" s="231"/>
      <c r="Z3" s="238" t="s">
        <v>330</v>
      </c>
      <c r="AA3" s="238" t="s">
        <v>173</v>
      </c>
      <c r="AB3" s="238" t="s">
        <v>159</v>
      </c>
      <c r="AC3" s="238" t="s">
        <v>175</v>
      </c>
      <c r="AD3" s="238" t="s">
        <v>418</v>
      </c>
      <c r="AE3" s="238" t="s">
        <v>172</v>
      </c>
      <c r="AF3" s="238" t="s">
        <v>250</v>
      </c>
      <c r="AG3" s="231"/>
      <c r="AH3" s="231"/>
      <c r="AI3" s="238" t="s">
        <v>419</v>
      </c>
      <c r="AJ3" s="231"/>
    </row>
    <row r="4" spans="1:36" x14ac:dyDescent="0.3">
      <c r="A4" s="233" t="s">
        <v>203</v>
      </c>
      <c r="B4" s="234">
        <v>45985</v>
      </c>
      <c r="C4" s="235" t="s">
        <v>327</v>
      </c>
      <c r="D4" s="236" t="s">
        <v>420</v>
      </c>
      <c r="E4" s="235" t="s">
        <v>326</v>
      </c>
      <c r="F4" s="235" t="s">
        <v>96</v>
      </c>
      <c r="G4" s="237">
        <v>0.94440000000000002</v>
      </c>
      <c r="H4" s="238">
        <v>180</v>
      </c>
      <c r="I4" s="238">
        <v>170</v>
      </c>
      <c r="J4" s="238">
        <v>100</v>
      </c>
      <c r="K4" s="235" t="s">
        <v>97</v>
      </c>
      <c r="L4" s="239" t="s">
        <v>32</v>
      </c>
      <c r="M4" s="238">
        <v>0</v>
      </c>
      <c r="N4" s="238">
        <v>1</v>
      </c>
      <c r="O4" s="238">
        <v>24</v>
      </c>
      <c r="P4" s="235" t="s">
        <v>145</v>
      </c>
      <c r="Q4" s="231"/>
      <c r="R4" s="231"/>
      <c r="S4" s="231"/>
      <c r="T4" s="231"/>
      <c r="U4" s="231"/>
      <c r="V4" s="231"/>
      <c r="W4" s="231"/>
      <c r="X4" s="231"/>
      <c r="Y4" s="238" t="s">
        <v>52</v>
      </c>
      <c r="Z4" s="238" t="s">
        <v>421</v>
      </c>
      <c r="AA4" s="238" t="s">
        <v>179</v>
      </c>
      <c r="AB4" s="238" t="s">
        <v>63</v>
      </c>
      <c r="AC4" s="238" t="s">
        <v>160</v>
      </c>
      <c r="AD4" s="238" t="s">
        <v>106</v>
      </c>
      <c r="AE4" s="238" t="s">
        <v>422</v>
      </c>
      <c r="AF4" s="238" t="s">
        <v>423</v>
      </c>
      <c r="AG4" s="231"/>
      <c r="AH4" s="231"/>
      <c r="AI4" s="238" t="s">
        <v>424</v>
      </c>
      <c r="AJ4" s="231"/>
    </row>
    <row r="5" spans="1:36" x14ac:dyDescent="0.3">
      <c r="A5" s="233" t="s">
        <v>203</v>
      </c>
      <c r="B5" s="234">
        <v>45985</v>
      </c>
      <c r="C5" s="235" t="s">
        <v>333</v>
      </c>
      <c r="D5" s="236" t="s">
        <v>425</v>
      </c>
      <c r="E5" s="235" t="s">
        <v>326</v>
      </c>
      <c r="F5" s="235" t="s">
        <v>96</v>
      </c>
      <c r="G5" s="237">
        <v>1</v>
      </c>
      <c r="H5" s="238">
        <v>180</v>
      </c>
      <c r="I5" s="238">
        <v>180</v>
      </c>
      <c r="J5" s="238">
        <v>90</v>
      </c>
      <c r="K5" s="235" t="s">
        <v>97</v>
      </c>
      <c r="L5" s="239" t="s">
        <v>284</v>
      </c>
      <c r="M5" s="238">
        <v>0</v>
      </c>
      <c r="N5" s="238">
        <v>0</v>
      </c>
      <c r="O5" s="238">
        <v>46</v>
      </c>
      <c r="P5" s="235" t="s">
        <v>278</v>
      </c>
      <c r="Q5" s="231"/>
      <c r="R5" s="231"/>
      <c r="S5" s="231"/>
      <c r="T5" s="231"/>
      <c r="U5" s="231"/>
      <c r="V5" s="231"/>
      <c r="W5" s="231"/>
      <c r="X5" s="231"/>
      <c r="Y5" s="231"/>
      <c r="Z5" s="238" t="s">
        <v>136</v>
      </c>
      <c r="AA5" s="231"/>
      <c r="AB5" s="231"/>
      <c r="AC5" s="238" t="s">
        <v>301</v>
      </c>
      <c r="AD5" s="238" t="s">
        <v>426</v>
      </c>
      <c r="AE5" s="238" t="s">
        <v>427</v>
      </c>
      <c r="AF5" s="238" t="s">
        <v>296</v>
      </c>
      <c r="AG5" s="231"/>
      <c r="AH5" s="231"/>
      <c r="AI5" s="238" t="s">
        <v>419</v>
      </c>
      <c r="AJ5" s="231"/>
    </row>
    <row r="6" spans="1:36" x14ac:dyDescent="0.3">
      <c r="A6" s="233" t="s">
        <v>203</v>
      </c>
      <c r="B6" s="234">
        <v>45985</v>
      </c>
      <c r="C6" s="235" t="s">
        <v>335</v>
      </c>
      <c r="D6" s="236" t="s">
        <v>428</v>
      </c>
      <c r="E6" s="235" t="s">
        <v>326</v>
      </c>
      <c r="F6" s="235" t="s">
        <v>96</v>
      </c>
      <c r="G6" s="237">
        <v>0.75</v>
      </c>
      <c r="H6" s="238">
        <v>180</v>
      </c>
      <c r="I6" s="238">
        <v>135</v>
      </c>
      <c r="J6" s="238">
        <v>52</v>
      </c>
      <c r="K6" s="235" t="s">
        <v>97</v>
      </c>
      <c r="L6" s="239" t="s">
        <v>32</v>
      </c>
      <c r="M6" s="238">
        <v>0</v>
      </c>
      <c r="N6" s="238">
        <v>6</v>
      </c>
      <c r="O6" s="238">
        <v>52</v>
      </c>
      <c r="P6" s="235" t="s">
        <v>177</v>
      </c>
      <c r="Q6" s="231"/>
      <c r="R6" s="231"/>
      <c r="S6" s="231"/>
      <c r="T6" s="231"/>
      <c r="U6" s="231"/>
      <c r="V6" s="231"/>
      <c r="W6" s="231"/>
      <c r="X6" s="238" t="s">
        <v>135</v>
      </c>
      <c r="Y6" s="238" t="s">
        <v>48</v>
      </c>
      <c r="Z6" s="238" t="s">
        <v>221</v>
      </c>
      <c r="AA6" s="238" t="s">
        <v>179</v>
      </c>
      <c r="AB6" s="238" t="s">
        <v>429</v>
      </c>
      <c r="AC6" s="238" t="s">
        <v>129</v>
      </c>
      <c r="AD6" s="238" t="s">
        <v>430</v>
      </c>
      <c r="AE6" s="238" t="s">
        <v>119</v>
      </c>
      <c r="AF6" s="238" t="s">
        <v>274</v>
      </c>
      <c r="AG6" s="231"/>
      <c r="AH6" s="231"/>
      <c r="AI6" s="238" t="s">
        <v>431</v>
      </c>
      <c r="AJ6" s="231"/>
    </row>
    <row r="7" spans="1:36" x14ac:dyDescent="0.3">
      <c r="A7" s="233" t="s">
        <v>109</v>
      </c>
      <c r="B7" s="234">
        <v>45986</v>
      </c>
      <c r="C7" s="235" t="s">
        <v>335</v>
      </c>
      <c r="D7" s="236" t="s">
        <v>432</v>
      </c>
      <c r="E7" s="235" t="s">
        <v>326</v>
      </c>
      <c r="F7" s="235" t="s">
        <v>96</v>
      </c>
      <c r="G7" s="237">
        <v>0.77780000000000005</v>
      </c>
      <c r="H7" s="238">
        <v>180</v>
      </c>
      <c r="I7" s="238">
        <v>140</v>
      </c>
      <c r="J7" s="238">
        <v>45</v>
      </c>
      <c r="K7" s="235" t="s">
        <v>97</v>
      </c>
      <c r="L7" s="239" t="s">
        <v>32</v>
      </c>
      <c r="M7" s="238">
        <v>0</v>
      </c>
      <c r="N7" s="238">
        <v>9</v>
      </c>
      <c r="O7" s="238">
        <v>56</v>
      </c>
      <c r="P7" s="235" t="s">
        <v>181</v>
      </c>
      <c r="Q7" s="231"/>
      <c r="R7" s="231"/>
      <c r="S7" s="231"/>
      <c r="T7" s="231"/>
      <c r="U7" s="231"/>
      <c r="V7" s="231"/>
      <c r="W7" s="231"/>
      <c r="X7" s="231"/>
      <c r="Y7" s="238" t="s">
        <v>195</v>
      </c>
      <c r="Z7" s="238" t="s">
        <v>330</v>
      </c>
      <c r="AA7" s="238" t="s">
        <v>222</v>
      </c>
      <c r="AB7" s="238" t="s">
        <v>116</v>
      </c>
      <c r="AC7" s="238" t="s">
        <v>160</v>
      </c>
      <c r="AD7" s="238" t="s">
        <v>433</v>
      </c>
      <c r="AE7" s="238" t="s">
        <v>434</v>
      </c>
      <c r="AF7" s="238" t="s">
        <v>416</v>
      </c>
      <c r="AG7" s="231"/>
      <c r="AH7" s="231"/>
      <c r="AI7" s="238" t="s">
        <v>435</v>
      </c>
      <c r="AJ7" s="231"/>
    </row>
    <row r="8" spans="1:36" x14ac:dyDescent="0.3">
      <c r="A8" s="233" t="s">
        <v>109</v>
      </c>
      <c r="B8" s="234">
        <v>45986</v>
      </c>
      <c r="C8" s="235" t="s">
        <v>329</v>
      </c>
      <c r="D8" s="236" t="s">
        <v>436</v>
      </c>
      <c r="E8" s="235" t="s">
        <v>326</v>
      </c>
      <c r="F8" s="235" t="s">
        <v>96</v>
      </c>
      <c r="G8" s="237">
        <v>0.85560000000000003</v>
      </c>
      <c r="H8" s="238">
        <v>180</v>
      </c>
      <c r="I8" s="238">
        <v>154</v>
      </c>
      <c r="J8" s="238">
        <v>50</v>
      </c>
      <c r="K8" s="235" t="s">
        <v>97</v>
      </c>
      <c r="L8" s="239" t="s">
        <v>32</v>
      </c>
      <c r="M8" s="238">
        <v>0</v>
      </c>
      <c r="N8" s="238">
        <v>3</v>
      </c>
      <c r="O8" s="238">
        <v>70</v>
      </c>
      <c r="P8" s="235" t="s">
        <v>136</v>
      </c>
      <c r="Q8" s="231"/>
      <c r="R8" s="231"/>
      <c r="S8" s="231"/>
      <c r="T8" s="231"/>
      <c r="U8" s="231"/>
      <c r="V8" s="231"/>
      <c r="W8" s="231"/>
      <c r="X8" s="231"/>
      <c r="Y8" s="238" t="s">
        <v>243</v>
      </c>
      <c r="Z8" s="238" t="s">
        <v>437</v>
      </c>
      <c r="AA8" s="238" t="s">
        <v>137</v>
      </c>
      <c r="AB8" s="238" t="s">
        <v>429</v>
      </c>
      <c r="AC8" s="238" t="s">
        <v>165</v>
      </c>
      <c r="AD8" s="238" t="s">
        <v>438</v>
      </c>
      <c r="AE8" s="238" t="s">
        <v>172</v>
      </c>
      <c r="AF8" s="238" t="s">
        <v>108</v>
      </c>
      <c r="AG8" s="231"/>
      <c r="AH8" s="231"/>
      <c r="AI8" s="238" t="s">
        <v>439</v>
      </c>
      <c r="AJ8" s="231"/>
    </row>
    <row r="9" spans="1:36" x14ac:dyDescent="0.3">
      <c r="A9" s="233" t="s">
        <v>120</v>
      </c>
      <c r="B9" s="234">
        <v>45987</v>
      </c>
      <c r="C9" s="235" t="s">
        <v>335</v>
      </c>
      <c r="D9" s="236" t="s">
        <v>440</v>
      </c>
      <c r="E9" s="235" t="s">
        <v>326</v>
      </c>
      <c r="F9" s="235" t="s">
        <v>96</v>
      </c>
      <c r="G9" s="237">
        <v>1</v>
      </c>
      <c r="H9" s="238">
        <v>180</v>
      </c>
      <c r="I9" s="238">
        <v>180</v>
      </c>
      <c r="J9" s="238">
        <v>180</v>
      </c>
      <c r="K9" s="235" t="s">
        <v>97</v>
      </c>
      <c r="L9" s="239" t="s">
        <v>339</v>
      </c>
      <c r="M9" s="238">
        <v>0</v>
      </c>
      <c r="N9" s="238">
        <v>0</v>
      </c>
      <c r="O9" s="238">
        <v>0</v>
      </c>
      <c r="P9" s="235" t="s">
        <v>278</v>
      </c>
      <c r="Q9" s="231"/>
      <c r="R9" s="231"/>
      <c r="S9" s="231"/>
      <c r="T9" s="231"/>
      <c r="U9" s="231"/>
      <c r="V9" s="231"/>
      <c r="W9" s="231"/>
      <c r="X9" s="231"/>
      <c r="Y9" s="231"/>
      <c r="Z9" s="231"/>
      <c r="AA9" s="231"/>
      <c r="AB9" s="231"/>
      <c r="AC9" s="231"/>
      <c r="AD9" s="231"/>
      <c r="AE9" s="231"/>
      <c r="AF9" s="231"/>
      <c r="AG9" s="238" t="s">
        <v>441</v>
      </c>
      <c r="AH9" s="231"/>
      <c r="AI9" s="238" t="s">
        <v>442</v>
      </c>
      <c r="AJ9" s="231"/>
    </row>
    <row r="10" spans="1:36" x14ac:dyDescent="0.3">
      <c r="A10" s="233" t="s">
        <v>120</v>
      </c>
      <c r="B10" s="234">
        <v>45987</v>
      </c>
      <c r="C10" s="235" t="s">
        <v>327</v>
      </c>
      <c r="D10" s="236" t="s">
        <v>443</v>
      </c>
      <c r="E10" s="235" t="s">
        <v>326</v>
      </c>
      <c r="F10" s="235" t="s">
        <v>96</v>
      </c>
      <c r="G10" s="237">
        <v>0.9889</v>
      </c>
      <c r="H10" s="238">
        <v>180</v>
      </c>
      <c r="I10" s="238">
        <v>178</v>
      </c>
      <c r="J10" s="238">
        <v>134</v>
      </c>
      <c r="K10" s="235" t="s">
        <v>97</v>
      </c>
      <c r="L10" s="239" t="s">
        <v>32</v>
      </c>
      <c r="M10" s="238">
        <v>0</v>
      </c>
      <c r="N10" s="238">
        <v>3</v>
      </c>
      <c r="O10" s="238">
        <v>4</v>
      </c>
      <c r="P10" s="235" t="s">
        <v>195</v>
      </c>
      <c r="Q10" s="231"/>
      <c r="R10" s="231"/>
      <c r="S10" s="231"/>
      <c r="T10" s="231"/>
      <c r="U10" s="231"/>
      <c r="V10" s="231"/>
      <c r="W10" s="231"/>
      <c r="X10" s="238" t="s">
        <v>135</v>
      </c>
      <c r="Y10" s="238" t="s">
        <v>48</v>
      </c>
      <c r="Z10" s="231"/>
      <c r="AA10" s="231"/>
      <c r="AB10" s="231"/>
      <c r="AC10" s="238" t="s">
        <v>154</v>
      </c>
      <c r="AD10" s="238" t="s">
        <v>269</v>
      </c>
      <c r="AE10" s="238" t="s">
        <v>172</v>
      </c>
      <c r="AF10" s="238" t="s">
        <v>444</v>
      </c>
      <c r="AG10" s="231"/>
      <c r="AH10" s="231"/>
      <c r="AI10" s="238" t="s">
        <v>445</v>
      </c>
      <c r="AJ10" s="231"/>
    </row>
    <row r="11" spans="1:36" x14ac:dyDescent="0.3">
      <c r="A11" s="233" t="s">
        <v>120</v>
      </c>
      <c r="B11" s="234">
        <v>45987</v>
      </c>
      <c r="C11" s="235" t="s">
        <v>333</v>
      </c>
      <c r="D11" s="236" t="s">
        <v>446</v>
      </c>
      <c r="E11" s="235" t="s">
        <v>326</v>
      </c>
      <c r="F11" s="235" t="s">
        <v>96</v>
      </c>
      <c r="G11" s="237">
        <v>0.99439999999999995</v>
      </c>
      <c r="H11" s="238">
        <v>180</v>
      </c>
      <c r="I11" s="238">
        <v>179</v>
      </c>
      <c r="J11" s="238">
        <v>109</v>
      </c>
      <c r="K11" s="235" t="s">
        <v>97</v>
      </c>
      <c r="L11" s="239" t="s">
        <v>45</v>
      </c>
      <c r="M11" s="238">
        <v>1</v>
      </c>
      <c r="N11" s="238">
        <v>2</v>
      </c>
      <c r="O11" s="238">
        <v>13</v>
      </c>
      <c r="P11" s="235" t="s">
        <v>278</v>
      </c>
      <c r="Q11" s="231"/>
      <c r="R11" s="231"/>
      <c r="S11" s="231"/>
      <c r="T11" s="231"/>
      <c r="U11" s="231"/>
      <c r="V11" s="231"/>
      <c r="W11" s="231"/>
      <c r="X11" s="231"/>
      <c r="Y11" s="231"/>
      <c r="Z11" s="238" t="s">
        <v>136</v>
      </c>
      <c r="AA11" s="238" t="s">
        <v>246</v>
      </c>
      <c r="AB11" s="231"/>
      <c r="AC11" s="238" t="s">
        <v>139</v>
      </c>
      <c r="AD11" s="238" t="s">
        <v>430</v>
      </c>
      <c r="AE11" s="238" t="s">
        <v>295</v>
      </c>
      <c r="AF11" s="238" t="s">
        <v>447</v>
      </c>
      <c r="AG11" s="231"/>
      <c r="AH11" s="231"/>
      <c r="AI11" s="238" t="s">
        <v>448</v>
      </c>
      <c r="AJ11" s="231"/>
    </row>
    <row r="12" spans="1:36" x14ac:dyDescent="0.3">
      <c r="A12" s="233" t="s">
        <v>449</v>
      </c>
      <c r="B12" s="234">
        <v>45988</v>
      </c>
      <c r="C12" s="235" t="s">
        <v>335</v>
      </c>
      <c r="D12" s="236" t="s">
        <v>414</v>
      </c>
      <c r="E12" s="235" t="s">
        <v>326</v>
      </c>
      <c r="F12" s="235" t="s">
        <v>96</v>
      </c>
      <c r="G12" s="237">
        <v>1</v>
      </c>
      <c r="H12" s="238">
        <v>180</v>
      </c>
      <c r="I12" s="238">
        <v>180</v>
      </c>
      <c r="J12" s="238">
        <v>135</v>
      </c>
      <c r="K12" s="235" t="s">
        <v>97</v>
      </c>
      <c r="L12" s="239" t="s">
        <v>32</v>
      </c>
      <c r="M12" s="238">
        <v>0</v>
      </c>
      <c r="N12" s="238">
        <v>1</v>
      </c>
      <c r="O12" s="238">
        <v>15</v>
      </c>
      <c r="P12" s="235" t="s">
        <v>278</v>
      </c>
      <c r="Q12" s="231"/>
      <c r="R12" s="231"/>
      <c r="S12" s="231"/>
      <c r="T12" s="231"/>
      <c r="U12" s="231"/>
      <c r="V12" s="231"/>
      <c r="W12" s="231"/>
      <c r="X12" s="231"/>
      <c r="Y12" s="231"/>
      <c r="Z12" s="238" t="s">
        <v>236</v>
      </c>
      <c r="AA12" s="238" t="s">
        <v>181</v>
      </c>
      <c r="AB12" s="238" t="s">
        <v>159</v>
      </c>
      <c r="AC12" s="238" t="s">
        <v>450</v>
      </c>
      <c r="AD12" s="238" t="s">
        <v>225</v>
      </c>
      <c r="AE12" s="238" t="s">
        <v>131</v>
      </c>
      <c r="AF12" s="238" t="s">
        <v>108</v>
      </c>
      <c r="AG12" s="231"/>
      <c r="AH12" s="231"/>
      <c r="AI12" s="238" t="s">
        <v>442</v>
      </c>
      <c r="AJ12" s="231"/>
    </row>
    <row r="13" spans="1:36" x14ac:dyDescent="0.3">
      <c r="A13" s="233" t="s">
        <v>449</v>
      </c>
      <c r="B13" s="234">
        <v>45988</v>
      </c>
      <c r="C13" s="235" t="s">
        <v>329</v>
      </c>
      <c r="D13" s="236" t="s">
        <v>451</v>
      </c>
      <c r="E13" s="235" t="s">
        <v>326</v>
      </c>
      <c r="F13" s="235" t="s">
        <v>96</v>
      </c>
      <c r="G13" s="237">
        <v>1</v>
      </c>
      <c r="H13" s="238">
        <v>180</v>
      </c>
      <c r="I13" s="238">
        <v>180</v>
      </c>
      <c r="J13" s="238">
        <v>95</v>
      </c>
      <c r="K13" s="235" t="s">
        <v>97</v>
      </c>
      <c r="L13" s="239" t="s">
        <v>32</v>
      </c>
      <c r="M13" s="238">
        <v>0</v>
      </c>
      <c r="N13" s="238">
        <v>16</v>
      </c>
      <c r="O13" s="238">
        <v>68</v>
      </c>
      <c r="P13" s="235" t="s">
        <v>278</v>
      </c>
      <c r="Q13" s="231"/>
      <c r="R13" s="231"/>
      <c r="S13" s="231"/>
      <c r="T13" s="231"/>
      <c r="U13" s="231"/>
      <c r="V13" s="231"/>
      <c r="W13" s="231"/>
      <c r="X13" s="231"/>
      <c r="Y13" s="231"/>
      <c r="Z13" s="238" t="s">
        <v>437</v>
      </c>
      <c r="AA13" s="238" t="s">
        <v>452</v>
      </c>
      <c r="AB13" s="238" t="s">
        <v>229</v>
      </c>
      <c r="AC13" s="238" t="s">
        <v>453</v>
      </c>
      <c r="AD13" s="231"/>
      <c r="AE13" s="238" t="s">
        <v>245</v>
      </c>
      <c r="AF13" s="238" t="s">
        <v>142</v>
      </c>
      <c r="AG13" s="231"/>
      <c r="AH13" s="231"/>
      <c r="AI13" s="238" t="s">
        <v>454</v>
      </c>
      <c r="AJ13" s="231"/>
    </row>
    <row r="14" spans="1:36" x14ac:dyDescent="0.3">
      <c r="A14" s="233" t="s">
        <v>214</v>
      </c>
      <c r="B14" s="234">
        <v>45989</v>
      </c>
      <c r="C14" s="235" t="s">
        <v>327</v>
      </c>
      <c r="D14" s="236" t="s">
        <v>455</v>
      </c>
      <c r="E14" s="235" t="s">
        <v>326</v>
      </c>
      <c r="F14" s="235" t="s">
        <v>96</v>
      </c>
      <c r="G14" s="237">
        <v>0.58889999999999998</v>
      </c>
      <c r="H14" s="238">
        <v>180</v>
      </c>
      <c r="I14" s="238">
        <v>106</v>
      </c>
      <c r="J14" s="238">
        <v>0</v>
      </c>
      <c r="K14" s="235" t="s">
        <v>97</v>
      </c>
      <c r="L14" s="239" t="s">
        <v>32</v>
      </c>
      <c r="M14" s="238">
        <v>0</v>
      </c>
      <c r="N14" s="238">
        <v>20</v>
      </c>
      <c r="O14" s="238">
        <v>68</v>
      </c>
      <c r="P14" s="235" t="s">
        <v>181</v>
      </c>
      <c r="Q14" s="231"/>
      <c r="R14" s="231"/>
      <c r="S14" s="231"/>
      <c r="T14" s="231"/>
      <c r="U14" s="231"/>
      <c r="V14" s="231"/>
      <c r="W14" s="231"/>
      <c r="X14" s="231"/>
      <c r="Y14" s="238" t="s">
        <v>456</v>
      </c>
      <c r="Z14" s="238" t="s">
        <v>437</v>
      </c>
      <c r="AA14" s="238" t="s">
        <v>222</v>
      </c>
      <c r="AB14" s="238" t="s">
        <v>457</v>
      </c>
      <c r="AC14" s="238" t="s">
        <v>458</v>
      </c>
      <c r="AD14" s="238" t="s">
        <v>459</v>
      </c>
      <c r="AE14" s="238" t="s">
        <v>239</v>
      </c>
      <c r="AF14" s="231"/>
      <c r="AG14" s="231"/>
      <c r="AH14" s="231"/>
      <c r="AI14" s="231"/>
      <c r="AJ14" s="231"/>
    </row>
    <row r="15" spans="1:36" x14ac:dyDescent="0.3">
      <c r="A15" s="233" t="s">
        <v>321</v>
      </c>
      <c r="B15" s="234">
        <v>45990</v>
      </c>
      <c r="C15" s="235" t="s">
        <v>327</v>
      </c>
      <c r="D15" s="236" t="s">
        <v>460</v>
      </c>
      <c r="E15" s="235" t="s">
        <v>326</v>
      </c>
      <c r="F15" s="235" t="s">
        <v>96</v>
      </c>
      <c r="G15" s="237">
        <v>0.7</v>
      </c>
      <c r="H15" s="238">
        <v>180</v>
      </c>
      <c r="I15" s="238">
        <v>126</v>
      </c>
      <c r="J15" s="238">
        <v>85</v>
      </c>
      <c r="K15" s="235" t="s">
        <v>97</v>
      </c>
      <c r="L15" s="239" t="s">
        <v>32</v>
      </c>
      <c r="M15" s="238">
        <v>0</v>
      </c>
      <c r="N15" s="238">
        <v>5</v>
      </c>
      <c r="O15" s="238">
        <v>18</v>
      </c>
      <c r="P15" s="235" t="s">
        <v>136</v>
      </c>
      <c r="Q15" s="238" t="s">
        <v>122</v>
      </c>
      <c r="R15" s="231"/>
      <c r="S15" s="231"/>
      <c r="T15" s="231"/>
      <c r="U15" s="231"/>
      <c r="V15" s="231"/>
      <c r="W15" s="231"/>
      <c r="X15" s="231"/>
      <c r="Y15" s="238" t="s">
        <v>195</v>
      </c>
      <c r="Z15" s="238" t="s">
        <v>158</v>
      </c>
      <c r="AA15" s="238" t="s">
        <v>292</v>
      </c>
      <c r="AB15" s="238" t="s">
        <v>63</v>
      </c>
      <c r="AC15" s="238" t="s">
        <v>299</v>
      </c>
      <c r="AD15" s="231"/>
      <c r="AE15" s="231"/>
      <c r="AF15" s="231"/>
      <c r="AG15" s="231"/>
      <c r="AH15" s="231"/>
      <c r="AI15" s="238" t="s">
        <v>461</v>
      </c>
      <c r="AJ15" s="231"/>
    </row>
    <row r="16" spans="1:36" x14ac:dyDescent="0.3">
      <c r="A16" s="233" t="s">
        <v>321</v>
      </c>
      <c r="B16" s="234">
        <v>45990</v>
      </c>
      <c r="C16" s="235" t="s">
        <v>329</v>
      </c>
      <c r="D16" s="236" t="s">
        <v>436</v>
      </c>
      <c r="E16" s="235" t="s">
        <v>326</v>
      </c>
      <c r="F16" s="235" t="s">
        <v>96</v>
      </c>
      <c r="G16" s="237">
        <v>0.95</v>
      </c>
      <c r="H16" s="238">
        <v>180</v>
      </c>
      <c r="I16" s="238">
        <v>171</v>
      </c>
      <c r="J16" s="238">
        <v>90</v>
      </c>
      <c r="K16" s="235" t="s">
        <v>97</v>
      </c>
      <c r="L16" s="239" t="s">
        <v>32</v>
      </c>
      <c r="M16" s="238">
        <v>0</v>
      </c>
      <c r="N16" s="238">
        <v>5</v>
      </c>
      <c r="O16" s="238">
        <v>21</v>
      </c>
      <c r="P16" s="235" t="s">
        <v>195</v>
      </c>
      <c r="Q16" s="238" t="s">
        <v>216</v>
      </c>
      <c r="R16" s="231"/>
      <c r="S16" s="231"/>
      <c r="T16" s="231"/>
      <c r="U16" s="231"/>
      <c r="V16" s="231"/>
      <c r="W16" s="231"/>
      <c r="X16" s="231"/>
      <c r="Y16" s="238" t="s">
        <v>462</v>
      </c>
      <c r="Z16" s="238" t="s">
        <v>158</v>
      </c>
      <c r="AA16" s="238" t="s">
        <v>463</v>
      </c>
      <c r="AB16" s="238" t="s">
        <v>182</v>
      </c>
      <c r="AC16" s="238" t="s">
        <v>175</v>
      </c>
      <c r="AD16" s="231"/>
      <c r="AE16" s="231"/>
      <c r="AF16" s="231"/>
      <c r="AG16" s="231"/>
      <c r="AH16" s="231"/>
      <c r="AI16" s="238" t="s">
        <v>419</v>
      </c>
      <c r="AJ16" s="231"/>
    </row>
    <row r="17" spans="1:36" x14ac:dyDescent="0.3">
      <c r="A17" s="233" t="s">
        <v>94</v>
      </c>
      <c r="B17" s="234">
        <v>45991</v>
      </c>
      <c r="C17" s="235" t="s">
        <v>327</v>
      </c>
      <c r="D17" s="236" t="s">
        <v>414</v>
      </c>
      <c r="E17" s="235" t="s">
        <v>326</v>
      </c>
      <c r="F17" s="235" t="s">
        <v>96</v>
      </c>
      <c r="G17" s="237">
        <v>0.90559999999999996</v>
      </c>
      <c r="H17" s="238">
        <v>180</v>
      </c>
      <c r="I17" s="238">
        <v>163</v>
      </c>
      <c r="J17" s="238">
        <v>82</v>
      </c>
      <c r="K17" s="235" t="s">
        <v>97</v>
      </c>
      <c r="L17" s="239" t="s">
        <v>32</v>
      </c>
      <c r="M17" s="238">
        <v>0</v>
      </c>
      <c r="N17" s="238">
        <v>8</v>
      </c>
      <c r="O17" s="238">
        <v>56</v>
      </c>
      <c r="P17" s="235" t="s">
        <v>152</v>
      </c>
      <c r="Q17" s="231"/>
      <c r="R17" s="231"/>
      <c r="S17" s="231"/>
      <c r="T17" s="231"/>
      <c r="U17" s="231"/>
      <c r="V17" s="231"/>
      <c r="W17" s="231"/>
      <c r="X17" s="231"/>
      <c r="Y17" s="231"/>
      <c r="Z17" s="231"/>
      <c r="AA17" s="238" t="s">
        <v>237</v>
      </c>
      <c r="AB17" s="238" t="s">
        <v>464</v>
      </c>
      <c r="AC17" s="238" t="s">
        <v>129</v>
      </c>
      <c r="AD17" s="238" t="s">
        <v>465</v>
      </c>
      <c r="AE17" s="238" t="s">
        <v>131</v>
      </c>
      <c r="AF17" s="238" t="s">
        <v>108</v>
      </c>
      <c r="AG17" s="238" t="s">
        <v>466</v>
      </c>
      <c r="AH17" s="231"/>
      <c r="AI17" s="238" t="s">
        <v>435</v>
      </c>
      <c r="AJ17" s="231"/>
    </row>
    <row r="18" spans="1:36" x14ac:dyDescent="0.3">
      <c r="A18" s="233" t="s">
        <v>94</v>
      </c>
      <c r="B18" s="234">
        <v>45991</v>
      </c>
      <c r="C18" s="235" t="s">
        <v>329</v>
      </c>
      <c r="D18" s="236" t="s">
        <v>322</v>
      </c>
      <c r="E18" s="235" t="s">
        <v>326</v>
      </c>
      <c r="F18" s="235" t="s">
        <v>96</v>
      </c>
      <c r="G18" s="237">
        <v>0.67779999999999996</v>
      </c>
      <c r="H18" s="238">
        <v>180</v>
      </c>
      <c r="I18" s="238">
        <v>122</v>
      </c>
      <c r="J18" s="238">
        <v>45</v>
      </c>
      <c r="K18" s="235" t="s">
        <v>97</v>
      </c>
      <c r="L18" s="239" t="s">
        <v>32</v>
      </c>
      <c r="M18" s="238">
        <v>0</v>
      </c>
      <c r="N18" s="238">
        <v>14</v>
      </c>
      <c r="O18" s="238">
        <v>63</v>
      </c>
      <c r="P18" s="235" t="s">
        <v>181</v>
      </c>
      <c r="Q18" s="238" t="s">
        <v>122</v>
      </c>
      <c r="R18" s="231"/>
      <c r="S18" s="231"/>
      <c r="T18" s="231"/>
      <c r="U18" s="231"/>
      <c r="V18" s="231"/>
      <c r="W18" s="231"/>
      <c r="X18" s="231"/>
      <c r="Y18" s="231"/>
      <c r="Z18" s="238" t="s">
        <v>236</v>
      </c>
      <c r="AA18" s="238" t="s">
        <v>222</v>
      </c>
      <c r="AB18" s="238" t="s">
        <v>467</v>
      </c>
      <c r="AC18" s="238" t="s">
        <v>139</v>
      </c>
      <c r="AD18" s="238" t="s">
        <v>468</v>
      </c>
      <c r="AE18" s="231"/>
      <c r="AF18" s="231"/>
      <c r="AG18" s="231"/>
      <c r="AH18" s="231"/>
      <c r="AI18" s="238" t="s">
        <v>435</v>
      </c>
      <c r="AJ18" s="231"/>
    </row>
    <row r="19" spans="1:36" x14ac:dyDescent="0.3">
      <c r="A19" s="233" t="s">
        <v>203</v>
      </c>
      <c r="B19" s="234">
        <v>45992</v>
      </c>
      <c r="C19" s="235" t="s">
        <v>327</v>
      </c>
      <c r="D19" s="236" t="s">
        <v>420</v>
      </c>
      <c r="E19" s="235" t="s">
        <v>326</v>
      </c>
      <c r="F19" s="235" t="s">
        <v>96</v>
      </c>
      <c r="G19" s="237">
        <v>0.99439999999999995</v>
      </c>
      <c r="H19" s="238">
        <v>180</v>
      </c>
      <c r="I19" s="238">
        <v>179</v>
      </c>
      <c r="J19" s="238">
        <v>135</v>
      </c>
      <c r="K19" s="235" t="s">
        <v>97</v>
      </c>
      <c r="L19" s="239" t="s">
        <v>32</v>
      </c>
      <c r="M19" s="238">
        <v>0</v>
      </c>
      <c r="N19" s="238">
        <v>8</v>
      </c>
      <c r="O19" s="238">
        <v>40</v>
      </c>
      <c r="P19" s="235" t="s">
        <v>278</v>
      </c>
      <c r="Q19" s="231"/>
      <c r="R19" s="231"/>
      <c r="S19" s="231"/>
      <c r="T19" s="231"/>
      <c r="U19" s="231"/>
      <c r="V19" s="231"/>
      <c r="W19" s="231"/>
      <c r="X19" s="231"/>
      <c r="Y19" s="231"/>
      <c r="Z19" s="238" t="s">
        <v>136</v>
      </c>
      <c r="AA19" s="238" t="s">
        <v>181</v>
      </c>
      <c r="AB19" s="238" t="s">
        <v>116</v>
      </c>
      <c r="AC19" s="238" t="s">
        <v>139</v>
      </c>
      <c r="AD19" s="238" t="s">
        <v>149</v>
      </c>
      <c r="AE19" s="238" t="s">
        <v>469</v>
      </c>
      <c r="AF19" s="231"/>
      <c r="AG19" s="231"/>
      <c r="AH19" s="231"/>
      <c r="AI19" s="238" t="s">
        <v>442</v>
      </c>
      <c r="AJ19" s="231"/>
    </row>
    <row r="20" spans="1:36" x14ac:dyDescent="0.3">
      <c r="A20" s="233" t="s">
        <v>203</v>
      </c>
      <c r="B20" s="234">
        <v>45992</v>
      </c>
      <c r="C20" s="235" t="s">
        <v>335</v>
      </c>
      <c r="D20" s="236" t="s">
        <v>451</v>
      </c>
      <c r="E20" s="235" t="s">
        <v>326</v>
      </c>
      <c r="F20" s="235" t="s">
        <v>96</v>
      </c>
      <c r="G20" s="237">
        <v>0.99439999999999995</v>
      </c>
      <c r="H20" s="238">
        <v>180</v>
      </c>
      <c r="I20" s="238">
        <v>179</v>
      </c>
      <c r="J20" s="238">
        <v>45</v>
      </c>
      <c r="K20" s="235" t="s">
        <v>97</v>
      </c>
      <c r="L20" s="239" t="s">
        <v>45</v>
      </c>
      <c r="M20" s="238">
        <v>0</v>
      </c>
      <c r="N20" s="238">
        <v>0</v>
      </c>
      <c r="O20" s="238">
        <v>97</v>
      </c>
      <c r="P20" s="235" t="s">
        <v>278</v>
      </c>
      <c r="Q20" s="231"/>
      <c r="R20" s="231"/>
      <c r="S20" s="231"/>
      <c r="T20" s="231"/>
      <c r="U20" s="231"/>
      <c r="V20" s="231"/>
      <c r="W20" s="231"/>
      <c r="X20" s="238" t="s">
        <v>234</v>
      </c>
      <c r="Y20" s="231"/>
      <c r="Z20" s="231"/>
      <c r="AA20" s="238" t="s">
        <v>59</v>
      </c>
      <c r="AB20" s="238" t="s">
        <v>116</v>
      </c>
      <c r="AC20" s="238" t="s">
        <v>470</v>
      </c>
      <c r="AD20" s="238" t="s">
        <v>471</v>
      </c>
      <c r="AE20" s="238" t="s">
        <v>434</v>
      </c>
      <c r="AF20" s="238" t="s">
        <v>297</v>
      </c>
      <c r="AG20" s="231"/>
      <c r="AH20" s="231"/>
      <c r="AI20" s="238" t="s">
        <v>435</v>
      </c>
      <c r="AJ20" s="231"/>
    </row>
    <row r="21" spans="1:36" x14ac:dyDescent="0.3">
      <c r="A21" s="233" t="s">
        <v>109</v>
      </c>
      <c r="B21" s="234">
        <v>45993</v>
      </c>
      <c r="C21" s="235" t="s">
        <v>335</v>
      </c>
      <c r="D21" s="236" t="s">
        <v>432</v>
      </c>
      <c r="E21" s="235" t="s">
        <v>326</v>
      </c>
      <c r="F21" s="235" t="s">
        <v>96</v>
      </c>
      <c r="G21" s="237">
        <v>0.97219999999999995</v>
      </c>
      <c r="H21" s="238">
        <v>180</v>
      </c>
      <c r="I21" s="238">
        <v>175</v>
      </c>
      <c r="J21" s="238">
        <v>167</v>
      </c>
      <c r="K21" s="235" t="s">
        <v>97</v>
      </c>
      <c r="L21" s="239" t="s">
        <v>352</v>
      </c>
      <c r="M21" s="238">
        <v>0</v>
      </c>
      <c r="N21" s="238">
        <v>0</v>
      </c>
      <c r="O21" s="238">
        <v>1</v>
      </c>
      <c r="P21" s="235" t="s">
        <v>353</v>
      </c>
      <c r="Q21" s="231"/>
      <c r="R21" s="231"/>
      <c r="S21" s="231"/>
      <c r="T21" s="231"/>
      <c r="U21" s="231"/>
      <c r="V21" s="231"/>
      <c r="W21" s="231"/>
      <c r="X21" s="231"/>
      <c r="Y21" s="231"/>
      <c r="Z21" s="238" t="s">
        <v>136</v>
      </c>
      <c r="AA21" s="238" t="s">
        <v>168</v>
      </c>
      <c r="AB21" s="231"/>
      <c r="AC21" s="231"/>
      <c r="AD21" s="231"/>
      <c r="AE21" s="231"/>
      <c r="AF21" s="231"/>
      <c r="AG21" s="231"/>
      <c r="AH21" s="231"/>
      <c r="AI21" s="238" t="s">
        <v>472</v>
      </c>
      <c r="AJ21" s="231"/>
    </row>
    <row r="22" spans="1:36" x14ac:dyDescent="0.3">
      <c r="A22" s="233" t="s">
        <v>109</v>
      </c>
      <c r="B22" s="234">
        <v>45993</v>
      </c>
      <c r="C22" s="235" t="s">
        <v>329</v>
      </c>
      <c r="D22" s="236" t="s">
        <v>436</v>
      </c>
      <c r="E22" s="235" t="s">
        <v>326</v>
      </c>
      <c r="F22" s="235" t="s">
        <v>96</v>
      </c>
      <c r="G22" s="237">
        <v>0.9556</v>
      </c>
      <c r="H22" s="238">
        <v>180</v>
      </c>
      <c r="I22" s="238">
        <v>172</v>
      </c>
      <c r="J22" s="238">
        <v>145</v>
      </c>
      <c r="K22" s="235" t="s">
        <v>97</v>
      </c>
      <c r="L22" s="239" t="s">
        <v>32</v>
      </c>
      <c r="M22" s="238">
        <v>0</v>
      </c>
      <c r="N22" s="238">
        <v>7</v>
      </c>
      <c r="O22" s="238">
        <v>24</v>
      </c>
      <c r="P22" s="235" t="s">
        <v>237</v>
      </c>
      <c r="Q22" s="231"/>
      <c r="R22" s="231"/>
      <c r="S22" s="231"/>
      <c r="T22" s="231"/>
      <c r="U22" s="231"/>
      <c r="V22" s="231"/>
      <c r="W22" s="231"/>
      <c r="X22" s="231"/>
      <c r="Y22" s="231"/>
      <c r="Z22" s="238" t="s">
        <v>330</v>
      </c>
      <c r="AA22" s="238" t="s">
        <v>179</v>
      </c>
      <c r="AB22" s="238" t="s">
        <v>429</v>
      </c>
      <c r="AC22" s="238" t="s">
        <v>160</v>
      </c>
      <c r="AD22" s="231"/>
      <c r="AE22" s="231"/>
      <c r="AF22" s="231"/>
      <c r="AG22" s="231"/>
      <c r="AH22" s="231"/>
      <c r="AI22" s="238" t="s">
        <v>473</v>
      </c>
      <c r="AJ22" s="231"/>
    </row>
    <row r="23" spans="1:36" x14ac:dyDescent="0.3">
      <c r="A23" s="233" t="s">
        <v>120</v>
      </c>
      <c r="B23" s="234">
        <v>45994</v>
      </c>
      <c r="C23" s="235" t="s">
        <v>335</v>
      </c>
      <c r="D23" s="236" t="s">
        <v>440</v>
      </c>
      <c r="E23" s="235" t="s">
        <v>326</v>
      </c>
      <c r="F23" s="235" t="s">
        <v>96</v>
      </c>
      <c r="G23" s="237">
        <v>0.93330000000000002</v>
      </c>
      <c r="H23" s="238">
        <v>180</v>
      </c>
      <c r="I23" s="238">
        <v>168</v>
      </c>
      <c r="J23" s="238">
        <v>160</v>
      </c>
      <c r="K23" s="235" t="s">
        <v>97</v>
      </c>
      <c r="L23" s="239" t="s">
        <v>32</v>
      </c>
      <c r="M23" s="238">
        <v>0</v>
      </c>
      <c r="N23" s="238">
        <v>1</v>
      </c>
      <c r="O23" s="238">
        <v>6</v>
      </c>
      <c r="P23" s="235" t="s">
        <v>61</v>
      </c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8" t="s">
        <v>148</v>
      </c>
      <c r="AD23" s="231"/>
      <c r="AE23" s="231"/>
      <c r="AF23" s="231"/>
      <c r="AG23" s="238" t="s">
        <v>441</v>
      </c>
      <c r="AH23" s="231"/>
      <c r="AI23" s="238" t="s">
        <v>417</v>
      </c>
      <c r="AJ23" s="231"/>
    </row>
    <row r="24" spans="1:36" x14ac:dyDescent="0.3">
      <c r="A24" s="233" t="s">
        <v>120</v>
      </c>
      <c r="B24" s="234">
        <v>45994</v>
      </c>
      <c r="C24" s="235" t="s">
        <v>327</v>
      </c>
      <c r="D24" s="236" t="s">
        <v>474</v>
      </c>
      <c r="E24" s="235" t="s">
        <v>326</v>
      </c>
      <c r="F24" s="235" t="s">
        <v>96</v>
      </c>
      <c r="G24" s="237">
        <v>0.9889</v>
      </c>
      <c r="H24" s="238">
        <v>180</v>
      </c>
      <c r="I24" s="238">
        <v>178</v>
      </c>
      <c r="J24" s="238">
        <v>167</v>
      </c>
      <c r="K24" s="235" t="s">
        <v>97</v>
      </c>
      <c r="L24" s="239" t="s">
        <v>357</v>
      </c>
      <c r="M24" s="238">
        <v>0</v>
      </c>
      <c r="N24" s="238">
        <v>0</v>
      </c>
      <c r="O24" s="238">
        <v>0</v>
      </c>
      <c r="P24" s="235" t="s">
        <v>33</v>
      </c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8" t="s">
        <v>59</v>
      </c>
      <c r="AB24" s="238" t="s">
        <v>392</v>
      </c>
      <c r="AC24" s="238" t="s">
        <v>299</v>
      </c>
      <c r="AD24" s="231"/>
      <c r="AE24" s="231"/>
      <c r="AF24" s="231"/>
      <c r="AG24" s="238" t="s">
        <v>475</v>
      </c>
      <c r="AH24" s="231"/>
      <c r="AI24" s="238" t="s">
        <v>476</v>
      </c>
      <c r="AJ24" s="231"/>
    </row>
    <row r="25" spans="1:36" x14ac:dyDescent="0.3">
      <c r="A25" s="233" t="s">
        <v>120</v>
      </c>
      <c r="B25" s="234">
        <v>45994</v>
      </c>
      <c r="C25" s="235" t="s">
        <v>333</v>
      </c>
      <c r="D25" s="236" t="s">
        <v>446</v>
      </c>
      <c r="E25" s="235" t="s">
        <v>326</v>
      </c>
      <c r="F25" s="235" t="s">
        <v>96</v>
      </c>
      <c r="G25" s="237">
        <v>0.2</v>
      </c>
      <c r="H25" s="238">
        <v>180</v>
      </c>
      <c r="I25" s="238">
        <v>36</v>
      </c>
      <c r="J25" s="238">
        <v>3</v>
      </c>
      <c r="K25" s="235" t="s">
        <v>97</v>
      </c>
      <c r="L25" s="239" t="s">
        <v>32</v>
      </c>
      <c r="M25" s="238">
        <v>0</v>
      </c>
      <c r="N25" s="238">
        <v>3</v>
      </c>
      <c r="O25" s="238">
        <v>14</v>
      </c>
      <c r="P25" s="235" t="s">
        <v>105</v>
      </c>
      <c r="Q25" s="231"/>
      <c r="R25" s="231"/>
      <c r="S25" s="231"/>
      <c r="T25" s="231"/>
      <c r="U25" s="231"/>
      <c r="V25" s="231"/>
      <c r="W25" s="231"/>
      <c r="X25" s="231"/>
      <c r="Y25" s="231"/>
      <c r="Z25" s="231"/>
      <c r="AA25" s="238" t="s">
        <v>179</v>
      </c>
      <c r="AB25" s="231"/>
      <c r="AC25" s="238" t="s">
        <v>139</v>
      </c>
      <c r="AD25" s="238" t="s">
        <v>477</v>
      </c>
      <c r="AE25" s="238" t="s">
        <v>119</v>
      </c>
      <c r="AF25" s="238" t="s">
        <v>274</v>
      </c>
      <c r="AG25" s="238" t="s">
        <v>478</v>
      </c>
      <c r="AH25" s="231"/>
      <c r="AI25" s="231"/>
      <c r="AJ25" s="231"/>
    </row>
    <row r="26" spans="1:36" x14ac:dyDescent="0.3">
      <c r="A26" s="233" t="s">
        <v>449</v>
      </c>
      <c r="B26" s="234">
        <v>45995</v>
      </c>
      <c r="C26" s="235" t="s">
        <v>335</v>
      </c>
      <c r="D26" s="236" t="s">
        <v>479</v>
      </c>
      <c r="E26" s="235" t="s">
        <v>326</v>
      </c>
      <c r="F26" s="235" t="s">
        <v>96</v>
      </c>
      <c r="G26" s="237">
        <v>0.72219999999999995</v>
      </c>
      <c r="H26" s="238">
        <v>180</v>
      </c>
      <c r="I26" s="238">
        <v>130</v>
      </c>
      <c r="J26" s="238">
        <v>98</v>
      </c>
      <c r="K26" s="235" t="s">
        <v>97</v>
      </c>
      <c r="L26" s="239" t="s">
        <v>32</v>
      </c>
      <c r="M26" s="238">
        <v>0</v>
      </c>
      <c r="N26" s="238">
        <v>1</v>
      </c>
      <c r="O26" s="238">
        <v>17</v>
      </c>
      <c r="P26" s="235" t="s">
        <v>313</v>
      </c>
      <c r="Q26" s="231"/>
      <c r="R26" s="231"/>
      <c r="S26" s="231"/>
      <c r="T26" s="231"/>
      <c r="U26" s="231"/>
      <c r="V26" s="231"/>
      <c r="W26" s="231"/>
      <c r="X26" s="231"/>
      <c r="Y26" s="231"/>
      <c r="Z26" s="238" t="s">
        <v>236</v>
      </c>
      <c r="AA26" s="231"/>
      <c r="AB26" s="231"/>
      <c r="AC26" s="238" t="s">
        <v>299</v>
      </c>
      <c r="AD26" s="238" t="s">
        <v>106</v>
      </c>
      <c r="AE26" s="238" t="s">
        <v>162</v>
      </c>
      <c r="AF26" s="238" t="s">
        <v>274</v>
      </c>
      <c r="AG26" s="238" t="s">
        <v>480</v>
      </c>
      <c r="AH26" s="231"/>
      <c r="AI26" s="238" t="s">
        <v>435</v>
      </c>
      <c r="AJ26" s="231"/>
    </row>
    <row r="27" spans="1:36" x14ac:dyDescent="0.3">
      <c r="A27" s="233" t="s">
        <v>449</v>
      </c>
      <c r="B27" s="234">
        <v>45995</v>
      </c>
      <c r="C27" s="235" t="s">
        <v>329</v>
      </c>
      <c r="D27" s="236" t="s">
        <v>451</v>
      </c>
      <c r="E27" s="235" t="s">
        <v>326</v>
      </c>
      <c r="F27" s="235" t="s">
        <v>96</v>
      </c>
      <c r="G27" s="237">
        <v>0.66110000000000002</v>
      </c>
      <c r="H27" s="238">
        <v>180</v>
      </c>
      <c r="I27" s="238">
        <v>119</v>
      </c>
      <c r="J27" s="238">
        <v>75</v>
      </c>
      <c r="K27" s="235" t="s">
        <v>97</v>
      </c>
      <c r="L27" s="239" t="s">
        <v>32</v>
      </c>
      <c r="M27" s="238">
        <v>0</v>
      </c>
      <c r="N27" s="238">
        <v>3</v>
      </c>
      <c r="O27" s="238">
        <v>14</v>
      </c>
      <c r="P27" s="235" t="s">
        <v>117</v>
      </c>
      <c r="Q27" s="231"/>
      <c r="R27" s="231"/>
      <c r="S27" s="231"/>
      <c r="T27" s="231"/>
      <c r="U27" s="231"/>
      <c r="V27" s="231"/>
      <c r="W27" s="231"/>
      <c r="X27" s="231"/>
      <c r="Y27" s="231"/>
      <c r="Z27" s="231"/>
      <c r="AA27" s="238" t="s">
        <v>168</v>
      </c>
      <c r="AB27" s="238" t="s">
        <v>116</v>
      </c>
      <c r="AC27" s="238" t="s">
        <v>129</v>
      </c>
      <c r="AD27" s="238" t="s">
        <v>225</v>
      </c>
      <c r="AE27" s="238" t="s">
        <v>119</v>
      </c>
      <c r="AF27" s="238" t="s">
        <v>274</v>
      </c>
      <c r="AG27" s="238" t="s">
        <v>481</v>
      </c>
      <c r="AH27" s="231"/>
      <c r="AI27" s="238" t="s">
        <v>435</v>
      </c>
      <c r="AJ27" s="231"/>
    </row>
    <row r="28" spans="1:36" x14ac:dyDescent="0.3">
      <c r="A28" s="233" t="s">
        <v>214</v>
      </c>
      <c r="B28" s="234">
        <v>45996</v>
      </c>
      <c r="C28" s="235" t="s">
        <v>327</v>
      </c>
      <c r="D28" s="236" t="s">
        <v>455</v>
      </c>
      <c r="E28" s="235" t="s">
        <v>326</v>
      </c>
      <c r="F28" s="235" t="s">
        <v>96</v>
      </c>
      <c r="G28" s="237">
        <v>0.49440000000000001</v>
      </c>
      <c r="H28" s="238">
        <v>180</v>
      </c>
      <c r="I28" s="238">
        <v>89</v>
      </c>
      <c r="J28" s="238">
        <v>40</v>
      </c>
      <c r="K28" s="235" t="s">
        <v>97</v>
      </c>
      <c r="L28" s="239" t="s">
        <v>32</v>
      </c>
      <c r="M28" s="238">
        <v>0</v>
      </c>
      <c r="N28" s="238">
        <v>4</v>
      </c>
      <c r="O28" s="238">
        <v>32</v>
      </c>
      <c r="P28" s="235" t="s">
        <v>165</v>
      </c>
      <c r="Q28" s="231"/>
      <c r="R28" s="231"/>
      <c r="S28" s="231"/>
      <c r="T28" s="231"/>
      <c r="U28" s="231"/>
      <c r="V28" s="231"/>
      <c r="W28" s="231"/>
      <c r="X28" s="231"/>
      <c r="Y28" s="231"/>
      <c r="Z28" s="238" t="s">
        <v>57</v>
      </c>
      <c r="AA28" s="238" t="s">
        <v>59</v>
      </c>
      <c r="AB28" s="238" t="s">
        <v>116</v>
      </c>
      <c r="AC28" s="238" t="s">
        <v>180</v>
      </c>
      <c r="AD28" s="238" t="s">
        <v>211</v>
      </c>
      <c r="AE28" s="238" t="s">
        <v>172</v>
      </c>
      <c r="AF28" s="238" t="s">
        <v>274</v>
      </c>
      <c r="AG28" s="238" t="s">
        <v>482</v>
      </c>
      <c r="AH28" s="231"/>
      <c r="AI28" s="231"/>
      <c r="AJ28" s="231"/>
    </row>
    <row r="29" spans="1:36" x14ac:dyDescent="0.3">
      <c r="A29" s="233" t="s">
        <v>321</v>
      </c>
      <c r="B29" s="234">
        <v>45997</v>
      </c>
      <c r="C29" s="235" t="s">
        <v>327</v>
      </c>
      <c r="D29" s="236" t="s">
        <v>460</v>
      </c>
      <c r="E29" s="235" t="s">
        <v>326</v>
      </c>
      <c r="F29" s="235" t="s">
        <v>96</v>
      </c>
      <c r="G29" s="237">
        <v>0.34439999999999998</v>
      </c>
      <c r="H29" s="238">
        <v>180</v>
      </c>
      <c r="I29" s="238">
        <v>62</v>
      </c>
      <c r="J29" s="238">
        <v>40</v>
      </c>
      <c r="K29" s="235" t="s">
        <v>97</v>
      </c>
      <c r="L29" s="239" t="s">
        <v>32</v>
      </c>
      <c r="M29" s="238">
        <v>0</v>
      </c>
      <c r="N29" s="238">
        <v>5</v>
      </c>
      <c r="O29" s="238">
        <v>17</v>
      </c>
      <c r="P29" s="235" t="s">
        <v>165</v>
      </c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8" t="s">
        <v>116</v>
      </c>
      <c r="AC29" s="238" t="s">
        <v>154</v>
      </c>
      <c r="AD29" s="238" t="s">
        <v>225</v>
      </c>
      <c r="AE29" s="238" t="s">
        <v>119</v>
      </c>
      <c r="AF29" s="238" t="s">
        <v>274</v>
      </c>
      <c r="AG29" s="238" t="s">
        <v>482</v>
      </c>
      <c r="AH29" s="231"/>
      <c r="AI29" s="231"/>
      <c r="AJ29" s="231"/>
    </row>
    <row r="30" spans="1:36" x14ac:dyDescent="0.3">
      <c r="A30" s="233" t="s">
        <v>321</v>
      </c>
      <c r="B30" s="234">
        <v>45997</v>
      </c>
      <c r="C30" s="235" t="s">
        <v>335</v>
      </c>
      <c r="D30" s="236" t="s">
        <v>483</v>
      </c>
      <c r="E30" s="235" t="s">
        <v>326</v>
      </c>
      <c r="F30" s="235" t="s">
        <v>96</v>
      </c>
      <c r="G30" s="237">
        <v>0.35</v>
      </c>
      <c r="H30" s="238">
        <v>180</v>
      </c>
      <c r="I30" s="238">
        <v>63</v>
      </c>
      <c r="J30" s="238">
        <v>45</v>
      </c>
      <c r="K30" s="235" t="s">
        <v>97</v>
      </c>
      <c r="L30" s="239" t="s">
        <v>32</v>
      </c>
      <c r="M30" s="238">
        <v>0</v>
      </c>
      <c r="N30" s="238">
        <v>2</v>
      </c>
      <c r="O30" s="238">
        <v>16</v>
      </c>
      <c r="P30" s="235" t="s">
        <v>165</v>
      </c>
      <c r="Q30" s="231"/>
      <c r="R30" s="231"/>
      <c r="S30" s="231"/>
      <c r="T30" s="231"/>
      <c r="U30" s="231"/>
      <c r="V30" s="231"/>
      <c r="W30" s="231"/>
      <c r="X30" s="231"/>
      <c r="Y30" s="231"/>
      <c r="Z30" s="231"/>
      <c r="AA30" s="238" t="s">
        <v>246</v>
      </c>
      <c r="AB30" s="231"/>
      <c r="AC30" s="238" t="s">
        <v>301</v>
      </c>
      <c r="AD30" s="238" t="s">
        <v>225</v>
      </c>
      <c r="AE30" s="238" t="s">
        <v>119</v>
      </c>
      <c r="AF30" s="238" t="s">
        <v>274</v>
      </c>
      <c r="AG30" s="231"/>
      <c r="AH30" s="231"/>
      <c r="AI30" s="238" t="s">
        <v>435</v>
      </c>
      <c r="AJ30" s="231"/>
    </row>
    <row r="31" spans="1:36" x14ac:dyDescent="0.3">
      <c r="A31" s="233" t="s">
        <v>321</v>
      </c>
      <c r="B31" s="234">
        <v>45997</v>
      </c>
      <c r="C31" s="235" t="s">
        <v>329</v>
      </c>
      <c r="D31" s="236" t="s">
        <v>436</v>
      </c>
      <c r="E31" s="235" t="s">
        <v>326</v>
      </c>
      <c r="F31" s="235" t="s">
        <v>96</v>
      </c>
      <c r="G31" s="237">
        <v>0.35</v>
      </c>
      <c r="H31" s="238">
        <v>180</v>
      </c>
      <c r="I31" s="238">
        <v>63</v>
      </c>
      <c r="J31" s="238">
        <v>45</v>
      </c>
      <c r="K31" s="235" t="s">
        <v>97</v>
      </c>
      <c r="L31" s="239" t="s">
        <v>253</v>
      </c>
      <c r="M31" s="238">
        <v>0</v>
      </c>
      <c r="N31" s="238">
        <v>0</v>
      </c>
      <c r="O31" s="238">
        <v>4</v>
      </c>
      <c r="P31" s="235" t="s">
        <v>171</v>
      </c>
      <c r="Q31" s="231"/>
      <c r="R31" s="231"/>
      <c r="S31" s="231"/>
      <c r="T31" s="231"/>
      <c r="U31" s="231"/>
      <c r="V31" s="231"/>
      <c r="W31" s="231"/>
      <c r="X31" s="231"/>
      <c r="Y31" s="231"/>
      <c r="Z31" s="238" t="s">
        <v>136</v>
      </c>
      <c r="AA31" s="238" t="s">
        <v>137</v>
      </c>
      <c r="AB31" s="231"/>
      <c r="AC31" s="238" t="s">
        <v>61</v>
      </c>
      <c r="AD31" s="231"/>
      <c r="AE31" s="231"/>
      <c r="AF31" s="231"/>
      <c r="AG31" s="231"/>
      <c r="AH31" s="231"/>
      <c r="AI31" s="238" t="s">
        <v>435</v>
      </c>
      <c r="AJ31" s="238" t="s">
        <v>484</v>
      </c>
    </row>
    <row r="32" spans="1:36" x14ac:dyDescent="0.3">
      <c r="A32" s="233" t="s">
        <v>94</v>
      </c>
      <c r="B32" s="234">
        <v>45998</v>
      </c>
      <c r="C32" s="235" t="s">
        <v>327</v>
      </c>
      <c r="D32" s="236" t="s">
        <v>414</v>
      </c>
      <c r="E32" s="235" t="s">
        <v>326</v>
      </c>
      <c r="F32" s="235" t="s">
        <v>96</v>
      </c>
      <c r="G32" s="237">
        <v>0.78890000000000005</v>
      </c>
      <c r="H32" s="238">
        <v>180</v>
      </c>
      <c r="I32" s="238">
        <v>142</v>
      </c>
      <c r="J32" s="238">
        <v>135</v>
      </c>
      <c r="K32" s="235" t="s">
        <v>97</v>
      </c>
      <c r="L32" s="239" t="s">
        <v>32</v>
      </c>
      <c r="M32" s="238">
        <v>0</v>
      </c>
      <c r="N32" s="238">
        <v>3</v>
      </c>
      <c r="O32" s="238">
        <v>3</v>
      </c>
      <c r="P32" s="235" t="s">
        <v>165</v>
      </c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1"/>
      <c r="AB32" s="238" t="s">
        <v>182</v>
      </c>
      <c r="AC32" s="238" t="s">
        <v>180</v>
      </c>
      <c r="AD32" s="231"/>
      <c r="AE32" s="231"/>
      <c r="AF32" s="231"/>
      <c r="AG32" s="231"/>
      <c r="AH32" s="231"/>
      <c r="AI32" s="238" t="s">
        <v>442</v>
      </c>
      <c r="AJ32" s="231"/>
    </row>
    <row r="33" spans="1:36" x14ac:dyDescent="0.3">
      <c r="A33" s="233" t="s">
        <v>94</v>
      </c>
      <c r="B33" s="234">
        <v>45998</v>
      </c>
      <c r="C33" s="235" t="s">
        <v>329</v>
      </c>
      <c r="D33" s="236" t="s">
        <v>322</v>
      </c>
      <c r="E33" s="235" t="s">
        <v>326</v>
      </c>
      <c r="F33" s="235" t="s">
        <v>96</v>
      </c>
      <c r="G33" s="237">
        <v>0.71109999999999995</v>
      </c>
      <c r="H33" s="238">
        <v>180</v>
      </c>
      <c r="I33" s="238">
        <v>128</v>
      </c>
      <c r="J33" s="238">
        <v>90</v>
      </c>
      <c r="K33" s="235" t="s">
        <v>97</v>
      </c>
      <c r="L33" s="239" t="s">
        <v>32</v>
      </c>
      <c r="M33" s="238">
        <v>0</v>
      </c>
      <c r="N33" s="238">
        <v>5</v>
      </c>
      <c r="O33" s="238">
        <v>35</v>
      </c>
      <c r="P33" s="235" t="s">
        <v>105</v>
      </c>
      <c r="Q33" s="231"/>
      <c r="R33" s="231"/>
      <c r="S33" s="231"/>
      <c r="T33" s="231"/>
      <c r="U33" s="231"/>
      <c r="V33" s="231"/>
      <c r="W33" s="231"/>
      <c r="X33" s="231"/>
      <c r="Y33" s="231"/>
      <c r="Z33" s="231"/>
      <c r="AA33" s="231"/>
      <c r="AB33" s="238" t="s">
        <v>116</v>
      </c>
      <c r="AC33" s="238" t="s">
        <v>299</v>
      </c>
      <c r="AD33" s="238" t="s">
        <v>149</v>
      </c>
      <c r="AE33" s="238" t="s">
        <v>172</v>
      </c>
      <c r="AF33" s="238" t="s">
        <v>416</v>
      </c>
      <c r="AG33" s="231"/>
      <c r="AH33" s="231"/>
      <c r="AI33" s="238" t="s">
        <v>419</v>
      </c>
      <c r="AJ33" s="231"/>
    </row>
    <row r="34" spans="1:36" x14ac:dyDescent="0.3">
      <c r="A34" s="233" t="s">
        <v>203</v>
      </c>
      <c r="B34" s="234">
        <v>45999</v>
      </c>
      <c r="C34" s="235" t="s">
        <v>327</v>
      </c>
      <c r="D34" s="236" t="s">
        <v>420</v>
      </c>
      <c r="E34" s="235" t="s">
        <v>326</v>
      </c>
      <c r="F34" s="235" t="s">
        <v>96</v>
      </c>
      <c r="G34" s="237">
        <v>0.38329999999999997</v>
      </c>
      <c r="H34" s="238">
        <v>180</v>
      </c>
      <c r="I34" s="238">
        <v>69</v>
      </c>
      <c r="J34" s="238">
        <v>45</v>
      </c>
      <c r="K34" s="235" t="s">
        <v>97</v>
      </c>
      <c r="L34" s="239" t="s">
        <v>32</v>
      </c>
      <c r="M34" s="238">
        <v>0</v>
      </c>
      <c r="N34" s="238">
        <v>7</v>
      </c>
      <c r="O34" s="238">
        <v>14</v>
      </c>
      <c r="P34" s="235" t="s">
        <v>141</v>
      </c>
      <c r="Q34" s="231"/>
      <c r="R34" s="231"/>
      <c r="S34" s="231"/>
      <c r="T34" s="231"/>
      <c r="U34" s="231"/>
      <c r="V34" s="231"/>
      <c r="W34" s="231"/>
      <c r="X34" s="231"/>
      <c r="Y34" s="231"/>
      <c r="Z34" s="231"/>
      <c r="AA34" s="238" t="s">
        <v>181</v>
      </c>
      <c r="AB34" s="231"/>
      <c r="AC34" s="238" t="s">
        <v>61</v>
      </c>
      <c r="AD34" s="238" t="s">
        <v>313</v>
      </c>
      <c r="AE34" s="238" t="s">
        <v>319</v>
      </c>
      <c r="AF34" s="238" t="s">
        <v>274</v>
      </c>
      <c r="AG34" s="231"/>
      <c r="AH34" s="231"/>
      <c r="AI34" s="238" t="s">
        <v>435</v>
      </c>
      <c r="AJ34" s="231"/>
    </row>
    <row r="35" spans="1:36" x14ac:dyDescent="0.3">
      <c r="A35" s="233" t="s">
        <v>203</v>
      </c>
      <c r="B35" s="234">
        <v>45999</v>
      </c>
      <c r="C35" s="235" t="s">
        <v>333</v>
      </c>
      <c r="D35" s="236" t="s">
        <v>425</v>
      </c>
      <c r="E35" s="235" t="s">
        <v>326</v>
      </c>
      <c r="F35" s="235" t="s">
        <v>96</v>
      </c>
      <c r="G35" s="237">
        <v>0.18890000000000001</v>
      </c>
      <c r="H35" s="238">
        <v>180</v>
      </c>
      <c r="I35" s="238">
        <v>34</v>
      </c>
      <c r="J35" s="238">
        <v>0</v>
      </c>
      <c r="K35" s="235" t="s">
        <v>97</v>
      </c>
      <c r="L35" s="239" t="s">
        <v>32</v>
      </c>
      <c r="M35" s="238">
        <v>0</v>
      </c>
      <c r="N35" s="238">
        <v>1</v>
      </c>
      <c r="O35" s="238">
        <v>27</v>
      </c>
      <c r="P35" s="235" t="s">
        <v>298</v>
      </c>
      <c r="Q35" s="231"/>
      <c r="R35" s="231"/>
      <c r="S35" s="231"/>
      <c r="T35" s="231"/>
      <c r="U35" s="231"/>
      <c r="V35" s="231"/>
      <c r="W35" s="231"/>
      <c r="X35" s="231"/>
      <c r="Y35" s="231"/>
      <c r="Z35" s="231"/>
      <c r="AA35" s="231"/>
      <c r="AB35" s="238" t="s">
        <v>298</v>
      </c>
      <c r="AC35" s="231"/>
      <c r="AD35" s="231"/>
      <c r="AE35" s="238" t="s">
        <v>178</v>
      </c>
      <c r="AF35" s="238" t="s">
        <v>485</v>
      </c>
      <c r="AG35" s="231"/>
      <c r="AH35" s="231"/>
      <c r="AI35" s="231"/>
      <c r="AJ35" s="231"/>
    </row>
    <row r="36" spans="1:36" x14ac:dyDescent="0.3">
      <c r="A36" s="233" t="s">
        <v>203</v>
      </c>
      <c r="B36" s="234">
        <v>45999</v>
      </c>
      <c r="C36" s="235" t="s">
        <v>335</v>
      </c>
      <c r="D36" s="236" t="s">
        <v>286</v>
      </c>
      <c r="E36" s="235" t="s">
        <v>326</v>
      </c>
      <c r="F36" s="235" t="s">
        <v>96</v>
      </c>
      <c r="G36" s="237">
        <v>0.2722</v>
      </c>
      <c r="H36" s="238">
        <v>180</v>
      </c>
      <c r="I36" s="238">
        <v>49</v>
      </c>
      <c r="J36" s="238">
        <v>45</v>
      </c>
      <c r="K36" s="235" t="s">
        <v>97</v>
      </c>
      <c r="L36" s="239" t="s">
        <v>32</v>
      </c>
      <c r="M36" s="238">
        <v>0</v>
      </c>
      <c r="N36" s="238">
        <v>1</v>
      </c>
      <c r="O36" s="238">
        <v>1</v>
      </c>
      <c r="P36" s="235" t="s">
        <v>165</v>
      </c>
      <c r="Q36" s="231"/>
      <c r="R36" s="231"/>
      <c r="S36" s="231"/>
      <c r="T36" s="231"/>
      <c r="U36" s="231"/>
      <c r="V36" s="231"/>
      <c r="W36" s="231"/>
      <c r="X36" s="231"/>
      <c r="Y36" s="231"/>
      <c r="Z36" s="231"/>
      <c r="AA36" s="238" t="s">
        <v>246</v>
      </c>
      <c r="AB36" s="231"/>
      <c r="AC36" s="238" t="s">
        <v>61</v>
      </c>
      <c r="AD36" s="231"/>
      <c r="AE36" s="231"/>
      <c r="AF36" s="231"/>
      <c r="AG36" s="231"/>
      <c r="AH36" s="231"/>
      <c r="AI36" s="238" t="s">
        <v>435</v>
      </c>
      <c r="AJ36" s="231"/>
    </row>
    <row r="37" spans="1:36" x14ac:dyDescent="0.3">
      <c r="A37" s="233" t="s">
        <v>109</v>
      </c>
      <c r="B37" s="234">
        <v>46000</v>
      </c>
      <c r="C37" s="235" t="s">
        <v>335</v>
      </c>
      <c r="D37" s="236" t="s">
        <v>432</v>
      </c>
      <c r="E37" s="235" t="s">
        <v>326</v>
      </c>
      <c r="F37" s="235" t="s">
        <v>96</v>
      </c>
      <c r="G37" s="237">
        <v>1.0056</v>
      </c>
      <c r="H37" s="238">
        <v>180</v>
      </c>
      <c r="I37" s="238">
        <v>181</v>
      </c>
      <c r="J37" s="238">
        <v>175</v>
      </c>
      <c r="K37" s="235" t="s">
        <v>97</v>
      </c>
      <c r="L37" s="239" t="s">
        <v>371</v>
      </c>
      <c r="M37" s="238">
        <v>0</v>
      </c>
      <c r="N37" s="238">
        <v>0</v>
      </c>
      <c r="O37" s="238">
        <v>2</v>
      </c>
      <c r="P37" s="235" t="s">
        <v>278</v>
      </c>
      <c r="Q37" s="231"/>
      <c r="R37" s="231"/>
      <c r="S37" s="231"/>
      <c r="T37" s="231"/>
      <c r="U37" s="231"/>
      <c r="V37" s="231"/>
      <c r="W37" s="231"/>
      <c r="X37" s="231"/>
      <c r="Y37" s="231"/>
      <c r="Z37" s="231"/>
      <c r="AA37" s="238" t="s">
        <v>181</v>
      </c>
      <c r="AB37" s="231"/>
      <c r="AC37" s="238" t="s">
        <v>301</v>
      </c>
      <c r="AD37" s="231"/>
      <c r="AE37" s="238" t="s">
        <v>166</v>
      </c>
      <c r="AF37" s="231"/>
      <c r="AG37" s="238" t="s">
        <v>482</v>
      </c>
      <c r="AH37" s="231"/>
      <c r="AI37" s="238" t="s">
        <v>442</v>
      </c>
      <c r="AJ37" s="231"/>
    </row>
    <row r="38" spans="1:36" x14ac:dyDescent="0.3">
      <c r="A38" s="233" t="s">
        <v>109</v>
      </c>
      <c r="B38" s="234">
        <v>46000</v>
      </c>
      <c r="C38" s="235" t="s">
        <v>329</v>
      </c>
      <c r="D38" s="236" t="s">
        <v>436</v>
      </c>
      <c r="E38" s="235" t="s">
        <v>326</v>
      </c>
      <c r="F38" s="235" t="s">
        <v>96</v>
      </c>
      <c r="G38" s="237">
        <v>0.88890000000000002</v>
      </c>
      <c r="H38" s="238">
        <v>180</v>
      </c>
      <c r="I38" s="238">
        <v>160</v>
      </c>
      <c r="J38" s="238">
        <v>135</v>
      </c>
      <c r="K38" s="235" t="s">
        <v>97</v>
      </c>
      <c r="L38" s="239" t="s">
        <v>32</v>
      </c>
      <c r="M38" s="238">
        <v>0</v>
      </c>
      <c r="N38" s="238">
        <v>2</v>
      </c>
      <c r="O38" s="238">
        <v>19</v>
      </c>
      <c r="P38" s="235" t="s">
        <v>148</v>
      </c>
      <c r="Q38" s="231"/>
      <c r="R38" s="231"/>
      <c r="S38" s="231"/>
      <c r="T38" s="231"/>
      <c r="U38" s="231"/>
      <c r="V38" s="231"/>
      <c r="W38" s="231"/>
      <c r="X38" s="231"/>
      <c r="Y38" s="231"/>
      <c r="Z38" s="231"/>
      <c r="AA38" s="238" t="s">
        <v>246</v>
      </c>
      <c r="AB38" s="238" t="s">
        <v>298</v>
      </c>
      <c r="AC38" s="238" t="s">
        <v>61</v>
      </c>
      <c r="AD38" s="238" t="s">
        <v>149</v>
      </c>
      <c r="AE38" s="238" t="s">
        <v>172</v>
      </c>
      <c r="AF38" s="231"/>
      <c r="AG38" s="231"/>
      <c r="AH38" s="231"/>
      <c r="AI38" s="238" t="s">
        <v>442</v>
      </c>
      <c r="AJ38" s="231"/>
    </row>
    <row r="39" spans="1:36" x14ac:dyDescent="0.3">
      <c r="A39" s="233" t="s">
        <v>120</v>
      </c>
      <c r="B39" s="234">
        <v>46001</v>
      </c>
      <c r="C39" s="235" t="s">
        <v>335</v>
      </c>
      <c r="D39" s="236" t="s">
        <v>440</v>
      </c>
      <c r="E39" s="235" t="s">
        <v>326</v>
      </c>
      <c r="F39" s="235" t="s">
        <v>96</v>
      </c>
      <c r="G39" s="237">
        <v>1</v>
      </c>
      <c r="H39" s="238">
        <v>180</v>
      </c>
      <c r="I39" s="238">
        <v>180</v>
      </c>
      <c r="J39" s="238">
        <v>180</v>
      </c>
      <c r="K39" s="235" t="s">
        <v>97</v>
      </c>
      <c r="L39" s="239" t="s">
        <v>374</v>
      </c>
      <c r="M39" s="238">
        <v>0</v>
      </c>
      <c r="N39" s="238">
        <v>0</v>
      </c>
      <c r="O39" s="238">
        <v>0</v>
      </c>
      <c r="P39" s="235" t="s">
        <v>278</v>
      </c>
      <c r="Q39" s="231"/>
      <c r="R39" s="231"/>
      <c r="S39" s="231"/>
      <c r="T39" s="231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8" t="s">
        <v>375</v>
      </c>
      <c r="AJ39" s="231"/>
    </row>
    <row r="40" spans="1:36" x14ac:dyDescent="0.3">
      <c r="A40" s="233" t="s">
        <v>120</v>
      </c>
      <c r="B40" s="234">
        <v>46001</v>
      </c>
      <c r="C40" s="235" t="s">
        <v>327</v>
      </c>
      <c r="D40" s="236" t="s">
        <v>474</v>
      </c>
      <c r="E40" s="235" t="s">
        <v>326</v>
      </c>
      <c r="F40" s="235" t="s">
        <v>96</v>
      </c>
      <c r="G40" s="237">
        <v>0.8</v>
      </c>
      <c r="H40" s="238">
        <v>180</v>
      </c>
      <c r="I40" s="238">
        <v>144</v>
      </c>
      <c r="J40" s="238">
        <v>135</v>
      </c>
      <c r="K40" s="235" t="s">
        <v>97</v>
      </c>
      <c r="L40" s="239" t="s">
        <v>376</v>
      </c>
      <c r="M40" s="238">
        <v>0</v>
      </c>
      <c r="N40" s="238">
        <v>0</v>
      </c>
      <c r="O40" s="238">
        <v>0</v>
      </c>
      <c r="P40" s="235" t="s">
        <v>237</v>
      </c>
      <c r="Q40" s="231"/>
      <c r="R40" s="231"/>
      <c r="S40" s="231"/>
      <c r="T40" s="231"/>
      <c r="U40" s="231"/>
      <c r="V40" s="231"/>
      <c r="W40" s="231"/>
      <c r="X40" s="231"/>
      <c r="Y40" s="231"/>
      <c r="Z40" s="231"/>
      <c r="AA40" s="238" t="s">
        <v>181</v>
      </c>
      <c r="AB40" s="238" t="s">
        <v>116</v>
      </c>
      <c r="AC40" s="238" t="s">
        <v>299</v>
      </c>
      <c r="AD40" s="231"/>
      <c r="AE40" s="231"/>
      <c r="AF40" s="231"/>
      <c r="AG40" s="231"/>
      <c r="AH40" s="231"/>
      <c r="AI40" s="238" t="s">
        <v>442</v>
      </c>
      <c r="AJ40" s="231"/>
    </row>
    <row r="41" spans="1:36" x14ac:dyDescent="0.3">
      <c r="A41" s="233" t="s">
        <v>120</v>
      </c>
      <c r="B41" s="234">
        <v>46001</v>
      </c>
      <c r="C41" s="235" t="s">
        <v>333</v>
      </c>
      <c r="D41" s="236" t="s">
        <v>446</v>
      </c>
      <c r="E41" s="235" t="s">
        <v>326</v>
      </c>
      <c r="F41" s="235" t="s">
        <v>96</v>
      </c>
      <c r="G41" s="237">
        <v>6.1100000000000002E-2</v>
      </c>
      <c r="H41" s="238">
        <v>180</v>
      </c>
      <c r="I41" s="238">
        <v>11</v>
      </c>
      <c r="J41" s="238">
        <v>0</v>
      </c>
      <c r="K41" s="235" t="s">
        <v>97</v>
      </c>
      <c r="L41" s="239" t="s">
        <v>45</v>
      </c>
      <c r="M41" s="238">
        <v>1</v>
      </c>
      <c r="N41" s="238">
        <v>0</v>
      </c>
      <c r="O41" s="238">
        <v>10</v>
      </c>
      <c r="P41" s="235" t="s">
        <v>225</v>
      </c>
      <c r="Q41" s="231"/>
      <c r="R41" s="231"/>
      <c r="S41" s="231"/>
      <c r="T41" s="231"/>
      <c r="U41" s="231"/>
      <c r="V41" s="231"/>
      <c r="W41" s="231"/>
      <c r="X41" s="231"/>
      <c r="Y41" s="231"/>
      <c r="Z41" s="231"/>
      <c r="AA41" s="231"/>
      <c r="AB41" s="231"/>
      <c r="AC41" s="238" t="s">
        <v>301</v>
      </c>
      <c r="AD41" s="231"/>
      <c r="AE41" s="238" t="s">
        <v>119</v>
      </c>
      <c r="AF41" s="238" t="s">
        <v>274</v>
      </c>
      <c r="AG41" s="231"/>
      <c r="AH41" s="231"/>
      <c r="AI41" s="231"/>
      <c r="AJ41" s="231"/>
    </row>
    <row r="42" spans="1:36" x14ac:dyDescent="0.3">
      <c r="A42" s="233" t="s">
        <v>449</v>
      </c>
      <c r="B42" s="234">
        <v>46002</v>
      </c>
      <c r="C42" s="235" t="s">
        <v>335</v>
      </c>
      <c r="D42" s="236" t="s">
        <v>479</v>
      </c>
      <c r="E42" s="235" t="s">
        <v>326</v>
      </c>
      <c r="F42" s="235" t="s">
        <v>96</v>
      </c>
      <c r="G42" s="237">
        <v>0.55559999999999998</v>
      </c>
      <c r="H42" s="238">
        <v>180</v>
      </c>
      <c r="I42" s="238">
        <v>100</v>
      </c>
      <c r="J42" s="238">
        <v>90</v>
      </c>
      <c r="K42" s="235" t="s">
        <v>97</v>
      </c>
      <c r="L42" s="239" t="s">
        <v>32</v>
      </c>
      <c r="M42" s="238">
        <v>0</v>
      </c>
      <c r="N42" s="238">
        <v>8</v>
      </c>
      <c r="O42" s="238">
        <v>10</v>
      </c>
      <c r="P42" s="235" t="s">
        <v>239</v>
      </c>
      <c r="Q42" s="231"/>
      <c r="R42" s="231"/>
      <c r="S42" s="231"/>
      <c r="T42" s="231"/>
      <c r="U42" s="231"/>
      <c r="V42" s="231"/>
      <c r="W42" s="231"/>
      <c r="X42" s="231"/>
      <c r="Y42" s="231"/>
      <c r="Z42" s="231"/>
      <c r="AA42" s="238" t="s">
        <v>181</v>
      </c>
      <c r="AB42" s="231"/>
      <c r="AC42" s="231"/>
      <c r="AD42" s="231"/>
      <c r="AE42" s="238" t="s">
        <v>166</v>
      </c>
      <c r="AF42" s="238" t="s">
        <v>274</v>
      </c>
      <c r="AG42" s="231"/>
      <c r="AH42" s="231"/>
      <c r="AI42" s="238" t="s">
        <v>419</v>
      </c>
      <c r="AJ42" s="231"/>
    </row>
    <row r="43" spans="1:36" x14ac:dyDescent="0.3">
      <c r="A43" s="233" t="s">
        <v>449</v>
      </c>
      <c r="B43" s="234">
        <v>46002</v>
      </c>
      <c r="C43" s="235" t="s">
        <v>329</v>
      </c>
      <c r="D43" s="236" t="s">
        <v>451</v>
      </c>
      <c r="E43" s="235" t="s">
        <v>326</v>
      </c>
      <c r="F43" s="235" t="s">
        <v>96</v>
      </c>
      <c r="G43" s="237">
        <v>0.6</v>
      </c>
      <c r="H43" s="238">
        <v>180</v>
      </c>
      <c r="I43" s="238">
        <v>108</v>
      </c>
      <c r="J43" s="238">
        <v>90</v>
      </c>
      <c r="K43" s="235" t="s">
        <v>97</v>
      </c>
      <c r="L43" s="239" t="s">
        <v>32</v>
      </c>
      <c r="M43" s="238">
        <v>0</v>
      </c>
      <c r="N43" s="238">
        <v>7</v>
      </c>
      <c r="O43" s="238">
        <v>17</v>
      </c>
      <c r="P43" s="235" t="s">
        <v>240</v>
      </c>
      <c r="Q43" s="231"/>
      <c r="R43" s="231"/>
      <c r="S43" s="231"/>
      <c r="T43" s="231"/>
      <c r="U43" s="231"/>
      <c r="V43" s="231"/>
      <c r="W43" s="231"/>
      <c r="X43" s="231"/>
      <c r="Y43" s="238" t="s">
        <v>195</v>
      </c>
      <c r="Z43" s="231"/>
      <c r="AA43" s="238" t="s">
        <v>179</v>
      </c>
      <c r="AB43" s="231"/>
      <c r="AC43" s="231"/>
      <c r="AD43" s="231"/>
      <c r="AE43" s="238" t="s">
        <v>107</v>
      </c>
      <c r="AF43" s="238" t="s">
        <v>273</v>
      </c>
      <c r="AG43" s="231"/>
      <c r="AH43" s="231"/>
      <c r="AI43" s="238" t="s">
        <v>419</v>
      </c>
      <c r="AJ43" s="231"/>
    </row>
    <row r="44" spans="1:36" x14ac:dyDescent="0.3">
      <c r="A44" s="233" t="s">
        <v>214</v>
      </c>
      <c r="B44" s="234">
        <v>46003</v>
      </c>
      <c r="C44" s="235" t="s">
        <v>327</v>
      </c>
      <c r="D44" s="236" t="s">
        <v>455</v>
      </c>
      <c r="E44" s="235" t="s">
        <v>326</v>
      </c>
      <c r="F44" s="235" t="s">
        <v>96</v>
      </c>
      <c r="G44" s="237">
        <v>0.1167</v>
      </c>
      <c r="H44" s="238">
        <v>180</v>
      </c>
      <c r="I44" s="238">
        <v>21</v>
      </c>
      <c r="J44" s="238">
        <v>0</v>
      </c>
      <c r="K44" s="235" t="s">
        <v>97</v>
      </c>
      <c r="L44" s="239" t="s">
        <v>32</v>
      </c>
      <c r="M44" s="238">
        <v>0</v>
      </c>
      <c r="N44" s="238">
        <v>1</v>
      </c>
      <c r="O44" s="238">
        <v>11</v>
      </c>
      <c r="P44" s="235" t="s">
        <v>116</v>
      </c>
      <c r="Q44" s="231"/>
      <c r="R44" s="231"/>
      <c r="S44" s="231"/>
      <c r="T44" s="231"/>
      <c r="U44" s="231"/>
      <c r="V44" s="231"/>
      <c r="W44" s="231"/>
      <c r="X44" s="231"/>
      <c r="Y44" s="231"/>
      <c r="Z44" s="231"/>
      <c r="AA44" s="231"/>
      <c r="AB44" s="238" t="s">
        <v>298</v>
      </c>
      <c r="AC44" s="238" t="s">
        <v>180</v>
      </c>
      <c r="AD44" s="238" t="s">
        <v>225</v>
      </c>
      <c r="AE44" s="238" t="s">
        <v>119</v>
      </c>
      <c r="AF44" s="238" t="s">
        <v>274</v>
      </c>
      <c r="AG44" s="231"/>
      <c r="AH44" s="231"/>
      <c r="AI44" s="231"/>
      <c r="AJ44" s="231"/>
    </row>
    <row r="45" spans="1:36" x14ac:dyDescent="0.3">
      <c r="A45" s="233" t="s">
        <v>321</v>
      </c>
      <c r="B45" s="234">
        <v>46004</v>
      </c>
      <c r="C45" s="235" t="s">
        <v>327</v>
      </c>
      <c r="D45" s="236" t="s">
        <v>460</v>
      </c>
      <c r="E45" s="235" t="s">
        <v>326</v>
      </c>
      <c r="F45" s="235" t="s">
        <v>96</v>
      </c>
      <c r="G45" s="237">
        <v>0.2944</v>
      </c>
      <c r="H45" s="238">
        <v>180</v>
      </c>
      <c r="I45" s="238">
        <v>53</v>
      </c>
      <c r="J45" s="238">
        <v>45</v>
      </c>
      <c r="K45" s="235" t="s">
        <v>97</v>
      </c>
      <c r="L45" s="239" t="s">
        <v>32</v>
      </c>
      <c r="M45" s="238">
        <v>0</v>
      </c>
      <c r="N45" s="238">
        <v>1</v>
      </c>
      <c r="O45" s="238">
        <v>3</v>
      </c>
      <c r="P45" s="235" t="s">
        <v>298</v>
      </c>
      <c r="Q45" s="231"/>
      <c r="R45" s="231"/>
      <c r="S45" s="231"/>
      <c r="T45" s="231"/>
      <c r="U45" s="231"/>
      <c r="V45" s="231"/>
      <c r="W45" s="231"/>
      <c r="X45" s="231"/>
      <c r="Y45" s="231"/>
      <c r="Z45" s="231"/>
      <c r="AA45" s="238" t="s">
        <v>181</v>
      </c>
      <c r="AB45" s="238" t="s">
        <v>392</v>
      </c>
      <c r="AC45" s="238" t="s">
        <v>299</v>
      </c>
      <c r="AD45" s="231"/>
      <c r="AE45" s="231"/>
      <c r="AF45" s="231"/>
      <c r="AG45" s="231"/>
      <c r="AH45" s="231"/>
      <c r="AI45" s="238" t="s">
        <v>435</v>
      </c>
      <c r="AJ45" s="231"/>
    </row>
    <row r="46" spans="1:36" x14ac:dyDescent="0.3">
      <c r="A46" s="233" t="s">
        <v>321</v>
      </c>
      <c r="B46" s="234">
        <v>46004</v>
      </c>
      <c r="C46" s="235" t="s">
        <v>335</v>
      </c>
      <c r="D46" s="236" t="s">
        <v>483</v>
      </c>
      <c r="E46" s="235" t="s">
        <v>326</v>
      </c>
      <c r="F46" s="235" t="s">
        <v>96</v>
      </c>
      <c r="G46" s="237">
        <v>0.25559999999999999</v>
      </c>
      <c r="H46" s="238">
        <v>180</v>
      </c>
      <c r="I46" s="238">
        <v>46</v>
      </c>
      <c r="J46" s="238">
        <v>45</v>
      </c>
      <c r="K46" s="235" t="s">
        <v>97</v>
      </c>
      <c r="L46" s="239" t="s">
        <v>251</v>
      </c>
      <c r="M46" s="238">
        <v>0</v>
      </c>
      <c r="N46" s="238">
        <v>0</v>
      </c>
      <c r="O46" s="238">
        <v>1</v>
      </c>
      <c r="P46" s="235" t="s">
        <v>171</v>
      </c>
      <c r="Q46" s="231"/>
      <c r="R46" s="231"/>
      <c r="S46" s="231"/>
      <c r="T46" s="231"/>
      <c r="U46" s="231"/>
      <c r="V46" s="231"/>
      <c r="W46" s="231"/>
      <c r="X46" s="231"/>
      <c r="Y46" s="231"/>
      <c r="Z46" s="231"/>
      <c r="AA46" s="238" t="s">
        <v>181</v>
      </c>
      <c r="AB46" s="231"/>
      <c r="AC46" s="231"/>
      <c r="AD46" s="231"/>
      <c r="AE46" s="231"/>
      <c r="AF46" s="231"/>
      <c r="AG46" s="231"/>
      <c r="AH46" s="231"/>
      <c r="AI46" s="238" t="s">
        <v>435</v>
      </c>
      <c r="AJ46" s="231"/>
    </row>
    <row r="47" spans="1:36" x14ac:dyDescent="0.3">
      <c r="A47" s="233" t="s">
        <v>321</v>
      </c>
      <c r="B47" s="234">
        <v>46004</v>
      </c>
      <c r="C47" s="235" t="s">
        <v>329</v>
      </c>
      <c r="D47" s="236" t="s">
        <v>436</v>
      </c>
      <c r="E47" s="235" t="s">
        <v>326</v>
      </c>
      <c r="F47" s="235" t="s">
        <v>96</v>
      </c>
      <c r="G47" s="237">
        <v>0.2833</v>
      </c>
      <c r="H47" s="238">
        <v>180</v>
      </c>
      <c r="I47" s="238">
        <v>51</v>
      </c>
      <c r="J47" s="238">
        <v>45</v>
      </c>
      <c r="K47" s="235" t="s">
        <v>97</v>
      </c>
      <c r="L47" s="239" t="s">
        <v>384</v>
      </c>
      <c r="M47" s="238">
        <v>0</v>
      </c>
      <c r="N47" s="238">
        <v>0</v>
      </c>
      <c r="O47" s="238">
        <v>1</v>
      </c>
      <c r="P47" s="235" t="s">
        <v>171</v>
      </c>
      <c r="Q47" s="231"/>
      <c r="R47" s="231"/>
      <c r="S47" s="231"/>
      <c r="T47" s="231"/>
      <c r="U47" s="231"/>
      <c r="V47" s="231"/>
      <c r="W47" s="231"/>
      <c r="X47" s="231"/>
      <c r="Y47" s="231"/>
      <c r="Z47" s="231"/>
      <c r="AA47" s="238" t="s">
        <v>237</v>
      </c>
      <c r="AB47" s="231"/>
      <c r="AC47" s="231"/>
      <c r="AD47" s="231"/>
      <c r="AE47" s="231"/>
      <c r="AF47" s="231"/>
      <c r="AG47" s="231"/>
      <c r="AH47" s="231"/>
      <c r="AI47" s="238" t="s">
        <v>435</v>
      </c>
      <c r="AJ47" s="231"/>
    </row>
    <row r="48" spans="1:36" x14ac:dyDescent="0.3">
      <c r="A48" s="233" t="s">
        <v>94</v>
      </c>
      <c r="B48" s="234">
        <v>46005</v>
      </c>
      <c r="C48" s="235" t="s">
        <v>327</v>
      </c>
      <c r="D48" s="236" t="s">
        <v>414</v>
      </c>
      <c r="E48" s="235" t="s">
        <v>326</v>
      </c>
      <c r="F48" s="235" t="s">
        <v>96</v>
      </c>
      <c r="G48" s="237">
        <v>1.0166999999999999</v>
      </c>
      <c r="H48" s="238">
        <v>180</v>
      </c>
      <c r="I48" s="238">
        <v>183</v>
      </c>
      <c r="J48" s="238">
        <v>180</v>
      </c>
      <c r="K48" s="235" t="s">
        <v>97</v>
      </c>
      <c r="L48" s="239" t="s">
        <v>352</v>
      </c>
      <c r="M48" s="238">
        <v>0</v>
      </c>
      <c r="N48" s="238">
        <v>0</v>
      </c>
      <c r="O48" s="238">
        <v>1</v>
      </c>
      <c r="P48" s="235" t="s">
        <v>278</v>
      </c>
      <c r="Q48" s="231"/>
      <c r="R48" s="231"/>
      <c r="S48" s="231"/>
      <c r="T48" s="231"/>
      <c r="U48" s="231"/>
      <c r="V48" s="231"/>
      <c r="W48" s="231"/>
      <c r="X48" s="231"/>
      <c r="Y48" s="231"/>
      <c r="Z48" s="231"/>
      <c r="AA48" s="231"/>
      <c r="AB48" s="238" t="s">
        <v>298</v>
      </c>
      <c r="AC48" s="238" t="s">
        <v>61</v>
      </c>
      <c r="AD48" s="231"/>
      <c r="AE48" s="231"/>
      <c r="AF48" s="231"/>
      <c r="AG48" s="231"/>
      <c r="AH48" s="231"/>
      <c r="AI48" s="238" t="s">
        <v>375</v>
      </c>
      <c r="AJ48" s="231"/>
    </row>
    <row r="49" spans="1:36" x14ac:dyDescent="0.3">
      <c r="A49" s="233" t="s">
        <v>94</v>
      </c>
      <c r="B49" s="234">
        <v>46005</v>
      </c>
      <c r="C49" s="235" t="s">
        <v>329</v>
      </c>
      <c r="D49" s="236" t="s">
        <v>322</v>
      </c>
      <c r="E49" s="235" t="s">
        <v>326</v>
      </c>
      <c r="F49" s="235" t="s">
        <v>96</v>
      </c>
      <c r="G49" s="237">
        <v>0.5222</v>
      </c>
      <c r="H49" s="238">
        <v>180</v>
      </c>
      <c r="I49" s="238">
        <v>94</v>
      </c>
      <c r="J49" s="238">
        <v>90</v>
      </c>
      <c r="K49" s="235" t="s">
        <v>97</v>
      </c>
      <c r="L49" s="239" t="s">
        <v>32</v>
      </c>
      <c r="M49" s="238">
        <v>0</v>
      </c>
      <c r="N49" s="238">
        <v>1</v>
      </c>
      <c r="O49" s="238">
        <v>2</v>
      </c>
      <c r="P49" s="235" t="s">
        <v>171</v>
      </c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8" t="s">
        <v>59</v>
      </c>
      <c r="AB49" s="231"/>
      <c r="AC49" s="231"/>
      <c r="AD49" s="231"/>
      <c r="AE49" s="231"/>
      <c r="AF49" s="231"/>
      <c r="AG49" s="231"/>
      <c r="AH49" s="231"/>
      <c r="AI49" s="238" t="s">
        <v>419</v>
      </c>
      <c r="AJ49" s="231"/>
    </row>
    <row r="50" spans="1:36" x14ac:dyDescent="0.3">
      <c r="A50" s="233" t="s">
        <v>203</v>
      </c>
      <c r="B50" s="234">
        <v>46006</v>
      </c>
      <c r="C50" s="235" t="s">
        <v>327</v>
      </c>
      <c r="D50" s="236" t="s">
        <v>420</v>
      </c>
      <c r="E50" s="235" t="s">
        <v>326</v>
      </c>
      <c r="F50" s="235" t="s">
        <v>96</v>
      </c>
      <c r="G50" s="237">
        <v>0.4</v>
      </c>
      <c r="H50" s="238">
        <v>180</v>
      </c>
      <c r="I50" s="238">
        <v>72</v>
      </c>
      <c r="J50" s="238">
        <v>65</v>
      </c>
      <c r="K50" s="235" t="s">
        <v>97</v>
      </c>
      <c r="L50" s="239" t="s">
        <v>384</v>
      </c>
      <c r="M50" s="238">
        <v>0</v>
      </c>
      <c r="N50" s="238">
        <v>0</v>
      </c>
      <c r="O50" s="238">
        <v>7</v>
      </c>
      <c r="P50" s="235" t="s">
        <v>298</v>
      </c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8" t="s">
        <v>392</v>
      </c>
      <c r="AC50" s="238" t="s">
        <v>299</v>
      </c>
      <c r="AD50" s="231"/>
      <c r="AE50" s="231"/>
      <c r="AF50" s="231"/>
      <c r="AG50" s="238" t="s">
        <v>482</v>
      </c>
      <c r="AH50" s="231"/>
      <c r="AI50" s="238" t="s">
        <v>486</v>
      </c>
      <c r="AJ50" s="231"/>
    </row>
    <row r="51" spans="1:36" x14ac:dyDescent="0.3">
      <c r="A51" s="233" t="s">
        <v>203</v>
      </c>
      <c r="B51" s="234">
        <v>46006</v>
      </c>
      <c r="C51" s="235" t="s">
        <v>329</v>
      </c>
      <c r="D51" s="236" t="s">
        <v>487</v>
      </c>
      <c r="E51" s="235" t="s">
        <v>326</v>
      </c>
      <c r="F51" s="235" t="s">
        <v>96</v>
      </c>
      <c r="G51" s="237">
        <v>0.5111</v>
      </c>
      <c r="H51" s="238">
        <v>180</v>
      </c>
      <c r="I51" s="238">
        <v>92</v>
      </c>
      <c r="J51" s="238">
        <v>90</v>
      </c>
      <c r="K51" s="235" t="s">
        <v>97</v>
      </c>
      <c r="L51" s="239" t="s">
        <v>389</v>
      </c>
      <c r="M51" s="238">
        <v>0</v>
      </c>
      <c r="N51" s="238">
        <v>0</v>
      </c>
      <c r="O51" s="238">
        <v>0</v>
      </c>
      <c r="P51" s="235" t="s">
        <v>171</v>
      </c>
      <c r="Q51" s="231"/>
      <c r="R51" s="231"/>
      <c r="S51" s="231"/>
      <c r="T51" s="231"/>
      <c r="U51" s="231"/>
      <c r="V51" s="231"/>
      <c r="W51" s="231"/>
      <c r="X51" s="231"/>
      <c r="Y51" s="231"/>
      <c r="Z51" s="231"/>
      <c r="AA51" s="231"/>
      <c r="AB51" s="231"/>
      <c r="AC51" s="238" t="s">
        <v>61</v>
      </c>
      <c r="AD51" s="231"/>
      <c r="AE51" s="231"/>
      <c r="AF51" s="231"/>
      <c r="AG51" s="238" t="s">
        <v>441</v>
      </c>
      <c r="AH51" s="231"/>
      <c r="AI51" s="238" t="s">
        <v>435</v>
      </c>
      <c r="AJ51" s="231"/>
    </row>
    <row r="52" spans="1:36" x14ac:dyDescent="0.3">
      <c r="A52" s="233" t="s">
        <v>203</v>
      </c>
      <c r="B52" s="234">
        <v>46006</v>
      </c>
      <c r="C52" s="235" t="s">
        <v>335</v>
      </c>
      <c r="D52" s="236" t="s">
        <v>451</v>
      </c>
      <c r="E52" s="235" t="s">
        <v>326</v>
      </c>
      <c r="F52" s="235" t="s">
        <v>96</v>
      </c>
      <c r="G52" s="237">
        <v>0.28889999999999999</v>
      </c>
      <c r="H52" s="238">
        <v>180</v>
      </c>
      <c r="I52" s="238">
        <v>52</v>
      </c>
      <c r="J52" s="238">
        <v>45</v>
      </c>
      <c r="K52" s="235" t="s">
        <v>97</v>
      </c>
      <c r="L52" s="239" t="s">
        <v>253</v>
      </c>
      <c r="M52" s="238">
        <v>0</v>
      </c>
      <c r="N52" s="238">
        <v>0</v>
      </c>
      <c r="O52" s="238">
        <v>2</v>
      </c>
      <c r="P52" s="235" t="s">
        <v>152</v>
      </c>
      <c r="Q52" s="231"/>
      <c r="R52" s="231"/>
      <c r="S52" s="231"/>
      <c r="T52" s="231"/>
      <c r="U52" s="231"/>
      <c r="V52" s="231"/>
      <c r="W52" s="231"/>
      <c r="X52" s="231"/>
      <c r="Y52" s="231"/>
      <c r="Z52" s="231"/>
      <c r="AA52" s="238" t="s">
        <v>237</v>
      </c>
      <c r="AB52" s="231"/>
      <c r="AC52" s="238" t="s">
        <v>301</v>
      </c>
      <c r="AD52" s="231"/>
      <c r="AE52" s="231"/>
      <c r="AF52" s="231"/>
      <c r="AG52" s="231"/>
      <c r="AH52" s="231"/>
      <c r="AI52" s="238" t="s">
        <v>435</v>
      </c>
      <c r="AJ52" s="231"/>
    </row>
    <row r="53" spans="1:36" x14ac:dyDescent="0.3">
      <c r="A53" s="233" t="s">
        <v>109</v>
      </c>
      <c r="B53" s="234">
        <v>46007</v>
      </c>
      <c r="C53" s="235" t="s">
        <v>335</v>
      </c>
      <c r="D53" s="236" t="s">
        <v>432</v>
      </c>
      <c r="E53" s="235" t="s">
        <v>326</v>
      </c>
      <c r="F53" s="235" t="s">
        <v>96</v>
      </c>
      <c r="G53" s="237">
        <v>0.2944</v>
      </c>
      <c r="H53" s="238">
        <v>180</v>
      </c>
      <c r="I53" s="238">
        <v>53</v>
      </c>
      <c r="J53" s="238">
        <v>45</v>
      </c>
      <c r="K53" s="235" t="s">
        <v>97</v>
      </c>
      <c r="L53" s="239" t="s">
        <v>251</v>
      </c>
      <c r="M53" s="238">
        <v>0</v>
      </c>
      <c r="N53" s="238">
        <v>0</v>
      </c>
      <c r="O53" s="238">
        <v>1</v>
      </c>
      <c r="P53" s="235" t="s">
        <v>392</v>
      </c>
      <c r="Q53" s="231"/>
      <c r="R53" s="231"/>
      <c r="S53" s="231"/>
      <c r="T53" s="231"/>
      <c r="U53" s="231"/>
      <c r="V53" s="231"/>
      <c r="W53" s="231"/>
      <c r="X53" s="231"/>
      <c r="Y53" s="231"/>
      <c r="Z53" s="238" t="s">
        <v>236</v>
      </c>
      <c r="AA53" s="238" t="s">
        <v>181</v>
      </c>
      <c r="AB53" s="238" t="s">
        <v>298</v>
      </c>
      <c r="AC53" s="238" t="s">
        <v>299</v>
      </c>
      <c r="AD53" s="231"/>
      <c r="AE53" s="231"/>
      <c r="AF53" s="231"/>
      <c r="AG53" s="231"/>
      <c r="AH53" s="231"/>
      <c r="AI53" s="238" t="s">
        <v>435</v>
      </c>
      <c r="AJ53" s="231"/>
    </row>
    <row r="54" spans="1:36" x14ac:dyDescent="0.3">
      <c r="A54" s="233" t="s">
        <v>109</v>
      </c>
      <c r="B54" s="234">
        <v>46007</v>
      </c>
      <c r="C54" s="235" t="s">
        <v>329</v>
      </c>
      <c r="D54" s="236" t="s">
        <v>436</v>
      </c>
      <c r="E54" s="235" t="s">
        <v>326</v>
      </c>
      <c r="F54" s="235" t="s">
        <v>96</v>
      </c>
      <c r="G54" s="237">
        <v>0.53890000000000005</v>
      </c>
      <c r="H54" s="238">
        <v>180</v>
      </c>
      <c r="I54" s="238">
        <v>97</v>
      </c>
      <c r="J54" s="238">
        <v>90</v>
      </c>
      <c r="K54" s="235" t="s">
        <v>97</v>
      </c>
      <c r="L54" s="239" t="s">
        <v>253</v>
      </c>
      <c r="M54" s="238">
        <v>0</v>
      </c>
      <c r="N54" s="238">
        <v>0</v>
      </c>
      <c r="O54" s="238">
        <v>5</v>
      </c>
      <c r="P54" s="235" t="s">
        <v>298</v>
      </c>
      <c r="Q54" s="231"/>
      <c r="R54" s="231"/>
      <c r="S54" s="231"/>
      <c r="T54" s="231"/>
      <c r="U54" s="231"/>
      <c r="V54" s="231"/>
      <c r="W54" s="231"/>
      <c r="X54" s="231"/>
      <c r="Y54" s="231"/>
      <c r="Z54" s="231"/>
      <c r="AA54" s="231"/>
      <c r="AB54" s="238" t="s">
        <v>392</v>
      </c>
      <c r="AC54" s="238" t="s">
        <v>299</v>
      </c>
      <c r="AD54" s="231"/>
      <c r="AE54" s="231"/>
      <c r="AF54" s="231"/>
      <c r="AG54" s="231"/>
      <c r="AH54" s="231"/>
      <c r="AI54" s="238" t="s">
        <v>419</v>
      </c>
      <c r="AJ54" s="231"/>
    </row>
    <row r="55" spans="1:36" x14ac:dyDescent="0.3">
      <c r="A55" s="233" t="s">
        <v>120</v>
      </c>
      <c r="B55" s="234">
        <v>46008</v>
      </c>
      <c r="C55" s="235" t="s">
        <v>335</v>
      </c>
      <c r="D55" s="236" t="s">
        <v>440</v>
      </c>
      <c r="E55" s="235" t="s">
        <v>326</v>
      </c>
      <c r="F55" s="235" t="s">
        <v>96</v>
      </c>
      <c r="G55" s="237">
        <v>1.0056</v>
      </c>
      <c r="H55" s="238">
        <v>180</v>
      </c>
      <c r="I55" s="238">
        <v>181</v>
      </c>
      <c r="J55" s="238">
        <v>181</v>
      </c>
      <c r="K55" s="235" t="s">
        <v>97</v>
      </c>
      <c r="L55" s="239" t="s">
        <v>352</v>
      </c>
      <c r="M55" s="238">
        <v>0</v>
      </c>
      <c r="N55" s="238">
        <v>0</v>
      </c>
      <c r="O55" s="238">
        <v>1</v>
      </c>
      <c r="P55" s="235" t="s">
        <v>278</v>
      </c>
      <c r="Q55" s="231"/>
      <c r="R55" s="231"/>
      <c r="S55" s="231"/>
      <c r="T55" s="23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1"/>
      <c r="AG55" s="238" t="s">
        <v>488</v>
      </c>
      <c r="AH55" s="231"/>
      <c r="AI55" s="238" t="s">
        <v>489</v>
      </c>
      <c r="AJ55" s="231"/>
    </row>
    <row r="56" spans="1:36" x14ac:dyDescent="0.3">
      <c r="A56" s="233" t="s">
        <v>120</v>
      </c>
      <c r="B56" s="234">
        <v>46008</v>
      </c>
      <c r="C56" s="235" t="s">
        <v>327</v>
      </c>
      <c r="D56" s="236" t="s">
        <v>474</v>
      </c>
      <c r="E56" s="235" t="s">
        <v>326</v>
      </c>
      <c r="F56" s="235" t="s">
        <v>96</v>
      </c>
      <c r="G56" s="237">
        <v>0.7833</v>
      </c>
      <c r="H56" s="238">
        <v>180</v>
      </c>
      <c r="I56" s="238">
        <v>141</v>
      </c>
      <c r="J56" s="238">
        <v>135</v>
      </c>
      <c r="K56" s="235" t="s">
        <v>97</v>
      </c>
      <c r="L56" s="239" t="s">
        <v>32</v>
      </c>
      <c r="M56" s="238">
        <v>0</v>
      </c>
      <c r="N56" s="238">
        <v>2</v>
      </c>
      <c r="O56" s="238">
        <v>3</v>
      </c>
      <c r="P56" s="235" t="s">
        <v>301</v>
      </c>
      <c r="Q56" s="231"/>
      <c r="R56" s="231"/>
      <c r="S56" s="231"/>
      <c r="T56" s="231"/>
      <c r="U56" s="231"/>
      <c r="V56" s="231"/>
      <c r="W56" s="231"/>
      <c r="X56" s="231"/>
      <c r="Y56" s="231"/>
      <c r="Z56" s="231"/>
      <c r="AA56" s="238" t="s">
        <v>181</v>
      </c>
      <c r="AB56" s="238" t="s">
        <v>182</v>
      </c>
      <c r="AC56" s="238" t="s">
        <v>154</v>
      </c>
      <c r="AD56" s="231"/>
      <c r="AE56" s="231"/>
      <c r="AF56" s="231"/>
      <c r="AG56" s="231"/>
      <c r="AH56" s="231"/>
      <c r="AI56" s="238" t="s">
        <v>442</v>
      </c>
      <c r="AJ56" s="231"/>
    </row>
    <row r="57" spans="1:36" x14ac:dyDescent="0.3">
      <c r="A57" s="233" t="s">
        <v>120</v>
      </c>
      <c r="B57" s="234">
        <v>46008</v>
      </c>
      <c r="C57" s="235" t="s">
        <v>333</v>
      </c>
      <c r="D57" s="236" t="s">
        <v>446</v>
      </c>
      <c r="E57" s="235" t="s">
        <v>326</v>
      </c>
      <c r="F57" s="235" t="s">
        <v>96</v>
      </c>
      <c r="G57" s="237">
        <v>2.7799999999999998E-2</v>
      </c>
      <c r="H57" s="238">
        <v>180</v>
      </c>
      <c r="I57" s="238">
        <v>5</v>
      </c>
      <c r="J57" s="238">
        <v>0</v>
      </c>
      <c r="K57" s="235" t="s">
        <v>97</v>
      </c>
      <c r="L57" s="239" t="s">
        <v>352</v>
      </c>
      <c r="M57" s="238">
        <v>0</v>
      </c>
      <c r="N57" s="238">
        <v>0</v>
      </c>
      <c r="O57" s="238">
        <v>1</v>
      </c>
      <c r="P57" s="235" t="s">
        <v>116</v>
      </c>
      <c r="Q57" s="231"/>
      <c r="R57" s="231"/>
      <c r="S57" s="231"/>
      <c r="T57" s="231"/>
      <c r="U57" s="231"/>
      <c r="V57" s="231"/>
      <c r="W57" s="231"/>
      <c r="X57" s="231"/>
      <c r="Y57" s="231"/>
      <c r="Z57" s="231"/>
      <c r="AA57" s="238" t="s">
        <v>181</v>
      </c>
      <c r="AB57" s="231"/>
      <c r="AC57" s="238" t="s">
        <v>299</v>
      </c>
      <c r="AD57" s="231"/>
      <c r="AE57" s="231"/>
      <c r="AF57" s="231"/>
      <c r="AG57" s="231"/>
      <c r="AH57" s="231"/>
      <c r="AI57" s="231"/>
      <c r="AJ57" s="231"/>
    </row>
    <row r="58" spans="1:36" x14ac:dyDescent="0.3">
      <c r="A58" s="233" t="s">
        <v>449</v>
      </c>
      <c r="B58" s="234">
        <v>46009</v>
      </c>
      <c r="C58" s="235" t="s">
        <v>335</v>
      </c>
      <c r="D58" s="236" t="s">
        <v>479</v>
      </c>
      <c r="E58" s="235" t="s">
        <v>326</v>
      </c>
      <c r="F58" s="235" t="s">
        <v>96</v>
      </c>
      <c r="G58" s="237">
        <v>0.53890000000000005</v>
      </c>
      <c r="H58" s="238">
        <v>180</v>
      </c>
      <c r="I58" s="238">
        <v>97</v>
      </c>
      <c r="J58" s="238">
        <v>90</v>
      </c>
      <c r="K58" s="235" t="s">
        <v>97</v>
      </c>
      <c r="L58" s="239" t="s">
        <v>253</v>
      </c>
      <c r="M58" s="238">
        <v>0</v>
      </c>
      <c r="N58" s="238">
        <v>0</v>
      </c>
      <c r="O58" s="238">
        <v>3</v>
      </c>
      <c r="P58" s="235" t="s">
        <v>298</v>
      </c>
      <c r="Q58" s="231"/>
      <c r="R58" s="231"/>
      <c r="S58" s="231"/>
      <c r="T58" s="231"/>
      <c r="U58" s="231"/>
      <c r="V58" s="231"/>
      <c r="W58" s="231"/>
      <c r="X58" s="231"/>
      <c r="Y58" s="231"/>
      <c r="Z58" s="231"/>
      <c r="AA58" s="231"/>
      <c r="AB58" s="238" t="s">
        <v>392</v>
      </c>
      <c r="AC58" s="238" t="s">
        <v>299</v>
      </c>
      <c r="AD58" s="231"/>
      <c r="AE58" s="231"/>
      <c r="AF58" s="231"/>
      <c r="AG58" s="231"/>
      <c r="AH58" s="231"/>
      <c r="AI58" s="238" t="s">
        <v>419</v>
      </c>
      <c r="AJ58" s="231"/>
    </row>
    <row r="59" spans="1:36" x14ac:dyDescent="0.3">
      <c r="A59" s="233" t="s">
        <v>449</v>
      </c>
      <c r="B59" s="234">
        <v>46009</v>
      </c>
      <c r="C59" s="235" t="s">
        <v>329</v>
      </c>
      <c r="D59" s="236" t="s">
        <v>451</v>
      </c>
      <c r="E59" s="235" t="s">
        <v>326</v>
      </c>
      <c r="F59" s="235" t="s">
        <v>96</v>
      </c>
      <c r="G59" s="237">
        <v>0.55559999999999998</v>
      </c>
      <c r="H59" s="238">
        <v>180</v>
      </c>
      <c r="I59" s="238">
        <v>100</v>
      </c>
      <c r="J59" s="238">
        <v>90</v>
      </c>
      <c r="K59" s="235" t="s">
        <v>97</v>
      </c>
      <c r="L59" s="239" t="s">
        <v>32</v>
      </c>
      <c r="M59" s="238">
        <v>0</v>
      </c>
      <c r="N59" s="238">
        <v>2</v>
      </c>
      <c r="O59" s="238">
        <v>3</v>
      </c>
      <c r="P59" s="235" t="s">
        <v>301</v>
      </c>
      <c r="Q59" s="231"/>
      <c r="R59" s="231"/>
      <c r="S59" s="231"/>
      <c r="T59" s="231"/>
      <c r="U59" s="231"/>
      <c r="V59" s="231"/>
      <c r="W59" s="231"/>
      <c r="X59" s="231"/>
      <c r="Y59" s="231"/>
      <c r="Z59" s="231"/>
      <c r="AA59" s="238" t="s">
        <v>237</v>
      </c>
      <c r="AB59" s="238" t="s">
        <v>298</v>
      </c>
      <c r="AC59" s="238" t="s">
        <v>154</v>
      </c>
      <c r="AD59" s="231"/>
      <c r="AE59" s="231"/>
      <c r="AF59" s="231"/>
      <c r="AG59" s="231"/>
      <c r="AH59" s="231"/>
      <c r="AI59" s="238" t="s">
        <v>419</v>
      </c>
      <c r="AJ59" s="231"/>
    </row>
    <row r="60" spans="1:36" x14ac:dyDescent="0.3">
      <c r="A60" s="233" t="s">
        <v>214</v>
      </c>
      <c r="B60" s="234">
        <v>46010</v>
      </c>
      <c r="C60" s="235" t="s">
        <v>327</v>
      </c>
      <c r="D60" s="236" t="s">
        <v>455</v>
      </c>
      <c r="E60" s="235" t="s">
        <v>326</v>
      </c>
      <c r="F60" s="235" t="s">
        <v>96</v>
      </c>
      <c r="G60" s="237">
        <v>0.5333</v>
      </c>
      <c r="H60" s="238">
        <v>180</v>
      </c>
      <c r="I60" s="238">
        <v>96</v>
      </c>
      <c r="J60" s="238">
        <v>90</v>
      </c>
      <c r="K60" s="235" t="s">
        <v>97</v>
      </c>
      <c r="L60" s="239" t="s">
        <v>251</v>
      </c>
      <c r="M60" s="238">
        <v>0</v>
      </c>
      <c r="N60" s="238">
        <v>0</v>
      </c>
      <c r="O60" s="238">
        <v>1</v>
      </c>
      <c r="P60" s="235" t="s">
        <v>182</v>
      </c>
      <c r="Q60" s="231"/>
      <c r="R60" s="231"/>
      <c r="S60" s="231"/>
      <c r="T60" s="231"/>
      <c r="U60" s="231"/>
      <c r="V60" s="231"/>
      <c r="W60" s="231"/>
      <c r="X60" s="231"/>
      <c r="Y60" s="231"/>
      <c r="Z60" s="231"/>
      <c r="AA60" s="231"/>
      <c r="AB60" s="238" t="s">
        <v>182</v>
      </c>
      <c r="AC60" s="238" t="s">
        <v>299</v>
      </c>
      <c r="AD60" s="231"/>
      <c r="AE60" s="231"/>
      <c r="AF60" s="231"/>
      <c r="AG60" s="231"/>
      <c r="AH60" s="231"/>
      <c r="AI60" s="238" t="s">
        <v>419</v>
      </c>
      <c r="AJ60" s="231"/>
    </row>
    <row r="61" spans="1:36" x14ac:dyDescent="0.3">
      <c r="A61" s="233" t="s">
        <v>321</v>
      </c>
      <c r="B61" s="234">
        <v>46011</v>
      </c>
      <c r="C61" s="235" t="s">
        <v>335</v>
      </c>
      <c r="D61" s="236" t="s">
        <v>483</v>
      </c>
      <c r="E61" s="235" t="s">
        <v>326</v>
      </c>
      <c r="F61" s="235" t="s">
        <v>96</v>
      </c>
      <c r="G61" s="237">
        <v>0.2722</v>
      </c>
      <c r="H61" s="238">
        <v>180</v>
      </c>
      <c r="I61" s="238">
        <v>49</v>
      </c>
      <c r="J61" s="238">
        <v>45</v>
      </c>
      <c r="K61" s="235" t="s">
        <v>97</v>
      </c>
      <c r="L61" s="239" t="s">
        <v>389</v>
      </c>
      <c r="M61" s="238">
        <v>0</v>
      </c>
      <c r="N61" s="238">
        <v>0</v>
      </c>
      <c r="O61" s="238">
        <v>0</v>
      </c>
      <c r="P61" s="235" t="s">
        <v>116</v>
      </c>
      <c r="Q61" s="231"/>
      <c r="R61" s="231"/>
      <c r="S61" s="231"/>
      <c r="T61" s="231"/>
      <c r="U61" s="231"/>
      <c r="V61" s="231"/>
      <c r="W61" s="231"/>
      <c r="X61" s="231"/>
      <c r="Y61" s="231"/>
      <c r="Z61" s="231"/>
      <c r="AA61" s="231"/>
      <c r="AB61" s="231"/>
      <c r="AC61" s="238" t="s">
        <v>299</v>
      </c>
      <c r="AD61" s="231"/>
      <c r="AE61" s="231"/>
      <c r="AF61" s="231"/>
      <c r="AG61" s="231"/>
      <c r="AH61" s="231"/>
      <c r="AI61" s="238" t="s">
        <v>435</v>
      </c>
      <c r="AJ61" s="231"/>
    </row>
    <row r="62" spans="1:36" x14ac:dyDescent="0.3">
      <c r="A62" s="233" t="s">
        <v>321</v>
      </c>
      <c r="B62" s="234">
        <v>46011</v>
      </c>
      <c r="C62" s="235" t="s">
        <v>329</v>
      </c>
      <c r="D62" s="236" t="s">
        <v>436</v>
      </c>
      <c r="E62" s="235" t="s">
        <v>326</v>
      </c>
      <c r="F62" s="235" t="s">
        <v>96</v>
      </c>
      <c r="G62" s="237">
        <v>3.8899999999999997E-2</v>
      </c>
      <c r="H62" s="238">
        <v>180</v>
      </c>
      <c r="I62" s="238">
        <v>7</v>
      </c>
      <c r="J62" s="238">
        <v>0</v>
      </c>
      <c r="K62" s="235" t="s">
        <v>97</v>
      </c>
      <c r="L62" s="239" t="s">
        <v>255</v>
      </c>
      <c r="M62" s="238">
        <v>0</v>
      </c>
      <c r="N62" s="238">
        <v>0</v>
      </c>
      <c r="O62" s="238">
        <v>0</v>
      </c>
      <c r="P62" s="235" t="s">
        <v>392</v>
      </c>
      <c r="Q62" s="231"/>
      <c r="R62" s="231"/>
      <c r="S62" s="231"/>
      <c r="T62" s="231"/>
      <c r="U62" s="231"/>
      <c r="V62" s="231"/>
      <c r="W62" s="231"/>
      <c r="X62" s="231"/>
      <c r="Y62" s="231"/>
      <c r="Z62" s="231"/>
      <c r="AA62" s="238" t="s">
        <v>246</v>
      </c>
      <c r="AB62" s="238" t="s">
        <v>298</v>
      </c>
      <c r="AC62" s="238" t="s">
        <v>299</v>
      </c>
      <c r="AD62" s="231"/>
      <c r="AE62" s="231"/>
      <c r="AF62" s="231"/>
      <c r="AG62" s="231"/>
      <c r="AH62" s="231"/>
      <c r="AI62" s="231"/>
      <c r="AJ62" s="231"/>
    </row>
    <row r="63" spans="1:36" x14ac:dyDescent="0.3">
      <c r="A63" s="233" t="s">
        <v>94</v>
      </c>
      <c r="B63" s="234">
        <v>46012</v>
      </c>
      <c r="C63" s="235" t="s">
        <v>327</v>
      </c>
      <c r="D63" s="236" t="s">
        <v>414</v>
      </c>
      <c r="E63" s="235" t="s">
        <v>326</v>
      </c>
      <c r="F63" s="235" t="s">
        <v>96</v>
      </c>
      <c r="G63" s="237">
        <v>1.0056</v>
      </c>
      <c r="H63" s="238">
        <v>180</v>
      </c>
      <c r="I63" s="238">
        <v>181</v>
      </c>
      <c r="J63" s="238">
        <v>180</v>
      </c>
      <c r="K63" s="235" t="s">
        <v>97</v>
      </c>
      <c r="L63" s="239" t="s">
        <v>352</v>
      </c>
      <c r="M63" s="238">
        <v>0</v>
      </c>
      <c r="N63" s="238">
        <v>0</v>
      </c>
      <c r="O63" s="238">
        <v>2</v>
      </c>
      <c r="P63" s="235" t="s">
        <v>278</v>
      </c>
      <c r="Q63" s="231"/>
      <c r="R63" s="231"/>
      <c r="S63" s="231"/>
      <c r="T63" s="231"/>
      <c r="U63" s="231"/>
      <c r="V63" s="231"/>
      <c r="W63" s="231"/>
      <c r="X63" s="231"/>
      <c r="Y63" s="231"/>
      <c r="Z63" s="231"/>
      <c r="AA63" s="231"/>
      <c r="AB63" s="231"/>
      <c r="AC63" s="238" t="s">
        <v>301</v>
      </c>
      <c r="AD63" s="231"/>
      <c r="AE63" s="231"/>
      <c r="AF63" s="231"/>
      <c r="AG63" s="231"/>
      <c r="AH63" s="231"/>
      <c r="AI63" s="238" t="s">
        <v>375</v>
      </c>
      <c r="AJ63" s="231"/>
    </row>
    <row r="64" spans="1:36" x14ac:dyDescent="0.3">
      <c r="A64" s="233" t="s">
        <v>94</v>
      </c>
      <c r="B64" s="234">
        <v>46012</v>
      </c>
      <c r="C64" s="235" t="s">
        <v>329</v>
      </c>
      <c r="D64" s="236" t="s">
        <v>322</v>
      </c>
      <c r="E64" s="235" t="s">
        <v>326</v>
      </c>
      <c r="F64" s="235" t="s">
        <v>96</v>
      </c>
      <c r="G64" s="237">
        <v>0.5333</v>
      </c>
      <c r="H64" s="238">
        <v>180</v>
      </c>
      <c r="I64" s="238">
        <v>96</v>
      </c>
      <c r="J64" s="238">
        <v>90</v>
      </c>
      <c r="K64" s="235" t="s">
        <v>97</v>
      </c>
      <c r="L64" s="239" t="s">
        <v>32</v>
      </c>
      <c r="M64" s="238">
        <v>0</v>
      </c>
      <c r="N64" s="238">
        <v>1</v>
      </c>
      <c r="O64" s="238">
        <v>5</v>
      </c>
      <c r="P64" s="235" t="s">
        <v>392</v>
      </c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238" t="s">
        <v>181</v>
      </c>
      <c r="AB64" s="238" t="s">
        <v>298</v>
      </c>
      <c r="AC64" s="238" t="s">
        <v>299</v>
      </c>
      <c r="AD64" s="231"/>
      <c r="AE64" s="231"/>
      <c r="AF64" s="231"/>
      <c r="AG64" s="231"/>
      <c r="AH64" s="231"/>
      <c r="AI64" s="238" t="s">
        <v>419</v>
      </c>
      <c r="AJ64" s="231"/>
    </row>
    <row r="65" spans="1:36" x14ac:dyDescent="0.3">
      <c r="A65" s="233" t="s">
        <v>203</v>
      </c>
      <c r="B65" s="234">
        <v>46013</v>
      </c>
      <c r="C65" s="235" t="s">
        <v>327</v>
      </c>
      <c r="D65" s="236" t="s">
        <v>420</v>
      </c>
      <c r="E65" s="235" t="s">
        <v>326</v>
      </c>
      <c r="F65" s="235" t="s">
        <v>96</v>
      </c>
      <c r="G65" s="237">
        <v>0.25559999999999999</v>
      </c>
      <c r="H65" s="238">
        <v>180</v>
      </c>
      <c r="I65" s="238">
        <v>46</v>
      </c>
      <c r="J65" s="238">
        <v>45</v>
      </c>
      <c r="K65" s="235" t="s">
        <v>97</v>
      </c>
      <c r="L65" s="239" t="s">
        <v>352</v>
      </c>
      <c r="M65" s="238">
        <v>0</v>
      </c>
      <c r="N65" s="238">
        <v>0</v>
      </c>
      <c r="O65" s="238">
        <v>1</v>
      </c>
      <c r="P65" s="235" t="s">
        <v>154</v>
      </c>
      <c r="Q65" s="231"/>
      <c r="R65" s="231"/>
      <c r="S65" s="231"/>
      <c r="T65" s="231"/>
      <c r="U65" s="231"/>
      <c r="V65" s="231"/>
      <c r="W65" s="231"/>
      <c r="X65" s="231"/>
      <c r="Y65" s="231"/>
      <c r="Z65" s="231"/>
      <c r="AA65" s="231"/>
      <c r="AB65" s="231"/>
      <c r="AC65" s="238" t="s">
        <v>301</v>
      </c>
      <c r="AD65" s="231"/>
      <c r="AE65" s="231"/>
      <c r="AF65" s="231"/>
      <c r="AG65" s="231"/>
      <c r="AH65" s="231"/>
      <c r="AI65" s="238" t="s">
        <v>435</v>
      </c>
      <c r="AJ65" s="231"/>
    </row>
    <row r="66" spans="1:36" x14ac:dyDescent="0.3">
      <c r="A66" s="233" t="s">
        <v>203</v>
      </c>
      <c r="B66" s="234">
        <v>46013</v>
      </c>
      <c r="C66" s="235" t="s">
        <v>329</v>
      </c>
      <c r="D66" s="236" t="s">
        <v>487</v>
      </c>
      <c r="E66" s="235" t="s">
        <v>326</v>
      </c>
      <c r="F66" s="235" t="s">
        <v>96</v>
      </c>
      <c r="G66" s="237">
        <v>0.52780000000000005</v>
      </c>
      <c r="H66" s="238">
        <v>180</v>
      </c>
      <c r="I66" s="238">
        <v>95</v>
      </c>
      <c r="J66" s="238">
        <v>95</v>
      </c>
      <c r="K66" s="235" t="s">
        <v>97</v>
      </c>
      <c r="L66" s="239" t="s">
        <v>384</v>
      </c>
      <c r="M66" s="238">
        <v>0</v>
      </c>
      <c r="N66" s="238">
        <v>0</v>
      </c>
      <c r="O66" s="238">
        <v>2</v>
      </c>
      <c r="P66" s="235" t="s">
        <v>299</v>
      </c>
      <c r="Q66" s="231"/>
      <c r="R66" s="231"/>
      <c r="S66" s="231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8" t="s">
        <v>490</v>
      </c>
      <c r="AH66" s="231"/>
      <c r="AI66" s="238" t="s">
        <v>435</v>
      </c>
      <c r="AJ66" s="231"/>
    </row>
    <row r="67" spans="1:36" x14ac:dyDescent="0.3">
      <c r="A67" s="233" t="s">
        <v>203</v>
      </c>
      <c r="B67" s="234">
        <v>46013</v>
      </c>
      <c r="C67" s="235" t="s">
        <v>333</v>
      </c>
      <c r="D67" s="236" t="s">
        <v>425</v>
      </c>
      <c r="E67" s="235" t="s">
        <v>326</v>
      </c>
      <c r="F67" s="235" t="s">
        <v>96</v>
      </c>
      <c r="G67" s="237">
        <v>0.5222</v>
      </c>
      <c r="H67" s="238">
        <v>180</v>
      </c>
      <c r="I67" s="238">
        <v>94</v>
      </c>
      <c r="J67" s="238">
        <v>90</v>
      </c>
      <c r="K67" s="235" t="s">
        <v>97</v>
      </c>
      <c r="L67" s="239" t="s">
        <v>384</v>
      </c>
      <c r="M67" s="238">
        <v>0</v>
      </c>
      <c r="N67" s="238">
        <v>0</v>
      </c>
      <c r="O67" s="238">
        <v>1</v>
      </c>
      <c r="P67" s="235" t="s">
        <v>116</v>
      </c>
      <c r="Q67" s="231"/>
      <c r="R67" s="231"/>
      <c r="S67" s="231"/>
      <c r="T67" s="231"/>
      <c r="U67" s="231"/>
      <c r="V67" s="231"/>
      <c r="W67" s="231"/>
      <c r="X67" s="231"/>
      <c r="Y67" s="231"/>
      <c r="Z67" s="231"/>
      <c r="AA67" s="231"/>
      <c r="AB67" s="231"/>
      <c r="AC67" s="238" t="s">
        <v>299</v>
      </c>
      <c r="AD67" s="231"/>
      <c r="AE67" s="231"/>
      <c r="AF67" s="231"/>
      <c r="AG67" s="231"/>
      <c r="AH67" s="231"/>
      <c r="AI67" s="238" t="s">
        <v>419</v>
      </c>
      <c r="AJ67" s="231"/>
    </row>
    <row r="68" spans="1:36" x14ac:dyDescent="0.3">
      <c r="A68" s="233" t="s">
        <v>203</v>
      </c>
      <c r="B68" s="234">
        <v>46013</v>
      </c>
      <c r="C68" s="235" t="s">
        <v>335</v>
      </c>
      <c r="D68" s="236" t="s">
        <v>286</v>
      </c>
      <c r="E68" s="235" t="s">
        <v>326</v>
      </c>
      <c r="F68" s="235" t="s">
        <v>96</v>
      </c>
      <c r="G68" s="237">
        <v>0.76670000000000005</v>
      </c>
      <c r="H68" s="238">
        <v>180</v>
      </c>
      <c r="I68" s="238">
        <v>138</v>
      </c>
      <c r="J68" s="238">
        <v>135</v>
      </c>
      <c r="K68" s="235" t="s">
        <v>97</v>
      </c>
      <c r="L68" s="239" t="s">
        <v>253</v>
      </c>
      <c r="M68" s="238">
        <v>0</v>
      </c>
      <c r="N68" s="238">
        <v>0</v>
      </c>
      <c r="O68" s="238">
        <v>1</v>
      </c>
      <c r="P68" s="235" t="s">
        <v>61</v>
      </c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8" t="s">
        <v>181</v>
      </c>
      <c r="AB68" s="231"/>
      <c r="AC68" s="238" t="s">
        <v>61</v>
      </c>
      <c r="AD68" s="231"/>
      <c r="AE68" s="231"/>
      <c r="AF68" s="231"/>
      <c r="AG68" s="231"/>
      <c r="AH68" s="231"/>
      <c r="AI68" s="238" t="s">
        <v>442</v>
      </c>
      <c r="AJ68" s="231"/>
    </row>
    <row r="69" spans="1:36" x14ac:dyDescent="0.3">
      <c r="A69" s="233" t="s">
        <v>109</v>
      </c>
      <c r="B69" s="234">
        <v>46014</v>
      </c>
      <c r="C69" s="235" t="s">
        <v>335</v>
      </c>
      <c r="D69" s="236" t="s">
        <v>432</v>
      </c>
      <c r="E69" s="235" t="s">
        <v>326</v>
      </c>
      <c r="F69" s="235" t="s">
        <v>96</v>
      </c>
      <c r="G69" s="237">
        <v>1.0056</v>
      </c>
      <c r="H69" s="238">
        <v>180</v>
      </c>
      <c r="I69" s="238">
        <v>181</v>
      </c>
      <c r="J69" s="238">
        <v>180</v>
      </c>
      <c r="K69" s="235" t="s">
        <v>97</v>
      </c>
      <c r="L69" s="239" t="s">
        <v>371</v>
      </c>
      <c r="M69" s="238">
        <v>0</v>
      </c>
      <c r="N69" s="238">
        <v>0</v>
      </c>
      <c r="O69" s="238">
        <v>1</v>
      </c>
      <c r="P69" s="235" t="s">
        <v>278</v>
      </c>
      <c r="Q69" s="231"/>
      <c r="R69" s="231"/>
      <c r="S69" s="231"/>
      <c r="T69" s="231"/>
      <c r="U69" s="231"/>
      <c r="V69" s="231"/>
      <c r="W69" s="231"/>
      <c r="X69" s="231"/>
      <c r="Y69" s="231"/>
      <c r="Z69" s="231"/>
      <c r="AA69" s="231"/>
      <c r="AB69" s="231"/>
      <c r="AC69" s="238" t="s">
        <v>301</v>
      </c>
      <c r="AD69" s="231"/>
      <c r="AE69" s="231"/>
      <c r="AF69" s="231"/>
      <c r="AG69" s="231"/>
      <c r="AH69" s="231"/>
      <c r="AI69" s="238" t="s">
        <v>375</v>
      </c>
      <c r="AJ69" s="231"/>
    </row>
    <row r="70" spans="1:36" x14ac:dyDescent="0.3">
      <c r="A70" s="233" t="s">
        <v>109</v>
      </c>
      <c r="B70" s="234">
        <v>46014</v>
      </c>
      <c r="C70" s="235" t="s">
        <v>329</v>
      </c>
      <c r="D70" s="236" t="s">
        <v>436</v>
      </c>
      <c r="E70" s="235" t="s">
        <v>326</v>
      </c>
      <c r="F70" s="235" t="s">
        <v>96</v>
      </c>
      <c r="G70" s="237">
        <v>0.7722</v>
      </c>
      <c r="H70" s="238">
        <v>180</v>
      </c>
      <c r="I70" s="238">
        <v>139</v>
      </c>
      <c r="J70" s="238">
        <v>135</v>
      </c>
      <c r="K70" s="235" t="s">
        <v>97</v>
      </c>
      <c r="L70" s="239" t="s">
        <v>32</v>
      </c>
      <c r="M70" s="238">
        <v>0</v>
      </c>
      <c r="N70" s="238">
        <v>1</v>
      </c>
      <c r="O70" s="238">
        <v>1</v>
      </c>
      <c r="P70" s="235" t="s">
        <v>301</v>
      </c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8" t="s">
        <v>181</v>
      </c>
      <c r="AB70" s="231"/>
      <c r="AC70" s="238" t="s">
        <v>154</v>
      </c>
      <c r="AD70" s="231"/>
      <c r="AE70" s="231"/>
      <c r="AF70" s="231"/>
      <c r="AG70" s="231"/>
      <c r="AH70" s="231"/>
      <c r="AI70" s="238" t="s">
        <v>442</v>
      </c>
      <c r="AJ70" s="231"/>
    </row>
    <row r="71" spans="1:36" x14ac:dyDescent="0.3">
      <c r="A71" s="233" t="s">
        <v>120</v>
      </c>
      <c r="B71" s="234">
        <v>46015</v>
      </c>
      <c r="C71" s="235" t="s">
        <v>335</v>
      </c>
      <c r="D71" s="236" t="s">
        <v>440</v>
      </c>
      <c r="E71" s="235" t="s">
        <v>326</v>
      </c>
      <c r="F71" s="235" t="s">
        <v>96</v>
      </c>
      <c r="G71" s="237">
        <v>1.0056</v>
      </c>
      <c r="H71" s="238">
        <v>180</v>
      </c>
      <c r="I71" s="238">
        <v>181</v>
      </c>
      <c r="J71" s="238">
        <v>180</v>
      </c>
      <c r="K71" s="235" t="s">
        <v>97</v>
      </c>
      <c r="L71" s="239" t="s">
        <v>255</v>
      </c>
      <c r="M71" s="238">
        <v>0</v>
      </c>
      <c r="N71" s="238">
        <v>0</v>
      </c>
      <c r="O71" s="238">
        <v>0</v>
      </c>
      <c r="P71" s="235" t="s">
        <v>278</v>
      </c>
      <c r="Q71" s="231"/>
      <c r="R71" s="231"/>
      <c r="S71" s="231"/>
      <c r="T71" s="231"/>
      <c r="U71" s="231"/>
      <c r="V71" s="231"/>
      <c r="W71" s="231"/>
      <c r="X71" s="231"/>
      <c r="Y71" s="231"/>
      <c r="Z71" s="231"/>
      <c r="AA71" s="231"/>
      <c r="AB71" s="231"/>
      <c r="AC71" s="238" t="s">
        <v>301</v>
      </c>
      <c r="AD71" s="231"/>
      <c r="AE71" s="231"/>
      <c r="AF71" s="231"/>
      <c r="AG71" s="238" t="s">
        <v>441</v>
      </c>
      <c r="AH71" s="231"/>
      <c r="AI71" s="238" t="s">
        <v>442</v>
      </c>
      <c r="AJ71" s="231"/>
    </row>
    <row r="72" spans="1:36" x14ac:dyDescent="0.3">
      <c r="A72" s="233" t="s">
        <v>120</v>
      </c>
      <c r="B72" s="234">
        <v>46015</v>
      </c>
      <c r="C72" s="235" t="s">
        <v>327</v>
      </c>
      <c r="D72" s="236" t="s">
        <v>474</v>
      </c>
      <c r="E72" s="235" t="s">
        <v>326</v>
      </c>
      <c r="F72" s="235" t="s">
        <v>96</v>
      </c>
      <c r="G72" s="237">
        <v>0.99439999999999995</v>
      </c>
      <c r="H72" s="238">
        <v>180</v>
      </c>
      <c r="I72" s="238">
        <v>179</v>
      </c>
      <c r="J72" s="238">
        <v>175</v>
      </c>
      <c r="K72" s="235" t="s">
        <v>97</v>
      </c>
      <c r="L72" s="239" t="s">
        <v>371</v>
      </c>
      <c r="M72" s="238">
        <v>0</v>
      </c>
      <c r="N72" s="238">
        <v>0</v>
      </c>
      <c r="O72" s="238">
        <v>1</v>
      </c>
      <c r="P72" s="235" t="s">
        <v>298</v>
      </c>
      <c r="Q72" s="231"/>
      <c r="R72" s="231"/>
      <c r="S72" s="231"/>
      <c r="T72" s="231"/>
      <c r="U72" s="231"/>
      <c r="V72" s="231"/>
      <c r="W72" s="231"/>
      <c r="X72" s="231"/>
      <c r="Y72" s="231"/>
      <c r="Z72" s="231"/>
      <c r="AA72" s="231"/>
      <c r="AB72" s="231"/>
      <c r="AC72" s="238" t="s">
        <v>299</v>
      </c>
      <c r="AD72" s="231"/>
      <c r="AE72" s="231"/>
      <c r="AF72" s="231"/>
      <c r="AG72" s="231"/>
      <c r="AH72" s="231"/>
      <c r="AI72" s="238" t="s">
        <v>491</v>
      </c>
      <c r="AJ72" s="231"/>
    </row>
    <row r="73" spans="1:36" x14ac:dyDescent="0.3">
      <c r="A73" s="233" t="s">
        <v>120</v>
      </c>
      <c r="B73" s="234">
        <v>46015</v>
      </c>
      <c r="C73" s="235" t="s">
        <v>333</v>
      </c>
      <c r="D73" s="236" t="s">
        <v>446</v>
      </c>
      <c r="E73" s="235" t="s">
        <v>326</v>
      </c>
      <c r="F73" s="235" t="s">
        <v>96</v>
      </c>
      <c r="G73" s="237">
        <v>0.2944</v>
      </c>
      <c r="H73" s="238">
        <v>180</v>
      </c>
      <c r="I73" s="238">
        <v>53</v>
      </c>
      <c r="J73" s="238">
        <v>45</v>
      </c>
      <c r="K73" s="235" t="s">
        <v>97</v>
      </c>
      <c r="L73" s="239" t="s">
        <v>255</v>
      </c>
      <c r="M73" s="238">
        <v>0</v>
      </c>
      <c r="N73" s="238">
        <v>0</v>
      </c>
      <c r="O73" s="238">
        <v>0</v>
      </c>
      <c r="P73" s="235" t="s">
        <v>298</v>
      </c>
      <c r="Q73" s="231"/>
      <c r="R73" s="231"/>
      <c r="S73" s="231"/>
      <c r="T73" s="231"/>
      <c r="U73" s="231"/>
      <c r="V73" s="231"/>
      <c r="W73" s="231"/>
      <c r="X73" s="231"/>
      <c r="Y73" s="231"/>
      <c r="Z73" s="231"/>
      <c r="AA73" s="238" t="s">
        <v>181</v>
      </c>
      <c r="AB73" s="238" t="s">
        <v>392</v>
      </c>
      <c r="AC73" s="238" t="s">
        <v>299</v>
      </c>
      <c r="AD73" s="231"/>
      <c r="AE73" s="231"/>
      <c r="AF73" s="231"/>
      <c r="AG73" s="231"/>
      <c r="AH73" s="231"/>
      <c r="AI73" s="238" t="s">
        <v>435</v>
      </c>
      <c r="AJ73" s="231"/>
    </row>
    <row r="74" spans="1:36" x14ac:dyDescent="0.3">
      <c r="A74" s="233" t="s">
        <v>449</v>
      </c>
      <c r="B74" s="234">
        <v>46016</v>
      </c>
      <c r="C74" s="235" t="s">
        <v>335</v>
      </c>
      <c r="D74" s="236" t="s">
        <v>479</v>
      </c>
      <c r="E74" s="235" t="s">
        <v>326</v>
      </c>
      <c r="F74" s="235" t="s">
        <v>96</v>
      </c>
      <c r="G74" s="237">
        <v>0.91669999999999996</v>
      </c>
      <c r="H74" s="238">
        <v>180</v>
      </c>
      <c r="I74" s="238">
        <v>165</v>
      </c>
      <c r="J74" s="238">
        <v>160</v>
      </c>
      <c r="K74" s="235" t="s">
        <v>97</v>
      </c>
      <c r="L74" s="239" t="s">
        <v>251</v>
      </c>
      <c r="M74" s="238">
        <v>0</v>
      </c>
      <c r="N74" s="238">
        <v>0</v>
      </c>
      <c r="O74" s="238">
        <v>3</v>
      </c>
      <c r="P74" s="235" t="s">
        <v>392</v>
      </c>
      <c r="Q74" s="231"/>
      <c r="R74" s="231"/>
      <c r="S74" s="231"/>
      <c r="T74" s="231"/>
      <c r="U74" s="231"/>
      <c r="V74" s="231"/>
      <c r="W74" s="231"/>
      <c r="X74" s="231"/>
      <c r="Y74" s="231"/>
      <c r="Z74" s="231"/>
      <c r="AA74" s="231"/>
      <c r="AB74" s="238" t="s">
        <v>298</v>
      </c>
      <c r="AC74" s="238" t="s">
        <v>299</v>
      </c>
      <c r="AD74" s="231"/>
      <c r="AE74" s="231"/>
      <c r="AF74" s="231"/>
      <c r="AG74" s="238" t="s">
        <v>492</v>
      </c>
      <c r="AH74" s="231"/>
      <c r="AI74" s="238" t="s">
        <v>419</v>
      </c>
      <c r="AJ74" s="231"/>
    </row>
    <row r="75" spans="1:36" x14ac:dyDescent="0.3">
      <c r="A75" s="233" t="s">
        <v>449</v>
      </c>
      <c r="B75" s="234">
        <v>46016</v>
      </c>
      <c r="C75" s="235" t="s">
        <v>329</v>
      </c>
      <c r="D75" s="236" t="s">
        <v>451</v>
      </c>
      <c r="E75" s="235" t="s">
        <v>326</v>
      </c>
      <c r="F75" s="235" t="s">
        <v>96</v>
      </c>
      <c r="G75" s="237">
        <v>0.98329999999999995</v>
      </c>
      <c r="H75" s="238">
        <v>180</v>
      </c>
      <c r="I75" s="238">
        <v>177</v>
      </c>
      <c r="J75" s="238">
        <v>170</v>
      </c>
      <c r="K75" s="235" t="s">
        <v>97</v>
      </c>
      <c r="L75" s="239" t="s">
        <v>253</v>
      </c>
      <c r="M75" s="238">
        <v>0</v>
      </c>
      <c r="N75" s="238">
        <v>0</v>
      </c>
      <c r="O75" s="238">
        <v>2</v>
      </c>
      <c r="P75" s="235" t="s">
        <v>392</v>
      </c>
      <c r="Q75" s="231"/>
      <c r="R75" s="231"/>
      <c r="S75" s="231"/>
      <c r="T75" s="231"/>
      <c r="U75" s="231"/>
      <c r="V75" s="231"/>
      <c r="W75" s="231"/>
      <c r="X75" s="231"/>
      <c r="Y75" s="231"/>
      <c r="Z75" s="231"/>
      <c r="AA75" s="238" t="s">
        <v>246</v>
      </c>
      <c r="AB75" s="238" t="s">
        <v>298</v>
      </c>
      <c r="AC75" s="238" t="s">
        <v>299</v>
      </c>
      <c r="AD75" s="231"/>
      <c r="AE75" s="231"/>
      <c r="AF75" s="231"/>
      <c r="AG75" s="231"/>
      <c r="AH75" s="231"/>
      <c r="AI75" s="238" t="s">
        <v>493</v>
      </c>
      <c r="AJ75" s="231"/>
    </row>
    <row r="76" spans="1:36" x14ac:dyDescent="0.3">
      <c r="A76" s="233" t="s">
        <v>214</v>
      </c>
      <c r="B76" s="234">
        <v>46017</v>
      </c>
      <c r="C76" s="235" t="s">
        <v>327</v>
      </c>
      <c r="D76" s="236" t="s">
        <v>455</v>
      </c>
      <c r="E76" s="235" t="s">
        <v>326</v>
      </c>
      <c r="F76" s="235" t="s">
        <v>96</v>
      </c>
      <c r="G76" s="237">
        <v>4.4400000000000002E-2</v>
      </c>
      <c r="H76" s="238">
        <v>180</v>
      </c>
      <c r="I76" s="238">
        <v>8</v>
      </c>
      <c r="J76" s="238">
        <v>0</v>
      </c>
      <c r="K76" s="235" t="s">
        <v>97</v>
      </c>
      <c r="L76" s="239" t="s">
        <v>357</v>
      </c>
      <c r="M76" s="238">
        <v>0</v>
      </c>
      <c r="N76" s="238">
        <v>0</v>
      </c>
      <c r="O76" s="238">
        <v>0</v>
      </c>
      <c r="P76" s="235" t="s">
        <v>392</v>
      </c>
      <c r="Q76" s="231"/>
      <c r="R76" s="231"/>
      <c r="S76" s="231"/>
      <c r="T76" s="231"/>
      <c r="U76" s="231"/>
      <c r="V76" s="231"/>
      <c r="W76" s="231"/>
      <c r="X76" s="231"/>
      <c r="Y76" s="231"/>
      <c r="Z76" s="231"/>
      <c r="AA76" s="238" t="s">
        <v>179</v>
      </c>
      <c r="AB76" s="238" t="s">
        <v>298</v>
      </c>
      <c r="AC76" s="238" t="s">
        <v>299</v>
      </c>
      <c r="AD76" s="231"/>
      <c r="AE76" s="231"/>
      <c r="AF76" s="231"/>
      <c r="AG76" s="231"/>
      <c r="AH76" s="231"/>
      <c r="AI76" s="231"/>
      <c r="AJ76" s="231"/>
    </row>
    <row r="77" spans="1:36" ht="21" x14ac:dyDescent="0.3">
      <c r="A77" s="240" t="s">
        <v>522</v>
      </c>
      <c r="B77" s="241"/>
      <c r="C77" s="240">
        <f>SUBTOTAL(103,ATZ_JED_LF_LEGACY[Flt])</f>
        <v>75</v>
      </c>
      <c r="D77" s="240"/>
      <c r="E77" s="240">
        <f>SUBTOTAL(103,ATZ_JED_LF_LEGACY[Brd-Off])</f>
        <v>75</v>
      </c>
      <c r="F77" s="240"/>
      <c r="G77" s="242">
        <f>SUBTOTAL(101,ATZ_JED_LF_LEGACY[LF%])</f>
        <v>0.65636933333333314</v>
      </c>
      <c r="H77" s="243">
        <f>SUBTOTAL(109,ATZ_JED_LF_LEGACY[CAP])</f>
        <v>13500</v>
      </c>
      <c r="I77" s="243">
        <f>SUBTOTAL(109,ATZ_JED_LF_LEGACY[BKG(Y)])</f>
        <v>8861</v>
      </c>
      <c r="J77" s="243">
        <f>SUBTOTAL(109,ATZ_JED_LF_LEGACY[GRP(Y)])</f>
        <v>6833</v>
      </c>
      <c r="K77" s="240"/>
      <c r="L77" s="241"/>
      <c r="M77" s="243">
        <f>SUBTOTAL(109,ATZ_JED_LF_LEGACY[TO-DAY])</f>
        <v>2</v>
      </c>
      <c r="N77" s="243">
        <f>SUBTOTAL(109,ATZ_JED_LF_LEGACY[Y-DAY])</f>
        <v>172</v>
      </c>
      <c r="O77" s="243">
        <f>SUBTOTAL(109,ATZ_JED_LF_LEGACY[WEEKLY])</f>
        <v>1101</v>
      </c>
      <c r="P77" s="244"/>
      <c r="Q77" s="243">
        <f>SUBTOTAL(109,ATZ_JED_LF_LEGACY[Y])</f>
        <v>0</v>
      </c>
      <c r="R77" s="243">
        <f>SUBTOTAL(109,ATZ_JED_LF_LEGACY[B])</f>
        <v>0</v>
      </c>
      <c r="S77" s="243">
        <f>SUBTOTAL(109,ATZ_JED_LF_LEGACY[M])</f>
        <v>0</v>
      </c>
      <c r="T77" s="243">
        <f>SUBTOTAL(109,ATZ_JED_LF_LEGACY[H])</f>
        <v>0</v>
      </c>
      <c r="U77" s="243">
        <f>SUBTOTAL(109,ATZ_JED_LF_LEGACY[Q])</f>
        <v>0</v>
      </c>
      <c r="V77" s="243">
        <f>SUBTOTAL(109,ATZ_JED_LF_LEGACY[K])</f>
        <v>0</v>
      </c>
      <c r="W77" s="243">
        <f>SUBTOTAL(109,ATZ_JED_LF_LEGACY[V])</f>
        <v>0</v>
      </c>
      <c r="X77" s="243">
        <f>SUBTOTAL(109,ATZ_JED_LF_LEGACY[L])</f>
        <v>0</v>
      </c>
      <c r="Y77" s="243">
        <f>SUBTOTAL(109,ATZ_JED_LF_LEGACY[G])</f>
        <v>0</v>
      </c>
      <c r="Z77" s="243">
        <f>SUBTOTAL(109,ATZ_JED_LF_LEGACY[S])</f>
        <v>0</v>
      </c>
      <c r="AA77" s="243">
        <f>SUBTOTAL(109,ATZ_JED_LF_LEGACY[W])</f>
        <v>0</v>
      </c>
      <c r="AB77" s="243">
        <f>SUBTOTAL(109,ATZ_JED_LF_LEGACY[T])</f>
        <v>0</v>
      </c>
      <c r="AC77" s="243">
        <f>SUBTOTAL(109,ATZ_JED_LF_LEGACY[X])</f>
        <v>0</v>
      </c>
      <c r="AD77" s="243">
        <f>SUBTOTAL(109,ATZ_JED_LF_LEGACY[U])</f>
        <v>0</v>
      </c>
      <c r="AE77" s="243">
        <f>SUBTOTAL(109,ATZ_JED_LF_LEGACY[O])</f>
        <v>0</v>
      </c>
      <c r="AF77" s="243">
        <f>SUBTOTAL(109,ATZ_JED_LF_LEGACY[I])</f>
        <v>0</v>
      </c>
      <c r="AG77" s="243">
        <f>SUBTOTAL(109,ATZ_JED_LF_LEGACY[E])</f>
        <v>0</v>
      </c>
      <c r="AH77" s="243">
        <f>SUBTOTAL(109,ATZ_JED_LF_LEGACY[A])</f>
        <v>0</v>
      </c>
      <c r="AI77" s="243">
        <f>SUBTOTAL(109,ATZ_JED_LF_LEGACY[P])</f>
        <v>0</v>
      </c>
      <c r="AJ77" s="243">
        <f>SUBTOTAL(103,ATZ_JED_LF_LEGACY[N])</f>
        <v>1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N64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3.109375" bestFit="1" customWidth="1"/>
  </cols>
  <sheetData>
    <row r="1" spans="1:92" ht="28.8" customHeight="1" x14ac:dyDescent="0.3">
      <c r="A1" s="220" t="s">
        <v>0</v>
      </c>
      <c r="B1" s="219"/>
      <c r="C1" s="219"/>
      <c r="D1" s="219"/>
      <c r="E1" s="219"/>
      <c r="F1" s="1" t="s">
        <v>494</v>
      </c>
      <c r="G1" s="2" t="s">
        <v>2</v>
      </c>
      <c r="H1" s="218" t="s">
        <v>3</v>
      </c>
      <c r="I1" s="219"/>
      <c r="J1" s="219"/>
      <c r="K1" s="219"/>
      <c r="L1" s="219"/>
      <c r="M1" s="1" t="s">
        <v>4</v>
      </c>
      <c r="N1" s="227" t="s">
        <v>5</v>
      </c>
      <c r="O1" s="219"/>
      <c r="P1" s="219"/>
      <c r="Q1" s="219"/>
      <c r="R1" s="21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23" t="s">
        <v>6</v>
      </c>
      <c r="B2" s="219"/>
      <c r="C2" s="219"/>
      <c r="D2" s="219"/>
      <c r="E2" s="219"/>
      <c r="F2" s="219"/>
      <c r="G2" s="225">
        <v>45984.228751778159</v>
      </c>
      <c r="H2" s="219"/>
      <c r="I2" s="219"/>
      <c r="J2" s="219"/>
      <c r="K2" s="228">
        <v>45984.22875177877</v>
      </c>
      <c r="L2" s="219"/>
      <c r="M2" s="219"/>
      <c r="N2" s="219"/>
      <c r="O2" s="219"/>
      <c r="P2" s="219"/>
      <c r="Q2" s="219"/>
      <c r="R2" s="21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24" t="s">
        <v>7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26" t="s">
        <v>8</v>
      </c>
      <c r="B4" s="214"/>
      <c r="C4" s="214"/>
      <c r="D4" s="214"/>
      <c r="E4" s="214"/>
      <c r="F4" s="215"/>
      <c r="G4" s="4">
        <v>45985</v>
      </c>
      <c r="H4" s="222" t="s">
        <v>9</v>
      </c>
      <c r="I4" s="214"/>
      <c r="J4" s="214"/>
      <c r="K4" s="214"/>
      <c r="L4" s="214"/>
      <c r="M4" s="214"/>
      <c r="N4" s="214"/>
      <c r="O4" s="214"/>
      <c r="P4" s="214"/>
      <c r="Q4" s="214"/>
      <c r="R4" s="21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36" t="s">
        <v>28</v>
      </c>
      <c r="B6" s="36" t="s">
        <v>495</v>
      </c>
      <c r="C6" s="37">
        <v>0.64583333333333337</v>
      </c>
      <c r="D6" s="36" t="s">
        <v>30</v>
      </c>
      <c r="E6" s="38"/>
      <c r="F6" s="36" t="s">
        <v>31</v>
      </c>
      <c r="G6" s="217"/>
      <c r="H6" s="39" t="s">
        <v>495</v>
      </c>
      <c r="I6" s="40">
        <v>0.67220000000000002</v>
      </c>
      <c r="J6" s="41">
        <v>121</v>
      </c>
      <c r="K6" s="42" t="s">
        <v>32</v>
      </c>
      <c r="L6" s="41">
        <v>82</v>
      </c>
      <c r="M6" s="41">
        <v>0</v>
      </c>
      <c r="N6" s="41">
        <v>5</v>
      </c>
      <c r="O6" s="43" t="s">
        <v>116</v>
      </c>
      <c r="P6" s="44">
        <v>0.64583333333333337</v>
      </c>
      <c r="Q6" s="41">
        <v>180</v>
      </c>
      <c r="R6" s="45" t="s">
        <v>496</v>
      </c>
    </row>
    <row r="7" spans="1:92" ht="17.399999999999999" customHeight="1" thickBot="1" x14ac:dyDescent="0.35">
      <c r="A7" s="245"/>
      <c r="B7" s="246"/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7"/>
    </row>
    <row r="8" spans="1:92" ht="22.05" customHeight="1" thickTop="1" thickBot="1" x14ac:dyDescent="0.35">
      <c r="A8" s="213" t="s">
        <v>8</v>
      </c>
      <c r="B8" s="214"/>
      <c r="C8" s="214"/>
      <c r="D8" s="214"/>
      <c r="E8" s="214"/>
      <c r="F8" s="215"/>
      <c r="G8" s="18">
        <v>45987</v>
      </c>
      <c r="H8" s="216" t="s">
        <v>9</v>
      </c>
      <c r="I8" s="214"/>
      <c r="J8" s="214"/>
      <c r="K8" s="214"/>
      <c r="L8" s="214"/>
      <c r="M8" s="214"/>
      <c r="N8" s="214"/>
      <c r="O8" s="214"/>
      <c r="P8" s="214"/>
      <c r="Q8" s="214"/>
      <c r="R8" s="215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36" t="s">
        <v>28</v>
      </c>
      <c r="B10" s="36" t="s">
        <v>497</v>
      </c>
      <c r="C10" s="37">
        <v>0.46180555555555558</v>
      </c>
      <c r="D10" s="36" t="s">
        <v>30</v>
      </c>
      <c r="E10" s="38"/>
      <c r="F10" s="36" t="s">
        <v>31</v>
      </c>
      <c r="G10" s="221"/>
      <c r="H10" s="39" t="s">
        <v>497</v>
      </c>
      <c r="I10" s="40">
        <v>0.84440000000000004</v>
      </c>
      <c r="J10" s="41">
        <v>152</v>
      </c>
      <c r="K10" s="42" t="s">
        <v>32</v>
      </c>
      <c r="L10" s="41">
        <v>50</v>
      </c>
      <c r="M10" s="41">
        <v>0</v>
      </c>
      <c r="N10" s="41">
        <v>6</v>
      </c>
      <c r="O10" s="43" t="s">
        <v>171</v>
      </c>
      <c r="P10" s="44">
        <v>0.46180555555555558</v>
      </c>
      <c r="Q10" s="41">
        <v>180</v>
      </c>
      <c r="R10" s="45" t="s">
        <v>498</v>
      </c>
    </row>
    <row r="11" spans="1:92" ht="17.399999999999999" customHeight="1" thickBot="1" x14ac:dyDescent="0.35">
      <c r="A11" s="245"/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7"/>
    </row>
    <row r="12" spans="1:92" ht="22.05" customHeight="1" thickTop="1" thickBot="1" x14ac:dyDescent="0.35">
      <c r="A12" s="213" t="s">
        <v>8</v>
      </c>
      <c r="B12" s="214"/>
      <c r="C12" s="214"/>
      <c r="D12" s="214"/>
      <c r="E12" s="214"/>
      <c r="F12" s="215"/>
      <c r="G12" s="18">
        <v>45990</v>
      </c>
      <c r="H12" s="216" t="s">
        <v>9</v>
      </c>
      <c r="I12" s="214"/>
      <c r="J12" s="214"/>
      <c r="K12" s="214"/>
      <c r="L12" s="214"/>
      <c r="M12" s="214"/>
      <c r="N12" s="214"/>
      <c r="O12" s="214"/>
      <c r="P12" s="214"/>
      <c r="Q12" s="214"/>
      <c r="R12" s="215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58" t="s">
        <v>28</v>
      </c>
      <c r="B14" s="58" t="s">
        <v>495</v>
      </c>
      <c r="C14" s="59">
        <v>0.80208333333333337</v>
      </c>
      <c r="D14" s="58" t="s">
        <v>30</v>
      </c>
      <c r="E14" s="60"/>
      <c r="F14" s="58" t="s">
        <v>188</v>
      </c>
      <c r="G14" s="221"/>
      <c r="H14" s="61" t="s">
        <v>495</v>
      </c>
      <c r="I14" s="133">
        <v>0.86670000000000003</v>
      </c>
      <c r="J14" s="63">
        <v>156</v>
      </c>
      <c r="K14" s="64" t="s">
        <v>45</v>
      </c>
      <c r="L14" s="63">
        <v>20</v>
      </c>
      <c r="M14" s="63">
        <v>2</v>
      </c>
      <c r="N14" s="63">
        <v>3</v>
      </c>
      <c r="O14" s="65" t="s">
        <v>116</v>
      </c>
      <c r="P14" s="66">
        <v>0.80208333333333337</v>
      </c>
      <c r="Q14" s="63">
        <v>180</v>
      </c>
      <c r="R14" s="67" t="s">
        <v>499</v>
      </c>
    </row>
    <row r="15" spans="1:92" ht="17.399999999999999" customHeight="1" thickBot="1" x14ac:dyDescent="0.35">
      <c r="A15" s="245"/>
      <c r="B15" s="246"/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7"/>
    </row>
    <row r="16" spans="1:92" ht="22.05" customHeight="1" thickTop="1" thickBot="1" x14ac:dyDescent="0.35">
      <c r="A16" s="213" t="s">
        <v>8</v>
      </c>
      <c r="B16" s="214"/>
      <c r="C16" s="214"/>
      <c r="D16" s="214"/>
      <c r="E16" s="214"/>
      <c r="F16" s="215"/>
      <c r="G16" s="18">
        <v>45992</v>
      </c>
      <c r="H16" s="216" t="s">
        <v>9</v>
      </c>
      <c r="I16" s="214"/>
      <c r="J16" s="214"/>
      <c r="K16" s="214"/>
      <c r="L16" s="214"/>
      <c r="M16" s="214"/>
      <c r="N16" s="214"/>
      <c r="O16" s="214"/>
      <c r="P16" s="214"/>
      <c r="Q16" s="214"/>
      <c r="R16" s="215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46" t="s">
        <v>28</v>
      </c>
      <c r="B18" s="46" t="s">
        <v>495</v>
      </c>
      <c r="C18" s="47">
        <v>0.64583333333333337</v>
      </c>
      <c r="D18" s="46" t="s">
        <v>30</v>
      </c>
      <c r="E18" s="48"/>
      <c r="F18" s="46" t="s">
        <v>31</v>
      </c>
      <c r="G18" s="221"/>
      <c r="H18" s="49" t="s">
        <v>495</v>
      </c>
      <c r="I18" s="101">
        <v>0.33329999999999999</v>
      </c>
      <c r="J18" s="51">
        <v>60</v>
      </c>
      <c r="K18" s="52" t="s">
        <v>32</v>
      </c>
      <c r="L18" s="51">
        <v>38</v>
      </c>
      <c r="M18" s="51">
        <v>0</v>
      </c>
      <c r="N18" s="51">
        <v>12</v>
      </c>
      <c r="O18" s="53" t="s">
        <v>301</v>
      </c>
      <c r="P18" s="54">
        <v>0.64583333333333337</v>
      </c>
      <c r="Q18" s="51">
        <v>180</v>
      </c>
      <c r="R18" s="55" t="s">
        <v>500</v>
      </c>
    </row>
    <row r="19" spans="1:18" ht="17.399999999999999" customHeight="1" thickBot="1" x14ac:dyDescent="0.35">
      <c r="A19" s="245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7"/>
    </row>
    <row r="20" spans="1:18" ht="22.05" customHeight="1" thickTop="1" thickBot="1" x14ac:dyDescent="0.35">
      <c r="A20" s="213" t="s">
        <v>8</v>
      </c>
      <c r="B20" s="214"/>
      <c r="C20" s="214"/>
      <c r="D20" s="214"/>
      <c r="E20" s="214"/>
      <c r="F20" s="215"/>
      <c r="G20" s="18">
        <v>45994</v>
      </c>
      <c r="H20" s="216" t="s">
        <v>9</v>
      </c>
      <c r="I20" s="214"/>
      <c r="J20" s="214"/>
      <c r="K20" s="214"/>
      <c r="L20" s="214"/>
      <c r="M20" s="214"/>
      <c r="N20" s="214"/>
      <c r="O20" s="214"/>
      <c r="P20" s="214"/>
      <c r="Q20" s="214"/>
      <c r="R20" s="215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58" t="s">
        <v>28</v>
      </c>
      <c r="B22" s="58" t="s">
        <v>497</v>
      </c>
      <c r="C22" s="59">
        <v>0.46180555555555558</v>
      </c>
      <c r="D22" s="58" t="s">
        <v>30</v>
      </c>
      <c r="E22" s="60"/>
      <c r="F22" s="58" t="s">
        <v>31</v>
      </c>
      <c r="G22" s="221"/>
      <c r="H22" s="61" t="s">
        <v>497</v>
      </c>
      <c r="I22" s="62">
        <v>0.36670000000000003</v>
      </c>
      <c r="J22" s="63">
        <v>66</v>
      </c>
      <c r="K22" s="64" t="s">
        <v>32</v>
      </c>
      <c r="L22" s="63">
        <v>28</v>
      </c>
      <c r="M22" s="63">
        <v>0</v>
      </c>
      <c r="N22" s="63">
        <v>4</v>
      </c>
      <c r="O22" s="65" t="s">
        <v>313</v>
      </c>
      <c r="P22" s="66">
        <v>0.46180555555555558</v>
      </c>
      <c r="Q22" s="63">
        <v>180</v>
      </c>
      <c r="R22" s="67" t="s">
        <v>501</v>
      </c>
    </row>
    <row r="23" spans="1:18" ht="17.399999999999999" customHeight="1" thickBot="1" x14ac:dyDescent="0.35">
      <c r="A23" s="245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7"/>
    </row>
    <row r="24" spans="1:18" ht="22.05" customHeight="1" thickTop="1" thickBot="1" x14ac:dyDescent="0.35">
      <c r="A24" s="213" t="s">
        <v>8</v>
      </c>
      <c r="B24" s="214"/>
      <c r="C24" s="214"/>
      <c r="D24" s="214"/>
      <c r="E24" s="214"/>
      <c r="F24" s="215"/>
      <c r="G24" s="18">
        <v>45997</v>
      </c>
      <c r="H24" s="216" t="s">
        <v>9</v>
      </c>
      <c r="I24" s="214"/>
      <c r="J24" s="214"/>
      <c r="K24" s="214"/>
      <c r="L24" s="214"/>
      <c r="M24" s="214"/>
      <c r="N24" s="214"/>
      <c r="O24" s="214"/>
      <c r="P24" s="214"/>
      <c r="Q24" s="214"/>
      <c r="R24" s="215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91" t="s">
        <v>28</v>
      </c>
      <c r="B26" s="91" t="s">
        <v>495</v>
      </c>
      <c r="C26" s="92">
        <v>0.80208333333333337</v>
      </c>
      <c r="D26" s="91" t="s">
        <v>30</v>
      </c>
      <c r="E26" s="93"/>
      <c r="F26" s="91" t="s">
        <v>31</v>
      </c>
      <c r="G26" s="217"/>
      <c r="H26" s="94" t="s">
        <v>495</v>
      </c>
      <c r="I26" s="95">
        <v>0.43890000000000001</v>
      </c>
      <c r="J26" s="96">
        <v>79</v>
      </c>
      <c r="K26" s="97" t="s">
        <v>32</v>
      </c>
      <c r="L26" s="96">
        <v>19</v>
      </c>
      <c r="M26" s="96">
        <v>0</v>
      </c>
      <c r="N26" s="96">
        <v>8</v>
      </c>
      <c r="O26" s="98" t="s">
        <v>176</v>
      </c>
      <c r="P26" s="99">
        <v>0.80208333333333337</v>
      </c>
      <c r="Q26" s="96">
        <v>180</v>
      </c>
      <c r="R26" s="100" t="s">
        <v>502</v>
      </c>
    </row>
    <row r="27" spans="1:18" ht="17.399999999999999" customHeight="1" thickBot="1" x14ac:dyDescent="0.35">
      <c r="A27" s="245"/>
      <c r="B27" s="246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7"/>
    </row>
    <row r="28" spans="1:18" ht="22.05" customHeight="1" thickTop="1" thickBot="1" x14ac:dyDescent="0.35">
      <c r="A28" s="213" t="s">
        <v>8</v>
      </c>
      <c r="B28" s="214"/>
      <c r="C28" s="214"/>
      <c r="D28" s="214"/>
      <c r="E28" s="214"/>
      <c r="F28" s="215"/>
      <c r="G28" s="18">
        <v>45999</v>
      </c>
      <c r="H28" s="216" t="s">
        <v>9</v>
      </c>
      <c r="I28" s="214"/>
      <c r="J28" s="214"/>
      <c r="K28" s="214"/>
      <c r="L28" s="214"/>
      <c r="M28" s="214"/>
      <c r="N28" s="214"/>
      <c r="O28" s="214"/>
      <c r="P28" s="214"/>
      <c r="Q28" s="214"/>
      <c r="R28" s="215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78" t="s">
        <v>28</v>
      </c>
      <c r="B30" s="78" t="s">
        <v>495</v>
      </c>
      <c r="C30" s="79">
        <v>0.64583333333333337</v>
      </c>
      <c r="D30" s="78" t="s">
        <v>30</v>
      </c>
      <c r="E30" s="80"/>
      <c r="F30" s="78" t="s">
        <v>54</v>
      </c>
      <c r="G30" s="221"/>
      <c r="H30" s="81" t="s">
        <v>495</v>
      </c>
      <c r="I30" s="82">
        <v>0.1111</v>
      </c>
      <c r="J30" s="83">
        <v>20</v>
      </c>
      <c r="K30" s="84" t="s">
        <v>32</v>
      </c>
      <c r="L30" s="83">
        <v>13</v>
      </c>
      <c r="M30" s="83">
        <v>0</v>
      </c>
      <c r="N30" s="83">
        <v>1</v>
      </c>
      <c r="O30" s="85" t="s">
        <v>238</v>
      </c>
      <c r="P30" s="86">
        <v>0.64583333333333337</v>
      </c>
      <c r="Q30" s="83">
        <v>180</v>
      </c>
      <c r="R30" s="87" t="s">
        <v>503</v>
      </c>
    </row>
    <row r="31" spans="1:18" ht="17.399999999999999" customHeight="1" thickBot="1" x14ac:dyDescent="0.35">
      <c r="A31" s="245"/>
      <c r="B31" s="246"/>
      <c r="C31" s="246"/>
      <c r="D31" s="246"/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7"/>
    </row>
    <row r="32" spans="1:18" ht="22.05" customHeight="1" thickTop="1" thickBot="1" x14ac:dyDescent="0.35">
      <c r="A32" s="213" t="s">
        <v>8</v>
      </c>
      <c r="B32" s="214"/>
      <c r="C32" s="214"/>
      <c r="D32" s="214"/>
      <c r="E32" s="214"/>
      <c r="F32" s="215"/>
      <c r="G32" s="18">
        <v>46001</v>
      </c>
      <c r="H32" s="216" t="s">
        <v>9</v>
      </c>
      <c r="I32" s="214"/>
      <c r="J32" s="214"/>
      <c r="K32" s="214"/>
      <c r="L32" s="214"/>
      <c r="M32" s="214"/>
      <c r="N32" s="214"/>
      <c r="O32" s="214"/>
      <c r="P32" s="214"/>
      <c r="Q32" s="214"/>
      <c r="R32" s="215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46" t="s">
        <v>28</v>
      </c>
      <c r="B34" s="46" t="s">
        <v>497</v>
      </c>
      <c r="C34" s="47">
        <v>0.46180555555555558</v>
      </c>
      <c r="D34" s="46" t="s">
        <v>30</v>
      </c>
      <c r="E34" s="48"/>
      <c r="F34" s="46" t="s">
        <v>54</v>
      </c>
      <c r="G34" s="221"/>
      <c r="H34" s="49" t="s">
        <v>497</v>
      </c>
      <c r="I34" s="101">
        <v>0.1167</v>
      </c>
      <c r="J34" s="51">
        <v>21</v>
      </c>
      <c r="K34" s="52" t="s">
        <v>32</v>
      </c>
      <c r="L34" s="51">
        <v>7</v>
      </c>
      <c r="M34" s="51">
        <v>0</v>
      </c>
      <c r="N34" s="51">
        <v>5</v>
      </c>
      <c r="O34" s="53" t="s">
        <v>250</v>
      </c>
      <c r="P34" s="54">
        <v>0.46180555555555558</v>
      </c>
      <c r="Q34" s="51">
        <v>180</v>
      </c>
      <c r="R34" s="55" t="s">
        <v>504</v>
      </c>
    </row>
    <row r="35" spans="1:18" ht="17.399999999999999" customHeight="1" thickBot="1" x14ac:dyDescent="0.35">
      <c r="A35" s="245"/>
      <c r="B35" s="246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7"/>
    </row>
    <row r="36" spans="1:18" ht="22.05" customHeight="1" thickTop="1" thickBot="1" x14ac:dyDescent="0.35">
      <c r="A36" s="213" t="s">
        <v>8</v>
      </c>
      <c r="B36" s="214"/>
      <c r="C36" s="214"/>
      <c r="D36" s="214"/>
      <c r="E36" s="214"/>
      <c r="F36" s="215"/>
      <c r="G36" s="18">
        <v>46004</v>
      </c>
      <c r="H36" s="216" t="s">
        <v>9</v>
      </c>
      <c r="I36" s="214"/>
      <c r="J36" s="214"/>
      <c r="K36" s="214"/>
      <c r="L36" s="214"/>
      <c r="M36" s="214"/>
      <c r="N36" s="214"/>
      <c r="O36" s="214"/>
      <c r="P36" s="214"/>
      <c r="Q36" s="214"/>
      <c r="R36" s="215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68" t="s">
        <v>28</v>
      </c>
      <c r="B38" s="68" t="s">
        <v>495</v>
      </c>
      <c r="C38" s="69">
        <v>0.80208333333333337</v>
      </c>
      <c r="D38" s="68" t="s">
        <v>30</v>
      </c>
      <c r="E38" s="70"/>
      <c r="F38" s="68" t="s">
        <v>31</v>
      </c>
      <c r="G38" s="221"/>
      <c r="H38" s="71" t="s">
        <v>495</v>
      </c>
      <c r="I38" s="72">
        <v>0.5333</v>
      </c>
      <c r="J38" s="73">
        <v>96</v>
      </c>
      <c r="K38" s="74" t="s">
        <v>32</v>
      </c>
      <c r="L38" s="73">
        <v>5</v>
      </c>
      <c r="M38" s="73">
        <v>0</v>
      </c>
      <c r="N38" s="73">
        <v>2</v>
      </c>
      <c r="O38" s="75" t="s">
        <v>240</v>
      </c>
      <c r="P38" s="76">
        <v>0.80208333333333337</v>
      </c>
      <c r="Q38" s="73">
        <v>180</v>
      </c>
      <c r="R38" s="77" t="s">
        <v>505</v>
      </c>
    </row>
    <row r="39" spans="1:18" ht="17.399999999999999" customHeight="1" thickBot="1" x14ac:dyDescent="0.35">
      <c r="A39" s="245"/>
      <c r="B39" s="246"/>
      <c r="C39" s="246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7"/>
    </row>
    <row r="40" spans="1:18" ht="22.05" customHeight="1" thickTop="1" thickBot="1" x14ac:dyDescent="0.35">
      <c r="A40" s="213" t="s">
        <v>8</v>
      </c>
      <c r="B40" s="214"/>
      <c r="C40" s="214"/>
      <c r="D40" s="214"/>
      <c r="E40" s="214"/>
      <c r="F40" s="215"/>
      <c r="G40" s="18">
        <v>46006</v>
      </c>
      <c r="H40" s="216" t="s">
        <v>9</v>
      </c>
      <c r="I40" s="214"/>
      <c r="J40" s="214"/>
      <c r="K40" s="214"/>
      <c r="L40" s="214"/>
      <c r="M40" s="214"/>
      <c r="N40" s="214"/>
      <c r="O40" s="214"/>
      <c r="P40" s="214"/>
      <c r="Q40" s="214"/>
      <c r="R40" s="215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36" t="s">
        <v>28</v>
      </c>
      <c r="B42" s="36" t="s">
        <v>495</v>
      </c>
      <c r="C42" s="37">
        <v>0.64583333333333337</v>
      </c>
      <c r="D42" s="36" t="s">
        <v>30</v>
      </c>
      <c r="E42" s="38"/>
      <c r="F42" s="36" t="s">
        <v>277</v>
      </c>
      <c r="G42" s="221"/>
      <c r="H42" s="39" t="s">
        <v>495</v>
      </c>
      <c r="I42" s="56">
        <v>6.6699999999999995E-2</v>
      </c>
      <c r="J42" s="41">
        <v>12</v>
      </c>
      <c r="K42" s="42" t="s">
        <v>251</v>
      </c>
      <c r="L42" s="41">
        <v>4</v>
      </c>
      <c r="M42" s="41">
        <v>0</v>
      </c>
      <c r="N42" s="41">
        <v>0</v>
      </c>
      <c r="O42" s="43" t="s">
        <v>278</v>
      </c>
      <c r="P42" s="44">
        <v>0.64583333333333337</v>
      </c>
      <c r="Q42" s="41">
        <v>180</v>
      </c>
      <c r="R42" s="45" t="s">
        <v>444</v>
      </c>
    </row>
    <row r="43" spans="1:18" ht="17.399999999999999" customHeight="1" thickBot="1" x14ac:dyDescent="0.35">
      <c r="A43" s="245"/>
      <c r="B43" s="246"/>
      <c r="C43" s="246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7"/>
    </row>
    <row r="44" spans="1:18" ht="22.05" customHeight="1" thickTop="1" thickBot="1" x14ac:dyDescent="0.35">
      <c r="A44" s="213" t="s">
        <v>8</v>
      </c>
      <c r="B44" s="214"/>
      <c r="C44" s="214"/>
      <c r="D44" s="214"/>
      <c r="E44" s="214"/>
      <c r="F44" s="215"/>
      <c r="G44" s="18">
        <v>46008</v>
      </c>
      <c r="H44" s="216" t="s">
        <v>9</v>
      </c>
      <c r="I44" s="214"/>
      <c r="J44" s="214"/>
      <c r="K44" s="214"/>
      <c r="L44" s="214"/>
      <c r="M44" s="214"/>
      <c r="N44" s="214"/>
      <c r="O44" s="214"/>
      <c r="P44" s="214"/>
      <c r="Q44" s="214"/>
      <c r="R44" s="215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78" t="s">
        <v>28</v>
      </c>
      <c r="B46" s="78" t="s">
        <v>497</v>
      </c>
      <c r="C46" s="79">
        <v>0.46180555555555558</v>
      </c>
      <c r="D46" s="78" t="s">
        <v>30</v>
      </c>
      <c r="E46" s="80"/>
      <c r="F46" s="78" t="s">
        <v>54</v>
      </c>
      <c r="G46" s="221"/>
      <c r="H46" s="81" t="s">
        <v>497</v>
      </c>
      <c r="I46" s="82">
        <v>7.22E-2</v>
      </c>
      <c r="J46" s="83">
        <v>13</v>
      </c>
      <c r="K46" s="84" t="s">
        <v>251</v>
      </c>
      <c r="L46" s="83">
        <v>3</v>
      </c>
      <c r="M46" s="83">
        <v>0</v>
      </c>
      <c r="N46" s="83">
        <v>0</v>
      </c>
      <c r="O46" s="85" t="s">
        <v>506</v>
      </c>
      <c r="P46" s="86">
        <v>0.46180555555555558</v>
      </c>
      <c r="Q46" s="83">
        <v>180</v>
      </c>
      <c r="R46" s="87" t="s">
        <v>507</v>
      </c>
    </row>
    <row r="47" spans="1:18" ht="17.399999999999999" customHeight="1" thickBot="1" x14ac:dyDescent="0.35">
      <c r="A47" s="245"/>
      <c r="B47" s="246"/>
      <c r="C47" s="246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247"/>
    </row>
    <row r="48" spans="1:18" ht="22.05" customHeight="1" thickTop="1" thickBot="1" x14ac:dyDescent="0.35">
      <c r="A48" s="213" t="s">
        <v>8</v>
      </c>
      <c r="B48" s="214"/>
      <c r="C48" s="214"/>
      <c r="D48" s="214"/>
      <c r="E48" s="214"/>
      <c r="F48" s="215"/>
      <c r="G48" s="18">
        <v>46011</v>
      </c>
      <c r="H48" s="216" t="s">
        <v>9</v>
      </c>
      <c r="I48" s="214"/>
      <c r="J48" s="214"/>
      <c r="K48" s="214"/>
      <c r="L48" s="214"/>
      <c r="M48" s="214"/>
      <c r="N48" s="214"/>
      <c r="O48" s="214"/>
      <c r="P48" s="214"/>
      <c r="Q48" s="214"/>
      <c r="R48" s="215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26" t="s">
        <v>28</v>
      </c>
      <c r="B50" s="26" t="s">
        <v>495</v>
      </c>
      <c r="C50" s="27">
        <v>0.80208333333333337</v>
      </c>
      <c r="D50" s="26" t="s">
        <v>30</v>
      </c>
      <c r="E50" s="28"/>
      <c r="F50" s="26" t="s">
        <v>31</v>
      </c>
      <c r="G50" s="221"/>
      <c r="H50" s="29" t="s">
        <v>495</v>
      </c>
      <c r="I50" s="30">
        <v>0.80559999999999998</v>
      </c>
      <c r="J50" s="31">
        <v>145</v>
      </c>
      <c r="K50" s="32" t="s">
        <v>253</v>
      </c>
      <c r="L50" s="31">
        <v>2</v>
      </c>
      <c r="M50" s="31">
        <v>0</v>
      </c>
      <c r="N50" s="31">
        <v>0</v>
      </c>
      <c r="O50" s="33" t="s">
        <v>273</v>
      </c>
      <c r="P50" s="34">
        <v>0.80208333333333337</v>
      </c>
      <c r="Q50" s="31">
        <v>180</v>
      </c>
      <c r="R50" s="35" t="s">
        <v>508</v>
      </c>
    </row>
    <row r="51" spans="1:18" ht="17.399999999999999" customHeight="1" thickBot="1" x14ac:dyDescent="0.35">
      <c r="A51" s="245"/>
      <c r="B51" s="246"/>
      <c r="C51" s="246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7"/>
    </row>
    <row r="52" spans="1:18" ht="22.05" customHeight="1" thickTop="1" thickBot="1" x14ac:dyDescent="0.35">
      <c r="A52" s="213" t="s">
        <v>8</v>
      </c>
      <c r="B52" s="214"/>
      <c r="C52" s="214"/>
      <c r="D52" s="214"/>
      <c r="E52" s="214"/>
      <c r="F52" s="215"/>
      <c r="G52" s="18">
        <v>46013</v>
      </c>
      <c r="H52" s="216" t="s">
        <v>9</v>
      </c>
      <c r="I52" s="214"/>
      <c r="J52" s="214"/>
      <c r="K52" s="214"/>
      <c r="L52" s="214"/>
      <c r="M52" s="214"/>
      <c r="N52" s="214"/>
      <c r="O52" s="214"/>
      <c r="P52" s="214"/>
      <c r="Q52" s="214"/>
      <c r="R52" s="215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5">
      <c r="A54" s="91" t="s">
        <v>28</v>
      </c>
      <c r="B54" s="91" t="s">
        <v>495</v>
      </c>
      <c r="C54" s="92">
        <v>0.64583333333333337</v>
      </c>
      <c r="D54" s="91" t="s">
        <v>30</v>
      </c>
      <c r="E54" s="93"/>
      <c r="F54" s="91" t="s">
        <v>277</v>
      </c>
      <c r="G54" s="217"/>
      <c r="H54" s="94" t="s">
        <v>495</v>
      </c>
      <c r="I54" s="95">
        <v>0</v>
      </c>
      <c r="J54" s="96">
        <v>0</v>
      </c>
      <c r="K54" s="97" t="s">
        <v>266</v>
      </c>
      <c r="L54" s="96">
        <v>0</v>
      </c>
      <c r="M54" s="96">
        <v>0</v>
      </c>
      <c r="N54" s="96">
        <v>0</v>
      </c>
      <c r="O54" s="98" t="s">
        <v>278</v>
      </c>
      <c r="P54" s="99">
        <v>0.64583333333333337</v>
      </c>
      <c r="Q54" s="96">
        <v>180</v>
      </c>
      <c r="R54" s="100" t="s">
        <v>266</v>
      </c>
    </row>
    <row r="55" spans="1:18" ht="17.399999999999999" customHeight="1" thickBot="1" x14ac:dyDescent="0.35">
      <c r="A55" s="245"/>
      <c r="B55" s="246"/>
      <c r="C55" s="246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7"/>
    </row>
    <row r="56" spans="1:18" ht="22.05" customHeight="1" thickTop="1" thickBot="1" x14ac:dyDescent="0.35">
      <c r="A56" s="213" t="s">
        <v>8</v>
      </c>
      <c r="B56" s="214"/>
      <c r="C56" s="214"/>
      <c r="D56" s="214"/>
      <c r="E56" s="214"/>
      <c r="F56" s="215"/>
      <c r="G56" s="18">
        <v>46014</v>
      </c>
      <c r="H56" s="216" t="s">
        <v>9</v>
      </c>
      <c r="I56" s="214"/>
      <c r="J56" s="214"/>
      <c r="K56" s="214"/>
      <c r="L56" s="214"/>
      <c r="M56" s="214"/>
      <c r="N56" s="214"/>
      <c r="O56" s="214"/>
      <c r="P56" s="214"/>
      <c r="Q56" s="214"/>
      <c r="R56" s="215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35">
      <c r="A58" s="78" t="s">
        <v>28</v>
      </c>
      <c r="B58" s="78" t="s">
        <v>495</v>
      </c>
      <c r="C58" s="79">
        <v>0.125</v>
      </c>
      <c r="D58" s="78" t="s">
        <v>30</v>
      </c>
      <c r="E58" s="80"/>
      <c r="F58" s="78" t="s">
        <v>31</v>
      </c>
      <c r="G58" s="221"/>
      <c r="H58" s="81" t="s">
        <v>495</v>
      </c>
      <c r="I58" s="82">
        <v>0.5</v>
      </c>
      <c r="J58" s="83">
        <v>90</v>
      </c>
      <c r="K58" s="84" t="s">
        <v>253</v>
      </c>
      <c r="L58" s="83">
        <v>1</v>
      </c>
      <c r="M58" s="83">
        <v>0</v>
      </c>
      <c r="N58" s="83">
        <v>0</v>
      </c>
      <c r="O58" s="85" t="s">
        <v>250</v>
      </c>
      <c r="P58" s="86">
        <v>0.125</v>
      </c>
      <c r="Q58" s="83">
        <v>180</v>
      </c>
      <c r="R58" s="87" t="s">
        <v>419</v>
      </c>
    </row>
    <row r="59" spans="1:18" ht="17.399999999999999" customHeight="1" thickBot="1" x14ac:dyDescent="0.35">
      <c r="A59" s="245"/>
      <c r="B59" s="246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7"/>
    </row>
    <row r="60" spans="1:18" ht="22.05" customHeight="1" thickTop="1" thickBot="1" x14ac:dyDescent="0.35">
      <c r="A60" s="213" t="s">
        <v>8</v>
      </c>
      <c r="B60" s="214"/>
      <c r="C60" s="214"/>
      <c r="D60" s="214"/>
      <c r="E60" s="214"/>
      <c r="F60" s="215"/>
      <c r="G60" s="18">
        <v>46015</v>
      </c>
      <c r="H60" s="216" t="s">
        <v>9</v>
      </c>
      <c r="I60" s="214"/>
      <c r="J60" s="214"/>
      <c r="K60" s="214"/>
      <c r="L60" s="214"/>
      <c r="M60" s="214"/>
      <c r="N60" s="214"/>
      <c r="O60" s="214"/>
      <c r="P60" s="214"/>
      <c r="Q60" s="214"/>
      <c r="R60" s="215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5">
      <c r="A62" s="58" t="s">
        <v>28</v>
      </c>
      <c r="B62" s="58" t="s">
        <v>497</v>
      </c>
      <c r="C62" s="59">
        <v>0.46180555555555558</v>
      </c>
      <c r="D62" s="58" t="s">
        <v>30</v>
      </c>
      <c r="E62" s="60"/>
      <c r="F62" s="58" t="s">
        <v>31</v>
      </c>
      <c r="G62" s="217"/>
      <c r="H62" s="61" t="s">
        <v>497</v>
      </c>
      <c r="I62" s="62">
        <v>0.52780000000000005</v>
      </c>
      <c r="J62" s="63">
        <v>95</v>
      </c>
      <c r="K62" s="64" t="s">
        <v>352</v>
      </c>
      <c r="L62" s="63">
        <v>3</v>
      </c>
      <c r="M62" s="63">
        <v>0</v>
      </c>
      <c r="N62" s="63">
        <v>0</v>
      </c>
      <c r="O62" s="65" t="s">
        <v>250</v>
      </c>
      <c r="P62" s="66">
        <v>0.46180555555555558</v>
      </c>
      <c r="Q62" s="63">
        <v>180</v>
      </c>
      <c r="R62" s="67" t="s">
        <v>509</v>
      </c>
    </row>
    <row r="63" spans="1:18" ht="17.399999999999999" customHeight="1" thickBot="1" x14ac:dyDescent="0.35">
      <c r="A63" s="245"/>
      <c r="B63" s="246"/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7"/>
    </row>
    <row r="64" spans="1:18" ht="15" thickTop="1" x14ac:dyDescent="0.3"/>
  </sheetData>
  <mergeCells count="67">
    <mergeCell ref="A63:R63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G6"/>
    <mergeCell ref="G62"/>
    <mergeCell ref="G18"/>
    <mergeCell ref="A24:F24"/>
    <mergeCell ref="A39:R39"/>
    <mergeCell ref="A15:R15"/>
    <mergeCell ref="N1:R1"/>
    <mergeCell ref="H52:R52"/>
    <mergeCell ref="A52:F52"/>
    <mergeCell ref="A28:F28"/>
    <mergeCell ref="A43:R43"/>
    <mergeCell ref="A19:R19"/>
    <mergeCell ref="A44:F44"/>
    <mergeCell ref="H12:R12"/>
    <mergeCell ref="A36:F36"/>
    <mergeCell ref="G34"/>
    <mergeCell ref="A11:R11"/>
    <mergeCell ref="A51:R51"/>
    <mergeCell ref="H48:R48"/>
    <mergeCell ref="G30"/>
    <mergeCell ref="H24:R24"/>
    <mergeCell ref="G14"/>
    <mergeCell ref="A47:R47"/>
    <mergeCell ref="A32:F32"/>
    <mergeCell ref="A8:F8"/>
    <mergeCell ref="H60:R60"/>
    <mergeCell ref="G2:J2"/>
    <mergeCell ref="A4:F4"/>
    <mergeCell ref="A23:R23"/>
    <mergeCell ref="A20:F20"/>
    <mergeCell ref="H36:R36"/>
    <mergeCell ref="G42"/>
    <mergeCell ref="A35:R35"/>
    <mergeCell ref="A59:R59"/>
    <mergeCell ref="A60:F60"/>
    <mergeCell ref="G58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17"/>
  <sheetViews>
    <sheetView workbookViewId="0"/>
  </sheetViews>
  <sheetFormatPr defaultRowHeight="15.6" outlineLevelCol="1" x14ac:dyDescent="0.3"/>
  <cols>
    <col min="1" max="1" width="11.5546875" style="232" bestFit="1" customWidth="1"/>
    <col min="2" max="2" width="10.44140625" style="232" bestFit="1" customWidth="1"/>
    <col min="3" max="3" width="6.77734375" style="232" bestFit="1" customWidth="1"/>
    <col min="4" max="4" width="5.5546875" style="232" bestFit="1" customWidth="1"/>
    <col min="5" max="5" width="8.77734375" style="232" bestFit="1" customWidth="1"/>
    <col min="6" max="6" width="4.21875" style="232" bestFit="1" customWidth="1"/>
    <col min="7" max="7" width="10" style="232" bestFit="1" customWidth="1"/>
    <col min="8" max="9" width="8.5546875" style="232" bestFit="1" customWidth="1"/>
    <col min="10" max="10" width="7" style="232" bestFit="1" customWidth="1"/>
    <col min="11" max="11" width="10.5546875" style="232" bestFit="1" customWidth="1"/>
    <col min="12" max="12" width="18.109375" style="232" bestFit="1" customWidth="1"/>
    <col min="13" max="13" width="7.6640625" style="232" bestFit="1" customWidth="1" outlineLevel="1"/>
    <col min="14" max="14" width="6.33203125" style="232" bestFit="1" customWidth="1" outlineLevel="1"/>
    <col min="15" max="15" width="8" style="232" bestFit="1" customWidth="1" outlineLevel="1"/>
    <col min="16" max="16" width="13.6640625" style="232" bestFit="1" customWidth="1"/>
    <col min="17" max="26" width="3.88671875" style="232" bestFit="1" customWidth="1"/>
    <col min="27" max="27" width="4" style="232" bestFit="1" customWidth="1"/>
    <col min="28" max="29" width="4.21875" style="232" bestFit="1" customWidth="1"/>
    <col min="30" max="31" width="4.5546875" style="232" bestFit="1" customWidth="1"/>
    <col min="32" max="34" width="3.88671875" style="232" bestFit="1" customWidth="1"/>
    <col min="35" max="35" width="5.21875" style="232" bestFit="1" customWidth="1"/>
    <col min="36" max="36" width="3.88671875" style="232" bestFit="1" customWidth="1"/>
    <col min="37" max="16384" width="8.88671875" style="232"/>
  </cols>
  <sheetData>
    <row r="1" spans="1:36" x14ac:dyDescent="0.3">
      <c r="A1" s="231" t="s">
        <v>65</v>
      </c>
      <c r="B1" s="231" t="s">
        <v>66</v>
      </c>
      <c r="C1" s="231" t="s">
        <v>67</v>
      </c>
      <c r="D1" s="231" t="s">
        <v>25</v>
      </c>
      <c r="E1" s="231" t="s">
        <v>68</v>
      </c>
      <c r="F1" s="231" t="s">
        <v>69</v>
      </c>
      <c r="G1" s="231" t="s">
        <v>18</v>
      </c>
      <c r="H1" s="231" t="s">
        <v>70</v>
      </c>
      <c r="I1" s="231" t="s">
        <v>71</v>
      </c>
      <c r="J1" s="231" t="s">
        <v>72</v>
      </c>
      <c r="K1" s="231" t="s">
        <v>73</v>
      </c>
      <c r="L1" s="231" t="s">
        <v>20</v>
      </c>
      <c r="M1" s="231" t="s">
        <v>22</v>
      </c>
      <c r="N1" s="231" t="s">
        <v>23</v>
      </c>
      <c r="O1" s="231" t="s">
        <v>21</v>
      </c>
      <c r="P1" s="231" t="s">
        <v>24</v>
      </c>
      <c r="Q1" s="231" t="s">
        <v>74</v>
      </c>
      <c r="R1" s="231" t="s">
        <v>75</v>
      </c>
      <c r="S1" s="231" t="s">
        <v>76</v>
      </c>
      <c r="T1" s="231" t="s">
        <v>77</v>
      </c>
      <c r="U1" s="231" t="s">
        <v>78</v>
      </c>
      <c r="V1" s="231" t="s">
        <v>79</v>
      </c>
      <c r="W1" s="231" t="s">
        <v>80</v>
      </c>
      <c r="X1" s="231" t="s">
        <v>81</v>
      </c>
      <c r="Y1" s="231" t="s">
        <v>82</v>
      </c>
      <c r="Z1" s="231" t="s">
        <v>83</v>
      </c>
      <c r="AA1" s="231" t="s">
        <v>84</v>
      </c>
      <c r="AB1" s="231" t="s">
        <v>85</v>
      </c>
      <c r="AC1" s="231" t="s">
        <v>86</v>
      </c>
      <c r="AD1" s="231" t="s">
        <v>87</v>
      </c>
      <c r="AE1" s="231" t="s">
        <v>88</v>
      </c>
      <c r="AF1" s="231" t="s">
        <v>89</v>
      </c>
      <c r="AG1" s="231" t="s">
        <v>90</v>
      </c>
      <c r="AH1" s="231" t="s">
        <v>91</v>
      </c>
      <c r="AI1" s="231" t="s">
        <v>92</v>
      </c>
      <c r="AJ1" s="231" t="s">
        <v>93</v>
      </c>
    </row>
    <row r="2" spans="1:36" x14ac:dyDescent="0.3">
      <c r="A2" s="233" t="s">
        <v>203</v>
      </c>
      <c r="B2" s="234">
        <v>45985</v>
      </c>
      <c r="C2" s="235" t="s">
        <v>495</v>
      </c>
      <c r="D2" s="236" t="s">
        <v>510</v>
      </c>
      <c r="E2" s="235" t="s">
        <v>494</v>
      </c>
      <c r="F2" s="235" t="s">
        <v>96</v>
      </c>
      <c r="G2" s="237">
        <v>0.67220000000000002</v>
      </c>
      <c r="H2" s="238">
        <v>180</v>
      </c>
      <c r="I2" s="238">
        <v>121</v>
      </c>
      <c r="J2" s="238">
        <v>50</v>
      </c>
      <c r="K2" s="235" t="s">
        <v>97</v>
      </c>
      <c r="L2" s="239" t="s">
        <v>32</v>
      </c>
      <c r="M2" s="238">
        <v>0</v>
      </c>
      <c r="N2" s="238">
        <v>5</v>
      </c>
      <c r="O2" s="238">
        <v>82</v>
      </c>
      <c r="P2" s="235" t="s">
        <v>116</v>
      </c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8" t="s">
        <v>324</v>
      </c>
      <c r="AC2" s="238" t="s">
        <v>224</v>
      </c>
      <c r="AD2" s="238" t="s">
        <v>149</v>
      </c>
      <c r="AE2" s="238" t="s">
        <v>511</v>
      </c>
      <c r="AF2" s="238" t="s">
        <v>320</v>
      </c>
      <c r="AG2" s="231"/>
      <c r="AH2" s="231"/>
      <c r="AI2" s="238" t="s">
        <v>439</v>
      </c>
      <c r="AJ2" s="231"/>
    </row>
    <row r="3" spans="1:36" x14ac:dyDescent="0.3">
      <c r="A3" s="233" t="s">
        <v>120</v>
      </c>
      <c r="B3" s="234">
        <v>45987</v>
      </c>
      <c r="C3" s="235" t="s">
        <v>497</v>
      </c>
      <c r="D3" s="236" t="s">
        <v>512</v>
      </c>
      <c r="E3" s="235" t="s">
        <v>494</v>
      </c>
      <c r="F3" s="235" t="s">
        <v>96</v>
      </c>
      <c r="G3" s="237">
        <v>0.84440000000000004</v>
      </c>
      <c r="H3" s="238">
        <v>180</v>
      </c>
      <c r="I3" s="238">
        <v>152</v>
      </c>
      <c r="J3" s="238">
        <v>50</v>
      </c>
      <c r="K3" s="235" t="s">
        <v>97</v>
      </c>
      <c r="L3" s="239" t="s">
        <v>32</v>
      </c>
      <c r="M3" s="238">
        <v>0</v>
      </c>
      <c r="N3" s="238">
        <v>6</v>
      </c>
      <c r="O3" s="238">
        <v>50</v>
      </c>
      <c r="P3" s="235" t="s">
        <v>171</v>
      </c>
      <c r="Q3" s="231"/>
      <c r="R3" s="231"/>
      <c r="S3" s="231"/>
      <c r="T3" s="231"/>
      <c r="U3" s="231"/>
      <c r="V3" s="231"/>
      <c r="W3" s="231"/>
      <c r="X3" s="231"/>
      <c r="Y3" s="231"/>
      <c r="Z3" s="238" t="s">
        <v>136</v>
      </c>
      <c r="AA3" s="238" t="s">
        <v>181</v>
      </c>
      <c r="AB3" s="238" t="s">
        <v>513</v>
      </c>
      <c r="AC3" s="238" t="s">
        <v>129</v>
      </c>
      <c r="AD3" s="238" t="s">
        <v>294</v>
      </c>
      <c r="AE3" s="238" t="s">
        <v>422</v>
      </c>
      <c r="AF3" s="238" t="s">
        <v>514</v>
      </c>
      <c r="AG3" s="231"/>
      <c r="AH3" s="231"/>
      <c r="AI3" s="238" t="s">
        <v>439</v>
      </c>
      <c r="AJ3" s="231"/>
    </row>
    <row r="4" spans="1:36" x14ac:dyDescent="0.3">
      <c r="A4" s="233" t="s">
        <v>321</v>
      </c>
      <c r="B4" s="234">
        <v>45990</v>
      </c>
      <c r="C4" s="235" t="s">
        <v>495</v>
      </c>
      <c r="D4" s="236" t="s">
        <v>515</v>
      </c>
      <c r="E4" s="235" t="s">
        <v>494</v>
      </c>
      <c r="F4" s="235" t="s">
        <v>96</v>
      </c>
      <c r="G4" s="237">
        <v>0.86670000000000003</v>
      </c>
      <c r="H4" s="238">
        <v>180</v>
      </c>
      <c r="I4" s="238">
        <v>156</v>
      </c>
      <c r="J4" s="238">
        <v>97</v>
      </c>
      <c r="K4" s="235" t="s">
        <v>97</v>
      </c>
      <c r="L4" s="239" t="s">
        <v>45</v>
      </c>
      <c r="M4" s="238">
        <v>2</v>
      </c>
      <c r="N4" s="238">
        <v>3</v>
      </c>
      <c r="O4" s="238">
        <v>20</v>
      </c>
      <c r="P4" s="235" t="s">
        <v>116</v>
      </c>
      <c r="Q4" s="238" t="s">
        <v>122</v>
      </c>
      <c r="R4" s="231"/>
      <c r="S4" s="231"/>
      <c r="T4" s="231"/>
      <c r="U4" s="231"/>
      <c r="V4" s="231"/>
      <c r="W4" s="231"/>
      <c r="X4" s="231"/>
      <c r="Y4" s="231"/>
      <c r="Z4" s="238" t="s">
        <v>136</v>
      </c>
      <c r="AA4" s="238" t="s">
        <v>181</v>
      </c>
      <c r="AB4" s="238" t="s">
        <v>513</v>
      </c>
      <c r="AC4" s="238" t="s">
        <v>516</v>
      </c>
      <c r="AD4" s="238" t="s">
        <v>225</v>
      </c>
      <c r="AE4" s="238" t="s">
        <v>166</v>
      </c>
      <c r="AF4" s="238" t="s">
        <v>250</v>
      </c>
      <c r="AG4" s="231"/>
      <c r="AH4" s="231"/>
      <c r="AI4" s="238" t="s">
        <v>517</v>
      </c>
      <c r="AJ4" s="231"/>
    </row>
    <row r="5" spans="1:36" x14ac:dyDescent="0.3">
      <c r="A5" s="233" t="s">
        <v>203</v>
      </c>
      <c r="B5" s="234">
        <v>45992</v>
      </c>
      <c r="C5" s="235" t="s">
        <v>495</v>
      </c>
      <c r="D5" s="236" t="s">
        <v>510</v>
      </c>
      <c r="E5" s="235" t="s">
        <v>494</v>
      </c>
      <c r="F5" s="235" t="s">
        <v>96</v>
      </c>
      <c r="G5" s="237">
        <v>0.33329999999999999</v>
      </c>
      <c r="H5" s="238">
        <v>180</v>
      </c>
      <c r="I5" s="238">
        <v>60</v>
      </c>
      <c r="J5" s="238">
        <v>0</v>
      </c>
      <c r="K5" s="235" t="s">
        <v>97</v>
      </c>
      <c r="L5" s="239" t="s">
        <v>32</v>
      </c>
      <c r="M5" s="238">
        <v>0</v>
      </c>
      <c r="N5" s="238">
        <v>12</v>
      </c>
      <c r="O5" s="238">
        <v>38</v>
      </c>
      <c r="P5" s="235" t="s">
        <v>301</v>
      </c>
      <c r="Q5" s="231"/>
      <c r="R5" s="231"/>
      <c r="S5" s="231"/>
      <c r="T5" s="231"/>
      <c r="U5" s="231"/>
      <c r="V5" s="231"/>
      <c r="W5" s="231"/>
      <c r="X5" s="231"/>
      <c r="Y5" s="231"/>
      <c r="Z5" s="238" t="s">
        <v>136</v>
      </c>
      <c r="AA5" s="231"/>
      <c r="AB5" s="238" t="s">
        <v>298</v>
      </c>
      <c r="AC5" s="238" t="s">
        <v>148</v>
      </c>
      <c r="AD5" s="238" t="s">
        <v>468</v>
      </c>
      <c r="AE5" s="238" t="s">
        <v>319</v>
      </c>
      <c r="AF5" s="238" t="s">
        <v>447</v>
      </c>
      <c r="AG5" s="231"/>
      <c r="AH5" s="231"/>
      <c r="AI5" s="231"/>
      <c r="AJ5" s="231"/>
    </row>
    <row r="6" spans="1:36" x14ac:dyDescent="0.3">
      <c r="A6" s="233" t="s">
        <v>120</v>
      </c>
      <c r="B6" s="234">
        <v>45994</v>
      </c>
      <c r="C6" s="235" t="s">
        <v>497</v>
      </c>
      <c r="D6" s="236" t="s">
        <v>512</v>
      </c>
      <c r="E6" s="235" t="s">
        <v>494</v>
      </c>
      <c r="F6" s="235" t="s">
        <v>96</v>
      </c>
      <c r="G6" s="237">
        <v>0.36670000000000003</v>
      </c>
      <c r="H6" s="238">
        <v>180</v>
      </c>
      <c r="I6" s="238">
        <v>66</v>
      </c>
      <c r="J6" s="238">
        <v>0</v>
      </c>
      <c r="K6" s="235" t="s">
        <v>97</v>
      </c>
      <c r="L6" s="239" t="s">
        <v>32</v>
      </c>
      <c r="M6" s="238">
        <v>0</v>
      </c>
      <c r="N6" s="238">
        <v>4</v>
      </c>
      <c r="O6" s="238">
        <v>28</v>
      </c>
      <c r="P6" s="235" t="s">
        <v>313</v>
      </c>
      <c r="Q6" s="231"/>
      <c r="R6" s="231"/>
      <c r="S6" s="231"/>
      <c r="T6" s="231"/>
      <c r="U6" s="231"/>
      <c r="V6" s="231"/>
      <c r="W6" s="231"/>
      <c r="X6" s="231"/>
      <c r="Y6" s="231"/>
      <c r="Z6" s="238" t="s">
        <v>177</v>
      </c>
      <c r="AA6" s="238" t="s">
        <v>59</v>
      </c>
      <c r="AB6" s="238" t="s">
        <v>298</v>
      </c>
      <c r="AC6" s="238" t="s">
        <v>180</v>
      </c>
      <c r="AD6" s="238" t="s">
        <v>477</v>
      </c>
      <c r="AE6" s="238" t="s">
        <v>518</v>
      </c>
      <c r="AF6" s="238" t="s">
        <v>519</v>
      </c>
      <c r="AG6" s="231"/>
      <c r="AH6" s="231"/>
      <c r="AI6" s="231"/>
      <c r="AJ6" s="231"/>
    </row>
    <row r="7" spans="1:36" x14ac:dyDescent="0.3">
      <c r="A7" s="233" t="s">
        <v>321</v>
      </c>
      <c r="B7" s="234">
        <v>45997</v>
      </c>
      <c r="C7" s="235" t="s">
        <v>495</v>
      </c>
      <c r="D7" s="236" t="s">
        <v>515</v>
      </c>
      <c r="E7" s="235" t="s">
        <v>494</v>
      </c>
      <c r="F7" s="235" t="s">
        <v>96</v>
      </c>
      <c r="G7" s="237">
        <v>0.43890000000000001</v>
      </c>
      <c r="H7" s="238">
        <v>180</v>
      </c>
      <c r="I7" s="238">
        <v>79</v>
      </c>
      <c r="J7" s="238">
        <v>45</v>
      </c>
      <c r="K7" s="235" t="s">
        <v>97</v>
      </c>
      <c r="L7" s="239" t="s">
        <v>32</v>
      </c>
      <c r="M7" s="238">
        <v>0</v>
      </c>
      <c r="N7" s="238">
        <v>8</v>
      </c>
      <c r="O7" s="238">
        <v>19</v>
      </c>
      <c r="P7" s="235" t="s">
        <v>176</v>
      </c>
      <c r="Q7" s="231"/>
      <c r="R7" s="231"/>
      <c r="S7" s="231"/>
      <c r="T7" s="231"/>
      <c r="U7" s="231"/>
      <c r="V7" s="231"/>
      <c r="W7" s="231"/>
      <c r="X7" s="231"/>
      <c r="Y7" s="231"/>
      <c r="Z7" s="231"/>
      <c r="AA7" s="231"/>
      <c r="AB7" s="231"/>
      <c r="AC7" s="231"/>
      <c r="AD7" s="238" t="s">
        <v>238</v>
      </c>
      <c r="AE7" s="238" t="s">
        <v>319</v>
      </c>
      <c r="AF7" s="238" t="s">
        <v>447</v>
      </c>
      <c r="AG7" s="231"/>
      <c r="AH7" s="231"/>
      <c r="AI7" s="238" t="s">
        <v>435</v>
      </c>
      <c r="AJ7" s="231"/>
    </row>
    <row r="8" spans="1:36" x14ac:dyDescent="0.3">
      <c r="A8" s="233" t="s">
        <v>203</v>
      </c>
      <c r="B8" s="234">
        <v>45999</v>
      </c>
      <c r="C8" s="235" t="s">
        <v>495</v>
      </c>
      <c r="D8" s="236" t="s">
        <v>510</v>
      </c>
      <c r="E8" s="235" t="s">
        <v>494</v>
      </c>
      <c r="F8" s="235" t="s">
        <v>96</v>
      </c>
      <c r="G8" s="237">
        <v>0.1111</v>
      </c>
      <c r="H8" s="238">
        <v>180</v>
      </c>
      <c r="I8" s="238">
        <v>20</v>
      </c>
      <c r="J8" s="238">
        <v>0</v>
      </c>
      <c r="K8" s="235" t="s">
        <v>97</v>
      </c>
      <c r="L8" s="239" t="s">
        <v>32</v>
      </c>
      <c r="M8" s="238">
        <v>0</v>
      </c>
      <c r="N8" s="238">
        <v>1</v>
      </c>
      <c r="O8" s="238">
        <v>13</v>
      </c>
      <c r="P8" s="235" t="s">
        <v>238</v>
      </c>
      <c r="Q8" s="231"/>
      <c r="R8" s="231"/>
      <c r="S8" s="231"/>
      <c r="T8" s="231"/>
      <c r="U8" s="231"/>
      <c r="V8" s="231"/>
      <c r="W8" s="231"/>
      <c r="X8" s="231"/>
      <c r="Y8" s="231"/>
      <c r="Z8" s="231"/>
      <c r="AA8" s="231"/>
      <c r="AB8" s="231"/>
      <c r="AC8" s="231"/>
      <c r="AD8" s="238" t="s">
        <v>459</v>
      </c>
      <c r="AE8" s="238" t="s">
        <v>119</v>
      </c>
      <c r="AF8" s="238" t="s">
        <v>213</v>
      </c>
      <c r="AG8" s="231"/>
      <c r="AH8" s="231"/>
      <c r="AI8" s="231"/>
      <c r="AJ8" s="231"/>
    </row>
    <row r="9" spans="1:36" x14ac:dyDescent="0.3">
      <c r="A9" s="233" t="s">
        <v>120</v>
      </c>
      <c r="B9" s="234">
        <v>46001</v>
      </c>
      <c r="C9" s="235" t="s">
        <v>497</v>
      </c>
      <c r="D9" s="236" t="s">
        <v>512</v>
      </c>
      <c r="E9" s="235" t="s">
        <v>494</v>
      </c>
      <c r="F9" s="235" t="s">
        <v>96</v>
      </c>
      <c r="G9" s="237">
        <v>0.1167</v>
      </c>
      <c r="H9" s="238">
        <v>180</v>
      </c>
      <c r="I9" s="238">
        <v>21</v>
      </c>
      <c r="J9" s="238">
        <v>0</v>
      </c>
      <c r="K9" s="235" t="s">
        <v>97</v>
      </c>
      <c r="L9" s="239" t="s">
        <v>32</v>
      </c>
      <c r="M9" s="238">
        <v>0</v>
      </c>
      <c r="N9" s="238">
        <v>5</v>
      </c>
      <c r="O9" s="238">
        <v>7</v>
      </c>
      <c r="P9" s="235" t="s">
        <v>250</v>
      </c>
      <c r="Q9" s="231"/>
      <c r="R9" s="231"/>
      <c r="S9" s="231"/>
      <c r="T9" s="231"/>
      <c r="U9" s="231"/>
      <c r="V9" s="231"/>
      <c r="W9" s="231"/>
      <c r="X9" s="231"/>
      <c r="Y9" s="231"/>
      <c r="Z9" s="238" t="s">
        <v>177</v>
      </c>
      <c r="AA9" s="231"/>
      <c r="AB9" s="231"/>
      <c r="AC9" s="231"/>
      <c r="AD9" s="231"/>
      <c r="AE9" s="231"/>
      <c r="AF9" s="238" t="s">
        <v>296</v>
      </c>
      <c r="AG9" s="231"/>
      <c r="AH9" s="231"/>
      <c r="AI9" s="231"/>
      <c r="AJ9" s="231"/>
    </row>
    <row r="10" spans="1:36" x14ac:dyDescent="0.3">
      <c r="A10" s="233" t="s">
        <v>321</v>
      </c>
      <c r="B10" s="234">
        <v>46004</v>
      </c>
      <c r="C10" s="235" t="s">
        <v>495</v>
      </c>
      <c r="D10" s="236" t="s">
        <v>515</v>
      </c>
      <c r="E10" s="235" t="s">
        <v>494</v>
      </c>
      <c r="F10" s="235" t="s">
        <v>96</v>
      </c>
      <c r="G10" s="237">
        <v>0.5333</v>
      </c>
      <c r="H10" s="238">
        <v>180</v>
      </c>
      <c r="I10" s="238">
        <v>96</v>
      </c>
      <c r="J10" s="238">
        <v>90</v>
      </c>
      <c r="K10" s="235" t="s">
        <v>97</v>
      </c>
      <c r="L10" s="239" t="s">
        <v>32</v>
      </c>
      <c r="M10" s="238">
        <v>0</v>
      </c>
      <c r="N10" s="238">
        <v>2</v>
      </c>
      <c r="O10" s="238">
        <v>5</v>
      </c>
      <c r="P10" s="235" t="s">
        <v>240</v>
      </c>
      <c r="Q10" s="231"/>
      <c r="R10" s="231"/>
      <c r="S10" s="231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8" t="s">
        <v>239</v>
      </c>
      <c r="AF10" s="238" t="s">
        <v>274</v>
      </c>
      <c r="AG10" s="231"/>
      <c r="AH10" s="231"/>
      <c r="AI10" s="238" t="s">
        <v>419</v>
      </c>
      <c r="AJ10" s="231"/>
    </row>
    <row r="11" spans="1:36" x14ac:dyDescent="0.3">
      <c r="A11" s="233" t="s">
        <v>203</v>
      </c>
      <c r="B11" s="234">
        <v>46006</v>
      </c>
      <c r="C11" s="235" t="s">
        <v>495</v>
      </c>
      <c r="D11" s="236" t="s">
        <v>510</v>
      </c>
      <c r="E11" s="235" t="s">
        <v>494</v>
      </c>
      <c r="F11" s="235" t="s">
        <v>96</v>
      </c>
      <c r="G11" s="237">
        <v>6.6699999999999995E-2</v>
      </c>
      <c r="H11" s="238">
        <v>180</v>
      </c>
      <c r="I11" s="238">
        <v>12</v>
      </c>
      <c r="J11" s="238">
        <v>0</v>
      </c>
      <c r="K11" s="235" t="s">
        <v>97</v>
      </c>
      <c r="L11" s="239" t="s">
        <v>251</v>
      </c>
      <c r="M11" s="238">
        <v>0</v>
      </c>
      <c r="N11" s="238">
        <v>0</v>
      </c>
      <c r="O11" s="238">
        <v>4</v>
      </c>
      <c r="P11" s="235" t="s">
        <v>278</v>
      </c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8" t="s">
        <v>444</v>
      </c>
      <c r="AG11" s="231"/>
      <c r="AH11" s="231"/>
      <c r="AI11" s="231"/>
      <c r="AJ11" s="231"/>
    </row>
    <row r="12" spans="1:36" x14ac:dyDescent="0.3">
      <c r="A12" s="233" t="s">
        <v>120</v>
      </c>
      <c r="B12" s="234">
        <v>46008</v>
      </c>
      <c r="C12" s="235" t="s">
        <v>497</v>
      </c>
      <c r="D12" s="236" t="s">
        <v>512</v>
      </c>
      <c r="E12" s="235" t="s">
        <v>494</v>
      </c>
      <c r="F12" s="235" t="s">
        <v>96</v>
      </c>
      <c r="G12" s="237">
        <v>7.22E-2</v>
      </c>
      <c r="H12" s="238">
        <v>180</v>
      </c>
      <c r="I12" s="238">
        <v>13</v>
      </c>
      <c r="J12" s="238">
        <v>0</v>
      </c>
      <c r="K12" s="235" t="s">
        <v>97</v>
      </c>
      <c r="L12" s="239" t="s">
        <v>251</v>
      </c>
      <c r="M12" s="238">
        <v>0</v>
      </c>
      <c r="N12" s="238">
        <v>0</v>
      </c>
      <c r="O12" s="238">
        <v>3</v>
      </c>
      <c r="P12" s="235" t="s">
        <v>506</v>
      </c>
      <c r="Q12" s="231"/>
      <c r="R12" s="231"/>
      <c r="S12" s="231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8" t="s">
        <v>416</v>
      </c>
      <c r="AG12" s="231"/>
      <c r="AH12" s="231"/>
      <c r="AI12" s="238" t="s">
        <v>520</v>
      </c>
      <c r="AJ12" s="231"/>
    </row>
    <row r="13" spans="1:36" x14ac:dyDescent="0.3">
      <c r="A13" s="233" t="s">
        <v>321</v>
      </c>
      <c r="B13" s="234">
        <v>46011</v>
      </c>
      <c r="C13" s="235" t="s">
        <v>495</v>
      </c>
      <c r="D13" s="236" t="s">
        <v>515</v>
      </c>
      <c r="E13" s="235" t="s">
        <v>494</v>
      </c>
      <c r="F13" s="235" t="s">
        <v>96</v>
      </c>
      <c r="G13" s="237">
        <v>0.80559999999999998</v>
      </c>
      <c r="H13" s="238">
        <v>180</v>
      </c>
      <c r="I13" s="238">
        <v>145</v>
      </c>
      <c r="J13" s="238">
        <v>135</v>
      </c>
      <c r="K13" s="235" t="s">
        <v>97</v>
      </c>
      <c r="L13" s="239" t="s">
        <v>253</v>
      </c>
      <c r="M13" s="238">
        <v>0</v>
      </c>
      <c r="N13" s="238">
        <v>0</v>
      </c>
      <c r="O13" s="238">
        <v>2</v>
      </c>
      <c r="P13" s="235" t="s">
        <v>273</v>
      </c>
      <c r="Q13" s="231"/>
      <c r="R13" s="231"/>
      <c r="S13" s="231"/>
      <c r="T13" s="231"/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8" t="s">
        <v>416</v>
      </c>
      <c r="AG13" s="231"/>
      <c r="AH13" s="231"/>
      <c r="AI13" s="238" t="s">
        <v>442</v>
      </c>
      <c r="AJ13" s="231"/>
    </row>
    <row r="14" spans="1:36" x14ac:dyDescent="0.3">
      <c r="A14" s="233" t="s">
        <v>203</v>
      </c>
      <c r="B14" s="234">
        <v>46013</v>
      </c>
      <c r="C14" s="235" t="s">
        <v>495</v>
      </c>
      <c r="D14" s="236" t="s">
        <v>510</v>
      </c>
      <c r="E14" s="235" t="s">
        <v>494</v>
      </c>
      <c r="F14" s="235" t="s">
        <v>96</v>
      </c>
      <c r="G14" s="237">
        <v>0</v>
      </c>
      <c r="H14" s="238">
        <v>180</v>
      </c>
      <c r="I14" s="238">
        <v>0</v>
      </c>
      <c r="J14" s="238">
        <v>0</v>
      </c>
      <c r="K14" s="235" t="s">
        <v>97</v>
      </c>
      <c r="L14" s="239" t="s">
        <v>266</v>
      </c>
      <c r="M14" s="238">
        <v>0</v>
      </c>
      <c r="N14" s="238">
        <v>0</v>
      </c>
      <c r="O14" s="238">
        <v>0</v>
      </c>
      <c r="P14" s="235" t="s">
        <v>278</v>
      </c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</row>
    <row r="15" spans="1:36" x14ac:dyDescent="0.3">
      <c r="A15" s="233" t="s">
        <v>109</v>
      </c>
      <c r="B15" s="234">
        <v>46014</v>
      </c>
      <c r="C15" s="235" t="s">
        <v>495</v>
      </c>
      <c r="D15" s="236" t="s">
        <v>521</v>
      </c>
      <c r="E15" s="235" t="s">
        <v>494</v>
      </c>
      <c r="F15" s="235" t="s">
        <v>96</v>
      </c>
      <c r="G15" s="237">
        <v>0.5</v>
      </c>
      <c r="H15" s="238">
        <v>180</v>
      </c>
      <c r="I15" s="238">
        <v>90</v>
      </c>
      <c r="J15" s="238">
        <v>90</v>
      </c>
      <c r="K15" s="235" t="s">
        <v>97</v>
      </c>
      <c r="L15" s="239" t="s">
        <v>253</v>
      </c>
      <c r="M15" s="238">
        <v>0</v>
      </c>
      <c r="N15" s="238">
        <v>0</v>
      </c>
      <c r="O15" s="238">
        <v>1</v>
      </c>
      <c r="P15" s="235" t="s">
        <v>250</v>
      </c>
      <c r="Q15" s="231"/>
      <c r="R15" s="231"/>
      <c r="S15" s="231"/>
      <c r="T15" s="23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8" t="s">
        <v>419</v>
      </c>
      <c r="AJ15" s="231"/>
    </row>
    <row r="16" spans="1:36" x14ac:dyDescent="0.3">
      <c r="A16" s="233" t="s">
        <v>120</v>
      </c>
      <c r="B16" s="234">
        <v>46015</v>
      </c>
      <c r="C16" s="235" t="s">
        <v>497</v>
      </c>
      <c r="D16" s="236" t="s">
        <v>512</v>
      </c>
      <c r="E16" s="235" t="s">
        <v>494</v>
      </c>
      <c r="F16" s="235" t="s">
        <v>96</v>
      </c>
      <c r="G16" s="237">
        <v>0.52780000000000005</v>
      </c>
      <c r="H16" s="238">
        <v>180</v>
      </c>
      <c r="I16" s="238">
        <v>95</v>
      </c>
      <c r="J16" s="238">
        <v>90</v>
      </c>
      <c r="K16" s="235" t="s">
        <v>97</v>
      </c>
      <c r="L16" s="239" t="s">
        <v>352</v>
      </c>
      <c r="M16" s="238">
        <v>0</v>
      </c>
      <c r="N16" s="238">
        <v>0</v>
      </c>
      <c r="O16" s="238">
        <v>3</v>
      </c>
      <c r="P16" s="235" t="s">
        <v>250</v>
      </c>
      <c r="Q16" s="231"/>
      <c r="R16" s="231"/>
      <c r="S16" s="231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8" t="s">
        <v>274</v>
      </c>
      <c r="AG16" s="231"/>
      <c r="AH16" s="231"/>
      <c r="AI16" s="238" t="s">
        <v>419</v>
      </c>
      <c r="AJ16" s="231"/>
    </row>
    <row r="17" spans="1:36" ht="21" x14ac:dyDescent="0.3">
      <c r="A17" s="240" t="s">
        <v>522</v>
      </c>
      <c r="B17" s="241"/>
      <c r="C17" s="240">
        <f>SUBTOTAL(103,ATZ_MED_LF_LEGACY[Flt])</f>
        <v>15</v>
      </c>
      <c r="D17" s="240"/>
      <c r="E17" s="240">
        <f>SUBTOTAL(103,ATZ_MED_LF_LEGACY[Brd-Off])</f>
        <v>15</v>
      </c>
      <c r="F17" s="240"/>
      <c r="G17" s="242">
        <f>SUBTOTAL(101,ATZ_MED_LF_LEGACY[LF%])</f>
        <v>0.41703999999999997</v>
      </c>
      <c r="H17" s="243">
        <f>SUBTOTAL(109,ATZ_MED_LF_LEGACY[CAP])</f>
        <v>2700</v>
      </c>
      <c r="I17" s="243">
        <f>SUBTOTAL(109,ATZ_MED_LF_LEGACY[BKG(Y)])</f>
        <v>1126</v>
      </c>
      <c r="J17" s="243">
        <f>SUBTOTAL(109,ATZ_MED_LF_LEGACY[GRP(Y)])</f>
        <v>647</v>
      </c>
      <c r="K17" s="240"/>
      <c r="L17" s="241"/>
      <c r="M17" s="243">
        <f>SUBTOTAL(109,ATZ_MED_LF_LEGACY[TO-DAY])</f>
        <v>2</v>
      </c>
      <c r="N17" s="243">
        <f>SUBTOTAL(109,ATZ_MED_LF_LEGACY[Y-DAY])</f>
        <v>46</v>
      </c>
      <c r="O17" s="243">
        <f>SUBTOTAL(109,ATZ_MED_LF_LEGACY[WEEKLY])</f>
        <v>275</v>
      </c>
      <c r="P17" s="244"/>
      <c r="Q17" s="243">
        <f>SUBTOTAL(109,ATZ_MED_LF_LEGACY[Y])</f>
        <v>0</v>
      </c>
      <c r="R17" s="243">
        <f>SUBTOTAL(109,ATZ_MED_LF_LEGACY[B])</f>
        <v>0</v>
      </c>
      <c r="S17" s="243">
        <f>SUBTOTAL(109,ATZ_MED_LF_LEGACY[M])</f>
        <v>0</v>
      </c>
      <c r="T17" s="243">
        <f>SUBTOTAL(109,ATZ_MED_LF_LEGACY[H])</f>
        <v>0</v>
      </c>
      <c r="U17" s="243">
        <f>SUBTOTAL(109,ATZ_MED_LF_LEGACY[Q])</f>
        <v>0</v>
      </c>
      <c r="V17" s="243">
        <f>SUBTOTAL(109,ATZ_MED_LF_LEGACY[K])</f>
        <v>0</v>
      </c>
      <c r="W17" s="243">
        <f>SUBTOTAL(109,ATZ_MED_LF_LEGACY[V])</f>
        <v>0</v>
      </c>
      <c r="X17" s="243">
        <f>SUBTOTAL(109,ATZ_MED_LF_LEGACY[L])</f>
        <v>0</v>
      </c>
      <c r="Y17" s="243">
        <f>SUBTOTAL(109,ATZ_MED_LF_LEGACY[G])</f>
        <v>0</v>
      </c>
      <c r="Z17" s="243">
        <f>SUBTOTAL(109,ATZ_MED_LF_LEGACY[S])</f>
        <v>0</v>
      </c>
      <c r="AA17" s="243">
        <f>SUBTOTAL(109,ATZ_MED_LF_LEGACY[W])</f>
        <v>0</v>
      </c>
      <c r="AB17" s="243">
        <f>SUBTOTAL(109,ATZ_MED_LF_LEGACY[T])</f>
        <v>0</v>
      </c>
      <c r="AC17" s="243">
        <f>SUBTOTAL(109,ATZ_MED_LF_LEGACY[X])</f>
        <v>0</v>
      </c>
      <c r="AD17" s="243">
        <f>SUBTOTAL(109,ATZ_MED_LF_LEGACY[U])</f>
        <v>0</v>
      </c>
      <c r="AE17" s="243">
        <f>SUBTOTAL(109,ATZ_MED_LF_LEGACY[O])</f>
        <v>0</v>
      </c>
      <c r="AF17" s="243">
        <f>SUBTOTAL(109,ATZ_MED_LF_LEGACY[I])</f>
        <v>0</v>
      </c>
      <c r="AG17" s="243">
        <f>SUBTOTAL(109,ATZ_MED_LF_LEGACY[E])</f>
        <v>0</v>
      </c>
      <c r="AH17" s="243">
        <f>SUBTOTAL(109,ATZ_MED_LF_LEGACY[A])</f>
        <v>0</v>
      </c>
      <c r="AI17" s="243">
        <f>SUBTOTAL(109,ATZ_MED_LF_LEGACY[P])</f>
        <v>0</v>
      </c>
      <c r="AJ17" s="243">
        <f>SUBTOTAL(103,ATZ_MED_LF_LEGACY[N])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ATZ-RUH</vt:lpstr>
      <vt:lpstr>ATZ-RUH LF LEGACY</vt:lpstr>
      <vt:lpstr>ATZ-DMM</vt:lpstr>
      <vt:lpstr>ATZ-DMM LF LEGACY</vt:lpstr>
      <vt:lpstr>ATZ-TUU</vt:lpstr>
      <vt:lpstr>ATZ-TUU LF LEGACY</vt:lpstr>
      <vt:lpstr>ATZ-AJF</vt:lpstr>
      <vt:lpstr>ATZ-AJF LF LEGACY</vt:lpstr>
      <vt:lpstr>ATZ-AHB</vt:lpstr>
      <vt:lpstr>ATZ-AHB LF LEGACY</vt:lpstr>
      <vt:lpstr>ATZ-ELQ</vt:lpstr>
      <vt:lpstr>ATZ-ELQ LF LEGACY</vt:lpstr>
      <vt:lpstr>ATZ-JED</vt:lpstr>
      <vt:lpstr>ATZ-JED LF LEGACY</vt:lpstr>
      <vt:lpstr>ATZ-MED</vt:lpstr>
      <vt:lpstr>ATZ-MED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2025-11-23T02:31:41Z</dcterms:created>
  <dcterms:modified xsi:type="dcterms:W3CDTF">2025-11-23T02:32:01Z</dcterms:modified>
</cp:coreProperties>
</file>