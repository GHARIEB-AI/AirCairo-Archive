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4BDB26A-EE8C-4B05-A879-BF14D6FED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RUH" sheetId="1" r:id="rId1"/>
    <sheet name="CAI-RUH LF LEGACY" sheetId="2" r:id="rId2"/>
    <sheet name="CAI-DMM" sheetId="3" r:id="rId3"/>
    <sheet name="CAI-DMM LF LEGACY" sheetId="4" r:id="rId4"/>
    <sheet name="CAI-TUU" sheetId="5" r:id="rId5"/>
    <sheet name="CAI-TUU LF LEGACY" sheetId="6" r:id="rId6"/>
    <sheet name="CAI-AJF" sheetId="7" r:id="rId7"/>
    <sheet name="CAI-AJF LF LEGACY" sheetId="8" r:id="rId8"/>
    <sheet name="CAI-YNB" sheetId="9" r:id="rId9"/>
    <sheet name="CAI-YNB LF LEGACY" sheetId="10" r:id="rId10"/>
    <sheet name="CAI-AHB" sheetId="11" r:id="rId11"/>
    <sheet name="CAI-AHB LF LEGACY" sheetId="12" r:id="rId12"/>
    <sheet name="CAI-ELQ" sheetId="13" r:id="rId13"/>
    <sheet name="CAI-ELQ LF LEGACY" sheetId="14" r:id="rId14"/>
    <sheet name="CAI-GIZ" sheetId="15" r:id="rId15"/>
    <sheet name="CAI-GIZ LF LEGACY" sheetId="16" r:id="rId16"/>
    <sheet name="CAI-JED" sheetId="17" r:id="rId17"/>
    <sheet name="CAI-JED LF LEGACY" sheetId="18" r:id="rId18"/>
    <sheet name="CAI-MED" sheetId="19" r:id="rId19"/>
    <sheet name="CAI-MED LF LEGACY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" i="20" l="1"/>
  <c r="E30" i="20"/>
  <c r="G30" i="20"/>
  <c r="H30" i="20"/>
  <c r="I30" i="20"/>
  <c r="J30" i="20"/>
  <c r="M30" i="20"/>
  <c r="N30" i="20"/>
  <c r="O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C163" i="18"/>
  <c r="E163" i="18"/>
  <c r="G163" i="18"/>
  <c r="H163" i="18"/>
  <c r="I163" i="18"/>
  <c r="J163" i="18"/>
  <c r="M163" i="18"/>
  <c r="N163" i="18"/>
  <c r="O163" i="18"/>
  <c r="Q163" i="18"/>
  <c r="R163" i="18"/>
  <c r="S163" i="18"/>
  <c r="T163" i="18"/>
  <c r="U163" i="18"/>
  <c r="V163" i="18"/>
  <c r="W163" i="18"/>
  <c r="X163" i="18"/>
  <c r="Y163" i="18"/>
  <c r="Z163" i="18"/>
  <c r="AA163" i="18"/>
  <c r="AB163" i="18"/>
  <c r="AC163" i="18"/>
  <c r="AD163" i="18"/>
  <c r="AE163" i="18"/>
  <c r="AF163" i="18"/>
  <c r="AG163" i="18"/>
  <c r="AH163" i="18"/>
  <c r="AI163" i="18"/>
  <c r="AJ163" i="18"/>
  <c r="C11" i="16"/>
  <c r="E11" i="16"/>
  <c r="G11" i="16"/>
  <c r="H11" i="16"/>
  <c r="I11" i="16"/>
  <c r="J11" i="16"/>
  <c r="M11" i="16"/>
  <c r="N11" i="16"/>
  <c r="O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C17" i="14"/>
  <c r="E17" i="14"/>
  <c r="G17" i="14"/>
  <c r="H17" i="14"/>
  <c r="I17" i="14"/>
  <c r="J17" i="14"/>
  <c r="M17" i="14"/>
  <c r="N17" i="14"/>
  <c r="O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C16" i="12"/>
  <c r="E16" i="12"/>
  <c r="G16" i="12"/>
  <c r="H16" i="12"/>
  <c r="I16" i="12"/>
  <c r="J16" i="12"/>
  <c r="M16" i="12"/>
  <c r="N16" i="12"/>
  <c r="O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C36" i="10"/>
  <c r="E36" i="10"/>
  <c r="G36" i="10"/>
  <c r="H36" i="10"/>
  <c r="I36" i="10"/>
  <c r="J36" i="10"/>
  <c r="M36" i="10"/>
  <c r="N36" i="10"/>
  <c r="O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C16" i="8"/>
  <c r="E16" i="8"/>
  <c r="G16" i="8"/>
  <c r="H16" i="8"/>
  <c r="I16" i="8"/>
  <c r="J16" i="8"/>
  <c r="M16" i="8"/>
  <c r="N16" i="8"/>
  <c r="O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C16" i="6"/>
  <c r="E16" i="6"/>
  <c r="G16" i="6"/>
  <c r="H16" i="6"/>
  <c r="I16" i="6"/>
  <c r="J16" i="6"/>
  <c r="M16" i="6"/>
  <c r="N16" i="6"/>
  <c r="O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C21" i="4"/>
  <c r="E21" i="4"/>
  <c r="G21" i="4"/>
  <c r="H21" i="4"/>
  <c r="I21" i="4"/>
  <c r="J21" i="4"/>
  <c r="M21" i="4"/>
  <c r="N21" i="4"/>
  <c r="O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C46" i="2"/>
  <c r="E46" i="2"/>
  <c r="G46" i="2"/>
  <c r="H46" i="2"/>
  <c r="I46" i="2"/>
  <c r="J46" i="2"/>
  <c r="M46" i="2"/>
  <c r="N46" i="2"/>
  <c r="O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</calcChain>
</file>

<file path=xl/sharedStrings.xml><?xml version="1.0" encoding="utf-8"?>
<sst xmlns="http://schemas.openxmlformats.org/spreadsheetml/2006/main" count="12095" uniqueCount="901">
  <si>
    <t>COMPREHENSIVE REPORT</t>
  </si>
  <si>
    <t>CAI-RUH</t>
  </si>
  <si>
    <t>FROM</t>
  </si>
  <si>
    <t>2025-11-23</t>
  </si>
  <si>
    <t>TO</t>
  </si>
  <si>
    <t>2025-12-26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</si>
  <si>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</si>
  <si>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</si>
  <si>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</si>
  <si>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</si>
  <si>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</si>
  <si>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</si>
  <si>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</si>
  <si>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</si>
  <si>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</si>
  <si>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</si>
  <si>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</si>
  <si>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</si>
  <si>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</si>
  <si>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</si>
  <si>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</si>
  <si>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</si>
  <si>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</si>
  <si>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</si>
  <si>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</si>
  <si>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</si>
  <si>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</si>
  <si>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</si>
  <si>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</si>
  <si>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SM461</t>
  </si>
  <si>
    <t>30KG + 7KG CABIN</t>
  </si>
  <si>
    <t>FULLY BOOKED</t>
  </si>
  <si>
    <t>2025-11-20 00:00:00</t>
  </si>
  <si>
    <t>CLOSED</t>
  </si>
  <si>
    <t>W1 &amp; T7 &amp; X47 &amp; U7 &amp; O20 &amp; I26 &amp; N1</t>
  </si>
  <si>
    <t>SM469</t>
  </si>
  <si>
    <t>SEATS AVAILABLE</t>
  </si>
  <si>
    <t>2025-11-22 00:00:00</t>
  </si>
  <si>
    <t>L8</t>
  </si>
  <si>
    <t>L1 &amp; G9 &amp; S18 &amp; W9 &amp; T37 &amp; X9 &amp; U7 &amp; O8 &amp; I26</t>
  </si>
  <si>
    <t>G1</t>
  </si>
  <si>
    <t>L9 &amp; G8 &amp; S17 &amp; W29 &amp; T18 &amp; X9 &amp; U8 &amp; O43 &amp; I1</t>
  </si>
  <si>
    <t>L6 &amp; G17 &amp; S18 &amp; W38 &amp; X7 &amp; U18 &amp; O8 &amp; I27</t>
  </si>
  <si>
    <t>V5</t>
  </si>
  <si>
    <t>V2 &amp; L9 &amp; G36 &amp; S7 &amp; W5 &amp; T4 &amp; X21 &amp; U7 &amp; O30 &amp; I4</t>
  </si>
  <si>
    <t>L1</t>
  </si>
  <si>
    <t>V3 &amp; L14 &amp; G30 &amp; S18 &amp; W9 &amp; T7 &amp; X12 &amp; U10 &amp; O6 &amp; I3</t>
  </si>
  <si>
    <t>2025-11-19 00:00:00</t>
  </si>
  <si>
    <t>Q9</t>
  </si>
  <si>
    <t>Q2 &amp; K22 &amp; V7 &amp; L9 &amp; G12 &amp; S15 &amp; W8 &amp; T6 &amp; X4 &amp; U9 &amp; O5 &amp; I6</t>
  </si>
  <si>
    <t>H6 &amp; Q11 &amp; K9 &amp; V7 &amp; L16 &amp; G10 &amp; S3 &amp; W13 &amp; T5 &amp; X5 &amp; U4 &amp; O7 &amp; I7</t>
  </si>
  <si>
    <t>M9</t>
  </si>
  <si>
    <t>M10 &amp; H21 &amp; K12 &amp; V14 &amp; L11 &amp; G12 &amp; S6 &amp; W10 &amp; T3 &amp; X4 &amp; U8 &amp; O9 &amp; I3</t>
  </si>
  <si>
    <t>K3 &amp; V19 &amp; L29 &amp; G7 &amp; S19 &amp; W6 &amp; T7 &amp; X4 &amp; U6 &amp; O7 &amp; I5</t>
  </si>
  <si>
    <t>L4</t>
  </si>
  <si>
    <t>L5 &amp; G30 &amp; S17 &amp; W9 &amp; T21 &amp; X5 &amp; U9 &amp; O3 &amp; I2</t>
  </si>
  <si>
    <t>S7</t>
  </si>
  <si>
    <t>S2 &amp; W9 &amp; T29 &amp; X9 &amp; U11 &amp; O6</t>
  </si>
  <si>
    <t>X1</t>
  </si>
  <si>
    <t>W3 &amp; T7 &amp; X28 &amp; U9 &amp; O7</t>
  </si>
  <si>
    <t>W7</t>
  </si>
  <si>
    <t>S6 &amp; W3 &amp; T10 &amp; X29 &amp; U18 &amp; O5 &amp; I1 &amp; N1</t>
  </si>
  <si>
    <t>T9</t>
  </si>
  <si>
    <t>S1 &amp; T4 &amp; X19 &amp; U19 &amp; O17</t>
  </si>
  <si>
    <t>T7</t>
  </si>
  <si>
    <t>S1 &amp; T2 &amp; X9 &amp; U19 &amp; O27</t>
  </si>
  <si>
    <t>W8</t>
  </si>
  <si>
    <t>S1 &amp; T9 &amp; X22 &amp; U13 &amp; O18</t>
  </si>
  <si>
    <t>LOW DEMAND</t>
  </si>
  <si>
    <t>T6</t>
  </si>
  <si>
    <t>T3 &amp; X10 &amp; U15 &amp; O15</t>
  </si>
  <si>
    <t>X7</t>
  </si>
  <si>
    <t>X2 &amp; U11 &amp; O25</t>
  </si>
  <si>
    <t>O9</t>
  </si>
  <si>
    <t>X1 &amp; U3 &amp; O28</t>
  </si>
  <si>
    <t>2025-11-23 00:00:00</t>
  </si>
  <si>
    <t>I4</t>
  </si>
  <si>
    <t>X1 &amp; O7 &amp; I11</t>
  </si>
  <si>
    <t>I9</t>
  </si>
  <si>
    <t>O9 &amp; I11</t>
  </si>
  <si>
    <t>I3</t>
  </si>
  <si>
    <t>U1 &amp; O6 &amp; I17</t>
  </si>
  <si>
    <t>2025-11-18 00:00:00</t>
  </si>
  <si>
    <t>U1 &amp; O8</t>
  </si>
  <si>
    <t>O6</t>
  </si>
  <si>
    <t>O11</t>
  </si>
  <si>
    <t>U3</t>
  </si>
  <si>
    <t>X1 &amp; U11 &amp; O16 &amp; I1</t>
  </si>
  <si>
    <t>T1</t>
  </si>
  <si>
    <t>K1 &amp; W5 &amp; T6 &amp; X9 &amp; U9 &amp; O6</t>
  </si>
  <si>
    <t>2025-11-16 00:00:00</t>
  </si>
  <si>
    <t>X2 &amp; U9 &amp; O7</t>
  </si>
  <si>
    <t>X1 &amp; U10 &amp; O10</t>
  </si>
  <si>
    <t>X1 &amp; O7</t>
  </si>
  <si>
    <t>2025-10-25 00:00:00</t>
  </si>
  <si>
    <t>O2</t>
  </si>
  <si>
    <t>O2 &amp; I3</t>
  </si>
  <si>
    <t>O2 &amp; I6</t>
  </si>
  <si>
    <t>O4 &amp; I1</t>
  </si>
  <si>
    <t>U9</t>
  </si>
  <si>
    <t>O5</t>
  </si>
  <si>
    <t>O10</t>
  </si>
  <si>
    <t>2025-11-21 00:00:00</t>
  </si>
  <si>
    <t>U1 &amp; O1 &amp; I6</t>
  </si>
  <si>
    <t>I1</t>
  </si>
  <si>
    <t>2025-11-11 00:00:00</t>
  </si>
  <si>
    <t>S1 &amp; X1 &amp; U5 &amp; O3</t>
  </si>
  <si>
    <t>2025-11-17 00:00:00</t>
  </si>
  <si>
    <t>O7</t>
  </si>
  <si>
    <t>U2 &amp; O7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</si>
  <si>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</si>
  <si>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</si>
  <si>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</si>
  <si>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</si>
  <si>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</si>
  <si>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</si>
  <si>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</si>
  <si>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</si>
  <si>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</si>
  <si>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</si>
  <si>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</si>
  <si>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</si>
  <si>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</si>
  <si>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</si>
  <si>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</si>
  <si>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</si>
  <si>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</si>
  <si>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</si>
  <si>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</si>
  <si>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</si>
  <si>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</si>
  <si>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</si>
  <si>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</si>
  <si>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</si>
  <si>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</si>
  <si>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</si>
  <si>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</si>
  <si>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</si>
  <si>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</si>
  <si>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</si>
  <si>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10:15</t>
  </si>
  <si>
    <t>320</t>
  </si>
  <si>
    <t>UPCOMING</t>
  </si>
  <si>
    <t>W1</t>
  </si>
  <si>
    <t>X47</t>
  </si>
  <si>
    <t>U7</t>
  </si>
  <si>
    <t>O20</t>
  </si>
  <si>
    <t>I26</t>
  </si>
  <si>
    <t>N1</t>
  </si>
  <si>
    <t>MONDAY</t>
  </si>
  <si>
    <t>17:25</t>
  </si>
  <si>
    <t>G9</t>
  </si>
  <si>
    <t>S18</t>
  </si>
  <si>
    <t>W9</t>
  </si>
  <si>
    <t>T37</t>
  </si>
  <si>
    <t>X9</t>
  </si>
  <si>
    <t>O8</t>
  </si>
  <si>
    <t>TUESDAY</t>
  </si>
  <si>
    <t>17:10</t>
  </si>
  <si>
    <t>L9</t>
  </si>
  <si>
    <t>G8</t>
  </si>
  <si>
    <t>S17</t>
  </si>
  <si>
    <t>W29</t>
  </si>
  <si>
    <t>T18</t>
  </si>
  <si>
    <t>U8</t>
  </si>
  <si>
    <t>O43</t>
  </si>
  <si>
    <t>WEDNESDAY</t>
  </si>
  <si>
    <t>09:55</t>
  </si>
  <si>
    <t>L6</t>
  </si>
  <si>
    <t>G17</t>
  </si>
  <si>
    <t>W38</t>
  </si>
  <si>
    <t>U18</t>
  </si>
  <si>
    <t>I27</t>
  </si>
  <si>
    <t>V2</t>
  </si>
  <si>
    <t>G36</t>
  </si>
  <si>
    <t>W5</t>
  </si>
  <si>
    <t>T4</t>
  </si>
  <si>
    <t>X21</t>
  </si>
  <si>
    <t>O30</t>
  </si>
  <si>
    <t>THURSDAY</t>
  </si>
  <si>
    <t>V3</t>
  </si>
  <si>
    <t>L14</t>
  </si>
  <si>
    <t>G30</t>
  </si>
  <si>
    <t>X12</t>
  </si>
  <si>
    <t>U10</t>
  </si>
  <si>
    <t>FRIDAY</t>
  </si>
  <si>
    <t>09:45</t>
  </si>
  <si>
    <t>Q2</t>
  </si>
  <si>
    <t>K22</t>
  </si>
  <si>
    <t>V7</t>
  </si>
  <si>
    <t>G12</t>
  </si>
  <si>
    <t>S15</t>
  </si>
  <si>
    <t>X4</t>
  </si>
  <si>
    <t>I6</t>
  </si>
  <si>
    <t>H6</t>
  </si>
  <si>
    <t>Q11</t>
  </si>
  <si>
    <t>K9</t>
  </si>
  <si>
    <t>L16</t>
  </si>
  <si>
    <t>G10</t>
  </si>
  <si>
    <t>S3</t>
  </si>
  <si>
    <t>W13</t>
  </si>
  <si>
    <t>T5</t>
  </si>
  <si>
    <t>X5</t>
  </si>
  <si>
    <t>U4</t>
  </si>
  <si>
    <t>I7</t>
  </si>
  <si>
    <t>SATURDAY</t>
  </si>
  <si>
    <t>M10</t>
  </si>
  <si>
    <t>H21</t>
  </si>
  <si>
    <t>K12</t>
  </si>
  <si>
    <t>V14</t>
  </si>
  <si>
    <t>L11</t>
  </si>
  <si>
    <t>S6</t>
  </si>
  <si>
    <t>W10</t>
  </si>
  <si>
    <t>T3</t>
  </si>
  <si>
    <t>K3</t>
  </si>
  <si>
    <t>V19</t>
  </si>
  <si>
    <t>L29</t>
  </si>
  <si>
    <t>G7</t>
  </si>
  <si>
    <t>S19</t>
  </si>
  <si>
    <t>W6</t>
  </si>
  <si>
    <t>U6</t>
  </si>
  <si>
    <t>I5</t>
  </si>
  <si>
    <t>L5</t>
  </si>
  <si>
    <t>T21</t>
  </si>
  <si>
    <t>O3</t>
  </si>
  <si>
    <t>I2</t>
  </si>
  <si>
    <t>S2</t>
  </si>
  <si>
    <t>T29</t>
  </si>
  <si>
    <t>U11</t>
  </si>
  <si>
    <t>W3</t>
  </si>
  <si>
    <t>X28</t>
  </si>
  <si>
    <t>T10</t>
  </si>
  <si>
    <t>X29</t>
  </si>
  <si>
    <t>S1</t>
  </si>
  <si>
    <t>X19</t>
  </si>
  <si>
    <t>U19</t>
  </si>
  <si>
    <t>O17</t>
  </si>
  <si>
    <t>T2</t>
  </si>
  <si>
    <t>O27</t>
  </si>
  <si>
    <t>X22</t>
  </si>
  <si>
    <t>U13</t>
  </si>
  <si>
    <t>O18</t>
  </si>
  <si>
    <t>X10</t>
  </si>
  <si>
    <t>U15</t>
  </si>
  <si>
    <t>O15</t>
  </si>
  <si>
    <t>X2</t>
  </si>
  <si>
    <t>O25</t>
  </si>
  <si>
    <t>O28</t>
  </si>
  <si>
    <t>I11</t>
  </si>
  <si>
    <t>U1</t>
  </si>
  <si>
    <t>I17</t>
  </si>
  <si>
    <t>O16</t>
  </si>
  <si>
    <t>K1</t>
  </si>
  <si>
    <t>O4</t>
  </si>
  <si>
    <t>O1</t>
  </si>
  <si>
    <t>U5</t>
  </si>
  <si>
    <t>U2</t>
  </si>
  <si>
    <t>CAI-DMM</t>
  </si>
  <si>
    <t>SM433</t>
  </si>
  <si>
    <t>K5</t>
  </si>
  <si>
    <t>K15 &amp; V20 &amp; L30 &amp; G21 &amp; S7 &amp; T1 &amp; X1 &amp; U7 &amp; O19 &amp; I4</t>
  </si>
  <si>
    <t>H4</t>
  </si>
  <si>
    <t>H3 &amp; Q31 &amp; K18 &amp; V7 &amp; L10 &amp; G8 &amp; S8 &amp; W17 &amp; T9 &amp; X7 &amp; U9 &amp; O7 &amp; I7</t>
  </si>
  <si>
    <t>H9</t>
  </si>
  <si>
    <t>M6 &amp; H16 &amp; Q3 &amp; K16 &amp; V7 &amp; L11 &amp; G27 &amp; S13 &amp; W12 &amp; T8 &amp; X5 &amp; U3 &amp; O5 &amp; I4</t>
  </si>
  <si>
    <t>B1 &amp; M21 &amp; H21 &amp; Q9 &amp; V12 &amp; L12 &amp; G8 &amp; S6 &amp; W9 &amp; T10 &amp; X2 &amp; U4 &amp; O7 &amp; I3</t>
  </si>
  <si>
    <t>V4</t>
  </si>
  <si>
    <t>V6 &amp; L10 &amp; G31 &amp; S44 &amp; W4 &amp; T7 &amp; X10 &amp; U10 &amp; O4</t>
  </si>
  <si>
    <t>L9 &amp; G30 &amp; S21 &amp; W1 &amp; T7 &amp; X9 &amp; U6 &amp; O6</t>
  </si>
  <si>
    <t>G4 &amp; S16 &amp; W10 &amp; T10 &amp; X10 &amp; U25 &amp; O5</t>
  </si>
  <si>
    <t>V2 &amp; G10 &amp; S11 &amp; W10 &amp; T10 &amp; X10 &amp; U18 &amp; O2</t>
  </si>
  <si>
    <t>S1 &amp; W1 &amp; X5 &amp; U9 &amp; O28 &amp; I23</t>
  </si>
  <si>
    <t>G1 &amp; W3 &amp; X10 &amp; U10 &amp; O30 &amp; I20</t>
  </si>
  <si>
    <t>S2 &amp; W3 &amp; X2 &amp; U7 &amp; O18 &amp; I20</t>
  </si>
  <si>
    <t>G2 &amp; S2 &amp; T5 &amp; X27 &amp; U8 &amp; O5</t>
  </si>
  <si>
    <t>S1 &amp; U1 &amp; O14 &amp; I10</t>
  </si>
  <si>
    <t>U14 &amp; O10 &amp; I5</t>
  </si>
  <si>
    <t>U10 &amp; O7</t>
  </si>
  <si>
    <t>G1 &amp; S2 &amp; W2 &amp; T14 &amp; X30 &amp; U6 &amp; O4</t>
  </si>
  <si>
    <t>X4 &amp; U8 &amp; O2</t>
  </si>
  <si>
    <t>X16 &amp; U8 &amp; O3</t>
  </si>
  <si>
    <t>I8</t>
  </si>
  <si>
    <t>O5 &amp; I2</t>
  </si>
  <si>
    <t>01:40</t>
  </si>
  <si>
    <t>K15</t>
  </si>
  <si>
    <t>V20</t>
  </si>
  <si>
    <t>L30</t>
  </si>
  <si>
    <t>G21</t>
  </si>
  <si>
    <t>O19</t>
  </si>
  <si>
    <t>17:20</t>
  </si>
  <si>
    <t>H3</t>
  </si>
  <si>
    <t>Q31</t>
  </si>
  <si>
    <t>K18</t>
  </si>
  <si>
    <t>L10</t>
  </si>
  <si>
    <t>S8</t>
  </si>
  <si>
    <t>W17</t>
  </si>
  <si>
    <t>09:10</t>
  </si>
  <si>
    <t>M6</t>
  </si>
  <si>
    <t>H16</t>
  </si>
  <si>
    <t>Q3</t>
  </si>
  <si>
    <t>K16</t>
  </si>
  <si>
    <t>G27</t>
  </si>
  <si>
    <t>S13</t>
  </si>
  <si>
    <t>W12</t>
  </si>
  <si>
    <t>T8</t>
  </si>
  <si>
    <t>B1</t>
  </si>
  <si>
    <t>M21</t>
  </si>
  <si>
    <t>V12</t>
  </si>
  <si>
    <t>L12</t>
  </si>
  <si>
    <t>V6</t>
  </si>
  <si>
    <t>G31</t>
  </si>
  <si>
    <t>S44</t>
  </si>
  <si>
    <t>W4</t>
  </si>
  <si>
    <t>S21</t>
  </si>
  <si>
    <t>G4</t>
  </si>
  <si>
    <t>S16</t>
  </si>
  <si>
    <t>U25</t>
  </si>
  <si>
    <t>S11</t>
  </si>
  <si>
    <t>I23</t>
  </si>
  <si>
    <t>I20</t>
  </si>
  <si>
    <t>G2</t>
  </si>
  <si>
    <t>X27</t>
  </si>
  <si>
    <t>O14</t>
  </si>
  <si>
    <t>I10</t>
  </si>
  <si>
    <t>U14</t>
  </si>
  <si>
    <t>W2</t>
  </si>
  <si>
    <t>T14</t>
  </si>
  <si>
    <t>X30</t>
  </si>
  <si>
    <t>X16</t>
  </si>
  <si>
    <t>CAI-TUU</t>
  </si>
  <si>
    <t>SM325</t>
  </si>
  <si>
    <t>U2 &amp; O28 &amp; I63</t>
  </si>
  <si>
    <t>T9 &amp; X13 &amp; U10 &amp; O20 &amp; I40</t>
  </si>
  <si>
    <t>H1 &amp; Q1 &amp; K12 &amp; V21 &amp; L18 &amp; G5 &amp; T7 &amp; X12 &amp; U9 &amp; O8 &amp; I18</t>
  </si>
  <si>
    <t>U11 &amp; O5 &amp; I21</t>
  </si>
  <si>
    <t>U3 &amp; O1 &amp; I22</t>
  </si>
  <si>
    <t>S3 &amp; X4 &amp; U8 &amp; O14 &amp; I43</t>
  </si>
  <si>
    <t>U1 &amp; O3 &amp; I8</t>
  </si>
  <si>
    <t>O3 &amp; I6</t>
  </si>
  <si>
    <t>U5 &amp; O11 &amp; I15</t>
  </si>
  <si>
    <t>2025-10-23 00:00:00</t>
  </si>
  <si>
    <t>NO BOOKINGS YET</t>
  </si>
  <si>
    <t>NIL</t>
  </si>
  <si>
    <t>S1 &amp; U1 &amp; I9</t>
  </si>
  <si>
    <t>2025-11-10 00:00:00</t>
  </si>
  <si>
    <t>U1 &amp; O2</t>
  </si>
  <si>
    <t>17:05</t>
  </si>
  <si>
    <t>I63</t>
  </si>
  <si>
    <t>X13</t>
  </si>
  <si>
    <t>I40</t>
  </si>
  <si>
    <t>20:05</t>
  </si>
  <si>
    <t>H1</t>
  </si>
  <si>
    <t>Q1</t>
  </si>
  <si>
    <t>V21</t>
  </si>
  <si>
    <t>L18</t>
  </si>
  <si>
    <t>G5</t>
  </si>
  <si>
    <t>I18</t>
  </si>
  <si>
    <t>E90</t>
  </si>
  <si>
    <t>I21</t>
  </si>
  <si>
    <t>I22</t>
  </si>
  <si>
    <t>I43</t>
  </si>
  <si>
    <t>I15</t>
  </si>
  <si>
    <t>CAI-AJF</t>
  </si>
  <si>
    <t>SM321</t>
  </si>
  <si>
    <t>Q1 &amp; G52 &amp; S23 &amp; W20 &amp; T9 &amp; X34 &amp; O1 &amp; I9</t>
  </si>
  <si>
    <t>HIGH DEMAND</t>
  </si>
  <si>
    <t>V9</t>
  </si>
  <si>
    <t>V29 &amp; L22 &amp; G14 &amp; S25 &amp; W3 &amp; T15 &amp; X24 &amp; U8 &amp; O4 &amp; I17</t>
  </si>
  <si>
    <t>Q15 &amp; K14 &amp; V34 &amp; L13 &amp; G3 &amp; S6 &amp; W16 &amp; T12 &amp; X8 &amp; U9 &amp; O14 &amp; I4</t>
  </si>
  <si>
    <t>S1 &amp; T11 &amp; X50 &amp; U1 &amp; I3</t>
  </si>
  <si>
    <t>S1 &amp; X26 &amp; U4 &amp; O1</t>
  </si>
  <si>
    <t>L4 &amp; G1 &amp; S6 &amp; X19 &amp; U6 &amp; O6</t>
  </si>
  <si>
    <t>X3 &amp; O6</t>
  </si>
  <si>
    <t>S1 &amp; X10 &amp; O5</t>
  </si>
  <si>
    <t>S2 &amp; W1 &amp; X3 &amp; O2</t>
  </si>
  <si>
    <t>X9 &amp; O2</t>
  </si>
  <si>
    <t>S1 &amp; X1 &amp; O3</t>
  </si>
  <si>
    <t>K1 &amp; S1 &amp; T1 &amp; X3 &amp; O1</t>
  </si>
  <si>
    <t>2025-11-15 00:00:00</t>
  </si>
  <si>
    <t>X1 &amp; O4</t>
  </si>
  <si>
    <t>07:30</t>
  </si>
  <si>
    <t>G52</t>
  </si>
  <si>
    <t>S23</t>
  </si>
  <si>
    <t>W20</t>
  </si>
  <si>
    <t>X34</t>
  </si>
  <si>
    <t>18:25</t>
  </si>
  <si>
    <t>V29</t>
  </si>
  <si>
    <t>L22</t>
  </si>
  <si>
    <t>G14</t>
  </si>
  <si>
    <t>S25</t>
  </si>
  <si>
    <t>T15</t>
  </si>
  <si>
    <t>X24</t>
  </si>
  <si>
    <t>17:15</t>
  </si>
  <si>
    <t>Q15</t>
  </si>
  <si>
    <t>K14</t>
  </si>
  <si>
    <t>V34</t>
  </si>
  <si>
    <t>L13</t>
  </si>
  <si>
    <t>G3</t>
  </si>
  <si>
    <t>W16</t>
  </si>
  <si>
    <t>T12</t>
  </si>
  <si>
    <t>X8</t>
  </si>
  <si>
    <t>T11</t>
  </si>
  <si>
    <t>X50</t>
  </si>
  <si>
    <t>X26</t>
  </si>
  <si>
    <t>X3</t>
  </si>
  <si>
    <t>CAI-YNB</t>
  </si>
  <si>
    <t>SM441</t>
  </si>
  <si>
    <t>LAST SEATS</t>
  </si>
  <si>
    <t>M1</t>
  </si>
  <si>
    <t>M2 &amp; Q1 &amp; L13 &amp; G9 &amp; S5 &amp; W3 &amp; T5 &amp; X2 &amp; U15 &amp; P123</t>
  </si>
  <si>
    <t>S6 &amp; W10 &amp; T10 &amp; X10 &amp; P143</t>
  </si>
  <si>
    <t>L8 &amp; G18 &amp; S29 &amp; W3 &amp; T4 &amp; X2 &amp; P115</t>
  </si>
  <si>
    <t>V6 &amp; L25 &amp; G18 &amp; S9 &amp; W7 &amp; T12 &amp; X10 &amp; P92</t>
  </si>
  <si>
    <t>2025-11-14 00:00:00</t>
  </si>
  <si>
    <t>Q1 &amp; V1 &amp; L6 &amp; G18 &amp; S10 &amp; W2 &amp; T4 &amp; X2 &amp; P135</t>
  </si>
  <si>
    <t>Q2 &amp; K10 &amp; V13 &amp; L18 &amp; G18 &amp; S29 &amp; W3 &amp; T4 &amp; X2 &amp; P80</t>
  </si>
  <si>
    <t>B9</t>
  </si>
  <si>
    <t>B7 &amp; M1 &amp; H11 &amp; Q16 &amp; K16 &amp; V18 &amp; L17 &amp; G18 &amp; S9 &amp; W3 &amp; T4 &amp; X1 &amp; P45</t>
  </si>
  <si>
    <t>V9 &amp; L11 &amp; G20 &amp; S24 &amp; W19 &amp; T4 &amp; X2 &amp; P90</t>
  </si>
  <si>
    <t>G23 &amp; S9 &amp; W3 &amp; T2 &amp; X2 &amp; P140</t>
  </si>
  <si>
    <t>L1 &amp; G22 &amp; S9 &amp; W3 &amp; T4 &amp; X2 &amp; P135</t>
  </si>
  <si>
    <t>G8 &amp; S10 &amp; W8 &amp; T4 &amp; X2 &amp; P90</t>
  </si>
  <si>
    <t>S4</t>
  </si>
  <si>
    <t>S17 &amp; W3 &amp; T4 &amp; X2 &amp; P140</t>
  </si>
  <si>
    <t>S6 &amp; W4 &amp; T5 &amp; X21 &amp; U15 &amp; O24 &amp; I24</t>
  </si>
  <si>
    <t>G10 &amp; S8 &amp; W5 &amp; T2 &amp; X2 &amp; P140</t>
  </si>
  <si>
    <t>S1 &amp; W6 &amp; T4 &amp; X2 &amp; P135</t>
  </si>
  <si>
    <t>W1 &amp; T10 &amp; X10 &amp; P135</t>
  </si>
  <si>
    <t>W6 &amp; T6 &amp; X2 &amp; P135</t>
  </si>
  <si>
    <t>S9</t>
  </si>
  <si>
    <t>S2 &amp; W4 &amp; T4 &amp; X2 &amp; P137</t>
  </si>
  <si>
    <t>S2 &amp; W4 &amp; T4 &amp; X2 &amp; P140</t>
  </si>
  <si>
    <t>S1 &amp; W3 &amp; T3 &amp; X5 &amp; U3 &amp; O23 &amp; P45</t>
  </si>
  <si>
    <t>S11 &amp; W3 &amp; T4 &amp; X5 &amp; P135</t>
  </si>
  <si>
    <t>G1 &amp; S16 &amp; W3 &amp; T4 &amp; X2 &amp; E56 &amp; P90</t>
  </si>
  <si>
    <t>G1 &amp; S8 &amp; W3 &amp; T3 &amp; X2 &amp; P135</t>
  </si>
  <si>
    <t>W6 &amp; T8 &amp; X2 &amp; P135</t>
  </si>
  <si>
    <t>W8 &amp; T4 &amp; X2 &amp; P135</t>
  </si>
  <si>
    <t>S2 &amp; T6 &amp; X2 &amp; P140</t>
  </si>
  <si>
    <t>T3 &amp; X2 &amp; P180</t>
  </si>
  <si>
    <t>W2 &amp; T4 &amp; X2 &amp; P137</t>
  </si>
  <si>
    <t>S6 &amp; W3 &amp; T4 &amp; X2 &amp; P135</t>
  </si>
  <si>
    <t>T6 &amp; X2 &amp; P136</t>
  </si>
  <si>
    <t>S2 &amp; T2 &amp; X2 &amp; P135</t>
  </si>
  <si>
    <t>T3 &amp; X2 &amp; P135</t>
  </si>
  <si>
    <t>2025-11-09 00:00:00</t>
  </si>
  <si>
    <t>S2 &amp; W2 &amp; T4 &amp; X2 &amp; P135</t>
  </si>
  <si>
    <t>W1 &amp; T3 &amp; X2 &amp; P135</t>
  </si>
  <si>
    <t>05:10</t>
  </si>
  <si>
    <t>DEPARTED</t>
  </si>
  <si>
    <t>M2</t>
  </si>
  <si>
    <t>S5</t>
  </si>
  <si>
    <t>P123</t>
  </si>
  <si>
    <t>04:00</t>
  </si>
  <si>
    <t>P143</t>
  </si>
  <si>
    <t>20:00</t>
  </si>
  <si>
    <t>G18</t>
  </si>
  <si>
    <t>S29</t>
  </si>
  <si>
    <t>P115</t>
  </si>
  <si>
    <t>19:50</t>
  </si>
  <si>
    <t>L25</t>
  </si>
  <si>
    <t>P92</t>
  </si>
  <si>
    <t>10:30</t>
  </si>
  <si>
    <t>V1</t>
  </si>
  <si>
    <t>S10</t>
  </si>
  <si>
    <t>P135</t>
  </si>
  <si>
    <t>K10</t>
  </si>
  <si>
    <t>V13</t>
  </si>
  <si>
    <t>P80</t>
  </si>
  <si>
    <t>03:00</t>
  </si>
  <si>
    <t>B7</t>
  </si>
  <si>
    <t>H11</t>
  </si>
  <si>
    <t>Q16</t>
  </si>
  <si>
    <t>V18</t>
  </si>
  <si>
    <t>L17</t>
  </si>
  <si>
    <t>P45</t>
  </si>
  <si>
    <t>G20</t>
  </si>
  <si>
    <t>S24</t>
  </si>
  <si>
    <t>W19</t>
  </si>
  <si>
    <t>P90</t>
  </si>
  <si>
    <t>G23</t>
  </si>
  <si>
    <t>P140</t>
  </si>
  <si>
    <t>G22</t>
  </si>
  <si>
    <t>O24</t>
  </si>
  <si>
    <t>I24</t>
  </si>
  <si>
    <t>P137</t>
  </si>
  <si>
    <t>O23</t>
  </si>
  <si>
    <t>E56</t>
  </si>
  <si>
    <t>P180</t>
  </si>
  <si>
    <t>P136</t>
  </si>
  <si>
    <t>CAI-AHB</t>
  </si>
  <si>
    <t>SM447</t>
  </si>
  <si>
    <t>B5 &amp; M15 &amp; H14 &amp; Q20 &amp; K27 &amp; V27 &amp; L9 &amp; G9 &amp; S8 &amp; W8 &amp; T10 &amp; X15 &amp; U3 &amp; O3 &amp; I6</t>
  </si>
  <si>
    <t>SM443</t>
  </si>
  <si>
    <t>Y25 &amp; B15 &amp; M14 &amp; H25 &amp; Q12 &amp; K9 &amp; V8 &amp; L9 &amp; G9 &amp; S8 &amp; W13 &amp; T9 &amp; X8 &amp; U6 &amp; O6 &amp; I3</t>
  </si>
  <si>
    <t>Y73 &amp; B5 &amp; M9 &amp; H7 &amp; Q21 &amp; L9 &amp; G3 &amp; S10 &amp; W8 &amp; T9 &amp; X7 &amp; U5 &amp; O7 &amp; I6</t>
  </si>
  <si>
    <t>V18 &amp; L48 &amp; S7 &amp; W8 &amp; T6 &amp; X8 &amp; U7 &amp; O6</t>
  </si>
  <si>
    <t>V5 &amp; L18 &amp; G20 &amp; S24 &amp; W33 &amp; T2 &amp; X7 &amp; U7 &amp; O7</t>
  </si>
  <si>
    <t>L1 &amp; G18 &amp; S18 &amp; W27 &amp; T4 &amp; X9 &amp; U8 &amp; O6</t>
  </si>
  <si>
    <t>L3 &amp; S4 &amp; W34 &amp; T5 &amp; X3 &amp; U8 &amp; O4</t>
  </si>
  <si>
    <t>L3 &amp; S7 &amp; W21 &amp; T3 &amp; X2 &amp; U8 &amp; O4</t>
  </si>
  <si>
    <t>L2 &amp; G2 &amp; S3 &amp; W17 &amp; X8 &amp; U9 &amp; O2</t>
  </si>
  <si>
    <t>W6 &amp; X3 &amp; U10 &amp; O4</t>
  </si>
  <si>
    <t>W14 &amp; X1 &amp; U10 &amp; O4</t>
  </si>
  <si>
    <t>S8 &amp; W4 &amp; X11 &amp; U4</t>
  </si>
  <si>
    <t>L2 &amp; S1 &amp; W7 &amp; X3 &amp; U6 &amp; O3</t>
  </si>
  <si>
    <t>L1 &amp; S1 &amp; W5 &amp; U1 &amp; O5</t>
  </si>
  <si>
    <t>20:15</t>
  </si>
  <si>
    <t>B5</t>
  </si>
  <si>
    <t>M15</t>
  </si>
  <si>
    <t>H14</t>
  </si>
  <si>
    <t>Q20</t>
  </si>
  <si>
    <t>K27</t>
  </si>
  <si>
    <t>V27</t>
  </si>
  <si>
    <t>X15</t>
  </si>
  <si>
    <t>19:15</t>
  </si>
  <si>
    <t>Y25</t>
  </si>
  <si>
    <t>B15</t>
  </si>
  <si>
    <t>M14</t>
  </si>
  <si>
    <t>H25</t>
  </si>
  <si>
    <t>Q12</t>
  </si>
  <si>
    <t>V8</t>
  </si>
  <si>
    <t>Y73</t>
  </si>
  <si>
    <t>H7</t>
  </si>
  <si>
    <t>Q21</t>
  </si>
  <si>
    <t>L48</t>
  </si>
  <si>
    <t>W33</t>
  </si>
  <si>
    <t>W27</t>
  </si>
  <si>
    <t>L3</t>
  </si>
  <si>
    <t>W34</t>
  </si>
  <si>
    <t>W21</t>
  </si>
  <si>
    <t>L2</t>
  </si>
  <si>
    <t>W14</t>
  </si>
  <si>
    <t>X11</t>
  </si>
  <si>
    <t>CAI-ELQ</t>
  </si>
  <si>
    <t>SM427</t>
  </si>
  <si>
    <t>G20 &amp; S39 &amp; W53 &amp; X1 &amp; U1 &amp; O4 &amp; I26</t>
  </si>
  <si>
    <t>Q2 &amp; K9 &amp; V10 &amp; L9 &amp; G17 &amp; S10 &amp; W10 &amp; T21 &amp; X16 &amp; U3 &amp; O6 &amp; I8</t>
  </si>
  <si>
    <t>H8</t>
  </si>
  <si>
    <t>M16 &amp; H41 &amp; K9 &amp; V7 &amp; L9 &amp; G10 &amp; S8 &amp; W5 &amp; T6 &amp; X7 &amp; U9 &amp; O11</t>
  </si>
  <si>
    <t>H1 &amp; K2 &amp; V44 &amp; L9 &amp; G10 &amp; S15 &amp; W11 &amp; T10 &amp; X12 &amp; U5 &amp; O8 &amp; I4 &amp; N2</t>
  </si>
  <si>
    <t>G3 &amp; S5 &amp; W33 &amp; X1 &amp; O6</t>
  </si>
  <si>
    <t>G3 &amp; S5 &amp; W8 &amp; T13 &amp; U7 &amp; O6</t>
  </si>
  <si>
    <t>G1 &amp; W1 &amp; T14 &amp; U1 &amp; O7</t>
  </si>
  <si>
    <t>W4 &amp; T7 &amp; O5</t>
  </si>
  <si>
    <t>T4 &amp; O4</t>
  </si>
  <si>
    <t>G5 &amp; W4 &amp; T7 &amp; U6 &amp; O6</t>
  </si>
  <si>
    <t>W1 &amp; X1</t>
  </si>
  <si>
    <t>W3 &amp; O5</t>
  </si>
  <si>
    <t>W3 &amp; O1</t>
  </si>
  <si>
    <t>2025-11-13 00:00:00</t>
  </si>
  <si>
    <t>W5 &amp; O2</t>
  </si>
  <si>
    <t>15:10</t>
  </si>
  <si>
    <t>S39</t>
  </si>
  <si>
    <t>W53</t>
  </si>
  <si>
    <t>V10</t>
  </si>
  <si>
    <t>19:55</t>
  </si>
  <si>
    <t>M16</t>
  </si>
  <si>
    <t>H41</t>
  </si>
  <si>
    <t>K2</t>
  </si>
  <si>
    <t>V44</t>
  </si>
  <si>
    <t>W11</t>
  </si>
  <si>
    <t>N2</t>
  </si>
  <si>
    <t>T13</t>
  </si>
  <si>
    <t>CAI-GIZ</t>
  </si>
  <si>
    <t>SM329</t>
  </si>
  <si>
    <t>H1 &amp; Q10 &amp; K29 &amp; V20 &amp; L8 &amp; G7 &amp; S9 &amp; W9 &amp; T10 &amp; X6 &amp; U8 &amp; O9 &amp; I4</t>
  </si>
  <si>
    <t>M5 &amp; H20 &amp; Q16 &amp; K8 &amp; V5 &amp; L9 &amp; G7 &amp; S9 &amp; W7 &amp; T10 &amp; X9 &amp; U9 &amp; O9 &amp; I2</t>
  </si>
  <si>
    <t>X18 &amp; U30 &amp; O30</t>
  </si>
  <si>
    <t>X10 &amp; U6 &amp; O22 &amp; I3</t>
  </si>
  <si>
    <t>S3 &amp; X1 &amp; O6</t>
  </si>
  <si>
    <t>X7 &amp; U1 &amp; O9</t>
  </si>
  <si>
    <t>2025-10-29 00:00:00</t>
  </si>
  <si>
    <t>S1 &amp; O2</t>
  </si>
  <si>
    <t>S2 &amp; X19 &amp; U1 &amp; O8</t>
  </si>
  <si>
    <t>X3 &amp; O1</t>
  </si>
  <si>
    <t>19:30</t>
  </si>
  <si>
    <t>Q10</t>
  </si>
  <si>
    <t>K29</t>
  </si>
  <si>
    <t>X6</t>
  </si>
  <si>
    <t>M5</t>
  </si>
  <si>
    <t>H20</t>
  </si>
  <si>
    <t>K8</t>
  </si>
  <si>
    <t>X18</t>
  </si>
  <si>
    <t>U30</t>
  </si>
  <si>
    <t>O22</t>
  </si>
  <si>
    <t>CAI-JED</t>
  </si>
  <si>
    <t>SM475</t>
  </si>
  <si>
    <t>S4 &amp; X4 &amp; U12 &amp; O11 &amp; I19 &amp; P130</t>
  </si>
  <si>
    <t>SM477</t>
  </si>
  <si>
    <t>X4 &amp; U16 &amp; O8 &amp; I20 &amp; P132</t>
  </si>
  <si>
    <t>SM459</t>
  </si>
  <si>
    <t>G7 &amp; S26 &amp; W28 &amp; T10 &amp; X11 &amp; U12 &amp; O14 &amp; I21 &amp; P50</t>
  </si>
  <si>
    <t>SM471</t>
  </si>
  <si>
    <t>V4 &amp; L11 &amp; G11 &amp; S11 &amp; W12 &amp; T11 &amp; X28 &amp; U10 &amp; O11 &amp; I21 &amp; P46</t>
  </si>
  <si>
    <t>SM479</t>
  </si>
  <si>
    <t>S4 &amp; T1 &amp; X9 &amp; U10 &amp; O10 &amp; I5 &amp; P139 &amp; N3</t>
  </si>
  <si>
    <t>S7 &amp; W12 &amp; T12 &amp; X10 &amp; U12 &amp; O22 &amp; I10 &amp; P95</t>
  </si>
  <si>
    <t>S11 &amp; U18 &amp; O22 &amp; I6 &amp; E40 &amp; P80</t>
  </si>
  <si>
    <t>SM423</t>
  </si>
  <si>
    <t>S5 &amp; W2 &amp; T11 &amp; X11 &amp; U17 &amp; O23 &amp; I20 &amp; P90</t>
  </si>
  <si>
    <t>V6 &amp; L12 &amp; G26 &amp; S28 &amp; W12 &amp; T19 &amp; X21 &amp; U29 &amp; O11 &amp; I10 &amp; P2 &amp; N1</t>
  </si>
  <si>
    <t>S4 &amp; W3 &amp; T11 &amp; X19 &amp; U17 &amp; O18 &amp; I18 &amp; P90</t>
  </si>
  <si>
    <t>G2 &amp; S18 &amp; W18 &amp; T18 &amp; X20 &amp; U16 &amp; O18 &amp; I18 &amp; P51</t>
  </si>
  <si>
    <t>T11 &amp; X21 &amp; U18 &amp; O18 &amp; I18 &amp; P90 &amp; N3</t>
  </si>
  <si>
    <t>S3 &amp; W6 &amp; T11 &amp; X12 &amp; U12 &amp; O10 &amp; I11 &amp; P114</t>
  </si>
  <si>
    <t>V14 &amp; L16 &amp; G33 &amp; S33 &amp; W18 &amp; T24 &amp; X10 &amp; U11 &amp; O9 &amp; I10</t>
  </si>
  <si>
    <t>SM449</t>
  </si>
  <si>
    <t>V9 &amp; L10 &amp; G24 &amp; S30 &amp; W22 &amp; T20 &amp; X19 &amp; U12 &amp; O11 &amp; I21</t>
  </si>
  <si>
    <t>L3 &amp; G11 &amp; S21 &amp; W9 &amp; T9 &amp; X23 &amp; U12 &amp; O5 &amp; I21 &amp; P65</t>
  </si>
  <si>
    <t>SM431</t>
  </si>
  <si>
    <t>V4 &amp; L10 &amp; G25 &amp; S46 &amp; W9 &amp; T20 &amp; X5 &amp; U5 &amp; O5 &amp; I5 &amp; P45</t>
  </si>
  <si>
    <t>2025-10-30 00:00:00</t>
  </si>
  <si>
    <t>X1 &amp; U12 &amp; O11 &amp; I21 &amp; P135</t>
  </si>
  <si>
    <t>K3 &amp; L5 &amp; S3 &amp; W2 &amp; T3 &amp; X13 &amp; U6 &amp; O4 &amp; I5 &amp; P132</t>
  </si>
  <si>
    <t>K6 &amp; V25 &amp; L25 &amp; G11 &amp; S22 &amp; W12 &amp; T9 &amp; X12 &amp; U21 &amp; O11 &amp; I10 &amp; N4</t>
  </si>
  <si>
    <t>K9 &amp; V11 &amp; L24 &amp; G11 &amp; S14 &amp; W11 &amp; T9 &amp; X11 &amp; U23 &amp; O11 &amp; I10 &amp; P35 &amp; N1</t>
  </si>
  <si>
    <t>K6</t>
  </si>
  <si>
    <t>K3 &amp; V10 &amp; L35 &amp; G38 &amp; S10 &amp; W11 &amp; T11 &amp; X11 &amp; U12 &amp; O22 &amp; I10</t>
  </si>
  <si>
    <t>K3 &amp; V22 &amp; L32 &amp; G8 &amp; S9 &amp; W9 &amp; T9 &amp; X9 &amp; U8 &amp; O8 &amp; I17 &amp; P45</t>
  </si>
  <si>
    <t>K9 &amp; V30 &amp; L41 &amp; G11 &amp; S11 &amp; W11 &amp; T10 &amp; X18 &amp; U11 &amp; O11 &amp; I10</t>
  </si>
  <si>
    <t>Q2 &amp; K25 &amp; V29 &amp; L26 &amp; G10 &amp; S12 &amp; W21 &amp; T13 &amp; X9 &amp; U12 &amp; O11 &amp; I10</t>
  </si>
  <si>
    <t>V1 &amp; G15 &amp; S21 &amp; W20 &amp; T42 &amp; X9 &amp; U12 &amp; O11 &amp; I10 &amp; P45</t>
  </si>
  <si>
    <t>G5 &amp; X7 &amp; U11 &amp; O11 &amp; I10 &amp; P135 &amp; N1</t>
  </si>
  <si>
    <t>2025-11-12 00:00:00</t>
  </si>
  <si>
    <t>Y3 &amp; K8 &amp; V9 &amp; L15 &amp; G9 &amp; S10 &amp; W18 &amp; T9 &amp; X9 &amp; P90</t>
  </si>
  <si>
    <t>H4 &amp; Q10 &amp; K13 &amp; V20 &amp; L18 &amp; G16 &amp; S21 &amp; W12 &amp; T11 &amp; X11 &amp; U12 &amp; O11 &amp; I10 &amp; N3</t>
  </si>
  <si>
    <t>2025-11-05 00:00:00</t>
  </si>
  <si>
    <t>G2 &amp; S10 &amp; W12 &amp; T11 &amp; X11 &amp; U23 &amp; O11 &amp; I10 &amp; P90</t>
  </si>
  <si>
    <t>V4 &amp; L11 &amp; G29 &amp; S12 &amp; W9 &amp; T10 &amp; X4 &amp; U5 &amp; O5 &amp; I5 &amp; E40 &amp; P46</t>
  </si>
  <si>
    <t>G7 &amp; S9 &amp; W11 &amp; T10 &amp; X10 &amp; U12 &amp; O22 &amp; I10 &amp; P89</t>
  </si>
  <si>
    <t>L8 &amp; G21 &amp; S22 &amp; W10 &amp; T8 &amp; X20 &amp; P90</t>
  </si>
  <si>
    <t>V5 &amp; L10 &amp; G23 &amp; S11 &amp; W7 &amp; T9 &amp; X9 &amp; U5 &amp; O5 &amp; I5 &amp; P90</t>
  </si>
  <si>
    <t>S5 &amp; W10 &amp; T15 &amp; X16 &amp; U11 &amp; O11 &amp; I10 &amp; P96 &amp; N4</t>
  </si>
  <si>
    <t>V5 &amp; S5 &amp; X5 &amp; U11 &amp; O11 &amp; I11 &amp; P115</t>
  </si>
  <si>
    <t>V4 &amp; L10 &amp; G12 &amp; S16 &amp; W6 &amp; T22 &amp; X11 &amp; U11 &amp; O11 &amp; I10</t>
  </si>
  <si>
    <t>S4 &amp; W7 &amp; T12 &amp; X18 &amp; U11 &amp; O11 &amp; I10 &amp; P60</t>
  </si>
  <si>
    <t>K7</t>
  </si>
  <si>
    <t>S3 &amp; X7 &amp; U11 &amp; O11 &amp; I10 &amp; A40 &amp; P90</t>
  </si>
  <si>
    <t>S2 &amp; W3 &amp; T18 &amp; X11 &amp; U16 &amp; O11 &amp; I10 &amp; P93 &amp; N4</t>
  </si>
  <si>
    <t>W8 &amp; T13 &amp; X10 &amp; U16 &amp; O11 &amp; I10 &amp; P95</t>
  </si>
  <si>
    <t>S2 &amp; W5 &amp; T12 &amp; X17 &amp; U22 &amp; O11 &amp; I10 &amp; P45</t>
  </si>
  <si>
    <t>W5 &amp; T12 &amp; X11 &amp; U11 &amp; O11 &amp; I10 &amp; P45</t>
  </si>
  <si>
    <t>T12 &amp; X11 &amp; U11 &amp; O16 &amp; I10 &amp; P20</t>
  </si>
  <si>
    <t>S7 &amp; T5 &amp; X11 &amp; U19 &amp; O21 &amp; I10 &amp; E45 &amp; P45</t>
  </si>
  <si>
    <t>U9 &amp; O16 &amp; I10 &amp; E45 &amp; P90</t>
  </si>
  <si>
    <t>S8 &amp; W3 &amp; T9 &amp; X11 &amp; U11 &amp; O21 &amp; I10 &amp; P45</t>
  </si>
  <si>
    <t>S2 &amp; T4 &amp; X11 &amp; U13 &amp; O22 &amp; I10</t>
  </si>
  <si>
    <t>S1 &amp; T1 &amp; X9 &amp; U11 &amp; O11 &amp; I21 &amp; P2 &amp; N1</t>
  </si>
  <si>
    <t>S1 &amp; X14 &amp; U11 &amp; O11 &amp; I10 &amp; P70</t>
  </si>
  <si>
    <t>S2 &amp; X10 &amp; U9 &amp; O15 &amp; I11 &amp; N3</t>
  </si>
  <si>
    <t>S6 &amp; X18 &amp; U9 &amp; O11 &amp; I12 &amp; P100 &amp; N2</t>
  </si>
  <si>
    <t>S2 &amp; T2 &amp; X11 &amp; U11 &amp; O11 &amp; I10 &amp; P92</t>
  </si>
  <si>
    <t>S6 &amp; X11 &amp; U21 &amp; O22 &amp; I10</t>
  </si>
  <si>
    <t>X5 &amp; U22 &amp; O11 &amp; I10 &amp; P45</t>
  </si>
  <si>
    <t>S1 &amp; X1 &amp; U11 &amp; O22 &amp; I10</t>
  </si>
  <si>
    <t>X2 &amp; U11 &amp; O22 &amp; I10</t>
  </si>
  <si>
    <t>S3 &amp; X7 &amp; U22 &amp; O11 &amp; I10</t>
  </si>
  <si>
    <t>S2 &amp; X9 &amp; U22 &amp; O11 &amp; I10</t>
  </si>
  <si>
    <t>U6 &amp; O22 &amp; I10 &amp; E45 &amp; P45</t>
  </si>
  <si>
    <t>S1 &amp; X2 &amp; U10 &amp; O11 &amp; I10 &amp; P90</t>
  </si>
  <si>
    <t>U10 &amp; O22 &amp; I10 &amp; P135</t>
  </si>
  <si>
    <t>T1 &amp; X2 &amp; U10 &amp; O22 &amp; I10</t>
  </si>
  <si>
    <t>W1 &amp; O11 &amp; I21 &amp; P45</t>
  </si>
  <si>
    <t>U1 &amp; O5 &amp; I25</t>
  </si>
  <si>
    <t>O11 &amp; I10 &amp; P135</t>
  </si>
  <si>
    <t>U4 &amp; O22 &amp; I10 &amp; P135</t>
  </si>
  <si>
    <t>S4 &amp; U3 &amp; O22 &amp; I10</t>
  </si>
  <si>
    <t>U2 &amp; O11 &amp; I10 &amp; P135</t>
  </si>
  <si>
    <t>X1 &amp; O11 &amp; I10 &amp; P135</t>
  </si>
  <si>
    <t>O11 &amp; I21 &amp; P90</t>
  </si>
  <si>
    <t>S2 &amp; O2 &amp; I21</t>
  </si>
  <si>
    <t>S4 &amp; O14 &amp; I10 &amp; P90</t>
  </si>
  <si>
    <t>O18 &amp; I10 &amp; P45</t>
  </si>
  <si>
    <t>U1 &amp; O11 &amp; I10 &amp; P135</t>
  </si>
  <si>
    <t>O11 &amp; I21</t>
  </si>
  <si>
    <t>O9 &amp; I21 &amp; P45</t>
  </si>
  <si>
    <t>O14 &amp; I21 &amp; P135 &amp; N1</t>
  </si>
  <si>
    <t>O9 &amp; I10 &amp; P135</t>
  </si>
  <si>
    <t>U1 &amp; O11 &amp; I10 &amp; P90</t>
  </si>
  <si>
    <t>X3 &amp; U1 &amp; O11 &amp; I10 &amp; E45 &amp; N1</t>
  </si>
  <si>
    <t>O8 &amp; I21</t>
  </si>
  <si>
    <t>I21 &amp; P45</t>
  </si>
  <si>
    <t>S1 &amp; O1 &amp; I10</t>
  </si>
  <si>
    <t>O2 &amp; I10 &amp; P140 &amp; N4</t>
  </si>
  <si>
    <t>U1 &amp; O12 &amp; I11 &amp; P90</t>
  </si>
  <si>
    <t>O10 &amp; I10</t>
  </si>
  <si>
    <t>O10 &amp; I10 &amp; P45 &amp; N2</t>
  </si>
  <si>
    <t>S6 &amp; O2 &amp; I10</t>
  </si>
  <si>
    <t>S1 &amp; O2 &amp; I10</t>
  </si>
  <si>
    <t>O5 &amp; I10</t>
  </si>
  <si>
    <t>W2 &amp; O11 &amp; I10</t>
  </si>
  <si>
    <t>O2 &amp; I10 &amp; P45</t>
  </si>
  <si>
    <t>O5 &amp; I10 &amp; P140</t>
  </si>
  <si>
    <t>S2 &amp; U2 &amp; O11 &amp; I10 &amp; P135</t>
  </si>
  <si>
    <t>U3 &amp; O11 &amp; I10</t>
  </si>
  <si>
    <t>O1 &amp; I10 &amp; P45</t>
  </si>
  <si>
    <t>O4 &amp; I5 &amp; P45</t>
  </si>
  <si>
    <t>O2 &amp; I10 &amp; P165</t>
  </si>
  <si>
    <t>I10 &amp; P135</t>
  </si>
  <si>
    <t>U2 &amp; O11 &amp; I10</t>
  </si>
  <si>
    <t>O7 &amp; I10 &amp; P135 &amp; N4</t>
  </si>
  <si>
    <t>O7 &amp; I10 &amp; P90</t>
  </si>
  <si>
    <t>X2 &amp; U3 &amp; O11 &amp; I10</t>
  </si>
  <si>
    <t>I10 &amp; P45</t>
  </si>
  <si>
    <t>O1 &amp; I10 &amp; P90</t>
  </si>
  <si>
    <t>W2 &amp; X13 &amp; O2 &amp; I10</t>
  </si>
  <si>
    <t>O3 &amp; I10 &amp; P90</t>
  </si>
  <si>
    <t>O6 &amp; I10 &amp; P90</t>
  </si>
  <si>
    <t>I8 &amp; P135</t>
  </si>
  <si>
    <t>O4 &amp; I10</t>
  </si>
  <si>
    <t>X2 &amp; I10</t>
  </si>
  <si>
    <t>I4 &amp; E45 &amp; P45</t>
  </si>
  <si>
    <t>O10 &amp; I10 &amp; P135</t>
  </si>
  <si>
    <t>O10 &amp; I10 &amp; P90</t>
  </si>
  <si>
    <t>O4 &amp; I10 &amp; E120</t>
  </si>
  <si>
    <t>S2 &amp; W2 &amp; O1 &amp; I10</t>
  </si>
  <si>
    <t>2025-10-28 00:00:00</t>
  </si>
  <si>
    <t>O7 &amp; I10</t>
  </si>
  <si>
    <t>X4 &amp; U11 &amp; O12 &amp; I9</t>
  </si>
  <si>
    <t>O4 &amp; I10 &amp; P135</t>
  </si>
  <si>
    <t>O2 &amp; I10 &amp; P137</t>
  </si>
  <si>
    <t>O11 &amp; I10 &amp; P35</t>
  </si>
  <si>
    <t>X2 &amp; I10 &amp; P45</t>
  </si>
  <si>
    <t>I5 &amp; P45</t>
  </si>
  <si>
    <t>X2 &amp; O1 &amp; I9 &amp; P135</t>
  </si>
  <si>
    <t>O3 &amp; I9</t>
  </si>
  <si>
    <t>2025-11-01 00:00:00</t>
  </si>
  <si>
    <t>I1 &amp; E45</t>
  </si>
  <si>
    <t>I3 &amp; P90</t>
  </si>
  <si>
    <t>2025-11-06 00:00:00</t>
  </si>
  <si>
    <t>I1 &amp; E45 &amp; P90</t>
  </si>
  <si>
    <t>I7 &amp; P145</t>
  </si>
  <si>
    <t>I10 &amp; E45 &amp; P45</t>
  </si>
  <si>
    <t>S2 &amp; I10 &amp; P90</t>
  </si>
  <si>
    <t>O3 &amp; I9 &amp; P90</t>
  </si>
  <si>
    <t>O11 &amp; I10 &amp; P90</t>
  </si>
  <si>
    <t>X1 &amp; I2 &amp; P90</t>
  </si>
  <si>
    <t>I7 &amp; P90</t>
  </si>
  <si>
    <t>G3 &amp; U3 &amp; O10 &amp; I10 &amp; P105</t>
  </si>
  <si>
    <t>G6 &amp; X7 &amp; I9 &amp; E40</t>
  </si>
  <si>
    <t>I8 &amp; E45</t>
  </si>
  <si>
    <t>S3 &amp; T1 &amp; O1 &amp; I10</t>
  </si>
  <si>
    <t>05:55</t>
  </si>
  <si>
    <t>U12</t>
  </si>
  <si>
    <t>I19</t>
  </si>
  <si>
    <t>P130</t>
  </si>
  <si>
    <t>U16</t>
  </si>
  <si>
    <t>P132</t>
  </si>
  <si>
    <t>S26</t>
  </si>
  <si>
    <t>W28</t>
  </si>
  <si>
    <t>P50</t>
  </si>
  <si>
    <t>01:15</t>
  </si>
  <si>
    <t>G11</t>
  </si>
  <si>
    <t>P46</t>
  </si>
  <si>
    <t>P139</t>
  </si>
  <si>
    <t>N3</t>
  </si>
  <si>
    <t>P95</t>
  </si>
  <si>
    <t>13:15</t>
  </si>
  <si>
    <t>E40</t>
  </si>
  <si>
    <t>18:10</t>
  </si>
  <si>
    <t>U17</t>
  </si>
  <si>
    <t>19:00</t>
  </si>
  <si>
    <t>G26</t>
  </si>
  <si>
    <t>S28</t>
  </si>
  <si>
    <t>T19</t>
  </si>
  <si>
    <t>U29</t>
  </si>
  <si>
    <t>P2</t>
  </si>
  <si>
    <t>05:35</t>
  </si>
  <si>
    <t>08:10</t>
  </si>
  <si>
    <t>W18</t>
  </si>
  <si>
    <t>X20</t>
  </si>
  <si>
    <t>P51</t>
  </si>
  <si>
    <t>08:15</t>
  </si>
  <si>
    <t>P114</t>
  </si>
  <si>
    <t>22:30</t>
  </si>
  <si>
    <t>G33</t>
  </si>
  <si>
    <t>S33</t>
  </si>
  <si>
    <t>T24</t>
  </si>
  <si>
    <t>01:35</t>
  </si>
  <si>
    <t>G24</t>
  </si>
  <si>
    <t>S30</t>
  </si>
  <si>
    <t>W22</t>
  </si>
  <si>
    <t>T20</t>
  </si>
  <si>
    <t>03:45</t>
  </si>
  <si>
    <t>X23</t>
  </si>
  <si>
    <t>P65</t>
  </si>
  <si>
    <t>04:30</t>
  </si>
  <si>
    <t>G25</t>
  </si>
  <si>
    <t>S46</t>
  </si>
  <si>
    <t>13:30</t>
  </si>
  <si>
    <t>V25</t>
  </si>
  <si>
    <t>S22</t>
  </si>
  <si>
    <t>U21</t>
  </si>
  <si>
    <t>N4</t>
  </si>
  <si>
    <t>03:25</t>
  </si>
  <si>
    <t>V11</t>
  </si>
  <si>
    <t>L24</t>
  </si>
  <si>
    <t>S14</t>
  </si>
  <si>
    <t>U23</t>
  </si>
  <si>
    <t>P35</t>
  </si>
  <si>
    <t>06:45</t>
  </si>
  <si>
    <t>L35</t>
  </si>
  <si>
    <t>G38</t>
  </si>
  <si>
    <t>V22</t>
  </si>
  <si>
    <t>L32</t>
  </si>
  <si>
    <t>13:25</t>
  </si>
  <si>
    <t>V30</t>
  </si>
  <si>
    <t>L41</t>
  </si>
  <si>
    <t>18:15</t>
  </si>
  <si>
    <t>K25</t>
  </si>
  <si>
    <t>L26</t>
  </si>
  <si>
    <t>S12</t>
  </si>
  <si>
    <t>01:10</t>
  </si>
  <si>
    <t>G15</t>
  </si>
  <si>
    <t>T42</t>
  </si>
  <si>
    <t>12:05</t>
  </si>
  <si>
    <t>Y3</t>
  </si>
  <si>
    <t>L15</t>
  </si>
  <si>
    <t>21:45</t>
  </si>
  <si>
    <t>K13</t>
  </si>
  <si>
    <t>G16</t>
  </si>
  <si>
    <t>G29</t>
  </si>
  <si>
    <t>08:00</t>
  </si>
  <si>
    <t>P89</t>
  </si>
  <si>
    <t>10:55</t>
  </si>
  <si>
    <t>P96</t>
  </si>
  <si>
    <t>T22</t>
  </si>
  <si>
    <t>P60</t>
  </si>
  <si>
    <t>A40</t>
  </si>
  <si>
    <t>P93</t>
  </si>
  <si>
    <t>X17</t>
  </si>
  <si>
    <t>U22</t>
  </si>
  <si>
    <t>P20</t>
  </si>
  <si>
    <t>O21</t>
  </si>
  <si>
    <t>E45</t>
  </si>
  <si>
    <t>X14</t>
  </si>
  <si>
    <t>P70</t>
  </si>
  <si>
    <t>I12</t>
  </si>
  <si>
    <t>P100</t>
  </si>
  <si>
    <t>I25</t>
  </si>
  <si>
    <t>O12</t>
  </si>
  <si>
    <t>P165</t>
  </si>
  <si>
    <t>07:15</t>
  </si>
  <si>
    <t>E120</t>
  </si>
  <si>
    <t>P145</t>
  </si>
  <si>
    <t>P105</t>
  </si>
  <si>
    <t>G6</t>
  </si>
  <si>
    <t>CAI-MED</t>
  </si>
  <si>
    <t>SM493</t>
  </si>
  <si>
    <t>V1 &amp; X5 &amp; U10 &amp; O11 &amp; I10 &amp; P139</t>
  </si>
  <si>
    <t>SM495</t>
  </si>
  <si>
    <t>V6 &amp; G1 &amp; I9 &amp; P161 &amp; N2</t>
  </si>
  <si>
    <t>SM487</t>
  </si>
  <si>
    <t>T10 &amp; X10 &amp; U10 &amp; O10 &amp; I10 &amp; P125</t>
  </si>
  <si>
    <t>G3 &amp; U3 &amp; O12 &amp; I8 &amp; E65 &amp; P87 &amp; N2</t>
  </si>
  <si>
    <t>L1 &amp; O3 &amp; I8 &amp; P168</t>
  </si>
  <si>
    <t>G2 &amp; X7 &amp; U11 &amp; O11 &amp; I10 &amp; P135 &amp; N3</t>
  </si>
  <si>
    <t>L4 &amp; X8 &amp; U11 &amp; O11 &amp; I10 &amp; P135</t>
  </si>
  <si>
    <t>S11 &amp; W11 &amp; T15 &amp; X22 &amp; U10 &amp; O11 &amp; I10 &amp; P45</t>
  </si>
  <si>
    <t>S10 &amp; W9 &amp; T15 &amp; X20 &amp; U10 &amp; O10 &amp; I10 &amp; P95</t>
  </si>
  <si>
    <t>S10 &amp; W11 &amp; T12 &amp; X11 &amp; U11 &amp; O11 &amp; I10 &amp; P90</t>
  </si>
  <si>
    <t>G1 &amp; O1 &amp; I11 &amp; P169</t>
  </si>
  <si>
    <t>X2 &amp; U10 &amp; O11 &amp; I10 &amp; E4 &amp; P140</t>
  </si>
  <si>
    <t>W5 &amp; X8 &amp; U8 &amp; O8 &amp; I8 &amp; E85 &amp; P45</t>
  </si>
  <si>
    <t>X2 &amp; U11 &amp; O11 &amp; I10 &amp; P90</t>
  </si>
  <si>
    <t>X3 &amp; U10 &amp; O29 &amp; I10 &amp; P125</t>
  </si>
  <si>
    <t>X2 &amp; U12 &amp; O11 &amp; I10 &amp; E100 &amp; P45</t>
  </si>
  <si>
    <t>G1 &amp; S2 &amp; I1 &amp; P175</t>
  </si>
  <si>
    <t>X1 &amp; U7 &amp; O10 &amp; I10 &amp; P135</t>
  </si>
  <si>
    <t>2025-11-03 00:00:00</t>
  </si>
  <si>
    <t>I3 &amp; E40 &amp; P135</t>
  </si>
  <si>
    <t>U1 &amp; I10 &amp; P90</t>
  </si>
  <si>
    <t>O4 &amp; I8 &amp; E75 &amp; P90</t>
  </si>
  <si>
    <t>T5 &amp; P140</t>
  </si>
  <si>
    <t>T1 &amp; P175</t>
  </si>
  <si>
    <t>2025-10-14 00:00:00</t>
  </si>
  <si>
    <t>T5 &amp; E170</t>
  </si>
  <si>
    <t>W9 &amp; T10 &amp; P135</t>
  </si>
  <si>
    <t>T10 &amp; E160 &amp; N2</t>
  </si>
  <si>
    <t>T4 &amp; P140</t>
  </si>
  <si>
    <t>17:50</t>
  </si>
  <si>
    <t>20:50</t>
  </si>
  <si>
    <t>P161</t>
  </si>
  <si>
    <t>02:50</t>
  </si>
  <si>
    <t>P125</t>
  </si>
  <si>
    <t>19:40</t>
  </si>
  <si>
    <t>E65</t>
  </si>
  <si>
    <t>P87</t>
  </si>
  <si>
    <t>P168</t>
  </si>
  <si>
    <t>05:40</t>
  </si>
  <si>
    <t>P169</t>
  </si>
  <si>
    <t>E4</t>
  </si>
  <si>
    <t>E85</t>
  </si>
  <si>
    <t>O29</t>
  </si>
  <si>
    <t>E100</t>
  </si>
  <si>
    <t>P175</t>
  </si>
  <si>
    <t>E75</t>
  </si>
  <si>
    <t>E170</t>
  </si>
  <si>
    <t>E160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</si>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</sst>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6" formatCode="dddd\,\ mmmm\ dd\,\ yyyy"/>
    <numFmt numFmtId="167" formatCode="h:mm;@"/>
    <numFmt numFmtId="168" formatCode="0.0%"/>
    <numFmt numFmtId="169" formatCode="[$-409]dddd"/>
  </numFmts>
  <fonts count="2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6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3" fillId="8" borderId="5" xfId="0" applyNumberFormat="1" applyFont="1" applyFill="1" applyBorder="1" applyAlignment="1">
      <alignment horizontal="center" vertical="center"/>
    </xf>
    <xf numFmtId="168" fontId="13" fillId="8" borderId="6" xfId="0" applyNumberFormat="1" applyFont="1" applyFill="1" applyBorder="1" applyAlignment="1">
      <alignment horizontal="center" vertical="center"/>
    </xf>
    <xf numFmtId="1" fontId="13" fillId="8" borderId="6" xfId="0" applyNumberFormat="1" applyFont="1" applyFill="1" applyBorder="1" applyAlignment="1">
      <alignment horizontal="center" vertical="center"/>
    </xf>
    <xf numFmtId="16" fontId="13" fillId="8" borderId="6" xfId="0" applyNumberFormat="1" applyFont="1" applyFill="1" applyBorder="1" applyAlignment="1">
      <alignment horizontal="center" vertical="center"/>
    </xf>
    <xf numFmtId="49" fontId="14" fillId="8" borderId="6" xfId="0" applyNumberFormat="1" applyFont="1" applyFill="1" applyBorder="1" applyAlignment="1">
      <alignment horizontal="center" vertical="center"/>
    </xf>
    <xf numFmtId="167" fontId="13" fillId="8" borderId="6" xfId="0" applyNumberFormat="1" applyFont="1" applyFill="1" applyBorder="1" applyAlignment="1">
      <alignment horizontal="center" vertical="center"/>
    </xf>
    <xf numFmtId="49" fontId="13" fillId="8" borderId="7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49" fontId="13" fillId="10" borderId="5" xfId="0" applyNumberFormat="1" applyFont="1" applyFill="1" applyBorder="1" applyAlignment="1">
      <alignment horizontal="center" vertical="center"/>
    </xf>
    <xf numFmtId="168" fontId="13" fillId="10" borderId="6" xfId="0" applyNumberFormat="1" applyFont="1" applyFill="1" applyBorder="1" applyAlignment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6" fontId="13" fillId="10" borderId="6" xfId="0" applyNumberFormat="1" applyFont="1" applyFill="1" applyBorder="1" applyAlignment="1">
      <alignment horizontal="center" vertical="center"/>
    </xf>
    <xf numFmtId="49" fontId="14" fillId="10" borderId="6" xfId="0" applyNumberFormat="1" applyFont="1" applyFill="1" applyBorder="1" applyAlignment="1">
      <alignment horizontal="center" vertical="center"/>
    </xf>
    <xf numFmtId="167" fontId="13" fillId="10" borderId="6" xfId="0" applyNumberFormat="1" applyFont="1" applyFill="1" applyBorder="1" applyAlignment="1">
      <alignment horizontal="center" vertical="center"/>
    </xf>
    <xf numFmtId="49" fontId="13" fillId="10" borderId="7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167" fontId="11" fillId="11" borderId="2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49" fontId="13" fillId="11" borderId="8" xfId="0" applyNumberFormat="1" applyFont="1" applyFill="1" applyBorder="1" applyAlignment="1">
      <alignment horizontal="center" vertical="center"/>
    </xf>
    <xf numFmtId="168" fontId="13" fillId="11" borderId="9" xfId="0" applyNumberFormat="1" applyFont="1" applyFill="1" applyBorder="1" applyAlignment="1">
      <alignment horizontal="center" vertical="center"/>
    </xf>
    <xf numFmtId="1" fontId="13" fillId="11" borderId="9" xfId="0" applyNumberFormat="1" applyFont="1" applyFill="1" applyBorder="1" applyAlignment="1">
      <alignment horizontal="center" vertical="center"/>
    </xf>
    <xf numFmtId="16" fontId="13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center" vertical="center"/>
    </xf>
    <xf numFmtId="167" fontId="13" fillId="11" borderId="9" xfId="0" applyNumberFormat="1" applyFont="1" applyFill="1" applyBorder="1" applyAlignment="1">
      <alignment horizontal="center" vertical="center"/>
    </xf>
    <xf numFmtId="49" fontId="13" fillId="11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167" fontId="16" fillId="12" borderId="11" xfId="0" applyNumberFormat="1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49" fontId="13" fillId="12" borderId="5" xfId="0" applyNumberFormat="1" applyFont="1" applyFill="1" applyBorder="1" applyAlignment="1">
      <alignment horizontal="center" vertical="center"/>
    </xf>
    <xf numFmtId="168" fontId="13" fillId="12" borderId="6" xfId="0" applyNumberFormat="1" applyFont="1" applyFill="1" applyBorder="1" applyAlignment="1">
      <alignment horizontal="center" vertical="center"/>
    </xf>
    <xf numFmtId="1" fontId="13" fillId="12" borderId="6" xfId="0" applyNumberFormat="1" applyFont="1" applyFill="1" applyBorder="1" applyAlignment="1">
      <alignment horizontal="center" vertical="center"/>
    </xf>
    <xf numFmtId="16" fontId="13" fillId="12" borderId="6" xfId="0" applyNumberFormat="1" applyFont="1" applyFill="1" applyBorder="1" applyAlignment="1">
      <alignment horizontal="center" vertical="center"/>
    </xf>
    <xf numFmtId="49" fontId="14" fillId="12" borderId="6" xfId="0" applyNumberFormat="1" applyFont="1" applyFill="1" applyBorder="1" applyAlignment="1">
      <alignment horizontal="center" vertical="center"/>
    </xf>
    <xf numFmtId="167" fontId="13" fillId="12" borderId="6" xfId="0" applyNumberFormat="1" applyFont="1" applyFill="1" applyBorder="1" applyAlignment="1">
      <alignment horizontal="center" vertical="center"/>
    </xf>
    <xf numFmtId="49" fontId="13" fillId="12" borderId="7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167" fontId="11" fillId="13" borderId="2" xfId="0" applyNumberFormat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49" fontId="13" fillId="13" borderId="5" xfId="0" applyNumberFormat="1" applyFont="1" applyFill="1" applyBorder="1" applyAlignment="1">
      <alignment horizontal="center" vertical="center"/>
    </xf>
    <xf numFmtId="168" fontId="13" fillId="13" borderId="6" xfId="0" applyNumberFormat="1" applyFont="1" applyFill="1" applyBorder="1" applyAlignment="1">
      <alignment horizontal="center" vertical="center"/>
    </xf>
    <xf numFmtId="1" fontId="13" fillId="13" borderId="6" xfId="0" applyNumberFormat="1" applyFont="1" applyFill="1" applyBorder="1" applyAlignment="1">
      <alignment horizontal="center" vertical="center"/>
    </xf>
    <xf numFmtId="16" fontId="13" fillId="13" borderId="6" xfId="0" applyNumberFormat="1" applyFont="1" applyFill="1" applyBorder="1" applyAlignment="1">
      <alignment horizontal="center" vertical="center"/>
    </xf>
    <xf numFmtId="49" fontId="14" fillId="13" borderId="6" xfId="0" applyNumberFormat="1" applyFont="1" applyFill="1" applyBorder="1" applyAlignment="1">
      <alignment horizontal="center" vertical="center"/>
    </xf>
    <xf numFmtId="167" fontId="13" fillId="13" borderId="6" xfId="0" applyNumberFormat="1" applyFont="1" applyFill="1" applyBorder="1" applyAlignment="1">
      <alignment horizontal="center" vertical="center"/>
    </xf>
    <xf numFmtId="49" fontId="13" fillId="13" borderId="7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7" fontId="11" fillId="14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49" fontId="13" fillId="14" borderId="8" xfId="0" applyNumberFormat="1" applyFont="1" applyFill="1" applyBorder="1" applyAlignment="1">
      <alignment horizontal="center" vertical="center"/>
    </xf>
    <xf numFmtId="168" fontId="13" fillId="14" borderId="9" xfId="0" applyNumberFormat="1" applyFont="1" applyFill="1" applyBorder="1" applyAlignment="1">
      <alignment horizontal="center" vertical="center"/>
    </xf>
    <xf numFmtId="1" fontId="13" fillId="14" borderId="9" xfId="0" applyNumberFormat="1" applyFont="1" applyFill="1" applyBorder="1" applyAlignment="1">
      <alignment horizontal="center" vertical="center"/>
    </xf>
    <xf numFmtId="16" fontId="13" fillId="14" borderId="9" xfId="0" applyNumberFormat="1" applyFont="1" applyFill="1" applyBorder="1" applyAlignment="1">
      <alignment horizontal="center" vertical="center"/>
    </xf>
    <xf numFmtId="49" fontId="14" fillId="14" borderId="9" xfId="0" applyNumberFormat="1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7" fontId="11" fillId="12" borderId="2" xfId="0" applyNumberFormat="1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8" fontId="17" fillId="12" borderId="6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167" fontId="11" fillId="15" borderId="2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49" fontId="13" fillId="15" borderId="8" xfId="0" applyNumberFormat="1" applyFont="1" applyFill="1" applyBorder="1" applyAlignment="1">
      <alignment horizontal="center" vertical="center"/>
    </xf>
    <xf numFmtId="168" fontId="17" fillId="15" borderId="9" xfId="0" applyNumberFormat="1" applyFont="1" applyFill="1" applyBorder="1" applyAlignment="1">
      <alignment horizontal="center" vertical="center"/>
    </xf>
    <xf numFmtId="1" fontId="13" fillId="15" borderId="9" xfId="0" applyNumberFormat="1" applyFont="1" applyFill="1" applyBorder="1" applyAlignment="1">
      <alignment horizontal="center" vertical="center"/>
    </xf>
    <xf numFmtId="16" fontId="13" fillId="15" borderId="9" xfId="0" applyNumberFormat="1" applyFont="1" applyFill="1" applyBorder="1" applyAlignment="1">
      <alignment horizontal="center" vertical="center"/>
    </xf>
    <xf numFmtId="49" fontId="14" fillId="15" borderId="9" xfId="0" applyNumberFormat="1" applyFont="1" applyFill="1" applyBorder="1" applyAlignment="1">
      <alignment horizontal="center" vertical="center"/>
    </xf>
    <xf numFmtId="167" fontId="13" fillId="15" borderId="9" xfId="0" applyNumberFormat="1" applyFont="1" applyFill="1" applyBorder="1" applyAlignment="1">
      <alignment horizontal="center" vertical="center"/>
    </xf>
    <xf numFmtId="49" fontId="13" fillId="15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167" fontId="16" fillId="16" borderId="11" xfId="0" applyNumberFormat="1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 vertical="center"/>
    </xf>
    <xf numFmtId="168" fontId="17" fillId="16" borderId="6" xfId="0" applyNumberFormat="1" applyFont="1" applyFill="1" applyBorder="1" applyAlignment="1">
      <alignment horizontal="center" vertical="center"/>
    </xf>
    <xf numFmtId="1" fontId="13" fillId="16" borderId="6" xfId="0" applyNumberFormat="1" applyFont="1" applyFill="1" applyBorder="1" applyAlignment="1">
      <alignment horizontal="center" vertical="center"/>
    </xf>
    <xf numFmtId="16" fontId="13" fillId="16" borderId="6" xfId="0" applyNumberFormat="1" applyFont="1" applyFill="1" applyBorder="1" applyAlignment="1">
      <alignment horizontal="center" vertical="center"/>
    </xf>
    <xf numFmtId="49" fontId="14" fillId="16" borderId="6" xfId="0" applyNumberFormat="1" applyFont="1" applyFill="1" applyBorder="1" applyAlignment="1">
      <alignment horizontal="center" vertical="center"/>
    </xf>
    <xf numFmtId="167" fontId="13" fillId="16" borderId="6" xfId="0" applyNumberFormat="1" applyFont="1" applyFill="1" applyBorder="1" applyAlignment="1">
      <alignment horizontal="center" vertical="center"/>
    </xf>
    <xf numFmtId="49" fontId="13" fillId="16" borderId="7" xfId="0" applyNumberFormat="1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168" fontId="17" fillId="15" borderId="6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16" fontId="13" fillId="15" borderId="6" xfId="0" applyNumberFormat="1" applyFont="1" applyFill="1" applyBorder="1" applyAlignment="1">
      <alignment horizontal="center" vertical="center"/>
    </xf>
    <xf numFmtId="49" fontId="14" fillId="15" borderId="6" xfId="0" applyNumberFormat="1" applyFont="1" applyFill="1" applyBorder="1" applyAlignment="1">
      <alignment horizontal="center" vertical="center"/>
    </xf>
    <xf numFmtId="167" fontId="13" fillId="15" borderId="6" xfId="0" applyNumberFormat="1" applyFont="1" applyFill="1" applyBorder="1" applyAlignment="1">
      <alignment horizontal="center" vertical="center"/>
    </xf>
    <xf numFmtId="49" fontId="13" fillId="15" borderId="7" xfId="0" applyNumberFormat="1" applyFont="1" applyFill="1" applyBorder="1" applyAlignment="1">
      <alignment horizontal="center" vertical="center"/>
    </xf>
    <xf numFmtId="168" fontId="17" fillId="8" borderId="6" xfId="0" applyNumberFormat="1" applyFont="1" applyFill="1" applyBorder="1" applyAlignment="1">
      <alignment horizontal="center" vertical="center"/>
    </xf>
    <xf numFmtId="168" fontId="17" fillId="13" borderId="6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167" fontId="16" fillId="11" borderId="11" xfId="0" applyNumberFormat="1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49" fontId="13" fillId="11" borderId="5" xfId="0" applyNumberFormat="1" applyFont="1" applyFill="1" applyBorder="1" applyAlignment="1">
      <alignment horizontal="center" vertical="center"/>
    </xf>
    <xf numFmtId="168" fontId="17" fillId="11" borderId="6" xfId="0" applyNumberFormat="1" applyFont="1" applyFill="1" applyBorder="1" applyAlignment="1">
      <alignment horizontal="center" vertical="center"/>
    </xf>
    <xf numFmtId="1" fontId="13" fillId="11" borderId="6" xfId="0" applyNumberFormat="1" applyFont="1" applyFill="1" applyBorder="1" applyAlignment="1">
      <alignment horizontal="center" vertical="center"/>
    </xf>
    <xf numFmtId="16" fontId="13" fillId="11" borderId="6" xfId="0" applyNumberFormat="1" applyFont="1" applyFill="1" applyBorder="1" applyAlignment="1">
      <alignment horizontal="center" vertical="center"/>
    </xf>
    <xf numFmtId="49" fontId="14" fillId="11" borderId="6" xfId="0" applyNumberFormat="1" applyFont="1" applyFill="1" applyBorder="1" applyAlignment="1">
      <alignment horizontal="center" vertical="center"/>
    </xf>
    <xf numFmtId="167" fontId="13" fillId="11" borderId="6" xfId="0" applyNumberFormat="1" applyFont="1" applyFill="1" applyBorder="1" applyAlignment="1">
      <alignment horizontal="center" vertical="center"/>
    </xf>
    <xf numFmtId="49" fontId="13" fillId="11" borderId="7" xfId="0" applyNumberFormat="1" applyFont="1" applyFill="1" applyBorder="1" applyAlignment="1">
      <alignment horizontal="center" vertical="center"/>
    </xf>
    <xf numFmtId="168" fontId="17" fillId="14" borderId="9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167" fontId="16" fillId="15" borderId="11" xfId="0" applyNumberFormat="1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168" fontId="17" fillId="11" borderId="9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167" fontId="16" fillId="14" borderId="11" xfId="0" applyNumberFormat="1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49" fontId="13" fillId="14" borderId="5" xfId="0" applyNumberFormat="1" applyFont="1" applyFill="1" applyBorder="1" applyAlignment="1">
      <alignment horizontal="center" vertical="center"/>
    </xf>
    <xf numFmtId="168" fontId="17" fillId="14" borderId="6" xfId="0" applyNumberFormat="1" applyFont="1" applyFill="1" applyBorder="1" applyAlignment="1">
      <alignment horizontal="center" vertical="center"/>
    </xf>
    <xf numFmtId="1" fontId="13" fillId="14" borderId="6" xfId="0" applyNumberFormat="1" applyFont="1" applyFill="1" applyBorder="1" applyAlignment="1">
      <alignment horizontal="center" vertical="center"/>
    </xf>
    <xf numFmtId="16" fontId="13" fillId="14" borderId="6" xfId="0" applyNumberFormat="1" applyFont="1" applyFill="1" applyBorder="1" applyAlignment="1">
      <alignment horizontal="center" vertical="center"/>
    </xf>
    <xf numFmtId="49" fontId="14" fillId="14" borderId="6" xfId="0" applyNumberFormat="1" applyFont="1" applyFill="1" applyBorder="1" applyAlignment="1">
      <alignment horizontal="center" vertical="center"/>
    </xf>
    <xf numFmtId="167" fontId="13" fillId="14" borderId="6" xfId="0" applyNumberFormat="1" applyFont="1" applyFill="1" applyBorder="1" applyAlignment="1">
      <alignment horizontal="center" vertical="center"/>
    </xf>
    <xf numFmtId="49" fontId="13" fillId="14" borderId="7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167" fontId="16" fillId="8" borderId="11" xfId="0" applyNumberFormat="1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167" fontId="11" fillId="16" borderId="2" xfId="0" applyNumberFormat="1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49" fontId="13" fillId="16" borderId="8" xfId="0" applyNumberFormat="1" applyFont="1" applyFill="1" applyBorder="1" applyAlignment="1">
      <alignment horizontal="center" vertical="center"/>
    </xf>
    <xf numFmtId="168" fontId="17" fillId="16" borderId="9" xfId="0" applyNumberFormat="1" applyFont="1" applyFill="1" applyBorder="1" applyAlignment="1">
      <alignment horizontal="center" vertical="center"/>
    </xf>
    <xf numFmtId="1" fontId="13" fillId="16" borderId="9" xfId="0" applyNumberFormat="1" applyFont="1" applyFill="1" applyBorder="1" applyAlignment="1">
      <alignment horizontal="center" vertical="center"/>
    </xf>
    <xf numFmtId="16" fontId="13" fillId="16" borderId="9" xfId="0" applyNumberFormat="1" applyFont="1" applyFill="1" applyBorder="1" applyAlignment="1">
      <alignment horizontal="center" vertical="center"/>
    </xf>
    <xf numFmtId="49" fontId="14" fillId="16" borderId="9" xfId="0" applyNumberFormat="1" applyFont="1" applyFill="1" applyBorder="1" applyAlignment="1">
      <alignment horizontal="center" vertical="center"/>
    </xf>
    <xf numFmtId="167" fontId="13" fillId="16" borderId="9" xfId="0" applyNumberFormat="1" applyFont="1" applyFill="1" applyBorder="1" applyAlignment="1">
      <alignment horizontal="center" vertical="center"/>
    </xf>
    <xf numFmtId="49" fontId="13" fillId="16" borderId="10" xfId="0" applyNumberFormat="1" applyFont="1" applyFill="1" applyBorder="1" applyAlignment="1">
      <alignment horizontal="center" vertical="center"/>
    </xf>
    <xf numFmtId="168" fontId="17" fillId="10" borderId="6" xfId="0" applyNumberFormat="1" applyFont="1" applyFill="1" applyBorder="1" applyAlignment="1">
      <alignment horizontal="center" vertical="center"/>
    </xf>
    <xf numFmtId="168" fontId="18" fillId="15" borderId="6" xfId="0" applyNumberFormat="1" applyFont="1" applyFill="1" applyBorder="1" applyAlignment="1">
      <alignment horizontal="center" vertical="center"/>
    </xf>
    <xf numFmtId="168" fontId="13" fillId="14" borderId="6" xfId="0" applyNumberFormat="1" applyFont="1" applyFill="1" applyBorder="1" applyAlignment="1">
      <alignment horizontal="center" vertical="center"/>
    </xf>
    <xf numFmtId="168" fontId="18" fillId="11" borderId="6" xfId="0" applyNumberFormat="1" applyFont="1" applyFill="1" applyBorder="1" applyAlignment="1">
      <alignment horizontal="center" vertical="center"/>
    </xf>
    <xf numFmtId="168" fontId="18" fillId="12" borderId="6" xfId="0" applyNumberFormat="1" applyFont="1" applyFill="1" applyBorder="1" applyAlignment="1">
      <alignment horizontal="center" vertical="center"/>
    </xf>
    <xf numFmtId="168" fontId="18" fillId="14" borderId="6" xfId="0" applyNumberFormat="1" applyFont="1" applyFill="1" applyBorder="1" applyAlignment="1">
      <alignment horizontal="center" vertical="center"/>
    </xf>
    <xf numFmtId="168" fontId="18" fillId="16" borderId="6" xfId="0" applyNumberFormat="1" applyFont="1" applyFill="1" applyBorder="1" applyAlignment="1">
      <alignment horizontal="center" vertical="center"/>
    </xf>
    <xf numFmtId="168" fontId="18" fillId="10" borderId="6" xfId="0" applyNumberFormat="1" applyFont="1" applyFill="1" applyBorder="1" applyAlignment="1">
      <alignment horizontal="center" vertical="center"/>
    </xf>
    <xf numFmtId="168" fontId="18" fillId="8" borderId="6" xfId="0" applyNumberFormat="1" applyFont="1" applyFill="1" applyBorder="1" applyAlignment="1">
      <alignment horizontal="center" vertical="center"/>
    </xf>
    <xf numFmtId="168" fontId="13" fillId="16" borderId="6" xfId="0" applyNumberFormat="1" applyFont="1" applyFill="1" applyBorder="1" applyAlignment="1">
      <alignment horizontal="center" vertical="center"/>
    </xf>
    <xf numFmtId="168" fontId="13" fillId="11" borderId="6" xfId="0" applyNumberFormat="1" applyFont="1" applyFill="1" applyBorder="1" applyAlignment="1">
      <alignment horizontal="center" vertical="center"/>
    </xf>
    <xf numFmtId="168" fontId="13" fillId="15" borderId="6" xfId="0" applyNumberFormat="1" applyFont="1" applyFill="1" applyBorder="1" applyAlignment="1">
      <alignment horizontal="center" vertical="center"/>
    </xf>
    <xf numFmtId="168" fontId="18" fillId="15" borderId="9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167" fontId="16" fillId="12" borderId="2" xfId="0" applyNumberFormat="1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49" fontId="13" fillId="12" borderId="8" xfId="0" applyNumberFormat="1" applyFont="1" applyFill="1" applyBorder="1" applyAlignment="1">
      <alignment horizontal="center" vertical="center"/>
    </xf>
    <xf numFmtId="168" fontId="18" fillId="12" borderId="9" xfId="0" applyNumberFormat="1" applyFont="1" applyFill="1" applyBorder="1" applyAlignment="1">
      <alignment horizontal="center" vertical="center"/>
    </xf>
    <xf numFmtId="1" fontId="13" fillId="12" borderId="9" xfId="0" applyNumberFormat="1" applyFont="1" applyFill="1" applyBorder="1" applyAlignment="1">
      <alignment horizontal="center" vertical="center"/>
    </xf>
    <xf numFmtId="16" fontId="13" fillId="12" borderId="9" xfId="0" applyNumberFormat="1" applyFont="1" applyFill="1" applyBorder="1" applyAlignment="1">
      <alignment horizontal="center" vertical="center"/>
    </xf>
    <xf numFmtId="49" fontId="14" fillId="12" borderId="9" xfId="0" applyNumberFormat="1" applyFont="1" applyFill="1" applyBorder="1" applyAlignment="1">
      <alignment horizontal="center" vertical="center"/>
    </xf>
    <xf numFmtId="167" fontId="13" fillId="12" borderId="9" xfId="0" applyNumberFormat="1" applyFont="1" applyFill="1" applyBorder="1" applyAlignment="1">
      <alignment horizontal="center" vertical="center"/>
    </xf>
    <xf numFmtId="49" fontId="13" fillId="12" borderId="10" xfId="0" applyNumberFormat="1" applyFont="1" applyFill="1" applyBorder="1" applyAlignment="1">
      <alignment horizontal="center" vertical="center"/>
    </xf>
    <xf numFmtId="49" fontId="13" fillId="10" borderId="8" xfId="0" applyNumberFormat="1" applyFont="1" applyFill="1" applyBorder="1" applyAlignment="1">
      <alignment horizontal="center" vertical="center"/>
    </xf>
    <xf numFmtId="168" fontId="18" fillId="10" borderId="9" xfId="0" applyNumberFormat="1" applyFont="1" applyFill="1" applyBorder="1" applyAlignment="1">
      <alignment horizontal="center" vertical="center"/>
    </xf>
    <xf numFmtId="1" fontId="13" fillId="10" borderId="9" xfId="0" applyNumberFormat="1" applyFont="1" applyFill="1" applyBorder="1" applyAlignment="1">
      <alignment horizontal="center" vertical="center"/>
    </xf>
    <xf numFmtId="16" fontId="13" fillId="10" borderId="9" xfId="0" applyNumberFormat="1" applyFont="1" applyFill="1" applyBorder="1" applyAlignment="1">
      <alignment horizontal="center" vertical="center"/>
    </xf>
    <xf numFmtId="49" fontId="14" fillId="10" borderId="9" xfId="0" applyNumberFormat="1" applyFont="1" applyFill="1" applyBorder="1" applyAlignment="1">
      <alignment horizontal="center" vertical="center"/>
    </xf>
    <xf numFmtId="167" fontId="13" fillId="10" borderId="9" xfId="0" applyNumberFormat="1" applyFont="1" applyFill="1" applyBorder="1" applyAlignment="1">
      <alignment horizontal="center" vertical="center"/>
    </xf>
    <xf numFmtId="49" fontId="13" fillId="10" borderId="10" xfId="0" applyNumberFormat="1" applyFont="1" applyFill="1" applyBorder="1" applyAlignment="1">
      <alignment horizontal="center" vertical="center"/>
    </xf>
    <xf numFmtId="49" fontId="16" fillId="16" borderId="2" xfId="0" applyNumberFormat="1" applyFont="1" applyFill="1" applyBorder="1" applyAlignment="1">
      <alignment horizontal="center" vertical="center"/>
    </xf>
    <xf numFmtId="167" fontId="16" fillId="16" borderId="2" xfId="0" applyNumberFormat="1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168" fontId="18" fillId="16" borderId="9" xfId="0" applyNumberFormat="1" applyFont="1" applyFill="1" applyBorder="1" applyAlignment="1">
      <alignment horizontal="center" vertical="center"/>
    </xf>
    <xf numFmtId="49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49" fontId="13" fillId="13" borderId="8" xfId="0" applyNumberFormat="1" applyFont="1" applyFill="1" applyBorder="1" applyAlignment="1">
      <alignment horizontal="center" vertical="center"/>
    </xf>
    <xf numFmtId="168" fontId="18" fillId="13" borderId="9" xfId="0" applyNumberFormat="1" applyFont="1" applyFill="1" applyBorder="1" applyAlignment="1">
      <alignment horizontal="center" vertical="center"/>
    </xf>
    <xf numFmtId="1" fontId="13" fillId="13" borderId="9" xfId="0" applyNumberFormat="1" applyFont="1" applyFill="1" applyBorder="1" applyAlignment="1">
      <alignment horizontal="center" vertical="center"/>
    </xf>
    <xf numFmtId="16" fontId="13" fillId="13" borderId="9" xfId="0" applyNumberFormat="1" applyFont="1" applyFill="1" applyBorder="1" applyAlignment="1">
      <alignment horizontal="center" vertical="center"/>
    </xf>
    <xf numFmtId="49" fontId="14" fillId="13" borderId="9" xfId="0" applyNumberFormat="1" applyFont="1" applyFill="1" applyBorder="1" applyAlignment="1">
      <alignment horizontal="center" vertical="center"/>
    </xf>
    <xf numFmtId="167" fontId="13" fillId="13" borderId="9" xfId="0" applyNumberFormat="1" applyFont="1" applyFill="1" applyBorder="1" applyAlignment="1">
      <alignment horizontal="center" vertical="center"/>
    </xf>
    <xf numFmtId="49" fontId="13" fillId="13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167" fontId="16" fillId="10" borderId="11" xfId="0" applyNumberFormat="1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49" fontId="16" fillId="10" borderId="2" xfId="0" applyNumberFormat="1" applyFont="1" applyFill="1" applyBorder="1" applyAlignment="1">
      <alignment horizontal="center" vertical="center"/>
    </xf>
    <xf numFmtId="167" fontId="16" fillId="10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167" fontId="16" fillId="15" borderId="2" xfId="0" applyNumberFormat="1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168" fontId="18" fillId="14" borderId="9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167" fontId="16" fillId="8" borderId="2" xfId="0" applyNumberFormat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49" fontId="13" fillId="8" borderId="8" xfId="0" applyNumberFormat="1" applyFont="1" applyFill="1" applyBorder="1" applyAlignment="1">
      <alignment horizontal="center" vertical="center"/>
    </xf>
    <xf numFmtId="168" fontId="18" fillId="8" borderId="9" xfId="0" applyNumberFormat="1" applyFont="1" applyFill="1" applyBorder="1" applyAlignment="1">
      <alignment horizontal="center" vertical="center"/>
    </xf>
    <xf numFmtId="1" fontId="13" fillId="8" borderId="9" xfId="0" applyNumberFormat="1" applyFont="1" applyFill="1" applyBorder="1" applyAlignment="1">
      <alignment horizontal="center" vertical="center"/>
    </xf>
    <xf numFmtId="16" fontId="13" fillId="8" borderId="9" xfId="0" applyNumberFormat="1" applyFont="1" applyFill="1" applyBorder="1" applyAlignment="1">
      <alignment horizontal="center" vertical="center"/>
    </xf>
    <xf numFmtId="49" fontId="14" fillId="8" borderId="9" xfId="0" applyNumberFormat="1" applyFont="1" applyFill="1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49" fontId="13" fillId="8" borderId="10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167" fontId="16" fillId="11" borderId="2" xfId="0" applyNumberFormat="1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168" fontId="18" fillId="11" borderId="9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167" fontId="16" fillId="13" borderId="11" xfId="0" applyNumberFormat="1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168" fontId="13" fillId="12" borderId="9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167" fontId="16" fillId="1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168" fontId="13" fillId="15" borderId="9" xfId="0" applyNumberFormat="1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168" fontId="17" fillId="12" borderId="9" xfId="0" applyNumberFormat="1" applyFont="1" applyFill="1" applyBorder="1" applyAlignment="1">
      <alignment horizontal="center" vertical="center"/>
    </xf>
    <xf numFmtId="168" fontId="13" fillId="8" borderId="9" xfId="0" applyNumberFormat="1" applyFont="1" applyFill="1" applyBorder="1" applyAlignment="1">
      <alignment horizontal="center" vertical="center"/>
    </xf>
    <xf numFmtId="168" fontId="13" fillId="13" borderId="9" xfId="0" applyNumberFormat="1" applyFont="1" applyFill="1" applyBorder="1" applyAlignment="1">
      <alignment horizontal="center" vertical="center"/>
    </xf>
    <xf numFmtId="168" fontId="17" fillId="13" borderId="9" xfId="0" applyNumberFormat="1" applyFont="1" applyFill="1" applyBorder="1" applyAlignment="1">
      <alignment horizontal="center" vertical="center"/>
    </xf>
    <xf numFmtId="168" fontId="17" fillId="8" borderId="9" xfId="0" applyNumberFormat="1" applyFont="1" applyFill="1" applyBorder="1" applyAlignment="1">
      <alignment horizontal="center" vertical="center"/>
    </xf>
    <xf numFmtId="168" fontId="13" fillId="16" borderId="9" xfId="0" applyNumberFormat="1" applyFont="1" applyFill="1" applyBorder="1" applyAlignment="1">
      <alignment horizontal="center" vertical="center"/>
    </xf>
    <xf numFmtId="168" fontId="17" fillId="10" borderId="9" xfId="0" applyNumberFormat="1" applyFont="1" applyFill="1" applyBorder="1" applyAlignment="1">
      <alignment horizontal="center" vertical="center"/>
    </xf>
    <xf numFmtId="168" fontId="18" fillId="13" borderId="6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13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0" borderId="4" xfId="0" applyFont="1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6" fillId="4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2" xfId="0" applyBorder="1"/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15" fontId="20" fillId="17" borderId="0" xfId="0" applyNumberFormat="1" applyFont="1" applyFill="1" applyAlignment="1">
      <alignment horizontal="center" vertical="center"/>
    </xf>
    <xf numFmtId="168" fontId="20" fillId="17" borderId="0" xfId="0" applyNumberFormat="1" applyFont="1" applyFill="1" applyAlignment="1">
      <alignment horizontal="center" vertical="center"/>
    </xf>
    <xf numFmtId="1" fontId="20" fillId="17" borderId="0" xfId="0" applyNumberFormat="1" applyFont="1" applyFill="1" applyAlignment="1">
      <alignment horizontal="center" vertical="center"/>
    </xf>
    <xf numFmtId="0" fontId="20" fillId="17" borderId="0" xfId="0" applyNumberFormat="1" applyFont="1" applyFill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7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I_RUH_LF_LEGACY" displayName="CAI_RUH_LF_LEGACY" ref="A1:AJ46" totalsRowCount="1" headerRowDxfId="749" dataDxfId="712" totalsRowDxfId="675">
  <tableColumns count="36">
    <tableColumn id="1" xr3:uid="{00000000-0010-0000-0000-000001000000}" name="Day" totalsRowLabel="TOTAL" dataDxfId="748" totalsRowDxfId="711"/>
    <tableColumn id="2" xr3:uid="{00000000-0010-0000-0000-000002000000}" name="Flt Dt" dataDxfId="747" totalsRowDxfId="710"/>
    <tableColumn id="3" xr3:uid="{00000000-0010-0000-0000-000003000000}" name="Flt" totalsRowFunction="count" dataDxfId="746" totalsRowDxfId="709"/>
    <tableColumn id="4" xr3:uid="{00000000-0010-0000-0000-000004000000}" name="DEP" dataDxfId="745" totalsRowDxfId="708"/>
    <tableColumn id="5" xr3:uid="{00000000-0010-0000-0000-000005000000}" name="Brd-Off" totalsRowFunction="count" dataDxfId="744" totalsRowDxfId="707"/>
    <tableColumn id="6" xr3:uid="{00000000-0010-0000-0000-000006000000}" name="Eqp" dataDxfId="743" totalsRowDxfId="706"/>
    <tableColumn id="7" xr3:uid="{00000000-0010-0000-0000-000007000000}" name="LF%" totalsRowFunction="average" dataDxfId="742" totalsRowDxfId="705"/>
    <tableColumn id="8" xr3:uid="{00000000-0010-0000-0000-000008000000}" name="CAP" totalsRowFunction="sum" dataDxfId="741" totalsRowDxfId="704"/>
    <tableColumn id="9" xr3:uid="{00000000-0010-0000-0000-000009000000}" name="BKG(Y)" totalsRowFunction="sum" dataDxfId="740" totalsRowDxfId="703"/>
    <tableColumn id="10" xr3:uid="{00000000-0010-0000-0000-00000A000000}" name="GRP(Y)" totalsRowFunction="sum" dataDxfId="739" totalsRowDxfId="702"/>
    <tableColumn id="11" xr3:uid="{00000000-0010-0000-0000-00000B000000}" name="FLT ST" dataDxfId="738" totalsRowDxfId="701"/>
    <tableColumn id="12" xr3:uid="{00000000-0010-0000-0000-00000C000000}" name="LST-SOLD" dataDxfId="737" totalsRowDxfId="700"/>
    <tableColumn id="13" xr3:uid="{00000000-0010-0000-0000-00000D000000}" name="TO-DAY" totalsRowFunction="sum" dataDxfId="736" totalsRowDxfId="699"/>
    <tableColumn id="14" xr3:uid="{00000000-0010-0000-0000-00000E000000}" name="Y-DAY" totalsRowFunction="sum" dataDxfId="735" totalsRowDxfId="698"/>
    <tableColumn id="15" xr3:uid="{00000000-0010-0000-0000-00000F000000}" name="WEEKLY" totalsRowFunction="sum" dataDxfId="734" totalsRowDxfId="697"/>
    <tableColumn id="16" xr3:uid="{00000000-0010-0000-0000-000010000000}" name="LOWEST AVAIL" dataDxfId="733" totalsRowDxfId="696"/>
    <tableColumn id="17" xr3:uid="{00000000-0010-0000-0000-000011000000}" name="Y" totalsRowFunction="sum" dataDxfId="732" totalsRowDxfId="695"/>
    <tableColumn id="18" xr3:uid="{00000000-0010-0000-0000-000012000000}" name="B" totalsRowFunction="sum" dataDxfId="731" totalsRowDxfId="694"/>
    <tableColumn id="19" xr3:uid="{00000000-0010-0000-0000-000013000000}" name="M" totalsRowFunction="sum" dataDxfId="730" totalsRowDxfId="693"/>
    <tableColumn id="20" xr3:uid="{00000000-0010-0000-0000-000014000000}" name="H" totalsRowFunction="sum" dataDxfId="729" totalsRowDxfId="692"/>
    <tableColumn id="21" xr3:uid="{00000000-0010-0000-0000-000015000000}" name="Q" totalsRowFunction="sum" dataDxfId="728" totalsRowDxfId="691"/>
    <tableColumn id="22" xr3:uid="{00000000-0010-0000-0000-000016000000}" name="K" totalsRowFunction="sum" dataDxfId="727" totalsRowDxfId="690"/>
    <tableColumn id="23" xr3:uid="{00000000-0010-0000-0000-000017000000}" name="V" totalsRowFunction="sum" dataDxfId="726" totalsRowDxfId="689"/>
    <tableColumn id="24" xr3:uid="{00000000-0010-0000-0000-000018000000}" name="L" totalsRowFunction="sum" dataDxfId="725" totalsRowDxfId="688"/>
    <tableColumn id="25" xr3:uid="{00000000-0010-0000-0000-000019000000}" name="G" totalsRowFunction="sum" dataDxfId="724" totalsRowDxfId="687"/>
    <tableColumn id="26" xr3:uid="{00000000-0010-0000-0000-00001A000000}" name="S" totalsRowFunction="sum" dataDxfId="723" totalsRowDxfId="686"/>
    <tableColumn id="27" xr3:uid="{00000000-0010-0000-0000-00001B000000}" name="W" totalsRowFunction="sum" dataDxfId="722" totalsRowDxfId="685"/>
    <tableColumn id="28" xr3:uid="{00000000-0010-0000-0000-00001C000000}" name="T" totalsRowFunction="sum" dataDxfId="721" totalsRowDxfId="684"/>
    <tableColumn id="29" xr3:uid="{00000000-0010-0000-0000-00001D000000}" name="X" totalsRowFunction="sum" dataDxfId="720" totalsRowDxfId="683"/>
    <tableColumn id="30" xr3:uid="{00000000-0010-0000-0000-00001E000000}" name="U" totalsRowFunction="sum" dataDxfId="719" totalsRowDxfId="682"/>
    <tableColumn id="31" xr3:uid="{00000000-0010-0000-0000-00001F000000}" name="O" totalsRowFunction="sum" dataDxfId="718" totalsRowDxfId="681"/>
    <tableColumn id="32" xr3:uid="{00000000-0010-0000-0000-000020000000}" name="I" totalsRowFunction="sum" dataDxfId="717" totalsRowDxfId="680"/>
    <tableColumn id="33" xr3:uid="{00000000-0010-0000-0000-000021000000}" name="E" totalsRowFunction="sum" dataDxfId="716" totalsRowDxfId="679"/>
    <tableColumn id="34" xr3:uid="{00000000-0010-0000-0000-000022000000}" name="A" totalsRowFunction="sum" dataDxfId="715" totalsRowDxfId="678"/>
    <tableColumn id="35" xr3:uid="{00000000-0010-0000-0000-000023000000}" name="P" totalsRowFunction="sum" dataDxfId="714" totalsRowDxfId="677"/>
    <tableColumn id="36" xr3:uid="{00000000-0010-0000-0000-000024000000}" name="N" totalsRowFunction="count" dataDxfId="713" totalsRowDxfId="6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I_DMM_LF_LEGACY" displayName="CAI_DMM_LF_LEGACY" ref="A1:AJ21" totalsRowCount="1" headerRowDxfId="674" dataDxfId="637" totalsRowDxfId="600">
  <tableColumns count="36">
    <tableColumn id="1" xr3:uid="{00000000-0010-0000-0100-000001000000}" name="Day" totalsRowLabel="TOTAL" dataDxfId="673" totalsRowDxfId="636"/>
    <tableColumn id="2" xr3:uid="{00000000-0010-0000-0100-000002000000}" name="Flt Dt" dataDxfId="672" totalsRowDxfId="635"/>
    <tableColumn id="3" xr3:uid="{00000000-0010-0000-0100-000003000000}" name="Flt" totalsRowFunction="count" dataDxfId="671" totalsRowDxfId="634"/>
    <tableColumn id="4" xr3:uid="{00000000-0010-0000-0100-000004000000}" name="DEP" dataDxfId="670" totalsRowDxfId="633"/>
    <tableColumn id="5" xr3:uid="{00000000-0010-0000-0100-000005000000}" name="Brd-Off" totalsRowFunction="count" dataDxfId="669" totalsRowDxfId="632"/>
    <tableColumn id="6" xr3:uid="{00000000-0010-0000-0100-000006000000}" name="Eqp" dataDxfId="668" totalsRowDxfId="631"/>
    <tableColumn id="7" xr3:uid="{00000000-0010-0000-0100-000007000000}" name="LF%" totalsRowFunction="average" dataDxfId="667" totalsRowDxfId="630"/>
    <tableColumn id="8" xr3:uid="{00000000-0010-0000-0100-000008000000}" name="CAP" totalsRowFunction="sum" dataDxfId="666" totalsRowDxfId="629"/>
    <tableColumn id="9" xr3:uid="{00000000-0010-0000-0100-000009000000}" name="BKG(Y)" totalsRowFunction="sum" dataDxfId="665" totalsRowDxfId="628"/>
    <tableColumn id="10" xr3:uid="{00000000-0010-0000-0100-00000A000000}" name="GRP(Y)" totalsRowFunction="sum" dataDxfId="664" totalsRowDxfId="627"/>
    <tableColumn id="11" xr3:uid="{00000000-0010-0000-0100-00000B000000}" name="FLT ST" dataDxfId="663" totalsRowDxfId="626"/>
    <tableColumn id="12" xr3:uid="{00000000-0010-0000-0100-00000C000000}" name="LST-SOLD" dataDxfId="662" totalsRowDxfId="625"/>
    <tableColumn id="13" xr3:uid="{00000000-0010-0000-0100-00000D000000}" name="TO-DAY" totalsRowFunction="sum" dataDxfId="661" totalsRowDxfId="624"/>
    <tableColumn id="14" xr3:uid="{00000000-0010-0000-0100-00000E000000}" name="Y-DAY" totalsRowFunction="sum" dataDxfId="660" totalsRowDxfId="623"/>
    <tableColumn id="15" xr3:uid="{00000000-0010-0000-0100-00000F000000}" name="WEEKLY" totalsRowFunction="sum" dataDxfId="659" totalsRowDxfId="622"/>
    <tableColumn id="16" xr3:uid="{00000000-0010-0000-0100-000010000000}" name="LOWEST AVAIL" dataDxfId="658" totalsRowDxfId="621"/>
    <tableColumn id="17" xr3:uid="{00000000-0010-0000-0100-000011000000}" name="Y" totalsRowFunction="sum" dataDxfId="657" totalsRowDxfId="620"/>
    <tableColumn id="18" xr3:uid="{00000000-0010-0000-0100-000012000000}" name="B" totalsRowFunction="sum" dataDxfId="656" totalsRowDxfId="619"/>
    <tableColumn id="19" xr3:uid="{00000000-0010-0000-0100-000013000000}" name="M" totalsRowFunction="sum" dataDxfId="655" totalsRowDxfId="618"/>
    <tableColumn id="20" xr3:uid="{00000000-0010-0000-0100-000014000000}" name="H" totalsRowFunction="sum" dataDxfId="654" totalsRowDxfId="617"/>
    <tableColumn id="21" xr3:uid="{00000000-0010-0000-0100-000015000000}" name="Q" totalsRowFunction="sum" dataDxfId="653" totalsRowDxfId="616"/>
    <tableColumn id="22" xr3:uid="{00000000-0010-0000-0100-000016000000}" name="K" totalsRowFunction="sum" dataDxfId="652" totalsRowDxfId="615"/>
    <tableColumn id="23" xr3:uid="{00000000-0010-0000-0100-000017000000}" name="V" totalsRowFunction="sum" dataDxfId="651" totalsRowDxfId="614"/>
    <tableColumn id="24" xr3:uid="{00000000-0010-0000-0100-000018000000}" name="L" totalsRowFunction="sum" dataDxfId="650" totalsRowDxfId="613"/>
    <tableColumn id="25" xr3:uid="{00000000-0010-0000-0100-000019000000}" name="G" totalsRowFunction="sum" dataDxfId="649" totalsRowDxfId="612"/>
    <tableColumn id="26" xr3:uid="{00000000-0010-0000-0100-00001A000000}" name="S" totalsRowFunction="sum" dataDxfId="648" totalsRowDxfId="611"/>
    <tableColumn id="27" xr3:uid="{00000000-0010-0000-0100-00001B000000}" name="W" totalsRowFunction="sum" dataDxfId="647" totalsRowDxfId="610"/>
    <tableColumn id="28" xr3:uid="{00000000-0010-0000-0100-00001C000000}" name="T" totalsRowFunction="sum" dataDxfId="646" totalsRowDxfId="609"/>
    <tableColumn id="29" xr3:uid="{00000000-0010-0000-0100-00001D000000}" name="X" totalsRowFunction="sum" dataDxfId="645" totalsRowDxfId="608"/>
    <tableColumn id="30" xr3:uid="{00000000-0010-0000-0100-00001E000000}" name="U" totalsRowFunction="sum" dataDxfId="644" totalsRowDxfId="607"/>
    <tableColumn id="31" xr3:uid="{00000000-0010-0000-0100-00001F000000}" name="O" totalsRowFunction="sum" dataDxfId="643" totalsRowDxfId="606"/>
    <tableColumn id="32" xr3:uid="{00000000-0010-0000-0100-000020000000}" name="I" totalsRowFunction="sum" dataDxfId="642" totalsRowDxfId="605"/>
    <tableColumn id="33" xr3:uid="{00000000-0010-0000-0100-000021000000}" name="E" totalsRowFunction="sum" dataDxfId="641" totalsRowDxfId="604"/>
    <tableColumn id="34" xr3:uid="{00000000-0010-0000-0100-000022000000}" name="A" totalsRowFunction="sum" dataDxfId="640" totalsRowDxfId="603"/>
    <tableColumn id="35" xr3:uid="{00000000-0010-0000-0100-000023000000}" name="P" totalsRowFunction="sum" dataDxfId="639" totalsRowDxfId="602"/>
    <tableColumn id="36" xr3:uid="{00000000-0010-0000-0100-000024000000}" name="N" totalsRowFunction="count" dataDxfId="638" totalsRowDxfId="60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I_TUU_LF_LEGACY" displayName="CAI_TUU_LF_LEGACY" ref="A1:AJ16" totalsRowCount="1" headerRowDxfId="599" dataDxfId="562" totalsRowDxfId="525">
  <tableColumns count="36">
    <tableColumn id="1" xr3:uid="{00000000-0010-0000-0200-000001000000}" name="Day" totalsRowLabel="TOTAL" dataDxfId="598" totalsRowDxfId="561"/>
    <tableColumn id="2" xr3:uid="{00000000-0010-0000-0200-000002000000}" name="Flt Dt" dataDxfId="597" totalsRowDxfId="560"/>
    <tableColumn id="3" xr3:uid="{00000000-0010-0000-0200-000003000000}" name="Flt" totalsRowFunction="count" dataDxfId="596" totalsRowDxfId="559"/>
    <tableColumn id="4" xr3:uid="{00000000-0010-0000-0200-000004000000}" name="DEP" dataDxfId="595" totalsRowDxfId="558"/>
    <tableColumn id="5" xr3:uid="{00000000-0010-0000-0200-000005000000}" name="Brd-Off" totalsRowFunction="count" dataDxfId="594" totalsRowDxfId="557"/>
    <tableColumn id="6" xr3:uid="{00000000-0010-0000-0200-000006000000}" name="Eqp" dataDxfId="593" totalsRowDxfId="556"/>
    <tableColumn id="7" xr3:uid="{00000000-0010-0000-0200-000007000000}" name="LF%" totalsRowFunction="average" dataDxfId="592" totalsRowDxfId="555"/>
    <tableColumn id="8" xr3:uid="{00000000-0010-0000-0200-000008000000}" name="CAP" totalsRowFunction="sum" dataDxfId="591" totalsRowDxfId="554"/>
    <tableColumn id="9" xr3:uid="{00000000-0010-0000-0200-000009000000}" name="BKG(Y)" totalsRowFunction="sum" dataDxfId="590" totalsRowDxfId="553"/>
    <tableColumn id="10" xr3:uid="{00000000-0010-0000-0200-00000A000000}" name="GRP(Y)" totalsRowFunction="sum" dataDxfId="589" totalsRowDxfId="552"/>
    <tableColumn id="11" xr3:uid="{00000000-0010-0000-0200-00000B000000}" name="FLT ST" dataDxfId="588" totalsRowDxfId="551"/>
    <tableColumn id="12" xr3:uid="{00000000-0010-0000-0200-00000C000000}" name="LST-SOLD" dataDxfId="587" totalsRowDxfId="550"/>
    <tableColumn id="13" xr3:uid="{00000000-0010-0000-0200-00000D000000}" name="TO-DAY" totalsRowFunction="sum" dataDxfId="586" totalsRowDxfId="549"/>
    <tableColumn id="14" xr3:uid="{00000000-0010-0000-0200-00000E000000}" name="Y-DAY" totalsRowFunction="sum" dataDxfId="585" totalsRowDxfId="548"/>
    <tableColumn id="15" xr3:uid="{00000000-0010-0000-0200-00000F000000}" name="WEEKLY" totalsRowFunction="sum" dataDxfId="584" totalsRowDxfId="547"/>
    <tableColumn id="16" xr3:uid="{00000000-0010-0000-0200-000010000000}" name="LOWEST AVAIL" dataDxfId="583" totalsRowDxfId="546"/>
    <tableColumn id="17" xr3:uid="{00000000-0010-0000-0200-000011000000}" name="Y" totalsRowFunction="sum" dataDxfId="582" totalsRowDxfId="545"/>
    <tableColumn id="18" xr3:uid="{00000000-0010-0000-0200-000012000000}" name="B" totalsRowFunction="sum" dataDxfId="581" totalsRowDxfId="544"/>
    <tableColumn id="19" xr3:uid="{00000000-0010-0000-0200-000013000000}" name="M" totalsRowFunction="sum" dataDxfId="580" totalsRowDxfId="543"/>
    <tableColumn id="20" xr3:uid="{00000000-0010-0000-0200-000014000000}" name="H" totalsRowFunction="sum" dataDxfId="579" totalsRowDxfId="542"/>
    <tableColumn id="21" xr3:uid="{00000000-0010-0000-0200-000015000000}" name="Q" totalsRowFunction="sum" dataDxfId="578" totalsRowDxfId="541"/>
    <tableColumn id="22" xr3:uid="{00000000-0010-0000-0200-000016000000}" name="K" totalsRowFunction="sum" dataDxfId="577" totalsRowDxfId="540"/>
    <tableColumn id="23" xr3:uid="{00000000-0010-0000-0200-000017000000}" name="V" totalsRowFunction="sum" dataDxfId="576" totalsRowDxfId="539"/>
    <tableColumn id="24" xr3:uid="{00000000-0010-0000-0200-000018000000}" name="L" totalsRowFunction="sum" dataDxfId="575" totalsRowDxfId="538"/>
    <tableColumn id="25" xr3:uid="{00000000-0010-0000-0200-000019000000}" name="G" totalsRowFunction="sum" dataDxfId="574" totalsRowDxfId="537"/>
    <tableColumn id="26" xr3:uid="{00000000-0010-0000-0200-00001A000000}" name="S" totalsRowFunction="sum" dataDxfId="573" totalsRowDxfId="536"/>
    <tableColumn id="27" xr3:uid="{00000000-0010-0000-0200-00001B000000}" name="W" totalsRowFunction="sum" dataDxfId="572" totalsRowDxfId="535"/>
    <tableColumn id="28" xr3:uid="{00000000-0010-0000-0200-00001C000000}" name="T" totalsRowFunction="sum" dataDxfId="571" totalsRowDxfId="534"/>
    <tableColumn id="29" xr3:uid="{00000000-0010-0000-0200-00001D000000}" name="X" totalsRowFunction="sum" dataDxfId="570" totalsRowDxfId="533"/>
    <tableColumn id="30" xr3:uid="{00000000-0010-0000-0200-00001E000000}" name="U" totalsRowFunction="sum" dataDxfId="569" totalsRowDxfId="532"/>
    <tableColumn id="31" xr3:uid="{00000000-0010-0000-0200-00001F000000}" name="O" totalsRowFunction="sum" dataDxfId="568" totalsRowDxfId="531"/>
    <tableColumn id="32" xr3:uid="{00000000-0010-0000-0200-000020000000}" name="I" totalsRowFunction="sum" dataDxfId="567" totalsRowDxfId="530"/>
    <tableColumn id="33" xr3:uid="{00000000-0010-0000-0200-000021000000}" name="E" totalsRowFunction="sum" dataDxfId="566" totalsRowDxfId="529"/>
    <tableColumn id="34" xr3:uid="{00000000-0010-0000-0200-000022000000}" name="A" totalsRowFunction="sum" dataDxfId="565" totalsRowDxfId="528"/>
    <tableColumn id="35" xr3:uid="{00000000-0010-0000-0200-000023000000}" name="P" totalsRowFunction="sum" dataDxfId="564" totalsRowDxfId="527"/>
    <tableColumn id="36" xr3:uid="{00000000-0010-0000-0200-000024000000}" name="N" totalsRowFunction="count" dataDxfId="563" totalsRowDxfId="5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I_AJF_LF_LEGACY" displayName="CAI_AJF_LF_LEGACY" ref="A1:AJ16" totalsRowCount="1" headerRowDxfId="524" dataDxfId="487" totalsRowDxfId="450">
  <tableColumns count="36">
    <tableColumn id="1" xr3:uid="{00000000-0010-0000-0300-000001000000}" name="Day" totalsRowLabel="TOTAL" dataDxfId="523" totalsRowDxfId="486"/>
    <tableColumn id="2" xr3:uid="{00000000-0010-0000-0300-000002000000}" name="Flt Dt" dataDxfId="522" totalsRowDxfId="485"/>
    <tableColumn id="3" xr3:uid="{00000000-0010-0000-0300-000003000000}" name="Flt" totalsRowFunction="count" dataDxfId="521" totalsRowDxfId="484"/>
    <tableColumn id="4" xr3:uid="{00000000-0010-0000-0300-000004000000}" name="DEP" dataDxfId="520" totalsRowDxfId="483"/>
    <tableColumn id="5" xr3:uid="{00000000-0010-0000-0300-000005000000}" name="Brd-Off" totalsRowFunction="count" dataDxfId="519" totalsRowDxfId="482"/>
    <tableColumn id="6" xr3:uid="{00000000-0010-0000-0300-000006000000}" name="Eqp" dataDxfId="518" totalsRowDxfId="481"/>
    <tableColumn id="7" xr3:uid="{00000000-0010-0000-0300-000007000000}" name="LF%" totalsRowFunction="average" dataDxfId="517" totalsRowDxfId="480"/>
    <tableColumn id="8" xr3:uid="{00000000-0010-0000-0300-000008000000}" name="CAP" totalsRowFunction="sum" dataDxfId="516" totalsRowDxfId="479"/>
    <tableColumn id="9" xr3:uid="{00000000-0010-0000-0300-000009000000}" name="BKG(Y)" totalsRowFunction="sum" dataDxfId="515" totalsRowDxfId="478"/>
    <tableColumn id="10" xr3:uid="{00000000-0010-0000-0300-00000A000000}" name="GRP(Y)" totalsRowFunction="sum" dataDxfId="514" totalsRowDxfId="477"/>
    <tableColumn id="11" xr3:uid="{00000000-0010-0000-0300-00000B000000}" name="FLT ST" dataDxfId="513" totalsRowDxfId="476"/>
    <tableColumn id="12" xr3:uid="{00000000-0010-0000-0300-00000C000000}" name="LST-SOLD" dataDxfId="512" totalsRowDxfId="475"/>
    <tableColumn id="13" xr3:uid="{00000000-0010-0000-0300-00000D000000}" name="TO-DAY" totalsRowFunction="sum" dataDxfId="511" totalsRowDxfId="474"/>
    <tableColumn id="14" xr3:uid="{00000000-0010-0000-0300-00000E000000}" name="Y-DAY" totalsRowFunction="sum" dataDxfId="510" totalsRowDxfId="473"/>
    <tableColumn id="15" xr3:uid="{00000000-0010-0000-0300-00000F000000}" name="WEEKLY" totalsRowFunction="sum" dataDxfId="509" totalsRowDxfId="472"/>
    <tableColumn id="16" xr3:uid="{00000000-0010-0000-0300-000010000000}" name="LOWEST AVAIL" dataDxfId="508" totalsRowDxfId="471"/>
    <tableColumn id="17" xr3:uid="{00000000-0010-0000-0300-000011000000}" name="Y" totalsRowFunction="sum" dataDxfId="507" totalsRowDxfId="470"/>
    <tableColumn id="18" xr3:uid="{00000000-0010-0000-0300-000012000000}" name="B" totalsRowFunction="sum" dataDxfId="506" totalsRowDxfId="469"/>
    <tableColumn id="19" xr3:uid="{00000000-0010-0000-0300-000013000000}" name="M" totalsRowFunction="sum" dataDxfId="505" totalsRowDxfId="468"/>
    <tableColumn id="20" xr3:uid="{00000000-0010-0000-0300-000014000000}" name="H" totalsRowFunction="sum" dataDxfId="504" totalsRowDxfId="467"/>
    <tableColumn id="21" xr3:uid="{00000000-0010-0000-0300-000015000000}" name="Q" totalsRowFunction="sum" dataDxfId="503" totalsRowDxfId="466"/>
    <tableColumn id="22" xr3:uid="{00000000-0010-0000-0300-000016000000}" name="K" totalsRowFunction="sum" dataDxfId="502" totalsRowDxfId="465"/>
    <tableColumn id="23" xr3:uid="{00000000-0010-0000-0300-000017000000}" name="V" totalsRowFunction="sum" dataDxfId="501" totalsRowDxfId="464"/>
    <tableColumn id="24" xr3:uid="{00000000-0010-0000-0300-000018000000}" name="L" totalsRowFunction="sum" dataDxfId="500" totalsRowDxfId="463"/>
    <tableColumn id="25" xr3:uid="{00000000-0010-0000-0300-000019000000}" name="G" totalsRowFunction="sum" dataDxfId="499" totalsRowDxfId="462"/>
    <tableColumn id="26" xr3:uid="{00000000-0010-0000-0300-00001A000000}" name="S" totalsRowFunction="sum" dataDxfId="498" totalsRowDxfId="461"/>
    <tableColumn id="27" xr3:uid="{00000000-0010-0000-0300-00001B000000}" name="W" totalsRowFunction="sum" dataDxfId="497" totalsRowDxfId="460"/>
    <tableColumn id="28" xr3:uid="{00000000-0010-0000-0300-00001C000000}" name="T" totalsRowFunction="sum" dataDxfId="496" totalsRowDxfId="459"/>
    <tableColumn id="29" xr3:uid="{00000000-0010-0000-0300-00001D000000}" name="X" totalsRowFunction="sum" dataDxfId="495" totalsRowDxfId="458"/>
    <tableColumn id="30" xr3:uid="{00000000-0010-0000-0300-00001E000000}" name="U" totalsRowFunction="sum" dataDxfId="494" totalsRowDxfId="457"/>
    <tableColumn id="31" xr3:uid="{00000000-0010-0000-0300-00001F000000}" name="O" totalsRowFunction="sum" dataDxfId="493" totalsRowDxfId="456"/>
    <tableColumn id="32" xr3:uid="{00000000-0010-0000-0300-000020000000}" name="I" totalsRowFunction="sum" dataDxfId="492" totalsRowDxfId="455"/>
    <tableColumn id="33" xr3:uid="{00000000-0010-0000-0300-000021000000}" name="E" totalsRowFunction="sum" dataDxfId="491" totalsRowDxfId="454"/>
    <tableColumn id="34" xr3:uid="{00000000-0010-0000-0300-000022000000}" name="A" totalsRowFunction="sum" dataDxfId="490" totalsRowDxfId="453"/>
    <tableColumn id="35" xr3:uid="{00000000-0010-0000-0300-000023000000}" name="P" totalsRowFunction="sum" dataDxfId="489" totalsRowDxfId="452"/>
    <tableColumn id="36" xr3:uid="{00000000-0010-0000-0300-000024000000}" name="N" totalsRowFunction="count" dataDxfId="488" totalsRowDxfId="45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I_YNB_LF_LEGACY" displayName="CAI_YNB_LF_LEGACY" ref="A1:AJ36" totalsRowCount="1" headerRowDxfId="449" dataDxfId="412" totalsRowDxfId="375">
  <tableColumns count="36">
    <tableColumn id="1" xr3:uid="{00000000-0010-0000-0400-000001000000}" name="Day" totalsRowLabel="TOTAL" dataDxfId="448" totalsRowDxfId="411"/>
    <tableColumn id="2" xr3:uid="{00000000-0010-0000-0400-000002000000}" name="Flt Dt" dataDxfId="447" totalsRowDxfId="410"/>
    <tableColumn id="3" xr3:uid="{00000000-0010-0000-0400-000003000000}" name="Flt" totalsRowFunction="count" dataDxfId="446" totalsRowDxfId="409"/>
    <tableColumn id="4" xr3:uid="{00000000-0010-0000-0400-000004000000}" name="DEP" dataDxfId="445" totalsRowDxfId="408"/>
    <tableColumn id="5" xr3:uid="{00000000-0010-0000-0400-000005000000}" name="Brd-Off" totalsRowFunction="count" dataDxfId="444" totalsRowDxfId="407"/>
    <tableColumn id="6" xr3:uid="{00000000-0010-0000-0400-000006000000}" name="Eqp" dataDxfId="443" totalsRowDxfId="406"/>
    <tableColumn id="7" xr3:uid="{00000000-0010-0000-0400-000007000000}" name="LF%" totalsRowFunction="average" dataDxfId="442" totalsRowDxfId="405"/>
    <tableColumn id="8" xr3:uid="{00000000-0010-0000-0400-000008000000}" name="CAP" totalsRowFunction="sum" dataDxfId="441" totalsRowDxfId="404"/>
    <tableColumn id="9" xr3:uid="{00000000-0010-0000-0400-000009000000}" name="BKG(Y)" totalsRowFunction="sum" dataDxfId="440" totalsRowDxfId="403"/>
    <tableColumn id="10" xr3:uid="{00000000-0010-0000-0400-00000A000000}" name="GRP(Y)" totalsRowFunction="sum" dataDxfId="439" totalsRowDxfId="402"/>
    <tableColumn id="11" xr3:uid="{00000000-0010-0000-0400-00000B000000}" name="FLT ST" dataDxfId="438" totalsRowDxfId="401"/>
    <tableColumn id="12" xr3:uid="{00000000-0010-0000-0400-00000C000000}" name="LST-SOLD" dataDxfId="437" totalsRowDxfId="400"/>
    <tableColumn id="13" xr3:uid="{00000000-0010-0000-0400-00000D000000}" name="TO-DAY" totalsRowFunction="sum" dataDxfId="436" totalsRowDxfId="399"/>
    <tableColumn id="14" xr3:uid="{00000000-0010-0000-0400-00000E000000}" name="Y-DAY" totalsRowFunction="sum" dataDxfId="435" totalsRowDxfId="398"/>
    <tableColumn id="15" xr3:uid="{00000000-0010-0000-0400-00000F000000}" name="WEEKLY" totalsRowFunction="sum" dataDxfId="434" totalsRowDxfId="397"/>
    <tableColumn id="16" xr3:uid="{00000000-0010-0000-0400-000010000000}" name="LOWEST AVAIL" dataDxfId="433" totalsRowDxfId="396"/>
    <tableColumn id="17" xr3:uid="{00000000-0010-0000-0400-000011000000}" name="Y" totalsRowFunction="sum" dataDxfId="432" totalsRowDxfId="395"/>
    <tableColumn id="18" xr3:uid="{00000000-0010-0000-0400-000012000000}" name="B" totalsRowFunction="sum" dataDxfId="431" totalsRowDxfId="394"/>
    <tableColumn id="19" xr3:uid="{00000000-0010-0000-0400-000013000000}" name="M" totalsRowFunction="sum" dataDxfId="430" totalsRowDxfId="393"/>
    <tableColumn id="20" xr3:uid="{00000000-0010-0000-0400-000014000000}" name="H" totalsRowFunction="sum" dataDxfId="429" totalsRowDxfId="392"/>
    <tableColumn id="21" xr3:uid="{00000000-0010-0000-0400-000015000000}" name="Q" totalsRowFunction="sum" dataDxfId="428" totalsRowDxfId="391"/>
    <tableColumn id="22" xr3:uid="{00000000-0010-0000-0400-000016000000}" name="K" totalsRowFunction="sum" dataDxfId="427" totalsRowDxfId="390"/>
    <tableColumn id="23" xr3:uid="{00000000-0010-0000-0400-000017000000}" name="V" totalsRowFunction="sum" dataDxfId="426" totalsRowDxfId="389"/>
    <tableColumn id="24" xr3:uid="{00000000-0010-0000-0400-000018000000}" name="L" totalsRowFunction="sum" dataDxfId="425" totalsRowDxfId="388"/>
    <tableColumn id="25" xr3:uid="{00000000-0010-0000-0400-000019000000}" name="G" totalsRowFunction="sum" dataDxfId="424" totalsRowDxfId="387"/>
    <tableColumn id="26" xr3:uid="{00000000-0010-0000-0400-00001A000000}" name="S" totalsRowFunction="sum" dataDxfId="423" totalsRowDxfId="386"/>
    <tableColumn id="27" xr3:uid="{00000000-0010-0000-0400-00001B000000}" name="W" totalsRowFunction="sum" dataDxfId="422" totalsRowDxfId="385"/>
    <tableColumn id="28" xr3:uid="{00000000-0010-0000-0400-00001C000000}" name="T" totalsRowFunction="sum" dataDxfId="421" totalsRowDxfId="384"/>
    <tableColumn id="29" xr3:uid="{00000000-0010-0000-0400-00001D000000}" name="X" totalsRowFunction="sum" dataDxfId="420" totalsRowDxfId="383"/>
    <tableColumn id="30" xr3:uid="{00000000-0010-0000-0400-00001E000000}" name="U" totalsRowFunction="sum" dataDxfId="419" totalsRowDxfId="382"/>
    <tableColumn id="31" xr3:uid="{00000000-0010-0000-0400-00001F000000}" name="O" totalsRowFunction="sum" dataDxfId="418" totalsRowDxfId="381"/>
    <tableColumn id="32" xr3:uid="{00000000-0010-0000-0400-000020000000}" name="I" totalsRowFunction="sum" dataDxfId="417" totalsRowDxfId="380"/>
    <tableColumn id="33" xr3:uid="{00000000-0010-0000-0400-000021000000}" name="E" totalsRowFunction="sum" dataDxfId="416" totalsRowDxfId="379"/>
    <tableColumn id="34" xr3:uid="{00000000-0010-0000-0400-000022000000}" name="A" totalsRowFunction="sum" dataDxfId="415" totalsRowDxfId="378"/>
    <tableColumn id="35" xr3:uid="{00000000-0010-0000-0400-000023000000}" name="P" totalsRowFunction="sum" dataDxfId="414" totalsRowDxfId="377"/>
    <tableColumn id="36" xr3:uid="{00000000-0010-0000-0400-000024000000}" name="N" totalsRowFunction="count" dataDxfId="413" totalsRowDxfId="3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I_AHB_LF_LEGACY" displayName="CAI_AHB_LF_LEGACY" ref="A1:AJ16" totalsRowCount="1" headerRowDxfId="374" dataDxfId="337" totalsRowDxfId="300">
  <tableColumns count="36">
    <tableColumn id="1" xr3:uid="{00000000-0010-0000-0500-000001000000}" name="Day" totalsRowLabel="TOTAL" dataDxfId="373" totalsRowDxfId="336"/>
    <tableColumn id="2" xr3:uid="{00000000-0010-0000-0500-000002000000}" name="Flt Dt" dataDxfId="372" totalsRowDxfId="335"/>
    <tableColumn id="3" xr3:uid="{00000000-0010-0000-0500-000003000000}" name="Flt" totalsRowFunction="count" dataDxfId="371" totalsRowDxfId="334"/>
    <tableColumn id="4" xr3:uid="{00000000-0010-0000-0500-000004000000}" name="DEP" dataDxfId="370" totalsRowDxfId="333"/>
    <tableColumn id="5" xr3:uid="{00000000-0010-0000-0500-000005000000}" name="Brd-Off" totalsRowFunction="count" dataDxfId="369" totalsRowDxfId="332"/>
    <tableColumn id="6" xr3:uid="{00000000-0010-0000-0500-000006000000}" name="Eqp" dataDxfId="368" totalsRowDxfId="331"/>
    <tableColumn id="7" xr3:uid="{00000000-0010-0000-0500-000007000000}" name="LF%" totalsRowFunction="average" dataDxfId="367" totalsRowDxfId="330"/>
    <tableColumn id="8" xr3:uid="{00000000-0010-0000-0500-000008000000}" name="CAP" totalsRowFunction="sum" dataDxfId="366" totalsRowDxfId="329"/>
    <tableColumn id="9" xr3:uid="{00000000-0010-0000-0500-000009000000}" name="BKG(Y)" totalsRowFunction="sum" dataDxfId="365" totalsRowDxfId="328"/>
    <tableColumn id="10" xr3:uid="{00000000-0010-0000-0500-00000A000000}" name="GRP(Y)" totalsRowFunction="sum" dataDxfId="364" totalsRowDxfId="327"/>
    <tableColumn id="11" xr3:uid="{00000000-0010-0000-0500-00000B000000}" name="FLT ST" dataDxfId="363" totalsRowDxfId="326"/>
    <tableColumn id="12" xr3:uid="{00000000-0010-0000-0500-00000C000000}" name="LST-SOLD" dataDxfId="362" totalsRowDxfId="325"/>
    <tableColumn id="13" xr3:uid="{00000000-0010-0000-0500-00000D000000}" name="TO-DAY" totalsRowFunction="sum" dataDxfId="361" totalsRowDxfId="324"/>
    <tableColumn id="14" xr3:uid="{00000000-0010-0000-0500-00000E000000}" name="Y-DAY" totalsRowFunction="sum" dataDxfId="360" totalsRowDxfId="323"/>
    <tableColumn id="15" xr3:uid="{00000000-0010-0000-0500-00000F000000}" name="WEEKLY" totalsRowFunction="sum" dataDxfId="359" totalsRowDxfId="322"/>
    <tableColumn id="16" xr3:uid="{00000000-0010-0000-0500-000010000000}" name="LOWEST AVAIL" dataDxfId="358" totalsRowDxfId="321"/>
    <tableColumn id="17" xr3:uid="{00000000-0010-0000-0500-000011000000}" name="Y" totalsRowFunction="sum" dataDxfId="357" totalsRowDxfId="320"/>
    <tableColumn id="18" xr3:uid="{00000000-0010-0000-0500-000012000000}" name="B" totalsRowFunction="sum" dataDxfId="356" totalsRowDxfId="319"/>
    <tableColumn id="19" xr3:uid="{00000000-0010-0000-0500-000013000000}" name="M" totalsRowFunction="sum" dataDxfId="355" totalsRowDxfId="318"/>
    <tableColumn id="20" xr3:uid="{00000000-0010-0000-0500-000014000000}" name="H" totalsRowFunction="sum" dataDxfId="354" totalsRowDxfId="317"/>
    <tableColumn id="21" xr3:uid="{00000000-0010-0000-0500-000015000000}" name="Q" totalsRowFunction="sum" dataDxfId="353" totalsRowDxfId="316"/>
    <tableColumn id="22" xr3:uid="{00000000-0010-0000-0500-000016000000}" name="K" totalsRowFunction="sum" dataDxfId="352" totalsRowDxfId="315"/>
    <tableColumn id="23" xr3:uid="{00000000-0010-0000-0500-000017000000}" name="V" totalsRowFunction="sum" dataDxfId="351" totalsRowDxfId="314"/>
    <tableColumn id="24" xr3:uid="{00000000-0010-0000-0500-000018000000}" name="L" totalsRowFunction="sum" dataDxfId="350" totalsRowDxfId="313"/>
    <tableColumn id="25" xr3:uid="{00000000-0010-0000-0500-000019000000}" name="G" totalsRowFunction="sum" dataDxfId="349" totalsRowDxfId="312"/>
    <tableColumn id="26" xr3:uid="{00000000-0010-0000-0500-00001A000000}" name="S" totalsRowFunction="sum" dataDxfId="348" totalsRowDxfId="311"/>
    <tableColumn id="27" xr3:uid="{00000000-0010-0000-0500-00001B000000}" name="W" totalsRowFunction="sum" dataDxfId="347" totalsRowDxfId="310"/>
    <tableColumn id="28" xr3:uid="{00000000-0010-0000-0500-00001C000000}" name="T" totalsRowFunction="sum" dataDxfId="346" totalsRowDxfId="309"/>
    <tableColumn id="29" xr3:uid="{00000000-0010-0000-0500-00001D000000}" name="X" totalsRowFunction="sum" dataDxfId="345" totalsRowDxfId="308"/>
    <tableColumn id="30" xr3:uid="{00000000-0010-0000-0500-00001E000000}" name="U" totalsRowFunction="sum" dataDxfId="344" totalsRowDxfId="307"/>
    <tableColumn id="31" xr3:uid="{00000000-0010-0000-0500-00001F000000}" name="O" totalsRowFunction="sum" dataDxfId="343" totalsRowDxfId="306"/>
    <tableColumn id="32" xr3:uid="{00000000-0010-0000-0500-000020000000}" name="I" totalsRowFunction="sum" dataDxfId="342" totalsRowDxfId="305"/>
    <tableColumn id="33" xr3:uid="{00000000-0010-0000-0500-000021000000}" name="E" totalsRowFunction="sum" dataDxfId="341" totalsRowDxfId="304"/>
    <tableColumn id="34" xr3:uid="{00000000-0010-0000-0500-000022000000}" name="A" totalsRowFunction="sum" dataDxfId="340" totalsRowDxfId="303"/>
    <tableColumn id="35" xr3:uid="{00000000-0010-0000-0500-000023000000}" name="P" totalsRowFunction="sum" dataDxfId="339" totalsRowDxfId="302"/>
    <tableColumn id="36" xr3:uid="{00000000-0010-0000-0500-000024000000}" name="N" totalsRowFunction="count" dataDxfId="338" totalsRowDxfId="30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I_ELQ_LF_LEGACY" displayName="CAI_ELQ_LF_LEGACY" ref="A1:AJ17" totalsRowCount="1" headerRowDxfId="299" dataDxfId="262" totalsRowDxfId="225">
  <tableColumns count="36">
    <tableColumn id="1" xr3:uid="{00000000-0010-0000-0600-000001000000}" name="Day" totalsRowLabel="TOTAL" dataDxfId="298" totalsRowDxfId="261"/>
    <tableColumn id="2" xr3:uid="{00000000-0010-0000-0600-000002000000}" name="Flt Dt" dataDxfId="297" totalsRowDxfId="260"/>
    <tableColumn id="3" xr3:uid="{00000000-0010-0000-0600-000003000000}" name="Flt" totalsRowFunction="count" dataDxfId="296" totalsRowDxfId="259"/>
    <tableColumn id="4" xr3:uid="{00000000-0010-0000-0600-000004000000}" name="DEP" dataDxfId="295" totalsRowDxfId="258"/>
    <tableColumn id="5" xr3:uid="{00000000-0010-0000-0600-000005000000}" name="Brd-Off" totalsRowFunction="count" dataDxfId="294" totalsRowDxfId="257"/>
    <tableColumn id="6" xr3:uid="{00000000-0010-0000-0600-000006000000}" name="Eqp" dataDxfId="293" totalsRowDxfId="256"/>
    <tableColumn id="7" xr3:uid="{00000000-0010-0000-0600-000007000000}" name="LF%" totalsRowFunction="average" dataDxfId="292" totalsRowDxfId="255"/>
    <tableColumn id="8" xr3:uid="{00000000-0010-0000-0600-000008000000}" name="CAP" totalsRowFunction="sum" dataDxfId="291" totalsRowDxfId="254"/>
    <tableColumn id="9" xr3:uid="{00000000-0010-0000-0600-000009000000}" name="BKG(Y)" totalsRowFunction="sum" dataDxfId="290" totalsRowDxfId="253"/>
    <tableColumn id="10" xr3:uid="{00000000-0010-0000-0600-00000A000000}" name="GRP(Y)" totalsRowFunction="sum" dataDxfId="289" totalsRowDxfId="252"/>
    <tableColumn id="11" xr3:uid="{00000000-0010-0000-0600-00000B000000}" name="FLT ST" dataDxfId="288" totalsRowDxfId="251"/>
    <tableColumn id="12" xr3:uid="{00000000-0010-0000-0600-00000C000000}" name="LST-SOLD" dataDxfId="287" totalsRowDxfId="250"/>
    <tableColumn id="13" xr3:uid="{00000000-0010-0000-0600-00000D000000}" name="TO-DAY" totalsRowFunction="sum" dataDxfId="286" totalsRowDxfId="249"/>
    <tableColumn id="14" xr3:uid="{00000000-0010-0000-0600-00000E000000}" name="Y-DAY" totalsRowFunction="sum" dataDxfId="285" totalsRowDxfId="248"/>
    <tableColumn id="15" xr3:uid="{00000000-0010-0000-0600-00000F000000}" name="WEEKLY" totalsRowFunction="sum" dataDxfId="284" totalsRowDxfId="247"/>
    <tableColumn id="16" xr3:uid="{00000000-0010-0000-0600-000010000000}" name="LOWEST AVAIL" dataDxfId="283" totalsRowDxfId="246"/>
    <tableColumn id="17" xr3:uid="{00000000-0010-0000-0600-000011000000}" name="Y" totalsRowFunction="sum" dataDxfId="282" totalsRowDxfId="245"/>
    <tableColumn id="18" xr3:uid="{00000000-0010-0000-0600-000012000000}" name="B" totalsRowFunction="sum" dataDxfId="281" totalsRowDxfId="244"/>
    <tableColumn id="19" xr3:uid="{00000000-0010-0000-0600-000013000000}" name="M" totalsRowFunction="sum" dataDxfId="280" totalsRowDxfId="243"/>
    <tableColumn id="20" xr3:uid="{00000000-0010-0000-0600-000014000000}" name="H" totalsRowFunction="sum" dataDxfId="279" totalsRowDxfId="242"/>
    <tableColumn id="21" xr3:uid="{00000000-0010-0000-0600-000015000000}" name="Q" totalsRowFunction="sum" dataDxfId="278" totalsRowDxfId="241"/>
    <tableColumn id="22" xr3:uid="{00000000-0010-0000-0600-000016000000}" name="K" totalsRowFunction="sum" dataDxfId="277" totalsRowDxfId="240"/>
    <tableColumn id="23" xr3:uid="{00000000-0010-0000-0600-000017000000}" name="V" totalsRowFunction="sum" dataDxfId="276" totalsRowDxfId="239"/>
    <tableColumn id="24" xr3:uid="{00000000-0010-0000-0600-000018000000}" name="L" totalsRowFunction="sum" dataDxfId="275" totalsRowDxfId="238"/>
    <tableColumn id="25" xr3:uid="{00000000-0010-0000-0600-000019000000}" name="G" totalsRowFunction="sum" dataDxfId="274" totalsRowDxfId="237"/>
    <tableColumn id="26" xr3:uid="{00000000-0010-0000-0600-00001A000000}" name="S" totalsRowFunction="sum" dataDxfId="273" totalsRowDxfId="236"/>
    <tableColumn id="27" xr3:uid="{00000000-0010-0000-0600-00001B000000}" name="W" totalsRowFunction="sum" dataDxfId="272" totalsRowDxfId="235"/>
    <tableColumn id="28" xr3:uid="{00000000-0010-0000-0600-00001C000000}" name="T" totalsRowFunction="sum" dataDxfId="271" totalsRowDxfId="234"/>
    <tableColumn id="29" xr3:uid="{00000000-0010-0000-0600-00001D000000}" name="X" totalsRowFunction="sum" dataDxfId="270" totalsRowDxfId="233"/>
    <tableColumn id="30" xr3:uid="{00000000-0010-0000-0600-00001E000000}" name="U" totalsRowFunction="sum" dataDxfId="269" totalsRowDxfId="232"/>
    <tableColumn id="31" xr3:uid="{00000000-0010-0000-0600-00001F000000}" name="O" totalsRowFunction="sum" dataDxfId="268" totalsRowDxfId="231"/>
    <tableColumn id="32" xr3:uid="{00000000-0010-0000-0600-000020000000}" name="I" totalsRowFunction="sum" dataDxfId="267" totalsRowDxfId="230"/>
    <tableColumn id="33" xr3:uid="{00000000-0010-0000-0600-000021000000}" name="E" totalsRowFunction="sum" dataDxfId="266" totalsRowDxfId="229"/>
    <tableColumn id="34" xr3:uid="{00000000-0010-0000-0600-000022000000}" name="A" totalsRowFunction="sum" dataDxfId="265" totalsRowDxfId="228"/>
    <tableColumn id="35" xr3:uid="{00000000-0010-0000-0600-000023000000}" name="P" totalsRowFunction="sum" dataDxfId="264" totalsRowDxfId="227"/>
    <tableColumn id="36" xr3:uid="{00000000-0010-0000-0600-000024000000}" name="N" totalsRowFunction="count" dataDxfId="263" totalsRowDxfId="2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I_GIZ_LF_LEGACY" displayName="CAI_GIZ_LF_LEGACY" ref="A1:AJ11" totalsRowCount="1" headerRowDxfId="224" dataDxfId="187" totalsRowDxfId="150">
  <tableColumns count="36">
    <tableColumn id="1" xr3:uid="{00000000-0010-0000-0700-000001000000}" name="Day" totalsRowLabel="TOTAL" dataDxfId="223" totalsRowDxfId="186"/>
    <tableColumn id="2" xr3:uid="{00000000-0010-0000-0700-000002000000}" name="Flt Dt" dataDxfId="222" totalsRowDxfId="185"/>
    <tableColumn id="3" xr3:uid="{00000000-0010-0000-0700-000003000000}" name="Flt" totalsRowFunction="count" dataDxfId="221" totalsRowDxfId="184"/>
    <tableColumn id="4" xr3:uid="{00000000-0010-0000-0700-000004000000}" name="DEP" dataDxfId="220" totalsRowDxfId="183"/>
    <tableColumn id="5" xr3:uid="{00000000-0010-0000-0700-000005000000}" name="Brd-Off" totalsRowFunction="count" dataDxfId="219" totalsRowDxfId="182"/>
    <tableColumn id="6" xr3:uid="{00000000-0010-0000-0700-000006000000}" name="Eqp" dataDxfId="218" totalsRowDxfId="181"/>
    <tableColumn id="7" xr3:uid="{00000000-0010-0000-0700-000007000000}" name="LF%" totalsRowFunction="average" dataDxfId="217" totalsRowDxfId="180"/>
    <tableColumn id="8" xr3:uid="{00000000-0010-0000-0700-000008000000}" name="CAP" totalsRowFunction="sum" dataDxfId="216" totalsRowDxfId="179"/>
    <tableColumn id="9" xr3:uid="{00000000-0010-0000-0700-000009000000}" name="BKG(Y)" totalsRowFunction="sum" dataDxfId="215" totalsRowDxfId="178"/>
    <tableColumn id="10" xr3:uid="{00000000-0010-0000-0700-00000A000000}" name="GRP(Y)" totalsRowFunction="sum" dataDxfId="214" totalsRowDxfId="177"/>
    <tableColumn id="11" xr3:uid="{00000000-0010-0000-0700-00000B000000}" name="FLT ST" dataDxfId="213" totalsRowDxfId="176"/>
    <tableColumn id="12" xr3:uid="{00000000-0010-0000-0700-00000C000000}" name="LST-SOLD" dataDxfId="212" totalsRowDxfId="175"/>
    <tableColumn id="13" xr3:uid="{00000000-0010-0000-0700-00000D000000}" name="TO-DAY" totalsRowFunction="sum" dataDxfId="211" totalsRowDxfId="174"/>
    <tableColumn id="14" xr3:uid="{00000000-0010-0000-0700-00000E000000}" name="Y-DAY" totalsRowFunction="sum" dataDxfId="210" totalsRowDxfId="173"/>
    <tableColumn id="15" xr3:uid="{00000000-0010-0000-0700-00000F000000}" name="WEEKLY" totalsRowFunction="sum" dataDxfId="209" totalsRowDxfId="172"/>
    <tableColumn id="16" xr3:uid="{00000000-0010-0000-0700-000010000000}" name="LOWEST AVAIL" dataDxfId="208" totalsRowDxfId="171"/>
    <tableColumn id="17" xr3:uid="{00000000-0010-0000-0700-000011000000}" name="Y" totalsRowFunction="sum" dataDxfId="207" totalsRowDxfId="170"/>
    <tableColumn id="18" xr3:uid="{00000000-0010-0000-0700-000012000000}" name="B" totalsRowFunction="sum" dataDxfId="206" totalsRowDxfId="169"/>
    <tableColumn id="19" xr3:uid="{00000000-0010-0000-0700-000013000000}" name="M" totalsRowFunction="sum" dataDxfId="205" totalsRowDxfId="168"/>
    <tableColumn id="20" xr3:uid="{00000000-0010-0000-0700-000014000000}" name="H" totalsRowFunction="sum" dataDxfId="204" totalsRowDxfId="167"/>
    <tableColumn id="21" xr3:uid="{00000000-0010-0000-0700-000015000000}" name="Q" totalsRowFunction="sum" dataDxfId="203" totalsRowDxfId="166"/>
    <tableColumn id="22" xr3:uid="{00000000-0010-0000-0700-000016000000}" name="K" totalsRowFunction="sum" dataDxfId="202" totalsRowDxfId="165"/>
    <tableColumn id="23" xr3:uid="{00000000-0010-0000-0700-000017000000}" name="V" totalsRowFunction="sum" dataDxfId="201" totalsRowDxfId="164"/>
    <tableColumn id="24" xr3:uid="{00000000-0010-0000-0700-000018000000}" name="L" totalsRowFunction="sum" dataDxfId="200" totalsRowDxfId="163"/>
    <tableColumn id="25" xr3:uid="{00000000-0010-0000-0700-000019000000}" name="G" totalsRowFunction="sum" dataDxfId="199" totalsRowDxfId="162"/>
    <tableColumn id="26" xr3:uid="{00000000-0010-0000-0700-00001A000000}" name="S" totalsRowFunction="sum" dataDxfId="198" totalsRowDxfId="161"/>
    <tableColumn id="27" xr3:uid="{00000000-0010-0000-0700-00001B000000}" name="W" totalsRowFunction="sum" dataDxfId="197" totalsRowDxfId="160"/>
    <tableColumn id="28" xr3:uid="{00000000-0010-0000-0700-00001C000000}" name="T" totalsRowFunction="sum" dataDxfId="196" totalsRowDxfId="159"/>
    <tableColumn id="29" xr3:uid="{00000000-0010-0000-0700-00001D000000}" name="X" totalsRowFunction="sum" dataDxfId="195" totalsRowDxfId="158"/>
    <tableColumn id="30" xr3:uid="{00000000-0010-0000-0700-00001E000000}" name="U" totalsRowFunction="sum" dataDxfId="194" totalsRowDxfId="157"/>
    <tableColumn id="31" xr3:uid="{00000000-0010-0000-0700-00001F000000}" name="O" totalsRowFunction="sum" dataDxfId="193" totalsRowDxfId="156"/>
    <tableColumn id="32" xr3:uid="{00000000-0010-0000-0700-000020000000}" name="I" totalsRowFunction="sum" dataDxfId="192" totalsRowDxfId="155"/>
    <tableColumn id="33" xr3:uid="{00000000-0010-0000-0700-000021000000}" name="E" totalsRowFunction="sum" dataDxfId="191" totalsRowDxfId="154"/>
    <tableColumn id="34" xr3:uid="{00000000-0010-0000-0700-000022000000}" name="A" totalsRowFunction="sum" dataDxfId="190" totalsRowDxfId="153"/>
    <tableColumn id="35" xr3:uid="{00000000-0010-0000-0700-000023000000}" name="P" totalsRowFunction="sum" dataDxfId="189" totalsRowDxfId="152"/>
    <tableColumn id="36" xr3:uid="{00000000-0010-0000-0700-000024000000}" name="N" totalsRowFunction="count" dataDxfId="188" totalsRowDxfId="15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I_JED_LF_LEGACY" displayName="CAI_JED_LF_LEGACY" ref="A1:AJ163" totalsRowCount="1" headerRowDxfId="149" dataDxfId="112" totalsRowDxfId="75">
  <tableColumns count="36">
    <tableColumn id="1" xr3:uid="{00000000-0010-0000-0800-000001000000}" name="Day" totalsRowLabel="TOTAL" dataDxfId="148" totalsRowDxfId="111"/>
    <tableColumn id="2" xr3:uid="{00000000-0010-0000-0800-000002000000}" name="Flt Dt" dataDxfId="147" totalsRowDxfId="110"/>
    <tableColumn id="3" xr3:uid="{00000000-0010-0000-0800-000003000000}" name="Flt" totalsRowFunction="count" dataDxfId="146" totalsRowDxfId="109"/>
    <tableColumn id="4" xr3:uid="{00000000-0010-0000-0800-000004000000}" name="DEP" dataDxfId="145" totalsRowDxfId="108"/>
    <tableColumn id="5" xr3:uid="{00000000-0010-0000-0800-000005000000}" name="Brd-Off" totalsRowFunction="count" dataDxfId="144" totalsRowDxfId="107"/>
    <tableColumn id="6" xr3:uid="{00000000-0010-0000-0800-000006000000}" name="Eqp" dataDxfId="143" totalsRowDxfId="106"/>
    <tableColumn id="7" xr3:uid="{00000000-0010-0000-0800-000007000000}" name="LF%" totalsRowFunction="average" dataDxfId="142" totalsRowDxfId="105"/>
    <tableColumn id="8" xr3:uid="{00000000-0010-0000-0800-000008000000}" name="CAP" totalsRowFunction="sum" dataDxfId="141" totalsRowDxfId="104"/>
    <tableColumn id="9" xr3:uid="{00000000-0010-0000-0800-000009000000}" name="BKG(Y)" totalsRowFunction="sum" dataDxfId="140" totalsRowDxfId="103"/>
    <tableColumn id="10" xr3:uid="{00000000-0010-0000-0800-00000A000000}" name="GRP(Y)" totalsRowFunction="sum" dataDxfId="139" totalsRowDxfId="102"/>
    <tableColumn id="11" xr3:uid="{00000000-0010-0000-0800-00000B000000}" name="FLT ST" dataDxfId="138" totalsRowDxfId="101"/>
    <tableColumn id="12" xr3:uid="{00000000-0010-0000-0800-00000C000000}" name="LST-SOLD" dataDxfId="137" totalsRowDxfId="100"/>
    <tableColumn id="13" xr3:uid="{00000000-0010-0000-0800-00000D000000}" name="TO-DAY" totalsRowFunction="sum" dataDxfId="136" totalsRowDxfId="99"/>
    <tableColumn id="14" xr3:uid="{00000000-0010-0000-0800-00000E000000}" name="Y-DAY" totalsRowFunction="sum" dataDxfId="135" totalsRowDxfId="98"/>
    <tableColumn id="15" xr3:uid="{00000000-0010-0000-0800-00000F000000}" name="WEEKLY" totalsRowFunction="sum" dataDxfId="134" totalsRowDxfId="97"/>
    <tableColumn id="16" xr3:uid="{00000000-0010-0000-0800-000010000000}" name="LOWEST AVAIL" dataDxfId="133" totalsRowDxfId="96"/>
    <tableColumn id="17" xr3:uid="{00000000-0010-0000-0800-000011000000}" name="Y" totalsRowFunction="sum" dataDxfId="132" totalsRowDxfId="95"/>
    <tableColumn id="18" xr3:uid="{00000000-0010-0000-0800-000012000000}" name="B" totalsRowFunction="sum" dataDxfId="131" totalsRowDxfId="94"/>
    <tableColumn id="19" xr3:uid="{00000000-0010-0000-0800-000013000000}" name="M" totalsRowFunction="sum" dataDxfId="130" totalsRowDxfId="93"/>
    <tableColumn id="20" xr3:uid="{00000000-0010-0000-0800-000014000000}" name="H" totalsRowFunction="sum" dataDxfId="129" totalsRowDxfId="92"/>
    <tableColumn id="21" xr3:uid="{00000000-0010-0000-0800-000015000000}" name="Q" totalsRowFunction="sum" dataDxfId="128" totalsRowDxfId="91"/>
    <tableColumn id="22" xr3:uid="{00000000-0010-0000-0800-000016000000}" name="K" totalsRowFunction="sum" dataDxfId="127" totalsRowDxfId="90"/>
    <tableColumn id="23" xr3:uid="{00000000-0010-0000-0800-000017000000}" name="V" totalsRowFunction="sum" dataDxfId="126" totalsRowDxfId="89"/>
    <tableColumn id="24" xr3:uid="{00000000-0010-0000-0800-000018000000}" name="L" totalsRowFunction="sum" dataDxfId="125" totalsRowDxfId="88"/>
    <tableColumn id="25" xr3:uid="{00000000-0010-0000-0800-000019000000}" name="G" totalsRowFunction="sum" dataDxfId="124" totalsRowDxfId="87"/>
    <tableColumn id="26" xr3:uid="{00000000-0010-0000-0800-00001A000000}" name="S" totalsRowFunction="sum" dataDxfId="123" totalsRowDxfId="86"/>
    <tableColumn id="27" xr3:uid="{00000000-0010-0000-0800-00001B000000}" name="W" totalsRowFunction="sum" dataDxfId="122" totalsRowDxfId="85"/>
    <tableColumn id="28" xr3:uid="{00000000-0010-0000-0800-00001C000000}" name="T" totalsRowFunction="sum" dataDxfId="121" totalsRowDxfId="84"/>
    <tableColumn id="29" xr3:uid="{00000000-0010-0000-0800-00001D000000}" name="X" totalsRowFunction="sum" dataDxfId="120" totalsRowDxfId="83"/>
    <tableColumn id="30" xr3:uid="{00000000-0010-0000-0800-00001E000000}" name="U" totalsRowFunction="sum" dataDxfId="119" totalsRowDxfId="82"/>
    <tableColumn id="31" xr3:uid="{00000000-0010-0000-0800-00001F000000}" name="O" totalsRowFunction="sum" dataDxfId="118" totalsRowDxfId="81"/>
    <tableColumn id="32" xr3:uid="{00000000-0010-0000-0800-000020000000}" name="I" totalsRowFunction="sum" dataDxfId="117" totalsRowDxfId="80"/>
    <tableColumn id="33" xr3:uid="{00000000-0010-0000-0800-000021000000}" name="E" totalsRowFunction="sum" dataDxfId="116" totalsRowDxfId="79"/>
    <tableColumn id="34" xr3:uid="{00000000-0010-0000-0800-000022000000}" name="A" totalsRowFunction="sum" dataDxfId="115" totalsRowDxfId="78"/>
    <tableColumn id="35" xr3:uid="{00000000-0010-0000-0800-000023000000}" name="P" totalsRowFunction="sum" dataDxfId="114" totalsRowDxfId="77"/>
    <tableColumn id="36" xr3:uid="{00000000-0010-0000-0800-000024000000}" name="N" totalsRowFunction="count" dataDxfId="113" totalsRowDxfId="7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I_MED_LF_LEGACY" displayName="CAI_MED_LF_LEGACY" ref="A1:AJ30" totalsRowCount="1" headerRowDxfId="74" dataDxfId="37" totalsRowDxfId="0">
  <tableColumns count="36">
    <tableColumn id="1" xr3:uid="{00000000-0010-0000-0900-000001000000}" name="Day" totalsRowLabel="TOTAL" dataDxfId="73" totalsRowDxfId="36"/>
    <tableColumn id="2" xr3:uid="{00000000-0010-0000-0900-000002000000}" name="Flt Dt" dataDxfId="72" totalsRowDxfId="35"/>
    <tableColumn id="3" xr3:uid="{00000000-0010-0000-0900-000003000000}" name="Flt" totalsRowFunction="count" dataDxfId="71" totalsRowDxfId="34"/>
    <tableColumn id="4" xr3:uid="{00000000-0010-0000-0900-000004000000}" name="DEP" dataDxfId="70" totalsRowDxfId="33"/>
    <tableColumn id="5" xr3:uid="{00000000-0010-0000-0900-000005000000}" name="Brd-Off" totalsRowFunction="count" dataDxfId="69" totalsRowDxfId="32"/>
    <tableColumn id="6" xr3:uid="{00000000-0010-0000-0900-000006000000}" name="Eqp" dataDxfId="68" totalsRowDxfId="31"/>
    <tableColumn id="7" xr3:uid="{00000000-0010-0000-0900-000007000000}" name="LF%" totalsRowFunction="average" dataDxfId="67" totalsRowDxfId="30"/>
    <tableColumn id="8" xr3:uid="{00000000-0010-0000-0900-000008000000}" name="CAP" totalsRowFunction="sum" dataDxfId="66" totalsRowDxfId="29"/>
    <tableColumn id="9" xr3:uid="{00000000-0010-0000-0900-000009000000}" name="BKG(Y)" totalsRowFunction="sum" dataDxfId="65" totalsRowDxfId="28"/>
    <tableColumn id="10" xr3:uid="{00000000-0010-0000-0900-00000A000000}" name="GRP(Y)" totalsRowFunction="sum" dataDxfId="64" totalsRowDxfId="27"/>
    <tableColumn id="11" xr3:uid="{00000000-0010-0000-0900-00000B000000}" name="FLT ST" dataDxfId="63" totalsRowDxfId="26"/>
    <tableColumn id="12" xr3:uid="{00000000-0010-0000-0900-00000C000000}" name="LST-SOLD" dataDxfId="62" totalsRowDxfId="25"/>
    <tableColumn id="13" xr3:uid="{00000000-0010-0000-0900-00000D000000}" name="TO-DAY" totalsRowFunction="sum" dataDxfId="61" totalsRowDxfId="24"/>
    <tableColumn id="14" xr3:uid="{00000000-0010-0000-0900-00000E000000}" name="Y-DAY" totalsRowFunction="sum" dataDxfId="60" totalsRowDxfId="23"/>
    <tableColumn id="15" xr3:uid="{00000000-0010-0000-0900-00000F000000}" name="WEEKLY" totalsRowFunction="sum" dataDxfId="59" totalsRowDxfId="22"/>
    <tableColumn id="16" xr3:uid="{00000000-0010-0000-0900-000010000000}" name="LOWEST AVAIL" dataDxfId="58" totalsRowDxfId="21"/>
    <tableColumn id="17" xr3:uid="{00000000-0010-0000-0900-000011000000}" name="Y" totalsRowFunction="sum" dataDxfId="57" totalsRowDxfId="20"/>
    <tableColumn id="18" xr3:uid="{00000000-0010-0000-0900-000012000000}" name="B" totalsRowFunction="sum" dataDxfId="56" totalsRowDxfId="19"/>
    <tableColumn id="19" xr3:uid="{00000000-0010-0000-0900-000013000000}" name="M" totalsRowFunction="sum" dataDxfId="55" totalsRowDxfId="18"/>
    <tableColumn id="20" xr3:uid="{00000000-0010-0000-0900-000014000000}" name="H" totalsRowFunction="sum" dataDxfId="54" totalsRowDxfId="17"/>
    <tableColumn id="21" xr3:uid="{00000000-0010-0000-0900-000015000000}" name="Q" totalsRowFunction="sum" dataDxfId="53" totalsRowDxfId="16"/>
    <tableColumn id="22" xr3:uid="{00000000-0010-0000-0900-000016000000}" name="K" totalsRowFunction="sum" dataDxfId="52" totalsRowDxfId="15"/>
    <tableColumn id="23" xr3:uid="{00000000-0010-0000-0900-000017000000}" name="V" totalsRowFunction="sum" dataDxfId="51" totalsRowDxfId="14"/>
    <tableColumn id="24" xr3:uid="{00000000-0010-0000-0900-000018000000}" name="L" totalsRowFunction="sum" dataDxfId="50" totalsRowDxfId="13"/>
    <tableColumn id="25" xr3:uid="{00000000-0010-0000-0900-000019000000}" name="G" totalsRowFunction="sum" dataDxfId="49" totalsRowDxfId="12"/>
    <tableColumn id="26" xr3:uid="{00000000-0010-0000-0900-00001A000000}" name="S" totalsRowFunction="sum" dataDxfId="48" totalsRowDxfId="11"/>
    <tableColumn id="27" xr3:uid="{00000000-0010-0000-0900-00001B000000}" name="W" totalsRowFunction="sum" dataDxfId="47" totalsRowDxfId="10"/>
    <tableColumn id="28" xr3:uid="{00000000-0010-0000-0900-00001C000000}" name="T" totalsRowFunction="sum" dataDxfId="46" totalsRowDxfId="9"/>
    <tableColumn id="29" xr3:uid="{00000000-0010-0000-0900-00001D000000}" name="X" totalsRowFunction="sum" dataDxfId="45" totalsRowDxfId="8"/>
    <tableColumn id="30" xr3:uid="{00000000-0010-0000-0900-00001E000000}" name="U" totalsRowFunction="sum" dataDxfId="44" totalsRowDxfId="7"/>
    <tableColumn id="31" xr3:uid="{00000000-0010-0000-0900-00001F000000}" name="O" totalsRowFunction="sum" dataDxfId="43" totalsRowDxfId="6"/>
    <tableColumn id="32" xr3:uid="{00000000-0010-0000-0900-000020000000}" name="I" totalsRowFunction="sum" dataDxfId="42" totalsRowDxfId="5"/>
    <tableColumn id="33" xr3:uid="{00000000-0010-0000-0900-000021000000}" name="E" totalsRowFunction="sum" dataDxfId="41" totalsRowDxfId="4"/>
    <tableColumn id="34" xr3:uid="{00000000-0010-0000-0900-000022000000}" name="A" totalsRowFunction="sum" dataDxfId="40" totalsRowDxfId="3"/>
    <tableColumn id="35" xr3:uid="{00000000-0010-0000-0900-000023000000}" name="P" totalsRowFunction="sum" dataDxfId="39" totalsRowDxfId="2"/>
    <tableColumn id="36" xr3:uid="{00000000-0010-0000-0900-000024000000}" name="N" totalsRowFunction="count" dataDxfId="38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48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81.664062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1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45984.22869131311</v>
      </c>
      <c r="H2" s="235"/>
      <c r="I2" s="235"/>
      <c r="J2" s="235"/>
      <c r="K2" s="245">
        <v>45984.228691313772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45984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29</v>
      </c>
      <c r="C6" s="9">
        <v>0.42708333333333331</v>
      </c>
      <c r="D6" s="8" t="s">
        <v>30</v>
      </c>
      <c r="E6" s="10"/>
      <c r="F6" s="8" t="s">
        <v>31</v>
      </c>
      <c r="G6" s="237"/>
      <c r="H6" s="11" t="s">
        <v>29</v>
      </c>
      <c r="I6" s="12">
        <v>0.6089</v>
      </c>
      <c r="J6" s="13">
        <v>109</v>
      </c>
      <c r="K6" s="14" t="s">
        <v>32</v>
      </c>
      <c r="L6" s="13">
        <v>51</v>
      </c>
      <c r="M6" s="13">
        <v>0</v>
      </c>
      <c r="N6" s="13">
        <v>0</v>
      </c>
      <c r="O6" s="15" t="s">
        <v>33</v>
      </c>
      <c r="P6" s="16">
        <v>0.42708333333333331</v>
      </c>
      <c r="Q6" s="13">
        <v>179</v>
      </c>
      <c r="R6" s="17" t="s">
        <v>34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45985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35</v>
      </c>
      <c r="C10" s="9">
        <v>0.72569444444444453</v>
      </c>
      <c r="D10" s="8" t="s">
        <v>30</v>
      </c>
      <c r="E10" s="10"/>
      <c r="F10" s="8" t="s">
        <v>36</v>
      </c>
      <c r="G10" s="232"/>
      <c r="H10" s="11" t="s">
        <v>35</v>
      </c>
      <c r="I10" s="12">
        <v>0.69269999999999998</v>
      </c>
      <c r="J10" s="13">
        <v>124</v>
      </c>
      <c r="K10" s="14" t="s">
        <v>37</v>
      </c>
      <c r="L10" s="13">
        <v>64</v>
      </c>
      <c r="M10" s="13">
        <v>0</v>
      </c>
      <c r="N10" s="13">
        <v>11</v>
      </c>
      <c r="O10" s="15" t="s">
        <v>38</v>
      </c>
      <c r="P10" s="16">
        <v>0.72569444444444453</v>
      </c>
      <c r="Q10" s="13">
        <v>179</v>
      </c>
      <c r="R10" s="17" t="s">
        <v>39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45986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26" t="s">
        <v>28</v>
      </c>
      <c r="B14" s="26" t="s">
        <v>35</v>
      </c>
      <c r="C14" s="27">
        <v>0.71527777777777779</v>
      </c>
      <c r="D14" s="26" t="s">
        <v>30</v>
      </c>
      <c r="E14" s="28"/>
      <c r="F14" s="26" t="s">
        <v>36</v>
      </c>
      <c r="G14" s="232"/>
      <c r="H14" s="29" t="s">
        <v>35</v>
      </c>
      <c r="I14" s="30">
        <v>0.79330000000000001</v>
      </c>
      <c r="J14" s="31">
        <v>142</v>
      </c>
      <c r="K14" s="32" t="s">
        <v>37</v>
      </c>
      <c r="L14" s="31">
        <v>51</v>
      </c>
      <c r="M14" s="31">
        <v>0</v>
      </c>
      <c r="N14" s="31">
        <v>12</v>
      </c>
      <c r="O14" s="33" t="s">
        <v>40</v>
      </c>
      <c r="P14" s="34">
        <v>0.71527777777777779</v>
      </c>
      <c r="Q14" s="31">
        <v>179</v>
      </c>
      <c r="R14" s="35" t="s">
        <v>41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45987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x14ac:dyDescent="0.3">
      <c r="A18" s="36" t="s">
        <v>28</v>
      </c>
      <c r="B18" s="36" t="s">
        <v>29</v>
      </c>
      <c r="C18" s="37">
        <v>0.41319444444444442</v>
      </c>
      <c r="D18" s="36" t="s">
        <v>30</v>
      </c>
      <c r="E18" s="38"/>
      <c r="F18" s="36" t="s">
        <v>36</v>
      </c>
      <c r="G18" s="232"/>
      <c r="H18" s="39" t="s">
        <v>29</v>
      </c>
      <c r="I18" s="40">
        <v>0.77649999999999997</v>
      </c>
      <c r="J18" s="41">
        <v>139</v>
      </c>
      <c r="K18" s="42" t="s">
        <v>37</v>
      </c>
      <c r="L18" s="41">
        <v>77</v>
      </c>
      <c r="M18" s="41">
        <v>0</v>
      </c>
      <c r="N18" s="41">
        <v>21</v>
      </c>
      <c r="O18" s="43" t="s">
        <v>40</v>
      </c>
      <c r="P18" s="44">
        <v>0.41319444444444442</v>
      </c>
      <c r="Q18" s="41">
        <v>179</v>
      </c>
      <c r="R18" s="45" t="s">
        <v>42</v>
      </c>
    </row>
    <row r="19" spans="1:18" ht="49.95" customHeight="1" thickBot="1" x14ac:dyDescent="0.35">
      <c r="A19" s="46" t="s">
        <v>28</v>
      </c>
      <c r="B19" s="46" t="s">
        <v>35</v>
      </c>
      <c r="C19" s="47">
        <v>0.72569444444444453</v>
      </c>
      <c r="D19" s="46" t="s">
        <v>30</v>
      </c>
      <c r="E19" s="48"/>
      <c r="F19" s="46" t="s">
        <v>36</v>
      </c>
      <c r="G19" s="233"/>
      <c r="H19" s="49" t="s">
        <v>35</v>
      </c>
      <c r="I19" s="50">
        <v>0.69830000000000003</v>
      </c>
      <c r="J19" s="51">
        <v>125</v>
      </c>
      <c r="K19" s="52" t="s">
        <v>37</v>
      </c>
      <c r="L19" s="51">
        <v>40</v>
      </c>
      <c r="M19" s="51">
        <v>0</v>
      </c>
      <c r="N19" s="51">
        <v>15</v>
      </c>
      <c r="O19" s="53" t="s">
        <v>43</v>
      </c>
      <c r="P19" s="54">
        <v>0.72569444444444453</v>
      </c>
      <c r="Q19" s="51">
        <v>179</v>
      </c>
      <c r="R19" s="55" t="s">
        <v>44</v>
      </c>
    </row>
    <row r="20" spans="1:18" ht="17.399999999999999" customHeight="1" thickBot="1" x14ac:dyDescent="0.35">
      <c r="A20" s="264"/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6"/>
    </row>
    <row r="21" spans="1:18" ht="22.05" customHeight="1" thickTop="1" thickBot="1" x14ac:dyDescent="0.35">
      <c r="A21" s="241" t="s">
        <v>8</v>
      </c>
      <c r="B21" s="239"/>
      <c r="C21" s="239"/>
      <c r="D21" s="239"/>
      <c r="E21" s="239"/>
      <c r="F21" s="240"/>
      <c r="G21" s="18">
        <v>45988</v>
      </c>
      <c r="H21" s="238" t="s">
        <v>9</v>
      </c>
      <c r="I21" s="239"/>
      <c r="J21" s="239"/>
      <c r="K21" s="239"/>
      <c r="L21" s="239"/>
      <c r="M21" s="239"/>
      <c r="N21" s="239"/>
      <c r="O21" s="239"/>
      <c r="P21" s="239"/>
      <c r="Q21" s="239"/>
      <c r="R21" s="240"/>
    </row>
    <row r="22" spans="1:18" ht="24" customHeight="1" x14ac:dyDescent="0.3">
      <c r="A22" s="19" t="s">
        <v>10</v>
      </c>
      <c r="B22" s="19" t="s">
        <v>11</v>
      </c>
      <c r="C22" s="20" t="s">
        <v>12</v>
      </c>
      <c r="D22" s="19" t="s">
        <v>13</v>
      </c>
      <c r="E22" s="19" t="s">
        <v>14</v>
      </c>
      <c r="F22" s="21" t="s">
        <v>15</v>
      </c>
      <c r="G22" s="22" t="s">
        <v>16</v>
      </c>
      <c r="H22" s="19" t="s">
        <v>17</v>
      </c>
      <c r="I22" s="23" t="s">
        <v>18</v>
      </c>
      <c r="J22" s="24" t="s">
        <v>19</v>
      </c>
      <c r="K22" s="25" t="s">
        <v>20</v>
      </c>
      <c r="L22" s="24" t="s">
        <v>21</v>
      </c>
      <c r="M22" s="24" t="s">
        <v>22</v>
      </c>
      <c r="N22" s="24" t="s">
        <v>23</v>
      </c>
      <c r="O22" s="19" t="s">
        <v>24</v>
      </c>
      <c r="P22" s="20" t="s">
        <v>25</v>
      </c>
      <c r="Q22" s="24" t="s">
        <v>26</v>
      </c>
      <c r="R22" s="19" t="s">
        <v>27</v>
      </c>
    </row>
    <row r="23" spans="1:18" ht="49.95" customHeight="1" thickTop="1" thickBot="1" x14ac:dyDescent="0.35">
      <c r="A23" s="56" t="s">
        <v>28</v>
      </c>
      <c r="B23" s="56" t="s">
        <v>29</v>
      </c>
      <c r="C23" s="57">
        <v>0.41319444444444442</v>
      </c>
      <c r="D23" s="56" t="s">
        <v>30</v>
      </c>
      <c r="E23" s="58"/>
      <c r="F23" s="56" t="s">
        <v>36</v>
      </c>
      <c r="G23" s="232"/>
      <c r="H23" s="59" t="s">
        <v>29</v>
      </c>
      <c r="I23" s="60">
        <v>0.62570000000000003</v>
      </c>
      <c r="J23" s="61">
        <v>112</v>
      </c>
      <c r="K23" s="62" t="s">
        <v>37</v>
      </c>
      <c r="L23" s="61">
        <v>45</v>
      </c>
      <c r="M23" s="61">
        <v>0</v>
      </c>
      <c r="N23" s="61">
        <v>9</v>
      </c>
      <c r="O23" s="63" t="s">
        <v>45</v>
      </c>
      <c r="P23" s="64">
        <v>0.41319444444444442</v>
      </c>
      <c r="Q23" s="61">
        <v>179</v>
      </c>
      <c r="R23" s="65" t="s">
        <v>46</v>
      </c>
    </row>
    <row r="24" spans="1:18" ht="17.399999999999999" customHeight="1" thickBot="1" x14ac:dyDescent="0.35">
      <c r="A24" s="264"/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6"/>
    </row>
    <row r="25" spans="1:18" ht="22.05" customHeight="1" thickTop="1" thickBot="1" x14ac:dyDescent="0.35">
      <c r="A25" s="241" t="s">
        <v>8</v>
      </c>
      <c r="B25" s="239"/>
      <c r="C25" s="239"/>
      <c r="D25" s="239"/>
      <c r="E25" s="239"/>
      <c r="F25" s="240"/>
      <c r="G25" s="18">
        <v>45989</v>
      </c>
      <c r="H25" s="238" t="s">
        <v>9</v>
      </c>
      <c r="I25" s="239"/>
      <c r="J25" s="239"/>
      <c r="K25" s="239"/>
      <c r="L25" s="239"/>
      <c r="M25" s="239"/>
      <c r="N25" s="239"/>
      <c r="O25" s="239"/>
      <c r="P25" s="239"/>
      <c r="Q25" s="239"/>
      <c r="R25" s="240"/>
    </row>
    <row r="26" spans="1:18" ht="24" customHeight="1" x14ac:dyDescent="0.3">
      <c r="A26" s="19" t="s">
        <v>10</v>
      </c>
      <c r="B26" s="19" t="s">
        <v>11</v>
      </c>
      <c r="C26" s="20" t="s">
        <v>12</v>
      </c>
      <c r="D26" s="19" t="s">
        <v>13</v>
      </c>
      <c r="E26" s="19" t="s">
        <v>14</v>
      </c>
      <c r="F26" s="21" t="s">
        <v>15</v>
      </c>
      <c r="G26" s="22" t="s">
        <v>16</v>
      </c>
      <c r="H26" s="19" t="s">
        <v>17</v>
      </c>
      <c r="I26" s="23" t="s">
        <v>18</v>
      </c>
      <c r="J26" s="24" t="s">
        <v>19</v>
      </c>
      <c r="K26" s="25" t="s">
        <v>20</v>
      </c>
      <c r="L26" s="24" t="s">
        <v>21</v>
      </c>
      <c r="M26" s="24" t="s">
        <v>22</v>
      </c>
      <c r="N26" s="24" t="s">
        <v>23</v>
      </c>
      <c r="O26" s="19" t="s">
        <v>24</v>
      </c>
      <c r="P26" s="20" t="s">
        <v>25</v>
      </c>
      <c r="Q26" s="24" t="s">
        <v>26</v>
      </c>
      <c r="R26" s="19" t="s">
        <v>27</v>
      </c>
    </row>
    <row r="27" spans="1:18" ht="49.95" customHeight="1" x14ac:dyDescent="0.3">
      <c r="A27" s="66" t="s">
        <v>28</v>
      </c>
      <c r="B27" s="66" t="s">
        <v>29</v>
      </c>
      <c r="C27" s="67">
        <v>0.40625</v>
      </c>
      <c r="D27" s="66" t="s">
        <v>30</v>
      </c>
      <c r="E27" s="68"/>
      <c r="F27" s="66" t="s">
        <v>36</v>
      </c>
      <c r="G27" s="232"/>
      <c r="H27" s="69" t="s">
        <v>29</v>
      </c>
      <c r="I27" s="70">
        <v>0.58660000000000001</v>
      </c>
      <c r="J27" s="71">
        <v>105</v>
      </c>
      <c r="K27" s="72" t="s">
        <v>47</v>
      </c>
      <c r="L27" s="71">
        <v>6</v>
      </c>
      <c r="M27" s="71">
        <v>0</v>
      </c>
      <c r="N27" s="71">
        <v>0</v>
      </c>
      <c r="O27" s="73" t="s">
        <v>48</v>
      </c>
      <c r="P27" s="74">
        <v>0.40625</v>
      </c>
      <c r="Q27" s="71">
        <v>179</v>
      </c>
      <c r="R27" s="75" t="s">
        <v>49</v>
      </c>
    </row>
    <row r="28" spans="1:18" ht="49.95" customHeight="1" thickBot="1" x14ac:dyDescent="0.35">
      <c r="A28" s="46" t="s">
        <v>28</v>
      </c>
      <c r="B28" s="46" t="s">
        <v>35</v>
      </c>
      <c r="C28" s="47">
        <v>0.72569444444444453</v>
      </c>
      <c r="D28" s="46" t="s">
        <v>30</v>
      </c>
      <c r="E28" s="48"/>
      <c r="F28" s="46" t="s">
        <v>36</v>
      </c>
      <c r="G28" s="233"/>
      <c r="H28" s="49" t="s">
        <v>35</v>
      </c>
      <c r="I28" s="50">
        <v>0.57540000000000002</v>
      </c>
      <c r="J28" s="51">
        <v>103</v>
      </c>
      <c r="K28" s="52" t="s">
        <v>37</v>
      </c>
      <c r="L28" s="51">
        <v>11</v>
      </c>
      <c r="M28" s="51">
        <v>0</v>
      </c>
      <c r="N28" s="51">
        <v>7</v>
      </c>
      <c r="O28" s="53" t="s">
        <v>48</v>
      </c>
      <c r="P28" s="54">
        <v>0.72569444444444453</v>
      </c>
      <c r="Q28" s="51">
        <v>179</v>
      </c>
      <c r="R28" s="55" t="s">
        <v>50</v>
      </c>
    </row>
    <row r="29" spans="1:18" ht="17.399999999999999" customHeight="1" thickBot="1" x14ac:dyDescent="0.35">
      <c r="A29" s="264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6"/>
    </row>
    <row r="30" spans="1:18" ht="22.05" customHeight="1" thickTop="1" thickBot="1" x14ac:dyDescent="0.35">
      <c r="A30" s="241" t="s">
        <v>8</v>
      </c>
      <c r="B30" s="239"/>
      <c r="C30" s="239"/>
      <c r="D30" s="239"/>
      <c r="E30" s="239"/>
      <c r="F30" s="240"/>
      <c r="G30" s="18">
        <v>45990</v>
      </c>
      <c r="H30" s="238" t="s">
        <v>9</v>
      </c>
      <c r="I30" s="239"/>
      <c r="J30" s="239"/>
      <c r="K30" s="239"/>
      <c r="L30" s="239"/>
      <c r="M30" s="239"/>
      <c r="N30" s="239"/>
      <c r="O30" s="239"/>
      <c r="P30" s="239"/>
      <c r="Q30" s="239"/>
      <c r="R30" s="240"/>
    </row>
    <row r="31" spans="1:18" ht="24" customHeight="1" x14ac:dyDescent="0.3">
      <c r="A31" s="19" t="s">
        <v>10</v>
      </c>
      <c r="B31" s="19" t="s">
        <v>11</v>
      </c>
      <c r="C31" s="20" t="s">
        <v>12</v>
      </c>
      <c r="D31" s="19" t="s">
        <v>13</v>
      </c>
      <c r="E31" s="19" t="s">
        <v>14</v>
      </c>
      <c r="F31" s="21" t="s">
        <v>15</v>
      </c>
      <c r="G31" s="22" t="s">
        <v>16</v>
      </c>
      <c r="H31" s="19" t="s">
        <v>17</v>
      </c>
      <c r="I31" s="23" t="s">
        <v>18</v>
      </c>
      <c r="J31" s="24" t="s">
        <v>19</v>
      </c>
      <c r="K31" s="25" t="s">
        <v>20</v>
      </c>
      <c r="L31" s="24" t="s">
        <v>21</v>
      </c>
      <c r="M31" s="24" t="s">
        <v>22</v>
      </c>
      <c r="N31" s="24" t="s">
        <v>23</v>
      </c>
      <c r="O31" s="19" t="s">
        <v>24</v>
      </c>
      <c r="P31" s="20" t="s">
        <v>25</v>
      </c>
      <c r="Q31" s="24" t="s">
        <v>26</v>
      </c>
      <c r="R31" s="19" t="s">
        <v>27</v>
      </c>
    </row>
    <row r="32" spans="1:18" ht="49.95" customHeight="1" thickTop="1" thickBot="1" x14ac:dyDescent="0.35">
      <c r="A32" s="8" t="s">
        <v>28</v>
      </c>
      <c r="B32" s="8" t="s">
        <v>29</v>
      </c>
      <c r="C32" s="9">
        <v>0.41319444444444442</v>
      </c>
      <c r="D32" s="8" t="s">
        <v>30</v>
      </c>
      <c r="E32" s="10"/>
      <c r="F32" s="8" t="s">
        <v>36</v>
      </c>
      <c r="G32" s="232"/>
      <c r="H32" s="11" t="s">
        <v>29</v>
      </c>
      <c r="I32" s="12">
        <v>0.68720000000000003</v>
      </c>
      <c r="J32" s="13">
        <v>123</v>
      </c>
      <c r="K32" s="14" t="s">
        <v>37</v>
      </c>
      <c r="L32" s="13">
        <v>25</v>
      </c>
      <c r="M32" s="13">
        <v>0</v>
      </c>
      <c r="N32" s="13">
        <v>2</v>
      </c>
      <c r="O32" s="15" t="s">
        <v>51</v>
      </c>
      <c r="P32" s="16">
        <v>0.41319444444444442</v>
      </c>
      <c r="Q32" s="13">
        <v>179</v>
      </c>
      <c r="R32" s="17" t="s">
        <v>52</v>
      </c>
    </row>
    <row r="33" spans="1:18" ht="17.399999999999999" customHeight="1" thickBot="1" x14ac:dyDescent="0.35">
      <c r="A33" s="264"/>
      <c r="B33" s="265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6"/>
    </row>
    <row r="34" spans="1:18" ht="22.05" customHeight="1" thickTop="1" thickBot="1" x14ac:dyDescent="0.35">
      <c r="A34" s="241" t="s">
        <v>8</v>
      </c>
      <c r="B34" s="239"/>
      <c r="C34" s="239"/>
      <c r="D34" s="239"/>
      <c r="E34" s="239"/>
      <c r="F34" s="240"/>
      <c r="G34" s="18">
        <v>45991</v>
      </c>
      <c r="H34" s="238" t="s">
        <v>9</v>
      </c>
      <c r="I34" s="239"/>
      <c r="J34" s="239"/>
      <c r="K34" s="239"/>
      <c r="L34" s="239"/>
      <c r="M34" s="239"/>
      <c r="N34" s="239"/>
      <c r="O34" s="239"/>
      <c r="P34" s="239"/>
      <c r="Q34" s="239"/>
      <c r="R34" s="240"/>
    </row>
    <row r="35" spans="1:18" ht="24" customHeight="1" x14ac:dyDescent="0.3">
      <c r="A35" s="19" t="s">
        <v>10</v>
      </c>
      <c r="B35" s="19" t="s">
        <v>11</v>
      </c>
      <c r="C35" s="20" t="s">
        <v>12</v>
      </c>
      <c r="D35" s="19" t="s">
        <v>13</v>
      </c>
      <c r="E35" s="19" t="s">
        <v>14</v>
      </c>
      <c r="F35" s="21" t="s">
        <v>15</v>
      </c>
      <c r="G35" s="22" t="s">
        <v>16</v>
      </c>
      <c r="H35" s="19" t="s">
        <v>17</v>
      </c>
      <c r="I35" s="23" t="s">
        <v>18</v>
      </c>
      <c r="J35" s="24" t="s">
        <v>19</v>
      </c>
      <c r="K35" s="25" t="s">
        <v>20</v>
      </c>
      <c r="L35" s="24" t="s">
        <v>21</v>
      </c>
      <c r="M35" s="24" t="s">
        <v>22</v>
      </c>
      <c r="N35" s="24" t="s">
        <v>23</v>
      </c>
      <c r="O35" s="19" t="s">
        <v>24</v>
      </c>
      <c r="P35" s="20" t="s">
        <v>25</v>
      </c>
      <c r="Q35" s="24" t="s">
        <v>26</v>
      </c>
      <c r="R35" s="19" t="s">
        <v>27</v>
      </c>
    </row>
    <row r="36" spans="1:18" ht="49.95" customHeight="1" thickTop="1" thickBot="1" x14ac:dyDescent="0.35">
      <c r="A36" s="56" t="s">
        <v>28</v>
      </c>
      <c r="B36" s="56" t="s">
        <v>29</v>
      </c>
      <c r="C36" s="57">
        <v>0.42708333333333331</v>
      </c>
      <c r="D36" s="56" t="s">
        <v>30</v>
      </c>
      <c r="E36" s="58"/>
      <c r="F36" s="56" t="s">
        <v>36</v>
      </c>
      <c r="G36" s="232"/>
      <c r="H36" s="59" t="s">
        <v>29</v>
      </c>
      <c r="I36" s="60">
        <v>0.62570000000000003</v>
      </c>
      <c r="J36" s="61">
        <v>112</v>
      </c>
      <c r="K36" s="62" t="s">
        <v>37</v>
      </c>
      <c r="L36" s="61">
        <v>23</v>
      </c>
      <c r="M36" s="61">
        <v>0</v>
      </c>
      <c r="N36" s="61">
        <v>8</v>
      </c>
      <c r="O36" s="63" t="s">
        <v>45</v>
      </c>
      <c r="P36" s="64">
        <v>0.42708333333333331</v>
      </c>
      <c r="Q36" s="61">
        <v>179</v>
      </c>
      <c r="R36" s="65" t="s">
        <v>53</v>
      </c>
    </row>
    <row r="37" spans="1:18" ht="17.399999999999999" customHeight="1" thickBot="1" x14ac:dyDescent="0.35">
      <c r="A37" s="264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6"/>
    </row>
    <row r="38" spans="1:18" ht="22.05" customHeight="1" thickTop="1" thickBot="1" x14ac:dyDescent="0.35">
      <c r="A38" s="241" t="s">
        <v>8</v>
      </c>
      <c r="B38" s="239"/>
      <c r="C38" s="239"/>
      <c r="D38" s="239"/>
      <c r="E38" s="239"/>
      <c r="F38" s="240"/>
      <c r="G38" s="18">
        <v>45992</v>
      </c>
      <c r="H38" s="238" t="s">
        <v>9</v>
      </c>
      <c r="I38" s="239"/>
      <c r="J38" s="239"/>
      <c r="K38" s="239"/>
      <c r="L38" s="239"/>
      <c r="M38" s="239"/>
      <c r="N38" s="239"/>
      <c r="O38" s="239"/>
      <c r="P38" s="239"/>
      <c r="Q38" s="239"/>
      <c r="R38" s="240"/>
    </row>
    <row r="39" spans="1:18" ht="24" customHeight="1" x14ac:dyDescent="0.3">
      <c r="A39" s="19" t="s">
        <v>10</v>
      </c>
      <c r="B39" s="19" t="s">
        <v>11</v>
      </c>
      <c r="C39" s="20" t="s">
        <v>12</v>
      </c>
      <c r="D39" s="19" t="s">
        <v>13</v>
      </c>
      <c r="E39" s="19" t="s">
        <v>14</v>
      </c>
      <c r="F39" s="21" t="s">
        <v>15</v>
      </c>
      <c r="G39" s="22" t="s">
        <v>16</v>
      </c>
      <c r="H39" s="19" t="s">
        <v>17</v>
      </c>
      <c r="I39" s="23" t="s">
        <v>18</v>
      </c>
      <c r="J39" s="24" t="s">
        <v>19</v>
      </c>
      <c r="K39" s="25" t="s">
        <v>20</v>
      </c>
      <c r="L39" s="24" t="s">
        <v>21</v>
      </c>
      <c r="M39" s="24" t="s">
        <v>22</v>
      </c>
      <c r="N39" s="24" t="s">
        <v>23</v>
      </c>
      <c r="O39" s="19" t="s">
        <v>24</v>
      </c>
      <c r="P39" s="20" t="s">
        <v>25</v>
      </c>
      <c r="Q39" s="24" t="s">
        <v>26</v>
      </c>
      <c r="R39" s="19" t="s">
        <v>27</v>
      </c>
    </row>
    <row r="40" spans="1:18" ht="49.95" customHeight="1" thickTop="1" thickBot="1" x14ac:dyDescent="0.5">
      <c r="A40" s="8" t="s">
        <v>28</v>
      </c>
      <c r="B40" s="8" t="s">
        <v>35</v>
      </c>
      <c r="C40" s="9">
        <v>0.72569444444444453</v>
      </c>
      <c r="D40" s="8" t="s">
        <v>30</v>
      </c>
      <c r="E40" s="10"/>
      <c r="F40" s="8" t="s">
        <v>36</v>
      </c>
      <c r="G40" s="237"/>
      <c r="H40" s="11" t="s">
        <v>35</v>
      </c>
      <c r="I40" s="12">
        <v>0.56420000000000003</v>
      </c>
      <c r="J40" s="13">
        <v>101</v>
      </c>
      <c r="K40" s="14" t="s">
        <v>37</v>
      </c>
      <c r="L40" s="13">
        <v>22</v>
      </c>
      <c r="M40" s="13">
        <v>0</v>
      </c>
      <c r="N40" s="13">
        <v>15</v>
      </c>
      <c r="O40" s="15" t="s">
        <v>54</v>
      </c>
      <c r="P40" s="16">
        <v>0.72569444444444453</v>
      </c>
      <c r="Q40" s="13">
        <v>179</v>
      </c>
      <c r="R40" s="17" t="s">
        <v>55</v>
      </c>
    </row>
    <row r="41" spans="1:18" ht="17.399999999999999" customHeight="1" thickBot="1" x14ac:dyDescent="0.35">
      <c r="A41" s="264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6"/>
    </row>
    <row r="42" spans="1:18" ht="22.05" customHeight="1" thickTop="1" thickBot="1" x14ac:dyDescent="0.35">
      <c r="A42" s="241" t="s">
        <v>8</v>
      </c>
      <c r="B42" s="239"/>
      <c r="C42" s="239"/>
      <c r="D42" s="239"/>
      <c r="E42" s="239"/>
      <c r="F42" s="240"/>
      <c r="G42" s="18">
        <v>45993</v>
      </c>
      <c r="H42" s="238" t="s">
        <v>9</v>
      </c>
      <c r="I42" s="239"/>
      <c r="J42" s="239"/>
      <c r="K42" s="239"/>
      <c r="L42" s="239"/>
      <c r="M42" s="239"/>
      <c r="N42" s="239"/>
      <c r="O42" s="239"/>
      <c r="P42" s="239"/>
      <c r="Q42" s="239"/>
      <c r="R42" s="240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thickTop="1" thickBot="1" x14ac:dyDescent="0.35">
      <c r="A44" s="76" t="s">
        <v>28</v>
      </c>
      <c r="B44" s="76" t="s">
        <v>35</v>
      </c>
      <c r="C44" s="77">
        <v>0.71527777777777779</v>
      </c>
      <c r="D44" s="76" t="s">
        <v>30</v>
      </c>
      <c r="E44" s="78"/>
      <c r="F44" s="76" t="s">
        <v>36</v>
      </c>
      <c r="G44" s="232"/>
      <c r="H44" s="49" t="s">
        <v>35</v>
      </c>
      <c r="I44" s="79">
        <v>0.36870000000000003</v>
      </c>
      <c r="J44" s="51">
        <v>66</v>
      </c>
      <c r="K44" s="52" t="s">
        <v>37</v>
      </c>
      <c r="L44" s="51">
        <v>32</v>
      </c>
      <c r="M44" s="51">
        <v>0</v>
      </c>
      <c r="N44" s="51">
        <v>3</v>
      </c>
      <c r="O44" s="53" t="s">
        <v>56</v>
      </c>
      <c r="P44" s="54">
        <v>0.71527777777777779</v>
      </c>
      <c r="Q44" s="51">
        <v>179</v>
      </c>
      <c r="R44" s="55" t="s">
        <v>57</v>
      </c>
    </row>
    <row r="45" spans="1:18" ht="17.399999999999999" customHeight="1" thickBot="1" x14ac:dyDescent="0.35">
      <c r="A45" s="264"/>
      <c r="B45" s="265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6"/>
    </row>
    <row r="46" spans="1:18" ht="22.05" customHeight="1" thickTop="1" thickBot="1" x14ac:dyDescent="0.35">
      <c r="A46" s="241" t="s">
        <v>8</v>
      </c>
      <c r="B46" s="239"/>
      <c r="C46" s="239"/>
      <c r="D46" s="239"/>
      <c r="E46" s="239"/>
      <c r="F46" s="240"/>
      <c r="G46" s="18">
        <v>45994</v>
      </c>
      <c r="H46" s="238" t="s">
        <v>9</v>
      </c>
      <c r="I46" s="239"/>
      <c r="J46" s="239"/>
      <c r="K46" s="239"/>
      <c r="L46" s="239"/>
      <c r="M46" s="239"/>
      <c r="N46" s="239"/>
      <c r="O46" s="239"/>
      <c r="P46" s="239"/>
      <c r="Q46" s="239"/>
      <c r="R46" s="240"/>
    </row>
    <row r="47" spans="1:18" ht="24" customHeight="1" x14ac:dyDescent="0.3">
      <c r="A47" s="19" t="s">
        <v>10</v>
      </c>
      <c r="B47" s="19" t="s">
        <v>11</v>
      </c>
      <c r="C47" s="20" t="s">
        <v>12</v>
      </c>
      <c r="D47" s="19" t="s">
        <v>13</v>
      </c>
      <c r="E47" s="19" t="s">
        <v>14</v>
      </c>
      <c r="F47" s="21" t="s">
        <v>15</v>
      </c>
      <c r="G47" s="22" t="s">
        <v>16</v>
      </c>
      <c r="H47" s="19" t="s">
        <v>17</v>
      </c>
      <c r="I47" s="23" t="s">
        <v>18</v>
      </c>
      <c r="J47" s="24" t="s">
        <v>19</v>
      </c>
      <c r="K47" s="25" t="s">
        <v>20</v>
      </c>
      <c r="L47" s="24" t="s">
        <v>21</v>
      </c>
      <c r="M47" s="24" t="s">
        <v>22</v>
      </c>
      <c r="N47" s="24" t="s">
        <v>23</v>
      </c>
      <c r="O47" s="19" t="s">
        <v>24</v>
      </c>
      <c r="P47" s="20" t="s">
        <v>25</v>
      </c>
      <c r="Q47" s="24" t="s">
        <v>26</v>
      </c>
      <c r="R47" s="19" t="s">
        <v>27</v>
      </c>
    </row>
    <row r="48" spans="1:18" ht="49.95" customHeight="1" x14ac:dyDescent="0.3">
      <c r="A48" s="80" t="s">
        <v>28</v>
      </c>
      <c r="B48" s="80" t="s">
        <v>29</v>
      </c>
      <c r="C48" s="81">
        <v>0.41319444444444442</v>
      </c>
      <c r="D48" s="80" t="s">
        <v>30</v>
      </c>
      <c r="E48" s="82"/>
      <c r="F48" s="80" t="s">
        <v>36</v>
      </c>
      <c r="G48" s="232"/>
      <c r="H48" s="83" t="s">
        <v>29</v>
      </c>
      <c r="I48" s="84">
        <v>0.30170000000000002</v>
      </c>
      <c r="J48" s="85">
        <v>54</v>
      </c>
      <c r="K48" s="86" t="s">
        <v>37</v>
      </c>
      <c r="L48" s="85">
        <v>28</v>
      </c>
      <c r="M48" s="85">
        <v>0</v>
      </c>
      <c r="N48" s="85">
        <v>11</v>
      </c>
      <c r="O48" s="87" t="s">
        <v>58</v>
      </c>
      <c r="P48" s="88">
        <v>0.41319444444444442</v>
      </c>
      <c r="Q48" s="85">
        <v>179</v>
      </c>
      <c r="R48" s="89" t="s">
        <v>59</v>
      </c>
    </row>
    <row r="49" spans="1:18" ht="49.95" customHeight="1" thickBot="1" x14ac:dyDescent="0.35">
      <c r="A49" s="90" t="s">
        <v>28</v>
      </c>
      <c r="B49" s="90" t="s">
        <v>35</v>
      </c>
      <c r="C49" s="91">
        <v>0.72569444444444453</v>
      </c>
      <c r="D49" s="90" t="s">
        <v>30</v>
      </c>
      <c r="E49" s="92"/>
      <c r="F49" s="90" t="s">
        <v>36</v>
      </c>
      <c r="G49" s="233"/>
      <c r="H49" s="93" t="s">
        <v>35</v>
      </c>
      <c r="I49" s="94">
        <v>0.4078</v>
      </c>
      <c r="J49" s="95">
        <v>73</v>
      </c>
      <c r="K49" s="96" t="s">
        <v>37</v>
      </c>
      <c r="L49" s="95">
        <v>42</v>
      </c>
      <c r="M49" s="95">
        <v>0</v>
      </c>
      <c r="N49" s="95">
        <v>14</v>
      </c>
      <c r="O49" s="97" t="s">
        <v>60</v>
      </c>
      <c r="P49" s="98">
        <v>0.72569444444444453</v>
      </c>
      <c r="Q49" s="95">
        <v>179</v>
      </c>
      <c r="R49" s="99" t="s">
        <v>61</v>
      </c>
    </row>
    <row r="50" spans="1:18" ht="17.399999999999999" customHeight="1" thickBot="1" x14ac:dyDescent="0.35">
      <c r="A50" s="264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6"/>
    </row>
    <row r="51" spans="1:18" ht="22.05" customHeight="1" thickTop="1" thickBot="1" x14ac:dyDescent="0.35">
      <c r="A51" s="241" t="s">
        <v>8</v>
      </c>
      <c r="B51" s="239"/>
      <c r="C51" s="239"/>
      <c r="D51" s="239"/>
      <c r="E51" s="239"/>
      <c r="F51" s="240"/>
      <c r="G51" s="18">
        <v>45995</v>
      </c>
      <c r="H51" s="238" t="s">
        <v>9</v>
      </c>
      <c r="I51" s="239"/>
      <c r="J51" s="239"/>
      <c r="K51" s="239"/>
      <c r="L51" s="239"/>
      <c r="M51" s="239"/>
      <c r="N51" s="239"/>
      <c r="O51" s="239"/>
      <c r="P51" s="239"/>
      <c r="Q51" s="239"/>
      <c r="R51" s="240"/>
    </row>
    <row r="52" spans="1:18" ht="24" customHeight="1" x14ac:dyDescent="0.3">
      <c r="A52" s="19" t="s">
        <v>10</v>
      </c>
      <c r="B52" s="19" t="s">
        <v>11</v>
      </c>
      <c r="C52" s="20" t="s">
        <v>12</v>
      </c>
      <c r="D52" s="19" t="s">
        <v>13</v>
      </c>
      <c r="E52" s="19" t="s">
        <v>14</v>
      </c>
      <c r="F52" s="21" t="s">
        <v>15</v>
      </c>
      <c r="G52" s="22" t="s">
        <v>16</v>
      </c>
      <c r="H52" s="19" t="s">
        <v>17</v>
      </c>
      <c r="I52" s="23" t="s">
        <v>18</v>
      </c>
      <c r="J52" s="24" t="s">
        <v>19</v>
      </c>
      <c r="K52" s="25" t="s">
        <v>20</v>
      </c>
      <c r="L52" s="24" t="s">
        <v>21</v>
      </c>
      <c r="M52" s="24" t="s">
        <v>22</v>
      </c>
      <c r="N52" s="24" t="s">
        <v>23</v>
      </c>
      <c r="O52" s="19" t="s">
        <v>24</v>
      </c>
      <c r="P52" s="20" t="s">
        <v>25</v>
      </c>
      <c r="Q52" s="24" t="s">
        <v>26</v>
      </c>
      <c r="R52" s="19" t="s">
        <v>27</v>
      </c>
    </row>
    <row r="53" spans="1:18" ht="49.95" customHeight="1" thickTop="1" thickBot="1" x14ac:dyDescent="0.35">
      <c r="A53" s="76" t="s">
        <v>28</v>
      </c>
      <c r="B53" s="76" t="s">
        <v>29</v>
      </c>
      <c r="C53" s="77">
        <v>0.41319444444444442</v>
      </c>
      <c r="D53" s="76" t="s">
        <v>30</v>
      </c>
      <c r="E53" s="78"/>
      <c r="F53" s="76" t="s">
        <v>36</v>
      </c>
      <c r="G53" s="232"/>
      <c r="H53" s="49" t="s">
        <v>29</v>
      </c>
      <c r="I53" s="79">
        <v>0.3352</v>
      </c>
      <c r="J53" s="51">
        <v>60</v>
      </c>
      <c r="K53" s="52" t="s">
        <v>37</v>
      </c>
      <c r="L53" s="51">
        <v>31</v>
      </c>
      <c r="M53" s="51">
        <v>0</v>
      </c>
      <c r="N53" s="51">
        <v>10</v>
      </c>
      <c r="O53" s="53" t="s">
        <v>62</v>
      </c>
      <c r="P53" s="54">
        <v>0.41319444444444442</v>
      </c>
      <c r="Q53" s="51">
        <v>179</v>
      </c>
      <c r="R53" s="55" t="s">
        <v>63</v>
      </c>
    </row>
    <row r="54" spans="1:18" ht="17.399999999999999" customHeight="1" thickBot="1" x14ac:dyDescent="0.35">
      <c r="A54" s="264"/>
      <c r="B54" s="265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6"/>
    </row>
    <row r="55" spans="1:18" ht="22.05" customHeight="1" thickTop="1" thickBot="1" x14ac:dyDescent="0.35">
      <c r="A55" s="241" t="s">
        <v>8</v>
      </c>
      <c r="B55" s="239"/>
      <c r="C55" s="239"/>
      <c r="D55" s="239"/>
      <c r="E55" s="239"/>
      <c r="F55" s="240"/>
      <c r="G55" s="18">
        <v>45996</v>
      </c>
      <c r="H55" s="238" t="s">
        <v>9</v>
      </c>
      <c r="I55" s="239"/>
      <c r="J55" s="239"/>
      <c r="K55" s="239"/>
      <c r="L55" s="239"/>
      <c r="M55" s="239"/>
      <c r="N55" s="239"/>
      <c r="O55" s="239"/>
      <c r="P55" s="239"/>
      <c r="Q55" s="239"/>
      <c r="R55" s="240"/>
    </row>
    <row r="56" spans="1:18" ht="24" customHeight="1" x14ac:dyDescent="0.3">
      <c r="A56" s="19" t="s">
        <v>10</v>
      </c>
      <c r="B56" s="19" t="s">
        <v>11</v>
      </c>
      <c r="C56" s="20" t="s">
        <v>12</v>
      </c>
      <c r="D56" s="19" t="s">
        <v>13</v>
      </c>
      <c r="E56" s="19" t="s">
        <v>14</v>
      </c>
      <c r="F56" s="21" t="s">
        <v>15</v>
      </c>
      <c r="G56" s="22" t="s">
        <v>16</v>
      </c>
      <c r="H56" s="19" t="s">
        <v>17</v>
      </c>
      <c r="I56" s="23" t="s">
        <v>18</v>
      </c>
      <c r="J56" s="24" t="s">
        <v>19</v>
      </c>
      <c r="K56" s="25" t="s">
        <v>20</v>
      </c>
      <c r="L56" s="24" t="s">
        <v>21</v>
      </c>
      <c r="M56" s="24" t="s">
        <v>22</v>
      </c>
      <c r="N56" s="24" t="s">
        <v>23</v>
      </c>
      <c r="O56" s="19" t="s">
        <v>24</v>
      </c>
      <c r="P56" s="20" t="s">
        <v>25</v>
      </c>
      <c r="Q56" s="24" t="s">
        <v>26</v>
      </c>
      <c r="R56" s="19" t="s">
        <v>27</v>
      </c>
    </row>
    <row r="57" spans="1:18" ht="49.95" customHeight="1" x14ac:dyDescent="0.3">
      <c r="A57" s="80" t="s">
        <v>28</v>
      </c>
      <c r="B57" s="80" t="s">
        <v>29</v>
      </c>
      <c r="C57" s="81">
        <v>0.40625</v>
      </c>
      <c r="D57" s="80" t="s">
        <v>30</v>
      </c>
      <c r="E57" s="82"/>
      <c r="F57" s="80" t="s">
        <v>36</v>
      </c>
      <c r="G57" s="232"/>
      <c r="H57" s="83" t="s">
        <v>29</v>
      </c>
      <c r="I57" s="84">
        <v>0.32400000000000001</v>
      </c>
      <c r="J57" s="85">
        <v>58</v>
      </c>
      <c r="K57" s="86" t="s">
        <v>37</v>
      </c>
      <c r="L57" s="85">
        <v>37</v>
      </c>
      <c r="M57" s="85">
        <v>0</v>
      </c>
      <c r="N57" s="85">
        <v>7</v>
      </c>
      <c r="O57" s="87" t="s">
        <v>64</v>
      </c>
      <c r="P57" s="88">
        <v>0.40625</v>
      </c>
      <c r="Q57" s="85">
        <v>179</v>
      </c>
      <c r="R57" s="89" t="s">
        <v>65</v>
      </c>
    </row>
    <row r="58" spans="1:18" ht="49.95" customHeight="1" thickBot="1" x14ac:dyDescent="0.35">
      <c r="A58" s="46" t="s">
        <v>28</v>
      </c>
      <c r="B58" s="46" t="s">
        <v>35</v>
      </c>
      <c r="C58" s="47">
        <v>0.72569444444444453</v>
      </c>
      <c r="D58" s="46" t="s">
        <v>30</v>
      </c>
      <c r="E58" s="48"/>
      <c r="F58" s="46" t="s">
        <v>36</v>
      </c>
      <c r="G58" s="233"/>
      <c r="H58" s="49" t="s">
        <v>35</v>
      </c>
      <c r="I58" s="79">
        <v>0.35199999999999998</v>
      </c>
      <c r="J58" s="51">
        <v>63</v>
      </c>
      <c r="K58" s="52" t="s">
        <v>37</v>
      </c>
      <c r="L58" s="51">
        <v>36</v>
      </c>
      <c r="M58" s="51">
        <v>0</v>
      </c>
      <c r="N58" s="51">
        <v>10</v>
      </c>
      <c r="O58" s="53" t="s">
        <v>66</v>
      </c>
      <c r="P58" s="54">
        <v>0.72569444444444453</v>
      </c>
      <c r="Q58" s="51">
        <v>179</v>
      </c>
      <c r="R58" s="55" t="s">
        <v>67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22.05" customHeight="1" thickTop="1" thickBot="1" x14ac:dyDescent="0.35">
      <c r="A60" s="241" t="s">
        <v>8</v>
      </c>
      <c r="B60" s="239"/>
      <c r="C60" s="239"/>
      <c r="D60" s="239"/>
      <c r="E60" s="239"/>
      <c r="F60" s="240"/>
      <c r="G60" s="18">
        <v>45997</v>
      </c>
      <c r="H60" s="238" t="s">
        <v>9</v>
      </c>
      <c r="I60" s="239"/>
      <c r="J60" s="239"/>
      <c r="K60" s="239"/>
      <c r="L60" s="239"/>
      <c r="M60" s="239"/>
      <c r="N60" s="239"/>
      <c r="O60" s="239"/>
      <c r="P60" s="239"/>
      <c r="Q60" s="239"/>
      <c r="R60" s="240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80" t="s">
        <v>28</v>
      </c>
      <c r="B62" s="80" t="s">
        <v>29</v>
      </c>
      <c r="C62" s="81">
        <v>0.41319444444444442</v>
      </c>
      <c r="D62" s="80" t="s">
        <v>30</v>
      </c>
      <c r="E62" s="82"/>
      <c r="F62" s="80" t="s">
        <v>68</v>
      </c>
      <c r="G62" s="232"/>
      <c r="H62" s="100" t="s">
        <v>29</v>
      </c>
      <c r="I62" s="101">
        <v>0.2402</v>
      </c>
      <c r="J62" s="102">
        <v>43</v>
      </c>
      <c r="K62" s="103" t="s">
        <v>37</v>
      </c>
      <c r="L62" s="102">
        <v>20</v>
      </c>
      <c r="M62" s="102">
        <v>0</v>
      </c>
      <c r="N62" s="102">
        <v>4</v>
      </c>
      <c r="O62" s="104" t="s">
        <v>69</v>
      </c>
      <c r="P62" s="105">
        <v>0.41319444444444442</v>
      </c>
      <c r="Q62" s="102">
        <v>179</v>
      </c>
      <c r="R62" s="106" t="s">
        <v>70</v>
      </c>
    </row>
    <row r="63" spans="1:18" ht="17.399999999999999" customHeight="1" thickBot="1" x14ac:dyDescent="0.35">
      <c r="A63" s="264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6"/>
    </row>
    <row r="64" spans="1:18" ht="22.05" customHeight="1" thickTop="1" thickBot="1" x14ac:dyDescent="0.35">
      <c r="A64" s="241" t="s">
        <v>8</v>
      </c>
      <c r="B64" s="239"/>
      <c r="C64" s="239"/>
      <c r="D64" s="239"/>
      <c r="E64" s="239"/>
      <c r="F64" s="240"/>
      <c r="G64" s="18">
        <v>45998</v>
      </c>
      <c r="H64" s="238" t="s">
        <v>9</v>
      </c>
      <c r="I64" s="239"/>
      <c r="J64" s="239"/>
      <c r="K64" s="239"/>
      <c r="L64" s="239"/>
      <c r="M64" s="239"/>
      <c r="N64" s="239"/>
      <c r="O64" s="239"/>
      <c r="P64" s="239"/>
      <c r="Q64" s="239"/>
      <c r="R64" s="240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8" t="s">
        <v>28</v>
      </c>
      <c r="B66" s="8" t="s">
        <v>29</v>
      </c>
      <c r="C66" s="9">
        <v>0.42708333333333331</v>
      </c>
      <c r="D66" s="8" t="s">
        <v>30</v>
      </c>
      <c r="E66" s="10"/>
      <c r="F66" s="8" t="s">
        <v>68</v>
      </c>
      <c r="G66" s="232"/>
      <c r="H66" s="11" t="s">
        <v>29</v>
      </c>
      <c r="I66" s="107">
        <v>0.21229999999999999</v>
      </c>
      <c r="J66" s="13">
        <v>38</v>
      </c>
      <c r="K66" s="14" t="s">
        <v>37</v>
      </c>
      <c r="L66" s="13">
        <v>22</v>
      </c>
      <c r="M66" s="13">
        <v>0</v>
      </c>
      <c r="N66" s="13">
        <v>5</v>
      </c>
      <c r="O66" s="15" t="s">
        <v>71</v>
      </c>
      <c r="P66" s="16">
        <v>0.42708333333333331</v>
      </c>
      <c r="Q66" s="13">
        <v>179</v>
      </c>
      <c r="R66" s="17" t="s">
        <v>72</v>
      </c>
    </row>
    <row r="67" spans="1:18" ht="17.399999999999999" customHeight="1" thickBot="1" x14ac:dyDescent="0.35">
      <c r="A67" s="264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6"/>
    </row>
    <row r="68" spans="1:18" ht="22.05" customHeight="1" thickTop="1" thickBot="1" x14ac:dyDescent="0.35">
      <c r="A68" s="241" t="s">
        <v>8</v>
      </c>
      <c r="B68" s="239"/>
      <c r="C68" s="239"/>
      <c r="D68" s="239"/>
      <c r="E68" s="239"/>
      <c r="F68" s="240"/>
      <c r="G68" s="18">
        <v>45999</v>
      </c>
      <c r="H68" s="238" t="s">
        <v>9</v>
      </c>
      <c r="I68" s="239"/>
      <c r="J68" s="239"/>
      <c r="K68" s="239"/>
      <c r="L68" s="239"/>
      <c r="M68" s="239"/>
      <c r="N68" s="239"/>
      <c r="O68" s="239"/>
      <c r="P68" s="239"/>
      <c r="Q68" s="239"/>
      <c r="R68" s="240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76" t="s">
        <v>28</v>
      </c>
      <c r="B70" s="76" t="s">
        <v>35</v>
      </c>
      <c r="C70" s="77">
        <v>0.72569444444444453</v>
      </c>
      <c r="D70" s="76" t="s">
        <v>30</v>
      </c>
      <c r="E70" s="78"/>
      <c r="F70" s="76" t="s">
        <v>68</v>
      </c>
      <c r="G70" s="232"/>
      <c r="H70" s="49" t="s">
        <v>35</v>
      </c>
      <c r="I70" s="79">
        <v>0.17879999999999999</v>
      </c>
      <c r="J70" s="51">
        <v>32</v>
      </c>
      <c r="K70" s="52" t="s">
        <v>37</v>
      </c>
      <c r="L70" s="51">
        <v>20</v>
      </c>
      <c r="M70" s="51">
        <v>0</v>
      </c>
      <c r="N70" s="51">
        <v>6</v>
      </c>
      <c r="O70" s="53" t="s">
        <v>73</v>
      </c>
      <c r="P70" s="54">
        <v>0.72569444444444453</v>
      </c>
      <c r="Q70" s="51">
        <v>179</v>
      </c>
      <c r="R70" s="55" t="s">
        <v>74</v>
      </c>
    </row>
    <row r="71" spans="1:18" ht="17.399999999999999" customHeight="1" thickBot="1" x14ac:dyDescent="0.35">
      <c r="A71" s="264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6"/>
    </row>
    <row r="72" spans="1:18" ht="22.05" customHeight="1" thickTop="1" thickBot="1" x14ac:dyDescent="0.35">
      <c r="A72" s="241" t="s">
        <v>8</v>
      </c>
      <c r="B72" s="239"/>
      <c r="C72" s="239"/>
      <c r="D72" s="239"/>
      <c r="E72" s="239"/>
      <c r="F72" s="240"/>
      <c r="G72" s="18">
        <v>46000</v>
      </c>
      <c r="H72" s="238" t="s">
        <v>9</v>
      </c>
      <c r="I72" s="239"/>
      <c r="J72" s="239"/>
      <c r="K72" s="239"/>
      <c r="L72" s="239"/>
      <c r="M72" s="239"/>
      <c r="N72" s="239"/>
      <c r="O72" s="239"/>
      <c r="P72" s="239"/>
      <c r="Q72" s="239"/>
      <c r="R72" s="240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56" t="s">
        <v>28</v>
      </c>
      <c r="B74" s="56" t="s">
        <v>35</v>
      </c>
      <c r="C74" s="57">
        <v>0.71527777777777779</v>
      </c>
      <c r="D74" s="56" t="s">
        <v>30</v>
      </c>
      <c r="E74" s="58"/>
      <c r="F74" s="56" t="s">
        <v>68</v>
      </c>
      <c r="G74" s="232"/>
      <c r="H74" s="59" t="s">
        <v>35</v>
      </c>
      <c r="I74" s="108">
        <v>0.1061</v>
      </c>
      <c r="J74" s="61">
        <v>19</v>
      </c>
      <c r="K74" s="62" t="s">
        <v>75</v>
      </c>
      <c r="L74" s="61">
        <v>12</v>
      </c>
      <c r="M74" s="61">
        <v>1</v>
      </c>
      <c r="N74" s="61">
        <v>3</v>
      </c>
      <c r="O74" s="63" t="s">
        <v>76</v>
      </c>
      <c r="P74" s="64">
        <v>0.71527777777777779</v>
      </c>
      <c r="Q74" s="61">
        <v>179</v>
      </c>
      <c r="R74" s="65" t="s">
        <v>77</v>
      </c>
    </row>
    <row r="75" spans="1:18" ht="17.399999999999999" customHeight="1" thickBot="1" x14ac:dyDescent="0.35">
      <c r="A75" s="264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6"/>
    </row>
    <row r="76" spans="1:18" ht="22.05" customHeight="1" thickTop="1" thickBot="1" x14ac:dyDescent="0.35">
      <c r="A76" s="241" t="s">
        <v>8</v>
      </c>
      <c r="B76" s="239"/>
      <c r="C76" s="239"/>
      <c r="D76" s="239"/>
      <c r="E76" s="239"/>
      <c r="F76" s="240"/>
      <c r="G76" s="18">
        <v>46001</v>
      </c>
      <c r="H76" s="238" t="s">
        <v>9</v>
      </c>
      <c r="I76" s="239"/>
      <c r="J76" s="239"/>
      <c r="K76" s="239"/>
      <c r="L76" s="239"/>
      <c r="M76" s="239"/>
      <c r="N76" s="239"/>
      <c r="O76" s="239"/>
      <c r="P76" s="239"/>
      <c r="Q76" s="239"/>
      <c r="R76" s="240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3">
      <c r="A78" s="80" t="s">
        <v>28</v>
      </c>
      <c r="B78" s="80" t="s">
        <v>29</v>
      </c>
      <c r="C78" s="81">
        <v>0.41319444444444442</v>
      </c>
      <c r="D78" s="80" t="s">
        <v>30</v>
      </c>
      <c r="E78" s="82"/>
      <c r="F78" s="80" t="s">
        <v>68</v>
      </c>
      <c r="G78" s="232"/>
      <c r="H78" s="83" t="s">
        <v>29</v>
      </c>
      <c r="I78" s="84">
        <v>0.11169999999999999</v>
      </c>
      <c r="J78" s="85">
        <v>20</v>
      </c>
      <c r="K78" s="86" t="s">
        <v>75</v>
      </c>
      <c r="L78" s="85">
        <v>17</v>
      </c>
      <c r="M78" s="85">
        <v>2</v>
      </c>
      <c r="N78" s="85">
        <v>3</v>
      </c>
      <c r="O78" s="87" t="s">
        <v>78</v>
      </c>
      <c r="P78" s="88">
        <v>0.41319444444444442</v>
      </c>
      <c r="Q78" s="85">
        <v>179</v>
      </c>
      <c r="R78" s="89" t="s">
        <v>79</v>
      </c>
    </row>
    <row r="79" spans="1:18" ht="49.95" customHeight="1" thickBot="1" x14ac:dyDescent="0.35">
      <c r="A79" s="109" t="s">
        <v>28</v>
      </c>
      <c r="B79" s="109" t="s">
        <v>35</v>
      </c>
      <c r="C79" s="110">
        <v>0.72569444444444453</v>
      </c>
      <c r="D79" s="109" t="s">
        <v>30</v>
      </c>
      <c r="E79" s="111"/>
      <c r="F79" s="109" t="s">
        <v>68</v>
      </c>
      <c r="G79" s="233"/>
      <c r="H79" s="112" t="s">
        <v>35</v>
      </c>
      <c r="I79" s="113">
        <v>0.1341</v>
      </c>
      <c r="J79" s="114">
        <v>24</v>
      </c>
      <c r="K79" s="115" t="s">
        <v>37</v>
      </c>
      <c r="L79" s="114">
        <v>17</v>
      </c>
      <c r="M79" s="114">
        <v>0</v>
      </c>
      <c r="N79" s="114">
        <v>5</v>
      </c>
      <c r="O79" s="116" t="s">
        <v>80</v>
      </c>
      <c r="P79" s="117">
        <v>0.72569444444444453</v>
      </c>
      <c r="Q79" s="114">
        <v>179</v>
      </c>
      <c r="R79" s="118" t="s">
        <v>81</v>
      </c>
    </row>
    <row r="80" spans="1:18" ht="17.399999999999999" customHeight="1" thickBot="1" x14ac:dyDescent="0.35">
      <c r="A80" s="264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6"/>
    </row>
    <row r="81" spans="1:18" ht="22.05" customHeight="1" thickTop="1" thickBot="1" x14ac:dyDescent="0.35">
      <c r="A81" s="241" t="s">
        <v>8</v>
      </c>
      <c r="B81" s="239"/>
      <c r="C81" s="239"/>
      <c r="D81" s="239"/>
      <c r="E81" s="239"/>
      <c r="F81" s="240"/>
      <c r="G81" s="18">
        <v>46002</v>
      </c>
      <c r="H81" s="238" t="s">
        <v>9</v>
      </c>
      <c r="I81" s="239"/>
      <c r="J81" s="239"/>
      <c r="K81" s="239"/>
      <c r="L81" s="239"/>
      <c r="M81" s="239"/>
      <c r="N81" s="239"/>
      <c r="O81" s="239"/>
      <c r="P81" s="239"/>
      <c r="Q81" s="239"/>
      <c r="R81" s="240"/>
    </row>
    <row r="82" spans="1:18" ht="24" customHeight="1" x14ac:dyDescent="0.3">
      <c r="A82" s="19" t="s">
        <v>10</v>
      </c>
      <c r="B82" s="19" t="s">
        <v>11</v>
      </c>
      <c r="C82" s="20" t="s">
        <v>12</v>
      </c>
      <c r="D82" s="19" t="s">
        <v>13</v>
      </c>
      <c r="E82" s="19" t="s">
        <v>14</v>
      </c>
      <c r="F82" s="21" t="s">
        <v>15</v>
      </c>
      <c r="G82" s="22" t="s">
        <v>16</v>
      </c>
      <c r="H82" s="19" t="s">
        <v>17</v>
      </c>
      <c r="I82" s="23" t="s">
        <v>18</v>
      </c>
      <c r="J82" s="24" t="s">
        <v>19</v>
      </c>
      <c r="K82" s="25" t="s">
        <v>20</v>
      </c>
      <c r="L82" s="24" t="s">
        <v>21</v>
      </c>
      <c r="M82" s="24" t="s">
        <v>22</v>
      </c>
      <c r="N82" s="24" t="s">
        <v>23</v>
      </c>
      <c r="O82" s="19" t="s">
        <v>24</v>
      </c>
      <c r="P82" s="20" t="s">
        <v>25</v>
      </c>
      <c r="Q82" s="24" t="s">
        <v>26</v>
      </c>
      <c r="R82" s="19" t="s">
        <v>27</v>
      </c>
    </row>
    <row r="83" spans="1:18" ht="49.95" customHeight="1" thickTop="1" thickBot="1" x14ac:dyDescent="0.35">
      <c r="A83" s="56" t="s">
        <v>28</v>
      </c>
      <c r="B83" s="56" t="s">
        <v>29</v>
      </c>
      <c r="C83" s="57">
        <v>0.41319444444444442</v>
      </c>
      <c r="D83" s="56" t="s">
        <v>30</v>
      </c>
      <c r="E83" s="58"/>
      <c r="F83" s="56" t="s">
        <v>68</v>
      </c>
      <c r="G83" s="232"/>
      <c r="H83" s="59" t="s">
        <v>29</v>
      </c>
      <c r="I83" s="108">
        <v>5.0299999999999997E-2</v>
      </c>
      <c r="J83" s="61">
        <v>9</v>
      </c>
      <c r="K83" s="62" t="s">
        <v>82</v>
      </c>
      <c r="L83" s="61">
        <v>1</v>
      </c>
      <c r="M83" s="61">
        <v>0</v>
      </c>
      <c r="N83" s="61">
        <v>0</v>
      </c>
      <c r="O83" s="63" t="s">
        <v>78</v>
      </c>
      <c r="P83" s="64">
        <v>0.41319444444444442</v>
      </c>
      <c r="Q83" s="61">
        <v>179</v>
      </c>
      <c r="R83" s="65" t="s">
        <v>83</v>
      </c>
    </row>
    <row r="84" spans="1:18" ht="17.399999999999999" customHeight="1" thickBot="1" x14ac:dyDescent="0.35">
      <c r="A84" s="264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6"/>
    </row>
    <row r="85" spans="1:18" ht="22.05" customHeight="1" thickTop="1" thickBot="1" x14ac:dyDescent="0.35">
      <c r="A85" s="241" t="s">
        <v>8</v>
      </c>
      <c r="B85" s="239"/>
      <c r="C85" s="239"/>
      <c r="D85" s="239"/>
      <c r="E85" s="239"/>
      <c r="F85" s="240"/>
      <c r="G85" s="18">
        <v>46003</v>
      </c>
      <c r="H85" s="238" t="s">
        <v>9</v>
      </c>
      <c r="I85" s="239"/>
      <c r="J85" s="239"/>
      <c r="K85" s="239"/>
      <c r="L85" s="239"/>
      <c r="M85" s="239"/>
      <c r="N85" s="239"/>
      <c r="O85" s="239"/>
      <c r="P85" s="239"/>
      <c r="Q85" s="239"/>
      <c r="R85" s="240"/>
    </row>
    <row r="86" spans="1:18" ht="24" customHeight="1" x14ac:dyDescent="0.3">
      <c r="A86" s="19" t="s">
        <v>10</v>
      </c>
      <c r="B86" s="19" t="s">
        <v>11</v>
      </c>
      <c r="C86" s="20" t="s">
        <v>12</v>
      </c>
      <c r="D86" s="19" t="s">
        <v>13</v>
      </c>
      <c r="E86" s="19" t="s">
        <v>14</v>
      </c>
      <c r="F86" s="21" t="s">
        <v>15</v>
      </c>
      <c r="G86" s="22" t="s">
        <v>16</v>
      </c>
      <c r="H86" s="19" t="s">
        <v>17</v>
      </c>
      <c r="I86" s="23" t="s">
        <v>18</v>
      </c>
      <c r="J86" s="24" t="s">
        <v>19</v>
      </c>
      <c r="K86" s="25" t="s">
        <v>20</v>
      </c>
      <c r="L86" s="24" t="s">
        <v>21</v>
      </c>
      <c r="M86" s="24" t="s">
        <v>22</v>
      </c>
      <c r="N86" s="24" t="s">
        <v>23</v>
      </c>
      <c r="O86" s="19" t="s">
        <v>24</v>
      </c>
      <c r="P86" s="20" t="s">
        <v>25</v>
      </c>
      <c r="Q86" s="24" t="s">
        <v>26</v>
      </c>
      <c r="R86" s="19" t="s">
        <v>27</v>
      </c>
    </row>
    <row r="87" spans="1:18" ht="49.95" customHeight="1" x14ac:dyDescent="0.3">
      <c r="A87" s="66" t="s">
        <v>28</v>
      </c>
      <c r="B87" s="66" t="s">
        <v>29</v>
      </c>
      <c r="C87" s="67">
        <v>0.40625</v>
      </c>
      <c r="D87" s="66" t="s">
        <v>30</v>
      </c>
      <c r="E87" s="68"/>
      <c r="F87" s="66" t="s">
        <v>68</v>
      </c>
      <c r="G87" s="232"/>
      <c r="H87" s="69" t="s">
        <v>29</v>
      </c>
      <c r="I87" s="119">
        <v>6.1499999999999999E-2</v>
      </c>
      <c r="J87" s="71">
        <v>11</v>
      </c>
      <c r="K87" s="72" t="s">
        <v>37</v>
      </c>
      <c r="L87" s="71">
        <v>6</v>
      </c>
      <c r="M87" s="71">
        <v>0</v>
      </c>
      <c r="N87" s="71">
        <v>2</v>
      </c>
      <c r="O87" s="73" t="s">
        <v>84</v>
      </c>
      <c r="P87" s="74">
        <v>0.40625</v>
      </c>
      <c r="Q87" s="71">
        <v>179</v>
      </c>
      <c r="R87" s="75" t="s">
        <v>85</v>
      </c>
    </row>
    <row r="88" spans="1:18" ht="49.95" customHeight="1" thickBot="1" x14ac:dyDescent="0.35">
      <c r="A88" s="120" t="s">
        <v>28</v>
      </c>
      <c r="B88" s="120" t="s">
        <v>35</v>
      </c>
      <c r="C88" s="121">
        <v>0.72569444444444453</v>
      </c>
      <c r="D88" s="120" t="s">
        <v>30</v>
      </c>
      <c r="E88" s="122"/>
      <c r="F88" s="120" t="s">
        <v>68</v>
      </c>
      <c r="G88" s="233"/>
      <c r="H88" s="100" t="s">
        <v>35</v>
      </c>
      <c r="I88" s="101">
        <v>0.16200000000000001</v>
      </c>
      <c r="J88" s="102">
        <v>29</v>
      </c>
      <c r="K88" s="103" t="s">
        <v>37</v>
      </c>
      <c r="L88" s="102">
        <v>9</v>
      </c>
      <c r="M88" s="102">
        <v>0</v>
      </c>
      <c r="N88" s="102">
        <v>2</v>
      </c>
      <c r="O88" s="104" t="s">
        <v>86</v>
      </c>
      <c r="P88" s="105">
        <v>0.72569444444444453</v>
      </c>
      <c r="Q88" s="102">
        <v>179</v>
      </c>
      <c r="R88" s="106" t="s">
        <v>87</v>
      </c>
    </row>
    <row r="89" spans="1:18" ht="17.399999999999999" customHeight="1" thickBot="1" x14ac:dyDescent="0.35">
      <c r="A89" s="264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6"/>
    </row>
    <row r="90" spans="1:18" ht="22.05" customHeight="1" thickTop="1" thickBot="1" x14ac:dyDescent="0.35">
      <c r="A90" s="241" t="s">
        <v>8</v>
      </c>
      <c r="B90" s="239"/>
      <c r="C90" s="239"/>
      <c r="D90" s="239"/>
      <c r="E90" s="239"/>
      <c r="F90" s="240"/>
      <c r="G90" s="18">
        <v>46004</v>
      </c>
      <c r="H90" s="238" t="s">
        <v>9</v>
      </c>
      <c r="I90" s="239"/>
      <c r="J90" s="239"/>
      <c r="K90" s="239"/>
      <c r="L90" s="239"/>
      <c r="M90" s="239"/>
      <c r="N90" s="239"/>
      <c r="O90" s="239"/>
      <c r="P90" s="239"/>
      <c r="Q90" s="239"/>
      <c r="R90" s="240"/>
    </row>
    <row r="91" spans="1:18" ht="24" customHeight="1" x14ac:dyDescent="0.3">
      <c r="A91" s="19" t="s">
        <v>10</v>
      </c>
      <c r="B91" s="19" t="s">
        <v>11</v>
      </c>
      <c r="C91" s="20" t="s">
        <v>12</v>
      </c>
      <c r="D91" s="19" t="s">
        <v>13</v>
      </c>
      <c r="E91" s="19" t="s">
        <v>14</v>
      </c>
      <c r="F91" s="21" t="s">
        <v>15</v>
      </c>
      <c r="G91" s="22" t="s">
        <v>16</v>
      </c>
      <c r="H91" s="19" t="s">
        <v>17</v>
      </c>
      <c r="I91" s="23" t="s">
        <v>18</v>
      </c>
      <c r="J91" s="24" t="s">
        <v>19</v>
      </c>
      <c r="K91" s="25" t="s">
        <v>20</v>
      </c>
      <c r="L91" s="24" t="s">
        <v>21</v>
      </c>
      <c r="M91" s="24" t="s">
        <v>22</v>
      </c>
      <c r="N91" s="24" t="s">
        <v>23</v>
      </c>
      <c r="O91" s="19" t="s">
        <v>24</v>
      </c>
      <c r="P91" s="20" t="s">
        <v>25</v>
      </c>
      <c r="Q91" s="24" t="s">
        <v>26</v>
      </c>
      <c r="R91" s="19" t="s">
        <v>27</v>
      </c>
    </row>
    <row r="92" spans="1:18" ht="49.95" customHeight="1" thickTop="1" thickBot="1" x14ac:dyDescent="0.35">
      <c r="A92" s="8" t="s">
        <v>28</v>
      </c>
      <c r="B92" s="8" t="s">
        <v>29</v>
      </c>
      <c r="C92" s="9">
        <v>0.41319444444444442</v>
      </c>
      <c r="D92" s="8" t="s">
        <v>30</v>
      </c>
      <c r="E92" s="10"/>
      <c r="F92" s="8" t="s">
        <v>68</v>
      </c>
      <c r="G92" s="232"/>
      <c r="H92" s="11" t="s">
        <v>29</v>
      </c>
      <c r="I92" s="107">
        <v>0.2011</v>
      </c>
      <c r="J92" s="13">
        <v>36</v>
      </c>
      <c r="K92" s="14" t="s">
        <v>37</v>
      </c>
      <c r="L92" s="13">
        <v>7</v>
      </c>
      <c r="M92" s="13">
        <v>0</v>
      </c>
      <c r="N92" s="13">
        <v>1</v>
      </c>
      <c r="O92" s="15" t="s">
        <v>88</v>
      </c>
      <c r="P92" s="16">
        <v>0.41319444444444442</v>
      </c>
      <c r="Q92" s="13">
        <v>179</v>
      </c>
      <c r="R92" s="17" t="s">
        <v>89</v>
      </c>
    </row>
    <row r="93" spans="1:18" ht="17.399999999999999" customHeight="1" thickBot="1" x14ac:dyDescent="0.35">
      <c r="A93" s="264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6"/>
    </row>
    <row r="94" spans="1:18" ht="22.05" customHeight="1" thickTop="1" thickBot="1" x14ac:dyDescent="0.35">
      <c r="A94" s="241" t="s">
        <v>8</v>
      </c>
      <c r="B94" s="239"/>
      <c r="C94" s="239"/>
      <c r="D94" s="239"/>
      <c r="E94" s="239"/>
      <c r="F94" s="240"/>
      <c r="G94" s="18">
        <v>46005</v>
      </c>
      <c r="H94" s="238" t="s">
        <v>9</v>
      </c>
      <c r="I94" s="239"/>
      <c r="J94" s="239"/>
      <c r="K94" s="239"/>
      <c r="L94" s="239"/>
      <c r="M94" s="239"/>
      <c r="N94" s="239"/>
      <c r="O94" s="239"/>
      <c r="P94" s="239"/>
      <c r="Q94" s="239"/>
      <c r="R94" s="240"/>
    </row>
    <row r="95" spans="1:18" ht="24" customHeight="1" x14ac:dyDescent="0.3">
      <c r="A95" s="19" t="s">
        <v>10</v>
      </c>
      <c r="B95" s="19" t="s">
        <v>11</v>
      </c>
      <c r="C95" s="20" t="s">
        <v>12</v>
      </c>
      <c r="D95" s="19" t="s">
        <v>13</v>
      </c>
      <c r="E95" s="19" t="s">
        <v>14</v>
      </c>
      <c r="F95" s="21" t="s">
        <v>15</v>
      </c>
      <c r="G95" s="22" t="s">
        <v>16</v>
      </c>
      <c r="H95" s="19" t="s">
        <v>17</v>
      </c>
      <c r="I95" s="23" t="s">
        <v>18</v>
      </c>
      <c r="J95" s="24" t="s">
        <v>19</v>
      </c>
      <c r="K95" s="25" t="s">
        <v>20</v>
      </c>
      <c r="L95" s="24" t="s">
        <v>21</v>
      </c>
      <c r="M95" s="24" t="s">
        <v>22</v>
      </c>
      <c r="N95" s="24" t="s">
        <v>23</v>
      </c>
      <c r="O95" s="19" t="s">
        <v>24</v>
      </c>
      <c r="P95" s="20" t="s">
        <v>25</v>
      </c>
      <c r="Q95" s="24" t="s">
        <v>26</v>
      </c>
      <c r="R95" s="19" t="s">
        <v>27</v>
      </c>
    </row>
    <row r="96" spans="1:18" ht="49.95" customHeight="1" thickTop="1" thickBot="1" x14ac:dyDescent="0.35">
      <c r="A96" s="56" t="s">
        <v>28</v>
      </c>
      <c r="B96" s="56" t="s">
        <v>29</v>
      </c>
      <c r="C96" s="57">
        <v>0.42708333333333331</v>
      </c>
      <c r="D96" s="56" t="s">
        <v>30</v>
      </c>
      <c r="E96" s="58"/>
      <c r="F96" s="56" t="s">
        <v>68</v>
      </c>
      <c r="G96" s="232"/>
      <c r="H96" s="59" t="s">
        <v>29</v>
      </c>
      <c r="I96" s="108">
        <v>0.10059999999999999</v>
      </c>
      <c r="J96" s="61">
        <v>18</v>
      </c>
      <c r="K96" s="62" t="s">
        <v>90</v>
      </c>
      <c r="L96" s="61">
        <v>1</v>
      </c>
      <c r="M96" s="61">
        <v>0</v>
      </c>
      <c r="N96" s="61">
        <v>0</v>
      </c>
      <c r="O96" s="63" t="s">
        <v>71</v>
      </c>
      <c r="P96" s="64">
        <v>0.42708333333333331</v>
      </c>
      <c r="Q96" s="61">
        <v>179</v>
      </c>
      <c r="R96" s="65" t="s">
        <v>91</v>
      </c>
    </row>
    <row r="97" spans="1:18" ht="17.399999999999999" customHeight="1" thickBot="1" x14ac:dyDescent="0.35">
      <c r="A97" s="264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6"/>
    </row>
    <row r="98" spans="1:18" ht="22.05" customHeight="1" thickTop="1" thickBot="1" x14ac:dyDescent="0.35">
      <c r="A98" s="241" t="s">
        <v>8</v>
      </c>
      <c r="B98" s="239"/>
      <c r="C98" s="239"/>
      <c r="D98" s="239"/>
      <c r="E98" s="239"/>
      <c r="F98" s="240"/>
      <c r="G98" s="18">
        <v>46006</v>
      </c>
      <c r="H98" s="238" t="s">
        <v>9</v>
      </c>
      <c r="I98" s="239"/>
      <c r="J98" s="239"/>
      <c r="K98" s="239"/>
      <c r="L98" s="239"/>
      <c r="M98" s="239"/>
      <c r="N98" s="239"/>
      <c r="O98" s="239"/>
      <c r="P98" s="239"/>
      <c r="Q98" s="239"/>
      <c r="R98" s="240"/>
    </row>
    <row r="99" spans="1:18" ht="24" customHeight="1" x14ac:dyDescent="0.3">
      <c r="A99" s="19" t="s">
        <v>10</v>
      </c>
      <c r="B99" s="19" t="s">
        <v>11</v>
      </c>
      <c r="C99" s="20" t="s">
        <v>12</v>
      </c>
      <c r="D99" s="19" t="s">
        <v>13</v>
      </c>
      <c r="E99" s="19" t="s">
        <v>14</v>
      </c>
      <c r="F99" s="21" t="s">
        <v>15</v>
      </c>
      <c r="G99" s="22" t="s">
        <v>16</v>
      </c>
      <c r="H99" s="19" t="s">
        <v>17</v>
      </c>
      <c r="I99" s="23" t="s">
        <v>18</v>
      </c>
      <c r="J99" s="24" t="s">
        <v>19</v>
      </c>
      <c r="K99" s="25" t="s">
        <v>20</v>
      </c>
      <c r="L99" s="24" t="s">
        <v>21</v>
      </c>
      <c r="M99" s="24" t="s">
        <v>22</v>
      </c>
      <c r="N99" s="24" t="s">
        <v>23</v>
      </c>
      <c r="O99" s="19" t="s">
        <v>24</v>
      </c>
      <c r="P99" s="20" t="s">
        <v>25</v>
      </c>
      <c r="Q99" s="24" t="s">
        <v>26</v>
      </c>
      <c r="R99" s="19" t="s">
        <v>27</v>
      </c>
    </row>
    <row r="100" spans="1:18" ht="49.95" customHeight="1" thickTop="1" thickBot="1" x14ac:dyDescent="0.5">
      <c r="A100" s="36" t="s">
        <v>28</v>
      </c>
      <c r="B100" s="36" t="s">
        <v>35</v>
      </c>
      <c r="C100" s="37">
        <v>0.72569444444444453</v>
      </c>
      <c r="D100" s="36" t="s">
        <v>30</v>
      </c>
      <c r="E100" s="38"/>
      <c r="F100" s="36" t="s">
        <v>68</v>
      </c>
      <c r="G100" s="237"/>
      <c r="H100" s="112" t="s">
        <v>35</v>
      </c>
      <c r="I100" s="113">
        <v>0.1173</v>
      </c>
      <c r="J100" s="114">
        <v>21</v>
      </c>
      <c r="K100" s="115" t="s">
        <v>37</v>
      </c>
      <c r="L100" s="114">
        <v>6</v>
      </c>
      <c r="M100" s="114">
        <v>0</v>
      </c>
      <c r="N100" s="114">
        <v>1</v>
      </c>
      <c r="O100" s="116" t="s">
        <v>73</v>
      </c>
      <c r="P100" s="117">
        <v>0.72569444444444453</v>
      </c>
      <c r="Q100" s="114">
        <v>179</v>
      </c>
      <c r="R100" s="118" t="s">
        <v>92</v>
      </c>
    </row>
    <row r="101" spans="1:18" ht="17.399999999999999" customHeight="1" thickBot="1" x14ac:dyDescent="0.35">
      <c r="A101" s="264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6"/>
    </row>
    <row r="102" spans="1:18" ht="22.05" customHeight="1" thickTop="1" thickBot="1" x14ac:dyDescent="0.35">
      <c r="A102" s="241" t="s">
        <v>8</v>
      </c>
      <c r="B102" s="239"/>
      <c r="C102" s="239"/>
      <c r="D102" s="239"/>
      <c r="E102" s="239"/>
      <c r="F102" s="240"/>
      <c r="G102" s="18">
        <v>46007</v>
      </c>
      <c r="H102" s="238" t="s">
        <v>9</v>
      </c>
      <c r="I102" s="239"/>
      <c r="J102" s="239"/>
      <c r="K102" s="239"/>
      <c r="L102" s="239"/>
      <c r="M102" s="239"/>
      <c r="N102" s="239"/>
      <c r="O102" s="239"/>
      <c r="P102" s="239"/>
      <c r="Q102" s="239"/>
      <c r="R102" s="240"/>
    </row>
    <row r="103" spans="1:18" ht="24" customHeight="1" x14ac:dyDescent="0.3">
      <c r="A103" s="19" t="s">
        <v>10</v>
      </c>
      <c r="B103" s="19" t="s">
        <v>11</v>
      </c>
      <c r="C103" s="20" t="s">
        <v>12</v>
      </c>
      <c r="D103" s="19" t="s">
        <v>13</v>
      </c>
      <c r="E103" s="19" t="s">
        <v>14</v>
      </c>
      <c r="F103" s="21" t="s">
        <v>15</v>
      </c>
      <c r="G103" s="22" t="s">
        <v>16</v>
      </c>
      <c r="H103" s="19" t="s">
        <v>17</v>
      </c>
      <c r="I103" s="23" t="s">
        <v>18</v>
      </c>
      <c r="J103" s="24" t="s">
        <v>19</v>
      </c>
      <c r="K103" s="25" t="s">
        <v>20</v>
      </c>
      <c r="L103" s="24" t="s">
        <v>21</v>
      </c>
      <c r="M103" s="24" t="s">
        <v>22</v>
      </c>
      <c r="N103" s="24" t="s">
        <v>23</v>
      </c>
      <c r="O103" s="19" t="s">
        <v>24</v>
      </c>
      <c r="P103" s="20" t="s">
        <v>25</v>
      </c>
      <c r="Q103" s="24" t="s">
        <v>26</v>
      </c>
      <c r="R103" s="19" t="s">
        <v>27</v>
      </c>
    </row>
    <row r="104" spans="1:18" ht="49.95" customHeight="1" thickTop="1" thickBot="1" x14ac:dyDescent="0.35">
      <c r="A104" s="36" t="s">
        <v>28</v>
      </c>
      <c r="B104" s="36" t="s">
        <v>35</v>
      </c>
      <c r="C104" s="37">
        <v>0.71527777777777779</v>
      </c>
      <c r="D104" s="36" t="s">
        <v>30</v>
      </c>
      <c r="E104" s="38"/>
      <c r="F104" s="36" t="s">
        <v>68</v>
      </c>
      <c r="G104" s="232"/>
      <c r="H104" s="112" t="s">
        <v>35</v>
      </c>
      <c r="I104" s="113">
        <v>4.4699999999999997E-2</v>
      </c>
      <c r="J104" s="114">
        <v>8</v>
      </c>
      <c r="K104" s="115" t="s">
        <v>32</v>
      </c>
      <c r="L104" s="114">
        <v>3</v>
      </c>
      <c r="M104" s="114">
        <v>0</v>
      </c>
      <c r="N104" s="114">
        <v>0</v>
      </c>
      <c r="O104" s="116" t="s">
        <v>73</v>
      </c>
      <c r="P104" s="117">
        <v>0.71527777777777779</v>
      </c>
      <c r="Q104" s="114">
        <v>179</v>
      </c>
      <c r="R104" s="118" t="s">
        <v>93</v>
      </c>
    </row>
    <row r="105" spans="1:18" ht="17.399999999999999" customHeight="1" thickBot="1" x14ac:dyDescent="0.35">
      <c r="A105" s="264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6"/>
    </row>
    <row r="106" spans="1:18" ht="22.05" customHeight="1" thickTop="1" thickBot="1" x14ac:dyDescent="0.35">
      <c r="A106" s="241" t="s">
        <v>8</v>
      </c>
      <c r="B106" s="239"/>
      <c r="C106" s="239"/>
      <c r="D106" s="239"/>
      <c r="E106" s="239"/>
      <c r="F106" s="240"/>
      <c r="G106" s="18">
        <v>46008</v>
      </c>
      <c r="H106" s="238" t="s">
        <v>9</v>
      </c>
      <c r="I106" s="239"/>
      <c r="J106" s="239"/>
      <c r="K106" s="239"/>
      <c r="L106" s="239"/>
      <c r="M106" s="239"/>
      <c r="N106" s="239"/>
      <c r="O106" s="239"/>
      <c r="P106" s="239"/>
      <c r="Q106" s="239"/>
      <c r="R106" s="240"/>
    </row>
    <row r="107" spans="1:18" ht="24" customHeight="1" x14ac:dyDescent="0.3">
      <c r="A107" s="19" t="s">
        <v>10</v>
      </c>
      <c r="B107" s="19" t="s">
        <v>11</v>
      </c>
      <c r="C107" s="20" t="s">
        <v>12</v>
      </c>
      <c r="D107" s="19" t="s">
        <v>13</v>
      </c>
      <c r="E107" s="19" t="s">
        <v>14</v>
      </c>
      <c r="F107" s="21" t="s">
        <v>15</v>
      </c>
      <c r="G107" s="22" t="s">
        <v>16</v>
      </c>
      <c r="H107" s="19" t="s">
        <v>17</v>
      </c>
      <c r="I107" s="23" t="s">
        <v>18</v>
      </c>
      <c r="J107" s="24" t="s">
        <v>19</v>
      </c>
      <c r="K107" s="25" t="s">
        <v>20</v>
      </c>
      <c r="L107" s="24" t="s">
        <v>21</v>
      </c>
      <c r="M107" s="24" t="s">
        <v>22</v>
      </c>
      <c r="N107" s="24" t="s">
        <v>23</v>
      </c>
      <c r="O107" s="19" t="s">
        <v>24</v>
      </c>
      <c r="P107" s="20" t="s">
        <v>25</v>
      </c>
      <c r="Q107" s="24" t="s">
        <v>26</v>
      </c>
      <c r="R107" s="19" t="s">
        <v>27</v>
      </c>
    </row>
    <row r="108" spans="1:18" ht="49.95" customHeight="1" x14ac:dyDescent="0.3">
      <c r="A108" s="36" t="s">
        <v>28</v>
      </c>
      <c r="B108" s="36" t="s">
        <v>29</v>
      </c>
      <c r="C108" s="37">
        <v>0.41319444444444442</v>
      </c>
      <c r="D108" s="36" t="s">
        <v>30</v>
      </c>
      <c r="E108" s="38"/>
      <c r="F108" s="36" t="s">
        <v>68</v>
      </c>
      <c r="G108" s="232"/>
      <c r="H108" s="39" t="s">
        <v>29</v>
      </c>
      <c r="I108" s="123">
        <v>1.12E-2</v>
      </c>
      <c r="J108" s="41">
        <v>2</v>
      </c>
      <c r="K108" s="42" t="s">
        <v>94</v>
      </c>
      <c r="L108" s="41">
        <v>0</v>
      </c>
      <c r="M108" s="41">
        <v>0</v>
      </c>
      <c r="N108" s="41">
        <v>0</v>
      </c>
      <c r="O108" s="43" t="s">
        <v>78</v>
      </c>
      <c r="P108" s="44">
        <v>0.41319444444444442</v>
      </c>
      <c r="Q108" s="41">
        <v>179</v>
      </c>
      <c r="R108" s="45" t="s">
        <v>95</v>
      </c>
    </row>
    <row r="109" spans="1:18" ht="49.95" customHeight="1" thickBot="1" x14ac:dyDescent="0.35">
      <c r="A109" s="124" t="s">
        <v>28</v>
      </c>
      <c r="B109" s="124" t="s">
        <v>35</v>
      </c>
      <c r="C109" s="125">
        <v>0.72569444444444453</v>
      </c>
      <c r="D109" s="124" t="s">
        <v>30</v>
      </c>
      <c r="E109" s="126"/>
      <c r="F109" s="124" t="s">
        <v>68</v>
      </c>
      <c r="G109" s="233"/>
      <c r="H109" s="127" t="s">
        <v>35</v>
      </c>
      <c r="I109" s="128">
        <v>2.7900000000000001E-2</v>
      </c>
      <c r="J109" s="129">
        <v>5</v>
      </c>
      <c r="K109" s="130" t="s">
        <v>32</v>
      </c>
      <c r="L109" s="129">
        <v>3</v>
      </c>
      <c r="M109" s="129">
        <v>0</v>
      </c>
      <c r="N109" s="129">
        <v>0</v>
      </c>
      <c r="O109" s="131" t="s">
        <v>78</v>
      </c>
      <c r="P109" s="132">
        <v>0.72569444444444453</v>
      </c>
      <c r="Q109" s="129">
        <v>179</v>
      </c>
      <c r="R109" s="133" t="s">
        <v>96</v>
      </c>
    </row>
    <row r="110" spans="1:18" ht="17.399999999999999" customHeight="1" thickBot="1" x14ac:dyDescent="0.35">
      <c r="A110" s="264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6"/>
    </row>
    <row r="111" spans="1:18" ht="22.05" customHeight="1" thickTop="1" thickBot="1" x14ac:dyDescent="0.35">
      <c r="A111" s="241" t="s">
        <v>8</v>
      </c>
      <c r="B111" s="239"/>
      <c r="C111" s="239"/>
      <c r="D111" s="239"/>
      <c r="E111" s="239"/>
      <c r="F111" s="240"/>
      <c r="G111" s="18">
        <v>46009</v>
      </c>
      <c r="H111" s="238" t="s">
        <v>9</v>
      </c>
      <c r="I111" s="239"/>
      <c r="J111" s="239"/>
      <c r="K111" s="239"/>
      <c r="L111" s="239"/>
      <c r="M111" s="239"/>
      <c r="N111" s="239"/>
      <c r="O111" s="239"/>
      <c r="P111" s="239"/>
      <c r="Q111" s="239"/>
      <c r="R111" s="240"/>
    </row>
    <row r="112" spans="1:18" ht="24" customHeight="1" x14ac:dyDescent="0.3">
      <c r="A112" s="19" t="s">
        <v>10</v>
      </c>
      <c r="B112" s="19" t="s">
        <v>11</v>
      </c>
      <c r="C112" s="20" t="s">
        <v>12</v>
      </c>
      <c r="D112" s="19" t="s">
        <v>13</v>
      </c>
      <c r="E112" s="19" t="s">
        <v>14</v>
      </c>
      <c r="F112" s="21" t="s">
        <v>15</v>
      </c>
      <c r="G112" s="22" t="s">
        <v>16</v>
      </c>
      <c r="H112" s="19" t="s">
        <v>17</v>
      </c>
      <c r="I112" s="23" t="s">
        <v>18</v>
      </c>
      <c r="J112" s="24" t="s">
        <v>19</v>
      </c>
      <c r="K112" s="25" t="s">
        <v>20</v>
      </c>
      <c r="L112" s="24" t="s">
        <v>21</v>
      </c>
      <c r="M112" s="24" t="s">
        <v>22</v>
      </c>
      <c r="N112" s="24" t="s">
        <v>23</v>
      </c>
      <c r="O112" s="19" t="s">
        <v>24</v>
      </c>
      <c r="P112" s="20" t="s">
        <v>25</v>
      </c>
      <c r="Q112" s="24" t="s">
        <v>26</v>
      </c>
      <c r="R112" s="19" t="s">
        <v>27</v>
      </c>
    </row>
    <row r="113" spans="1:18" ht="49.95" customHeight="1" thickTop="1" thickBot="1" x14ac:dyDescent="0.35">
      <c r="A113" s="8" t="s">
        <v>28</v>
      </c>
      <c r="B113" s="8" t="s">
        <v>29</v>
      </c>
      <c r="C113" s="9">
        <v>0.41319444444444442</v>
      </c>
      <c r="D113" s="8" t="s">
        <v>30</v>
      </c>
      <c r="E113" s="10"/>
      <c r="F113" s="8" t="s">
        <v>68</v>
      </c>
      <c r="G113" s="232"/>
      <c r="H113" s="11" t="s">
        <v>29</v>
      </c>
      <c r="I113" s="107">
        <v>4.4699999999999997E-2</v>
      </c>
      <c r="J113" s="13">
        <v>8</v>
      </c>
      <c r="K113" s="14" t="s">
        <v>37</v>
      </c>
      <c r="L113" s="13">
        <v>7</v>
      </c>
      <c r="M113" s="13">
        <v>0</v>
      </c>
      <c r="N113" s="13">
        <v>5</v>
      </c>
      <c r="O113" s="15" t="s">
        <v>78</v>
      </c>
      <c r="P113" s="16">
        <v>0.41319444444444442</v>
      </c>
      <c r="Q113" s="13">
        <v>179</v>
      </c>
      <c r="R113" s="17" t="s">
        <v>97</v>
      </c>
    </row>
    <row r="114" spans="1:18" ht="17.399999999999999" customHeight="1" thickBot="1" x14ac:dyDescent="0.35">
      <c r="A114" s="264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6"/>
    </row>
    <row r="115" spans="1:18" ht="22.05" customHeight="1" thickTop="1" thickBot="1" x14ac:dyDescent="0.35">
      <c r="A115" s="241" t="s">
        <v>8</v>
      </c>
      <c r="B115" s="239"/>
      <c r="C115" s="239"/>
      <c r="D115" s="239"/>
      <c r="E115" s="239"/>
      <c r="F115" s="240"/>
      <c r="G115" s="18">
        <v>46010</v>
      </c>
      <c r="H115" s="238" t="s">
        <v>9</v>
      </c>
      <c r="I115" s="239"/>
      <c r="J115" s="239"/>
      <c r="K115" s="239"/>
      <c r="L115" s="239"/>
      <c r="M115" s="239"/>
      <c r="N115" s="239"/>
      <c r="O115" s="239"/>
      <c r="P115" s="239"/>
      <c r="Q115" s="239"/>
      <c r="R115" s="240"/>
    </row>
    <row r="116" spans="1:18" ht="24" customHeight="1" x14ac:dyDescent="0.3">
      <c r="A116" s="19" t="s">
        <v>10</v>
      </c>
      <c r="B116" s="19" t="s">
        <v>11</v>
      </c>
      <c r="C116" s="20" t="s">
        <v>12</v>
      </c>
      <c r="D116" s="19" t="s">
        <v>13</v>
      </c>
      <c r="E116" s="19" t="s">
        <v>14</v>
      </c>
      <c r="F116" s="21" t="s">
        <v>15</v>
      </c>
      <c r="G116" s="22" t="s">
        <v>16</v>
      </c>
      <c r="H116" s="19" t="s">
        <v>17</v>
      </c>
      <c r="I116" s="23" t="s">
        <v>18</v>
      </c>
      <c r="J116" s="24" t="s">
        <v>19</v>
      </c>
      <c r="K116" s="25" t="s">
        <v>20</v>
      </c>
      <c r="L116" s="24" t="s">
        <v>21</v>
      </c>
      <c r="M116" s="24" t="s">
        <v>22</v>
      </c>
      <c r="N116" s="24" t="s">
        <v>23</v>
      </c>
      <c r="O116" s="19" t="s">
        <v>24</v>
      </c>
      <c r="P116" s="20" t="s">
        <v>25</v>
      </c>
      <c r="Q116" s="24" t="s">
        <v>26</v>
      </c>
      <c r="R116" s="19" t="s">
        <v>27</v>
      </c>
    </row>
    <row r="117" spans="1:18" ht="49.95" customHeight="1" x14ac:dyDescent="0.3">
      <c r="A117" s="36" t="s">
        <v>28</v>
      </c>
      <c r="B117" s="36" t="s">
        <v>29</v>
      </c>
      <c r="C117" s="37">
        <v>0.40625</v>
      </c>
      <c r="D117" s="36" t="s">
        <v>30</v>
      </c>
      <c r="E117" s="38"/>
      <c r="F117" s="36" t="s">
        <v>68</v>
      </c>
      <c r="G117" s="232"/>
      <c r="H117" s="39" t="s">
        <v>29</v>
      </c>
      <c r="I117" s="123">
        <v>2.7900000000000001E-2</v>
      </c>
      <c r="J117" s="41">
        <v>5</v>
      </c>
      <c r="K117" s="42" t="s">
        <v>47</v>
      </c>
      <c r="L117" s="41">
        <v>2</v>
      </c>
      <c r="M117" s="41">
        <v>0</v>
      </c>
      <c r="N117" s="41">
        <v>0</v>
      </c>
      <c r="O117" s="43" t="s">
        <v>73</v>
      </c>
      <c r="P117" s="44">
        <v>0.40625</v>
      </c>
      <c r="Q117" s="41">
        <v>179</v>
      </c>
      <c r="R117" s="45" t="s">
        <v>98</v>
      </c>
    </row>
    <row r="118" spans="1:18" ht="49.95" customHeight="1" thickBot="1" x14ac:dyDescent="0.35">
      <c r="A118" s="134" t="s">
        <v>28</v>
      </c>
      <c r="B118" s="134" t="s">
        <v>35</v>
      </c>
      <c r="C118" s="135">
        <v>0.72569444444444453</v>
      </c>
      <c r="D118" s="134" t="s">
        <v>30</v>
      </c>
      <c r="E118" s="136"/>
      <c r="F118" s="134" t="s">
        <v>68</v>
      </c>
      <c r="G118" s="233"/>
      <c r="H118" s="11" t="s">
        <v>35</v>
      </c>
      <c r="I118" s="107">
        <v>5.0299999999999997E-2</v>
      </c>
      <c r="J118" s="13">
        <v>9</v>
      </c>
      <c r="K118" s="14" t="s">
        <v>37</v>
      </c>
      <c r="L118" s="13">
        <v>3</v>
      </c>
      <c r="M118" s="13">
        <v>0</v>
      </c>
      <c r="N118" s="13">
        <v>1</v>
      </c>
      <c r="O118" s="15" t="s">
        <v>73</v>
      </c>
      <c r="P118" s="16">
        <v>0.72569444444444453</v>
      </c>
      <c r="Q118" s="13">
        <v>179</v>
      </c>
      <c r="R118" s="17" t="s">
        <v>83</v>
      </c>
    </row>
    <row r="119" spans="1:18" ht="17.399999999999999" customHeight="1" thickBot="1" x14ac:dyDescent="0.35">
      <c r="A119" s="264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6"/>
    </row>
    <row r="120" spans="1:18" ht="22.05" customHeight="1" thickTop="1" thickBot="1" x14ac:dyDescent="0.35">
      <c r="A120" s="241" t="s">
        <v>8</v>
      </c>
      <c r="B120" s="239"/>
      <c r="C120" s="239"/>
      <c r="D120" s="239"/>
      <c r="E120" s="239"/>
      <c r="F120" s="240"/>
      <c r="G120" s="18">
        <v>46011</v>
      </c>
      <c r="H120" s="238" t="s">
        <v>9</v>
      </c>
      <c r="I120" s="239"/>
      <c r="J120" s="239"/>
      <c r="K120" s="239"/>
      <c r="L120" s="239"/>
      <c r="M120" s="239"/>
      <c r="N120" s="239"/>
      <c r="O120" s="239"/>
      <c r="P120" s="239"/>
      <c r="Q120" s="239"/>
      <c r="R120" s="240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49.95" customHeight="1" thickTop="1" thickBot="1" x14ac:dyDescent="0.35">
      <c r="A122" s="80" t="s">
        <v>28</v>
      </c>
      <c r="B122" s="80" t="s">
        <v>29</v>
      </c>
      <c r="C122" s="81">
        <v>0.41319444444444442</v>
      </c>
      <c r="D122" s="80" t="s">
        <v>30</v>
      </c>
      <c r="E122" s="82"/>
      <c r="F122" s="80" t="s">
        <v>68</v>
      </c>
      <c r="G122" s="232"/>
      <c r="H122" s="100" t="s">
        <v>29</v>
      </c>
      <c r="I122" s="101">
        <v>4.4699999999999997E-2</v>
      </c>
      <c r="J122" s="102">
        <v>8</v>
      </c>
      <c r="K122" s="103" t="s">
        <v>37</v>
      </c>
      <c r="L122" s="102">
        <v>3</v>
      </c>
      <c r="M122" s="102">
        <v>0</v>
      </c>
      <c r="N122" s="102">
        <v>1</v>
      </c>
      <c r="O122" s="104" t="s">
        <v>99</v>
      </c>
      <c r="P122" s="105">
        <v>0.41319444444444442</v>
      </c>
      <c r="Q122" s="102">
        <v>179</v>
      </c>
      <c r="R122" s="106" t="s">
        <v>93</v>
      </c>
    </row>
    <row r="123" spans="1:18" ht="17.399999999999999" customHeight="1" thickBot="1" x14ac:dyDescent="0.35">
      <c r="A123" s="264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6"/>
    </row>
    <row r="124" spans="1:18" ht="22.05" customHeight="1" thickTop="1" thickBot="1" x14ac:dyDescent="0.35">
      <c r="A124" s="241" t="s">
        <v>8</v>
      </c>
      <c r="B124" s="239"/>
      <c r="C124" s="239"/>
      <c r="D124" s="239"/>
      <c r="E124" s="239"/>
      <c r="F124" s="240"/>
      <c r="G124" s="18">
        <v>46012</v>
      </c>
      <c r="H124" s="238" t="s">
        <v>9</v>
      </c>
      <c r="I124" s="239"/>
      <c r="J124" s="239"/>
      <c r="K124" s="239"/>
      <c r="L124" s="239"/>
      <c r="M124" s="239"/>
      <c r="N124" s="239"/>
      <c r="O124" s="239"/>
      <c r="P124" s="239"/>
      <c r="Q124" s="239"/>
      <c r="R124" s="240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thickTop="1" thickBot="1" x14ac:dyDescent="0.35">
      <c r="A126" s="66" t="s">
        <v>28</v>
      </c>
      <c r="B126" s="66" t="s">
        <v>29</v>
      </c>
      <c r="C126" s="67">
        <v>0.42708333333333331</v>
      </c>
      <c r="D126" s="66" t="s">
        <v>30</v>
      </c>
      <c r="E126" s="68"/>
      <c r="F126" s="66" t="s">
        <v>68</v>
      </c>
      <c r="G126" s="232"/>
      <c r="H126" s="127" t="s">
        <v>29</v>
      </c>
      <c r="I126" s="128">
        <v>2.7900000000000001E-2</v>
      </c>
      <c r="J126" s="129">
        <v>5</v>
      </c>
      <c r="K126" s="130" t="s">
        <v>37</v>
      </c>
      <c r="L126" s="129">
        <v>5</v>
      </c>
      <c r="M126" s="129">
        <v>0</v>
      </c>
      <c r="N126" s="129">
        <v>1</v>
      </c>
      <c r="O126" s="131" t="s">
        <v>73</v>
      </c>
      <c r="P126" s="132">
        <v>0.42708333333333331</v>
      </c>
      <c r="Q126" s="129">
        <v>179</v>
      </c>
      <c r="R126" s="133" t="s">
        <v>100</v>
      </c>
    </row>
    <row r="127" spans="1:18" ht="17.399999999999999" customHeight="1" thickBot="1" x14ac:dyDescent="0.35">
      <c r="A127" s="264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6"/>
    </row>
    <row r="128" spans="1:18" ht="22.05" customHeight="1" thickTop="1" thickBot="1" x14ac:dyDescent="0.35">
      <c r="A128" s="241" t="s">
        <v>8</v>
      </c>
      <c r="B128" s="239"/>
      <c r="C128" s="239"/>
      <c r="D128" s="239"/>
      <c r="E128" s="239"/>
      <c r="F128" s="240"/>
      <c r="G128" s="18">
        <v>46013</v>
      </c>
      <c r="H128" s="238" t="s">
        <v>9</v>
      </c>
      <c r="I128" s="239"/>
      <c r="J128" s="239"/>
      <c r="K128" s="239"/>
      <c r="L128" s="239"/>
      <c r="M128" s="239"/>
      <c r="N128" s="239"/>
      <c r="O128" s="239"/>
      <c r="P128" s="239"/>
      <c r="Q128" s="239"/>
      <c r="R128" s="240"/>
    </row>
    <row r="129" spans="1:18" ht="24" customHeight="1" x14ac:dyDescent="0.3">
      <c r="A129" s="19" t="s">
        <v>10</v>
      </c>
      <c r="B129" s="19" t="s">
        <v>11</v>
      </c>
      <c r="C129" s="20" t="s">
        <v>12</v>
      </c>
      <c r="D129" s="19" t="s">
        <v>13</v>
      </c>
      <c r="E129" s="19" t="s">
        <v>14</v>
      </c>
      <c r="F129" s="21" t="s">
        <v>15</v>
      </c>
      <c r="G129" s="22" t="s">
        <v>16</v>
      </c>
      <c r="H129" s="19" t="s">
        <v>17</v>
      </c>
      <c r="I129" s="23" t="s">
        <v>18</v>
      </c>
      <c r="J129" s="24" t="s">
        <v>19</v>
      </c>
      <c r="K129" s="25" t="s">
        <v>20</v>
      </c>
      <c r="L129" s="24" t="s">
        <v>21</v>
      </c>
      <c r="M129" s="24" t="s">
        <v>22</v>
      </c>
      <c r="N129" s="24" t="s">
        <v>23</v>
      </c>
      <c r="O129" s="19" t="s">
        <v>24</v>
      </c>
      <c r="P129" s="20" t="s">
        <v>25</v>
      </c>
      <c r="Q129" s="24" t="s">
        <v>26</v>
      </c>
      <c r="R129" s="19" t="s">
        <v>27</v>
      </c>
    </row>
    <row r="130" spans="1:18" ht="49.95" customHeight="1" thickTop="1" thickBot="1" x14ac:dyDescent="0.35">
      <c r="A130" s="8" t="s">
        <v>28</v>
      </c>
      <c r="B130" s="8" t="s">
        <v>35</v>
      </c>
      <c r="C130" s="9">
        <v>0.72569444444444453</v>
      </c>
      <c r="D130" s="8" t="s">
        <v>30</v>
      </c>
      <c r="E130" s="10"/>
      <c r="F130" s="8" t="s">
        <v>68</v>
      </c>
      <c r="G130" s="232"/>
      <c r="H130" s="11" t="s">
        <v>35</v>
      </c>
      <c r="I130" s="107">
        <v>5.5899999999999998E-2</v>
      </c>
      <c r="J130" s="13">
        <v>10</v>
      </c>
      <c r="K130" s="14" t="s">
        <v>47</v>
      </c>
      <c r="L130" s="13">
        <v>4</v>
      </c>
      <c r="M130" s="13">
        <v>0</v>
      </c>
      <c r="N130" s="13">
        <v>0</v>
      </c>
      <c r="O130" s="15" t="s">
        <v>73</v>
      </c>
      <c r="P130" s="16">
        <v>0.72569444444444453</v>
      </c>
      <c r="Q130" s="13">
        <v>179</v>
      </c>
      <c r="R130" s="17" t="s">
        <v>101</v>
      </c>
    </row>
    <row r="131" spans="1:18" ht="17.399999999999999" customHeight="1" thickBot="1" x14ac:dyDescent="0.35">
      <c r="A131" s="264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6"/>
    </row>
    <row r="132" spans="1:18" ht="22.05" customHeight="1" thickTop="1" thickBot="1" x14ac:dyDescent="0.35">
      <c r="A132" s="241" t="s">
        <v>8</v>
      </c>
      <c r="B132" s="239"/>
      <c r="C132" s="239"/>
      <c r="D132" s="239"/>
      <c r="E132" s="239"/>
      <c r="F132" s="240"/>
      <c r="G132" s="18">
        <v>46014</v>
      </c>
      <c r="H132" s="238" t="s">
        <v>9</v>
      </c>
      <c r="I132" s="239"/>
      <c r="J132" s="239"/>
      <c r="K132" s="239"/>
      <c r="L132" s="239"/>
      <c r="M132" s="239"/>
      <c r="N132" s="239"/>
      <c r="O132" s="239"/>
      <c r="P132" s="239"/>
      <c r="Q132" s="239"/>
      <c r="R132" s="240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thickTop="1" thickBot="1" x14ac:dyDescent="0.5">
      <c r="A134" s="80" t="s">
        <v>28</v>
      </c>
      <c r="B134" s="80" t="s">
        <v>35</v>
      </c>
      <c r="C134" s="81">
        <v>0.71527777777777779</v>
      </c>
      <c r="D134" s="80" t="s">
        <v>30</v>
      </c>
      <c r="E134" s="82"/>
      <c r="F134" s="80" t="s">
        <v>68</v>
      </c>
      <c r="G134" s="237"/>
      <c r="H134" s="100" t="s">
        <v>35</v>
      </c>
      <c r="I134" s="101">
        <v>4.4699999999999997E-2</v>
      </c>
      <c r="J134" s="102">
        <v>8</v>
      </c>
      <c r="K134" s="103" t="s">
        <v>102</v>
      </c>
      <c r="L134" s="102">
        <v>6</v>
      </c>
      <c r="M134" s="102">
        <v>0</v>
      </c>
      <c r="N134" s="102">
        <v>0</v>
      </c>
      <c r="O134" s="104" t="s">
        <v>78</v>
      </c>
      <c r="P134" s="105">
        <v>0.71527777777777779</v>
      </c>
      <c r="Q134" s="102">
        <v>179</v>
      </c>
      <c r="R134" s="106" t="s">
        <v>103</v>
      </c>
    </row>
    <row r="135" spans="1:18" ht="17.399999999999999" customHeight="1" thickBot="1" x14ac:dyDescent="0.35">
      <c r="A135" s="264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6"/>
    </row>
    <row r="136" spans="1:18" ht="22.05" customHeight="1" thickTop="1" thickBot="1" x14ac:dyDescent="0.35">
      <c r="A136" s="241" t="s">
        <v>8</v>
      </c>
      <c r="B136" s="239"/>
      <c r="C136" s="239"/>
      <c r="D136" s="239"/>
      <c r="E136" s="239"/>
      <c r="F136" s="240"/>
      <c r="G136" s="18">
        <v>46015</v>
      </c>
      <c r="H136" s="238" t="s">
        <v>9</v>
      </c>
      <c r="I136" s="239"/>
      <c r="J136" s="239"/>
      <c r="K136" s="239"/>
      <c r="L136" s="239"/>
      <c r="M136" s="239"/>
      <c r="N136" s="239"/>
      <c r="O136" s="239"/>
      <c r="P136" s="239"/>
      <c r="Q136" s="239"/>
      <c r="R136" s="240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x14ac:dyDescent="0.3">
      <c r="A138" s="66" t="s">
        <v>28</v>
      </c>
      <c r="B138" s="66" t="s">
        <v>29</v>
      </c>
      <c r="C138" s="67">
        <v>0.41319444444444442</v>
      </c>
      <c r="D138" s="66" t="s">
        <v>30</v>
      </c>
      <c r="E138" s="68"/>
      <c r="F138" s="66" t="s">
        <v>68</v>
      </c>
      <c r="G138" s="237"/>
      <c r="H138" s="69" t="s">
        <v>29</v>
      </c>
      <c r="I138" s="119">
        <v>5.5999999999999999E-3</v>
      </c>
      <c r="J138" s="71">
        <v>1</v>
      </c>
      <c r="K138" s="72" t="s">
        <v>32</v>
      </c>
      <c r="L138" s="71">
        <v>1</v>
      </c>
      <c r="M138" s="71">
        <v>0</v>
      </c>
      <c r="N138" s="71">
        <v>0</v>
      </c>
      <c r="O138" s="73" t="s">
        <v>78</v>
      </c>
      <c r="P138" s="74">
        <v>0.41319444444444442</v>
      </c>
      <c r="Q138" s="71">
        <v>179</v>
      </c>
      <c r="R138" s="75" t="s">
        <v>104</v>
      </c>
    </row>
    <row r="139" spans="1:18" ht="49.95" customHeight="1" thickBot="1" x14ac:dyDescent="0.35">
      <c r="A139" s="134" t="s">
        <v>28</v>
      </c>
      <c r="B139" s="134" t="s">
        <v>35</v>
      </c>
      <c r="C139" s="135">
        <v>0.72569444444444453</v>
      </c>
      <c r="D139" s="134" t="s">
        <v>30</v>
      </c>
      <c r="E139" s="136"/>
      <c r="F139" s="134" t="s">
        <v>68</v>
      </c>
      <c r="G139" s="233"/>
      <c r="H139" s="11" t="s">
        <v>35</v>
      </c>
      <c r="I139" s="107">
        <v>5.5899999999999998E-2</v>
      </c>
      <c r="J139" s="13">
        <v>10</v>
      </c>
      <c r="K139" s="14" t="s">
        <v>105</v>
      </c>
      <c r="L139" s="13">
        <v>0</v>
      </c>
      <c r="M139" s="13">
        <v>0</v>
      </c>
      <c r="N139" s="13">
        <v>0</v>
      </c>
      <c r="O139" s="15" t="s">
        <v>99</v>
      </c>
      <c r="P139" s="16">
        <v>0.72569444444444453</v>
      </c>
      <c r="Q139" s="13">
        <v>179</v>
      </c>
      <c r="R139" s="17" t="s">
        <v>106</v>
      </c>
    </row>
    <row r="140" spans="1:18" ht="17.399999999999999" customHeight="1" thickBot="1" x14ac:dyDescent="0.35">
      <c r="A140" s="264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6"/>
    </row>
    <row r="141" spans="1:18" ht="22.05" customHeight="1" thickTop="1" thickBot="1" x14ac:dyDescent="0.35">
      <c r="A141" s="241" t="s">
        <v>8</v>
      </c>
      <c r="B141" s="239"/>
      <c r="C141" s="239"/>
      <c r="D141" s="239"/>
      <c r="E141" s="239"/>
      <c r="F141" s="240"/>
      <c r="G141" s="18">
        <v>46016</v>
      </c>
      <c r="H141" s="238" t="s">
        <v>9</v>
      </c>
      <c r="I141" s="239"/>
      <c r="J141" s="239"/>
      <c r="K141" s="239"/>
      <c r="L141" s="239"/>
      <c r="M141" s="239"/>
      <c r="N141" s="239"/>
      <c r="O141" s="239"/>
      <c r="P141" s="239"/>
      <c r="Q141" s="239"/>
      <c r="R141" s="240"/>
    </row>
    <row r="142" spans="1:18" ht="24" customHeight="1" x14ac:dyDescent="0.3">
      <c r="A142" s="19" t="s">
        <v>10</v>
      </c>
      <c r="B142" s="19" t="s">
        <v>11</v>
      </c>
      <c r="C142" s="20" t="s">
        <v>12</v>
      </c>
      <c r="D142" s="19" t="s">
        <v>13</v>
      </c>
      <c r="E142" s="19" t="s">
        <v>14</v>
      </c>
      <c r="F142" s="21" t="s">
        <v>15</v>
      </c>
      <c r="G142" s="22" t="s">
        <v>16</v>
      </c>
      <c r="H142" s="19" t="s">
        <v>17</v>
      </c>
      <c r="I142" s="23" t="s">
        <v>18</v>
      </c>
      <c r="J142" s="24" t="s">
        <v>19</v>
      </c>
      <c r="K142" s="25" t="s">
        <v>20</v>
      </c>
      <c r="L142" s="24" t="s">
        <v>21</v>
      </c>
      <c r="M142" s="24" t="s">
        <v>22</v>
      </c>
      <c r="N142" s="24" t="s">
        <v>23</v>
      </c>
      <c r="O142" s="19" t="s">
        <v>24</v>
      </c>
      <c r="P142" s="20" t="s">
        <v>25</v>
      </c>
      <c r="Q142" s="24" t="s">
        <v>26</v>
      </c>
      <c r="R142" s="19" t="s">
        <v>27</v>
      </c>
    </row>
    <row r="143" spans="1:18" ht="49.95" customHeight="1" thickTop="1" thickBot="1" x14ac:dyDescent="0.5">
      <c r="A143" s="56" t="s">
        <v>28</v>
      </c>
      <c r="B143" s="56" t="s">
        <v>29</v>
      </c>
      <c r="C143" s="57">
        <v>0.41319444444444442</v>
      </c>
      <c r="D143" s="56" t="s">
        <v>30</v>
      </c>
      <c r="E143" s="58"/>
      <c r="F143" s="56" t="s">
        <v>68</v>
      </c>
      <c r="G143" s="237"/>
      <c r="H143" s="59" t="s">
        <v>29</v>
      </c>
      <c r="I143" s="108">
        <v>3.3500000000000002E-2</v>
      </c>
      <c r="J143" s="61">
        <v>6</v>
      </c>
      <c r="K143" s="62" t="s">
        <v>82</v>
      </c>
      <c r="L143" s="61">
        <v>1</v>
      </c>
      <c r="M143" s="61">
        <v>0</v>
      </c>
      <c r="N143" s="61">
        <v>0</v>
      </c>
      <c r="O143" s="63" t="s">
        <v>73</v>
      </c>
      <c r="P143" s="64">
        <v>0.41319444444444442</v>
      </c>
      <c r="Q143" s="61">
        <v>179</v>
      </c>
      <c r="R143" s="65" t="s">
        <v>84</v>
      </c>
    </row>
    <row r="144" spans="1:18" ht="17.399999999999999" customHeight="1" thickBot="1" x14ac:dyDescent="0.35">
      <c r="A144" s="264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6"/>
    </row>
    <row r="145" spans="1:18" ht="22.05" customHeight="1" thickTop="1" thickBot="1" x14ac:dyDescent="0.35">
      <c r="A145" s="241" t="s">
        <v>8</v>
      </c>
      <c r="B145" s="239"/>
      <c r="C145" s="239"/>
      <c r="D145" s="239"/>
      <c r="E145" s="239"/>
      <c r="F145" s="240"/>
      <c r="G145" s="18">
        <v>46017</v>
      </c>
      <c r="H145" s="238" t="s">
        <v>9</v>
      </c>
      <c r="I145" s="239"/>
      <c r="J145" s="239"/>
      <c r="K145" s="239"/>
      <c r="L145" s="239"/>
      <c r="M145" s="239"/>
      <c r="N145" s="239"/>
      <c r="O145" s="239"/>
      <c r="P145" s="239"/>
      <c r="Q145" s="239"/>
      <c r="R145" s="240"/>
    </row>
    <row r="146" spans="1:18" ht="24" customHeight="1" x14ac:dyDescent="0.3">
      <c r="A146" s="19" t="s">
        <v>10</v>
      </c>
      <c r="B146" s="19" t="s">
        <v>11</v>
      </c>
      <c r="C146" s="20" t="s">
        <v>12</v>
      </c>
      <c r="D146" s="19" t="s">
        <v>13</v>
      </c>
      <c r="E146" s="19" t="s">
        <v>14</v>
      </c>
      <c r="F146" s="21" t="s">
        <v>15</v>
      </c>
      <c r="G146" s="22" t="s">
        <v>16</v>
      </c>
      <c r="H146" s="19" t="s">
        <v>17</v>
      </c>
      <c r="I146" s="23" t="s">
        <v>18</v>
      </c>
      <c r="J146" s="24" t="s">
        <v>19</v>
      </c>
      <c r="K146" s="25" t="s">
        <v>20</v>
      </c>
      <c r="L146" s="24" t="s">
        <v>21</v>
      </c>
      <c r="M146" s="24" t="s">
        <v>22</v>
      </c>
      <c r="N146" s="24" t="s">
        <v>23</v>
      </c>
      <c r="O146" s="19" t="s">
        <v>24</v>
      </c>
      <c r="P146" s="20" t="s">
        <v>25</v>
      </c>
      <c r="Q146" s="24" t="s">
        <v>26</v>
      </c>
      <c r="R146" s="19" t="s">
        <v>27</v>
      </c>
    </row>
    <row r="147" spans="1:18" ht="49.95" customHeight="1" x14ac:dyDescent="0.3">
      <c r="A147" s="137" t="s">
        <v>28</v>
      </c>
      <c r="B147" s="137" t="s">
        <v>29</v>
      </c>
      <c r="C147" s="138">
        <v>0.40625</v>
      </c>
      <c r="D147" s="137" t="s">
        <v>30</v>
      </c>
      <c r="E147" s="139"/>
      <c r="F147" s="137" t="s">
        <v>68</v>
      </c>
      <c r="G147" s="237"/>
      <c r="H147" s="140" t="s">
        <v>29</v>
      </c>
      <c r="I147" s="141">
        <v>3.9100000000000003E-2</v>
      </c>
      <c r="J147" s="142">
        <v>7</v>
      </c>
      <c r="K147" s="143" t="s">
        <v>107</v>
      </c>
      <c r="L147" s="142">
        <v>1</v>
      </c>
      <c r="M147" s="142">
        <v>0</v>
      </c>
      <c r="N147" s="142">
        <v>0</v>
      </c>
      <c r="O147" s="144" t="s">
        <v>99</v>
      </c>
      <c r="P147" s="145">
        <v>0.40625</v>
      </c>
      <c r="Q147" s="142">
        <v>179</v>
      </c>
      <c r="R147" s="146" t="s">
        <v>108</v>
      </c>
    </row>
    <row r="148" spans="1:18" ht="49.95" customHeight="1" x14ac:dyDescent="0.3">
      <c r="A148" s="120" t="s">
        <v>28</v>
      </c>
      <c r="B148" s="120" t="s">
        <v>35</v>
      </c>
      <c r="C148" s="121">
        <v>0.72569444444444453</v>
      </c>
      <c r="D148" s="120" t="s">
        <v>30</v>
      </c>
      <c r="E148" s="122"/>
      <c r="F148" s="120" t="s">
        <v>68</v>
      </c>
      <c r="G148" s="233"/>
      <c r="H148" s="100" t="s">
        <v>35</v>
      </c>
      <c r="I148" s="101">
        <v>5.0299999999999997E-2</v>
      </c>
      <c r="J148" s="102">
        <v>9</v>
      </c>
      <c r="K148" s="103" t="s">
        <v>47</v>
      </c>
      <c r="L148" s="102">
        <v>1</v>
      </c>
      <c r="M148" s="102">
        <v>0</v>
      </c>
      <c r="N148" s="102">
        <v>0</v>
      </c>
      <c r="O148" s="104" t="s">
        <v>99</v>
      </c>
      <c r="P148" s="105">
        <v>0.72569444444444453</v>
      </c>
      <c r="Q148" s="102">
        <v>179</v>
      </c>
      <c r="R148" s="106" t="s">
        <v>109</v>
      </c>
    </row>
  </sheetData>
  <mergeCells count="142">
    <mergeCell ref="H4:R4"/>
    <mergeCell ref="A50:R50"/>
    <mergeCell ref="A3:R3"/>
    <mergeCell ref="G147:G148"/>
    <mergeCell ref="H46:R46"/>
    <mergeCell ref="H21:R21"/>
    <mergeCell ref="H64:R64"/>
    <mergeCell ref="H98:R98"/>
    <mergeCell ref="A106:F106"/>
    <mergeCell ref="G130"/>
    <mergeCell ref="H51:R51"/>
    <mergeCell ref="A4:F4"/>
    <mergeCell ref="A144:R144"/>
    <mergeCell ref="A97:R97"/>
    <mergeCell ref="A20:R20"/>
    <mergeCell ref="G126"/>
    <mergeCell ref="A29:R29"/>
    <mergeCell ref="H115:R115"/>
    <mergeCell ref="H90:R90"/>
    <mergeCell ref="A114:R114"/>
    <mergeCell ref="A15:R15"/>
    <mergeCell ref="A24:R24"/>
    <mergeCell ref="A132:F132"/>
    <mergeCell ref="H124:R124"/>
    <mergeCell ref="A8:F8"/>
    <mergeCell ref="H60:R60"/>
    <mergeCell ref="G2:J2"/>
    <mergeCell ref="G108:G109"/>
    <mergeCell ref="N1:R1"/>
    <mergeCell ref="G70"/>
    <mergeCell ref="H132:R132"/>
    <mergeCell ref="G23"/>
    <mergeCell ref="A115:F115"/>
    <mergeCell ref="A68:F68"/>
    <mergeCell ref="A102:F102"/>
    <mergeCell ref="H16:R16"/>
    <mergeCell ref="A111:F111"/>
    <mergeCell ref="K2:R2"/>
    <mergeCell ref="A34:F34"/>
    <mergeCell ref="A67:R67"/>
    <mergeCell ref="G62"/>
    <mergeCell ref="A94:F94"/>
    <mergeCell ref="A123:R123"/>
    <mergeCell ref="A110:R110"/>
    <mergeCell ref="A119:R119"/>
    <mergeCell ref="H30:R30"/>
    <mergeCell ref="A128:F128"/>
    <mergeCell ref="G57:G58"/>
    <mergeCell ref="H145:R145"/>
    <mergeCell ref="H106:R106"/>
    <mergeCell ref="A46:F46"/>
    <mergeCell ref="A90:F90"/>
    <mergeCell ref="G113"/>
    <mergeCell ref="H38:R38"/>
    <mergeCell ref="G100"/>
    <mergeCell ref="A136:F136"/>
    <mergeCell ref="A80:R80"/>
    <mergeCell ref="A145:F145"/>
    <mergeCell ref="A89:R89"/>
    <mergeCell ref="G44"/>
    <mergeCell ref="A76:F76"/>
    <mergeCell ref="H68:R68"/>
    <mergeCell ref="H141:R141"/>
    <mergeCell ref="A84:R84"/>
    <mergeCell ref="A120:F120"/>
    <mergeCell ref="A75:R75"/>
    <mergeCell ref="G143"/>
    <mergeCell ref="H76:R76"/>
    <mergeCell ref="H42:R42"/>
    <mergeCell ref="G104"/>
    <mergeCell ref="A30:F30"/>
    <mergeCell ref="G10"/>
    <mergeCell ref="G66"/>
    <mergeCell ref="H111:R111"/>
    <mergeCell ref="G53"/>
    <mergeCell ref="A98:F98"/>
    <mergeCell ref="G27:G28"/>
    <mergeCell ref="H12:R12"/>
    <mergeCell ref="G74"/>
    <mergeCell ref="A45:R45"/>
    <mergeCell ref="A37:R37"/>
    <mergeCell ref="A12:F12"/>
    <mergeCell ref="A21:F21"/>
    <mergeCell ref="A25:F25"/>
    <mergeCell ref="G96"/>
    <mergeCell ref="A141:F141"/>
    <mergeCell ref="H85:R85"/>
    <mergeCell ref="A131:R131"/>
    <mergeCell ref="H94:R94"/>
    <mergeCell ref="A140:R140"/>
    <mergeCell ref="A63:R63"/>
    <mergeCell ref="A93:R93"/>
    <mergeCell ref="G138:G139"/>
    <mergeCell ref="H136:R136"/>
    <mergeCell ref="A135:R135"/>
    <mergeCell ref="A81:F81"/>
    <mergeCell ref="A38:F38"/>
    <mergeCell ref="G122"/>
    <mergeCell ref="H72:R72"/>
    <mergeCell ref="H128:R128"/>
    <mergeCell ref="H81:R81"/>
    <mergeCell ref="A64:F64"/>
    <mergeCell ref="G6"/>
    <mergeCell ref="A127:R127"/>
    <mergeCell ref="A51:F51"/>
    <mergeCell ref="A59:R59"/>
    <mergeCell ref="A60:F60"/>
    <mergeCell ref="G83"/>
    <mergeCell ref="A11:R11"/>
    <mergeCell ref="G92"/>
    <mergeCell ref="H120:R120"/>
    <mergeCell ref="A124:F124"/>
    <mergeCell ref="G14"/>
    <mergeCell ref="A16:F16"/>
    <mergeCell ref="H8:R8"/>
    <mergeCell ref="A54:R54"/>
    <mergeCell ref="G117:G118"/>
    <mergeCell ref="G78:G79"/>
    <mergeCell ref="A7:R7"/>
    <mergeCell ref="A41:R41"/>
    <mergeCell ref="G48:G49"/>
    <mergeCell ref="H1:L1"/>
    <mergeCell ref="A1:E1"/>
    <mergeCell ref="G134"/>
    <mergeCell ref="H55:R55"/>
    <mergeCell ref="A55:F55"/>
    <mergeCell ref="A101:R101"/>
    <mergeCell ref="G87:G88"/>
    <mergeCell ref="A33:R33"/>
    <mergeCell ref="G36"/>
    <mergeCell ref="G18:G19"/>
    <mergeCell ref="A72:F72"/>
    <mergeCell ref="G32"/>
    <mergeCell ref="A105:R105"/>
    <mergeCell ref="H102:R102"/>
    <mergeCell ref="G40"/>
    <mergeCell ref="A2:F2"/>
    <mergeCell ref="A85:F85"/>
    <mergeCell ref="A42:F42"/>
    <mergeCell ref="H25:R25"/>
    <mergeCell ref="H34:R34"/>
    <mergeCell ref="A71:R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6"/>
  <sheetViews>
    <sheetView workbookViewId="0"/>
  </sheetViews>
  <sheetFormatPr defaultRowHeight="15.6" outlineLevelCol="1" x14ac:dyDescent="0.3"/>
  <cols>
    <col min="1" max="1" width="11.5546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8.33203125" style="251" bestFit="1" customWidth="1"/>
    <col min="6" max="6" width="4.21875" style="251" bestFit="1" customWidth="1"/>
    <col min="7" max="7" width="10" style="251" bestFit="1" customWidth="1"/>
    <col min="8" max="9" width="8.5546875" style="251" bestFit="1" customWidth="1"/>
    <col min="10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7" style="251" bestFit="1" customWidth="1" outlineLevel="1"/>
    <col min="15" max="15" width="8" style="251" bestFit="1" customWidth="1" outlineLevel="1"/>
    <col min="16" max="16" width="13.6640625" style="251" bestFit="1" customWidth="1"/>
    <col min="17" max="18" width="3.88671875" style="251" bestFit="1" customWidth="1"/>
    <col min="19" max="19" width="4.88671875" style="251" bestFit="1" customWidth="1"/>
    <col min="20" max="20" width="4.4414062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1" width="4.5546875" style="251" bestFit="1" customWidth="1"/>
    <col min="32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139</v>
      </c>
      <c r="B2" s="253">
        <v>45984</v>
      </c>
      <c r="C2" s="254" t="s">
        <v>29</v>
      </c>
      <c r="D2" s="255" t="s">
        <v>140</v>
      </c>
      <c r="E2" s="254" t="s">
        <v>1</v>
      </c>
      <c r="F2" s="254" t="s">
        <v>141</v>
      </c>
      <c r="G2" s="256">
        <v>0.6089</v>
      </c>
      <c r="H2" s="257">
        <v>179</v>
      </c>
      <c r="I2" s="257">
        <v>109</v>
      </c>
      <c r="J2" s="257">
        <v>0</v>
      </c>
      <c r="K2" s="254" t="s">
        <v>142</v>
      </c>
      <c r="L2" s="258" t="s">
        <v>32</v>
      </c>
      <c r="M2" s="257">
        <v>0</v>
      </c>
      <c r="N2" s="257">
        <v>0</v>
      </c>
      <c r="O2" s="257">
        <v>51</v>
      </c>
      <c r="P2" s="254" t="s">
        <v>33</v>
      </c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7" t="s">
        <v>143</v>
      </c>
      <c r="AB2" s="257" t="s">
        <v>64</v>
      </c>
      <c r="AC2" s="257" t="s">
        <v>144</v>
      </c>
      <c r="AD2" s="257" t="s">
        <v>145</v>
      </c>
      <c r="AE2" s="257" t="s">
        <v>146</v>
      </c>
      <c r="AF2" s="257" t="s">
        <v>147</v>
      </c>
      <c r="AG2" s="250"/>
      <c r="AH2" s="250"/>
      <c r="AI2" s="250"/>
      <c r="AJ2" s="257" t="s">
        <v>148</v>
      </c>
    </row>
    <row r="3" spans="1:36" x14ac:dyDescent="0.3">
      <c r="A3" s="252" t="s">
        <v>149</v>
      </c>
      <c r="B3" s="253">
        <v>45985</v>
      </c>
      <c r="C3" s="254" t="s">
        <v>35</v>
      </c>
      <c r="D3" s="255" t="s">
        <v>150</v>
      </c>
      <c r="E3" s="254" t="s">
        <v>1</v>
      </c>
      <c r="F3" s="254" t="s">
        <v>141</v>
      </c>
      <c r="G3" s="256">
        <v>0.69269999999999998</v>
      </c>
      <c r="H3" s="257">
        <v>179</v>
      </c>
      <c r="I3" s="257">
        <v>124</v>
      </c>
      <c r="J3" s="257">
        <v>0</v>
      </c>
      <c r="K3" s="254" t="s">
        <v>142</v>
      </c>
      <c r="L3" s="258" t="s">
        <v>37</v>
      </c>
      <c r="M3" s="257">
        <v>0</v>
      </c>
      <c r="N3" s="257">
        <v>11</v>
      </c>
      <c r="O3" s="257">
        <v>64</v>
      </c>
      <c r="P3" s="254" t="s">
        <v>38</v>
      </c>
      <c r="Q3" s="250"/>
      <c r="R3" s="250"/>
      <c r="S3" s="250"/>
      <c r="T3" s="250"/>
      <c r="U3" s="250"/>
      <c r="V3" s="250"/>
      <c r="W3" s="250"/>
      <c r="X3" s="257" t="s">
        <v>45</v>
      </c>
      <c r="Y3" s="257" t="s">
        <v>151</v>
      </c>
      <c r="Z3" s="257" t="s">
        <v>152</v>
      </c>
      <c r="AA3" s="257" t="s">
        <v>153</v>
      </c>
      <c r="AB3" s="257" t="s">
        <v>154</v>
      </c>
      <c r="AC3" s="257" t="s">
        <v>155</v>
      </c>
      <c r="AD3" s="257" t="s">
        <v>145</v>
      </c>
      <c r="AE3" s="257" t="s">
        <v>156</v>
      </c>
      <c r="AF3" s="257" t="s">
        <v>147</v>
      </c>
      <c r="AG3" s="250"/>
      <c r="AH3" s="250"/>
      <c r="AI3" s="250"/>
      <c r="AJ3" s="250"/>
    </row>
    <row r="4" spans="1:36" x14ac:dyDescent="0.3">
      <c r="A4" s="252" t="s">
        <v>157</v>
      </c>
      <c r="B4" s="253">
        <v>45986</v>
      </c>
      <c r="C4" s="254" t="s">
        <v>35</v>
      </c>
      <c r="D4" s="255" t="s">
        <v>158</v>
      </c>
      <c r="E4" s="254" t="s">
        <v>1</v>
      </c>
      <c r="F4" s="254" t="s">
        <v>141</v>
      </c>
      <c r="G4" s="256">
        <v>0.79330000000000001</v>
      </c>
      <c r="H4" s="257">
        <v>179</v>
      </c>
      <c r="I4" s="257">
        <v>142</v>
      </c>
      <c r="J4" s="257">
        <v>0</v>
      </c>
      <c r="K4" s="254" t="s">
        <v>142</v>
      </c>
      <c r="L4" s="258" t="s">
        <v>37</v>
      </c>
      <c r="M4" s="257">
        <v>0</v>
      </c>
      <c r="N4" s="257">
        <v>12</v>
      </c>
      <c r="O4" s="257">
        <v>51</v>
      </c>
      <c r="P4" s="254" t="s">
        <v>40</v>
      </c>
      <c r="Q4" s="250"/>
      <c r="R4" s="250"/>
      <c r="S4" s="250"/>
      <c r="T4" s="250"/>
      <c r="U4" s="250"/>
      <c r="V4" s="250"/>
      <c r="W4" s="250"/>
      <c r="X4" s="257" t="s">
        <v>159</v>
      </c>
      <c r="Y4" s="257" t="s">
        <v>160</v>
      </c>
      <c r="Z4" s="257" t="s">
        <v>161</v>
      </c>
      <c r="AA4" s="257" t="s">
        <v>162</v>
      </c>
      <c r="AB4" s="257" t="s">
        <v>163</v>
      </c>
      <c r="AC4" s="257" t="s">
        <v>155</v>
      </c>
      <c r="AD4" s="257" t="s">
        <v>164</v>
      </c>
      <c r="AE4" s="257" t="s">
        <v>165</v>
      </c>
      <c r="AF4" s="257" t="s">
        <v>104</v>
      </c>
      <c r="AG4" s="250"/>
      <c r="AH4" s="250"/>
      <c r="AI4" s="250"/>
      <c r="AJ4" s="250"/>
    </row>
    <row r="5" spans="1:36" x14ac:dyDescent="0.3">
      <c r="A5" s="252" t="s">
        <v>166</v>
      </c>
      <c r="B5" s="253">
        <v>45987</v>
      </c>
      <c r="C5" s="254" t="s">
        <v>29</v>
      </c>
      <c r="D5" s="255" t="s">
        <v>167</v>
      </c>
      <c r="E5" s="254" t="s">
        <v>1</v>
      </c>
      <c r="F5" s="254" t="s">
        <v>141</v>
      </c>
      <c r="G5" s="256">
        <v>0.77649999999999997</v>
      </c>
      <c r="H5" s="257">
        <v>179</v>
      </c>
      <c r="I5" s="257">
        <v>139</v>
      </c>
      <c r="J5" s="257">
        <v>0</v>
      </c>
      <c r="K5" s="254" t="s">
        <v>142</v>
      </c>
      <c r="L5" s="258" t="s">
        <v>37</v>
      </c>
      <c r="M5" s="257">
        <v>0</v>
      </c>
      <c r="N5" s="257">
        <v>21</v>
      </c>
      <c r="O5" s="257">
        <v>77</v>
      </c>
      <c r="P5" s="254" t="s">
        <v>40</v>
      </c>
      <c r="Q5" s="250"/>
      <c r="R5" s="250"/>
      <c r="S5" s="250"/>
      <c r="T5" s="250"/>
      <c r="U5" s="250"/>
      <c r="V5" s="250"/>
      <c r="W5" s="250"/>
      <c r="X5" s="257" t="s">
        <v>168</v>
      </c>
      <c r="Y5" s="257" t="s">
        <v>169</v>
      </c>
      <c r="Z5" s="257" t="s">
        <v>152</v>
      </c>
      <c r="AA5" s="257" t="s">
        <v>170</v>
      </c>
      <c r="AB5" s="250"/>
      <c r="AC5" s="257" t="s">
        <v>71</v>
      </c>
      <c r="AD5" s="257" t="s">
        <v>171</v>
      </c>
      <c r="AE5" s="257" t="s">
        <v>156</v>
      </c>
      <c r="AF5" s="257" t="s">
        <v>172</v>
      </c>
      <c r="AG5" s="250"/>
      <c r="AH5" s="250"/>
      <c r="AI5" s="250"/>
      <c r="AJ5" s="250"/>
    </row>
    <row r="6" spans="1:36" x14ac:dyDescent="0.3">
      <c r="A6" s="252" t="s">
        <v>166</v>
      </c>
      <c r="B6" s="253">
        <v>45987</v>
      </c>
      <c r="C6" s="254" t="s">
        <v>35</v>
      </c>
      <c r="D6" s="255" t="s">
        <v>150</v>
      </c>
      <c r="E6" s="254" t="s">
        <v>1</v>
      </c>
      <c r="F6" s="254" t="s">
        <v>141</v>
      </c>
      <c r="G6" s="256">
        <v>0.69830000000000003</v>
      </c>
      <c r="H6" s="257">
        <v>179</v>
      </c>
      <c r="I6" s="257">
        <v>125</v>
      </c>
      <c r="J6" s="257">
        <v>0</v>
      </c>
      <c r="K6" s="254" t="s">
        <v>142</v>
      </c>
      <c r="L6" s="258" t="s">
        <v>37</v>
      </c>
      <c r="M6" s="257">
        <v>0</v>
      </c>
      <c r="N6" s="257">
        <v>15</v>
      </c>
      <c r="O6" s="257">
        <v>40</v>
      </c>
      <c r="P6" s="254" t="s">
        <v>43</v>
      </c>
      <c r="Q6" s="250"/>
      <c r="R6" s="250"/>
      <c r="S6" s="250"/>
      <c r="T6" s="250"/>
      <c r="U6" s="250"/>
      <c r="V6" s="250"/>
      <c r="W6" s="257" t="s">
        <v>173</v>
      </c>
      <c r="X6" s="257" t="s">
        <v>159</v>
      </c>
      <c r="Y6" s="257" t="s">
        <v>174</v>
      </c>
      <c r="Z6" s="257" t="s">
        <v>56</v>
      </c>
      <c r="AA6" s="257" t="s">
        <v>175</v>
      </c>
      <c r="AB6" s="257" t="s">
        <v>176</v>
      </c>
      <c r="AC6" s="257" t="s">
        <v>177</v>
      </c>
      <c r="AD6" s="257" t="s">
        <v>145</v>
      </c>
      <c r="AE6" s="257" t="s">
        <v>178</v>
      </c>
      <c r="AF6" s="257" t="s">
        <v>76</v>
      </c>
      <c r="AG6" s="250"/>
      <c r="AH6" s="250"/>
      <c r="AI6" s="250"/>
      <c r="AJ6" s="250"/>
    </row>
    <row r="7" spans="1:36" x14ac:dyDescent="0.3">
      <c r="A7" s="252" t="s">
        <v>179</v>
      </c>
      <c r="B7" s="253">
        <v>45988</v>
      </c>
      <c r="C7" s="254" t="s">
        <v>29</v>
      </c>
      <c r="D7" s="255" t="s">
        <v>167</v>
      </c>
      <c r="E7" s="254" t="s">
        <v>1</v>
      </c>
      <c r="F7" s="254" t="s">
        <v>141</v>
      </c>
      <c r="G7" s="256">
        <v>0.62570000000000003</v>
      </c>
      <c r="H7" s="257">
        <v>179</v>
      </c>
      <c r="I7" s="257">
        <v>112</v>
      </c>
      <c r="J7" s="257">
        <v>0</v>
      </c>
      <c r="K7" s="254" t="s">
        <v>142</v>
      </c>
      <c r="L7" s="258" t="s">
        <v>37</v>
      </c>
      <c r="M7" s="257">
        <v>0</v>
      </c>
      <c r="N7" s="257">
        <v>9</v>
      </c>
      <c r="O7" s="257">
        <v>45</v>
      </c>
      <c r="P7" s="254" t="s">
        <v>45</v>
      </c>
      <c r="Q7" s="250"/>
      <c r="R7" s="250"/>
      <c r="S7" s="250"/>
      <c r="T7" s="250"/>
      <c r="U7" s="250"/>
      <c r="V7" s="250"/>
      <c r="W7" s="257" t="s">
        <v>180</v>
      </c>
      <c r="X7" s="257" t="s">
        <v>181</v>
      </c>
      <c r="Y7" s="257" t="s">
        <v>182</v>
      </c>
      <c r="Z7" s="257" t="s">
        <v>152</v>
      </c>
      <c r="AA7" s="257" t="s">
        <v>153</v>
      </c>
      <c r="AB7" s="257" t="s">
        <v>64</v>
      </c>
      <c r="AC7" s="257" t="s">
        <v>183</v>
      </c>
      <c r="AD7" s="257" t="s">
        <v>184</v>
      </c>
      <c r="AE7" s="257" t="s">
        <v>84</v>
      </c>
      <c r="AF7" s="257" t="s">
        <v>80</v>
      </c>
      <c r="AG7" s="250"/>
      <c r="AH7" s="250"/>
      <c r="AI7" s="250"/>
      <c r="AJ7" s="250"/>
    </row>
    <row r="8" spans="1:36" x14ac:dyDescent="0.3">
      <c r="A8" s="252" t="s">
        <v>185</v>
      </c>
      <c r="B8" s="253">
        <v>45989</v>
      </c>
      <c r="C8" s="254" t="s">
        <v>29</v>
      </c>
      <c r="D8" s="255" t="s">
        <v>186</v>
      </c>
      <c r="E8" s="254" t="s">
        <v>1</v>
      </c>
      <c r="F8" s="254" t="s">
        <v>141</v>
      </c>
      <c r="G8" s="256">
        <v>0.58660000000000001</v>
      </c>
      <c r="H8" s="257">
        <v>179</v>
      </c>
      <c r="I8" s="257">
        <v>105</v>
      </c>
      <c r="J8" s="257">
        <v>0</v>
      </c>
      <c r="K8" s="254" t="s">
        <v>142</v>
      </c>
      <c r="L8" s="258" t="s">
        <v>47</v>
      </c>
      <c r="M8" s="257">
        <v>0</v>
      </c>
      <c r="N8" s="257">
        <v>0</v>
      </c>
      <c r="O8" s="257">
        <v>6</v>
      </c>
      <c r="P8" s="254" t="s">
        <v>48</v>
      </c>
      <c r="Q8" s="250"/>
      <c r="R8" s="250"/>
      <c r="S8" s="250"/>
      <c r="T8" s="250"/>
      <c r="U8" s="257" t="s">
        <v>187</v>
      </c>
      <c r="V8" s="257" t="s">
        <v>188</v>
      </c>
      <c r="W8" s="257" t="s">
        <v>189</v>
      </c>
      <c r="X8" s="257" t="s">
        <v>159</v>
      </c>
      <c r="Y8" s="257" t="s">
        <v>190</v>
      </c>
      <c r="Z8" s="257" t="s">
        <v>191</v>
      </c>
      <c r="AA8" s="257" t="s">
        <v>66</v>
      </c>
      <c r="AB8" s="257" t="s">
        <v>69</v>
      </c>
      <c r="AC8" s="257" t="s">
        <v>192</v>
      </c>
      <c r="AD8" s="257" t="s">
        <v>99</v>
      </c>
      <c r="AE8" s="257" t="s">
        <v>100</v>
      </c>
      <c r="AF8" s="257" t="s">
        <v>193</v>
      </c>
      <c r="AG8" s="250"/>
      <c r="AH8" s="250"/>
      <c r="AI8" s="250"/>
      <c r="AJ8" s="250"/>
    </row>
    <row r="9" spans="1:36" x14ac:dyDescent="0.3">
      <c r="A9" s="252" t="s">
        <v>185</v>
      </c>
      <c r="B9" s="253">
        <v>45989</v>
      </c>
      <c r="C9" s="254" t="s">
        <v>35</v>
      </c>
      <c r="D9" s="255" t="s">
        <v>150</v>
      </c>
      <c r="E9" s="254" t="s">
        <v>1</v>
      </c>
      <c r="F9" s="254" t="s">
        <v>141</v>
      </c>
      <c r="G9" s="256">
        <v>0.57540000000000002</v>
      </c>
      <c r="H9" s="257">
        <v>179</v>
      </c>
      <c r="I9" s="257">
        <v>103</v>
      </c>
      <c r="J9" s="257">
        <v>0</v>
      </c>
      <c r="K9" s="254" t="s">
        <v>142</v>
      </c>
      <c r="L9" s="258" t="s">
        <v>37</v>
      </c>
      <c r="M9" s="257">
        <v>0</v>
      </c>
      <c r="N9" s="257">
        <v>7</v>
      </c>
      <c r="O9" s="257">
        <v>11</v>
      </c>
      <c r="P9" s="254" t="s">
        <v>48</v>
      </c>
      <c r="Q9" s="250"/>
      <c r="R9" s="250"/>
      <c r="S9" s="250"/>
      <c r="T9" s="257" t="s">
        <v>194</v>
      </c>
      <c r="U9" s="257" t="s">
        <v>195</v>
      </c>
      <c r="V9" s="257" t="s">
        <v>196</v>
      </c>
      <c r="W9" s="257" t="s">
        <v>189</v>
      </c>
      <c r="X9" s="257" t="s">
        <v>197</v>
      </c>
      <c r="Y9" s="257" t="s">
        <v>198</v>
      </c>
      <c r="Z9" s="257" t="s">
        <v>199</v>
      </c>
      <c r="AA9" s="257" t="s">
        <v>200</v>
      </c>
      <c r="AB9" s="257" t="s">
        <v>201</v>
      </c>
      <c r="AC9" s="257" t="s">
        <v>202</v>
      </c>
      <c r="AD9" s="257" t="s">
        <v>203</v>
      </c>
      <c r="AE9" s="257" t="s">
        <v>108</v>
      </c>
      <c r="AF9" s="257" t="s">
        <v>204</v>
      </c>
      <c r="AG9" s="250"/>
      <c r="AH9" s="250"/>
      <c r="AI9" s="250"/>
      <c r="AJ9" s="250"/>
    </row>
    <row r="10" spans="1:36" x14ac:dyDescent="0.3">
      <c r="A10" s="252" t="s">
        <v>205</v>
      </c>
      <c r="B10" s="253">
        <v>45990</v>
      </c>
      <c r="C10" s="254" t="s">
        <v>29</v>
      </c>
      <c r="D10" s="255" t="s">
        <v>167</v>
      </c>
      <c r="E10" s="254" t="s">
        <v>1</v>
      </c>
      <c r="F10" s="254" t="s">
        <v>141</v>
      </c>
      <c r="G10" s="256">
        <v>0.68720000000000003</v>
      </c>
      <c r="H10" s="257">
        <v>179</v>
      </c>
      <c r="I10" s="257">
        <v>123</v>
      </c>
      <c r="J10" s="257">
        <v>0</v>
      </c>
      <c r="K10" s="254" t="s">
        <v>142</v>
      </c>
      <c r="L10" s="258" t="s">
        <v>37</v>
      </c>
      <c r="M10" s="257">
        <v>0</v>
      </c>
      <c r="N10" s="257">
        <v>2</v>
      </c>
      <c r="O10" s="257">
        <v>25</v>
      </c>
      <c r="P10" s="254" t="s">
        <v>51</v>
      </c>
      <c r="Q10" s="250"/>
      <c r="R10" s="250"/>
      <c r="S10" s="257" t="s">
        <v>206</v>
      </c>
      <c r="T10" s="257" t="s">
        <v>207</v>
      </c>
      <c r="U10" s="250"/>
      <c r="V10" s="257" t="s">
        <v>208</v>
      </c>
      <c r="W10" s="257" t="s">
        <v>209</v>
      </c>
      <c r="X10" s="257" t="s">
        <v>210</v>
      </c>
      <c r="Y10" s="257" t="s">
        <v>190</v>
      </c>
      <c r="Z10" s="257" t="s">
        <v>211</v>
      </c>
      <c r="AA10" s="257" t="s">
        <v>212</v>
      </c>
      <c r="AB10" s="257" t="s">
        <v>213</v>
      </c>
      <c r="AC10" s="257" t="s">
        <v>192</v>
      </c>
      <c r="AD10" s="257" t="s">
        <v>164</v>
      </c>
      <c r="AE10" s="257" t="s">
        <v>73</v>
      </c>
      <c r="AF10" s="257" t="s">
        <v>80</v>
      </c>
      <c r="AG10" s="250"/>
      <c r="AH10" s="250"/>
      <c r="AI10" s="250"/>
      <c r="AJ10" s="250"/>
    </row>
    <row r="11" spans="1:36" x14ac:dyDescent="0.3">
      <c r="A11" s="252" t="s">
        <v>139</v>
      </c>
      <c r="B11" s="253">
        <v>45991</v>
      </c>
      <c r="C11" s="254" t="s">
        <v>29</v>
      </c>
      <c r="D11" s="255" t="s">
        <v>140</v>
      </c>
      <c r="E11" s="254" t="s">
        <v>1</v>
      </c>
      <c r="F11" s="254" t="s">
        <v>141</v>
      </c>
      <c r="G11" s="256">
        <v>0.62570000000000003</v>
      </c>
      <c r="H11" s="257">
        <v>179</v>
      </c>
      <c r="I11" s="257">
        <v>112</v>
      </c>
      <c r="J11" s="257">
        <v>0</v>
      </c>
      <c r="K11" s="254" t="s">
        <v>142</v>
      </c>
      <c r="L11" s="258" t="s">
        <v>37</v>
      </c>
      <c r="M11" s="257">
        <v>0</v>
      </c>
      <c r="N11" s="257">
        <v>8</v>
      </c>
      <c r="O11" s="257">
        <v>23</v>
      </c>
      <c r="P11" s="254" t="s">
        <v>45</v>
      </c>
      <c r="Q11" s="250"/>
      <c r="R11" s="250"/>
      <c r="S11" s="250"/>
      <c r="T11" s="250"/>
      <c r="U11" s="250"/>
      <c r="V11" s="257" t="s">
        <v>214</v>
      </c>
      <c r="W11" s="257" t="s">
        <v>215</v>
      </c>
      <c r="X11" s="257" t="s">
        <v>216</v>
      </c>
      <c r="Y11" s="257" t="s">
        <v>217</v>
      </c>
      <c r="Z11" s="257" t="s">
        <v>218</v>
      </c>
      <c r="AA11" s="257" t="s">
        <v>219</v>
      </c>
      <c r="AB11" s="257" t="s">
        <v>64</v>
      </c>
      <c r="AC11" s="257" t="s">
        <v>192</v>
      </c>
      <c r="AD11" s="257" t="s">
        <v>220</v>
      </c>
      <c r="AE11" s="257" t="s">
        <v>108</v>
      </c>
      <c r="AF11" s="257" t="s">
        <v>221</v>
      </c>
      <c r="AG11" s="250"/>
      <c r="AH11" s="250"/>
      <c r="AI11" s="250"/>
      <c r="AJ11" s="250"/>
    </row>
    <row r="12" spans="1:36" x14ac:dyDescent="0.3">
      <c r="A12" s="252" t="s">
        <v>149</v>
      </c>
      <c r="B12" s="253">
        <v>45992</v>
      </c>
      <c r="C12" s="254" t="s">
        <v>35</v>
      </c>
      <c r="D12" s="255" t="s">
        <v>150</v>
      </c>
      <c r="E12" s="254" t="s">
        <v>1</v>
      </c>
      <c r="F12" s="254" t="s">
        <v>141</v>
      </c>
      <c r="G12" s="256">
        <v>0.56420000000000003</v>
      </c>
      <c r="H12" s="257">
        <v>179</v>
      </c>
      <c r="I12" s="257">
        <v>101</v>
      </c>
      <c r="J12" s="257">
        <v>0</v>
      </c>
      <c r="K12" s="254" t="s">
        <v>142</v>
      </c>
      <c r="L12" s="258" t="s">
        <v>37</v>
      </c>
      <c r="M12" s="257">
        <v>0</v>
      </c>
      <c r="N12" s="257">
        <v>15</v>
      </c>
      <c r="O12" s="257">
        <v>22</v>
      </c>
      <c r="P12" s="254" t="s">
        <v>54</v>
      </c>
      <c r="Q12" s="250"/>
      <c r="R12" s="250"/>
      <c r="S12" s="250"/>
      <c r="T12" s="250"/>
      <c r="U12" s="250"/>
      <c r="V12" s="250"/>
      <c r="W12" s="250"/>
      <c r="X12" s="257" t="s">
        <v>222</v>
      </c>
      <c r="Y12" s="257" t="s">
        <v>182</v>
      </c>
      <c r="Z12" s="257" t="s">
        <v>161</v>
      </c>
      <c r="AA12" s="257" t="s">
        <v>153</v>
      </c>
      <c r="AB12" s="257" t="s">
        <v>223</v>
      </c>
      <c r="AC12" s="257" t="s">
        <v>202</v>
      </c>
      <c r="AD12" s="257" t="s">
        <v>99</v>
      </c>
      <c r="AE12" s="257" t="s">
        <v>224</v>
      </c>
      <c r="AF12" s="257" t="s">
        <v>225</v>
      </c>
      <c r="AG12" s="250"/>
      <c r="AH12" s="250"/>
      <c r="AI12" s="250"/>
      <c r="AJ12" s="250"/>
    </row>
    <row r="13" spans="1:36" x14ac:dyDescent="0.3">
      <c r="A13" s="252" t="s">
        <v>157</v>
      </c>
      <c r="B13" s="253">
        <v>45993</v>
      </c>
      <c r="C13" s="254" t="s">
        <v>35</v>
      </c>
      <c r="D13" s="255" t="s">
        <v>158</v>
      </c>
      <c r="E13" s="254" t="s">
        <v>1</v>
      </c>
      <c r="F13" s="254" t="s">
        <v>141</v>
      </c>
      <c r="G13" s="256">
        <v>0.36870000000000003</v>
      </c>
      <c r="H13" s="257">
        <v>179</v>
      </c>
      <c r="I13" s="257">
        <v>66</v>
      </c>
      <c r="J13" s="257">
        <v>0</v>
      </c>
      <c r="K13" s="254" t="s">
        <v>142</v>
      </c>
      <c r="L13" s="258" t="s">
        <v>37</v>
      </c>
      <c r="M13" s="257">
        <v>0</v>
      </c>
      <c r="N13" s="257">
        <v>3</v>
      </c>
      <c r="O13" s="257">
        <v>32</v>
      </c>
      <c r="P13" s="254" t="s">
        <v>56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7" t="s">
        <v>226</v>
      </c>
      <c r="AA13" s="257" t="s">
        <v>153</v>
      </c>
      <c r="AB13" s="257" t="s">
        <v>227</v>
      </c>
      <c r="AC13" s="257" t="s">
        <v>155</v>
      </c>
      <c r="AD13" s="257" t="s">
        <v>228</v>
      </c>
      <c r="AE13" s="257" t="s">
        <v>84</v>
      </c>
      <c r="AF13" s="250"/>
      <c r="AG13" s="250"/>
      <c r="AH13" s="250"/>
      <c r="AI13" s="250"/>
      <c r="AJ13" s="250"/>
    </row>
    <row r="14" spans="1:36" x14ac:dyDescent="0.3">
      <c r="A14" s="252" t="s">
        <v>166</v>
      </c>
      <c r="B14" s="253">
        <v>45994</v>
      </c>
      <c r="C14" s="254" t="s">
        <v>29</v>
      </c>
      <c r="D14" s="255" t="s">
        <v>167</v>
      </c>
      <c r="E14" s="254" t="s">
        <v>1</v>
      </c>
      <c r="F14" s="254" t="s">
        <v>141</v>
      </c>
      <c r="G14" s="256">
        <v>0.30170000000000002</v>
      </c>
      <c r="H14" s="257">
        <v>179</v>
      </c>
      <c r="I14" s="257">
        <v>54</v>
      </c>
      <c r="J14" s="257">
        <v>0</v>
      </c>
      <c r="K14" s="254" t="s">
        <v>142</v>
      </c>
      <c r="L14" s="258" t="s">
        <v>37</v>
      </c>
      <c r="M14" s="257">
        <v>0</v>
      </c>
      <c r="N14" s="257">
        <v>11</v>
      </c>
      <c r="O14" s="257">
        <v>28</v>
      </c>
      <c r="P14" s="254" t="s">
        <v>58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7" t="s">
        <v>229</v>
      </c>
      <c r="AB14" s="257" t="s">
        <v>64</v>
      </c>
      <c r="AC14" s="257" t="s">
        <v>230</v>
      </c>
      <c r="AD14" s="257" t="s">
        <v>99</v>
      </c>
      <c r="AE14" s="257" t="s">
        <v>108</v>
      </c>
      <c r="AF14" s="250"/>
      <c r="AG14" s="250"/>
      <c r="AH14" s="250"/>
      <c r="AI14" s="250"/>
      <c r="AJ14" s="250"/>
    </row>
    <row r="15" spans="1:36" x14ac:dyDescent="0.3">
      <c r="A15" s="252" t="s">
        <v>166</v>
      </c>
      <c r="B15" s="253">
        <v>45994</v>
      </c>
      <c r="C15" s="254" t="s">
        <v>35</v>
      </c>
      <c r="D15" s="255" t="s">
        <v>150</v>
      </c>
      <c r="E15" s="254" t="s">
        <v>1</v>
      </c>
      <c r="F15" s="254" t="s">
        <v>141</v>
      </c>
      <c r="G15" s="256">
        <v>0.4078</v>
      </c>
      <c r="H15" s="257">
        <v>179</v>
      </c>
      <c r="I15" s="257">
        <v>73</v>
      </c>
      <c r="J15" s="257">
        <v>0</v>
      </c>
      <c r="K15" s="254" t="s">
        <v>142</v>
      </c>
      <c r="L15" s="258" t="s">
        <v>37</v>
      </c>
      <c r="M15" s="257">
        <v>0</v>
      </c>
      <c r="N15" s="257">
        <v>14</v>
      </c>
      <c r="O15" s="257">
        <v>42</v>
      </c>
      <c r="P15" s="254" t="s">
        <v>60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7" t="s">
        <v>211</v>
      </c>
      <c r="AA15" s="257" t="s">
        <v>229</v>
      </c>
      <c r="AB15" s="257" t="s">
        <v>231</v>
      </c>
      <c r="AC15" s="257" t="s">
        <v>232</v>
      </c>
      <c r="AD15" s="257" t="s">
        <v>171</v>
      </c>
      <c r="AE15" s="257" t="s">
        <v>100</v>
      </c>
      <c r="AF15" s="257" t="s">
        <v>104</v>
      </c>
      <c r="AG15" s="250"/>
      <c r="AH15" s="250"/>
      <c r="AI15" s="250"/>
      <c r="AJ15" s="257" t="s">
        <v>148</v>
      </c>
    </row>
    <row r="16" spans="1:36" x14ac:dyDescent="0.3">
      <c r="A16" s="252" t="s">
        <v>179</v>
      </c>
      <c r="B16" s="253">
        <v>45995</v>
      </c>
      <c r="C16" s="254" t="s">
        <v>29</v>
      </c>
      <c r="D16" s="255" t="s">
        <v>167</v>
      </c>
      <c r="E16" s="254" t="s">
        <v>1</v>
      </c>
      <c r="F16" s="254" t="s">
        <v>141</v>
      </c>
      <c r="G16" s="256">
        <v>0.3352</v>
      </c>
      <c r="H16" s="257">
        <v>179</v>
      </c>
      <c r="I16" s="257">
        <v>60</v>
      </c>
      <c r="J16" s="257">
        <v>0</v>
      </c>
      <c r="K16" s="254" t="s">
        <v>142</v>
      </c>
      <c r="L16" s="258" t="s">
        <v>37</v>
      </c>
      <c r="M16" s="257">
        <v>0</v>
      </c>
      <c r="N16" s="257">
        <v>10</v>
      </c>
      <c r="O16" s="257">
        <v>31</v>
      </c>
      <c r="P16" s="254" t="s">
        <v>62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7" t="s">
        <v>233</v>
      </c>
      <c r="AA16" s="250"/>
      <c r="AB16" s="257" t="s">
        <v>176</v>
      </c>
      <c r="AC16" s="257" t="s">
        <v>234</v>
      </c>
      <c r="AD16" s="257" t="s">
        <v>235</v>
      </c>
      <c r="AE16" s="257" t="s">
        <v>236</v>
      </c>
      <c r="AF16" s="250"/>
      <c r="AG16" s="250"/>
      <c r="AH16" s="250"/>
      <c r="AI16" s="250"/>
      <c r="AJ16" s="250"/>
    </row>
    <row r="17" spans="1:36" x14ac:dyDescent="0.3">
      <c r="A17" s="252" t="s">
        <v>185</v>
      </c>
      <c r="B17" s="253">
        <v>45996</v>
      </c>
      <c r="C17" s="254" t="s">
        <v>29</v>
      </c>
      <c r="D17" s="255" t="s">
        <v>186</v>
      </c>
      <c r="E17" s="254" t="s">
        <v>1</v>
      </c>
      <c r="F17" s="254" t="s">
        <v>141</v>
      </c>
      <c r="G17" s="256">
        <v>0.32400000000000001</v>
      </c>
      <c r="H17" s="257">
        <v>179</v>
      </c>
      <c r="I17" s="257">
        <v>58</v>
      </c>
      <c r="J17" s="257">
        <v>0</v>
      </c>
      <c r="K17" s="254" t="s">
        <v>142</v>
      </c>
      <c r="L17" s="258" t="s">
        <v>37</v>
      </c>
      <c r="M17" s="257">
        <v>0</v>
      </c>
      <c r="N17" s="257">
        <v>7</v>
      </c>
      <c r="O17" s="257">
        <v>37</v>
      </c>
      <c r="P17" s="254" t="s">
        <v>64</v>
      </c>
      <c r="Q17" s="250"/>
      <c r="R17" s="250"/>
      <c r="S17" s="250"/>
      <c r="T17" s="250"/>
      <c r="U17" s="250"/>
      <c r="V17" s="250"/>
      <c r="W17" s="250"/>
      <c r="X17" s="250"/>
      <c r="Y17" s="250"/>
      <c r="Z17" s="257" t="s">
        <v>233</v>
      </c>
      <c r="AA17" s="250"/>
      <c r="AB17" s="257" t="s">
        <v>237</v>
      </c>
      <c r="AC17" s="257" t="s">
        <v>155</v>
      </c>
      <c r="AD17" s="257" t="s">
        <v>235</v>
      </c>
      <c r="AE17" s="257" t="s">
        <v>238</v>
      </c>
      <c r="AF17" s="250"/>
      <c r="AG17" s="250"/>
      <c r="AH17" s="250"/>
      <c r="AI17" s="250"/>
      <c r="AJ17" s="250"/>
    </row>
    <row r="18" spans="1:36" x14ac:dyDescent="0.3">
      <c r="A18" s="252" t="s">
        <v>185</v>
      </c>
      <c r="B18" s="253">
        <v>45996</v>
      </c>
      <c r="C18" s="254" t="s">
        <v>35</v>
      </c>
      <c r="D18" s="255" t="s">
        <v>150</v>
      </c>
      <c r="E18" s="254" t="s">
        <v>1</v>
      </c>
      <c r="F18" s="254" t="s">
        <v>141</v>
      </c>
      <c r="G18" s="256">
        <v>0.35199999999999998</v>
      </c>
      <c r="H18" s="257">
        <v>179</v>
      </c>
      <c r="I18" s="257">
        <v>63</v>
      </c>
      <c r="J18" s="257">
        <v>0</v>
      </c>
      <c r="K18" s="254" t="s">
        <v>142</v>
      </c>
      <c r="L18" s="258" t="s">
        <v>37</v>
      </c>
      <c r="M18" s="257">
        <v>0</v>
      </c>
      <c r="N18" s="257">
        <v>10</v>
      </c>
      <c r="O18" s="257">
        <v>36</v>
      </c>
      <c r="P18" s="254" t="s">
        <v>66</v>
      </c>
      <c r="Q18" s="250"/>
      <c r="R18" s="250"/>
      <c r="S18" s="250"/>
      <c r="T18" s="250"/>
      <c r="U18" s="250"/>
      <c r="V18" s="250"/>
      <c r="W18" s="250"/>
      <c r="X18" s="250"/>
      <c r="Y18" s="250"/>
      <c r="Z18" s="257" t="s">
        <v>233</v>
      </c>
      <c r="AA18" s="250"/>
      <c r="AB18" s="257" t="s">
        <v>62</v>
      </c>
      <c r="AC18" s="257" t="s">
        <v>239</v>
      </c>
      <c r="AD18" s="257" t="s">
        <v>240</v>
      </c>
      <c r="AE18" s="257" t="s">
        <v>241</v>
      </c>
      <c r="AF18" s="250"/>
      <c r="AG18" s="250"/>
      <c r="AH18" s="250"/>
      <c r="AI18" s="250"/>
      <c r="AJ18" s="250"/>
    </row>
    <row r="19" spans="1:36" x14ac:dyDescent="0.3">
      <c r="A19" s="252" t="s">
        <v>205</v>
      </c>
      <c r="B19" s="253">
        <v>45997</v>
      </c>
      <c r="C19" s="254" t="s">
        <v>29</v>
      </c>
      <c r="D19" s="255" t="s">
        <v>167</v>
      </c>
      <c r="E19" s="254" t="s">
        <v>1</v>
      </c>
      <c r="F19" s="254" t="s">
        <v>141</v>
      </c>
      <c r="G19" s="256">
        <v>0.2402</v>
      </c>
      <c r="H19" s="257">
        <v>179</v>
      </c>
      <c r="I19" s="257">
        <v>43</v>
      </c>
      <c r="J19" s="257">
        <v>0</v>
      </c>
      <c r="K19" s="254" t="s">
        <v>142</v>
      </c>
      <c r="L19" s="258" t="s">
        <v>37</v>
      </c>
      <c r="M19" s="257">
        <v>0</v>
      </c>
      <c r="N19" s="257">
        <v>4</v>
      </c>
      <c r="O19" s="257">
        <v>20</v>
      </c>
      <c r="P19" s="254" t="s">
        <v>69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7" t="s">
        <v>213</v>
      </c>
      <c r="AC19" s="257" t="s">
        <v>242</v>
      </c>
      <c r="AD19" s="257" t="s">
        <v>243</v>
      </c>
      <c r="AE19" s="257" t="s">
        <v>244</v>
      </c>
      <c r="AF19" s="250"/>
      <c r="AG19" s="250"/>
      <c r="AH19" s="250"/>
      <c r="AI19" s="250"/>
      <c r="AJ19" s="250"/>
    </row>
    <row r="20" spans="1:36" x14ac:dyDescent="0.3">
      <c r="A20" s="252" t="s">
        <v>139</v>
      </c>
      <c r="B20" s="253">
        <v>45998</v>
      </c>
      <c r="C20" s="254" t="s">
        <v>29</v>
      </c>
      <c r="D20" s="255" t="s">
        <v>140</v>
      </c>
      <c r="E20" s="254" t="s">
        <v>1</v>
      </c>
      <c r="F20" s="254" t="s">
        <v>141</v>
      </c>
      <c r="G20" s="256">
        <v>0.21229999999999999</v>
      </c>
      <c r="H20" s="257">
        <v>179</v>
      </c>
      <c r="I20" s="257">
        <v>38</v>
      </c>
      <c r="J20" s="257">
        <v>0</v>
      </c>
      <c r="K20" s="254" t="s">
        <v>142</v>
      </c>
      <c r="L20" s="258" t="s">
        <v>37</v>
      </c>
      <c r="M20" s="257">
        <v>0</v>
      </c>
      <c r="N20" s="257">
        <v>5</v>
      </c>
      <c r="O20" s="257">
        <v>22</v>
      </c>
      <c r="P20" s="254" t="s">
        <v>71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7" t="s">
        <v>245</v>
      </c>
      <c r="AD20" s="257" t="s">
        <v>228</v>
      </c>
      <c r="AE20" s="257" t="s">
        <v>246</v>
      </c>
      <c r="AF20" s="250"/>
      <c r="AG20" s="250"/>
      <c r="AH20" s="250"/>
      <c r="AI20" s="250"/>
      <c r="AJ20" s="250"/>
    </row>
    <row r="21" spans="1:36" x14ac:dyDescent="0.3">
      <c r="A21" s="252" t="s">
        <v>149</v>
      </c>
      <c r="B21" s="253">
        <v>45999</v>
      </c>
      <c r="C21" s="254" t="s">
        <v>35</v>
      </c>
      <c r="D21" s="255" t="s">
        <v>150</v>
      </c>
      <c r="E21" s="254" t="s">
        <v>1</v>
      </c>
      <c r="F21" s="254" t="s">
        <v>141</v>
      </c>
      <c r="G21" s="256">
        <v>0.17879999999999999</v>
      </c>
      <c r="H21" s="257">
        <v>179</v>
      </c>
      <c r="I21" s="257">
        <v>32</v>
      </c>
      <c r="J21" s="257">
        <v>0</v>
      </c>
      <c r="K21" s="254" t="s">
        <v>142</v>
      </c>
      <c r="L21" s="258" t="s">
        <v>37</v>
      </c>
      <c r="M21" s="257">
        <v>0</v>
      </c>
      <c r="N21" s="257">
        <v>6</v>
      </c>
      <c r="O21" s="257">
        <v>20</v>
      </c>
      <c r="P21" s="254" t="s">
        <v>73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7" t="s">
        <v>58</v>
      </c>
      <c r="AD21" s="257" t="s">
        <v>86</v>
      </c>
      <c r="AE21" s="257" t="s">
        <v>247</v>
      </c>
      <c r="AF21" s="250"/>
      <c r="AG21" s="250"/>
      <c r="AH21" s="250"/>
      <c r="AI21" s="250"/>
      <c r="AJ21" s="250"/>
    </row>
    <row r="22" spans="1:36" x14ac:dyDescent="0.3">
      <c r="A22" s="252" t="s">
        <v>157</v>
      </c>
      <c r="B22" s="253">
        <v>46000</v>
      </c>
      <c r="C22" s="254" t="s">
        <v>35</v>
      </c>
      <c r="D22" s="255" t="s">
        <v>158</v>
      </c>
      <c r="E22" s="254" t="s">
        <v>1</v>
      </c>
      <c r="F22" s="254" t="s">
        <v>141</v>
      </c>
      <c r="G22" s="256">
        <v>0.1061</v>
      </c>
      <c r="H22" s="257">
        <v>179</v>
      </c>
      <c r="I22" s="257">
        <v>19</v>
      </c>
      <c r="J22" s="257">
        <v>0</v>
      </c>
      <c r="K22" s="254" t="s">
        <v>142</v>
      </c>
      <c r="L22" s="258" t="s">
        <v>75</v>
      </c>
      <c r="M22" s="257">
        <v>1</v>
      </c>
      <c r="N22" s="257">
        <v>3</v>
      </c>
      <c r="O22" s="257">
        <v>12</v>
      </c>
      <c r="P22" s="254" t="s">
        <v>76</v>
      </c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7" t="s">
        <v>58</v>
      </c>
      <c r="AD22" s="250"/>
      <c r="AE22" s="257" t="s">
        <v>108</v>
      </c>
      <c r="AF22" s="257" t="s">
        <v>248</v>
      </c>
      <c r="AG22" s="250"/>
      <c r="AH22" s="250"/>
      <c r="AI22" s="250"/>
      <c r="AJ22" s="250"/>
    </row>
    <row r="23" spans="1:36" x14ac:dyDescent="0.3">
      <c r="A23" s="252" t="s">
        <v>166</v>
      </c>
      <c r="B23" s="253">
        <v>46001</v>
      </c>
      <c r="C23" s="254" t="s">
        <v>29</v>
      </c>
      <c r="D23" s="255" t="s">
        <v>167</v>
      </c>
      <c r="E23" s="254" t="s">
        <v>1</v>
      </c>
      <c r="F23" s="254" t="s">
        <v>141</v>
      </c>
      <c r="G23" s="256">
        <v>0.11169999999999999</v>
      </c>
      <c r="H23" s="257">
        <v>179</v>
      </c>
      <c r="I23" s="257">
        <v>20</v>
      </c>
      <c r="J23" s="257">
        <v>0</v>
      </c>
      <c r="K23" s="254" t="s">
        <v>142</v>
      </c>
      <c r="L23" s="258" t="s">
        <v>75</v>
      </c>
      <c r="M23" s="257">
        <v>2</v>
      </c>
      <c r="N23" s="257">
        <v>3</v>
      </c>
      <c r="O23" s="257">
        <v>17</v>
      </c>
      <c r="P23" s="254" t="s">
        <v>78</v>
      </c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7" t="s">
        <v>73</v>
      </c>
      <c r="AF23" s="257" t="s">
        <v>248</v>
      </c>
      <c r="AG23" s="250"/>
      <c r="AH23" s="250"/>
      <c r="AI23" s="250"/>
      <c r="AJ23" s="250"/>
    </row>
    <row r="24" spans="1:36" x14ac:dyDescent="0.3">
      <c r="A24" s="252" t="s">
        <v>166</v>
      </c>
      <c r="B24" s="253">
        <v>46001</v>
      </c>
      <c r="C24" s="254" t="s">
        <v>35</v>
      </c>
      <c r="D24" s="255" t="s">
        <v>150</v>
      </c>
      <c r="E24" s="254" t="s">
        <v>1</v>
      </c>
      <c r="F24" s="254" t="s">
        <v>141</v>
      </c>
      <c r="G24" s="256">
        <v>0.1341</v>
      </c>
      <c r="H24" s="257">
        <v>179</v>
      </c>
      <c r="I24" s="257">
        <v>24</v>
      </c>
      <c r="J24" s="257">
        <v>0</v>
      </c>
      <c r="K24" s="254" t="s">
        <v>142</v>
      </c>
      <c r="L24" s="258" t="s">
        <v>37</v>
      </c>
      <c r="M24" s="257">
        <v>0</v>
      </c>
      <c r="N24" s="257">
        <v>5</v>
      </c>
      <c r="O24" s="257">
        <v>17</v>
      </c>
      <c r="P24" s="254" t="s">
        <v>80</v>
      </c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7" t="s">
        <v>249</v>
      </c>
      <c r="AE24" s="257" t="s">
        <v>84</v>
      </c>
      <c r="AF24" s="257" t="s">
        <v>250</v>
      </c>
      <c r="AG24" s="250"/>
      <c r="AH24" s="250"/>
      <c r="AI24" s="250"/>
      <c r="AJ24" s="250"/>
    </row>
    <row r="25" spans="1:36" x14ac:dyDescent="0.3">
      <c r="A25" s="252" t="s">
        <v>179</v>
      </c>
      <c r="B25" s="253">
        <v>46002</v>
      </c>
      <c r="C25" s="254" t="s">
        <v>29</v>
      </c>
      <c r="D25" s="255" t="s">
        <v>167</v>
      </c>
      <c r="E25" s="254" t="s">
        <v>1</v>
      </c>
      <c r="F25" s="254" t="s">
        <v>141</v>
      </c>
      <c r="G25" s="256">
        <v>5.0299999999999997E-2</v>
      </c>
      <c r="H25" s="257">
        <v>179</v>
      </c>
      <c r="I25" s="257">
        <v>9</v>
      </c>
      <c r="J25" s="257">
        <v>0</v>
      </c>
      <c r="K25" s="254" t="s">
        <v>142</v>
      </c>
      <c r="L25" s="258" t="s">
        <v>82</v>
      </c>
      <c r="M25" s="257">
        <v>0</v>
      </c>
      <c r="N25" s="257">
        <v>0</v>
      </c>
      <c r="O25" s="257">
        <v>1</v>
      </c>
      <c r="P25" s="254" t="s">
        <v>78</v>
      </c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7" t="s">
        <v>249</v>
      </c>
      <c r="AE25" s="257" t="s">
        <v>156</v>
      </c>
      <c r="AF25" s="250"/>
      <c r="AG25" s="250"/>
      <c r="AH25" s="250"/>
      <c r="AI25" s="250"/>
      <c r="AJ25" s="250"/>
    </row>
    <row r="26" spans="1:36" x14ac:dyDescent="0.3">
      <c r="A26" s="252" t="s">
        <v>185</v>
      </c>
      <c r="B26" s="253">
        <v>46003</v>
      </c>
      <c r="C26" s="254" t="s">
        <v>29</v>
      </c>
      <c r="D26" s="255" t="s">
        <v>186</v>
      </c>
      <c r="E26" s="254" t="s">
        <v>1</v>
      </c>
      <c r="F26" s="254" t="s">
        <v>141</v>
      </c>
      <c r="G26" s="256">
        <v>6.1499999999999999E-2</v>
      </c>
      <c r="H26" s="257">
        <v>179</v>
      </c>
      <c r="I26" s="257">
        <v>11</v>
      </c>
      <c r="J26" s="257">
        <v>0</v>
      </c>
      <c r="K26" s="254" t="s">
        <v>142</v>
      </c>
      <c r="L26" s="258" t="s">
        <v>37</v>
      </c>
      <c r="M26" s="257">
        <v>0</v>
      </c>
      <c r="N26" s="257">
        <v>2</v>
      </c>
      <c r="O26" s="257">
        <v>6</v>
      </c>
      <c r="P26" s="254" t="s">
        <v>84</v>
      </c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7" t="s">
        <v>85</v>
      </c>
      <c r="AF26" s="250"/>
      <c r="AG26" s="250"/>
      <c r="AH26" s="250"/>
      <c r="AI26" s="250"/>
      <c r="AJ26" s="250"/>
    </row>
    <row r="27" spans="1:36" x14ac:dyDescent="0.3">
      <c r="A27" s="252" t="s">
        <v>185</v>
      </c>
      <c r="B27" s="253">
        <v>46003</v>
      </c>
      <c r="C27" s="254" t="s">
        <v>35</v>
      </c>
      <c r="D27" s="255" t="s">
        <v>150</v>
      </c>
      <c r="E27" s="254" t="s">
        <v>1</v>
      </c>
      <c r="F27" s="254" t="s">
        <v>141</v>
      </c>
      <c r="G27" s="256">
        <v>0.16200000000000001</v>
      </c>
      <c r="H27" s="257">
        <v>179</v>
      </c>
      <c r="I27" s="257">
        <v>29</v>
      </c>
      <c r="J27" s="257">
        <v>0</v>
      </c>
      <c r="K27" s="254" t="s">
        <v>142</v>
      </c>
      <c r="L27" s="258" t="s">
        <v>37</v>
      </c>
      <c r="M27" s="257">
        <v>0</v>
      </c>
      <c r="N27" s="257">
        <v>2</v>
      </c>
      <c r="O27" s="257">
        <v>9</v>
      </c>
      <c r="P27" s="254" t="s">
        <v>86</v>
      </c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7" t="s">
        <v>58</v>
      </c>
      <c r="AD27" s="257" t="s">
        <v>228</v>
      </c>
      <c r="AE27" s="257" t="s">
        <v>251</v>
      </c>
      <c r="AF27" s="257" t="s">
        <v>104</v>
      </c>
      <c r="AG27" s="250"/>
      <c r="AH27" s="250"/>
      <c r="AI27" s="250"/>
      <c r="AJ27" s="250"/>
    </row>
    <row r="28" spans="1:36" x14ac:dyDescent="0.3">
      <c r="A28" s="252" t="s">
        <v>205</v>
      </c>
      <c r="B28" s="253">
        <v>46004</v>
      </c>
      <c r="C28" s="254" t="s">
        <v>29</v>
      </c>
      <c r="D28" s="255" t="s">
        <v>167</v>
      </c>
      <c r="E28" s="254" t="s">
        <v>1</v>
      </c>
      <c r="F28" s="254" t="s">
        <v>141</v>
      </c>
      <c r="G28" s="256">
        <v>0.2011</v>
      </c>
      <c r="H28" s="257">
        <v>179</v>
      </c>
      <c r="I28" s="257">
        <v>36</v>
      </c>
      <c r="J28" s="257">
        <v>0</v>
      </c>
      <c r="K28" s="254" t="s">
        <v>142</v>
      </c>
      <c r="L28" s="258" t="s">
        <v>37</v>
      </c>
      <c r="M28" s="257">
        <v>0</v>
      </c>
      <c r="N28" s="257">
        <v>1</v>
      </c>
      <c r="O28" s="257">
        <v>7</v>
      </c>
      <c r="P28" s="254" t="s">
        <v>88</v>
      </c>
      <c r="Q28" s="250"/>
      <c r="R28" s="250"/>
      <c r="S28" s="250"/>
      <c r="T28" s="250"/>
      <c r="U28" s="250"/>
      <c r="V28" s="257" t="s">
        <v>252</v>
      </c>
      <c r="W28" s="250"/>
      <c r="X28" s="250"/>
      <c r="Y28" s="250"/>
      <c r="Z28" s="250"/>
      <c r="AA28" s="257" t="s">
        <v>175</v>
      </c>
      <c r="AB28" s="257" t="s">
        <v>69</v>
      </c>
      <c r="AC28" s="257" t="s">
        <v>155</v>
      </c>
      <c r="AD28" s="257" t="s">
        <v>99</v>
      </c>
      <c r="AE28" s="257" t="s">
        <v>84</v>
      </c>
      <c r="AF28" s="250"/>
      <c r="AG28" s="250"/>
      <c r="AH28" s="250"/>
      <c r="AI28" s="250"/>
      <c r="AJ28" s="250"/>
    </row>
    <row r="29" spans="1:36" x14ac:dyDescent="0.3">
      <c r="A29" s="252" t="s">
        <v>139</v>
      </c>
      <c r="B29" s="253">
        <v>46005</v>
      </c>
      <c r="C29" s="254" t="s">
        <v>29</v>
      </c>
      <c r="D29" s="255" t="s">
        <v>140</v>
      </c>
      <c r="E29" s="254" t="s">
        <v>1</v>
      </c>
      <c r="F29" s="254" t="s">
        <v>141</v>
      </c>
      <c r="G29" s="256">
        <v>0.10059999999999999</v>
      </c>
      <c r="H29" s="257">
        <v>179</v>
      </c>
      <c r="I29" s="257">
        <v>18</v>
      </c>
      <c r="J29" s="257">
        <v>0</v>
      </c>
      <c r="K29" s="254" t="s">
        <v>142</v>
      </c>
      <c r="L29" s="258" t="s">
        <v>90</v>
      </c>
      <c r="M29" s="257">
        <v>0</v>
      </c>
      <c r="N29" s="257">
        <v>0</v>
      </c>
      <c r="O29" s="257">
        <v>1</v>
      </c>
      <c r="P29" s="254" t="s">
        <v>71</v>
      </c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7" t="s">
        <v>245</v>
      </c>
      <c r="AD29" s="257" t="s">
        <v>99</v>
      </c>
      <c r="AE29" s="257" t="s">
        <v>108</v>
      </c>
      <c r="AF29" s="250"/>
      <c r="AG29" s="250"/>
      <c r="AH29" s="250"/>
      <c r="AI29" s="250"/>
      <c r="AJ29" s="250"/>
    </row>
    <row r="30" spans="1:36" x14ac:dyDescent="0.3">
      <c r="A30" s="252" t="s">
        <v>149</v>
      </c>
      <c r="B30" s="253">
        <v>46006</v>
      </c>
      <c r="C30" s="254" t="s">
        <v>35</v>
      </c>
      <c r="D30" s="255" t="s">
        <v>150</v>
      </c>
      <c r="E30" s="254" t="s">
        <v>1</v>
      </c>
      <c r="F30" s="254" t="s">
        <v>141</v>
      </c>
      <c r="G30" s="256">
        <v>0.1173</v>
      </c>
      <c r="H30" s="257">
        <v>179</v>
      </c>
      <c r="I30" s="257">
        <v>21</v>
      </c>
      <c r="J30" s="257">
        <v>0</v>
      </c>
      <c r="K30" s="254" t="s">
        <v>142</v>
      </c>
      <c r="L30" s="258" t="s">
        <v>37</v>
      </c>
      <c r="M30" s="257">
        <v>0</v>
      </c>
      <c r="N30" s="257">
        <v>1</v>
      </c>
      <c r="O30" s="257">
        <v>6</v>
      </c>
      <c r="P30" s="254" t="s">
        <v>73</v>
      </c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7" t="s">
        <v>58</v>
      </c>
      <c r="AD30" s="257" t="s">
        <v>184</v>
      </c>
      <c r="AE30" s="257" t="s">
        <v>101</v>
      </c>
      <c r="AF30" s="250"/>
      <c r="AG30" s="250"/>
      <c r="AH30" s="250"/>
      <c r="AI30" s="250"/>
      <c r="AJ30" s="250"/>
    </row>
    <row r="31" spans="1:36" x14ac:dyDescent="0.3">
      <c r="A31" s="252" t="s">
        <v>157</v>
      </c>
      <c r="B31" s="253">
        <v>46007</v>
      </c>
      <c r="C31" s="254" t="s">
        <v>35</v>
      </c>
      <c r="D31" s="255" t="s">
        <v>158</v>
      </c>
      <c r="E31" s="254" t="s">
        <v>1</v>
      </c>
      <c r="F31" s="254" t="s">
        <v>141</v>
      </c>
      <c r="G31" s="256">
        <v>4.4699999999999997E-2</v>
      </c>
      <c r="H31" s="257">
        <v>179</v>
      </c>
      <c r="I31" s="257">
        <v>8</v>
      </c>
      <c r="J31" s="257">
        <v>0</v>
      </c>
      <c r="K31" s="254" t="s">
        <v>142</v>
      </c>
      <c r="L31" s="258" t="s">
        <v>32</v>
      </c>
      <c r="M31" s="257">
        <v>0</v>
      </c>
      <c r="N31" s="257">
        <v>0</v>
      </c>
      <c r="O31" s="257">
        <v>3</v>
      </c>
      <c r="P31" s="254" t="s">
        <v>73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7" t="s">
        <v>58</v>
      </c>
      <c r="AD31" s="250"/>
      <c r="AE31" s="257" t="s">
        <v>108</v>
      </c>
      <c r="AF31" s="250"/>
      <c r="AG31" s="250"/>
      <c r="AH31" s="250"/>
      <c r="AI31" s="250"/>
      <c r="AJ31" s="250"/>
    </row>
    <row r="32" spans="1:36" x14ac:dyDescent="0.3">
      <c r="A32" s="252" t="s">
        <v>166</v>
      </c>
      <c r="B32" s="253">
        <v>46008</v>
      </c>
      <c r="C32" s="254" t="s">
        <v>29</v>
      </c>
      <c r="D32" s="255" t="s">
        <v>167</v>
      </c>
      <c r="E32" s="254" t="s">
        <v>1</v>
      </c>
      <c r="F32" s="254" t="s">
        <v>141</v>
      </c>
      <c r="G32" s="256">
        <v>1.12E-2</v>
      </c>
      <c r="H32" s="257">
        <v>179</v>
      </c>
      <c r="I32" s="257">
        <v>2</v>
      </c>
      <c r="J32" s="257">
        <v>0</v>
      </c>
      <c r="K32" s="254" t="s">
        <v>142</v>
      </c>
      <c r="L32" s="258" t="s">
        <v>94</v>
      </c>
      <c r="M32" s="257">
        <v>0</v>
      </c>
      <c r="N32" s="257">
        <v>0</v>
      </c>
      <c r="O32" s="257">
        <v>0</v>
      </c>
      <c r="P32" s="254" t="s">
        <v>78</v>
      </c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7" t="s">
        <v>95</v>
      </c>
      <c r="AF32" s="250"/>
      <c r="AG32" s="250"/>
      <c r="AH32" s="250"/>
      <c r="AI32" s="250"/>
      <c r="AJ32" s="250"/>
    </row>
    <row r="33" spans="1:36" x14ac:dyDescent="0.3">
      <c r="A33" s="252" t="s">
        <v>166</v>
      </c>
      <c r="B33" s="253">
        <v>46008</v>
      </c>
      <c r="C33" s="254" t="s">
        <v>35</v>
      </c>
      <c r="D33" s="255" t="s">
        <v>150</v>
      </c>
      <c r="E33" s="254" t="s">
        <v>1</v>
      </c>
      <c r="F33" s="254" t="s">
        <v>141</v>
      </c>
      <c r="G33" s="256">
        <v>2.7900000000000001E-2</v>
      </c>
      <c r="H33" s="257">
        <v>179</v>
      </c>
      <c r="I33" s="257">
        <v>5</v>
      </c>
      <c r="J33" s="257">
        <v>0</v>
      </c>
      <c r="K33" s="254" t="s">
        <v>142</v>
      </c>
      <c r="L33" s="258" t="s">
        <v>32</v>
      </c>
      <c r="M33" s="257">
        <v>0</v>
      </c>
      <c r="N33" s="257">
        <v>0</v>
      </c>
      <c r="O33" s="257">
        <v>3</v>
      </c>
      <c r="P33" s="254" t="s">
        <v>78</v>
      </c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7" t="s">
        <v>95</v>
      </c>
      <c r="AF33" s="257" t="s">
        <v>80</v>
      </c>
      <c r="AG33" s="250"/>
      <c r="AH33" s="250"/>
      <c r="AI33" s="250"/>
      <c r="AJ33" s="250"/>
    </row>
    <row r="34" spans="1:36" x14ac:dyDescent="0.3">
      <c r="A34" s="252" t="s">
        <v>179</v>
      </c>
      <c r="B34" s="253">
        <v>46009</v>
      </c>
      <c r="C34" s="254" t="s">
        <v>29</v>
      </c>
      <c r="D34" s="255" t="s">
        <v>167</v>
      </c>
      <c r="E34" s="254" t="s">
        <v>1</v>
      </c>
      <c r="F34" s="254" t="s">
        <v>141</v>
      </c>
      <c r="G34" s="256">
        <v>4.4699999999999997E-2</v>
      </c>
      <c r="H34" s="257">
        <v>179</v>
      </c>
      <c r="I34" s="257">
        <v>8</v>
      </c>
      <c r="J34" s="257">
        <v>0</v>
      </c>
      <c r="K34" s="254" t="s">
        <v>142</v>
      </c>
      <c r="L34" s="258" t="s">
        <v>37</v>
      </c>
      <c r="M34" s="257">
        <v>0</v>
      </c>
      <c r="N34" s="257">
        <v>5</v>
      </c>
      <c r="O34" s="257">
        <v>7</v>
      </c>
      <c r="P34" s="254" t="s">
        <v>78</v>
      </c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7" t="s">
        <v>95</v>
      </c>
      <c r="AF34" s="257" t="s">
        <v>193</v>
      </c>
      <c r="AG34" s="250"/>
      <c r="AH34" s="250"/>
      <c r="AI34" s="250"/>
      <c r="AJ34" s="250"/>
    </row>
    <row r="35" spans="1:36" x14ac:dyDescent="0.3">
      <c r="A35" s="252" t="s">
        <v>185</v>
      </c>
      <c r="B35" s="253">
        <v>46010</v>
      </c>
      <c r="C35" s="254" t="s">
        <v>29</v>
      </c>
      <c r="D35" s="255" t="s">
        <v>186</v>
      </c>
      <c r="E35" s="254" t="s">
        <v>1</v>
      </c>
      <c r="F35" s="254" t="s">
        <v>141</v>
      </c>
      <c r="G35" s="256">
        <v>2.7900000000000001E-2</v>
      </c>
      <c r="H35" s="257">
        <v>179</v>
      </c>
      <c r="I35" s="257">
        <v>5</v>
      </c>
      <c r="J35" s="257">
        <v>0</v>
      </c>
      <c r="K35" s="254" t="s">
        <v>142</v>
      </c>
      <c r="L35" s="258" t="s">
        <v>47</v>
      </c>
      <c r="M35" s="257">
        <v>0</v>
      </c>
      <c r="N35" s="257">
        <v>0</v>
      </c>
      <c r="O35" s="257">
        <v>2</v>
      </c>
      <c r="P35" s="254" t="s">
        <v>73</v>
      </c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7" t="s">
        <v>253</v>
      </c>
      <c r="AF35" s="257" t="s">
        <v>104</v>
      </c>
      <c r="AG35" s="250"/>
      <c r="AH35" s="250"/>
      <c r="AI35" s="250"/>
      <c r="AJ35" s="250"/>
    </row>
    <row r="36" spans="1:36" x14ac:dyDescent="0.3">
      <c r="A36" s="252" t="s">
        <v>185</v>
      </c>
      <c r="B36" s="253">
        <v>46010</v>
      </c>
      <c r="C36" s="254" t="s">
        <v>35</v>
      </c>
      <c r="D36" s="255" t="s">
        <v>150</v>
      </c>
      <c r="E36" s="254" t="s">
        <v>1</v>
      </c>
      <c r="F36" s="254" t="s">
        <v>141</v>
      </c>
      <c r="G36" s="256">
        <v>5.0299999999999997E-2</v>
      </c>
      <c r="H36" s="257">
        <v>179</v>
      </c>
      <c r="I36" s="257">
        <v>9</v>
      </c>
      <c r="J36" s="257">
        <v>0</v>
      </c>
      <c r="K36" s="254" t="s">
        <v>142</v>
      </c>
      <c r="L36" s="258" t="s">
        <v>37</v>
      </c>
      <c r="M36" s="257">
        <v>0</v>
      </c>
      <c r="N36" s="257">
        <v>1</v>
      </c>
      <c r="O36" s="257">
        <v>3</v>
      </c>
      <c r="P36" s="254" t="s">
        <v>73</v>
      </c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7" t="s">
        <v>249</v>
      </c>
      <c r="AE36" s="257" t="s">
        <v>156</v>
      </c>
      <c r="AF36" s="250"/>
      <c r="AG36" s="250"/>
      <c r="AH36" s="250"/>
      <c r="AI36" s="250"/>
      <c r="AJ36" s="250"/>
    </row>
    <row r="37" spans="1:36" x14ac:dyDescent="0.3">
      <c r="A37" s="252" t="s">
        <v>205</v>
      </c>
      <c r="B37" s="253">
        <v>46011</v>
      </c>
      <c r="C37" s="254" t="s">
        <v>29</v>
      </c>
      <c r="D37" s="255" t="s">
        <v>167</v>
      </c>
      <c r="E37" s="254" t="s">
        <v>1</v>
      </c>
      <c r="F37" s="254" t="s">
        <v>141</v>
      </c>
      <c r="G37" s="256">
        <v>4.4699999999999997E-2</v>
      </c>
      <c r="H37" s="257">
        <v>179</v>
      </c>
      <c r="I37" s="257">
        <v>8</v>
      </c>
      <c r="J37" s="257">
        <v>0</v>
      </c>
      <c r="K37" s="254" t="s">
        <v>142</v>
      </c>
      <c r="L37" s="258" t="s">
        <v>37</v>
      </c>
      <c r="M37" s="257">
        <v>0</v>
      </c>
      <c r="N37" s="257">
        <v>1</v>
      </c>
      <c r="O37" s="257">
        <v>3</v>
      </c>
      <c r="P37" s="254" t="s">
        <v>99</v>
      </c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7" t="s">
        <v>58</v>
      </c>
      <c r="AD37" s="250"/>
      <c r="AE37" s="257" t="s">
        <v>108</v>
      </c>
      <c r="AF37" s="250"/>
      <c r="AG37" s="250"/>
      <c r="AH37" s="250"/>
      <c r="AI37" s="250"/>
      <c r="AJ37" s="250"/>
    </row>
    <row r="38" spans="1:36" x14ac:dyDescent="0.3">
      <c r="A38" s="252" t="s">
        <v>139</v>
      </c>
      <c r="B38" s="253">
        <v>46012</v>
      </c>
      <c r="C38" s="254" t="s">
        <v>29</v>
      </c>
      <c r="D38" s="255" t="s">
        <v>140</v>
      </c>
      <c r="E38" s="254" t="s">
        <v>1</v>
      </c>
      <c r="F38" s="254" t="s">
        <v>141</v>
      </c>
      <c r="G38" s="256">
        <v>2.7900000000000001E-2</v>
      </c>
      <c r="H38" s="257">
        <v>179</v>
      </c>
      <c r="I38" s="257">
        <v>5</v>
      </c>
      <c r="J38" s="257">
        <v>0</v>
      </c>
      <c r="K38" s="254" t="s">
        <v>142</v>
      </c>
      <c r="L38" s="258" t="s">
        <v>37</v>
      </c>
      <c r="M38" s="257">
        <v>0</v>
      </c>
      <c r="N38" s="257">
        <v>1</v>
      </c>
      <c r="O38" s="257">
        <v>5</v>
      </c>
      <c r="P38" s="254" t="s">
        <v>73</v>
      </c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7" t="s">
        <v>100</v>
      </c>
      <c r="AF38" s="250"/>
      <c r="AG38" s="250"/>
      <c r="AH38" s="250"/>
      <c r="AI38" s="250"/>
      <c r="AJ38" s="250"/>
    </row>
    <row r="39" spans="1:36" x14ac:dyDescent="0.3">
      <c r="A39" s="252" t="s">
        <v>149</v>
      </c>
      <c r="B39" s="253">
        <v>46013</v>
      </c>
      <c r="C39" s="254" t="s">
        <v>35</v>
      </c>
      <c r="D39" s="255" t="s">
        <v>150</v>
      </c>
      <c r="E39" s="254" t="s">
        <v>1</v>
      </c>
      <c r="F39" s="254" t="s">
        <v>141</v>
      </c>
      <c r="G39" s="256">
        <v>5.5899999999999998E-2</v>
      </c>
      <c r="H39" s="257">
        <v>179</v>
      </c>
      <c r="I39" s="257">
        <v>10</v>
      </c>
      <c r="J39" s="257">
        <v>0</v>
      </c>
      <c r="K39" s="254" t="s">
        <v>142</v>
      </c>
      <c r="L39" s="258" t="s">
        <v>47</v>
      </c>
      <c r="M39" s="257">
        <v>0</v>
      </c>
      <c r="N39" s="257">
        <v>0</v>
      </c>
      <c r="O39" s="257">
        <v>4</v>
      </c>
      <c r="P39" s="254" t="s">
        <v>73</v>
      </c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7" t="s">
        <v>101</v>
      </c>
      <c r="AF39" s="250"/>
      <c r="AG39" s="250"/>
      <c r="AH39" s="250"/>
      <c r="AI39" s="250"/>
      <c r="AJ39" s="250"/>
    </row>
    <row r="40" spans="1:36" x14ac:dyDescent="0.3">
      <c r="A40" s="252" t="s">
        <v>157</v>
      </c>
      <c r="B40" s="253">
        <v>46014</v>
      </c>
      <c r="C40" s="254" t="s">
        <v>35</v>
      </c>
      <c r="D40" s="255" t="s">
        <v>158</v>
      </c>
      <c r="E40" s="254" t="s">
        <v>1</v>
      </c>
      <c r="F40" s="254" t="s">
        <v>141</v>
      </c>
      <c r="G40" s="256">
        <v>4.4699999999999997E-2</v>
      </c>
      <c r="H40" s="257">
        <v>179</v>
      </c>
      <c r="I40" s="257">
        <v>8</v>
      </c>
      <c r="J40" s="257">
        <v>0</v>
      </c>
      <c r="K40" s="254" t="s">
        <v>142</v>
      </c>
      <c r="L40" s="258" t="s">
        <v>102</v>
      </c>
      <c r="M40" s="257">
        <v>0</v>
      </c>
      <c r="N40" s="257">
        <v>0</v>
      </c>
      <c r="O40" s="257">
        <v>6</v>
      </c>
      <c r="P40" s="254" t="s">
        <v>78</v>
      </c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7" t="s">
        <v>249</v>
      </c>
      <c r="AE40" s="257" t="s">
        <v>254</v>
      </c>
      <c r="AF40" s="257" t="s">
        <v>193</v>
      </c>
      <c r="AG40" s="250"/>
      <c r="AH40" s="250"/>
      <c r="AI40" s="250"/>
      <c r="AJ40" s="250"/>
    </row>
    <row r="41" spans="1:36" x14ac:dyDescent="0.3">
      <c r="A41" s="252" t="s">
        <v>166</v>
      </c>
      <c r="B41" s="253">
        <v>46015</v>
      </c>
      <c r="C41" s="254" t="s">
        <v>29</v>
      </c>
      <c r="D41" s="255" t="s">
        <v>167</v>
      </c>
      <c r="E41" s="254" t="s">
        <v>1</v>
      </c>
      <c r="F41" s="254" t="s">
        <v>141</v>
      </c>
      <c r="G41" s="256">
        <v>5.5999999999999999E-3</v>
      </c>
      <c r="H41" s="257">
        <v>179</v>
      </c>
      <c r="I41" s="257">
        <v>1</v>
      </c>
      <c r="J41" s="257">
        <v>0</v>
      </c>
      <c r="K41" s="254" t="s">
        <v>142</v>
      </c>
      <c r="L41" s="258" t="s">
        <v>32</v>
      </c>
      <c r="M41" s="257">
        <v>0</v>
      </c>
      <c r="N41" s="257">
        <v>0</v>
      </c>
      <c r="O41" s="257">
        <v>1</v>
      </c>
      <c r="P41" s="254" t="s">
        <v>78</v>
      </c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7" t="s">
        <v>104</v>
      </c>
      <c r="AG41" s="250"/>
      <c r="AH41" s="250"/>
      <c r="AI41" s="250"/>
      <c r="AJ41" s="250"/>
    </row>
    <row r="42" spans="1:36" x14ac:dyDescent="0.3">
      <c r="A42" s="252" t="s">
        <v>166</v>
      </c>
      <c r="B42" s="253">
        <v>46015</v>
      </c>
      <c r="C42" s="254" t="s">
        <v>35</v>
      </c>
      <c r="D42" s="255" t="s">
        <v>150</v>
      </c>
      <c r="E42" s="254" t="s">
        <v>1</v>
      </c>
      <c r="F42" s="254" t="s">
        <v>141</v>
      </c>
      <c r="G42" s="256">
        <v>5.5899999999999998E-2</v>
      </c>
      <c r="H42" s="257">
        <v>179</v>
      </c>
      <c r="I42" s="257">
        <v>10</v>
      </c>
      <c r="J42" s="257">
        <v>0</v>
      </c>
      <c r="K42" s="254" t="s">
        <v>142</v>
      </c>
      <c r="L42" s="258" t="s">
        <v>105</v>
      </c>
      <c r="M42" s="257">
        <v>0</v>
      </c>
      <c r="N42" s="257">
        <v>0</v>
      </c>
      <c r="O42" s="257">
        <v>0</v>
      </c>
      <c r="P42" s="254" t="s">
        <v>99</v>
      </c>
      <c r="Q42" s="250"/>
      <c r="R42" s="250"/>
      <c r="S42" s="250"/>
      <c r="T42" s="250"/>
      <c r="U42" s="250"/>
      <c r="V42" s="250"/>
      <c r="W42" s="250"/>
      <c r="X42" s="250"/>
      <c r="Y42" s="250"/>
      <c r="Z42" s="257" t="s">
        <v>233</v>
      </c>
      <c r="AA42" s="250"/>
      <c r="AB42" s="250"/>
      <c r="AC42" s="257" t="s">
        <v>58</v>
      </c>
      <c r="AD42" s="257" t="s">
        <v>255</v>
      </c>
      <c r="AE42" s="257" t="s">
        <v>224</v>
      </c>
      <c r="AF42" s="250"/>
      <c r="AG42" s="250"/>
      <c r="AH42" s="250"/>
      <c r="AI42" s="250"/>
      <c r="AJ42" s="250"/>
    </row>
    <row r="43" spans="1:36" x14ac:dyDescent="0.3">
      <c r="A43" s="252" t="s">
        <v>179</v>
      </c>
      <c r="B43" s="253">
        <v>46016</v>
      </c>
      <c r="C43" s="254" t="s">
        <v>29</v>
      </c>
      <c r="D43" s="255" t="s">
        <v>167</v>
      </c>
      <c r="E43" s="254" t="s">
        <v>1</v>
      </c>
      <c r="F43" s="254" t="s">
        <v>141</v>
      </c>
      <c r="G43" s="256">
        <v>3.3500000000000002E-2</v>
      </c>
      <c r="H43" s="257">
        <v>179</v>
      </c>
      <c r="I43" s="257">
        <v>6</v>
      </c>
      <c r="J43" s="257">
        <v>0</v>
      </c>
      <c r="K43" s="254" t="s">
        <v>142</v>
      </c>
      <c r="L43" s="258" t="s">
        <v>82</v>
      </c>
      <c r="M43" s="257">
        <v>0</v>
      </c>
      <c r="N43" s="257">
        <v>0</v>
      </c>
      <c r="O43" s="257">
        <v>1</v>
      </c>
      <c r="P43" s="254" t="s">
        <v>73</v>
      </c>
      <c r="Q43" s="250"/>
      <c r="R43" s="250"/>
      <c r="S43" s="250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7" t="s">
        <v>84</v>
      </c>
      <c r="AF43" s="250"/>
      <c r="AG43" s="250"/>
      <c r="AH43" s="250"/>
      <c r="AI43" s="250"/>
      <c r="AJ43" s="250"/>
    </row>
    <row r="44" spans="1:36" x14ac:dyDescent="0.3">
      <c r="A44" s="252" t="s">
        <v>185</v>
      </c>
      <c r="B44" s="253">
        <v>46017</v>
      </c>
      <c r="C44" s="254" t="s">
        <v>29</v>
      </c>
      <c r="D44" s="255" t="s">
        <v>186</v>
      </c>
      <c r="E44" s="254" t="s">
        <v>1</v>
      </c>
      <c r="F44" s="254" t="s">
        <v>141</v>
      </c>
      <c r="G44" s="256">
        <v>3.9100000000000003E-2</v>
      </c>
      <c r="H44" s="257">
        <v>179</v>
      </c>
      <c r="I44" s="257">
        <v>7</v>
      </c>
      <c r="J44" s="257">
        <v>0</v>
      </c>
      <c r="K44" s="254" t="s">
        <v>142</v>
      </c>
      <c r="L44" s="258" t="s">
        <v>107</v>
      </c>
      <c r="M44" s="257">
        <v>0</v>
      </c>
      <c r="N44" s="257">
        <v>0</v>
      </c>
      <c r="O44" s="257">
        <v>1</v>
      </c>
      <c r="P44" s="254" t="s">
        <v>99</v>
      </c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0"/>
      <c r="AC44" s="250"/>
      <c r="AD44" s="250"/>
      <c r="AE44" s="257" t="s">
        <v>108</v>
      </c>
      <c r="AF44" s="250"/>
      <c r="AG44" s="250"/>
      <c r="AH44" s="250"/>
      <c r="AI44" s="250"/>
      <c r="AJ44" s="250"/>
    </row>
    <row r="45" spans="1:36" x14ac:dyDescent="0.3">
      <c r="A45" s="252" t="s">
        <v>185</v>
      </c>
      <c r="B45" s="253">
        <v>46017</v>
      </c>
      <c r="C45" s="254" t="s">
        <v>35</v>
      </c>
      <c r="D45" s="255" t="s">
        <v>150</v>
      </c>
      <c r="E45" s="254" t="s">
        <v>1</v>
      </c>
      <c r="F45" s="254" t="s">
        <v>141</v>
      </c>
      <c r="G45" s="256">
        <v>5.0299999999999997E-2</v>
      </c>
      <c r="H45" s="257">
        <v>179</v>
      </c>
      <c r="I45" s="257">
        <v>9</v>
      </c>
      <c r="J45" s="257">
        <v>0</v>
      </c>
      <c r="K45" s="254" t="s">
        <v>142</v>
      </c>
      <c r="L45" s="258" t="s">
        <v>47</v>
      </c>
      <c r="M45" s="257">
        <v>0</v>
      </c>
      <c r="N45" s="257">
        <v>0</v>
      </c>
      <c r="O45" s="257">
        <v>1</v>
      </c>
      <c r="P45" s="254" t="s">
        <v>99</v>
      </c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7" t="s">
        <v>256</v>
      </c>
      <c r="AE45" s="257" t="s">
        <v>108</v>
      </c>
      <c r="AF45" s="250"/>
      <c r="AG45" s="250"/>
      <c r="AH45" s="250"/>
      <c r="AI45" s="250"/>
      <c r="AJ45" s="250"/>
    </row>
    <row r="46" spans="1:36" ht="21" x14ac:dyDescent="0.3">
      <c r="A46" s="259" t="s">
        <v>900</v>
      </c>
      <c r="B46" s="260"/>
      <c r="C46" s="259">
        <f>SUBTOTAL(103,CAI_RUH_LF_LEGACY[Flt])</f>
        <v>44</v>
      </c>
      <c r="D46" s="259"/>
      <c r="E46" s="259">
        <f>SUBTOTAL(103,CAI_RUH_LF_LEGACY[Brd-Off])</f>
        <v>44</v>
      </c>
      <c r="F46" s="259"/>
      <c r="G46" s="261">
        <f>SUBTOTAL(101,CAI_RUH_LF_LEGACY[LF%])</f>
        <v>0.26282272727272749</v>
      </c>
      <c r="H46" s="262">
        <f>SUBTOTAL(109,CAI_RUH_LF_LEGACY[CAP])</f>
        <v>7876</v>
      </c>
      <c r="I46" s="262">
        <f>SUBTOTAL(109,CAI_RUH_LF_LEGACY[BKG(Y)])</f>
        <v>2070</v>
      </c>
      <c r="J46" s="262">
        <f>SUBTOTAL(109,CAI_RUH_LF_LEGACY[GRP(Y)])</f>
        <v>0</v>
      </c>
      <c r="K46" s="259"/>
      <c r="L46" s="260"/>
      <c r="M46" s="262">
        <f>SUBTOTAL(109,CAI_RUH_LF_LEGACY[TO-DAY])</f>
        <v>3</v>
      </c>
      <c r="N46" s="262">
        <f>SUBTOTAL(109,CAI_RUH_LF_LEGACY[Y-DAY])</f>
        <v>195</v>
      </c>
      <c r="O46" s="262">
        <f>SUBTOTAL(109,CAI_RUH_LF_LEGACY[WEEKLY])</f>
        <v>799</v>
      </c>
      <c r="P46" s="263"/>
      <c r="Q46" s="262">
        <f>SUBTOTAL(109,CAI_RUH_LF_LEGACY[Y])</f>
        <v>0</v>
      </c>
      <c r="R46" s="262">
        <f>SUBTOTAL(109,CAI_RUH_LF_LEGACY[B])</f>
        <v>0</v>
      </c>
      <c r="S46" s="262">
        <f>SUBTOTAL(109,CAI_RUH_LF_LEGACY[M])</f>
        <v>0</v>
      </c>
      <c r="T46" s="262">
        <f>SUBTOTAL(109,CAI_RUH_LF_LEGACY[H])</f>
        <v>0</v>
      </c>
      <c r="U46" s="262">
        <f>SUBTOTAL(109,CAI_RUH_LF_LEGACY[Q])</f>
        <v>0</v>
      </c>
      <c r="V46" s="262">
        <f>SUBTOTAL(109,CAI_RUH_LF_LEGACY[K])</f>
        <v>0</v>
      </c>
      <c r="W46" s="262">
        <f>SUBTOTAL(109,CAI_RUH_LF_LEGACY[V])</f>
        <v>0</v>
      </c>
      <c r="X46" s="262">
        <f>SUBTOTAL(109,CAI_RUH_LF_LEGACY[L])</f>
        <v>0</v>
      </c>
      <c r="Y46" s="262">
        <f>SUBTOTAL(109,CAI_RUH_LF_LEGACY[G])</f>
        <v>0</v>
      </c>
      <c r="Z46" s="262">
        <f>SUBTOTAL(109,CAI_RUH_LF_LEGACY[S])</f>
        <v>0</v>
      </c>
      <c r="AA46" s="262">
        <f>SUBTOTAL(109,CAI_RUH_LF_LEGACY[W])</f>
        <v>0</v>
      </c>
      <c r="AB46" s="262">
        <f>SUBTOTAL(109,CAI_RUH_LF_LEGACY[T])</f>
        <v>0</v>
      </c>
      <c r="AC46" s="262">
        <f>SUBTOTAL(109,CAI_RUH_LF_LEGACY[X])</f>
        <v>0</v>
      </c>
      <c r="AD46" s="262">
        <f>SUBTOTAL(109,CAI_RUH_LF_LEGACY[U])</f>
        <v>0</v>
      </c>
      <c r="AE46" s="262">
        <f>SUBTOTAL(109,CAI_RUH_LF_LEGACY[O])</f>
        <v>0</v>
      </c>
      <c r="AF46" s="262">
        <f>SUBTOTAL(109,CAI_RUH_LF_LEGACY[I])</f>
        <v>0</v>
      </c>
      <c r="AG46" s="262">
        <f>SUBTOTAL(109,CAI_RUH_LF_LEGACY[E])</f>
        <v>0</v>
      </c>
      <c r="AH46" s="262">
        <f>SUBTOTAL(109,CAI_RUH_LF_LEGACY[A])</f>
        <v>0</v>
      </c>
      <c r="AI46" s="262">
        <f>SUBTOTAL(109,CAI_RUH_LF_LEGACY[P])</f>
        <v>0</v>
      </c>
      <c r="AJ46" s="262">
        <f>SUBTOTAL(103,CAI_RUH_LF_LEGACY[N])</f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N7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66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86.3320312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257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45984.228698768413</v>
      </c>
      <c r="H2" s="235"/>
      <c r="I2" s="235"/>
      <c r="J2" s="235"/>
      <c r="K2" s="245">
        <v>45984.228698768777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45986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258</v>
      </c>
      <c r="C6" s="27">
        <v>6.9444444444444434E-2</v>
      </c>
      <c r="D6" s="26" t="s">
        <v>30</v>
      </c>
      <c r="E6" s="28"/>
      <c r="F6" s="26" t="s">
        <v>36</v>
      </c>
      <c r="G6" s="237"/>
      <c r="H6" s="29" t="s">
        <v>258</v>
      </c>
      <c r="I6" s="30">
        <v>0.69440000000000002</v>
      </c>
      <c r="J6" s="31">
        <v>125</v>
      </c>
      <c r="K6" s="32" t="s">
        <v>37</v>
      </c>
      <c r="L6" s="31">
        <v>80</v>
      </c>
      <c r="M6" s="31">
        <v>0</v>
      </c>
      <c r="N6" s="31">
        <v>14</v>
      </c>
      <c r="O6" s="33" t="s">
        <v>259</v>
      </c>
      <c r="P6" s="34">
        <v>6.9444444444444434E-2</v>
      </c>
      <c r="Q6" s="31">
        <v>180</v>
      </c>
      <c r="R6" s="35" t="s">
        <v>260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45988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" t="s">
        <v>28</v>
      </c>
      <c r="B10" s="8" t="s">
        <v>258</v>
      </c>
      <c r="C10" s="9">
        <v>0.72222222222222221</v>
      </c>
      <c r="D10" s="8" t="s">
        <v>30</v>
      </c>
      <c r="E10" s="10"/>
      <c r="F10" s="8" t="s">
        <v>36</v>
      </c>
      <c r="G10" s="232"/>
      <c r="H10" s="11" t="s">
        <v>258</v>
      </c>
      <c r="I10" s="12">
        <v>0.7833</v>
      </c>
      <c r="J10" s="13">
        <v>141</v>
      </c>
      <c r="K10" s="14" t="s">
        <v>37</v>
      </c>
      <c r="L10" s="13">
        <v>19</v>
      </c>
      <c r="M10" s="13">
        <v>0</v>
      </c>
      <c r="N10" s="13">
        <v>3</v>
      </c>
      <c r="O10" s="15" t="s">
        <v>261</v>
      </c>
      <c r="P10" s="16">
        <v>0.72222222222222221</v>
      </c>
      <c r="Q10" s="13">
        <v>180</v>
      </c>
      <c r="R10" s="17" t="s">
        <v>262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45989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56" t="s">
        <v>28</v>
      </c>
      <c r="B14" s="56" t="s">
        <v>258</v>
      </c>
      <c r="C14" s="57">
        <v>0.38194444444444442</v>
      </c>
      <c r="D14" s="56" t="s">
        <v>30</v>
      </c>
      <c r="E14" s="58"/>
      <c r="F14" s="56" t="s">
        <v>36</v>
      </c>
      <c r="G14" s="232"/>
      <c r="H14" s="59" t="s">
        <v>258</v>
      </c>
      <c r="I14" s="60">
        <v>0.75560000000000005</v>
      </c>
      <c r="J14" s="61">
        <v>136</v>
      </c>
      <c r="K14" s="62" t="s">
        <v>75</v>
      </c>
      <c r="L14" s="61">
        <v>19</v>
      </c>
      <c r="M14" s="61">
        <v>2</v>
      </c>
      <c r="N14" s="61">
        <v>5</v>
      </c>
      <c r="O14" s="63" t="s">
        <v>263</v>
      </c>
      <c r="P14" s="64">
        <v>0.38194444444444442</v>
      </c>
      <c r="Q14" s="61">
        <v>180</v>
      </c>
      <c r="R14" s="65" t="s">
        <v>264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45990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76" t="s">
        <v>28</v>
      </c>
      <c r="B18" s="76" t="s">
        <v>258</v>
      </c>
      <c r="C18" s="77">
        <v>0.72222222222222221</v>
      </c>
      <c r="D18" s="76" t="s">
        <v>30</v>
      </c>
      <c r="E18" s="78"/>
      <c r="F18" s="76" t="s">
        <v>36</v>
      </c>
      <c r="G18" s="232"/>
      <c r="H18" s="49" t="s">
        <v>258</v>
      </c>
      <c r="I18" s="50">
        <v>0.69440000000000002</v>
      </c>
      <c r="J18" s="51">
        <v>125</v>
      </c>
      <c r="K18" s="52" t="s">
        <v>32</v>
      </c>
      <c r="L18" s="51">
        <v>14</v>
      </c>
      <c r="M18" s="51">
        <v>0</v>
      </c>
      <c r="N18" s="51">
        <v>0</v>
      </c>
      <c r="O18" s="53" t="s">
        <v>51</v>
      </c>
      <c r="P18" s="54">
        <v>0.72222222222222221</v>
      </c>
      <c r="Q18" s="51">
        <v>180</v>
      </c>
      <c r="R18" s="55" t="s">
        <v>265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45993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56" t="s">
        <v>28</v>
      </c>
      <c r="B22" s="56" t="s">
        <v>258</v>
      </c>
      <c r="C22" s="57">
        <v>6.9444444444444434E-2</v>
      </c>
      <c r="D22" s="56" t="s">
        <v>30</v>
      </c>
      <c r="E22" s="58"/>
      <c r="F22" s="56" t="s">
        <v>36</v>
      </c>
      <c r="G22" s="232"/>
      <c r="H22" s="59" t="s">
        <v>258</v>
      </c>
      <c r="I22" s="60">
        <v>0.7</v>
      </c>
      <c r="J22" s="61">
        <v>126</v>
      </c>
      <c r="K22" s="62" t="s">
        <v>37</v>
      </c>
      <c r="L22" s="61">
        <v>65</v>
      </c>
      <c r="M22" s="61">
        <v>0</v>
      </c>
      <c r="N22" s="61">
        <v>12</v>
      </c>
      <c r="O22" s="63" t="s">
        <v>266</v>
      </c>
      <c r="P22" s="64">
        <v>6.9444444444444434E-2</v>
      </c>
      <c r="Q22" s="61">
        <v>180</v>
      </c>
      <c r="R22" s="65" t="s">
        <v>267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45995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258</v>
      </c>
      <c r="C26" s="37">
        <v>0.72222222222222221</v>
      </c>
      <c r="D26" s="36" t="s">
        <v>30</v>
      </c>
      <c r="E26" s="38"/>
      <c r="F26" s="36" t="s">
        <v>36</v>
      </c>
      <c r="G26" s="237"/>
      <c r="H26" s="112" t="s">
        <v>258</v>
      </c>
      <c r="I26" s="113">
        <v>0.49440000000000001</v>
      </c>
      <c r="J26" s="114">
        <v>89</v>
      </c>
      <c r="K26" s="115" t="s">
        <v>37</v>
      </c>
      <c r="L26" s="114">
        <v>46</v>
      </c>
      <c r="M26" s="114">
        <v>0</v>
      </c>
      <c r="N26" s="114">
        <v>19</v>
      </c>
      <c r="O26" s="116" t="s">
        <v>45</v>
      </c>
      <c r="P26" s="117">
        <v>0.72222222222222221</v>
      </c>
      <c r="Q26" s="114">
        <v>180</v>
      </c>
      <c r="R26" s="118" t="s">
        <v>268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45996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56" t="s">
        <v>28</v>
      </c>
      <c r="B30" s="56" t="s">
        <v>258</v>
      </c>
      <c r="C30" s="57">
        <v>0.38194444444444442</v>
      </c>
      <c r="D30" s="56" t="s">
        <v>30</v>
      </c>
      <c r="E30" s="58"/>
      <c r="F30" s="56" t="s">
        <v>36</v>
      </c>
      <c r="G30" s="232"/>
      <c r="H30" s="59" t="s">
        <v>258</v>
      </c>
      <c r="I30" s="108">
        <v>0.44440000000000002</v>
      </c>
      <c r="J30" s="61">
        <v>80</v>
      </c>
      <c r="K30" s="62" t="s">
        <v>37</v>
      </c>
      <c r="L30" s="61">
        <v>60</v>
      </c>
      <c r="M30" s="61">
        <v>0</v>
      </c>
      <c r="N30" s="61">
        <v>12</v>
      </c>
      <c r="O30" s="63" t="s">
        <v>233</v>
      </c>
      <c r="P30" s="64">
        <v>0.38194444444444442</v>
      </c>
      <c r="Q30" s="61">
        <v>180</v>
      </c>
      <c r="R30" s="65" t="s">
        <v>269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45997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8" t="s">
        <v>28</v>
      </c>
      <c r="B34" s="8" t="s">
        <v>258</v>
      </c>
      <c r="C34" s="9">
        <v>0.72222222222222221</v>
      </c>
      <c r="D34" s="8" t="s">
        <v>30</v>
      </c>
      <c r="E34" s="10"/>
      <c r="F34" s="8" t="s">
        <v>36</v>
      </c>
      <c r="G34" s="237"/>
      <c r="H34" s="11" t="s">
        <v>258</v>
      </c>
      <c r="I34" s="107">
        <v>0.40560000000000002</v>
      </c>
      <c r="J34" s="13">
        <v>73</v>
      </c>
      <c r="K34" s="14" t="s">
        <v>37</v>
      </c>
      <c r="L34" s="13">
        <v>41</v>
      </c>
      <c r="M34" s="13">
        <v>0</v>
      </c>
      <c r="N34" s="13">
        <v>4</v>
      </c>
      <c r="O34" s="15" t="s">
        <v>211</v>
      </c>
      <c r="P34" s="16">
        <v>0.72222222222222221</v>
      </c>
      <c r="Q34" s="13">
        <v>180</v>
      </c>
      <c r="R34" s="17" t="s">
        <v>270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46000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66" t="s">
        <v>28</v>
      </c>
      <c r="B38" s="66" t="s">
        <v>258</v>
      </c>
      <c r="C38" s="67">
        <v>6.9444444444444434E-2</v>
      </c>
      <c r="D38" s="66" t="s">
        <v>30</v>
      </c>
      <c r="E38" s="68"/>
      <c r="F38" s="66" t="s">
        <v>36</v>
      </c>
      <c r="G38" s="232"/>
      <c r="H38" s="127" t="s">
        <v>258</v>
      </c>
      <c r="I38" s="128">
        <v>0.37219999999999998</v>
      </c>
      <c r="J38" s="129">
        <v>67</v>
      </c>
      <c r="K38" s="130" t="s">
        <v>37</v>
      </c>
      <c r="L38" s="129">
        <v>37</v>
      </c>
      <c r="M38" s="129">
        <v>0</v>
      </c>
      <c r="N38" s="129">
        <v>7</v>
      </c>
      <c r="O38" s="131" t="s">
        <v>249</v>
      </c>
      <c r="P38" s="132">
        <v>6.9444444444444434E-2</v>
      </c>
      <c r="Q38" s="129">
        <v>180</v>
      </c>
      <c r="R38" s="133" t="s">
        <v>271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22.05" customHeight="1" thickTop="1" thickBot="1" x14ac:dyDescent="0.35">
      <c r="A40" s="241" t="s">
        <v>8</v>
      </c>
      <c r="B40" s="239"/>
      <c r="C40" s="239"/>
      <c r="D40" s="239"/>
      <c r="E40" s="239"/>
      <c r="F40" s="240"/>
      <c r="G40" s="18">
        <v>46002</v>
      </c>
      <c r="H40" s="238" t="s">
        <v>9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4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258</v>
      </c>
      <c r="C42" s="9">
        <v>0.72222222222222221</v>
      </c>
      <c r="D42" s="8" t="s">
        <v>30</v>
      </c>
      <c r="E42" s="10"/>
      <c r="F42" s="8" t="s">
        <v>36</v>
      </c>
      <c r="G42" s="232"/>
      <c r="H42" s="11" t="s">
        <v>258</v>
      </c>
      <c r="I42" s="107">
        <v>0.41110000000000002</v>
      </c>
      <c r="J42" s="13">
        <v>74</v>
      </c>
      <c r="K42" s="14" t="s">
        <v>37</v>
      </c>
      <c r="L42" s="13">
        <v>55</v>
      </c>
      <c r="M42" s="13">
        <v>0</v>
      </c>
      <c r="N42" s="13">
        <v>21</v>
      </c>
      <c r="O42" s="15" t="s">
        <v>62</v>
      </c>
      <c r="P42" s="16">
        <v>0.72222222222222221</v>
      </c>
      <c r="Q42" s="13">
        <v>180</v>
      </c>
      <c r="R42" s="17" t="s">
        <v>272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46003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76" t="s">
        <v>28</v>
      </c>
      <c r="B46" s="76" t="s">
        <v>258</v>
      </c>
      <c r="C46" s="77">
        <v>0.38194444444444442</v>
      </c>
      <c r="D46" s="76" t="s">
        <v>30</v>
      </c>
      <c r="E46" s="78"/>
      <c r="F46" s="76" t="s">
        <v>68</v>
      </c>
      <c r="G46" s="232"/>
      <c r="H46" s="49" t="s">
        <v>258</v>
      </c>
      <c r="I46" s="79">
        <v>0.28889999999999999</v>
      </c>
      <c r="J46" s="51">
        <v>52</v>
      </c>
      <c r="K46" s="52" t="s">
        <v>37</v>
      </c>
      <c r="L46" s="51">
        <v>21</v>
      </c>
      <c r="M46" s="51">
        <v>0</v>
      </c>
      <c r="N46" s="51">
        <v>6</v>
      </c>
      <c r="O46" s="53" t="s">
        <v>73</v>
      </c>
      <c r="P46" s="54">
        <v>0.38194444444444442</v>
      </c>
      <c r="Q46" s="51">
        <v>180</v>
      </c>
      <c r="R46" s="55" t="s">
        <v>273</v>
      </c>
    </row>
    <row r="47" spans="1:18" ht="17.399999999999999" customHeight="1" thickBot="1" x14ac:dyDescent="0.35">
      <c r="A47" s="264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/>
    </row>
    <row r="48" spans="1:18" ht="22.05" customHeight="1" thickTop="1" thickBot="1" x14ac:dyDescent="0.35">
      <c r="A48" s="241" t="s">
        <v>8</v>
      </c>
      <c r="B48" s="239"/>
      <c r="C48" s="239"/>
      <c r="D48" s="239"/>
      <c r="E48" s="239"/>
      <c r="F48" s="240"/>
      <c r="G48" s="18">
        <v>46004</v>
      </c>
      <c r="H48" s="238" t="s">
        <v>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4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137" t="s">
        <v>28</v>
      </c>
      <c r="B50" s="137" t="s">
        <v>258</v>
      </c>
      <c r="C50" s="138">
        <v>0.72222222222222221</v>
      </c>
      <c r="D50" s="137" t="s">
        <v>30</v>
      </c>
      <c r="E50" s="139"/>
      <c r="F50" s="137" t="s">
        <v>68</v>
      </c>
      <c r="G50" s="232"/>
      <c r="H50" s="93" t="s">
        <v>258</v>
      </c>
      <c r="I50" s="94">
        <v>0.2722</v>
      </c>
      <c r="J50" s="95">
        <v>49</v>
      </c>
      <c r="K50" s="96" t="s">
        <v>37</v>
      </c>
      <c r="L50" s="95">
        <v>9</v>
      </c>
      <c r="M50" s="95">
        <v>0</v>
      </c>
      <c r="N50" s="95">
        <v>3</v>
      </c>
      <c r="O50" s="97" t="s">
        <v>62</v>
      </c>
      <c r="P50" s="98">
        <v>0.72222222222222221</v>
      </c>
      <c r="Q50" s="95">
        <v>180</v>
      </c>
      <c r="R50" s="99" t="s">
        <v>274</v>
      </c>
    </row>
    <row r="51" spans="1:18" ht="17.399999999999999" customHeight="1" thickBot="1" x14ac:dyDescent="0.35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/>
    </row>
    <row r="52" spans="1:18" ht="22.05" customHeight="1" thickTop="1" thickBot="1" x14ac:dyDescent="0.35">
      <c r="A52" s="241" t="s">
        <v>8</v>
      </c>
      <c r="B52" s="239"/>
      <c r="C52" s="239"/>
      <c r="D52" s="239"/>
      <c r="E52" s="239"/>
      <c r="F52" s="240"/>
      <c r="G52" s="18">
        <v>46007</v>
      </c>
      <c r="H52" s="238" t="s">
        <v>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4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8" t="s">
        <v>28</v>
      </c>
      <c r="B54" s="8" t="s">
        <v>258</v>
      </c>
      <c r="C54" s="9">
        <v>6.9444444444444434E-2</v>
      </c>
      <c r="D54" s="8" t="s">
        <v>30</v>
      </c>
      <c r="E54" s="10"/>
      <c r="F54" s="8" t="s">
        <v>68</v>
      </c>
      <c r="G54" s="232"/>
      <c r="H54" s="11" t="s">
        <v>258</v>
      </c>
      <c r="I54" s="107">
        <v>0.1444</v>
      </c>
      <c r="J54" s="13">
        <v>26</v>
      </c>
      <c r="K54" s="14" t="s">
        <v>37</v>
      </c>
      <c r="L54" s="13">
        <v>15</v>
      </c>
      <c r="M54" s="13">
        <v>0</v>
      </c>
      <c r="N54" s="13">
        <v>5</v>
      </c>
      <c r="O54" s="15" t="s">
        <v>84</v>
      </c>
      <c r="P54" s="16">
        <v>6.9444444444444434E-2</v>
      </c>
      <c r="Q54" s="13">
        <v>180</v>
      </c>
      <c r="R54" s="17" t="s">
        <v>275</v>
      </c>
    </row>
    <row r="55" spans="1:18" ht="17.399999999999999" customHeight="1" thickBot="1" x14ac:dyDescent="0.35">
      <c r="A55" s="264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6"/>
    </row>
    <row r="56" spans="1:18" ht="22.05" customHeight="1" thickTop="1" thickBot="1" x14ac:dyDescent="0.35">
      <c r="A56" s="241" t="s">
        <v>8</v>
      </c>
      <c r="B56" s="239"/>
      <c r="C56" s="239"/>
      <c r="D56" s="239"/>
      <c r="E56" s="239"/>
      <c r="F56" s="240"/>
      <c r="G56" s="18">
        <v>46009</v>
      </c>
      <c r="H56" s="238" t="s">
        <v>9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4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76" t="s">
        <v>28</v>
      </c>
      <c r="B58" s="76" t="s">
        <v>258</v>
      </c>
      <c r="C58" s="77">
        <v>0.72222222222222221</v>
      </c>
      <c r="D58" s="76" t="s">
        <v>30</v>
      </c>
      <c r="E58" s="78"/>
      <c r="F58" s="76" t="s">
        <v>68</v>
      </c>
      <c r="G58" s="237"/>
      <c r="H58" s="49" t="s">
        <v>258</v>
      </c>
      <c r="I58" s="79">
        <v>0.16109999999999999</v>
      </c>
      <c r="J58" s="51">
        <v>29</v>
      </c>
      <c r="K58" s="52" t="s">
        <v>75</v>
      </c>
      <c r="L58" s="51">
        <v>15</v>
      </c>
      <c r="M58" s="51">
        <v>3</v>
      </c>
      <c r="N58" s="51">
        <v>10</v>
      </c>
      <c r="O58" s="53" t="s">
        <v>99</v>
      </c>
      <c r="P58" s="54">
        <v>0.72222222222222221</v>
      </c>
      <c r="Q58" s="51">
        <v>180</v>
      </c>
      <c r="R58" s="55" t="s">
        <v>276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22.05" customHeight="1" thickTop="1" thickBot="1" x14ac:dyDescent="0.35">
      <c r="A60" s="241" t="s">
        <v>8</v>
      </c>
      <c r="B60" s="239"/>
      <c r="C60" s="239"/>
      <c r="D60" s="239"/>
      <c r="E60" s="239"/>
      <c r="F60" s="240"/>
      <c r="G60" s="18">
        <v>46010</v>
      </c>
      <c r="H60" s="238" t="s">
        <v>9</v>
      </c>
      <c r="I60" s="239"/>
      <c r="J60" s="239"/>
      <c r="K60" s="239"/>
      <c r="L60" s="239"/>
      <c r="M60" s="239"/>
      <c r="N60" s="239"/>
      <c r="O60" s="239"/>
      <c r="P60" s="239"/>
      <c r="Q60" s="239"/>
      <c r="R60" s="240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26" t="s">
        <v>28</v>
      </c>
      <c r="B62" s="26" t="s">
        <v>258</v>
      </c>
      <c r="C62" s="27">
        <v>0.38194444444444442</v>
      </c>
      <c r="D62" s="26" t="s">
        <v>30</v>
      </c>
      <c r="E62" s="28"/>
      <c r="F62" s="26" t="s">
        <v>68</v>
      </c>
      <c r="G62" s="232"/>
      <c r="H62" s="29" t="s">
        <v>258</v>
      </c>
      <c r="I62" s="147">
        <v>9.4399999999999998E-2</v>
      </c>
      <c r="J62" s="31">
        <v>17</v>
      </c>
      <c r="K62" s="32" t="s">
        <v>32</v>
      </c>
      <c r="L62" s="31">
        <v>2</v>
      </c>
      <c r="M62" s="31">
        <v>0</v>
      </c>
      <c r="N62" s="31">
        <v>0</v>
      </c>
      <c r="O62" s="33" t="s">
        <v>99</v>
      </c>
      <c r="P62" s="34">
        <v>0.38194444444444442</v>
      </c>
      <c r="Q62" s="31">
        <v>180</v>
      </c>
      <c r="R62" s="35" t="s">
        <v>277</v>
      </c>
    </row>
    <row r="63" spans="1:18" ht="17.399999999999999" customHeight="1" thickBot="1" x14ac:dyDescent="0.35">
      <c r="A63" s="264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6"/>
    </row>
    <row r="64" spans="1:18" ht="22.05" customHeight="1" thickTop="1" thickBot="1" x14ac:dyDescent="0.35">
      <c r="A64" s="241" t="s">
        <v>8</v>
      </c>
      <c r="B64" s="239"/>
      <c r="C64" s="239"/>
      <c r="D64" s="239"/>
      <c r="E64" s="239"/>
      <c r="F64" s="240"/>
      <c r="G64" s="18">
        <v>46011</v>
      </c>
      <c r="H64" s="238" t="s">
        <v>9</v>
      </c>
      <c r="I64" s="239"/>
      <c r="J64" s="239"/>
      <c r="K64" s="239"/>
      <c r="L64" s="239"/>
      <c r="M64" s="239"/>
      <c r="N64" s="239"/>
      <c r="O64" s="239"/>
      <c r="P64" s="239"/>
      <c r="Q64" s="239"/>
      <c r="R64" s="240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36" t="s">
        <v>28</v>
      </c>
      <c r="B66" s="36" t="s">
        <v>258</v>
      </c>
      <c r="C66" s="37">
        <v>0.72222222222222221</v>
      </c>
      <c r="D66" s="36" t="s">
        <v>30</v>
      </c>
      <c r="E66" s="38"/>
      <c r="F66" s="36" t="s">
        <v>36</v>
      </c>
      <c r="G66" s="232"/>
      <c r="H66" s="112" t="s">
        <v>258</v>
      </c>
      <c r="I66" s="113">
        <v>0.32779999999999998</v>
      </c>
      <c r="J66" s="114">
        <v>59</v>
      </c>
      <c r="K66" s="115" t="s">
        <v>37</v>
      </c>
      <c r="L66" s="114">
        <v>25</v>
      </c>
      <c r="M66" s="114">
        <v>0</v>
      </c>
      <c r="N66" s="114">
        <v>2</v>
      </c>
      <c r="O66" s="116" t="s">
        <v>69</v>
      </c>
      <c r="P66" s="117">
        <v>0.72222222222222221</v>
      </c>
      <c r="Q66" s="114">
        <v>180</v>
      </c>
      <c r="R66" s="118" t="s">
        <v>278</v>
      </c>
    </row>
    <row r="67" spans="1:18" ht="17.399999999999999" customHeight="1" thickBot="1" x14ac:dyDescent="0.35">
      <c r="A67" s="264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6"/>
    </row>
    <row r="68" spans="1:18" ht="22.05" customHeight="1" thickTop="1" thickBot="1" x14ac:dyDescent="0.35">
      <c r="A68" s="241" t="s">
        <v>8</v>
      </c>
      <c r="B68" s="239"/>
      <c r="C68" s="239"/>
      <c r="D68" s="239"/>
      <c r="E68" s="239"/>
      <c r="F68" s="240"/>
      <c r="G68" s="18">
        <v>46014</v>
      </c>
      <c r="H68" s="238" t="s">
        <v>9</v>
      </c>
      <c r="I68" s="239"/>
      <c r="J68" s="239"/>
      <c r="K68" s="239"/>
      <c r="L68" s="239"/>
      <c r="M68" s="239"/>
      <c r="N68" s="239"/>
      <c r="O68" s="239"/>
      <c r="P68" s="239"/>
      <c r="Q68" s="239"/>
      <c r="R68" s="240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5">
      <c r="A70" s="56" t="s">
        <v>28</v>
      </c>
      <c r="B70" s="56" t="s">
        <v>258</v>
      </c>
      <c r="C70" s="57">
        <v>6.9444444444444434E-2</v>
      </c>
      <c r="D70" s="56" t="s">
        <v>30</v>
      </c>
      <c r="E70" s="58"/>
      <c r="F70" s="56" t="s">
        <v>68</v>
      </c>
      <c r="G70" s="237"/>
      <c r="H70" s="59" t="s">
        <v>258</v>
      </c>
      <c r="I70" s="108">
        <v>7.7799999999999994E-2</v>
      </c>
      <c r="J70" s="61">
        <v>14</v>
      </c>
      <c r="K70" s="62" t="s">
        <v>107</v>
      </c>
      <c r="L70" s="61">
        <v>3</v>
      </c>
      <c r="M70" s="61">
        <v>0</v>
      </c>
      <c r="N70" s="61">
        <v>0</v>
      </c>
      <c r="O70" s="63" t="s">
        <v>99</v>
      </c>
      <c r="P70" s="64">
        <v>6.9444444444444434E-2</v>
      </c>
      <c r="Q70" s="61">
        <v>180</v>
      </c>
      <c r="R70" s="65" t="s">
        <v>279</v>
      </c>
    </row>
    <row r="71" spans="1:18" ht="17.399999999999999" customHeight="1" thickBot="1" x14ac:dyDescent="0.35">
      <c r="A71" s="264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6"/>
    </row>
    <row r="72" spans="1:18" ht="22.05" customHeight="1" thickTop="1" thickBot="1" x14ac:dyDescent="0.35">
      <c r="A72" s="241" t="s">
        <v>8</v>
      </c>
      <c r="B72" s="239"/>
      <c r="C72" s="239"/>
      <c r="D72" s="239"/>
      <c r="E72" s="239"/>
      <c r="F72" s="240"/>
      <c r="G72" s="18">
        <v>46016</v>
      </c>
      <c r="H72" s="238" t="s">
        <v>9</v>
      </c>
      <c r="I72" s="239"/>
      <c r="J72" s="239"/>
      <c r="K72" s="239"/>
      <c r="L72" s="239"/>
      <c r="M72" s="239"/>
      <c r="N72" s="239"/>
      <c r="O72" s="239"/>
      <c r="P72" s="239"/>
      <c r="Q72" s="239"/>
      <c r="R72" s="240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5">
      <c r="A74" s="66" t="s">
        <v>28</v>
      </c>
      <c r="B74" s="66" t="s">
        <v>258</v>
      </c>
      <c r="C74" s="67">
        <v>0.72222222222222221</v>
      </c>
      <c r="D74" s="66" t="s">
        <v>30</v>
      </c>
      <c r="E74" s="68"/>
      <c r="F74" s="66" t="s">
        <v>68</v>
      </c>
      <c r="G74" s="237"/>
      <c r="H74" s="127" t="s">
        <v>258</v>
      </c>
      <c r="I74" s="128">
        <v>0.15</v>
      </c>
      <c r="J74" s="129">
        <v>27</v>
      </c>
      <c r="K74" s="130" t="s">
        <v>102</v>
      </c>
      <c r="L74" s="129">
        <v>8</v>
      </c>
      <c r="M74" s="129">
        <v>0</v>
      </c>
      <c r="N74" s="129">
        <v>0</v>
      </c>
      <c r="O74" s="131" t="s">
        <v>155</v>
      </c>
      <c r="P74" s="132">
        <v>0.72222222222222221</v>
      </c>
      <c r="Q74" s="129">
        <v>180</v>
      </c>
      <c r="R74" s="133" t="s">
        <v>280</v>
      </c>
    </row>
    <row r="75" spans="1:18" ht="17.399999999999999" customHeight="1" thickBot="1" x14ac:dyDescent="0.35">
      <c r="A75" s="264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6"/>
    </row>
    <row r="76" spans="1:18" ht="22.05" customHeight="1" thickTop="1" thickBot="1" x14ac:dyDescent="0.35">
      <c r="A76" s="241" t="s">
        <v>8</v>
      </c>
      <c r="B76" s="239"/>
      <c r="C76" s="239"/>
      <c r="D76" s="239"/>
      <c r="E76" s="239"/>
      <c r="F76" s="240"/>
      <c r="G76" s="18">
        <v>46017</v>
      </c>
      <c r="H76" s="238" t="s">
        <v>9</v>
      </c>
      <c r="I76" s="239"/>
      <c r="J76" s="239"/>
      <c r="K76" s="239"/>
      <c r="L76" s="239"/>
      <c r="M76" s="239"/>
      <c r="N76" s="239"/>
      <c r="O76" s="239"/>
      <c r="P76" s="239"/>
      <c r="Q76" s="239"/>
      <c r="R76" s="240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x14ac:dyDescent="0.45">
      <c r="A78" s="26" t="s">
        <v>28</v>
      </c>
      <c r="B78" s="26" t="s">
        <v>258</v>
      </c>
      <c r="C78" s="27">
        <v>0.38194444444444442</v>
      </c>
      <c r="D78" s="26" t="s">
        <v>30</v>
      </c>
      <c r="E78" s="28"/>
      <c r="F78" s="26" t="s">
        <v>68</v>
      </c>
      <c r="G78" s="237"/>
      <c r="H78" s="29" t="s">
        <v>258</v>
      </c>
      <c r="I78" s="147">
        <v>3.8899999999999997E-2</v>
      </c>
      <c r="J78" s="31">
        <v>7</v>
      </c>
      <c r="K78" s="32" t="s">
        <v>37</v>
      </c>
      <c r="L78" s="31">
        <v>3</v>
      </c>
      <c r="M78" s="31">
        <v>0</v>
      </c>
      <c r="N78" s="31">
        <v>1</v>
      </c>
      <c r="O78" s="33" t="s">
        <v>281</v>
      </c>
      <c r="P78" s="34">
        <v>0.38194444444444442</v>
      </c>
      <c r="Q78" s="31">
        <v>180</v>
      </c>
      <c r="R78" s="35" t="s">
        <v>282</v>
      </c>
    </row>
  </sheetData>
  <mergeCells count="82">
    <mergeCell ref="G78"/>
    <mergeCell ref="A15:R15"/>
    <mergeCell ref="A51:R51"/>
    <mergeCell ref="H24:R24"/>
    <mergeCell ref="H76:R76"/>
    <mergeCell ref="A75:R75"/>
    <mergeCell ref="H4:R4"/>
    <mergeCell ref="H44:R44"/>
    <mergeCell ref="A3:R3"/>
    <mergeCell ref="A55:R55"/>
    <mergeCell ref="A47:R47"/>
    <mergeCell ref="H64:R64"/>
    <mergeCell ref="A4:F4"/>
    <mergeCell ref="A52:F52"/>
    <mergeCell ref="G38"/>
    <mergeCell ref="A31:R31"/>
    <mergeCell ref="A76:F76"/>
    <mergeCell ref="H68:R68"/>
    <mergeCell ref="A8:F8"/>
    <mergeCell ref="H60:R60"/>
    <mergeCell ref="G2:J2"/>
    <mergeCell ref="A23:R23"/>
    <mergeCell ref="G70"/>
    <mergeCell ref="A43:R43"/>
    <mergeCell ref="A68:F68"/>
    <mergeCell ref="H16:R16"/>
    <mergeCell ref="K2:R2"/>
    <mergeCell ref="A67:R67"/>
    <mergeCell ref="G62"/>
    <mergeCell ref="A36:F36"/>
    <mergeCell ref="H20:R20"/>
    <mergeCell ref="A12:F12"/>
    <mergeCell ref="G74"/>
    <mergeCell ref="H48:R48"/>
    <mergeCell ref="G58"/>
    <mergeCell ref="A56:F56"/>
    <mergeCell ref="G22"/>
    <mergeCell ref="H40:R40"/>
    <mergeCell ref="G54"/>
    <mergeCell ref="G46"/>
    <mergeCell ref="A2:F2"/>
    <mergeCell ref="H56:R56"/>
    <mergeCell ref="A71:R71"/>
    <mergeCell ref="H36:R36"/>
    <mergeCell ref="A28:F28"/>
    <mergeCell ref="A63:R63"/>
    <mergeCell ref="A48:F48"/>
    <mergeCell ref="G10"/>
    <mergeCell ref="G66"/>
    <mergeCell ref="H28:R28"/>
    <mergeCell ref="G18"/>
    <mergeCell ref="A39:R39"/>
    <mergeCell ref="H12:R12"/>
    <mergeCell ref="G34"/>
    <mergeCell ref="G50"/>
    <mergeCell ref="A32:F32"/>
    <mergeCell ref="A20:F20"/>
    <mergeCell ref="A72:F72"/>
    <mergeCell ref="G42"/>
    <mergeCell ref="A35:R35"/>
    <mergeCell ref="H52:R52"/>
    <mergeCell ref="A44:F44"/>
    <mergeCell ref="H72:R72"/>
    <mergeCell ref="A40:F40"/>
    <mergeCell ref="H32:R32"/>
    <mergeCell ref="A64:F64"/>
    <mergeCell ref="A24:F24"/>
    <mergeCell ref="A59:R59"/>
    <mergeCell ref="A60:F60"/>
    <mergeCell ref="G30"/>
    <mergeCell ref="A7:R7"/>
    <mergeCell ref="G26"/>
    <mergeCell ref="H1:L1"/>
    <mergeCell ref="A1:E1"/>
    <mergeCell ref="A27:R27"/>
    <mergeCell ref="A19:R19"/>
    <mergeCell ref="G6"/>
    <mergeCell ref="A11:R11"/>
    <mergeCell ref="G14"/>
    <mergeCell ref="A16:F16"/>
    <mergeCell ref="H8:R8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1"/>
  <sheetViews>
    <sheetView workbookViewId="0"/>
  </sheetViews>
  <sheetFormatPr defaultRowHeight="15.6" outlineLevelCol="1" x14ac:dyDescent="0.3"/>
  <cols>
    <col min="1" max="1" width="9.88671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9.21875" style="251" bestFit="1" customWidth="1"/>
    <col min="6" max="6" width="4.21875" style="251" bestFit="1" customWidth="1"/>
    <col min="7" max="7" width="10" style="251" bestFit="1" customWidth="1"/>
    <col min="8" max="9" width="8.5546875" style="251" bestFit="1" customWidth="1"/>
    <col min="10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7" style="251" bestFit="1" customWidth="1" outlineLevel="1"/>
    <col min="15" max="15" width="8" style="251" bestFit="1" customWidth="1" outlineLevel="1"/>
    <col min="16" max="16" width="13.6640625" style="251" bestFit="1" customWidth="1"/>
    <col min="17" max="18" width="3.88671875" style="251" bestFit="1" customWidth="1"/>
    <col min="19" max="19" width="4.88671875" style="251" bestFit="1" customWidth="1"/>
    <col min="20" max="20" width="4.4414062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1" width="4.5546875" style="251" bestFit="1" customWidth="1"/>
    <col min="32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157</v>
      </c>
      <c r="B2" s="253">
        <v>45986</v>
      </c>
      <c r="C2" s="254" t="s">
        <v>258</v>
      </c>
      <c r="D2" s="255" t="s">
        <v>283</v>
      </c>
      <c r="E2" s="254" t="s">
        <v>257</v>
      </c>
      <c r="F2" s="254" t="s">
        <v>141</v>
      </c>
      <c r="G2" s="256">
        <v>0.69440000000000002</v>
      </c>
      <c r="H2" s="257">
        <v>180</v>
      </c>
      <c r="I2" s="257">
        <v>125</v>
      </c>
      <c r="J2" s="257">
        <v>0</v>
      </c>
      <c r="K2" s="254" t="s">
        <v>142</v>
      </c>
      <c r="L2" s="258" t="s">
        <v>37</v>
      </c>
      <c r="M2" s="257">
        <v>0</v>
      </c>
      <c r="N2" s="257">
        <v>14</v>
      </c>
      <c r="O2" s="257">
        <v>80</v>
      </c>
      <c r="P2" s="254" t="s">
        <v>259</v>
      </c>
      <c r="Q2" s="250"/>
      <c r="R2" s="250"/>
      <c r="S2" s="250"/>
      <c r="T2" s="250"/>
      <c r="U2" s="250"/>
      <c r="V2" s="257" t="s">
        <v>284</v>
      </c>
      <c r="W2" s="257" t="s">
        <v>285</v>
      </c>
      <c r="X2" s="257" t="s">
        <v>286</v>
      </c>
      <c r="Y2" s="257" t="s">
        <v>287</v>
      </c>
      <c r="Z2" s="257" t="s">
        <v>56</v>
      </c>
      <c r="AA2" s="250"/>
      <c r="AB2" s="257" t="s">
        <v>88</v>
      </c>
      <c r="AC2" s="257" t="s">
        <v>58</v>
      </c>
      <c r="AD2" s="257" t="s">
        <v>145</v>
      </c>
      <c r="AE2" s="257" t="s">
        <v>288</v>
      </c>
      <c r="AF2" s="257" t="s">
        <v>76</v>
      </c>
      <c r="AG2" s="250"/>
      <c r="AH2" s="250"/>
      <c r="AI2" s="250"/>
      <c r="AJ2" s="250"/>
    </row>
    <row r="3" spans="1:36" x14ac:dyDescent="0.3">
      <c r="A3" s="252" t="s">
        <v>179</v>
      </c>
      <c r="B3" s="253">
        <v>45988</v>
      </c>
      <c r="C3" s="254" t="s">
        <v>258</v>
      </c>
      <c r="D3" s="255" t="s">
        <v>289</v>
      </c>
      <c r="E3" s="254" t="s">
        <v>257</v>
      </c>
      <c r="F3" s="254" t="s">
        <v>141</v>
      </c>
      <c r="G3" s="256">
        <v>0.7833</v>
      </c>
      <c r="H3" s="257">
        <v>180</v>
      </c>
      <c r="I3" s="257">
        <v>141</v>
      </c>
      <c r="J3" s="257">
        <v>0</v>
      </c>
      <c r="K3" s="254" t="s">
        <v>142</v>
      </c>
      <c r="L3" s="258" t="s">
        <v>37</v>
      </c>
      <c r="M3" s="257">
        <v>0</v>
      </c>
      <c r="N3" s="257">
        <v>3</v>
      </c>
      <c r="O3" s="257">
        <v>19</v>
      </c>
      <c r="P3" s="254" t="s">
        <v>261</v>
      </c>
      <c r="Q3" s="250"/>
      <c r="R3" s="250"/>
      <c r="S3" s="250"/>
      <c r="T3" s="257" t="s">
        <v>290</v>
      </c>
      <c r="U3" s="257" t="s">
        <v>291</v>
      </c>
      <c r="V3" s="257" t="s">
        <v>292</v>
      </c>
      <c r="W3" s="257" t="s">
        <v>189</v>
      </c>
      <c r="X3" s="257" t="s">
        <v>293</v>
      </c>
      <c r="Y3" s="257" t="s">
        <v>160</v>
      </c>
      <c r="Z3" s="257" t="s">
        <v>294</v>
      </c>
      <c r="AA3" s="257" t="s">
        <v>295</v>
      </c>
      <c r="AB3" s="257" t="s">
        <v>62</v>
      </c>
      <c r="AC3" s="257" t="s">
        <v>71</v>
      </c>
      <c r="AD3" s="257" t="s">
        <v>99</v>
      </c>
      <c r="AE3" s="257" t="s">
        <v>108</v>
      </c>
      <c r="AF3" s="257" t="s">
        <v>204</v>
      </c>
      <c r="AG3" s="250"/>
      <c r="AH3" s="250"/>
      <c r="AI3" s="250"/>
      <c r="AJ3" s="250"/>
    </row>
    <row r="4" spans="1:36" x14ac:dyDescent="0.3">
      <c r="A4" s="252" t="s">
        <v>185</v>
      </c>
      <c r="B4" s="253">
        <v>45989</v>
      </c>
      <c r="C4" s="254" t="s">
        <v>258</v>
      </c>
      <c r="D4" s="255" t="s">
        <v>296</v>
      </c>
      <c r="E4" s="254" t="s">
        <v>257</v>
      </c>
      <c r="F4" s="254" t="s">
        <v>141</v>
      </c>
      <c r="G4" s="256">
        <v>0.75560000000000005</v>
      </c>
      <c r="H4" s="257">
        <v>180</v>
      </c>
      <c r="I4" s="257">
        <v>136</v>
      </c>
      <c r="J4" s="257">
        <v>0</v>
      </c>
      <c r="K4" s="254" t="s">
        <v>142</v>
      </c>
      <c r="L4" s="258" t="s">
        <v>75</v>
      </c>
      <c r="M4" s="257">
        <v>2</v>
      </c>
      <c r="N4" s="257">
        <v>5</v>
      </c>
      <c r="O4" s="257">
        <v>19</v>
      </c>
      <c r="P4" s="254" t="s">
        <v>263</v>
      </c>
      <c r="Q4" s="250"/>
      <c r="R4" s="250"/>
      <c r="S4" s="257" t="s">
        <v>297</v>
      </c>
      <c r="T4" s="257" t="s">
        <v>298</v>
      </c>
      <c r="U4" s="257" t="s">
        <v>299</v>
      </c>
      <c r="V4" s="257" t="s">
        <v>300</v>
      </c>
      <c r="W4" s="257" t="s">
        <v>189</v>
      </c>
      <c r="X4" s="257" t="s">
        <v>210</v>
      </c>
      <c r="Y4" s="257" t="s">
        <v>301</v>
      </c>
      <c r="Z4" s="257" t="s">
        <v>302</v>
      </c>
      <c r="AA4" s="257" t="s">
        <v>303</v>
      </c>
      <c r="AB4" s="257" t="s">
        <v>304</v>
      </c>
      <c r="AC4" s="257" t="s">
        <v>202</v>
      </c>
      <c r="AD4" s="257" t="s">
        <v>86</v>
      </c>
      <c r="AE4" s="257" t="s">
        <v>100</v>
      </c>
      <c r="AF4" s="257" t="s">
        <v>76</v>
      </c>
      <c r="AG4" s="250"/>
      <c r="AH4" s="250"/>
      <c r="AI4" s="250"/>
      <c r="AJ4" s="250"/>
    </row>
    <row r="5" spans="1:36" x14ac:dyDescent="0.3">
      <c r="A5" s="252" t="s">
        <v>205</v>
      </c>
      <c r="B5" s="253">
        <v>45990</v>
      </c>
      <c r="C5" s="254" t="s">
        <v>258</v>
      </c>
      <c r="D5" s="255" t="s">
        <v>289</v>
      </c>
      <c r="E5" s="254" t="s">
        <v>257</v>
      </c>
      <c r="F5" s="254" t="s">
        <v>141</v>
      </c>
      <c r="G5" s="256">
        <v>0.69440000000000002</v>
      </c>
      <c r="H5" s="257">
        <v>180</v>
      </c>
      <c r="I5" s="257">
        <v>125</v>
      </c>
      <c r="J5" s="257">
        <v>0</v>
      </c>
      <c r="K5" s="254" t="s">
        <v>142</v>
      </c>
      <c r="L5" s="258" t="s">
        <v>32</v>
      </c>
      <c r="M5" s="257">
        <v>0</v>
      </c>
      <c r="N5" s="257">
        <v>0</v>
      </c>
      <c r="O5" s="257">
        <v>14</v>
      </c>
      <c r="P5" s="254" t="s">
        <v>51</v>
      </c>
      <c r="Q5" s="250"/>
      <c r="R5" s="257" t="s">
        <v>305</v>
      </c>
      <c r="S5" s="257" t="s">
        <v>306</v>
      </c>
      <c r="T5" s="257" t="s">
        <v>207</v>
      </c>
      <c r="U5" s="257" t="s">
        <v>48</v>
      </c>
      <c r="V5" s="250"/>
      <c r="W5" s="257" t="s">
        <v>307</v>
      </c>
      <c r="X5" s="257" t="s">
        <v>308</v>
      </c>
      <c r="Y5" s="257" t="s">
        <v>160</v>
      </c>
      <c r="Z5" s="257" t="s">
        <v>211</v>
      </c>
      <c r="AA5" s="257" t="s">
        <v>153</v>
      </c>
      <c r="AB5" s="257" t="s">
        <v>231</v>
      </c>
      <c r="AC5" s="257" t="s">
        <v>245</v>
      </c>
      <c r="AD5" s="257" t="s">
        <v>203</v>
      </c>
      <c r="AE5" s="257" t="s">
        <v>108</v>
      </c>
      <c r="AF5" s="257" t="s">
        <v>80</v>
      </c>
      <c r="AG5" s="250"/>
      <c r="AH5" s="250"/>
      <c r="AI5" s="250"/>
      <c r="AJ5" s="250"/>
    </row>
    <row r="6" spans="1:36" x14ac:dyDescent="0.3">
      <c r="A6" s="252" t="s">
        <v>157</v>
      </c>
      <c r="B6" s="253">
        <v>45993</v>
      </c>
      <c r="C6" s="254" t="s">
        <v>258</v>
      </c>
      <c r="D6" s="255" t="s">
        <v>283</v>
      </c>
      <c r="E6" s="254" t="s">
        <v>257</v>
      </c>
      <c r="F6" s="254" t="s">
        <v>141</v>
      </c>
      <c r="G6" s="256">
        <v>0.7</v>
      </c>
      <c r="H6" s="257">
        <v>180</v>
      </c>
      <c r="I6" s="257">
        <v>126</v>
      </c>
      <c r="J6" s="257">
        <v>0</v>
      </c>
      <c r="K6" s="254" t="s">
        <v>142</v>
      </c>
      <c r="L6" s="258" t="s">
        <v>37</v>
      </c>
      <c r="M6" s="257">
        <v>0</v>
      </c>
      <c r="N6" s="257">
        <v>12</v>
      </c>
      <c r="O6" s="257">
        <v>65</v>
      </c>
      <c r="P6" s="254" t="s">
        <v>266</v>
      </c>
      <c r="Q6" s="250"/>
      <c r="R6" s="250"/>
      <c r="S6" s="250"/>
      <c r="T6" s="250"/>
      <c r="U6" s="250"/>
      <c r="V6" s="250"/>
      <c r="W6" s="257" t="s">
        <v>309</v>
      </c>
      <c r="X6" s="257" t="s">
        <v>293</v>
      </c>
      <c r="Y6" s="257" t="s">
        <v>310</v>
      </c>
      <c r="Z6" s="257" t="s">
        <v>311</v>
      </c>
      <c r="AA6" s="257" t="s">
        <v>312</v>
      </c>
      <c r="AB6" s="257" t="s">
        <v>64</v>
      </c>
      <c r="AC6" s="257" t="s">
        <v>242</v>
      </c>
      <c r="AD6" s="257" t="s">
        <v>184</v>
      </c>
      <c r="AE6" s="257" t="s">
        <v>253</v>
      </c>
      <c r="AF6" s="250"/>
      <c r="AG6" s="250"/>
      <c r="AH6" s="250"/>
      <c r="AI6" s="250"/>
      <c r="AJ6" s="250"/>
    </row>
    <row r="7" spans="1:36" x14ac:dyDescent="0.3">
      <c r="A7" s="252" t="s">
        <v>179</v>
      </c>
      <c r="B7" s="253">
        <v>45995</v>
      </c>
      <c r="C7" s="254" t="s">
        <v>258</v>
      </c>
      <c r="D7" s="255" t="s">
        <v>289</v>
      </c>
      <c r="E7" s="254" t="s">
        <v>257</v>
      </c>
      <c r="F7" s="254" t="s">
        <v>141</v>
      </c>
      <c r="G7" s="256">
        <v>0.49440000000000001</v>
      </c>
      <c r="H7" s="257">
        <v>180</v>
      </c>
      <c r="I7" s="257">
        <v>89</v>
      </c>
      <c r="J7" s="257">
        <v>0</v>
      </c>
      <c r="K7" s="254" t="s">
        <v>142</v>
      </c>
      <c r="L7" s="258" t="s">
        <v>37</v>
      </c>
      <c r="M7" s="257">
        <v>0</v>
      </c>
      <c r="N7" s="257">
        <v>19</v>
      </c>
      <c r="O7" s="257">
        <v>46</v>
      </c>
      <c r="P7" s="254" t="s">
        <v>45</v>
      </c>
      <c r="Q7" s="250"/>
      <c r="R7" s="250"/>
      <c r="S7" s="250"/>
      <c r="T7" s="250"/>
      <c r="U7" s="250"/>
      <c r="V7" s="250"/>
      <c r="W7" s="250"/>
      <c r="X7" s="257" t="s">
        <v>159</v>
      </c>
      <c r="Y7" s="257" t="s">
        <v>182</v>
      </c>
      <c r="Z7" s="257" t="s">
        <v>313</v>
      </c>
      <c r="AA7" s="257" t="s">
        <v>143</v>
      </c>
      <c r="AB7" s="257" t="s">
        <v>64</v>
      </c>
      <c r="AC7" s="257" t="s">
        <v>155</v>
      </c>
      <c r="AD7" s="257" t="s">
        <v>220</v>
      </c>
      <c r="AE7" s="257" t="s">
        <v>84</v>
      </c>
      <c r="AF7" s="250"/>
      <c r="AG7" s="250"/>
      <c r="AH7" s="250"/>
      <c r="AI7" s="250"/>
      <c r="AJ7" s="250"/>
    </row>
    <row r="8" spans="1:36" x14ac:dyDescent="0.3">
      <c r="A8" s="252" t="s">
        <v>185</v>
      </c>
      <c r="B8" s="253">
        <v>45996</v>
      </c>
      <c r="C8" s="254" t="s">
        <v>258</v>
      </c>
      <c r="D8" s="255" t="s">
        <v>296</v>
      </c>
      <c r="E8" s="254" t="s">
        <v>257</v>
      </c>
      <c r="F8" s="254" t="s">
        <v>141</v>
      </c>
      <c r="G8" s="256">
        <v>0.44440000000000002</v>
      </c>
      <c r="H8" s="257">
        <v>180</v>
      </c>
      <c r="I8" s="257">
        <v>80</v>
      </c>
      <c r="J8" s="257">
        <v>0</v>
      </c>
      <c r="K8" s="254" t="s">
        <v>142</v>
      </c>
      <c r="L8" s="258" t="s">
        <v>37</v>
      </c>
      <c r="M8" s="257">
        <v>0</v>
      </c>
      <c r="N8" s="257">
        <v>12</v>
      </c>
      <c r="O8" s="257">
        <v>60</v>
      </c>
      <c r="P8" s="254" t="s">
        <v>233</v>
      </c>
      <c r="Q8" s="250"/>
      <c r="R8" s="250"/>
      <c r="S8" s="250"/>
      <c r="T8" s="250"/>
      <c r="U8" s="250"/>
      <c r="V8" s="250"/>
      <c r="W8" s="250"/>
      <c r="X8" s="250"/>
      <c r="Y8" s="257" t="s">
        <v>314</v>
      </c>
      <c r="Z8" s="257" t="s">
        <v>315</v>
      </c>
      <c r="AA8" s="257" t="s">
        <v>212</v>
      </c>
      <c r="AB8" s="257" t="s">
        <v>231</v>
      </c>
      <c r="AC8" s="257" t="s">
        <v>242</v>
      </c>
      <c r="AD8" s="257" t="s">
        <v>316</v>
      </c>
      <c r="AE8" s="257" t="s">
        <v>100</v>
      </c>
      <c r="AF8" s="250"/>
      <c r="AG8" s="250"/>
      <c r="AH8" s="250"/>
      <c r="AI8" s="250"/>
      <c r="AJ8" s="250"/>
    </row>
    <row r="9" spans="1:36" x14ac:dyDescent="0.3">
      <c r="A9" s="252" t="s">
        <v>205</v>
      </c>
      <c r="B9" s="253">
        <v>45997</v>
      </c>
      <c r="C9" s="254" t="s">
        <v>258</v>
      </c>
      <c r="D9" s="255" t="s">
        <v>289</v>
      </c>
      <c r="E9" s="254" t="s">
        <v>257</v>
      </c>
      <c r="F9" s="254" t="s">
        <v>141</v>
      </c>
      <c r="G9" s="256">
        <v>0.40560000000000002</v>
      </c>
      <c r="H9" s="257">
        <v>180</v>
      </c>
      <c r="I9" s="257">
        <v>73</v>
      </c>
      <c r="J9" s="257">
        <v>0</v>
      </c>
      <c r="K9" s="254" t="s">
        <v>142</v>
      </c>
      <c r="L9" s="258" t="s">
        <v>37</v>
      </c>
      <c r="M9" s="257">
        <v>0</v>
      </c>
      <c r="N9" s="257">
        <v>4</v>
      </c>
      <c r="O9" s="257">
        <v>41</v>
      </c>
      <c r="P9" s="254" t="s">
        <v>211</v>
      </c>
      <c r="Q9" s="250"/>
      <c r="R9" s="250"/>
      <c r="S9" s="250"/>
      <c r="T9" s="250"/>
      <c r="U9" s="250"/>
      <c r="V9" s="250"/>
      <c r="W9" s="257" t="s">
        <v>173</v>
      </c>
      <c r="X9" s="250"/>
      <c r="Y9" s="257" t="s">
        <v>198</v>
      </c>
      <c r="Z9" s="257" t="s">
        <v>317</v>
      </c>
      <c r="AA9" s="257" t="s">
        <v>212</v>
      </c>
      <c r="AB9" s="257" t="s">
        <v>231</v>
      </c>
      <c r="AC9" s="257" t="s">
        <v>242</v>
      </c>
      <c r="AD9" s="257" t="s">
        <v>171</v>
      </c>
      <c r="AE9" s="257" t="s">
        <v>95</v>
      </c>
      <c r="AF9" s="250"/>
      <c r="AG9" s="250"/>
      <c r="AH9" s="250"/>
      <c r="AI9" s="250"/>
      <c r="AJ9" s="250"/>
    </row>
    <row r="10" spans="1:36" x14ac:dyDescent="0.3">
      <c r="A10" s="252" t="s">
        <v>157</v>
      </c>
      <c r="B10" s="253">
        <v>46000</v>
      </c>
      <c r="C10" s="254" t="s">
        <v>258</v>
      </c>
      <c r="D10" s="255" t="s">
        <v>283</v>
      </c>
      <c r="E10" s="254" t="s">
        <v>257</v>
      </c>
      <c r="F10" s="254" t="s">
        <v>141</v>
      </c>
      <c r="G10" s="256">
        <v>0.37219999999999998</v>
      </c>
      <c r="H10" s="257">
        <v>180</v>
      </c>
      <c r="I10" s="257">
        <v>67</v>
      </c>
      <c r="J10" s="257">
        <v>0</v>
      </c>
      <c r="K10" s="254" t="s">
        <v>142</v>
      </c>
      <c r="L10" s="258" t="s">
        <v>37</v>
      </c>
      <c r="M10" s="257">
        <v>0</v>
      </c>
      <c r="N10" s="257">
        <v>7</v>
      </c>
      <c r="O10" s="257">
        <v>37</v>
      </c>
      <c r="P10" s="254" t="s">
        <v>249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7" t="s">
        <v>233</v>
      </c>
      <c r="AA10" s="257" t="s">
        <v>143</v>
      </c>
      <c r="AB10" s="250"/>
      <c r="AC10" s="257" t="s">
        <v>202</v>
      </c>
      <c r="AD10" s="257" t="s">
        <v>99</v>
      </c>
      <c r="AE10" s="257" t="s">
        <v>247</v>
      </c>
      <c r="AF10" s="257" t="s">
        <v>318</v>
      </c>
      <c r="AG10" s="250"/>
      <c r="AH10" s="250"/>
      <c r="AI10" s="250"/>
      <c r="AJ10" s="250"/>
    </row>
    <row r="11" spans="1:36" x14ac:dyDescent="0.3">
      <c r="A11" s="252" t="s">
        <v>179</v>
      </c>
      <c r="B11" s="253">
        <v>46002</v>
      </c>
      <c r="C11" s="254" t="s">
        <v>258</v>
      </c>
      <c r="D11" s="255" t="s">
        <v>289</v>
      </c>
      <c r="E11" s="254" t="s">
        <v>257</v>
      </c>
      <c r="F11" s="254" t="s">
        <v>141</v>
      </c>
      <c r="G11" s="256">
        <v>0.41110000000000002</v>
      </c>
      <c r="H11" s="257">
        <v>180</v>
      </c>
      <c r="I11" s="257">
        <v>74</v>
      </c>
      <c r="J11" s="257">
        <v>0</v>
      </c>
      <c r="K11" s="254" t="s">
        <v>142</v>
      </c>
      <c r="L11" s="258" t="s">
        <v>37</v>
      </c>
      <c r="M11" s="257">
        <v>0</v>
      </c>
      <c r="N11" s="257">
        <v>21</v>
      </c>
      <c r="O11" s="257">
        <v>55</v>
      </c>
      <c r="P11" s="254" t="s">
        <v>62</v>
      </c>
      <c r="Q11" s="250"/>
      <c r="R11" s="250"/>
      <c r="S11" s="250"/>
      <c r="T11" s="250"/>
      <c r="U11" s="250"/>
      <c r="V11" s="250"/>
      <c r="W11" s="250"/>
      <c r="X11" s="250"/>
      <c r="Y11" s="257" t="s">
        <v>40</v>
      </c>
      <c r="Z11" s="250"/>
      <c r="AA11" s="257" t="s">
        <v>229</v>
      </c>
      <c r="AB11" s="250"/>
      <c r="AC11" s="257" t="s">
        <v>242</v>
      </c>
      <c r="AD11" s="257" t="s">
        <v>184</v>
      </c>
      <c r="AE11" s="257" t="s">
        <v>178</v>
      </c>
      <c r="AF11" s="257" t="s">
        <v>319</v>
      </c>
      <c r="AG11" s="250"/>
      <c r="AH11" s="250"/>
      <c r="AI11" s="250"/>
      <c r="AJ11" s="250"/>
    </row>
    <row r="12" spans="1:36" x14ac:dyDescent="0.3">
      <c r="A12" s="252" t="s">
        <v>185</v>
      </c>
      <c r="B12" s="253">
        <v>46003</v>
      </c>
      <c r="C12" s="254" t="s">
        <v>258</v>
      </c>
      <c r="D12" s="255" t="s">
        <v>296</v>
      </c>
      <c r="E12" s="254" t="s">
        <v>257</v>
      </c>
      <c r="F12" s="254" t="s">
        <v>141</v>
      </c>
      <c r="G12" s="256">
        <v>0.28889999999999999</v>
      </c>
      <c r="H12" s="257">
        <v>180</v>
      </c>
      <c r="I12" s="257">
        <v>52</v>
      </c>
      <c r="J12" s="257">
        <v>0</v>
      </c>
      <c r="K12" s="254" t="s">
        <v>142</v>
      </c>
      <c r="L12" s="258" t="s">
        <v>37</v>
      </c>
      <c r="M12" s="257">
        <v>0</v>
      </c>
      <c r="N12" s="257">
        <v>6</v>
      </c>
      <c r="O12" s="257">
        <v>21</v>
      </c>
      <c r="P12" s="254" t="s">
        <v>73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7" t="s">
        <v>226</v>
      </c>
      <c r="AA12" s="257" t="s">
        <v>229</v>
      </c>
      <c r="AB12" s="250"/>
      <c r="AC12" s="257" t="s">
        <v>245</v>
      </c>
      <c r="AD12" s="257" t="s">
        <v>145</v>
      </c>
      <c r="AE12" s="257" t="s">
        <v>241</v>
      </c>
      <c r="AF12" s="257" t="s">
        <v>319</v>
      </c>
      <c r="AG12" s="250"/>
      <c r="AH12" s="250"/>
      <c r="AI12" s="250"/>
      <c r="AJ12" s="250"/>
    </row>
    <row r="13" spans="1:36" x14ac:dyDescent="0.3">
      <c r="A13" s="252" t="s">
        <v>205</v>
      </c>
      <c r="B13" s="253">
        <v>46004</v>
      </c>
      <c r="C13" s="254" t="s">
        <v>258</v>
      </c>
      <c r="D13" s="255" t="s">
        <v>289</v>
      </c>
      <c r="E13" s="254" t="s">
        <v>257</v>
      </c>
      <c r="F13" s="254" t="s">
        <v>141</v>
      </c>
      <c r="G13" s="256">
        <v>0.2722</v>
      </c>
      <c r="H13" s="257">
        <v>180</v>
      </c>
      <c r="I13" s="257">
        <v>49</v>
      </c>
      <c r="J13" s="257">
        <v>0</v>
      </c>
      <c r="K13" s="254" t="s">
        <v>142</v>
      </c>
      <c r="L13" s="258" t="s">
        <v>37</v>
      </c>
      <c r="M13" s="257">
        <v>0</v>
      </c>
      <c r="N13" s="257">
        <v>3</v>
      </c>
      <c r="O13" s="257">
        <v>9</v>
      </c>
      <c r="P13" s="254" t="s">
        <v>62</v>
      </c>
      <c r="Q13" s="250"/>
      <c r="R13" s="250"/>
      <c r="S13" s="250"/>
      <c r="T13" s="250"/>
      <c r="U13" s="250"/>
      <c r="V13" s="250"/>
      <c r="W13" s="250"/>
      <c r="X13" s="250"/>
      <c r="Y13" s="257" t="s">
        <v>320</v>
      </c>
      <c r="Z13" s="257" t="s">
        <v>226</v>
      </c>
      <c r="AA13" s="250"/>
      <c r="AB13" s="257" t="s">
        <v>201</v>
      </c>
      <c r="AC13" s="257" t="s">
        <v>321</v>
      </c>
      <c r="AD13" s="257" t="s">
        <v>164</v>
      </c>
      <c r="AE13" s="257" t="s">
        <v>100</v>
      </c>
      <c r="AF13" s="250"/>
      <c r="AG13" s="250"/>
      <c r="AH13" s="250"/>
      <c r="AI13" s="250"/>
      <c r="AJ13" s="250"/>
    </row>
    <row r="14" spans="1:36" x14ac:dyDescent="0.3">
      <c r="A14" s="252" t="s">
        <v>157</v>
      </c>
      <c r="B14" s="253">
        <v>46007</v>
      </c>
      <c r="C14" s="254" t="s">
        <v>258</v>
      </c>
      <c r="D14" s="255" t="s">
        <v>283</v>
      </c>
      <c r="E14" s="254" t="s">
        <v>257</v>
      </c>
      <c r="F14" s="254" t="s">
        <v>141</v>
      </c>
      <c r="G14" s="256">
        <v>0.1444</v>
      </c>
      <c r="H14" s="257">
        <v>180</v>
      </c>
      <c r="I14" s="257">
        <v>26</v>
      </c>
      <c r="J14" s="257">
        <v>0</v>
      </c>
      <c r="K14" s="254" t="s">
        <v>142</v>
      </c>
      <c r="L14" s="258" t="s">
        <v>37</v>
      </c>
      <c r="M14" s="257">
        <v>0</v>
      </c>
      <c r="N14" s="257">
        <v>5</v>
      </c>
      <c r="O14" s="257">
        <v>15</v>
      </c>
      <c r="P14" s="254" t="s">
        <v>84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7" t="s">
        <v>233</v>
      </c>
      <c r="AA14" s="250"/>
      <c r="AB14" s="250"/>
      <c r="AC14" s="250"/>
      <c r="AD14" s="257" t="s">
        <v>249</v>
      </c>
      <c r="AE14" s="257" t="s">
        <v>322</v>
      </c>
      <c r="AF14" s="257" t="s">
        <v>323</v>
      </c>
      <c r="AG14" s="250"/>
      <c r="AH14" s="250"/>
      <c r="AI14" s="250"/>
      <c r="AJ14" s="250"/>
    </row>
    <row r="15" spans="1:36" x14ac:dyDescent="0.3">
      <c r="A15" s="252" t="s">
        <v>179</v>
      </c>
      <c r="B15" s="253">
        <v>46009</v>
      </c>
      <c r="C15" s="254" t="s">
        <v>258</v>
      </c>
      <c r="D15" s="255" t="s">
        <v>289</v>
      </c>
      <c r="E15" s="254" t="s">
        <v>257</v>
      </c>
      <c r="F15" s="254" t="s">
        <v>141</v>
      </c>
      <c r="G15" s="256">
        <v>0.16109999999999999</v>
      </c>
      <c r="H15" s="257">
        <v>180</v>
      </c>
      <c r="I15" s="257">
        <v>29</v>
      </c>
      <c r="J15" s="257">
        <v>0</v>
      </c>
      <c r="K15" s="254" t="s">
        <v>142</v>
      </c>
      <c r="L15" s="258" t="s">
        <v>75</v>
      </c>
      <c r="M15" s="257">
        <v>3</v>
      </c>
      <c r="N15" s="257">
        <v>10</v>
      </c>
      <c r="O15" s="257">
        <v>15</v>
      </c>
      <c r="P15" s="254" t="s">
        <v>99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7" t="s">
        <v>324</v>
      </c>
      <c r="AE15" s="257" t="s">
        <v>101</v>
      </c>
      <c r="AF15" s="257" t="s">
        <v>221</v>
      </c>
      <c r="AG15" s="250"/>
      <c r="AH15" s="250"/>
      <c r="AI15" s="250"/>
      <c r="AJ15" s="250"/>
    </row>
    <row r="16" spans="1:36" x14ac:dyDescent="0.3">
      <c r="A16" s="252" t="s">
        <v>185</v>
      </c>
      <c r="B16" s="253">
        <v>46010</v>
      </c>
      <c r="C16" s="254" t="s">
        <v>258</v>
      </c>
      <c r="D16" s="255" t="s">
        <v>296</v>
      </c>
      <c r="E16" s="254" t="s">
        <v>257</v>
      </c>
      <c r="F16" s="254" t="s">
        <v>141</v>
      </c>
      <c r="G16" s="256">
        <v>9.4399999999999998E-2</v>
      </c>
      <c r="H16" s="257">
        <v>180</v>
      </c>
      <c r="I16" s="257">
        <v>17</v>
      </c>
      <c r="J16" s="257">
        <v>0</v>
      </c>
      <c r="K16" s="254" t="s">
        <v>142</v>
      </c>
      <c r="L16" s="258" t="s">
        <v>32</v>
      </c>
      <c r="M16" s="257">
        <v>0</v>
      </c>
      <c r="N16" s="257">
        <v>0</v>
      </c>
      <c r="O16" s="257">
        <v>2</v>
      </c>
      <c r="P16" s="254" t="s">
        <v>99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7" t="s">
        <v>184</v>
      </c>
      <c r="AE16" s="257" t="s">
        <v>108</v>
      </c>
      <c r="AF16" s="250"/>
      <c r="AG16" s="250"/>
      <c r="AH16" s="250"/>
      <c r="AI16" s="250"/>
      <c r="AJ16" s="250"/>
    </row>
    <row r="17" spans="1:36" x14ac:dyDescent="0.3">
      <c r="A17" s="252" t="s">
        <v>205</v>
      </c>
      <c r="B17" s="253">
        <v>46011</v>
      </c>
      <c r="C17" s="254" t="s">
        <v>258</v>
      </c>
      <c r="D17" s="255" t="s">
        <v>289</v>
      </c>
      <c r="E17" s="254" t="s">
        <v>257</v>
      </c>
      <c r="F17" s="254" t="s">
        <v>141</v>
      </c>
      <c r="G17" s="256">
        <v>0.32779999999999998</v>
      </c>
      <c r="H17" s="257">
        <v>180</v>
      </c>
      <c r="I17" s="257">
        <v>59</v>
      </c>
      <c r="J17" s="257">
        <v>0</v>
      </c>
      <c r="K17" s="254" t="s">
        <v>142</v>
      </c>
      <c r="L17" s="258" t="s">
        <v>37</v>
      </c>
      <c r="M17" s="257">
        <v>0</v>
      </c>
      <c r="N17" s="257">
        <v>2</v>
      </c>
      <c r="O17" s="257">
        <v>25</v>
      </c>
      <c r="P17" s="254" t="s">
        <v>69</v>
      </c>
      <c r="Q17" s="250"/>
      <c r="R17" s="250"/>
      <c r="S17" s="250"/>
      <c r="T17" s="250"/>
      <c r="U17" s="250"/>
      <c r="V17" s="250"/>
      <c r="W17" s="250"/>
      <c r="X17" s="250"/>
      <c r="Y17" s="257" t="s">
        <v>40</v>
      </c>
      <c r="Z17" s="257" t="s">
        <v>226</v>
      </c>
      <c r="AA17" s="257" t="s">
        <v>325</v>
      </c>
      <c r="AB17" s="257" t="s">
        <v>326</v>
      </c>
      <c r="AC17" s="257" t="s">
        <v>327</v>
      </c>
      <c r="AD17" s="257" t="s">
        <v>220</v>
      </c>
      <c r="AE17" s="257" t="s">
        <v>253</v>
      </c>
      <c r="AF17" s="250"/>
      <c r="AG17" s="250"/>
      <c r="AH17" s="250"/>
      <c r="AI17" s="250"/>
      <c r="AJ17" s="250"/>
    </row>
    <row r="18" spans="1:36" x14ac:dyDescent="0.3">
      <c r="A18" s="252" t="s">
        <v>157</v>
      </c>
      <c r="B18" s="253">
        <v>46014</v>
      </c>
      <c r="C18" s="254" t="s">
        <v>258</v>
      </c>
      <c r="D18" s="255" t="s">
        <v>283</v>
      </c>
      <c r="E18" s="254" t="s">
        <v>257</v>
      </c>
      <c r="F18" s="254" t="s">
        <v>141</v>
      </c>
      <c r="G18" s="256">
        <v>7.7799999999999994E-2</v>
      </c>
      <c r="H18" s="257">
        <v>180</v>
      </c>
      <c r="I18" s="257">
        <v>14</v>
      </c>
      <c r="J18" s="257">
        <v>0</v>
      </c>
      <c r="K18" s="254" t="s">
        <v>142</v>
      </c>
      <c r="L18" s="258" t="s">
        <v>107</v>
      </c>
      <c r="M18" s="257">
        <v>0</v>
      </c>
      <c r="N18" s="257">
        <v>0</v>
      </c>
      <c r="O18" s="257">
        <v>3</v>
      </c>
      <c r="P18" s="254" t="s">
        <v>99</v>
      </c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7" t="s">
        <v>192</v>
      </c>
      <c r="AD18" s="257" t="s">
        <v>164</v>
      </c>
      <c r="AE18" s="257" t="s">
        <v>95</v>
      </c>
      <c r="AF18" s="250"/>
      <c r="AG18" s="250"/>
      <c r="AH18" s="250"/>
      <c r="AI18" s="250"/>
      <c r="AJ18" s="250"/>
    </row>
    <row r="19" spans="1:36" x14ac:dyDescent="0.3">
      <c r="A19" s="252" t="s">
        <v>179</v>
      </c>
      <c r="B19" s="253">
        <v>46016</v>
      </c>
      <c r="C19" s="254" t="s">
        <v>258</v>
      </c>
      <c r="D19" s="255" t="s">
        <v>289</v>
      </c>
      <c r="E19" s="254" t="s">
        <v>257</v>
      </c>
      <c r="F19" s="254" t="s">
        <v>141</v>
      </c>
      <c r="G19" s="256">
        <v>0.15</v>
      </c>
      <c r="H19" s="257">
        <v>180</v>
      </c>
      <c r="I19" s="257">
        <v>27</v>
      </c>
      <c r="J19" s="257">
        <v>0</v>
      </c>
      <c r="K19" s="254" t="s">
        <v>142</v>
      </c>
      <c r="L19" s="258" t="s">
        <v>102</v>
      </c>
      <c r="M19" s="257">
        <v>0</v>
      </c>
      <c r="N19" s="257">
        <v>0</v>
      </c>
      <c r="O19" s="257">
        <v>8</v>
      </c>
      <c r="P19" s="254" t="s">
        <v>155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7" t="s">
        <v>328</v>
      </c>
      <c r="AD19" s="257" t="s">
        <v>164</v>
      </c>
      <c r="AE19" s="257" t="s">
        <v>224</v>
      </c>
      <c r="AF19" s="250"/>
      <c r="AG19" s="250"/>
      <c r="AH19" s="250"/>
      <c r="AI19" s="250"/>
      <c r="AJ19" s="250"/>
    </row>
    <row r="20" spans="1:36" x14ac:dyDescent="0.3">
      <c r="A20" s="252" t="s">
        <v>185</v>
      </c>
      <c r="B20" s="253">
        <v>46017</v>
      </c>
      <c r="C20" s="254" t="s">
        <v>258</v>
      </c>
      <c r="D20" s="255" t="s">
        <v>296</v>
      </c>
      <c r="E20" s="254" t="s">
        <v>257</v>
      </c>
      <c r="F20" s="254" t="s">
        <v>141</v>
      </c>
      <c r="G20" s="256">
        <v>3.8899999999999997E-2</v>
      </c>
      <c r="H20" s="257">
        <v>180</v>
      </c>
      <c r="I20" s="257">
        <v>7</v>
      </c>
      <c r="J20" s="257">
        <v>0</v>
      </c>
      <c r="K20" s="254" t="s">
        <v>142</v>
      </c>
      <c r="L20" s="258" t="s">
        <v>37</v>
      </c>
      <c r="M20" s="257">
        <v>0</v>
      </c>
      <c r="N20" s="257">
        <v>1</v>
      </c>
      <c r="O20" s="257">
        <v>3</v>
      </c>
      <c r="P20" s="254" t="s">
        <v>281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7" t="s">
        <v>100</v>
      </c>
      <c r="AF20" s="257" t="s">
        <v>225</v>
      </c>
      <c r="AG20" s="250"/>
      <c r="AH20" s="250"/>
      <c r="AI20" s="250"/>
      <c r="AJ20" s="250"/>
    </row>
    <row r="21" spans="1:36" ht="21" x14ac:dyDescent="0.3">
      <c r="A21" s="259" t="s">
        <v>900</v>
      </c>
      <c r="B21" s="260"/>
      <c r="C21" s="259">
        <f>SUBTOTAL(103,CAI_DMM_LF_LEGACY[Flt])</f>
        <v>19</v>
      </c>
      <c r="D21" s="259"/>
      <c r="E21" s="259">
        <f>SUBTOTAL(103,CAI_DMM_LF_LEGACY[Brd-Off])</f>
        <v>19</v>
      </c>
      <c r="F21" s="259"/>
      <c r="G21" s="261">
        <f>SUBTOTAL(101,CAI_DMM_LF_LEGACY[LF%])</f>
        <v>0.38478421052631578</v>
      </c>
      <c r="H21" s="262">
        <f>SUBTOTAL(109,CAI_DMM_LF_LEGACY[CAP])</f>
        <v>3420</v>
      </c>
      <c r="I21" s="262">
        <f>SUBTOTAL(109,CAI_DMM_LF_LEGACY[BKG(Y)])</f>
        <v>1316</v>
      </c>
      <c r="J21" s="262">
        <f>SUBTOTAL(109,CAI_DMM_LF_LEGACY[GRP(Y)])</f>
        <v>0</v>
      </c>
      <c r="K21" s="259"/>
      <c r="L21" s="260"/>
      <c r="M21" s="262">
        <f>SUBTOTAL(109,CAI_DMM_LF_LEGACY[TO-DAY])</f>
        <v>5</v>
      </c>
      <c r="N21" s="262">
        <f>SUBTOTAL(109,CAI_DMM_LF_LEGACY[Y-DAY])</f>
        <v>124</v>
      </c>
      <c r="O21" s="262">
        <f>SUBTOTAL(109,CAI_DMM_LF_LEGACY[WEEKLY])</f>
        <v>537</v>
      </c>
      <c r="P21" s="263"/>
      <c r="Q21" s="262">
        <f>SUBTOTAL(109,CAI_DMM_LF_LEGACY[Y])</f>
        <v>0</v>
      </c>
      <c r="R21" s="262">
        <f>SUBTOTAL(109,CAI_DMM_LF_LEGACY[B])</f>
        <v>0</v>
      </c>
      <c r="S21" s="262">
        <f>SUBTOTAL(109,CAI_DMM_LF_LEGACY[M])</f>
        <v>0</v>
      </c>
      <c r="T21" s="262">
        <f>SUBTOTAL(109,CAI_DMM_LF_LEGACY[H])</f>
        <v>0</v>
      </c>
      <c r="U21" s="262">
        <f>SUBTOTAL(109,CAI_DMM_LF_LEGACY[Q])</f>
        <v>0</v>
      </c>
      <c r="V21" s="262">
        <f>SUBTOTAL(109,CAI_DMM_LF_LEGACY[K])</f>
        <v>0</v>
      </c>
      <c r="W21" s="262">
        <f>SUBTOTAL(109,CAI_DMM_LF_LEGACY[V])</f>
        <v>0</v>
      </c>
      <c r="X21" s="262">
        <f>SUBTOTAL(109,CAI_DMM_LF_LEGACY[L])</f>
        <v>0</v>
      </c>
      <c r="Y21" s="262">
        <f>SUBTOTAL(109,CAI_DMM_LF_LEGACY[G])</f>
        <v>0</v>
      </c>
      <c r="Z21" s="262">
        <f>SUBTOTAL(109,CAI_DMM_LF_LEGACY[S])</f>
        <v>0</v>
      </c>
      <c r="AA21" s="262">
        <f>SUBTOTAL(109,CAI_DMM_LF_LEGACY[W])</f>
        <v>0</v>
      </c>
      <c r="AB21" s="262">
        <f>SUBTOTAL(109,CAI_DMM_LF_LEGACY[T])</f>
        <v>0</v>
      </c>
      <c r="AC21" s="262">
        <f>SUBTOTAL(109,CAI_DMM_LF_LEGACY[X])</f>
        <v>0</v>
      </c>
      <c r="AD21" s="262">
        <f>SUBTOTAL(109,CAI_DMM_LF_LEGACY[U])</f>
        <v>0</v>
      </c>
      <c r="AE21" s="262">
        <f>SUBTOTAL(109,CAI_DMM_LF_LEGACY[O])</f>
        <v>0</v>
      </c>
      <c r="AF21" s="262">
        <f>SUBTOTAL(109,CAI_DMM_LF_LEGACY[I])</f>
        <v>0</v>
      </c>
      <c r="AG21" s="262">
        <f>SUBTOTAL(109,CAI_DMM_LF_LEGACY[E])</f>
        <v>0</v>
      </c>
      <c r="AH21" s="262">
        <f>SUBTOTAL(109,CAI_DMM_LF_LEGACY[A])</f>
        <v>0</v>
      </c>
      <c r="AI21" s="262">
        <f>SUBTOTAL(109,CAI_DMM_LF_LEGACY[P])</f>
        <v>0</v>
      </c>
      <c r="AJ21" s="262">
        <f>SUBTOTAL(103,CAI_DMM_LF_LEGACY[N])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6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53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6.7773437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329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45984.228702831882</v>
      </c>
      <c r="H2" s="235"/>
      <c r="I2" s="235"/>
      <c r="J2" s="235"/>
      <c r="K2" s="245">
        <v>45984.228702832399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45987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0" t="s">
        <v>28</v>
      </c>
      <c r="B6" s="80" t="s">
        <v>330</v>
      </c>
      <c r="C6" s="81">
        <v>0.71180555555555547</v>
      </c>
      <c r="D6" s="80" t="s">
        <v>30</v>
      </c>
      <c r="E6" s="82"/>
      <c r="F6" s="80" t="s">
        <v>36</v>
      </c>
      <c r="G6" s="237"/>
      <c r="H6" s="100" t="s">
        <v>330</v>
      </c>
      <c r="I6" s="101">
        <v>0.51959999999999995</v>
      </c>
      <c r="J6" s="102">
        <v>93</v>
      </c>
      <c r="K6" s="103" t="s">
        <v>37</v>
      </c>
      <c r="L6" s="102">
        <v>47</v>
      </c>
      <c r="M6" s="102">
        <v>0</v>
      </c>
      <c r="N6" s="102">
        <v>14</v>
      </c>
      <c r="O6" s="104" t="s">
        <v>164</v>
      </c>
      <c r="P6" s="105">
        <v>0.71180555555555547</v>
      </c>
      <c r="Q6" s="102">
        <v>179</v>
      </c>
      <c r="R6" s="106" t="s">
        <v>331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45988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330</v>
      </c>
      <c r="C10" s="37">
        <v>0.71180555555555547</v>
      </c>
      <c r="D10" s="36" t="s">
        <v>30</v>
      </c>
      <c r="E10" s="38"/>
      <c r="F10" s="36" t="s">
        <v>36</v>
      </c>
      <c r="G10" s="232"/>
      <c r="H10" s="112" t="s">
        <v>330</v>
      </c>
      <c r="I10" s="113">
        <v>0.51400000000000001</v>
      </c>
      <c r="J10" s="114">
        <v>92</v>
      </c>
      <c r="K10" s="115" t="s">
        <v>37</v>
      </c>
      <c r="L10" s="114">
        <v>20</v>
      </c>
      <c r="M10" s="114">
        <v>0</v>
      </c>
      <c r="N10" s="114">
        <v>1</v>
      </c>
      <c r="O10" s="116" t="s">
        <v>155</v>
      </c>
      <c r="P10" s="117">
        <v>0.71180555555555547</v>
      </c>
      <c r="Q10" s="114">
        <v>179</v>
      </c>
      <c r="R10" s="118" t="s">
        <v>332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45990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76" t="s">
        <v>28</v>
      </c>
      <c r="B14" s="76" t="s">
        <v>330</v>
      </c>
      <c r="C14" s="77">
        <v>0.83680555555555547</v>
      </c>
      <c r="D14" s="76" t="s">
        <v>30</v>
      </c>
      <c r="E14" s="78"/>
      <c r="F14" s="76" t="s">
        <v>36</v>
      </c>
      <c r="G14" s="232"/>
      <c r="H14" s="49" t="s">
        <v>330</v>
      </c>
      <c r="I14" s="50">
        <v>0.62570000000000003</v>
      </c>
      <c r="J14" s="51">
        <v>112</v>
      </c>
      <c r="K14" s="52" t="s">
        <v>102</v>
      </c>
      <c r="L14" s="51">
        <v>5</v>
      </c>
      <c r="M14" s="51">
        <v>0</v>
      </c>
      <c r="N14" s="51">
        <v>0</v>
      </c>
      <c r="O14" s="53" t="s">
        <v>173</v>
      </c>
      <c r="P14" s="54">
        <v>0.83680555555555547</v>
      </c>
      <c r="Q14" s="51">
        <v>179</v>
      </c>
      <c r="R14" s="55" t="s">
        <v>333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45994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36" t="s">
        <v>28</v>
      </c>
      <c r="B18" s="36" t="s">
        <v>330</v>
      </c>
      <c r="C18" s="37">
        <v>0.71180555555555547</v>
      </c>
      <c r="D18" s="36" t="s">
        <v>30</v>
      </c>
      <c r="E18" s="38"/>
      <c r="F18" s="36" t="s">
        <v>36</v>
      </c>
      <c r="G18" s="232"/>
      <c r="H18" s="112" t="s">
        <v>330</v>
      </c>
      <c r="I18" s="113">
        <v>0.33939999999999998</v>
      </c>
      <c r="J18" s="114">
        <v>37</v>
      </c>
      <c r="K18" s="115" t="s">
        <v>37</v>
      </c>
      <c r="L18" s="114">
        <v>7</v>
      </c>
      <c r="M18" s="114">
        <v>0</v>
      </c>
      <c r="N18" s="114">
        <v>1</v>
      </c>
      <c r="O18" s="116" t="s">
        <v>76</v>
      </c>
      <c r="P18" s="117">
        <v>0.71180555555555547</v>
      </c>
      <c r="Q18" s="114">
        <v>109</v>
      </c>
      <c r="R18" s="118" t="s">
        <v>334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45995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36" t="s">
        <v>28</v>
      </c>
      <c r="B22" s="36" t="s">
        <v>330</v>
      </c>
      <c r="C22" s="37">
        <v>0.71180555555555547</v>
      </c>
      <c r="D22" s="36" t="s">
        <v>30</v>
      </c>
      <c r="E22" s="38"/>
      <c r="F22" s="36" t="s">
        <v>68</v>
      </c>
      <c r="G22" s="232"/>
      <c r="H22" s="112" t="s">
        <v>330</v>
      </c>
      <c r="I22" s="113">
        <v>0.14530000000000001</v>
      </c>
      <c r="J22" s="114">
        <v>26</v>
      </c>
      <c r="K22" s="115" t="s">
        <v>102</v>
      </c>
      <c r="L22" s="114">
        <v>10</v>
      </c>
      <c r="M22" s="114">
        <v>0</v>
      </c>
      <c r="N22" s="114">
        <v>0</v>
      </c>
      <c r="O22" s="116" t="s">
        <v>78</v>
      </c>
      <c r="P22" s="117">
        <v>0.71180555555555547</v>
      </c>
      <c r="Q22" s="114">
        <v>179</v>
      </c>
      <c r="R22" s="118" t="s">
        <v>335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45997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330</v>
      </c>
      <c r="C26" s="57">
        <v>0.83680555555555547</v>
      </c>
      <c r="D26" s="56" t="s">
        <v>30</v>
      </c>
      <c r="E26" s="58"/>
      <c r="F26" s="56" t="s">
        <v>36</v>
      </c>
      <c r="G26" s="237"/>
      <c r="H26" s="59" t="s">
        <v>330</v>
      </c>
      <c r="I26" s="60">
        <v>0.66059999999999997</v>
      </c>
      <c r="J26" s="61">
        <v>72</v>
      </c>
      <c r="K26" s="62" t="s">
        <v>75</v>
      </c>
      <c r="L26" s="61">
        <v>24</v>
      </c>
      <c r="M26" s="61">
        <v>1</v>
      </c>
      <c r="N26" s="61">
        <v>2</v>
      </c>
      <c r="O26" s="63" t="s">
        <v>73</v>
      </c>
      <c r="P26" s="64">
        <v>0.83680555555555547</v>
      </c>
      <c r="Q26" s="61">
        <v>109</v>
      </c>
      <c r="R26" s="65" t="s">
        <v>336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46001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76" t="s">
        <v>28</v>
      </c>
      <c r="B30" s="76" t="s">
        <v>330</v>
      </c>
      <c r="C30" s="77">
        <v>0.71180555555555547</v>
      </c>
      <c r="D30" s="76" t="s">
        <v>30</v>
      </c>
      <c r="E30" s="78"/>
      <c r="F30" s="76" t="s">
        <v>68</v>
      </c>
      <c r="G30" s="232"/>
      <c r="H30" s="49" t="s">
        <v>330</v>
      </c>
      <c r="I30" s="79">
        <v>0.1101</v>
      </c>
      <c r="J30" s="51">
        <v>12</v>
      </c>
      <c r="K30" s="52" t="s">
        <v>32</v>
      </c>
      <c r="L30" s="51">
        <v>2</v>
      </c>
      <c r="M30" s="51">
        <v>0</v>
      </c>
      <c r="N30" s="51">
        <v>0</v>
      </c>
      <c r="O30" s="53" t="s">
        <v>204</v>
      </c>
      <c r="P30" s="54">
        <v>0.71180555555555547</v>
      </c>
      <c r="Q30" s="51">
        <v>109</v>
      </c>
      <c r="R30" s="55" t="s">
        <v>337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46002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76" t="s">
        <v>28</v>
      </c>
      <c r="B34" s="76" t="s">
        <v>330</v>
      </c>
      <c r="C34" s="77">
        <v>0.71180555555555547</v>
      </c>
      <c r="D34" s="76" t="s">
        <v>30</v>
      </c>
      <c r="E34" s="78"/>
      <c r="F34" s="76" t="s">
        <v>68</v>
      </c>
      <c r="G34" s="232"/>
      <c r="H34" s="49" t="s">
        <v>330</v>
      </c>
      <c r="I34" s="79">
        <v>5.0299999999999997E-2</v>
      </c>
      <c r="J34" s="51">
        <v>9</v>
      </c>
      <c r="K34" s="52" t="s">
        <v>37</v>
      </c>
      <c r="L34" s="51">
        <v>4</v>
      </c>
      <c r="M34" s="51">
        <v>0</v>
      </c>
      <c r="N34" s="51">
        <v>3</v>
      </c>
      <c r="O34" s="53" t="s">
        <v>78</v>
      </c>
      <c r="P34" s="54">
        <v>0.71180555555555547</v>
      </c>
      <c r="Q34" s="51">
        <v>179</v>
      </c>
      <c r="R34" s="55" t="s">
        <v>338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46004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" t="s">
        <v>28</v>
      </c>
      <c r="B38" s="8" t="s">
        <v>330</v>
      </c>
      <c r="C38" s="9">
        <v>0.83680555555555547</v>
      </c>
      <c r="D38" s="8" t="s">
        <v>30</v>
      </c>
      <c r="E38" s="10"/>
      <c r="F38" s="8" t="s">
        <v>68</v>
      </c>
      <c r="G38" s="232"/>
      <c r="H38" s="11" t="s">
        <v>330</v>
      </c>
      <c r="I38" s="107">
        <v>0.28439999999999999</v>
      </c>
      <c r="J38" s="13">
        <v>31</v>
      </c>
      <c r="K38" s="14" t="s">
        <v>82</v>
      </c>
      <c r="L38" s="13">
        <v>7</v>
      </c>
      <c r="M38" s="13">
        <v>0</v>
      </c>
      <c r="N38" s="13">
        <v>0</v>
      </c>
      <c r="O38" s="15" t="s">
        <v>84</v>
      </c>
      <c r="P38" s="16">
        <v>0.83680555555555547</v>
      </c>
      <c r="Q38" s="13">
        <v>109</v>
      </c>
      <c r="R38" s="17" t="s">
        <v>339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22.05" customHeight="1" thickTop="1" thickBot="1" x14ac:dyDescent="0.35">
      <c r="A40" s="241" t="s">
        <v>8</v>
      </c>
      <c r="B40" s="239"/>
      <c r="C40" s="239"/>
      <c r="D40" s="239"/>
      <c r="E40" s="239"/>
      <c r="F40" s="240"/>
      <c r="G40" s="18">
        <v>46008</v>
      </c>
      <c r="H40" s="238" t="s">
        <v>9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4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330</v>
      </c>
      <c r="C42" s="9">
        <v>0.71180555555555547</v>
      </c>
      <c r="D42" s="8" t="s">
        <v>30</v>
      </c>
      <c r="E42" s="10"/>
      <c r="F42" s="8" t="s">
        <v>68</v>
      </c>
      <c r="G42" s="232"/>
      <c r="H42" s="11" t="s">
        <v>330</v>
      </c>
      <c r="I42" s="107">
        <v>9.1999999999999998E-3</v>
      </c>
      <c r="J42" s="13">
        <v>1</v>
      </c>
      <c r="K42" s="14" t="s">
        <v>340</v>
      </c>
      <c r="L42" s="13">
        <v>0</v>
      </c>
      <c r="M42" s="13">
        <v>0</v>
      </c>
      <c r="N42" s="13">
        <v>0</v>
      </c>
      <c r="O42" s="15" t="s">
        <v>78</v>
      </c>
      <c r="P42" s="16">
        <v>0.71180555555555547</v>
      </c>
      <c r="Q42" s="13">
        <v>109</v>
      </c>
      <c r="R42" s="17" t="s">
        <v>254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46009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56" t="s">
        <v>28</v>
      </c>
      <c r="B46" s="56" t="s">
        <v>330</v>
      </c>
      <c r="C46" s="57">
        <v>0.71180555555555547</v>
      </c>
      <c r="D46" s="56" t="s">
        <v>30</v>
      </c>
      <c r="E46" s="58"/>
      <c r="F46" s="56" t="s">
        <v>341</v>
      </c>
      <c r="G46" s="232"/>
      <c r="H46" s="59" t="s">
        <v>330</v>
      </c>
      <c r="I46" s="108">
        <v>0</v>
      </c>
      <c r="J46" s="61">
        <v>0</v>
      </c>
      <c r="K46" s="62" t="s">
        <v>342</v>
      </c>
      <c r="L46" s="61">
        <v>0</v>
      </c>
      <c r="M46" s="61">
        <v>0</v>
      </c>
      <c r="N46" s="61">
        <v>0</v>
      </c>
      <c r="O46" s="63" t="s">
        <v>78</v>
      </c>
      <c r="P46" s="64">
        <v>0.71180555555555547</v>
      </c>
      <c r="Q46" s="61">
        <v>179</v>
      </c>
      <c r="R46" s="65" t="s">
        <v>342</v>
      </c>
    </row>
    <row r="47" spans="1:18" ht="17.399999999999999" customHeight="1" thickBot="1" x14ac:dyDescent="0.35">
      <c r="A47" s="264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/>
    </row>
    <row r="48" spans="1:18" ht="22.05" customHeight="1" thickTop="1" thickBot="1" x14ac:dyDescent="0.35">
      <c r="A48" s="241" t="s">
        <v>8</v>
      </c>
      <c r="B48" s="239"/>
      <c r="C48" s="239"/>
      <c r="D48" s="239"/>
      <c r="E48" s="239"/>
      <c r="F48" s="240"/>
      <c r="G48" s="18">
        <v>46011</v>
      </c>
      <c r="H48" s="238" t="s">
        <v>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4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56" t="s">
        <v>28</v>
      </c>
      <c r="B50" s="56" t="s">
        <v>330</v>
      </c>
      <c r="C50" s="57">
        <v>0.83680555555555547</v>
      </c>
      <c r="D50" s="56" t="s">
        <v>30</v>
      </c>
      <c r="E50" s="58"/>
      <c r="F50" s="56" t="s">
        <v>68</v>
      </c>
      <c r="G50" s="232"/>
      <c r="H50" s="59" t="s">
        <v>330</v>
      </c>
      <c r="I50" s="108">
        <v>0.1009</v>
      </c>
      <c r="J50" s="61">
        <v>11</v>
      </c>
      <c r="K50" s="62" t="s">
        <v>32</v>
      </c>
      <c r="L50" s="61">
        <v>1</v>
      </c>
      <c r="M50" s="61">
        <v>0</v>
      </c>
      <c r="N50" s="61">
        <v>0</v>
      </c>
      <c r="O50" s="63" t="s">
        <v>78</v>
      </c>
      <c r="P50" s="64">
        <v>0.83680555555555547</v>
      </c>
      <c r="Q50" s="61">
        <v>109</v>
      </c>
      <c r="R50" s="65" t="s">
        <v>343</v>
      </c>
    </row>
    <row r="51" spans="1:18" ht="17.399999999999999" customHeight="1" thickBot="1" x14ac:dyDescent="0.35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/>
    </row>
    <row r="52" spans="1:18" ht="22.05" customHeight="1" thickTop="1" thickBot="1" x14ac:dyDescent="0.35">
      <c r="A52" s="241" t="s">
        <v>8</v>
      </c>
      <c r="B52" s="239"/>
      <c r="C52" s="239"/>
      <c r="D52" s="239"/>
      <c r="E52" s="239"/>
      <c r="F52" s="240"/>
      <c r="G52" s="18">
        <v>46015</v>
      </c>
      <c r="H52" s="238" t="s">
        <v>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4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76" t="s">
        <v>28</v>
      </c>
      <c r="B54" s="76" t="s">
        <v>330</v>
      </c>
      <c r="C54" s="77">
        <v>0.71180555555555547</v>
      </c>
      <c r="D54" s="76" t="s">
        <v>30</v>
      </c>
      <c r="E54" s="78"/>
      <c r="F54" s="76" t="s">
        <v>341</v>
      </c>
      <c r="G54" s="237"/>
      <c r="H54" s="49" t="s">
        <v>330</v>
      </c>
      <c r="I54" s="79">
        <v>0</v>
      </c>
      <c r="J54" s="51">
        <v>0</v>
      </c>
      <c r="K54" s="52" t="s">
        <v>342</v>
      </c>
      <c r="L54" s="51">
        <v>0</v>
      </c>
      <c r="M54" s="51">
        <v>0</v>
      </c>
      <c r="N54" s="51">
        <v>0</v>
      </c>
      <c r="O54" s="53" t="s">
        <v>78</v>
      </c>
      <c r="P54" s="54">
        <v>0.71180555555555547</v>
      </c>
      <c r="Q54" s="51">
        <v>109</v>
      </c>
      <c r="R54" s="55" t="s">
        <v>342</v>
      </c>
    </row>
    <row r="55" spans="1:18" ht="17.399999999999999" customHeight="1" thickBot="1" x14ac:dyDescent="0.35">
      <c r="A55" s="264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6"/>
    </row>
    <row r="56" spans="1:18" ht="22.05" customHeight="1" thickTop="1" thickBot="1" x14ac:dyDescent="0.35">
      <c r="A56" s="241" t="s">
        <v>8</v>
      </c>
      <c r="B56" s="239"/>
      <c r="C56" s="239"/>
      <c r="D56" s="239"/>
      <c r="E56" s="239"/>
      <c r="F56" s="240"/>
      <c r="G56" s="18">
        <v>46016</v>
      </c>
      <c r="H56" s="238" t="s">
        <v>9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4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76" t="s">
        <v>28</v>
      </c>
      <c r="B58" s="76" t="s">
        <v>330</v>
      </c>
      <c r="C58" s="77">
        <v>0.71180555555555547</v>
      </c>
      <c r="D58" s="76" t="s">
        <v>30</v>
      </c>
      <c r="E58" s="78"/>
      <c r="F58" s="76" t="s">
        <v>68</v>
      </c>
      <c r="G58" s="237"/>
      <c r="H58" s="49" t="s">
        <v>330</v>
      </c>
      <c r="I58" s="79">
        <v>1.6799999999999999E-2</v>
      </c>
      <c r="J58" s="51">
        <v>3</v>
      </c>
      <c r="K58" s="52" t="s">
        <v>344</v>
      </c>
      <c r="L58" s="51">
        <v>0</v>
      </c>
      <c r="M58" s="51">
        <v>0</v>
      </c>
      <c r="N58" s="51">
        <v>0</v>
      </c>
      <c r="O58" s="53" t="s">
        <v>78</v>
      </c>
      <c r="P58" s="54">
        <v>0.71180555555555547</v>
      </c>
      <c r="Q58" s="51">
        <v>179</v>
      </c>
      <c r="R58" s="55" t="s">
        <v>345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6"/>
  <sheetViews>
    <sheetView workbookViewId="0"/>
  </sheetViews>
  <sheetFormatPr defaultRowHeight="15.6" outlineLevelCol="1" x14ac:dyDescent="0.3"/>
  <cols>
    <col min="1" max="1" width="11.5546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8.33203125" style="251" bestFit="1" customWidth="1"/>
    <col min="6" max="6" width="4.21875" style="251" bestFit="1" customWidth="1"/>
    <col min="7" max="7" width="10" style="251" bestFit="1" customWidth="1"/>
    <col min="8" max="8" width="8.5546875" style="251" bestFit="1" customWidth="1"/>
    <col min="9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21" width="3.88671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8" width="3.88671875" style="251" bestFit="1" customWidth="1"/>
    <col min="29" max="29" width="4.21875" style="251" bestFit="1" customWidth="1"/>
    <col min="30" max="31" width="4.5546875" style="251" bestFit="1" customWidth="1"/>
    <col min="32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166</v>
      </c>
      <c r="B2" s="253">
        <v>45987</v>
      </c>
      <c r="C2" s="254" t="s">
        <v>330</v>
      </c>
      <c r="D2" s="255" t="s">
        <v>346</v>
      </c>
      <c r="E2" s="254" t="s">
        <v>329</v>
      </c>
      <c r="F2" s="254" t="s">
        <v>141</v>
      </c>
      <c r="G2" s="256">
        <v>0.51959999999999995</v>
      </c>
      <c r="H2" s="257">
        <v>179</v>
      </c>
      <c r="I2" s="257">
        <v>93</v>
      </c>
      <c r="J2" s="257">
        <v>0</v>
      </c>
      <c r="K2" s="254" t="s">
        <v>142</v>
      </c>
      <c r="L2" s="258" t="s">
        <v>37</v>
      </c>
      <c r="M2" s="257">
        <v>0</v>
      </c>
      <c r="N2" s="257">
        <v>14</v>
      </c>
      <c r="O2" s="257">
        <v>47</v>
      </c>
      <c r="P2" s="254" t="s">
        <v>164</v>
      </c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7" t="s">
        <v>256</v>
      </c>
      <c r="AE2" s="257" t="s">
        <v>247</v>
      </c>
      <c r="AF2" s="257" t="s">
        <v>347</v>
      </c>
      <c r="AG2" s="250"/>
      <c r="AH2" s="250"/>
      <c r="AI2" s="250"/>
      <c r="AJ2" s="250"/>
    </row>
    <row r="3" spans="1:36" x14ac:dyDescent="0.3">
      <c r="A3" s="252" t="s">
        <v>179</v>
      </c>
      <c r="B3" s="253">
        <v>45988</v>
      </c>
      <c r="C3" s="254" t="s">
        <v>330</v>
      </c>
      <c r="D3" s="255" t="s">
        <v>346</v>
      </c>
      <c r="E3" s="254" t="s">
        <v>329</v>
      </c>
      <c r="F3" s="254" t="s">
        <v>141</v>
      </c>
      <c r="G3" s="256">
        <v>0.51400000000000001</v>
      </c>
      <c r="H3" s="257">
        <v>179</v>
      </c>
      <c r="I3" s="257">
        <v>92</v>
      </c>
      <c r="J3" s="257">
        <v>0</v>
      </c>
      <c r="K3" s="254" t="s">
        <v>142</v>
      </c>
      <c r="L3" s="258" t="s">
        <v>37</v>
      </c>
      <c r="M3" s="257">
        <v>0</v>
      </c>
      <c r="N3" s="257">
        <v>1</v>
      </c>
      <c r="O3" s="257">
        <v>20</v>
      </c>
      <c r="P3" s="254" t="s">
        <v>155</v>
      </c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7" t="s">
        <v>62</v>
      </c>
      <c r="AC3" s="257" t="s">
        <v>348</v>
      </c>
      <c r="AD3" s="257" t="s">
        <v>184</v>
      </c>
      <c r="AE3" s="257" t="s">
        <v>146</v>
      </c>
      <c r="AF3" s="257" t="s">
        <v>349</v>
      </c>
      <c r="AG3" s="250"/>
      <c r="AH3" s="250"/>
      <c r="AI3" s="250"/>
      <c r="AJ3" s="250"/>
    </row>
    <row r="4" spans="1:36" x14ac:dyDescent="0.3">
      <c r="A4" s="252" t="s">
        <v>205</v>
      </c>
      <c r="B4" s="253">
        <v>45990</v>
      </c>
      <c r="C4" s="254" t="s">
        <v>330</v>
      </c>
      <c r="D4" s="255" t="s">
        <v>350</v>
      </c>
      <c r="E4" s="254" t="s">
        <v>329</v>
      </c>
      <c r="F4" s="254" t="s">
        <v>141</v>
      </c>
      <c r="G4" s="256">
        <v>0.62570000000000003</v>
      </c>
      <c r="H4" s="257">
        <v>179</v>
      </c>
      <c r="I4" s="257">
        <v>112</v>
      </c>
      <c r="J4" s="257">
        <v>0</v>
      </c>
      <c r="K4" s="254" t="s">
        <v>142</v>
      </c>
      <c r="L4" s="258" t="s">
        <v>102</v>
      </c>
      <c r="M4" s="257">
        <v>0</v>
      </c>
      <c r="N4" s="257">
        <v>0</v>
      </c>
      <c r="O4" s="257">
        <v>5</v>
      </c>
      <c r="P4" s="254" t="s">
        <v>173</v>
      </c>
      <c r="Q4" s="250"/>
      <c r="R4" s="250"/>
      <c r="S4" s="250"/>
      <c r="T4" s="257" t="s">
        <v>351</v>
      </c>
      <c r="U4" s="257" t="s">
        <v>352</v>
      </c>
      <c r="V4" s="257" t="s">
        <v>208</v>
      </c>
      <c r="W4" s="257" t="s">
        <v>353</v>
      </c>
      <c r="X4" s="257" t="s">
        <v>354</v>
      </c>
      <c r="Y4" s="257" t="s">
        <v>355</v>
      </c>
      <c r="Z4" s="250"/>
      <c r="AA4" s="250"/>
      <c r="AB4" s="257" t="s">
        <v>64</v>
      </c>
      <c r="AC4" s="257" t="s">
        <v>183</v>
      </c>
      <c r="AD4" s="257" t="s">
        <v>99</v>
      </c>
      <c r="AE4" s="257" t="s">
        <v>156</v>
      </c>
      <c r="AF4" s="257" t="s">
        <v>356</v>
      </c>
      <c r="AG4" s="250"/>
      <c r="AH4" s="250"/>
      <c r="AI4" s="250"/>
      <c r="AJ4" s="250"/>
    </row>
    <row r="5" spans="1:36" x14ac:dyDescent="0.3">
      <c r="A5" s="252" t="s">
        <v>166</v>
      </c>
      <c r="B5" s="253">
        <v>45994</v>
      </c>
      <c r="C5" s="254" t="s">
        <v>330</v>
      </c>
      <c r="D5" s="255" t="s">
        <v>346</v>
      </c>
      <c r="E5" s="254" t="s">
        <v>329</v>
      </c>
      <c r="F5" s="254" t="s">
        <v>357</v>
      </c>
      <c r="G5" s="256">
        <v>0.33939999999999998</v>
      </c>
      <c r="H5" s="257">
        <v>109</v>
      </c>
      <c r="I5" s="257">
        <v>37</v>
      </c>
      <c r="J5" s="257">
        <v>0</v>
      </c>
      <c r="K5" s="254" t="s">
        <v>142</v>
      </c>
      <c r="L5" s="258" t="s">
        <v>37</v>
      </c>
      <c r="M5" s="257">
        <v>0</v>
      </c>
      <c r="N5" s="257">
        <v>1</v>
      </c>
      <c r="O5" s="257">
        <v>7</v>
      </c>
      <c r="P5" s="254" t="s">
        <v>76</v>
      </c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7" t="s">
        <v>228</v>
      </c>
      <c r="AE5" s="257" t="s">
        <v>100</v>
      </c>
      <c r="AF5" s="257" t="s">
        <v>358</v>
      </c>
      <c r="AG5" s="250"/>
      <c r="AH5" s="250"/>
      <c r="AI5" s="250"/>
      <c r="AJ5" s="250"/>
    </row>
    <row r="6" spans="1:36" x14ac:dyDescent="0.3">
      <c r="A6" s="252" t="s">
        <v>179</v>
      </c>
      <c r="B6" s="253">
        <v>45995</v>
      </c>
      <c r="C6" s="254" t="s">
        <v>330</v>
      </c>
      <c r="D6" s="255" t="s">
        <v>346</v>
      </c>
      <c r="E6" s="254" t="s">
        <v>329</v>
      </c>
      <c r="F6" s="254" t="s">
        <v>141</v>
      </c>
      <c r="G6" s="256">
        <v>0.14530000000000001</v>
      </c>
      <c r="H6" s="257">
        <v>179</v>
      </c>
      <c r="I6" s="257">
        <v>26</v>
      </c>
      <c r="J6" s="257">
        <v>0</v>
      </c>
      <c r="K6" s="254" t="s">
        <v>142</v>
      </c>
      <c r="L6" s="258" t="s">
        <v>102</v>
      </c>
      <c r="M6" s="257">
        <v>0</v>
      </c>
      <c r="N6" s="257">
        <v>0</v>
      </c>
      <c r="O6" s="257">
        <v>10</v>
      </c>
      <c r="P6" s="254" t="s">
        <v>78</v>
      </c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7" t="s">
        <v>86</v>
      </c>
      <c r="AE6" s="257" t="s">
        <v>254</v>
      </c>
      <c r="AF6" s="257" t="s">
        <v>359</v>
      </c>
      <c r="AG6" s="250"/>
      <c r="AH6" s="250"/>
      <c r="AI6" s="250"/>
      <c r="AJ6" s="250"/>
    </row>
    <row r="7" spans="1:36" x14ac:dyDescent="0.3">
      <c r="A7" s="252" t="s">
        <v>205</v>
      </c>
      <c r="B7" s="253">
        <v>45997</v>
      </c>
      <c r="C7" s="254" t="s">
        <v>330</v>
      </c>
      <c r="D7" s="255" t="s">
        <v>350</v>
      </c>
      <c r="E7" s="254" t="s">
        <v>329</v>
      </c>
      <c r="F7" s="254" t="s">
        <v>357</v>
      </c>
      <c r="G7" s="256">
        <v>0.66059999999999997</v>
      </c>
      <c r="H7" s="257">
        <v>109</v>
      </c>
      <c r="I7" s="257">
        <v>72</v>
      </c>
      <c r="J7" s="257">
        <v>0</v>
      </c>
      <c r="K7" s="254" t="s">
        <v>142</v>
      </c>
      <c r="L7" s="258" t="s">
        <v>75</v>
      </c>
      <c r="M7" s="257">
        <v>1</v>
      </c>
      <c r="N7" s="257">
        <v>2</v>
      </c>
      <c r="O7" s="257">
        <v>24</v>
      </c>
      <c r="P7" s="254" t="s">
        <v>73</v>
      </c>
      <c r="Q7" s="250"/>
      <c r="R7" s="250"/>
      <c r="S7" s="250"/>
      <c r="T7" s="250"/>
      <c r="U7" s="250"/>
      <c r="V7" s="250"/>
      <c r="W7" s="250"/>
      <c r="X7" s="250"/>
      <c r="Y7" s="250"/>
      <c r="Z7" s="257" t="s">
        <v>199</v>
      </c>
      <c r="AA7" s="250"/>
      <c r="AB7" s="250"/>
      <c r="AC7" s="257" t="s">
        <v>192</v>
      </c>
      <c r="AD7" s="257" t="s">
        <v>164</v>
      </c>
      <c r="AE7" s="257" t="s">
        <v>322</v>
      </c>
      <c r="AF7" s="257" t="s">
        <v>360</v>
      </c>
      <c r="AG7" s="250"/>
      <c r="AH7" s="250"/>
      <c r="AI7" s="250"/>
      <c r="AJ7" s="250"/>
    </row>
    <row r="8" spans="1:36" x14ac:dyDescent="0.3">
      <c r="A8" s="252" t="s">
        <v>166</v>
      </c>
      <c r="B8" s="253">
        <v>46001</v>
      </c>
      <c r="C8" s="254" t="s">
        <v>330</v>
      </c>
      <c r="D8" s="255" t="s">
        <v>346</v>
      </c>
      <c r="E8" s="254" t="s">
        <v>329</v>
      </c>
      <c r="F8" s="254" t="s">
        <v>357</v>
      </c>
      <c r="G8" s="256">
        <v>0.1101</v>
      </c>
      <c r="H8" s="257">
        <v>109</v>
      </c>
      <c r="I8" s="257">
        <v>12</v>
      </c>
      <c r="J8" s="257">
        <v>0</v>
      </c>
      <c r="K8" s="254" t="s">
        <v>142</v>
      </c>
      <c r="L8" s="258" t="s">
        <v>32</v>
      </c>
      <c r="M8" s="257">
        <v>0</v>
      </c>
      <c r="N8" s="257">
        <v>0</v>
      </c>
      <c r="O8" s="257">
        <v>2</v>
      </c>
      <c r="P8" s="254" t="s">
        <v>204</v>
      </c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7" t="s">
        <v>249</v>
      </c>
      <c r="AE8" s="257" t="s">
        <v>224</v>
      </c>
      <c r="AF8" s="257" t="s">
        <v>281</v>
      </c>
      <c r="AG8" s="250"/>
      <c r="AH8" s="250"/>
      <c r="AI8" s="250"/>
      <c r="AJ8" s="250"/>
    </row>
    <row r="9" spans="1:36" x14ac:dyDescent="0.3">
      <c r="A9" s="252" t="s">
        <v>179</v>
      </c>
      <c r="B9" s="253">
        <v>46002</v>
      </c>
      <c r="C9" s="254" t="s">
        <v>330</v>
      </c>
      <c r="D9" s="255" t="s">
        <v>346</v>
      </c>
      <c r="E9" s="254" t="s">
        <v>329</v>
      </c>
      <c r="F9" s="254" t="s">
        <v>141</v>
      </c>
      <c r="G9" s="256">
        <v>5.0299999999999997E-2</v>
      </c>
      <c r="H9" s="257">
        <v>179</v>
      </c>
      <c r="I9" s="257">
        <v>9</v>
      </c>
      <c r="J9" s="257">
        <v>0</v>
      </c>
      <c r="K9" s="254" t="s">
        <v>142</v>
      </c>
      <c r="L9" s="258" t="s">
        <v>37</v>
      </c>
      <c r="M9" s="257">
        <v>0</v>
      </c>
      <c r="N9" s="257">
        <v>3</v>
      </c>
      <c r="O9" s="257">
        <v>4</v>
      </c>
      <c r="P9" s="254" t="s">
        <v>78</v>
      </c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7" t="s">
        <v>224</v>
      </c>
      <c r="AF9" s="257" t="s">
        <v>193</v>
      </c>
      <c r="AG9" s="250"/>
      <c r="AH9" s="250"/>
      <c r="AI9" s="250"/>
      <c r="AJ9" s="250"/>
    </row>
    <row r="10" spans="1:36" x14ac:dyDescent="0.3">
      <c r="A10" s="252" t="s">
        <v>205</v>
      </c>
      <c r="B10" s="253">
        <v>46004</v>
      </c>
      <c r="C10" s="254" t="s">
        <v>330</v>
      </c>
      <c r="D10" s="255" t="s">
        <v>350</v>
      </c>
      <c r="E10" s="254" t="s">
        <v>329</v>
      </c>
      <c r="F10" s="254" t="s">
        <v>357</v>
      </c>
      <c r="G10" s="256">
        <v>0.28439999999999999</v>
      </c>
      <c r="H10" s="257">
        <v>109</v>
      </c>
      <c r="I10" s="257">
        <v>31</v>
      </c>
      <c r="J10" s="257">
        <v>0</v>
      </c>
      <c r="K10" s="254" t="s">
        <v>142</v>
      </c>
      <c r="L10" s="258" t="s">
        <v>82</v>
      </c>
      <c r="M10" s="257">
        <v>0</v>
      </c>
      <c r="N10" s="257">
        <v>0</v>
      </c>
      <c r="O10" s="257">
        <v>7</v>
      </c>
      <c r="P10" s="254" t="s">
        <v>84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7" t="s">
        <v>255</v>
      </c>
      <c r="AE10" s="257" t="s">
        <v>85</v>
      </c>
      <c r="AF10" s="257" t="s">
        <v>361</v>
      </c>
      <c r="AG10" s="250"/>
      <c r="AH10" s="250"/>
      <c r="AI10" s="250"/>
      <c r="AJ10" s="250"/>
    </row>
    <row r="11" spans="1:36" x14ac:dyDescent="0.3">
      <c r="A11" s="252" t="s">
        <v>166</v>
      </c>
      <c r="B11" s="253">
        <v>46008</v>
      </c>
      <c r="C11" s="254" t="s">
        <v>330</v>
      </c>
      <c r="D11" s="255" t="s">
        <v>346</v>
      </c>
      <c r="E11" s="254" t="s">
        <v>329</v>
      </c>
      <c r="F11" s="254" t="s">
        <v>357</v>
      </c>
      <c r="G11" s="256">
        <v>9.1999999999999998E-3</v>
      </c>
      <c r="H11" s="257">
        <v>109</v>
      </c>
      <c r="I11" s="257">
        <v>1</v>
      </c>
      <c r="J11" s="257">
        <v>0</v>
      </c>
      <c r="K11" s="254" t="s">
        <v>142</v>
      </c>
      <c r="L11" s="258" t="s">
        <v>340</v>
      </c>
      <c r="M11" s="257">
        <v>0</v>
      </c>
      <c r="N11" s="257">
        <v>0</v>
      </c>
      <c r="O11" s="257">
        <v>0</v>
      </c>
      <c r="P11" s="254" t="s">
        <v>78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7" t="s">
        <v>254</v>
      </c>
      <c r="AF11" s="250"/>
      <c r="AG11" s="250"/>
      <c r="AH11" s="250"/>
      <c r="AI11" s="250"/>
      <c r="AJ11" s="250"/>
    </row>
    <row r="12" spans="1:36" x14ac:dyDescent="0.3">
      <c r="A12" s="252" t="s">
        <v>179</v>
      </c>
      <c r="B12" s="253">
        <v>46009</v>
      </c>
      <c r="C12" s="254" t="s">
        <v>330</v>
      </c>
      <c r="D12" s="255" t="s">
        <v>346</v>
      </c>
      <c r="E12" s="254" t="s">
        <v>329</v>
      </c>
      <c r="F12" s="254" t="s">
        <v>141</v>
      </c>
      <c r="G12" s="256">
        <v>0</v>
      </c>
      <c r="H12" s="257">
        <v>179</v>
      </c>
      <c r="I12" s="257">
        <v>0</v>
      </c>
      <c r="J12" s="257">
        <v>0</v>
      </c>
      <c r="K12" s="254" t="s">
        <v>142</v>
      </c>
      <c r="L12" s="258" t="s">
        <v>342</v>
      </c>
      <c r="M12" s="257">
        <v>0</v>
      </c>
      <c r="N12" s="257">
        <v>0</v>
      </c>
      <c r="O12" s="257">
        <v>0</v>
      </c>
      <c r="P12" s="254" t="s">
        <v>78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</row>
    <row r="13" spans="1:36" x14ac:dyDescent="0.3">
      <c r="A13" s="252" t="s">
        <v>205</v>
      </c>
      <c r="B13" s="253">
        <v>46011</v>
      </c>
      <c r="C13" s="254" t="s">
        <v>330</v>
      </c>
      <c r="D13" s="255" t="s">
        <v>350</v>
      </c>
      <c r="E13" s="254" t="s">
        <v>329</v>
      </c>
      <c r="F13" s="254" t="s">
        <v>357</v>
      </c>
      <c r="G13" s="256">
        <v>0.1009</v>
      </c>
      <c r="H13" s="257">
        <v>109</v>
      </c>
      <c r="I13" s="257">
        <v>11</v>
      </c>
      <c r="J13" s="257">
        <v>0</v>
      </c>
      <c r="K13" s="254" t="s">
        <v>142</v>
      </c>
      <c r="L13" s="258" t="s">
        <v>32</v>
      </c>
      <c r="M13" s="257">
        <v>0</v>
      </c>
      <c r="N13" s="257">
        <v>0</v>
      </c>
      <c r="O13" s="257">
        <v>1</v>
      </c>
      <c r="P13" s="254" t="s">
        <v>78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7" t="s">
        <v>233</v>
      </c>
      <c r="AA13" s="250"/>
      <c r="AB13" s="250"/>
      <c r="AC13" s="250"/>
      <c r="AD13" s="257" t="s">
        <v>249</v>
      </c>
      <c r="AE13" s="250"/>
      <c r="AF13" s="257" t="s">
        <v>78</v>
      </c>
      <c r="AG13" s="250"/>
      <c r="AH13" s="250"/>
      <c r="AI13" s="250"/>
      <c r="AJ13" s="250"/>
    </row>
    <row r="14" spans="1:36" x14ac:dyDescent="0.3">
      <c r="A14" s="252" t="s">
        <v>166</v>
      </c>
      <c r="B14" s="253">
        <v>46015</v>
      </c>
      <c r="C14" s="254" t="s">
        <v>330</v>
      </c>
      <c r="D14" s="255" t="s">
        <v>346</v>
      </c>
      <c r="E14" s="254" t="s">
        <v>329</v>
      </c>
      <c r="F14" s="254" t="s">
        <v>357</v>
      </c>
      <c r="G14" s="256">
        <v>0</v>
      </c>
      <c r="H14" s="257">
        <v>109</v>
      </c>
      <c r="I14" s="257">
        <v>0</v>
      </c>
      <c r="J14" s="257">
        <v>0</v>
      </c>
      <c r="K14" s="254" t="s">
        <v>142</v>
      </c>
      <c r="L14" s="258" t="s">
        <v>342</v>
      </c>
      <c r="M14" s="257">
        <v>0</v>
      </c>
      <c r="N14" s="257">
        <v>0</v>
      </c>
      <c r="O14" s="257">
        <v>0</v>
      </c>
      <c r="P14" s="254" t="s">
        <v>78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</row>
    <row r="15" spans="1:36" x14ac:dyDescent="0.3">
      <c r="A15" s="252" t="s">
        <v>179</v>
      </c>
      <c r="B15" s="253">
        <v>46016</v>
      </c>
      <c r="C15" s="254" t="s">
        <v>330</v>
      </c>
      <c r="D15" s="255" t="s">
        <v>346</v>
      </c>
      <c r="E15" s="254" t="s">
        <v>329</v>
      </c>
      <c r="F15" s="254" t="s">
        <v>141</v>
      </c>
      <c r="G15" s="256">
        <v>1.6799999999999999E-2</v>
      </c>
      <c r="H15" s="257">
        <v>179</v>
      </c>
      <c r="I15" s="257">
        <v>3</v>
      </c>
      <c r="J15" s="257">
        <v>0</v>
      </c>
      <c r="K15" s="254" t="s">
        <v>142</v>
      </c>
      <c r="L15" s="258" t="s">
        <v>344</v>
      </c>
      <c r="M15" s="257">
        <v>0</v>
      </c>
      <c r="N15" s="257">
        <v>0</v>
      </c>
      <c r="O15" s="257">
        <v>0</v>
      </c>
      <c r="P15" s="254" t="s">
        <v>78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7" t="s">
        <v>249</v>
      </c>
      <c r="AE15" s="257" t="s">
        <v>95</v>
      </c>
      <c r="AF15" s="250"/>
      <c r="AG15" s="250"/>
      <c r="AH15" s="250"/>
      <c r="AI15" s="250"/>
      <c r="AJ15" s="250"/>
    </row>
    <row r="16" spans="1:36" ht="21" x14ac:dyDescent="0.3">
      <c r="A16" s="259" t="s">
        <v>900</v>
      </c>
      <c r="B16" s="260"/>
      <c r="C16" s="259">
        <f>SUBTOTAL(103,CAI_TUU_LF_LEGACY[Flt])</f>
        <v>14</v>
      </c>
      <c r="D16" s="259"/>
      <c r="E16" s="259">
        <f>SUBTOTAL(103,CAI_TUU_LF_LEGACY[Brd-Off])</f>
        <v>14</v>
      </c>
      <c r="F16" s="259"/>
      <c r="G16" s="261">
        <f>SUBTOTAL(101,CAI_TUU_LF_LEGACY[LF%])</f>
        <v>0.24116428571428575</v>
      </c>
      <c r="H16" s="262">
        <f>SUBTOTAL(109,CAI_TUU_LF_LEGACY[CAP])</f>
        <v>2016</v>
      </c>
      <c r="I16" s="262">
        <f>SUBTOTAL(109,CAI_TUU_LF_LEGACY[BKG(Y)])</f>
        <v>499</v>
      </c>
      <c r="J16" s="262">
        <f>SUBTOTAL(109,CAI_TUU_LF_LEGACY[GRP(Y)])</f>
        <v>0</v>
      </c>
      <c r="K16" s="259"/>
      <c r="L16" s="260"/>
      <c r="M16" s="262">
        <f>SUBTOTAL(109,CAI_TUU_LF_LEGACY[TO-DAY])</f>
        <v>1</v>
      </c>
      <c r="N16" s="262">
        <f>SUBTOTAL(109,CAI_TUU_LF_LEGACY[Y-DAY])</f>
        <v>21</v>
      </c>
      <c r="O16" s="262">
        <f>SUBTOTAL(109,CAI_TUU_LF_LEGACY[WEEKLY])</f>
        <v>127</v>
      </c>
      <c r="P16" s="263"/>
      <c r="Q16" s="262">
        <f>SUBTOTAL(109,CAI_TUU_LF_LEGACY[Y])</f>
        <v>0</v>
      </c>
      <c r="R16" s="262">
        <f>SUBTOTAL(109,CAI_TUU_LF_LEGACY[B])</f>
        <v>0</v>
      </c>
      <c r="S16" s="262">
        <f>SUBTOTAL(109,CAI_TUU_LF_LEGACY[M])</f>
        <v>0</v>
      </c>
      <c r="T16" s="262">
        <f>SUBTOTAL(109,CAI_TUU_LF_LEGACY[H])</f>
        <v>0</v>
      </c>
      <c r="U16" s="262">
        <f>SUBTOTAL(109,CAI_TUU_LF_LEGACY[Q])</f>
        <v>0</v>
      </c>
      <c r="V16" s="262">
        <f>SUBTOTAL(109,CAI_TUU_LF_LEGACY[K])</f>
        <v>0</v>
      </c>
      <c r="W16" s="262">
        <f>SUBTOTAL(109,CAI_TUU_LF_LEGACY[V])</f>
        <v>0</v>
      </c>
      <c r="X16" s="262">
        <f>SUBTOTAL(109,CAI_TUU_LF_LEGACY[L])</f>
        <v>0</v>
      </c>
      <c r="Y16" s="262">
        <f>SUBTOTAL(109,CAI_TUU_LF_LEGACY[G])</f>
        <v>0</v>
      </c>
      <c r="Z16" s="262">
        <f>SUBTOTAL(109,CAI_TUU_LF_LEGACY[S])</f>
        <v>0</v>
      </c>
      <c r="AA16" s="262">
        <f>SUBTOTAL(109,CAI_TUU_LF_LEGACY[W])</f>
        <v>0</v>
      </c>
      <c r="AB16" s="262">
        <f>SUBTOTAL(109,CAI_TUU_LF_LEGACY[T])</f>
        <v>0</v>
      </c>
      <c r="AC16" s="262">
        <f>SUBTOTAL(109,CAI_TUU_LF_LEGACY[X])</f>
        <v>0</v>
      </c>
      <c r="AD16" s="262">
        <f>SUBTOTAL(109,CAI_TUU_LF_LEGACY[U])</f>
        <v>0</v>
      </c>
      <c r="AE16" s="262">
        <f>SUBTOTAL(109,CAI_TUU_LF_LEGACY[O])</f>
        <v>0</v>
      </c>
      <c r="AF16" s="262">
        <f>SUBTOTAL(109,CAI_TUU_LF_LEGACY[I])</f>
        <v>0</v>
      </c>
      <c r="AG16" s="262">
        <f>SUBTOTAL(109,CAI_TUU_LF_LEGACY[E])</f>
        <v>0</v>
      </c>
      <c r="AH16" s="262">
        <f>SUBTOTAL(109,CAI_TUU_LF_LEGACY[A])</f>
        <v>0</v>
      </c>
      <c r="AI16" s="262">
        <f>SUBTOTAL(109,CAI_TUU_LF_LEGACY[P])</f>
        <v>0</v>
      </c>
      <c r="AJ16" s="262">
        <f>SUBTOTAL(103,CAI_TUU_LF_LEGACY[N])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6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7.66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5.4414062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362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45984.228705740898</v>
      </c>
      <c r="H2" s="235"/>
      <c r="I2" s="235"/>
      <c r="J2" s="235"/>
      <c r="K2" s="245">
        <v>45984.228705741472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45986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363</v>
      </c>
      <c r="C6" s="27">
        <v>0.3125</v>
      </c>
      <c r="D6" s="26" t="s">
        <v>30</v>
      </c>
      <c r="E6" s="28"/>
      <c r="F6" s="26" t="s">
        <v>36</v>
      </c>
      <c r="G6" s="237"/>
      <c r="H6" s="29" t="s">
        <v>363</v>
      </c>
      <c r="I6" s="30">
        <v>0.83240000000000003</v>
      </c>
      <c r="J6" s="31">
        <v>149</v>
      </c>
      <c r="K6" s="32" t="s">
        <v>75</v>
      </c>
      <c r="L6" s="31">
        <v>112</v>
      </c>
      <c r="M6" s="31">
        <v>2</v>
      </c>
      <c r="N6" s="31">
        <v>21</v>
      </c>
      <c r="O6" s="33" t="s">
        <v>40</v>
      </c>
      <c r="P6" s="34">
        <v>0.3125</v>
      </c>
      <c r="Q6" s="31">
        <v>179</v>
      </c>
      <c r="R6" s="35" t="s">
        <v>364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45988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0" t="s">
        <v>28</v>
      </c>
      <c r="B10" s="80" t="s">
        <v>363</v>
      </c>
      <c r="C10" s="81">
        <v>0.76736111111111116</v>
      </c>
      <c r="D10" s="80" t="s">
        <v>30</v>
      </c>
      <c r="E10" s="82"/>
      <c r="F10" s="80" t="s">
        <v>365</v>
      </c>
      <c r="G10" s="232"/>
      <c r="H10" s="100" t="s">
        <v>363</v>
      </c>
      <c r="I10" s="148">
        <v>0.89939999999999998</v>
      </c>
      <c r="J10" s="102">
        <v>161</v>
      </c>
      <c r="K10" s="103" t="s">
        <v>37</v>
      </c>
      <c r="L10" s="102">
        <v>78</v>
      </c>
      <c r="M10" s="102">
        <v>0</v>
      </c>
      <c r="N10" s="102">
        <v>18</v>
      </c>
      <c r="O10" s="104" t="s">
        <v>366</v>
      </c>
      <c r="P10" s="105">
        <v>0.76736111111111116</v>
      </c>
      <c r="Q10" s="102">
        <v>179</v>
      </c>
      <c r="R10" s="106" t="s">
        <v>367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45990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66" t="s">
        <v>28</v>
      </c>
      <c r="B14" s="66" t="s">
        <v>363</v>
      </c>
      <c r="C14" s="67">
        <v>0.71875</v>
      </c>
      <c r="D14" s="66" t="s">
        <v>30</v>
      </c>
      <c r="E14" s="68"/>
      <c r="F14" s="66" t="s">
        <v>36</v>
      </c>
      <c r="G14" s="232"/>
      <c r="H14" s="127" t="s">
        <v>363</v>
      </c>
      <c r="I14" s="149">
        <v>0.82679999999999998</v>
      </c>
      <c r="J14" s="129">
        <v>148</v>
      </c>
      <c r="K14" s="130" t="s">
        <v>37</v>
      </c>
      <c r="L14" s="129">
        <v>28</v>
      </c>
      <c r="M14" s="129">
        <v>0</v>
      </c>
      <c r="N14" s="129">
        <v>5</v>
      </c>
      <c r="O14" s="131" t="s">
        <v>48</v>
      </c>
      <c r="P14" s="132">
        <v>0.71875</v>
      </c>
      <c r="Q14" s="129">
        <v>179</v>
      </c>
      <c r="R14" s="133" t="s">
        <v>368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45993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76" t="s">
        <v>28</v>
      </c>
      <c r="B18" s="76" t="s">
        <v>363</v>
      </c>
      <c r="C18" s="77">
        <v>0.3125</v>
      </c>
      <c r="D18" s="76" t="s">
        <v>30</v>
      </c>
      <c r="E18" s="78"/>
      <c r="F18" s="76" t="s">
        <v>36</v>
      </c>
      <c r="G18" s="232"/>
      <c r="H18" s="49" t="s">
        <v>363</v>
      </c>
      <c r="I18" s="79">
        <v>0.36870000000000003</v>
      </c>
      <c r="J18" s="51">
        <v>66</v>
      </c>
      <c r="K18" s="52" t="s">
        <v>75</v>
      </c>
      <c r="L18" s="51">
        <v>47</v>
      </c>
      <c r="M18" s="51">
        <v>4</v>
      </c>
      <c r="N18" s="51">
        <v>7</v>
      </c>
      <c r="O18" s="53" t="s">
        <v>64</v>
      </c>
      <c r="P18" s="54">
        <v>0.3125</v>
      </c>
      <c r="Q18" s="51">
        <v>179</v>
      </c>
      <c r="R18" s="55" t="s">
        <v>369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45995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26" t="s">
        <v>28</v>
      </c>
      <c r="B22" s="26" t="s">
        <v>363</v>
      </c>
      <c r="C22" s="27">
        <v>0.76736111111111116</v>
      </c>
      <c r="D22" s="26" t="s">
        <v>30</v>
      </c>
      <c r="E22" s="28"/>
      <c r="F22" s="26" t="s">
        <v>68</v>
      </c>
      <c r="G22" s="232"/>
      <c r="H22" s="29" t="s">
        <v>363</v>
      </c>
      <c r="I22" s="147">
        <v>0.17879999999999999</v>
      </c>
      <c r="J22" s="31">
        <v>32</v>
      </c>
      <c r="K22" s="32" t="s">
        <v>37</v>
      </c>
      <c r="L22" s="31">
        <v>20</v>
      </c>
      <c r="M22" s="31">
        <v>0</v>
      </c>
      <c r="N22" s="31">
        <v>3</v>
      </c>
      <c r="O22" s="33" t="s">
        <v>155</v>
      </c>
      <c r="P22" s="34">
        <v>0.76736111111111116</v>
      </c>
      <c r="Q22" s="31">
        <v>179</v>
      </c>
      <c r="R22" s="35" t="s">
        <v>370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45997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56" t="s">
        <v>28</v>
      </c>
      <c r="B26" s="56" t="s">
        <v>363</v>
      </c>
      <c r="C26" s="57">
        <v>0.71875</v>
      </c>
      <c r="D26" s="56" t="s">
        <v>30</v>
      </c>
      <c r="E26" s="58"/>
      <c r="F26" s="56" t="s">
        <v>68</v>
      </c>
      <c r="G26" s="237"/>
      <c r="H26" s="59" t="s">
        <v>363</v>
      </c>
      <c r="I26" s="108">
        <v>0.2346</v>
      </c>
      <c r="J26" s="61">
        <v>42</v>
      </c>
      <c r="K26" s="62" t="s">
        <v>37</v>
      </c>
      <c r="L26" s="61">
        <v>17</v>
      </c>
      <c r="M26" s="61">
        <v>0</v>
      </c>
      <c r="N26" s="61">
        <v>1</v>
      </c>
      <c r="O26" s="63" t="s">
        <v>155</v>
      </c>
      <c r="P26" s="64">
        <v>0.71875</v>
      </c>
      <c r="Q26" s="61">
        <v>179</v>
      </c>
      <c r="R26" s="65" t="s">
        <v>371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46000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0" t="s">
        <v>28</v>
      </c>
      <c r="B30" s="80" t="s">
        <v>363</v>
      </c>
      <c r="C30" s="81">
        <v>0.3125</v>
      </c>
      <c r="D30" s="80" t="s">
        <v>30</v>
      </c>
      <c r="E30" s="82"/>
      <c r="F30" s="80" t="s">
        <v>68</v>
      </c>
      <c r="G30" s="232"/>
      <c r="H30" s="100" t="s">
        <v>363</v>
      </c>
      <c r="I30" s="101">
        <v>5.0299999999999997E-2</v>
      </c>
      <c r="J30" s="102">
        <v>9</v>
      </c>
      <c r="K30" s="103" t="s">
        <v>37</v>
      </c>
      <c r="L30" s="102">
        <v>5</v>
      </c>
      <c r="M30" s="102">
        <v>0</v>
      </c>
      <c r="N30" s="102">
        <v>1</v>
      </c>
      <c r="O30" s="104" t="s">
        <v>155</v>
      </c>
      <c r="P30" s="105">
        <v>0.3125</v>
      </c>
      <c r="Q30" s="102">
        <v>179</v>
      </c>
      <c r="R30" s="106" t="s">
        <v>372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46002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36" t="s">
        <v>28</v>
      </c>
      <c r="B34" s="36" t="s">
        <v>363</v>
      </c>
      <c r="C34" s="37">
        <v>0.76736111111111116</v>
      </c>
      <c r="D34" s="36" t="s">
        <v>30</v>
      </c>
      <c r="E34" s="38"/>
      <c r="F34" s="36" t="s">
        <v>68</v>
      </c>
      <c r="G34" s="232"/>
      <c r="H34" s="112" t="s">
        <v>363</v>
      </c>
      <c r="I34" s="113">
        <v>8.9399999999999993E-2</v>
      </c>
      <c r="J34" s="114">
        <v>16</v>
      </c>
      <c r="K34" s="115" t="s">
        <v>37</v>
      </c>
      <c r="L34" s="114">
        <v>9</v>
      </c>
      <c r="M34" s="114">
        <v>0</v>
      </c>
      <c r="N34" s="114">
        <v>6</v>
      </c>
      <c r="O34" s="116" t="s">
        <v>155</v>
      </c>
      <c r="P34" s="117">
        <v>0.76736111111111116</v>
      </c>
      <c r="Q34" s="114">
        <v>179</v>
      </c>
      <c r="R34" s="118" t="s">
        <v>373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46004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76" t="s">
        <v>28</v>
      </c>
      <c r="B38" s="76" t="s">
        <v>363</v>
      </c>
      <c r="C38" s="77">
        <v>0.71875</v>
      </c>
      <c r="D38" s="76" t="s">
        <v>30</v>
      </c>
      <c r="E38" s="78"/>
      <c r="F38" s="76" t="s">
        <v>68</v>
      </c>
      <c r="G38" s="232"/>
      <c r="H38" s="49" t="s">
        <v>363</v>
      </c>
      <c r="I38" s="79">
        <v>4.4699999999999997E-2</v>
      </c>
      <c r="J38" s="51">
        <v>8</v>
      </c>
      <c r="K38" s="52" t="s">
        <v>37</v>
      </c>
      <c r="L38" s="51">
        <v>4</v>
      </c>
      <c r="M38" s="51">
        <v>0</v>
      </c>
      <c r="N38" s="51">
        <v>3</v>
      </c>
      <c r="O38" s="53" t="s">
        <v>155</v>
      </c>
      <c r="P38" s="54">
        <v>0.71875</v>
      </c>
      <c r="Q38" s="51">
        <v>179</v>
      </c>
      <c r="R38" s="55" t="s">
        <v>374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22.05" customHeight="1" thickTop="1" thickBot="1" x14ac:dyDescent="0.35">
      <c r="A40" s="241" t="s">
        <v>8</v>
      </c>
      <c r="B40" s="239"/>
      <c r="C40" s="239"/>
      <c r="D40" s="239"/>
      <c r="E40" s="239"/>
      <c r="F40" s="240"/>
      <c r="G40" s="18">
        <v>46007</v>
      </c>
      <c r="H40" s="238" t="s">
        <v>9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4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56" t="s">
        <v>28</v>
      </c>
      <c r="B42" s="56" t="s">
        <v>363</v>
      </c>
      <c r="C42" s="57">
        <v>0.3125</v>
      </c>
      <c r="D42" s="56" t="s">
        <v>30</v>
      </c>
      <c r="E42" s="58"/>
      <c r="F42" s="56" t="s">
        <v>68</v>
      </c>
      <c r="G42" s="232"/>
      <c r="H42" s="59" t="s">
        <v>363</v>
      </c>
      <c r="I42" s="108">
        <v>6.1499999999999999E-2</v>
      </c>
      <c r="J42" s="61">
        <v>11</v>
      </c>
      <c r="K42" s="62" t="s">
        <v>37</v>
      </c>
      <c r="L42" s="61">
        <v>9</v>
      </c>
      <c r="M42" s="61">
        <v>0</v>
      </c>
      <c r="N42" s="61">
        <v>2</v>
      </c>
      <c r="O42" s="63" t="s">
        <v>155</v>
      </c>
      <c r="P42" s="64">
        <v>0.3125</v>
      </c>
      <c r="Q42" s="61">
        <v>179</v>
      </c>
      <c r="R42" s="65" t="s">
        <v>375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46009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80" t="s">
        <v>28</v>
      </c>
      <c r="B46" s="80" t="s">
        <v>363</v>
      </c>
      <c r="C46" s="81">
        <v>0.76736111111111116</v>
      </c>
      <c r="D46" s="80" t="s">
        <v>30</v>
      </c>
      <c r="E46" s="82"/>
      <c r="F46" s="80" t="s">
        <v>68</v>
      </c>
      <c r="G46" s="232"/>
      <c r="H46" s="100" t="s">
        <v>363</v>
      </c>
      <c r="I46" s="101">
        <v>2.7900000000000001E-2</v>
      </c>
      <c r="J46" s="102">
        <v>5</v>
      </c>
      <c r="K46" s="103" t="s">
        <v>90</v>
      </c>
      <c r="L46" s="102">
        <v>1</v>
      </c>
      <c r="M46" s="102">
        <v>0</v>
      </c>
      <c r="N46" s="102">
        <v>0</v>
      </c>
      <c r="O46" s="104" t="s">
        <v>73</v>
      </c>
      <c r="P46" s="105">
        <v>0.76736111111111116</v>
      </c>
      <c r="Q46" s="102">
        <v>179</v>
      </c>
      <c r="R46" s="106" t="s">
        <v>376</v>
      </c>
    </row>
    <row r="47" spans="1:18" ht="17.399999999999999" customHeight="1" thickBot="1" x14ac:dyDescent="0.35">
      <c r="A47" s="264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/>
    </row>
    <row r="48" spans="1:18" ht="22.05" customHeight="1" thickTop="1" thickBot="1" x14ac:dyDescent="0.35">
      <c r="A48" s="241" t="s">
        <v>8</v>
      </c>
      <c r="B48" s="239"/>
      <c r="C48" s="239"/>
      <c r="D48" s="239"/>
      <c r="E48" s="239"/>
      <c r="F48" s="240"/>
      <c r="G48" s="18">
        <v>46011</v>
      </c>
      <c r="H48" s="238" t="s">
        <v>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4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76" t="s">
        <v>28</v>
      </c>
      <c r="B50" s="76" t="s">
        <v>363</v>
      </c>
      <c r="C50" s="77">
        <v>0.71875</v>
      </c>
      <c r="D50" s="76" t="s">
        <v>30</v>
      </c>
      <c r="E50" s="78"/>
      <c r="F50" s="76" t="s">
        <v>68</v>
      </c>
      <c r="G50" s="232"/>
      <c r="H50" s="49" t="s">
        <v>363</v>
      </c>
      <c r="I50" s="79">
        <v>3.9100000000000003E-2</v>
      </c>
      <c r="J50" s="51">
        <v>7</v>
      </c>
      <c r="K50" s="52" t="s">
        <v>82</v>
      </c>
      <c r="L50" s="51">
        <v>2</v>
      </c>
      <c r="M50" s="51">
        <v>0</v>
      </c>
      <c r="N50" s="51">
        <v>0</v>
      </c>
      <c r="O50" s="53" t="s">
        <v>155</v>
      </c>
      <c r="P50" s="54">
        <v>0.71875</v>
      </c>
      <c r="Q50" s="51">
        <v>179</v>
      </c>
      <c r="R50" s="55" t="s">
        <v>377</v>
      </c>
    </row>
    <row r="51" spans="1:18" ht="17.399999999999999" customHeight="1" thickBot="1" x14ac:dyDescent="0.35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/>
    </row>
    <row r="52" spans="1:18" ht="22.05" customHeight="1" thickTop="1" thickBot="1" x14ac:dyDescent="0.35">
      <c r="A52" s="241" t="s">
        <v>8</v>
      </c>
      <c r="B52" s="239"/>
      <c r="C52" s="239"/>
      <c r="D52" s="239"/>
      <c r="E52" s="239"/>
      <c r="F52" s="240"/>
      <c r="G52" s="18">
        <v>46014</v>
      </c>
      <c r="H52" s="238" t="s">
        <v>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4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36" t="s">
        <v>28</v>
      </c>
      <c r="B54" s="36" t="s">
        <v>363</v>
      </c>
      <c r="C54" s="37">
        <v>0.3125</v>
      </c>
      <c r="D54" s="36" t="s">
        <v>30</v>
      </c>
      <c r="E54" s="38"/>
      <c r="F54" s="36" t="s">
        <v>68</v>
      </c>
      <c r="G54" s="237"/>
      <c r="H54" s="112" t="s">
        <v>363</v>
      </c>
      <c r="I54" s="113">
        <v>5.5999999999999999E-3</v>
      </c>
      <c r="J54" s="114">
        <v>1</v>
      </c>
      <c r="K54" s="115" t="s">
        <v>378</v>
      </c>
      <c r="L54" s="114">
        <v>0</v>
      </c>
      <c r="M54" s="114">
        <v>0</v>
      </c>
      <c r="N54" s="114">
        <v>0</v>
      </c>
      <c r="O54" s="116" t="s">
        <v>155</v>
      </c>
      <c r="P54" s="117">
        <v>0.3125</v>
      </c>
      <c r="Q54" s="114">
        <v>179</v>
      </c>
      <c r="R54" s="118" t="s">
        <v>58</v>
      </c>
    </row>
    <row r="55" spans="1:18" ht="17.399999999999999" customHeight="1" thickBot="1" x14ac:dyDescent="0.35">
      <c r="A55" s="264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6"/>
    </row>
    <row r="56" spans="1:18" ht="22.05" customHeight="1" thickTop="1" thickBot="1" x14ac:dyDescent="0.35">
      <c r="A56" s="241" t="s">
        <v>8</v>
      </c>
      <c r="B56" s="239"/>
      <c r="C56" s="239"/>
      <c r="D56" s="239"/>
      <c r="E56" s="239"/>
      <c r="F56" s="240"/>
      <c r="G56" s="18">
        <v>46016</v>
      </c>
      <c r="H56" s="238" t="s">
        <v>9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4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66" t="s">
        <v>28</v>
      </c>
      <c r="B58" s="66" t="s">
        <v>363</v>
      </c>
      <c r="C58" s="67">
        <v>0.76736111111111116</v>
      </c>
      <c r="D58" s="66" t="s">
        <v>30</v>
      </c>
      <c r="E58" s="68"/>
      <c r="F58" s="66" t="s">
        <v>68</v>
      </c>
      <c r="G58" s="237"/>
      <c r="H58" s="127" t="s">
        <v>363</v>
      </c>
      <c r="I58" s="128">
        <v>2.7900000000000001E-2</v>
      </c>
      <c r="J58" s="129">
        <v>5</v>
      </c>
      <c r="K58" s="130" t="s">
        <v>90</v>
      </c>
      <c r="L58" s="129">
        <v>1</v>
      </c>
      <c r="M58" s="129">
        <v>0</v>
      </c>
      <c r="N58" s="129">
        <v>0</v>
      </c>
      <c r="O58" s="131" t="s">
        <v>155</v>
      </c>
      <c r="P58" s="132">
        <v>0.76736111111111116</v>
      </c>
      <c r="Q58" s="129">
        <v>179</v>
      </c>
      <c r="R58" s="133" t="s">
        <v>379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6"/>
  <sheetViews>
    <sheetView workbookViewId="0"/>
  </sheetViews>
  <sheetFormatPr defaultRowHeight="15.6" outlineLevelCol="1" x14ac:dyDescent="0.3"/>
  <cols>
    <col min="1" max="1" width="9.88671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7.44140625" style="251" bestFit="1" customWidth="1"/>
    <col min="6" max="6" width="4.21875" style="251" bestFit="1" customWidth="1"/>
    <col min="7" max="7" width="10" style="251" bestFit="1" customWidth="1"/>
    <col min="8" max="8" width="8.5546875" style="251" bestFit="1" customWidth="1"/>
    <col min="9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20" width="3.8867187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0" width="3.88671875" style="251" bestFit="1" customWidth="1"/>
    <col min="31" max="31" width="4.5546875" style="251" bestFit="1" customWidth="1"/>
    <col min="32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157</v>
      </c>
      <c r="B2" s="253">
        <v>45986</v>
      </c>
      <c r="C2" s="254" t="s">
        <v>363</v>
      </c>
      <c r="D2" s="255" t="s">
        <v>380</v>
      </c>
      <c r="E2" s="254" t="s">
        <v>362</v>
      </c>
      <c r="F2" s="254" t="s">
        <v>141</v>
      </c>
      <c r="G2" s="256">
        <v>0.83240000000000003</v>
      </c>
      <c r="H2" s="257">
        <v>179</v>
      </c>
      <c r="I2" s="257">
        <v>149</v>
      </c>
      <c r="J2" s="257">
        <v>0</v>
      </c>
      <c r="K2" s="254" t="s">
        <v>142</v>
      </c>
      <c r="L2" s="258" t="s">
        <v>75</v>
      </c>
      <c r="M2" s="257">
        <v>2</v>
      </c>
      <c r="N2" s="257">
        <v>21</v>
      </c>
      <c r="O2" s="257">
        <v>112</v>
      </c>
      <c r="P2" s="254" t="s">
        <v>40</v>
      </c>
      <c r="Q2" s="250"/>
      <c r="R2" s="250"/>
      <c r="S2" s="250"/>
      <c r="T2" s="250"/>
      <c r="U2" s="257" t="s">
        <v>352</v>
      </c>
      <c r="V2" s="250"/>
      <c r="W2" s="250"/>
      <c r="X2" s="250"/>
      <c r="Y2" s="257" t="s">
        <v>381</v>
      </c>
      <c r="Z2" s="257" t="s">
        <v>382</v>
      </c>
      <c r="AA2" s="257" t="s">
        <v>383</v>
      </c>
      <c r="AB2" s="257" t="s">
        <v>62</v>
      </c>
      <c r="AC2" s="257" t="s">
        <v>384</v>
      </c>
      <c r="AD2" s="250"/>
      <c r="AE2" s="257" t="s">
        <v>254</v>
      </c>
      <c r="AF2" s="257" t="s">
        <v>78</v>
      </c>
      <c r="AG2" s="250"/>
      <c r="AH2" s="250"/>
      <c r="AI2" s="250"/>
      <c r="AJ2" s="250"/>
    </row>
    <row r="3" spans="1:36" x14ac:dyDescent="0.3">
      <c r="A3" s="252" t="s">
        <v>179</v>
      </c>
      <c r="B3" s="253">
        <v>45988</v>
      </c>
      <c r="C3" s="254" t="s">
        <v>363</v>
      </c>
      <c r="D3" s="255" t="s">
        <v>385</v>
      </c>
      <c r="E3" s="254" t="s">
        <v>362</v>
      </c>
      <c r="F3" s="254" t="s">
        <v>141</v>
      </c>
      <c r="G3" s="256">
        <v>0.89939999999999998</v>
      </c>
      <c r="H3" s="257">
        <v>179</v>
      </c>
      <c r="I3" s="257">
        <v>161</v>
      </c>
      <c r="J3" s="257">
        <v>0</v>
      </c>
      <c r="K3" s="254" t="s">
        <v>142</v>
      </c>
      <c r="L3" s="258" t="s">
        <v>37</v>
      </c>
      <c r="M3" s="257">
        <v>0</v>
      </c>
      <c r="N3" s="257">
        <v>18</v>
      </c>
      <c r="O3" s="257">
        <v>78</v>
      </c>
      <c r="P3" s="254" t="s">
        <v>366</v>
      </c>
      <c r="Q3" s="250"/>
      <c r="R3" s="250"/>
      <c r="S3" s="250"/>
      <c r="T3" s="250"/>
      <c r="U3" s="250"/>
      <c r="V3" s="250"/>
      <c r="W3" s="257" t="s">
        <v>386</v>
      </c>
      <c r="X3" s="257" t="s">
        <v>387</v>
      </c>
      <c r="Y3" s="257" t="s">
        <v>388</v>
      </c>
      <c r="Z3" s="257" t="s">
        <v>389</v>
      </c>
      <c r="AA3" s="257" t="s">
        <v>229</v>
      </c>
      <c r="AB3" s="257" t="s">
        <v>390</v>
      </c>
      <c r="AC3" s="257" t="s">
        <v>391</v>
      </c>
      <c r="AD3" s="257" t="s">
        <v>164</v>
      </c>
      <c r="AE3" s="257" t="s">
        <v>253</v>
      </c>
      <c r="AF3" s="257" t="s">
        <v>250</v>
      </c>
      <c r="AG3" s="250"/>
      <c r="AH3" s="250"/>
      <c r="AI3" s="250"/>
      <c r="AJ3" s="250"/>
    </row>
    <row r="4" spans="1:36" x14ac:dyDescent="0.3">
      <c r="A4" s="252" t="s">
        <v>205</v>
      </c>
      <c r="B4" s="253">
        <v>45990</v>
      </c>
      <c r="C4" s="254" t="s">
        <v>363</v>
      </c>
      <c r="D4" s="255" t="s">
        <v>392</v>
      </c>
      <c r="E4" s="254" t="s">
        <v>362</v>
      </c>
      <c r="F4" s="254" t="s">
        <v>141</v>
      </c>
      <c r="G4" s="256">
        <v>0.82679999999999998</v>
      </c>
      <c r="H4" s="257">
        <v>179</v>
      </c>
      <c r="I4" s="257">
        <v>148</v>
      </c>
      <c r="J4" s="257">
        <v>0</v>
      </c>
      <c r="K4" s="254" t="s">
        <v>142</v>
      </c>
      <c r="L4" s="258" t="s">
        <v>37</v>
      </c>
      <c r="M4" s="257">
        <v>0</v>
      </c>
      <c r="N4" s="257">
        <v>5</v>
      </c>
      <c r="O4" s="257">
        <v>28</v>
      </c>
      <c r="P4" s="254" t="s">
        <v>48</v>
      </c>
      <c r="Q4" s="250"/>
      <c r="R4" s="250"/>
      <c r="S4" s="250"/>
      <c r="T4" s="250"/>
      <c r="U4" s="257" t="s">
        <v>393</v>
      </c>
      <c r="V4" s="257" t="s">
        <v>394</v>
      </c>
      <c r="W4" s="257" t="s">
        <v>395</v>
      </c>
      <c r="X4" s="257" t="s">
        <v>396</v>
      </c>
      <c r="Y4" s="257" t="s">
        <v>397</v>
      </c>
      <c r="Z4" s="257" t="s">
        <v>211</v>
      </c>
      <c r="AA4" s="257" t="s">
        <v>398</v>
      </c>
      <c r="AB4" s="257" t="s">
        <v>399</v>
      </c>
      <c r="AC4" s="257" t="s">
        <v>400</v>
      </c>
      <c r="AD4" s="257" t="s">
        <v>99</v>
      </c>
      <c r="AE4" s="257" t="s">
        <v>322</v>
      </c>
      <c r="AF4" s="257" t="s">
        <v>76</v>
      </c>
      <c r="AG4" s="250"/>
      <c r="AH4" s="250"/>
      <c r="AI4" s="250"/>
      <c r="AJ4" s="250"/>
    </row>
    <row r="5" spans="1:36" x14ac:dyDescent="0.3">
      <c r="A5" s="252" t="s">
        <v>157</v>
      </c>
      <c r="B5" s="253">
        <v>45993</v>
      </c>
      <c r="C5" s="254" t="s">
        <v>363</v>
      </c>
      <c r="D5" s="255" t="s">
        <v>380</v>
      </c>
      <c r="E5" s="254" t="s">
        <v>362</v>
      </c>
      <c r="F5" s="254" t="s">
        <v>141</v>
      </c>
      <c r="G5" s="256">
        <v>0.36870000000000003</v>
      </c>
      <c r="H5" s="257">
        <v>179</v>
      </c>
      <c r="I5" s="257">
        <v>66</v>
      </c>
      <c r="J5" s="257">
        <v>0</v>
      </c>
      <c r="K5" s="254" t="s">
        <v>142</v>
      </c>
      <c r="L5" s="258" t="s">
        <v>75</v>
      </c>
      <c r="M5" s="257">
        <v>4</v>
      </c>
      <c r="N5" s="257">
        <v>7</v>
      </c>
      <c r="O5" s="257">
        <v>47</v>
      </c>
      <c r="P5" s="254" t="s">
        <v>64</v>
      </c>
      <c r="Q5" s="250"/>
      <c r="R5" s="250"/>
      <c r="S5" s="250"/>
      <c r="T5" s="250"/>
      <c r="U5" s="250"/>
      <c r="V5" s="250"/>
      <c r="W5" s="250"/>
      <c r="X5" s="250"/>
      <c r="Y5" s="250"/>
      <c r="Z5" s="257" t="s">
        <v>233</v>
      </c>
      <c r="AA5" s="250"/>
      <c r="AB5" s="257" t="s">
        <v>401</v>
      </c>
      <c r="AC5" s="257" t="s">
        <v>402</v>
      </c>
      <c r="AD5" s="257" t="s">
        <v>249</v>
      </c>
      <c r="AE5" s="250"/>
      <c r="AF5" s="257" t="s">
        <v>80</v>
      </c>
      <c r="AG5" s="250"/>
      <c r="AH5" s="250"/>
      <c r="AI5" s="250"/>
      <c r="AJ5" s="250"/>
    </row>
    <row r="6" spans="1:36" x14ac:dyDescent="0.3">
      <c r="A6" s="252" t="s">
        <v>179</v>
      </c>
      <c r="B6" s="253">
        <v>45995</v>
      </c>
      <c r="C6" s="254" t="s">
        <v>363</v>
      </c>
      <c r="D6" s="255" t="s">
        <v>385</v>
      </c>
      <c r="E6" s="254" t="s">
        <v>362</v>
      </c>
      <c r="F6" s="254" t="s">
        <v>141</v>
      </c>
      <c r="G6" s="256">
        <v>0.17879999999999999</v>
      </c>
      <c r="H6" s="257">
        <v>179</v>
      </c>
      <c r="I6" s="257">
        <v>32</v>
      </c>
      <c r="J6" s="257">
        <v>0</v>
      </c>
      <c r="K6" s="254" t="s">
        <v>142</v>
      </c>
      <c r="L6" s="258" t="s">
        <v>37</v>
      </c>
      <c r="M6" s="257">
        <v>0</v>
      </c>
      <c r="N6" s="257">
        <v>3</v>
      </c>
      <c r="O6" s="257">
        <v>20</v>
      </c>
      <c r="P6" s="254" t="s">
        <v>155</v>
      </c>
      <c r="Q6" s="250"/>
      <c r="R6" s="250"/>
      <c r="S6" s="250"/>
      <c r="T6" s="250"/>
      <c r="U6" s="250"/>
      <c r="V6" s="250"/>
      <c r="W6" s="250"/>
      <c r="X6" s="250"/>
      <c r="Y6" s="250"/>
      <c r="Z6" s="257" t="s">
        <v>233</v>
      </c>
      <c r="AA6" s="250"/>
      <c r="AB6" s="250"/>
      <c r="AC6" s="257" t="s">
        <v>403</v>
      </c>
      <c r="AD6" s="257" t="s">
        <v>203</v>
      </c>
      <c r="AE6" s="257" t="s">
        <v>254</v>
      </c>
      <c r="AF6" s="250"/>
      <c r="AG6" s="250"/>
      <c r="AH6" s="250"/>
      <c r="AI6" s="250"/>
      <c r="AJ6" s="250"/>
    </row>
    <row r="7" spans="1:36" x14ac:dyDescent="0.3">
      <c r="A7" s="252" t="s">
        <v>205</v>
      </c>
      <c r="B7" s="253">
        <v>45997</v>
      </c>
      <c r="C7" s="254" t="s">
        <v>363</v>
      </c>
      <c r="D7" s="255" t="s">
        <v>392</v>
      </c>
      <c r="E7" s="254" t="s">
        <v>362</v>
      </c>
      <c r="F7" s="254" t="s">
        <v>141</v>
      </c>
      <c r="G7" s="256">
        <v>0.2346</v>
      </c>
      <c r="H7" s="257">
        <v>179</v>
      </c>
      <c r="I7" s="257">
        <v>42</v>
      </c>
      <c r="J7" s="257">
        <v>0</v>
      </c>
      <c r="K7" s="254" t="s">
        <v>142</v>
      </c>
      <c r="L7" s="258" t="s">
        <v>37</v>
      </c>
      <c r="M7" s="257">
        <v>0</v>
      </c>
      <c r="N7" s="257">
        <v>1</v>
      </c>
      <c r="O7" s="257">
        <v>17</v>
      </c>
      <c r="P7" s="254" t="s">
        <v>155</v>
      </c>
      <c r="Q7" s="250"/>
      <c r="R7" s="250"/>
      <c r="S7" s="250"/>
      <c r="T7" s="250"/>
      <c r="U7" s="250"/>
      <c r="V7" s="250"/>
      <c r="W7" s="250"/>
      <c r="X7" s="257" t="s">
        <v>54</v>
      </c>
      <c r="Y7" s="257" t="s">
        <v>40</v>
      </c>
      <c r="Z7" s="257" t="s">
        <v>211</v>
      </c>
      <c r="AA7" s="250"/>
      <c r="AB7" s="250"/>
      <c r="AC7" s="257" t="s">
        <v>234</v>
      </c>
      <c r="AD7" s="257" t="s">
        <v>220</v>
      </c>
      <c r="AE7" s="257" t="s">
        <v>84</v>
      </c>
      <c r="AF7" s="250"/>
      <c r="AG7" s="250"/>
      <c r="AH7" s="250"/>
      <c r="AI7" s="250"/>
      <c r="AJ7" s="250"/>
    </row>
    <row r="8" spans="1:36" x14ac:dyDescent="0.3">
      <c r="A8" s="252" t="s">
        <v>157</v>
      </c>
      <c r="B8" s="253">
        <v>46000</v>
      </c>
      <c r="C8" s="254" t="s">
        <v>363</v>
      </c>
      <c r="D8" s="255" t="s">
        <v>380</v>
      </c>
      <c r="E8" s="254" t="s">
        <v>362</v>
      </c>
      <c r="F8" s="254" t="s">
        <v>141</v>
      </c>
      <c r="G8" s="256">
        <v>5.0299999999999997E-2</v>
      </c>
      <c r="H8" s="257">
        <v>179</v>
      </c>
      <c r="I8" s="257">
        <v>9</v>
      </c>
      <c r="J8" s="257">
        <v>0</v>
      </c>
      <c r="K8" s="254" t="s">
        <v>142</v>
      </c>
      <c r="L8" s="258" t="s">
        <v>37</v>
      </c>
      <c r="M8" s="257">
        <v>0</v>
      </c>
      <c r="N8" s="257">
        <v>1</v>
      </c>
      <c r="O8" s="257">
        <v>5</v>
      </c>
      <c r="P8" s="254" t="s">
        <v>155</v>
      </c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7" t="s">
        <v>404</v>
      </c>
      <c r="AD8" s="250"/>
      <c r="AE8" s="257" t="s">
        <v>84</v>
      </c>
      <c r="AF8" s="250"/>
      <c r="AG8" s="250"/>
      <c r="AH8" s="250"/>
      <c r="AI8" s="250"/>
      <c r="AJ8" s="250"/>
    </row>
    <row r="9" spans="1:36" x14ac:dyDescent="0.3">
      <c r="A9" s="252" t="s">
        <v>179</v>
      </c>
      <c r="B9" s="253">
        <v>46002</v>
      </c>
      <c r="C9" s="254" t="s">
        <v>363</v>
      </c>
      <c r="D9" s="255" t="s">
        <v>385</v>
      </c>
      <c r="E9" s="254" t="s">
        <v>362</v>
      </c>
      <c r="F9" s="254" t="s">
        <v>141</v>
      </c>
      <c r="G9" s="256">
        <v>8.9399999999999993E-2</v>
      </c>
      <c r="H9" s="257">
        <v>179</v>
      </c>
      <c r="I9" s="257">
        <v>16</v>
      </c>
      <c r="J9" s="257">
        <v>0</v>
      </c>
      <c r="K9" s="254" t="s">
        <v>142</v>
      </c>
      <c r="L9" s="258" t="s">
        <v>37</v>
      </c>
      <c r="M9" s="257">
        <v>0</v>
      </c>
      <c r="N9" s="257">
        <v>6</v>
      </c>
      <c r="O9" s="257">
        <v>9</v>
      </c>
      <c r="P9" s="254" t="s">
        <v>155</v>
      </c>
      <c r="Q9" s="250"/>
      <c r="R9" s="250"/>
      <c r="S9" s="250"/>
      <c r="T9" s="250"/>
      <c r="U9" s="250"/>
      <c r="V9" s="250"/>
      <c r="W9" s="250"/>
      <c r="X9" s="250"/>
      <c r="Y9" s="250"/>
      <c r="Z9" s="257" t="s">
        <v>233</v>
      </c>
      <c r="AA9" s="250"/>
      <c r="AB9" s="250"/>
      <c r="AC9" s="257" t="s">
        <v>242</v>
      </c>
      <c r="AD9" s="250"/>
      <c r="AE9" s="257" t="s">
        <v>100</v>
      </c>
      <c r="AF9" s="250"/>
      <c r="AG9" s="250"/>
      <c r="AH9" s="250"/>
      <c r="AI9" s="250"/>
      <c r="AJ9" s="250"/>
    </row>
    <row r="10" spans="1:36" x14ac:dyDescent="0.3">
      <c r="A10" s="252" t="s">
        <v>205</v>
      </c>
      <c r="B10" s="253">
        <v>46004</v>
      </c>
      <c r="C10" s="254" t="s">
        <v>363</v>
      </c>
      <c r="D10" s="255" t="s">
        <v>392</v>
      </c>
      <c r="E10" s="254" t="s">
        <v>362</v>
      </c>
      <c r="F10" s="254" t="s">
        <v>141</v>
      </c>
      <c r="G10" s="256">
        <v>4.4699999999999997E-2</v>
      </c>
      <c r="H10" s="257">
        <v>179</v>
      </c>
      <c r="I10" s="257">
        <v>8</v>
      </c>
      <c r="J10" s="257">
        <v>0</v>
      </c>
      <c r="K10" s="254" t="s">
        <v>142</v>
      </c>
      <c r="L10" s="258" t="s">
        <v>37</v>
      </c>
      <c r="M10" s="257">
        <v>0</v>
      </c>
      <c r="N10" s="257">
        <v>3</v>
      </c>
      <c r="O10" s="257">
        <v>4</v>
      </c>
      <c r="P10" s="254" t="s">
        <v>155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7" t="s">
        <v>226</v>
      </c>
      <c r="AA10" s="257" t="s">
        <v>143</v>
      </c>
      <c r="AB10" s="250"/>
      <c r="AC10" s="257" t="s">
        <v>404</v>
      </c>
      <c r="AD10" s="250"/>
      <c r="AE10" s="257" t="s">
        <v>95</v>
      </c>
      <c r="AF10" s="250"/>
      <c r="AG10" s="250"/>
      <c r="AH10" s="250"/>
      <c r="AI10" s="250"/>
      <c r="AJ10" s="250"/>
    </row>
    <row r="11" spans="1:36" x14ac:dyDescent="0.3">
      <c r="A11" s="252" t="s">
        <v>157</v>
      </c>
      <c r="B11" s="253">
        <v>46007</v>
      </c>
      <c r="C11" s="254" t="s">
        <v>363</v>
      </c>
      <c r="D11" s="255" t="s">
        <v>380</v>
      </c>
      <c r="E11" s="254" t="s">
        <v>362</v>
      </c>
      <c r="F11" s="254" t="s">
        <v>141</v>
      </c>
      <c r="G11" s="256">
        <v>6.1499999999999999E-2</v>
      </c>
      <c r="H11" s="257">
        <v>179</v>
      </c>
      <c r="I11" s="257">
        <v>11</v>
      </c>
      <c r="J11" s="257">
        <v>0</v>
      </c>
      <c r="K11" s="254" t="s">
        <v>142</v>
      </c>
      <c r="L11" s="258" t="s">
        <v>37</v>
      </c>
      <c r="M11" s="257">
        <v>0</v>
      </c>
      <c r="N11" s="257">
        <v>2</v>
      </c>
      <c r="O11" s="257">
        <v>9</v>
      </c>
      <c r="P11" s="254" t="s">
        <v>155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7" t="s">
        <v>155</v>
      </c>
      <c r="AD11" s="250"/>
      <c r="AE11" s="257" t="s">
        <v>95</v>
      </c>
      <c r="AF11" s="250"/>
      <c r="AG11" s="250"/>
      <c r="AH11" s="250"/>
      <c r="AI11" s="250"/>
      <c r="AJ11" s="250"/>
    </row>
    <row r="12" spans="1:36" x14ac:dyDescent="0.3">
      <c r="A12" s="252" t="s">
        <v>179</v>
      </c>
      <c r="B12" s="253">
        <v>46009</v>
      </c>
      <c r="C12" s="254" t="s">
        <v>363</v>
      </c>
      <c r="D12" s="255" t="s">
        <v>385</v>
      </c>
      <c r="E12" s="254" t="s">
        <v>362</v>
      </c>
      <c r="F12" s="254" t="s">
        <v>141</v>
      </c>
      <c r="G12" s="256">
        <v>2.7900000000000001E-2</v>
      </c>
      <c r="H12" s="257">
        <v>179</v>
      </c>
      <c r="I12" s="257">
        <v>5</v>
      </c>
      <c r="J12" s="257">
        <v>0</v>
      </c>
      <c r="K12" s="254" t="s">
        <v>142</v>
      </c>
      <c r="L12" s="258" t="s">
        <v>90</v>
      </c>
      <c r="M12" s="257">
        <v>0</v>
      </c>
      <c r="N12" s="257">
        <v>0</v>
      </c>
      <c r="O12" s="257">
        <v>1</v>
      </c>
      <c r="P12" s="254" t="s">
        <v>73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7" t="s">
        <v>233</v>
      </c>
      <c r="AA12" s="250"/>
      <c r="AB12" s="250"/>
      <c r="AC12" s="257" t="s">
        <v>58</v>
      </c>
      <c r="AD12" s="250"/>
      <c r="AE12" s="257" t="s">
        <v>224</v>
      </c>
      <c r="AF12" s="250"/>
      <c r="AG12" s="250"/>
      <c r="AH12" s="250"/>
      <c r="AI12" s="250"/>
      <c r="AJ12" s="250"/>
    </row>
    <row r="13" spans="1:36" x14ac:dyDescent="0.3">
      <c r="A13" s="252" t="s">
        <v>205</v>
      </c>
      <c r="B13" s="253">
        <v>46011</v>
      </c>
      <c r="C13" s="254" t="s">
        <v>363</v>
      </c>
      <c r="D13" s="255" t="s">
        <v>392</v>
      </c>
      <c r="E13" s="254" t="s">
        <v>362</v>
      </c>
      <c r="F13" s="254" t="s">
        <v>141</v>
      </c>
      <c r="G13" s="256">
        <v>3.9100000000000003E-2</v>
      </c>
      <c r="H13" s="257">
        <v>179</v>
      </c>
      <c r="I13" s="257">
        <v>7</v>
      </c>
      <c r="J13" s="257">
        <v>0</v>
      </c>
      <c r="K13" s="254" t="s">
        <v>142</v>
      </c>
      <c r="L13" s="258" t="s">
        <v>82</v>
      </c>
      <c r="M13" s="257">
        <v>0</v>
      </c>
      <c r="N13" s="257">
        <v>0</v>
      </c>
      <c r="O13" s="257">
        <v>2</v>
      </c>
      <c r="P13" s="254" t="s">
        <v>155</v>
      </c>
      <c r="Q13" s="250"/>
      <c r="R13" s="250"/>
      <c r="S13" s="250"/>
      <c r="T13" s="250"/>
      <c r="U13" s="250"/>
      <c r="V13" s="257" t="s">
        <v>252</v>
      </c>
      <c r="W13" s="250"/>
      <c r="X13" s="250"/>
      <c r="Y13" s="250"/>
      <c r="Z13" s="257" t="s">
        <v>233</v>
      </c>
      <c r="AA13" s="250"/>
      <c r="AB13" s="257" t="s">
        <v>88</v>
      </c>
      <c r="AC13" s="257" t="s">
        <v>404</v>
      </c>
      <c r="AD13" s="250"/>
      <c r="AE13" s="257" t="s">
        <v>254</v>
      </c>
      <c r="AF13" s="250"/>
      <c r="AG13" s="250"/>
      <c r="AH13" s="250"/>
      <c r="AI13" s="250"/>
      <c r="AJ13" s="250"/>
    </row>
    <row r="14" spans="1:36" x14ac:dyDescent="0.3">
      <c r="A14" s="252" t="s">
        <v>157</v>
      </c>
      <c r="B14" s="253">
        <v>46014</v>
      </c>
      <c r="C14" s="254" t="s">
        <v>363</v>
      </c>
      <c r="D14" s="255" t="s">
        <v>380</v>
      </c>
      <c r="E14" s="254" t="s">
        <v>362</v>
      </c>
      <c r="F14" s="254" t="s">
        <v>141</v>
      </c>
      <c r="G14" s="256">
        <v>5.5999999999999999E-3</v>
      </c>
      <c r="H14" s="257">
        <v>179</v>
      </c>
      <c r="I14" s="257">
        <v>1</v>
      </c>
      <c r="J14" s="257">
        <v>0</v>
      </c>
      <c r="K14" s="254" t="s">
        <v>142</v>
      </c>
      <c r="L14" s="258" t="s">
        <v>378</v>
      </c>
      <c r="M14" s="257">
        <v>0</v>
      </c>
      <c r="N14" s="257">
        <v>0</v>
      </c>
      <c r="O14" s="257">
        <v>0</v>
      </c>
      <c r="P14" s="254" t="s">
        <v>155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7" t="s">
        <v>58</v>
      </c>
      <c r="AD14" s="250"/>
      <c r="AE14" s="250"/>
      <c r="AF14" s="250"/>
      <c r="AG14" s="250"/>
      <c r="AH14" s="250"/>
      <c r="AI14" s="250"/>
      <c r="AJ14" s="250"/>
    </row>
    <row r="15" spans="1:36" x14ac:dyDescent="0.3">
      <c r="A15" s="252" t="s">
        <v>179</v>
      </c>
      <c r="B15" s="253">
        <v>46016</v>
      </c>
      <c r="C15" s="254" t="s">
        <v>363</v>
      </c>
      <c r="D15" s="255" t="s">
        <v>385</v>
      </c>
      <c r="E15" s="254" t="s">
        <v>362</v>
      </c>
      <c r="F15" s="254" t="s">
        <v>141</v>
      </c>
      <c r="G15" s="256">
        <v>2.7900000000000001E-2</v>
      </c>
      <c r="H15" s="257">
        <v>179</v>
      </c>
      <c r="I15" s="257">
        <v>5</v>
      </c>
      <c r="J15" s="257">
        <v>0</v>
      </c>
      <c r="K15" s="254" t="s">
        <v>142</v>
      </c>
      <c r="L15" s="258" t="s">
        <v>90</v>
      </c>
      <c r="M15" s="257">
        <v>0</v>
      </c>
      <c r="N15" s="257">
        <v>0</v>
      </c>
      <c r="O15" s="257">
        <v>1</v>
      </c>
      <c r="P15" s="254" t="s">
        <v>155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7" t="s">
        <v>58</v>
      </c>
      <c r="AD15" s="250"/>
      <c r="AE15" s="257" t="s">
        <v>253</v>
      </c>
      <c r="AF15" s="250"/>
      <c r="AG15" s="250"/>
      <c r="AH15" s="250"/>
      <c r="AI15" s="250"/>
      <c r="AJ15" s="250"/>
    </row>
    <row r="16" spans="1:36" ht="21" x14ac:dyDescent="0.3">
      <c r="A16" s="259" t="s">
        <v>900</v>
      </c>
      <c r="B16" s="260"/>
      <c r="C16" s="259">
        <f>SUBTOTAL(103,CAI_AJF_LF_LEGACY[Flt])</f>
        <v>14</v>
      </c>
      <c r="D16" s="259"/>
      <c r="E16" s="259">
        <f>SUBTOTAL(103,CAI_AJF_LF_LEGACY[Brd-Off])</f>
        <v>14</v>
      </c>
      <c r="F16" s="259"/>
      <c r="G16" s="261">
        <f>SUBTOTAL(101,CAI_AJF_LF_LEGACY[LF%])</f>
        <v>0.26336428571428566</v>
      </c>
      <c r="H16" s="262">
        <f>SUBTOTAL(109,CAI_AJF_LF_LEGACY[CAP])</f>
        <v>2506</v>
      </c>
      <c r="I16" s="262">
        <f>SUBTOTAL(109,CAI_AJF_LF_LEGACY[BKG(Y)])</f>
        <v>660</v>
      </c>
      <c r="J16" s="262">
        <f>SUBTOTAL(109,CAI_AJF_LF_LEGACY[GRP(Y)])</f>
        <v>0</v>
      </c>
      <c r="K16" s="259"/>
      <c r="L16" s="260"/>
      <c r="M16" s="262">
        <f>SUBTOTAL(109,CAI_AJF_LF_LEGACY[TO-DAY])</f>
        <v>6</v>
      </c>
      <c r="N16" s="262">
        <f>SUBTOTAL(109,CAI_AJF_LF_LEGACY[Y-DAY])</f>
        <v>67</v>
      </c>
      <c r="O16" s="262">
        <f>SUBTOTAL(109,CAI_AJF_LF_LEGACY[WEEKLY])</f>
        <v>333</v>
      </c>
      <c r="P16" s="263"/>
      <c r="Q16" s="262">
        <f>SUBTOTAL(109,CAI_AJF_LF_LEGACY[Y])</f>
        <v>0</v>
      </c>
      <c r="R16" s="262">
        <f>SUBTOTAL(109,CAI_AJF_LF_LEGACY[B])</f>
        <v>0</v>
      </c>
      <c r="S16" s="262">
        <f>SUBTOTAL(109,CAI_AJF_LF_LEGACY[M])</f>
        <v>0</v>
      </c>
      <c r="T16" s="262">
        <f>SUBTOTAL(109,CAI_AJF_LF_LEGACY[H])</f>
        <v>0</v>
      </c>
      <c r="U16" s="262">
        <f>SUBTOTAL(109,CAI_AJF_LF_LEGACY[Q])</f>
        <v>0</v>
      </c>
      <c r="V16" s="262">
        <f>SUBTOTAL(109,CAI_AJF_LF_LEGACY[K])</f>
        <v>0</v>
      </c>
      <c r="W16" s="262">
        <f>SUBTOTAL(109,CAI_AJF_LF_LEGACY[V])</f>
        <v>0</v>
      </c>
      <c r="X16" s="262">
        <f>SUBTOTAL(109,CAI_AJF_LF_LEGACY[L])</f>
        <v>0</v>
      </c>
      <c r="Y16" s="262">
        <f>SUBTOTAL(109,CAI_AJF_LF_LEGACY[G])</f>
        <v>0</v>
      </c>
      <c r="Z16" s="262">
        <f>SUBTOTAL(109,CAI_AJF_LF_LEGACY[S])</f>
        <v>0</v>
      </c>
      <c r="AA16" s="262">
        <f>SUBTOTAL(109,CAI_AJF_LF_LEGACY[W])</f>
        <v>0</v>
      </c>
      <c r="AB16" s="262">
        <f>SUBTOTAL(109,CAI_AJF_LF_LEGACY[T])</f>
        <v>0</v>
      </c>
      <c r="AC16" s="262">
        <f>SUBTOTAL(109,CAI_AJF_LF_LEGACY[X])</f>
        <v>0</v>
      </c>
      <c r="AD16" s="262">
        <f>SUBTOTAL(109,CAI_AJF_LF_LEGACY[U])</f>
        <v>0</v>
      </c>
      <c r="AE16" s="262">
        <f>SUBTOTAL(109,CAI_AJF_LF_LEGACY[O])</f>
        <v>0</v>
      </c>
      <c r="AF16" s="262">
        <f>SUBTOTAL(109,CAI_AJF_LF_LEGACY[I])</f>
        <v>0</v>
      </c>
      <c r="AG16" s="262">
        <f>SUBTOTAL(109,CAI_AJF_LF_LEGACY[E])</f>
        <v>0</v>
      </c>
      <c r="AH16" s="262">
        <f>SUBTOTAL(109,CAI_AJF_LF_LEGACY[A])</f>
        <v>0</v>
      </c>
      <c r="AI16" s="262">
        <f>SUBTOTAL(109,CAI_AJF_LF_LEGACY[P])</f>
        <v>0</v>
      </c>
      <c r="AJ16" s="262">
        <f>SUBTOTAL(103,CAI_AJF_LF_LEGACY[N])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138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82.10937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405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45984.228708738658</v>
      </c>
      <c r="H2" s="235"/>
      <c r="I2" s="235"/>
      <c r="J2" s="235"/>
      <c r="K2" s="245">
        <v>45984.228708739232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45984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406</v>
      </c>
      <c r="C6" s="37">
        <v>0.21527777777777779</v>
      </c>
      <c r="D6" s="36" t="s">
        <v>30</v>
      </c>
      <c r="E6" s="38"/>
      <c r="F6" s="36" t="s">
        <v>407</v>
      </c>
      <c r="G6" s="237"/>
      <c r="H6" s="112" t="s">
        <v>406</v>
      </c>
      <c r="I6" s="150">
        <v>0.99439999999999995</v>
      </c>
      <c r="J6" s="114">
        <v>178</v>
      </c>
      <c r="K6" s="115" t="s">
        <v>102</v>
      </c>
      <c r="L6" s="114">
        <v>51</v>
      </c>
      <c r="M6" s="114">
        <v>0</v>
      </c>
      <c r="N6" s="114">
        <v>0</v>
      </c>
      <c r="O6" s="116" t="s">
        <v>408</v>
      </c>
      <c r="P6" s="117">
        <v>0.21527777777777779</v>
      </c>
      <c r="Q6" s="114">
        <v>179</v>
      </c>
      <c r="R6" s="118" t="s">
        <v>409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45985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76" t="s">
        <v>28</v>
      </c>
      <c r="B10" s="76" t="s">
        <v>406</v>
      </c>
      <c r="C10" s="77">
        <v>0.16666666666666671</v>
      </c>
      <c r="D10" s="76" t="s">
        <v>30</v>
      </c>
      <c r="E10" s="78"/>
      <c r="F10" s="76" t="s">
        <v>31</v>
      </c>
      <c r="G10" s="232"/>
      <c r="H10" s="49" t="s">
        <v>406</v>
      </c>
      <c r="I10" s="151">
        <v>1</v>
      </c>
      <c r="J10" s="51">
        <v>179</v>
      </c>
      <c r="K10" s="52" t="s">
        <v>47</v>
      </c>
      <c r="L10" s="51">
        <v>1</v>
      </c>
      <c r="M10" s="51">
        <v>0</v>
      </c>
      <c r="N10" s="51">
        <v>0</v>
      </c>
      <c r="O10" s="53" t="s">
        <v>33</v>
      </c>
      <c r="P10" s="54">
        <v>0.16666666666666671</v>
      </c>
      <c r="Q10" s="51">
        <v>179</v>
      </c>
      <c r="R10" s="55" t="s">
        <v>410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45986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36" t="s">
        <v>28</v>
      </c>
      <c r="B14" s="36" t="s">
        <v>406</v>
      </c>
      <c r="C14" s="37">
        <v>0.83333333333333337</v>
      </c>
      <c r="D14" s="36" t="s">
        <v>30</v>
      </c>
      <c r="E14" s="38"/>
      <c r="F14" s="36" t="s">
        <v>31</v>
      </c>
      <c r="G14" s="232"/>
      <c r="H14" s="112" t="s">
        <v>406</v>
      </c>
      <c r="I14" s="150">
        <v>1</v>
      </c>
      <c r="J14" s="114">
        <v>179</v>
      </c>
      <c r="K14" s="115" t="s">
        <v>32</v>
      </c>
      <c r="L14" s="114">
        <v>14</v>
      </c>
      <c r="M14" s="114">
        <v>0</v>
      </c>
      <c r="N14" s="114">
        <v>0</v>
      </c>
      <c r="O14" s="116" t="s">
        <v>33</v>
      </c>
      <c r="P14" s="117">
        <v>0.83333333333333337</v>
      </c>
      <c r="Q14" s="114">
        <v>179</v>
      </c>
      <c r="R14" s="118" t="s">
        <v>411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45987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80" t="s">
        <v>28</v>
      </c>
      <c r="B18" s="80" t="s">
        <v>406</v>
      </c>
      <c r="C18" s="81">
        <v>0.82638888888888884</v>
      </c>
      <c r="D18" s="80" t="s">
        <v>30</v>
      </c>
      <c r="E18" s="82"/>
      <c r="F18" s="80" t="s">
        <v>31</v>
      </c>
      <c r="G18" s="232"/>
      <c r="H18" s="100" t="s">
        <v>406</v>
      </c>
      <c r="I18" s="148">
        <v>1</v>
      </c>
      <c r="J18" s="102">
        <v>179</v>
      </c>
      <c r="K18" s="103" t="s">
        <v>47</v>
      </c>
      <c r="L18" s="102">
        <v>25</v>
      </c>
      <c r="M18" s="102">
        <v>0</v>
      </c>
      <c r="N18" s="102">
        <v>0</v>
      </c>
      <c r="O18" s="104" t="s">
        <v>33</v>
      </c>
      <c r="P18" s="105">
        <v>0.82638888888888884</v>
      </c>
      <c r="Q18" s="102">
        <v>179</v>
      </c>
      <c r="R18" s="106" t="s">
        <v>412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45988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66" t="s">
        <v>28</v>
      </c>
      <c r="B22" s="66" t="s">
        <v>406</v>
      </c>
      <c r="C22" s="67">
        <v>0.4375</v>
      </c>
      <c r="D22" s="66" t="s">
        <v>30</v>
      </c>
      <c r="E22" s="68"/>
      <c r="F22" s="66" t="s">
        <v>31</v>
      </c>
      <c r="G22" s="232"/>
      <c r="H22" s="127" t="s">
        <v>406</v>
      </c>
      <c r="I22" s="152">
        <v>1</v>
      </c>
      <c r="J22" s="129">
        <v>179</v>
      </c>
      <c r="K22" s="130" t="s">
        <v>413</v>
      </c>
      <c r="L22" s="129">
        <v>0</v>
      </c>
      <c r="M22" s="129">
        <v>0</v>
      </c>
      <c r="N22" s="129">
        <v>0</v>
      </c>
      <c r="O22" s="131" t="s">
        <v>33</v>
      </c>
      <c r="P22" s="132">
        <v>0.4375</v>
      </c>
      <c r="Q22" s="129">
        <v>179</v>
      </c>
      <c r="R22" s="133" t="s">
        <v>414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45989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35">
      <c r="A26" s="137" t="s">
        <v>28</v>
      </c>
      <c r="B26" s="137" t="s">
        <v>406</v>
      </c>
      <c r="C26" s="138">
        <v>0.16666666666666671</v>
      </c>
      <c r="D26" s="137" t="s">
        <v>30</v>
      </c>
      <c r="E26" s="139"/>
      <c r="F26" s="137" t="s">
        <v>31</v>
      </c>
      <c r="G26" s="232"/>
      <c r="H26" s="93" t="s">
        <v>406</v>
      </c>
      <c r="I26" s="153">
        <v>1</v>
      </c>
      <c r="J26" s="95">
        <v>179</v>
      </c>
      <c r="K26" s="96" t="s">
        <v>37</v>
      </c>
      <c r="L26" s="95">
        <v>10</v>
      </c>
      <c r="M26" s="95">
        <v>0</v>
      </c>
      <c r="N26" s="95">
        <v>1</v>
      </c>
      <c r="O26" s="97" t="s">
        <v>33</v>
      </c>
      <c r="P26" s="98">
        <v>0.16666666666666671</v>
      </c>
      <c r="Q26" s="95">
        <v>179</v>
      </c>
      <c r="R26" s="99" t="s">
        <v>415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45990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0" t="s">
        <v>28</v>
      </c>
      <c r="B30" s="80" t="s">
        <v>406</v>
      </c>
      <c r="C30" s="81">
        <v>0.125</v>
      </c>
      <c r="D30" s="80" t="s">
        <v>30</v>
      </c>
      <c r="E30" s="82"/>
      <c r="F30" s="80" t="s">
        <v>365</v>
      </c>
      <c r="G30" s="232"/>
      <c r="H30" s="100" t="s">
        <v>406</v>
      </c>
      <c r="I30" s="148">
        <v>0.9274</v>
      </c>
      <c r="J30" s="102">
        <v>166</v>
      </c>
      <c r="K30" s="103" t="s">
        <v>37</v>
      </c>
      <c r="L30" s="102">
        <v>5</v>
      </c>
      <c r="M30" s="102">
        <v>0</v>
      </c>
      <c r="N30" s="102">
        <v>1</v>
      </c>
      <c r="O30" s="104" t="s">
        <v>416</v>
      </c>
      <c r="P30" s="105">
        <v>0.125</v>
      </c>
      <c r="Q30" s="102">
        <v>179</v>
      </c>
      <c r="R30" s="106" t="s">
        <v>417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45991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76" t="s">
        <v>28</v>
      </c>
      <c r="B34" s="76" t="s">
        <v>406</v>
      </c>
      <c r="C34" s="77">
        <v>0.21527777777777779</v>
      </c>
      <c r="D34" s="76" t="s">
        <v>30</v>
      </c>
      <c r="E34" s="78"/>
      <c r="F34" s="76" t="s">
        <v>31</v>
      </c>
      <c r="G34" s="232"/>
      <c r="H34" s="49" t="s">
        <v>406</v>
      </c>
      <c r="I34" s="151">
        <v>1</v>
      </c>
      <c r="J34" s="51">
        <v>179</v>
      </c>
      <c r="K34" s="52" t="s">
        <v>47</v>
      </c>
      <c r="L34" s="51">
        <v>8</v>
      </c>
      <c r="M34" s="51">
        <v>0</v>
      </c>
      <c r="N34" s="51">
        <v>0</v>
      </c>
      <c r="O34" s="53" t="s">
        <v>33</v>
      </c>
      <c r="P34" s="54">
        <v>0.21527777777777779</v>
      </c>
      <c r="Q34" s="51">
        <v>179</v>
      </c>
      <c r="R34" s="55" t="s">
        <v>418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45992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26" t="s">
        <v>28</v>
      </c>
      <c r="B38" s="26" t="s">
        <v>406</v>
      </c>
      <c r="C38" s="27">
        <v>0.16666666666666671</v>
      </c>
      <c r="D38" s="26" t="s">
        <v>30</v>
      </c>
      <c r="E38" s="28"/>
      <c r="F38" s="26" t="s">
        <v>31</v>
      </c>
      <c r="G38" s="232"/>
      <c r="H38" s="29" t="s">
        <v>406</v>
      </c>
      <c r="I38" s="154">
        <v>1</v>
      </c>
      <c r="J38" s="31">
        <v>179</v>
      </c>
      <c r="K38" s="32" t="s">
        <v>102</v>
      </c>
      <c r="L38" s="31">
        <v>7</v>
      </c>
      <c r="M38" s="31">
        <v>0</v>
      </c>
      <c r="N38" s="31">
        <v>0</v>
      </c>
      <c r="O38" s="33" t="s">
        <v>33</v>
      </c>
      <c r="P38" s="34">
        <v>0.16666666666666671</v>
      </c>
      <c r="Q38" s="31">
        <v>179</v>
      </c>
      <c r="R38" s="35" t="s">
        <v>419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22.05" customHeight="1" thickTop="1" thickBot="1" x14ac:dyDescent="0.35">
      <c r="A40" s="241" t="s">
        <v>8</v>
      </c>
      <c r="B40" s="239"/>
      <c r="C40" s="239"/>
      <c r="D40" s="239"/>
      <c r="E40" s="239"/>
      <c r="F40" s="240"/>
      <c r="G40" s="18">
        <v>45993</v>
      </c>
      <c r="H40" s="238" t="s">
        <v>9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4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406</v>
      </c>
      <c r="C42" s="9">
        <v>0.83333333333333337</v>
      </c>
      <c r="D42" s="8" t="s">
        <v>30</v>
      </c>
      <c r="E42" s="10"/>
      <c r="F42" s="8" t="s">
        <v>407</v>
      </c>
      <c r="G42" s="232"/>
      <c r="H42" s="11" t="s">
        <v>406</v>
      </c>
      <c r="I42" s="155">
        <v>0.98319999999999996</v>
      </c>
      <c r="J42" s="13">
        <v>176</v>
      </c>
      <c r="K42" s="14" t="s">
        <v>37</v>
      </c>
      <c r="L42" s="13">
        <v>16</v>
      </c>
      <c r="M42" s="13">
        <v>0</v>
      </c>
      <c r="N42" s="13">
        <v>4</v>
      </c>
      <c r="O42" s="15" t="s">
        <v>397</v>
      </c>
      <c r="P42" s="16">
        <v>0.83333333333333337</v>
      </c>
      <c r="Q42" s="13">
        <v>179</v>
      </c>
      <c r="R42" s="17" t="s">
        <v>420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45994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8" t="s">
        <v>28</v>
      </c>
      <c r="B46" s="8" t="s">
        <v>406</v>
      </c>
      <c r="C46" s="9">
        <v>0.82638888888888884</v>
      </c>
      <c r="D46" s="8" t="s">
        <v>30</v>
      </c>
      <c r="E46" s="10"/>
      <c r="F46" s="8" t="s">
        <v>36</v>
      </c>
      <c r="G46" s="232"/>
      <c r="H46" s="11" t="s">
        <v>406</v>
      </c>
      <c r="I46" s="12">
        <v>0.68159999999999998</v>
      </c>
      <c r="J46" s="13">
        <v>122</v>
      </c>
      <c r="K46" s="14" t="s">
        <v>102</v>
      </c>
      <c r="L46" s="13">
        <v>12</v>
      </c>
      <c r="M46" s="13">
        <v>0</v>
      </c>
      <c r="N46" s="13">
        <v>0</v>
      </c>
      <c r="O46" s="15" t="s">
        <v>219</v>
      </c>
      <c r="P46" s="16">
        <v>0.82638888888888884</v>
      </c>
      <c r="Q46" s="13">
        <v>179</v>
      </c>
      <c r="R46" s="17" t="s">
        <v>421</v>
      </c>
    </row>
    <row r="47" spans="1:18" ht="17.399999999999999" customHeight="1" thickBot="1" x14ac:dyDescent="0.35">
      <c r="A47" s="264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/>
    </row>
    <row r="48" spans="1:18" ht="22.05" customHeight="1" thickTop="1" thickBot="1" x14ac:dyDescent="0.35">
      <c r="A48" s="241" t="s">
        <v>8</v>
      </c>
      <c r="B48" s="239"/>
      <c r="C48" s="239"/>
      <c r="D48" s="239"/>
      <c r="E48" s="239"/>
      <c r="F48" s="240"/>
      <c r="G48" s="18">
        <v>45995</v>
      </c>
      <c r="H48" s="238" t="s">
        <v>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4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137" t="s">
        <v>28</v>
      </c>
      <c r="B50" s="137" t="s">
        <v>406</v>
      </c>
      <c r="C50" s="138">
        <v>0.4375</v>
      </c>
      <c r="D50" s="137" t="s">
        <v>30</v>
      </c>
      <c r="E50" s="139"/>
      <c r="F50" s="137" t="s">
        <v>365</v>
      </c>
      <c r="G50" s="232"/>
      <c r="H50" s="93" t="s">
        <v>406</v>
      </c>
      <c r="I50" s="153">
        <v>0.9274</v>
      </c>
      <c r="J50" s="95">
        <v>166</v>
      </c>
      <c r="K50" s="96" t="s">
        <v>32</v>
      </c>
      <c r="L50" s="95">
        <v>13</v>
      </c>
      <c r="M50" s="95">
        <v>0</v>
      </c>
      <c r="N50" s="95">
        <v>0</v>
      </c>
      <c r="O50" s="97" t="s">
        <v>422</v>
      </c>
      <c r="P50" s="98">
        <v>0.4375</v>
      </c>
      <c r="Q50" s="95">
        <v>179</v>
      </c>
      <c r="R50" s="99" t="s">
        <v>423</v>
      </c>
    </row>
    <row r="51" spans="1:18" ht="17.399999999999999" customHeight="1" thickBot="1" x14ac:dyDescent="0.35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/>
    </row>
    <row r="52" spans="1:18" ht="22.05" customHeight="1" thickTop="1" thickBot="1" x14ac:dyDescent="0.35">
      <c r="A52" s="241" t="s">
        <v>8</v>
      </c>
      <c r="B52" s="239"/>
      <c r="C52" s="239"/>
      <c r="D52" s="239"/>
      <c r="E52" s="239"/>
      <c r="F52" s="240"/>
      <c r="G52" s="18">
        <v>45996</v>
      </c>
      <c r="H52" s="238" t="s">
        <v>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4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35">
      <c r="A54" s="137" t="s">
        <v>28</v>
      </c>
      <c r="B54" s="137" t="s">
        <v>406</v>
      </c>
      <c r="C54" s="138">
        <v>0.16666666666666671</v>
      </c>
      <c r="D54" s="137" t="s">
        <v>30</v>
      </c>
      <c r="E54" s="139"/>
      <c r="F54" s="137" t="s">
        <v>36</v>
      </c>
      <c r="G54" s="232"/>
      <c r="H54" s="93" t="s">
        <v>406</v>
      </c>
      <c r="I54" s="156">
        <v>0.55310000000000004</v>
      </c>
      <c r="J54" s="95">
        <v>99</v>
      </c>
      <c r="K54" s="96" t="s">
        <v>37</v>
      </c>
      <c r="L54" s="95">
        <v>66</v>
      </c>
      <c r="M54" s="95">
        <v>0</v>
      </c>
      <c r="N54" s="95">
        <v>13</v>
      </c>
      <c r="O54" s="97" t="s">
        <v>155</v>
      </c>
      <c r="P54" s="98">
        <v>0.16666666666666671</v>
      </c>
      <c r="Q54" s="95">
        <v>179</v>
      </c>
      <c r="R54" s="99" t="s">
        <v>424</v>
      </c>
    </row>
    <row r="55" spans="1:18" ht="17.399999999999999" customHeight="1" thickBot="1" x14ac:dyDescent="0.35">
      <c r="A55" s="264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6"/>
    </row>
    <row r="56" spans="1:18" ht="22.05" customHeight="1" thickTop="1" thickBot="1" x14ac:dyDescent="0.35">
      <c r="A56" s="241" t="s">
        <v>8</v>
      </c>
      <c r="B56" s="239"/>
      <c r="C56" s="239"/>
      <c r="D56" s="239"/>
      <c r="E56" s="239"/>
      <c r="F56" s="240"/>
      <c r="G56" s="18">
        <v>45997</v>
      </c>
      <c r="H56" s="238" t="s">
        <v>9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4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35">
      <c r="A58" s="26" t="s">
        <v>28</v>
      </c>
      <c r="B58" s="26" t="s">
        <v>406</v>
      </c>
      <c r="C58" s="27">
        <v>0.125</v>
      </c>
      <c r="D58" s="26" t="s">
        <v>30</v>
      </c>
      <c r="E58" s="28"/>
      <c r="F58" s="26" t="s">
        <v>365</v>
      </c>
      <c r="G58" s="232"/>
      <c r="H58" s="29" t="s">
        <v>406</v>
      </c>
      <c r="I58" s="154">
        <v>0.93300000000000005</v>
      </c>
      <c r="J58" s="31">
        <v>167</v>
      </c>
      <c r="K58" s="32" t="s">
        <v>37</v>
      </c>
      <c r="L58" s="31">
        <v>7</v>
      </c>
      <c r="M58" s="31">
        <v>0</v>
      </c>
      <c r="N58" s="31">
        <v>3</v>
      </c>
      <c r="O58" s="33" t="s">
        <v>151</v>
      </c>
      <c r="P58" s="34">
        <v>0.125</v>
      </c>
      <c r="Q58" s="31">
        <v>179</v>
      </c>
      <c r="R58" s="35" t="s">
        <v>425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22.05" customHeight="1" thickTop="1" thickBot="1" x14ac:dyDescent="0.35">
      <c r="A60" s="241" t="s">
        <v>8</v>
      </c>
      <c r="B60" s="239"/>
      <c r="C60" s="239"/>
      <c r="D60" s="239"/>
      <c r="E60" s="239"/>
      <c r="F60" s="240"/>
      <c r="G60" s="18">
        <v>45998</v>
      </c>
      <c r="H60" s="238" t="s">
        <v>9</v>
      </c>
      <c r="I60" s="239"/>
      <c r="J60" s="239"/>
      <c r="K60" s="239"/>
      <c r="L60" s="239"/>
      <c r="M60" s="239"/>
      <c r="N60" s="239"/>
      <c r="O60" s="239"/>
      <c r="P60" s="239"/>
      <c r="Q60" s="239"/>
      <c r="R60" s="240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thickTop="1" thickBot="1" x14ac:dyDescent="0.35">
      <c r="A62" s="76" t="s">
        <v>28</v>
      </c>
      <c r="B62" s="76" t="s">
        <v>406</v>
      </c>
      <c r="C62" s="77">
        <v>0.21527777777777779</v>
      </c>
      <c r="D62" s="76" t="s">
        <v>30</v>
      </c>
      <c r="E62" s="78"/>
      <c r="F62" s="76" t="s">
        <v>36</v>
      </c>
      <c r="G62" s="232"/>
      <c r="H62" s="49" t="s">
        <v>406</v>
      </c>
      <c r="I62" s="50">
        <v>0.82679999999999998</v>
      </c>
      <c r="J62" s="51">
        <v>148</v>
      </c>
      <c r="K62" s="52" t="s">
        <v>47</v>
      </c>
      <c r="L62" s="51">
        <v>6</v>
      </c>
      <c r="M62" s="51">
        <v>0</v>
      </c>
      <c r="N62" s="51">
        <v>0</v>
      </c>
      <c r="O62" s="53" t="s">
        <v>219</v>
      </c>
      <c r="P62" s="54">
        <v>0.21527777777777779</v>
      </c>
      <c r="Q62" s="51">
        <v>179</v>
      </c>
      <c r="R62" s="55" t="s">
        <v>426</v>
      </c>
    </row>
    <row r="63" spans="1:18" ht="17.399999999999999" customHeight="1" thickBot="1" x14ac:dyDescent="0.35">
      <c r="A63" s="264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6"/>
    </row>
    <row r="64" spans="1:18" ht="22.05" customHeight="1" thickTop="1" thickBot="1" x14ac:dyDescent="0.35">
      <c r="A64" s="241" t="s">
        <v>8</v>
      </c>
      <c r="B64" s="239"/>
      <c r="C64" s="239"/>
      <c r="D64" s="239"/>
      <c r="E64" s="239"/>
      <c r="F64" s="240"/>
      <c r="G64" s="18">
        <v>45999</v>
      </c>
      <c r="H64" s="238" t="s">
        <v>9</v>
      </c>
      <c r="I64" s="239"/>
      <c r="J64" s="239"/>
      <c r="K64" s="239"/>
      <c r="L64" s="239"/>
      <c r="M64" s="239"/>
      <c r="N64" s="239"/>
      <c r="O64" s="239"/>
      <c r="P64" s="239"/>
      <c r="Q64" s="239"/>
      <c r="R64" s="240"/>
    </row>
    <row r="65" spans="1:18" ht="24" customHeight="1" x14ac:dyDescent="0.3">
      <c r="A65" s="19" t="s">
        <v>10</v>
      </c>
      <c r="B65" s="19" t="s">
        <v>11</v>
      </c>
      <c r="C65" s="20" t="s">
        <v>12</v>
      </c>
      <c r="D65" s="19" t="s">
        <v>13</v>
      </c>
      <c r="E65" s="19" t="s">
        <v>14</v>
      </c>
      <c r="F65" s="21" t="s">
        <v>15</v>
      </c>
      <c r="G65" s="22" t="s">
        <v>16</v>
      </c>
      <c r="H65" s="19" t="s">
        <v>17</v>
      </c>
      <c r="I65" s="23" t="s">
        <v>18</v>
      </c>
      <c r="J65" s="24" t="s">
        <v>19</v>
      </c>
      <c r="K65" s="25" t="s">
        <v>20</v>
      </c>
      <c r="L65" s="24" t="s">
        <v>21</v>
      </c>
      <c r="M65" s="24" t="s">
        <v>22</v>
      </c>
      <c r="N65" s="24" t="s">
        <v>23</v>
      </c>
      <c r="O65" s="19" t="s">
        <v>24</v>
      </c>
      <c r="P65" s="20" t="s">
        <v>25</v>
      </c>
      <c r="Q65" s="24" t="s">
        <v>26</v>
      </c>
      <c r="R65" s="19" t="s">
        <v>27</v>
      </c>
    </row>
    <row r="66" spans="1:18" ht="49.95" customHeight="1" thickTop="1" thickBot="1" x14ac:dyDescent="0.35">
      <c r="A66" s="66" t="s">
        <v>28</v>
      </c>
      <c r="B66" s="66" t="s">
        <v>406</v>
      </c>
      <c r="C66" s="67">
        <v>0.16666666666666671</v>
      </c>
      <c r="D66" s="66" t="s">
        <v>30</v>
      </c>
      <c r="E66" s="68"/>
      <c r="F66" s="66" t="s">
        <v>365</v>
      </c>
      <c r="G66" s="232"/>
      <c r="H66" s="127" t="s">
        <v>406</v>
      </c>
      <c r="I66" s="152">
        <v>0.87150000000000005</v>
      </c>
      <c r="J66" s="129">
        <v>156</v>
      </c>
      <c r="K66" s="130" t="s">
        <v>37</v>
      </c>
      <c r="L66" s="129">
        <v>7</v>
      </c>
      <c r="M66" s="129">
        <v>0</v>
      </c>
      <c r="N66" s="129">
        <v>2</v>
      </c>
      <c r="O66" s="131" t="s">
        <v>153</v>
      </c>
      <c r="P66" s="132">
        <v>0.16666666666666671</v>
      </c>
      <c r="Q66" s="129">
        <v>179</v>
      </c>
      <c r="R66" s="133" t="s">
        <v>427</v>
      </c>
    </row>
    <row r="67" spans="1:18" ht="17.399999999999999" customHeight="1" thickBot="1" x14ac:dyDescent="0.35">
      <c r="A67" s="264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6"/>
    </row>
    <row r="68" spans="1:18" ht="22.05" customHeight="1" thickTop="1" thickBot="1" x14ac:dyDescent="0.35">
      <c r="A68" s="241" t="s">
        <v>8</v>
      </c>
      <c r="B68" s="239"/>
      <c r="C68" s="239"/>
      <c r="D68" s="239"/>
      <c r="E68" s="239"/>
      <c r="F68" s="240"/>
      <c r="G68" s="18">
        <v>46000</v>
      </c>
      <c r="H68" s="238" t="s">
        <v>9</v>
      </c>
      <c r="I68" s="239"/>
      <c r="J68" s="239"/>
      <c r="K68" s="239"/>
      <c r="L68" s="239"/>
      <c r="M68" s="239"/>
      <c r="N68" s="239"/>
      <c r="O68" s="239"/>
      <c r="P68" s="239"/>
      <c r="Q68" s="239"/>
      <c r="R68" s="240"/>
    </row>
    <row r="69" spans="1:18" ht="24" customHeight="1" x14ac:dyDescent="0.3">
      <c r="A69" s="19" t="s">
        <v>10</v>
      </c>
      <c r="B69" s="19" t="s">
        <v>11</v>
      </c>
      <c r="C69" s="20" t="s">
        <v>12</v>
      </c>
      <c r="D69" s="19" t="s">
        <v>13</v>
      </c>
      <c r="E69" s="19" t="s">
        <v>14</v>
      </c>
      <c r="F69" s="21" t="s">
        <v>15</v>
      </c>
      <c r="G69" s="22" t="s">
        <v>16</v>
      </c>
      <c r="H69" s="19" t="s">
        <v>17</v>
      </c>
      <c r="I69" s="23" t="s">
        <v>18</v>
      </c>
      <c r="J69" s="24" t="s">
        <v>19</v>
      </c>
      <c r="K69" s="25" t="s">
        <v>20</v>
      </c>
      <c r="L69" s="24" t="s">
        <v>21</v>
      </c>
      <c r="M69" s="24" t="s">
        <v>22</v>
      </c>
      <c r="N69" s="24" t="s">
        <v>23</v>
      </c>
      <c r="O69" s="19" t="s">
        <v>24</v>
      </c>
      <c r="P69" s="20" t="s">
        <v>25</v>
      </c>
      <c r="Q69" s="24" t="s">
        <v>26</v>
      </c>
      <c r="R69" s="19" t="s">
        <v>27</v>
      </c>
    </row>
    <row r="70" spans="1:18" ht="49.95" customHeight="1" thickTop="1" thickBot="1" x14ac:dyDescent="0.35">
      <c r="A70" s="137" t="s">
        <v>28</v>
      </c>
      <c r="B70" s="137" t="s">
        <v>406</v>
      </c>
      <c r="C70" s="138">
        <v>0.83333333333333337</v>
      </c>
      <c r="D70" s="137" t="s">
        <v>30</v>
      </c>
      <c r="E70" s="139"/>
      <c r="F70" s="137" t="s">
        <v>36</v>
      </c>
      <c r="G70" s="232"/>
      <c r="H70" s="93" t="s">
        <v>406</v>
      </c>
      <c r="I70" s="156">
        <v>0.83240000000000003</v>
      </c>
      <c r="J70" s="95">
        <v>149</v>
      </c>
      <c r="K70" s="96" t="s">
        <v>102</v>
      </c>
      <c r="L70" s="95">
        <v>7</v>
      </c>
      <c r="M70" s="95">
        <v>0</v>
      </c>
      <c r="N70" s="95">
        <v>0</v>
      </c>
      <c r="O70" s="97" t="s">
        <v>153</v>
      </c>
      <c r="P70" s="98">
        <v>0.83333333333333337</v>
      </c>
      <c r="Q70" s="95">
        <v>179</v>
      </c>
      <c r="R70" s="99" t="s">
        <v>428</v>
      </c>
    </row>
    <row r="71" spans="1:18" ht="17.399999999999999" customHeight="1" thickBot="1" x14ac:dyDescent="0.35">
      <c r="A71" s="264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6"/>
    </row>
    <row r="72" spans="1:18" ht="22.05" customHeight="1" thickTop="1" thickBot="1" x14ac:dyDescent="0.35">
      <c r="A72" s="241" t="s">
        <v>8</v>
      </c>
      <c r="B72" s="239"/>
      <c r="C72" s="239"/>
      <c r="D72" s="239"/>
      <c r="E72" s="239"/>
      <c r="F72" s="240"/>
      <c r="G72" s="18">
        <v>46001</v>
      </c>
      <c r="H72" s="238" t="s">
        <v>9</v>
      </c>
      <c r="I72" s="239"/>
      <c r="J72" s="239"/>
      <c r="K72" s="239"/>
      <c r="L72" s="239"/>
      <c r="M72" s="239"/>
      <c r="N72" s="239"/>
      <c r="O72" s="239"/>
      <c r="P72" s="239"/>
      <c r="Q72" s="239"/>
      <c r="R72" s="240"/>
    </row>
    <row r="73" spans="1:18" ht="24" customHeight="1" x14ac:dyDescent="0.3">
      <c r="A73" s="19" t="s">
        <v>10</v>
      </c>
      <c r="B73" s="19" t="s">
        <v>11</v>
      </c>
      <c r="C73" s="20" t="s">
        <v>12</v>
      </c>
      <c r="D73" s="19" t="s">
        <v>13</v>
      </c>
      <c r="E73" s="19" t="s">
        <v>14</v>
      </c>
      <c r="F73" s="21" t="s">
        <v>15</v>
      </c>
      <c r="G73" s="22" t="s">
        <v>16</v>
      </c>
      <c r="H73" s="19" t="s">
        <v>17</v>
      </c>
      <c r="I73" s="23" t="s">
        <v>18</v>
      </c>
      <c r="J73" s="24" t="s">
        <v>19</v>
      </c>
      <c r="K73" s="25" t="s">
        <v>20</v>
      </c>
      <c r="L73" s="24" t="s">
        <v>21</v>
      </c>
      <c r="M73" s="24" t="s">
        <v>22</v>
      </c>
      <c r="N73" s="24" t="s">
        <v>23</v>
      </c>
      <c r="O73" s="19" t="s">
        <v>24</v>
      </c>
      <c r="P73" s="20" t="s">
        <v>25</v>
      </c>
      <c r="Q73" s="24" t="s">
        <v>26</v>
      </c>
      <c r="R73" s="19" t="s">
        <v>27</v>
      </c>
    </row>
    <row r="74" spans="1:18" ht="49.95" customHeight="1" thickTop="1" thickBot="1" x14ac:dyDescent="0.35">
      <c r="A74" s="137" t="s">
        <v>28</v>
      </c>
      <c r="B74" s="137" t="s">
        <v>406</v>
      </c>
      <c r="C74" s="138">
        <v>0.82638888888888884</v>
      </c>
      <c r="D74" s="137" t="s">
        <v>30</v>
      </c>
      <c r="E74" s="139"/>
      <c r="F74" s="137" t="s">
        <v>36</v>
      </c>
      <c r="G74" s="232"/>
      <c r="H74" s="93" t="s">
        <v>406</v>
      </c>
      <c r="I74" s="156">
        <v>0.83240000000000003</v>
      </c>
      <c r="J74" s="95">
        <v>149</v>
      </c>
      <c r="K74" s="96" t="s">
        <v>37</v>
      </c>
      <c r="L74" s="95">
        <v>2</v>
      </c>
      <c r="M74" s="95">
        <v>0</v>
      </c>
      <c r="N74" s="95">
        <v>1</v>
      </c>
      <c r="O74" s="97" t="s">
        <v>429</v>
      </c>
      <c r="P74" s="98">
        <v>0.82638888888888884</v>
      </c>
      <c r="Q74" s="95">
        <v>179</v>
      </c>
      <c r="R74" s="99" t="s">
        <v>430</v>
      </c>
    </row>
    <row r="75" spans="1:18" ht="17.399999999999999" customHeight="1" thickBot="1" x14ac:dyDescent="0.35">
      <c r="A75" s="264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6"/>
    </row>
    <row r="76" spans="1:18" ht="22.05" customHeight="1" thickTop="1" thickBot="1" x14ac:dyDescent="0.35">
      <c r="A76" s="241" t="s">
        <v>8</v>
      </c>
      <c r="B76" s="239"/>
      <c r="C76" s="239"/>
      <c r="D76" s="239"/>
      <c r="E76" s="239"/>
      <c r="F76" s="240"/>
      <c r="G76" s="18">
        <v>46002</v>
      </c>
      <c r="H76" s="238" t="s">
        <v>9</v>
      </c>
      <c r="I76" s="239"/>
      <c r="J76" s="239"/>
      <c r="K76" s="239"/>
      <c r="L76" s="239"/>
      <c r="M76" s="239"/>
      <c r="N76" s="239"/>
      <c r="O76" s="239"/>
      <c r="P76" s="239"/>
      <c r="Q76" s="239"/>
      <c r="R76" s="240"/>
    </row>
    <row r="77" spans="1:18" ht="24" customHeight="1" x14ac:dyDescent="0.3">
      <c r="A77" s="19" t="s">
        <v>10</v>
      </c>
      <c r="B77" s="19" t="s">
        <v>11</v>
      </c>
      <c r="C77" s="20" t="s">
        <v>12</v>
      </c>
      <c r="D77" s="19" t="s">
        <v>13</v>
      </c>
      <c r="E77" s="19" t="s">
        <v>14</v>
      </c>
      <c r="F77" s="21" t="s">
        <v>15</v>
      </c>
      <c r="G77" s="22" t="s">
        <v>16</v>
      </c>
      <c r="H77" s="19" t="s">
        <v>17</v>
      </c>
      <c r="I77" s="23" t="s">
        <v>18</v>
      </c>
      <c r="J77" s="24" t="s">
        <v>19</v>
      </c>
      <c r="K77" s="25" t="s">
        <v>20</v>
      </c>
      <c r="L77" s="24" t="s">
        <v>21</v>
      </c>
      <c r="M77" s="24" t="s">
        <v>22</v>
      </c>
      <c r="N77" s="24" t="s">
        <v>23</v>
      </c>
      <c r="O77" s="19" t="s">
        <v>24</v>
      </c>
      <c r="P77" s="20" t="s">
        <v>25</v>
      </c>
      <c r="Q77" s="24" t="s">
        <v>26</v>
      </c>
      <c r="R77" s="19" t="s">
        <v>27</v>
      </c>
    </row>
    <row r="78" spans="1:18" ht="49.95" customHeight="1" thickTop="1" thickBot="1" x14ac:dyDescent="0.35">
      <c r="A78" s="76" t="s">
        <v>28</v>
      </c>
      <c r="B78" s="76" t="s">
        <v>406</v>
      </c>
      <c r="C78" s="77">
        <v>0.4375</v>
      </c>
      <c r="D78" s="76" t="s">
        <v>30</v>
      </c>
      <c r="E78" s="78"/>
      <c r="F78" s="76" t="s">
        <v>36</v>
      </c>
      <c r="G78" s="232"/>
      <c r="H78" s="49" t="s">
        <v>406</v>
      </c>
      <c r="I78" s="50">
        <v>0.84919999999999995</v>
      </c>
      <c r="J78" s="51">
        <v>152</v>
      </c>
      <c r="K78" s="52" t="s">
        <v>82</v>
      </c>
      <c r="L78" s="51">
        <v>4</v>
      </c>
      <c r="M78" s="51">
        <v>0</v>
      </c>
      <c r="N78" s="51">
        <v>0</v>
      </c>
      <c r="O78" s="53" t="s">
        <v>66</v>
      </c>
      <c r="P78" s="54">
        <v>0.4375</v>
      </c>
      <c r="Q78" s="51">
        <v>179</v>
      </c>
      <c r="R78" s="55" t="s">
        <v>431</v>
      </c>
    </row>
    <row r="79" spans="1:18" ht="17.399999999999999" customHeight="1" thickBot="1" x14ac:dyDescent="0.35">
      <c r="A79" s="264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6"/>
    </row>
    <row r="80" spans="1:18" ht="22.05" customHeight="1" thickTop="1" thickBot="1" x14ac:dyDescent="0.35">
      <c r="A80" s="241" t="s">
        <v>8</v>
      </c>
      <c r="B80" s="239"/>
      <c r="C80" s="239"/>
      <c r="D80" s="239"/>
      <c r="E80" s="239"/>
      <c r="F80" s="240"/>
      <c r="G80" s="18">
        <v>46003</v>
      </c>
      <c r="H80" s="238" t="s">
        <v>9</v>
      </c>
      <c r="I80" s="239"/>
      <c r="J80" s="239"/>
      <c r="K80" s="239"/>
      <c r="L80" s="239"/>
      <c r="M80" s="239"/>
      <c r="N80" s="239"/>
      <c r="O80" s="239"/>
      <c r="P80" s="239"/>
      <c r="Q80" s="239"/>
      <c r="R80" s="240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66" t="s">
        <v>28</v>
      </c>
      <c r="B82" s="66" t="s">
        <v>406</v>
      </c>
      <c r="C82" s="67">
        <v>0.16666666666666671</v>
      </c>
      <c r="D82" s="66" t="s">
        <v>30</v>
      </c>
      <c r="E82" s="68"/>
      <c r="F82" s="66" t="s">
        <v>36</v>
      </c>
      <c r="G82" s="232"/>
      <c r="H82" s="127" t="s">
        <v>406</v>
      </c>
      <c r="I82" s="128">
        <v>0.4637</v>
      </c>
      <c r="J82" s="129">
        <v>83</v>
      </c>
      <c r="K82" s="130" t="s">
        <v>37</v>
      </c>
      <c r="L82" s="129">
        <v>29</v>
      </c>
      <c r="M82" s="129">
        <v>0</v>
      </c>
      <c r="N82" s="129">
        <v>2</v>
      </c>
      <c r="O82" s="131" t="s">
        <v>254</v>
      </c>
      <c r="P82" s="132">
        <v>0.16666666666666671</v>
      </c>
      <c r="Q82" s="129">
        <v>179</v>
      </c>
      <c r="R82" s="133" t="s">
        <v>432</v>
      </c>
    </row>
    <row r="83" spans="1:18" ht="17.399999999999999" customHeight="1" thickBot="1" x14ac:dyDescent="0.35">
      <c r="A83" s="264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6"/>
    </row>
    <row r="84" spans="1:18" ht="22.05" customHeight="1" thickTop="1" thickBot="1" x14ac:dyDescent="0.35">
      <c r="A84" s="241" t="s">
        <v>8</v>
      </c>
      <c r="B84" s="239"/>
      <c r="C84" s="239"/>
      <c r="D84" s="239"/>
      <c r="E84" s="239"/>
      <c r="F84" s="240"/>
      <c r="G84" s="18">
        <v>46004</v>
      </c>
      <c r="H84" s="238" t="s">
        <v>9</v>
      </c>
      <c r="I84" s="239"/>
      <c r="J84" s="239"/>
      <c r="K84" s="239"/>
      <c r="L84" s="239"/>
      <c r="M84" s="239"/>
      <c r="N84" s="239"/>
      <c r="O84" s="239"/>
      <c r="P84" s="239"/>
      <c r="Q84" s="239"/>
      <c r="R84" s="240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36" t="s">
        <v>28</v>
      </c>
      <c r="B86" s="36" t="s">
        <v>406</v>
      </c>
      <c r="C86" s="37">
        <v>0.125</v>
      </c>
      <c r="D86" s="36" t="s">
        <v>30</v>
      </c>
      <c r="E86" s="38"/>
      <c r="F86" s="36" t="s">
        <v>365</v>
      </c>
      <c r="G86" s="232"/>
      <c r="H86" s="112" t="s">
        <v>406</v>
      </c>
      <c r="I86" s="150">
        <v>0.88270000000000004</v>
      </c>
      <c r="J86" s="114">
        <v>158</v>
      </c>
      <c r="K86" s="115" t="s">
        <v>102</v>
      </c>
      <c r="L86" s="114">
        <v>9</v>
      </c>
      <c r="M86" s="114">
        <v>0</v>
      </c>
      <c r="N86" s="114">
        <v>0</v>
      </c>
      <c r="O86" s="116" t="s">
        <v>56</v>
      </c>
      <c r="P86" s="117">
        <v>0.125</v>
      </c>
      <c r="Q86" s="114">
        <v>179</v>
      </c>
      <c r="R86" s="118" t="s">
        <v>433</v>
      </c>
    </row>
    <row r="87" spans="1:18" ht="17.399999999999999" customHeight="1" thickBot="1" x14ac:dyDescent="0.35">
      <c r="A87" s="264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6"/>
    </row>
    <row r="88" spans="1:18" ht="22.05" customHeight="1" thickTop="1" thickBot="1" x14ac:dyDescent="0.35">
      <c r="A88" s="241" t="s">
        <v>8</v>
      </c>
      <c r="B88" s="239"/>
      <c r="C88" s="239"/>
      <c r="D88" s="239"/>
      <c r="E88" s="239"/>
      <c r="F88" s="240"/>
      <c r="G88" s="18">
        <v>46005</v>
      </c>
      <c r="H88" s="238" t="s">
        <v>9</v>
      </c>
      <c r="I88" s="239"/>
      <c r="J88" s="239"/>
      <c r="K88" s="239"/>
      <c r="L88" s="239"/>
      <c r="M88" s="239"/>
      <c r="N88" s="239"/>
      <c r="O88" s="239"/>
      <c r="P88" s="239"/>
      <c r="Q88" s="239"/>
      <c r="R88" s="240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thickTop="1" thickBot="1" x14ac:dyDescent="0.35">
      <c r="A90" s="8" t="s">
        <v>28</v>
      </c>
      <c r="B90" s="8" t="s">
        <v>406</v>
      </c>
      <c r="C90" s="9">
        <v>0.21527777777777779</v>
      </c>
      <c r="D90" s="8" t="s">
        <v>30</v>
      </c>
      <c r="E90" s="10"/>
      <c r="F90" s="8" t="s">
        <v>407</v>
      </c>
      <c r="G90" s="232"/>
      <c r="H90" s="11" t="s">
        <v>406</v>
      </c>
      <c r="I90" s="155">
        <v>0.96089999999999998</v>
      </c>
      <c r="J90" s="13">
        <v>172</v>
      </c>
      <c r="K90" s="14" t="s">
        <v>37</v>
      </c>
      <c r="L90" s="13">
        <v>13</v>
      </c>
      <c r="M90" s="13">
        <v>0</v>
      </c>
      <c r="N90" s="13">
        <v>2</v>
      </c>
      <c r="O90" s="15" t="s">
        <v>226</v>
      </c>
      <c r="P90" s="16">
        <v>0.21527777777777779</v>
      </c>
      <c r="Q90" s="13">
        <v>179</v>
      </c>
      <c r="R90" s="17" t="s">
        <v>434</v>
      </c>
    </row>
    <row r="91" spans="1:18" ht="17.399999999999999" customHeight="1" thickBot="1" x14ac:dyDescent="0.35">
      <c r="A91" s="264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6"/>
    </row>
    <row r="92" spans="1:18" ht="22.05" customHeight="1" thickTop="1" thickBot="1" x14ac:dyDescent="0.35">
      <c r="A92" s="241" t="s">
        <v>8</v>
      </c>
      <c r="B92" s="239"/>
      <c r="C92" s="239"/>
      <c r="D92" s="239"/>
      <c r="E92" s="239"/>
      <c r="F92" s="240"/>
      <c r="G92" s="18">
        <v>46006</v>
      </c>
      <c r="H92" s="238" t="s">
        <v>9</v>
      </c>
      <c r="I92" s="239"/>
      <c r="J92" s="239"/>
      <c r="K92" s="239"/>
      <c r="L92" s="239"/>
      <c r="M92" s="239"/>
      <c r="N92" s="239"/>
      <c r="O92" s="239"/>
      <c r="P92" s="239"/>
      <c r="Q92" s="239"/>
      <c r="R92" s="240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thickTop="1" thickBot="1" x14ac:dyDescent="0.35">
      <c r="A94" s="36" t="s">
        <v>28</v>
      </c>
      <c r="B94" s="36" t="s">
        <v>406</v>
      </c>
      <c r="C94" s="37">
        <v>0.16666666666666671</v>
      </c>
      <c r="D94" s="36" t="s">
        <v>30</v>
      </c>
      <c r="E94" s="38"/>
      <c r="F94" s="36" t="s">
        <v>36</v>
      </c>
      <c r="G94" s="232"/>
      <c r="H94" s="112" t="s">
        <v>406</v>
      </c>
      <c r="I94" s="157">
        <v>0.84919999999999995</v>
      </c>
      <c r="J94" s="114">
        <v>152</v>
      </c>
      <c r="K94" s="115" t="s">
        <v>37</v>
      </c>
      <c r="L94" s="114">
        <v>2</v>
      </c>
      <c r="M94" s="114">
        <v>0</v>
      </c>
      <c r="N94" s="114">
        <v>1</v>
      </c>
      <c r="O94" s="116" t="s">
        <v>429</v>
      </c>
      <c r="P94" s="117">
        <v>0.16666666666666671</v>
      </c>
      <c r="Q94" s="114">
        <v>179</v>
      </c>
      <c r="R94" s="118" t="s">
        <v>435</v>
      </c>
    </row>
    <row r="95" spans="1:18" ht="17.399999999999999" customHeight="1" thickBot="1" x14ac:dyDescent="0.35">
      <c r="A95" s="264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6"/>
    </row>
    <row r="96" spans="1:18" ht="22.05" customHeight="1" thickTop="1" thickBot="1" x14ac:dyDescent="0.35">
      <c r="A96" s="241" t="s">
        <v>8</v>
      </c>
      <c r="B96" s="239"/>
      <c r="C96" s="239"/>
      <c r="D96" s="239"/>
      <c r="E96" s="239"/>
      <c r="F96" s="240"/>
      <c r="G96" s="18">
        <v>46007</v>
      </c>
      <c r="H96" s="238" t="s">
        <v>9</v>
      </c>
      <c r="I96" s="239"/>
      <c r="J96" s="239"/>
      <c r="K96" s="239"/>
      <c r="L96" s="239"/>
      <c r="M96" s="239"/>
      <c r="N96" s="239"/>
      <c r="O96" s="239"/>
      <c r="P96" s="239"/>
      <c r="Q96" s="239"/>
      <c r="R96" s="240"/>
    </row>
    <row r="97" spans="1:18" ht="24" customHeight="1" x14ac:dyDescent="0.3">
      <c r="A97" s="19" t="s">
        <v>10</v>
      </c>
      <c r="B97" s="19" t="s">
        <v>11</v>
      </c>
      <c r="C97" s="20" t="s">
        <v>12</v>
      </c>
      <c r="D97" s="19" t="s">
        <v>13</v>
      </c>
      <c r="E97" s="19" t="s">
        <v>14</v>
      </c>
      <c r="F97" s="21" t="s">
        <v>15</v>
      </c>
      <c r="G97" s="22" t="s">
        <v>16</v>
      </c>
      <c r="H97" s="19" t="s">
        <v>17</v>
      </c>
      <c r="I97" s="23" t="s">
        <v>18</v>
      </c>
      <c r="J97" s="24" t="s">
        <v>19</v>
      </c>
      <c r="K97" s="25" t="s">
        <v>20</v>
      </c>
      <c r="L97" s="24" t="s">
        <v>21</v>
      </c>
      <c r="M97" s="24" t="s">
        <v>22</v>
      </c>
      <c r="N97" s="24" t="s">
        <v>23</v>
      </c>
      <c r="O97" s="19" t="s">
        <v>24</v>
      </c>
      <c r="P97" s="20" t="s">
        <v>25</v>
      </c>
      <c r="Q97" s="24" t="s">
        <v>26</v>
      </c>
      <c r="R97" s="19" t="s">
        <v>27</v>
      </c>
    </row>
    <row r="98" spans="1:18" ht="49.95" customHeight="1" thickTop="1" thickBot="1" x14ac:dyDescent="0.5">
      <c r="A98" s="80" t="s">
        <v>28</v>
      </c>
      <c r="B98" s="80" t="s">
        <v>406</v>
      </c>
      <c r="C98" s="81">
        <v>0.83333333333333337</v>
      </c>
      <c r="D98" s="80" t="s">
        <v>30</v>
      </c>
      <c r="E98" s="82"/>
      <c r="F98" s="80" t="s">
        <v>36</v>
      </c>
      <c r="G98" s="237"/>
      <c r="H98" s="100" t="s">
        <v>406</v>
      </c>
      <c r="I98" s="158">
        <v>0.84360000000000002</v>
      </c>
      <c r="J98" s="102">
        <v>151</v>
      </c>
      <c r="K98" s="103" t="s">
        <v>37</v>
      </c>
      <c r="L98" s="102">
        <v>9</v>
      </c>
      <c r="M98" s="102">
        <v>0</v>
      </c>
      <c r="N98" s="102">
        <v>3</v>
      </c>
      <c r="O98" s="104" t="s">
        <v>237</v>
      </c>
      <c r="P98" s="105">
        <v>0.83333333333333337</v>
      </c>
      <c r="Q98" s="102">
        <v>179</v>
      </c>
      <c r="R98" s="106" t="s">
        <v>436</v>
      </c>
    </row>
    <row r="99" spans="1:18" ht="17.399999999999999" customHeight="1" thickBot="1" x14ac:dyDescent="0.35">
      <c r="A99" s="264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6"/>
    </row>
    <row r="100" spans="1:18" ht="22.05" customHeight="1" thickTop="1" thickBot="1" x14ac:dyDescent="0.35">
      <c r="A100" s="241" t="s">
        <v>8</v>
      </c>
      <c r="B100" s="239"/>
      <c r="C100" s="239"/>
      <c r="D100" s="239"/>
      <c r="E100" s="239"/>
      <c r="F100" s="240"/>
      <c r="G100" s="18">
        <v>46008</v>
      </c>
      <c r="H100" s="238" t="s">
        <v>9</v>
      </c>
      <c r="I100" s="239"/>
      <c r="J100" s="239"/>
      <c r="K100" s="239"/>
      <c r="L100" s="239"/>
      <c r="M100" s="239"/>
      <c r="N100" s="239"/>
      <c r="O100" s="239"/>
      <c r="P100" s="239"/>
      <c r="Q100" s="239"/>
      <c r="R100" s="240"/>
    </row>
    <row r="101" spans="1:18" ht="24" customHeight="1" x14ac:dyDescent="0.3">
      <c r="A101" s="19" t="s">
        <v>10</v>
      </c>
      <c r="B101" s="19" t="s">
        <v>11</v>
      </c>
      <c r="C101" s="20" t="s">
        <v>12</v>
      </c>
      <c r="D101" s="19" t="s">
        <v>13</v>
      </c>
      <c r="E101" s="19" t="s">
        <v>14</v>
      </c>
      <c r="F101" s="21" t="s">
        <v>15</v>
      </c>
      <c r="G101" s="22" t="s">
        <v>16</v>
      </c>
      <c r="H101" s="19" t="s">
        <v>17</v>
      </c>
      <c r="I101" s="23" t="s">
        <v>18</v>
      </c>
      <c r="J101" s="24" t="s">
        <v>19</v>
      </c>
      <c r="K101" s="25" t="s">
        <v>20</v>
      </c>
      <c r="L101" s="24" t="s">
        <v>21</v>
      </c>
      <c r="M101" s="24" t="s">
        <v>22</v>
      </c>
      <c r="N101" s="24" t="s">
        <v>23</v>
      </c>
      <c r="O101" s="19" t="s">
        <v>24</v>
      </c>
      <c r="P101" s="20" t="s">
        <v>25</v>
      </c>
      <c r="Q101" s="24" t="s">
        <v>26</v>
      </c>
      <c r="R101" s="19" t="s">
        <v>27</v>
      </c>
    </row>
    <row r="102" spans="1:18" ht="49.95" customHeight="1" thickTop="1" thickBot="1" x14ac:dyDescent="0.35">
      <c r="A102" s="36" t="s">
        <v>28</v>
      </c>
      <c r="B102" s="36" t="s">
        <v>406</v>
      </c>
      <c r="C102" s="37">
        <v>0.82638888888888884</v>
      </c>
      <c r="D102" s="36" t="s">
        <v>30</v>
      </c>
      <c r="E102" s="38"/>
      <c r="F102" s="36" t="s">
        <v>36</v>
      </c>
      <c r="G102" s="232"/>
      <c r="H102" s="112" t="s">
        <v>406</v>
      </c>
      <c r="I102" s="157">
        <v>0.83240000000000003</v>
      </c>
      <c r="J102" s="114">
        <v>149</v>
      </c>
      <c r="K102" s="115" t="s">
        <v>102</v>
      </c>
      <c r="L102" s="114">
        <v>5</v>
      </c>
      <c r="M102" s="114">
        <v>0</v>
      </c>
      <c r="N102" s="114">
        <v>0</v>
      </c>
      <c r="O102" s="116" t="s">
        <v>175</v>
      </c>
      <c r="P102" s="117">
        <v>0.82638888888888884</v>
      </c>
      <c r="Q102" s="114">
        <v>179</v>
      </c>
      <c r="R102" s="118" t="s">
        <v>437</v>
      </c>
    </row>
    <row r="103" spans="1:18" ht="17.399999999999999" customHeight="1" thickBot="1" x14ac:dyDescent="0.35">
      <c r="A103" s="264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6"/>
    </row>
    <row r="104" spans="1:18" ht="22.05" customHeight="1" thickTop="1" thickBot="1" x14ac:dyDescent="0.35">
      <c r="A104" s="241" t="s">
        <v>8</v>
      </c>
      <c r="B104" s="239"/>
      <c r="C104" s="239"/>
      <c r="D104" s="239"/>
      <c r="E104" s="239"/>
      <c r="F104" s="240"/>
      <c r="G104" s="18">
        <v>46009</v>
      </c>
      <c r="H104" s="238" t="s">
        <v>9</v>
      </c>
      <c r="I104" s="239"/>
      <c r="J104" s="239"/>
      <c r="K104" s="239"/>
      <c r="L104" s="239"/>
      <c r="M104" s="239"/>
      <c r="N104" s="239"/>
      <c r="O104" s="239"/>
      <c r="P104" s="239"/>
      <c r="Q104" s="239"/>
      <c r="R104" s="240"/>
    </row>
    <row r="105" spans="1:18" ht="24" customHeight="1" x14ac:dyDescent="0.3">
      <c r="A105" s="19" t="s">
        <v>10</v>
      </c>
      <c r="B105" s="19" t="s">
        <v>11</v>
      </c>
      <c r="C105" s="20" t="s">
        <v>12</v>
      </c>
      <c r="D105" s="19" t="s">
        <v>13</v>
      </c>
      <c r="E105" s="19" t="s">
        <v>14</v>
      </c>
      <c r="F105" s="21" t="s">
        <v>15</v>
      </c>
      <c r="G105" s="22" t="s">
        <v>16</v>
      </c>
      <c r="H105" s="19" t="s">
        <v>17</v>
      </c>
      <c r="I105" s="23" t="s">
        <v>18</v>
      </c>
      <c r="J105" s="24" t="s">
        <v>19</v>
      </c>
      <c r="K105" s="25" t="s">
        <v>20</v>
      </c>
      <c r="L105" s="24" t="s">
        <v>21</v>
      </c>
      <c r="M105" s="24" t="s">
        <v>22</v>
      </c>
      <c r="N105" s="24" t="s">
        <v>23</v>
      </c>
      <c r="O105" s="19" t="s">
        <v>24</v>
      </c>
      <c r="P105" s="20" t="s">
        <v>25</v>
      </c>
      <c r="Q105" s="24" t="s">
        <v>26</v>
      </c>
      <c r="R105" s="19" t="s">
        <v>27</v>
      </c>
    </row>
    <row r="106" spans="1:18" ht="49.95" customHeight="1" thickTop="1" thickBot="1" x14ac:dyDescent="0.35">
      <c r="A106" s="137" t="s">
        <v>28</v>
      </c>
      <c r="B106" s="137" t="s">
        <v>406</v>
      </c>
      <c r="C106" s="138">
        <v>0.4375</v>
      </c>
      <c r="D106" s="137" t="s">
        <v>30</v>
      </c>
      <c r="E106" s="139"/>
      <c r="F106" s="137" t="s">
        <v>36</v>
      </c>
      <c r="G106" s="232"/>
      <c r="H106" s="93" t="s">
        <v>406</v>
      </c>
      <c r="I106" s="156">
        <v>0.83799999999999997</v>
      </c>
      <c r="J106" s="95">
        <v>150</v>
      </c>
      <c r="K106" s="96" t="s">
        <v>37</v>
      </c>
      <c r="L106" s="95">
        <v>5</v>
      </c>
      <c r="M106" s="95">
        <v>0</v>
      </c>
      <c r="N106" s="95">
        <v>1</v>
      </c>
      <c r="O106" s="97" t="s">
        <v>64</v>
      </c>
      <c r="P106" s="98">
        <v>0.4375</v>
      </c>
      <c r="Q106" s="95">
        <v>179</v>
      </c>
      <c r="R106" s="99" t="s">
        <v>438</v>
      </c>
    </row>
    <row r="107" spans="1:18" ht="17.399999999999999" customHeight="1" thickBot="1" x14ac:dyDescent="0.35">
      <c r="A107" s="264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6"/>
    </row>
    <row r="108" spans="1:18" ht="22.05" customHeight="1" thickTop="1" thickBot="1" x14ac:dyDescent="0.35">
      <c r="A108" s="241" t="s">
        <v>8</v>
      </c>
      <c r="B108" s="239"/>
      <c r="C108" s="239"/>
      <c r="D108" s="239"/>
      <c r="E108" s="239"/>
      <c r="F108" s="240"/>
      <c r="G108" s="18">
        <v>46010</v>
      </c>
      <c r="H108" s="238" t="s">
        <v>9</v>
      </c>
      <c r="I108" s="239"/>
      <c r="J108" s="239"/>
      <c r="K108" s="239"/>
      <c r="L108" s="239"/>
      <c r="M108" s="239"/>
      <c r="N108" s="239"/>
      <c r="O108" s="239"/>
      <c r="P108" s="239"/>
      <c r="Q108" s="239"/>
      <c r="R108" s="240"/>
    </row>
    <row r="109" spans="1:18" ht="24" customHeight="1" x14ac:dyDescent="0.3">
      <c r="A109" s="19" t="s">
        <v>10</v>
      </c>
      <c r="B109" s="19" t="s">
        <v>11</v>
      </c>
      <c r="C109" s="20" t="s">
        <v>12</v>
      </c>
      <c r="D109" s="19" t="s">
        <v>13</v>
      </c>
      <c r="E109" s="19" t="s">
        <v>14</v>
      </c>
      <c r="F109" s="21" t="s">
        <v>15</v>
      </c>
      <c r="G109" s="22" t="s">
        <v>16</v>
      </c>
      <c r="H109" s="19" t="s">
        <v>17</v>
      </c>
      <c r="I109" s="23" t="s">
        <v>18</v>
      </c>
      <c r="J109" s="24" t="s">
        <v>19</v>
      </c>
      <c r="K109" s="25" t="s">
        <v>20</v>
      </c>
      <c r="L109" s="24" t="s">
        <v>21</v>
      </c>
      <c r="M109" s="24" t="s">
        <v>22</v>
      </c>
      <c r="N109" s="24" t="s">
        <v>23</v>
      </c>
      <c r="O109" s="19" t="s">
        <v>24</v>
      </c>
      <c r="P109" s="20" t="s">
        <v>25</v>
      </c>
      <c r="Q109" s="24" t="s">
        <v>26</v>
      </c>
      <c r="R109" s="19" t="s">
        <v>27</v>
      </c>
    </row>
    <row r="110" spans="1:18" ht="49.95" customHeight="1" thickTop="1" thickBot="1" x14ac:dyDescent="0.35">
      <c r="A110" s="80" t="s">
        <v>28</v>
      </c>
      <c r="B110" s="80" t="s">
        <v>406</v>
      </c>
      <c r="C110" s="81">
        <v>0.16666666666666671</v>
      </c>
      <c r="D110" s="80" t="s">
        <v>30</v>
      </c>
      <c r="E110" s="82"/>
      <c r="F110" s="80" t="s">
        <v>31</v>
      </c>
      <c r="G110" s="232"/>
      <c r="H110" s="100" t="s">
        <v>406</v>
      </c>
      <c r="I110" s="148">
        <v>1.0335000000000001</v>
      </c>
      <c r="J110" s="102">
        <v>185</v>
      </c>
      <c r="K110" s="103" t="s">
        <v>344</v>
      </c>
      <c r="L110" s="102">
        <v>0</v>
      </c>
      <c r="M110" s="102">
        <v>0</v>
      </c>
      <c r="N110" s="102">
        <v>0</v>
      </c>
      <c r="O110" s="104" t="s">
        <v>33</v>
      </c>
      <c r="P110" s="105">
        <v>0.16666666666666671</v>
      </c>
      <c r="Q110" s="102">
        <v>179</v>
      </c>
      <c r="R110" s="106" t="s">
        <v>439</v>
      </c>
    </row>
    <row r="111" spans="1:18" ht="17.399999999999999" customHeight="1" thickBot="1" x14ac:dyDescent="0.35">
      <c r="A111" s="264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6"/>
    </row>
    <row r="112" spans="1:18" ht="22.05" customHeight="1" thickTop="1" thickBot="1" x14ac:dyDescent="0.35">
      <c r="A112" s="241" t="s">
        <v>8</v>
      </c>
      <c r="B112" s="239"/>
      <c r="C112" s="239"/>
      <c r="D112" s="239"/>
      <c r="E112" s="239"/>
      <c r="F112" s="240"/>
      <c r="G112" s="18">
        <v>46011</v>
      </c>
      <c r="H112" s="238" t="s">
        <v>9</v>
      </c>
      <c r="I112" s="239"/>
      <c r="J112" s="239"/>
      <c r="K112" s="239"/>
      <c r="L112" s="239"/>
      <c r="M112" s="239"/>
      <c r="N112" s="239"/>
      <c r="O112" s="239"/>
      <c r="P112" s="239"/>
      <c r="Q112" s="239"/>
      <c r="R112" s="240"/>
    </row>
    <row r="113" spans="1:18" ht="24" customHeight="1" x14ac:dyDescent="0.3">
      <c r="A113" s="19" t="s">
        <v>10</v>
      </c>
      <c r="B113" s="19" t="s">
        <v>11</v>
      </c>
      <c r="C113" s="20" t="s">
        <v>12</v>
      </c>
      <c r="D113" s="19" t="s">
        <v>13</v>
      </c>
      <c r="E113" s="19" t="s">
        <v>14</v>
      </c>
      <c r="F113" s="21" t="s">
        <v>15</v>
      </c>
      <c r="G113" s="22" t="s">
        <v>16</v>
      </c>
      <c r="H113" s="19" t="s">
        <v>17</v>
      </c>
      <c r="I113" s="23" t="s">
        <v>18</v>
      </c>
      <c r="J113" s="24" t="s">
        <v>19</v>
      </c>
      <c r="K113" s="25" t="s">
        <v>20</v>
      </c>
      <c r="L113" s="24" t="s">
        <v>21</v>
      </c>
      <c r="M113" s="24" t="s">
        <v>22</v>
      </c>
      <c r="N113" s="24" t="s">
        <v>23</v>
      </c>
      <c r="O113" s="19" t="s">
        <v>24</v>
      </c>
      <c r="P113" s="20" t="s">
        <v>25</v>
      </c>
      <c r="Q113" s="24" t="s">
        <v>26</v>
      </c>
      <c r="R113" s="19" t="s">
        <v>27</v>
      </c>
    </row>
    <row r="114" spans="1:18" ht="49.95" customHeight="1" thickTop="1" thickBot="1" x14ac:dyDescent="0.35">
      <c r="A114" s="80" t="s">
        <v>28</v>
      </c>
      <c r="B114" s="80" t="s">
        <v>406</v>
      </c>
      <c r="C114" s="81">
        <v>0.125</v>
      </c>
      <c r="D114" s="80" t="s">
        <v>30</v>
      </c>
      <c r="E114" s="82"/>
      <c r="F114" s="80" t="s">
        <v>36</v>
      </c>
      <c r="G114" s="232"/>
      <c r="H114" s="100" t="s">
        <v>406</v>
      </c>
      <c r="I114" s="158">
        <v>0.81010000000000004</v>
      </c>
      <c r="J114" s="102">
        <v>145</v>
      </c>
      <c r="K114" s="103" t="s">
        <v>90</v>
      </c>
      <c r="L114" s="102">
        <v>1</v>
      </c>
      <c r="M114" s="102">
        <v>0</v>
      </c>
      <c r="N114" s="102">
        <v>0</v>
      </c>
      <c r="O114" s="104" t="s">
        <v>153</v>
      </c>
      <c r="P114" s="105">
        <v>0.125</v>
      </c>
      <c r="Q114" s="102">
        <v>179</v>
      </c>
      <c r="R114" s="106" t="s">
        <v>440</v>
      </c>
    </row>
    <row r="115" spans="1:18" ht="17.399999999999999" customHeight="1" thickBot="1" x14ac:dyDescent="0.35">
      <c r="A115" s="264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6"/>
    </row>
    <row r="116" spans="1:18" ht="22.05" customHeight="1" thickTop="1" thickBot="1" x14ac:dyDescent="0.35">
      <c r="A116" s="241" t="s">
        <v>8</v>
      </c>
      <c r="B116" s="239"/>
      <c r="C116" s="239"/>
      <c r="D116" s="239"/>
      <c r="E116" s="239"/>
      <c r="F116" s="240"/>
      <c r="G116" s="18">
        <v>46012</v>
      </c>
      <c r="H116" s="238" t="s">
        <v>9</v>
      </c>
      <c r="I116" s="239"/>
      <c r="J116" s="239"/>
      <c r="K116" s="239"/>
      <c r="L116" s="239"/>
      <c r="M116" s="239"/>
      <c r="N116" s="239"/>
      <c r="O116" s="239"/>
      <c r="P116" s="239"/>
      <c r="Q116" s="239"/>
      <c r="R116" s="240"/>
    </row>
    <row r="117" spans="1:18" ht="24" customHeight="1" x14ac:dyDescent="0.3">
      <c r="A117" s="19" t="s">
        <v>10</v>
      </c>
      <c r="B117" s="19" t="s">
        <v>11</v>
      </c>
      <c r="C117" s="20" t="s">
        <v>12</v>
      </c>
      <c r="D117" s="19" t="s">
        <v>13</v>
      </c>
      <c r="E117" s="19" t="s">
        <v>14</v>
      </c>
      <c r="F117" s="21" t="s">
        <v>15</v>
      </c>
      <c r="G117" s="22" t="s">
        <v>16</v>
      </c>
      <c r="H117" s="19" t="s">
        <v>17</v>
      </c>
      <c r="I117" s="23" t="s">
        <v>18</v>
      </c>
      <c r="J117" s="24" t="s">
        <v>19</v>
      </c>
      <c r="K117" s="25" t="s">
        <v>20</v>
      </c>
      <c r="L117" s="24" t="s">
        <v>21</v>
      </c>
      <c r="M117" s="24" t="s">
        <v>22</v>
      </c>
      <c r="N117" s="24" t="s">
        <v>23</v>
      </c>
      <c r="O117" s="19" t="s">
        <v>24</v>
      </c>
      <c r="P117" s="20" t="s">
        <v>25</v>
      </c>
      <c r="Q117" s="24" t="s">
        <v>26</v>
      </c>
      <c r="R117" s="19" t="s">
        <v>27</v>
      </c>
    </row>
    <row r="118" spans="1:18" ht="49.95" customHeight="1" thickTop="1" thickBot="1" x14ac:dyDescent="0.35">
      <c r="A118" s="137" t="s">
        <v>28</v>
      </c>
      <c r="B118" s="137" t="s">
        <v>406</v>
      </c>
      <c r="C118" s="138">
        <v>0.21527777777777779</v>
      </c>
      <c r="D118" s="137" t="s">
        <v>30</v>
      </c>
      <c r="E118" s="139"/>
      <c r="F118" s="137" t="s">
        <v>36</v>
      </c>
      <c r="G118" s="232"/>
      <c r="H118" s="93" t="s">
        <v>406</v>
      </c>
      <c r="I118" s="156">
        <v>0.83799999999999997</v>
      </c>
      <c r="J118" s="95">
        <v>150</v>
      </c>
      <c r="K118" s="96" t="s">
        <v>37</v>
      </c>
      <c r="L118" s="95">
        <v>5</v>
      </c>
      <c r="M118" s="95">
        <v>0</v>
      </c>
      <c r="N118" s="95">
        <v>2</v>
      </c>
      <c r="O118" s="97" t="s">
        <v>429</v>
      </c>
      <c r="P118" s="98">
        <v>0.21527777777777779</v>
      </c>
      <c r="Q118" s="95">
        <v>179</v>
      </c>
      <c r="R118" s="99" t="s">
        <v>441</v>
      </c>
    </row>
    <row r="119" spans="1:18" ht="17.399999999999999" customHeight="1" thickBot="1" x14ac:dyDescent="0.35">
      <c r="A119" s="264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6"/>
    </row>
    <row r="120" spans="1:18" ht="22.05" customHeight="1" thickTop="1" thickBot="1" x14ac:dyDescent="0.35">
      <c r="A120" s="241" t="s">
        <v>8</v>
      </c>
      <c r="B120" s="239"/>
      <c r="C120" s="239"/>
      <c r="D120" s="239"/>
      <c r="E120" s="239"/>
      <c r="F120" s="240"/>
      <c r="G120" s="18">
        <v>46013</v>
      </c>
      <c r="H120" s="238" t="s">
        <v>9</v>
      </c>
      <c r="I120" s="239"/>
      <c r="J120" s="239"/>
      <c r="K120" s="239"/>
      <c r="L120" s="239"/>
      <c r="M120" s="239"/>
      <c r="N120" s="239"/>
      <c r="O120" s="239"/>
      <c r="P120" s="239"/>
      <c r="Q120" s="239"/>
      <c r="R120" s="240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49.95" customHeight="1" thickTop="1" thickBot="1" x14ac:dyDescent="0.35">
      <c r="A122" s="66" t="s">
        <v>28</v>
      </c>
      <c r="B122" s="66" t="s">
        <v>406</v>
      </c>
      <c r="C122" s="67">
        <v>0.16666666666666671</v>
      </c>
      <c r="D122" s="66" t="s">
        <v>30</v>
      </c>
      <c r="E122" s="68"/>
      <c r="F122" s="66" t="s">
        <v>36</v>
      </c>
      <c r="G122" s="232"/>
      <c r="H122" s="127" t="s">
        <v>406</v>
      </c>
      <c r="I122" s="149">
        <v>0.80449999999999999</v>
      </c>
      <c r="J122" s="129">
        <v>144</v>
      </c>
      <c r="K122" s="130" t="s">
        <v>82</v>
      </c>
      <c r="L122" s="129">
        <v>6</v>
      </c>
      <c r="M122" s="129">
        <v>0</v>
      </c>
      <c r="N122" s="129">
        <v>0</v>
      </c>
      <c r="O122" s="131" t="s">
        <v>64</v>
      </c>
      <c r="P122" s="132">
        <v>0.16666666666666671</v>
      </c>
      <c r="Q122" s="129">
        <v>179</v>
      </c>
      <c r="R122" s="133" t="s">
        <v>442</v>
      </c>
    </row>
    <row r="123" spans="1:18" ht="17.399999999999999" customHeight="1" thickBot="1" x14ac:dyDescent="0.35">
      <c r="A123" s="264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6"/>
    </row>
    <row r="124" spans="1:18" ht="22.05" customHeight="1" thickTop="1" thickBot="1" x14ac:dyDescent="0.35">
      <c r="A124" s="241" t="s">
        <v>8</v>
      </c>
      <c r="B124" s="239"/>
      <c r="C124" s="239"/>
      <c r="D124" s="239"/>
      <c r="E124" s="239"/>
      <c r="F124" s="240"/>
      <c r="G124" s="18">
        <v>46014</v>
      </c>
      <c r="H124" s="238" t="s">
        <v>9</v>
      </c>
      <c r="I124" s="239"/>
      <c r="J124" s="239"/>
      <c r="K124" s="239"/>
      <c r="L124" s="239"/>
      <c r="M124" s="239"/>
      <c r="N124" s="239"/>
      <c r="O124" s="239"/>
      <c r="P124" s="239"/>
      <c r="Q124" s="239"/>
      <c r="R124" s="240"/>
    </row>
    <row r="125" spans="1:18" ht="24" customHeight="1" x14ac:dyDescent="0.3">
      <c r="A125" s="19" t="s">
        <v>10</v>
      </c>
      <c r="B125" s="19" t="s">
        <v>11</v>
      </c>
      <c r="C125" s="20" t="s">
        <v>12</v>
      </c>
      <c r="D125" s="19" t="s">
        <v>13</v>
      </c>
      <c r="E125" s="19" t="s">
        <v>14</v>
      </c>
      <c r="F125" s="21" t="s">
        <v>15</v>
      </c>
      <c r="G125" s="22" t="s">
        <v>16</v>
      </c>
      <c r="H125" s="19" t="s">
        <v>17</v>
      </c>
      <c r="I125" s="23" t="s">
        <v>18</v>
      </c>
      <c r="J125" s="24" t="s">
        <v>19</v>
      </c>
      <c r="K125" s="25" t="s">
        <v>20</v>
      </c>
      <c r="L125" s="24" t="s">
        <v>21</v>
      </c>
      <c r="M125" s="24" t="s">
        <v>22</v>
      </c>
      <c r="N125" s="24" t="s">
        <v>23</v>
      </c>
      <c r="O125" s="19" t="s">
        <v>24</v>
      </c>
      <c r="P125" s="20" t="s">
        <v>25</v>
      </c>
      <c r="Q125" s="24" t="s">
        <v>26</v>
      </c>
      <c r="R125" s="19" t="s">
        <v>27</v>
      </c>
    </row>
    <row r="126" spans="1:18" ht="49.95" customHeight="1" thickTop="1" thickBot="1" x14ac:dyDescent="0.35">
      <c r="A126" s="8" t="s">
        <v>28</v>
      </c>
      <c r="B126" s="8" t="s">
        <v>406</v>
      </c>
      <c r="C126" s="9">
        <v>0.83333333333333337</v>
      </c>
      <c r="D126" s="8" t="s">
        <v>30</v>
      </c>
      <c r="E126" s="10"/>
      <c r="F126" s="8" t="s">
        <v>36</v>
      </c>
      <c r="G126" s="232"/>
      <c r="H126" s="11" t="s">
        <v>406</v>
      </c>
      <c r="I126" s="12">
        <v>0.78769999999999996</v>
      </c>
      <c r="J126" s="13">
        <v>141</v>
      </c>
      <c r="K126" s="14" t="s">
        <v>90</v>
      </c>
      <c r="L126" s="13">
        <v>1</v>
      </c>
      <c r="M126" s="13">
        <v>0</v>
      </c>
      <c r="N126" s="13">
        <v>0</v>
      </c>
      <c r="O126" s="15" t="s">
        <v>62</v>
      </c>
      <c r="P126" s="16">
        <v>0.83333333333333337</v>
      </c>
      <c r="Q126" s="13">
        <v>179</v>
      </c>
      <c r="R126" s="17" t="s">
        <v>443</v>
      </c>
    </row>
    <row r="127" spans="1:18" ht="17.399999999999999" customHeight="1" thickBot="1" x14ac:dyDescent="0.35">
      <c r="A127" s="264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6"/>
    </row>
    <row r="128" spans="1:18" ht="22.05" customHeight="1" thickTop="1" thickBot="1" x14ac:dyDescent="0.35">
      <c r="A128" s="241" t="s">
        <v>8</v>
      </c>
      <c r="B128" s="239"/>
      <c r="C128" s="239"/>
      <c r="D128" s="239"/>
      <c r="E128" s="239"/>
      <c r="F128" s="240"/>
      <c r="G128" s="18">
        <v>46015</v>
      </c>
      <c r="H128" s="238" t="s">
        <v>9</v>
      </c>
      <c r="I128" s="239"/>
      <c r="J128" s="239"/>
      <c r="K128" s="239"/>
      <c r="L128" s="239"/>
      <c r="M128" s="239"/>
      <c r="N128" s="239"/>
      <c r="O128" s="239"/>
      <c r="P128" s="239"/>
      <c r="Q128" s="239"/>
      <c r="R128" s="240"/>
    </row>
    <row r="129" spans="1:18" ht="24" customHeight="1" x14ac:dyDescent="0.3">
      <c r="A129" s="19" t="s">
        <v>10</v>
      </c>
      <c r="B129" s="19" t="s">
        <v>11</v>
      </c>
      <c r="C129" s="20" t="s">
        <v>12</v>
      </c>
      <c r="D129" s="19" t="s">
        <v>13</v>
      </c>
      <c r="E129" s="19" t="s">
        <v>14</v>
      </c>
      <c r="F129" s="21" t="s">
        <v>15</v>
      </c>
      <c r="G129" s="22" t="s">
        <v>16</v>
      </c>
      <c r="H129" s="19" t="s">
        <v>17</v>
      </c>
      <c r="I129" s="23" t="s">
        <v>18</v>
      </c>
      <c r="J129" s="24" t="s">
        <v>19</v>
      </c>
      <c r="K129" s="25" t="s">
        <v>20</v>
      </c>
      <c r="L129" s="24" t="s">
        <v>21</v>
      </c>
      <c r="M129" s="24" t="s">
        <v>22</v>
      </c>
      <c r="N129" s="24" t="s">
        <v>23</v>
      </c>
      <c r="O129" s="19" t="s">
        <v>24</v>
      </c>
      <c r="P129" s="20" t="s">
        <v>25</v>
      </c>
      <c r="Q129" s="24" t="s">
        <v>26</v>
      </c>
      <c r="R129" s="19" t="s">
        <v>27</v>
      </c>
    </row>
    <row r="130" spans="1:18" ht="49.95" customHeight="1" thickTop="1" thickBot="1" x14ac:dyDescent="0.35">
      <c r="A130" s="8" t="s">
        <v>28</v>
      </c>
      <c r="B130" s="8" t="s">
        <v>406</v>
      </c>
      <c r="C130" s="9">
        <v>0.82638888888888884</v>
      </c>
      <c r="D130" s="8" t="s">
        <v>30</v>
      </c>
      <c r="E130" s="10"/>
      <c r="F130" s="8" t="s">
        <v>36</v>
      </c>
      <c r="G130" s="232"/>
      <c r="H130" s="11" t="s">
        <v>406</v>
      </c>
      <c r="I130" s="12">
        <v>0.78210000000000002</v>
      </c>
      <c r="J130" s="13">
        <v>140</v>
      </c>
      <c r="K130" s="14" t="s">
        <v>37</v>
      </c>
      <c r="L130" s="13">
        <v>1</v>
      </c>
      <c r="M130" s="13">
        <v>0</v>
      </c>
      <c r="N130" s="13">
        <v>1</v>
      </c>
      <c r="O130" s="15" t="s">
        <v>62</v>
      </c>
      <c r="P130" s="16">
        <v>0.82638888888888884</v>
      </c>
      <c r="Q130" s="13">
        <v>179</v>
      </c>
      <c r="R130" s="17" t="s">
        <v>444</v>
      </c>
    </row>
    <row r="131" spans="1:18" ht="17.399999999999999" customHeight="1" thickBot="1" x14ac:dyDescent="0.35">
      <c r="A131" s="264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6"/>
    </row>
    <row r="132" spans="1:18" ht="22.05" customHeight="1" thickTop="1" thickBot="1" x14ac:dyDescent="0.35">
      <c r="A132" s="241" t="s">
        <v>8</v>
      </c>
      <c r="B132" s="239"/>
      <c r="C132" s="239"/>
      <c r="D132" s="239"/>
      <c r="E132" s="239"/>
      <c r="F132" s="240"/>
      <c r="G132" s="18">
        <v>46016</v>
      </c>
      <c r="H132" s="238" t="s">
        <v>9</v>
      </c>
      <c r="I132" s="239"/>
      <c r="J132" s="239"/>
      <c r="K132" s="239"/>
      <c r="L132" s="239"/>
      <c r="M132" s="239"/>
      <c r="N132" s="239"/>
      <c r="O132" s="239"/>
      <c r="P132" s="239"/>
      <c r="Q132" s="239"/>
      <c r="R132" s="240"/>
    </row>
    <row r="133" spans="1:18" ht="24" customHeight="1" x14ac:dyDescent="0.3">
      <c r="A133" s="19" t="s">
        <v>10</v>
      </c>
      <c r="B133" s="19" t="s">
        <v>11</v>
      </c>
      <c r="C133" s="20" t="s">
        <v>12</v>
      </c>
      <c r="D133" s="19" t="s">
        <v>13</v>
      </c>
      <c r="E133" s="19" t="s">
        <v>14</v>
      </c>
      <c r="F133" s="21" t="s">
        <v>15</v>
      </c>
      <c r="G133" s="22" t="s">
        <v>16</v>
      </c>
      <c r="H133" s="19" t="s">
        <v>17</v>
      </c>
      <c r="I133" s="23" t="s">
        <v>18</v>
      </c>
      <c r="J133" s="24" t="s">
        <v>19</v>
      </c>
      <c r="K133" s="25" t="s">
        <v>20</v>
      </c>
      <c r="L133" s="24" t="s">
        <v>21</v>
      </c>
      <c r="M133" s="24" t="s">
        <v>22</v>
      </c>
      <c r="N133" s="24" t="s">
        <v>23</v>
      </c>
      <c r="O133" s="19" t="s">
        <v>24</v>
      </c>
      <c r="P133" s="20" t="s">
        <v>25</v>
      </c>
      <c r="Q133" s="24" t="s">
        <v>26</v>
      </c>
      <c r="R133" s="19" t="s">
        <v>27</v>
      </c>
    </row>
    <row r="134" spans="1:18" ht="49.95" customHeight="1" thickTop="1" thickBot="1" x14ac:dyDescent="0.5">
      <c r="A134" s="36" t="s">
        <v>28</v>
      </c>
      <c r="B134" s="36" t="s">
        <v>406</v>
      </c>
      <c r="C134" s="37">
        <v>0.4375</v>
      </c>
      <c r="D134" s="36" t="s">
        <v>30</v>
      </c>
      <c r="E134" s="38"/>
      <c r="F134" s="36" t="s">
        <v>36</v>
      </c>
      <c r="G134" s="237"/>
      <c r="H134" s="112" t="s">
        <v>406</v>
      </c>
      <c r="I134" s="157">
        <v>0.81010000000000004</v>
      </c>
      <c r="J134" s="114">
        <v>145</v>
      </c>
      <c r="K134" s="115" t="s">
        <v>445</v>
      </c>
      <c r="L134" s="114">
        <v>0</v>
      </c>
      <c r="M134" s="114">
        <v>0</v>
      </c>
      <c r="N134" s="114">
        <v>0</v>
      </c>
      <c r="O134" s="116" t="s">
        <v>153</v>
      </c>
      <c r="P134" s="117">
        <v>0.4375</v>
      </c>
      <c r="Q134" s="114">
        <v>179</v>
      </c>
      <c r="R134" s="118" t="s">
        <v>446</v>
      </c>
    </row>
    <row r="135" spans="1:18" ht="17.399999999999999" customHeight="1" thickBot="1" x14ac:dyDescent="0.35">
      <c r="A135" s="264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6"/>
    </row>
    <row r="136" spans="1:18" ht="22.05" customHeight="1" thickTop="1" thickBot="1" x14ac:dyDescent="0.35">
      <c r="A136" s="241" t="s">
        <v>8</v>
      </c>
      <c r="B136" s="239"/>
      <c r="C136" s="239"/>
      <c r="D136" s="239"/>
      <c r="E136" s="239"/>
      <c r="F136" s="240"/>
      <c r="G136" s="18">
        <v>46017</v>
      </c>
      <c r="H136" s="238" t="s">
        <v>9</v>
      </c>
      <c r="I136" s="239"/>
      <c r="J136" s="239"/>
      <c r="K136" s="239"/>
      <c r="L136" s="239"/>
      <c r="M136" s="239"/>
      <c r="N136" s="239"/>
      <c r="O136" s="239"/>
      <c r="P136" s="239"/>
      <c r="Q136" s="239"/>
      <c r="R136" s="240"/>
    </row>
    <row r="137" spans="1:18" ht="24" customHeight="1" x14ac:dyDescent="0.3">
      <c r="A137" s="19" t="s">
        <v>10</v>
      </c>
      <c r="B137" s="19" t="s">
        <v>11</v>
      </c>
      <c r="C137" s="20" t="s">
        <v>12</v>
      </c>
      <c r="D137" s="19" t="s">
        <v>13</v>
      </c>
      <c r="E137" s="19" t="s">
        <v>14</v>
      </c>
      <c r="F137" s="21" t="s">
        <v>15</v>
      </c>
      <c r="G137" s="22" t="s">
        <v>16</v>
      </c>
      <c r="H137" s="19" t="s">
        <v>17</v>
      </c>
      <c r="I137" s="23" t="s">
        <v>18</v>
      </c>
      <c r="J137" s="24" t="s">
        <v>19</v>
      </c>
      <c r="K137" s="25" t="s">
        <v>20</v>
      </c>
      <c r="L137" s="24" t="s">
        <v>21</v>
      </c>
      <c r="M137" s="24" t="s">
        <v>22</v>
      </c>
      <c r="N137" s="24" t="s">
        <v>23</v>
      </c>
      <c r="O137" s="19" t="s">
        <v>24</v>
      </c>
      <c r="P137" s="20" t="s">
        <v>25</v>
      </c>
      <c r="Q137" s="24" t="s">
        <v>26</v>
      </c>
      <c r="R137" s="19" t="s">
        <v>27</v>
      </c>
    </row>
    <row r="138" spans="1:18" ht="49.95" customHeight="1" x14ac:dyDescent="0.45">
      <c r="A138" s="80" t="s">
        <v>28</v>
      </c>
      <c r="B138" s="80" t="s">
        <v>406</v>
      </c>
      <c r="C138" s="81">
        <v>0.16666666666666671</v>
      </c>
      <c r="D138" s="80" t="s">
        <v>30</v>
      </c>
      <c r="E138" s="82"/>
      <c r="F138" s="80" t="s">
        <v>36</v>
      </c>
      <c r="G138" s="237"/>
      <c r="H138" s="100" t="s">
        <v>406</v>
      </c>
      <c r="I138" s="158">
        <v>0.78769999999999996</v>
      </c>
      <c r="J138" s="102">
        <v>141</v>
      </c>
      <c r="K138" s="103" t="s">
        <v>102</v>
      </c>
      <c r="L138" s="102">
        <v>2</v>
      </c>
      <c r="M138" s="102">
        <v>0</v>
      </c>
      <c r="N138" s="102">
        <v>0</v>
      </c>
      <c r="O138" s="104" t="s">
        <v>62</v>
      </c>
      <c r="P138" s="105">
        <v>0.16666666666666671</v>
      </c>
      <c r="Q138" s="102">
        <v>179</v>
      </c>
      <c r="R138" s="106" t="s">
        <v>447</v>
      </c>
    </row>
  </sheetData>
  <mergeCells count="142">
    <mergeCell ref="G138"/>
    <mergeCell ref="H112:R112"/>
    <mergeCell ref="A12:F12"/>
    <mergeCell ref="A75:R75"/>
    <mergeCell ref="H4:R4"/>
    <mergeCell ref="A104:F104"/>
    <mergeCell ref="H44:R44"/>
    <mergeCell ref="A3:R3"/>
    <mergeCell ref="A55:R55"/>
    <mergeCell ref="A95:R95"/>
    <mergeCell ref="A47:R47"/>
    <mergeCell ref="H64:R64"/>
    <mergeCell ref="G130"/>
    <mergeCell ref="A4:F4"/>
    <mergeCell ref="A96:F96"/>
    <mergeCell ref="H88:R88"/>
    <mergeCell ref="A52:F52"/>
    <mergeCell ref="G126"/>
    <mergeCell ref="G38"/>
    <mergeCell ref="A31:R31"/>
    <mergeCell ref="G78"/>
    <mergeCell ref="A15:R15"/>
    <mergeCell ref="G118"/>
    <mergeCell ref="A51:R51"/>
    <mergeCell ref="A8:F8"/>
    <mergeCell ref="G86"/>
    <mergeCell ref="H60:R60"/>
    <mergeCell ref="G2:J2"/>
    <mergeCell ref="A23:R23"/>
    <mergeCell ref="A100:F100"/>
    <mergeCell ref="N1:R1"/>
    <mergeCell ref="G70"/>
    <mergeCell ref="H132:R132"/>
    <mergeCell ref="A43:R43"/>
    <mergeCell ref="A68:F68"/>
    <mergeCell ref="H16:R16"/>
    <mergeCell ref="H100:R100"/>
    <mergeCell ref="K2:R2"/>
    <mergeCell ref="A67:R67"/>
    <mergeCell ref="A92:F92"/>
    <mergeCell ref="H84:R84"/>
    <mergeCell ref="G62"/>
    <mergeCell ref="A36:F36"/>
    <mergeCell ref="A123:R123"/>
    <mergeCell ref="A119:R119"/>
    <mergeCell ref="H92:R92"/>
    <mergeCell ref="G114"/>
    <mergeCell ref="A128:F128"/>
    <mergeCell ref="H136:R136"/>
    <mergeCell ref="G58"/>
    <mergeCell ref="G110"/>
    <mergeCell ref="A87:R87"/>
    <mergeCell ref="A136:F136"/>
    <mergeCell ref="G94"/>
    <mergeCell ref="A56:F56"/>
    <mergeCell ref="G22"/>
    <mergeCell ref="H40:R40"/>
    <mergeCell ref="G102"/>
    <mergeCell ref="A76:F76"/>
    <mergeCell ref="A116:F116"/>
    <mergeCell ref="H68:R68"/>
    <mergeCell ref="A80:F80"/>
    <mergeCell ref="A120:F120"/>
    <mergeCell ref="A107:R107"/>
    <mergeCell ref="A132:F132"/>
    <mergeCell ref="H124:R124"/>
    <mergeCell ref="H24:R24"/>
    <mergeCell ref="H76:R76"/>
    <mergeCell ref="G10"/>
    <mergeCell ref="G66"/>
    <mergeCell ref="H28:R28"/>
    <mergeCell ref="A83:R83"/>
    <mergeCell ref="H80:R80"/>
    <mergeCell ref="G18"/>
    <mergeCell ref="A39:R39"/>
    <mergeCell ref="H12:R12"/>
    <mergeCell ref="H96:R96"/>
    <mergeCell ref="G34"/>
    <mergeCell ref="G74"/>
    <mergeCell ref="H48:R48"/>
    <mergeCell ref="A88:F88"/>
    <mergeCell ref="H20:R20"/>
    <mergeCell ref="A91:R91"/>
    <mergeCell ref="A131:R131"/>
    <mergeCell ref="G98"/>
    <mergeCell ref="A28:F28"/>
    <mergeCell ref="A112:F112"/>
    <mergeCell ref="A63:R63"/>
    <mergeCell ref="A115:R115"/>
    <mergeCell ref="G82"/>
    <mergeCell ref="A48:F48"/>
    <mergeCell ref="A111:R111"/>
    <mergeCell ref="H104:R104"/>
    <mergeCell ref="A103:R103"/>
    <mergeCell ref="A135:R135"/>
    <mergeCell ref="G42"/>
    <mergeCell ref="A35:R35"/>
    <mergeCell ref="H52:R52"/>
    <mergeCell ref="H108:R108"/>
    <mergeCell ref="A19:R19"/>
    <mergeCell ref="A44:F44"/>
    <mergeCell ref="G122"/>
    <mergeCell ref="H72:R72"/>
    <mergeCell ref="H128:R128"/>
    <mergeCell ref="A40:F40"/>
    <mergeCell ref="H32:R32"/>
    <mergeCell ref="A64:F64"/>
    <mergeCell ref="A127:R127"/>
    <mergeCell ref="A24:F24"/>
    <mergeCell ref="A59:R59"/>
    <mergeCell ref="A60:F60"/>
    <mergeCell ref="G30"/>
    <mergeCell ref="H120:R120"/>
    <mergeCell ref="A79:R79"/>
    <mergeCell ref="A124:F124"/>
    <mergeCell ref="H116:R116"/>
    <mergeCell ref="A108:F108"/>
    <mergeCell ref="G54"/>
    <mergeCell ref="A7:R7"/>
    <mergeCell ref="A84:F84"/>
    <mergeCell ref="G26"/>
    <mergeCell ref="A99:R99"/>
    <mergeCell ref="H1:L1"/>
    <mergeCell ref="A1:E1"/>
    <mergeCell ref="G134"/>
    <mergeCell ref="A27:R27"/>
    <mergeCell ref="G50"/>
    <mergeCell ref="G90"/>
    <mergeCell ref="A32:F32"/>
    <mergeCell ref="A20:F20"/>
    <mergeCell ref="A72:F72"/>
    <mergeCell ref="G6"/>
    <mergeCell ref="A11:R11"/>
    <mergeCell ref="G14"/>
    <mergeCell ref="A16:F16"/>
    <mergeCell ref="H8:R8"/>
    <mergeCell ref="G46"/>
    <mergeCell ref="A2:F2"/>
    <mergeCell ref="G106"/>
    <mergeCell ref="H56:R56"/>
    <mergeCell ref="A71:R71"/>
    <mergeCell ref="H36:R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6"/>
  <sheetViews>
    <sheetView workbookViewId="0"/>
  </sheetViews>
  <sheetFormatPr defaultRowHeight="15.6" outlineLevelCol="1" x14ac:dyDescent="0.3"/>
  <cols>
    <col min="1" max="1" width="11.5546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8.109375" style="251" bestFit="1" customWidth="1"/>
    <col min="6" max="6" width="4.21875" style="251" bestFit="1" customWidth="1"/>
    <col min="7" max="7" width="10" style="251" bestFit="1" customWidth="1"/>
    <col min="8" max="10" width="8.5546875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19" width="3.88671875" style="251" bestFit="1" customWidth="1"/>
    <col min="20" max="20" width="4.4414062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1" width="4.5546875" style="251" bestFit="1" customWidth="1"/>
    <col min="32" max="32" width="3.88671875" style="251" bestFit="1" customWidth="1"/>
    <col min="33" max="33" width="4.21875" style="251" bestFit="1" customWidth="1"/>
    <col min="34" max="34" width="3.88671875" style="251" bestFit="1" customWidth="1"/>
    <col min="35" max="35" width="5.21875" style="251" bestFit="1" customWidth="1"/>
    <col min="36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139</v>
      </c>
      <c r="B2" s="253">
        <v>45984</v>
      </c>
      <c r="C2" s="254" t="s">
        <v>406</v>
      </c>
      <c r="D2" s="255" t="s">
        <v>448</v>
      </c>
      <c r="E2" s="254" t="s">
        <v>405</v>
      </c>
      <c r="F2" s="254" t="s">
        <v>141</v>
      </c>
      <c r="G2" s="256">
        <v>0.99439999999999995</v>
      </c>
      <c r="H2" s="257">
        <v>179</v>
      </c>
      <c r="I2" s="257">
        <v>178</v>
      </c>
      <c r="J2" s="257">
        <v>123</v>
      </c>
      <c r="K2" s="254" t="s">
        <v>449</v>
      </c>
      <c r="L2" s="258" t="s">
        <v>102</v>
      </c>
      <c r="M2" s="257">
        <v>0</v>
      </c>
      <c r="N2" s="257">
        <v>0</v>
      </c>
      <c r="O2" s="257">
        <v>51</v>
      </c>
      <c r="P2" s="254" t="s">
        <v>408</v>
      </c>
      <c r="Q2" s="250"/>
      <c r="R2" s="250"/>
      <c r="S2" s="257" t="s">
        <v>450</v>
      </c>
      <c r="T2" s="250"/>
      <c r="U2" s="257" t="s">
        <v>352</v>
      </c>
      <c r="V2" s="250"/>
      <c r="W2" s="250"/>
      <c r="X2" s="257" t="s">
        <v>396</v>
      </c>
      <c r="Y2" s="257" t="s">
        <v>151</v>
      </c>
      <c r="Z2" s="257" t="s">
        <v>451</v>
      </c>
      <c r="AA2" s="257" t="s">
        <v>229</v>
      </c>
      <c r="AB2" s="257" t="s">
        <v>201</v>
      </c>
      <c r="AC2" s="257" t="s">
        <v>245</v>
      </c>
      <c r="AD2" s="257" t="s">
        <v>243</v>
      </c>
      <c r="AE2" s="250"/>
      <c r="AF2" s="250"/>
      <c r="AG2" s="250"/>
      <c r="AH2" s="250"/>
      <c r="AI2" s="257" t="s">
        <v>452</v>
      </c>
      <c r="AJ2" s="250"/>
    </row>
    <row r="3" spans="1:36" x14ac:dyDescent="0.3">
      <c r="A3" s="252" t="s">
        <v>149</v>
      </c>
      <c r="B3" s="253">
        <v>45985</v>
      </c>
      <c r="C3" s="254" t="s">
        <v>406</v>
      </c>
      <c r="D3" s="255" t="s">
        <v>453</v>
      </c>
      <c r="E3" s="254" t="s">
        <v>405</v>
      </c>
      <c r="F3" s="254" t="s">
        <v>141</v>
      </c>
      <c r="G3" s="256">
        <v>1</v>
      </c>
      <c r="H3" s="257">
        <v>179</v>
      </c>
      <c r="I3" s="257">
        <v>179</v>
      </c>
      <c r="J3" s="257">
        <v>143</v>
      </c>
      <c r="K3" s="254" t="s">
        <v>142</v>
      </c>
      <c r="L3" s="258" t="s">
        <v>47</v>
      </c>
      <c r="M3" s="257">
        <v>0</v>
      </c>
      <c r="N3" s="257">
        <v>0</v>
      </c>
      <c r="O3" s="257">
        <v>1</v>
      </c>
      <c r="P3" s="254" t="s">
        <v>33</v>
      </c>
      <c r="Q3" s="250"/>
      <c r="R3" s="250"/>
      <c r="S3" s="250"/>
      <c r="T3" s="250"/>
      <c r="U3" s="250"/>
      <c r="V3" s="250"/>
      <c r="W3" s="250"/>
      <c r="X3" s="250"/>
      <c r="Y3" s="250"/>
      <c r="Z3" s="257" t="s">
        <v>211</v>
      </c>
      <c r="AA3" s="257" t="s">
        <v>212</v>
      </c>
      <c r="AB3" s="257" t="s">
        <v>231</v>
      </c>
      <c r="AC3" s="257" t="s">
        <v>242</v>
      </c>
      <c r="AD3" s="250"/>
      <c r="AE3" s="250"/>
      <c r="AF3" s="250"/>
      <c r="AG3" s="250"/>
      <c r="AH3" s="250"/>
      <c r="AI3" s="257" t="s">
        <v>454</v>
      </c>
      <c r="AJ3" s="250"/>
    </row>
    <row r="4" spans="1:36" x14ac:dyDescent="0.3">
      <c r="A4" s="252" t="s">
        <v>157</v>
      </c>
      <c r="B4" s="253">
        <v>45986</v>
      </c>
      <c r="C4" s="254" t="s">
        <v>406</v>
      </c>
      <c r="D4" s="255" t="s">
        <v>455</v>
      </c>
      <c r="E4" s="254" t="s">
        <v>405</v>
      </c>
      <c r="F4" s="254" t="s">
        <v>141</v>
      </c>
      <c r="G4" s="256">
        <v>1</v>
      </c>
      <c r="H4" s="257">
        <v>179</v>
      </c>
      <c r="I4" s="257">
        <v>179</v>
      </c>
      <c r="J4" s="257">
        <v>115</v>
      </c>
      <c r="K4" s="254" t="s">
        <v>142</v>
      </c>
      <c r="L4" s="258" t="s">
        <v>32</v>
      </c>
      <c r="M4" s="257">
        <v>0</v>
      </c>
      <c r="N4" s="257">
        <v>0</v>
      </c>
      <c r="O4" s="257">
        <v>14</v>
      </c>
      <c r="P4" s="254" t="s">
        <v>33</v>
      </c>
      <c r="Q4" s="250"/>
      <c r="R4" s="250"/>
      <c r="S4" s="250"/>
      <c r="T4" s="250"/>
      <c r="U4" s="250"/>
      <c r="V4" s="250"/>
      <c r="W4" s="250"/>
      <c r="X4" s="257" t="s">
        <v>38</v>
      </c>
      <c r="Y4" s="257" t="s">
        <v>456</v>
      </c>
      <c r="Z4" s="257" t="s">
        <v>457</v>
      </c>
      <c r="AA4" s="257" t="s">
        <v>229</v>
      </c>
      <c r="AB4" s="257" t="s">
        <v>176</v>
      </c>
      <c r="AC4" s="257" t="s">
        <v>245</v>
      </c>
      <c r="AD4" s="250"/>
      <c r="AE4" s="250"/>
      <c r="AF4" s="250"/>
      <c r="AG4" s="250"/>
      <c r="AH4" s="250"/>
      <c r="AI4" s="257" t="s">
        <v>458</v>
      </c>
      <c r="AJ4" s="250"/>
    </row>
    <row r="5" spans="1:36" x14ac:dyDescent="0.3">
      <c r="A5" s="252" t="s">
        <v>166</v>
      </c>
      <c r="B5" s="253">
        <v>45987</v>
      </c>
      <c r="C5" s="254" t="s">
        <v>406</v>
      </c>
      <c r="D5" s="255" t="s">
        <v>459</v>
      </c>
      <c r="E5" s="254" t="s">
        <v>405</v>
      </c>
      <c r="F5" s="254" t="s">
        <v>141</v>
      </c>
      <c r="G5" s="256">
        <v>1</v>
      </c>
      <c r="H5" s="257">
        <v>179</v>
      </c>
      <c r="I5" s="257">
        <v>179</v>
      </c>
      <c r="J5" s="257">
        <v>92</v>
      </c>
      <c r="K5" s="254" t="s">
        <v>142</v>
      </c>
      <c r="L5" s="258" t="s">
        <v>47</v>
      </c>
      <c r="M5" s="257">
        <v>0</v>
      </c>
      <c r="N5" s="257">
        <v>0</v>
      </c>
      <c r="O5" s="257">
        <v>25</v>
      </c>
      <c r="P5" s="254" t="s">
        <v>33</v>
      </c>
      <c r="Q5" s="250"/>
      <c r="R5" s="250"/>
      <c r="S5" s="250"/>
      <c r="T5" s="250"/>
      <c r="U5" s="250"/>
      <c r="V5" s="250"/>
      <c r="W5" s="257" t="s">
        <v>309</v>
      </c>
      <c r="X5" s="257" t="s">
        <v>460</v>
      </c>
      <c r="Y5" s="257" t="s">
        <v>456</v>
      </c>
      <c r="Z5" s="257" t="s">
        <v>429</v>
      </c>
      <c r="AA5" s="257" t="s">
        <v>60</v>
      </c>
      <c r="AB5" s="257" t="s">
        <v>399</v>
      </c>
      <c r="AC5" s="257" t="s">
        <v>242</v>
      </c>
      <c r="AD5" s="250"/>
      <c r="AE5" s="250"/>
      <c r="AF5" s="250"/>
      <c r="AG5" s="250"/>
      <c r="AH5" s="250"/>
      <c r="AI5" s="257" t="s">
        <v>461</v>
      </c>
      <c r="AJ5" s="250"/>
    </row>
    <row r="6" spans="1:36" x14ac:dyDescent="0.3">
      <c r="A6" s="252" t="s">
        <v>179</v>
      </c>
      <c r="B6" s="253">
        <v>45988</v>
      </c>
      <c r="C6" s="254" t="s">
        <v>406</v>
      </c>
      <c r="D6" s="255" t="s">
        <v>462</v>
      </c>
      <c r="E6" s="254" t="s">
        <v>405</v>
      </c>
      <c r="F6" s="254" t="s">
        <v>141</v>
      </c>
      <c r="G6" s="256">
        <v>1</v>
      </c>
      <c r="H6" s="257">
        <v>179</v>
      </c>
      <c r="I6" s="257">
        <v>179</v>
      </c>
      <c r="J6" s="257">
        <v>135</v>
      </c>
      <c r="K6" s="254" t="s">
        <v>142</v>
      </c>
      <c r="L6" s="258" t="s">
        <v>413</v>
      </c>
      <c r="M6" s="257">
        <v>0</v>
      </c>
      <c r="N6" s="257">
        <v>0</v>
      </c>
      <c r="O6" s="257">
        <v>0</v>
      </c>
      <c r="P6" s="254" t="s">
        <v>33</v>
      </c>
      <c r="Q6" s="250"/>
      <c r="R6" s="250"/>
      <c r="S6" s="250"/>
      <c r="T6" s="250"/>
      <c r="U6" s="257" t="s">
        <v>352</v>
      </c>
      <c r="V6" s="250"/>
      <c r="W6" s="257" t="s">
        <v>463</v>
      </c>
      <c r="X6" s="257" t="s">
        <v>168</v>
      </c>
      <c r="Y6" s="257" t="s">
        <v>456</v>
      </c>
      <c r="Z6" s="257" t="s">
        <v>464</v>
      </c>
      <c r="AA6" s="257" t="s">
        <v>325</v>
      </c>
      <c r="AB6" s="257" t="s">
        <v>176</v>
      </c>
      <c r="AC6" s="257" t="s">
        <v>245</v>
      </c>
      <c r="AD6" s="250"/>
      <c r="AE6" s="250"/>
      <c r="AF6" s="250"/>
      <c r="AG6" s="250"/>
      <c r="AH6" s="250"/>
      <c r="AI6" s="257" t="s">
        <v>465</v>
      </c>
      <c r="AJ6" s="250"/>
    </row>
    <row r="7" spans="1:36" x14ac:dyDescent="0.3">
      <c r="A7" s="252" t="s">
        <v>185</v>
      </c>
      <c r="B7" s="253">
        <v>45989</v>
      </c>
      <c r="C7" s="254" t="s">
        <v>406</v>
      </c>
      <c r="D7" s="255" t="s">
        <v>453</v>
      </c>
      <c r="E7" s="254" t="s">
        <v>405</v>
      </c>
      <c r="F7" s="254" t="s">
        <v>141</v>
      </c>
      <c r="G7" s="256">
        <v>1</v>
      </c>
      <c r="H7" s="257">
        <v>179</v>
      </c>
      <c r="I7" s="257">
        <v>179</v>
      </c>
      <c r="J7" s="257">
        <v>80</v>
      </c>
      <c r="K7" s="254" t="s">
        <v>142</v>
      </c>
      <c r="L7" s="258" t="s">
        <v>37</v>
      </c>
      <c r="M7" s="257">
        <v>0</v>
      </c>
      <c r="N7" s="257">
        <v>1</v>
      </c>
      <c r="O7" s="257">
        <v>10</v>
      </c>
      <c r="P7" s="254" t="s">
        <v>33</v>
      </c>
      <c r="Q7" s="250"/>
      <c r="R7" s="250"/>
      <c r="S7" s="250"/>
      <c r="T7" s="250"/>
      <c r="U7" s="257" t="s">
        <v>187</v>
      </c>
      <c r="V7" s="257" t="s">
        <v>466</v>
      </c>
      <c r="W7" s="257" t="s">
        <v>467</v>
      </c>
      <c r="X7" s="257" t="s">
        <v>354</v>
      </c>
      <c r="Y7" s="257" t="s">
        <v>456</v>
      </c>
      <c r="Z7" s="257" t="s">
        <v>457</v>
      </c>
      <c r="AA7" s="257" t="s">
        <v>229</v>
      </c>
      <c r="AB7" s="257" t="s">
        <v>176</v>
      </c>
      <c r="AC7" s="257" t="s">
        <v>245</v>
      </c>
      <c r="AD7" s="250"/>
      <c r="AE7" s="250"/>
      <c r="AF7" s="250"/>
      <c r="AG7" s="250"/>
      <c r="AH7" s="250"/>
      <c r="AI7" s="257" t="s">
        <v>468</v>
      </c>
      <c r="AJ7" s="250"/>
    </row>
    <row r="8" spans="1:36" x14ac:dyDescent="0.3">
      <c r="A8" s="252" t="s">
        <v>205</v>
      </c>
      <c r="B8" s="253">
        <v>45990</v>
      </c>
      <c r="C8" s="254" t="s">
        <v>406</v>
      </c>
      <c r="D8" s="255" t="s">
        <v>469</v>
      </c>
      <c r="E8" s="254" t="s">
        <v>405</v>
      </c>
      <c r="F8" s="254" t="s">
        <v>141</v>
      </c>
      <c r="G8" s="256">
        <v>0.9274</v>
      </c>
      <c r="H8" s="257">
        <v>179</v>
      </c>
      <c r="I8" s="257">
        <v>166</v>
      </c>
      <c r="J8" s="257">
        <v>45</v>
      </c>
      <c r="K8" s="254" t="s">
        <v>142</v>
      </c>
      <c r="L8" s="258" t="s">
        <v>37</v>
      </c>
      <c r="M8" s="257">
        <v>0</v>
      </c>
      <c r="N8" s="257">
        <v>1</v>
      </c>
      <c r="O8" s="257">
        <v>5</v>
      </c>
      <c r="P8" s="254" t="s">
        <v>416</v>
      </c>
      <c r="Q8" s="250"/>
      <c r="R8" s="257" t="s">
        <v>470</v>
      </c>
      <c r="S8" s="257" t="s">
        <v>408</v>
      </c>
      <c r="T8" s="257" t="s">
        <v>471</v>
      </c>
      <c r="U8" s="257" t="s">
        <v>472</v>
      </c>
      <c r="V8" s="257" t="s">
        <v>300</v>
      </c>
      <c r="W8" s="257" t="s">
        <v>473</v>
      </c>
      <c r="X8" s="257" t="s">
        <v>474</v>
      </c>
      <c r="Y8" s="257" t="s">
        <v>456</v>
      </c>
      <c r="Z8" s="257" t="s">
        <v>429</v>
      </c>
      <c r="AA8" s="257" t="s">
        <v>229</v>
      </c>
      <c r="AB8" s="257" t="s">
        <v>176</v>
      </c>
      <c r="AC8" s="257" t="s">
        <v>58</v>
      </c>
      <c r="AD8" s="250"/>
      <c r="AE8" s="250"/>
      <c r="AF8" s="250"/>
      <c r="AG8" s="250"/>
      <c r="AH8" s="250"/>
      <c r="AI8" s="257" t="s">
        <v>475</v>
      </c>
      <c r="AJ8" s="250"/>
    </row>
    <row r="9" spans="1:36" x14ac:dyDescent="0.3">
      <c r="A9" s="252" t="s">
        <v>139</v>
      </c>
      <c r="B9" s="253">
        <v>45991</v>
      </c>
      <c r="C9" s="254" t="s">
        <v>406</v>
      </c>
      <c r="D9" s="255" t="s">
        <v>448</v>
      </c>
      <c r="E9" s="254" t="s">
        <v>405</v>
      </c>
      <c r="F9" s="254" t="s">
        <v>141</v>
      </c>
      <c r="G9" s="256">
        <v>1</v>
      </c>
      <c r="H9" s="257">
        <v>179</v>
      </c>
      <c r="I9" s="257">
        <v>179</v>
      </c>
      <c r="J9" s="257">
        <v>90</v>
      </c>
      <c r="K9" s="254" t="s">
        <v>142</v>
      </c>
      <c r="L9" s="258" t="s">
        <v>47</v>
      </c>
      <c r="M9" s="257">
        <v>0</v>
      </c>
      <c r="N9" s="257">
        <v>0</v>
      </c>
      <c r="O9" s="257">
        <v>8</v>
      </c>
      <c r="P9" s="254" t="s">
        <v>33</v>
      </c>
      <c r="Q9" s="250"/>
      <c r="R9" s="250"/>
      <c r="S9" s="250"/>
      <c r="T9" s="250"/>
      <c r="U9" s="250"/>
      <c r="V9" s="250"/>
      <c r="W9" s="257" t="s">
        <v>366</v>
      </c>
      <c r="X9" s="257" t="s">
        <v>210</v>
      </c>
      <c r="Y9" s="257" t="s">
        <v>476</v>
      </c>
      <c r="Z9" s="257" t="s">
        <v>477</v>
      </c>
      <c r="AA9" s="257" t="s">
        <v>478</v>
      </c>
      <c r="AB9" s="257" t="s">
        <v>176</v>
      </c>
      <c r="AC9" s="257" t="s">
        <v>245</v>
      </c>
      <c r="AD9" s="250"/>
      <c r="AE9" s="250"/>
      <c r="AF9" s="250"/>
      <c r="AG9" s="250"/>
      <c r="AH9" s="250"/>
      <c r="AI9" s="257" t="s">
        <v>479</v>
      </c>
      <c r="AJ9" s="250"/>
    </row>
    <row r="10" spans="1:36" x14ac:dyDescent="0.3">
      <c r="A10" s="252" t="s">
        <v>149</v>
      </c>
      <c r="B10" s="253">
        <v>45992</v>
      </c>
      <c r="C10" s="254" t="s">
        <v>406</v>
      </c>
      <c r="D10" s="255" t="s">
        <v>453</v>
      </c>
      <c r="E10" s="254" t="s">
        <v>405</v>
      </c>
      <c r="F10" s="254" t="s">
        <v>141</v>
      </c>
      <c r="G10" s="256">
        <v>1</v>
      </c>
      <c r="H10" s="257">
        <v>179</v>
      </c>
      <c r="I10" s="257">
        <v>179</v>
      </c>
      <c r="J10" s="257">
        <v>140</v>
      </c>
      <c r="K10" s="254" t="s">
        <v>142</v>
      </c>
      <c r="L10" s="258" t="s">
        <v>102</v>
      </c>
      <c r="M10" s="257">
        <v>0</v>
      </c>
      <c r="N10" s="257">
        <v>0</v>
      </c>
      <c r="O10" s="257">
        <v>7</v>
      </c>
      <c r="P10" s="254" t="s">
        <v>33</v>
      </c>
      <c r="Q10" s="250"/>
      <c r="R10" s="250"/>
      <c r="S10" s="250"/>
      <c r="T10" s="250"/>
      <c r="U10" s="250"/>
      <c r="V10" s="250"/>
      <c r="W10" s="250"/>
      <c r="X10" s="250"/>
      <c r="Y10" s="257" t="s">
        <v>480</v>
      </c>
      <c r="Z10" s="257" t="s">
        <v>429</v>
      </c>
      <c r="AA10" s="257" t="s">
        <v>229</v>
      </c>
      <c r="AB10" s="257" t="s">
        <v>237</v>
      </c>
      <c r="AC10" s="257" t="s">
        <v>245</v>
      </c>
      <c r="AD10" s="250"/>
      <c r="AE10" s="250"/>
      <c r="AF10" s="250"/>
      <c r="AG10" s="250"/>
      <c r="AH10" s="250"/>
      <c r="AI10" s="257" t="s">
        <v>481</v>
      </c>
      <c r="AJ10" s="250"/>
    </row>
    <row r="11" spans="1:36" x14ac:dyDescent="0.3">
      <c r="A11" s="252" t="s">
        <v>157</v>
      </c>
      <c r="B11" s="253">
        <v>45993</v>
      </c>
      <c r="C11" s="254" t="s">
        <v>406</v>
      </c>
      <c r="D11" s="255" t="s">
        <v>455</v>
      </c>
      <c r="E11" s="254" t="s">
        <v>405</v>
      </c>
      <c r="F11" s="254" t="s">
        <v>141</v>
      </c>
      <c r="G11" s="256">
        <v>0.98319999999999996</v>
      </c>
      <c r="H11" s="257">
        <v>179</v>
      </c>
      <c r="I11" s="257">
        <v>176</v>
      </c>
      <c r="J11" s="257">
        <v>135</v>
      </c>
      <c r="K11" s="254" t="s">
        <v>142</v>
      </c>
      <c r="L11" s="258" t="s">
        <v>37</v>
      </c>
      <c r="M11" s="257">
        <v>0</v>
      </c>
      <c r="N11" s="257">
        <v>4</v>
      </c>
      <c r="O11" s="257">
        <v>16</v>
      </c>
      <c r="P11" s="254" t="s">
        <v>397</v>
      </c>
      <c r="Q11" s="250"/>
      <c r="R11" s="250"/>
      <c r="S11" s="250"/>
      <c r="T11" s="250"/>
      <c r="U11" s="250"/>
      <c r="V11" s="250"/>
      <c r="W11" s="250"/>
      <c r="X11" s="257" t="s">
        <v>45</v>
      </c>
      <c r="Y11" s="257" t="s">
        <v>482</v>
      </c>
      <c r="Z11" s="257" t="s">
        <v>429</v>
      </c>
      <c r="AA11" s="257" t="s">
        <v>229</v>
      </c>
      <c r="AB11" s="257" t="s">
        <v>176</v>
      </c>
      <c r="AC11" s="257" t="s">
        <v>245</v>
      </c>
      <c r="AD11" s="250"/>
      <c r="AE11" s="250"/>
      <c r="AF11" s="250"/>
      <c r="AG11" s="250"/>
      <c r="AH11" s="250"/>
      <c r="AI11" s="257" t="s">
        <v>465</v>
      </c>
      <c r="AJ11" s="250"/>
    </row>
    <row r="12" spans="1:36" x14ac:dyDescent="0.3">
      <c r="A12" s="252" t="s">
        <v>166</v>
      </c>
      <c r="B12" s="253">
        <v>45994</v>
      </c>
      <c r="C12" s="254" t="s">
        <v>406</v>
      </c>
      <c r="D12" s="255" t="s">
        <v>459</v>
      </c>
      <c r="E12" s="254" t="s">
        <v>405</v>
      </c>
      <c r="F12" s="254" t="s">
        <v>141</v>
      </c>
      <c r="G12" s="256">
        <v>0.68159999999999998</v>
      </c>
      <c r="H12" s="257">
        <v>179</v>
      </c>
      <c r="I12" s="257">
        <v>122</v>
      </c>
      <c r="J12" s="257">
        <v>90</v>
      </c>
      <c r="K12" s="254" t="s">
        <v>142</v>
      </c>
      <c r="L12" s="258" t="s">
        <v>102</v>
      </c>
      <c r="M12" s="257">
        <v>0</v>
      </c>
      <c r="N12" s="257">
        <v>0</v>
      </c>
      <c r="O12" s="257">
        <v>12</v>
      </c>
      <c r="P12" s="254" t="s">
        <v>219</v>
      </c>
      <c r="Q12" s="250"/>
      <c r="R12" s="250"/>
      <c r="S12" s="250"/>
      <c r="T12" s="250"/>
      <c r="U12" s="250"/>
      <c r="V12" s="250"/>
      <c r="W12" s="250"/>
      <c r="X12" s="250"/>
      <c r="Y12" s="257" t="s">
        <v>160</v>
      </c>
      <c r="Z12" s="257" t="s">
        <v>464</v>
      </c>
      <c r="AA12" s="257" t="s">
        <v>66</v>
      </c>
      <c r="AB12" s="257" t="s">
        <v>176</v>
      </c>
      <c r="AC12" s="257" t="s">
        <v>245</v>
      </c>
      <c r="AD12" s="250"/>
      <c r="AE12" s="250"/>
      <c r="AF12" s="250"/>
      <c r="AG12" s="250"/>
      <c r="AH12" s="250"/>
      <c r="AI12" s="257" t="s">
        <v>479</v>
      </c>
      <c r="AJ12" s="250"/>
    </row>
    <row r="13" spans="1:36" x14ac:dyDescent="0.3">
      <c r="A13" s="252" t="s">
        <v>179</v>
      </c>
      <c r="B13" s="253">
        <v>45995</v>
      </c>
      <c r="C13" s="254" t="s">
        <v>406</v>
      </c>
      <c r="D13" s="255" t="s">
        <v>462</v>
      </c>
      <c r="E13" s="254" t="s">
        <v>405</v>
      </c>
      <c r="F13" s="254" t="s">
        <v>141</v>
      </c>
      <c r="G13" s="256">
        <v>0.9274</v>
      </c>
      <c r="H13" s="257">
        <v>179</v>
      </c>
      <c r="I13" s="257">
        <v>166</v>
      </c>
      <c r="J13" s="257">
        <v>140</v>
      </c>
      <c r="K13" s="254" t="s">
        <v>142</v>
      </c>
      <c r="L13" s="258" t="s">
        <v>32</v>
      </c>
      <c r="M13" s="257">
        <v>0</v>
      </c>
      <c r="N13" s="257">
        <v>0</v>
      </c>
      <c r="O13" s="257">
        <v>13</v>
      </c>
      <c r="P13" s="254" t="s">
        <v>422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7" t="s">
        <v>161</v>
      </c>
      <c r="AA13" s="257" t="s">
        <v>229</v>
      </c>
      <c r="AB13" s="257" t="s">
        <v>176</v>
      </c>
      <c r="AC13" s="257" t="s">
        <v>245</v>
      </c>
      <c r="AD13" s="250"/>
      <c r="AE13" s="250"/>
      <c r="AF13" s="250"/>
      <c r="AG13" s="250"/>
      <c r="AH13" s="250"/>
      <c r="AI13" s="257" t="s">
        <v>481</v>
      </c>
      <c r="AJ13" s="250"/>
    </row>
    <row r="14" spans="1:36" x14ac:dyDescent="0.3">
      <c r="A14" s="252" t="s">
        <v>185</v>
      </c>
      <c r="B14" s="253">
        <v>45996</v>
      </c>
      <c r="C14" s="254" t="s">
        <v>406</v>
      </c>
      <c r="D14" s="255" t="s">
        <v>453</v>
      </c>
      <c r="E14" s="254" t="s">
        <v>405</v>
      </c>
      <c r="F14" s="254" t="s">
        <v>141</v>
      </c>
      <c r="G14" s="256">
        <v>0.55310000000000004</v>
      </c>
      <c r="H14" s="257">
        <v>179</v>
      </c>
      <c r="I14" s="257">
        <v>99</v>
      </c>
      <c r="J14" s="257">
        <v>0</v>
      </c>
      <c r="K14" s="254" t="s">
        <v>142</v>
      </c>
      <c r="L14" s="258" t="s">
        <v>37</v>
      </c>
      <c r="M14" s="257">
        <v>0</v>
      </c>
      <c r="N14" s="257">
        <v>13</v>
      </c>
      <c r="O14" s="257">
        <v>66</v>
      </c>
      <c r="P14" s="254" t="s">
        <v>155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7" t="s">
        <v>211</v>
      </c>
      <c r="AA14" s="257" t="s">
        <v>312</v>
      </c>
      <c r="AB14" s="257" t="s">
        <v>201</v>
      </c>
      <c r="AC14" s="257" t="s">
        <v>177</v>
      </c>
      <c r="AD14" s="257" t="s">
        <v>243</v>
      </c>
      <c r="AE14" s="257" t="s">
        <v>483</v>
      </c>
      <c r="AF14" s="257" t="s">
        <v>484</v>
      </c>
      <c r="AG14" s="250"/>
      <c r="AH14" s="250"/>
      <c r="AI14" s="250"/>
      <c r="AJ14" s="250"/>
    </row>
    <row r="15" spans="1:36" x14ac:dyDescent="0.3">
      <c r="A15" s="252" t="s">
        <v>205</v>
      </c>
      <c r="B15" s="253">
        <v>45997</v>
      </c>
      <c r="C15" s="254" t="s">
        <v>406</v>
      </c>
      <c r="D15" s="255" t="s">
        <v>469</v>
      </c>
      <c r="E15" s="254" t="s">
        <v>405</v>
      </c>
      <c r="F15" s="254" t="s">
        <v>141</v>
      </c>
      <c r="G15" s="256">
        <v>0.93300000000000005</v>
      </c>
      <c r="H15" s="257">
        <v>179</v>
      </c>
      <c r="I15" s="257">
        <v>167</v>
      </c>
      <c r="J15" s="257">
        <v>140</v>
      </c>
      <c r="K15" s="254" t="s">
        <v>142</v>
      </c>
      <c r="L15" s="258" t="s">
        <v>37</v>
      </c>
      <c r="M15" s="257">
        <v>0</v>
      </c>
      <c r="N15" s="257">
        <v>3</v>
      </c>
      <c r="O15" s="257">
        <v>7</v>
      </c>
      <c r="P15" s="254" t="s">
        <v>151</v>
      </c>
      <c r="Q15" s="250"/>
      <c r="R15" s="250"/>
      <c r="S15" s="250"/>
      <c r="T15" s="250"/>
      <c r="U15" s="250"/>
      <c r="V15" s="250"/>
      <c r="W15" s="250"/>
      <c r="X15" s="250"/>
      <c r="Y15" s="257" t="s">
        <v>198</v>
      </c>
      <c r="Z15" s="257" t="s">
        <v>294</v>
      </c>
      <c r="AA15" s="257" t="s">
        <v>175</v>
      </c>
      <c r="AB15" s="257" t="s">
        <v>237</v>
      </c>
      <c r="AC15" s="257" t="s">
        <v>245</v>
      </c>
      <c r="AD15" s="250"/>
      <c r="AE15" s="250"/>
      <c r="AF15" s="250"/>
      <c r="AG15" s="250"/>
      <c r="AH15" s="250"/>
      <c r="AI15" s="257" t="s">
        <v>481</v>
      </c>
      <c r="AJ15" s="250"/>
    </row>
    <row r="16" spans="1:36" x14ac:dyDescent="0.3">
      <c r="A16" s="252" t="s">
        <v>139</v>
      </c>
      <c r="B16" s="253">
        <v>45998</v>
      </c>
      <c r="C16" s="254" t="s">
        <v>406</v>
      </c>
      <c r="D16" s="255" t="s">
        <v>448</v>
      </c>
      <c r="E16" s="254" t="s">
        <v>405</v>
      </c>
      <c r="F16" s="254" t="s">
        <v>141</v>
      </c>
      <c r="G16" s="256">
        <v>0.82679999999999998</v>
      </c>
      <c r="H16" s="257">
        <v>179</v>
      </c>
      <c r="I16" s="257">
        <v>148</v>
      </c>
      <c r="J16" s="257">
        <v>135</v>
      </c>
      <c r="K16" s="254" t="s">
        <v>142</v>
      </c>
      <c r="L16" s="258" t="s">
        <v>47</v>
      </c>
      <c r="M16" s="257">
        <v>0</v>
      </c>
      <c r="N16" s="257">
        <v>0</v>
      </c>
      <c r="O16" s="257">
        <v>6</v>
      </c>
      <c r="P16" s="254" t="s">
        <v>219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7" t="s">
        <v>233</v>
      </c>
      <c r="AA16" s="257" t="s">
        <v>219</v>
      </c>
      <c r="AB16" s="257" t="s">
        <v>176</v>
      </c>
      <c r="AC16" s="257" t="s">
        <v>245</v>
      </c>
      <c r="AD16" s="250"/>
      <c r="AE16" s="250"/>
      <c r="AF16" s="250"/>
      <c r="AG16" s="250"/>
      <c r="AH16" s="250"/>
      <c r="AI16" s="257" t="s">
        <v>465</v>
      </c>
      <c r="AJ16" s="250"/>
    </row>
    <row r="17" spans="1:36" x14ac:dyDescent="0.3">
      <c r="A17" s="252" t="s">
        <v>149</v>
      </c>
      <c r="B17" s="253">
        <v>45999</v>
      </c>
      <c r="C17" s="254" t="s">
        <v>406</v>
      </c>
      <c r="D17" s="255" t="s">
        <v>453</v>
      </c>
      <c r="E17" s="254" t="s">
        <v>405</v>
      </c>
      <c r="F17" s="254" t="s">
        <v>141</v>
      </c>
      <c r="G17" s="256">
        <v>0.87150000000000005</v>
      </c>
      <c r="H17" s="257">
        <v>179</v>
      </c>
      <c r="I17" s="257">
        <v>156</v>
      </c>
      <c r="J17" s="257">
        <v>135</v>
      </c>
      <c r="K17" s="254" t="s">
        <v>142</v>
      </c>
      <c r="L17" s="258" t="s">
        <v>37</v>
      </c>
      <c r="M17" s="257">
        <v>0</v>
      </c>
      <c r="N17" s="257">
        <v>2</v>
      </c>
      <c r="O17" s="257">
        <v>7</v>
      </c>
      <c r="P17" s="254" t="s">
        <v>153</v>
      </c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7" t="s">
        <v>143</v>
      </c>
      <c r="AB17" s="257" t="s">
        <v>231</v>
      </c>
      <c r="AC17" s="257" t="s">
        <v>242</v>
      </c>
      <c r="AD17" s="250"/>
      <c r="AE17" s="250"/>
      <c r="AF17" s="250"/>
      <c r="AG17" s="250"/>
      <c r="AH17" s="250"/>
      <c r="AI17" s="257" t="s">
        <v>465</v>
      </c>
      <c r="AJ17" s="250"/>
    </row>
    <row r="18" spans="1:36" x14ac:dyDescent="0.3">
      <c r="A18" s="252" t="s">
        <v>157</v>
      </c>
      <c r="B18" s="253">
        <v>46000</v>
      </c>
      <c r="C18" s="254" t="s">
        <v>406</v>
      </c>
      <c r="D18" s="255" t="s">
        <v>455</v>
      </c>
      <c r="E18" s="254" t="s">
        <v>405</v>
      </c>
      <c r="F18" s="254" t="s">
        <v>141</v>
      </c>
      <c r="G18" s="256">
        <v>0.83240000000000003</v>
      </c>
      <c r="H18" s="257">
        <v>179</v>
      </c>
      <c r="I18" s="257">
        <v>149</v>
      </c>
      <c r="J18" s="257">
        <v>135</v>
      </c>
      <c r="K18" s="254" t="s">
        <v>142</v>
      </c>
      <c r="L18" s="258" t="s">
        <v>102</v>
      </c>
      <c r="M18" s="257">
        <v>0</v>
      </c>
      <c r="N18" s="257">
        <v>0</v>
      </c>
      <c r="O18" s="257">
        <v>7</v>
      </c>
      <c r="P18" s="254" t="s">
        <v>153</v>
      </c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7" t="s">
        <v>219</v>
      </c>
      <c r="AB18" s="257" t="s">
        <v>69</v>
      </c>
      <c r="AC18" s="257" t="s">
        <v>245</v>
      </c>
      <c r="AD18" s="250"/>
      <c r="AE18" s="250"/>
      <c r="AF18" s="250"/>
      <c r="AG18" s="250"/>
      <c r="AH18" s="250"/>
      <c r="AI18" s="257" t="s">
        <v>465</v>
      </c>
      <c r="AJ18" s="250"/>
    </row>
    <row r="19" spans="1:36" x14ac:dyDescent="0.3">
      <c r="A19" s="252" t="s">
        <v>166</v>
      </c>
      <c r="B19" s="253">
        <v>46001</v>
      </c>
      <c r="C19" s="254" t="s">
        <v>406</v>
      </c>
      <c r="D19" s="255" t="s">
        <v>459</v>
      </c>
      <c r="E19" s="254" t="s">
        <v>405</v>
      </c>
      <c r="F19" s="254" t="s">
        <v>141</v>
      </c>
      <c r="G19" s="256">
        <v>0.83240000000000003</v>
      </c>
      <c r="H19" s="257">
        <v>179</v>
      </c>
      <c r="I19" s="257">
        <v>149</v>
      </c>
      <c r="J19" s="257">
        <v>137</v>
      </c>
      <c r="K19" s="254" t="s">
        <v>142</v>
      </c>
      <c r="L19" s="258" t="s">
        <v>37</v>
      </c>
      <c r="M19" s="257">
        <v>0</v>
      </c>
      <c r="N19" s="257">
        <v>1</v>
      </c>
      <c r="O19" s="257">
        <v>2</v>
      </c>
      <c r="P19" s="254" t="s">
        <v>429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7" t="s">
        <v>226</v>
      </c>
      <c r="AA19" s="257" t="s">
        <v>312</v>
      </c>
      <c r="AB19" s="257" t="s">
        <v>176</v>
      </c>
      <c r="AC19" s="257" t="s">
        <v>245</v>
      </c>
      <c r="AD19" s="250"/>
      <c r="AE19" s="250"/>
      <c r="AF19" s="250"/>
      <c r="AG19" s="250"/>
      <c r="AH19" s="250"/>
      <c r="AI19" s="257" t="s">
        <v>485</v>
      </c>
      <c r="AJ19" s="250"/>
    </row>
    <row r="20" spans="1:36" x14ac:dyDescent="0.3">
      <c r="A20" s="252" t="s">
        <v>179</v>
      </c>
      <c r="B20" s="253">
        <v>46002</v>
      </c>
      <c r="C20" s="254" t="s">
        <v>406</v>
      </c>
      <c r="D20" s="255" t="s">
        <v>462</v>
      </c>
      <c r="E20" s="254" t="s">
        <v>405</v>
      </c>
      <c r="F20" s="254" t="s">
        <v>141</v>
      </c>
      <c r="G20" s="256">
        <v>0.84919999999999995</v>
      </c>
      <c r="H20" s="257">
        <v>179</v>
      </c>
      <c r="I20" s="257">
        <v>152</v>
      </c>
      <c r="J20" s="257">
        <v>140</v>
      </c>
      <c r="K20" s="254" t="s">
        <v>142</v>
      </c>
      <c r="L20" s="258" t="s">
        <v>82</v>
      </c>
      <c r="M20" s="257">
        <v>0</v>
      </c>
      <c r="N20" s="257">
        <v>0</v>
      </c>
      <c r="O20" s="257">
        <v>4</v>
      </c>
      <c r="P20" s="254" t="s">
        <v>66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7" t="s">
        <v>226</v>
      </c>
      <c r="AA20" s="257" t="s">
        <v>312</v>
      </c>
      <c r="AB20" s="257" t="s">
        <v>176</v>
      </c>
      <c r="AC20" s="257" t="s">
        <v>245</v>
      </c>
      <c r="AD20" s="250"/>
      <c r="AE20" s="250"/>
      <c r="AF20" s="250"/>
      <c r="AG20" s="250"/>
      <c r="AH20" s="250"/>
      <c r="AI20" s="257" t="s">
        <v>481</v>
      </c>
      <c r="AJ20" s="250"/>
    </row>
    <row r="21" spans="1:36" x14ac:dyDescent="0.3">
      <c r="A21" s="252" t="s">
        <v>185</v>
      </c>
      <c r="B21" s="253">
        <v>46003</v>
      </c>
      <c r="C21" s="254" t="s">
        <v>406</v>
      </c>
      <c r="D21" s="255" t="s">
        <v>453</v>
      </c>
      <c r="E21" s="254" t="s">
        <v>405</v>
      </c>
      <c r="F21" s="254" t="s">
        <v>141</v>
      </c>
      <c r="G21" s="256">
        <v>0.4637</v>
      </c>
      <c r="H21" s="257">
        <v>179</v>
      </c>
      <c r="I21" s="257">
        <v>83</v>
      </c>
      <c r="J21" s="257">
        <v>45</v>
      </c>
      <c r="K21" s="254" t="s">
        <v>142</v>
      </c>
      <c r="L21" s="258" t="s">
        <v>37</v>
      </c>
      <c r="M21" s="257">
        <v>0</v>
      </c>
      <c r="N21" s="257">
        <v>2</v>
      </c>
      <c r="O21" s="257">
        <v>29</v>
      </c>
      <c r="P21" s="254" t="s">
        <v>254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7" t="s">
        <v>233</v>
      </c>
      <c r="AA21" s="257" t="s">
        <v>229</v>
      </c>
      <c r="AB21" s="257" t="s">
        <v>213</v>
      </c>
      <c r="AC21" s="257" t="s">
        <v>202</v>
      </c>
      <c r="AD21" s="257" t="s">
        <v>86</v>
      </c>
      <c r="AE21" s="257" t="s">
        <v>486</v>
      </c>
      <c r="AF21" s="250"/>
      <c r="AG21" s="250"/>
      <c r="AH21" s="250"/>
      <c r="AI21" s="257" t="s">
        <v>475</v>
      </c>
      <c r="AJ21" s="250"/>
    </row>
    <row r="22" spans="1:36" x14ac:dyDescent="0.3">
      <c r="A22" s="252" t="s">
        <v>205</v>
      </c>
      <c r="B22" s="253">
        <v>46004</v>
      </c>
      <c r="C22" s="254" t="s">
        <v>406</v>
      </c>
      <c r="D22" s="255" t="s">
        <v>469</v>
      </c>
      <c r="E22" s="254" t="s">
        <v>405</v>
      </c>
      <c r="F22" s="254" t="s">
        <v>141</v>
      </c>
      <c r="G22" s="256">
        <v>0.88270000000000004</v>
      </c>
      <c r="H22" s="257">
        <v>179</v>
      </c>
      <c r="I22" s="257">
        <v>158</v>
      </c>
      <c r="J22" s="257">
        <v>135</v>
      </c>
      <c r="K22" s="254" t="s">
        <v>142</v>
      </c>
      <c r="L22" s="258" t="s">
        <v>102</v>
      </c>
      <c r="M22" s="257">
        <v>0</v>
      </c>
      <c r="N22" s="257">
        <v>0</v>
      </c>
      <c r="O22" s="257">
        <v>9</v>
      </c>
      <c r="P22" s="254" t="s">
        <v>56</v>
      </c>
      <c r="Q22" s="250"/>
      <c r="R22" s="250"/>
      <c r="S22" s="250"/>
      <c r="T22" s="250"/>
      <c r="U22" s="250"/>
      <c r="V22" s="250"/>
      <c r="W22" s="250"/>
      <c r="X22" s="250"/>
      <c r="Y22" s="250"/>
      <c r="Z22" s="257" t="s">
        <v>317</v>
      </c>
      <c r="AA22" s="257" t="s">
        <v>229</v>
      </c>
      <c r="AB22" s="257" t="s">
        <v>176</v>
      </c>
      <c r="AC22" s="257" t="s">
        <v>202</v>
      </c>
      <c r="AD22" s="250"/>
      <c r="AE22" s="250"/>
      <c r="AF22" s="250"/>
      <c r="AG22" s="250"/>
      <c r="AH22" s="250"/>
      <c r="AI22" s="257" t="s">
        <v>465</v>
      </c>
      <c r="AJ22" s="250"/>
    </row>
    <row r="23" spans="1:36" x14ac:dyDescent="0.3">
      <c r="A23" s="252" t="s">
        <v>139</v>
      </c>
      <c r="B23" s="253">
        <v>46005</v>
      </c>
      <c r="C23" s="254" t="s">
        <v>406</v>
      </c>
      <c r="D23" s="255" t="s">
        <v>448</v>
      </c>
      <c r="E23" s="254" t="s">
        <v>405</v>
      </c>
      <c r="F23" s="254" t="s">
        <v>141</v>
      </c>
      <c r="G23" s="256">
        <v>0.96089999999999998</v>
      </c>
      <c r="H23" s="257">
        <v>179</v>
      </c>
      <c r="I23" s="257">
        <v>172</v>
      </c>
      <c r="J23" s="257">
        <v>146</v>
      </c>
      <c r="K23" s="254" t="s">
        <v>142</v>
      </c>
      <c r="L23" s="258" t="s">
        <v>37</v>
      </c>
      <c r="M23" s="257">
        <v>0</v>
      </c>
      <c r="N23" s="257">
        <v>2</v>
      </c>
      <c r="O23" s="257">
        <v>13</v>
      </c>
      <c r="P23" s="254" t="s">
        <v>226</v>
      </c>
      <c r="Q23" s="250"/>
      <c r="R23" s="250"/>
      <c r="S23" s="250"/>
      <c r="T23" s="250"/>
      <c r="U23" s="250"/>
      <c r="V23" s="250"/>
      <c r="W23" s="250"/>
      <c r="X23" s="250"/>
      <c r="Y23" s="257" t="s">
        <v>40</v>
      </c>
      <c r="Z23" s="257" t="s">
        <v>315</v>
      </c>
      <c r="AA23" s="257" t="s">
        <v>229</v>
      </c>
      <c r="AB23" s="257" t="s">
        <v>176</v>
      </c>
      <c r="AC23" s="257" t="s">
        <v>245</v>
      </c>
      <c r="AD23" s="250"/>
      <c r="AE23" s="250"/>
      <c r="AF23" s="250"/>
      <c r="AG23" s="257" t="s">
        <v>487</v>
      </c>
      <c r="AH23" s="250"/>
      <c r="AI23" s="257" t="s">
        <v>479</v>
      </c>
      <c r="AJ23" s="250"/>
    </row>
    <row r="24" spans="1:36" x14ac:dyDescent="0.3">
      <c r="A24" s="252" t="s">
        <v>149</v>
      </c>
      <c r="B24" s="253">
        <v>46006</v>
      </c>
      <c r="C24" s="254" t="s">
        <v>406</v>
      </c>
      <c r="D24" s="255" t="s">
        <v>453</v>
      </c>
      <c r="E24" s="254" t="s">
        <v>405</v>
      </c>
      <c r="F24" s="254" t="s">
        <v>141</v>
      </c>
      <c r="G24" s="256">
        <v>0.84919999999999995</v>
      </c>
      <c r="H24" s="257">
        <v>179</v>
      </c>
      <c r="I24" s="257">
        <v>152</v>
      </c>
      <c r="J24" s="257">
        <v>135</v>
      </c>
      <c r="K24" s="254" t="s">
        <v>142</v>
      </c>
      <c r="L24" s="258" t="s">
        <v>37</v>
      </c>
      <c r="M24" s="257">
        <v>0</v>
      </c>
      <c r="N24" s="257">
        <v>1</v>
      </c>
      <c r="O24" s="257">
        <v>2</v>
      </c>
      <c r="P24" s="254" t="s">
        <v>429</v>
      </c>
      <c r="Q24" s="250"/>
      <c r="R24" s="250"/>
      <c r="S24" s="250"/>
      <c r="T24" s="250"/>
      <c r="U24" s="250"/>
      <c r="V24" s="250"/>
      <c r="W24" s="250"/>
      <c r="X24" s="250"/>
      <c r="Y24" s="257" t="s">
        <v>40</v>
      </c>
      <c r="Z24" s="257" t="s">
        <v>294</v>
      </c>
      <c r="AA24" s="257" t="s">
        <v>229</v>
      </c>
      <c r="AB24" s="257" t="s">
        <v>213</v>
      </c>
      <c r="AC24" s="257" t="s">
        <v>245</v>
      </c>
      <c r="AD24" s="250"/>
      <c r="AE24" s="250"/>
      <c r="AF24" s="250"/>
      <c r="AG24" s="250"/>
      <c r="AH24" s="250"/>
      <c r="AI24" s="257" t="s">
        <v>465</v>
      </c>
      <c r="AJ24" s="250"/>
    </row>
    <row r="25" spans="1:36" x14ac:dyDescent="0.3">
      <c r="A25" s="252" t="s">
        <v>157</v>
      </c>
      <c r="B25" s="253">
        <v>46007</v>
      </c>
      <c r="C25" s="254" t="s">
        <v>406</v>
      </c>
      <c r="D25" s="255" t="s">
        <v>455</v>
      </c>
      <c r="E25" s="254" t="s">
        <v>405</v>
      </c>
      <c r="F25" s="254" t="s">
        <v>141</v>
      </c>
      <c r="G25" s="256">
        <v>0.84360000000000002</v>
      </c>
      <c r="H25" s="257">
        <v>179</v>
      </c>
      <c r="I25" s="257">
        <v>151</v>
      </c>
      <c r="J25" s="257">
        <v>135</v>
      </c>
      <c r="K25" s="254" t="s">
        <v>142</v>
      </c>
      <c r="L25" s="258" t="s">
        <v>37</v>
      </c>
      <c r="M25" s="257">
        <v>0</v>
      </c>
      <c r="N25" s="257">
        <v>3</v>
      </c>
      <c r="O25" s="257">
        <v>9</v>
      </c>
      <c r="P25" s="254" t="s">
        <v>237</v>
      </c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7" t="s">
        <v>219</v>
      </c>
      <c r="AB25" s="257" t="s">
        <v>304</v>
      </c>
      <c r="AC25" s="257" t="s">
        <v>245</v>
      </c>
      <c r="AD25" s="250"/>
      <c r="AE25" s="250"/>
      <c r="AF25" s="250"/>
      <c r="AG25" s="250"/>
      <c r="AH25" s="250"/>
      <c r="AI25" s="257" t="s">
        <v>465</v>
      </c>
      <c r="AJ25" s="250"/>
    </row>
    <row r="26" spans="1:36" x14ac:dyDescent="0.3">
      <c r="A26" s="252" t="s">
        <v>166</v>
      </c>
      <c r="B26" s="253">
        <v>46008</v>
      </c>
      <c r="C26" s="254" t="s">
        <v>406</v>
      </c>
      <c r="D26" s="255" t="s">
        <v>459</v>
      </c>
      <c r="E26" s="254" t="s">
        <v>405</v>
      </c>
      <c r="F26" s="254" t="s">
        <v>141</v>
      </c>
      <c r="G26" s="256">
        <v>0.83240000000000003</v>
      </c>
      <c r="H26" s="257">
        <v>179</v>
      </c>
      <c r="I26" s="257">
        <v>149</v>
      </c>
      <c r="J26" s="257">
        <v>135</v>
      </c>
      <c r="K26" s="254" t="s">
        <v>142</v>
      </c>
      <c r="L26" s="258" t="s">
        <v>102</v>
      </c>
      <c r="M26" s="257">
        <v>0</v>
      </c>
      <c r="N26" s="257">
        <v>0</v>
      </c>
      <c r="O26" s="257">
        <v>5</v>
      </c>
      <c r="P26" s="254" t="s">
        <v>175</v>
      </c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7" t="s">
        <v>66</v>
      </c>
      <c r="AB26" s="257" t="s">
        <v>176</v>
      </c>
      <c r="AC26" s="257" t="s">
        <v>245</v>
      </c>
      <c r="AD26" s="250"/>
      <c r="AE26" s="250"/>
      <c r="AF26" s="250"/>
      <c r="AG26" s="250"/>
      <c r="AH26" s="250"/>
      <c r="AI26" s="257" t="s">
        <v>465</v>
      </c>
      <c r="AJ26" s="250"/>
    </row>
    <row r="27" spans="1:36" x14ac:dyDescent="0.3">
      <c r="A27" s="252" t="s">
        <v>179</v>
      </c>
      <c r="B27" s="253">
        <v>46009</v>
      </c>
      <c r="C27" s="254" t="s">
        <v>406</v>
      </c>
      <c r="D27" s="255" t="s">
        <v>462</v>
      </c>
      <c r="E27" s="254" t="s">
        <v>405</v>
      </c>
      <c r="F27" s="254" t="s">
        <v>141</v>
      </c>
      <c r="G27" s="256">
        <v>0.83799999999999997</v>
      </c>
      <c r="H27" s="257">
        <v>179</v>
      </c>
      <c r="I27" s="257">
        <v>150</v>
      </c>
      <c r="J27" s="257">
        <v>140</v>
      </c>
      <c r="K27" s="254" t="s">
        <v>142</v>
      </c>
      <c r="L27" s="258" t="s">
        <v>37</v>
      </c>
      <c r="M27" s="257">
        <v>0</v>
      </c>
      <c r="N27" s="257">
        <v>1</v>
      </c>
      <c r="O27" s="257">
        <v>5</v>
      </c>
      <c r="P27" s="254" t="s">
        <v>64</v>
      </c>
      <c r="Q27" s="250"/>
      <c r="R27" s="250"/>
      <c r="S27" s="250"/>
      <c r="T27" s="250"/>
      <c r="U27" s="250"/>
      <c r="V27" s="250"/>
      <c r="W27" s="250"/>
      <c r="X27" s="250"/>
      <c r="Y27" s="250"/>
      <c r="Z27" s="257" t="s">
        <v>226</v>
      </c>
      <c r="AA27" s="250"/>
      <c r="AB27" s="257" t="s">
        <v>69</v>
      </c>
      <c r="AC27" s="257" t="s">
        <v>245</v>
      </c>
      <c r="AD27" s="250"/>
      <c r="AE27" s="250"/>
      <c r="AF27" s="250"/>
      <c r="AG27" s="250"/>
      <c r="AH27" s="250"/>
      <c r="AI27" s="257" t="s">
        <v>481</v>
      </c>
      <c r="AJ27" s="250"/>
    </row>
    <row r="28" spans="1:36" x14ac:dyDescent="0.3">
      <c r="A28" s="252" t="s">
        <v>185</v>
      </c>
      <c r="B28" s="253">
        <v>46010</v>
      </c>
      <c r="C28" s="254" t="s">
        <v>406</v>
      </c>
      <c r="D28" s="255" t="s">
        <v>453</v>
      </c>
      <c r="E28" s="254" t="s">
        <v>405</v>
      </c>
      <c r="F28" s="254" t="s">
        <v>141</v>
      </c>
      <c r="G28" s="256">
        <v>1.0335000000000001</v>
      </c>
      <c r="H28" s="257">
        <v>179</v>
      </c>
      <c r="I28" s="257">
        <v>185</v>
      </c>
      <c r="J28" s="257">
        <v>180</v>
      </c>
      <c r="K28" s="254" t="s">
        <v>142</v>
      </c>
      <c r="L28" s="258" t="s">
        <v>344</v>
      </c>
      <c r="M28" s="257">
        <v>0</v>
      </c>
      <c r="N28" s="257">
        <v>0</v>
      </c>
      <c r="O28" s="257">
        <v>0</v>
      </c>
      <c r="P28" s="254" t="s">
        <v>33</v>
      </c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7" t="s">
        <v>213</v>
      </c>
      <c r="AC28" s="257" t="s">
        <v>245</v>
      </c>
      <c r="AD28" s="250"/>
      <c r="AE28" s="250"/>
      <c r="AF28" s="250"/>
      <c r="AG28" s="250"/>
      <c r="AH28" s="250"/>
      <c r="AI28" s="257" t="s">
        <v>488</v>
      </c>
      <c r="AJ28" s="250"/>
    </row>
    <row r="29" spans="1:36" x14ac:dyDescent="0.3">
      <c r="A29" s="252" t="s">
        <v>205</v>
      </c>
      <c r="B29" s="253">
        <v>46011</v>
      </c>
      <c r="C29" s="254" t="s">
        <v>406</v>
      </c>
      <c r="D29" s="255" t="s">
        <v>469</v>
      </c>
      <c r="E29" s="254" t="s">
        <v>405</v>
      </c>
      <c r="F29" s="254" t="s">
        <v>141</v>
      </c>
      <c r="G29" s="256">
        <v>0.81010000000000004</v>
      </c>
      <c r="H29" s="257">
        <v>179</v>
      </c>
      <c r="I29" s="257">
        <v>145</v>
      </c>
      <c r="J29" s="257">
        <v>137</v>
      </c>
      <c r="K29" s="254" t="s">
        <v>142</v>
      </c>
      <c r="L29" s="258" t="s">
        <v>90</v>
      </c>
      <c r="M29" s="257">
        <v>0</v>
      </c>
      <c r="N29" s="257">
        <v>0</v>
      </c>
      <c r="O29" s="257">
        <v>1</v>
      </c>
      <c r="P29" s="254" t="s">
        <v>153</v>
      </c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7" t="s">
        <v>325</v>
      </c>
      <c r="AB29" s="257" t="s">
        <v>176</v>
      </c>
      <c r="AC29" s="257" t="s">
        <v>245</v>
      </c>
      <c r="AD29" s="250"/>
      <c r="AE29" s="250"/>
      <c r="AF29" s="250"/>
      <c r="AG29" s="250"/>
      <c r="AH29" s="250"/>
      <c r="AI29" s="257" t="s">
        <v>485</v>
      </c>
      <c r="AJ29" s="250"/>
    </row>
    <row r="30" spans="1:36" x14ac:dyDescent="0.3">
      <c r="A30" s="252" t="s">
        <v>139</v>
      </c>
      <c r="B30" s="253">
        <v>46012</v>
      </c>
      <c r="C30" s="254" t="s">
        <v>406</v>
      </c>
      <c r="D30" s="255" t="s">
        <v>448</v>
      </c>
      <c r="E30" s="254" t="s">
        <v>405</v>
      </c>
      <c r="F30" s="254" t="s">
        <v>141</v>
      </c>
      <c r="G30" s="256">
        <v>0.83799999999999997</v>
      </c>
      <c r="H30" s="257">
        <v>179</v>
      </c>
      <c r="I30" s="257">
        <v>150</v>
      </c>
      <c r="J30" s="257">
        <v>135</v>
      </c>
      <c r="K30" s="254" t="s">
        <v>142</v>
      </c>
      <c r="L30" s="258" t="s">
        <v>37</v>
      </c>
      <c r="M30" s="257">
        <v>0</v>
      </c>
      <c r="N30" s="257">
        <v>2</v>
      </c>
      <c r="O30" s="257">
        <v>5</v>
      </c>
      <c r="P30" s="254" t="s">
        <v>429</v>
      </c>
      <c r="Q30" s="250"/>
      <c r="R30" s="250"/>
      <c r="S30" s="250"/>
      <c r="T30" s="250"/>
      <c r="U30" s="250"/>
      <c r="V30" s="250"/>
      <c r="W30" s="250"/>
      <c r="X30" s="250"/>
      <c r="Y30" s="250"/>
      <c r="Z30" s="257" t="s">
        <v>211</v>
      </c>
      <c r="AA30" s="257" t="s">
        <v>229</v>
      </c>
      <c r="AB30" s="257" t="s">
        <v>176</v>
      </c>
      <c r="AC30" s="257" t="s">
        <v>245</v>
      </c>
      <c r="AD30" s="250"/>
      <c r="AE30" s="250"/>
      <c r="AF30" s="250"/>
      <c r="AG30" s="250"/>
      <c r="AH30" s="250"/>
      <c r="AI30" s="257" t="s">
        <v>465</v>
      </c>
      <c r="AJ30" s="250"/>
    </row>
    <row r="31" spans="1:36" x14ac:dyDescent="0.3">
      <c r="A31" s="252" t="s">
        <v>149</v>
      </c>
      <c r="B31" s="253">
        <v>46013</v>
      </c>
      <c r="C31" s="254" t="s">
        <v>406</v>
      </c>
      <c r="D31" s="255" t="s">
        <v>453</v>
      </c>
      <c r="E31" s="254" t="s">
        <v>405</v>
      </c>
      <c r="F31" s="254" t="s">
        <v>141</v>
      </c>
      <c r="G31" s="256">
        <v>0.80449999999999999</v>
      </c>
      <c r="H31" s="257">
        <v>179</v>
      </c>
      <c r="I31" s="257">
        <v>144</v>
      </c>
      <c r="J31" s="257">
        <v>136</v>
      </c>
      <c r="K31" s="254" t="s">
        <v>142</v>
      </c>
      <c r="L31" s="258" t="s">
        <v>82</v>
      </c>
      <c r="M31" s="257">
        <v>0</v>
      </c>
      <c r="N31" s="257">
        <v>0</v>
      </c>
      <c r="O31" s="257">
        <v>6</v>
      </c>
      <c r="P31" s="254" t="s">
        <v>64</v>
      </c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7" t="s">
        <v>69</v>
      </c>
      <c r="AC31" s="257" t="s">
        <v>245</v>
      </c>
      <c r="AD31" s="250"/>
      <c r="AE31" s="250"/>
      <c r="AF31" s="250"/>
      <c r="AG31" s="250"/>
      <c r="AH31" s="250"/>
      <c r="AI31" s="257" t="s">
        <v>489</v>
      </c>
      <c r="AJ31" s="250"/>
    </row>
    <row r="32" spans="1:36" x14ac:dyDescent="0.3">
      <c r="A32" s="252" t="s">
        <v>157</v>
      </c>
      <c r="B32" s="253">
        <v>46014</v>
      </c>
      <c r="C32" s="254" t="s">
        <v>406</v>
      </c>
      <c r="D32" s="255" t="s">
        <v>455</v>
      </c>
      <c r="E32" s="254" t="s">
        <v>405</v>
      </c>
      <c r="F32" s="254" t="s">
        <v>141</v>
      </c>
      <c r="G32" s="256">
        <v>0.78769999999999996</v>
      </c>
      <c r="H32" s="257">
        <v>179</v>
      </c>
      <c r="I32" s="257">
        <v>141</v>
      </c>
      <c r="J32" s="257">
        <v>135</v>
      </c>
      <c r="K32" s="254" t="s">
        <v>142</v>
      </c>
      <c r="L32" s="258" t="s">
        <v>90</v>
      </c>
      <c r="M32" s="257">
        <v>0</v>
      </c>
      <c r="N32" s="257">
        <v>0</v>
      </c>
      <c r="O32" s="257">
        <v>1</v>
      </c>
      <c r="P32" s="254" t="s">
        <v>62</v>
      </c>
      <c r="Q32" s="250"/>
      <c r="R32" s="250"/>
      <c r="S32" s="250"/>
      <c r="T32" s="250"/>
      <c r="U32" s="250"/>
      <c r="V32" s="250"/>
      <c r="W32" s="250"/>
      <c r="X32" s="250"/>
      <c r="Y32" s="250"/>
      <c r="Z32" s="257" t="s">
        <v>226</v>
      </c>
      <c r="AA32" s="250"/>
      <c r="AB32" s="257" t="s">
        <v>237</v>
      </c>
      <c r="AC32" s="257" t="s">
        <v>245</v>
      </c>
      <c r="AD32" s="250"/>
      <c r="AE32" s="250"/>
      <c r="AF32" s="250"/>
      <c r="AG32" s="250"/>
      <c r="AH32" s="250"/>
      <c r="AI32" s="257" t="s">
        <v>465</v>
      </c>
      <c r="AJ32" s="250"/>
    </row>
    <row r="33" spans="1:36" x14ac:dyDescent="0.3">
      <c r="A33" s="252" t="s">
        <v>166</v>
      </c>
      <c r="B33" s="253">
        <v>46015</v>
      </c>
      <c r="C33" s="254" t="s">
        <v>406</v>
      </c>
      <c r="D33" s="255" t="s">
        <v>459</v>
      </c>
      <c r="E33" s="254" t="s">
        <v>405</v>
      </c>
      <c r="F33" s="254" t="s">
        <v>141</v>
      </c>
      <c r="G33" s="256">
        <v>0.78210000000000002</v>
      </c>
      <c r="H33" s="257">
        <v>179</v>
      </c>
      <c r="I33" s="257">
        <v>140</v>
      </c>
      <c r="J33" s="257">
        <v>135</v>
      </c>
      <c r="K33" s="254" t="s">
        <v>142</v>
      </c>
      <c r="L33" s="258" t="s">
        <v>37</v>
      </c>
      <c r="M33" s="257">
        <v>0</v>
      </c>
      <c r="N33" s="257">
        <v>1</v>
      </c>
      <c r="O33" s="257">
        <v>1</v>
      </c>
      <c r="P33" s="254" t="s">
        <v>62</v>
      </c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7" t="s">
        <v>213</v>
      </c>
      <c r="AC33" s="257" t="s">
        <v>245</v>
      </c>
      <c r="AD33" s="250"/>
      <c r="AE33" s="250"/>
      <c r="AF33" s="250"/>
      <c r="AG33" s="250"/>
      <c r="AH33" s="250"/>
      <c r="AI33" s="257" t="s">
        <v>465</v>
      </c>
      <c r="AJ33" s="250"/>
    </row>
    <row r="34" spans="1:36" x14ac:dyDescent="0.3">
      <c r="A34" s="252" t="s">
        <v>179</v>
      </c>
      <c r="B34" s="253">
        <v>46016</v>
      </c>
      <c r="C34" s="254" t="s">
        <v>406</v>
      </c>
      <c r="D34" s="255" t="s">
        <v>462</v>
      </c>
      <c r="E34" s="254" t="s">
        <v>405</v>
      </c>
      <c r="F34" s="254" t="s">
        <v>141</v>
      </c>
      <c r="G34" s="256">
        <v>0.81010000000000004</v>
      </c>
      <c r="H34" s="257">
        <v>179</v>
      </c>
      <c r="I34" s="257">
        <v>145</v>
      </c>
      <c r="J34" s="257">
        <v>135</v>
      </c>
      <c r="K34" s="254" t="s">
        <v>142</v>
      </c>
      <c r="L34" s="258" t="s">
        <v>445</v>
      </c>
      <c r="M34" s="257">
        <v>0</v>
      </c>
      <c r="N34" s="257">
        <v>0</v>
      </c>
      <c r="O34" s="257">
        <v>0</v>
      </c>
      <c r="P34" s="254" t="s">
        <v>153</v>
      </c>
      <c r="Q34" s="250"/>
      <c r="R34" s="250"/>
      <c r="S34" s="250"/>
      <c r="T34" s="250"/>
      <c r="U34" s="250"/>
      <c r="V34" s="250"/>
      <c r="W34" s="250"/>
      <c r="X34" s="250"/>
      <c r="Y34" s="250"/>
      <c r="Z34" s="257" t="s">
        <v>226</v>
      </c>
      <c r="AA34" s="257" t="s">
        <v>325</v>
      </c>
      <c r="AB34" s="257" t="s">
        <v>176</v>
      </c>
      <c r="AC34" s="257" t="s">
        <v>245</v>
      </c>
      <c r="AD34" s="250"/>
      <c r="AE34" s="250"/>
      <c r="AF34" s="250"/>
      <c r="AG34" s="250"/>
      <c r="AH34" s="250"/>
      <c r="AI34" s="257" t="s">
        <v>465</v>
      </c>
      <c r="AJ34" s="250"/>
    </row>
    <row r="35" spans="1:36" x14ac:dyDescent="0.3">
      <c r="A35" s="252" t="s">
        <v>185</v>
      </c>
      <c r="B35" s="253">
        <v>46017</v>
      </c>
      <c r="C35" s="254" t="s">
        <v>406</v>
      </c>
      <c r="D35" s="255" t="s">
        <v>453</v>
      </c>
      <c r="E35" s="254" t="s">
        <v>405</v>
      </c>
      <c r="F35" s="254" t="s">
        <v>141</v>
      </c>
      <c r="G35" s="256">
        <v>0.78769999999999996</v>
      </c>
      <c r="H35" s="257">
        <v>179</v>
      </c>
      <c r="I35" s="257">
        <v>141</v>
      </c>
      <c r="J35" s="257">
        <v>135</v>
      </c>
      <c r="K35" s="254" t="s">
        <v>142</v>
      </c>
      <c r="L35" s="258" t="s">
        <v>102</v>
      </c>
      <c r="M35" s="257">
        <v>0</v>
      </c>
      <c r="N35" s="257">
        <v>0</v>
      </c>
      <c r="O35" s="257">
        <v>2</v>
      </c>
      <c r="P35" s="254" t="s">
        <v>62</v>
      </c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7" t="s">
        <v>143</v>
      </c>
      <c r="AB35" s="257" t="s">
        <v>213</v>
      </c>
      <c r="AC35" s="257" t="s">
        <v>245</v>
      </c>
      <c r="AD35" s="250"/>
      <c r="AE35" s="250"/>
      <c r="AF35" s="250"/>
      <c r="AG35" s="250"/>
      <c r="AH35" s="250"/>
      <c r="AI35" s="257" t="s">
        <v>465</v>
      </c>
      <c r="AJ35" s="250"/>
    </row>
    <row r="36" spans="1:36" ht="21" x14ac:dyDescent="0.3">
      <c r="A36" s="259" t="s">
        <v>900</v>
      </c>
      <c r="B36" s="260"/>
      <c r="C36" s="259">
        <f>SUBTOTAL(103,CAI_YNB_LF_LEGACY[Flt])</f>
        <v>34</v>
      </c>
      <c r="D36" s="259"/>
      <c r="E36" s="259">
        <f>SUBTOTAL(103,CAI_YNB_LF_LEGACY[Brd-Off])</f>
        <v>34</v>
      </c>
      <c r="F36" s="259"/>
      <c r="G36" s="261">
        <f>SUBTOTAL(101,CAI_YNB_LF_LEGACY[LF%])</f>
        <v>0.86872352941176456</v>
      </c>
      <c r="H36" s="262">
        <f>SUBTOTAL(109,CAI_YNB_LF_LEGACY[CAP])</f>
        <v>6086</v>
      </c>
      <c r="I36" s="262">
        <f>SUBTOTAL(109,CAI_YNB_LF_LEGACY[BKG(Y)])</f>
        <v>5287</v>
      </c>
      <c r="J36" s="262">
        <f>SUBTOTAL(109,CAI_YNB_LF_LEGACY[GRP(Y)])</f>
        <v>4149</v>
      </c>
      <c r="K36" s="259"/>
      <c r="L36" s="260"/>
      <c r="M36" s="262">
        <f>SUBTOTAL(109,CAI_YNB_LF_LEGACY[TO-DAY])</f>
        <v>0</v>
      </c>
      <c r="N36" s="262">
        <f>SUBTOTAL(109,CAI_YNB_LF_LEGACY[Y-DAY])</f>
        <v>37</v>
      </c>
      <c r="O36" s="262">
        <f>SUBTOTAL(109,CAI_YNB_LF_LEGACY[WEEKLY])</f>
        <v>349</v>
      </c>
      <c r="P36" s="263"/>
      <c r="Q36" s="262">
        <f>SUBTOTAL(109,CAI_YNB_LF_LEGACY[Y])</f>
        <v>0</v>
      </c>
      <c r="R36" s="262">
        <f>SUBTOTAL(109,CAI_YNB_LF_LEGACY[B])</f>
        <v>0</v>
      </c>
      <c r="S36" s="262">
        <f>SUBTOTAL(109,CAI_YNB_LF_LEGACY[M])</f>
        <v>0</v>
      </c>
      <c r="T36" s="262">
        <f>SUBTOTAL(109,CAI_YNB_LF_LEGACY[H])</f>
        <v>0</v>
      </c>
      <c r="U36" s="262">
        <f>SUBTOTAL(109,CAI_YNB_LF_LEGACY[Q])</f>
        <v>0</v>
      </c>
      <c r="V36" s="262">
        <f>SUBTOTAL(109,CAI_YNB_LF_LEGACY[K])</f>
        <v>0</v>
      </c>
      <c r="W36" s="262">
        <f>SUBTOTAL(109,CAI_YNB_LF_LEGACY[V])</f>
        <v>0</v>
      </c>
      <c r="X36" s="262">
        <f>SUBTOTAL(109,CAI_YNB_LF_LEGACY[L])</f>
        <v>0</v>
      </c>
      <c r="Y36" s="262">
        <f>SUBTOTAL(109,CAI_YNB_LF_LEGACY[G])</f>
        <v>0</v>
      </c>
      <c r="Z36" s="262">
        <f>SUBTOTAL(109,CAI_YNB_LF_LEGACY[S])</f>
        <v>0</v>
      </c>
      <c r="AA36" s="262">
        <f>SUBTOTAL(109,CAI_YNB_LF_LEGACY[W])</f>
        <v>0</v>
      </c>
      <c r="AB36" s="262">
        <f>SUBTOTAL(109,CAI_YNB_LF_LEGACY[T])</f>
        <v>0</v>
      </c>
      <c r="AC36" s="262">
        <f>SUBTOTAL(109,CAI_YNB_LF_LEGACY[X])</f>
        <v>0</v>
      </c>
      <c r="AD36" s="262">
        <f>SUBTOTAL(109,CAI_YNB_LF_LEGACY[U])</f>
        <v>0</v>
      </c>
      <c r="AE36" s="262">
        <f>SUBTOTAL(109,CAI_YNB_LF_LEGACY[O])</f>
        <v>0</v>
      </c>
      <c r="AF36" s="262">
        <f>SUBTOTAL(109,CAI_YNB_LF_LEGACY[I])</f>
        <v>0</v>
      </c>
      <c r="AG36" s="262">
        <f>SUBTOTAL(109,CAI_YNB_LF_LEGACY[E])</f>
        <v>0</v>
      </c>
      <c r="AH36" s="262">
        <f>SUBTOTAL(109,CAI_YNB_LF_LEGACY[A])</f>
        <v>0</v>
      </c>
      <c r="AI36" s="262">
        <f>SUBTOTAL(109,CAI_YNB_LF_LEGACY[P])</f>
        <v>0</v>
      </c>
      <c r="AJ36" s="262">
        <f>SUBTOTAL(103,CAI_YNB_LF_LEGACY[N])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6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53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97.4414062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490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45984.228713320837</v>
      </c>
      <c r="H2" s="235"/>
      <c r="I2" s="235"/>
      <c r="J2" s="235"/>
      <c r="K2" s="245">
        <v>45984.228713321529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45987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36" t="s">
        <v>28</v>
      </c>
      <c r="B6" s="36" t="s">
        <v>491</v>
      </c>
      <c r="C6" s="37">
        <v>0.84375</v>
      </c>
      <c r="D6" s="36" t="s">
        <v>30</v>
      </c>
      <c r="E6" s="38"/>
      <c r="F6" s="36" t="s">
        <v>31</v>
      </c>
      <c r="G6" s="237"/>
      <c r="H6" s="112" t="s">
        <v>491</v>
      </c>
      <c r="I6" s="150">
        <v>1</v>
      </c>
      <c r="J6" s="114">
        <v>179</v>
      </c>
      <c r="K6" s="115" t="s">
        <v>75</v>
      </c>
      <c r="L6" s="114">
        <v>44</v>
      </c>
      <c r="M6" s="114">
        <v>8</v>
      </c>
      <c r="N6" s="114">
        <v>4</v>
      </c>
      <c r="O6" s="116" t="s">
        <v>33</v>
      </c>
      <c r="P6" s="117">
        <v>0.84375</v>
      </c>
      <c r="Q6" s="114">
        <v>179</v>
      </c>
      <c r="R6" s="118" t="s">
        <v>492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45988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80" t="s">
        <v>28</v>
      </c>
      <c r="B10" s="80" t="s">
        <v>493</v>
      </c>
      <c r="C10" s="81">
        <v>0.80208333333333337</v>
      </c>
      <c r="D10" s="80" t="s">
        <v>30</v>
      </c>
      <c r="E10" s="82"/>
      <c r="F10" s="80" t="s">
        <v>31</v>
      </c>
      <c r="G10" s="232"/>
      <c r="H10" s="100" t="s">
        <v>493</v>
      </c>
      <c r="I10" s="148">
        <v>1</v>
      </c>
      <c r="J10" s="102">
        <v>179</v>
      </c>
      <c r="K10" s="103" t="s">
        <v>75</v>
      </c>
      <c r="L10" s="102">
        <v>53</v>
      </c>
      <c r="M10" s="102">
        <v>43</v>
      </c>
      <c r="N10" s="102">
        <v>3</v>
      </c>
      <c r="O10" s="104" t="s">
        <v>33</v>
      </c>
      <c r="P10" s="105">
        <v>0.80208333333333337</v>
      </c>
      <c r="Q10" s="102">
        <v>179</v>
      </c>
      <c r="R10" s="106" t="s">
        <v>494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45990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137" t="s">
        <v>28</v>
      </c>
      <c r="B14" s="137" t="s">
        <v>493</v>
      </c>
      <c r="C14" s="138">
        <v>0.80208333333333337</v>
      </c>
      <c r="D14" s="137" t="s">
        <v>30</v>
      </c>
      <c r="E14" s="139"/>
      <c r="F14" s="137" t="s">
        <v>31</v>
      </c>
      <c r="G14" s="232"/>
      <c r="H14" s="93" t="s">
        <v>493</v>
      </c>
      <c r="I14" s="153">
        <v>1</v>
      </c>
      <c r="J14" s="95">
        <v>179</v>
      </c>
      <c r="K14" s="96" t="s">
        <v>75</v>
      </c>
      <c r="L14" s="95">
        <v>63</v>
      </c>
      <c r="M14" s="95">
        <v>55</v>
      </c>
      <c r="N14" s="95">
        <v>0</v>
      </c>
      <c r="O14" s="97" t="s">
        <v>33</v>
      </c>
      <c r="P14" s="98">
        <v>0.80208333333333337</v>
      </c>
      <c r="Q14" s="95">
        <v>179</v>
      </c>
      <c r="R14" s="99" t="s">
        <v>495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45994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66" t="s">
        <v>28</v>
      </c>
      <c r="B18" s="66" t="s">
        <v>491</v>
      </c>
      <c r="C18" s="67">
        <v>0.84375</v>
      </c>
      <c r="D18" s="66" t="s">
        <v>30</v>
      </c>
      <c r="E18" s="68"/>
      <c r="F18" s="66" t="s">
        <v>36</v>
      </c>
      <c r="G18" s="232"/>
      <c r="H18" s="127" t="s">
        <v>491</v>
      </c>
      <c r="I18" s="149">
        <v>0.60340000000000005</v>
      </c>
      <c r="J18" s="129">
        <v>108</v>
      </c>
      <c r="K18" s="130" t="s">
        <v>37</v>
      </c>
      <c r="L18" s="129">
        <v>44</v>
      </c>
      <c r="M18" s="129">
        <v>0</v>
      </c>
      <c r="N18" s="129">
        <v>19</v>
      </c>
      <c r="O18" s="131" t="s">
        <v>196</v>
      </c>
      <c r="P18" s="132">
        <v>0.84375</v>
      </c>
      <c r="Q18" s="129">
        <v>179</v>
      </c>
      <c r="R18" s="133" t="s">
        <v>496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45995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36" t="s">
        <v>28</v>
      </c>
      <c r="B22" s="36" t="s">
        <v>493</v>
      </c>
      <c r="C22" s="37">
        <v>0.80208333333333337</v>
      </c>
      <c r="D22" s="36" t="s">
        <v>30</v>
      </c>
      <c r="E22" s="38"/>
      <c r="F22" s="36" t="s">
        <v>36</v>
      </c>
      <c r="G22" s="232"/>
      <c r="H22" s="112" t="s">
        <v>493</v>
      </c>
      <c r="I22" s="157">
        <v>0.68720000000000003</v>
      </c>
      <c r="J22" s="114">
        <v>123</v>
      </c>
      <c r="K22" s="115" t="s">
        <v>37</v>
      </c>
      <c r="L22" s="114">
        <v>44</v>
      </c>
      <c r="M22" s="114">
        <v>0</v>
      </c>
      <c r="N22" s="114">
        <v>13</v>
      </c>
      <c r="O22" s="116" t="s">
        <v>366</v>
      </c>
      <c r="P22" s="117">
        <v>0.80208333333333337</v>
      </c>
      <c r="Q22" s="114">
        <v>179</v>
      </c>
      <c r="R22" s="118" t="s">
        <v>497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45997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66" t="s">
        <v>28</v>
      </c>
      <c r="B26" s="66" t="s">
        <v>493</v>
      </c>
      <c r="C26" s="67">
        <v>0.80208333333333337</v>
      </c>
      <c r="D26" s="66" t="s">
        <v>30</v>
      </c>
      <c r="E26" s="68"/>
      <c r="F26" s="66" t="s">
        <v>36</v>
      </c>
      <c r="G26" s="237"/>
      <c r="H26" s="127" t="s">
        <v>493</v>
      </c>
      <c r="I26" s="128">
        <v>0.50839999999999996</v>
      </c>
      <c r="J26" s="129">
        <v>91</v>
      </c>
      <c r="K26" s="130" t="s">
        <v>37</v>
      </c>
      <c r="L26" s="129">
        <v>46</v>
      </c>
      <c r="M26" s="129">
        <v>0</v>
      </c>
      <c r="N26" s="129">
        <v>4</v>
      </c>
      <c r="O26" s="131" t="s">
        <v>159</v>
      </c>
      <c r="P26" s="132">
        <v>0.80208333333333337</v>
      </c>
      <c r="Q26" s="129">
        <v>179</v>
      </c>
      <c r="R26" s="133" t="s">
        <v>498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46001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0" t="s">
        <v>28</v>
      </c>
      <c r="B30" s="80" t="s">
        <v>491</v>
      </c>
      <c r="C30" s="81">
        <v>0.84375</v>
      </c>
      <c r="D30" s="80" t="s">
        <v>30</v>
      </c>
      <c r="E30" s="82"/>
      <c r="F30" s="80" t="s">
        <v>36</v>
      </c>
      <c r="G30" s="232"/>
      <c r="H30" s="100" t="s">
        <v>491</v>
      </c>
      <c r="I30" s="101">
        <v>0.34079999999999999</v>
      </c>
      <c r="J30" s="102">
        <v>61</v>
      </c>
      <c r="K30" s="103" t="s">
        <v>37</v>
      </c>
      <c r="L30" s="102">
        <v>24</v>
      </c>
      <c r="M30" s="102">
        <v>0</v>
      </c>
      <c r="N30" s="102">
        <v>3</v>
      </c>
      <c r="O30" s="104" t="s">
        <v>429</v>
      </c>
      <c r="P30" s="105">
        <v>0.84375</v>
      </c>
      <c r="Q30" s="102">
        <v>179</v>
      </c>
      <c r="R30" s="106" t="s">
        <v>499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46002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56" t="s">
        <v>28</v>
      </c>
      <c r="B34" s="56" t="s">
        <v>493</v>
      </c>
      <c r="C34" s="57">
        <v>0.80208333333333337</v>
      </c>
      <c r="D34" s="56" t="s">
        <v>30</v>
      </c>
      <c r="E34" s="58"/>
      <c r="F34" s="56" t="s">
        <v>68</v>
      </c>
      <c r="G34" s="232"/>
      <c r="H34" s="59" t="s">
        <v>493</v>
      </c>
      <c r="I34" s="108">
        <v>0.26819999999999999</v>
      </c>
      <c r="J34" s="61">
        <v>48</v>
      </c>
      <c r="K34" s="62" t="s">
        <v>37</v>
      </c>
      <c r="L34" s="61">
        <v>25</v>
      </c>
      <c r="M34" s="61">
        <v>0</v>
      </c>
      <c r="N34" s="61">
        <v>2</v>
      </c>
      <c r="O34" s="63" t="s">
        <v>153</v>
      </c>
      <c r="P34" s="64">
        <v>0.80208333333333337</v>
      </c>
      <c r="Q34" s="61">
        <v>179</v>
      </c>
      <c r="R34" s="65" t="s">
        <v>500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46004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8" t="s">
        <v>28</v>
      </c>
      <c r="B38" s="8" t="s">
        <v>493</v>
      </c>
      <c r="C38" s="9">
        <v>0.80208333333333337</v>
      </c>
      <c r="D38" s="8" t="s">
        <v>30</v>
      </c>
      <c r="E38" s="10"/>
      <c r="F38" s="8" t="s">
        <v>68</v>
      </c>
      <c r="G38" s="232"/>
      <c r="H38" s="11" t="s">
        <v>493</v>
      </c>
      <c r="I38" s="107">
        <v>0.2402</v>
      </c>
      <c r="J38" s="13">
        <v>43</v>
      </c>
      <c r="K38" s="14" t="s">
        <v>37</v>
      </c>
      <c r="L38" s="13">
        <v>12</v>
      </c>
      <c r="M38" s="13">
        <v>0</v>
      </c>
      <c r="N38" s="13">
        <v>1</v>
      </c>
      <c r="O38" s="15" t="s">
        <v>429</v>
      </c>
      <c r="P38" s="16">
        <v>0.80208333333333337</v>
      </c>
      <c r="Q38" s="13">
        <v>179</v>
      </c>
      <c r="R38" s="17" t="s">
        <v>501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22.05" customHeight="1" thickTop="1" thickBot="1" x14ac:dyDescent="0.35">
      <c r="A40" s="241" t="s">
        <v>8</v>
      </c>
      <c r="B40" s="239"/>
      <c r="C40" s="239"/>
      <c r="D40" s="239"/>
      <c r="E40" s="239"/>
      <c r="F40" s="240"/>
      <c r="G40" s="18">
        <v>46008</v>
      </c>
      <c r="H40" s="238" t="s">
        <v>9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4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8" t="s">
        <v>28</v>
      </c>
      <c r="B42" s="8" t="s">
        <v>491</v>
      </c>
      <c r="C42" s="9">
        <v>0.84375</v>
      </c>
      <c r="D42" s="8" t="s">
        <v>30</v>
      </c>
      <c r="E42" s="10"/>
      <c r="F42" s="8" t="s">
        <v>68</v>
      </c>
      <c r="G42" s="232"/>
      <c r="H42" s="11" t="s">
        <v>491</v>
      </c>
      <c r="I42" s="107">
        <v>0.1285</v>
      </c>
      <c r="J42" s="13">
        <v>23</v>
      </c>
      <c r="K42" s="14" t="s">
        <v>32</v>
      </c>
      <c r="L42" s="13">
        <v>3</v>
      </c>
      <c r="M42" s="13">
        <v>0</v>
      </c>
      <c r="N42" s="13">
        <v>0</v>
      </c>
      <c r="O42" s="15" t="s">
        <v>153</v>
      </c>
      <c r="P42" s="16">
        <v>0.84375</v>
      </c>
      <c r="Q42" s="13">
        <v>179</v>
      </c>
      <c r="R42" s="17" t="s">
        <v>502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46009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26" t="s">
        <v>28</v>
      </c>
      <c r="B46" s="26" t="s">
        <v>493</v>
      </c>
      <c r="C46" s="27">
        <v>0.80208333333333337</v>
      </c>
      <c r="D46" s="26" t="s">
        <v>30</v>
      </c>
      <c r="E46" s="28"/>
      <c r="F46" s="26" t="s">
        <v>68</v>
      </c>
      <c r="G46" s="232"/>
      <c r="H46" s="29" t="s">
        <v>493</v>
      </c>
      <c r="I46" s="147">
        <v>0.16200000000000001</v>
      </c>
      <c r="J46" s="31">
        <v>29</v>
      </c>
      <c r="K46" s="32" t="s">
        <v>102</v>
      </c>
      <c r="L46" s="31">
        <v>10</v>
      </c>
      <c r="M46" s="31">
        <v>0</v>
      </c>
      <c r="N46" s="31">
        <v>0</v>
      </c>
      <c r="O46" s="33" t="s">
        <v>60</v>
      </c>
      <c r="P46" s="34">
        <v>0.80208333333333337</v>
      </c>
      <c r="Q46" s="31">
        <v>179</v>
      </c>
      <c r="R46" s="35" t="s">
        <v>503</v>
      </c>
    </row>
    <row r="47" spans="1:18" ht="17.399999999999999" customHeight="1" thickBot="1" x14ac:dyDescent="0.35">
      <c r="A47" s="264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/>
    </row>
    <row r="48" spans="1:18" ht="22.05" customHeight="1" thickTop="1" thickBot="1" x14ac:dyDescent="0.35">
      <c r="A48" s="241" t="s">
        <v>8</v>
      </c>
      <c r="B48" s="239"/>
      <c r="C48" s="239"/>
      <c r="D48" s="239"/>
      <c r="E48" s="239"/>
      <c r="F48" s="240"/>
      <c r="G48" s="18">
        <v>46011</v>
      </c>
      <c r="H48" s="238" t="s">
        <v>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4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66" t="s">
        <v>28</v>
      </c>
      <c r="B50" s="66" t="s">
        <v>493</v>
      </c>
      <c r="C50" s="67">
        <v>0.80208333333333337</v>
      </c>
      <c r="D50" s="66" t="s">
        <v>30</v>
      </c>
      <c r="E50" s="68"/>
      <c r="F50" s="66" t="s">
        <v>68</v>
      </c>
      <c r="G50" s="232"/>
      <c r="H50" s="127" t="s">
        <v>493</v>
      </c>
      <c r="I50" s="128">
        <v>0.15079999999999999</v>
      </c>
      <c r="J50" s="129">
        <v>27</v>
      </c>
      <c r="K50" s="130" t="s">
        <v>37</v>
      </c>
      <c r="L50" s="129">
        <v>4</v>
      </c>
      <c r="M50" s="129">
        <v>0</v>
      </c>
      <c r="N50" s="129">
        <v>2</v>
      </c>
      <c r="O50" s="131" t="s">
        <v>153</v>
      </c>
      <c r="P50" s="132">
        <v>0.80208333333333337</v>
      </c>
      <c r="Q50" s="129">
        <v>179</v>
      </c>
      <c r="R50" s="133" t="s">
        <v>504</v>
      </c>
    </row>
    <row r="51" spans="1:18" ht="17.399999999999999" customHeight="1" thickBot="1" x14ac:dyDescent="0.35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/>
    </row>
    <row r="52" spans="1:18" ht="22.05" customHeight="1" thickTop="1" thickBot="1" x14ac:dyDescent="0.35">
      <c r="A52" s="241" t="s">
        <v>8</v>
      </c>
      <c r="B52" s="239"/>
      <c r="C52" s="239"/>
      <c r="D52" s="239"/>
      <c r="E52" s="239"/>
      <c r="F52" s="240"/>
      <c r="G52" s="18">
        <v>46015</v>
      </c>
      <c r="H52" s="238" t="s">
        <v>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4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26" t="s">
        <v>28</v>
      </c>
      <c r="B54" s="26" t="s">
        <v>491</v>
      </c>
      <c r="C54" s="27">
        <v>0.84375</v>
      </c>
      <c r="D54" s="26" t="s">
        <v>30</v>
      </c>
      <c r="E54" s="28"/>
      <c r="F54" s="26" t="s">
        <v>68</v>
      </c>
      <c r="G54" s="237"/>
      <c r="H54" s="29" t="s">
        <v>491</v>
      </c>
      <c r="I54" s="147">
        <v>0.1229</v>
      </c>
      <c r="J54" s="31">
        <v>22</v>
      </c>
      <c r="K54" s="32" t="s">
        <v>102</v>
      </c>
      <c r="L54" s="31">
        <v>5</v>
      </c>
      <c r="M54" s="31">
        <v>0</v>
      </c>
      <c r="N54" s="31">
        <v>0</v>
      </c>
      <c r="O54" s="33" t="s">
        <v>153</v>
      </c>
      <c r="P54" s="34">
        <v>0.84375</v>
      </c>
      <c r="Q54" s="31">
        <v>179</v>
      </c>
      <c r="R54" s="35" t="s">
        <v>505</v>
      </c>
    </row>
    <row r="55" spans="1:18" ht="17.399999999999999" customHeight="1" thickBot="1" x14ac:dyDescent="0.35">
      <c r="A55" s="264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6"/>
    </row>
    <row r="56" spans="1:18" ht="22.05" customHeight="1" thickTop="1" thickBot="1" x14ac:dyDescent="0.35">
      <c r="A56" s="241" t="s">
        <v>8</v>
      </c>
      <c r="B56" s="239"/>
      <c r="C56" s="239"/>
      <c r="D56" s="239"/>
      <c r="E56" s="239"/>
      <c r="F56" s="240"/>
      <c r="G56" s="18">
        <v>46016</v>
      </c>
      <c r="H56" s="238" t="s">
        <v>9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4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76" t="s">
        <v>28</v>
      </c>
      <c r="B58" s="76" t="s">
        <v>493</v>
      </c>
      <c r="C58" s="77">
        <v>0.80208333333333337</v>
      </c>
      <c r="D58" s="76" t="s">
        <v>30</v>
      </c>
      <c r="E58" s="78"/>
      <c r="F58" s="76" t="s">
        <v>68</v>
      </c>
      <c r="G58" s="237"/>
      <c r="H58" s="49" t="s">
        <v>493</v>
      </c>
      <c r="I58" s="79">
        <v>7.2599999999999998E-2</v>
      </c>
      <c r="J58" s="51">
        <v>13</v>
      </c>
      <c r="K58" s="52" t="s">
        <v>37</v>
      </c>
      <c r="L58" s="51">
        <v>5</v>
      </c>
      <c r="M58" s="51">
        <v>0</v>
      </c>
      <c r="N58" s="51">
        <v>2</v>
      </c>
      <c r="O58" s="53" t="s">
        <v>153</v>
      </c>
      <c r="P58" s="54">
        <v>0.80208333333333337</v>
      </c>
      <c r="Q58" s="51">
        <v>179</v>
      </c>
      <c r="R58" s="55" t="s">
        <v>506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15" thickTop="1" x14ac:dyDescent="0.3"/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16"/>
  <sheetViews>
    <sheetView workbookViewId="0"/>
  </sheetViews>
  <sheetFormatPr defaultRowHeight="15.6" outlineLevelCol="1" x14ac:dyDescent="0.3"/>
  <cols>
    <col min="1" max="1" width="11.5546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8.109375" style="251" bestFit="1" customWidth="1"/>
    <col min="6" max="6" width="4.21875" style="251" bestFit="1" customWidth="1"/>
    <col min="7" max="7" width="10" style="251" bestFit="1" customWidth="1"/>
    <col min="8" max="9" width="8.5546875" style="251" bestFit="1" customWidth="1"/>
    <col min="10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17" width="4.21875" style="251" bestFit="1" customWidth="1"/>
    <col min="18" max="18" width="4.33203125" style="251" bestFit="1" customWidth="1"/>
    <col min="19" max="19" width="4.88671875" style="251" bestFit="1" customWidth="1"/>
    <col min="20" max="20" width="4.4414062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0" width="4.5546875" style="251" bestFit="1" customWidth="1"/>
    <col min="31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166</v>
      </c>
      <c r="B2" s="253">
        <v>45987</v>
      </c>
      <c r="C2" s="254" t="s">
        <v>491</v>
      </c>
      <c r="D2" s="255" t="s">
        <v>507</v>
      </c>
      <c r="E2" s="254" t="s">
        <v>490</v>
      </c>
      <c r="F2" s="254" t="s">
        <v>141</v>
      </c>
      <c r="G2" s="256">
        <v>1</v>
      </c>
      <c r="H2" s="257">
        <v>179</v>
      </c>
      <c r="I2" s="257">
        <v>179</v>
      </c>
      <c r="J2" s="257">
        <v>0</v>
      </c>
      <c r="K2" s="254" t="s">
        <v>142</v>
      </c>
      <c r="L2" s="258" t="s">
        <v>75</v>
      </c>
      <c r="M2" s="257">
        <v>8</v>
      </c>
      <c r="N2" s="257">
        <v>4</v>
      </c>
      <c r="O2" s="257">
        <v>44</v>
      </c>
      <c r="P2" s="254" t="s">
        <v>33</v>
      </c>
      <c r="Q2" s="250"/>
      <c r="R2" s="257" t="s">
        <v>508</v>
      </c>
      <c r="S2" s="257" t="s">
        <v>509</v>
      </c>
      <c r="T2" s="257" t="s">
        <v>510</v>
      </c>
      <c r="U2" s="257" t="s">
        <v>511</v>
      </c>
      <c r="V2" s="257" t="s">
        <v>512</v>
      </c>
      <c r="W2" s="257" t="s">
        <v>513</v>
      </c>
      <c r="X2" s="257" t="s">
        <v>159</v>
      </c>
      <c r="Y2" s="257" t="s">
        <v>151</v>
      </c>
      <c r="Z2" s="257" t="s">
        <v>294</v>
      </c>
      <c r="AA2" s="257" t="s">
        <v>66</v>
      </c>
      <c r="AB2" s="257" t="s">
        <v>231</v>
      </c>
      <c r="AC2" s="257" t="s">
        <v>514</v>
      </c>
      <c r="AD2" s="257" t="s">
        <v>86</v>
      </c>
      <c r="AE2" s="257" t="s">
        <v>224</v>
      </c>
      <c r="AF2" s="257" t="s">
        <v>193</v>
      </c>
      <c r="AG2" s="250"/>
      <c r="AH2" s="250"/>
      <c r="AI2" s="250"/>
      <c r="AJ2" s="250"/>
    </row>
    <row r="3" spans="1:36" x14ac:dyDescent="0.3">
      <c r="A3" s="252" t="s">
        <v>179</v>
      </c>
      <c r="B3" s="253">
        <v>45988</v>
      </c>
      <c r="C3" s="254" t="s">
        <v>493</v>
      </c>
      <c r="D3" s="255" t="s">
        <v>515</v>
      </c>
      <c r="E3" s="254" t="s">
        <v>490</v>
      </c>
      <c r="F3" s="254" t="s">
        <v>141</v>
      </c>
      <c r="G3" s="256">
        <v>1</v>
      </c>
      <c r="H3" s="257">
        <v>179</v>
      </c>
      <c r="I3" s="257">
        <v>179</v>
      </c>
      <c r="J3" s="257">
        <v>0</v>
      </c>
      <c r="K3" s="254" t="s">
        <v>142</v>
      </c>
      <c r="L3" s="258" t="s">
        <v>75</v>
      </c>
      <c r="M3" s="257">
        <v>43</v>
      </c>
      <c r="N3" s="257">
        <v>3</v>
      </c>
      <c r="O3" s="257">
        <v>53</v>
      </c>
      <c r="P3" s="254" t="s">
        <v>33</v>
      </c>
      <c r="Q3" s="257" t="s">
        <v>516</v>
      </c>
      <c r="R3" s="257" t="s">
        <v>517</v>
      </c>
      <c r="S3" s="257" t="s">
        <v>518</v>
      </c>
      <c r="T3" s="257" t="s">
        <v>519</v>
      </c>
      <c r="U3" s="257" t="s">
        <v>520</v>
      </c>
      <c r="V3" s="257" t="s">
        <v>196</v>
      </c>
      <c r="W3" s="257" t="s">
        <v>521</v>
      </c>
      <c r="X3" s="257" t="s">
        <v>159</v>
      </c>
      <c r="Y3" s="257" t="s">
        <v>151</v>
      </c>
      <c r="Z3" s="257" t="s">
        <v>294</v>
      </c>
      <c r="AA3" s="257" t="s">
        <v>200</v>
      </c>
      <c r="AB3" s="257" t="s">
        <v>62</v>
      </c>
      <c r="AC3" s="257" t="s">
        <v>400</v>
      </c>
      <c r="AD3" s="257" t="s">
        <v>220</v>
      </c>
      <c r="AE3" s="257" t="s">
        <v>84</v>
      </c>
      <c r="AF3" s="257" t="s">
        <v>80</v>
      </c>
      <c r="AG3" s="250"/>
      <c r="AH3" s="250"/>
      <c r="AI3" s="250"/>
      <c r="AJ3" s="250"/>
    </row>
    <row r="4" spans="1:36" x14ac:dyDescent="0.3">
      <c r="A4" s="252" t="s">
        <v>205</v>
      </c>
      <c r="B4" s="253">
        <v>45990</v>
      </c>
      <c r="C4" s="254" t="s">
        <v>493</v>
      </c>
      <c r="D4" s="255" t="s">
        <v>515</v>
      </c>
      <c r="E4" s="254" t="s">
        <v>490</v>
      </c>
      <c r="F4" s="254" t="s">
        <v>141</v>
      </c>
      <c r="G4" s="256">
        <v>1</v>
      </c>
      <c r="H4" s="257">
        <v>179</v>
      </c>
      <c r="I4" s="257">
        <v>179</v>
      </c>
      <c r="J4" s="257">
        <v>0</v>
      </c>
      <c r="K4" s="254" t="s">
        <v>142</v>
      </c>
      <c r="L4" s="258" t="s">
        <v>75</v>
      </c>
      <c r="M4" s="257">
        <v>55</v>
      </c>
      <c r="N4" s="257">
        <v>0</v>
      </c>
      <c r="O4" s="257">
        <v>63</v>
      </c>
      <c r="P4" s="254" t="s">
        <v>33</v>
      </c>
      <c r="Q4" s="257" t="s">
        <v>522</v>
      </c>
      <c r="R4" s="257" t="s">
        <v>508</v>
      </c>
      <c r="S4" s="257" t="s">
        <v>51</v>
      </c>
      <c r="T4" s="257" t="s">
        <v>523</v>
      </c>
      <c r="U4" s="257" t="s">
        <v>524</v>
      </c>
      <c r="V4" s="250"/>
      <c r="W4" s="250"/>
      <c r="X4" s="257" t="s">
        <v>159</v>
      </c>
      <c r="Y4" s="257" t="s">
        <v>397</v>
      </c>
      <c r="Z4" s="257" t="s">
        <v>464</v>
      </c>
      <c r="AA4" s="257" t="s">
        <v>66</v>
      </c>
      <c r="AB4" s="257" t="s">
        <v>62</v>
      </c>
      <c r="AC4" s="257" t="s">
        <v>71</v>
      </c>
      <c r="AD4" s="257" t="s">
        <v>255</v>
      </c>
      <c r="AE4" s="257" t="s">
        <v>108</v>
      </c>
      <c r="AF4" s="257" t="s">
        <v>193</v>
      </c>
      <c r="AG4" s="250"/>
      <c r="AH4" s="250"/>
      <c r="AI4" s="250"/>
      <c r="AJ4" s="250"/>
    </row>
    <row r="5" spans="1:36" x14ac:dyDescent="0.3">
      <c r="A5" s="252" t="s">
        <v>166</v>
      </c>
      <c r="B5" s="253">
        <v>45994</v>
      </c>
      <c r="C5" s="254" t="s">
        <v>491</v>
      </c>
      <c r="D5" s="255" t="s">
        <v>507</v>
      </c>
      <c r="E5" s="254" t="s">
        <v>490</v>
      </c>
      <c r="F5" s="254" t="s">
        <v>141</v>
      </c>
      <c r="G5" s="256">
        <v>0.60340000000000005</v>
      </c>
      <c r="H5" s="257">
        <v>179</v>
      </c>
      <c r="I5" s="257">
        <v>108</v>
      </c>
      <c r="J5" s="257">
        <v>0</v>
      </c>
      <c r="K5" s="254" t="s">
        <v>142</v>
      </c>
      <c r="L5" s="258" t="s">
        <v>37</v>
      </c>
      <c r="M5" s="257">
        <v>0</v>
      </c>
      <c r="N5" s="257">
        <v>19</v>
      </c>
      <c r="O5" s="257">
        <v>44</v>
      </c>
      <c r="P5" s="254" t="s">
        <v>196</v>
      </c>
      <c r="Q5" s="250"/>
      <c r="R5" s="250"/>
      <c r="S5" s="250"/>
      <c r="T5" s="250"/>
      <c r="U5" s="250"/>
      <c r="V5" s="250"/>
      <c r="W5" s="257" t="s">
        <v>473</v>
      </c>
      <c r="X5" s="257" t="s">
        <v>525</v>
      </c>
      <c r="Y5" s="250"/>
      <c r="Z5" s="257" t="s">
        <v>56</v>
      </c>
      <c r="AA5" s="257" t="s">
        <v>66</v>
      </c>
      <c r="AB5" s="257" t="s">
        <v>69</v>
      </c>
      <c r="AC5" s="257" t="s">
        <v>400</v>
      </c>
      <c r="AD5" s="257" t="s">
        <v>145</v>
      </c>
      <c r="AE5" s="257" t="s">
        <v>84</v>
      </c>
      <c r="AF5" s="250"/>
      <c r="AG5" s="250"/>
      <c r="AH5" s="250"/>
      <c r="AI5" s="250"/>
      <c r="AJ5" s="250"/>
    </row>
    <row r="6" spans="1:36" x14ac:dyDescent="0.3">
      <c r="A6" s="252" t="s">
        <v>179</v>
      </c>
      <c r="B6" s="253">
        <v>45995</v>
      </c>
      <c r="C6" s="254" t="s">
        <v>493</v>
      </c>
      <c r="D6" s="255" t="s">
        <v>515</v>
      </c>
      <c r="E6" s="254" t="s">
        <v>490</v>
      </c>
      <c r="F6" s="254" t="s">
        <v>141</v>
      </c>
      <c r="G6" s="256">
        <v>0.68720000000000003</v>
      </c>
      <c r="H6" s="257">
        <v>179</v>
      </c>
      <c r="I6" s="257">
        <v>123</v>
      </c>
      <c r="J6" s="257">
        <v>0</v>
      </c>
      <c r="K6" s="254" t="s">
        <v>142</v>
      </c>
      <c r="L6" s="258" t="s">
        <v>37</v>
      </c>
      <c r="M6" s="257">
        <v>0</v>
      </c>
      <c r="N6" s="257">
        <v>13</v>
      </c>
      <c r="O6" s="257">
        <v>44</v>
      </c>
      <c r="P6" s="254" t="s">
        <v>366</v>
      </c>
      <c r="Q6" s="250"/>
      <c r="R6" s="250"/>
      <c r="S6" s="250"/>
      <c r="T6" s="250"/>
      <c r="U6" s="250"/>
      <c r="V6" s="250"/>
      <c r="W6" s="257" t="s">
        <v>43</v>
      </c>
      <c r="X6" s="257" t="s">
        <v>354</v>
      </c>
      <c r="Y6" s="257" t="s">
        <v>476</v>
      </c>
      <c r="Z6" s="257" t="s">
        <v>477</v>
      </c>
      <c r="AA6" s="257" t="s">
        <v>526</v>
      </c>
      <c r="AB6" s="257" t="s">
        <v>237</v>
      </c>
      <c r="AC6" s="257" t="s">
        <v>71</v>
      </c>
      <c r="AD6" s="257" t="s">
        <v>145</v>
      </c>
      <c r="AE6" s="257" t="s">
        <v>108</v>
      </c>
      <c r="AF6" s="250"/>
      <c r="AG6" s="250"/>
      <c r="AH6" s="250"/>
      <c r="AI6" s="250"/>
      <c r="AJ6" s="250"/>
    </row>
    <row r="7" spans="1:36" x14ac:dyDescent="0.3">
      <c r="A7" s="252" t="s">
        <v>205</v>
      </c>
      <c r="B7" s="253">
        <v>45997</v>
      </c>
      <c r="C7" s="254" t="s">
        <v>493</v>
      </c>
      <c r="D7" s="255" t="s">
        <v>515</v>
      </c>
      <c r="E7" s="254" t="s">
        <v>490</v>
      </c>
      <c r="F7" s="254" t="s">
        <v>141</v>
      </c>
      <c r="G7" s="256">
        <v>0.50839999999999996</v>
      </c>
      <c r="H7" s="257">
        <v>179</v>
      </c>
      <c r="I7" s="257">
        <v>91</v>
      </c>
      <c r="J7" s="257">
        <v>0</v>
      </c>
      <c r="K7" s="254" t="s">
        <v>142</v>
      </c>
      <c r="L7" s="258" t="s">
        <v>37</v>
      </c>
      <c r="M7" s="257">
        <v>0</v>
      </c>
      <c r="N7" s="257">
        <v>4</v>
      </c>
      <c r="O7" s="257">
        <v>46</v>
      </c>
      <c r="P7" s="254" t="s">
        <v>159</v>
      </c>
      <c r="Q7" s="250"/>
      <c r="R7" s="250"/>
      <c r="S7" s="250"/>
      <c r="T7" s="250"/>
      <c r="U7" s="250"/>
      <c r="V7" s="250"/>
      <c r="W7" s="250"/>
      <c r="X7" s="257" t="s">
        <v>45</v>
      </c>
      <c r="Y7" s="257" t="s">
        <v>456</v>
      </c>
      <c r="Z7" s="257" t="s">
        <v>152</v>
      </c>
      <c r="AA7" s="257" t="s">
        <v>527</v>
      </c>
      <c r="AB7" s="257" t="s">
        <v>176</v>
      </c>
      <c r="AC7" s="257" t="s">
        <v>155</v>
      </c>
      <c r="AD7" s="257" t="s">
        <v>164</v>
      </c>
      <c r="AE7" s="257" t="s">
        <v>84</v>
      </c>
      <c r="AF7" s="250"/>
      <c r="AG7" s="250"/>
      <c r="AH7" s="250"/>
      <c r="AI7" s="250"/>
      <c r="AJ7" s="250"/>
    </row>
    <row r="8" spans="1:36" x14ac:dyDescent="0.3">
      <c r="A8" s="252" t="s">
        <v>166</v>
      </c>
      <c r="B8" s="253">
        <v>46001</v>
      </c>
      <c r="C8" s="254" t="s">
        <v>491</v>
      </c>
      <c r="D8" s="255" t="s">
        <v>507</v>
      </c>
      <c r="E8" s="254" t="s">
        <v>490</v>
      </c>
      <c r="F8" s="254" t="s">
        <v>141</v>
      </c>
      <c r="G8" s="256">
        <v>0.34079999999999999</v>
      </c>
      <c r="H8" s="257">
        <v>179</v>
      </c>
      <c r="I8" s="257">
        <v>61</v>
      </c>
      <c r="J8" s="257">
        <v>0</v>
      </c>
      <c r="K8" s="254" t="s">
        <v>142</v>
      </c>
      <c r="L8" s="258" t="s">
        <v>37</v>
      </c>
      <c r="M8" s="257">
        <v>0</v>
      </c>
      <c r="N8" s="257">
        <v>3</v>
      </c>
      <c r="O8" s="257">
        <v>24</v>
      </c>
      <c r="P8" s="254" t="s">
        <v>429</v>
      </c>
      <c r="Q8" s="250"/>
      <c r="R8" s="250"/>
      <c r="S8" s="250"/>
      <c r="T8" s="250"/>
      <c r="U8" s="250"/>
      <c r="V8" s="250"/>
      <c r="W8" s="250"/>
      <c r="X8" s="257" t="s">
        <v>528</v>
      </c>
      <c r="Y8" s="250"/>
      <c r="Z8" s="257" t="s">
        <v>422</v>
      </c>
      <c r="AA8" s="257" t="s">
        <v>529</v>
      </c>
      <c r="AB8" s="257" t="s">
        <v>201</v>
      </c>
      <c r="AC8" s="257" t="s">
        <v>404</v>
      </c>
      <c r="AD8" s="257" t="s">
        <v>164</v>
      </c>
      <c r="AE8" s="257" t="s">
        <v>253</v>
      </c>
      <c r="AF8" s="250"/>
      <c r="AG8" s="250"/>
      <c r="AH8" s="250"/>
      <c r="AI8" s="250"/>
      <c r="AJ8" s="250"/>
    </row>
    <row r="9" spans="1:36" x14ac:dyDescent="0.3">
      <c r="A9" s="252" t="s">
        <v>179</v>
      </c>
      <c r="B9" s="253">
        <v>46002</v>
      </c>
      <c r="C9" s="254" t="s">
        <v>493</v>
      </c>
      <c r="D9" s="255" t="s">
        <v>515</v>
      </c>
      <c r="E9" s="254" t="s">
        <v>490</v>
      </c>
      <c r="F9" s="254" t="s">
        <v>141</v>
      </c>
      <c r="G9" s="256">
        <v>0.26819999999999999</v>
      </c>
      <c r="H9" s="257">
        <v>179</v>
      </c>
      <c r="I9" s="257">
        <v>48</v>
      </c>
      <c r="J9" s="257">
        <v>0</v>
      </c>
      <c r="K9" s="254" t="s">
        <v>142</v>
      </c>
      <c r="L9" s="258" t="s">
        <v>37</v>
      </c>
      <c r="M9" s="257">
        <v>0</v>
      </c>
      <c r="N9" s="257">
        <v>2</v>
      </c>
      <c r="O9" s="257">
        <v>25</v>
      </c>
      <c r="P9" s="254" t="s">
        <v>153</v>
      </c>
      <c r="Q9" s="250"/>
      <c r="R9" s="250"/>
      <c r="S9" s="250"/>
      <c r="T9" s="250"/>
      <c r="U9" s="250"/>
      <c r="V9" s="250"/>
      <c r="W9" s="250"/>
      <c r="X9" s="257" t="s">
        <v>528</v>
      </c>
      <c r="Y9" s="250"/>
      <c r="Z9" s="257" t="s">
        <v>56</v>
      </c>
      <c r="AA9" s="257" t="s">
        <v>530</v>
      </c>
      <c r="AB9" s="257" t="s">
        <v>213</v>
      </c>
      <c r="AC9" s="257" t="s">
        <v>245</v>
      </c>
      <c r="AD9" s="257" t="s">
        <v>164</v>
      </c>
      <c r="AE9" s="257" t="s">
        <v>253</v>
      </c>
      <c r="AF9" s="250"/>
      <c r="AG9" s="250"/>
      <c r="AH9" s="250"/>
      <c r="AI9" s="250"/>
      <c r="AJ9" s="250"/>
    </row>
    <row r="10" spans="1:36" x14ac:dyDescent="0.3">
      <c r="A10" s="252" t="s">
        <v>205</v>
      </c>
      <c r="B10" s="253">
        <v>46004</v>
      </c>
      <c r="C10" s="254" t="s">
        <v>493</v>
      </c>
      <c r="D10" s="255" t="s">
        <v>515</v>
      </c>
      <c r="E10" s="254" t="s">
        <v>490</v>
      </c>
      <c r="F10" s="254" t="s">
        <v>141</v>
      </c>
      <c r="G10" s="256">
        <v>0.2402</v>
      </c>
      <c r="H10" s="257">
        <v>179</v>
      </c>
      <c r="I10" s="257">
        <v>43</v>
      </c>
      <c r="J10" s="257">
        <v>0</v>
      </c>
      <c r="K10" s="254" t="s">
        <v>142</v>
      </c>
      <c r="L10" s="258" t="s">
        <v>37</v>
      </c>
      <c r="M10" s="257">
        <v>0</v>
      </c>
      <c r="N10" s="257">
        <v>1</v>
      </c>
      <c r="O10" s="257">
        <v>12</v>
      </c>
      <c r="P10" s="254" t="s">
        <v>429</v>
      </c>
      <c r="Q10" s="250"/>
      <c r="R10" s="250"/>
      <c r="S10" s="250"/>
      <c r="T10" s="250"/>
      <c r="U10" s="250"/>
      <c r="V10" s="250"/>
      <c r="W10" s="250"/>
      <c r="X10" s="257" t="s">
        <v>531</v>
      </c>
      <c r="Y10" s="257" t="s">
        <v>320</v>
      </c>
      <c r="Z10" s="257" t="s">
        <v>199</v>
      </c>
      <c r="AA10" s="257" t="s">
        <v>295</v>
      </c>
      <c r="AB10" s="250"/>
      <c r="AC10" s="257" t="s">
        <v>400</v>
      </c>
      <c r="AD10" s="257" t="s">
        <v>99</v>
      </c>
      <c r="AE10" s="257" t="s">
        <v>95</v>
      </c>
      <c r="AF10" s="250"/>
      <c r="AG10" s="250"/>
      <c r="AH10" s="250"/>
      <c r="AI10" s="250"/>
      <c r="AJ10" s="250"/>
    </row>
    <row r="11" spans="1:36" x14ac:dyDescent="0.3">
      <c r="A11" s="252" t="s">
        <v>166</v>
      </c>
      <c r="B11" s="253">
        <v>46008</v>
      </c>
      <c r="C11" s="254" t="s">
        <v>491</v>
      </c>
      <c r="D11" s="255" t="s">
        <v>507</v>
      </c>
      <c r="E11" s="254" t="s">
        <v>490</v>
      </c>
      <c r="F11" s="254" t="s">
        <v>141</v>
      </c>
      <c r="G11" s="256">
        <v>0.1285</v>
      </c>
      <c r="H11" s="257">
        <v>179</v>
      </c>
      <c r="I11" s="257">
        <v>23</v>
      </c>
      <c r="J11" s="257">
        <v>0</v>
      </c>
      <c r="K11" s="254" t="s">
        <v>142</v>
      </c>
      <c r="L11" s="258" t="s">
        <v>32</v>
      </c>
      <c r="M11" s="257">
        <v>0</v>
      </c>
      <c r="N11" s="257">
        <v>0</v>
      </c>
      <c r="O11" s="257">
        <v>3</v>
      </c>
      <c r="P11" s="254" t="s">
        <v>153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7" t="s">
        <v>219</v>
      </c>
      <c r="AB11" s="250"/>
      <c r="AC11" s="257" t="s">
        <v>404</v>
      </c>
      <c r="AD11" s="257" t="s">
        <v>184</v>
      </c>
      <c r="AE11" s="257" t="s">
        <v>253</v>
      </c>
      <c r="AF11" s="250"/>
      <c r="AG11" s="250"/>
      <c r="AH11" s="250"/>
      <c r="AI11" s="250"/>
      <c r="AJ11" s="250"/>
    </row>
    <row r="12" spans="1:36" x14ac:dyDescent="0.3">
      <c r="A12" s="252" t="s">
        <v>179</v>
      </c>
      <c r="B12" s="253">
        <v>46009</v>
      </c>
      <c r="C12" s="254" t="s">
        <v>493</v>
      </c>
      <c r="D12" s="255" t="s">
        <v>515</v>
      </c>
      <c r="E12" s="254" t="s">
        <v>490</v>
      </c>
      <c r="F12" s="254" t="s">
        <v>141</v>
      </c>
      <c r="G12" s="256">
        <v>0.16200000000000001</v>
      </c>
      <c r="H12" s="257">
        <v>179</v>
      </c>
      <c r="I12" s="257">
        <v>29</v>
      </c>
      <c r="J12" s="257">
        <v>0</v>
      </c>
      <c r="K12" s="254" t="s">
        <v>142</v>
      </c>
      <c r="L12" s="258" t="s">
        <v>102</v>
      </c>
      <c r="M12" s="257">
        <v>0</v>
      </c>
      <c r="N12" s="257">
        <v>0</v>
      </c>
      <c r="O12" s="257">
        <v>10</v>
      </c>
      <c r="P12" s="254" t="s">
        <v>60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7" t="s">
        <v>532</v>
      </c>
      <c r="AB12" s="250"/>
      <c r="AC12" s="257" t="s">
        <v>58</v>
      </c>
      <c r="AD12" s="257" t="s">
        <v>184</v>
      </c>
      <c r="AE12" s="257" t="s">
        <v>253</v>
      </c>
      <c r="AF12" s="250"/>
      <c r="AG12" s="250"/>
      <c r="AH12" s="250"/>
      <c r="AI12" s="250"/>
      <c r="AJ12" s="250"/>
    </row>
    <row r="13" spans="1:36" x14ac:dyDescent="0.3">
      <c r="A13" s="252" t="s">
        <v>205</v>
      </c>
      <c r="B13" s="253">
        <v>46011</v>
      </c>
      <c r="C13" s="254" t="s">
        <v>493</v>
      </c>
      <c r="D13" s="255" t="s">
        <v>515</v>
      </c>
      <c r="E13" s="254" t="s">
        <v>490</v>
      </c>
      <c r="F13" s="254" t="s">
        <v>141</v>
      </c>
      <c r="G13" s="256">
        <v>0.15079999999999999</v>
      </c>
      <c r="H13" s="257">
        <v>179</v>
      </c>
      <c r="I13" s="257">
        <v>27</v>
      </c>
      <c r="J13" s="257">
        <v>0</v>
      </c>
      <c r="K13" s="254" t="s">
        <v>142</v>
      </c>
      <c r="L13" s="258" t="s">
        <v>37</v>
      </c>
      <c r="M13" s="257">
        <v>0</v>
      </c>
      <c r="N13" s="257">
        <v>2</v>
      </c>
      <c r="O13" s="257">
        <v>4</v>
      </c>
      <c r="P13" s="254" t="s">
        <v>153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7" t="s">
        <v>294</v>
      </c>
      <c r="AA13" s="257" t="s">
        <v>312</v>
      </c>
      <c r="AB13" s="250"/>
      <c r="AC13" s="257" t="s">
        <v>533</v>
      </c>
      <c r="AD13" s="257" t="s">
        <v>203</v>
      </c>
      <c r="AE13" s="250"/>
      <c r="AF13" s="250"/>
      <c r="AG13" s="250"/>
      <c r="AH13" s="250"/>
      <c r="AI13" s="250"/>
      <c r="AJ13" s="250"/>
    </row>
    <row r="14" spans="1:36" x14ac:dyDescent="0.3">
      <c r="A14" s="252" t="s">
        <v>166</v>
      </c>
      <c r="B14" s="253">
        <v>46015</v>
      </c>
      <c r="C14" s="254" t="s">
        <v>491</v>
      </c>
      <c r="D14" s="255" t="s">
        <v>507</v>
      </c>
      <c r="E14" s="254" t="s">
        <v>490</v>
      </c>
      <c r="F14" s="254" t="s">
        <v>141</v>
      </c>
      <c r="G14" s="256">
        <v>0.1229</v>
      </c>
      <c r="H14" s="257">
        <v>179</v>
      </c>
      <c r="I14" s="257">
        <v>22</v>
      </c>
      <c r="J14" s="257">
        <v>0</v>
      </c>
      <c r="K14" s="254" t="s">
        <v>142</v>
      </c>
      <c r="L14" s="258" t="s">
        <v>102</v>
      </c>
      <c r="M14" s="257">
        <v>0</v>
      </c>
      <c r="N14" s="257">
        <v>0</v>
      </c>
      <c r="O14" s="257">
        <v>5</v>
      </c>
      <c r="P14" s="254" t="s">
        <v>153</v>
      </c>
      <c r="Q14" s="250"/>
      <c r="R14" s="250"/>
      <c r="S14" s="250"/>
      <c r="T14" s="250"/>
      <c r="U14" s="250"/>
      <c r="V14" s="250"/>
      <c r="W14" s="250"/>
      <c r="X14" s="257" t="s">
        <v>531</v>
      </c>
      <c r="Y14" s="250"/>
      <c r="Z14" s="257" t="s">
        <v>233</v>
      </c>
      <c r="AA14" s="257" t="s">
        <v>60</v>
      </c>
      <c r="AB14" s="250"/>
      <c r="AC14" s="257" t="s">
        <v>404</v>
      </c>
      <c r="AD14" s="257" t="s">
        <v>220</v>
      </c>
      <c r="AE14" s="257" t="s">
        <v>224</v>
      </c>
      <c r="AF14" s="250"/>
      <c r="AG14" s="250"/>
      <c r="AH14" s="250"/>
      <c r="AI14" s="250"/>
      <c r="AJ14" s="250"/>
    </row>
    <row r="15" spans="1:36" x14ac:dyDescent="0.3">
      <c r="A15" s="252" t="s">
        <v>179</v>
      </c>
      <c r="B15" s="253">
        <v>46016</v>
      </c>
      <c r="C15" s="254" t="s">
        <v>493</v>
      </c>
      <c r="D15" s="255" t="s">
        <v>515</v>
      </c>
      <c r="E15" s="254" t="s">
        <v>490</v>
      </c>
      <c r="F15" s="254" t="s">
        <v>141</v>
      </c>
      <c r="G15" s="256">
        <v>7.2599999999999998E-2</v>
      </c>
      <c r="H15" s="257">
        <v>179</v>
      </c>
      <c r="I15" s="257">
        <v>13</v>
      </c>
      <c r="J15" s="257">
        <v>0</v>
      </c>
      <c r="K15" s="254" t="s">
        <v>142</v>
      </c>
      <c r="L15" s="258" t="s">
        <v>37</v>
      </c>
      <c r="M15" s="257">
        <v>0</v>
      </c>
      <c r="N15" s="257">
        <v>2</v>
      </c>
      <c r="O15" s="257">
        <v>5</v>
      </c>
      <c r="P15" s="254" t="s">
        <v>153</v>
      </c>
      <c r="Q15" s="250"/>
      <c r="R15" s="250"/>
      <c r="S15" s="250"/>
      <c r="T15" s="250"/>
      <c r="U15" s="250"/>
      <c r="V15" s="250"/>
      <c r="W15" s="250"/>
      <c r="X15" s="257" t="s">
        <v>45</v>
      </c>
      <c r="Y15" s="250"/>
      <c r="Z15" s="257" t="s">
        <v>233</v>
      </c>
      <c r="AA15" s="257" t="s">
        <v>175</v>
      </c>
      <c r="AB15" s="250"/>
      <c r="AC15" s="250"/>
      <c r="AD15" s="257" t="s">
        <v>249</v>
      </c>
      <c r="AE15" s="257" t="s">
        <v>100</v>
      </c>
      <c r="AF15" s="250"/>
      <c r="AG15" s="250"/>
      <c r="AH15" s="250"/>
      <c r="AI15" s="250"/>
      <c r="AJ15" s="250"/>
    </row>
    <row r="16" spans="1:36" ht="21" x14ac:dyDescent="0.3">
      <c r="A16" s="259" t="s">
        <v>900</v>
      </c>
      <c r="B16" s="260"/>
      <c r="C16" s="259">
        <f>SUBTOTAL(103,CAI_AHB_LF_LEGACY[Flt])</f>
        <v>14</v>
      </c>
      <c r="D16" s="259"/>
      <c r="E16" s="259">
        <f>SUBTOTAL(103,CAI_AHB_LF_LEGACY[Brd-Off])</f>
        <v>14</v>
      </c>
      <c r="F16" s="259"/>
      <c r="G16" s="261">
        <f>SUBTOTAL(101,CAI_AHB_LF_LEGACY[LF%])</f>
        <v>0.44892857142857145</v>
      </c>
      <c r="H16" s="262">
        <f>SUBTOTAL(109,CAI_AHB_LF_LEGACY[CAP])</f>
        <v>2506</v>
      </c>
      <c r="I16" s="262">
        <f>SUBTOTAL(109,CAI_AHB_LF_LEGACY[BKG(Y)])</f>
        <v>1125</v>
      </c>
      <c r="J16" s="262">
        <f>SUBTOTAL(109,CAI_AHB_LF_LEGACY[GRP(Y)])</f>
        <v>0</v>
      </c>
      <c r="K16" s="259"/>
      <c r="L16" s="260"/>
      <c r="M16" s="262">
        <f>SUBTOTAL(109,CAI_AHB_LF_LEGACY[TO-DAY])</f>
        <v>106</v>
      </c>
      <c r="N16" s="262">
        <f>SUBTOTAL(109,CAI_AHB_LF_LEGACY[Y-DAY])</f>
        <v>53</v>
      </c>
      <c r="O16" s="262">
        <f>SUBTOTAL(109,CAI_AHB_LF_LEGACY[WEEKLY])</f>
        <v>382</v>
      </c>
      <c r="P16" s="263"/>
      <c r="Q16" s="262">
        <f>SUBTOTAL(109,CAI_AHB_LF_LEGACY[Y])</f>
        <v>0</v>
      </c>
      <c r="R16" s="262">
        <f>SUBTOTAL(109,CAI_AHB_LF_LEGACY[B])</f>
        <v>0</v>
      </c>
      <c r="S16" s="262">
        <f>SUBTOTAL(109,CAI_AHB_LF_LEGACY[M])</f>
        <v>0</v>
      </c>
      <c r="T16" s="262">
        <f>SUBTOTAL(109,CAI_AHB_LF_LEGACY[H])</f>
        <v>0</v>
      </c>
      <c r="U16" s="262">
        <f>SUBTOTAL(109,CAI_AHB_LF_LEGACY[Q])</f>
        <v>0</v>
      </c>
      <c r="V16" s="262">
        <f>SUBTOTAL(109,CAI_AHB_LF_LEGACY[K])</f>
        <v>0</v>
      </c>
      <c r="W16" s="262">
        <f>SUBTOTAL(109,CAI_AHB_LF_LEGACY[V])</f>
        <v>0</v>
      </c>
      <c r="X16" s="262">
        <f>SUBTOTAL(109,CAI_AHB_LF_LEGACY[L])</f>
        <v>0</v>
      </c>
      <c r="Y16" s="262">
        <f>SUBTOTAL(109,CAI_AHB_LF_LEGACY[G])</f>
        <v>0</v>
      </c>
      <c r="Z16" s="262">
        <f>SUBTOTAL(109,CAI_AHB_LF_LEGACY[S])</f>
        <v>0</v>
      </c>
      <c r="AA16" s="262">
        <f>SUBTOTAL(109,CAI_AHB_LF_LEGACY[W])</f>
        <v>0</v>
      </c>
      <c r="AB16" s="262">
        <f>SUBTOTAL(109,CAI_AHB_LF_LEGACY[T])</f>
        <v>0</v>
      </c>
      <c r="AC16" s="262">
        <f>SUBTOTAL(109,CAI_AHB_LF_LEGACY[X])</f>
        <v>0</v>
      </c>
      <c r="AD16" s="262">
        <f>SUBTOTAL(109,CAI_AHB_LF_LEGACY[U])</f>
        <v>0</v>
      </c>
      <c r="AE16" s="262">
        <f>SUBTOTAL(109,CAI_AHB_LF_LEGACY[O])</f>
        <v>0</v>
      </c>
      <c r="AF16" s="262">
        <f>SUBTOTAL(109,CAI_AHB_LF_LEGACY[I])</f>
        <v>0</v>
      </c>
      <c r="AG16" s="262">
        <f>SUBTOTAL(109,CAI_AHB_LF_LEGACY[E])</f>
        <v>0</v>
      </c>
      <c r="AH16" s="262">
        <f>SUBTOTAL(109,CAI_AHB_LF_LEGACY[A])</f>
        <v>0</v>
      </c>
      <c r="AI16" s="262">
        <f>SUBTOTAL(109,CAI_AHB_LF_LEGACY[P])</f>
        <v>0</v>
      </c>
      <c r="AJ16" s="262">
        <f>SUBTOTAL(103,CAI_AHB_LF_LEGACY[N])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6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6.109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9.8867187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534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45984.22871606244</v>
      </c>
      <c r="H2" s="235"/>
      <c r="I2" s="235"/>
      <c r="J2" s="235"/>
      <c r="K2" s="245">
        <v>45984.228716064747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45984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26" t="s">
        <v>28</v>
      </c>
      <c r="B6" s="26" t="s">
        <v>535</v>
      </c>
      <c r="C6" s="27">
        <v>0.63194444444444442</v>
      </c>
      <c r="D6" s="26" t="s">
        <v>30</v>
      </c>
      <c r="E6" s="28"/>
      <c r="F6" s="26" t="s">
        <v>36</v>
      </c>
      <c r="G6" s="237"/>
      <c r="H6" s="29" t="s">
        <v>535</v>
      </c>
      <c r="I6" s="30">
        <v>0.80449999999999999</v>
      </c>
      <c r="J6" s="31">
        <v>144</v>
      </c>
      <c r="K6" s="32" t="s">
        <v>75</v>
      </c>
      <c r="L6" s="31">
        <v>91</v>
      </c>
      <c r="M6" s="31">
        <v>1</v>
      </c>
      <c r="N6" s="31">
        <v>13</v>
      </c>
      <c r="O6" s="33" t="s">
        <v>233</v>
      </c>
      <c r="P6" s="34">
        <v>0.63194444444444442</v>
      </c>
      <c r="Q6" s="31">
        <v>179</v>
      </c>
      <c r="R6" s="35" t="s">
        <v>536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45988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56" t="s">
        <v>28</v>
      </c>
      <c r="B10" s="56" t="s">
        <v>535</v>
      </c>
      <c r="C10" s="57">
        <v>0.63194444444444442</v>
      </c>
      <c r="D10" s="56" t="s">
        <v>30</v>
      </c>
      <c r="E10" s="58"/>
      <c r="F10" s="56" t="s">
        <v>36</v>
      </c>
      <c r="G10" s="232"/>
      <c r="H10" s="59" t="s">
        <v>535</v>
      </c>
      <c r="I10" s="60">
        <v>0.67600000000000005</v>
      </c>
      <c r="J10" s="61">
        <v>121</v>
      </c>
      <c r="K10" s="62" t="s">
        <v>37</v>
      </c>
      <c r="L10" s="61">
        <v>23</v>
      </c>
      <c r="M10" s="61">
        <v>0</v>
      </c>
      <c r="N10" s="61">
        <v>8</v>
      </c>
      <c r="O10" s="63" t="s">
        <v>252</v>
      </c>
      <c r="P10" s="64">
        <v>0.63194444444444442</v>
      </c>
      <c r="Q10" s="61">
        <v>179</v>
      </c>
      <c r="R10" s="65" t="s">
        <v>537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45989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66" t="s">
        <v>28</v>
      </c>
      <c r="B14" s="66" t="s">
        <v>535</v>
      </c>
      <c r="C14" s="67">
        <v>0.82986111111111116</v>
      </c>
      <c r="D14" s="66" t="s">
        <v>30</v>
      </c>
      <c r="E14" s="68"/>
      <c r="F14" s="66" t="s">
        <v>36</v>
      </c>
      <c r="G14" s="232"/>
      <c r="H14" s="127" t="s">
        <v>535</v>
      </c>
      <c r="I14" s="149">
        <v>0.77090000000000003</v>
      </c>
      <c r="J14" s="129">
        <v>138</v>
      </c>
      <c r="K14" s="130" t="s">
        <v>37</v>
      </c>
      <c r="L14" s="129">
        <v>30</v>
      </c>
      <c r="M14" s="129">
        <v>0</v>
      </c>
      <c r="N14" s="129">
        <v>4</v>
      </c>
      <c r="O14" s="131" t="s">
        <v>538</v>
      </c>
      <c r="P14" s="132">
        <v>0.82986111111111116</v>
      </c>
      <c r="Q14" s="129">
        <v>179</v>
      </c>
      <c r="R14" s="133" t="s">
        <v>539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45991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56" t="s">
        <v>28</v>
      </c>
      <c r="B18" s="56" t="s">
        <v>535</v>
      </c>
      <c r="C18" s="57">
        <v>0.63194444444444442</v>
      </c>
      <c r="D18" s="56" t="s">
        <v>30</v>
      </c>
      <c r="E18" s="58"/>
      <c r="F18" s="56" t="s">
        <v>36</v>
      </c>
      <c r="G18" s="232"/>
      <c r="H18" s="59" t="s">
        <v>535</v>
      </c>
      <c r="I18" s="60">
        <v>0.74299999999999999</v>
      </c>
      <c r="J18" s="61">
        <v>133</v>
      </c>
      <c r="K18" s="62" t="s">
        <v>37</v>
      </c>
      <c r="L18" s="61">
        <v>53</v>
      </c>
      <c r="M18" s="61">
        <v>0</v>
      </c>
      <c r="N18" s="61">
        <v>8</v>
      </c>
      <c r="O18" s="63" t="s">
        <v>463</v>
      </c>
      <c r="P18" s="64">
        <v>0.63194444444444442</v>
      </c>
      <c r="Q18" s="61">
        <v>179</v>
      </c>
      <c r="R18" s="65" t="s">
        <v>540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45995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76" t="s">
        <v>28</v>
      </c>
      <c r="B22" s="76" t="s">
        <v>535</v>
      </c>
      <c r="C22" s="77">
        <v>0.63194444444444442</v>
      </c>
      <c r="D22" s="76" t="s">
        <v>30</v>
      </c>
      <c r="E22" s="78"/>
      <c r="F22" s="76" t="s">
        <v>68</v>
      </c>
      <c r="G22" s="232"/>
      <c r="H22" s="49" t="s">
        <v>535</v>
      </c>
      <c r="I22" s="79">
        <v>0.26819999999999999</v>
      </c>
      <c r="J22" s="51">
        <v>48</v>
      </c>
      <c r="K22" s="52" t="s">
        <v>37</v>
      </c>
      <c r="L22" s="51">
        <v>24</v>
      </c>
      <c r="M22" s="51">
        <v>0</v>
      </c>
      <c r="N22" s="51">
        <v>8</v>
      </c>
      <c r="O22" s="53" t="s">
        <v>66</v>
      </c>
      <c r="P22" s="54">
        <v>0.63194444444444442</v>
      </c>
      <c r="Q22" s="51">
        <v>179</v>
      </c>
      <c r="R22" s="55" t="s">
        <v>541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45996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535</v>
      </c>
      <c r="C26" s="37">
        <v>0.82986111111111116</v>
      </c>
      <c r="D26" s="36" t="s">
        <v>30</v>
      </c>
      <c r="E26" s="38"/>
      <c r="F26" s="36" t="s">
        <v>68</v>
      </c>
      <c r="G26" s="237"/>
      <c r="H26" s="112" t="s">
        <v>535</v>
      </c>
      <c r="I26" s="113">
        <v>0.2346</v>
      </c>
      <c r="J26" s="114">
        <v>42</v>
      </c>
      <c r="K26" s="115" t="s">
        <v>37</v>
      </c>
      <c r="L26" s="114">
        <v>16</v>
      </c>
      <c r="M26" s="114">
        <v>0</v>
      </c>
      <c r="N26" s="114">
        <v>4</v>
      </c>
      <c r="O26" s="116" t="s">
        <v>153</v>
      </c>
      <c r="P26" s="117">
        <v>0.82986111111111116</v>
      </c>
      <c r="Q26" s="114">
        <v>179</v>
      </c>
      <c r="R26" s="118" t="s">
        <v>542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45998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36" t="s">
        <v>28</v>
      </c>
      <c r="B30" s="36" t="s">
        <v>535</v>
      </c>
      <c r="C30" s="37">
        <v>0.63194444444444442</v>
      </c>
      <c r="D30" s="36" t="s">
        <v>30</v>
      </c>
      <c r="E30" s="38"/>
      <c r="F30" s="36" t="s">
        <v>68</v>
      </c>
      <c r="G30" s="232"/>
      <c r="H30" s="112" t="s">
        <v>535</v>
      </c>
      <c r="I30" s="113">
        <v>0.1341</v>
      </c>
      <c r="J30" s="114">
        <v>24</v>
      </c>
      <c r="K30" s="115" t="s">
        <v>37</v>
      </c>
      <c r="L30" s="114">
        <v>13</v>
      </c>
      <c r="M30" s="114">
        <v>0</v>
      </c>
      <c r="N30" s="114">
        <v>8</v>
      </c>
      <c r="O30" s="116" t="s">
        <v>213</v>
      </c>
      <c r="P30" s="117">
        <v>0.63194444444444442</v>
      </c>
      <c r="Q30" s="114">
        <v>179</v>
      </c>
      <c r="R30" s="118" t="s">
        <v>543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46002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35">
      <c r="A34" s="76" t="s">
        <v>28</v>
      </c>
      <c r="B34" s="76" t="s">
        <v>535</v>
      </c>
      <c r="C34" s="77">
        <v>0.63194444444444442</v>
      </c>
      <c r="D34" s="76" t="s">
        <v>30</v>
      </c>
      <c r="E34" s="78"/>
      <c r="F34" s="76" t="s">
        <v>68</v>
      </c>
      <c r="G34" s="232"/>
      <c r="H34" s="49" t="s">
        <v>535</v>
      </c>
      <c r="I34" s="79">
        <v>8.9399999999999993E-2</v>
      </c>
      <c r="J34" s="51">
        <v>16</v>
      </c>
      <c r="K34" s="52" t="s">
        <v>37</v>
      </c>
      <c r="L34" s="51">
        <v>10</v>
      </c>
      <c r="M34" s="51">
        <v>0</v>
      </c>
      <c r="N34" s="51">
        <v>2</v>
      </c>
      <c r="O34" s="53" t="s">
        <v>62</v>
      </c>
      <c r="P34" s="54">
        <v>0.63194444444444442</v>
      </c>
      <c r="Q34" s="51">
        <v>179</v>
      </c>
      <c r="R34" s="55" t="s">
        <v>544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46003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35">
      <c r="A38" s="137" t="s">
        <v>28</v>
      </c>
      <c r="B38" s="137" t="s">
        <v>535</v>
      </c>
      <c r="C38" s="138">
        <v>0.82986111111111116</v>
      </c>
      <c r="D38" s="137" t="s">
        <v>30</v>
      </c>
      <c r="E38" s="139"/>
      <c r="F38" s="137" t="s">
        <v>68</v>
      </c>
      <c r="G38" s="232"/>
      <c r="H38" s="93" t="s">
        <v>535</v>
      </c>
      <c r="I38" s="94">
        <v>4.4699999999999997E-2</v>
      </c>
      <c r="J38" s="95">
        <v>8</v>
      </c>
      <c r="K38" s="96" t="s">
        <v>32</v>
      </c>
      <c r="L38" s="95">
        <v>4</v>
      </c>
      <c r="M38" s="95">
        <v>0</v>
      </c>
      <c r="N38" s="95">
        <v>0</v>
      </c>
      <c r="O38" s="97" t="s">
        <v>62</v>
      </c>
      <c r="P38" s="98">
        <v>0.82986111111111116</v>
      </c>
      <c r="Q38" s="95">
        <v>179</v>
      </c>
      <c r="R38" s="99" t="s">
        <v>545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22.05" customHeight="1" thickTop="1" thickBot="1" x14ac:dyDescent="0.35">
      <c r="A40" s="241" t="s">
        <v>8</v>
      </c>
      <c r="B40" s="239"/>
      <c r="C40" s="239"/>
      <c r="D40" s="239"/>
      <c r="E40" s="239"/>
      <c r="F40" s="240"/>
      <c r="G40" s="18">
        <v>46005</v>
      </c>
      <c r="H40" s="238" t="s">
        <v>9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40"/>
    </row>
    <row r="41" spans="1:18" ht="24" customHeight="1" x14ac:dyDescent="0.3">
      <c r="A41" s="19" t="s">
        <v>10</v>
      </c>
      <c r="B41" s="19" t="s">
        <v>11</v>
      </c>
      <c r="C41" s="20" t="s">
        <v>12</v>
      </c>
      <c r="D41" s="19" t="s">
        <v>13</v>
      </c>
      <c r="E41" s="19" t="s">
        <v>14</v>
      </c>
      <c r="F41" s="21" t="s">
        <v>15</v>
      </c>
      <c r="G41" s="22" t="s">
        <v>16</v>
      </c>
      <c r="H41" s="19" t="s">
        <v>17</v>
      </c>
      <c r="I41" s="23" t="s">
        <v>18</v>
      </c>
      <c r="J41" s="24" t="s">
        <v>19</v>
      </c>
      <c r="K41" s="25" t="s">
        <v>20</v>
      </c>
      <c r="L41" s="24" t="s">
        <v>21</v>
      </c>
      <c r="M41" s="24" t="s">
        <v>22</v>
      </c>
      <c r="N41" s="24" t="s">
        <v>23</v>
      </c>
      <c r="O41" s="19" t="s">
        <v>24</v>
      </c>
      <c r="P41" s="20" t="s">
        <v>25</v>
      </c>
      <c r="Q41" s="24" t="s">
        <v>26</v>
      </c>
      <c r="R41" s="19" t="s">
        <v>27</v>
      </c>
    </row>
    <row r="42" spans="1:18" ht="49.95" customHeight="1" thickTop="1" thickBot="1" x14ac:dyDescent="0.35">
      <c r="A42" s="26" t="s">
        <v>28</v>
      </c>
      <c r="B42" s="26" t="s">
        <v>535</v>
      </c>
      <c r="C42" s="27">
        <v>0.63194444444444442</v>
      </c>
      <c r="D42" s="26" t="s">
        <v>30</v>
      </c>
      <c r="E42" s="28"/>
      <c r="F42" s="26" t="s">
        <v>68</v>
      </c>
      <c r="G42" s="232"/>
      <c r="H42" s="29" t="s">
        <v>535</v>
      </c>
      <c r="I42" s="147">
        <v>0.15640000000000001</v>
      </c>
      <c r="J42" s="31">
        <v>28</v>
      </c>
      <c r="K42" s="32" t="s">
        <v>102</v>
      </c>
      <c r="L42" s="31">
        <v>7</v>
      </c>
      <c r="M42" s="31">
        <v>0</v>
      </c>
      <c r="N42" s="31">
        <v>0</v>
      </c>
      <c r="O42" s="33" t="s">
        <v>69</v>
      </c>
      <c r="P42" s="34">
        <v>0.63194444444444442</v>
      </c>
      <c r="Q42" s="31">
        <v>179</v>
      </c>
      <c r="R42" s="35" t="s">
        <v>546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46009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thickTop="1" thickBot="1" x14ac:dyDescent="0.35">
      <c r="A46" s="36" t="s">
        <v>28</v>
      </c>
      <c r="B46" s="36" t="s">
        <v>535</v>
      </c>
      <c r="C46" s="37">
        <v>0.63194444444444442</v>
      </c>
      <c r="D46" s="36" t="s">
        <v>30</v>
      </c>
      <c r="E46" s="38"/>
      <c r="F46" s="36" t="s">
        <v>68</v>
      </c>
      <c r="G46" s="232"/>
      <c r="H46" s="112" t="s">
        <v>535</v>
      </c>
      <c r="I46" s="113">
        <v>1.12E-2</v>
      </c>
      <c r="J46" s="114">
        <v>2</v>
      </c>
      <c r="K46" s="115" t="s">
        <v>32</v>
      </c>
      <c r="L46" s="114">
        <v>1</v>
      </c>
      <c r="M46" s="114">
        <v>0</v>
      </c>
      <c r="N46" s="114">
        <v>0</v>
      </c>
      <c r="O46" s="116" t="s">
        <v>153</v>
      </c>
      <c r="P46" s="117">
        <v>0.63194444444444442</v>
      </c>
      <c r="Q46" s="114">
        <v>179</v>
      </c>
      <c r="R46" s="118" t="s">
        <v>547</v>
      </c>
    </row>
    <row r="47" spans="1:18" ht="17.399999999999999" customHeight="1" thickBot="1" x14ac:dyDescent="0.35">
      <c r="A47" s="264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6"/>
    </row>
    <row r="48" spans="1:18" ht="22.05" customHeight="1" thickTop="1" thickBot="1" x14ac:dyDescent="0.35">
      <c r="A48" s="241" t="s">
        <v>8</v>
      </c>
      <c r="B48" s="239"/>
      <c r="C48" s="239"/>
      <c r="D48" s="239"/>
      <c r="E48" s="239"/>
      <c r="F48" s="240"/>
      <c r="G48" s="18">
        <v>46010</v>
      </c>
      <c r="H48" s="238" t="s">
        <v>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40"/>
    </row>
    <row r="49" spans="1:18" ht="24" customHeight="1" x14ac:dyDescent="0.3">
      <c r="A49" s="19" t="s">
        <v>10</v>
      </c>
      <c r="B49" s="19" t="s">
        <v>11</v>
      </c>
      <c r="C49" s="20" t="s">
        <v>12</v>
      </c>
      <c r="D49" s="19" t="s">
        <v>13</v>
      </c>
      <c r="E49" s="19" t="s">
        <v>14</v>
      </c>
      <c r="F49" s="21" t="s">
        <v>15</v>
      </c>
      <c r="G49" s="22" t="s">
        <v>16</v>
      </c>
      <c r="H49" s="19" t="s">
        <v>17</v>
      </c>
      <c r="I49" s="23" t="s">
        <v>18</v>
      </c>
      <c r="J49" s="24" t="s">
        <v>19</v>
      </c>
      <c r="K49" s="25" t="s">
        <v>20</v>
      </c>
      <c r="L49" s="24" t="s">
        <v>21</v>
      </c>
      <c r="M49" s="24" t="s">
        <v>22</v>
      </c>
      <c r="N49" s="24" t="s">
        <v>23</v>
      </c>
      <c r="O49" s="19" t="s">
        <v>24</v>
      </c>
      <c r="P49" s="20" t="s">
        <v>25</v>
      </c>
      <c r="Q49" s="24" t="s">
        <v>26</v>
      </c>
      <c r="R49" s="19" t="s">
        <v>27</v>
      </c>
    </row>
    <row r="50" spans="1:18" ht="49.95" customHeight="1" thickTop="1" thickBot="1" x14ac:dyDescent="0.35">
      <c r="A50" s="66" t="s">
        <v>28</v>
      </c>
      <c r="B50" s="66" t="s">
        <v>535</v>
      </c>
      <c r="C50" s="67">
        <v>0.82986111111111116</v>
      </c>
      <c r="D50" s="66" t="s">
        <v>30</v>
      </c>
      <c r="E50" s="68"/>
      <c r="F50" s="66" t="s">
        <v>68</v>
      </c>
      <c r="G50" s="232"/>
      <c r="H50" s="127" t="s">
        <v>535</v>
      </c>
      <c r="I50" s="128">
        <v>4.4699999999999997E-2</v>
      </c>
      <c r="J50" s="129">
        <v>8</v>
      </c>
      <c r="K50" s="130" t="s">
        <v>37</v>
      </c>
      <c r="L50" s="129">
        <v>3</v>
      </c>
      <c r="M50" s="129">
        <v>0</v>
      </c>
      <c r="N50" s="129">
        <v>1</v>
      </c>
      <c r="O50" s="131" t="s">
        <v>153</v>
      </c>
      <c r="P50" s="132">
        <v>0.82986111111111116</v>
      </c>
      <c r="Q50" s="129">
        <v>179</v>
      </c>
      <c r="R50" s="133" t="s">
        <v>548</v>
      </c>
    </row>
    <row r="51" spans="1:18" ht="17.399999999999999" customHeight="1" thickBot="1" x14ac:dyDescent="0.35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6"/>
    </row>
    <row r="52" spans="1:18" ht="22.05" customHeight="1" thickTop="1" thickBot="1" x14ac:dyDescent="0.35">
      <c r="A52" s="241" t="s">
        <v>8</v>
      </c>
      <c r="B52" s="239"/>
      <c r="C52" s="239"/>
      <c r="D52" s="239"/>
      <c r="E52" s="239"/>
      <c r="F52" s="240"/>
      <c r="G52" s="18">
        <v>46012</v>
      </c>
      <c r="H52" s="238" t="s">
        <v>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40"/>
    </row>
    <row r="53" spans="1:18" ht="24" customHeight="1" x14ac:dyDescent="0.3">
      <c r="A53" s="19" t="s">
        <v>10</v>
      </c>
      <c r="B53" s="19" t="s">
        <v>11</v>
      </c>
      <c r="C53" s="20" t="s">
        <v>12</v>
      </c>
      <c r="D53" s="19" t="s">
        <v>13</v>
      </c>
      <c r="E53" s="19" t="s">
        <v>14</v>
      </c>
      <c r="F53" s="21" t="s">
        <v>15</v>
      </c>
      <c r="G53" s="22" t="s">
        <v>16</v>
      </c>
      <c r="H53" s="19" t="s">
        <v>17</v>
      </c>
      <c r="I53" s="23" t="s">
        <v>18</v>
      </c>
      <c r="J53" s="24" t="s">
        <v>19</v>
      </c>
      <c r="K53" s="25" t="s">
        <v>20</v>
      </c>
      <c r="L53" s="24" t="s">
        <v>21</v>
      </c>
      <c r="M53" s="24" t="s">
        <v>22</v>
      </c>
      <c r="N53" s="24" t="s">
        <v>23</v>
      </c>
      <c r="O53" s="19" t="s">
        <v>24</v>
      </c>
      <c r="P53" s="20" t="s">
        <v>25</v>
      </c>
      <c r="Q53" s="24" t="s">
        <v>26</v>
      </c>
      <c r="R53" s="19" t="s">
        <v>27</v>
      </c>
    </row>
    <row r="54" spans="1:18" ht="49.95" customHeight="1" thickTop="1" thickBot="1" x14ac:dyDescent="0.5">
      <c r="A54" s="56" t="s">
        <v>28</v>
      </c>
      <c r="B54" s="56" t="s">
        <v>535</v>
      </c>
      <c r="C54" s="57">
        <v>0.63194444444444442</v>
      </c>
      <c r="D54" s="56" t="s">
        <v>30</v>
      </c>
      <c r="E54" s="58"/>
      <c r="F54" s="56" t="s">
        <v>68</v>
      </c>
      <c r="G54" s="237"/>
      <c r="H54" s="59" t="s">
        <v>535</v>
      </c>
      <c r="I54" s="108">
        <v>2.23E-2</v>
      </c>
      <c r="J54" s="61">
        <v>4</v>
      </c>
      <c r="K54" s="62" t="s">
        <v>82</v>
      </c>
      <c r="L54" s="61">
        <v>1</v>
      </c>
      <c r="M54" s="61">
        <v>0</v>
      </c>
      <c r="N54" s="61">
        <v>0</v>
      </c>
      <c r="O54" s="63" t="s">
        <v>153</v>
      </c>
      <c r="P54" s="64">
        <v>0.63194444444444442</v>
      </c>
      <c r="Q54" s="61">
        <v>179</v>
      </c>
      <c r="R54" s="65" t="s">
        <v>549</v>
      </c>
    </row>
    <row r="55" spans="1:18" ht="17.399999999999999" customHeight="1" thickBot="1" x14ac:dyDescent="0.35">
      <c r="A55" s="264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6"/>
    </row>
    <row r="56" spans="1:18" ht="22.05" customHeight="1" thickTop="1" thickBot="1" x14ac:dyDescent="0.35">
      <c r="A56" s="241" t="s">
        <v>8</v>
      </c>
      <c r="B56" s="239"/>
      <c r="C56" s="239"/>
      <c r="D56" s="239"/>
      <c r="E56" s="239"/>
      <c r="F56" s="240"/>
      <c r="G56" s="18">
        <v>46016</v>
      </c>
      <c r="H56" s="238" t="s">
        <v>9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40"/>
    </row>
    <row r="57" spans="1:18" ht="24" customHeight="1" x14ac:dyDescent="0.3">
      <c r="A57" s="19" t="s">
        <v>10</v>
      </c>
      <c r="B57" s="19" t="s">
        <v>11</v>
      </c>
      <c r="C57" s="20" t="s">
        <v>12</v>
      </c>
      <c r="D57" s="19" t="s">
        <v>13</v>
      </c>
      <c r="E57" s="19" t="s">
        <v>14</v>
      </c>
      <c r="F57" s="21" t="s">
        <v>15</v>
      </c>
      <c r="G57" s="22" t="s">
        <v>16</v>
      </c>
      <c r="H57" s="19" t="s">
        <v>17</v>
      </c>
      <c r="I57" s="23" t="s">
        <v>18</v>
      </c>
      <c r="J57" s="24" t="s">
        <v>19</v>
      </c>
      <c r="K57" s="25" t="s">
        <v>20</v>
      </c>
      <c r="L57" s="24" t="s">
        <v>21</v>
      </c>
      <c r="M57" s="24" t="s">
        <v>22</v>
      </c>
      <c r="N57" s="24" t="s">
        <v>23</v>
      </c>
      <c r="O57" s="19" t="s">
        <v>24</v>
      </c>
      <c r="P57" s="20" t="s">
        <v>25</v>
      </c>
      <c r="Q57" s="24" t="s">
        <v>26</v>
      </c>
      <c r="R57" s="19" t="s">
        <v>27</v>
      </c>
    </row>
    <row r="58" spans="1:18" ht="49.95" customHeight="1" thickTop="1" thickBot="1" x14ac:dyDescent="0.5">
      <c r="A58" s="80" t="s">
        <v>28</v>
      </c>
      <c r="B58" s="80" t="s">
        <v>535</v>
      </c>
      <c r="C58" s="81">
        <v>0.63194444444444442</v>
      </c>
      <c r="D58" s="80" t="s">
        <v>30</v>
      </c>
      <c r="E58" s="82"/>
      <c r="F58" s="80" t="s">
        <v>68</v>
      </c>
      <c r="G58" s="237"/>
      <c r="H58" s="100" t="s">
        <v>535</v>
      </c>
      <c r="I58" s="101">
        <v>5.5999999999999999E-3</v>
      </c>
      <c r="J58" s="102">
        <v>1</v>
      </c>
      <c r="K58" s="103" t="s">
        <v>32</v>
      </c>
      <c r="L58" s="102">
        <v>1</v>
      </c>
      <c r="M58" s="102">
        <v>0</v>
      </c>
      <c r="N58" s="102">
        <v>0</v>
      </c>
      <c r="O58" s="104" t="s">
        <v>153</v>
      </c>
      <c r="P58" s="105">
        <v>0.63194444444444442</v>
      </c>
      <c r="Q58" s="102">
        <v>179</v>
      </c>
      <c r="R58" s="106" t="s">
        <v>143</v>
      </c>
    </row>
    <row r="59" spans="1:18" ht="17.399999999999999" customHeight="1" thickBot="1" x14ac:dyDescent="0.35">
      <c r="A59" s="264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6"/>
    </row>
    <row r="60" spans="1:18" ht="22.05" customHeight="1" thickTop="1" thickBot="1" x14ac:dyDescent="0.35">
      <c r="A60" s="241" t="s">
        <v>8</v>
      </c>
      <c r="B60" s="239"/>
      <c r="C60" s="239"/>
      <c r="D60" s="239"/>
      <c r="E60" s="239"/>
      <c r="F60" s="240"/>
      <c r="G60" s="18">
        <v>46017</v>
      </c>
      <c r="H60" s="238" t="s">
        <v>9</v>
      </c>
      <c r="I60" s="239"/>
      <c r="J60" s="239"/>
      <c r="K60" s="239"/>
      <c r="L60" s="239"/>
      <c r="M60" s="239"/>
      <c r="N60" s="239"/>
      <c r="O60" s="239"/>
      <c r="P60" s="239"/>
      <c r="Q60" s="239"/>
      <c r="R60" s="240"/>
    </row>
    <row r="61" spans="1:18" ht="24" customHeight="1" x14ac:dyDescent="0.3">
      <c r="A61" s="19" t="s">
        <v>10</v>
      </c>
      <c r="B61" s="19" t="s">
        <v>11</v>
      </c>
      <c r="C61" s="20" t="s">
        <v>12</v>
      </c>
      <c r="D61" s="19" t="s">
        <v>13</v>
      </c>
      <c r="E61" s="19" t="s">
        <v>14</v>
      </c>
      <c r="F61" s="21" t="s">
        <v>15</v>
      </c>
      <c r="G61" s="22" t="s">
        <v>16</v>
      </c>
      <c r="H61" s="19" t="s">
        <v>17</v>
      </c>
      <c r="I61" s="23" t="s">
        <v>18</v>
      </c>
      <c r="J61" s="24" t="s">
        <v>19</v>
      </c>
      <c r="K61" s="25" t="s">
        <v>20</v>
      </c>
      <c r="L61" s="24" t="s">
        <v>21</v>
      </c>
      <c r="M61" s="24" t="s">
        <v>22</v>
      </c>
      <c r="N61" s="24" t="s">
        <v>23</v>
      </c>
      <c r="O61" s="19" t="s">
        <v>24</v>
      </c>
      <c r="P61" s="20" t="s">
        <v>25</v>
      </c>
      <c r="Q61" s="24" t="s">
        <v>26</v>
      </c>
      <c r="R61" s="19" t="s">
        <v>27</v>
      </c>
    </row>
    <row r="62" spans="1:18" ht="49.95" customHeight="1" x14ac:dyDescent="0.45">
      <c r="A62" s="36" t="s">
        <v>28</v>
      </c>
      <c r="B62" s="36" t="s">
        <v>535</v>
      </c>
      <c r="C62" s="37">
        <v>0.82986111111111116</v>
      </c>
      <c r="D62" s="36" t="s">
        <v>30</v>
      </c>
      <c r="E62" s="38"/>
      <c r="F62" s="36" t="s">
        <v>68</v>
      </c>
      <c r="G62" s="237"/>
      <c r="H62" s="112" t="s">
        <v>535</v>
      </c>
      <c r="I62" s="113">
        <v>3.9100000000000003E-2</v>
      </c>
      <c r="J62" s="114">
        <v>7</v>
      </c>
      <c r="K62" s="115" t="s">
        <v>550</v>
      </c>
      <c r="L62" s="114">
        <v>0</v>
      </c>
      <c r="M62" s="114">
        <v>0</v>
      </c>
      <c r="N62" s="114">
        <v>0</v>
      </c>
      <c r="O62" s="116" t="s">
        <v>153</v>
      </c>
      <c r="P62" s="117">
        <v>0.82986111111111116</v>
      </c>
      <c r="Q62" s="114">
        <v>179</v>
      </c>
      <c r="R62" s="118" t="s">
        <v>551</v>
      </c>
    </row>
  </sheetData>
  <mergeCells count="66">
    <mergeCell ref="G62"/>
    <mergeCell ref="G18"/>
    <mergeCell ref="A24:F24"/>
    <mergeCell ref="A39:R39"/>
    <mergeCell ref="A15:R15"/>
    <mergeCell ref="A59:R59"/>
    <mergeCell ref="A60:F60"/>
    <mergeCell ref="A36:F36"/>
    <mergeCell ref="G34"/>
    <mergeCell ref="A51:R51"/>
    <mergeCell ref="H48:R48"/>
    <mergeCell ref="G30"/>
    <mergeCell ref="H24:R24"/>
    <mergeCell ref="G58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H60:R60"/>
    <mergeCell ref="G2:J2"/>
    <mergeCell ref="A4:F4"/>
    <mergeCell ref="A23:R23"/>
    <mergeCell ref="A20:F20"/>
    <mergeCell ref="H36:R36"/>
    <mergeCell ref="G42"/>
    <mergeCell ref="A35:R35"/>
    <mergeCell ref="G6"/>
    <mergeCell ref="H12:R12"/>
    <mergeCell ref="A11:R11"/>
    <mergeCell ref="G14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17"/>
  <sheetViews>
    <sheetView workbookViewId="0"/>
  </sheetViews>
  <sheetFormatPr defaultRowHeight="15.6" outlineLevelCol="1" x14ac:dyDescent="0.3"/>
  <cols>
    <col min="1" max="1" width="9.88671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7.88671875" style="251" bestFit="1" customWidth="1"/>
    <col min="6" max="6" width="4.21875" style="251" bestFit="1" customWidth="1"/>
    <col min="7" max="7" width="10" style="251" bestFit="1" customWidth="1"/>
    <col min="8" max="8" width="8.5546875" style="251" bestFit="1" customWidth="1"/>
    <col min="9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18" width="3.88671875" style="251" bestFit="1" customWidth="1"/>
    <col min="19" max="19" width="4.88671875" style="251" bestFit="1" customWidth="1"/>
    <col min="20" max="20" width="4.44140625" style="251" bestFit="1" customWidth="1"/>
    <col min="21" max="22" width="3.88671875" style="251" bestFit="1" customWidth="1"/>
    <col min="23" max="23" width="4.33203125" style="251" bestFit="1" customWidth="1"/>
    <col min="24" max="24" width="3.886718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0" width="3.88671875" style="251" bestFit="1" customWidth="1"/>
    <col min="31" max="31" width="4.5546875" style="251" bestFit="1" customWidth="1"/>
    <col min="32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139</v>
      </c>
      <c r="B2" s="253">
        <v>45984</v>
      </c>
      <c r="C2" s="254" t="s">
        <v>535</v>
      </c>
      <c r="D2" s="255" t="s">
        <v>552</v>
      </c>
      <c r="E2" s="254" t="s">
        <v>534</v>
      </c>
      <c r="F2" s="254" t="s">
        <v>141</v>
      </c>
      <c r="G2" s="256">
        <v>0.80449999999999999</v>
      </c>
      <c r="H2" s="257">
        <v>179</v>
      </c>
      <c r="I2" s="257">
        <v>144</v>
      </c>
      <c r="J2" s="257">
        <v>0</v>
      </c>
      <c r="K2" s="254" t="s">
        <v>142</v>
      </c>
      <c r="L2" s="258" t="s">
        <v>75</v>
      </c>
      <c r="M2" s="257">
        <v>1</v>
      </c>
      <c r="N2" s="257">
        <v>13</v>
      </c>
      <c r="O2" s="257">
        <v>91</v>
      </c>
      <c r="P2" s="254" t="s">
        <v>233</v>
      </c>
      <c r="Q2" s="250"/>
      <c r="R2" s="250"/>
      <c r="S2" s="250"/>
      <c r="T2" s="250"/>
      <c r="U2" s="250"/>
      <c r="V2" s="250"/>
      <c r="W2" s="250"/>
      <c r="X2" s="250"/>
      <c r="Y2" s="257" t="s">
        <v>476</v>
      </c>
      <c r="Z2" s="257" t="s">
        <v>553</v>
      </c>
      <c r="AA2" s="257" t="s">
        <v>554</v>
      </c>
      <c r="AB2" s="250"/>
      <c r="AC2" s="257" t="s">
        <v>58</v>
      </c>
      <c r="AD2" s="257" t="s">
        <v>249</v>
      </c>
      <c r="AE2" s="257" t="s">
        <v>253</v>
      </c>
      <c r="AF2" s="257" t="s">
        <v>147</v>
      </c>
      <c r="AG2" s="250"/>
      <c r="AH2" s="250"/>
      <c r="AI2" s="250"/>
      <c r="AJ2" s="250"/>
    </row>
    <row r="3" spans="1:36" x14ac:dyDescent="0.3">
      <c r="A3" s="252" t="s">
        <v>179</v>
      </c>
      <c r="B3" s="253">
        <v>45988</v>
      </c>
      <c r="C3" s="254" t="s">
        <v>535</v>
      </c>
      <c r="D3" s="255" t="s">
        <v>552</v>
      </c>
      <c r="E3" s="254" t="s">
        <v>534</v>
      </c>
      <c r="F3" s="254" t="s">
        <v>141</v>
      </c>
      <c r="G3" s="256">
        <v>0.67600000000000005</v>
      </c>
      <c r="H3" s="257">
        <v>179</v>
      </c>
      <c r="I3" s="257">
        <v>121</v>
      </c>
      <c r="J3" s="257">
        <v>0</v>
      </c>
      <c r="K3" s="254" t="s">
        <v>142</v>
      </c>
      <c r="L3" s="258" t="s">
        <v>37</v>
      </c>
      <c r="M3" s="257">
        <v>0</v>
      </c>
      <c r="N3" s="257">
        <v>8</v>
      </c>
      <c r="O3" s="257">
        <v>23</v>
      </c>
      <c r="P3" s="254" t="s">
        <v>252</v>
      </c>
      <c r="Q3" s="250"/>
      <c r="R3" s="250"/>
      <c r="S3" s="250"/>
      <c r="T3" s="250"/>
      <c r="U3" s="257" t="s">
        <v>187</v>
      </c>
      <c r="V3" s="257" t="s">
        <v>196</v>
      </c>
      <c r="W3" s="257" t="s">
        <v>555</v>
      </c>
      <c r="X3" s="257" t="s">
        <v>159</v>
      </c>
      <c r="Y3" s="257" t="s">
        <v>169</v>
      </c>
      <c r="Z3" s="257" t="s">
        <v>464</v>
      </c>
      <c r="AA3" s="257" t="s">
        <v>212</v>
      </c>
      <c r="AB3" s="257" t="s">
        <v>223</v>
      </c>
      <c r="AC3" s="257" t="s">
        <v>328</v>
      </c>
      <c r="AD3" s="257" t="s">
        <v>86</v>
      </c>
      <c r="AE3" s="257" t="s">
        <v>84</v>
      </c>
      <c r="AF3" s="257" t="s">
        <v>281</v>
      </c>
      <c r="AG3" s="250"/>
      <c r="AH3" s="250"/>
      <c r="AI3" s="250"/>
      <c r="AJ3" s="250"/>
    </row>
    <row r="4" spans="1:36" x14ac:dyDescent="0.3">
      <c r="A4" s="252" t="s">
        <v>185</v>
      </c>
      <c r="B4" s="253">
        <v>45989</v>
      </c>
      <c r="C4" s="254" t="s">
        <v>535</v>
      </c>
      <c r="D4" s="255" t="s">
        <v>556</v>
      </c>
      <c r="E4" s="254" t="s">
        <v>534</v>
      </c>
      <c r="F4" s="254" t="s">
        <v>141</v>
      </c>
      <c r="G4" s="256">
        <v>0.77090000000000003</v>
      </c>
      <c r="H4" s="257">
        <v>179</v>
      </c>
      <c r="I4" s="257">
        <v>138</v>
      </c>
      <c r="J4" s="257">
        <v>0</v>
      </c>
      <c r="K4" s="254" t="s">
        <v>142</v>
      </c>
      <c r="L4" s="258" t="s">
        <v>37</v>
      </c>
      <c r="M4" s="257">
        <v>0</v>
      </c>
      <c r="N4" s="257">
        <v>4</v>
      </c>
      <c r="O4" s="257">
        <v>30</v>
      </c>
      <c r="P4" s="254" t="s">
        <v>538</v>
      </c>
      <c r="Q4" s="250"/>
      <c r="R4" s="250"/>
      <c r="S4" s="257" t="s">
        <v>557</v>
      </c>
      <c r="T4" s="257" t="s">
        <v>558</v>
      </c>
      <c r="U4" s="250"/>
      <c r="V4" s="257" t="s">
        <v>196</v>
      </c>
      <c r="W4" s="257" t="s">
        <v>189</v>
      </c>
      <c r="X4" s="257" t="s">
        <v>159</v>
      </c>
      <c r="Y4" s="257" t="s">
        <v>198</v>
      </c>
      <c r="Z4" s="257" t="s">
        <v>294</v>
      </c>
      <c r="AA4" s="257" t="s">
        <v>175</v>
      </c>
      <c r="AB4" s="257" t="s">
        <v>69</v>
      </c>
      <c r="AC4" s="257" t="s">
        <v>71</v>
      </c>
      <c r="AD4" s="257" t="s">
        <v>99</v>
      </c>
      <c r="AE4" s="257" t="s">
        <v>85</v>
      </c>
      <c r="AF4" s="250"/>
      <c r="AG4" s="250"/>
      <c r="AH4" s="250"/>
      <c r="AI4" s="250"/>
      <c r="AJ4" s="250"/>
    </row>
    <row r="5" spans="1:36" x14ac:dyDescent="0.3">
      <c r="A5" s="252" t="s">
        <v>139</v>
      </c>
      <c r="B5" s="253">
        <v>45991</v>
      </c>
      <c r="C5" s="254" t="s">
        <v>535</v>
      </c>
      <c r="D5" s="255" t="s">
        <v>552</v>
      </c>
      <c r="E5" s="254" t="s">
        <v>534</v>
      </c>
      <c r="F5" s="254" t="s">
        <v>141</v>
      </c>
      <c r="G5" s="256">
        <v>0.74299999999999999</v>
      </c>
      <c r="H5" s="257">
        <v>179</v>
      </c>
      <c r="I5" s="257">
        <v>133</v>
      </c>
      <c r="J5" s="257">
        <v>0</v>
      </c>
      <c r="K5" s="254" t="s">
        <v>142</v>
      </c>
      <c r="L5" s="258" t="s">
        <v>37</v>
      </c>
      <c r="M5" s="257">
        <v>0</v>
      </c>
      <c r="N5" s="257">
        <v>8</v>
      </c>
      <c r="O5" s="257">
        <v>53</v>
      </c>
      <c r="P5" s="254" t="s">
        <v>463</v>
      </c>
      <c r="Q5" s="250"/>
      <c r="R5" s="250"/>
      <c r="S5" s="250"/>
      <c r="T5" s="257" t="s">
        <v>351</v>
      </c>
      <c r="U5" s="250"/>
      <c r="V5" s="257" t="s">
        <v>559</v>
      </c>
      <c r="W5" s="257" t="s">
        <v>560</v>
      </c>
      <c r="X5" s="257" t="s">
        <v>159</v>
      </c>
      <c r="Y5" s="257" t="s">
        <v>198</v>
      </c>
      <c r="Z5" s="257" t="s">
        <v>191</v>
      </c>
      <c r="AA5" s="257" t="s">
        <v>561</v>
      </c>
      <c r="AB5" s="257" t="s">
        <v>231</v>
      </c>
      <c r="AC5" s="257" t="s">
        <v>183</v>
      </c>
      <c r="AD5" s="257" t="s">
        <v>255</v>
      </c>
      <c r="AE5" s="257" t="s">
        <v>156</v>
      </c>
      <c r="AF5" s="257" t="s">
        <v>76</v>
      </c>
      <c r="AG5" s="250"/>
      <c r="AH5" s="250"/>
      <c r="AI5" s="250"/>
      <c r="AJ5" s="257" t="s">
        <v>562</v>
      </c>
    </row>
    <row r="6" spans="1:36" x14ac:dyDescent="0.3">
      <c r="A6" s="252" t="s">
        <v>179</v>
      </c>
      <c r="B6" s="253">
        <v>45995</v>
      </c>
      <c r="C6" s="254" t="s">
        <v>535</v>
      </c>
      <c r="D6" s="255" t="s">
        <v>552</v>
      </c>
      <c r="E6" s="254" t="s">
        <v>534</v>
      </c>
      <c r="F6" s="254" t="s">
        <v>141</v>
      </c>
      <c r="G6" s="256">
        <v>0.26819999999999999</v>
      </c>
      <c r="H6" s="257">
        <v>179</v>
      </c>
      <c r="I6" s="257">
        <v>48</v>
      </c>
      <c r="J6" s="257">
        <v>0</v>
      </c>
      <c r="K6" s="254" t="s">
        <v>142</v>
      </c>
      <c r="L6" s="258" t="s">
        <v>37</v>
      </c>
      <c r="M6" s="257">
        <v>0</v>
      </c>
      <c r="N6" s="257">
        <v>8</v>
      </c>
      <c r="O6" s="257">
        <v>24</v>
      </c>
      <c r="P6" s="254" t="s">
        <v>66</v>
      </c>
      <c r="Q6" s="250"/>
      <c r="R6" s="250"/>
      <c r="S6" s="250"/>
      <c r="T6" s="250"/>
      <c r="U6" s="250"/>
      <c r="V6" s="250"/>
      <c r="W6" s="250"/>
      <c r="X6" s="250"/>
      <c r="Y6" s="257" t="s">
        <v>397</v>
      </c>
      <c r="Z6" s="257" t="s">
        <v>451</v>
      </c>
      <c r="AA6" s="257" t="s">
        <v>526</v>
      </c>
      <c r="AB6" s="250"/>
      <c r="AC6" s="257" t="s">
        <v>58</v>
      </c>
      <c r="AD6" s="250"/>
      <c r="AE6" s="257" t="s">
        <v>84</v>
      </c>
      <c r="AF6" s="250"/>
      <c r="AG6" s="250"/>
      <c r="AH6" s="250"/>
      <c r="AI6" s="250"/>
      <c r="AJ6" s="250"/>
    </row>
    <row r="7" spans="1:36" x14ac:dyDescent="0.3">
      <c r="A7" s="252" t="s">
        <v>185</v>
      </c>
      <c r="B7" s="253">
        <v>45996</v>
      </c>
      <c r="C7" s="254" t="s">
        <v>535</v>
      </c>
      <c r="D7" s="255" t="s">
        <v>556</v>
      </c>
      <c r="E7" s="254" t="s">
        <v>534</v>
      </c>
      <c r="F7" s="254" t="s">
        <v>141</v>
      </c>
      <c r="G7" s="256">
        <v>0.2346</v>
      </c>
      <c r="H7" s="257">
        <v>179</v>
      </c>
      <c r="I7" s="257">
        <v>42</v>
      </c>
      <c r="J7" s="257">
        <v>0</v>
      </c>
      <c r="K7" s="254" t="s">
        <v>142</v>
      </c>
      <c r="L7" s="258" t="s">
        <v>37</v>
      </c>
      <c r="M7" s="257">
        <v>0</v>
      </c>
      <c r="N7" s="257">
        <v>4</v>
      </c>
      <c r="O7" s="257">
        <v>16</v>
      </c>
      <c r="P7" s="254" t="s">
        <v>153</v>
      </c>
      <c r="Q7" s="250"/>
      <c r="R7" s="250"/>
      <c r="S7" s="250"/>
      <c r="T7" s="250"/>
      <c r="U7" s="250"/>
      <c r="V7" s="250"/>
      <c r="W7" s="250"/>
      <c r="X7" s="250"/>
      <c r="Y7" s="257" t="s">
        <v>397</v>
      </c>
      <c r="Z7" s="257" t="s">
        <v>451</v>
      </c>
      <c r="AA7" s="257" t="s">
        <v>66</v>
      </c>
      <c r="AB7" s="257" t="s">
        <v>563</v>
      </c>
      <c r="AC7" s="250"/>
      <c r="AD7" s="257" t="s">
        <v>145</v>
      </c>
      <c r="AE7" s="257" t="s">
        <v>84</v>
      </c>
      <c r="AF7" s="250"/>
      <c r="AG7" s="250"/>
      <c r="AH7" s="250"/>
      <c r="AI7" s="250"/>
      <c r="AJ7" s="250"/>
    </row>
    <row r="8" spans="1:36" x14ac:dyDescent="0.3">
      <c r="A8" s="252" t="s">
        <v>139</v>
      </c>
      <c r="B8" s="253">
        <v>45998</v>
      </c>
      <c r="C8" s="254" t="s">
        <v>535</v>
      </c>
      <c r="D8" s="255" t="s">
        <v>552</v>
      </c>
      <c r="E8" s="254" t="s">
        <v>534</v>
      </c>
      <c r="F8" s="254" t="s">
        <v>141</v>
      </c>
      <c r="G8" s="256">
        <v>0.1341</v>
      </c>
      <c r="H8" s="257">
        <v>179</v>
      </c>
      <c r="I8" s="257">
        <v>24</v>
      </c>
      <c r="J8" s="257">
        <v>0</v>
      </c>
      <c r="K8" s="254" t="s">
        <v>142</v>
      </c>
      <c r="L8" s="258" t="s">
        <v>37</v>
      </c>
      <c r="M8" s="257">
        <v>0</v>
      </c>
      <c r="N8" s="257">
        <v>8</v>
      </c>
      <c r="O8" s="257">
        <v>13</v>
      </c>
      <c r="P8" s="254" t="s">
        <v>213</v>
      </c>
      <c r="Q8" s="250"/>
      <c r="R8" s="250"/>
      <c r="S8" s="250"/>
      <c r="T8" s="250"/>
      <c r="U8" s="250"/>
      <c r="V8" s="250"/>
      <c r="W8" s="250"/>
      <c r="X8" s="250"/>
      <c r="Y8" s="257" t="s">
        <v>40</v>
      </c>
      <c r="Z8" s="250"/>
      <c r="AA8" s="257" t="s">
        <v>143</v>
      </c>
      <c r="AB8" s="257" t="s">
        <v>326</v>
      </c>
      <c r="AC8" s="250"/>
      <c r="AD8" s="257" t="s">
        <v>249</v>
      </c>
      <c r="AE8" s="257" t="s">
        <v>108</v>
      </c>
      <c r="AF8" s="250"/>
      <c r="AG8" s="250"/>
      <c r="AH8" s="250"/>
      <c r="AI8" s="250"/>
      <c r="AJ8" s="250"/>
    </row>
    <row r="9" spans="1:36" x14ac:dyDescent="0.3">
      <c r="A9" s="252" t="s">
        <v>179</v>
      </c>
      <c r="B9" s="253">
        <v>46002</v>
      </c>
      <c r="C9" s="254" t="s">
        <v>535</v>
      </c>
      <c r="D9" s="255" t="s">
        <v>552</v>
      </c>
      <c r="E9" s="254" t="s">
        <v>534</v>
      </c>
      <c r="F9" s="254" t="s">
        <v>141</v>
      </c>
      <c r="G9" s="256">
        <v>8.9399999999999993E-2</v>
      </c>
      <c r="H9" s="257">
        <v>179</v>
      </c>
      <c r="I9" s="257">
        <v>16</v>
      </c>
      <c r="J9" s="257">
        <v>0</v>
      </c>
      <c r="K9" s="254" t="s">
        <v>142</v>
      </c>
      <c r="L9" s="258" t="s">
        <v>37</v>
      </c>
      <c r="M9" s="257">
        <v>0</v>
      </c>
      <c r="N9" s="257">
        <v>2</v>
      </c>
      <c r="O9" s="257">
        <v>10</v>
      </c>
      <c r="P9" s="254" t="s">
        <v>62</v>
      </c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7" t="s">
        <v>312</v>
      </c>
      <c r="AB9" s="257" t="s">
        <v>64</v>
      </c>
      <c r="AC9" s="250"/>
      <c r="AD9" s="250"/>
      <c r="AE9" s="257" t="s">
        <v>100</v>
      </c>
      <c r="AF9" s="250"/>
      <c r="AG9" s="250"/>
      <c r="AH9" s="250"/>
      <c r="AI9" s="250"/>
      <c r="AJ9" s="250"/>
    </row>
    <row r="10" spans="1:36" x14ac:dyDescent="0.3">
      <c r="A10" s="252" t="s">
        <v>185</v>
      </c>
      <c r="B10" s="253">
        <v>46003</v>
      </c>
      <c r="C10" s="254" t="s">
        <v>535</v>
      </c>
      <c r="D10" s="255" t="s">
        <v>556</v>
      </c>
      <c r="E10" s="254" t="s">
        <v>534</v>
      </c>
      <c r="F10" s="254" t="s">
        <v>141</v>
      </c>
      <c r="G10" s="256">
        <v>4.4699999999999997E-2</v>
      </c>
      <c r="H10" s="257">
        <v>179</v>
      </c>
      <c r="I10" s="257">
        <v>8</v>
      </c>
      <c r="J10" s="257">
        <v>0</v>
      </c>
      <c r="K10" s="254" t="s">
        <v>142</v>
      </c>
      <c r="L10" s="258" t="s">
        <v>32</v>
      </c>
      <c r="M10" s="257">
        <v>0</v>
      </c>
      <c r="N10" s="257">
        <v>0</v>
      </c>
      <c r="O10" s="257">
        <v>4</v>
      </c>
      <c r="P10" s="254" t="s">
        <v>62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7" t="s">
        <v>176</v>
      </c>
      <c r="AC10" s="250"/>
      <c r="AD10" s="250"/>
      <c r="AE10" s="257" t="s">
        <v>253</v>
      </c>
      <c r="AF10" s="250"/>
      <c r="AG10" s="250"/>
      <c r="AH10" s="250"/>
      <c r="AI10" s="250"/>
      <c r="AJ10" s="250"/>
    </row>
    <row r="11" spans="1:36" x14ac:dyDescent="0.3">
      <c r="A11" s="252" t="s">
        <v>139</v>
      </c>
      <c r="B11" s="253">
        <v>46005</v>
      </c>
      <c r="C11" s="254" t="s">
        <v>535</v>
      </c>
      <c r="D11" s="255" t="s">
        <v>552</v>
      </c>
      <c r="E11" s="254" t="s">
        <v>534</v>
      </c>
      <c r="F11" s="254" t="s">
        <v>141</v>
      </c>
      <c r="G11" s="256">
        <v>0.15640000000000001</v>
      </c>
      <c r="H11" s="257">
        <v>179</v>
      </c>
      <c r="I11" s="257">
        <v>28</v>
      </c>
      <c r="J11" s="257">
        <v>0</v>
      </c>
      <c r="K11" s="254" t="s">
        <v>142</v>
      </c>
      <c r="L11" s="258" t="s">
        <v>102</v>
      </c>
      <c r="M11" s="257">
        <v>0</v>
      </c>
      <c r="N11" s="257">
        <v>0</v>
      </c>
      <c r="O11" s="257">
        <v>7</v>
      </c>
      <c r="P11" s="254" t="s">
        <v>69</v>
      </c>
      <c r="Q11" s="250"/>
      <c r="R11" s="250"/>
      <c r="S11" s="250"/>
      <c r="T11" s="250"/>
      <c r="U11" s="250"/>
      <c r="V11" s="250"/>
      <c r="W11" s="250"/>
      <c r="X11" s="250"/>
      <c r="Y11" s="257" t="s">
        <v>355</v>
      </c>
      <c r="Z11" s="250"/>
      <c r="AA11" s="257" t="s">
        <v>312</v>
      </c>
      <c r="AB11" s="257" t="s">
        <v>64</v>
      </c>
      <c r="AC11" s="250"/>
      <c r="AD11" s="257" t="s">
        <v>220</v>
      </c>
      <c r="AE11" s="257" t="s">
        <v>84</v>
      </c>
      <c r="AF11" s="250"/>
      <c r="AG11" s="250"/>
      <c r="AH11" s="250"/>
      <c r="AI11" s="250"/>
      <c r="AJ11" s="250"/>
    </row>
    <row r="12" spans="1:36" x14ac:dyDescent="0.3">
      <c r="A12" s="252" t="s">
        <v>179</v>
      </c>
      <c r="B12" s="253">
        <v>46009</v>
      </c>
      <c r="C12" s="254" t="s">
        <v>535</v>
      </c>
      <c r="D12" s="255" t="s">
        <v>552</v>
      </c>
      <c r="E12" s="254" t="s">
        <v>534</v>
      </c>
      <c r="F12" s="254" t="s">
        <v>141</v>
      </c>
      <c r="G12" s="256">
        <v>1.12E-2</v>
      </c>
      <c r="H12" s="257">
        <v>179</v>
      </c>
      <c r="I12" s="257">
        <v>2</v>
      </c>
      <c r="J12" s="257">
        <v>0</v>
      </c>
      <c r="K12" s="254" t="s">
        <v>142</v>
      </c>
      <c r="L12" s="258" t="s">
        <v>32</v>
      </c>
      <c r="M12" s="257">
        <v>0</v>
      </c>
      <c r="N12" s="257">
        <v>0</v>
      </c>
      <c r="O12" s="257">
        <v>1</v>
      </c>
      <c r="P12" s="254" t="s">
        <v>153</v>
      </c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7" t="s">
        <v>143</v>
      </c>
      <c r="AB12" s="250"/>
      <c r="AC12" s="257" t="s">
        <v>58</v>
      </c>
      <c r="AD12" s="250"/>
      <c r="AE12" s="250"/>
      <c r="AF12" s="250"/>
      <c r="AG12" s="250"/>
      <c r="AH12" s="250"/>
      <c r="AI12" s="250"/>
      <c r="AJ12" s="250"/>
    </row>
    <row r="13" spans="1:36" x14ac:dyDescent="0.3">
      <c r="A13" s="252" t="s">
        <v>185</v>
      </c>
      <c r="B13" s="253">
        <v>46010</v>
      </c>
      <c r="C13" s="254" t="s">
        <v>535</v>
      </c>
      <c r="D13" s="255" t="s">
        <v>556</v>
      </c>
      <c r="E13" s="254" t="s">
        <v>534</v>
      </c>
      <c r="F13" s="254" t="s">
        <v>141</v>
      </c>
      <c r="G13" s="256">
        <v>4.4699999999999997E-2</v>
      </c>
      <c r="H13" s="257">
        <v>179</v>
      </c>
      <c r="I13" s="257">
        <v>8</v>
      </c>
      <c r="J13" s="257">
        <v>0</v>
      </c>
      <c r="K13" s="254" t="s">
        <v>142</v>
      </c>
      <c r="L13" s="258" t="s">
        <v>37</v>
      </c>
      <c r="M13" s="257">
        <v>0</v>
      </c>
      <c r="N13" s="257">
        <v>1</v>
      </c>
      <c r="O13" s="257">
        <v>3</v>
      </c>
      <c r="P13" s="254" t="s">
        <v>153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7" t="s">
        <v>229</v>
      </c>
      <c r="AB13" s="250"/>
      <c r="AC13" s="250"/>
      <c r="AD13" s="250"/>
      <c r="AE13" s="257" t="s">
        <v>100</v>
      </c>
      <c r="AF13" s="250"/>
      <c r="AG13" s="250"/>
      <c r="AH13" s="250"/>
      <c r="AI13" s="250"/>
      <c r="AJ13" s="250"/>
    </row>
    <row r="14" spans="1:36" x14ac:dyDescent="0.3">
      <c r="A14" s="252" t="s">
        <v>139</v>
      </c>
      <c r="B14" s="253">
        <v>46012</v>
      </c>
      <c r="C14" s="254" t="s">
        <v>535</v>
      </c>
      <c r="D14" s="255" t="s">
        <v>552</v>
      </c>
      <c r="E14" s="254" t="s">
        <v>534</v>
      </c>
      <c r="F14" s="254" t="s">
        <v>141</v>
      </c>
      <c r="G14" s="256">
        <v>2.23E-2</v>
      </c>
      <c r="H14" s="257">
        <v>179</v>
      </c>
      <c r="I14" s="257">
        <v>4</v>
      </c>
      <c r="J14" s="257">
        <v>0</v>
      </c>
      <c r="K14" s="254" t="s">
        <v>142</v>
      </c>
      <c r="L14" s="258" t="s">
        <v>82</v>
      </c>
      <c r="M14" s="257">
        <v>0</v>
      </c>
      <c r="N14" s="257">
        <v>0</v>
      </c>
      <c r="O14" s="257">
        <v>1</v>
      </c>
      <c r="P14" s="254" t="s">
        <v>153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7" t="s">
        <v>229</v>
      </c>
      <c r="AB14" s="250"/>
      <c r="AC14" s="250"/>
      <c r="AD14" s="250"/>
      <c r="AE14" s="257" t="s">
        <v>254</v>
      </c>
      <c r="AF14" s="250"/>
      <c r="AG14" s="250"/>
      <c r="AH14" s="250"/>
      <c r="AI14" s="250"/>
      <c r="AJ14" s="250"/>
    </row>
    <row r="15" spans="1:36" x14ac:dyDescent="0.3">
      <c r="A15" s="252" t="s">
        <v>179</v>
      </c>
      <c r="B15" s="253">
        <v>46016</v>
      </c>
      <c r="C15" s="254" t="s">
        <v>535</v>
      </c>
      <c r="D15" s="255" t="s">
        <v>552</v>
      </c>
      <c r="E15" s="254" t="s">
        <v>534</v>
      </c>
      <c r="F15" s="254" t="s">
        <v>141</v>
      </c>
      <c r="G15" s="256">
        <v>5.5999999999999999E-3</v>
      </c>
      <c r="H15" s="257">
        <v>179</v>
      </c>
      <c r="I15" s="257">
        <v>1</v>
      </c>
      <c r="J15" s="257">
        <v>0</v>
      </c>
      <c r="K15" s="254" t="s">
        <v>142</v>
      </c>
      <c r="L15" s="258" t="s">
        <v>32</v>
      </c>
      <c r="M15" s="257">
        <v>0</v>
      </c>
      <c r="N15" s="257">
        <v>0</v>
      </c>
      <c r="O15" s="257">
        <v>1</v>
      </c>
      <c r="P15" s="254" t="s">
        <v>153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7" t="s">
        <v>143</v>
      </c>
      <c r="AB15" s="250"/>
      <c r="AC15" s="250"/>
      <c r="AD15" s="250"/>
      <c r="AE15" s="250"/>
      <c r="AF15" s="250"/>
      <c r="AG15" s="250"/>
      <c r="AH15" s="250"/>
      <c r="AI15" s="250"/>
      <c r="AJ15" s="250"/>
    </row>
    <row r="16" spans="1:36" x14ac:dyDescent="0.3">
      <c r="A16" s="252" t="s">
        <v>185</v>
      </c>
      <c r="B16" s="253">
        <v>46017</v>
      </c>
      <c r="C16" s="254" t="s">
        <v>535</v>
      </c>
      <c r="D16" s="255" t="s">
        <v>556</v>
      </c>
      <c r="E16" s="254" t="s">
        <v>534</v>
      </c>
      <c r="F16" s="254" t="s">
        <v>141</v>
      </c>
      <c r="G16" s="256">
        <v>3.9100000000000003E-2</v>
      </c>
      <c r="H16" s="257">
        <v>179</v>
      </c>
      <c r="I16" s="257">
        <v>7</v>
      </c>
      <c r="J16" s="257">
        <v>0</v>
      </c>
      <c r="K16" s="254" t="s">
        <v>142</v>
      </c>
      <c r="L16" s="258" t="s">
        <v>550</v>
      </c>
      <c r="M16" s="257">
        <v>0</v>
      </c>
      <c r="N16" s="257">
        <v>0</v>
      </c>
      <c r="O16" s="257">
        <v>0</v>
      </c>
      <c r="P16" s="254" t="s">
        <v>153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7" t="s">
        <v>175</v>
      </c>
      <c r="AB16" s="250"/>
      <c r="AC16" s="250"/>
      <c r="AD16" s="250"/>
      <c r="AE16" s="257" t="s">
        <v>95</v>
      </c>
      <c r="AF16" s="250"/>
      <c r="AG16" s="250"/>
      <c r="AH16" s="250"/>
      <c r="AI16" s="250"/>
      <c r="AJ16" s="250"/>
    </row>
    <row r="17" spans="1:36" ht="21" x14ac:dyDescent="0.3">
      <c r="A17" s="259" t="s">
        <v>900</v>
      </c>
      <c r="B17" s="260"/>
      <c r="C17" s="259">
        <f>SUBTOTAL(103,CAI_ELQ_LF_LEGACY[Flt])</f>
        <v>15</v>
      </c>
      <c r="D17" s="259"/>
      <c r="E17" s="259">
        <f>SUBTOTAL(103,CAI_ELQ_LF_LEGACY[Brd-Off])</f>
        <v>15</v>
      </c>
      <c r="F17" s="259"/>
      <c r="G17" s="261">
        <f>SUBTOTAL(101,CAI_ELQ_LF_LEGACY[LF%])</f>
        <v>0.26964666666666676</v>
      </c>
      <c r="H17" s="262">
        <f>SUBTOTAL(109,CAI_ELQ_LF_LEGACY[CAP])</f>
        <v>2685</v>
      </c>
      <c r="I17" s="262">
        <f>SUBTOTAL(109,CAI_ELQ_LF_LEGACY[BKG(Y)])</f>
        <v>724</v>
      </c>
      <c r="J17" s="262">
        <f>SUBTOTAL(109,CAI_ELQ_LF_LEGACY[GRP(Y)])</f>
        <v>0</v>
      </c>
      <c r="K17" s="259"/>
      <c r="L17" s="260"/>
      <c r="M17" s="262">
        <f>SUBTOTAL(109,CAI_ELQ_LF_LEGACY[TO-DAY])</f>
        <v>1</v>
      </c>
      <c r="N17" s="262">
        <f>SUBTOTAL(109,CAI_ELQ_LF_LEGACY[Y-DAY])</f>
        <v>56</v>
      </c>
      <c r="O17" s="262">
        <f>SUBTOTAL(109,CAI_ELQ_LF_LEGACY[WEEKLY])</f>
        <v>277</v>
      </c>
      <c r="P17" s="263"/>
      <c r="Q17" s="262">
        <f>SUBTOTAL(109,CAI_ELQ_LF_LEGACY[Y])</f>
        <v>0</v>
      </c>
      <c r="R17" s="262">
        <f>SUBTOTAL(109,CAI_ELQ_LF_LEGACY[B])</f>
        <v>0</v>
      </c>
      <c r="S17" s="262">
        <f>SUBTOTAL(109,CAI_ELQ_LF_LEGACY[M])</f>
        <v>0</v>
      </c>
      <c r="T17" s="262">
        <f>SUBTOTAL(109,CAI_ELQ_LF_LEGACY[H])</f>
        <v>0</v>
      </c>
      <c r="U17" s="262">
        <f>SUBTOTAL(109,CAI_ELQ_LF_LEGACY[Q])</f>
        <v>0</v>
      </c>
      <c r="V17" s="262">
        <f>SUBTOTAL(109,CAI_ELQ_LF_LEGACY[K])</f>
        <v>0</v>
      </c>
      <c r="W17" s="262">
        <f>SUBTOTAL(109,CAI_ELQ_LF_LEGACY[V])</f>
        <v>0</v>
      </c>
      <c r="X17" s="262">
        <f>SUBTOTAL(109,CAI_ELQ_LF_LEGACY[L])</f>
        <v>0</v>
      </c>
      <c r="Y17" s="262">
        <f>SUBTOTAL(109,CAI_ELQ_LF_LEGACY[G])</f>
        <v>0</v>
      </c>
      <c r="Z17" s="262">
        <f>SUBTOTAL(109,CAI_ELQ_LF_LEGACY[S])</f>
        <v>0</v>
      </c>
      <c r="AA17" s="262">
        <f>SUBTOTAL(109,CAI_ELQ_LF_LEGACY[W])</f>
        <v>0</v>
      </c>
      <c r="AB17" s="262">
        <f>SUBTOTAL(109,CAI_ELQ_LF_LEGACY[T])</f>
        <v>0</v>
      </c>
      <c r="AC17" s="262">
        <f>SUBTOTAL(109,CAI_ELQ_LF_LEGACY[X])</f>
        <v>0</v>
      </c>
      <c r="AD17" s="262">
        <f>SUBTOTAL(109,CAI_ELQ_LF_LEGACY[U])</f>
        <v>0</v>
      </c>
      <c r="AE17" s="262">
        <f>SUBTOTAL(109,CAI_ELQ_LF_LEGACY[O])</f>
        <v>0</v>
      </c>
      <c r="AF17" s="262">
        <f>SUBTOTAL(109,CAI_ELQ_LF_LEGACY[I])</f>
        <v>0</v>
      </c>
      <c r="AG17" s="262">
        <f>SUBTOTAL(109,CAI_ELQ_LF_LEGACY[E])</f>
        <v>0</v>
      </c>
      <c r="AH17" s="262">
        <f>SUBTOTAL(109,CAI_ELQ_LF_LEGACY[A])</f>
        <v>0</v>
      </c>
      <c r="AI17" s="262">
        <f>SUBTOTAL(109,CAI_ELQ_LF_LEGACY[P])</f>
        <v>0</v>
      </c>
      <c r="AJ17" s="262">
        <f>SUBTOTAL(103,CAI_ELQ_LF_LEGACY[N])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N40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9.1093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82.554687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564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45984.228719610554</v>
      </c>
      <c r="H2" s="235"/>
      <c r="I2" s="235"/>
      <c r="J2" s="235"/>
      <c r="K2" s="245">
        <v>45984.228719611157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45988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" t="s">
        <v>28</v>
      </c>
      <c r="B6" s="8" t="s">
        <v>565</v>
      </c>
      <c r="C6" s="9">
        <v>0.8125</v>
      </c>
      <c r="D6" s="8" t="s">
        <v>30</v>
      </c>
      <c r="E6" s="10"/>
      <c r="F6" s="8" t="s">
        <v>36</v>
      </c>
      <c r="G6" s="237"/>
      <c r="H6" s="11" t="s">
        <v>565</v>
      </c>
      <c r="I6" s="12">
        <v>0.72629999999999995</v>
      </c>
      <c r="J6" s="13">
        <v>130</v>
      </c>
      <c r="K6" s="14" t="s">
        <v>37</v>
      </c>
      <c r="L6" s="13">
        <v>24</v>
      </c>
      <c r="M6" s="13">
        <v>0</v>
      </c>
      <c r="N6" s="13">
        <v>12</v>
      </c>
      <c r="O6" s="15" t="s">
        <v>263</v>
      </c>
      <c r="P6" s="16">
        <v>0.8125</v>
      </c>
      <c r="Q6" s="13">
        <v>179</v>
      </c>
      <c r="R6" s="17" t="s">
        <v>566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45990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76" t="s">
        <v>28</v>
      </c>
      <c r="B10" s="76" t="s">
        <v>565</v>
      </c>
      <c r="C10" s="77">
        <v>0.8125</v>
      </c>
      <c r="D10" s="76" t="s">
        <v>30</v>
      </c>
      <c r="E10" s="78"/>
      <c r="F10" s="76" t="s">
        <v>36</v>
      </c>
      <c r="G10" s="232"/>
      <c r="H10" s="49" t="s">
        <v>565</v>
      </c>
      <c r="I10" s="50">
        <v>0.69830000000000003</v>
      </c>
      <c r="J10" s="51">
        <v>125</v>
      </c>
      <c r="K10" s="52" t="s">
        <v>32</v>
      </c>
      <c r="L10" s="51">
        <v>8</v>
      </c>
      <c r="M10" s="51">
        <v>0</v>
      </c>
      <c r="N10" s="51">
        <v>0</v>
      </c>
      <c r="O10" s="53" t="s">
        <v>51</v>
      </c>
      <c r="P10" s="54">
        <v>0.8125</v>
      </c>
      <c r="Q10" s="51">
        <v>179</v>
      </c>
      <c r="R10" s="55" t="s">
        <v>567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45995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thickTop="1" thickBot="1" x14ac:dyDescent="0.35">
      <c r="A14" s="66" t="s">
        <v>28</v>
      </c>
      <c r="B14" s="66" t="s">
        <v>565</v>
      </c>
      <c r="C14" s="67">
        <v>0.8125</v>
      </c>
      <c r="D14" s="66" t="s">
        <v>30</v>
      </c>
      <c r="E14" s="68"/>
      <c r="F14" s="66" t="s">
        <v>36</v>
      </c>
      <c r="G14" s="232"/>
      <c r="H14" s="127" t="s">
        <v>565</v>
      </c>
      <c r="I14" s="128">
        <v>0.43580000000000002</v>
      </c>
      <c r="J14" s="129">
        <v>78</v>
      </c>
      <c r="K14" s="130" t="s">
        <v>37</v>
      </c>
      <c r="L14" s="129">
        <v>38</v>
      </c>
      <c r="M14" s="129">
        <v>0</v>
      </c>
      <c r="N14" s="129">
        <v>14</v>
      </c>
      <c r="O14" s="131" t="s">
        <v>155</v>
      </c>
      <c r="P14" s="132">
        <v>0.8125</v>
      </c>
      <c r="Q14" s="129">
        <v>179</v>
      </c>
      <c r="R14" s="133" t="s">
        <v>568</v>
      </c>
    </row>
    <row r="15" spans="1:92" ht="17.399999999999999" customHeight="1" thickBot="1" x14ac:dyDescent="0.35">
      <c r="A15" s="264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6"/>
    </row>
    <row r="16" spans="1:92" ht="22.05" customHeight="1" thickTop="1" thickBot="1" x14ac:dyDescent="0.35">
      <c r="A16" s="241" t="s">
        <v>8</v>
      </c>
      <c r="B16" s="239"/>
      <c r="C16" s="239"/>
      <c r="D16" s="239"/>
      <c r="E16" s="239"/>
      <c r="F16" s="240"/>
      <c r="G16" s="18">
        <v>45997</v>
      </c>
      <c r="H16" s="238" t="s">
        <v>9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40"/>
    </row>
    <row r="17" spans="1:18" ht="24" customHeight="1" x14ac:dyDescent="0.3">
      <c r="A17" s="19" t="s">
        <v>10</v>
      </c>
      <c r="B17" s="19" t="s">
        <v>11</v>
      </c>
      <c r="C17" s="20" t="s">
        <v>12</v>
      </c>
      <c r="D17" s="19" t="s">
        <v>13</v>
      </c>
      <c r="E17" s="19" t="s">
        <v>14</v>
      </c>
      <c r="F17" s="21" t="s">
        <v>15</v>
      </c>
      <c r="G17" s="22" t="s">
        <v>16</v>
      </c>
      <c r="H17" s="19" t="s">
        <v>17</v>
      </c>
      <c r="I17" s="23" t="s">
        <v>18</v>
      </c>
      <c r="J17" s="24" t="s">
        <v>19</v>
      </c>
      <c r="K17" s="25" t="s">
        <v>20</v>
      </c>
      <c r="L17" s="24" t="s">
        <v>21</v>
      </c>
      <c r="M17" s="24" t="s">
        <v>22</v>
      </c>
      <c r="N17" s="24" t="s">
        <v>23</v>
      </c>
      <c r="O17" s="19" t="s">
        <v>24</v>
      </c>
      <c r="P17" s="20" t="s">
        <v>25</v>
      </c>
      <c r="Q17" s="24" t="s">
        <v>26</v>
      </c>
      <c r="R17" s="19" t="s">
        <v>27</v>
      </c>
    </row>
    <row r="18" spans="1:18" ht="49.95" customHeight="1" thickTop="1" thickBot="1" x14ac:dyDescent="0.35">
      <c r="A18" s="76" t="s">
        <v>28</v>
      </c>
      <c r="B18" s="76" t="s">
        <v>565</v>
      </c>
      <c r="C18" s="77">
        <v>0.8125</v>
      </c>
      <c r="D18" s="76" t="s">
        <v>30</v>
      </c>
      <c r="E18" s="78"/>
      <c r="F18" s="76" t="s">
        <v>68</v>
      </c>
      <c r="G18" s="232"/>
      <c r="H18" s="49" t="s">
        <v>565</v>
      </c>
      <c r="I18" s="79">
        <v>0.2291</v>
      </c>
      <c r="J18" s="51">
        <v>41</v>
      </c>
      <c r="K18" s="52" t="s">
        <v>37</v>
      </c>
      <c r="L18" s="51">
        <v>18</v>
      </c>
      <c r="M18" s="51">
        <v>0</v>
      </c>
      <c r="N18" s="51">
        <v>6</v>
      </c>
      <c r="O18" s="53" t="s">
        <v>95</v>
      </c>
      <c r="P18" s="54">
        <v>0.8125</v>
      </c>
      <c r="Q18" s="51">
        <v>179</v>
      </c>
      <c r="R18" s="55" t="s">
        <v>569</v>
      </c>
    </row>
    <row r="19" spans="1:18" ht="17.399999999999999" customHeight="1" thickBot="1" x14ac:dyDescent="0.35">
      <c r="A19" s="264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6"/>
    </row>
    <row r="20" spans="1:18" ht="22.05" customHeight="1" thickTop="1" thickBot="1" x14ac:dyDescent="0.35">
      <c r="A20" s="241" t="s">
        <v>8</v>
      </c>
      <c r="B20" s="239"/>
      <c r="C20" s="239"/>
      <c r="D20" s="239"/>
      <c r="E20" s="239"/>
      <c r="F20" s="240"/>
      <c r="G20" s="18">
        <v>46002</v>
      </c>
      <c r="H20" s="238" t="s">
        <v>9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40"/>
    </row>
    <row r="21" spans="1:18" ht="24" customHeight="1" x14ac:dyDescent="0.3">
      <c r="A21" s="19" t="s">
        <v>10</v>
      </c>
      <c r="B21" s="19" t="s">
        <v>11</v>
      </c>
      <c r="C21" s="20" t="s">
        <v>12</v>
      </c>
      <c r="D21" s="19" t="s">
        <v>13</v>
      </c>
      <c r="E21" s="19" t="s">
        <v>14</v>
      </c>
      <c r="F21" s="21" t="s">
        <v>15</v>
      </c>
      <c r="G21" s="22" t="s">
        <v>16</v>
      </c>
      <c r="H21" s="19" t="s">
        <v>17</v>
      </c>
      <c r="I21" s="23" t="s">
        <v>18</v>
      </c>
      <c r="J21" s="24" t="s">
        <v>19</v>
      </c>
      <c r="K21" s="25" t="s">
        <v>20</v>
      </c>
      <c r="L21" s="24" t="s">
        <v>21</v>
      </c>
      <c r="M21" s="24" t="s">
        <v>22</v>
      </c>
      <c r="N21" s="24" t="s">
        <v>23</v>
      </c>
      <c r="O21" s="19" t="s">
        <v>24</v>
      </c>
      <c r="P21" s="20" t="s">
        <v>25</v>
      </c>
      <c r="Q21" s="24" t="s">
        <v>26</v>
      </c>
      <c r="R21" s="19" t="s">
        <v>27</v>
      </c>
    </row>
    <row r="22" spans="1:18" ht="49.95" customHeight="1" thickTop="1" thickBot="1" x14ac:dyDescent="0.35">
      <c r="A22" s="66" t="s">
        <v>28</v>
      </c>
      <c r="B22" s="66" t="s">
        <v>565</v>
      </c>
      <c r="C22" s="67">
        <v>0.8125</v>
      </c>
      <c r="D22" s="66" t="s">
        <v>30</v>
      </c>
      <c r="E22" s="68"/>
      <c r="F22" s="66" t="s">
        <v>68</v>
      </c>
      <c r="G22" s="232"/>
      <c r="H22" s="127" t="s">
        <v>565</v>
      </c>
      <c r="I22" s="128">
        <v>5.5899999999999998E-2</v>
      </c>
      <c r="J22" s="129">
        <v>10</v>
      </c>
      <c r="K22" s="130" t="s">
        <v>32</v>
      </c>
      <c r="L22" s="129">
        <v>1</v>
      </c>
      <c r="M22" s="129">
        <v>0</v>
      </c>
      <c r="N22" s="129">
        <v>0</v>
      </c>
      <c r="O22" s="131" t="s">
        <v>73</v>
      </c>
      <c r="P22" s="132">
        <v>0.8125</v>
      </c>
      <c r="Q22" s="129">
        <v>179</v>
      </c>
      <c r="R22" s="133" t="s">
        <v>570</v>
      </c>
    </row>
    <row r="23" spans="1:18" ht="17.399999999999999" customHeight="1" thickBot="1" x14ac:dyDescent="0.35">
      <c r="A23" s="264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6"/>
    </row>
    <row r="24" spans="1:18" ht="22.05" customHeight="1" thickTop="1" thickBot="1" x14ac:dyDescent="0.35">
      <c r="A24" s="241" t="s">
        <v>8</v>
      </c>
      <c r="B24" s="239"/>
      <c r="C24" s="239"/>
      <c r="D24" s="239"/>
      <c r="E24" s="239"/>
      <c r="F24" s="240"/>
      <c r="G24" s="18">
        <v>46004</v>
      </c>
      <c r="H24" s="238" t="s">
        <v>9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40"/>
    </row>
    <row r="25" spans="1:18" ht="24" customHeight="1" x14ac:dyDescent="0.3">
      <c r="A25" s="19" t="s">
        <v>10</v>
      </c>
      <c r="B25" s="19" t="s">
        <v>11</v>
      </c>
      <c r="C25" s="20" t="s">
        <v>12</v>
      </c>
      <c r="D25" s="19" t="s">
        <v>13</v>
      </c>
      <c r="E25" s="19" t="s">
        <v>14</v>
      </c>
      <c r="F25" s="21" t="s">
        <v>15</v>
      </c>
      <c r="G25" s="22" t="s">
        <v>16</v>
      </c>
      <c r="H25" s="19" t="s">
        <v>17</v>
      </c>
      <c r="I25" s="23" t="s">
        <v>18</v>
      </c>
      <c r="J25" s="24" t="s">
        <v>19</v>
      </c>
      <c r="K25" s="25" t="s">
        <v>20</v>
      </c>
      <c r="L25" s="24" t="s">
        <v>21</v>
      </c>
      <c r="M25" s="24" t="s">
        <v>22</v>
      </c>
      <c r="N25" s="24" t="s">
        <v>23</v>
      </c>
      <c r="O25" s="19" t="s">
        <v>24</v>
      </c>
      <c r="P25" s="20" t="s">
        <v>25</v>
      </c>
      <c r="Q25" s="24" t="s">
        <v>26</v>
      </c>
      <c r="R25" s="19" t="s">
        <v>27</v>
      </c>
    </row>
    <row r="26" spans="1:18" ht="49.95" customHeight="1" thickTop="1" thickBot="1" x14ac:dyDescent="0.5">
      <c r="A26" s="36" t="s">
        <v>28</v>
      </c>
      <c r="B26" s="36" t="s">
        <v>565</v>
      </c>
      <c r="C26" s="37">
        <v>0.8125</v>
      </c>
      <c r="D26" s="36" t="s">
        <v>30</v>
      </c>
      <c r="E26" s="38"/>
      <c r="F26" s="36" t="s">
        <v>68</v>
      </c>
      <c r="G26" s="237"/>
      <c r="H26" s="112" t="s">
        <v>565</v>
      </c>
      <c r="I26" s="113">
        <v>9.5000000000000001E-2</v>
      </c>
      <c r="J26" s="114">
        <v>17</v>
      </c>
      <c r="K26" s="115" t="s">
        <v>37</v>
      </c>
      <c r="L26" s="114">
        <v>6</v>
      </c>
      <c r="M26" s="114">
        <v>0</v>
      </c>
      <c r="N26" s="114">
        <v>1</v>
      </c>
      <c r="O26" s="116" t="s">
        <v>155</v>
      </c>
      <c r="P26" s="117">
        <v>0.8125</v>
      </c>
      <c r="Q26" s="114">
        <v>179</v>
      </c>
      <c r="R26" s="118" t="s">
        <v>571</v>
      </c>
    </row>
    <row r="27" spans="1:18" ht="17.399999999999999" customHeight="1" thickBot="1" x14ac:dyDescent="0.35">
      <c r="A27" s="264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6"/>
    </row>
    <row r="28" spans="1:18" ht="22.05" customHeight="1" thickTop="1" thickBot="1" x14ac:dyDescent="0.35">
      <c r="A28" s="241" t="s">
        <v>8</v>
      </c>
      <c r="B28" s="239"/>
      <c r="C28" s="239"/>
      <c r="D28" s="239"/>
      <c r="E28" s="239"/>
      <c r="F28" s="240"/>
      <c r="G28" s="18">
        <v>46009</v>
      </c>
      <c r="H28" s="238" t="s">
        <v>9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40"/>
    </row>
    <row r="29" spans="1:18" ht="24" customHeight="1" x14ac:dyDescent="0.3">
      <c r="A29" s="19" t="s">
        <v>10</v>
      </c>
      <c r="B29" s="19" t="s">
        <v>11</v>
      </c>
      <c r="C29" s="20" t="s">
        <v>12</v>
      </c>
      <c r="D29" s="19" t="s">
        <v>13</v>
      </c>
      <c r="E29" s="19" t="s">
        <v>14</v>
      </c>
      <c r="F29" s="21" t="s">
        <v>15</v>
      </c>
      <c r="G29" s="22" t="s">
        <v>16</v>
      </c>
      <c r="H29" s="19" t="s">
        <v>17</v>
      </c>
      <c r="I29" s="23" t="s">
        <v>18</v>
      </c>
      <c r="J29" s="24" t="s">
        <v>19</v>
      </c>
      <c r="K29" s="25" t="s">
        <v>20</v>
      </c>
      <c r="L29" s="24" t="s">
        <v>21</v>
      </c>
      <c r="M29" s="24" t="s">
        <v>22</v>
      </c>
      <c r="N29" s="24" t="s">
        <v>23</v>
      </c>
      <c r="O29" s="19" t="s">
        <v>24</v>
      </c>
      <c r="P29" s="20" t="s">
        <v>25</v>
      </c>
      <c r="Q29" s="24" t="s">
        <v>26</v>
      </c>
      <c r="R29" s="19" t="s">
        <v>27</v>
      </c>
    </row>
    <row r="30" spans="1:18" ht="49.95" customHeight="1" thickTop="1" thickBot="1" x14ac:dyDescent="0.35">
      <c r="A30" s="80" t="s">
        <v>28</v>
      </c>
      <c r="B30" s="80" t="s">
        <v>565</v>
      </c>
      <c r="C30" s="81">
        <v>0.8125</v>
      </c>
      <c r="D30" s="80" t="s">
        <v>30</v>
      </c>
      <c r="E30" s="82"/>
      <c r="F30" s="80" t="s">
        <v>68</v>
      </c>
      <c r="G30" s="232"/>
      <c r="H30" s="100" t="s">
        <v>565</v>
      </c>
      <c r="I30" s="101">
        <v>1.6799999999999999E-2</v>
      </c>
      <c r="J30" s="102">
        <v>3</v>
      </c>
      <c r="K30" s="103" t="s">
        <v>572</v>
      </c>
      <c r="L30" s="102">
        <v>0</v>
      </c>
      <c r="M30" s="102">
        <v>0</v>
      </c>
      <c r="N30" s="102">
        <v>0</v>
      </c>
      <c r="O30" s="104" t="s">
        <v>155</v>
      </c>
      <c r="P30" s="105">
        <v>0.8125</v>
      </c>
      <c r="Q30" s="102">
        <v>179</v>
      </c>
      <c r="R30" s="106" t="s">
        <v>573</v>
      </c>
    </row>
    <row r="31" spans="1:18" ht="17.399999999999999" customHeight="1" thickBot="1" x14ac:dyDescent="0.35">
      <c r="A31" s="264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6"/>
    </row>
    <row r="32" spans="1:18" ht="22.05" customHeight="1" thickTop="1" thickBot="1" x14ac:dyDescent="0.35">
      <c r="A32" s="241" t="s">
        <v>8</v>
      </c>
      <c r="B32" s="239"/>
      <c r="C32" s="239"/>
      <c r="D32" s="239"/>
      <c r="E32" s="239"/>
      <c r="F32" s="240"/>
      <c r="G32" s="18">
        <v>46011</v>
      </c>
      <c r="H32" s="238" t="s">
        <v>9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40"/>
    </row>
    <row r="33" spans="1:18" ht="24" customHeight="1" x14ac:dyDescent="0.3">
      <c r="A33" s="19" t="s">
        <v>10</v>
      </c>
      <c r="B33" s="19" t="s">
        <v>11</v>
      </c>
      <c r="C33" s="20" t="s">
        <v>12</v>
      </c>
      <c r="D33" s="19" t="s">
        <v>13</v>
      </c>
      <c r="E33" s="19" t="s">
        <v>14</v>
      </c>
      <c r="F33" s="21" t="s">
        <v>15</v>
      </c>
      <c r="G33" s="22" t="s">
        <v>16</v>
      </c>
      <c r="H33" s="19" t="s">
        <v>17</v>
      </c>
      <c r="I33" s="23" t="s">
        <v>18</v>
      </c>
      <c r="J33" s="24" t="s">
        <v>19</v>
      </c>
      <c r="K33" s="25" t="s">
        <v>20</v>
      </c>
      <c r="L33" s="24" t="s">
        <v>21</v>
      </c>
      <c r="M33" s="24" t="s">
        <v>22</v>
      </c>
      <c r="N33" s="24" t="s">
        <v>23</v>
      </c>
      <c r="O33" s="19" t="s">
        <v>24</v>
      </c>
      <c r="P33" s="20" t="s">
        <v>25</v>
      </c>
      <c r="Q33" s="24" t="s">
        <v>26</v>
      </c>
      <c r="R33" s="19" t="s">
        <v>27</v>
      </c>
    </row>
    <row r="34" spans="1:18" ht="49.95" customHeight="1" thickTop="1" thickBot="1" x14ac:dyDescent="0.5">
      <c r="A34" s="36" t="s">
        <v>28</v>
      </c>
      <c r="B34" s="36" t="s">
        <v>565</v>
      </c>
      <c r="C34" s="37">
        <v>0.8125</v>
      </c>
      <c r="D34" s="36" t="s">
        <v>30</v>
      </c>
      <c r="E34" s="38"/>
      <c r="F34" s="36" t="s">
        <v>68</v>
      </c>
      <c r="G34" s="237"/>
      <c r="H34" s="112" t="s">
        <v>565</v>
      </c>
      <c r="I34" s="113">
        <v>0.1676</v>
      </c>
      <c r="J34" s="114">
        <v>30</v>
      </c>
      <c r="K34" s="115" t="s">
        <v>32</v>
      </c>
      <c r="L34" s="114">
        <v>3</v>
      </c>
      <c r="M34" s="114">
        <v>0</v>
      </c>
      <c r="N34" s="114">
        <v>0</v>
      </c>
      <c r="O34" s="116" t="s">
        <v>155</v>
      </c>
      <c r="P34" s="117">
        <v>0.8125</v>
      </c>
      <c r="Q34" s="114">
        <v>179</v>
      </c>
      <c r="R34" s="118" t="s">
        <v>574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46016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thickTop="1" thickBot="1" x14ac:dyDescent="0.5">
      <c r="A38" s="137" t="s">
        <v>28</v>
      </c>
      <c r="B38" s="137" t="s">
        <v>565</v>
      </c>
      <c r="C38" s="138">
        <v>0.8125</v>
      </c>
      <c r="D38" s="137" t="s">
        <v>30</v>
      </c>
      <c r="E38" s="139"/>
      <c r="F38" s="137" t="s">
        <v>68</v>
      </c>
      <c r="G38" s="237"/>
      <c r="H38" s="93" t="s">
        <v>565</v>
      </c>
      <c r="I38" s="94">
        <v>2.23E-2</v>
      </c>
      <c r="J38" s="95">
        <v>4</v>
      </c>
      <c r="K38" s="96" t="s">
        <v>413</v>
      </c>
      <c r="L38" s="95">
        <v>0</v>
      </c>
      <c r="M38" s="95">
        <v>0</v>
      </c>
      <c r="N38" s="95">
        <v>0</v>
      </c>
      <c r="O38" s="97" t="s">
        <v>155</v>
      </c>
      <c r="P38" s="98">
        <v>0.8125</v>
      </c>
      <c r="Q38" s="95">
        <v>179</v>
      </c>
      <c r="R38" s="99" t="s">
        <v>575</v>
      </c>
    </row>
    <row r="39" spans="1:18" ht="17.399999999999999" customHeight="1" thickBot="1" x14ac:dyDescent="0.35">
      <c r="A39" s="264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6"/>
    </row>
    <row r="40" spans="1:18" ht="15" thickTop="1" x14ac:dyDescent="0.3"/>
  </sheetData>
  <mergeCells count="43">
    <mergeCell ref="A39:R39"/>
    <mergeCell ref="A15:R15"/>
    <mergeCell ref="H12:R12"/>
    <mergeCell ref="A36:F36"/>
    <mergeCell ref="G34"/>
    <mergeCell ref="G30"/>
    <mergeCell ref="H24:R24"/>
    <mergeCell ref="G14"/>
    <mergeCell ref="G38"/>
    <mergeCell ref="A31:R31"/>
    <mergeCell ref="G10"/>
    <mergeCell ref="H28:R28"/>
    <mergeCell ref="G6"/>
    <mergeCell ref="G18"/>
    <mergeCell ref="A24:F24"/>
    <mergeCell ref="A11:R11"/>
    <mergeCell ref="H36:R36"/>
    <mergeCell ref="A35:R35"/>
    <mergeCell ref="N1:R1"/>
    <mergeCell ref="A28:F28"/>
    <mergeCell ref="A19:R19"/>
    <mergeCell ref="H16:R16"/>
    <mergeCell ref="K2:R2"/>
    <mergeCell ref="H32:R32"/>
    <mergeCell ref="A32:F32"/>
    <mergeCell ref="A8:F8"/>
    <mergeCell ref="G2:J2"/>
    <mergeCell ref="A4:F4"/>
    <mergeCell ref="A23:R23"/>
    <mergeCell ref="A20:F20"/>
    <mergeCell ref="H1:L1"/>
    <mergeCell ref="A1:E1"/>
    <mergeCell ref="A12:F12"/>
    <mergeCell ref="A27:R27"/>
    <mergeCell ref="H4:R4"/>
    <mergeCell ref="G22"/>
    <mergeCell ref="A2:F2"/>
    <mergeCell ref="A3:R3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11"/>
  <sheetViews>
    <sheetView workbookViewId="0"/>
  </sheetViews>
  <sheetFormatPr defaultRowHeight="15.6" outlineLevelCol="1" x14ac:dyDescent="0.3"/>
  <cols>
    <col min="1" max="1" width="9.88671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7.44140625" style="251" bestFit="1" customWidth="1"/>
    <col min="6" max="6" width="4.21875" style="251" bestFit="1" customWidth="1"/>
    <col min="7" max="7" width="10" style="251" bestFit="1" customWidth="1"/>
    <col min="8" max="8" width="8.5546875" style="251" bestFit="1" customWidth="1"/>
    <col min="9" max="10" width="7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19" width="3.88671875" style="251" bestFit="1" customWidth="1"/>
    <col min="20" max="20" width="4.4414062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6" width="3.88671875" style="251" bestFit="1" customWidth="1"/>
    <col min="27" max="27" width="4" style="251" bestFit="1" customWidth="1"/>
    <col min="28" max="29" width="4.21875" style="251" bestFit="1" customWidth="1"/>
    <col min="30" max="31" width="4.5546875" style="251" bestFit="1" customWidth="1"/>
    <col min="32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179</v>
      </c>
      <c r="B2" s="253">
        <v>45988</v>
      </c>
      <c r="C2" s="254" t="s">
        <v>565</v>
      </c>
      <c r="D2" s="255" t="s">
        <v>576</v>
      </c>
      <c r="E2" s="254" t="s">
        <v>564</v>
      </c>
      <c r="F2" s="254" t="s">
        <v>141</v>
      </c>
      <c r="G2" s="256">
        <v>0.72629999999999995</v>
      </c>
      <c r="H2" s="257">
        <v>179</v>
      </c>
      <c r="I2" s="257">
        <v>130</v>
      </c>
      <c r="J2" s="257">
        <v>0</v>
      </c>
      <c r="K2" s="254" t="s">
        <v>142</v>
      </c>
      <c r="L2" s="258" t="s">
        <v>37</v>
      </c>
      <c r="M2" s="257">
        <v>0</v>
      </c>
      <c r="N2" s="257">
        <v>12</v>
      </c>
      <c r="O2" s="257">
        <v>24</v>
      </c>
      <c r="P2" s="254" t="s">
        <v>263</v>
      </c>
      <c r="Q2" s="250"/>
      <c r="R2" s="250"/>
      <c r="S2" s="250"/>
      <c r="T2" s="257" t="s">
        <v>351</v>
      </c>
      <c r="U2" s="257" t="s">
        <v>577</v>
      </c>
      <c r="V2" s="257" t="s">
        <v>578</v>
      </c>
      <c r="W2" s="257" t="s">
        <v>285</v>
      </c>
      <c r="X2" s="257" t="s">
        <v>38</v>
      </c>
      <c r="Y2" s="257" t="s">
        <v>217</v>
      </c>
      <c r="Z2" s="257" t="s">
        <v>429</v>
      </c>
      <c r="AA2" s="257" t="s">
        <v>153</v>
      </c>
      <c r="AB2" s="257" t="s">
        <v>231</v>
      </c>
      <c r="AC2" s="257" t="s">
        <v>579</v>
      </c>
      <c r="AD2" s="257" t="s">
        <v>164</v>
      </c>
      <c r="AE2" s="257" t="s">
        <v>73</v>
      </c>
      <c r="AF2" s="257" t="s">
        <v>76</v>
      </c>
      <c r="AG2" s="250"/>
      <c r="AH2" s="250"/>
      <c r="AI2" s="250"/>
      <c r="AJ2" s="250"/>
    </row>
    <row r="3" spans="1:36" x14ac:dyDescent="0.3">
      <c r="A3" s="252" t="s">
        <v>205</v>
      </c>
      <c r="B3" s="253">
        <v>45990</v>
      </c>
      <c r="C3" s="254" t="s">
        <v>565</v>
      </c>
      <c r="D3" s="255" t="s">
        <v>576</v>
      </c>
      <c r="E3" s="254" t="s">
        <v>564</v>
      </c>
      <c r="F3" s="254" t="s">
        <v>141</v>
      </c>
      <c r="G3" s="256">
        <v>0.69830000000000003</v>
      </c>
      <c r="H3" s="257">
        <v>179</v>
      </c>
      <c r="I3" s="257">
        <v>125</v>
      </c>
      <c r="J3" s="257">
        <v>0</v>
      </c>
      <c r="K3" s="254" t="s">
        <v>142</v>
      </c>
      <c r="L3" s="258" t="s">
        <v>32</v>
      </c>
      <c r="M3" s="257">
        <v>0</v>
      </c>
      <c r="N3" s="257">
        <v>0</v>
      </c>
      <c r="O3" s="257">
        <v>8</v>
      </c>
      <c r="P3" s="254" t="s">
        <v>51</v>
      </c>
      <c r="Q3" s="250"/>
      <c r="R3" s="250"/>
      <c r="S3" s="257" t="s">
        <v>580</v>
      </c>
      <c r="T3" s="257" t="s">
        <v>581</v>
      </c>
      <c r="U3" s="257" t="s">
        <v>472</v>
      </c>
      <c r="V3" s="257" t="s">
        <v>582</v>
      </c>
      <c r="W3" s="257" t="s">
        <v>43</v>
      </c>
      <c r="X3" s="257" t="s">
        <v>159</v>
      </c>
      <c r="Y3" s="257" t="s">
        <v>217</v>
      </c>
      <c r="Z3" s="257" t="s">
        <v>429</v>
      </c>
      <c r="AA3" s="257" t="s">
        <v>60</v>
      </c>
      <c r="AB3" s="257" t="s">
        <v>231</v>
      </c>
      <c r="AC3" s="257" t="s">
        <v>155</v>
      </c>
      <c r="AD3" s="257" t="s">
        <v>99</v>
      </c>
      <c r="AE3" s="257" t="s">
        <v>73</v>
      </c>
      <c r="AF3" s="257" t="s">
        <v>225</v>
      </c>
      <c r="AG3" s="250"/>
      <c r="AH3" s="250"/>
      <c r="AI3" s="250"/>
      <c r="AJ3" s="250"/>
    </row>
    <row r="4" spans="1:36" x14ac:dyDescent="0.3">
      <c r="A4" s="252" t="s">
        <v>179</v>
      </c>
      <c r="B4" s="253">
        <v>45995</v>
      </c>
      <c r="C4" s="254" t="s">
        <v>565</v>
      </c>
      <c r="D4" s="255" t="s">
        <v>576</v>
      </c>
      <c r="E4" s="254" t="s">
        <v>564</v>
      </c>
      <c r="F4" s="254" t="s">
        <v>141</v>
      </c>
      <c r="G4" s="256">
        <v>0.43580000000000002</v>
      </c>
      <c r="H4" s="257">
        <v>179</v>
      </c>
      <c r="I4" s="257">
        <v>78</v>
      </c>
      <c r="J4" s="257">
        <v>0</v>
      </c>
      <c r="K4" s="254" t="s">
        <v>142</v>
      </c>
      <c r="L4" s="258" t="s">
        <v>37</v>
      </c>
      <c r="M4" s="257">
        <v>0</v>
      </c>
      <c r="N4" s="257">
        <v>14</v>
      </c>
      <c r="O4" s="257">
        <v>38</v>
      </c>
      <c r="P4" s="254" t="s">
        <v>155</v>
      </c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7" t="s">
        <v>583</v>
      </c>
      <c r="AD4" s="257" t="s">
        <v>584</v>
      </c>
      <c r="AE4" s="257" t="s">
        <v>178</v>
      </c>
      <c r="AF4" s="250"/>
      <c r="AG4" s="250"/>
      <c r="AH4" s="250"/>
      <c r="AI4" s="250"/>
      <c r="AJ4" s="250"/>
    </row>
    <row r="5" spans="1:36" x14ac:dyDescent="0.3">
      <c r="A5" s="252" t="s">
        <v>205</v>
      </c>
      <c r="B5" s="253">
        <v>45997</v>
      </c>
      <c r="C5" s="254" t="s">
        <v>565</v>
      </c>
      <c r="D5" s="255" t="s">
        <v>576</v>
      </c>
      <c r="E5" s="254" t="s">
        <v>564</v>
      </c>
      <c r="F5" s="254" t="s">
        <v>141</v>
      </c>
      <c r="G5" s="256">
        <v>0.2291</v>
      </c>
      <c r="H5" s="257">
        <v>179</v>
      </c>
      <c r="I5" s="257">
        <v>41</v>
      </c>
      <c r="J5" s="257">
        <v>0</v>
      </c>
      <c r="K5" s="254" t="s">
        <v>142</v>
      </c>
      <c r="L5" s="258" t="s">
        <v>37</v>
      </c>
      <c r="M5" s="257">
        <v>0</v>
      </c>
      <c r="N5" s="257">
        <v>6</v>
      </c>
      <c r="O5" s="257">
        <v>18</v>
      </c>
      <c r="P5" s="254" t="s">
        <v>95</v>
      </c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7" t="s">
        <v>242</v>
      </c>
      <c r="AD5" s="257" t="s">
        <v>220</v>
      </c>
      <c r="AE5" s="257" t="s">
        <v>585</v>
      </c>
      <c r="AF5" s="257" t="s">
        <v>80</v>
      </c>
      <c r="AG5" s="250"/>
      <c r="AH5" s="250"/>
      <c r="AI5" s="250"/>
      <c r="AJ5" s="250"/>
    </row>
    <row r="6" spans="1:36" x14ac:dyDescent="0.3">
      <c r="A6" s="252" t="s">
        <v>179</v>
      </c>
      <c r="B6" s="253">
        <v>46002</v>
      </c>
      <c r="C6" s="254" t="s">
        <v>565</v>
      </c>
      <c r="D6" s="255" t="s">
        <v>576</v>
      </c>
      <c r="E6" s="254" t="s">
        <v>564</v>
      </c>
      <c r="F6" s="254" t="s">
        <v>141</v>
      </c>
      <c r="G6" s="256">
        <v>5.5899999999999998E-2</v>
      </c>
      <c r="H6" s="257">
        <v>179</v>
      </c>
      <c r="I6" s="257">
        <v>10</v>
      </c>
      <c r="J6" s="257">
        <v>0</v>
      </c>
      <c r="K6" s="254" t="s">
        <v>142</v>
      </c>
      <c r="L6" s="258" t="s">
        <v>32</v>
      </c>
      <c r="M6" s="257">
        <v>0</v>
      </c>
      <c r="N6" s="257">
        <v>0</v>
      </c>
      <c r="O6" s="257">
        <v>1</v>
      </c>
      <c r="P6" s="254" t="s">
        <v>73</v>
      </c>
      <c r="Q6" s="250"/>
      <c r="R6" s="250"/>
      <c r="S6" s="250"/>
      <c r="T6" s="250"/>
      <c r="U6" s="250"/>
      <c r="V6" s="250"/>
      <c r="W6" s="250"/>
      <c r="X6" s="250"/>
      <c r="Y6" s="250"/>
      <c r="Z6" s="257" t="s">
        <v>199</v>
      </c>
      <c r="AA6" s="250"/>
      <c r="AB6" s="250"/>
      <c r="AC6" s="257" t="s">
        <v>58</v>
      </c>
      <c r="AD6" s="250"/>
      <c r="AE6" s="257" t="s">
        <v>84</v>
      </c>
      <c r="AF6" s="250"/>
      <c r="AG6" s="250"/>
      <c r="AH6" s="250"/>
      <c r="AI6" s="250"/>
      <c r="AJ6" s="250"/>
    </row>
    <row r="7" spans="1:36" x14ac:dyDescent="0.3">
      <c r="A7" s="252" t="s">
        <v>205</v>
      </c>
      <c r="B7" s="253">
        <v>46004</v>
      </c>
      <c r="C7" s="254" t="s">
        <v>565</v>
      </c>
      <c r="D7" s="255" t="s">
        <v>576</v>
      </c>
      <c r="E7" s="254" t="s">
        <v>564</v>
      </c>
      <c r="F7" s="254" t="s">
        <v>141</v>
      </c>
      <c r="G7" s="256">
        <v>9.5000000000000001E-2</v>
      </c>
      <c r="H7" s="257">
        <v>179</v>
      </c>
      <c r="I7" s="257">
        <v>17</v>
      </c>
      <c r="J7" s="257">
        <v>0</v>
      </c>
      <c r="K7" s="254" t="s">
        <v>142</v>
      </c>
      <c r="L7" s="258" t="s">
        <v>37</v>
      </c>
      <c r="M7" s="257">
        <v>0</v>
      </c>
      <c r="N7" s="257">
        <v>1</v>
      </c>
      <c r="O7" s="257">
        <v>6</v>
      </c>
      <c r="P7" s="254" t="s">
        <v>155</v>
      </c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7" t="s">
        <v>71</v>
      </c>
      <c r="AD7" s="257" t="s">
        <v>249</v>
      </c>
      <c r="AE7" s="257" t="s">
        <v>73</v>
      </c>
      <c r="AF7" s="250"/>
      <c r="AG7" s="250"/>
      <c r="AH7" s="250"/>
      <c r="AI7" s="250"/>
      <c r="AJ7" s="250"/>
    </row>
    <row r="8" spans="1:36" x14ac:dyDescent="0.3">
      <c r="A8" s="252" t="s">
        <v>179</v>
      </c>
      <c r="B8" s="253">
        <v>46009</v>
      </c>
      <c r="C8" s="254" t="s">
        <v>565</v>
      </c>
      <c r="D8" s="255" t="s">
        <v>576</v>
      </c>
      <c r="E8" s="254" t="s">
        <v>564</v>
      </c>
      <c r="F8" s="254" t="s">
        <v>141</v>
      </c>
      <c r="G8" s="256">
        <v>1.6799999999999999E-2</v>
      </c>
      <c r="H8" s="257">
        <v>179</v>
      </c>
      <c r="I8" s="257">
        <v>3</v>
      </c>
      <c r="J8" s="257">
        <v>0</v>
      </c>
      <c r="K8" s="254" t="s">
        <v>142</v>
      </c>
      <c r="L8" s="258" t="s">
        <v>572</v>
      </c>
      <c r="M8" s="257">
        <v>0</v>
      </c>
      <c r="N8" s="257">
        <v>0</v>
      </c>
      <c r="O8" s="257">
        <v>0</v>
      </c>
      <c r="P8" s="254" t="s">
        <v>155</v>
      </c>
      <c r="Q8" s="250"/>
      <c r="R8" s="250"/>
      <c r="S8" s="250"/>
      <c r="T8" s="250"/>
      <c r="U8" s="250"/>
      <c r="V8" s="250"/>
      <c r="W8" s="250"/>
      <c r="X8" s="250"/>
      <c r="Y8" s="250"/>
      <c r="Z8" s="257" t="s">
        <v>233</v>
      </c>
      <c r="AA8" s="250"/>
      <c r="AB8" s="250"/>
      <c r="AC8" s="250"/>
      <c r="AD8" s="250"/>
      <c r="AE8" s="257" t="s">
        <v>95</v>
      </c>
      <c r="AF8" s="250"/>
      <c r="AG8" s="250"/>
      <c r="AH8" s="250"/>
      <c r="AI8" s="250"/>
      <c r="AJ8" s="250"/>
    </row>
    <row r="9" spans="1:36" x14ac:dyDescent="0.3">
      <c r="A9" s="252" t="s">
        <v>205</v>
      </c>
      <c r="B9" s="253">
        <v>46011</v>
      </c>
      <c r="C9" s="254" t="s">
        <v>565</v>
      </c>
      <c r="D9" s="255" t="s">
        <v>576</v>
      </c>
      <c r="E9" s="254" t="s">
        <v>564</v>
      </c>
      <c r="F9" s="254" t="s">
        <v>141</v>
      </c>
      <c r="G9" s="256">
        <v>0.1676</v>
      </c>
      <c r="H9" s="257">
        <v>179</v>
      </c>
      <c r="I9" s="257">
        <v>30</v>
      </c>
      <c r="J9" s="257">
        <v>0</v>
      </c>
      <c r="K9" s="254" t="s">
        <v>142</v>
      </c>
      <c r="L9" s="258" t="s">
        <v>32</v>
      </c>
      <c r="M9" s="257">
        <v>0</v>
      </c>
      <c r="N9" s="257">
        <v>0</v>
      </c>
      <c r="O9" s="257">
        <v>3</v>
      </c>
      <c r="P9" s="254" t="s">
        <v>155</v>
      </c>
      <c r="Q9" s="250"/>
      <c r="R9" s="250"/>
      <c r="S9" s="250"/>
      <c r="T9" s="250"/>
      <c r="U9" s="250"/>
      <c r="V9" s="250"/>
      <c r="W9" s="250"/>
      <c r="X9" s="250"/>
      <c r="Y9" s="250"/>
      <c r="Z9" s="257" t="s">
        <v>226</v>
      </c>
      <c r="AA9" s="250"/>
      <c r="AB9" s="250"/>
      <c r="AC9" s="257" t="s">
        <v>234</v>
      </c>
      <c r="AD9" s="257" t="s">
        <v>249</v>
      </c>
      <c r="AE9" s="257" t="s">
        <v>156</v>
      </c>
      <c r="AF9" s="250"/>
      <c r="AG9" s="250"/>
      <c r="AH9" s="250"/>
      <c r="AI9" s="250"/>
      <c r="AJ9" s="250"/>
    </row>
    <row r="10" spans="1:36" x14ac:dyDescent="0.3">
      <c r="A10" s="252" t="s">
        <v>179</v>
      </c>
      <c r="B10" s="253">
        <v>46016</v>
      </c>
      <c r="C10" s="254" t="s">
        <v>565</v>
      </c>
      <c r="D10" s="255" t="s">
        <v>576</v>
      </c>
      <c r="E10" s="254" t="s">
        <v>564</v>
      </c>
      <c r="F10" s="254" t="s">
        <v>141</v>
      </c>
      <c r="G10" s="256">
        <v>2.23E-2</v>
      </c>
      <c r="H10" s="257">
        <v>179</v>
      </c>
      <c r="I10" s="257">
        <v>4</v>
      </c>
      <c r="J10" s="257">
        <v>0</v>
      </c>
      <c r="K10" s="254" t="s">
        <v>142</v>
      </c>
      <c r="L10" s="258" t="s">
        <v>413</v>
      </c>
      <c r="M10" s="257">
        <v>0</v>
      </c>
      <c r="N10" s="257">
        <v>0</v>
      </c>
      <c r="O10" s="257">
        <v>0</v>
      </c>
      <c r="P10" s="254" t="s">
        <v>155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7" t="s">
        <v>404</v>
      </c>
      <c r="AD10" s="250"/>
      <c r="AE10" s="257" t="s">
        <v>254</v>
      </c>
      <c r="AF10" s="250"/>
      <c r="AG10" s="250"/>
      <c r="AH10" s="250"/>
      <c r="AI10" s="250"/>
      <c r="AJ10" s="250"/>
    </row>
    <row r="11" spans="1:36" ht="21" x14ac:dyDescent="0.3">
      <c r="A11" s="259" t="s">
        <v>900</v>
      </c>
      <c r="B11" s="260"/>
      <c r="C11" s="259">
        <f>SUBTOTAL(103,CAI_GIZ_LF_LEGACY[Flt])</f>
        <v>9</v>
      </c>
      <c r="D11" s="259"/>
      <c r="E11" s="259">
        <f>SUBTOTAL(103,CAI_GIZ_LF_LEGACY[Brd-Off])</f>
        <v>9</v>
      </c>
      <c r="F11" s="259"/>
      <c r="G11" s="261">
        <f>SUBTOTAL(101,CAI_GIZ_LF_LEGACY[LF%])</f>
        <v>0.27189999999999998</v>
      </c>
      <c r="H11" s="262">
        <f>SUBTOTAL(109,CAI_GIZ_LF_LEGACY[CAP])</f>
        <v>1611</v>
      </c>
      <c r="I11" s="262">
        <f>SUBTOTAL(109,CAI_GIZ_LF_LEGACY[BKG(Y)])</f>
        <v>438</v>
      </c>
      <c r="J11" s="262">
        <f>SUBTOTAL(109,CAI_GIZ_LF_LEGACY[GRP(Y)])</f>
        <v>0</v>
      </c>
      <c r="K11" s="259"/>
      <c r="L11" s="260"/>
      <c r="M11" s="262">
        <f>SUBTOTAL(109,CAI_GIZ_LF_LEGACY[TO-DAY])</f>
        <v>0</v>
      </c>
      <c r="N11" s="262">
        <f>SUBTOTAL(109,CAI_GIZ_LF_LEGACY[Y-DAY])</f>
        <v>33</v>
      </c>
      <c r="O11" s="262">
        <f>SUBTOTAL(109,CAI_GIZ_LF_LEGACY[WEEKLY])</f>
        <v>98</v>
      </c>
      <c r="P11" s="263"/>
      <c r="Q11" s="262">
        <f>SUBTOTAL(109,CAI_GIZ_LF_LEGACY[Y])</f>
        <v>0</v>
      </c>
      <c r="R11" s="262">
        <f>SUBTOTAL(109,CAI_GIZ_LF_LEGACY[B])</f>
        <v>0</v>
      </c>
      <c r="S11" s="262">
        <f>SUBTOTAL(109,CAI_GIZ_LF_LEGACY[M])</f>
        <v>0</v>
      </c>
      <c r="T11" s="262">
        <f>SUBTOTAL(109,CAI_GIZ_LF_LEGACY[H])</f>
        <v>0</v>
      </c>
      <c r="U11" s="262">
        <f>SUBTOTAL(109,CAI_GIZ_LF_LEGACY[Q])</f>
        <v>0</v>
      </c>
      <c r="V11" s="262">
        <f>SUBTOTAL(109,CAI_GIZ_LF_LEGACY[K])</f>
        <v>0</v>
      </c>
      <c r="W11" s="262">
        <f>SUBTOTAL(109,CAI_GIZ_LF_LEGACY[V])</f>
        <v>0</v>
      </c>
      <c r="X11" s="262">
        <f>SUBTOTAL(109,CAI_GIZ_LF_LEGACY[L])</f>
        <v>0</v>
      </c>
      <c r="Y11" s="262">
        <f>SUBTOTAL(109,CAI_GIZ_LF_LEGACY[G])</f>
        <v>0</v>
      </c>
      <c r="Z11" s="262">
        <f>SUBTOTAL(109,CAI_GIZ_LF_LEGACY[S])</f>
        <v>0</v>
      </c>
      <c r="AA11" s="262">
        <f>SUBTOTAL(109,CAI_GIZ_LF_LEGACY[W])</f>
        <v>0</v>
      </c>
      <c r="AB11" s="262">
        <f>SUBTOTAL(109,CAI_GIZ_LF_LEGACY[T])</f>
        <v>0</v>
      </c>
      <c r="AC11" s="262">
        <f>SUBTOTAL(109,CAI_GIZ_LF_LEGACY[X])</f>
        <v>0</v>
      </c>
      <c r="AD11" s="262">
        <f>SUBTOTAL(109,CAI_GIZ_LF_LEGACY[U])</f>
        <v>0</v>
      </c>
      <c r="AE11" s="262">
        <f>SUBTOTAL(109,CAI_GIZ_LF_LEGACY[O])</f>
        <v>0</v>
      </c>
      <c r="AF11" s="262">
        <f>SUBTOTAL(109,CAI_GIZ_LF_LEGACY[I])</f>
        <v>0</v>
      </c>
      <c r="AG11" s="262">
        <f>SUBTOTAL(109,CAI_GIZ_LF_LEGACY[E])</f>
        <v>0</v>
      </c>
      <c r="AH11" s="262">
        <f>SUBTOTAL(109,CAI_GIZ_LF_LEGACY[A])</f>
        <v>0</v>
      </c>
      <c r="AI11" s="262">
        <f>SUBTOTAL(109,CAI_GIZ_LF_LEGACY[P])</f>
        <v>0</v>
      </c>
      <c r="AJ11" s="262">
        <f>SUBTOTAL(103,CAI_GIZ_LF_LEGACY[N])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N262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93.3320312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586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45984.228726891874</v>
      </c>
      <c r="H2" s="235"/>
      <c r="I2" s="235"/>
      <c r="J2" s="235"/>
      <c r="K2" s="245">
        <v>45984.228726892346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45985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28</v>
      </c>
      <c r="B6" s="80" t="s">
        <v>587</v>
      </c>
      <c r="C6" s="81">
        <v>0.24652777777777779</v>
      </c>
      <c r="D6" s="80" t="s">
        <v>30</v>
      </c>
      <c r="E6" s="82"/>
      <c r="F6" s="80" t="s">
        <v>31</v>
      </c>
      <c r="G6" s="232"/>
      <c r="H6" s="83" t="s">
        <v>587</v>
      </c>
      <c r="I6" s="159">
        <v>1</v>
      </c>
      <c r="J6" s="85">
        <v>180</v>
      </c>
      <c r="K6" s="86" t="s">
        <v>32</v>
      </c>
      <c r="L6" s="85">
        <v>12</v>
      </c>
      <c r="M6" s="85">
        <v>0</v>
      </c>
      <c r="N6" s="85">
        <v>0</v>
      </c>
      <c r="O6" s="87" t="s">
        <v>33</v>
      </c>
      <c r="P6" s="88">
        <v>0.24652777777777779</v>
      </c>
      <c r="Q6" s="85">
        <v>180</v>
      </c>
      <c r="R6" s="89" t="s">
        <v>588</v>
      </c>
    </row>
    <row r="7" spans="1:92" ht="49.95" customHeight="1" x14ac:dyDescent="0.3">
      <c r="A7" s="160" t="s">
        <v>28</v>
      </c>
      <c r="B7" s="160" t="s">
        <v>589</v>
      </c>
      <c r="C7" s="161">
        <v>0.4375</v>
      </c>
      <c r="D7" s="160" t="s">
        <v>30</v>
      </c>
      <c r="E7" s="162"/>
      <c r="F7" s="160" t="s">
        <v>31</v>
      </c>
      <c r="G7" s="249"/>
      <c r="H7" s="163" t="s">
        <v>589</v>
      </c>
      <c r="I7" s="164">
        <v>1</v>
      </c>
      <c r="J7" s="165">
        <v>180</v>
      </c>
      <c r="K7" s="166" t="s">
        <v>37</v>
      </c>
      <c r="L7" s="165">
        <v>5</v>
      </c>
      <c r="M7" s="165">
        <v>0</v>
      </c>
      <c r="N7" s="165">
        <v>1</v>
      </c>
      <c r="O7" s="167" t="s">
        <v>33</v>
      </c>
      <c r="P7" s="168">
        <v>0.4375</v>
      </c>
      <c r="Q7" s="165">
        <v>180</v>
      </c>
      <c r="R7" s="169" t="s">
        <v>590</v>
      </c>
    </row>
    <row r="8" spans="1:92" ht="49.95" customHeight="1" thickBot="1" x14ac:dyDescent="0.35">
      <c r="A8" s="90" t="s">
        <v>28</v>
      </c>
      <c r="B8" s="90" t="s">
        <v>591</v>
      </c>
      <c r="C8" s="91">
        <v>0.80208333333333337</v>
      </c>
      <c r="D8" s="90" t="s">
        <v>30</v>
      </c>
      <c r="E8" s="92"/>
      <c r="F8" s="90" t="s">
        <v>31</v>
      </c>
      <c r="G8" s="233"/>
      <c r="H8" s="93" t="s">
        <v>591</v>
      </c>
      <c r="I8" s="153">
        <v>0.99439999999999995</v>
      </c>
      <c r="J8" s="95">
        <v>179</v>
      </c>
      <c r="K8" s="96" t="s">
        <v>37</v>
      </c>
      <c r="L8" s="95">
        <v>68</v>
      </c>
      <c r="M8" s="95">
        <v>0</v>
      </c>
      <c r="N8" s="95">
        <v>8</v>
      </c>
      <c r="O8" s="97" t="s">
        <v>33</v>
      </c>
      <c r="P8" s="98">
        <v>0.80208333333333337</v>
      </c>
      <c r="Q8" s="95">
        <v>180</v>
      </c>
      <c r="R8" s="99" t="s">
        <v>592</v>
      </c>
    </row>
    <row r="9" spans="1:92" ht="17.399999999999999" customHeight="1" thickBot="1" x14ac:dyDescent="0.35">
      <c r="A9" s="264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6"/>
    </row>
    <row r="10" spans="1:92" ht="22.05" customHeight="1" thickTop="1" thickBot="1" x14ac:dyDescent="0.35">
      <c r="A10" s="241" t="s">
        <v>8</v>
      </c>
      <c r="B10" s="239"/>
      <c r="C10" s="239"/>
      <c r="D10" s="239"/>
      <c r="E10" s="239"/>
      <c r="F10" s="240"/>
      <c r="G10" s="18">
        <v>45986</v>
      </c>
      <c r="H10" s="238" t="s">
        <v>9</v>
      </c>
      <c r="I10" s="239"/>
      <c r="J10" s="239"/>
      <c r="K10" s="239"/>
      <c r="L10" s="239"/>
      <c r="M10" s="239"/>
      <c r="N10" s="239"/>
      <c r="O10" s="239"/>
      <c r="P10" s="239"/>
      <c r="Q10" s="239"/>
      <c r="R10" s="240"/>
    </row>
    <row r="11" spans="1:92" ht="24" customHeight="1" x14ac:dyDescent="0.3">
      <c r="A11" s="19" t="s">
        <v>10</v>
      </c>
      <c r="B11" s="19" t="s">
        <v>11</v>
      </c>
      <c r="C11" s="20" t="s">
        <v>12</v>
      </c>
      <c r="D11" s="19" t="s">
        <v>13</v>
      </c>
      <c r="E11" s="19" t="s">
        <v>14</v>
      </c>
      <c r="F11" s="21" t="s">
        <v>15</v>
      </c>
      <c r="G11" s="22" t="s">
        <v>16</v>
      </c>
      <c r="H11" s="19" t="s">
        <v>17</v>
      </c>
      <c r="I11" s="23" t="s">
        <v>18</v>
      </c>
      <c r="J11" s="24" t="s">
        <v>19</v>
      </c>
      <c r="K11" s="25" t="s">
        <v>20</v>
      </c>
      <c r="L11" s="24" t="s">
        <v>21</v>
      </c>
      <c r="M11" s="24" t="s">
        <v>22</v>
      </c>
      <c r="N11" s="24" t="s">
        <v>23</v>
      </c>
      <c r="O11" s="19" t="s">
        <v>24</v>
      </c>
      <c r="P11" s="20" t="s">
        <v>25</v>
      </c>
      <c r="Q11" s="24" t="s">
        <v>26</v>
      </c>
      <c r="R11" s="19" t="s">
        <v>27</v>
      </c>
    </row>
    <row r="12" spans="1:92" ht="15" customHeight="1" x14ac:dyDescent="0.3">
      <c r="A12" s="26" t="s">
        <v>28</v>
      </c>
      <c r="B12" s="26" t="s">
        <v>593</v>
      </c>
      <c r="C12" s="27">
        <v>5.2083333333333343E-2</v>
      </c>
      <c r="D12" s="26" t="s">
        <v>30</v>
      </c>
      <c r="E12" s="28"/>
      <c r="F12" s="26" t="s">
        <v>407</v>
      </c>
      <c r="G12" s="237"/>
      <c r="H12" s="170" t="s">
        <v>593</v>
      </c>
      <c r="I12" s="171">
        <v>0.9778</v>
      </c>
      <c r="J12" s="172">
        <v>176</v>
      </c>
      <c r="K12" s="173" t="s">
        <v>37</v>
      </c>
      <c r="L12" s="172">
        <v>77</v>
      </c>
      <c r="M12" s="172">
        <v>0</v>
      </c>
      <c r="N12" s="172">
        <v>16</v>
      </c>
      <c r="O12" s="174" t="s">
        <v>45</v>
      </c>
      <c r="P12" s="175">
        <v>5.2083333333333343E-2</v>
      </c>
      <c r="Q12" s="172">
        <v>180</v>
      </c>
      <c r="R12" s="176" t="s">
        <v>594</v>
      </c>
    </row>
    <row r="13" spans="1:92" ht="15" customHeight="1" x14ac:dyDescent="0.3">
      <c r="A13" s="177" t="s">
        <v>28</v>
      </c>
      <c r="B13" s="177" t="s">
        <v>595</v>
      </c>
      <c r="C13" s="178">
        <v>0.38194444444444442</v>
      </c>
      <c r="D13" s="177" t="s">
        <v>30</v>
      </c>
      <c r="E13" s="179"/>
      <c r="F13" s="177" t="s">
        <v>31</v>
      </c>
      <c r="G13" s="249"/>
      <c r="H13" s="140" t="s">
        <v>595</v>
      </c>
      <c r="I13" s="180">
        <v>1.0056</v>
      </c>
      <c r="J13" s="142">
        <v>181</v>
      </c>
      <c r="K13" s="143" t="s">
        <v>32</v>
      </c>
      <c r="L13" s="142">
        <v>6</v>
      </c>
      <c r="M13" s="142">
        <v>0</v>
      </c>
      <c r="N13" s="142">
        <v>0</v>
      </c>
      <c r="O13" s="144" t="s">
        <v>33</v>
      </c>
      <c r="P13" s="145">
        <v>0.38194444444444442</v>
      </c>
      <c r="Q13" s="142">
        <v>180</v>
      </c>
      <c r="R13" s="146" t="s">
        <v>596</v>
      </c>
    </row>
    <row r="14" spans="1:92" ht="15" customHeight="1" x14ac:dyDescent="0.3">
      <c r="A14" s="181" t="s">
        <v>28</v>
      </c>
      <c r="B14" s="181" t="s">
        <v>589</v>
      </c>
      <c r="C14" s="182">
        <v>0.4375</v>
      </c>
      <c r="D14" s="181" t="s">
        <v>30</v>
      </c>
      <c r="E14" s="183"/>
      <c r="F14" s="181" t="s">
        <v>31</v>
      </c>
      <c r="G14" s="249"/>
      <c r="H14" s="184" t="s">
        <v>589</v>
      </c>
      <c r="I14" s="185">
        <v>1</v>
      </c>
      <c r="J14" s="186">
        <v>180</v>
      </c>
      <c r="K14" s="187" t="s">
        <v>37</v>
      </c>
      <c r="L14" s="186">
        <v>27</v>
      </c>
      <c r="M14" s="186">
        <v>0</v>
      </c>
      <c r="N14" s="186">
        <v>1</v>
      </c>
      <c r="O14" s="188" t="s">
        <v>33</v>
      </c>
      <c r="P14" s="189">
        <v>0.4375</v>
      </c>
      <c r="Q14" s="186">
        <v>180</v>
      </c>
      <c r="R14" s="190" t="s">
        <v>597</v>
      </c>
    </row>
    <row r="15" spans="1:92" ht="15" customHeight="1" x14ac:dyDescent="0.3">
      <c r="A15" s="177" t="s">
        <v>28</v>
      </c>
      <c r="B15" s="177" t="s">
        <v>591</v>
      </c>
      <c r="C15" s="178">
        <v>0.55208333333333337</v>
      </c>
      <c r="D15" s="177" t="s">
        <v>30</v>
      </c>
      <c r="E15" s="179"/>
      <c r="F15" s="177" t="s">
        <v>31</v>
      </c>
      <c r="G15" s="249"/>
      <c r="H15" s="140" t="s">
        <v>591</v>
      </c>
      <c r="I15" s="180">
        <v>0.98329999999999995</v>
      </c>
      <c r="J15" s="142">
        <v>177</v>
      </c>
      <c r="K15" s="143" t="s">
        <v>37</v>
      </c>
      <c r="L15" s="142">
        <v>45</v>
      </c>
      <c r="M15" s="142">
        <v>0</v>
      </c>
      <c r="N15" s="142">
        <v>4</v>
      </c>
      <c r="O15" s="144" t="s">
        <v>33</v>
      </c>
      <c r="P15" s="145">
        <v>0.55208333333333337</v>
      </c>
      <c r="Q15" s="142">
        <v>180</v>
      </c>
      <c r="R15" s="146" t="s">
        <v>598</v>
      </c>
    </row>
    <row r="16" spans="1:92" ht="15" customHeight="1" x14ac:dyDescent="0.3">
      <c r="A16" s="160" t="s">
        <v>28</v>
      </c>
      <c r="B16" s="160" t="s">
        <v>599</v>
      </c>
      <c r="C16" s="161">
        <v>0.75694444444444453</v>
      </c>
      <c r="D16" s="160" t="s">
        <v>30</v>
      </c>
      <c r="E16" s="162"/>
      <c r="F16" s="160" t="s">
        <v>31</v>
      </c>
      <c r="G16" s="249"/>
      <c r="H16" s="163" t="s">
        <v>599</v>
      </c>
      <c r="I16" s="164">
        <v>0.99439999999999995</v>
      </c>
      <c r="J16" s="165">
        <v>179</v>
      </c>
      <c r="K16" s="166" t="s">
        <v>82</v>
      </c>
      <c r="L16" s="165">
        <v>6</v>
      </c>
      <c r="M16" s="165">
        <v>0</v>
      </c>
      <c r="N16" s="165">
        <v>0</v>
      </c>
      <c r="O16" s="167" t="s">
        <v>33</v>
      </c>
      <c r="P16" s="168">
        <v>0.75694444444444453</v>
      </c>
      <c r="Q16" s="165">
        <v>180</v>
      </c>
      <c r="R16" s="169" t="s">
        <v>600</v>
      </c>
    </row>
    <row r="17" spans="1:18" ht="15" customHeight="1" thickBot="1" x14ac:dyDescent="0.35">
      <c r="A17" s="191" t="s">
        <v>28</v>
      </c>
      <c r="B17" s="191" t="s">
        <v>587</v>
      </c>
      <c r="C17" s="192">
        <v>0.79166666666666663</v>
      </c>
      <c r="D17" s="191" t="s">
        <v>30</v>
      </c>
      <c r="E17" s="193"/>
      <c r="F17" s="191" t="s">
        <v>407</v>
      </c>
      <c r="G17" s="233"/>
      <c r="H17" s="29" t="s">
        <v>587</v>
      </c>
      <c r="I17" s="154">
        <v>0.98329999999999995</v>
      </c>
      <c r="J17" s="31">
        <v>177</v>
      </c>
      <c r="K17" s="32" t="s">
        <v>37</v>
      </c>
      <c r="L17" s="31">
        <v>106</v>
      </c>
      <c r="M17" s="31">
        <v>0</v>
      </c>
      <c r="N17" s="31">
        <v>19</v>
      </c>
      <c r="O17" s="33" t="s">
        <v>173</v>
      </c>
      <c r="P17" s="34">
        <v>0.79166666666666663</v>
      </c>
      <c r="Q17" s="31">
        <v>180</v>
      </c>
      <c r="R17" s="35" t="s">
        <v>601</v>
      </c>
    </row>
    <row r="18" spans="1:18" ht="17.399999999999999" customHeight="1" thickBot="1" x14ac:dyDescent="0.35">
      <c r="A18" s="264"/>
      <c r="B18" s="265"/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6"/>
    </row>
    <row r="19" spans="1:18" ht="22.05" customHeight="1" thickTop="1" thickBot="1" x14ac:dyDescent="0.35">
      <c r="A19" s="241" t="s">
        <v>8</v>
      </c>
      <c r="B19" s="239"/>
      <c r="C19" s="239"/>
      <c r="D19" s="239"/>
      <c r="E19" s="239"/>
      <c r="F19" s="240"/>
      <c r="G19" s="18">
        <v>45987</v>
      </c>
      <c r="H19" s="238" t="s">
        <v>9</v>
      </c>
      <c r="I19" s="239"/>
      <c r="J19" s="239"/>
      <c r="K19" s="239"/>
      <c r="L19" s="239"/>
      <c r="M19" s="239"/>
      <c r="N19" s="239"/>
      <c r="O19" s="239"/>
      <c r="P19" s="239"/>
      <c r="Q19" s="239"/>
      <c r="R19" s="240"/>
    </row>
    <row r="20" spans="1:18" ht="24" customHeight="1" x14ac:dyDescent="0.3">
      <c r="A20" s="19" t="s">
        <v>10</v>
      </c>
      <c r="B20" s="19" t="s">
        <v>11</v>
      </c>
      <c r="C20" s="20" t="s">
        <v>12</v>
      </c>
      <c r="D20" s="19" t="s">
        <v>13</v>
      </c>
      <c r="E20" s="19" t="s">
        <v>14</v>
      </c>
      <c r="F20" s="21" t="s">
        <v>15</v>
      </c>
      <c r="G20" s="22" t="s">
        <v>16</v>
      </c>
      <c r="H20" s="19" t="s">
        <v>17</v>
      </c>
      <c r="I20" s="23" t="s">
        <v>18</v>
      </c>
      <c r="J20" s="24" t="s">
        <v>19</v>
      </c>
      <c r="K20" s="25" t="s">
        <v>20</v>
      </c>
      <c r="L20" s="24" t="s">
        <v>21</v>
      </c>
      <c r="M20" s="24" t="s">
        <v>22</v>
      </c>
      <c r="N20" s="24" t="s">
        <v>23</v>
      </c>
      <c r="O20" s="19" t="s">
        <v>24</v>
      </c>
      <c r="P20" s="20" t="s">
        <v>25</v>
      </c>
      <c r="Q20" s="24" t="s">
        <v>26</v>
      </c>
      <c r="R20" s="19" t="s">
        <v>27</v>
      </c>
    </row>
    <row r="21" spans="1:18" ht="49.95" customHeight="1" x14ac:dyDescent="0.3">
      <c r="A21" s="76" t="s">
        <v>28</v>
      </c>
      <c r="B21" s="76" t="s">
        <v>599</v>
      </c>
      <c r="C21" s="77">
        <v>0.2326388888888889</v>
      </c>
      <c r="D21" s="76" t="s">
        <v>30</v>
      </c>
      <c r="E21" s="78"/>
      <c r="F21" s="76" t="s">
        <v>31</v>
      </c>
      <c r="G21" s="232"/>
      <c r="H21" s="163" t="s">
        <v>599</v>
      </c>
      <c r="I21" s="164">
        <v>1</v>
      </c>
      <c r="J21" s="165">
        <v>180</v>
      </c>
      <c r="K21" s="166" t="s">
        <v>47</v>
      </c>
      <c r="L21" s="165">
        <v>11</v>
      </c>
      <c r="M21" s="165">
        <v>0</v>
      </c>
      <c r="N21" s="165">
        <v>0</v>
      </c>
      <c r="O21" s="167" t="s">
        <v>33</v>
      </c>
      <c r="P21" s="168">
        <v>0.2326388888888889</v>
      </c>
      <c r="Q21" s="165">
        <v>180</v>
      </c>
      <c r="R21" s="169" t="s">
        <v>602</v>
      </c>
    </row>
    <row r="22" spans="1:18" ht="49.95" customHeight="1" x14ac:dyDescent="0.3">
      <c r="A22" s="181" t="s">
        <v>28</v>
      </c>
      <c r="B22" s="181" t="s">
        <v>587</v>
      </c>
      <c r="C22" s="182">
        <v>0.34027777777777768</v>
      </c>
      <c r="D22" s="181" t="s">
        <v>30</v>
      </c>
      <c r="E22" s="183"/>
      <c r="F22" s="181" t="s">
        <v>31</v>
      </c>
      <c r="G22" s="249"/>
      <c r="H22" s="184" t="s">
        <v>587</v>
      </c>
      <c r="I22" s="185">
        <v>0.99439999999999995</v>
      </c>
      <c r="J22" s="186">
        <v>179</v>
      </c>
      <c r="K22" s="187" t="s">
        <v>37</v>
      </c>
      <c r="L22" s="186">
        <v>61</v>
      </c>
      <c r="M22" s="186">
        <v>0</v>
      </c>
      <c r="N22" s="186">
        <v>3</v>
      </c>
      <c r="O22" s="188" t="s">
        <v>33</v>
      </c>
      <c r="P22" s="189">
        <v>0.34027777777777768</v>
      </c>
      <c r="Q22" s="186">
        <v>180</v>
      </c>
      <c r="R22" s="190" t="s">
        <v>603</v>
      </c>
    </row>
    <row r="23" spans="1:18" ht="49.95" customHeight="1" x14ac:dyDescent="0.3">
      <c r="A23" s="194" t="s">
        <v>28</v>
      </c>
      <c r="B23" s="194" t="s">
        <v>591</v>
      </c>
      <c r="C23" s="195">
        <v>0.34375</v>
      </c>
      <c r="D23" s="194" t="s">
        <v>30</v>
      </c>
      <c r="E23" s="196"/>
      <c r="F23" s="194" t="s">
        <v>31</v>
      </c>
      <c r="G23" s="249"/>
      <c r="H23" s="170" t="s">
        <v>591</v>
      </c>
      <c r="I23" s="171">
        <v>0.99439999999999995</v>
      </c>
      <c r="J23" s="172">
        <v>179</v>
      </c>
      <c r="K23" s="173" t="s">
        <v>47</v>
      </c>
      <c r="L23" s="172">
        <v>15</v>
      </c>
      <c r="M23" s="172">
        <v>0</v>
      </c>
      <c r="N23" s="172">
        <v>0</v>
      </c>
      <c r="O23" s="174" t="s">
        <v>33</v>
      </c>
      <c r="P23" s="175">
        <v>0.34375</v>
      </c>
      <c r="Q23" s="172">
        <v>180</v>
      </c>
      <c r="R23" s="176" t="s">
        <v>604</v>
      </c>
    </row>
    <row r="24" spans="1:18" ht="49.95" customHeight="1" x14ac:dyDescent="0.3">
      <c r="A24" s="197" t="s">
        <v>28</v>
      </c>
      <c r="B24" s="197" t="s">
        <v>589</v>
      </c>
      <c r="C24" s="198">
        <v>0.4375</v>
      </c>
      <c r="D24" s="197" t="s">
        <v>30</v>
      </c>
      <c r="E24" s="199"/>
      <c r="F24" s="197" t="s">
        <v>31</v>
      </c>
      <c r="G24" s="249"/>
      <c r="H24" s="83" t="s">
        <v>589</v>
      </c>
      <c r="I24" s="159">
        <v>0.99439999999999995</v>
      </c>
      <c r="J24" s="85">
        <v>179</v>
      </c>
      <c r="K24" s="86" t="s">
        <v>37</v>
      </c>
      <c r="L24" s="85">
        <v>55</v>
      </c>
      <c r="M24" s="85">
        <v>0</v>
      </c>
      <c r="N24" s="85">
        <v>1</v>
      </c>
      <c r="O24" s="87" t="s">
        <v>33</v>
      </c>
      <c r="P24" s="88">
        <v>0.4375</v>
      </c>
      <c r="Q24" s="85">
        <v>180</v>
      </c>
      <c r="R24" s="89" t="s">
        <v>605</v>
      </c>
    </row>
    <row r="25" spans="1:18" ht="49.95" customHeight="1" thickBot="1" x14ac:dyDescent="0.35">
      <c r="A25" s="109" t="s">
        <v>28</v>
      </c>
      <c r="B25" s="109" t="s">
        <v>593</v>
      </c>
      <c r="C25" s="110">
        <v>0.9375</v>
      </c>
      <c r="D25" s="109" t="s">
        <v>30</v>
      </c>
      <c r="E25" s="111"/>
      <c r="F25" s="109" t="s">
        <v>407</v>
      </c>
      <c r="G25" s="233"/>
      <c r="H25" s="112" t="s">
        <v>593</v>
      </c>
      <c r="I25" s="150">
        <v>0.9889</v>
      </c>
      <c r="J25" s="114">
        <v>178</v>
      </c>
      <c r="K25" s="115" t="s">
        <v>37</v>
      </c>
      <c r="L25" s="114">
        <v>94</v>
      </c>
      <c r="M25" s="114">
        <v>0</v>
      </c>
      <c r="N25" s="114">
        <v>28</v>
      </c>
      <c r="O25" s="116" t="s">
        <v>45</v>
      </c>
      <c r="P25" s="117">
        <v>0.9375</v>
      </c>
      <c r="Q25" s="114">
        <v>180</v>
      </c>
      <c r="R25" s="118" t="s">
        <v>606</v>
      </c>
    </row>
    <row r="26" spans="1:18" ht="17.399999999999999" customHeight="1" thickBot="1" x14ac:dyDescent="0.35">
      <c r="A26" s="264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6"/>
    </row>
    <row r="27" spans="1:18" ht="22.05" customHeight="1" thickTop="1" thickBot="1" x14ac:dyDescent="0.35">
      <c r="A27" s="241" t="s">
        <v>8</v>
      </c>
      <c r="B27" s="239"/>
      <c r="C27" s="239"/>
      <c r="D27" s="239"/>
      <c r="E27" s="239"/>
      <c r="F27" s="240"/>
      <c r="G27" s="18">
        <v>45988</v>
      </c>
      <c r="H27" s="238" t="s">
        <v>9</v>
      </c>
      <c r="I27" s="239"/>
      <c r="J27" s="239"/>
      <c r="K27" s="239"/>
      <c r="L27" s="239"/>
      <c r="M27" s="239"/>
      <c r="N27" s="239"/>
      <c r="O27" s="239"/>
      <c r="P27" s="239"/>
      <c r="Q27" s="239"/>
      <c r="R27" s="240"/>
    </row>
    <row r="28" spans="1:18" ht="24" customHeight="1" x14ac:dyDescent="0.3">
      <c r="A28" s="19" t="s">
        <v>10</v>
      </c>
      <c r="B28" s="19" t="s">
        <v>11</v>
      </c>
      <c r="C28" s="20" t="s">
        <v>12</v>
      </c>
      <c r="D28" s="19" t="s">
        <v>13</v>
      </c>
      <c r="E28" s="19" t="s">
        <v>14</v>
      </c>
      <c r="F28" s="21" t="s">
        <v>15</v>
      </c>
      <c r="G28" s="22" t="s">
        <v>16</v>
      </c>
      <c r="H28" s="19" t="s">
        <v>17</v>
      </c>
      <c r="I28" s="23" t="s">
        <v>18</v>
      </c>
      <c r="J28" s="24" t="s">
        <v>19</v>
      </c>
      <c r="K28" s="25" t="s">
        <v>20</v>
      </c>
      <c r="L28" s="24" t="s">
        <v>21</v>
      </c>
      <c r="M28" s="24" t="s">
        <v>22</v>
      </c>
      <c r="N28" s="24" t="s">
        <v>23</v>
      </c>
      <c r="O28" s="19" t="s">
        <v>24</v>
      </c>
      <c r="P28" s="20" t="s">
        <v>25</v>
      </c>
      <c r="Q28" s="24" t="s">
        <v>26</v>
      </c>
      <c r="R28" s="19" t="s">
        <v>27</v>
      </c>
    </row>
    <row r="29" spans="1:18" ht="15" customHeight="1" x14ac:dyDescent="0.3">
      <c r="A29" s="66" t="s">
        <v>28</v>
      </c>
      <c r="B29" s="66" t="s">
        <v>607</v>
      </c>
      <c r="C29" s="67">
        <v>6.5972222222222224E-2</v>
      </c>
      <c r="D29" s="66" t="s">
        <v>30</v>
      </c>
      <c r="E29" s="68"/>
      <c r="F29" s="66" t="s">
        <v>407</v>
      </c>
      <c r="G29" s="232"/>
      <c r="H29" s="69" t="s">
        <v>607</v>
      </c>
      <c r="I29" s="200">
        <v>0.9889</v>
      </c>
      <c r="J29" s="71">
        <v>178</v>
      </c>
      <c r="K29" s="72" t="s">
        <v>75</v>
      </c>
      <c r="L29" s="71">
        <v>65</v>
      </c>
      <c r="M29" s="71">
        <v>2</v>
      </c>
      <c r="N29" s="71">
        <v>29</v>
      </c>
      <c r="O29" s="73" t="s">
        <v>40</v>
      </c>
      <c r="P29" s="74">
        <v>6.5972222222222224E-2</v>
      </c>
      <c r="Q29" s="71">
        <v>180</v>
      </c>
      <c r="R29" s="75" t="s">
        <v>608</v>
      </c>
    </row>
    <row r="30" spans="1:18" ht="15" customHeight="1" x14ac:dyDescent="0.3">
      <c r="A30" s="201" t="s">
        <v>28</v>
      </c>
      <c r="B30" s="201" t="s">
        <v>587</v>
      </c>
      <c r="C30" s="202">
        <v>0.15625</v>
      </c>
      <c r="D30" s="201" t="s">
        <v>30</v>
      </c>
      <c r="E30" s="203"/>
      <c r="F30" s="201" t="s">
        <v>31</v>
      </c>
      <c r="G30" s="249"/>
      <c r="H30" s="204" t="s">
        <v>587</v>
      </c>
      <c r="I30" s="205">
        <v>0.99439999999999995</v>
      </c>
      <c r="J30" s="206">
        <v>179</v>
      </c>
      <c r="K30" s="207" t="s">
        <v>75</v>
      </c>
      <c r="L30" s="206">
        <v>24</v>
      </c>
      <c r="M30" s="206">
        <v>1</v>
      </c>
      <c r="N30" s="206">
        <v>1</v>
      </c>
      <c r="O30" s="208" t="s">
        <v>33</v>
      </c>
      <c r="P30" s="209">
        <v>0.15625</v>
      </c>
      <c r="Q30" s="206">
        <v>180</v>
      </c>
      <c r="R30" s="210" t="s">
        <v>609</v>
      </c>
    </row>
    <row r="31" spans="1:18" ht="15" customHeight="1" x14ac:dyDescent="0.3">
      <c r="A31" s="177" t="s">
        <v>28</v>
      </c>
      <c r="B31" s="177" t="s">
        <v>610</v>
      </c>
      <c r="C31" s="178">
        <v>0.1875</v>
      </c>
      <c r="D31" s="177" t="s">
        <v>30</v>
      </c>
      <c r="E31" s="179"/>
      <c r="F31" s="177" t="s">
        <v>31</v>
      </c>
      <c r="G31" s="249"/>
      <c r="H31" s="140" t="s">
        <v>610</v>
      </c>
      <c r="I31" s="180">
        <v>0.99439999999999995</v>
      </c>
      <c r="J31" s="142">
        <v>179</v>
      </c>
      <c r="K31" s="143" t="s">
        <v>37</v>
      </c>
      <c r="L31" s="142">
        <v>72</v>
      </c>
      <c r="M31" s="142">
        <v>0</v>
      </c>
      <c r="N31" s="142">
        <v>9</v>
      </c>
      <c r="O31" s="144" t="s">
        <v>33</v>
      </c>
      <c r="P31" s="145">
        <v>0.1875</v>
      </c>
      <c r="Q31" s="142">
        <v>180</v>
      </c>
      <c r="R31" s="146" t="s">
        <v>611</v>
      </c>
    </row>
    <row r="32" spans="1:18" ht="15" customHeight="1" x14ac:dyDescent="0.3">
      <c r="A32" s="160" t="s">
        <v>28</v>
      </c>
      <c r="B32" s="160" t="s">
        <v>589</v>
      </c>
      <c r="C32" s="161">
        <v>0.40625</v>
      </c>
      <c r="D32" s="160" t="s">
        <v>30</v>
      </c>
      <c r="E32" s="162"/>
      <c r="F32" s="160" t="s">
        <v>31</v>
      </c>
      <c r="G32" s="249"/>
      <c r="H32" s="163" t="s">
        <v>589</v>
      </c>
      <c r="I32" s="164">
        <v>1</v>
      </c>
      <c r="J32" s="165">
        <v>180</v>
      </c>
      <c r="K32" s="166" t="s">
        <v>612</v>
      </c>
      <c r="L32" s="165">
        <v>0</v>
      </c>
      <c r="M32" s="165">
        <v>0</v>
      </c>
      <c r="N32" s="165">
        <v>0</v>
      </c>
      <c r="O32" s="167" t="s">
        <v>33</v>
      </c>
      <c r="P32" s="168">
        <v>0.40625</v>
      </c>
      <c r="Q32" s="165">
        <v>180</v>
      </c>
      <c r="R32" s="169" t="s">
        <v>613</v>
      </c>
    </row>
    <row r="33" spans="1:18" ht="15" customHeight="1" x14ac:dyDescent="0.3">
      <c r="A33" s="201" t="s">
        <v>28</v>
      </c>
      <c r="B33" s="201" t="s">
        <v>595</v>
      </c>
      <c r="C33" s="202">
        <v>0.5625</v>
      </c>
      <c r="D33" s="201" t="s">
        <v>30</v>
      </c>
      <c r="E33" s="203"/>
      <c r="F33" s="201" t="s">
        <v>407</v>
      </c>
      <c r="G33" s="249"/>
      <c r="H33" s="204" t="s">
        <v>595</v>
      </c>
      <c r="I33" s="205">
        <v>0.9778</v>
      </c>
      <c r="J33" s="206">
        <v>176</v>
      </c>
      <c r="K33" s="207" t="s">
        <v>413</v>
      </c>
      <c r="L33" s="206">
        <v>0</v>
      </c>
      <c r="M33" s="206">
        <v>0</v>
      </c>
      <c r="N33" s="206">
        <v>0</v>
      </c>
      <c r="O33" s="208" t="s">
        <v>214</v>
      </c>
      <c r="P33" s="209">
        <v>0.5625</v>
      </c>
      <c r="Q33" s="206">
        <v>180</v>
      </c>
      <c r="R33" s="210" t="s">
        <v>614</v>
      </c>
    </row>
    <row r="34" spans="1:18" ht="15" customHeight="1" thickBot="1" x14ac:dyDescent="0.35">
      <c r="A34" s="46" t="s">
        <v>28</v>
      </c>
      <c r="B34" s="46" t="s">
        <v>599</v>
      </c>
      <c r="C34" s="47">
        <v>0.9375</v>
      </c>
      <c r="D34" s="46" t="s">
        <v>30</v>
      </c>
      <c r="E34" s="48"/>
      <c r="F34" s="46" t="s">
        <v>365</v>
      </c>
      <c r="G34" s="233"/>
      <c r="H34" s="49" t="s">
        <v>599</v>
      </c>
      <c r="I34" s="151">
        <v>0.93330000000000002</v>
      </c>
      <c r="J34" s="51">
        <v>168</v>
      </c>
      <c r="K34" s="52" t="s">
        <v>37</v>
      </c>
      <c r="L34" s="51">
        <v>36</v>
      </c>
      <c r="M34" s="51">
        <v>0</v>
      </c>
      <c r="N34" s="51">
        <v>18</v>
      </c>
      <c r="O34" s="53" t="s">
        <v>366</v>
      </c>
      <c r="P34" s="54">
        <v>0.9375</v>
      </c>
      <c r="Q34" s="51">
        <v>180</v>
      </c>
      <c r="R34" s="55" t="s">
        <v>615</v>
      </c>
    </row>
    <row r="35" spans="1:18" ht="17.399999999999999" customHeight="1" thickBot="1" x14ac:dyDescent="0.35">
      <c r="A35" s="264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6"/>
    </row>
    <row r="36" spans="1:18" ht="22.05" customHeight="1" thickTop="1" thickBot="1" x14ac:dyDescent="0.35">
      <c r="A36" s="241" t="s">
        <v>8</v>
      </c>
      <c r="B36" s="239"/>
      <c r="C36" s="239"/>
      <c r="D36" s="239"/>
      <c r="E36" s="239"/>
      <c r="F36" s="240"/>
      <c r="G36" s="18">
        <v>45989</v>
      </c>
      <c r="H36" s="238" t="s">
        <v>9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40"/>
    </row>
    <row r="37" spans="1:18" ht="24" customHeight="1" x14ac:dyDescent="0.3">
      <c r="A37" s="19" t="s">
        <v>10</v>
      </c>
      <c r="B37" s="19" t="s">
        <v>11</v>
      </c>
      <c r="C37" s="20" t="s">
        <v>12</v>
      </c>
      <c r="D37" s="19" t="s">
        <v>13</v>
      </c>
      <c r="E37" s="19" t="s">
        <v>14</v>
      </c>
      <c r="F37" s="21" t="s">
        <v>15</v>
      </c>
      <c r="G37" s="22" t="s">
        <v>16</v>
      </c>
      <c r="H37" s="19" t="s">
        <v>17</v>
      </c>
      <c r="I37" s="23" t="s">
        <v>18</v>
      </c>
      <c r="J37" s="24" t="s">
        <v>19</v>
      </c>
      <c r="K37" s="25" t="s">
        <v>20</v>
      </c>
      <c r="L37" s="24" t="s">
        <v>21</v>
      </c>
      <c r="M37" s="24" t="s">
        <v>22</v>
      </c>
      <c r="N37" s="24" t="s">
        <v>23</v>
      </c>
      <c r="O37" s="19" t="s">
        <v>24</v>
      </c>
      <c r="P37" s="20" t="s">
        <v>25</v>
      </c>
      <c r="Q37" s="24" t="s">
        <v>26</v>
      </c>
      <c r="R37" s="19" t="s">
        <v>27</v>
      </c>
    </row>
    <row r="38" spans="1:18" ht="49.95" customHeight="1" x14ac:dyDescent="0.3">
      <c r="A38" s="137" t="s">
        <v>28</v>
      </c>
      <c r="B38" s="137" t="s">
        <v>587</v>
      </c>
      <c r="C38" s="138">
        <v>0.1423611111111111</v>
      </c>
      <c r="D38" s="137" t="s">
        <v>30</v>
      </c>
      <c r="E38" s="139"/>
      <c r="F38" s="137" t="s">
        <v>31</v>
      </c>
      <c r="G38" s="232"/>
      <c r="H38" s="140" t="s">
        <v>587</v>
      </c>
      <c r="I38" s="180">
        <v>1</v>
      </c>
      <c r="J38" s="142">
        <v>180</v>
      </c>
      <c r="K38" s="143" t="s">
        <v>47</v>
      </c>
      <c r="L38" s="142">
        <v>20</v>
      </c>
      <c r="M38" s="142">
        <v>0</v>
      </c>
      <c r="N38" s="142">
        <v>0</v>
      </c>
      <c r="O38" s="144" t="s">
        <v>33</v>
      </c>
      <c r="P38" s="145">
        <v>0.1423611111111111</v>
      </c>
      <c r="Q38" s="142">
        <v>180</v>
      </c>
      <c r="R38" s="146" t="s">
        <v>616</v>
      </c>
    </row>
    <row r="39" spans="1:18" ht="49.95" customHeight="1" x14ac:dyDescent="0.3">
      <c r="A39" s="201" t="s">
        <v>28</v>
      </c>
      <c r="B39" s="201" t="s">
        <v>589</v>
      </c>
      <c r="C39" s="202">
        <v>0.28125</v>
      </c>
      <c r="D39" s="201" t="s">
        <v>30</v>
      </c>
      <c r="E39" s="203"/>
      <c r="F39" s="201" t="s">
        <v>407</v>
      </c>
      <c r="G39" s="249"/>
      <c r="H39" s="204" t="s">
        <v>589</v>
      </c>
      <c r="I39" s="205">
        <v>0.96109999999999995</v>
      </c>
      <c r="J39" s="206">
        <v>173</v>
      </c>
      <c r="K39" s="207" t="s">
        <v>37</v>
      </c>
      <c r="L39" s="206">
        <v>52</v>
      </c>
      <c r="M39" s="206">
        <v>0</v>
      </c>
      <c r="N39" s="206">
        <v>16</v>
      </c>
      <c r="O39" s="208" t="s">
        <v>617</v>
      </c>
      <c r="P39" s="209">
        <v>0.28125</v>
      </c>
      <c r="Q39" s="206">
        <v>180</v>
      </c>
      <c r="R39" s="210" t="s">
        <v>618</v>
      </c>
    </row>
    <row r="40" spans="1:18" ht="49.95" customHeight="1" x14ac:dyDescent="0.3">
      <c r="A40" s="194" t="s">
        <v>28</v>
      </c>
      <c r="B40" s="194" t="s">
        <v>595</v>
      </c>
      <c r="C40" s="195">
        <v>0.4375</v>
      </c>
      <c r="D40" s="194" t="s">
        <v>30</v>
      </c>
      <c r="E40" s="196"/>
      <c r="F40" s="194" t="s">
        <v>31</v>
      </c>
      <c r="G40" s="249"/>
      <c r="H40" s="170" t="s">
        <v>595</v>
      </c>
      <c r="I40" s="171">
        <v>0.99439999999999995</v>
      </c>
      <c r="J40" s="172">
        <v>179</v>
      </c>
      <c r="K40" s="173" t="s">
        <v>37</v>
      </c>
      <c r="L40" s="172">
        <v>38</v>
      </c>
      <c r="M40" s="172">
        <v>0</v>
      </c>
      <c r="N40" s="172">
        <v>10</v>
      </c>
      <c r="O40" s="174" t="s">
        <v>33</v>
      </c>
      <c r="P40" s="175">
        <v>0.4375</v>
      </c>
      <c r="Q40" s="172">
        <v>180</v>
      </c>
      <c r="R40" s="176" t="s">
        <v>619</v>
      </c>
    </row>
    <row r="41" spans="1:18" ht="49.95" customHeight="1" x14ac:dyDescent="0.3">
      <c r="A41" s="197" t="s">
        <v>28</v>
      </c>
      <c r="B41" s="197" t="s">
        <v>593</v>
      </c>
      <c r="C41" s="198">
        <v>0.55902777777777779</v>
      </c>
      <c r="D41" s="197" t="s">
        <v>30</v>
      </c>
      <c r="E41" s="199"/>
      <c r="F41" s="197" t="s">
        <v>407</v>
      </c>
      <c r="G41" s="249"/>
      <c r="H41" s="83" t="s">
        <v>593</v>
      </c>
      <c r="I41" s="159">
        <v>0.96109999999999995</v>
      </c>
      <c r="J41" s="85">
        <v>173</v>
      </c>
      <c r="K41" s="86" t="s">
        <v>37</v>
      </c>
      <c r="L41" s="85">
        <v>46</v>
      </c>
      <c r="M41" s="85">
        <v>0</v>
      </c>
      <c r="N41" s="85">
        <v>14</v>
      </c>
      <c r="O41" s="87" t="s">
        <v>617</v>
      </c>
      <c r="P41" s="88">
        <v>0.55902777777777779</v>
      </c>
      <c r="Q41" s="85">
        <v>180</v>
      </c>
      <c r="R41" s="89" t="s">
        <v>620</v>
      </c>
    </row>
    <row r="42" spans="1:18" ht="49.95" customHeight="1" thickBot="1" x14ac:dyDescent="0.35">
      <c r="A42" s="124" t="s">
        <v>28</v>
      </c>
      <c r="B42" s="124" t="s">
        <v>591</v>
      </c>
      <c r="C42" s="125">
        <v>0.76041666666666663</v>
      </c>
      <c r="D42" s="124" t="s">
        <v>30</v>
      </c>
      <c r="E42" s="126"/>
      <c r="F42" s="124" t="s">
        <v>31</v>
      </c>
      <c r="G42" s="233"/>
      <c r="H42" s="127" t="s">
        <v>591</v>
      </c>
      <c r="I42" s="152">
        <v>1</v>
      </c>
      <c r="J42" s="129">
        <v>180</v>
      </c>
      <c r="K42" s="130" t="s">
        <v>37</v>
      </c>
      <c r="L42" s="129">
        <v>20</v>
      </c>
      <c r="M42" s="129">
        <v>0</v>
      </c>
      <c r="N42" s="129">
        <v>4</v>
      </c>
      <c r="O42" s="131" t="s">
        <v>33</v>
      </c>
      <c r="P42" s="132">
        <v>0.76041666666666663</v>
      </c>
      <c r="Q42" s="129">
        <v>180</v>
      </c>
      <c r="R42" s="133" t="s">
        <v>621</v>
      </c>
    </row>
    <row r="43" spans="1:18" ht="17.399999999999999" customHeight="1" thickBot="1" x14ac:dyDescent="0.35">
      <c r="A43" s="264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6"/>
    </row>
    <row r="44" spans="1:18" ht="22.05" customHeight="1" thickTop="1" thickBot="1" x14ac:dyDescent="0.35">
      <c r="A44" s="241" t="s">
        <v>8</v>
      </c>
      <c r="B44" s="239"/>
      <c r="C44" s="239"/>
      <c r="D44" s="239"/>
      <c r="E44" s="239"/>
      <c r="F44" s="240"/>
      <c r="G44" s="18">
        <v>45990</v>
      </c>
      <c r="H44" s="238" t="s">
        <v>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40"/>
    </row>
    <row r="45" spans="1:18" ht="24" customHeight="1" x14ac:dyDescent="0.3">
      <c r="A45" s="19" t="s">
        <v>10</v>
      </c>
      <c r="B45" s="19" t="s">
        <v>11</v>
      </c>
      <c r="C45" s="20" t="s">
        <v>12</v>
      </c>
      <c r="D45" s="19" t="s">
        <v>13</v>
      </c>
      <c r="E45" s="19" t="s">
        <v>14</v>
      </c>
      <c r="F45" s="21" t="s">
        <v>15</v>
      </c>
      <c r="G45" s="22" t="s">
        <v>16</v>
      </c>
      <c r="H45" s="19" t="s">
        <v>17</v>
      </c>
      <c r="I45" s="23" t="s">
        <v>18</v>
      </c>
      <c r="J45" s="24" t="s">
        <v>19</v>
      </c>
      <c r="K45" s="25" t="s">
        <v>20</v>
      </c>
      <c r="L45" s="24" t="s">
        <v>21</v>
      </c>
      <c r="M45" s="24" t="s">
        <v>22</v>
      </c>
      <c r="N45" s="24" t="s">
        <v>23</v>
      </c>
      <c r="O45" s="19" t="s">
        <v>24</v>
      </c>
      <c r="P45" s="20" t="s">
        <v>25</v>
      </c>
      <c r="Q45" s="24" t="s">
        <v>26</v>
      </c>
      <c r="R45" s="19" t="s">
        <v>27</v>
      </c>
    </row>
    <row r="46" spans="1:18" ht="49.95" customHeight="1" x14ac:dyDescent="0.3">
      <c r="A46" s="76" t="s">
        <v>28</v>
      </c>
      <c r="B46" s="76" t="s">
        <v>607</v>
      </c>
      <c r="C46" s="77">
        <v>4.8611111111111112E-2</v>
      </c>
      <c r="D46" s="76" t="s">
        <v>30</v>
      </c>
      <c r="E46" s="78"/>
      <c r="F46" s="76" t="s">
        <v>31</v>
      </c>
      <c r="G46" s="232"/>
      <c r="H46" s="163" t="s">
        <v>607</v>
      </c>
      <c r="I46" s="164">
        <v>1.0333000000000001</v>
      </c>
      <c r="J46" s="165">
        <v>186</v>
      </c>
      <c r="K46" s="166" t="s">
        <v>550</v>
      </c>
      <c r="L46" s="165">
        <v>0</v>
      </c>
      <c r="M46" s="165">
        <v>0</v>
      </c>
      <c r="N46" s="165">
        <v>0</v>
      </c>
      <c r="O46" s="167" t="s">
        <v>33</v>
      </c>
      <c r="P46" s="168">
        <v>4.8611111111111112E-2</v>
      </c>
      <c r="Q46" s="165">
        <v>180</v>
      </c>
      <c r="R46" s="169" t="s">
        <v>622</v>
      </c>
    </row>
    <row r="47" spans="1:18" ht="49.95" customHeight="1" x14ac:dyDescent="0.3">
      <c r="A47" s="197" t="s">
        <v>28</v>
      </c>
      <c r="B47" s="197" t="s">
        <v>587</v>
      </c>
      <c r="C47" s="198">
        <v>0.15625</v>
      </c>
      <c r="D47" s="197" t="s">
        <v>30</v>
      </c>
      <c r="E47" s="199"/>
      <c r="F47" s="197" t="s">
        <v>31</v>
      </c>
      <c r="G47" s="249"/>
      <c r="H47" s="83" t="s">
        <v>587</v>
      </c>
      <c r="I47" s="159">
        <v>1</v>
      </c>
      <c r="J47" s="85">
        <v>180</v>
      </c>
      <c r="K47" s="86" t="s">
        <v>37</v>
      </c>
      <c r="L47" s="85">
        <v>5</v>
      </c>
      <c r="M47" s="85">
        <v>0</v>
      </c>
      <c r="N47" s="85">
        <v>2</v>
      </c>
      <c r="O47" s="87" t="s">
        <v>33</v>
      </c>
      <c r="P47" s="88">
        <v>0.15625</v>
      </c>
      <c r="Q47" s="85">
        <v>180</v>
      </c>
      <c r="R47" s="89" t="s">
        <v>623</v>
      </c>
    </row>
    <row r="48" spans="1:18" ht="49.95" customHeight="1" x14ac:dyDescent="0.3">
      <c r="A48" s="160" t="s">
        <v>28</v>
      </c>
      <c r="B48" s="160" t="s">
        <v>589</v>
      </c>
      <c r="C48" s="161">
        <v>0.50347222222222221</v>
      </c>
      <c r="D48" s="160" t="s">
        <v>30</v>
      </c>
      <c r="E48" s="162"/>
      <c r="F48" s="160" t="s">
        <v>31</v>
      </c>
      <c r="G48" s="249"/>
      <c r="H48" s="163" t="s">
        <v>589</v>
      </c>
      <c r="I48" s="164">
        <v>1</v>
      </c>
      <c r="J48" s="165">
        <v>180</v>
      </c>
      <c r="K48" s="166" t="s">
        <v>624</v>
      </c>
      <c r="L48" s="165">
        <v>0</v>
      </c>
      <c r="M48" s="165">
        <v>0</v>
      </c>
      <c r="N48" s="165">
        <v>0</v>
      </c>
      <c r="O48" s="167" t="s">
        <v>33</v>
      </c>
      <c r="P48" s="168">
        <v>0.50347222222222221</v>
      </c>
      <c r="Q48" s="165">
        <v>180</v>
      </c>
      <c r="R48" s="169" t="s">
        <v>625</v>
      </c>
    </row>
    <row r="49" spans="1:18" ht="49.95" customHeight="1" thickBot="1" x14ac:dyDescent="0.35">
      <c r="A49" s="90" t="s">
        <v>28</v>
      </c>
      <c r="B49" s="90" t="s">
        <v>599</v>
      </c>
      <c r="C49" s="91">
        <v>0.90625</v>
      </c>
      <c r="D49" s="90" t="s">
        <v>30</v>
      </c>
      <c r="E49" s="92"/>
      <c r="F49" s="90" t="s">
        <v>407</v>
      </c>
      <c r="G49" s="233"/>
      <c r="H49" s="93" t="s">
        <v>599</v>
      </c>
      <c r="I49" s="153">
        <v>0.9556</v>
      </c>
      <c r="J49" s="95">
        <v>172</v>
      </c>
      <c r="K49" s="96" t="s">
        <v>32</v>
      </c>
      <c r="L49" s="95">
        <v>29</v>
      </c>
      <c r="M49" s="95">
        <v>0</v>
      </c>
      <c r="N49" s="95">
        <v>0</v>
      </c>
      <c r="O49" s="97" t="s">
        <v>408</v>
      </c>
      <c r="P49" s="98">
        <v>0.90625</v>
      </c>
      <c r="Q49" s="95">
        <v>180</v>
      </c>
      <c r="R49" s="99" t="s">
        <v>626</v>
      </c>
    </row>
    <row r="50" spans="1:18" ht="17.399999999999999" customHeight="1" thickBot="1" x14ac:dyDescent="0.35">
      <c r="A50" s="264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6"/>
    </row>
    <row r="51" spans="1:18" ht="22.05" customHeight="1" thickTop="1" thickBot="1" x14ac:dyDescent="0.35">
      <c r="A51" s="241" t="s">
        <v>8</v>
      </c>
      <c r="B51" s="239"/>
      <c r="C51" s="239"/>
      <c r="D51" s="239"/>
      <c r="E51" s="239"/>
      <c r="F51" s="240"/>
      <c r="G51" s="18">
        <v>45991</v>
      </c>
      <c r="H51" s="238" t="s">
        <v>9</v>
      </c>
      <c r="I51" s="239"/>
      <c r="J51" s="239"/>
      <c r="K51" s="239"/>
      <c r="L51" s="239"/>
      <c r="M51" s="239"/>
      <c r="N51" s="239"/>
      <c r="O51" s="239"/>
      <c r="P51" s="239"/>
      <c r="Q51" s="239"/>
      <c r="R51" s="240"/>
    </row>
    <row r="52" spans="1:18" ht="24" customHeight="1" x14ac:dyDescent="0.3">
      <c r="A52" s="19" t="s">
        <v>10</v>
      </c>
      <c r="B52" s="19" t="s">
        <v>11</v>
      </c>
      <c r="C52" s="20" t="s">
        <v>12</v>
      </c>
      <c r="D52" s="19" t="s">
        <v>13</v>
      </c>
      <c r="E52" s="19" t="s">
        <v>14</v>
      </c>
      <c r="F52" s="21" t="s">
        <v>15</v>
      </c>
      <c r="G52" s="22" t="s">
        <v>16</v>
      </c>
      <c r="H52" s="19" t="s">
        <v>17</v>
      </c>
      <c r="I52" s="23" t="s">
        <v>18</v>
      </c>
      <c r="J52" s="24" t="s">
        <v>19</v>
      </c>
      <c r="K52" s="25" t="s">
        <v>20</v>
      </c>
      <c r="L52" s="24" t="s">
        <v>21</v>
      </c>
      <c r="M52" s="24" t="s">
        <v>22</v>
      </c>
      <c r="N52" s="24" t="s">
        <v>23</v>
      </c>
      <c r="O52" s="19" t="s">
        <v>24</v>
      </c>
      <c r="P52" s="20" t="s">
        <v>25</v>
      </c>
      <c r="Q52" s="24" t="s">
        <v>26</v>
      </c>
      <c r="R52" s="19" t="s">
        <v>27</v>
      </c>
    </row>
    <row r="53" spans="1:18" ht="49.95" customHeight="1" x14ac:dyDescent="0.3">
      <c r="A53" s="26" t="s">
        <v>28</v>
      </c>
      <c r="B53" s="26" t="s">
        <v>587</v>
      </c>
      <c r="C53" s="27">
        <v>0.1423611111111111</v>
      </c>
      <c r="D53" s="26" t="s">
        <v>30</v>
      </c>
      <c r="E53" s="28"/>
      <c r="F53" s="26" t="s">
        <v>31</v>
      </c>
      <c r="G53" s="232"/>
      <c r="H53" s="170" t="s">
        <v>587</v>
      </c>
      <c r="I53" s="171">
        <v>1</v>
      </c>
      <c r="J53" s="172">
        <v>180</v>
      </c>
      <c r="K53" s="173" t="s">
        <v>627</v>
      </c>
      <c r="L53" s="172">
        <v>0</v>
      </c>
      <c r="M53" s="172">
        <v>0</v>
      </c>
      <c r="N53" s="172">
        <v>0</v>
      </c>
      <c r="O53" s="174" t="s">
        <v>33</v>
      </c>
      <c r="P53" s="175">
        <v>0.1423611111111111</v>
      </c>
      <c r="Q53" s="172">
        <v>180</v>
      </c>
      <c r="R53" s="176" t="s">
        <v>628</v>
      </c>
    </row>
    <row r="54" spans="1:18" ht="49.95" customHeight="1" x14ac:dyDescent="0.3">
      <c r="A54" s="160" t="s">
        <v>28</v>
      </c>
      <c r="B54" s="160" t="s">
        <v>610</v>
      </c>
      <c r="C54" s="161">
        <v>0.15625</v>
      </c>
      <c r="D54" s="160" t="s">
        <v>30</v>
      </c>
      <c r="E54" s="162"/>
      <c r="F54" s="160" t="s">
        <v>31</v>
      </c>
      <c r="G54" s="249"/>
      <c r="H54" s="163" t="s">
        <v>610</v>
      </c>
      <c r="I54" s="164">
        <v>1</v>
      </c>
      <c r="J54" s="165">
        <v>180</v>
      </c>
      <c r="K54" s="166" t="s">
        <v>102</v>
      </c>
      <c r="L54" s="165">
        <v>23</v>
      </c>
      <c r="M54" s="165">
        <v>0</v>
      </c>
      <c r="N54" s="165">
        <v>0</v>
      </c>
      <c r="O54" s="167" t="s">
        <v>33</v>
      </c>
      <c r="P54" s="168">
        <v>0.15625</v>
      </c>
      <c r="Q54" s="165">
        <v>180</v>
      </c>
      <c r="R54" s="169" t="s">
        <v>629</v>
      </c>
    </row>
    <row r="55" spans="1:18" ht="49.95" customHeight="1" x14ac:dyDescent="0.3">
      <c r="A55" s="177" t="s">
        <v>28</v>
      </c>
      <c r="B55" s="177" t="s">
        <v>591</v>
      </c>
      <c r="C55" s="178">
        <v>0.33333333333333331</v>
      </c>
      <c r="D55" s="177" t="s">
        <v>30</v>
      </c>
      <c r="E55" s="179"/>
      <c r="F55" s="177" t="s">
        <v>31</v>
      </c>
      <c r="G55" s="249"/>
      <c r="H55" s="140" t="s">
        <v>591</v>
      </c>
      <c r="I55" s="180">
        <v>1</v>
      </c>
      <c r="J55" s="142">
        <v>180</v>
      </c>
      <c r="K55" s="143" t="s">
        <v>32</v>
      </c>
      <c r="L55" s="142">
        <v>4</v>
      </c>
      <c r="M55" s="142">
        <v>0</v>
      </c>
      <c r="N55" s="142">
        <v>0</v>
      </c>
      <c r="O55" s="144" t="s">
        <v>33</v>
      </c>
      <c r="P55" s="145">
        <v>0.33333333333333331</v>
      </c>
      <c r="Q55" s="142">
        <v>180</v>
      </c>
      <c r="R55" s="146" t="s">
        <v>630</v>
      </c>
    </row>
    <row r="56" spans="1:18" ht="49.95" customHeight="1" x14ac:dyDescent="0.3">
      <c r="A56" s="211" t="s">
        <v>28</v>
      </c>
      <c r="B56" s="211" t="s">
        <v>589</v>
      </c>
      <c r="C56" s="212">
        <v>0.4548611111111111</v>
      </c>
      <c r="D56" s="211" t="s">
        <v>30</v>
      </c>
      <c r="E56" s="213"/>
      <c r="F56" s="211" t="s">
        <v>31</v>
      </c>
      <c r="G56" s="249"/>
      <c r="H56" s="39" t="s">
        <v>589</v>
      </c>
      <c r="I56" s="214">
        <v>0.99439999999999995</v>
      </c>
      <c r="J56" s="41">
        <v>179</v>
      </c>
      <c r="K56" s="42" t="s">
        <v>75</v>
      </c>
      <c r="L56" s="41">
        <v>31</v>
      </c>
      <c r="M56" s="41">
        <v>1</v>
      </c>
      <c r="N56" s="41">
        <v>3</v>
      </c>
      <c r="O56" s="43" t="s">
        <v>33</v>
      </c>
      <c r="P56" s="44">
        <v>0.4548611111111111</v>
      </c>
      <c r="Q56" s="41">
        <v>180</v>
      </c>
      <c r="R56" s="45" t="s">
        <v>631</v>
      </c>
    </row>
    <row r="57" spans="1:18" ht="49.95" customHeight="1" thickBot="1" x14ac:dyDescent="0.35">
      <c r="A57" s="191" t="s">
        <v>28</v>
      </c>
      <c r="B57" s="191" t="s">
        <v>595</v>
      </c>
      <c r="C57" s="192">
        <v>0.82986111111111116</v>
      </c>
      <c r="D57" s="191" t="s">
        <v>30</v>
      </c>
      <c r="E57" s="193"/>
      <c r="F57" s="191" t="s">
        <v>31</v>
      </c>
      <c r="G57" s="233"/>
      <c r="H57" s="29" t="s">
        <v>595</v>
      </c>
      <c r="I57" s="154">
        <v>0.99439999999999995</v>
      </c>
      <c r="J57" s="31">
        <v>179</v>
      </c>
      <c r="K57" s="32" t="s">
        <v>37</v>
      </c>
      <c r="L57" s="31">
        <v>15</v>
      </c>
      <c r="M57" s="31">
        <v>0</v>
      </c>
      <c r="N57" s="31">
        <v>4</v>
      </c>
      <c r="O57" s="33" t="s">
        <v>33</v>
      </c>
      <c r="P57" s="34">
        <v>0.82986111111111116</v>
      </c>
      <c r="Q57" s="31">
        <v>180</v>
      </c>
      <c r="R57" s="35" t="s">
        <v>632</v>
      </c>
    </row>
    <row r="58" spans="1:18" ht="17.399999999999999" customHeight="1" thickBot="1" x14ac:dyDescent="0.35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6"/>
    </row>
    <row r="59" spans="1:18" ht="22.05" customHeight="1" thickTop="1" thickBot="1" x14ac:dyDescent="0.35">
      <c r="A59" s="241" t="s">
        <v>8</v>
      </c>
      <c r="B59" s="239"/>
      <c r="C59" s="239"/>
      <c r="D59" s="239"/>
      <c r="E59" s="239"/>
      <c r="F59" s="240"/>
      <c r="G59" s="18">
        <v>45992</v>
      </c>
      <c r="H59" s="238" t="s">
        <v>9</v>
      </c>
      <c r="I59" s="239"/>
      <c r="J59" s="239"/>
      <c r="K59" s="239"/>
      <c r="L59" s="239"/>
      <c r="M59" s="239"/>
      <c r="N59" s="239"/>
      <c r="O59" s="239"/>
      <c r="P59" s="239"/>
      <c r="Q59" s="239"/>
      <c r="R59" s="240"/>
    </row>
    <row r="60" spans="1:18" ht="24" customHeight="1" x14ac:dyDescent="0.3">
      <c r="A60" s="19" t="s">
        <v>10</v>
      </c>
      <c r="B60" s="19" t="s">
        <v>11</v>
      </c>
      <c r="C60" s="20" t="s">
        <v>12</v>
      </c>
      <c r="D60" s="19" t="s">
        <v>13</v>
      </c>
      <c r="E60" s="19" t="s">
        <v>14</v>
      </c>
      <c r="F60" s="21" t="s">
        <v>15</v>
      </c>
      <c r="G60" s="22" t="s">
        <v>16</v>
      </c>
      <c r="H60" s="19" t="s">
        <v>17</v>
      </c>
      <c r="I60" s="23" t="s">
        <v>18</v>
      </c>
      <c r="J60" s="24" t="s">
        <v>19</v>
      </c>
      <c r="K60" s="25" t="s">
        <v>20</v>
      </c>
      <c r="L60" s="24" t="s">
        <v>21</v>
      </c>
      <c r="M60" s="24" t="s">
        <v>22</v>
      </c>
      <c r="N60" s="24" t="s">
        <v>23</v>
      </c>
      <c r="O60" s="19" t="s">
        <v>24</v>
      </c>
      <c r="P60" s="20" t="s">
        <v>25</v>
      </c>
      <c r="Q60" s="24" t="s">
        <v>26</v>
      </c>
      <c r="R60" s="19" t="s">
        <v>27</v>
      </c>
    </row>
    <row r="61" spans="1:18" ht="49.95" customHeight="1" x14ac:dyDescent="0.3">
      <c r="A61" s="137" t="s">
        <v>28</v>
      </c>
      <c r="B61" s="137" t="s">
        <v>587</v>
      </c>
      <c r="C61" s="138">
        <v>0.24652777777777779</v>
      </c>
      <c r="D61" s="137" t="s">
        <v>30</v>
      </c>
      <c r="E61" s="139"/>
      <c r="F61" s="137" t="s">
        <v>31</v>
      </c>
      <c r="G61" s="232"/>
      <c r="H61" s="140" t="s">
        <v>587</v>
      </c>
      <c r="I61" s="180">
        <v>0.9889</v>
      </c>
      <c r="J61" s="142">
        <v>178</v>
      </c>
      <c r="K61" s="143" t="s">
        <v>47</v>
      </c>
      <c r="L61" s="142">
        <v>27</v>
      </c>
      <c r="M61" s="142">
        <v>0</v>
      </c>
      <c r="N61" s="142">
        <v>0</v>
      </c>
      <c r="O61" s="144" t="s">
        <v>33</v>
      </c>
      <c r="P61" s="145">
        <v>0.24652777777777779</v>
      </c>
      <c r="Q61" s="142">
        <v>180</v>
      </c>
      <c r="R61" s="146" t="s">
        <v>633</v>
      </c>
    </row>
    <row r="62" spans="1:18" ht="49.95" customHeight="1" x14ac:dyDescent="0.3">
      <c r="A62" s="197" t="s">
        <v>28</v>
      </c>
      <c r="B62" s="197" t="s">
        <v>589</v>
      </c>
      <c r="C62" s="198">
        <v>0.4375</v>
      </c>
      <c r="D62" s="197" t="s">
        <v>30</v>
      </c>
      <c r="E62" s="199"/>
      <c r="F62" s="197" t="s">
        <v>365</v>
      </c>
      <c r="G62" s="249"/>
      <c r="H62" s="83" t="s">
        <v>589</v>
      </c>
      <c r="I62" s="159">
        <v>0.90559999999999996</v>
      </c>
      <c r="J62" s="85">
        <v>163</v>
      </c>
      <c r="K62" s="86" t="s">
        <v>37</v>
      </c>
      <c r="L62" s="85">
        <v>5</v>
      </c>
      <c r="M62" s="85">
        <v>0</v>
      </c>
      <c r="N62" s="85">
        <v>1</v>
      </c>
      <c r="O62" s="87" t="s">
        <v>366</v>
      </c>
      <c r="P62" s="88">
        <v>0.4375</v>
      </c>
      <c r="Q62" s="85">
        <v>180</v>
      </c>
      <c r="R62" s="89" t="s">
        <v>634</v>
      </c>
    </row>
    <row r="63" spans="1:18" ht="49.95" customHeight="1" thickBot="1" x14ac:dyDescent="0.35">
      <c r="A63" s="215" t="s">
        <v>28</v>
      </c>
      <c r="B63" s="215" t="s">
        <v>591</v>
      </c>
      <c r="C63" s="216">
        <v>0.80208333333333337</v>
      </c>
      <c r="D63" s="215" t="s">
        <v>30</v>
      </c>
      <c r="E63" s="217"/>
      <c r="F63" s="215" t="s">
        <v>36</v>
      </c>
      <c r="G63" s="233"/>
      <c r="H63" s="59" t="s">
        <v>591</v>
      </c>
      <c r="I63" s="60">
        <v>0.62780000000000002</v>
      </c>
      <c r="J63" s="61">
        <v>113</v>
      </c>
      <c r="K63" s="62" t="s">
        <v>37</v>
      </c>
      <c r="L63" s="61">
        <v>41</v>
      </c>
      <c r="M63" s="61">
        <v>0</v>
      </c>
      <c r="N63" s="61">
        <v>5</v>
      </c>
      <c r="O63" s="63" t="s">
        <v>45</v>
      </c>
      <c r="P63" s="64">
        <v>0.80208333333333337</v>
      </c>
      <c r="Q63" s="61">
        <v>180</v>
      </c>
      <c r="R63" s="65" t="s">
        <v>635</v>
      </c>
    </row>
    <row r="64" spans="1:18" ht="17.399999999999999" customHeight="1" thickBot="1" x14ac:dyDescent="0.35">
      <c r="A64" s="264"/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6"/>
    </row>
    <row r="65" spans="1:18" ht="22.05" customHeight="1" thickTop="1" thickBot="1" x14ac:dyDescent="0.35">
      <c r="A65" s="241" t="s">
        <v>8</v>
      </c>
      <c r="B65" s="239"/>
      <c r="C65" s="239"/>
      <c r="D65" s="239"/>
      <c r="E65" s="239"/>
      <c r="F65" s="240"/>
      <c r="G65" s="18">
        <v>45993</v>
      </c>
      <c r="H65" s="238" t="s">
        <v>9</v>
      </c>
      <c r="I65" s="239"/>
      <c r="J65" s="239"/>
      <c r="K65" s="239"/>
      <c r="L65" s="239"/>
      <c r="M65" s="239"/>
      <c r="N65" s="239"/>
      <c r="O65" s="239"/>
      <c r="P65" s="239"/>
      <c r="Q65" s="239"/>
      <c r="R65" s="240"/>
    </row>
    <row r="66" spans="1:18" ht="24" customHeight="1" x14ac:dyDescent="0.3">
      <c r="A66" s="19" t="s">
        <v>10</v>
      </c>
      <c r="B66" s="19" t="s">
        <v>11</v>
      </c>
      <c r="C66" s="20" t="s">
        <v>12</v>
      </c>
      <c r="D66" s="19" t="s">
        <v>13</v>
      </c>
      <c r="E66" s="19" t="s">
        <v>14</v>
      </c>
      <c r="F66" s="21" t="s">
        <v>15</v>
      </c>
      <c r="G66" s="22" t="s">
        <v>16</v>
      </c>
      <c r="H66" s="19" t="s">
        <v>17</v>
      </c>
      <c r="I66" s="23" t="s">
        <v>18</v>
      </c>
      <c r="J66" s="24" t="s">
        <v>19</v>
      </c>
      <c r="K66" s="25" t="s">
        <v>20</v>
      </c>
      <c r="L66" s="24" t="s">
        <v>21</v>
      </c>
      <c r="M66" s="24" t="s">
        <v>22</v>
      </c>
      <c r="N66" s="24" t="s">
        <v>23</v>
      </c>
      <c r="O66" s="19" t="s">
        <v>24</v>
      </c>
      <c r="P66" s="20" t="s">
        <v>25</v>
      </c>
      <c r="Q66" s="24" t="s">
        <v>26</v>
      </c>
      <c r="R66" s="19" t="s">
        <v>27</v>
      </c>
    </row>
    <row r="67" spans="1:18" ht="15" customHeight="1" x14ac:dyDescent="0.3">
      <c r="A67" s="76" t="s">
        <v>28</v>
      </c>
      <c r="B67" s="76" t="s">
        <v>593</v>
      </c>
      <c r="C67" s="77">
        <v>5.2083333333333343E-2</v>
      </c>
      <c r="D67" s="76" t="s">
        <v>30</v>
      </c>
      <c r="E67" s="78"/>
      <c r="F67" s="76" t="s">
        <v>36</v>
      </c>
      <c r="G67" s="232"/>
      <c r="H67" s="163" t="s">
        <v>593</v>
      </c>
      <c r="I67" s="218">
        <v>0.7389</v>
      </c>
      <c r="J67" s="165">
        <v>133</v>
      </c>
      <c r="K67" s="166" t="s">
        <v>37</v>
      </c>
      <c r="L67" s="165">
        <v>36</v>
      </c>
      <c r="M67" s="165">
        <v>0</v>
      </c>
      <c r="N67" s="165">
        <v>7</v>
      </c>
      <c r="O67" s="167" t="s">
        <v>312</v>
      </c>
      <c r="P67" s="168">
        <v>5.2083333333333343E-2</v>
      </c>
      <c r="Q67" s="165">
        <v>180</v>
      </c>
      <c r="R67" s="169" t="s">
        <v>636</v>
      </c>
    </row>
    <row r="68" spans="1:18" ht="15" customHeight="1" x14ac:dyDescent="0.3">
      <c r="A68" s="177" t="s">
        <v>28</v>
      </c>
      <c r="B68" s="177" t="s">
        <v>595</v>
      </c>
      <c r="C68" s="178">
        <v>0.38194444444444442</v>
      </c>
      <c r="D68" s="177" t="s">
        <v>30</v>
      </c>
      <c r="E68" s="179"/>
      <c r="F68" s="177" t="s">
        <v>407</v>
      </c>
      <c r="G68" s="249"/>
      <c r="H68" s="140" t="s">
        <v>595</v>
      </c>
      <c r="I68" s="180">
        <v>0.9556</v>
      </c>
      <c r="J68" s="142">
        <v>172</v>
      </c>
      <c r="K68" s="143" t="s">
        <v>107</v>
      </c>
      <c r="L68" s="142">
        <v>9</v>
      </c>
      <c r="M68" s="142">
        <v>0</v>
      </c>
      <c r="N68" s="142">
        <v>0</v>
      </c>
      <c r="O68" s="144" t="s">
        <v>637</v>
      </c>
      <c r="P68" s="145">
        <v>0.38194444444444442</v>
      </c>
      <c r="Q68" s="142">
        <v>180</v>
      </c>
      <c r="R68" s="146" t="s">
        <v>638</v>
      </c>
    </row>
    <row r="69" spans="1:18" ht="15" customHeight="1" x14ac:dyDescent="0.3">
      <c r="A69" s="197" t="s">
        <v>28</v>
      </c>
      <c r="B69" s="197" t="s">
        <v>589</v>
      </c>
      <c r="C69" s="198">
        <v>0.4375</v>
      </c>
      <c r="D69" s="197" t="s">
        <v>30</v>
      </c>
      <c r="E69" s="199"/>
      <c r="F69" s="197" t="s">
        <v>365</v>
      </c>
      <c r="G69" s="249"/>
      <c r="H69" s="83" t="s">
        <v>589</v>
      </c>
      <c r="I69" s="159">
        <v>0.93330000000000002</v>
      </c>
      <c r="J69" s="85">
        <v>168</v>
      </c>
      <c r="K69" s="86" t="s">
        <v>75</v>
      </c>
      <c r="L69" s="85">
        <v>41</v>
      </c>
      <c r="M69" s="85">
        <v>1</v>
      </c>
      <c r="N69" s="85">
        <v>13</v>
      </c>
      <c r="O69" s="87" t="s">
        <v>66</v>
      </c>
      <c r="P69" s="88">
        <v>0.4375</v>
      </c>
      <c r="Q69" s="85">
        <v>180</v>
      </c>
      <c r="R69" s="89" t="s">
        <v>639</v>
      </c>
    </row>
    <row r="70" spans="1:18" ht="15" customHeight="1" x14ac:dyDescent="0.3">
      <c r="A70" s="219" t="s">
        <v>28</v>
      </c>
      <c r="B70" s="219" t="s">
        <v>591</v>
      </c>
      <c r="C70" s="220">
        <v>0.55208333333333337</v>
      </c>
      <c r="D70" s="219" t="s">
        <v>30</v>
      </c>
      <c r="E70" s="221"/>
      <c r="F70" s="219" t="s">
        <v>365</v>
      </c>
      <c r="G70" s="249"/>
      <c r="H70" s="69" t="s">
        <v>591</v>
      </c>
      <c r="I70" s="200">
        <v>0.90559999999999996</v>
      </c>
      <c r="J70" s="71">
        <v>163</v>
      </c>
      <c r="K70" s="72" t="s">
        <v>37</v>
      </c>
      <c r="L70" s="71">
        <v>32</v>
      </c>
      <c r="M70" s="71">
        <v>0</v>
      </c>
      <c r="N70" s="71">
        <v>5</v>
      </c>
      <c r="O70" s="73" t="s">
        <v>229</v>
      </c>
      <c r="P70" s="74">
        <v>0.55208333333333337</v>
      </c>
      <c r="Q70" s="71">
        <v>180</v>
      </c>
      <c r="R70" s="75" t="s">
        <v>640</v>
      </c>
    </row>
    <row r="71" spans="1:18" ht="15" customHeight="1" x14ac:dyDescent="0.3">
      <c r="A71" s="197" t="s">
        <v>28</v>
      </c>
      <c r="B71" s="197" t="s">
        <v>599</v>
      </c>
      <c r="C71" s="198">
        <v>0.75694444444444453</v>
      </c>
      <c r="D71" s="197" t="s">
        <v>30</v>
      </c>
      <c r="E71" s="199"/>
      <c r="F71" s="197" t="s">
        <v>36</v>
      </c>
      <c r="G71" s="249"/>
      <c r="H71" s="83" t="s">
        <v>599</v>
      </c>
      <c r="I71" s="222">
        <v>0.68889999999999996</v>
      </c>
      <c r="J71" s="85">
        <v>124</v>
      </c>
      <c r="K71" s="86" t="s">
        <v>37</v>
      </c>
      <c r="L71" s="85">
        <v>35</v>
      </c>
      <c r="M71" s="85">
        <v>0</v>
      </c>
      <c r="N71" s="85">
        <v>2</v>
      </c>
      <c r="O71" s="87" t="s">
        <v>219</v>
      </c>
      <c r="P71" s="88">
        <v>0.75694444444444453</v>
      </c>
      <c r="Q71" s="85">
        <v>180</v>
      </c>
      <c r="R71" s="89" t="s">
        <v>641</v>
      </c>
    </row>
    <row r="72" spans="1:18" ht="15" customHeight="1" thickBot="1" x14ac:dyDescent="0.35">
      <c r="A72" s="124" t="s">
        <v>28</v>
      </c>
      <c r="B72" s="124" t="s">
        <v>587</v>
      </c>
      <c r="C72" s="125">
        <v>0.79166666666666663</v>
      </c>
      <c r="D72" s="124" t="s">
        <v>30</v>
      </c>
      <c r="E72" s="126"/>
      <c r="F72" s="124" t="s">
        <v>36</v>
      </c>
      <c r="G72" s="233"/>
      <c r="H72" s="127" t="s">
        <v>587</v>
      </c>
      <c r="I72" s="149">
        <v>0.58330000000000004</v>
      </c>
      <c r="J72" s="129">
        <v>105</v>
      </c>
      <c r="K72" s="130" t="s">
        <v>37</v>
      </c>
      <c r="L72" s="129">
        <v>25</v>
      </c>
      <c r="M72" s="129">
        <v>0</v>
      </c>
      <c r="N72" s="129">
        <v>6</v>
      </c>
      <c r="O72" s="131" t="s">
        <v>219</v>
      </c>
      <c r="P72" s="132">
        <v>0.79166666666666663</v>
      </c>
      <c r="Q72" s="129">
        <v>180</v>
      </c>
      <c r="R72" s="133" t="s">
        <v>642</v>
      </c>
    </row>
    <row r="73" spans="1:18" ht="17.399999999999999" customHeight="1" thickBot="1" x14ac:dyDescent="0.35">
      <c r="A73" s="264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6"/>
    </row>
    <row r="74" spans="1:18" ht="22.05" customHeight="1" thickTop="1" thickBot="1" x14ac:dyDescent="0.35">
      <c r="A74" s="241" t="s">
        <v>8</v>
      </c>
      <c r="B74" s="239"/>
      <c r="C74" s="239"/>
      <c r="D74" s="239"/>
      <c r="E74" s="239"/>
      <c r="F74" s="240"/>
      <c r="G74" s="18">
        <v>45994</v>
      </c>
      <c r="H74" s="238" t="s">
        <v>9</v>
      </c>
      <c r="I74" s="239"/>
      <c r="J74" s="239"/>
      <c r="K74" s="239"/>
      <c r="L74" s="239"/>
      <c r="M74" s="239"/>
      <c r="N74" s="239"/>
      <c r="O74" s="239"/>
      <c r="P74" s="239"/>
      <c r="Q74" s="239"/>
      <c r="R74" s="240"/>
    </row>
    <row r="75" spans="1:18" ht="24" customHeight="1" x14ac:dyDescent="0.3">
      <c r="A75" s="19" t="s">
        <v>10</v>
      </c>
      <c r="B75" s="19" t="s">
        <v>11</v>
      </c>
      <c r="C75" s="20" t="s">
        <v>12</v>
      </c>
      <c r="D75" s="19" t="s">
        <v>13</v>
      </c>
      <c r="E75" s="19" t="s">
        <v>14</v>
      </c>
      <c r="F75" s="21" t="s">
        <v>15</v>
      </c>
      <c r="G75" s="22" t="s">
        <v>16</v>
      </c>
      <c r="H75" s="19" t="s">
        <v>17</v>
      </c>
      <c r="I75" s="23" t="s">
        <v>18</v>
      </c>
      <c r="J75" s="24" t="s">
        <v>19</v>
      </c>
      <c r="K75" s="25" t="s">
        <v>20</v>
      </c>
      <c r="L75" s="24" t="s">
        <v>21</v>
      </c>
      <c r="M75" s="24" t="s">
        <v>22</v>
      </c>
      <c r="N75" s="24" t="s">
        <v>23</v>
      </c>
      <c r="O75" s="19" t="s">
        <v>24</v>
      </c>
      <c r="P75" s="20" t="s">
        <v>25</v>
      </c>
      <c r="Q75" s="24" t="s">
        <v>26</v>
      </c>
      <c r="R75" s="19" t="s">
        <v>27</v>
      </c>
    </row>
    <row r="76" spans="1:18" ht="49.95" customHeight="1" x14ac:dyDescent="0.3">
      <c r="A76" s="137" t="s">
        <v>28</v>
      </c>
      <c r="B76" s="137" t="s">
        <v>599</v>
      </c>
      <c r="C76" s="138">
        <v>0.2326388888888889</v>
      </c>
      <c r="D76" s="137" t="s">
        <v>30</v>
      </c>
      <c r="E76" s="139"/>
      <c r="F76" s="137" t="s">
        <v>36</v>
      </c>
      <c r="G76" s="232"/>
      <c r="H76" s="140" t="s">
        <v>599</v>
      </c>
      <c r="I76" s="141">
        <v>0.44440000000000002</v>
      </c>
      <c r="J76" s="142">
        <v>80</v>
      </c>
      <c r="K76" s="143" t="s">
        <v>37</v>
      </c>
      <c r="L76" s="142">
        <v>45</v>
      </c>
      <c r="M76" s="142">
        <v>0</v>
      </c>
      <c r="N76" s="142">
        <v>7</v>
      </c>
      <c r="O76" s="144" t="s">
        <v>153</v>
      </c>
      <c r="P76" s="145">
        <v>0.2326388888888889</v>
      </c>
      <c r="Q76" s="142">
        <v>180</v>
      </c>
      <c r="R76" s="146" t="s">
        <v>643</v>
      </c>
    </row>
    <row r="77" spans="1:18" ht="49.95" customHeight="1" x14ac:dyDescent="0.3">
      <c r="A77" s="181" t="s">
        <v>28</v>
      </c>
      <c r="B77" s="181" t="s">
        <v>587</v>
      </c>
      <c r="C77" s="182">
        <v>0.34027777777777768</v>
      </c>
      <c r="D77" s="181" t="s">
        <v>30</v>
      </c>
      <c r="E77" s="183"/>
      <c r="F77" s="181" t="s">
        <v>365</v>
      </c>
      <c r="G77" s="249"/>
      <c r="H77" s="184" t="s">
        <v>587</v>
      </c>
      <c r="I77" s="185">
        <v>0.90559999999999996</v>
      </c>
      <c r="J77" s="186">
        <v>163</v>
      </c>
      <c r="K77" s="187" t="s">
        <v>37</v>
      </c>
      <c r="L77" s="186">
        <v>32</v>
      </c>
      <c r="M77" s="186">
        <v>0</v>
      </c>
      <c r="N77" s="186">
        <v>6</v>
      </c>
      <c r="O77" s="188" t="s">
        <v>64</v>
      </c>
      <c r="P77" s="189">
        <v>0.34027777777777768</v>
      </c>
      <c r="Q77" s="186">
        <v>180</v>
      </c>
      <c r="R77" s="190" t="s">
        <v>644</v>
      </c>
    </row>
    <row r="78" spans="1:18" ht="49.95" customHeight="1" x14ac:dyDescent="0.3">
      <c r="A78" s="177" t="s">
        <v>28</v>
      </c>
      <c r="B78" s="177" t="s">
        <v>591</v>
      </c>
      <c r="C78" s="178">
        <v>0.34375</v>
      </c>
      <c r="D78" s="177" t="s">
        <v>30</v>
      </c>
      <c r="E78" s="179"/>
      <c r="F78" s="177" t="s">
        <v>365</v>
      </c>
      <c r="G78" s="249"/>
      <c r="H78" s="140" t="s">
        <v>591</v>
      </c>
      <c r="I78" s="180">
        <v>0.94440000000000002</v>
      </c>
      <c r="J78" s="142">
        <v>170</v>
      </c>
      <c r="K78" s="143" t="s">
        <v>82</v>
      </c>
      <c r="L78" s="142">
        <v>9</v>
      </c>
      <c r="M78" s="142">
        <v>0</v>
      </c>
      <c r="N78" s="142">
        <v>0</v>
      </c>
      <c r="O78" s="144" t="s">
        <v>62</v>
      </c>
      <c r="P78" s="145">
        <v>0.34375</v>
      </c>
      <c r="Q78" s="142">
        <v>180</v>
      </c>
      <c r="R78" s="146" t="s">
        <v>645</v>
      </c>
    </row>
    <row r="79" spans="1:18" ht="49.95" customHeight="1" x14ac:dyDescent="0.3">
      <c r="A79" s="194" t="s">
        <v>28</v>
      </c>
      <c r="B79" s="194" t="s">
        <v>589</v>
      </c>
      <c r="C79" s="195">
        <v>0.4375</v>
      </c>
      <c r="D79" s="194" t="s">
        <v>30</v>
      </c>
      <c r="E79" s="196"/>
      <c r="F79" s="194" t="s">
        <v>36</v>
      </c>
      <c r="G79" s="249"/>
      <c r="H79" s="170" t="s">
        <v>589</v>
      </c>
      <c r="I79" s="223">
        <v>0.65559999999999996</v>
      </c>
      <c r="J79" s="172">
        <v>118</v>
      </c>
      <c r="K79" s="173" t="s">
        <v>37</v>
      </c>
      <c r="L79" s="172">
        <v>34</v>
      </c>
      <c r="M79" s="172">
        <v>0</v>
      </c>
      <c r="N79" s="172">
        <v>9</v>
      </c>
      <c r="O79" s="174" t="s">
        <v>213</v>
      </c>
      <c r="P79" s="175">
        <v>0.4375</v>
      </c>
      <c r="Q79" s="172">
        <v>180</v>
      </c>
      <c r="R79" s="176" t="s">
        <v>646</v>
      </c>
    </row>
    <row r="80" spans="1:18" ht="49.95" customHeight="1" thickBot="1" x14ac:dyDescent="0.35">
      <c r="A80" s="120" t="s">
        <v>28</v>
      </c>
      <c r="B80" s="120" t="s">
        <v>593</v>
      </c>
      <c r="C80" s="121">
        <v>0.9375</v>
      </c>
      <c r="D80" s="120" t="s">
        <v>30</v>
      </c>
      <c r="E80" s="122"/>
      <c r="F80" s="120" t="s">
        <v>36</v>
      </c>
      <c r="G80" s="233"/>
      <c r="H80" s="100" t="s">
        <v>593</v>
      </c>
      <c r="I80" s="101">
        <v>0.34439999999999998</v>
      </c>
      <c r="J80" s="102">
        <v>62</v>
      </c>
      <c r="K80" s="103" t="s">
        <v>37</v>
      </c>
      <c r="L80" s="102">
        <v>29</v>
      </c>
      <c r="M80" s="102">
        <v>0</v>
      </c>
      <c r="N80" s="102">
        <v>3</v>
      </c>
      <c r="O80" s="104" t="s">
        <v>304</v>
      </c>
      <c r="P80" s="105">
        <v>0.9375</v>
      </c>
      <c r="Q80" s="102">
        <v>180</v>
      </c>
      <c r="R80" s="106" t="s">
        <v>647</v>
      </c>
    </row>
    <row r="81" spans="1:18" ht="17.399999999999999" customHeight="1" thickBot="1" x14ac:dyDescent="0.35">
      <c r="A81" s="264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6"/>
    </row>
    <row r="82" spans="1:18" ht="22.05" customHeight="1" thickTop="1" thickBot="1" x14ac:dyDescent="0.35">
      <c r="A82" s="241" t="s">
        <v>8</v>
      </c>
      <c r="B82" s="239"/>
      <c r="C82" s="239"/>
      <c r="D82" s="239"/>
      <c r="E82" s="239"/>
      <c r="F82" s="240"/>
      <c r="G82" s="18">
        <v>45995</v>
      </c>
      <c r="H82" s="238" t="s">
        <v>9</v>
      </c>
      <c r="I82" s="239"/>
      <c r="J82" s="239"/>
      <c r="K82" s="239"/>
      <c r="L82" s="239"/>
      <c r="M82" s="239"/>
      <c r="N82" s="239"/>
      <c r="O82" s="239"/>
      <c r="P82" s="239"/>
      <c r="Q82" s="239"/>
      <c r="R82" s="240"/>
    </row>
    <row r="83" spans="1:18" ht="24" customHeight="1" x14ac:dyDescent="0.3">
      <c r="A83" s="19" t="s">
        <v>10</v>
      </c>
      <c r="B83" s="19" t="s">
        <v>11</v>
      </c>
      <c r="C83" s="20" t="s">
        <v>12</v>
      </c>
      <c r="D83" s="19" t="s">
        <v>13</v>
      </c>
      <c r="E83" s="19" t="s">
        <v>14</v>
      </c>
      <c r="F83" s="21" t="s">
        <v>15</v>
      </c>
      <c r="G83" s="22" t="s">
        <v>16</v>
      </c>
      <c r="H83" s="19" t="s">
        <v>17</v>
      </c>
      <c r="I83" s="23" t="s">
        <v>18</v>
      </c>
      <c r="J83" s="24" t="s">
        <v>19</v>
      </c>
      <c r="K83" s="25" t="s">
        <v>20</v>
      </c>
      <c r="L83" s="24" t="s">
        <v>21</v>
      </c>
      <c r="M83" s="24" t="s">
        <v>22</v>
      </c>
      <c r="N83" s="24" t="s">
        <v>23</v>
      </c>
      <c r="O83" s="19" t="s">
        <v>24</v>
      </c>
      <c r="P83" s="20" t="s">
        <v>25</v>
      </c>
      <c r="Q83" s="24" t="s">
        <v>26</v>
      </c>
      <c r="R83" s="19" t="s">
        <v>27</v>
      </c>
    </row>
    <row r="84" spans="1:18" ht="15" customHeight="1" x14ac:dyDescent="0.3">
      <c r="A84" s="36" t="s">
        <v>28</v>
      </c>
      <c r="B84" s="36" t="s">
        <v>607</v>
      </c>
      <c r="C84" s="37">
        <v>6.5972222222222224E-2</v>
      </c>
      <c r="D84" s="36" t="s">
        <v>30</v>
      </c>
      <c r="E84" s="38"/>
      <c r="F84" s="36" t="s">
        <v>36</v>
      </c>
      <c r="G84" s="232"/>
      <c r="H84" s="39" t="s">
        <v>607</v>
      </c>
      <c r="I84" s="123">
        <v>0.31669999999999998</v>
      </c>
      <c r="J84" s="41">
        <v>57</v>
      </c>
      <c r="K84" s="42" t="s">
        <v>37</v>
      </c>
      <c r="L84" s="41">
        <v>25</v>
      </c>
      <c r="M84" s="41">
        <v>0</v>
      </c>
      <c r="N84" s="41">
        <v>10</v>
      </c>
      <c r="O84" s="43" t="s">
        <v>245</v>
      </c>
      <c r="P84" s="44">
        <v>6.5972222222222224E-2</v>
      </c>
      <c r="Q84" s="41">
        <v>180</v>
      </c>
      <c r="R84" s="45" t="s">
        <v>648</v>
      </c>
    </row>
    <row r="85" spans="1:18" ht="15" customHeight="1" x14ac:dyDescent="0.3">
      <c r="A85" s="160" t="s">
        <v>28</v>
      </c>
      <c r="B85" s="160" t="s">
        <v>587</v>
      </c>
      <c r="C85" s="161">
        <v>0.15625</v>
      </c>
      <c r="D85" s="160" t="s">
        <v>30</v>
      </c>
      <c r="E85" s="162"/>
      <c r="F85" s="160" t="s">
        <v>36</v>
      </c>
      <c r="G85" s="249"/>
      <c r="H85" s="163" t="s">
        <v>587</v>
      </c>
      <c r="I85" s="218">
        <v>0.65</v>
      </c>
      <c r="J85" s="165">
        <v>117</v>
      </c>
      <c r="K85" s="166" t="s">
        <v>37</v>
      </c>
      <c r="L85" s="165">
        <v>24</v>
      </c>
      <c r="M85" s="165">
        <v>0</v>
      </c>
      <c r="N85" s="165">
        <v>9</v>
      </c>
      <c r="O85" s="167" t="s">
        <v>192</v>
      </c>
      <c r="P85" s="168">
        <v>0.15625</v>
      </c>
      <c r="Q85" s="165">
        <v>180</v>
      </c>
      <c r="R85" s="169" t="s">
        <v>649</v>
      </c>
    </row>
    <row r="86" spans="1:18" ht="15" customHeight="1" x14ac:dyDescent="0.3">
      <c r="A86" s="211" t="s">
        <v>28</v>
      </c>
      <c r="B86" s="211" t="s">
        <v>610</v>
      </c>
      <c r="C86" s="212">
        <v>0.1875</v>
      </c>
      <c r="D86" s="211" t="s">
        <v>30</v>
      </c>
      <c r="E86" s="213"/>
      <c r="F86" s="211" t="s">
        <v>68</v>
      </c>
      <c r="G86" s="249"/>
      <c r="H86" s="39" t="s">
        <v>610</v>
      </c>
      <c r="I86" s="123">
        <v>0.27779999999999999</v>
      </c>
      <c r="J86" s="41">
        <v>50</v>
      </c>
      <c r="K86" s="42" t="s">
        <v>37</v>
      </c>
      <c r="L86" s="41">
        <v>22</v>
      </c>
      <c r="M86" s="41">
        <v>0</v>
      </c>
      <c r="N86" s="41">
        <v>5</v>
      </c>
      <c r="O86" s="43" t="s">
        <v>202</v>
      </c>
      <c r="P86" s="44">
        <v>0.1875</v>
      </c>
      <c r="Q86" s="41">
        <v>180</v>
      </c>
      <c r="R86" s="45" t="s">
        <v>650</v>
      </c>
    </row>
    <row r="87" spans="1:18" ht="15" customHeight="1" x14ac:dyDescent="0.3">
      <c r="A87" s="201" t="s">
        <v>28</v>
      </c>
      <c r="B87" s="201" t="s">
        <v>589</v>
      </c>
      <c r="C87" s="202">
        <v>0.40625</v>
      </c>
      <c r="D87" s="201" t="s">
        <v>30</v>
      </c>
      <c r="E87" s="203"/>
      <c r="F87" s="201" t="s">
        <v>365</v>
      </c>
      <c r="G87" s="249"/>
      <c r="H87" s="204" t="s">
        <v>589</v>
      </c>
      <c r="I87" s="205">
        <v>0.87780000000000002</v>
      </c>
      <c r="J87" s="206">
        <v>158</v>
      </c>
      <c r="K87" s="207" t="s">
        <v>37</v>
      </c>
      <c r="L87" s="206">
        <v>15</v>
      </c>
      <c r="M87" s="206">
        <v>0</v>
      </c>
      <c r="N87" s="206">
        <v>6</v>
      </c>
      <c r="O87" s="208" t="s">
        <v>62</v>
      </c>
      <c r="P87" s="209">
        <v>0.40625</v>
      </c>
      <c r="Q87" s="206">
        <v>180</v>
      </c>
      <c r="R87" s="210" t="s">
        <v>651</v>
      </c>
    </row>
    <row r="88" spans="1:18" ht="15" customHeight="1" x14ac:dyDescent="0.3">
      <c r="A88" s="194" t="s">
        <v>28</v>
      </c>
      <c r="B88" s="194" t="s">
        <v>595</v>
      </c>
      <c r="C88" s="195">
        <v>0.5625</v>
      </c>
      <c r="D88" s="194" t="s">
        <v>30</v>
      </c>
      <c r="E88" s="196"/>
      <c r="F88" s="194" t="s">
        <v>36</v>
      </c>
      <c r="G88" s="249"/>
      <c r="H88" s="170" t="s">
        <v>595</v>
      </c>
      <c r="I88" s="223">
        <v>0.7722</v>
      </c>
      <c r="J88" s="172">
        <v>139</v>
      </c>
      <c r="K88" s="173" t="s">
        <v>37</v>
      </c>
      <c r="L88" s="172">
        <v>14</v>
      </c>
      <c r="M88" s="172">
        <v>0</v>
      </c>
      <c r="N88" s="172">
        <v>7</v>
      </c>
      <c r="O88" s="174" t="s">
        <v>62</v>
      </c>
      <c r="P88" s="175">
        <v>0.5625</v>
      </c>
      <c r="Q88" s="172">
        <v>180</v>
      </c>
      <c r="R88" s="176" t="s">
        <v>652</v>
      </c>
    </row>
    <row r="89" spans="1:18" ht="15" customHeight="1" thickBot="1" x14ac:dyDescent="0.35">
      <c r="A89" s="120" t="s">
        <v>28</v>
      </c>
      <c r="B89" s="120" t="s">
        <v>599</v>
      </c>
      <c r="C89" s="121">
        <v>0.9375</v>
      </c>
      <c r="D89" s="120" t="s">
        <v>30</v>
      </c>
      <c r="E89" s="122"/>
      <c r="F89" s="120" t="s">
        <v>36</v>
      </c>
      <c r="G89" s="233"/>
      <c r="H89" s="100" t="s">
        <v>599</v>
      </c>
      <c r="I89" s="101">
        <v>0.38890000000000002</v>
      </c>
      <c r="J89" s="102">
        <v>70</v>
      </c>
      <c r="K89" s="103" t="s">
        <v>37</v>
      </c>
      <c r="L89" s="102">
        <v>28</v>
      </c>
      <c r="M89" s="102">
        <v>0</v>
      </c>
      <c r="N89" s="102">
        <v>4</v>
      </c>
      <c r="O89" s="104" t="s">
        <v>62</v>
      </c>
      <c r="P89" s="105">
        <v>0.9375</v>
      </c>
      <c r="Q89" s="102">
        <v>180</v>
      </c>
      <c r="R89" s="106" t="s">
        <v>653</v>
      </c>
    </row>
    <row r="90" spans="1:18" ht="17.399999999999999" customHeight="1" thickBot="1" x14ac:dyDescent="0.35">
      <c r="A90" s="264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6"/>
    </row>
    <row r="91" spans="1:18" ht="22.05" customHeight="1" thickTop="1" thickBot="1" x14ac:dyDescent="0.35">
      <c r="A91" s="241" t="s">
        <v>8</v>
      </c>
      <c r="B91" s="239"/>
      <c r="C91" s="239"/>
      <c r="D91" s="239"/>
      <c r="E91" s="239"/>
      <c r="F91" s="240"/>
      <c r="G91" s="18">
        <v>45996</v>
      </c>
      <c r="H91" s="238" t="s">
        <v>9</v>
      </c>
      <c r="I91" s="239"/>
      <c r="J91" s="239"/>
      <c r="K91" s="239"/>
      <c r="L91" s="239"/>
      <c r="M91" s="239"/>
      <c r="N91" s="239"/>
      <c r="O91" s="239"/>
      <c r="P91" s="239"/>
      <c r="Q91" s="239"/>
      <c r="R91" s="240"/>
    </row>
    <row r="92" spans="1:18" ht="24" customHeight="1" x14ac:dyDescent="0.3">
      <c r="A92" s="19" t="s">
        <v>10</v>
      </c>
      <c r="B92" s="19" t="s">
        <v>11</v>
      </c>
      <c r="C92" s="20" t="s">
        <v>12</v>
      </c>
      <c r="D92" s="19" t="s">
        <v>13</v>
      </c>
      <c r="E92" s="19" t="s">
        <v>14</v>
      </c>
      <c r="F92" s="21" t="s">
        <v>15</v>
      </c>
      <c r="G92" s="22" t="s">
        <v>16</v>
      </c>
      <c r="H92" s="19" t="s">
        <v>17</v>
      </c>
      <c r="I92" s="23" t="s">
        <v>18</v>
      </c>
      <c r="J92" s="24" t="s">
        <v>19</v>
      </c>
      <c r="K92" s="25" t="s">
        <v>20</v>
      </c>
      <c r="L92" s="24" t="s">
        <v>21</v>
      </c>
      <c r="M92" s="24" t="s">
        <v>22</v>
      </c>
      <c r="N92" s="24" t="s">
        <v>23</v>
      </c>
      <c r="O92" s="19" t="s">
        <v>24</v>
      </c>
      <c r="P92" s="20" t="s">
        <v>25</v>
      </c>
      <c r="Q92" s="24" t="s">
        <v>26</v>
      </c>
      <c r="R92" s="19" t="s">
        <v>27</v>
      </c>
    </row>
    <row r="93" spans="1:18" ht="49.95" customHeight="1" x14ac:dyDescent="0.3">
      <c r="A93" s="80" t="s">
        <v>28</v>
      </c>
      <c r="B93" s="80" t="s">
        <v>587</v>
      </c>
      <c r="C93" s="81">
        <v>0.1423611111111111</v>
      </c>
      <c r="D93" s="80" t="s">
        <v>30</v>
      </c>
      <c r="E93" s="82"/>
      <c r="F93" s="80" t="s">
        <v>36</v>
      </c>
      <c r="G93" s="232"/>
      <c r="H93" s="83" t="s">
        <v>587</v>
      </c>
      <c r="I93" s="84">
        <v>0.51670000000000005</v>
      </c>
      <c r="J93" s="85">
        <v>93</v>
      </c>
      <c r="K93" s="86" t="s">
        <v>75</v>
      </c>
      <c r="L93" s="85">
        <v>16</v>
      </c>
      <c r="M93" s="85">
        <v>2</v>
      </c>
      <c r="N93" s="85">
        <v>2</v>
      </c>
      <c r="O93" s="87" t="s">
        <v>579</v>
      </c>
      <c r="P93" s="88">
        <v>0.1423611111111111</v>
      </c>
      <c r="Q93" s="85">
        <v>180</v>
      </c>
      <c r="R93" s="89" t="s">
        <v>654</v>
      </c>
    </row>
    <row r="94" spans="1:18" ht="49.95" customHeight="1" x14ac:dyDescent="0.3">
      <c r="A94" s="219" t="s">
        <v>28</v>
      </c>
      <c r="B94" s="219" t="s">
        <v>589</v>
      </c>
      <c r="C94" s="220">
        <v>0.28125</v>
      </c>
      <c r="D94" s="219" t="s">
        <v>30</v>
      </c>
      <c r="E94" s="221"/>
      <c r="F94" s="219" t="s">
        <v>68</v>
      </c>
      <c r="G94" s="249"/>
      <c r="H94" s="69" t="s">
        <v>589</v>
      </c>
      <c r="I94" s="119">
        <v>0.25</v>
      </c>
      <c r="J94" s="71">
        <v>45</v>
      </c>
      <c r="K94" s="72" t="s">
        <v>37</v>
      </c>
      <c r="L94" s="71">
        <v>23</v>
      </c>
      <c r="M94" s="71">
        <v>0</v>
      </c>
      <c r="N94" s="71">
        <v>1</v>
      </c>
      <c r="O94" s="73" t="s">
        <v>155</v>
      </c>
      <c r="P94" s="74">
        <v>0.28125</v>
      </c>
      <c r="Q94" s="71">
        <v>180</v>
      </c>
      <c r="R94" s="75" t="s">
        <v>655</v>
      </c>
    </row>
    <row r="95" spans="1:18" ht="49.95" customHeight="1" x14ac:dyDescent="0.3">
      <c r="A95" s="160" t="s">
        <v>28</v>
      </c>
      <c r="B95" s="160" t="s">
        <v>595</v>
      </c>
      <c r="C95" s="161">
        <v>0.4375</v>
      </c>
      <c r="D95" s="160" t="s">
        <v>30</v>
      </c>
      <c r="E95" s="162"/>
      <c r="F95" s="160" t="s">
        <v>68</v>
      </c>
      <c r="G95" s="249"/>
      <c r="H95" s="163" t="s">
        <v>595</v>
      </c>
      <c r="I95" s="224">
        <v>0.25</v>
      </c>
      <c r="J95" s="165">
        <v>45</v>
      </c>
      <c r="K95" s="166" t="s">
        <v>37</v>
      </c>
      <c r="L95" s="165">
        <v>23</v>
      </c>
      <c r="M95" s="165">
        <v>0</v>
      </c>
      <c r="N95" s="165">
        <v>2</v>
      </c>
      <c r="O95" s="167" t="s">
        <v>155</v>
      </c>
      <c r="P95" s="168">
        <v>0.4375</v>
      </c>
      <c r="Q95" s="165">
        <v>180</v>
      </c>
      <c r="R95" s="169" t="s">
        <v>656</v>
      </c>
    </row>
    <row r="96" spans="1:18" ht="49.95" customHeight="1" x14ac:dyDescent="0.3">
      <c r="A96" s="197" t="s">
        <v>28</v>
      </c>
      <c r="B96" s="197" t="s">
        <v>593</v>
      </c>
      <c r="C96" s="198">
        <v>0.55902777777777779</v>
      </c>
      <c r="D96" s="197" t="s">
        <v>30</v>
      </c>
      <c r="E96" s="199"/>
      <c r="F96" s="197" t="s">
        <v>68</v>
      </c>
      <c r="G96" s="249"/>
      <c r="H96" s="83" t="s">
        <v>593</v>
      </c>
      <c r="I96" s="84">
        <v>0.2944</v>
      </c>
      <c r="J96" s="85">
        <v>53</v>
      </c>
      <c r="K96" s="86" t="s">
        <v>37</v>
      </c>
      <c r="L96" s="85">
        <v>31</v>
      </c>
      <c r="M96" s="85">
        <v>0</v>
      </c>
      <c r="N96" s="85">
        <v>4</v>
      </c>
      <c r="O96" s="87" t="s">
        <v>192</v>
      </c>
      <c r="P96" s="88">
        <v>0.55902777777777779</v>
      </c>
      <c r="Q96" s="85">
        <v>180</v>
      </c>
      <c r="R96" s="89" t="s">
        <v>657</v>
      </c>
    </row>
    <row r="97" spans="1:18" ht="49.95" customHeight="1" thickBot="1" x14ac:dyDescent="0.35">
      <c r="A97" s="134" t="s">
        <v>28</v>
      </c>
      <c r="B97" s="134" t="s">
        <v>591</v>
      </c>
      <c r="C97" s="135">
        <v>0.76041666666666663</v>
      </c>
      <c r="D97" s="134" t="s">
        <v>30</v>
      </c>
      <c r="E97" s="136"/>
      <c r="F97" s="134" t="s">
        <v>36</v>
      </c>
      <c r="G97" s="233"/>
      <c r="H97" s="11" t="s">
        <v>591</v>
      </c>
      <c r="I97" s="107">
        <v>0.3</v>
      </c>
      <c r="J97" s="13">
        <v>54</v>
      </c>
      <c r="K97" s="14" t="s">
        <v>37</v>
      </c>
      <c r="L97" s="13">
        <v>26</v>
      </c>
      <c r="M97" s="13">
        <v>0</v>
      </c>
      <c r="N97" s="13">
        <v>5</v>
      </c>
      <c r="O97" s="15" t="s">
        <v>245</v>
      </c>
      <c r="P97" s="16">
        <v>0.76041666666666663</v>
      </c>
      <c r="Q97" s="13">
        <v>180</v>
      </c>
      <c r="R97" s="17" t="s">
        <v>658</v>
      </c>
    </row>
    <row r="98" spans="1:18" ht="17.399999999999999" customHeight="1" thickBot="1" x14ac:dyDescent="0.35">
      <c r="A98" s="264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6"/>
    </row>
    <row r="99" spans="1:18" ht="22.05" customHeight="1" thickTop="1" thickBot="1" x14ac:dyDescent="0.35">
      <c r="A99" s="241" t="s">
        <v>8</v>
      </c>
      <c r="B99" s="239"/>
      <c r="C99" s="239"/>
      <c r="D99" s="239"/>
      <c r="E99" s="239"/>
      <c r="F99" s="240"/>
      <c r="G99" s="18">
        <v>45997</v>
      </c>
      <c r="H99" s="238" t="s">
        <v>9</v>
      </c>
      <c r="I99" s="239"/>
      <c r="J99" s="239"/>
      <c r="K99" s="239"/>
      <c r="L99" s="239"/>
      <c r="M99" s="239"/>
      <c r="N99" s="239"/>
      <c r="O99" s="239"/>
      <c r="P99" s="239"/>
      <c r="Q99" s="239"/>
      <c r="R99" s="240"/>
    </row>
    <row r="100" spans="1:18" ht="24" customHeight="1" x14ac:dyDescent="0.3">
      <c r="A100" s="19" t="s">
        <v>10</v>
      </c>
      <c r="B100" s="19" t="s">
        <v>11</v>
      </c>
      <c r="C100" s="20" t="s">
        <v>12</v>
      </c>
      <c r="D100" s="19" t="s">
        <v>13</v>
      </c>
      <c r="E100" s="19" t="s">
        <v>14</v>
      </c>
      <c r="F100" s="21" t="s">
        <v>15</v>
      </c>
      <c r="G100" s="22" t="s">
        <v>16</v>
      </c>
      <c r="H100" s="19" t="s">
        <v>17</v>
      </c>
      <c r="I100" s="23" t="s">
        <v>18</v>
      </c>
      <c r="J100" s="24" t="s">
        <v>19</v>
      </c>
      <c r="K100" s="25" t="s">
        <v>20</v>
      </c>
      <c r="L100" s="24" t="s">
        <v>21</v>
      </c>
      <c r="M100" s="24" t="s">
        <v>22</v>
      </c>
      <c r="N100" s="24" t="s">
        <v>23</v>
      </c>
      <c r="O100" s="19" t="s">
        <v>24</v>
      </c>
      <c r="P100" s="20" t="s">
        <v>25</v>
      </c>
      <c r="Q100" s="24" t="s">
        <v>26</v>
      </c>
      <c r="R100" s="19" t="s">
        <v>27</v>
      </c>
    </row>
    <row r="101" spans="1:18" ht="49.95" customHeight="1" x14ac:dyDescent="0.3">
      <c r="A101" s="8" t="s">
        <v>28</v>
      </c>
      <c r="B101" s="8" t="s">
        <v>607</v>
      </c>
      <c r="C101" s="9">
        <v>4.8611111111111112E-2</v>
      </c>
      <c r="D101" s="8" t="s">
        <v>30</v>
      </c>
      <c r="E101" s="10"/>
      <c r="F101" s="8" t="s">
        <v>36</v>
      </c>
      <c r="G101" s="232"/>
      <c r="H101" s="204" t="s">
        <v>607</v>
      </c>
      <c r="I101" s="225">
        <v>0.71109999999999995</v>
      </c>
      <c r="J101" s="206">
        <v>128</v>
      </c>
      <c r="K101" s="207" t="s">
        <v>37</v>
      </c>
      <c r="L101" s="206">
        <v>23</v>
      </c>
      <c r="M101" s="206">
        <v>0</v>
      </c>
      <c r="N101" s="206">
        <v>6</v>
      </c>
      <c r="O101" s="208" t="s">
        <v>255</v>
      </c>
      <c r="P101" s="209">
        <v>4.8611111111111112E-2</v>
      </c>
      <c r="Q101" s="206">
        <v>180</v>
      </c>
      <c r="R101" s="210" t="s">
        <v>659</v>
      </c>
    </row>
    <row r="102" spans="1:18" ht="49.95" customHeight="1" x14ac:dyDescent="0.3">
      <c r="A102" s="181" t="s">
        <v>28</v>
      </c>
      <c r="B102" s="181" t="s">
        <v>587</v>
      </c>
      <c r="C102" s="182">
        <v>0.15625</v>
      </c>
      <c r="D102" s="181" t="s">
        <v>30</v>
      </c>
      <c r="E102" s="183"/>
      <c r="F102" s="181" t="s">
        <v>36</v>
      </c>
      <c r="G102" s="249"/>
      <c r="H102" s="184" t="s">
        <v>587</v>
      </c>
      <c r="I102" s="226">
        <v>0.68889999999999996</v>
      </c>
      <c r="J102" s="186">
        <v>124</v>
      </c>
      <c r="K102" s="187" t="s">
        <v>37</v>
      </c>
      <c r="L102" s="186">
        <v>15</v>
      </c>
      <c r="M102" s="186">
        <v>0</v>
      </c>
      <c r="N102" s="186">
        <v>2</v>
      </c>
      <c r="O102" s="188" t="s">
        <v>249</v>
      </c>
      <c r="P102" s="189">
        <v>0.15625</v>
      </c>
      <c r="Q102" s="186">
        <v>180</v>
      </c>
      <c r="R102" s="190" t="s">
        <v>660</v>
      </c>
    </row>
    <row r="103" spans="1:18" ht="49.95" customHeight="1" x14ac:dyDescent="0.3">
      <c r="A103" s="160" t="s">
        <v>28</v>
      </c>
      <c r="B103" s="160" t="s">
        <v>589</v>
      </c>
      <c r="C103" s="161">
        <v>0.50347222222222221</v>
      </c>
      <c r="D103" s="160" t="s">
        <v>30</v>
      </c>
      <c r="E103" s="162"/>
      <c r="F103" s="160" t="s">
        <v>31</v>
      </c>
      <c r="G103" s="249"/>
      <c r="H103" s="163" t="s">
        <v>589</v>
      </c>
      <c r="I103" s="164">
        <v>0.98329999999999995</v>
      </c>
      <c r="J103" s="165">
        <v>177</v>
      </c>
      <c r="K103" s="166" t="s">
        <v>102</v>
      </c>
      <c r="L103" s="165">
        <v>22</v>
      </c>
      <c r="M103" s="165">
        <v>0</v>
      </c>
      <c r="N103" s="165">
        <v>0</v>
      </c>
      <c r="O103" s="167" t="s">
        <v>33</v>
      </c>
      <c r="P103" s="168">
        <v>0.50347222222222221</v>
      </c>
      <c r="Q103" s="165">
        <v>180</v>
      </c>
      <c r="R103" s="169" t="s">
        <v>661</v>
      </c>
    </row>
    <row r="104" spans="1:18" ht="49.95" customHeight="1" thickBot="1" x14ac:dyDescent="0.35">
      <c r="A104" s="124" t="s">
        <v>28</v>
      </c>
      <c r="B104" s="124" t="s">
        <v>599</v>
      </c>
      <c r="C104" s="125">
        <v>0.90625</v>
      </c>
      <c r="D104" s="124" t="s">
        <v>30</v>
      </c>
      <c r="E104" s="126"/>
      <c r="F104" s="124" t="s">
        <v>68</v>
      </c>
      <c r="G104" s="233"/>
      <c r="H104" s="127" t="s">
        <v>599</v>
      </c>
      <c r="I104" s="128">
        <v>0.25</v>
      </c>
      <c r="J104" s="129">
        <v>45</v>
      </c>
      <c r="K104" s="130" t="s">
        <v>37</v>
      </c>
      <c r="L104" s="129">
        <v>23</v>
      </c>
      <c r="M104" s="129">
        <v>0</v>
      </c>
      <c r="N104" s="129">
        <v>4</v>
      </c>
      <c r="O104" s="131" t="s">
        <v>249</v>
      </c>
      <c r="P104" s="132">
        <v>0.90625</v>
      </c>
      <c r="Q104" s="129">
        <v>180</v>
      </c>
      <c r="R104" s="133" t="s">
        <v>662</v>
      </c>
    </row>
    <row r="105" spans="1:18" ht="17.399999999999999" customHeight="1" thickBot="1" x14ac:dyDescent="0.35">
      <c r="A105" s="264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6"/>
    </row>
    <row r="106" spans="1:18" ht="22.05" customHeight="1" thickTop="1" thickBot="1" x14ac:dyDescent="0.35">
      <c r="A106" s="241" t="s">
        <v>8</v>
      </c>
      <c r="B106" s="239"/>
      <c r="C106" s="239"/>
      <c r="D106" s="239"/>
      <c r="E106" s="239"/>
      <c r="F106" s="240"/>
      <c r="G106" s="18">
        <v>45998</v>
      </c>
      <c r="H106" s="238" t="s">
        <v>9</v>
      </c>
      <c r="I106" s="239"/>
      <c r="J106" s="239"/>
      <c r="K106" s="239"/>
      <c r="L106" s="239"/>
      <c r="M106" s="239"/>
      <c r="N106" s="239"/>
      <c r="O106" s="239"/>
      <c r="P106" s="239"/>
      <c r="Q106" s="239"/>
      <c r="R106" s="240"/>
    </row>
    <row r="107" spans="1:18" ht="24" customHeight="1" x14ac:dyDescent="0.3">
      <c r="A107" s="19" t="s">
        <v>10</v>
      </c>
      <c r="B107" s="19" t="s">
        <v>11</v>
      </c>
      <c r="C107" s="20" t="s">
        <v>12</v>
      </c>
      <c r="D107" s="19" t="s">
        <v>13</v>
      </c>
      <c r="E107" s="19" t="s">
        <v>14</v>
      </c>
      <c r="F107" s="21" t="s">
        <v>15</v>
      </c>
      <c r="G107" s="22" t="s">
        <v>16</v>
      </c>
      <c r="H107" s="19" t="s">
        <v>17</v>
      </c>
      <c r="I107" s="23" t="s">
        <v>18</v>
      </c>
      <c r="J107" s="24" t="s">
        <v>19</v>
      </c>
      <c r="K107" s="25" t="s">
        <v>20</v>
      </c>
      <c r="L107" s="24" t="s">
        <v>21</v>
      </c>
      <c r="M107" s="24" t="s">
        <v>22</v>
      </c>
      <c r="N107" s="24" t="s">
        <v>23</v>
      </c>
      <c r="O107" s="19" t="s">
        <v>24</v>
      </c>
      <c r="P107" s="20" t="s">
        <v>25</v>
      </c>
      <c r="Q107" s="24" t="s">
        <v>26</v>
      </c>
      <c r="R107" s="19" t="s">
        <v>27</v>
      </c>
    </row>
    <row r="108" spans="1:18" ht="49.95" customHeight="1" x14ac:dyDescent="0.3">
      <c r="A108" s="80" t="s">
        <v>28</v>
      </c>
      <c r="B108" s="80" t="s">
        <v>587</v>
      </c>
      <c r="C108" s="81">
        <v>0.1423611111111111</v>
      </c>
      <c r="D108" s="80" t="s">
        <v>30</v>
      </c>
      <c r="E108" s="82"/>
      <c r="F108" s="80" t="s">
        <v>36</v>
      </c>
      <c r="G108" s="232"/>
      <c r="H108" s="83" t="s">
        <v>587</v>
      </c>
      <c r="I108" s="84">
        <v>0.43330000000000002</v>
      </c>
      <c r="J108" s="85">
        <v>78</v>
      </c>
      <c r="K108" s="86" t="s">
        <v>37</v>
      </c>
      <c r="L108" s="85">
        <v>23</v>
      </c>
      <c r="M108" s="85">
        <v>0</v>
      </c>
      <c r="N108" s="85">
        <v>1</v>
      </c>
      <c r="O108" s="87" t="s">
        <v>99</v>
      </c>
      <c r="P108" s="88">
        <v>0.1423611111111111</v>
      </c>
      <c r="Q108" s="85">
        <v>180</v>
      </c>
      <c r="R108" s="89" t="s">
        <v>663</v>
      </c>
    </row>
    <row r="109" spans="1:18" ht="49.95" customHeight="1" x14ac:dyDescent="0.3">
      <c r="A109" s="211" t="s">
        <v>28</v>
      </c>
      <c r="B109" s="211" t="s">
        <v>610</v>
      </c>
      <c r="C109" s="212">
        <v>0.15625</v>
      </c>
      <c r="D109" s="211" t="s">
        <v>30</v>
      </c>
      <c r="E109" s="213"/>
      <c r="F109" s="211" t="s">
        <v>68</v>
      </c>
      <c r="G109" s="249"/>
      <c r="H109" s="39" t="s">
        <v>610</v>
      </c>
      <c r="I109" s="123">
        <v>0.17219999999999999</v>
      </c>
      <c r="J109" s="41">
        <v>31</v>
      </c>
      <c r="K109" s="42" t="s">
        <v>37</v>
      </c>
      <c r="L109" s="41">
        <v>26</v>
      </c>
      <c r="M109" s="41">
        <v>0</v>
      </c>
      <c r="N109" s="41">
        <v>1</v>
      </c>
      <c r="O109" s="43" t="s">
        <v>203</v>
      </c>
      <c r="P109" s="44">
        <v>0.15625</v>
      </c>
      <c r="Q109" s="41">
        <v>180</v>
      </c>
      <c r="R109" s="45" t="s">
        <v>664</v>
      </c>
    </row>
    <row r="110" spans="1:18" ht="49.95" customHeight="1" x14ac:dyDescent="0.3">
      <c r="A110" s="194" t="s">
        <v>28</v>
      </c>
      <c r="B110" s="194" t="s">
        <v>591</v>
      </c>
      <c r="C110" s="195">
        <v>0.33333333333333331</v>
      </c>
      <c r="D110" s="194" t="s">
        <v>30</v>
      </c>
      <c r="E110" s="196"/>
      <c r="F110" s="194" t="s">
        <v>365</v>
      </c>
      <c r="G110" s="249"/>
      <c r="H110" s="170" t="s">
        <v>591</v>
      </c>
      <c r="I110" s="171">
        <v>0.86670000000000003</v>
      </c>
      <c r="J110" s="172">
        <v>156</v>
      </c>
      <c r="K110" s="173" t="s">
        <v>37</v>
      </c>
      <c r="L110" s="172">
        <v>7</v>
      </c>
      <c r="M110" s="172">
        <v>0</v>
      </c>
      <c r="N110" s="172">
        <v>1</v>
      </c>
      <c r="O110" s="174" t="s">
        <v>99</v>
      </c>
      <c r="P110" s="175">
        <v>0.33333333333333331</v>
      </c>
      <c r="Q110" s="172">
        <v>180</v>
      </c>
      <c r="R110" s="176" t="s">
        <v>665</v>
      </c>
    </row>
    <row r="111" spans="1:18" ht="49.95" customHeight="1" x14ac:dyDescent="0.3">
      <c r="A111" s="177" t="s">
        <v>28</v>
      </c>
      <c r="B111" s="177" t="s">
        <v>589</v>
      </c>
      <c r="C111" s="178">
        <v>0.4548611111111111</v>
      </c>
      <c r="D111" s="177" t="s">
        <v>30</v>
      </c>
      <c r="E111" s="179"/>
      <c r="F111" s="177" t="s">
        <v>407</v>
      </c>
      <c r="G111" s="249"/>
      <c r="H111" s="140" t="s">
        <v>589</v>
      </c>
      <c r="I111" s="180">
        <v>0.95</v>
      </c>
      <c r="J111" s="142">
        <v>171</v>
      </c>
      <c r="K111" s="143" t="s">
        <v>37</v>
      </c>
      <c r="L111" s="142">
        <v>21</v>
      </c>
      <c r="M111" s="142">
        <v>0</v>
      </c>
      <c r="N111" s="142">
        <v>8</v>
      </c>
      <c r="O111" s="144" t="s">
        <v>220</v>
      </c>
      <c r="P111" s="145">
        <v>0.4548611111111111</v>
      </c>
      <c r="Q111" s="142">
        <v>180</v>
      </c>
      <c r="R111" s="146" t="s">
        <v>666</v>
      </c>
    </row>
    <row r="112" spans="1:18" ht="49.95" customHeight="1" thickBot="1" x14ac:dyDescent="0.35">
      <c r="A112" s="109" t="s">
        <v>28</v>
      </c>
      <c r="B112" s="109" t="s">
        <v>595</v>
      </c>
      <c r="C112" s="110">
        <v>0.82986111111111116</v>
      </c>
      <c r="D112" s="109" t="s">
        <v>30</v>
      </c>
      <c r="E112" s="111"/>
      <c r="F112" s="109" t="s">
        <v>68</v>
      </c>
      <c r="G112" s="233"/>
      <c r="H112" s="112" t="s">
        <v>595</v>
      </c>
      <c r="I112" s="113">
        <v>0.2167</v>
      </c>
      <c r="J112" s="114">
        <v>39</v>
      </c>
      <c r="K112" s="115" t="s">
        <v>37</v>
      </c>
      <c r="L112" s="114">
        <v>16</v>
      </c>
      <c r="M112" s="114">
        <v>0</v>
      </c>
      <c r="N112" s="114">
        <v>3</v>
      </c>
      <c r="O112" s="116" t="s">
        <v>164</v>
      </c>
      <c r="P112" s="117">
        <v>0.82986111111111116</v>
      </c>
      <c r="Q112" s="114">
        <v>180</v>
      </c>
      <c r="R112" s="118" t="s">
        <v>667</v>
      </c>
    </row>
    <row r="113" spans="1:18" ht="17.399999999999999" customHeight="1" thickBot="1" x14ac:dyDescent="0.35">
      <c r="A113" s="264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6"/>
    </row>
    <row r="114" spans="1:18" ht="22.05" customHeight="1" thickTop="1" thickBot="1" x14ac:dyDescent="0.35">
      <c r="A114" s="241" t="s">
        <v>8</v>
      </c>
      <c r="B114" s="239"/>
      <c r="C114" s="239"/>
      <c r="D114" s="239"/>
      <c r="E114" s="239"/>
      <c r="F114" s="240"/>
      <c r="G114" s="18">
        <v>45999</v>
      </c>
      <c r="H114" s="238" t="s">
        <v>9</v>
      </c>
      <c r="I114" s="239"/>
      <c r="J114" s="239"/>
      <c r="K114" s="239"/>
      <c r="L114" s="239"/>
      <c r="M114" s="239"/>
      <c r="N114" s="239"/>
      <c r="O114" s="239"/>
      <c r="P114" s="239"/>
      <c r="Q114" s="239"/>
      <c r="R114" s="240"/>
    </row>
    <row r="115" spans="1:18" ht="24" customHeight="1" x14ac:dyDescent="0.3">
      <c r="A115" s="19" t="s">
        <v>10</v>
      </c>
      <c r="B115" s="19" t="s">
        <v>11</v>
      </c>
      <c r="C115" s="20" t="s">
        <v>12</v>
      </c>
      <c r="D115" s="19" t="s">
        <v>13</v>
      </c>
      <c r="E115" s="19" t="s">
        <v>14</v>
      </c>
      <c r="F115" s="21" t="s">
        <v>15</v>
      </c>
      <c r="G115" s="22" t="s">
        <v>16</v>
      </c>
      <c r="H115" s="19" t="s">
        <v>17</v>
      </c>
      <c r="I115" s="23" t="s">
        <v>18</v>
      </c>
      <c r="J115" s="24" t="s">
        <v>19</v>
      </c>
      <c r="K115" s="25" t="s">
        <v>20</v>
      </c>
      <c r="L115" s="24" t="s">
        <v>21</v>
      </c>
      <c r="M115" s="24" t="s">
        <v>22</v>
      </c>
      <c r="N115" s="24" t="s">
        <v>23</v>
      </c>
      <c r="O115" s="19" t="s">
        <v>24</v>
      </c>
      <c r="P115" s="20" t="s">
        <v>25</v>
      </c>
      <c r="Q115" s="24" t="s">
        <v>26</v>
      </c>
      <c r="R115" s="19" t="s">
        <v>27</v>
      </c>
    </row>
    <row r="116" spans="1:18" ht="49.95" customHeight="1" x14ac:dyDescent="0.3">
      <c r="A116" s="66" t="s">
        <v>28</v>
      </c>
      <c r="B116" s="66" t="s">
        <v>587</v>
      </c>
      <c r="C116" s="67">
        <v>0.24652777777777779</v>
      </c>
      <c r="D116" s="66" t="s">
        <v>30</v>
      </c>
      <c r="E116" s="68"/>
      <c r="F116" s="66" t="s">
        <v>365</v>
      </c>
      <c r="G116" s="232"/>
      <c r="H116" s="69" t="s">
        <v>587</v>
      </c>
      <c r="I116" s="200">
        <v>0.87780000000000002</v>
      </c>
      <c r="J116" s="71">
        <v>158</v>
      </c>
      <c r="K116" s="72" t="s">
        <v>37</v>
      </c>
      <c r="L116" s="71">
        <v>8</v>
      </c>
      <c r="M116" s="71">
        <v>0</v>
      </c>
      <c r="N116" s="71">
        <v>3</v>
      </c>
      <c r="O116" s="73" t="s">
        <v>99</v>
      </c>
      <c r="P116" s="74">
        <v>0.24652777777777779</v>
      </c>
      <c r="Q116" s="71">
        <v>180</v>
      </c>
      <c r="R116" s="75" t="s">
        <v>668</v>
      </c>
    </row>
    <row r="117" spans="1:18" ht="49.95" customHeight="1" x14ac:dyDescent="0.3">
      <c r="A117" s="201" t="s">
        <v>28</v>
      </c>
      <c r="B117" s="201" t="s">
        <v>589</v>
      </c>
      <c r="C117" s="202">
        <v>0.4375</v>
      </c>
      <c r="D117" s="201" t="s">
        <v>30</v>
      </c>
      <c r="E117" s="203"/>
      <c r="F117" s="201" t="s">
        <v>365</v>
      </c>
      <c r="G117" s="249"/>
      <c r="H117" s="204" t="s">
        <v>589</v>
      </c>
      <c r="I117" s="205">
        <v>0.87219999999999998</v>
      </c>
      <c r="J117" s="206">
        <v>157</v>
      </c>
      <c r="K117" s="207" t="s">
        <v>102</v>
      </c>
      <c r="L117" s="206">
        <v>13</v>
      </c>
      <c r="M117" s="206">
        <v>0</v>
      </c>
      <c r="N117" s="206">
        <v>0</v>
      </c>
      <c r="O117" s="208" t="s">
        <v>99</v>
      </c>
      <c r="P117" s="209">
        <v>0.4375</v>
      </c>
      <c r="Q117" s="206">
        <v>180</v>
      </c>
      <c r="R117" s="210" t="s">
        <v>669</v>
      </c>
    </row>
    <row r="118" spans="1:18" ht="49.95" customHeight="1" thickBot="1" x14ac:dyDescent="0.35">
      <c r="A118" s="120" t="s">
        <v>28</v>
      </c>
      <c r="B118" s="120" t="s">
        <v>591</v>
      </c>
      <c r="C118" s="121">
        <v>0.80208333333333337</v>
      </c>
      <c r="D118" s="120" t="s">
        <v>30</v>
      </c>
      <c r="E118" s="122"/>
      <c r="F118" s="120" t="s">
        <v>36</v>
      </c>
      <c r="G118" s="233"/>
      <c r="H118" s="100" t="s">
        <v>591</v>
      </c>
      <c r="I118" s="158">
        <v>0.67779999999999996</v>
      </c>
      <c r="J118" s="102">
        <v>122</v>
      </c>
      <c r="K118" s="103" t="s">
        <v>37</v>
      </c>
      <c r="L118" s="102">
        <v>23</v>
      </c>
      <c r="M118" s="102">
        <v>0</v>
      </c>
      <c r="N118" s="102">
        <v>4</v>
      </c>
      <c r="O118" s="104" t="s">
        <v>99</v>
      </c>
      <c r="P118" s="105">
        <v>0.80208333333333337</v>
      </c>
      <c r="Q118" s="102">
        <v>180</v>
      </c>
      <c r="R118" s="106" t="s">
        <v>670</v>
      </c>
    </row>
    <row r="119" spans="1:18" ht="17.399999999999999" customHeight="1" thickBot="1" x14ac:dyDescent="0.35">
      <c r="A119" s="264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6"/>
    </row>
    <row r="120" spans="1:18" ht="22.05" customHeight="1" thickTop="1" thickBot="1" x14ac:dyDescent="0.35">
      <c r="A120" s="241" t="s">
        <v>8</v>
      </c>
      <c r="B120" s="239"/>
      <c r="C120" s="239"/>
      <c r="D120" s="239"/>
      <c r="E120" s="239"/>
      <c r="F120" s="240"/>
      <c r="G120" s="18">
        <v>46000</v>
      </c>
      <c r="H120" s="238" t="s">
        <v>9</v>
      </c>
      <c r="I120" s="239"/>
      <c r="J120" s="239"/>
      <c r="K120" s="239"/>
      <c r="L120" s="239"/>
      <c r="M120" s="239"/>
      <c r="N120" s="239"/>
      <c r="O120" s="239"/>
      <c r="P120" s="239"/>
      <c r="Q120" s="239"/>
      <c r="R120" s="240"/>
    </row>
    <row r="121" spans="1:18" ht="24" customHeight="1" x14ac:dyDescent="0.3">
      <c r="A121" s="19" t="s">
        <v>10</v>
      </c>
      <c r="B121" s="19" t="s">
        <v>11</v>
      </c>
      <c r="C121" s="20" t="s">
        <v>12</v>
      </c>
      <c r="D121" s="19" t="s">
        <v>13</v>
      </c>
      <c r="E121" s="19" t="s">
        <v>14</v>
      </c>
      <c r="F121" s="21" t="s">
        <v>15</v>
      </c>
      <c r="G121" s="22" t="s">
        <v>16</v>
      </c>
      <c r="H121" s="19" t="s">
        <v>17</v>
      </c>
      <c r="I121" s="23" t="s">
        <v>18</v>
      </c>
      <c r="J121" s="24" t="s">
        <v>19</v>
      </c>
      <c r="K121" s="25" t="s">
        <v>20</v>
      </c>
      <c r="L121" s="24" t="s">
        <v>21</v>
      </c>
      <c r="M121" s="24" t="s">
        <v>22</v>
      </c>
      <c r="N121" s="24" t="s">
        <v>23</v>
      </c>
      <c r="O121" s="19" t="s">
        <v>24</v>
      </c>
      <c r="P121" s="20" t="s">
        <v>25</v>
      </c>
      <c r="Q121" s="24" t="s">
        <v>26</v>
      </c>
      <c r="R121" s="19" t="s">
        <v>27</v>
      </c>
    </row>
    <row r="122" spans="1:18" ht="15" customHeight="1" x14ac:dyDescent="0.3">
      <c r="A122" s="76" t="s">
        <v>28</v>
      </c>
      <c r="B122" s="76" t="s">
        <v>593</v>
      </c>
      <c r="C122" s="77">
        <v>5.2083333333333343E-2</v>
      </c>
      <c r="D122" s="76" t="s">
        <v>30</v>
      </c>
      <c r="E122" s="78"/>
      <c r="F122" s="76" t="s">
        <v>68</v>
      </c>
      <c r="G122" s="232"/>
      <c r="H122" s="163" t="s">
        <v>593</v>
      </c>
      <c r="I122" s="224">
        <v>0.1389</v>
      </c>
      <c r="J122" s="165">
        <v>25</v>
      </c>
      <c r="K122" s="166" t="s">
        <v>32</v>
      </c>
      <c r="L122" s="165">
        <v>16</v>
      </c>
      <c r="M122" s="165">
        <v>0</v>
      </c>
      <c r="N122" s="165">
        <v>0</v>
      </c>
      <c r="O122" s="167" t="s">
        <v>73</v>
      </c>
      <c r="P122" s="168">
        <v>5.2083333333333343E-2</v>
      </c>
      <c r="Q122" s="165">
        <v>180</v>
      </c>
      <c r="R122" s="169" t="s">
        <v>671</v>
      </c>
    </row>
    <row r="123" spans="1:18" ht="15" customHeight="1" x14ac:dyDescent="0.3">
      <c r="A123" s="201" t="s">
        <v>28</v>
      </c>
      <c r="B123" s="201" t="s">
        <v>595</v>
      </c>
      <c r="C123" s="202">
        <v>0.38194444444444442</v>
      </c>
      <c r="D123" s="201" t="s">
        <v>30</v>
      </c>
      <c r="E123" s="203"/>
      <c r="F123" s="201" t="s">
        <v>36</v>
      </c>
      <c r="G123" s="249"/>
      <c r="H123" s="204" t="s">
        <v>595</v>
      </c>
      <c r="I123" s="225">
        <v>0.65559999999999996</v>
      </c>
      <c r="J123" s="206">
        <v>118</v>
      </c>
      <c r="K123" s="207" t="s">
        <v>37</v>
      </c>
      <c r="L123" s="206">
        <v>14</v>
      </c>
      <c r="M123" s="206">
        <v>0</v>
      </c>
      <c r="N123" s="206">
        <v>4</v>
      </c>
      <c r="O123" s="208" t="s">
        <v>156</v>
      </c>
      <c r="P123" s="209">
        <v>0.38194444444444442</v>
      </c>
      <c r="Q123" s="206">
        <v>180</v>
      </c>
      <c r="R123" s="210" t="s">
        <v>672</v>
      </c>
    </row>
    <row r="124" spans="1:18" ht="15" customHeight="1" x14ac:dyDescent="0.3">
      <c r="A124" s="219" t="s">
        <v>28</v>
      </c>
      <c r="B124" s="219" t="s">
        <v>589</v>
      </c>
      <c r="C124" s="220">
        <v>0.4375</v>
      </c>
      <c r="D124" s="219" t="s">
        <v>30</v>
      </c>
      <c r="E124" s="221"/>
      <c r="F124" s="219" t="s">
        <v>36</v>
      </c>
      <c r="G124" s="249"/>
      <c r="H124" s="69" t="s">
        <v>589</v>
      </c>
      <c r="I124" s="119">
        <v>0.40560000000000002</v>
      </c>
      <c r="J124" s="71">
        <v>73</v>
      </c>
      <c r="K124" s="72" t="s">
        <v>37</v>
      </c>
      <c r="L124" s="71">
        <v>15</v>
      </c>
      <c r="M124" s="71">
        <v>0</v>
      </c>
      <c r="N124" s="71">
        <v>3</v>
      </c>
      <c r="O124" s="73" t="s">
        <v>253</v>
      </c>
      <c r="P124" s="74">
        <v>0.4375</v>
      </c>
      <c r="Q124" s="71">
        <v>180</v>
      </c>
      <c r="R124" s="75" t="s">
        <v>673</v>
      </c>
    </row>
    <row r="125" spans="1:18" ht="15" customHeight="1" x14ac:dyDescent="0.3">
      <c r="A125" s="201" t="s">
        <v>28</v>
      </c>
      <c r="B125" s="201" t="s">
        <v>591</v>
      </c>
      <c r="C125" s="202">
        <v>0.55208333333333337</v>
      </c>
      <c r="D125" s="201" t="s">
        <v>30</v>
      </c>
      <c r="E125" s="203"/>
      <c r="F125" s="201" t="s">
        <v>365</v>
      </c>
      <c r="G125" s="249"/>
      <c r="H125" s="204" t="s">
        <v>591</v>
      </c>
      <c r="I125" s="205">
        <v>0.87219999999999998</v>
      </c>
      <c r="J125" s="206">
        <v>157</v>
      </c>
      <c r="K125" s="207" t="s">
        <v>37</v>
      </c>
      <c r="L125" s="206">
        <v>11</v>
      </c>
      <c r="M125" s="206">
        <v>0</v>
      </c>
      <c r="N125" s="206">
        <v>3</v>
      </c>
      <c r="O125" s="208" t="s">
        <v>99</v>
      </c>
      <c r="P125" s="209">
        <v>0.55208333333333337</v>
      </c>
      <c r="Q125" s="206">
        <v>180</v>
      </c>
      <c r="R125" s="210" t="s">
        <v>674</v>
      </c>
    </row>
    <row r="126" spans="1:18" ht="15" customHeight="1" x14ac:dyDescent="0.3">
      <c r="A126" s="197" t="s">
        <v>28</v>
      </c>
      <c r="B126" s="197" t="s">
        <v>599</v>
      </c>
      <c r="C126" s="198">
        <v>0.75694444444444453</v>
      </c>
      <c r="D126" s="197" t="s">
        <v>30</v>
      </c>
      <c r="E126" s="199"/>
      <c r="F126" s="197" t="s">
        <v>68</v>
      </c>
      <c r="G126" s="249"/>
      <c r="H126" s="83" t="s">
        <v>599</v>
      </c>
      <c r="I126" s="84">
        <v>0.17780000000000001</v>
      </c>
      <c r="J126" s="85">
        <v>32</v>
      </c>
      <c r="K126" s="86" t="s">
        <v>37</v>
      </c>
      <c r="L126" s="85">
        <v>22</v>
      </c>
      <c r="M126" s="85">
        <v>0</v>
      </c>
      <c r="N126" s="85">
        <v>9</v>
      </c>
      <c r="O126" s="87" t="s">
        <v>99</v>
      </c>
      <c r="P126" s="88">
        <v>0.75694444444444453</v>
      </c>
      <c r="Q126" s="85">
        <v>180</v>
      </c>
      <c r="R126" s="89" t="s">
        <v>675</v>
      </c>
    </row>
    <row r="127" spans="1:18" ht="15" customHeight="1" thickBot="1" x14ac:dyDescent="0.35">
      <c r="A127" s="90" t="s">
        <v>28</v>
      </c>
      <c r="B127" s="90" t="s">
        <v>587</v>
      </c>
      <c r="C127" s="91">
        <v>0.79166666666666663</v>
      </c>
      <c r="D127" s="90" t="s">
        <v>30</v>
      </c>
      <c r="E127" s="92"/>
      <c r="F127" s="90" t="s">
        <v>36</v>
      </c>
      <c r="G127" s="233"/>
      <c r="H127" s="93" t="s">
        <v>587</v>
      </c>
      <c r="I127" s="94">
        <v>0.41670000000000001</v>
      </c>
      <c r="J127" s="95">
        <v>75</v>
      </c>
      <c r="K127" s="96" t="s">
        <v>32</v>
      </c>
      <c r="L127" s="95">
        <v>13</v>
      </c>
      <c r="M127" s="95">
        <v>0</v>
      </c>
      <c r="N127" s="95">
        <v>0</v>
      </c>
      <c r="O127" s="97" t="s">
        <v>95</v>
      </c>
      <c r="P127" s="98">
        <v>0.79166666666666663</v>
      </c>
      <c r="Q127" s="95">
        <v>180</v>
      </c>
      <c r="R127" s="99" t="s">
        <v>676</v>
      </c>
    </row>
    <row r="128" spans="1:18" ht="17.399999999999999" customHeight="1" thickBot="1" x14ac:dyDescent="0.35">
      <c r="A128" s="264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6"/>
    </row>
    <row r="129" spans="1:18" ht="22.05" customHeight="1" thickTop="1" thickBot="1" x14ac:dyDescent="0.35">
      <c r="A129" s="241" t="s">
        <v>8</v>
      </c>
      <c r="B129" s="239"/>
      <c r="C129" s="239"/>
      <c r="D129" s="239"/>
      <c r="E129" s="239"/>
      <c r="F129" s="240"/>
      <c r="G129" s="18">
        <v>46001</v>
      </c>
      <c r="H129" s="238" t="s">
        <v>9</v>
      </c>
      <c r="I129" s="239"/>
      <c r="J129" s="239"/>
      <c r="K129" s="239"/>
      <c r="L129" s="239"/>
      <c r="M129" s="239"/>
      <c r="N129" s="239"/>
      <c r="O129" s="239"/>
      <c r="P129" s="239"/>
      <c r="Q129" s="239"/>
      <c r="R129" s="240"/>
    </row>
    <row r="130" spans="1:18" ht="24" customHeight="1" x14ac:dyDescent="0.3">
      <c r="A130" s="19" t="s">
        <v>10</v>
      </c>
      <c r="B130" s="19" t="s">
        <v>11</v>
      </c>
      <c r="C130" s="20" t="s">
        <v>12</v>
      </c>
      <c r="D130" s="19" t="s">
        <v>13</v>
      </c>
      <c r="E130" s="19" t="s">
        <v>14</v>
      </c>
      <c r="F130" s="21" t="s">
        <v>15</v>
      </c>
      <c r="G130" s="22" t="s">
        <v>16</v>
      </c>
      <c r="H130" s="19" t="s">
        <v>17</v>
      </c>
      <c r="I130" s="23" t="s">
        <v>18</v>
      </c>
      <c r="J130" s="24" t="s">
        <v>19</v>
      </c>
      <c r="K130" s="25" t="s">
        <v>20</v>
      </c>
      <c r="L130" s="24" t="s">
        <v>21</v>
      </c>
      <c r="M130" s="24" t="s">
        <v>22</v>
      </c>
      <c r="N130" s="24" t="s">
        <v>23</v>
      </c>
      <c r="O130" s="19" t="s">
        <v>24</v>
      </c>
      <c r="P130" s="20" t="s">
        <v>25</v>
      </c>
      <c r="Q130" s="24" t="s">
        <v>26</v>
      </c>
      <c r="R130" s="19" t="s">
        <v>27</v>
      </c>
    </row>
    <row r="131" spans="1:18" ht="49.95" customHeight="1" x14ac:dyDescent="0.3">
      <c r="A131" s="80" t="s">
        <v>28</v>
      </c>
      <c r="B131" s="80" t="s">
        <v>599</v>
      </c>
      <c r="C131" s="81">
        <v>0.2326388888888889</v>
      </c>
      <c r="D131" s="80" t="s">
        <v>30</v>
      </c>
      <c r="E131" s="82"/>
      <c r="F131" s="80" t="s">
        <v>407</v>
      </c>
      <c r="G131" s="232"/>
      <c r="H131" s="83" t="s">
        <v>599</v>
      </c>
      <c r="I131" s="159">
        <v>0.95</v>
      </c>
      <c r="J131" s="85">
        <v>171</v>
      </c>
      <c r="K131" s="86" t="s">
        <v>47</v>
      </c>
      <c r="L131" s="85">
        <v>13</v>
      </c>
      <c r="M131" s="85">
        <v>0</v>
      </c>
      <c r="N131" s="85">
        <v>0</v>
      </c>
      <c r="O131" s="87" t="s">
        <v>99</v>
      </c>
      <c r="P131" s="88">
        <v>0.2326388888888889</v>
      </c>
      <c r="Q131" s="85">
        <v>180</v>
      </c>
      <c r="R131" s="89" t="s">
        <v>677</v>
      </c>
    </row>
    <row r="132" spans="1:18" ht="49.95" customHeight="1" x14ac:dyDescent="0.3">
      <c r="A132" s="177" t="s">
        <v>28</v>
      </c>
      <c r="B132" s="177" t="s">
        <v>587</v>
      </c>
      <c r="C132" s="178">
        <v>0.34027777777777768</v>
      </c>
      <c r="D132" s="177" t="s">
        <v>30</v>
      </c>
      <c r="E132" s="179"/>
      <c r="F132" s="177" t="s">
        <v>365</v>
      </c>
      <c r="G132" s="249"/>
      <c r="H132" s="140" t="s">
        <v>587</v>
      </c>
      <c r="I132" s="180">
        <v>0.85560000000000003</v>
      </c>
      <c r="J132" s="142">
        <v>154</v>
      </c>
      <c r="K132" s="143" t="s">
        <v>37</v>
      </c>
      <c r="L132" s="142">
        <v>9</v>
      </c>
      <c r="M132" s="142">
        <v>0</v>
      </c>
      <c r="N132" s="142">
        <v>2</v>
      </c>
      <c r="O132" s="144" t="s">
        <v>95</v>
      </c>
      <c r="P132" s="145">
        <v>0.34027777777777768</v>
      </c>
      <c r="Q132" s="142">
        <v>180</v>
      </c>
      <c r="R132" s="146" t="s">
        <v>678</v>
      </c>
    </row>
    <row r="133" spans="1:18" ht="49.95" customHeight="1" x14ac:dyDescent="0.3">
      <c r="A133" s="219" t="s">
        <v>28</v>
      </c>
      <c r="B133" s="219" t="s">
        <v>591</v>
      </c>
      <c r="C133" s="220">
        <v>0.34375</v>
      </c>
      <c r="D133" s="219" t="s">
        <v>30</v>
      </c>
      <c r="E133" s="221"/>
      <c r="F133" s="219" t="s">
        <v>36</v>
      </c>
      <c r="G133" s="249"/>
      <c r="H133" s="69" t="s">
        <v>591</v>
      </c>
      <c r="I133" s="70">
        <v>0.62219999999999998</v>
      </c>
      <c r="J133" s="71">
        <v>112</v>
      </c>
      <c r="K133" s="72" t="s">
        <v>37</v>
      </c>
      <c r="L133" s="71">
        <v>12</v>
      </c>
      <c r="M133" s="71">
        <v>0</v>
      </c>
      <c r="N133" s="71">
        <v>8</v>
      </c>
      <c r="O133" s="73" t="s">
        <v>73</v>
      </c>
      <c r="P133" s="74">
        <v>0.34375</v>
      </c>
      <c r="Q133" s="71">
        <v>180</v>
      </c>
      <c r="R133" s="75" t="s">
        <v>679</v>
      </c>
    </row>
    <row r="134" spans="1:18" ht="49.95" customHeight="1" x14ac:dyDescent="0.3">
      <c r="A134" s="181" t="s">
        <v>28</v>
      </c>
      <c r="B134" s="181" t="s">
        <v>589</v>
      </c>
      <c r="C134" s="182">
        <v>0.4375</v>
      </c>
      <c r="D134" s="181" t="s">
        <v>30</v>
      </c>
      <c r="E134" s="183"/>
      <c r="F134" s="181" t="s">
        <v>36</v>
      </c>
      <c r="G134" s="249"/>
      <c r="H134" s="184" t="s">
        <v>589</v>
      </c>
      <c r="I134" s="227">
        <v>0.39439999999999997</v>
      </c>
      <c r="J134" s="186">
        <v>71</v>
      </c>
      <c r="K134" s="187" t="s">
        <v>37</v>
      </c>
      <c r="L134" s="186">
        <v>16</v>
      </c>
      <c r="M134" s="186">
        <v>0</v>
      </c>
      <c r="N134" s="186">
        <v>5</v>
      </c>
      <c r="O134" s="188" t="s">
        <v>99</v>
      </c>
      <c r="P134" s="189">
        <v>0.4375</v>
      </c>
      <c r="Q134" s="186">
        <v>180</v>
      </c>
      <c r="R134" s="190" t="s">
        <v>680</v>
      </c>
    </row>
    <row r="135" spans="1:18" ht="49.95" customHeight="1" thickBot="1" x14ac:dyDescent="0.35">
      <c r="A135" s="134" t="s">
        <v>28</v>
      </c>
      <c r="B135" s="134" t="s">
        <v>593</v>
      </c>
      <c r="C135" s="135">
        <v>0.9375</v>
      </c>
      <c r="D135" s="134" t="s">
        <v>30</v>
      </c>
      <c r="E135" s="136"/>
      <c r="F135" s="134" t="s">
        <v>68</v>
      </c>
      <c r="G135" s="233"/>
      <c r="H135" s="11" t="s">
        <v>593</v>
      </c>
      <c r="I135" s="107">
        <v>0.16109999999999999</v>
      </c>
      <c r="J135" s="13">
        <v>29</v>
      </c>
      <c r="K135" s="14" t="s">
        <v>37</v>
      </c>
      <c r="L135" s="13">
        <v>17</v>
      </c>
      <c r="M135" s="13">
        <v>0</v>
      </c>
      <c r="N135" s="13">
        <v>2</v>
      </c>
      <c r="O135" s="15" t="s">
        <v>224</v>
      </c>
      <c r="P135" s="16">
        <v>0.9375</v>
      </c>
      <c r="Q135" s="13">
        <v>180</v>
      </c>
      <c r="R135" s="17" t="s">
        <v>681</v>
      </c>
    </row>
    <row r="136" spans="1:18" ht="17.399999999999999" customHeight="1" thickBot="1" x14ac:dyDescent="0.35">
      <c r="A136" s="264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6"/>
    </row>
    <row r="137" spans="1:18" ht="22.05" customHeight="1" thickTop="1" thickBot="1" x14ac:dyDescent="0.35">
      <c r="A137" s="241" t="s">
        <v>8</v>
      </c>
      <c r="B137" s="239"/>
      <c r="C137" s="239"/>
      <c r="D137" s="239"/>
      <c r="E137" s="239"/>
      <c r="F137" s="240"/>
      <c r="G137" s="18">
        <v>46002</v>
      </c>
      <c r="H137" s="238" t="s">
        <v>9</v>
      </c>
      <c r="I137" s="239"/>
      <c r="J137" s="239"/>
      <c r="K137" s="239"/>
      <c r="L137" s="239"/>
      <c r="M137" s="239"/>
      <c r="N137" s="239"/>
      <c r="O137" s="239"/>
      <c r="P137" s="239"/>
      <c r="Q137" s="239"/>
      <c r="R137" s="240"/>
    </row>
    <row r="138" spans="1:18" ht="24" customHeight="1" x14ac:dyDescent="0.3">
      <c r="A138" s="19" t="s">
        <v>10</v>
      </c>
      <c r="B138" s="19" t="s">
        <v>11</v>
      </c>
      <c r="C138" s="20" t="s">
        <v>12</v>
      </c>
      <c r="D138" s="19" t="s">
        <v>13</v>
      </c>
      <c r="E138" s="19" t="s">
        <v>14</v>
      </c>
      <c r="F138" s="21" t="s">
        <v>15</v>
      </c>
      <c r="G138" s="22" t="s">
        <v>16</v>
      </c>
      <c r="H138" s="19" t="s">
        <v>17</v>
      </c>
      <c r="I138" s="23" t="s">
        <v>18</v>
      </c>
      <c r="J138" s="24" t="s">
        <v>19</v>
      </c>
      <c r="K138" s="25" t="s">
        <v>20</v>
      </c>
      <c r="L138" s="24" t="s">
        <v>21</v>
      </c>
      <c r="M138" s="24" t="s">
        <v>22</v>
      </c>
      <c r="N138" s="24" t="s">
        <v>23</v>
      </c>
      <c r="O138" s="19" t="s">
        <v>24</v>
      </c>
      <c r="P138" s="20" t="s">
        <v>25</v>
      </c>
      <c r="Q138" s="24" t="s">
        <v>26</v>
      </c>
      <c r="R138" s="19" t="s">
        <v>27</v>
      </c>
    </row>
    <row r="139" spans="1:18" ht="15" customHeight="1" x14ac:dyDescent="0.3">
      <c r="A139" s="56" t="s">
        <v>28</v>
      </c>
      <c r="B139" s="56" t="s">
        <v>607</v>
      </c>
      <c r="C139" s="57">
        <v>6.5972222222222224E-2</v>
      </c>
      <c r="D139" s="56" t="s">
        <v>30</v>
      </c>
      <c r="E139" s="58"/>
      <c r="F139" s="56" t="s">
        <v>68</v>
      </c>
      <c r="G139" s="232"/>
      <c r="H139" s="184" t="s">
        <v>607</v>
      </c>
      <c r="I139" s="227">
        <v>0.1111</v>
      </c>
      <c r="J139" s="186">
        <v>20</v>
      </c>
      <c r="K139" s="187" t="s">
        <v>37</v>
      </c>
      <c r="L139" s="186">
        <v>15</v>
      </c>
      <c r="M139" s="186">
        <v>0</v>
      </c>
      <c r="N139" s="186">
        <v>5</v>
      </c>
      <c r="O139" s="188" t="s">
        <v>104</v>
      </c>
      <c r="P139" s="189">
        <v>6.5972222222222224E-2</v>
      </c>
      <c r="Q139" s="186">
        <v>180</v>
      </c>
      <c r="R139" s="190" t="s">
        <v>319</v>
      </c>
    </row>
    <row r="140" spans="1:18" ht="15" customHeight="1" x14ac:dyDescent="0.3">
      <c r="A140" s="177" t="s">
        <v>28</v>
      </c>
      <c r="B140" s="177" t="s">
        <v>587</v>
      </c>
      <c r="C140" s="178">
        <v>0.15625</v>
      </c>
      <c r="D140" s="177" t="s">
        <v>30</v>
      </c>
      <c r="E140" s="179"/>
      <c r="F140" s="177" t="s">
        <v>36</v>
      </c>
      <c r="G140" s="249"/>
      <c r="H140" s="140" t="s">
        <v>587</v>
      </c>
      <c r="I140" s="141">
        <v>0.36670000000000003</v>
      </c>
      <c r="J140" s="142">
        <v>66</v>
      </c>
      <c r="K140" s="143" t="s">
        <v>37</v>
      </c>
      <c r="L140" s="142">
        <v>15</v>
      </c>
      <c r="M140" s="142">
        <v>0</v>
      </c>
      <c r="N140" s="142">
        <v>9</v>
      </c>
      <c r="O140" s="144" t="s">
        <v>73</v>
      </c>
      <c r="P140" s="145">
        <v>0.15625</v>
      </c>
      <c r="Q140" s="142">
        <v>180</v>
      </c>
      <c r="R140" s="146" t="s">
        <v>682</v>
      </c>
    </row>
    <row r="141" spans="1:18" ht="15" customHeight="1" x14ac:dyDescent="0.3">
      <c r="A141" s="181" t="s">
        <v>28</v>
      </c>
      <c r="B141" s="181" t="s">
        <v>610</v>
      </c>
      <c r="C141" s="182">
        <v>0.1875</v>
      </c>
      <c r="D141" s="181" t="s">
        <v>30</v>
      </c>
      <c r="E141" s="183"/>
      <c r="F141" s="181" t="s">
        <v>68</v>
      </c>
      <c r="G141" s="249"/>
      <c r="H141" s="184" t="s">
        <v>610</v>
      </c>
      <c r="I141" s="227">
        <v>6.6699999999999995E-2</v>
      </c>
      <c r="J141" s="186">
        <v>12</v>
      </c>
      <c r="K141" s="187" t="s">
        <v>37</v>
      </c>
      <c r="L141" s="186">
        <v>9</v>
      </c>
      <c r="M141" s="186">
        <v>0</v>
      </c>
      <c r="N141" s="186">
        <v>4</v>
      </c>
      <c r="O141" s="188" t="s">
        <v>253</v>
      </c>
      <c r="P141" s="189">
        <v>0.1875</v>
      </c>
      <c r="Q141" s="186">
        <v>180</v>
      </c>
      <c r="R141" s="190" t="s">
        <v>683</v>
      </c>
    </row>
    <row r="142" spans="1:18" ht="15" customHeight="1" x14ac:dyDescent="0.3">
      <c r="A142" s="219" t="s">
        <v>28</v>
      </c>
      <c r="B142" s="219" t="s">
        <v>589</v>
      </c>
      <c r="C142" s="220">
        <v>0.40625</v>
      </c>
      <c r="D142" s="219" t="s">
        <v>30</v>
      </c>
      <c r="E142" s="221"/>
      <c r="F142" s="219" t="s">
        <v>365</v>
      </c>
      <c r="G142" s="249"/>
      <c r="H142" s="69" t="s">
        <v>589</v>
      </c>
      <c r="I142" s="200">
        <v>0.86670000000000003</v>
      </c>
      <c r="J142" s="71">
        <v>156</v>
      </c>
      <c r="K142" s="72" t="s">
        <v>82</v>
      </c>
      <c r="L142" s="71">
        <v>5</v>
      </c>
      <c r="M142" s="71">
        <v>0</v>
      </c>
      <c r="N142" s="71">
        <v>0</v>
      </c>
      <c r="O142" s="73" t="s">
        <v>73</v>
      </c>
      <c r="P142" s="74">
        <v>0.40625</v>
      </c>
      <c r="Q142" s="71">
        <v>180</v>
      </c>
      <c r="R142" s="75" t="s">
        <v>684</v>
      </c>
    </row>
    <row r="143" spans="1:18" ht="15" customHeight="1" x14ac:dyDescent="0.3">
      <c r="A143" s="194" t="s">
        <v>28</v>
      </c>
      <c r="B143" s="194" t="s">
        <v>595</v>
      </c>
      <c r="C143" s="195">
        <v>0.5625</v>
      </c>
      <c r="D143" s="194" t="s">
        <v>30</v>
      </c>
      <c r="E143" s="196"/>
      <c r="F143" s="194" t="s">
        <v>36</v>
      </c>
      <c r="G143" s="249"/>
      <c r="H143" s="170" t="s">
        <v>595</v>
      </c>
      <c r="I143" s="223">
        <v>0.63329999999999997</v>
      </c>
      <c r="J143" s="172">
        <v>114</v>
      </c>
      <c r="K143" s="173" t="s">
        <v>75</v>
      </c>
      <c r="L143" s="172">
        <v>9</v>
      </c>
      <c r="M143" s="172">
        <v>4</v>
      </c>
      <c r="N143" s="172">
        <v>4</v>
      </c>
      <c r="O143" s="174" t="s">
        <v>73</v>
      </c>
      <c r="P143" s="175">
        <v>0.5625</v>
      </c>
      <c r="Q143" s="172">
        <v>180</v>
      </c>
      <c r="R143" s="176" t="s">
        <v>685</v>
      </c>
    </row>
    <row r="144" spans="1:18" ht="15" customHeight="1" thickBot="1" x14ac:dyDescent="0.35">
      <c r="A144" s="90" t="s">
        <v>28</v>
      </c>
      <c r="B144" s="90" t="s">
        <v>599</v>
      </c>
      <c r="C144" s="91">
        <v>0.9375</v>
      </c>
      <c r="D144" s="90" t="s">
        <v>30</v>
      </c>
      <c r="E144" s="92"/>
      <c r="F144" s="90" t="s">
        <v>68</v>
      </c>
      <c r="G144" s="233"/>
      <c r="H144" s="93" t="s">
        <v>599</v>
      </c>
      <c r="I144" s="94">
        <v>0.1111</v>
      </c>
      <c r="J144" s="95">
        <v>20</v>
      </c>
      <c r="K144" s="96" t="s">
        <v>37</v>
      </c>
      <c r="L144" s="95">
        <v>5</v>
      </c>
      <c r="M144" s="95">
        <v>0</v>
      </c>
      <c r="N144" s="95">
        <v>2</v>
      </c>
      <c r="O144" s="97" t="s">
        <v>73</v>
      </c>
      <c r="P144" s="98">
        <v>0.9375</v>
      </c>
      <c r="Q144" s="95">
        <v>180</v>
      </c>
      <c r="R144" s="99" t="s">
        <v>686</v>
      </c>
    </row>
    <row r="145" spans="1:18" ht="17.399999999999999" customHeight="1" thickBot="1" x14ac:dyDescent="0.35">
      <c r="A145" s="264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6"/>
    </row>
    <row r="146" spans="1:18" ht="22.05" customHeight="1" thickTop="1" thickBot="1" x14ac:dyDescent="0.35">
      <c r="A146" s="241" t="s">
        <v>8</v>
      </c>
      <c r="B146" s="239"/>
      <c r="C146" s="239"/>
      <c r="D146" s="239"/>
      <c r="E146" s="239"/>
      <c r="F146" s="240"/>
      <c r="G146" s="18">
        <v>46003</v>
      </c>
      <c r="H146" s="238" t="s">
        <v>9</v>
      </c>
      <c r="I146" s="239"/>
      <c r="J146" s="239"/>
      <c r="K146" s="239"/>
      <c r="L146" s="239"/>
      <c r="M146" s="239"/>
      <c r="N146" s="239"/>
      <c r="O146" s="239"/>
      <c r="P146" s="239"/>
      <c r="Q146" s="239"/>
      <c r="R146" s="240"/>
    </row>
    <row r="147" spans="1:18" ht="24" customHeight="1" x14ac:dyDescent="0.3">
      <c r="A147" s="19" t="s">
        <v>10</v>
      </c>
      <c r="B147" s="19" t="s">
        <v>11</v>
      </c>
      <c r="C147" s="20" t="s">
        <v>12</v>
      </c>
      <c r="D147" s="19" t="s">
        <v>13</v>
      </c>
      <c r="E147" s="19" t="s">
        <v>14</v>
      </c>
      <c r="F147" s="21" t="s">
        <v>15</v>
      </c>
      <c r="G147" s="22" t="s">
        <v>16</v>
      </c>
      <c r="H147" s="19" t="s">
        <v>17</v>
      </c>
      <c r="I147" s="23" t="s">
        <v>18</v>
      </c>
      <c r="J147" s="24" t="s">
        <v>19</v>
      </c>
      <c r="K147" s="25" t="s">
        <v>20</v>
      </c>
      <c r="L147" s="24" t="s">
        <v>21</v>
      </c>
      <c r="M147" s="24" t="s">
        <v>22</v>
      </c>
      <c r="N147" s="24" t="s">
        <v>23</v>
      </c>
      <c r="O147" s="19" t="s">
        <v>24</v>
      </c>
      <c r="P147" s="20" t="s">
        <v>25</v>
      </c>
      <c r="Q147" s="24" t="s">
        <v>26</v>
      </c>
      <c r="R147" s="19" t="s">
        <v>27</v>
      </c>
    </row>
    <row r="148" spans="1:18" ht="49.95" customHeight="1" x14ac:dyDescent="0.3">
      <c r="A148" s="137" t="s">
        <v>28</v>
      </c>
      <c r="B148" s="137" t="s">
        <v>587</v>
      </c>
      <c r="C148" s="138">
        <v>0.1423611111111111</v>
      </c>
      <c r="D148" s="137" t="s">
        <v>30</v>
      </c>
      <c r="E148" s="139"/>
      <c r="F148" s="137" t="s">
        <v>36</v>
      </c>
      <c r="G148" s="232"/>
      <c r="H148" s="140" t="s">
        <v>587</v>
      </c>
      <c r="I148" s="141">
        <v>0.37219999999999998</v>
      </c>
      <c r="J148" s="142">
        <v>67</v>
      </c>
      <c r="K148" s="143" t="s">
        <v>32</v>
      </c>
      <c r="L148" s="142">
        <v>2</v>
      </c>
      <c r="M148" s="142">
        <v>0</v>
      </c>
      <c r="N148" s="142">
        <v>0</v>
      </c>
      <c r="O148" s="144" t="s">
        <v>254</v>
      </c>
      <c r="P148" s="145">
        <v>0.1423611111111111</v>
      </c>
      <c r="Q148" s="142">
        <v>180</v>
      </c>
      <c r="R148" s="146" t="s">
        <v>687</v>
      </c>
    </row>
    <row r="149" spans="1:18" ht="49.95" customHeight="1" x14ac:dyDescent="0.3">
      <c r="A149" s="211" t="s">
        <v>28</v>
      </c>
      <c r="B149" s="211" t="s">
        <v>589</v>
      </c>
      <c r="C149" s="212">
        <v>0.28125</v>
      </c>
      <c r="D149" s="211" t="s">
        <v>30</v>
      </c>
      <c r="E149" s="213"/>
      <c r="F149" s="211" t="s">
        <v>68</v>
      </c>
      <c r="G149" s="249"/>
      <c r="H149" s="39" t="s">
        <v>589</v>
      </c>
      <c r="I149" s="123">
        <v>0.1</v>
      </c>
      <c r="J149" s="41">
        <v>18</v>
      </c>
      <c r="K149" s="42" t="s">
        <v>102</v>
      </c>
      <c r="L149" s="41">
        <v>4</v>
      </c>
      <c r="M149" s="41">
        <v>0</v>
      </c>
      <c r="N149" s="41">
        <v>0</v>
      </c>
      <c r="O149" s="43" t="s">
        <v>73</v>
      </c>
      <c r="P149" s="44">
        <v>0.28125</v>
      </c>
      <c r="Q149" s="41">
        <v>180</v>
      </c>
      <c r="R149" s="45" t="s">
        <v>688</v>
      </c>
    </row>
    <row r="150" spans="1:18" ht="49.95" customHeight="1" x14ac:dyDescent="0.3">
      <c r="A150" s="201" t="s">
        <v>28</v>
      </c>
      <c r="B150" s="201" t="s">
        <v>595</v>
      </c>
      <c r="C150" s="202">
        <v>0.4375</v>
      </c>
      <c r="D150" s="201" t="s">
        <v>30</v>
      </c>
      <c r="E150" s="203"/>
      <c r="F150" s="201" t="s">
        <v>68</v>
      </c>
      <c r="G150" s="249"/>
      <c r="H150" s="204" t="s">
        <v>595</v>
      </c>
      <c r="I150" s="228">
        <v>7.22E-2</v>
      </c>
      <c r="J150" s="206">
        <v>13</v>
      </c>
      <c r="K150" s="207" t="s">
        <v>32</v>
      </c>
      <c r="L150" s="206">
        <v>4</v>
      </c>
      <c r="M150" s="206">
        <v>0</v>
      </c>
      <c r="N150" s="206">
        <v>0</v>
      </c>
      <c r="O150" s="208" t="s">
        <v>73</v>
      </c>
      <c r="P150" s="209">
        <v>0.4375</v>
      </c>
      <c r="Q150" s="206">
        <v>180</v>
      </c>
      <c r="R150" s="210" t="s">
        <v>689</v>
      </c>
    </row>
    <row r="151" spans="1:18" ht="49.95" customHeight="1" x14ac:dyDescent="0.3">
      <c r="A151" s="181" t="s">
        <v>28</v>
      </c>
      <c r="B151" s="181" t="s">
        <v>593</v>
      </c>
      <c r="C151" s="182">
        <v>0.55902777777777779</v>
      </c>
      <c r="D151" s="181" t="s">
        <v>30</v>
      </c>
      <c r="E151" s="183"/>
      <c r="F151" s="181" t="s">
        <v>68</v>
      </c>
      <c r="G151" s="249"/>
      <c r="H151" s="184" t="s">
        <v>593</v>
      </c>
      <c r="I151" s="227">
        <v>8.3299999999999999E-2</v>
      </c>
      <c r="J151" s="186">
        <v>15</v>
      </c>
      <c r="K151" s="187" t="s">
        <v>37</v>
      </c>
      <c r="L151" s="186">
        <v>5</v>
      </c>
      <c r="M151" s="186">
        <v>0</v>
      </c>
      <c r="N151" s="186">
        <v>1</v>
      </c>
      <c r="O151" s="188" t="s">
        <v>84</v>
      </c>
      <c r="P151" s="189">
        <v>0.55902777777777779</v>
      </c>
      <c r="Q151" s="186">
        <v>180</v>
      </c>
      <c r="R151" s="190" t="s">
        <v>690</v>
      </c>
    </row>
    <row r="152" spans="1:18" ht="49.95" customHeight="1" thickBot="1" x14ac:dyDescent="0.35">
      <c r="A152" s="124" t="s">
        <v>28</v>
      </c>
      <c r="B152" s="124" t="s">
        <v>591</v>
      </c>
      <c r="C152" s="125">
        <v>0.76041666666666663</v>
      </c>
      <c r="D152" s="124" t="s">
        <v>30</v>
      </c>
      <c r="E152" s="126"/>
      <c r="F152" s="124" t="s">
        <v>68</v>
      </c>
      <c r="G152" s="233"/>
      <c r="H152" s="127" t="s">
        <v>591</v>
      </c>
      <c r="I152" s="128">
        <v>0.1278</v>
      </c>
      <c r="J152" s="129">
        <v>23</v>
      </c>
      <c r="K152" s="130" t="s">
        <v>102</v>
      </c>
      <c r="L152" s="129">
        <v>13</v>
      </c>
      <c r="M152" s="129">
        <v>0</v>
      </c>
      <c r="N152" s="129">
        <v>0</v>
      </c>
      <c r="O152" s="131" t="s">
        <v>99</v>
      </c>
      <c r="P152" s="132">
        <v>0.76041666666666663</v>
      </c>
      <c r="Q152" s="129">
        <v>180</v>
      </c>
      <c r="R152" s="133" t="s">
        <v>691</v>
      </c>
    </row>
    <row r="153" spans="1:18" ht="17.399999999999999" customHeight="1" thickBot="1" x14ac:dyDescent="0.35">
      <c r="A153" s="264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6"/>
    </row>
    <row r="154" spans="1:18" ht="22.05" customHeight="1" thickTop="1" thickBot="1" x14ac:dyDescent="0.35">
      <c r="A154" s="241" t="s">
        <v>8</v>
      </c>
      <c r="B154" s="239"/>
      <c r="C154" s="239"/>
      <c r="D154" s="239"/>
      <c r="E154" s="239"/>
      <c r="F154" s="240"/>
      <c r="G154" s="18">
        <v>46004</v>
      </c>
      <c r="H154" s="238" t="s">
        <v>9</v>
      </c>
      <c r="I154" s="239"/>
      <c r="J154" s="239"/>
      <c r="K154" s="239"/>
      <c r="L154" s="239"/>
      <c r="M154" s="239"/>
      <c r="N154" s="239"/>
      <c r="O154" s="239"/>
      <c r="P154" s="239"/>
      <c r="Q154" s="239"/>
      <c r="R154" s="240"/>
    </row>
    <row r="155" spans="1:18" ht="24" customHeight="1" x14ac:dyDescent="0.3">
      <c r="A155" s="19" t="s">
        <v>10</v>
      </c>
      <c r="B155" s="19" t="s">
        <v>11</v>
      </c>
      <c r="C155" s="20" t="s">
        <v>12</v>
      </c>
      <c r="D155" s="19" t="s">
        <v>13</v>
      </c>
      <c r="E155" s="19" t="s">
        <v>14</v>
      </c>
      <c r="F155" s="21" t="s">
        <v>15</v>
      </c>
      <c r="G155" s="22" t="s">
        <v>16</v>
      </c>
      <c r="H155" s="19" t="s">
        <v>17</v>
      </c>
      <c r="I155" s="23" t="s">
        <v>18</v>
      </c>
      <c r="J155" s="24" t="s">
        <v>19</v>
      </c>
      <c r="K155" s="25" t="s">
        <v>20</v>
      </c>
      <c r="L155" s="24" t="s">
        <v>21</v>
      </c>
      <c r="M155" s="24" t="s">
        <v>22</v>
      </c>
      <c r="N155" s="24" t="s">
        <v>23</v>
      </c>
      <c r="O155" s="19" t="s">
        <v>24</v>
      </c>
      <c r="P155" s="20" t="s">
        <v>25</v>
      </c>
      <c r="Q155" s="24" t="s">
        <v>26</v>
      </c>
      <c r="R155" s="19" t="s">
        <v>27</v>
      </c>
    </row>
    <row r="156" spans="1:18" ht="49.95" customHeight="1" x14ac:dyDescent="0.3">
      <c r="A156" s="8" t="s">
        <v>28</v>
      </c>
      <c r="B156" s="8" t="s">
        <v>607</v>
      </c>
      <c r="C156" s="9">
        <v>4.8611111111111112E-2</v>
      </c>
      <c r="D156" s="8" t="s">
        <v>30</v>
      </c>
      <c r="E156" s="10"/>
      <c r="F156" s="8" t="s">
        <v>36</v>
      </c>
      <c r="G156" s="232"/>
      <c r="H156" s="204" t="s">
        <v>607</v>
      </c>
      <c r="I156" s="228">
        <v>0.30649999999999999</v>
      </c>
      <c r="J156" s="206">
        <v>57</v>
      </c>
      <c r="K156" s="207" t="s">
        <v>107</v>
      </c>
      <c r="L156" s="206">
        <v>7</v>
      </c>
      <c r="M156" s="206">
        <v>0</v>
      </c>
      <c r="N156" s="206">
        <v>0</v>
      </c>
      <c r="O156" s="208" t="s">
        <v>73</v>
      </c>
      <c r="P156" s="209">
        <v>4.8611111111111112E-2</v>
      </c>
      <c r="Q156" s="206">
        <v>186</v>
      </c>
      <c r="R156" s="210" t="s">
        <v>692</v>
      </c>
    </row>
    <row r="157" spans="1:18" ht="49.95" customHeight="1" x14ac:dyDescent="0.3">
      <c r="A157" s="194" t="s">
        <v>28</v>
      </c>
      <c r="B157" s="194" t="s">
        <v>587</v>
      </c>
      <c r="C157" s="195">
        <v>0.15625</v>
      </c>
      <c r="D157" s="194" t="s">
        <v>30</v>
      </c>
      <c r="E157" s="196"/>
      <c r="F157" s="194" t="s">
        <v>365</v>
      </c>
      <c r="G157" s="249"/>
      <c r="H157" s="170" t="s">
        <v>587</v>
      </c>
      <c r="I157" s="171">
        <v>0.86109999999999998</v>
      </c>
      <c r="J157" s="172">
        <v>155</v>
      </c>
      <c r="K157" s="173" t="s">
        <v>37</v>
      </c>
      <c r="L157" s="172">
        <v>4</v>
      </c>
      <c r="M157" s="172">
        <v>0</v>
      </c>
      <c r="N157" s="172">
        <v>2</v>
      </c>
      <c r="O157" s="174" t="s">
        <v>84</v>
      </c>
      <c r="P157" s="175">
        <v>0.15625</v>
      </c>
      <c r="Q157" s="172">
        <v>180</v>
      </c>
      <c r="R157" s="176" t="s">
        <v>693</v>
      </c>
    </row>
    <row r="158" spans="1:18" ht="49.95" customHeight="1" x14ac:dyDescent="0.3">
      <c r="A158" s="197" t="s">
        <v>28</v>
      </c>
      <c r="B158" s="197" t="s">
        <v>589</v>
      </c>
      <c r="C158" s="198">
        <v>0.50347222222222221</v>
      </c>
      <c r="D158" s="197" t="s">
        <v>30</v>
      </c>
      <c r="E158" s="199"/>
      <c r="F158" s="197" t="s">
        <v>365</v>
      </c>
      <c r="G158" s="249"/>
      <c r="H158" s="83" t="s">
        <v>589</v>
      </c>
      <c r="I158" s="159">
        <v>0.88890000000000002</v>
      </c>
      <c r="J158" s="85">
        <v>160</v>
      </c>
      <c r="K158" s="86" t="s">
        <v>37</v>
      </c>
      <c r="L158" s="85">
        <v>6</v>
      </c>
      <c r="M158" s="85">
        <v>0</v>
      </c>
      <c r="N158" s="85">
        <v>1</v>
      </c>
      <c r="O158" s="87" t="s">
        <v>99</v>
      </c>
      <c r="P158" s="88">
        <v>0.50347222222222221</v>
      </c>
      <c r="Q158" s="85">
        <v>180</v>
      </c>
      <c r="R158" s="89" t="s">
        <v>694</v>
      </c>
    </row>
    <row r="159" spans="1:18" ht="49.95" customHeight="1" thickBot="1" x14ac:dyDescent="0.35">
      <c r="A159" s="90" t="s">
        <v>28</v>
      </c>
      <c r="B159" s="90" t="s">
        <v>599</v>
      </c>
      <c r="C159" s="91">
        <v>0.90625</v>
      </c>
      <c r="D159" s="90" t="s">
        <v>30</v>
      </c>
      <c r="E159" s="92"/>
      <c r="F159" s="90" t="s">
        <v>68</v>
      </c>
      <c r="G159" s="233"/>
      <c r="H159" s="93" t="s">
        <v>599</v>
      </c>
      <c r="I159" s="94">
        <v>0.1333</v>
      </c>
      <c r="J159" s="95">
        <v>24</v>
      </c>
      <c r="K159" s="96" t="s">
        <v>37</v>
      </c>
      <c r="L159" s="95">
        <v>7</v>
      </c>
      <c r="M159" s="95">
        <v>0</v>
      </c>
      <c r="N159" s="95">
        <v>2</v>
      </c>
      <c r="O159" s="97" t="s">
        <v>164</v>
      </c>
      <c r="P159" s="98">
        <v>0.90625</v>
      </c>
      <c r="Q159" s="95">
        <v>180</v>
      </c>
      <c r="R159" s="99" t="s">
        <v>695</v>
      </c>
    </row>
    <row r="160" spans="1:18" ht="17.399999999999999" customHeight="1" thickBot="1" x14ac:dyDescent="0.35">
      <c r="A160" s="264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6"/>
    </row>
    <row r="161" spans="1:18" ht="22.05" customHeight="1" thickTop="1" thickBot="1" x14ac:dyDescent="0.35">
      <c r="A161" s="241" t="s">
        <v>8</v>
      </c>
      <c r="B161" s="239"/>
      <c r="C161" s="239"/>
      <c r="D161" s="239"/>
      <c r="E161" s="239"/>
      <c r="F161" s="240"/>
      <c r="G161" s="18">
        <v>46005</v>
      </c>
      <c r="H161" s="238" t="s">
        <v>9</v>
      </c>
      <c r="I161" s="239"/>
      <c r="J161" s="239"/>
      <c r="K161" s="239"/>
      <c r="L161" s="239"/>
      <c r="M161" s="239"/>
      <c r="N161" s="239"/>
      <c r="O161" s="239"/>
      <c r="P161" s="239"/>
      <c r="Q161" s="239"/>
      <c r="R161" s="240"/>
    </row>
    <row r="162" spans="1:18" ht="24" customHeight="1" x14ac:dyDescent="0.3">
      <c r="A162" s="19" t="s">
        <v>10</v>
      </c>
      <c r="B162" s="19" t="s">
        <v>11</v>
      </c>
      <c r="C162" s="20" t="s">
        <v>12</v>
      </c>
      <c r="D162" s="19" t="s">
        <v>13</v>
      </c>
      <c r="E162" s="19" t="s">
        <v>14</v>
      </c>
      <c r="F162" s="21" t="s">
        <v>15</v>
      </c>
      <c r="G162" s="22" t="s">
        <v>16</v>
      </c>
      <c r="H162" s="19" t="s">
        <v>17</v>
      </c>
      <c r="I162" s="23" t="s">
        <v>18</v>
      </c>
      <c r="J162" s="24" t="s">
        <v>19</v>
      </c>
      <c r="K162" s="25" t="s">
        <v>20</v>
      </c>
      <c r="L162" s="24" t="s">
        <v>21</v>
      </c>
      <c r="M162" s="24" t="s">
        <v>22</v>
      </c>
      <c r="N162" s="24" t="s">
        <v>23</v>
      </c>
      <c r="O162" s="19" t="s">
        <v>24</v>
      </c>
      <c r="P162" s="20" t="s">
        <v>25</v>
      </c>
      <c r="Q162" s="24" t="s">
        <v>26</v>
      </c>
      <c r="R162" s="19" t="s">
        <v>27</v>
      </c>
    </row>
    <row r="163" spans="1:18" ht="49.95" customHeight="1" x14ac:dyDescent="0.3">
      <c r="A163" s="36" t="s">
        <v>28</v>
      </c>
      <c r="B163" s="36" t="s">
        <v>587</v>
      </c>
      <c r="C163" s="37">
        <v>0.1423611111111111</v>
      </c>
      <c r="D163" s="36" t="s">
        <v>30</v>
      </c>
      <c r="E163" s="38"/>
      <c r="F163" s="36" t="s">
        <v>36</v>
      </c>
      <c r="G163" s="232"/>
      <c r="H163" s="39" t="s">
        <v>587</v>
      </c>
      <c r="I163" s="123">
        <v>0.31109999999999999</v>
      </c>
      <c r="J163" s="41">
        <v>56</v>
      </c>
      <c r="K163" s="42" t="s">
        <v>102</v>
      </c>
      <c r="L163" s="41">
        <v>8</v>
      </c>
      <c r="M163" s="41">
        <v>0</v>
      </c>
      <c r="N163" s="41">
        <v>0</v>
      </c>
      <c r="O163" s="43" t="s">
        <v>73</v>
      </c>
      <c r="P163" s="44">
        <v>0.1423611111111111</v>
      </c>
      <c r="Q163" s="41">
        <v>180</v>
      </c>
      <c r="R163" s="45" t="s">
        <v>696</v>
      </c>
    </row>
    <row r="164" spans="1:18" ht="49.95" customHeight="1" x14ac:dyDescent="0.3">
      <c r="A164" s="181" t="s">
        <v>28</v>
      </c>
      <c r="B164" s="181" t="s">
        <v>610</v>
      </c>
      <c r="C164" s="182">
        <v>0.15625</v>
      </c>
      <c r="D164" s="181" t="s">
        <v>30</v>
      </c>
      <c r="E164" s="183"/>
      <c r="F164" s="181" t="s">
        <v>36</v>
      </c>
      <c r="G164" s="249"/>
      <c r="H164" s="184" t="s">
        <v>610</v>
      </c>
      <c r="I164" s="227">
        <v>0.3</v>
      </c>
      <c r="J164" s="186">
        <v>54</v>
      </c>
      <c r="K164" s="187" t="s">
        <v>37</v>
      </c>
      <c r="L164" s="186">
        <v>5</v>
      </c>
      <c r="M164" s="186">
        <v>0</v>
      </c>
      <c r="N164" s="186">
        <v>1</v>
      </c>
      <c r="O164" s="188" t="s">
        <v>254</v>
      </c>
      <c r="P164" s="189">
        <v>0.15625</v>
      </c>
      <c r="Q164" s="186">
        <v>180</v>
      </c>
      <c r="R164" s="190" t="s">
        <v>697</v>
      </c>
    </row>
    <row r="165" spans="1:18" ht="49.95" customHeight="1" x14ac:dyDescent="0.3">
      <c r="A165" s="201" t="s">
        <v>28</v>
      </c>
      <c r="B165" s="201" t="s">
        <v>591</v>
      </c>
      <c r="C165" s="202">
        <v>0.33333333333333331</v>
      </c>
      <c r="D165" s="201" t="s">
        <v>30</v>
      </c>
      <c r="E165" s="203"/>
      <c r="F165" s="201" t="s">
        <v>31</v>
      </c>
      <c r="G165" s="249"/>
      <c r="H165" s="204" t="s">
        <v>591</v>
      </c>
      <c r="I165" s="205">
        <v>0.98329999999999995</v>
      </c>
      <c r="J165" s="206">
        <v>177</v>
      </c>
      <c r="K165" s="207" t="s">
        <v>32</v>
      </c>
      <c r="L165" s="206">
        <v>1</v>
      </c>
      <c r="M165" s="206">
        <v>0</v>
      </c>
      <c r="N165" s="206">
        <v>0</v>
      </c>
      <c r="O165" s="208" t="s">
        <v>33</v>
      </c>
      <c r="P165" s="209">
        <v>0.33333333333333331</v>
      </c>
      <c r="Q165" s="206">
        <v>180</v>
      </c>
      <c r="R165" s="210" t="s">
        <v>698</v>
      </c>
    </row>
    <row r="166" spans="1:18" ht="49.95" customHeight="1" x14ac:dyDescent="0.3">
      <c r="A166" s="197" t="s">
        <v>28</v>
      </c>
      <c r="B166" s="197" t="s">
        <v>589</v>
      </c>
      <c r="C166" s="198">
        <v>0.4548611111111111</v>
      </c>
      <c r="D166" s="197" t="s">
        <v>30</v>
      </c>
      <c r="E166" s="199"/>
      <c r="F166" s="197" t="s">
        <v>36</v>
      </c>
      <c r="G166" s="249"/>
      <c r="H166" s="83" t="s">
        <v>589</v>
      </c>
      <c r="I166" s="222">
        <v>0.80559999999999998</v>
      </c>
      <c r="J166" s="85">
        <v>145</v>
      </c>
      <c r="K166" s="86" t="s">
        <v>624</v>
      </c>
      <c r="L166" s="85">
        <v>0</v>
      </c>
      <c r="M166" s="85">
        <v>0</v>
      </c>
      <c r="N166" s="85">
        <v>0</v>
      </c>
      <c r="O166" s="87" t="s">
        <v>73</v>
      </c>
      <c r="P166" s="88">
        <v>0.4548611111111111</v>
      </c>
      <c r="Q166" s="85">
        <v>180</v>
      </c>
      <c r="R166" s="89" t="s">
        <v>699</v>
      </c>
    </row>
    <row r="167" spans="1:18" ht="49.95" customHeight="1" thickBot="1" x14ac:dyDescent="0.35">
      <c r="A167" s="46" t="s">
        <v>28</v>
      </c>
      <c r="B167" s="46" t="s">
        <v>595</v>
      </c>
      <c r="C167" s="47">
        <v>0.82986111111111116</v>
      </c>
      <c r="D167" s="46" t="s">
        <v>30</v>
      </c>
      <c r="E167" s="48"/>
      <c r="F167" s="46" t="s">
        <v>68</v>
      </c>
      <c r="G167" s="233"/>
      <c r="H167" s="49" t="s">
        <v>595</v>
      </c>
      <c r="I167" s="79">
        <v>0.1278</v>
      </c>
      <c r="J167" s="51">
        <v>23</v>
      </c>
      <c r="K167" s="52" t="s">
        <v>32</v>
      </c>
      <c r="L167" s="51">
        <v>5</v>
      </c>
      <c r="M167" s="51">
        <v>0</v>
      </c>
      <c r="N167" s="51">
        <v>0</v>
      </c>
      <c r="O167" s="53" t="s">
        <v>99</v>
      </c>
      <c r="P167" s="54">
        <v>0.82986111111111116</v>
      </c>
      <c r="Q167" s="51">
        <v>180</v>
      </c>
      <c r="R167" s="55" t="s">
        <v>700</v>
      </c>
    </row>
    <row r="168" spans="1:18" ht="17.399999999999999" customHeight="1" thickBot="1" x14ac:dyDescent="0.35">
      <c r="A168" s="264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6"/>
    </row>
    <row r="169" spans="1:18" ht="22.05" customHeight="1" thickTop="1" thickBot="1" x14ac:dyDescent="0.35">
      <c r="A169" s="241" t="s">
        <v>8</v>
      </c>
      <c r="B169" s="239"/>
      <c r="C169" s="239"/>
      <c r="D169" s="239"/>
      <c r="E169" s="239"/>
      <c r="F169" s="240"/>
      <c r="G169" s="18">
        <v>46006</v>
      </c>
      <c r="H169" s="238" t="s">
        <v>9</v>
      </c>
      <c r="I169" s="239"/>
      <c r="J169" s="239"/>
      <c r="K169" s="239"/>
      <c r="L169" s="239"/>
      <c r="M169" s="239"/>
      <c r="N169" s="239"/>
      <c r="O169" s="239"/>
      <c r="P169" s="239"/>
      <c r="Q169" s="239"/>
      <c r="R169" s="240"/>
    </row>
    <row r="170" spans="1:18" ht="24" customHeight="1" x14ac:dyDescent="0.3">
      <c r="A170" s="19" t="s">
        <v>10</v>
      </c>
      <c r="B170" s="19" t="s">
        <v>11</v>
      </c>
      <c r="C170" s="20" t="s">
        <v>12</v>
      </c>
      <c r="D170" s="19" t="s">
        <v>13</v>
      </c>
      <c r="E170" s="19" t="s">
        <v>14</v>
      </c>
      <c r="F170" s="21" t="s">
        <v>15</v>
      </c>
      <c r="G170" s="22" t="s">
        <v>16</v>
      </c>
      <c r="H170" s="19" t="s">
        <v>17</v>
      </c>
      <c r="I170" s="23" t="s">
        <v>18</v>
      </c>
      <c r="J170" s="24" t="s">
        <v>19</v>
      </c>
      <c r="K170" s="25" t="s">
        <v>20</v>
      </c>
      <c r="L170" s="24" t="s">
        <v>21</v>
      </c>
      <c r="M170" s="24" t="s">
        <v>22</v>
      </c>
      <c r="N170" s="24" t="s">
        <v>23</v>
      </c>
      <c r="O170" s="19" t="s">
        <v>24</v>
      </c>
      <c r="P170" s="20" t="s">
        <v>25</v>
      </c>
      <c r="Q170" s="24" t="s">
        <v>26</v>
      </c>
      <c r="R170" s="19" t="s">
        <v>27</v>
      </c>
    </row>
    <row r="171" spans="1:18" ht="49.95" customHeight="1" x14ac:dyDescent="0.3">
      <c r="A171" s="137" t="s">
        <v>28</v>
      </c>
      <c r="B171" s="137" t="s">
        <v>587</v>
      </c>
      <c r="C171" s="138">
        <v>0.24652777777777779</v>
      </c>
      <c r="D171" s="137" t="s">
        <v>30</v>
      </c>
      <c r="E171" s="139"/>
      <c r="F171" s="137" t="s">
        <v>365</v>
      </c>
      <c r="G171" s="232"/>
      <c r="H171" s="140" t="s">
        <v>587</v>
      </c>
      <c r="I171" s="180">
        <v>0.86670000000000003</v>
      </c>
      <c r="J171" s="142">
        <v>156</v>
      </c>
      <c r="K171" s="143" t="s">
        <v>32</v>
      </c>
      <c r="L171" s="142">
        <v>9</v>
      </c>
      <c r="M171" s="142">
        <v>0</v>
      </c>
      <c r="N171" s="142">
        <v>0</v>
      </c>
      <c r="O171" s="144" t="s">
        <v>253</v>
      </c>
      <c r="P171" s="145">
        <v>0.24652777777777779</v>
      </c>
      <c r="Q171" s="142">
        <v>180</v>
      </c>
      <c r="R171" s="146" t="s">
        <v>701</v>
      </c>
    </row>
    <row r="172" spans="1:18" ht="49.95" customHeight="1" x14ac:dyDescent="0.3">
      <c r="A172" s="160" t="s">
        <v>28</v>
      </c>
      <c r="B172" s="160" t="s">
        <v>589</v>
      </c>
      <c r="C172" s="161">
        <v>0.4375</v>
      </c>
      <c r="D172" s="160" t="s">
        <v>30</v>
      </c>
      <c r="E172" s="162"/>
      <c r="F172" s="160" t="s">
        <v>36</v>
      </c>
      <c r="G172" s="249"/>
      <c r="H172" s="163" t="s">
        <v>589</v>
      </c>
      <c r="I172" s="218">
        <v>0.59440000000000004</v>
      </c>
      <c r="J172" s="165">
        <v>107</v>
      </c>
      <c r="K172" s="166" t="s">
        <v>32</v>
      </c>
      <c r="L172" s="165">
        <v>4</v>
      </c>
      <c r="M172" s="165">
        <v>0</v>
      </c>
      <c r="N172" s="165">
        <v>0</v>
      </c>
      <c r="O172" s="167" t="s">
        <v>253</v>
      </c>
      <c r="P172" s="168">
        <v>0.4375</v>
      </c>
      <c r="Q172" s="165">
        <v>180</v>
      </c>
      <c r="R172" s="169" t="s">
        <v>702</v>
      </c>
    </row>
    <row r="173" spans="1:18" ht="49.95" customHeight="1" thickBot="1" x14ac:dyDescent="0.35">
      <c r="A173" s="120" t="s">
        <v>28</v>
      </c>
      <c r="B173" s="120" t="s">
        <v>591</v>
      </c>
      <c r="C173" s="121">
        <v>0.80208333333333337</v>
      </c>
      <c r="D173" s="120" t="s">
        <v>30</v>
      </c>
      <c r="E173" s="122"/>
      <c r="F173" s="120" t="s">
        <v>68</v>
      </c>
      <c r="G173" s="233"/>
      <c r="H173" s="100" t="s">
        <v>591</v>
      </c>
      <c r="I173" s="101">
        <v>0.1444</v>
      </c>
      <c r="J173" s="102">
        <v>26</v>
      </c>
      <c r="K173" s="103" t="s">
        <v>107</v>
      </c>
      <c r="L173" s="102">
        <v>2</v>
      </c>
      <c r="M173" s="102">
        <v>0</v>
      </c>
      <c r="N173" s="102">
        <v>0</v>
      </c>
      <c r="O173" s="104" t="s">
        <v>164</v>
      </c>
      <c r="P173" s="105">
        <v>0.80208333333333337</v>
      </c>
      <c r="Q173" s="102">
        <v>180</v>
      </c>
      <c r="R173" s="106" t="s">
        <v>703</v>
      </c>
    </row>
    <row r="174" spans="1:18" ht="17.399999999999999" customHeight="1" thickBot="1" x14ac:dyDescent="0.35">
      <c r="A174" s="264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6"/>
    </row>
    <row r="175" spans="1:18" ht="22.05" customHeight="1" thickTop="1" thickBot="1" x14ac:dyDescent="0.35">
      <c r="A175" s="241" t="s">
        <v>8</v>
      </c>
      <c r="B175" s="239"/>
      <c r="C175" s="239"/>
      <c r="D175" s="239"/>
      <c r="E175" s="239"/>
      <c r="F175" s="240"/>
      <c r="G175" s="18">
        <v>46007</v>
      </c>
      <c r="H175" s="238" t="s">
        <v>9</v>
      </c>
      <c r="I175" s="239"/>
      <c r="J175" s="239"/>
      <c r="K175" s="239"/>
      <c r="L175" s="239"/>
      <c r="M175" s="239"/>
      <c r="N175" s="239"/>
      <c r="O175" s="239"/>
      <c r="P175" s="239"/>
      <c r="Q175" s="239"/>
      <c r="R175" s="240"/>
    </row>
    <row r="176" spans="1:18" ht="24" customHeight="1" x14ac:dyDescent="0.3">
      <c r="A176" s="19" t="s">
        <v>10</v>
      </c>
      <c r="B176" s="19" t="s">
        <v>11</v>
      </c>
      <c r="C176" s="20" t="s">
        <v>12</v>
      </c>
      <c r="D176" s="19" t="s">
        <v>13</v>
      </c>
      <c r="E176" s="19" t="s">
        <v>14</v>
      </c>
      <c r="F176" s="21" t="s">
        <v>15</v>
      </c>
      <c r="G176" s="22" t="s">
        <v>16</v>
      </c>
      <c r="H176" s="19" t="s">
        <v>17</v>
      </c>
      <c r="I176" s="23" t="s">
        <v>18</v>
      </c>
      <c r="J176" s="24" t="s">
        <v>19</v>
      </c>
      <c r="K176" s="25" t="s">
        <v>20</v>
      </c>
      <c r="L176" s="24" t="s">
        <v>21</v>
      </c>
      <c r="M176" s="24" t="s">
        <v>22</v>
      </c>
      <c r="N176" s="24" t="s">
        <v>23</v>
      </c>
      <c r="O176" s="19" t="s">
        <v>24</v>
      </c>
      <c r="P176" s="20" t="s">
        <v>25</v>
      </c>
      <c r="Q176" s="24" t="s">
        <v>26</v>
      </c>
      <c r="R176" s="19" t="s">
        <v>27</v>
      </c>
    </row>
    <row r="177" spans="1:18" ht="15" customHeight="1" x14ac:dyDescent="0.3">
      <c r="A177" s="66" t="s">
        <v>28</v>
      </c>
      <c r="B177" s="66" t="s">
        <v>593</v>
      </c>
      <c r="C177" s="67">
        <v>5.2083333333333343E-2</v>
      </c>
      <c r="D177" s="66" t="s">
        <v>30</v>
      </c>
      <c r="E177" s="68"/>
      <c r="F177" s="66" t="s">
        <v>36</v>
      </c>
      <c r="G177" s="232"/>
      <c r="H177" s="69" t="s">
        <v>593</v>
      </c>
      <c r="I177" s="119">
        <v>0.30559999999999998</v>
      </c>
      <c r="J177" s="71">
        <v>55</v>
      </c>
      <c r="K177" s="72" t="s">
        <v>37</v>
      </c>
      <c r="L177" s="71">
        <v>4</v>
      </c>
      <c r="M177" s="71">
        <v>0</v>
      </c>
      <c r="N177" s="71">
        <v>1</v>
      </c>
      <c r="O177" s="73" t="s">
        <v>73</v>
      </c>
      <c r="P177" s="74">
        <v>5.2083333333333343E-2</v>
      </c>
      <c r="Q177" s="71">
        <v>180</v>
      </c>
      <c r="R177" s="75" t="s">
        <v>704</v>
      </c>
    </row>
    <row r="178" spans="1:18" ht="15" customHeight="1" x14ac:dyDescent="0.3">
      <c r="A178" s="201" t="s">
        <v>28</v>
      </c>
      <c r="B178" s="201" t="s">
        <v>595</v>
      </c>
      <c r="C178" s="202">
        <v>0.38194444444444442</v>
      </c>
      <c r="D178" s="201" t="s">
        <v>30</v>
      </c>
      <c r="E178" s="203"/>
      <c r="F178" s="201" t="s">
        <v>36</v>
      </c>
      <c r="G178" s="249"/>
      <c r="H178" s="204" t="s">
        <v>595</v>
      </c>
      <c r="I178" s="225">
        <v>0.80559999999999998</v>
      </c>
      <c r="J178" s="206">
        <v>145</v>
      </c>
      <c r="K178" s="207" t="s">
        <v>47</v>
      </c>
      <c r="L178" s="206">
        <v>8</v>
      </c>
      <c r="M178" s="206">
        <v>0</v>
      </c>
      <c r="N178" s="206">
        <v>0</v>
      </c>
      <c r="O178" s="208" t="s">
        <v>73</v>
      </c>
      <c r="P178" s="209">
        <v>0.38194444444444442</v>
      </c>
      <c r="Q178" s="206">
        <v>180</v>
      </c>
      <c r="R178" s="210" t="s">
        <v>699</v>
      </c>
    </row>
    <row r="179" spans="1:18" ht="15" customHeight="1" x14ac:dyDescent="0.3">
      <c r="A179" s="160" t="s">
        <v>28</v>
      </c>
      <c r="B179" s="160" t="s">
        <v>589</v>
      </c>
      <c r="C179" s="161">
        <v>0.4375</v>
      </c>
      <c r="D179" s="160" t="s">
        <v>30</v>
      </c>
      <c r="E179" s="162"/>
      <c r="F179" s="160" t="s">
        <v>68</v>
      </c>
      <c r="G179" s="249"/>
      <c r="H179" s="163" t="s">
        <v>589</v>
      </c>
      <c r="I179" s="224">
        <v>5.5599999999999997E-2</v>
      </c>
      <c r="J179" s="165">
        <v>10</v>
      </c>
      <c r="K179" s="166" t="s">
        <v>47</v>
      </c>
      <c r="L179" s="165">
        <v>3</v>
      </c>
      <c r="M179" s="165">
        <v>0</v>
      </c>
      <c r="N179" s="165">
        <v>0</v>
      </c>
      <c r="O179" s="167" t="s">
        <v>73</v>
      </c>
      <c r="P179" s="168">
        <v>0.4375</v>
      </c>
      <c r="Q179" s="165">
        <v>180</v>
      </c>
      <c r="R179" s="169" t="s">
        <v>323</v>
      </c>
    </row>
    <row r="180" spans="1:18" ht="15" customHeight="1" x14ac:dyDescent="0.3">
      <c r="A180" s="194" t="s">
        <v>28</v>
      </c>
      <c r="B180" s="194" t="s">
        <v>591</v>
      </c>
      <c r="C180" s="195">
        <v>0.55208333333333337</v>
      </c>
      <c r="D180" s="194" t="s">
        <v>30</v>
      </c>
      <c r="E180" s="196"/>
      <c r="F180" s="194" t="s">
        <v>36</v>
      </c>
      <c r="G180" s="249"/>
      <c r="H180" s="170" t="s">
        <v>591</v>
      </c>
      <c r="I180" s="223">
        <v>0.56110000000000004</v>
      </c>
      <c r="J180" s="172">
        <v>101</v>
      </c>
      <c r="K180" s="173" t="s">
        <v>37</v>
      </c>
      <c r="L180" s="172">
        <v>5</v>
      </c>
      <c r="M180" s="172">
        <v>0</v>
      </c>
      <c r="N180" s="172">
        <v>1</v>
      </c>
      <c r="O180" s="174" t="s">
        <v>73</v>
      </c>
      <c r="P180" s="175">
        <v>0.55208333333333337</v>
      </c>
      <c r="Q180" s="172">
        <v>180</v>
      </c>
      <c r="R180" s="176" t="s">
        <v>705</v>
      </c>
    </row>
    <row r="181" spans="1:18" ht="15" customHeight="1" x14ac:dyDescent="0.3">
      <c r="A181" s="177" t="s">
        <v>28</v>
      </c>
      <c r="B181" s="177" t="s">
        <v>599</v>
      </c>
      <c r="C181" s="178">
        <v>0.75694444444444453</v>
      </c>
      <c r="D181" s="177" t="s">
        <v>30</v>
      </c>
      <c r="E181" s="179"/>
      <c r="F181" s="177" t="s">
        <v>68</v>
      </c>
      <c r="G181" s="249"/>
      <c r="H181" s="140" t="s">
        <v>599</v>
      </c>
      <c r="I181" s="141">
        <v>0.15</v>
      </c>
      <c r="J181" s="142">
        <v>27</v>
      </c>
      <c r="K181" s="143" t="s">
        <v>37</v>
      </c>
      <c r="L181" s="142">
        <v>8</v>
      </c>
      <c r="M181" s="142">
        <v>0</v>
      </c>
      <c r="N181" s="142">
        <v>1</v>
      </c>
      <c r="O181" s="144" t="s">
        <v>73</v>
      </c>
      <c r="P181" s="145">
        <v>0.75694444444444453</v>
      </c>
      <c r="Q181" s="142">
        <v>180</v>
      </c>
      <c r="R181" s="146" t="s">
        <v>706</v>
      </c>
    </row>
    <row r="182" spans="1:18" ht="15" customHeight="1" thickBot="1" x14ac:dyDescent="0.35">
      <c r="A182" s="134" t="s">
        <v>28</v>
      </c>
      <c r="B182" s="134" t="s">
        <v>587</v>
      </c>
      <c r="C182" s="135">
        <v>0.79166666666666663</v>
      </c>
      <c r="D182" s="134" t="s">
        <v>30</v>
      </c>
      <c r="E182" s="136"/>
      <c r="F182" s="134" t="s">
        <v>36</v>
      </c>
      <c r="G182" s="233"/>
      <c r="H182" s="11" t="s">
        <v>587</v>
      </c>
      <c r="I182" s="107">
        <v>0.30559999999999998</v>
      </c>
      <c r="J182" s="13">
        <v>55</v>
      </c>
      <c r="K182" s="14" t="s">
        <v>32</v>
      </c>
      <c r="L182" s="13">
        <v>2</v>
      </c>
      <c r="M182" s="13">
        <v>0</v>
      </c>
      <c r="N182" s="13">
        <v>0</v>
      </c>
      <c r="O182" s="15" t="s">
        <v>73</v>
      </c>
      <c r="P182" s="16">
        <v>0.79166666666666663</v>
      </c>
      <c r="Q182" s="13">
        <v>180</v>
      </c>
      <c r="R182" s="17" t="s">
        <v>704</v>
      </c>
    </row>
    <row r="183" spans="1:18" ht="17.399999999999999" customHeight="1" thickBot="1" x14ac:dyDescent="0.35">
      <c r="A183" s="264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6"/>
    </row>
    <row r="184" spans="1:18" ht="22.05" customHeight="1" thickTop="1" thickBot="1" x14ac:dyDescent="0.35">
      <c r="A184" s="241" t="s">
        <v>8</v>
      </c>
      <c r="B184" s="239"/>
      <c r="C184" s="239"/>
      <c r="D184" s="239"/>
      <c r="E184" s="239"/>
      <c r="F184" s="240"/>
      <c r="G184" s="18">
        <v>46008</v>
      </c>
      <c r="H184" s="238" t="s">
        <v>9</v>
      </c>
      <c r="I184" s="239"/>
      <c r="J184" s="239"/>
      <c r="K184" s="239"/>
      <c r="L184" s="239"/>
      <c r="M184" s="239"/>
      <c r="N184" s="239"/>
      <c r="O184" s="239"/>
      <c r="P184" s="239"/>
      <c r="Q184" s="239"/>
      <c r="R184" s="240"/>
    </row>
    <row r="185" spans="1:18" ht="24" customHeight="1" x14ac:dyDescent="0.3">
      <c r="A185" s="19" t="s">
        <v>10</v>
      </c>
      <c r="B185" s="19" t="s">
        <v>11</v>
      </c>
      <c r="C185" s="20" t="s">
        <v>12</v>
      </c>
      <c r="D185" s="19" t="s">
        <v>13</v>
      </c>
      <c r="E185" s="19" t="s">
        <v>14</v>
      </c>
      <c r="F185" s="21" t="s">
        <v>15</v>
      </c>
      <c r="G185" s="22" t="s">
        <v>16</v>
      </c>
      <c r="H185" s="19" t="s">
        <v>17</v>
      </c>
      <c r="I185" s="23" t="s">
        <v>18</v>
      </c>
      <c r="J185" s="24" t="s">
        <v>19</v>
      </c>
      <c r="K185" s="25" t="s">
        <v>20</v>
      </c>
      <c r="L185" s="24" t="s">
        <v>21</v>
      </c>
      <c r="M185" s="24" t="s">
        <v>22</v>
      </c>
      <c r="N185" s="24" t="s">
        <v>23</v>
      </c>
      <c r="O185" s="19" t="s">
        <v>24</v>
      </c>
      <c r="P185" s="20" t="s">
        <v>25</v>
      </c>
      <c r="Q185" s="24" t="s">
        <v>26</v>
      </c>
      <c r="R185" s="19" t="s">
        <v>27</v>
      </c>
    </row>
    <row r="186" spans="1:18" ht="49.95" customHeight="1" x14ac:dyDescent="0.3">
      <c r="A186" s="137" t="s">
        <v>28</v>
      </c>
      <c r="B186" s="137" t="s">
        <v>599</v>
      </c>
      <c r="C186" s="138">
        <v>0.2326388888888889</v>
      </c>
      <c r="D186" s="137" t="s">
        <v>30</v>
      </c>
      <c r="E186" s="139"/>
      <c r="F186" s="137" t="s">
        <v>36</v>
      </c>
      <c r="G186" s="232"/>
      <c r="H186" s="140" t="s">
        <v>599</v>
      </c>
      <c r="I186" s="229">
        <v>0.57220000000000004</v>
      </c>
      <c r="J186" s="142">
        <v>103</v>
      </c>
      <c r="K186" s="143" t="s">
        <v>37</v>
      </c>
      <c r="L186" s="142">
        <v>10</v>
      </c>
      <c r="M186" s="142">
        <v>0</v>
      </c>
      <c r="N186" s="142">
        <v>3</v>
      </c>
      <c r="O186" s="144" t="s">
        <v>156</v>
      </c>
      <c r="P186" s="145">
        <v>0.2326388888888889</v>
      </c>
      <c r="Q186" s="142">
        <v>180</v>
      </c>
      <c r="R186" s="146" t="s">
        <v>707</v>
      </c>
    </row>
    <row r="187" spans="1:18" ht="49.95" customHeight="1" x14ac:dyDescent="0.3">
      <c r="A187" s="211" t="s">
        <v>28</v>
      </c>
      <c r="B187" s="211" t="s">
        <v>587</v>
      </c>
      <c r="C187" s="212">
        <v>0.30208333333333331</v>
      </c>
      <c r="D187" s="211" t="s">
        <v>30</v>
      </c>
      <c r="E187" s="213"/>
      <c r="F187" s="211" t="s">
        <v>36</v>
      </c>
      <c r="G187" s="249"/>
      <c r="H187" s="39" t="s">
        <v>587</v>
      </c>
      <c r="I187" s="40">
        <v>0.58889999999999998</v>
      </c>
      <c r="J187" s="41">
        <v>106</v>
      </c>
      <c r="K187" s="42" t="s">
        <v>624</v>
      </c>
      <c r="L187" s="41">
        <v>0</v>
      </c>
      <c r="M187" s="41">
        <v>0</v>
      </c>
      <c r="N187" s="41">
        <v>0</v>
      </c>
      <c r="O187" s="43" t="s">
        <v>100</v>
      </c>
      <c r="P187" s="44">
        <v>0.30208333333333331</v>
      </c>
      <c r="Q187" s="41">
        <v>180</v>
      </c>
      <c r="R187" s="45" t="s">
        <v>708</v>
      </c>
    </row>
    <row r="188" spans="1:18" ht="49.95" customHeight="1" x14ac:dyDescent="0.3">
      <c r="A188" s="201" t="s">
        <v>28</v>
      </c>
      <c r="B188" s="201" t="s">
        <v>591</v>
      </c>
      <c r="C188" s="202">
        <v>0.34375</v>
      </c>
      <c r="D188" s="201" t="s">
        <v>30</v>
      </c>
      <c r="E188" s="203"/>
      <c r="F188" s="201" t="s">
        <v>36</v>
      </c>
      <c r="G188" s="249"/>
      <c r="H188" s="204" t="s">
        <v>591</v>
      </c>
      <c r="I188" s="225">
        <v>0.7944</v>
      </c>
      <c r="J188" s="206">
        <v>143</v>
      </c>
      <c r="K188" s="207" t="s">
        <v>32</v>
      </c>
      <c r="L188" s="206">
        <v>7</v>
      </c>
      <c r="M188" s="206">
        <v>0</v>
      </c>
      <c r="N188" s="206">
        <v>0</v>
      </c>
      <c r="O188" s="208" t="s">
        <v>225</v>
      </c>
      <c r="P188" s="209">
        <v>0.34375</v>
      </c>
      <c r="Q188" s="206">
        <v>180</v>
      </c>
      <c r="R188" s="210" t="s">
        <v>709</v>
      </c>
    </row>
    <row r="189" spans="1:18" ht="49.95" customHeight="1" x14ac:dyDescent="0.3">
      <c r="A189" s="181" t="s">
        <v>28</v>
      </c>
      <c r="B189" s="181" t="s">
        <v>589</v>
      </c>
      <c r="C189" s="182">
        <v>0.4375</v>
      </c>
      <c r="D189" s="181" t="s">
        <v>30</v>
      </c>
      <c r="E189" s="183"/>
      <c r="F189" s="181" t="s">
        <v>68</v>
      </c>
      <c r="G189" s="249"/>
      <c r="H189" s="184" t="s">
        <v>589</v>
      </c>
      <c r="I189" s="227">
        <v>7.7799999999999994E-2</v>
      </c>
      <c r="J189" s="186">
        <v>14</v>
      </c>
      <c r="K189" s="187" t="s">
        <v>75</v>
      </c>
      <c r="L189" s="186">
        <v>4</v>
      </c>
      <c r="M189" s="186">
        <v>1</v>
      </c>
      <c r="N189" s="186">
        <v>0</v>
      </c>
      <c r="O189" s="188" t="s">
        <v>108</v>
      </c>
      <c r="P189" s="189">
        <v>0.4375</v>
      </c>
      <c r="Q189" s="186">
        <v>180</v>
      </c>
      <c r="R189" s="190" t="s">
        <v>710</v>
      </c>
    </row>
    <row r="190" spans="1:18" ht="49.95" customHeight="1" thickBot="1" x14ac:dyDescent="0.35">
      <c r="A190" s="109" t="s">
        <v>28</v>
      </c>
      <c r="B190" s="109" t="s">
        <v>593</v>
      </c>
      <c r="C190" s="110">
        <v>0.9375</v>
      </c>
      <c r="D190" s="109" t="s">
        <v>30</v>
      </c>
      <c r="E190" s="111"/>
      <c r="F190" s="109" t="s">
        <v>68</v>
      </c>
      <c r="G190" s="233"/>
      <c r="H190" s="112" t="s">
        <v>593</v>
      </c>
      <c r="I190" s="113">
        <v>6.6699999999999995E-2</v>
      </c>
      <c r="J190" s="114">
        <v>12</v>
      </c>
      <c r="K190" s="115" t="s">
        <v>47</v>
      </c>
      <c r="L190" s="114">
        <v>3</v>
      </c>
      <c r="M190" s="114">
        <v>0</v>
      </c>
      <c r="N190" s="114">
        <v>0</v>
      </c>
      <c r="O190" s="116" t="s">
        <v>73</v>
      </c>
      <c r="P190" s="117">
        <v>0.9375</v>
      </c>
      <c r="Q190" s="114">
        <v>180</v>
      </c>
      <c r="R190" s="118" t="s">
        <v>711</v>
      </c>
    </row>
    <row r="191" spans="1:18" ht="17.399999999999999" customHeight="1" thickBot="1" x14ac:dyDescent="0.35">
      <c r="A191" s="264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6"/>
    </row>
    <row r="192" spans="1:18" ht="22.05" customHeight="1" thickTop="1" thickBot="1" x14ac:dyDescent="0.35">
      <c r="A192" s="241" t="s">
        <v>8</v>
      </c>
      <c r="B192" s="239"/>
      <c r="C192" s="239"/>
      <c r="D192" s="239"/>
      <c r="E192" s="239"/>
      <c r="F192" s="240"/>
      <c r="G192" s="18">
        <v>46009</v>
      </c>
      <c r="H192" s="238" t="s">
        <v>9</v>
      </c>
      <c r="I192" s="239"/>
      <c r="J192" s="239"/>
      <c r="K192" s="239"/>
      <c r="L192" s="239"/>
      <c r="M192" s="239"/>
      <c r="N192" s="239"/>
      <c r="O192" s="239"/>
      <c r="P192" s="239"/>
      <c r="Q192" s="239"/>
      <c r="R192" s="240"/>
    </row>
    <row r="193" spans="1:18" ht="24" customHeight="1" x14ac:dyDescent="0.3">
      <c r="A193" s="19" t="s">
        <v>10</v>
      </c>
      <c r="B193" s="19" t="s">
        <v>11</v>
      </c>
      <c r="C193" s="20" t="s">
        <v>12</v>
      </c>
      <c r="D193" s="19" t="s">
        <v>13</v>
      </c>
      <c r="E193" s="19" t="s">
        <v>14</v>
      </c>
      <c r="F193" s="21" t="s">
        <v>15</v>
      </c>
      <c r="G193" s="22" t="s">
        <v>16</v>
      </c>
      <c r="H193" s="19" t="s">
        <v>17</v>
      </c>
      <c r="I193" s="23" t="s">
        <v>18</v>
      </c>
      <c r="J193" s="24" t="s">
        <v>19</v>
      </c>
      <c r="K193" s="25" t="s">
        <v>20</v>
      </c>
      <c r="L193" s="24" t="s">
        <v>21</v>
      </c>
      <c r="M193" s="24" t="s">
        <v>22</v>
      </c>
      <c r="N193" s="24" t="s">
        <v>23</v>
      </c>
      <c r="O193" s="19" t="s">
        <v>24</v>
      </c>
      <c r="P193" s="20" t="s">
        <v>25</v>
      </c>
      <c r="Q193" s="24" t="s">
        <v>26</v>
      </c>
      <c r="R193" s="19" t="s">
        <v>27</v>
      </c>
    </row>
    <row r="194" spans="1:18" ht="15" customHeight="1" x14ac:dyDescent="0.3">
      <c r="A194" s="80" t="s">
        <v>28</v>
      </c>
      <c r="B194" s="80" t="s">
        <v>607</v>
      </c>
      <c r="C194" s="81">
        <v>6.5972222222222224E-2</v>
      </c>
      <c r="D194" s="80" t="s">
        <v>30</v>
      </c>
      <c r="E194" s="82"/>
      <c r="F194" s="80" t="s">
        <v>36</v>
      </c>
      <c r="G194" s="232"/>
      <c r="H194" s="83" t="s">
        <v>607</v>
      </c>
      <c r="I194" s="222">
        <v>0.59440000000000004</v>
      </c>
      <c r="J194" s="85">
        <v>107</v>
      </c>
      <c r="K194" s="86" t="s">
        <v>75</v>
      </c>
      <c r="L194" s="85">
        <v>4</v>
      </c>
      <c r="M194" s="85">
        <v>1</v>
      </c>
      <c r="N194" s="85">
        <v>2</v>
      </c>
      <c r="O194" s="87" t="s">
        <v>253</v>
      </c>
      <c r="P194" s="88">
        <v>6.5972222222222224E-2</v>
      </c>
      <c r="Q194" s="85">
        <v>180</v>
      </c>
      <c r="R194" s="89" t="s">
        <v>702</v>
      </c>
    </row>
    <row r="195" spans="1:18" ht="15" customHeight="1" x14ac:dyDescent="0.3">
      <c r="A195" s="194" t="s">
        <v>28</v>
      </c>
      <c r="B195" s="194" t="s">
        <v>587</v>
      </c>
      <c r="C195" s="195">
        <v>0.15625</v>
      </c>
      <c r="D195" s="194" t="s">
        <v>30</v>
      </c>
      <c r="E195" s="196"/>
      <c r="F195" s="194" t="s">
        <v>36</v>
      </c>
      <c r="G195" s="249"/>
      <c r="H195" s="170" t="s">
        <v>587</v>
      </c>
      <c r="I195" s="230">
        <v>0.5222</v>
      </c>
      <c r="J195" s="172">
        <v>94</v>
      </c>
      <c r="K195" s="173" t="s">
        <v>32</v>
      </c>
      <c r="L195" s="172">
        <v>4</v>
      </c>
      <c r="M195" s="172">
        <v>0</v>
      </c>
      <c r="N195" s="172">
        <v>0</v>
      </c>
      <c r="O195" s="174" t="s">
        <v>193</v>
      </c>
      <c r="P195" s="175">
        <v>0.15625</v>
      </c>
      <c r="Q195" s="172">
        <v>180</v>
      </c>
      <c r="R195" s="176" t="s">
        <v>712</v>
      </c>
    </row>
    <row r="196" spans="1:18" ht="15" customHeight="1" x14ac:dyDescent="0.3">
      <c r="A196" s="177" t="s">
        <v>28</v>
      </c>
      <c r="B196" s="177" t="s">
        <v>610</v>
      </c>
      <c r="C196" s="178">
        <v>0.1875</v>
      </c>
      <c r="D196" s="177" t="s">
        <v>30</v>
      </c>
      <c r="E196" s="179"/>
      <c r="F196" s="177" t="s">
        <v>68</v>
      </c>
      <c r="G196" s="249"/>
      <c r="H196" s="140" t="s">
        <v>610</v>
      </c>
      <c r="I196" s="141">
        <v>2.7799999999999998E-2</v>
      </c>
      <c r="J196" s="142">
        <v>5</v>
      </c>
      <c r="K196" s="143" t="s">
        <v>102</v>
      </c>
      <c r="L196" s="142">
        <v>5</v>
      </c>
      <c r="M196" s="142">
        <v>0</v>
      </c>
      <c r="N196" s="142">
        <v>0</v>
      </c>
      <c r="O196" s="144" t="s">
        <v>100</v>
      </c>
      <c r="P196" s="145">
        <v>0.1875</v>
      </c>
      <c r="Q196" s="142">
        <v>180</v>
      </c>
      <c r="R196" s="146" t="s">
        <v>221</v>
      </c>
    </row>
    <row r="197" spans="1:18" ht="15" customHeight="1" x14ac:dyDescent="0.3">
      <c r="A197" s="197" t="s">
        <v>28</v>
      </c>
      <c r="B197" s="197" t="s">
        <v>589</v>
      </c>
      <c r="C197" s="198">
        <v>0.40625</v>
      </c>
      <c r="D197" s="197" t="s">
        <v>30</v>
      </c>
      <c r="E197" s="199"/>
      <c r="F197" s="197" t="s">
        <v>365</v>
      </c>
      <c r="G197" s="249"/>
      <c r="H197" s="83" t="s">
        <v>589</v>
      </c>
      <c r="I197" s="159">
        <v>0.86109999999999998</v>
      </c>
      <c r="J197" s="85">
        <v>155</v>
      </c>
      <c r="K197" s="86" t="s">
        <v>47</v>
      </c>
      <c r="L197" s="85">
        <v>10</v>
      </c>
      <c r="M197" s="85">
        <v>0</v>
      </c>
      <c r="N197" s="85">
        <v>0</v>
      </c>
      <c r="O197" s="87" t="s">
        <v>254</v>
      </c>
      <c r="P197" s="88">
        <v>0.40625</v>
      </c>
      <c r="Q197" s="85">
        <v>180</v>
      </c>
      <c r="R197" s="89" t="s">
        <v>713</v>
      </c>
    </row>
    <row r="198" spans="1:18" ht="15" customHeight="1" x14ac:dyDescent="0.3">
      <c r="A198" s="194" t="s">
        <v>28</v>
      </c>
      <c r="B198" s="194" t="s">
        <v>595</v>
      </c>
      <c r="C198" s="195">
        <v>0.5625</v>
      </c>
      <c r="D198" s="194" t="s">
        <v>30</v>
      </c>
      <c r="E198" s="196"/>
      <c r="F198" s="194" t="s">
        <v>36</v>
      </c>
      <c r="G198" s="249"/>
      <c r="H198" s="170" t="s">
        <v>595</v>
      </c>
      <c r="I198" s="223">
        <v>0.61109999999999998</v>
      </c>
      <c r="J198" s="172">
        <v>110</v>
      </c>
      <c r="K198" s="173" t="s">
        <v>47</v>
      </c>
      <c r="L198" s="172">
        <v>10</v>
      </c>
      <c r="M198" s="172">
        <v>0</v>
      </c>
      <c r="N198" s="172">
        <v>0</v>
      </c>
      <c r="O198" s="174" t="s">
        <v>254</v>
      </c>
      <c r="P198" s="175">
        <v>0.5625</v>
      </c>
      <c r="Q198" s="172">
        <v>180</v>
      </c>
      <c r="R198" s="176" t="s">
        <v>714</v>
      </c>
    </row>
    <row r="199" spans="1:18" ht="15" customHeight="1" thickBot="1" x14ac:dyDescent="0.35">
      <c r="A199" s="134" t="s">
        <v>28</v>
      </c>
      <c r="B199" s="134" t="s">
        <v>599</v>
      </c>
      <c r="C199" s="135">
        <v>0.9375</v>
      </c>
      <c r="D199" s="134" t="s">
        <v>30</v>
      </c>
      <c r="E199" s="136"/>
      <c r="F199" s="134" t="s">
        <v>36</v>
      </c>
      <c r="G199" s="233"/>
      <c r="H199" s="11" t="s">
        <v>599</v>
      </c>
      <c r="I199" s="12">
        <v>0.74439999999999995</v>
      </c>
      <c r="J199" s="13">
        <v>134</v>
      </c>
      <c r="K199" s="14" t="s">
        <v>102</v>
      </c>
      <c r="L199" s="13">
        <v>6</v>
      </c>
      <c r="M199" s="13">
        <v>0</v>
      </c>
      <c r="N199" s="13">
        <v>0</v>
      </c>
      <c r="O199" s="15" t="s">
        <v>108</v>
      </c>
      <c r="P199" s="16">
        <v>0.9375</v>
      </c>
      <c r="Q199" s="13">
        <v>180</v>
      </c>
      <c r="R199" s="17" t="s">
        <v>715</v>
      </c>
    </row>
    <row r="200" spans="1:18" ht="17.399999999999999" customHeight="1" thickBot="1" x14ac:dyDescent="0.35">
      <c r="A200" s="264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6"/>
    </row>
    <row r="201" spans="1:18" ht="22.05" customHeight="1" thickTop="1" thickBot="1" x14ac:dyDescent="0.35">
      <c r="A201" s="241" t="s">
        <v>8</v>
      </c>
      <c r="B201" s="239"/>
      <c r="C201" s="239"/>
      <c r="D201" s="239"/>
      <c r="E201" s="239"/>
      <c r="F201" s="240"/>
      <c r="G201" s="18">
        <v>46010</v>
      </c>
      <c r="H201" s="238" t="s">
        <v>9</v>
      </c>
      <c r="I201" s="239"/>
      <c r="J201" s="239"/>
      <c r="K201" s="239"/>
      <c r="L201" s="239"/>
      <c r="M201" s="239"/>
      <c r="N201" s="239"/>
      <c r="O201" s="239"/>
      <c r="P201" s="239"/>
      <c r="Q201" s="239"/>
      <c r="R201" s="240"/>
    </row>
    <row r="202" spans="1:18" ht="24" customHeight="1" x14ac:dyDescent="0.3">
      <c r="A202" s="19" t="s">
        <v>10</v>
      </c>
      <c r="B202" s="19" t="s">
        <v>11</v>
      </c>
      <c r="C202" s="20" t="s">
        <v>12</v>
      </c>
      <c r="D202" s="19" t="s">
        <v>13</v>
      </c>
      <c r="E202" s="19" t="s">
        <v>14</v>
      </c>
      <c r="F202" s="21" t="s">
        <v>15</v>
      </c>
      <c r="G202" s="22" t="s">
        <v>16</v>
      </c>
      <c r="H202" s="19" t="s">
        <v>17</v>
      </c>
      <c r="I202" s="23" t="s">
        <v>18</v>
      </c>
      <c r="J202" s="24" t="s">
        <v>19</v>
      </c>
      <c r="K202" s="25" t="s">
        <v>20</v>
      </c>
      <c r="L202" s="24" t="s">
        <v>21</v>
      </c>
      <c r="M202" s="24" t="s">
        <v>22</v>
      </c>
      <c r="N202" s="24" t="s">
        <v>23</v>
      </c>
      <c r="O202" s="19" t="s">
        <v>24</v>
      </c>
      <c r="P202" s="20" t="s">
        <v>25</v>
      </c>
      <c r="Q202" s="24" t="s">
        <v>26</v>
      </c>
      <c r="R202" s="19" t="s">
        <v>27</v>
      </c>
    </row>
    <row r="203" spans="1:18" ht="49.95" customHeight="1" x14ac:dyDescent="0.3">
      <c r="A203" s="76" t="s">
        <v>28</v>
      </c>
      <c r="B203" s="76" t="s">
        <v>587</v>
      </c>
      <c r="C203" s="77">
        <v>0.1423611111111111</v>
      </c>
      <c r="D203" s="76" t="s">
        <v>30</v>
      </c>
      <c r="E203" s="78"/>
      <c r="F203" s="76" t="s">
        <v>68</v>
      </c>
      <c r="G203" s="232"/>
      <c r="H203" s="163" t="s">
        <v>587</v>
      </c>
      <c r="I203" s="224">
        <v>8.3299999999999999E-2</v>
      </c>
      <c r="J203" s="165">
        <v>15</v>
      </c>
      <c r="K203" s="166" t="s">
        <v>413</v>
      </c>
      <c r="L203" s="165">
        <v>0</v>
      </c>
      <c r="M203" s="165">
        <v>0</v>
      </c>
      <c r="N203" s="165">
        <v>0</v>
      </c>
      <c r="O203" s="167" t="s">
        <v>73</v>
      </c>
      <c r="P203" s="168">
        <v>0.1423611111111111</v>
      </c>
      <c r="Q203" s="165">
        <v>180</v>
      </c>
      <c r="R203" s="169" t="s">
        <v>716</v>
      </c>
    </row>
    <row r="204" spans="1:18" ht="49.95" customHeight="1" x14ac:dyDescent="0.3">
      <c r="A204" s="197" t="s">
        <v>28</v>
      </c>
      <c r="B204" s="197" t="s">
        <v>589</v>
      </c>
      <c r="C204" s="198">
        <v>0.28125</v>
      </c>
      <c r="D204" s="197" t="s">
        <v>30</v>
      </c>
      <c r="E204" s="199"/>
      <c r="F204" s="197" t="s">
        <v>68</v>
      </c>
      <c r="G204" s="249"/>
      <c r="H204" s="83" t="s">
        <v>589</v>
      </c>
      <c r="I204" s="84">
        <v>5.5599999999999997E-2</v>
      </c>
      <c r="J204" s="85">
        <v>10</v>
      </c>
      <c r="K204" s="86" t="s">
        <v>47</v>
      </c>
      <c r="L204" s="85">
        <v>5</v>
      </c>
      <c r="M204" s="85">
        <v>0</v>
      </c>
      <c r="N204" s="85">
        <v>0</v>
      </c>
      <c r="O204" s="87" t="s">
        <v>73</v>
      </c>
      <c r="P204" s="88">
        <v>0.28125</v>
      </c>
      <c r="Q204" s="85">
        <v>180</v>
      </c>
      <c r="R204" s="89" t="s">
        <v>323</v>
      </c>
    </row>
    <row r="205" spans="1:18" ht="49.95" customHeight="1" x14ac:dyDescent="0.3">
      <c r="A205" s="219" t="s">
        <v>28</v>
      </c>
      <c r="B205" s="219" t="s">
        <v>595</v>
      </c>
      <c r="C205" s="220">
        <v>0.4375</v>
      </c>
      <c r="D205" s="219" t="s">
        <v>30</v>
      </c>
      <c r="E205" s="221"/>
      <c r="F205" s="219" t="s">
        <v>68</v>
      </c>
      <c r="G205" s="249"/>
      <c r="H205" s="69" t="s">
        <v>595</v>
      </c>
      <c r="I205" s="119">
        <v>9.4399999999999998E-2</v>
      </c>
      <c r="J205" s="71">
        <v>17</v>
      </c>
      <c r="K205" s="72" t="s">
        <v>717</v>
      </c>
      <c r="L205" s="71">
        <v>0</v>
      </c>
      <c r="M205" s="71">
        <v>0</v>
      </c>
      <c r="N205" s="71">
        <v>0</v>
      </c>
      <c r="O205" s="73" t="s">
        <v>253</v>
      </c>
      <c r="P205" s="74">
        <v>0.4375</v>
      </c>
      <c r="Q205" s="71">
        <v>180</v>
      </c>
      <c r="R205" s="75" t="s">
        <v>718</v>
      </c>
    </row>
    <row r="206" spans="1:18" ht="49.95" customHeight="1" x14ac:dyDescent="0.3">
      <c r="A206" s="181" t="s">
        <v>28</v>
      </c>
      <c r="B206" s="181" t="s">
        <v>593</v>
      </c>
      <c r="C206" s="182">
        <v>0.55902777777777779</v>
      </c>
      <c r="D206" s="181" t="s">
        <v>30</v>
      </c>
      <c r="E206" s="183"/>
      <c r="F206" s="181" t="s">
        <v>68</v>
      </c>
      <c r="G206" s="249"/>
      <c r="H206" s="184" t="s">
        <v>593</v>
      </c>
      <c r="I206" s="227">
        <v>0.2</v>
      </c>
      <c r="J206" s="186">
        <v>36</v>
      </c>
      <c r="K206" s="187" t="s">
        <v>37</v>
      </c>
      <c r="L206" s="186">
        <v>2</v>
      </c>
      <c r="M206" s="186">
        <v>0</v>
      </c>
      <c r="N206" s="186">
        <v>2</v>
      </c>
      <c r="O206" s="188" t="s">
        <v>71</v>
      </c>
      <c r="P206" s="189">
        <v>0.55902777777777779</v>
      </c>
      <c r="Q206" s="186">
        <v>180</v>
      </c>
      <c r="R206" s="190" t="s">
        <v>719</v>
      </c>
    </row>
    <row r="207" spans="1:18" ht="49.95" customHeight="1" thickBot="1" x14ac:dyDescent="0.35">
      <c r="A207" s="46" t="s">
        <v>28</v>
      </c>
      <c r="B207" s="46" t="s">
        <v>591</v>
      </c>
      <c r="C207" s="47">
        <v>0.76041666666666663</v>
      </c>
      <c r="D207" s="46" t="s">
        <v>30</v>
      </c>
      <c r="E207" s="48"/>
      <c r="F207" s="46" t="s">
        <v>68</v>
      </c>
      <c r="G207" s="233"/>
      <c r="H207" s="49" t="s">
        <v>591</v>
      </c>
      <c r="I207" s="79">
        <v>7.7799999999999994E-2</v>
      </c>
      <c r="J207" s="51">
        <v>14</v>
      </c>
      <c r="K207" s="52" t="s">
        <v>37</v>
      </c>
      <c r="L207" s="51">
        <v>2</v>
      </c>
      <c r="M207" s="51">
        <v>0</v>
      </c>
      <c r="N207" s="51">
        <v>1</v>
      </c>
      <c r="O207" s="53" t="s">
        <v>108</v>
      </c>
      <c r="P207" s="54">
        <v>0.76041666666666663</v>
      </c>
      <c r="Q207" s="51">
        <v>180</v>
      </c>
      <c r="R207" s="55" t="s">
        <v>710</v>
      </c>
    </row>
    <row r="208" spans="1:18" ht="17.399999999999999" customHeight="1" thickBot="1" x14ac:dyDescent="0.35">
      <c r="A208" s="264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6"/>
    </row>
    <row r="209" spans="1:18" ht="22.05" customHeight="1" thickTop="1" thickBot="1" x14ac:dyDescent="0.35">
      <c r="A209" s="241" t="s">
        <v>8</v>
      </c>
      <c r="B209" s="239"/>
      <c r="C209" s="239"/>
      <c r="D209" s="239"/>
      <c r="E209" s="239"/>
      <c r="F209" s="240"/>
      <c r="G209" s="18">
        <v>46011</v>
      </c>
      <c r="H209" s="238" t="s">
        <v>9</v>
      </c>
      <c r="I209" s="239"/>
      <c r="J209" s="239"/>
      <c r="K209" s="239"/>
      <c r="L209" s="239"/>
      <c r="M209" s="239"/>
      <c r="N209" s="239"/>
      <c r="O209" s="239"/>
      <c r="P209" s="239"/>
      <c r="Q209" s="239"/>
      <c r="R209" s="240"/>
    </row>
    <row r="210" spans="1:18" ht="24" customHeight="1" x14ac:dyDescent="0.3">
      <c r="A210" s="19" t="s">
        <v>10</v>
      </c>
      <c r="B210" s="19" t="s">
        <v>11</v>
      </c>
      <c r="C210" s="20" t="s">
        <v>12</v>
      </c>
      <c r="D210" s="19" t="s">
        <v>13</v>
      </c>
      <c r="E210" s="19" t="s">
        <v>14</v>
      </c>
      <c r="F210" s="21" t="s">
        <v>15</v>
      </c>
      <c r="G210" s="22" t="s">
        <v>16</v>
      </c>
      <c r="H210" s="19" t="s">
        <v>17</v>
      </c>
      <c r="I210" s="23" t="s">
        <v>18</v>
      </c>
      <c r="J210" s="24" t="s">
        <v>19</v>
      </c>
      <c r="K210" s="25" t="s">
        <v>20</v>
      </c>
      <c r="L210" s="24" t="s">
        <v>21</v>
      </c>
      <c r="M210" s="24" t="s">
        <v>22</v>
      </c>
      <c r="N210" s="24" t="s">
        <v>23</v>
      </c>
      <c r="O210" s="19" t="s">
        <v>24</v>
      </c>
      <c r="P210" s="20" t="s">
        <v>25</v>
      </c>
      <c r="Q210" s="24" t="s">
        <v>26</v>
      </c>
      <c r="R210" s="19" t="s">
        <v>27</v>
      </c>
    </row>
    <row r="211" spans="1:18" ht="49.95" customHeight="1" x14ac:dyDescent="0.3">
      <c r="A211" s="76" t="s">
        <v>28</v>
      </c>
      <c r="B211" s="76" t="s">
        <v>607</v>
      </c>
      <c r="C211" s="77">
        <v>4.8611111111111112E-2</v>
      </c>
      <c r="D211" s="76" t="s">
        <v>30</v>
      </c>
      <c r="E211" s="78"/>
      <c r="F211" s="76" t="s">
        <v>36</v>
      </c>
      <c r="G211" s="232"/>
      <c r="H211" s="163" t="s">
        <v>607</v>
      </c>
      <c r="I211" s="224">
        <v>0.31109999999999999</v>
      </c>
      <c r="J211" s="165">
        <v>56</v>
      </c>
      <c r="K211" s="166" t="s">
        <v>32</v>
      </c>
      <c r="L211" s="165">
        <v>9</v>
      </c>
      <c r="M211" s="165">
        <v>0</v>
      </c>
      <c r="N211" s="165">
        <v>0</v>
      </c>
      <c r="O211" s="167" t="s">
        <v>73</v>
      </c>
      <c r="P211" s="168">
        <v>4.8611111111111112E-2</v>
      </c>
      <c r="Q211" s="165">
        <v>180</v>
      </c>
      <c r="R211" s="169" t="s">
        <v>696</v>
      </c>
    </row>
    <row r="212" spans="1:18" ht="49.95" customHeight="1" x14ac:dyDescent="0.3">
      <c r="A212" s="194" t="s">
        <v>28</v>
      </c>
      <c r="B212" s="194" t="s">
        <v>587</v>
      </c>
      <c r="C212" s="195">
        <v>0.15625</v>
      </c>
      <c r="D212" s="194" t="s">
        <v>30</v>
      </c>
      <c r="E212" s="196"/>
      <c r="F212" s="194" t="s">
        <v>36</v>
      </c>
      <c r="G212" s="249"/>
      <c r="H212" s="170" t="s">
        <v>587</v>
      </c>
      <c r="I212" s="223">
        <v>0.82779999999999998</v>
      </c>
      <c r="J212" s="172">
        <v>149</v>
      </c>
      <c r="K212" s="173" t="s">
        <v>378</v>
      </c>
      <c r="L212" s="172">
        <v>0</v>
      </c>
      <c r="M212" s="172">
        <v>0</v>
      </c>
      <c r="N212" s="172">
        <v>0</v>
      </c>
      <c r="O212" s="174" t="s">
        <v>108</v>
      </c>
      <c r="P212" s="175">
        <v>0.15625</v>
      </c>
      <c r="Q212" s="172">
        <v>180</v>
      </c>
      <c r="R212" s="176" t="s">
        <v>720</v>
      </c>
    </row>
    <row r="213" spans="1:18" ht="49.95" customHeight="1" x14ac:dyDescent="0.3">
      <c r="A213" s="219" t="s">
        <v>28</v>
      </c>
      <c r="B213" s="219" t="s">
        <v>589</v>
      </c>
      <c r="C213" s="220">
        <v>0.50347222222222221</v>
      </c>
      <c r="D213" s="219" t="s">
        <v>30</v>
      </c>
      <c r="E213" s="221"/>
      <c r="F213" s="219" t="s">
        <v>36</v>
      </c>
      <c r="G213" s="249"/>
      <c r="H213" s="69" t="s">
        <v>589</v>
      </c>
      <c r="I213" s="70">
        <v>0.82779999999999998</v>
      </c>
      <c r="J213" s="71">
        <v>149</v>
      </c>
      <c r="K213" s="72" t="s">
        <v>37</v>
      </c>
      <c r="L213" s="71">
        <v>2</v>
      </c>
      <c r="M213" s="71">
        <v>0</v>
      </c>
      <c r="N213" s="71">
        <v>1</v>
      </c>
      <c r="O213" s="73" t="s">
        <v>73</v>
      </c>
      <c r="P213" s="74">
        <v>0.50347222222222221</v>
      </c>
      <c r="Q213" s="71">
        <v>180</v>
      </c>
      <c r="R213" s="75" t="s">
        <v>721</v>
      </c>
    </row>
    <row r="214" spans="1:18" ht="49.95" customHeight="1" thickBot="1" x14ac:dyDescent="0.35">
      <c r="A214" s="134" t="s">
        <v>28</v>
      </c>
      <c r="B214" s="134" t="s">
        <v>599</v>
      </c>
      <c r="C214" s="135">
        <v>0.90625</v>
      </c>
      <c r="D214" s="134" t="s">
        <v>30</v>
      </c>
      <c r="E214" s="136"/>
      <c r="F214" s="134" t="s">
        <v>36</v>
      </c>
      <c r="G214" s="233"/>
      <c r="H214" s="11" t="s">
        <v>599</v>
      </c>
      <c r="I214" s="107">
        <v>0.31109999999999999</v>
      </c>
      <c r="J214" s="13">
        <v>56</v>
      </c>
      <c r="K214" s="14" t="s">
        <v>32</v>
      </c>
      <c r="L214" s="13">
        <v>5</v>
      </c>
      <c r="M214" s="13">
        <v>0</v>
      </c>
      <c r="N214" s="13">
        <v>0</v>
      </c>
      <c r="O214" s="15" t="s">
        <v>99</v>
      </c>
      <c r="P214" s="16">
        <v>0.90625</v>
      </c>
      <c r="Q214" s="13">
        <v>180</v>
      </c>
      <c r="R214" s="17" t="s">
        <v>722</v>
      </c>
    </row>
    <row r="215" spans="1:18" ht="17.399999999999999" customHeight="1" thickBot="1" x14ac:dyDescent="0.35">
      <c r="A215" s="264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6"/>
    </row>
    <row r="216" spans="1:18" ht="22.05" customHeight="1" thickTop="1" thickBot="1" x14ac:dyDescent="0.35">
      <c r="A216" s="241" t="s">
        <v>8</v>
      </c>
      <c r="B216" s="239"/>
      <c r="C216" s="239"/>
      <c r="D216" s="239"/>
      <c r="E216" s="239"/>
      <c r="F216" s="240"/>
      <c r="G216" s="18">
        <v>46012</v>
      </c>
      <c r="H216" s="238" t="s">
        <v>9</v>
      </c>
      <c r="I216" s="239"/>
      <c r="J216" s="239"/>
      <c r="K216" s="239"/>
      <c r="L216" s="239"/>
      <c r="M216" s="239"/>
      <c r="N216" s="239"/>
      <c r="O216" s="239"/>
      <c r="P216" s="239"/>
      <c r="Q216" s="239"/>
      <c r="R216" s="240"/>
    </row>
    <row r="217" spans="1:18" ht="24" customHeight="1" x14ac:dyDescent="0.3">
      <c r="A217" s="19" t="s">
        <v>10</v>
      </c>
      <c r="B217" s="19" t="s">
        <v>11</v>
      </c>
      <c r="C217" s="20" t="s">
        <v>12</v>
      </c>
      <c r="D217" s="19" t="s">
        <v>13</v>
      </c>
      <c r="E217" s="19" t="s">
        <v>14</v>
      </c>
      <c r="F217" s="21" t="s">
        <v>15</v>
      </c>
      <c r="G217" s="22" t="s">
        <v>16</v>
      </c>
      <c r="H217" s="19" t="s">
        <v>17</v>
      </c>
      <c r="I217" s="23" t="s">
        <v>18</v>
      </c>
      <c r="J217" s="24" t="s">
        <v>19</v>
      </c>
      <c r="K217" s="25" t="s">
        <v>20</v>
      </c>
      <c r="L217" s="24" t="s">
        <v>21</v>
      </c>
      <c r="M217" s="24" t="s">
        <v>22</v>
      </c>
      <c r="N217" s="24" t="s">
        <v>23</v>
      </c>
      <c r="O217" s="19" t="s">
        <v>24</v>
      </c>
      <c r="P217" s="20" t="s">
        <v>25</v>
      </c>
      <c r="Q217" s="24" t="s">
        <v>26</v>
      </c>
      <c r="R217" s="19" t="s">
        <v>27</v>
      </c>
    </row>
    <row r="218" spans="1:18" ht="49.95" customHeight="1" x14ac:dyDescent="0.3">
      <c r="A218" s="76" t="s">
        <v>28</v>
      </c>
      <c r="B218" s="76" t="s">
        <v>587</v>
      </c>
      <c r="C218" s="77">
        <v>0.1423611111111111</v>
      </c>
      <c r="D218" s="76" t="s">
        <v>30</v>
      </c>
      <c r="E218" s="78"/>
      <c r="F218" s="76" t="s">
        <v>36</v>
      </c>
      <c r="G218" s="237"/>
      <c r="H218" s="163" t="s">
        <v>587</v>
      </c>
      <c r="I218" s="224">
        <v>0.31669999999999998</v>
      </c>
      <c r="J218" s="165">
        <v>57</v>
      </c>
      <c r="K218" s="166" t="s">
        <v>32</v>
      </c>
      <c r="L218" s="165">
        <v>3</v>
      </c>
      <c r="M218" s="165">
        <v>0</v>
      </c>
      <c r="N218" s="165">
        <v>0</v>
      </c>
      <c r="O218" s="167" t="s">
        <v>73</v>
      </c>
      <c r="P218" s="168">
        <v>0.1423611111111111</v>
      </c>
      <c r="Q218" s="165">
        <v>180</v>
      </c>
      <c r="R218" s="169" t="s">
        <v>723</v>
      </c>
    </row>
    <row r="219" spans="1:18" ht="49.95" customHeight="1" x14ac:dyDescent="0.3">
      <c r="A219" s="197" t="s">
        <v>28</v>
      </c>
      <c r="B219" s="197" t="s">
        <v>610</v>
      </c>
      <c r="C219" s="198">
        <v>0.15625</v>
      </c>
      <c r="D219" s="197" t="s">
        <v>30</v>
      </c>
      <c r="E219" s="199"/>
      <c r="F219" s="197" t="s">
        <v>68</v>
      </c>
      <c r="G219" s="249"/>
      <c r="H219" s="83" t="s">
        <v>610</v>
      </c>
      <c r="I219" s="84">
        <v>0.27779999999999999</v>
      </c>
      <c r="J219" s="85">
        <v>50</v>
      </c>
      <c r="K219" s="86" t="s">
        <v>102</v>
      </c>
      <c r="L219" s="85">
        <v>3</v>
      </c>
      <c r="M219" s="85">
        <v>0</v>
      </c>
      <c r="N219" s="85">
        <v>0</v>
      </c>
      <c r="O219" s="87" t="s">
        <v>100</v>
      </c>
      <c r="P219" s="88">
        <v>0.15625</v>
      </c>
      <c r="Q219" s="85">
        <v>180</v>
      </c>
      <c r="R219" s="89" t="s">
        <v>724</v>
      </c>
    </row>
    <row r="220" spans="1:18" ht="49.95" customHeight="1" x14ac:dyDescent="0.3">
      <c r="A220" s="201" t="s">
        <v>28</v>
      </c>
      <c r="B220" s="201" t="s">
        <v>591</v>
      </c>
      <c r="C220" s="202">
        <v>0.33333333333333331</v>
      </c>
      <c r="D220" s="201" t="s">
        <v>30</v>
      </c>
      <c r="E220" s="203"/>
      <c r="F220" s="201" t="s">
        <v>36</v>
      </c>
      <c r="G220" s="249"/>
      <c r="H220" s="204" t="s">
        <v>591</v>
      </c>
      <c r="I220" s="225">
        <v>0.81669999999999998</v>
      </c>
      <c r="J220" s="206">
        <v>147</v>
      </c>
      <c r="K220" s="207" t="s">
        <v>32</v>
      </c>
      <c r="L220" s="206">
        <v>6</v>
      </c>
      <c r="M220" s="206">
        <v>0</v>
      </c>
      <c r="N220" s="206">
        <v>0</v>
      </c>
      <c r="O220" s="208" t="s">
        <v>104</v>
      </c>
      <c r="P220" s="209">
        <v>0.33333333333333331</v>
      </c>
      <c r="Q220" s="206">
        <v>180</v>
      </c>
      <c r="R220" s="210" t="s">
        <v>725</v>
      </c>
    </row>
    <row r="221" spans="1:18" ht="49.95" customHeight="1" x14ac:dyDescent="0.3">
      <c r="A221" s="177" t="s">
        <v>28</v>
      </c>
      <c r="B221" s="177" t="s">
        <v>589</v>
      </c>
      <c r="C221" s="178">
        <v>0.4548611111111111</v>
      </c>
      <c r="D221" s="177" t="s">
        <v>30</v>
      </c>
      <c r="E221" s="179"/>
      <c r="F221" s="177" t="s">
        <v>36</v>
      </c>
      <c r="G221" s="249"/>
      <c r="H221" s="140" t="s">
        <v>589</v>
      </c>
      <c r="I221" s="229">
        <v>0.80559999999999998</v>
      </c>
      <c r="J221" s="142">
        <v>145</v>
      </c>
      <c r="K221" s="143" t="s">
        <v>445</v>
      </c>
      <c r="L221" s="142">
        <v>0</v>
      </c>
      <c r="M221" s="142">
        <v>0</v>
      </c>
      <c r="N221" s="142">
        <v>0</v>
      </c>
      <c r="O221" s="144" t="s">
        <v>73</v>
      </c>
      <c r="P221" s="145">
        <v>0.4548611111111111</v>
      </c>
      <c r="Q221" s="142">
        <v>180</v>
      </c>
      <c r="R221" s="146" t="s">
        <v>699</v>
      </c>
    </row>
    <row r="222" spans="1:18" ht="49.95" customHeight="1" thickBot="1" x14ac:dyDescent="0.35">
      <c r="A222" s="109" t="s">
        <v>28</v>
      </c>
      <c r="B222" s="109" t="s">
        <v>595</v>
      </c>
      <c r="C222" s="110">
        <v>0.82986111111111116</v>
      </c>
      <c r="D222" s="109" t="s">
        <v>30</v>
      </c>
      <c r="E222" s="111"/>
      <c r="F222" s="109" t="s">
        <v>68</v>
      </c>
      <c r="G222" s="233"/>
      <c r="H222" s="112" t="s">
        <v>595</v>
      </c>
      <c r="I222" s="113">
        <v>6.6699999999999995E-2</v>
      </c>
      <c r="J222" s="114">
        <v>12</v>
      </c>
      <c r="K222" s="115" t="s">
        <v>37</v>
      </c>
      <c r="L222" s="114">
        <v>9</v>
      </c>
      <c r="M222" s="114">
        <v>0</v>
      </c>
      <c r="N222" s="114">
        <v>4</v>
      </c>
      <c r="O222" s="116" t="s">
        <v>104</v>
      </c>
      <c r="P222" s="117">
        <v>0.82986111111111116</v>
      </c>
      <c r="Q222" s="114">
        <v>180</v>
      </c>
      <c r="R222" s="118" t="s">
        <v>726</v>
      </c>
    </row>
    <row r="223" spans="1:18" ht="17.399999999999999" customHeight="1" thickBot="1" x14ac:dyDescent="0.35">
      <c r="A223" s="264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6"/>
    </row>
    <row r="224" spans="1:18" ht="22.05" customHeight="1" thickTop="1" thickBot="1" x14ac:dyDescent="0.35">
      <c r="A224" s="241" t="s">
        <v>8</v>
      </c>
      <c r="B224" s="239"/>
      <c r="C224" s="239"/>
      <c r="D224" s="239"/>
      <c r="E224" s="239"/>
      <c r="F224" s="240"/>
      <c r="G224" s="18">
        <v>46013</v>
      </c>
      <c r="H224" s="238" t="s">
        <v>9</v>
      </c>
      <c r="I224" s="239"/>
      <c r="J224" s="239"/>
      <c r="K224" s="239"/>
      <c r="L224" s="239"/>
      <c r="M224" s="239"/>
      <c r="N224" s="239"/>
      <c r="O224" s="239"/>
      <c r="P224" s="239"/>
      <c r="Q224" s="239"/>
      <c r="R224" s="240"/>
    </row>
    <row r="225" spans="1:18" ht="24" customHeight="1" x14ac:dyDescent="0.3">
      <c r="A225" s="19" t="s">
        <v>10</v>
      </c>
      <c r="B225" s="19" t="s">
        <v>11</v>
      </c>
      <c r="C225" s="20" t="s">
        <v>12</v>
      </c>
      <c r="D225" s="19" t="s">
        <v>13</v>
      </c>
      <c r="E225" s="19" t="s">
        <v>14</v>
      </c>
      <c r="F225" s="21" t="s">
        <v>15</v>
      </c>
      <c r="G225" s="22" t="s">
        <v>16</v>
      </c>
      <c r="H225" s="19" t="s">
        <v>17</v>
      </c>
      <c r="I225" s="23" t="s">
        <v>18</v>
      </c>
      <c r="J225" s="24" t="s">
        <v>19</v>
      </c>
      <c r="K225" s="25" t="s">
        <v>20</v>
      </c>
      <c r="L225" s="24" t="s">
        <v>21</v>
      </c>
      <c r="M225" s="24" t="s">
        <v>22</v>
      </c>
      <c r="N225" s="24" t="s">
        <v>23</v>
      </c>
      <c r="O225" s="19" t="s">
        <v>24</v>
      </c>
      <c r="P225" s="20" t="s">
        <v>25</v>
      </c>
      <c r="Q225" s="24" t="s">
        <v>26</v>
      </c>
      <c r="R225" s="19" t="s">
        <v>27</v>
      </c>
    </row>
    <row r="226" spans="1:18" ht="49.95" customHeight="1" x14ac:dyDescent="0.3">
      <c r="A226" s="26" t="s">
        <v>28</v>
      </c>
      <c r="B226" s="26" t="s">
        <v>587</v>
      </c>
      <c r="C226" s="27">
        <v>0.24652777777777779</v>
      </c>
      <c r="D226" s="26" t="s">
        <v>30</v>
      </c>
      <c r="E226" s="28"/>
      <c r="F226" s="26" t="s">
        <v>36</v>
      </c>
      <c r="G226" s="237"/>
      <c r="H226" s="170" t="s">
        <v>587</v>
      </c>
      <c r="I226" s="223">
        <v>0.80559999999999998</v>
      </c>
      <c r="J226" s="172">
        <v>145</v>
      </c>
      <c r="K226" s="173" t="s">
        <v>727</v>
      </c>
      <c r="L226" s="172">
        <v>0</v>
      </c>
      <c r="M226" s="172">
        <v>0</v>
      </c>
      <c r="N226" s="172">
        <v>0</v>
      </c>
      <c r="O226" s="174" t="s">
        <v>73</v>
      </c>
      <c r="P226" s="175">
        <v>0.24652777777777779</v>
      </c>
      <c r="Q226" s="172">
        <v>180</v>
      </c>
      <c r="R226" s="176" t="s">
        <v>699</v>
      </c>
    </row>
    <row r="227" spans="1:18" ht="49.95" customHeight="1" x14ac:dyDescent="0.3">
      <c r="A227" s="177" t="s">
        <v>28</v>
      </c>
      <c r="B227" s="177" t="s">
        <v>589</v>
      </c>
      <c r="C227" s="178">
        <v>0.4375</v>
      </c>
      <c r="D227" s="177" t="s">
        <v>30</v>
      </c>
      <c r="E227" s="179"/>
      <c r="F227" s="177" t="s">
        <v>36</v>
      </c>
      <c r="G227" s="249"/>
      <c r="H227" s="140" t="s">
        <v>589</v>
      </c>
      <c r="I227" s="229">
        <v>0.57220000000000004</v>
      </c>
      <c r="J227" s="142">
        <v>103</v>
      </c>
      <c r="K227" s="143" t="s">
        <v>378</v>
      </c>
      <c r="L227" s="142">
        <v>0</v>
      </c>
      <c r="M227" s="142">
        <v>0</v>
      </c>
      <c r="N227" s="142">
        <v>0</v>
      </c>
      <c r="O227" s="144" t="s">
        <v>156</v>
      </c>
      <c r="P227" s="145">
        <v>0.4375</v>
      </c>
      <c r="Q227" s="142">
        <v>180</v>
      </c>
      <c r="R227" s="146" t="s">
        <v>707</v>
      </c>
    </row>
    <row r="228" spans="1:18" ht="49.95" customHeight="1" thickBot="1" x14ac:dyDescent="0.35">
      <c r="A228" s="109" t="s">
        <v>28</v>
      </c>
      <c r="B228" s="109" t="s">
        <v>591</v>
      </c>
      <c r="C228" s="110">
        <v>0.80208333333333337</v>
      </c>
      <c r="D228" s="109" t="s">
        <v>30</v>
      </c>
      <c r="E228" s="111"/>
      <c r="F228" s="109" t="s">
        <v>36</v>
      </c>
      <c r="G228" s="233"/>
      <c r="H228" s="112" t="s">
        <v>591</v>
      </c>
      <c r="I228" s="157">
        <v>0.56110000000000004</v>
      </c>
      <c r="J228" s="114">
        <v>101</v>
      </c>
      <c r="K228" s="115" t="s">
        <v>82</v>
      </c>
      <c r="L228" s="114">
        <v>5</v>
      </c>
      <c r="M228" s="114">
        <v>0</v>
      </c>
      <c r="N228" s="114">
        <v>0</v>
      </c>
      <c r="O228" s="116" t="s">
        <v>73</v>
      </c>
      <c r="P228" s="117">
        <v>0.80208333333333337</v>
      </c>
      <c r="Q228" s="114">
        <v>180</v>
      </c>
      <c r="R228" s="118" t="s">
        <v>705</v>
      </c>
    </row>
    <row r="229" spans="1:18" ht="17.399999999999999" customHeight="1" thickBot="1" x14ac:dyDescent="0.35">
      <c r="A229" s="264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6"/>
    </row>
    <row r="230" spans="1:18" ht="22.05" customHeight="1" thickTop="1" thickBot="1" x14ac:dyDescent="0.35">
      <c r="A230" s="241" t="s">
        <v>8</v>
      </c>
      <c r="B230" s="239"/>
      <c r="C230" s="239"/>
      <c r="D230" s="239"/>
      <c r="E230" s="239"/>
      <c r="F230" s="240"/>
      <c r="G230" s="18">
        <v>46014</v>
      </c>
      <c r="H230" s="238" t="s">
        <v>9</v>
      </c>
      <c r="I230" s="239"/>
      <c r="J230" s="239"/>
      <c r="K230" s="239"/>
      <c r="L230" s="239"/>
      <c r="M230" s="239"/>
      <c r="N230" s="239"/>
      <c r="O230" s="239"/>
      <c r="P230" s="239"/>
      <c r="Q230" s="239"/>
      <c r="R230" s="240"/>
    </row>
    <row r="231" spans="1:18" ht="24" customHeight="1" x14ac:dyDescent="0.3">
      <c r="A231" s="19" t="s">
        <v>10</v>
      </c>
      <c r="B231" s="19" t="s">
        <v>11</v>
      </c>
      <c r="C231" s="20" t="s">
        <v>12</v>
      </c>
      <c r="D231" s="19" t="s">
        <v>13</v>
      </c>
      <c r="E231" s="19" t="s">
        <v>14</v>
      </c>
      <c r="F231" s="21" t="s">
        <v>15</v>
      </c>
      <c r="G231" s="22" t="s">
        <v>16</v>
      </c>
      <c r="H231" s="19" t="s">
        <v>17</v>
      </c>
      <c r="I231" s="23" t="s">
        <v>18</v>
      </c>
      <c r="J231" s="24" t="s">
        <v>19</v>
      </c>
      <c r="K231" s="25" t="s">
        <v>20</v>
      </c>
      <c r="L231" s="24" t="s">
        <v>21</v>
      </c>
      <c r="M231" s="24" t="s">
        <v>22</v>
      </c>
      <c r="N231" s="24" t="s">
        <v>23</v>
      </c>
      <c r="O231" s="19" t="s">
        <v>24</v>
      </c>
      <c r="P231" s="20" t="s">
        <v>25</v>
      </c>
      <c r="Q231" s="24" t="s">
        <v>26</v>
      </c>
      <c r="R231" s="19" t="s">
        <v>27</v>
      </c>
    </row>
    <row r="232" spans="1:18" ht="15" customHeight="1" x14ac:dyDescent="0.3">
      <c r="A232" s="80" t="s">
        <v>28</v>
      </c>
      <c r="B232" s="80" t="s">
        <v>593</v>
      </c>
      <c r="C232" s="81">
        <v>5.2083333333333343E-2</v>
      </c>
      <c r="D232" s="80" t="s">
        <v>30</v>
      </c>
      <c r="E232" s="82"/>
      <c r="F232" s="80" t="s">
        <v>68</v>
      </c>
      <c r="G232" s="232"/>
      <c r="H232" s="83" t="s">
        <v>593</v>
      </c>
      <c r="I232" s="84">
        <v>0.25559999999999999</v>
      </c>
      <c r="J232" s="85">
        <v>46</v>
      </c>
      <c r="K232" s="86" t="s">
        <v>32</v>
      </c>
      <c r="L232" s="85">
        <v>1</v>
      </c>
      <c r="M232" s="85">
        <v>0</v>
      </c>
      <c r="N232" s="85">
        <v>0</v>
      </c>
      <c r="O232" s="87" t="s">
        <v>78</v>
      </c>
      <c r="P232" s="88">
        <v>5.2083333333333343E-2</v>
      </c>
      <c r="Q232" s="85">
        <v>180</v>
      </c>
      <c r="R232" s="89" t="s">
        <v>728</v>
      </c>
    </row>
    <row r="233" spans="1:18" ht="15" customHeight="1" x14ac:dyDescent="0.3">
      <c r="A233" s="177" t="s">
        <v>28</v>
      </c>
      <c r="B233" s="177" t="s">
        <v>595</v>
      </c>
      <c r="C233" s="178">
        <v>0.38194444444444442</v>
      </c>
      <c r="D233" s="177" t="s">
        <v>30</v>
      </c>
      <c r="E233" s="179"/>
      <c r="F233" s="177" t="s">
        <v>36</v>
      </c>
      <c r="G233" s="249"/>
      <c r="H233" s="140" t="s">
        <v>595</v>
      </c>
      <c r="I233" s="229">
        <v>0.80559999999999998</v>
      </c>
      <c r="J233" s="142">
        <v>145</v>
      </c>
      <c r="K233" s="143" t="s">
        <v>82</v>
      </c>
      <c r="L233" s="142">
        <v>2</v>
      </c>
      <c r="M233" s="142">
        <v>0</v>
      </c>
      <c r="N233" s="142">
        <v>0</v>
      </c>
      <c r="O233" s="144" t="s">
        <v>73</v>
      </c>
      <c r="P233" s="145">
        <v>0.38194444444444442</v>
      </c>
      <c r="Q233" s="142">
        <v>180</v>
      </c>
      <c r="R233" s="146" t="s">
        <v>699</v>
      </c>
    </row>
    <row r="234" spans="1:18" ht="15" customHeight="1" x14ac:dyDescent="0.3">
      <c r="A234" s="201" t="s">
        <v>28</v>
      </c>
      <c r="B234" s="201" t="s">
        <v>589</v>
      </c>
      <c r="C234" s="202">
        <v>0.4375</v>
      </c>
      <c r="D234" s="201" t="s">
        <v>30</v>
      </c>
      <c r="E234" s="203"/>
      <c r="F234" s="201" t="s">
        <v>36</v>
      </c>
      <c r="G234" s="249"/>
      <c r="H234" s="204" t="s">
        <v>589</v>
      </c>
      <c r="I234" s="228">
        <v>0.51670000000000005</v>
      </c>
      <c r="J234" s="206">
        <v>93</v>
      </c>
      <c r="K234" s="207" t="s">
        <v>82</v>
      </c>
      <c r="L234" s="206">
        <v>1</v>
      </c>
      <c r="M234" s="206">
        <v>0</v>
      </c>
      <c r="N234" s="206">
        <v>0</v>
      </c>
      <c r="O234" s="208" t="s">
        <v>204</v>
      </c>
      <c r="P234" s="209">
        <v>0.4375</v>
      </c>
      <c r="Q234" s="206">
        <v>180</v>
      </c>
      <c r="R234" s="210" t="s">
        <v>729</v>
      </c>
    </row>
    <row r="235" spans="1:18" ht="15" customHeight="1" x14ac:dyDescent="0.3">
      <c r="A235" s="194" t="s">
        <v>28</v>
      </c>
      <c r="B235" s="194" t="s">
        <v>591</v>
      </c>
      <c r="C235" s="195">
        <v>0.55208333333333337</v>
      </c>
      <c r="D235" s="194" t="s">
        <v>30</v>
      </c>
      <c r="E235" s="196"/>
      <c r="F235" s="194" t="s">
        <v>36</v>
      </c>
      <c r="G235" s="249"/>
      <c r="H235" s="170" t="s">
        <v>591</v>
      </c>
      <c r="I235" s="223">
        <v>0.75560000000000005</v>
      </c>
      <c r="J235" s="172">
        <v>136</v>
      </c>
      <c r="K235" s="173" t="s">
        <v>730</v>
      </c>
      <c r="L235" s="172">
        <v>0</v>
      </c>
      <c r="M235" s="172">
        <v>0</v>
      </c>
      <c r="N235" s="172">
        <v>0</v>
      </c>
      <c r="O235" s="174" t="s">
        <v>78</v>
      </c>
      <c r="P235" s="175">
        <v>0.55208333333333337</v>
      </c>
      <c r="Q235" s="172">
        <v>180</v>
      </c>
      <c r="R235" s="176" t="s">
        <v>731</v>
      </c>
    </row>
    <row r="236" spans="1:18" ht="15" customHeight="1" x14ac:dyDescent="0.3">
      <c r="A236" s="160" t="s">
        <v>28</v>
      </c>
      <c r="B236" s="160" t="s">
        <v>599</v>
      </c>
      <c r="C236" s="161">
        <v>0.75694444444444453</v>
      </c>
      <c r="D236" s="160" t="s">
        <v>30</v>
      </c>
      <c r="E236" s="162"/>
      <c r="F236" s="160" t="s">
        <v>68</v>
      </c>
      <c r="G236" s="249"/>
      <c r="H236" s="163" t="s">
        <v>599</v>
      </c>
      <c r="I236" s="224">
        <v>0.05</v>
      </c>
      <c r="J236" s="165">
        <v>9</v>
      </c>
      <c r="K236" s="166" t="s">
        <v>47</v>
      </c>
      <c r="L236" s="165">
        <v>4</v>
      </c>
      <c r="M236" s="165">
        <v>0</v>
      </c>
      <c r="N236" s="165">
        <v>0</v>
      </c>
      <c r="O236" s="167" t="s">
        <v>104</v>
      </c>
      <c r="P236" s="168">
        <v>0.75694444444444453</v>
      </c>
      <c r="Q236" s="165">
        <v>180</v>
      </c>
      <c r="R236" s="169" t="s">
        <v>78</v>
      </c>
    </row>
    <row r="237" spans="1:18" ht="15" customHeight="1" thickBot="1" x14ac:dyDescent="0.35">
      <c r="A237" s="109" t="s">
        <v>28</v>
      </c>
      <c r="B237" s="109" t="s">
        <v>587</v>
      </c>
      <c r="C237" s="110">
        <v>0.79166666666666663</v>
      </c>
      <c r="D237" s="109" t="s">
        <v>30</v>
      </c>
      <c r="E237" s="111"/>
      <c r="F237" s="109" t="s">
        <v>36</v>
      </c>
      <c r="G237" s="233"/>
      <c r="H237" s="112" t="s">
        <v>587</v>
      </c>
      <c r="I237" s="157">
        <v>0.84440000000000004</v>
      </c>
      <c r="J237" s="114">
        <v>152</v>
      </c>
      <c r="K237" s="115" t="s">
        <v>102</v>
      </c>
      <c r="L237" s="114">
        <v>2</v>
      </c>
      <c r="M237" s="114">
        <v>0</v>
      </c>
      <c r="N237" s="114">
        <v>0</v>
      </c>
      <c r="O237" s="116" t="s">
        <v>80</v>
      </c>
      <c r="P237" s="117">
        <v>0.79166666666666663</v>
      </c>
      <c r="Q237" s="114">
        <v>180</v>
      </c>
      <c r="R237" s="118" t="s">
        <v>732</v>
      </c>
    </row>
    <row r="238" spans="1:18" ht="17.399999999999999" customHeight="1" thickBot="1" x14ac:dyDescent="0.35">
      <c r="A238" s="264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6"/>
    </row>
    <row r="239" spans="1:18" ht="22.05" customHeight="1" thickTop="1" thickBot="1" x14ac:dyDescent="0.35">
      <c r="A239" s="241" t="s">
        <v>8</v>
      </c>
      <c r="B239" s="239"/>
      <c r="C239" s="239"/>
      <c r="D239" s="239"/>
      <c r="E239" s="239"/>
      <c r="F239" s="240"/>
      <c r="G239" s="18">
        <v>46015</v>
      </c>
      <c r="H239" s="238" t="s">
        <v>9</v>
      </c>
      <c r="I239" s="239"/>
      <c r="J239" s="239"/>
      <c r="K239" s="239"/>
      <c r="L239" s="239"/>
      <c r="M239" s="239"/>
      <c r="N239" s="239"/>
      <c r="O239" s="239"/>
      <c r="P239" s="239"/>
      <c r="Q239" s="239"/>
      <c r="R239" s="240"/>
    </row>
    <row r="240" spans="1:18" ht="24" customHeight="1" x14ac:dyDescent="0.3">
      <c r="A240" s="19" t="s">
        <v>10</v>
      </c>
      <c r="B240" s="19" t="s">
        <v>11</v>
      </c>
      <c r="C240" s="20" t="s">
        <v>12</v>
      </c>
      <c r="D240" s="19" t="s">
        <v>13</v>
      </c>
      <c r="E240" s="19" t="s">
        <v>14</v>
      </c>
      <c r="F240" s="21" t="s">
        <v>15</v>
      </c>
      <c r="G240" s="22" t="s">
        <v>16</v>
      </c>
      <c r="H240" s="19" t="s">
        <v>17</v>
      </c>
      <c r="I240" s="23" t="s">
        <v>18</v>
      </c>
      <c r="J240" s="24" t="s">
        <v>19</v>
      </c>
      <c r="K240" s="25" t="s">
        <v>20</v>
      </c>
      <c r="L240" s="24" t="s">
        <v>21</v>
      </c>
      <c r="M240" s="24" t="s">
        <v>22</v>
      </c>
      <c r="N240" s="24" t="s">
        <v>23</v>
      </c>
      <c r="O240" s="19" t="s">
        <v>24</v>
      </c>
      <c r="P240" s="20" t="s">
        <v>25</v>
      </c>
      <c r="Q240" s="24" t="s">
        <v>26</v>
      </c>
      <c r="R240" s="19" t="s">
        <v>27</v>
      </c>
    </row>
    <row r="241" spans="1:18" ht="49.95" customHeight="1" x14ac:dyDescent="0.3">
      <c r="A241" s="56" t="s">
        <v>28</v>
      </c>
      <c r="B241" s="56" t="s">
        <v>599</v>
      </c>
      <c r="C241" s="57">
        <v>0.2326388888888889</v>
      </c>
      <c r="D241" s="56" t="s">
        <v>30</v>
      </c>
      <c r="E241" s="58"/>
      <c r="F241" s="56" t="s">
        <v>36</v>
      </c>
      <c r="G241" s="237"/>
      <c r="H241" s="184" t="s">
        <v>599</v>
      </c>
      <c r="I241" s="226">
        <v>0.55559999999999998</v>
      </c>
      <c r="J241" s="186">
        <v>100</v>
      </c>
      <c r="K241" s="187" t="s">
        <v>102</v>
      </c>
      <c r="L241" s="186">
        <v>2</v>
      </c>
      <c r="M241" s="186">
        <v>0</v>
      </c>
      <c r="N241" s="186">
        <v>0</v>
      </c>
      <c r="O241" s="188" t="s">
        <v>73</v>
      </c>
      <c r="P241" s="189">
        <v>0.2326388888888889</v>
      </c>
      <c r="Q241" s="186">
        <v>180</v>
      </c>
      <c r="R241" s="190" t="s">
        <v>733</v>
      </c>
    </row>
    <row r="242" spans="1:18" ht="49.95" customHeight="1" x14ac:dyDescent="0.3">
      <c r="A242" s="194" t="s">
        <v>28</v>
      </c>
      <c r="B242" s="194" t="s">
        <v>587</v>
      </c>
      <c r="C242" s="195">
        <v>0.30208333333333331</v>
      </c>
      <c r="D242" s="194" t="s">
        <v>30</v>
      </c>
      <c r="E242" s="196"/>
      <c r="F242" s="194" t="s">
        <v>36</v>
      </c>
      <c r="G242" s="249"/>
      <c r="H242" s="170" t="s">
        <v>587</v>
      </c>
      <c r="I242" s="223">
        <v>0.56669999999999998</v>
      </c>
      <c r="J242" s="172">
        <v>102</v>
      </c>
      <c r="K242" s="173" t="s">
        <v>90</v>
      </c>
      <c r="L242" s="172">
        <v>1</v>
      </c>
      <c r="M242" s="172">
        <v>0</v>
      </c>
      <c r="N242" s="172">
        <v>0</v>
      </c>
      <c r="O242" s="174" t="s">
        <v>73</v>
      </c>
      <c r="P242" s="175">
        <v>0.30208333333333331</v>
      </c>
      <c r="Q242" s="172">
        <v>180</v>
      </c>
      <c r="R242" s="176" t="s">
        <v>734</v>
      </c>
    </row>
    <row r="243" spans="1:18" ht="49.95" customHeight="1" x14ac:dyDescent="0.3">
      <c r="A243" s="197" t="s">
        <v>28</v>
      </c>
      <c r="B243" s="197" t="s">
        <v>591</v>
      </c>
      <c r="C243" s="198">
        <v>0.34375</v>
      </c>
      <c r="D243" s="197" t="s">
        <v>30</v>
      </c>
      <c r="E243" s="199"/>
      <c r="F243" s="197" t="s">
        <v>36</v>
      </c>
      <c r="G243" s="249"/>
      <c r="H243" s="83" t="s">
        <v>591</v>
      </c>
      <c r="I243" s="222">
        <v>0.56669999999999998</v>
      </c>
      <c r="J243" s="85">
        <v>102</v>
      </c>
      <c r="K243" s="86" t="s">
        <v>37</v>
      </c>
      <c r="L243" s="85">
        <v>3</v>
      </c>
      <c r="M243" s="85">
        <v>0</v>
      </c>
      <c r="N243" s="85">
        <v>3</v>
      </c>
      <c r="O243" s="87" t="s">
        <v>104</v>
      </c>
      <c r="P243" s="88">
        <v>0.34375</v>
      </c>
      <c r="Q243" s="85">
        <v>180</v>
      </c>
      <c r="R243" s="89" t="s">
        <v>735</v>
      </c>
    </row>
    <row r="244" spans="1:18" ht="49.95" customHeight="1" x14ac:dyDescent="0.3">
      <c r="A244" s="194" t="s">
        <v>28</v>
      </c>
      <c r="B244" s="194" t="s">
        <v>589</v>
      </c>
      <c r="C244" s="195">
        <v>0.4375</v>
      </c>
      <c r="D244" s="194" t="s">
        <v>30</v>
      </c>
      <c r="E244" s="196"/>
      <c r="F244" s="194" t="s">
        <v>36</v>
      </c>
      <c r="G244" s="249"/>
      <c r="H244" s="170" t="s">
        <v>589</v>
      </c>
      <c r="I244" s="223">
        <v>0.61670000000000003</v>
      </c>
      <c r="J244" s="172">
        <v>111</v>
      </c>
      <c r="K244" s="173" t="s">
        <v>32</v>
      </c>
      <c r="L244" s="172">
        <v>3</v>
      </c>
      <c r="M244" s="172">
        <v>0</v>
      </c>
      <c r="N244" s="172">
        <v>0</v>
      </c>
      <c r="O244" s="174" t="s">
        <v>99</v>
      </c>
      <c r="P244" s="175">
        <v>0.4375</v>
      </c>
      <c r="Q244" s="172">
        <v>180</v>
      </c>
      <c r="R244" s="176" t="s">
        <v>736</v>
      </c>
    </row>
    <row r="245" spans="1:18" ht="49.95" customHeight="1" thickBot="1" x14ac:dyDescent="0.35">
      <c r="A245" s="134" t="s">
        <v>28</v>
      </c>
      <c r="B245" s="134" t="s">
        <v>593</v>
      </c>
      <c r="C245" s="135">
        <v>0.9375</v>
      </c>
      <c r="D245" s="134" t="s">
        <v>30</v>
      </c>
      <c r="E245" s="136"/>
      <c r="F245" s="134" t="s">
        <v>68</v>
      </c>
      <c r="G245" s="233"/>
      <c r="H245" s="11" t="s">
        <v>593</v>
      </c>
      <c r="I245" s="107">
        <v>5.5599999999999997E-2</v>
      </c>
      <c r="J245" s="13">
        <v>10</v>
      </c>
      <c r="K245" s="14" t="s">
        <v>37</v>
      </c>
      <c r="L245" s="13">
        <v>1</v>
      </c>
      <c r="M245" s="13">
        <v>0</v>
      </c>
      <c r="N245" s="13">
        <v>1</v>
      </c>
      <c r="O245" s="15" t="s">
        <v>73</v>
      </c>
      <c r="P245" s="16">
        <v>0.9375</v>
      </c>
      <c r="Q245" s="13">
        <v>180</v>
      </c>
      <c r="R245" s="17" t="s">
        <v>323</v>
      </c>
    </row>
    <row r="246" spans="1:18" ht="17.399999999999999" customHeight="1" thickBot="1" x14ac:dyDescent="0.35">
      <c r="A246" s="264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6"/>
    </row>
    <row r="247" spans="1:18" ht="22.05" customHeight="1" thickTop="1" thickBot="1" x14ac:dyDescent="0.35">
      <c r="A247" s="241" t="s">
        <v>8</v>
      </c>
      <c r="B247" s="239"/>
      <c r="C247" s="239"/>
      <c r="D247" s="239"/>
      <c r="E247" s="239"/>
      <c r="F247" s="240"/>
      <c r="G247" s="18">
        <v>46016</v>
      </c>
      <c r="H247" s="238" t="s">
        <v>9</v>
      </c>
      <c r="I247" s="239"/>
      <c r="J247" s="239"/>
      <c r="K247" s="239"/>
      <c r="L247" s="239"/>
      <c r="M247" s="239"/>
      <c r="N247" s="239"/>
      <c r="O247" s="239"/>
      <c r="P247" s="239"/>
      <c r="Q247" s="239"/>
      <c r="R247" s="240"/>
    </row>
    <row r="248" spans="1:18" ht="24" customHeight="1" x14ac:dyDescent="0.3">
      <c r="A248" s="19" t="s">
        <v>10</v>
      </c>
      <c r="B248" s="19" t="s">
        <v>11</v>
      </c>
      <c r="C248" s="20" t="s">
        <v>12</v>
      </c>
      <c r="D248" s="19" t="s">
        <v>13</v>
      </c>
      <c r="E248" s="19" t="s">
        <v>14</v>
      </c>
      <c r="F248" s="21" t="s">
        <v>15</v>
      </c>
      <c r="G248" s="22" t="s">
        <v>16</v>
      </c>
      <c r="H248" s="19" t="s">
        <v>17</v>
      </c>
      <c r="I248" s="23" t="s">
        <v>18</v>
      </c>
      <c r="J248" s="24" t="s">
        <v>19</v>
      </c>
      <c r="K248" s="25" t="s">
        <v>20</v>
      </c>
      <c r="L248" s="24" t="s">
        <v>21</v>
      </c>
      <c r="M248" s="24" t="s">
        <v>22</v>
      </c>
      <c r="N248" s="24" t="s">
        <v>23</v>
      </c>
      <c r="O248" s="19" t="s">
        <v>24</v>
      </c>
      <c r="P248" s="20" t="s">
        <v>25</v>
      </c>
      <c r="Q248" s="24" t="s">
        <v>26</v>
      </c>
      <c r="R248" s="19" t="s">
        <v>27</v>
      </c>
    </row>
    <row r="249" spans="1:18" ht="15" customHeight="1" x14ac:dyDescent="0.3">
      <c r="A249" s="76" t="s">
        <v>28</v>
      </c>
      <c r="B249" s="76" t="s">
        <v>607</v>
      </c>
      <c r="C249" s="77">
        <v>6.5972222222222224E-2</v>
      </c>
      <c r="D249" s="76" t="s">
        <v>30</v>
      </c>
      <c r="E249" s="78"/>
      <c r="F249" s="76" t="s">
        <v>36</v>
      </c>
      <c r="G249" s="237"/>
      <c r="H249" s="163" t="s">
        <v>607</v>
      </c>
      <c r="I249" s="224">
        <v>0.51670000000000005</v>
      </c>
      <c r="J249" s="165">
        <v>93</v>
      </c>
      <c r="K249" s="166" t="s">
        <v>47</v>
      </c>
      <c r="L249" s="165">
        <v>2</v>
      </c>
      <c r="M249" s="165">
        <v>0</v>
      </c>
      <c r="N249" s="165">
        <v>0</v>
      </c>
      <c r="O249" s="167" t="s">
        <v>281</v>
      </c>
      <c r="P249" s="168">
        <v>6.5972222222222224E-2</v>
      </c>
      <c r="Q249" s="165">
        <v>180</v>
      </c>
      <c r="R249" s="169" t="s">
        <v>737</v>
      </c>
    </row>
    <row r="250" spans="1:18" ht="15" customHeight="1" x14ac:dyDescent="0.3">
      <c r="A250" s="181" t="s">
        <v>28</v>
      </c>
      <c r="B250" s="181" t="s">
        <v>587</v>
      </c>
      <c r="C250" s="182">
        <v>0.15625</v>
      </c>
      <c r="D250" s="181" t="s">
        <v>30</v>
      </c>
      <c r="E250" s="183"/>
      <c r="F250" s="181" t="s">
        <v>36</v>
      </c>
      <c r="G250" s="249"/>
      <c r="H250" s="184" t="s">
        <v>587</v>
      </c>
      <c r="I250" s="227">
        <v>0.53890000000000005</v>
      </c>
      <c r="J250" s="186">
        <v>97</v>
      </c>
      <c r="K250" s="187" t="s">
        <v>107</v>
      </c>
      <c r="L250" s="186">
        <v>1</v>
      </c>
      <c r="M250" s="186">
        <v>0</v>
      </c>
      <c r="N250" s="186">
        <v>0</v>
      </c>
      <c r="O250" s="188" t="s">
        <v>80</v>
      </c>
      <c r="P250" s="189">
        <v>0.15625</v>
      </c>
      <c r="Q250" s="186">
        <v>180</v>
      </c>
      <c r="R250" s="190" t="s">
        <v>738</v>
      </c>
    </row>
    <row r="251" spans="1:18" ht="15" customHeight="1" x14ac:dyDescent="0.3">
      <c r="A251" s="194" t="s">
        <v>28</v>
      </c>
      <c r="B251" s="194" t="s">
        <v>610</v>
      </c>
      <c r="C251" s="195">
        <v>0.1875</v>
      </c>
      <c r="D251" s="194" t="s">
        <v>30</v>
      </c>
      <c r="E251" s="196"/>
      <c r="F251" s="194" t="s">
        <v>68</v>
      </c>
      <c r="G251" s="249"/>
      <c r="H251" s="170" t="s">
        <v>610</v>
      </c>
      <c r="I251" s="230">
        <v>1.67E-2</v>
      </c>
      <c r="J251" s="172">
        <v>3</v>
      </c>
      <c r="K251" s="173" t="s">
        <v>32</v>
      </c>
      <c r="L251" s="172">
        <v>2</v>
      </c>
      <c r="M251" s="172">
        <v>0</v>
      </c>
      <c r="N251" s="172">
        <v>0</v>
      </c>
      <c r="O251" s="174" t="s">
        <v>225</v>
      </c>
      <c r="P251" s="175">
        <v>0.1875</v>
      </c>
      <c r="Q251" s="172">
        <v>180</v>
      </c>
      <c r="R251" s="176" t="s">
        <v>80</v>
      </c>
    </row>
    <row r="252" spans="1:18" ht="15" customHeight="1" x14ac:dyDescent="0.3">
      <c r="A252" s="219" t="s">
        <v>28</v>
      </c>
      <c r="B252" s="219" t="s">
        <v>589</v>
      </c>
      <c r="C252" s="220">
        <v>0.40625</v>
      </c>
      <c r="D252" s="219" t="s">
        <v>30</v>
      </c>
      <c r="E252" s="221"/>
      <c r="F252" s="219" t="s">
        <v>36</v>
      </c>
      <c r="G252" s="249"/>
      <c r="H252" s="69" t="s">
        <v>589</v>
      </c>
      <c r="I252" s="70">
        <v>0.7278</v>
      </c>
      <c r="J252" s="71">
        <v>131</v>
      </c>
      <c r="K252" s="72" t="s">
        <v>37</v>
      </c>
      <c r="L252" s="71">
        <v>13</v>
      </c>
      <c r="M252" s="71">
        <v>0</v>
      </c>
      <c r="N252" s="71">
        <v>6</v>
      </c>
      <c r="O252" s="73" t="s">
        <v>254</v>
      </c>
      <c r="P252" s="74">
        <v>0.40625</v>
      </c>
      <c r="Q252" s="71">
        <v>180</v>
      </c>
      <c r="R252" s="75" t="s">
        <v>739</v>
      </c>
    </row>
    <row r="253" spans="1:18" ht="15" customHeight="1" x14ac:dyDescent="0.3">
      <c r="A253" s="177" t="s">
        <v>28</v>
      </c>
      <c r="B253" s="177" t="s">
        <v>595</v>
      </c>
      <c r="C253" s="178">
        <v>0.5625</v>
      </c>
      <c r="D253" s="177" t="s">
        <v>30</v>
      </c>
      <c r="E253" s="179"/>
      <c r="F253" s="177" t="s">
        <v>36</v>
      </c>
      <c r="G253" s="249"/>
      <c r="H253" s="140" t="s">
        <v>595</v>
      </c>
      <c r="I253" s="229">
        <v>0.82779999999999998</v>
      </c>
      <c r="J253" s="142">
        <v>149</v>
      </c>
      <c r="K253" s="143" t="s">
        <v>107</v>
      </c>
      <c r="L253" s="142">
        <v>1</v>
      </c>
      <c r="M253" s="142">
        <v>0</v>
      </c>
      <c r="N253" s="142">
        <v>0</v>
      </c>
      <c r="O253" s="144" t="s">
        <v>108</v>
      </c>
      <c r="P253" s="145">
        <v>0.5625</v>
      </c>
      <c r="Q253" s="142">
        <v>180</v>
      </c>
      <c r="R253" s="146" t="s">
        <v>720</v>
      </c>
    </row>
    <row r="254" spans="1:18" ht="15" customHeight="1" thickBot="1" x14ac:dyDescent="0.35">
      <c r="A254" s="215" t="s">
        <v>28</v>
      </c>
      <c r="B254" s="215" t="s">
        <v>599</v>
      </c>
      <c r="C254" s="216">
        <v>0.9375</v>
      </c>
      <c r="D254" s="215" t="s">
        <v>30</v>
      </c>
      <c r="E254" s="217"/>
      <c r="F254" s="215" t="s">
        <v>36</v>
      </c>
      <c r="G254" s="233"/>
      <c r="H254" s="59" t="s">
        <v>599</v>
      </c>
      <c r="I254" s="108">
        <v>0.34439999999999998</v>
      </c>
      <c r="J254" s="61">
        <v>62</v>
      </c>
      <c r="K254" s="62" t="s">
        <v>82</v>
      </c>
      <c r="L254" s="61">
        <v>2</v>
      </c>
      <c r="M254" s="61">
        <v>0</v>
      </c>
      <c r="N254" s="61">
        <v>0</v>
      </c>
      <c r="O254" s="63" t="s">
        <v>104</v>
      </c>
      <c r="P254" s="64">
        <v>0.9375</v>
      </c>
      <c r="Q254" s="61">
        <v>180</v>
      </c>
      <c r="R254" s="65" t="s">
        <v>740</v>
      </c>
    </row>
    <row r="255" spans="1:18" ht="17.399999999999999" customHeight="1" thickBot="1" x14ac:dyDescent="0.35">
      <c r="A255" s="264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6"/>
    </row>
    <row r="256" spans="1:18" ht="22.05" customHeight="1" thickTop="1" thickBot="1" x14ac:dyDescent="0.35">
      <c r="A256" s="241" t="s">
        <v>8</v>
      </c>
      <c r="B256" s="239"/>
      <c r="C256" s="239"/>
      <c r="D256" s="239"/>
      <c r="E256" s="239"/>
      <c r="F256" s="240"/>
      <c r="G256" s="18">
        <v>46017</v>
      </c>
      <c r="H256" s="238" t="s">
        <v>9</v>
      </c>
      <c r="I256" s="239"/>
      <c r="J256" s="239"/>
      <c r="K256" s="239"/>
      <c r="L256" s="239"/>
      <c r="M256" s="239"/>
      <c r="N256" s="239"/>
      <c r="O256" s="239"/>
      <c r="P256" s="239"/>
      <c r="Q256" s="239"/>
      <c r="R256" s="240"/>
    </row>
    <row r="257" spans="1:18" ht="24" customHeight="1" x14ac:dyDescent="0.3">
      <c r="A257" s="19" t="s">
        <v>10</v>
      </c>
      <c r="B257" s="19" t="s">
        <v>11</v>
      </c>
      <c r="C257" s="20" t="s">
        <v>12</v>
      </c>
      <c r="D257" s="19" t="s">
        <v>13</v>
      </c>
      <c r="E257" s="19" t="s">
        <v>14</v>
      </c>
      <c r="F257" s="21" t="s">
        <v>15</v>
      </c>
      <c r="G257" s="22" t="s">
        <v>16</v>
      </c>
      <c r="H257" s="19" t="s">
        <v>17</v>
      </c>
      <c r="I257" s="23" t="s">
        <v>18</v>
      </c>
      <c r="J257" s="24" t="s">
        <v>19</v>
      </c>
      <c r="K257" s="25" t="s">
        <v>20</v>
      </c>
      <c r="L257" s="24" t="s">
        <v>21</v>
      </c>
      <c r="M257" s="24" t="s">
        <v>22</v>
      </c>
      <c r="N257" s="24" t="s">
        <v>23</v>
      </c>
      <c r="O257" s="19" t="s">
        <v>24</v>
      </c>
      <c r="P257" s="20" t="s">
        <v>25</v>
      </c>
      <c r="Q257" s="24" t="s">
        <v>26</v>
      </c>
      <c r="R257" s="19" t="s">
        <v>27</v>
      </c>
    </row>
    <row r="258" spans="1:18" ht="49.95" customHeight="1" x14ac:dyDescent="0.3">
      <c r="A258" s="76" t="s">
        <v>28</v>
      </c>
      <c r="B258" s="76" t="s">
        <v>587</v>
      </c>
      <c r="C258" s="77">
        <v>0.1423611111111111</v>
      </c>
      <c r="D258" s="76" t="s">
        <v>30</v>
      </c>
      <c r="E258" s="78"/>
      <c r="F258" s="76" t="s">
        <v>36</v>
      </c>
      <c r="G258" s="237"/>
      <c r="H258" s="163" t="s">
        <v>587</v>
      </c>
      <c r="I258" s="218">
        <v>0.56110000000000004</v>
      </c>
      <c r="J258" s="165">
        <v>101</v>
      </c>
      <c r="K258" s="166" t="s">
        <v>37</v>
      </c>
      <c r="L258" s="165">
        <v>2</v>
      </c>
      <c r="M258" s="165">
        <v>0</v>
      </c>
      <c r="N258" s="165">
        <v>1</v>
      </c>
      <c r="O258" s="167" t="s">
        <v>73</v>
      </c>
      <c r="P258" s="168">
        <v>0.1423611111111111</v>
      </c>
      <c r="Q258" s="165">
        <v>180</v>
      </c>
      <c r="R258" s="169" t="s">
        <v>705</v>
      </c>
    </row>
    <row r="259" spans="1:18" ht="49.95" customHeight="1" x14ac:dyDescent="0.3">
      <c r="A259" s="219" t="s">
        <v>28</v>
      </c>
      <c r="B259" s="219" t="s">
        <v>589</v>
      </c>
      <c r="C259" s="220">
        <v>0.28125</v>
      </c>
      <c r="D259" s="219" t="s">
        <v>30</v>
      </c>
      <c r="E259" s="221"/>
      <c r="F259" s="219" t="s">
        <v>68</v>
      </c>
      <c r="G259" s="249"/>
      <c r="H259" s="69" t="s">
        <v>589</v>
      </c>
      <c r="I259" s="119">
        <v>0.2944</v>
      </c>
      <c r="J259" s="71">
        <v>53</v>
      </c>
      <c r="K259" s="72" t="s">
        <v>37</v>
      </c>
      <c r="L259" s="71">
        <v>4</v>
      </c>
      <c r="M259" s="71">
        <v>0</v>
      </c>
      <c r="N259" s="71">
        <v>3</v>
      </c>
      <c r="O259" s="73" t="s">
        <v>225</v>
      </c>
      <c r="P259" s="74">
        <v>0.28125</v>
      </c>
      <c r="Q259" s="71">
        <v>180</v>
      </c>
      <c r="R259" s="75" t="s">
        <v>741</v>
      </c>
    </row>
    <row r="260" spans="1:18" ht="49.95" customHeight="1" x14ac:dyDescent="0.3">
      <c r="A260" s="197" t="s">
        <v>28</v>
      </c>
      <c r="B260" s="197" t="s">
        <v>595</v>
      </c>
      <c r="C260" s="198">
        <v>0.4375</v>
      </c>
      <c r="D260" s="197" t="s">
        <v>30</v>
      </c>
      <c r="E260" s="199"/>
      <c r="F260" s="197" t="s">
        <v>68</v>
      </c>
      <c r="G260" s="249"/>
      <c r="H260" s="83" t="s">
        <v>595</v>
      </c>
      <c r="I260" s="84">
        <v>3.8899999999999997E-2</v>
      </c>
      <c r="J260" s="85">
        <v>7</v>
      </c>
      <c r="K260" s="86" t="s">
        <v>37</v>
      </c>
      <c r="L260" s="85">
        <v>4</v>
      </c>
      <c r="M260" s="85">
        <v>0</v>
      </c>
      <c r="N260" s="85">
        <v>1</v>
      </c>
      <c r="O260" s="87" t="s">
        <v>80</v>
      </c>
      <c r="P260" s="88">
        <v>0.4375</v>
      </c>
      <c r="Q260" s="85">
        <v>180</v>
      </c>
      <c r="R260" s="89" t="s">
        <v>204</v>
      </c>
    </row>
    <row r="261" spans="1:18" ht="49.95" customHeight="1" x14ac:dyDescent="0.3">
      <c r="A261" s="177" t="s">
        <v>28</v>
      </c>
      <c r="B261" s="177" t="s">
        <v>593</v>
      </c>
      <c r="C261" s="178">
        <v>0.55902777777777779</v>
      </c>
      <c r="D261" s="177" t="s">
        <v>30</v>
      </c>
      <c r="E261" s="179"/>
      <c r="F261" s="177" t="s">
        <v>68</v>
      </c>
      <c r="G261" s="249"/>
      <c r="H261" s="140" t="s">
        <v>593</v>
      </c>
      <c r="I261" s="141">
        <v>3.3300000000000003E-2</v>
      </c>
      <c r="J261" s="142">
        <v>6</v>
      </c>
      <c r="K261" s="143" t="s">
        <v>32</v>
      </c>
      <c r="L261" s="142">
        <v>3</v>
      </c>
      <c r="M261" s="142">
        <v>0</v>
      </c>
      <c r="N261" s="142">
        <v>0</v>
      </c>
      <c r="O261" s="144" t="s">
        <v>76</v>
      </c>
      <c r="P261" s="145">
        <v>0.55902777777777779</v>
      </c>
      <c r="Q261" s="142">
        <v>180</v>
      </c>
      <c r="R261" s="146" t="s">
        <v>193</v>
      </c>
    </row>
    <row r="262" spans="1:18" ht="49.95" customHeight="1" x14ac:dyDescent="0.3">
      <c r="A262" s="191" t="s">
        <v>28</v>
      </c>
      <c r="B262" s="191" t="s">
        <v>591</v>
      </c>
      <c r="C262" s="192">
        <v>0.76041666666666663</v>
      </c>
      <c r="D262" s="191" t="s">
        <v>30</v>
      </c>
      <c r="E262" s="193"/>
      <c r="F262" s="191" t="s">
        <v>68</v>
      </c>
      <c r="G262" s="233"/>
      <c r="H262" s="29" t="s">
        <v>591</v>
      </c>
      <c r="I262" s="147">
        <v>8.3299999999999999E-2</v>
      </c>
      <c r="J262" s="31">
        <v>15</v>
      </c>
      <c r="K262" s="32" t="s">
        <v>47</v>
      </c>
      <c r="L262" s="31">
        <v>2</v>
      </c>
      <c r="M262" s="31">
        <v>0</v>
      </c>
      <c r="N262" s="31">
        <v>0</v>
      </c>
      <c r="O262" s="33" t="s">
        <v>73</v>
      </c>
      <c r="P262" s="34">
        <v>0.76041666666666663</v>
      </c>
      <c r="Q262" s="31">
        <v>180</v>
      </c>
      <c r="R262" s="35" t="s">
        <v>742</v>
      </c>
    </row>
  </sheetData>
  <mergeCells count="138">
    <mergeCell ref="G258:G262"/>
    <mergeCell ref="G46:G49"/>
    <mergeCell ref="G93:G97"/>
    <mergeCell ref="G84:G89"/>
    <mergeCell ref="G186:G190"/>
    <mergeCell ref="A256:F256"/>
    <mergeCell ref="A119:R119"/>
    <mergeCell ref="G148:G152"/>
    <mergeCell ref="A65:F65"/>
    <mergeCell ref="A174:R174"/>
    <mergeCell ref="H224:R224"/>
    <mergeCell ref="A183:R183"/>
    <mergeCell ref="A120:F120"/>
    <mergeCell ref="H256:R256"/>
    <mergeCell ref="A192:F192"/>
    <mergeCell ref="G194:G199"/>
    <mergeCell ref="A238:R238"/>
    <mergeCell ref="H114:R114"/>
    <mergeCell ref="A247:F247"/>
    <mergeCell ref="G131:G135"/>
    <mergeCell ref="A160:R160"/>
    <mergeCell ref="A106:F106"/>
    <mergeCell ref="A209:F209"/>
    <mergeCell ref="A91:F91"/>
    <mergeCell ref="A184:F184"/>
    <mergeCell ref="A200:R200"/>
    <mergeCell ref="A81:R81"/>
    <mergeCell ref="G139:G144"/>
    <mergeCell ref="H99:R99"/>
    <mergeCell ref="G2:J2"/>
    <mergeCell ref="N1:R1"/>
    <mergeCell ref="A10:F10"/>
    <mergeCell ref="A19:F19"/>
    <mergeCell ref="A43:R43"/>
    <mergeCell ref="G61:G63"/>
    <mergeCell ref="G241:G245"/>
    <mergeCell ref="K2:R2"/>
    <mergeCell ref="G29:G34"/>
    <mergeCell ref="G211:G214"/>
    <mergeCell ref="A36:F36"/>
    <mergeCell ref="G38:G42"/>
    <mergeCell ref="H4:R4"/>
    <mergeCell ref="H44:R44"/>
    <mergeCell ref="A50:R50"/>
    <mergeCell ref="A3:R3"/>
    <mergeCell ref="H51:R51"/>
    <mergeCell ref="A4:F4"/>
    <mergeCell ref="A201:F201"/>
    <mergeCell ref="A58:R58"/>
    <mergeCell ref="H27:R27"/>
    <mergeCell ref="A64:R64"/>
    <mergeCell ref="A73:R73"/>
    <mergeCell ref="A146:F146"/>
    <mergeCell ref="A255:R255"/>
    <mergeCell ref="A154:F154"/>
    <mergeCell ref="H137:R137"/>
    <mergeCell ref="H146:R146"/>
    <mergeCell ref="A129:F129"/>
    <mergeCell ref="G163:G167"/>
    <mergeCell ref="A113:R113"/>
    <mergeCell ref="H74:R74"/>
    <mergeCell ref="H192:R192"/>
    <mergeCell ref="G156:G159"/>
    <mergeCell ref="G76:G80"/>
    <mergeCell ref="H201:R201"/>
    <mergeCell ref="G203:G207"/>
    <mergeCell ref="G67:G72"/>
    <mergeCell ref="A2:F2"/>
    <mergeCell ref="A26:R26"/>
    <mergeCell ref="G226:G228"/>
    <mergeCell ref="H36:R36"/>
    <mergeCell ref="H247:R247"/>
    <mergeCell ref="A230:F230"/>
    <mergeCell ref="G21:G25"/>
    <mergeCell ref="A229:R229"/>
    <mergeCell ref="H19:R19"/>
    <mergeCell ref="A114:F114"/>
    <mergeCell ref="A59:F59"/>
    <mergeCell ref="A216:F216"/>
    <mergeCell ref="A169:F169"/>
    <mergeCell ref="H239:R239"/>
    <mergeCell ref="A168:R168"/>
    <mergeCell ref="H216:R216"/>
    <mergeCell ref="H154:R154"/>
    <mergeCell ref="H106:R106"/>
    <mergeCell ref="A137:F137"/>
    <mergeCell ref="H209:R209"/>
    <mergeCell ref="A246:R246"/>
    <mergeCell ref="A128:R128"/>
    <mergeCell ref="A74:F74"/>
    <mergeCell ref="G249:G254"/>
    <mergeCell ref="A224:F224"/>
    <mergeCell ref="H129:R129"/>
    <mergeCell ref="H169:R169"/>
    <mergeCell ref="A35:R35"/>
    <mergeCell ref="A215:R215"/>
    <mergeCell ref="A161:F161"/>
    <mergeCell ref="A44:F44"/>
    <mergeCell ref="G177:G182"/>
    <mergeCell ref="G116:G118"/>
    <mergeCell ref="A51:F51"/>
    <mergeCell ref="H65:R65"/>
    <mergeCell ref="A82:F82"/>
    <mergeCell ref="G171:G173"/>
    <mergeCell ref="A98:R98"/>
    <mergeCell ref="A191:R191"/>
    <mergeCell ref="H120:R120"/>
    <mergeCell ref="G53:G57"/>
    <mergeCell ref="A153:R153"/>
    <mergeCell ref="A99:F99"/>
    <mergeCell ref="H91:R91"/>
    <mergeCell ref="H184:R184"/>
    <mergeCell ref="G232:G237"/>
    <mergeCell ref="H82:R82"/>
    <mergeCell ref="G12:G17"/>
    <mergeCell ref="H175:R175"/>
    <mergeCell ref="H1:L1"/>
    <mergeCell ref="A1:E1"/>
    <mergeCell ref="G122:G127"/>
    <mergeCell ref="H230:R230"/>
    <mergeCell ref="A239:F239"/>
    <mergeCell ref="A18:R18"/>
    <mergeCell ref="A223:R223"/>
    <mergeCell ref="A175:F175"/>
    <mergeCell ref="H161:R161"/>
    <mergeCell ref="G218:G222"/>
    <mergeCell ref="H59:R59"/>
    <mergeCell ref="A9:R9"/>
    <mergeCell ref="G6:G8"/>
    <mergeCell ref="A27:F27"/>
    <mergeCell ref="A90:R90"/>
    <mergeCell ref="G108:G112"/>
    <mergeCell ref="A208:R208"/>
    <mergeCell ref="H10:R10"/>
    <mergeCell ref="G101:G104"/>
    <mergeCell ref="A136:R136"/>
    <mergeCell ref="A105:R105"/>
    <mergeCell ref="A145:R14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163"/>
  <sheetViews>
    <sheetView workbookViewId="0"/>
  </sheetViews>
  <sheetFormatPr defaultRowHeight="15.6" outlineLevelCol="1" x14ac:dyDescent="0.3"/>
  <cols>
    <col min="1" max="1" width="11.5546875" style="251" bestFit="1" customWidth="1"/>
    <col min="2" max="2" width="10.44140625" style="251" bestFit="1" customWidth="1"/>
    <col min="3" max="3" width="7" style="251" bestFit="1" customWidth="1"/>
    <col min="4" max="4" width="5.5546875" style="251" bestFit="1" customWidth="1"/>
    <col min="5" max="5" width="7.5546875" style="251" bestFit="1" customWidth="1"/>
    <col min="6" max="6" width="4.21875" style="251" bestFit="1" customWidth="1"/>
    <col min="7" max="7" width="10" style="251" bestFit="1" customWidth="1"/>
    <col min="8" max="10" width="10.109375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7" style="251" bestFit="1" customWidth="1" outlineLevel="1"/>
    <col min="15" max="15" width="8.5546875" style="251" bestFit="1" customWidth="1" outlineLevel="1"/>
    <col min="16" max="16" width="13.6640625" style="251" bestFit="1" customWidth="1"/>
    <col min="17" max="20" width="3.88671875" style="251" bestFit="1" customWidth="1"/>
    <col min="21" max="21" width="4.5546875" style="251" bestFit="1" customWidth="1"/>
    <col min="22" max="22" width="4.21875" style="251" bestFit="1" customWidth="1"/>
    <col min="23" max="23" width="4.33203125" style="251" bestFit="1" customWidth="1"/>
    <col min="24" max="24" width="4.109375" style="251" bestFit="1" customWidth="1"/>
    <col min="25" max="25" width="4.4414062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1" width="4.5546875" style="251" bestFit="1" customWidth="1"/>
    <col min="32" max="32" width="3.88671875" style="251" bestFit="1" customWidth="1"/>
    <col min="33" max="33" width="5.21875" style="251" bestFit="1" customWidth="1"/>
    <col min="34" max="34" width="4.33203125" style="251" bestFit="1" customWidth="1"/>
    <col min="35" max="35" width="5.21875" style="251" bestFit="1" customWidth="1"/>
    <col min="36" max="36" width="5.4414062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149</v>
      </c>
      <c r="B2" s="253">
        <v>45985</v>
      </c>
      <c r="C2" s="254" t="s">
        <v>587</v>
      </c>
      <c r="D2" s="255" t="s">
        <v>743</v>
      </c>
      <c r="E2" s="254" t="s">
        <v>586</v>
      </c>
      <c r="F2" s="254" t="s">
        <v>141</v>
      </c>
      <c r="G2" s="256">
        <v>1</v>
      </c>
      <c r="H2" s="257">
        <v>180</v>
      </c>
      <c r="I2" s="257">
        <v>180</v>
      </c>
      <c r="J2" s="257">
        <v>130</v>
      </c>
      <c r="K2" s="254" t="s">
        <v>142</v>
      </c>
      <c r="L2" s="258" t="s">
        <v>32</v>
      </c>
      <c r="M2" s="257">
        <v>0</v>
      </c>
      <c r="N2" s="257">
        <v>0</v>
      </c>
      <c r="O2" s="257">
        <v>12</v>
      </c>
      <c r="P2" s="254" t="s">
        <v>33</v>
      </c>
      <c r="Q2" s="250"/>
      <c r="R2" s="250"/>
      <c r="S2" s="250"/>
      <c r="T2" s="250"/>
      <c r="U2" s="250"/>
      <c r="V2" s="250"/>
      <c r="W2" s="250"/>
      <c r="X2" s="250"/>
      <c r="Y2" s="250"/>
      <c r="Z2" s="257" t="s">
        <v>422</v>
      </c>
      <c r="AA2" s="250"/>
      <c r="AB2" s="250"/>
      <c r="AC2" s="257" t="s">
        <v>192</v>
      </c>
      <c r="AD2" s="257" t="s">
        <v>744</v>
      </c>
      <c r="AE2" s="257" t="s">
        <v>85</v>
      </c>
      <c r="AF2" s="257" t="s">
        <v>745</v>
      </c>
      <c r="AG2" s="250"/>
      <c r="AH2" s="250"/>
      <c r="AI2" s="257" t="s">
        <v>746</v>
      </c>
      <c r="AJ2" s="250"/>
    </row>
    <row r="3" spans="1:36" x14ac:dyDescent="0.3">
      <c r="A3" s="252" t="s">
        <v>149</v>
      </c>
      <c r="B3" s="253">
        <v>45985</v>
      </c>
      <c r="C3" s="254" t="s">
        <v>589</v>
      </c>
      <c r="D3" s="255" t="s">
        <v>462</v>
      </c>
      <c r="E3" s="254" t="s">
        <v>586</v>
      </c>
      <c r="F3" s="254" t="s">
        <v>141</v>
      </c>
      <c r="G3" s="256">
        <v>1</v>
      </c>
      <c r="H3" s="257">
        <v>180</v>
      </c>
      <c r="I3" s="257">
        <v>180</v>
      </c>
      <c r="J3" s="257">
        <v>132</v>
      </c>
      <c r="K3" s="254" t="s">
        <v>142</v>
      </c>
      <c r="L3" s="258" t="s">
        <v>37</v>
      </c>
      <c r="M3" s="257">
        <v>0</v>
      </c>
      <c r="N3" s="257">
        <v>1</v>
      </c>
      <c r="O3" s="257">
        <v>5</v>
      </c>
      <c r="P3" s="254" t="s">
        <v>33</v>
      </c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7" t="s">
        <v>192</v>
      </c>
      <c r="AD3" s="257" t="s">
        <v>747</v>
      </c>
      <c r="AE3" s="257" t="s">
        <v>156</v>
      </c>
      <c r="AF3" s="257" t="s">
        <v>319</v>
      </c>
      <c r="AG3" s="250"/>
      <c r="AH3" s="250"/>
      <c r="AI3" s="257" t="s">
        <v>748</v>
      </c>
      <c r="AJ3" s="250"/>
    </row>
    <row r="4" spans="1:36" x14ac:dyDescent="0.3">
      <c r="A4" s="252" t="s">
        <v>149</v>
      </c>
      <c r="B4" s="253">
        <v>45985</v>
      </c>
      <c r="C4" s="254" t="s">
        <v>591</v>
      </c>
      <c r="D4" s="255" t="s">
        <v>515</v>
      </c>
      <c r="E4" s="254" t="s">
        <v>586</v>
      </c>
      <c r="F4" s="254" t="s">
        <v>141</v>
      </c>
      <c r="G4" s="256">
        <v>0.99439999999999995</v>
      </c>
      <c r="H4" s="257">
        <v>180</v>
      </c>
      <c r="I4" s="257">
        <v>179</v>
      </c>
      <c r="J4" s="257">
        <v>50</v>
      </c>
      <c r="K4" s="254" t="s">
        <v>142</v>
      </c>
      <c r="L4" s="258" t="s">
        <v>37</v>
      </c>
      <c r="M4" s="257">
        <v>0</v>
      </c>
      <c r="N4" s="257">
        <v>8</v>
      </c>
      <c r="O4" s="257">
        <v>68</v>
      </c>
      <c r="P4" s="254" t="s">
        <v>33</v>
      </c>
      <c r="Q4" s="250"/>
      <c r="R4" s="250"/>
      <c r="S4" s="250"/>
      <c r="T4" s="250"/>
      <c r="U4" s="250"/>
      <c r="V4" s="250"/>
      <c r="W4" s="250"/>
      <c r="X4" s="250"/>
      <c r="Y4" s="257" t="s">
        <v>217</v>
      </c>
      <c r="Z4" s="257" t="s">
        <v>749</v>
      </c>
      <c r="AA4" s="257" t="s">
        <v>750</v>
      </c>
      <c r="AB4" s="257" t="s">
        <v>231</v>
      </c>
      <c r="AC4" s="257" t="s">
        <v>533</v>
      </c>
      <c r="AD4" s="257" t="s">
        <v>744</v>
      </c>
      <c r="AE4" s="257" t="s">
        <v>322</v>
      </c>
      <c r="AF4" s="257" t="s">
        <v>358</v>
      </c>
      <c r="AG4" s="250"/>
      <c r="AH4" s="250"/>
      <c r="AI4" s="257" t="s">
        <v>751</v>
      </c>
      <c r="AJ4" s="250"/>
    </row>
    <row r="5" spans="1:36" x14ac:dyDescent="0.3">
      <c r="A5" s="252" t="s">
        <v>157</v>
      </c>
      <c r="B5" s="253">
        <v>45986</v>
      </c>
      <c r="C5" s="254" t="s">
        <v>593</v>
      </c>
      <c r="D5" s="255" t="s">
        <v>752</v>
      </c>
      <c r="E5" s="254" t="s">
        <v>586</v>
      </c>
      <c r="F5" s="254" t="s">
        <v>141</v>
      </c>
      <c r="G5" s="256">
        <v>0.9778</v>
      </c>
      <c r="H5" s="257">
        <v>180</v>
      </c>
      <c r="I5" s="257">
        <v>176</v>
      </c>
      <c r="J5" s="257">
        <v>46</v>
      </c>
      <c r="K5" s="254" t="s">
        <v>142</v>
      </c>
      <c r="L5" s="258" t="s">
        <v>37</v>
      </c>
      <c r="M5" s="257">
        <v>0</v>
      </c>
      <c r="N5" s="257">
        <v>16</v>
      </c>
      <c r="O5" s="257">
        <v>77</v>
      </c>
      <c r="P5" s="254" t="s">
        <v>45</v>
      </c>
      <c r="Q5" s="250"/>
      <c r="R5" s="250"/>
      <c r="S5" s="250"/>
      <c r="T5" s="250"/>
      <c r="U5" s="250"/>
      <c r="V5" s="250"/>
      <c r="W5" s="257" t="s">
        <v>266</v>
      </c>
      <c r="X5" s="257" t="s">
        <v>210</v>
      </c>
      <c r="Y5" s="257" t="s">
        <v>753</v>
      </c>
      <c r="Z5" s="257" t="s">
        <v>317</v>
      </c>
      <c r="AA5" s="257" t="s">
        <v>303</v>
      </c>
      <c r="AB5" s="257" t="s">
        <v>401</v>
      </c>
      <c r="AC5" s="257" t="s">
        <v>230</v>
      </c>
      <c r="AD5" s="257" t="s">
        <v>184</v>
      </c>
      <c r="AE5" s="257" t="s">
        <v>85</v>
      </c>
      <c r="AF5" s="257" t="s">
        <v>358</v>
      </c>
      <c r="AG5" s="250"/>
      <c r="AH5" s="250"/>
      <c r="AI5" s="257" t="s">
        <v>754</v>
      </c>
      <c r="AJ5" s="250"/>
    </row>
    <row r="6" spans="1:36" x14ac:dyDescent="0.3">
      <c r="A6" s="252" t="s">
        <v>157</v>
      </c>
      <c r="B6" s="253">
        <v>45986</v>
      </c>
      <c r="C6" s="254" t="s">
        <v>595</v>
      </c>
      <c r="D6" s="255" t="s">
        <v>296</v>
      </c>
      <c r="E6" s="254" t="s">
        <v>586</v>
      </c>
      <c r="F6" s="254" t="s">
        <v>141</v>
      </c>
      <c r="G6" s="256">
        <v>1.0056</v>
      </c>
      <c r="H6" s="257">
        <v>180</v>
      </c>
      <c r="I6" s="257">
        <v>181</v>
      </c>
      <c r="J6" s="257">
        <v>139</v>
      </c>
      <c r="K6" s="254" t="s">
        <v>142</v>
      </c>
      <c r="L6" s="258" t="s">
        <v>32</v>
      </c>
      <c r="M6" s="257">
        <v>0</v>
      </c>
      <c r="N6" s="257">
        <v>0</v>
      </c>
      <c r="O6" s="257">
        <v>6</v>
      </c>
      <c r="P6" s="254" t="s">
        <v>33</v>
      </c>
      <c r="Q6" s="250"/>
      <c r="R6" s="250"/>
      <c r="S6" s="250"/>
      <c r="T6" s="250"/>
      <c r="U6" s="250"/>
      <c r="V6" s="250"/>
      <c r="W6" s="250"/>
      <c r="X6" s="250"/>
      <c r="Y6" s="250"/>
      <c r="Z6" s="257" t="s">
        <v>422</v>
      </c>
      <c r="AA6" s="250"/>
      <c r="AB6" s="257" t="s">
        <v>88</v>
      </c>
      <c r="AC6" s="257" t="s">
        <v>155</v>
      </c>
      <c r="AD6" s="257" t="s">
        <v>184</v>
      </c>
      <c r="AE6" s="257" t="s">
        <v>101</v>
      </c>
      <c r="AF6" s="257" t="s">
        <v>221</v>
      </c>
      <c r="AG6" s="250"/>
      <c r="AH6" s="250"/>
      <c r="AI6" s="257" t="s">
        <v>755</v>
      </c>
      <c r="AJ6" s="257" t="s">
        <v>756</v>
      </c>
    </row>
    <row r="7" spans="1:36" x14ac:dyDescent="0.3">
      <c r="A7" s="252" t="s">
        <v>157</v>
      </c>
      <c r="B7" s="253">
        <v>45986</v>
      </c>
      <c r="C7" s="254" t="s">
        <v>589</v>
      </c>
      <c r="D7" s="255" t="s">
        <v>462</v>
      </c>
      <c r="E7" s="254" t="s">
        <v>586</v>
      </c>
      <c r="F7" s="254" t="s">
        <v>141</v>
      </c>
      <c r="G7" s="256">
        <v>1</v>
      </c>
      <c r="H7" s="257">
        <v>180</v>
      </c>
      <c r="I7" s="257">
        <v>180</v>
      </c>
      <c r="J7" s="257">
        <v>95</v>
      </c>
      <c r="K7" s="254" t="s">
        <v>142</v>
      </c>
      <c r="L7" s="258" t="s">
        <v>37</v>
      </c>
      <c r="M7" s="257">
        <v>0</v>
      </c>
      <c r="N7" s="257">
        <v>1</v>
      </c>
      <c r="O7" s="257">
        <v>27</v>
      </c>
      <c r="P7" s="254" t="s">
        <v>33</v>
      </c>
      <c r="Q7" s="250"/>
      <c r="R7" s="250"/>
      <c r="S7" s="250"/>
      <c r="T7" s="250"/>
      <c r="U7" s="250"/>
      <c r="V7" s="250"/>
      <c r="W7" s="250"/>
      <c r="X7" s="250"/>
      <c r="Y7" s="250"/>
      <c r="Z7" s="257" t="s">
        <v>56</v>
      </c>
      <c r="AA7" s="257" t="s">
        <v>303</v>
      </c>
      <c r="AB7" s="257" t="s">
        <v>399</v>
      </c>
      <c r="AC7" s="257" t="s">
        <v>242</v>
      </c>
      <c r="AD7" s="257" t="s">
        <v>744</v>
      </c>
      <c r="AE7" s="257" t="s">
        <v>585</v>
      </c>
      <c r="AF7" s="257" t="s">
        <v>323</v>
      </c>
      <c r="AG7" s="250"/>
      <c r="AH7" s="250"/>
      <c r="AI7" s="257" t="s">
        <v>757</v>
      </c>
      <c r="AJ7" s="250"/>
    </row>
    <row r="8" spans="1:36" x14ac:dyDescent="0.3">
      <c r="A8" s="252" t="s">
        <v>157</v>
      </c>
      <c r="B8" s="253">
        <v>45986</v>
      </c>
      <c r="C8" s="254" t="s">
        <v>591</v>
      </c>
      <c r="D8" s="255" t="s">
        <v>758</v>
      </c>
      <c r="E8" s="254" t="s">
        <v>586</v>
      </c>
      <c r="F8" s="254" t="s">
        <v>141</v>
      </c>
      <c r="G8" s="256">
        <v>0.98329999999999995</v>
      </c>
      <c r="H8" s="257">
        <v>180</v>
      </c>
      <c r="I8" s="257">
        <v>177</v>
      </c>
      <c r="J8" s="257">
        <v>120</v>
      </c>
      <c r="K8" s="254" t="s">
        <v>142</v>
      </c>
      <c r="L8" s="258" t="s">
        <v>37</v>
      </c>
      <c r="M8" s="257">
        <v>0</v>
      </c>
      <c r="N8" s="257">
        <v>4</v>
      </c>
      <c r="O8" s="257">
        <v>45</v>
      </c>
      <c r="P8" s="254" t="s">
        <v>33</v>
      </c>
      <c r="Q8" s="250"/>
      <c r="R8" s="250"/>
      <c r="S8" s="250"/>
      <c r="T8" s="250"/>
      <c r="U8" s="250"/>
      <c r="V8" s="250"/>
      <c r="W8" s="250"/>
      <c r="X8" s="250"/>
      <c r="Y8" s="250"/>
      <c r="Z8" s="257" t="s">
        <v>317</v>
      </c>
      <c r="AA8" s="250"/>
      <c r="AB8" s="250"/>
      <c r="AC8" s="250"/>
      <c r="AD8" s="257" t="s">
        <v>171</v>
      </c>
      <c r="AE8" s="257" t="s">
        <v>585</v>
      </c>
      <c r="AF8" s="257" t="s">
        <v>193</v>
      </c>
      <c r="AG8" s="257" t="s">
        <v>759</v>
      </c>
      <c r="AH8" s="250"/>
      <c r="AI8" s="257" t="s">
        <v>468</v>
      </c>
      <c r="AJ8" s="250"/>
    </row>
    <row r="9" spans="1:36" x14ac:dyDescent="0.3">
      <c r="A9" s="252" t="s">
        <v>157</v>
      </c>
      <c r="B9" s="253">
        <v>45986</v>
      </c>
      <c r="C9" s="254" t="s">
        <v>599</v>
      </c>
      <c r="D9" s="255" t="s">
        <v>760</v>
      </c>
      <c r="E9" s="254" t="s">
        <v>586</v>
      </c>
      <c r="F9" s="254" t="s">
        <v>141</v>
      </c>
      <c r="G9" s="256">
        <v>0.99439999999999995</v>
      </c>
      <c r="H9" s="257">
        <v>180</v>
      </c>
      <c r="I9" s="257">
        <v>179</v>
      </c>
      <c r="J9" s="257">
        <v>90</v>
      </c>
      <c r="K9" s="254" t="s">
        <v>142</v>
      </c>
      <c r="L9" s="258" t="s">
        <v>82</v>
      </c>
      <c r="M9" s="257">
        <v>0</v>
      </c>
      <c r="N9" s="257">
        <v>0</v>
      </c>
      <c r="O9" s="257">
        <v>6</v>
      </c>
      <c r="P9" s="254" t="s">
        <v>33</v>
      </c>
      <c r="Q9" s="250"/>
      <c r="R9" s="250"/>
      <c r="S9" s="250"/>
      <c r="T9" s="250"/>
      <c r="U9" s="250"/>
      <c r="V9" s="250"/>
      <c r="W9" s="250"/>
      <c r="X9" s="250"/>
      <c r="Y9" s="250"/>
      <c r="Z9" s="257" t="s">
        <v>451</v>
      </c>
      <c r="AA9" s="257" t="s">
        <v>325</v>
      </c>
      <c r="AB9" s="257" t="s">
        <v>401</v>
      </c>
      <c r="AC9" s="257" t="s">
        <v>533</v>
      </c>
      <c r="AD9" s="257" t="s">
        <v>761</v>
      </c>
      <c r="AE9" s="257" t="s">
        <v>486</v>
      </c>
      <c r="AF9" s="257" t="s">
        <v>319</v>
      </c>
      <c r="AG9" s="250"/>
      <c r="AH9" s="250"/>
      <c r="AI9" s="257" t="s">
        <v>479</v>
      </c>
      <c r="AJ9" s="250"/>
    </row>
    <row r="10" spans="1:36" x14ac:dyDescent="0.3">
      <c r="A10" s="252" t="s">
        <v>157</v>
      </c>
      <c r="B10" s="253">
        <v>45986</v>
      </c>
      <c r="C10" s="254" t="s">
        <v>587</v>
      </c>
      <c r="D10" s="255" t="s">
        <v>762</v>
      </c>
      <c r="E10" s="254" t="s">
        <v>586</v>
      </c>
      <c r="F10" s="254" t="s">
        <v>141</v>
      </c>
      <c r="G10" s="256">
        <v>0.98329999999999995</v>
      </c>
      <c r="H10" s="257">
        <v>180</v>
      </c>
      <c r="I10" s="257">
        <v>177</v>
      </c>
      <c r="J10" s="257">
        <v>2</v>
      </c>
      <c r="K10" s="254" t="s">
        <v>142</v>
      </c>
      <c r="L10" s="258" t="s">
        <v>37</v>
      </c>
      <c r="M10" s="257">
        <v>0</v>
      </c>
      <c r="N10" s="257">
        <v>19</v>
      </c>
      <c r="O10" s="257">
        <v>106</v>
      </c>
      <c r="P10" s="254" t="s">
        <v>173</v>
      </c>
      <c r="Q10" s="250"/>
      <c r="R10" s="250"/>
      <c r="S10" s="250"/>
      <c r="T10" s="250"/>
      <c r="U10" s="250"/>
      <c r="V10" s="250"/>
      <c r="W10" s="257" t="s">
        <v>309</v>
      </c>
      <c r="X10" s="257" t="s">
        <v>308</v>
      </c>
      <c r="Y10" s="257" t="s">
        <v>763</v>
      </c>
      <c r="Z10" s="257" t="s">
        <v>764</v>
      </c>
      <c r="AA10" s="257" t="s">
        <v>303</v>
      </c>
      <c r="AB10" s="257" t="s">
        <v>765</v>
      </c>
      <c r="AC10" s="257" t="s">
        <v>177</v>
      </c>
      <c r="AD10" s="257" t="s">
        <v>766</v>
      </c>
      <c r="AE10" s="257" t="s">
        <v>85</v>
      </c>
      <c r="AF10" s="257" t="s">
        <v>323</v>
      </c>
      <c r="AG10" s="250"/>
      <c r="AH10" s="250"/>
      <c r="AI10" s="257" t="s">
        <v>767</v>
      </c>
      <c r="AJ10" s="257" t="s">
        <v>148</v>
      </c>
    </row>
    <row r="11" spans="1:36" x14ac:dyDescent="0.3">
      <c r="A11" s="252" t="s">
        <v>166</v>
      </c>
      <c r="B11" s="253">
        <v>45987</v>
      </c>
      <c r="C11" s="254" t="s">
        <v>599</v>
      </c>
      <c r="D11" s="255" t="s">
        <v>768</v>
      </c>
      <c r="E11" s="254" t="s">
        <v>586</v>
      </c>
      <c r="F11" s="254" t="s">
        <v>141</v>
      </c>
      <c r="G11" s="256">
        <v>1</v>
      </c>
      <c r="H11" s="257">
        <v>180</v>
      </c>
      <c r="I11" s="257">
        <v>180</v>
      </c>
      <c r="J11" s="257">
        <v>90</v>
      </c>
      <c r="K11" s="254" t="s">
        <v>142</v>
      </c>
      <c r="L11" s="258" t="s">
        <v>47</v>
      </c>
      <c r="M11" s="257">
        <v>0</v>
      </c>
      <c r="N11" s="257">
        <v>0</v>
      </c>
      <c r="O11" s="257">
        <v>11</v>
      </c>
      <c r="P11" s="254" t="s">
        <v>33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7" t="s">
        <v>422</v>
      </c>
      <c r="AA11" s="257" t="s">
        <v>229</v>
      </c>
      <c r="AB11" s="257" t="s">
        <v>401</v>
      </c>
      <c r="AC11" s="257" t="s">
        <v>234</v>
      </c>
      <c r="AD11" s="257" t="s">
        <v>761</v>
      </c>
      <c r="AE11" s="257" t="s">
        <v>241</v>
      </c>
      <c r="AF11" s="257" t="s">
        <v>356</v>
      </c>
      <c r="AG11" s="250"/>
      <c r="AH11" s="250"/>
      <c r="AI11" s="257" t="s">
        <v>479</v>
      </c>
      <c r="AJ11" s="250"/>
    </row>
    <row r="12" spans="1:36" x14ac:dyDescent="0.3">
      <c r="A12" s="252" t="s">
        <v>166</v>
      </c>
      <c r="B12" s="253">
        <v>45987</v>
      </c>
      <c r="C12" s="254" t="s">
        <v>587</v>
      </c>
      <c r="D12" s="255" t="s">
        <v>769</v>
      </c>
      <c r="E12" s="254" t="s">
        <v>586</v>
      </c>
      <c r="F12" s="254" t="s">
        <v>141</v>
      </c>
      <c r="G12" s="256">
        <v>0.99439999999999995</v>
      </c>
      <c r="H12" s="257">
        <v>180</v>
      </c>
      <c r="I12" s="257">
        <v>179</v>
      </c>
      <c r="J12" s="257">
        <v>51</v>
      </c>
      <c r="K12" s="254" t="s">
        <v>142</v>
      </c>
      <c r="L12" s="258" t="s">
        <v>37</v>
      </c>
      <c r="M12" s="257">
        <v>0</v>
      </c>
      <c r="N12" s="257">
        <v>3</v>
      </c>
      <c r="O12" s="257">
        <v>61</v>
      </c>
      <c r="P12" s="254" t="s">
        <v>33</v>
      </c>
      <c r="Q12" s="250"/>
      <c r="R12" s="250"/>
      <c r="S12" s="250"/>
      <c r="T12" s="250"/>
      <c r="U12" s="250"/>
      <c r="V12" s="250"/>
      <c r="W12" s="250"/>
      <c r="X12" s="250"/>
      <c r="Y12" s="257" t="s">
        <v>320</v>
      </c>
      <c r="Z12" s="257" t="s">
        <v>152</v>
      </c>
      <c r="AA12" s="257" t="s">
        <v>770</v>
      </c>
      <c r="AB12" s="257" t="s">
        <v>163</v>
      </c>
      <c r="AC12" s="257" t="s">
        <v>771</v>
      </c>
      <c r="AD12" s="257" t="s">
        <v>747</v>
      </c>
      <c r="AE12" s="257" t="s">
        <v>241</v>
      </c>
      <c r="AF12" s="257" t="s">
        <v>356</v>
      </c>
      <c r="AG12" s="250"/>
      <c r="AH12" s="250"/>
      <c r="AI12" s="257" t="s">
        <v>772</v>
      </c>
      <c r="AJ12" s="250"/>
    </row>
    <row r="13" spans="1:36" x14ac:dyDescent="0.3">
      <c r="A13" s="252" t="s">
        <v>166</v>
      </c>
      <c r="B13" s="253">
        <v>45987</v>
      </c>
      <c r="C13" s="254" t="s">
        <v>591</v>
      </c>
      <c r="D13" s="255" t="s">
        <v>773</v>
      </c>
      <c r="E13" s="254" t="s">
        <v>586</v>
      </c>
      <c r="F13" s="254" t="s">
        <v>141</v>
      </c>
      <c r="G13" s="256">
        <v>0.99439999999999995</v>
      </c>
      <c r="H13" s="257">
        <v>180</v>
      </c>
      <c r="I13" s="257">
        <v>179</v>
      </c>
      <c r="J13" s="257">
        <v>90</v>
      </c>
      <c r="K13" s="254" t="s">
        <v>142</v>
      </c>
      <c r="L13" s="258" t="s">
        <v>47</v>
      </c>
      <c r="M13" s="257">
        <v>0</v>
      </c>
      <c r="N13" s="257">
        <v>0</v>
      </c>
      <c r="O13" s="257">
        <v>15</v>
      </c>
      <c r="P13" s="254" t="s">
        <v>33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7" t="s">
        <v>401</v>
      </c>
      <c r="AC13" s="257" t="s">
        <v>177</v>
      </c>
      <c r="AD13" s="257" t="s">
        <v>171</v>
      </c>
      <c r="AE13" s="257" t="s">
        <v>241</v>
      </c>
      <c r="AF13" s="257" t="s">
        <v>356</v>
      </c>
      <c r="AG13" s="250"/>
      <c r="AH13" s="250"/>
      <c r="AI13" s="257" t="s">
        <v>479</v>
      </c>
      <c r="AJ13" s="257" t="s">
        <v>756</v>
      </c>
    </row>
    <row r="14" spans="1:36" x14ac:dyDescent="0.3">
      <c r="A14" s="252" t="s">
        <v>166</v>
      </c>
      <c r="B14" s="253">
        <v>45987</v>
      </c>
      <c r="C14" s="254" t="s">
        <v>589</v>
      </c>
      <c r="D14" s="255" t="s">
        <v>462</v>
      </c>
      <c r="E14" s="254" t="s">
        <v>586</v>
      </c>
      <c r="F14" s="254" t="s">
        <v>141</v>
      </c>
      <c r="G14" s="256">
        <v>0.99439999999999995</v>
      </c>
      <c r="H14" s="257">
        <v>180</v>
      </c>
      <c r="I14" s="257">
        <v>179</v>
      </c>
      <c r="J14" s="257">
        <v>114</v>
      </c>
      <c r="K14" s="254" t="s">
        <v>142</v>
      </c>
      <c r="L14" s="258" t="s">
        <v>37</v>
      </c>
      <c r="M14" s="257">
        <v>0</v>
      </c>
      <c r="N14" s="257">
        <v>1</v>
      </c>
      <c r="O14" s="257">
        <v>55</v>
      </c>
      <c r="P14" s="254" t="s">
        <v>33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7" t="s">
        <v>199</v>
      </c>
      <c r="AA14" s="257" t="s">
        <v>219</v>
      </c>
      <c r="AB14" s="257" t="s">
        <v>401</v>
      </c>
      <c r="AC14" s="257" t="s">
        <v>183</v>
      </c>
      <c r="AD14" s="257" t="s">
        <v>744</v>
      </c>
      <c r="AE14" s="257" t="s">
        <v>101</v>
      </c>
      <c r="AF14" s="257" t="s">
        <v>248</v>
      </c>
      <c r="AG14" s="250"/>
      <c r="AH14" s="250"/>
      <c r="AI14" s="257" t="s">
        <v>774</v>
      </c>
      <c r="AJ14" s="250"/>
    </row>
    <row r="15" spans="1:36" x14ac:dyDescent="0.3">
      <c r="A15" s="252" t="s">
        <v>166</v>
      </c>
      <c r="B15" s="253">
        <v>45987</v>
      </c>
      <c r="C15" s="254" t="s">
        <v>593</v>
      </c>
      <c r="D15" s="255" t="s">
        <v>775</v>
      </c>
      <c r="E15" s="254" t="s">
        <v>586</v>
      </c>
      <c r="F15" s="254" t="s">
        <v>141</v>
      </c>
      <c r="G15" s="256">
        <v>0.9889</v>
      </c>
      <c r="H15" s="257">
        <v>180</v>
      </c>
      <c r="I15" s="257">
        <v>178</v>
      </c>
      <c r="J15" s="257">
        <v>0</v>
      </c>
      <c r="K15" s="254" t="s">
        <v>142</v>
      </c>
      <c r="L15" s="258" t="s">
        <v>37</v>
      </c>
      <c r="M15" s="257">
        <v>0</v>
      </c>
      <c r="N15" s="257">
        <v>28</v>
      </c>
      <c r="O15" s="257">
        <v>94</v>
      </c>
      <c r="P15" s="254" t="s">
        <v>45</v>
      </c>
      <c r="Q15" s="250"/>
      <c r="R15" s="250"/>
      <c r="S15" s="250"/>
      <c r="T15" s="250"/>
      <c r="U15" s="250"/>
      <c r="V15" s="250"/>
      <c r="W15" s="257" t="s">
        <v>209</v>
      </c>
      <c r="X15" s="257" t="s">
        <v>197</v>
      </c>
      <c r="Y15" s="257" t="s">
        <v>776</v>
      </c>
      <c r="Z15" s="257" t="s">
        <v>777</v>
      </c>
      <c r="AA15" s="257" t="s">
        <v>770</v>
      </c>
      <c r="AB15" s="257" t="s">
        <v>778</v>
      </c>
      <c r="AC15" s="257" t="s">
        <v>242</v>
      </c>
      <c r="AD15" s="257" t="s">
        <v>228</v>
      </c>
      <c r="AE15" s="257" t="s">
        <v>73</v>
      </c>
      <c r="AF15" s="257" t="s">
        <v>323</v>
      </c>
      <c r="AG15" s="250"/>
      <c r="AH15" s="250"/>
      <c r="AI15" s="250"/>
      <c r="AJ15" s="250"/>
    </row>
    <row r="16" spans="1:36" x14ac:dyDescent="0.3">
      <c r="A16" s="252" t="s">
        <v>179</v>
      </c>
      <c r="B16" s="253">
        <v>45988</v>
      </c>
      <c r="C16" s="254" t="s">
        <v>607</v>
      </c>
      <c r="D16" s="255" t="s">
        <v>779</v>
      </c>
      <c r="E16" s="254" t="s">
        <v>586</v>
      </c>
      <c r="F16" s="254" t="s">
        <v>141</v>
      </c>
      <c r="G16" s="256">
        <v>0.9889</v>
      </c>
      <c r="H16" s="257">
        <v>180</v>
      </c>
      <c r="I16" s="257">
        <v>178</v>
      </c>
      <c r="J16" s="257">
        <v>0</v>
      </c>
      <c r="K16" s="254" t="s">
        <v>142</v>
      </c>
      <c r="L16" s="258" t="s">
        <v>75</v>
      </c>
      <c r="M16" s="257">
        <v>2</v>
      </c>
      <c r="N16" s="257">
        <v>29</v>
      </c>
      <c r="O16" s="257">
        <v>65</v>
      </c>
      <c r="P16" s="254" t="s">
        <v>40</v>
      </c>
      <c r="Q16" s="250"/>
      <c r="R16" s="250"/>
      <c r="S16" s="250"/>
      <c r="T16" s="250"/>
      <c r="U16" s="250"/>
      <c r="V16" s="250"/>
      <c r="W16" s="257" t="s">
        <v>366</v>
      </c>
      <c r="X16" s="257" t="s">
        <v>293</v>
      </c>
      <c r="Y16" s="257" t="s">
        <v>780</v>
      </c>
      <c r="Z16" s="257" t="s">
        <v>781</v>
      </c>
      <c r="AA16" s="257" t="s">
        <v>782</v>
      </c>
      <c r="AB16" s="257" t="s">
        <v>783</v>
      </c>
      <c r="AC16" s="257" t="s">
        <v>234</v>
      </c>
      <c r="AD16" s="257" t="s">
        <v>744</v>
      </c>
      <c r="AE16" s="257" t="s">
        <v>85</v>
      </c>
      <c r="AF16" s="257" t="s">
        <v>358</v>
      </c>
      <c r="AG16" s="250"/>
      <c r="AH16" s="250"/>
      <c r="AI16" s="250"/>
      <c r="AJ16" s="250"/>
    </row>
    <row r="17" spans="1:36" x14ac:dyDescent="0.3">
      <c r="A17" s="252" t="s">
        <v>179</v>
      </c>
      <c r="B17" s="253">
        <v>45988</v>
      </c>
      <c r="C17" s="254" t="s">
        <v>587</v>
      </c>
      <c r="D17" s="255" t="s">
        <v>784</v>
      </c>
      <c r="E17" s="254" t="s">
        <v>586</v>
      </c>
      <c r="F17" s="254" t="s">
        <v>141</v>
      </c>
      <c r="G17" s="256">
        <v>0.99439999999999995</v>
      </c>
      <c r="H17" s="257">
        <v>180</v>
      </c>
      <c r="I17" s="257">
        <v>179</v>
      </c>
      <c r="J17" s="257">
        <v>65</v>
      </c>
      <c r="K17" s="254" t="s">
        <v>142</v>
      </c>
      <c r="L17" s="258" t="s">
        <v>75</v>
      </c>
      <c r="M17" s="257">
        <v>1</v>
      </c>
      <c r="N17" s="257">
        <v>1</v>
      </c>
      <c r="O17" s="257">
        <v>24</v>
      </c>
      <c r="P17" s="254" t="s">
        <v>33</v>
      </c>
      <c r="Q17" s="250"/>
      <c r="R17" s="250"/>
      <c r="S17" s="250"/>
      <c r="T17" s="250"/>
      <c r="U17" s="250"/>
      <c r="V17" s="250"/>
      <c r="W17" s="250"/>
      <c r="X17" s="257" t="s">
        <v>528</v>
      </c>
      <c r="Y17" s="257" t="s">
        <v>753</v>
      </c>
      <c r="Z17" s="257" t="s">
        <v>313</v>
      </c>
      <c r="AA17" s="257" t="s">
        <v>153</v>
      </c>
      <c r="AB17" s="257" t="s">
        <v>62</v>
      </c>
      <c r="AC17" s="257" t="s">
        <v>785</v>
      </c>
      <c r="AD17" s="257" t="s">
        <v>744</v>
      </c>
      <c r="AE17" s="257" t="s">
        <v>100</v>
      </c>
      <c r="AF17" s="257" t="s">
        <v>358</v>
      </c>
      <c r="AG17" s="250"/>
      <c r="AH17" s="250"/>
      <c r="AI17" s="257" t="s">
        <v>786</v>
      </c>
      <c r="AJ17" s="250"/>
    </row>
    <row r="18" spans="1:36" x14ac:dyDescent="0.3">
      <c r="A18" s="252" t="s">
        <v>179</v>
      </c>
      <c r="B18" s="253">
        <v>45988</v>
      </c>
      <c r="C18" s="254" t="s">
        <v>610</v>
      </c>
      <c r="D18" s="255" t="s">
        <v>787</v>
      </c>
      <c r="E18" s="254" t="s">
        <v>586</v>
      </c>
      <c r="F18" s="254" t="s">
        <v>141</v>
      </c>
      <c r="G18" s="256">
        <v>0.99439999999999995</v>
      </c>
      <c r="H18" s="257">
        <v>180</v>
      </c>
      <c r="I18" s="257">
        <v>179</v>
      </c>
      <c r="J18" s="257">
        <v>45</v>
      </c>
      <c r="K18" s="254" t="s">
        <v>142</v>
      </c>
      <c r="L18" s="258" t="s">
        <v>37</v>
      </c>
      <c r="M18" s="257">
        <v>0</v>
      </c>
      <c r="N18" s="257">
        <v>9</v>
      </c>
      <c r="O18" s="257">
        <v>72</v>
      </c>
      <c r="P18" s="254" t="s">
        <v>33</v>
      </c>
      <c r="Q18" s="250"/>
      <c r="R18" s="250"/>
      <c r="S18" s="250"/>
      <c r="T18" s="250"/>
      <c r="U18" s="250"/>
      <c r="V18" s="250"/>
      <c r="W18" s="257" t="s">
        <v>266</v>
      </c>
      <c r="X18" s="257" t="s">
        <v>293</v>
      </c>
      <c r="Y18" s="257" t="s">
        <v>788</v>
      </c>
      <c r="Z18" s="257" t="s">
        <v>789</v>
      </c>
      <c r="AA18" s="257" t="s">
        <v>153</v>
      </c>
      <c r="AB18" s="257" t="s">
        <v>783</v>
      </c>
      <c r="AC18" s="257" t="s">
        <v>202</v>
      </c>
      <c r="AD18" s="257" t="s">
        <v>255</v>
      </c>
      <c r="AE18" s="257" t="s">
        <v>100</v>
      </c>
      <c r="AF18" s="257" t="s">
        <v>221</v>
      </c>
      <c r="AG18" s="250"/>
      <c r="AH18" s="250"/>
      <c r="AI18" s="257" t="s">
        <v>475</v>
      </c>
      <c r="AJ18" s="250"/>
    </row>
    <row r="19" spans="1:36" x14ac:dyDescent="0.3">
      <c r="A19" s="252" t="s">
        <v>179</v>
      </c>
      <c r="B19" s="253">
        <v>45988</v>
      </c>
      <c r="C19" s="254" t="s">
        <v>589</v>
      </c>
      <c r="D19" s="255" t="s">
        <v>186</v>
      </c>
      <c r="E19" s="254" t="s">
        <v>586</v>
      </c>
      <c r="F19" s="254" t="s">
        <v>141</v>
      </c>
      <c r="G19" s="256">
        <v>1</v>
      </c>
      <c r="H19" s="257">
        <v>180</v>
      </c>
      <c r="I19" s="257">
        <v>180</v>
      </c>
      <c r="J19" s="257">
        <v>135</v>
      </c>
      <c r="K19" s="254" t="s">
        <v>142</v>
      </c>
      <c r="L19" s="258" t="s">
        <v>612</v>
      </c>
      <c r="M19" s="257">
        <v>0</v>
      </c>
      <c r="N19" s="257">
        <v>0</v>
      </c>
      <c r="O19" s="257">
        <v>0</v>
      </c>
      <c r="P19" s="254" t="s">
        <v>33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7" t="s">
        <v>58</v>
      </c>
      <c r="AD19" s="257" t="s">
        <v>744</v>
      </c>
      <c r="AE19" s="257" t="s">
        <v>85</v>
      </c>
      <c r="AF19" s="257" t="s">
        <v>358</v>
      </c>
      <c r="AG19" s="250"/>
      <c r="AH19" s="250"/>
      <c r="AI19" s="257" t="s">
        <v>465</v>
      </c>
      <c r="AJ19" s="250"/>
    </row>
    <row r="20" spans="1:36" x14ac:dyDescent="0.3">
      <c r="A20" s="252" t="s">
        <v>179</v>
      </c>
      <c r="B20" s="253">
        <v>45988</v>
      </c>
      <c r="C20" s="254" t="s">
        <v>595</v>
      </c>
      <c r="D20" s="255" t="s">
        <v>790</v>
      </c>
      <c r="E20" s="254" t="s">
        <v>586</v>
      </c>
      <c r="F20" s="254" t="s">
        <v>141</v>
      </c>
      <c r="G20" s="256">
        <v>0.9778</v>
      </c>
      <c r="H20" s="257">
        <v>180</v>
      </c>
      <c r="I20" s="257">
        <v>176</v>
      </c>
      <c r="J20" s="257">
        <v>132</v>
      </c>
      <c r="K20" s="254" t="s">
        <v>142</v>
      </c>
      <c r="L20" s="258" t="s">
        <v>413</v>
      </c>
      <c r="M20" s="257">
        <v>0</v>
      </c>
      <c r="N20" s="257">
        <v>0</v>
      </c>
      <c r="O20" s="257">
        <v>0</v>
      </c>
      <c r="P20" s="254" t="s">
        <v>214</v>
      </c>
      <c r="Q20" s="250"/>
      <c r="R20" s="250"/>
      <c r="S20" s="250"/>
      <c r="T20" s="250"/>
      <c r="U20" s="250"/>
      <c r="V20" s="257" t="s">
        <v>214</v>
      </c>
      <c r="W20" s="250"/>
      <c r="X20" s="257" t="s">
        <v>222</v>
      </c>
      <c r="Y20" s="250"/>
      <c r="Z20" s="257" t="s">
        <v>199</v>
      </c>
      <c r="AA20" s="257" t="s">
        <v>325</v>
      </c>
      <c r="AB20" s="257" t="s">
        <v>213</v>
      </c>
      <c r="AC20" s="257" t="s">
        <v>348</v>
      </c>
      <c r="AD20" s="257" t="s">
        <v>220</v>
      </c>
      <c r="AE20" s="257" t="s">
        <v>253</v>
      </c>
      <c r="AF20" s="257" t="s">
        <v>221</v>
      </c>
      <c r="AG20" s="250"/>
      <c r="AH20" s="250"/>
      <c r="AI20" s="257" t="s">
        <v>748</v>
      </c>
      <c r="AJ20" s="250"/>
    </row>
    <row r="21" spans="1:36" x14ac:dyDescent="0.3">
      <c r="A21" s="252" t="s">
        <v>179</v>
      </c>
      <c r="B21" s="253">
        <v>45988</v>
      </c>
      <c r="C21" s="254" t="s">
        <v>599</v>
      </c>
      <c r="D21" s="255" t="s">
        <v>775</v>
      </c>
      <c r="E21" s="254" t="s">
        <v>586</v>
      </c>
      <c r="F21" s="254" t="s">
        <v>141</v>
      </c>
      <c r="G21" s="256">
        <v>0.93330000000000002</v>
      </c>
      <c r="H21" s="257">
        <v>180</v>
      </c>
      <c r="I21" s="257">
        <v>168</v>
      </c>
      <c r="J21" s="257">
        <v>0</v>
      </c>
      <c r="K21" s="254" t="s">
        <v>142</v>
      </c>
      <c r="L21" s="258" t="s">
        <v>37</v>
      </c>
      <c r="M21" s="257">
        <v>0</v>
      </c>
      <c r="N21" s="257">
        <v>18</v>
      </c>
      <c r="O21" s="257">
        <v>36</v>
      </c>
      <c r="P21" s="254" t="s">
        <v>366</v>
      </c>
      <c r="Q21" s="250"/>
      <c r="R21" s="250"/>
      <c r="S21" s="250"/>
      <c r="T21" s="250"/>
      <c r="U21" s="250"/>
      <c r="V21" s="257" t="s">
        <v>617</v>
      </c>
      <c r="W21" s="257" t="s">
        <v>791</v>
      </c>
      <c r="X21" s="257" t="s">
        <v>460</v>
      </c>
      <c r="Y21" s="257" t="s">
        <v>753</v>
      </c>
      <c r="Z21" s="257" t="s">
        <v>792</v>
      </c>
      <c r="AA21" s="257" t="s">
        <v>303</v>
      </c>
      <c r="AB21" s="257" t="s">
        <v>62</v>
      </c>
      <c r="AC21" s="257" t="s">
        <v>183</v>
      </c>
      <c r="AD21" s="257" t="s">
        <v>793</v>
      </c>
      <c r="AE21" s="257" t="s">
        <v>85</v>
      </c>
      <c r="AF21" s="257" t="s">
        <v>323</v>
      </c>
      <c r="AG21" s="250"/>
      <c r="AH21" s="250"/>
      <c r="AI21" s="250"/>
      <c r="AJ21" s="257" t="s">
        <v>794</v>
      </c>
    </row>
    <row r="22" spans="1:36" x14ac:dyDescent="0.3">
      <c r="A22" s="252" t="s">
        <v>185</v>
      </c>
      <c r="B22" s="253">
        <v>45989</v>
      </c>
      <c r="C22" s="254" t="s">
        <v>587</v>
      </c>
      <c r="D22" s="255" t="s">
        <v>795</v>
      </c>
      <c r="E22" s="254" t="s">
        <v>586</v>
      </c>
      <c r="F22" s="254" t="s">
        <v>141</v>
      </c>
      <c r="G22" s="256">
        <v>1</v>
      </c>
      <c r="H22" s="257">
        <v>180</v>
      </c>
      <c r="I22" s="257">
        <v>180</v>
      </c>
      <c r="J22" s="257">
        <v>35</v>
      </c>
      <c r="K22" s="254" t="s">
        <v>142</v>
      </c>
      <c r="L22" s="258" t="s">
        <v>47</v>
      </c>
      <c r="M22" s="257">
        <v>0</v>
      </c>
      <c r="N22" s="257">
        <v>0</v>
      </c>
      <c r="O22" s="257">
        <v>20</v>
      </c>
      <c r="P22" s="254" t="s">
        <v>33</v>
      </c>
      <c r="Q22" s="250"/>
      <c r="R22" s="250"/>
      <c r="S22" s="250"/>
      <c r="T22" s="250"/>
      <c r="U22" s="250"/>
      <c r="V22" s="257" t="s">
        <v>196</v>
      </c>
      <c r="W22" s="257" t="s">
        <v>796</v>
      </c>
      <c r="X22" s="257" t="s">
        <v>797</v>
      </c>
      <c r="Y22" s="257" t="s">
        <v>753</v>
      </c>
      <c r="Z22" s="257" t="s">
        <v>798</v>
      </c>
      <c r="AA22" s="257" t="s">
        <v>561</v>
      </c>
      <c r="AB22" s="257" t="s">
        <v>62</v>
      </c>
      <c r="AC22" s="257" t="s">
        <v>533</v>
      </c>
      <c r="AD22" s="257" t="s">
        <v>799</v>
      </c>
      <c r="AE22" s="257" t="s">
        <v>85</v>
      </c>
      <c r="AF22" s="257" t="s">
        <v>323</v>
      </c>
      <c r="AG22" s="250"/>
      <c r="AH22" s="250"/>
      <c r="AI22" s="257" t="s">
        <v>800</v>
      </c>
      <c r="AJ22" s="257" t="s">
        <v>148</v>
      </c>
    </row>
    <row r="23" spans="1:36" x14ac:dyDescent="0.3">
      <c r="A23" s="252" t="s">
        <v>185</v>
      </c>
      <c r="B23" s="253">
        <v>45989</v>
      </c>
      <c r="C23" s="254" t="s">
        <v>589</v>
      </c>
      <c r="D23" s="255" t="s">
        <v>801</v>
      </c>
      <c r="E23" s="254" t="s">
        <v>586</v>
      </c>
      <c r="F23" s="254" t="s">
        <v>141</v>
      </c>
      <c r="G23" s="256">
        <v>0.96109999999999995</v>
      </c>
      <c r="H23" s="257">
        <v>180</v>
      </c>
      <c r="I23" s="257">
        <v>173</v>
      </c>
      <c r="J23" s="257">
        <v>0</v>
      </c>
      <c r="K23" s="254" t="s">
        <v>142</v>
      </c>
      <c r="L23" s="258" t="s">
        <v>37</v>
      </c>
      <c r="M23" s="257">
        <v>0</v>
      </c>
      <c r="N23" s="257">
        <v>16</v>
      </c>
      <c r="O23" s="257">
        <v>52</v>
      </c>
      <c r="P23" s="254" t="s">
        <v>617</v>
      </c>
      <c r="Q23" s="250"/>
      <c r="R23" s="250"/>
      <c r="S23" s="250"/>
      <c r="T23" s="250"/>
      <c r="U23" s="250"/>
      <c r="V23" s="257" t="s">
        <v>214</v>
      </c>
      <c r="W23" s="257" t="s">
        <v>555</v>
      </c>
      <c r="X23" s="257" t="s">
        <v>802</v>
      </c>
      <c r="Y23" s="257" t="s">
        <v>803</v>
      </c>
      <c r="Z23" s="257" t="s">
        <v>464</v>
      </c>
      <c r="AA23" s="257" t="s">
        <v>561</v>
      </c>
      <c r="AB23" s="257" t="s">
        <v>401</v>
      </c>
      <c r="AC23" s="257" t="s">
        <v>533</v>
      </c>
      <c r="AD23" s="257" t="s">
        <v>744</v>
      </c>
      <c r="AE23" s="257" t="s">
        <v>585</v>
      </c>
      <c r="AF23" s="257" t="s">
        <v>323</v>
      </c>
      <c r="AG23" s="250"/>
      <c r="AH23" s="250"/>
      <c r="AI23" s="250"/>
      <c r="AJ23" s="250"/>
    </row>
    <row r="24" spans="1:36" x14ac:dyDescent="0.3">
      <c r="A24" s="252" t="s">
        <v>185</v>
      </c>
      <c r="B24" s="253">
        <v>45989</v>
      </c>
      <c r="C24" s="254" t="s">
        <v>595</v>
      </c>
      <c r="D24" s="255" t="s">
        <v>462</v>
      </c>
      <c r="E24" s="254" t="s">
        <v>586</v>
      </c>
      <c r="F24" s="254" t="s">
        <v>141</v>
      </c>
      <c r="G24" s="256">
        <v>0.99439999999999995</v>
      </c>
      <c r="H24" s="257">
        <v>180</v>
      </c>
      <c r="I24" s="257">
        <v>179</v>
      </c>
      <c r="J24" s="257">
        <v>45</v>
      </c>
      <c r="K24" s="254" t="s">
        <v>142</v>
      </c>
      <c r="L24" s="258" t="s">
        <v>37</v>
      </c>
      <c r="M24" s="257">
        <v>0</v>
      </c>
      <c r="N24" s="257">
        <v>10</v>
      </c>
      <c r="O24" s="257">
        <v>38</v>
      </c>
      <c r="P24" s="254" t="s">
        <v>33</v>
      </c>
      <c r="Q24" s="250"/>
      <c r="R24" s="250"/>
      <c r="S24" s="250"/>
      <c r="T24" s="250"/>
      <c r="U24" s="250"/>
      <c r="V24" s="257" t="s">
        <v>214</v>
      </c>
      <c r="W24" s="257" t="s">
        <v>804</v>
      </c>
      <c r="X24" s="257" t="s">
        <v>805</v>
      </c>
      <c r="Y24" s="257" t="s">
        <v>160</v>
      </c>
      <c r="Z24" s="257" t="s">
        <v>429</v>
      </c>
      <c r="AA24" s="257" t="s">
        <v>153</v>
      </c>
      <c r="AB24" s="257" t="s">
        <v>62</v>
      </c>
      <c r="AC24" s="257" t="s">
        <v>155</v>
      </c>
      <c r="AD24" s="257" t="s">
        <v>164</v>
      </c>
      <c r="AE24" s="257" t="s">
        <v>156</v>
      </c>
      <c r="AF24" s="257" t="s">
        <v>250</v>
      </c>
      <c r="AG24" s="250"/>
      <c r="AH24" s="250"/>
      <c r="AI24" s="257" t="s">
        <v>475</v>
      </c>
      <c r="AJ24" s="250"/>
    </row>
    <row r="25" spans="1:36" x14ac:dyDescent="0.3">
      <c r="A25" s="252" t="s">
        <v>185</v>
      </c>
      <c r="B25" s="253">
        <v>45989</v>
      </c>
      <c r="C25" s="254" t="s">
        <v>593</v>
      </c>
      <c r="D25" s="255" t="s">
        <v>806</v>
      </c>
      <c r="E25" s="254" t="s">
        <v>586</v>
      </c>
      <c r="F25" s="254" t="s">
        <v>141</v>
      </c>
      <c r="G25" s="256">
        <v>0.96109999999999995</v>
      </c>
      <c r="H25" s="257">
        <v>180</v>
      </c>
      <c r="I25" s="257">
        <v>173</v>
      </c>
      <c r="J25" s="257">
        <v>0</v>
      </c>
      <c r="K25" s="254" t="s">
        <v>142</v>
      </c>
      <c r="L25" s="258" t="s">
        <v>37</v>
      </c>
      <c r="M25" s="257">
        <v>0</v>
      </c>
      <c r="N25" s="257">
        <v>14</v>
      </c>
      <c r="O25" s="257">
        <v>46</v>
      </c>
      <c r="P25" s="254" t="s">
        <v>617</v>
      </c>
      <c r="Q25" s="250"/>
      <c r="R25" s="250"/>
      <c r="S25" s="250"/>
      <c r="T25" s="250"/>
      <c r="U25" s="250"/>
      <c r="V25" s="257" t="s">
        <v>196</v>
      </c>
      <c r="W25" s="257" t="s">
        <v>807</v>
      </c>
      <c r="X25" s="257" t="s">
        <v>808</v>
      </c>
      <c r="Y25" s="257" t="s">
        <v>753</v>
      </c>
      <c r="Z25" s="257" t="s">
        <v>317</v>
      </c>
      <c r="AA25" s="257" t="s">
        <v>561</v>
      </c>
      <c r="AB25" s="257" t="s">
        <v>231</v>
      </c>
      <c r="AC25" s="257" t="s">
        <v>583</v>
      </c>
      <c r="AD25" s="257" t="s">
        <v>228</v>
      </c>
      <c r="AE25" s="257" t="s">
        <v>85</v>
      </c>
      <c r="AF25" s="257" t="s">
        <v>323</v>
      </c>
      <c r="AG25" s="250"/>
      <c r="AH25" s="250"/>
      <c r="AI25" s="250"/>
      <c r="AJ25" s="250"/>
    </row>
    <row r="26" spans="1:36" x14ac:dyDescent="0.3">
      <c r="A26" s="252" t="s">
        <v>185</v>
      </c>
      <c r="B26" s="253">
        <v>45989</v>
      </c>
      <c r="C26" s="254" t="s">
        <v>591</v>
      </c>
      <c r="D26" s="255" t="s">
        <v>809</v>
      </c>
      <c r="E26" s="254" t="s">
        <v>586</v>
      </c>
      <c r="F26" s="254" t="s">
        <v>141</v>
      </c>
      <c r="G26" s="256">
        <v>1</v>
      </c>
      <c r="H26" s="257">
        <v>180</v>
      </c>
      <c r="I26" s="257">
        <v>180</v>
      </c>
      <c r="J26" s="257">
        <v>0</v>
      </c>
      <c r="K26" s="254" t="s">
        <v>142</v>
      </c>
      <c r="L26" s="258" t="s">
        <v>37</v>
      </c>
      <c r="M26" s="257">
        <v>0</v>
      </c>
      <c r="N26" s="257">
        <v>4</v>
      </c>
      <c r="O26" s="257">
        <v>20</v>
      </c>
      <c r="P26" s="254" t="s">
        <v>33</v>
      </c>
      <c r="Q26" s="250"/>
      <c r="R26" s="250"/>
      <c r="S26" s="250"/>
      <c r="T26" s="250"/>
      <c r="U26" s="257" t="s">
        <v>187</v>
      </c>
      <c r="V26" s="257" t="s">
        <v>810</v>
      </c>
      <c r="W26" s="257" t="s">
        <v>386</v>
      </c>
      <c r="X26" s="257" t="s">
        <v>811</v>
      </c>
      <c r="Y26" s="257" t="s">
        <v>198</v>
      </c>
      <c r="Z26" s="257" t="s">
        <v>812</v>
      </c>
      <c r="AA26" s="257" t="s">
        <v>530</v>
      </c>
      <c r="AB26" s="257" t="s">
        <v>563</v>
      </c>
      <c r="AC26" s="257" t="s">
        <v>155</v>
      </c>
      <c r="AD26" s="257" t="s">
        <v>744</v>
      </c>
      <c r="AE26" s="257" t="s">
        <v>85</v>
      </c>
      <c r="AF26" s="257" t="s">
        <v>323</v>
      </c>
      <c r="AG26" s="250"/>
      <c r="AH26" s="250"/>
      <c r="AI26" s="250"/>
      <c r="AJ26" s="250"/>
    </row>
    <row r="27" spans="1:36" x14ac:dyDescent="0.3">
      <c r="A27" s="252" t="s">
        <v>205</v>
      </c>
      <c r="B27" s="253">
        <v>45990</v>
      </c>
      <c r="C27" s="254" t="s">
        <v>607</v>
      </c>
      <c r="D27" s="255" t="s">
        <v>813</v>
      </c>
      <c r="E27" s="254" t="s">
        <v>586</v>
      </c>
      <c r="F27" s="254" t="s">
        <v>141</v>
      </c>
      <c r="G27" s="256">
        <v>1.0333000000000001</v>
      </c>
      <c r="H27" s="257">
        <v>180</v>
      </c>
      <c r="I27" s="257">
        <v>186</v>
      </c>
      <c r="J27" s="257">
        <v>45</v>
      </c>
      <c r="K27" s="254" t="s">
        <v>142</v>
      </c>
      <c r="L27" s="258" t="s">
        <v>550</v>
      </c>
      <c r="M27" s="257">
        <v>0</v>
      </c>
      <c r="N27" s="257">
        <v>0</v>
      </c>
      <c r="O27" s="257">
        <v>0</v>
      </c>
      <c r="P27" s="254" t="s">
        <v>33</v>
      </c>
      <c r="Q27" s="250"/>
      <c r="R27" s="250"/>
      <c r="S27" s="250"/>
      <c r="T27" s="250"/>
      <c r="U27" s="250"/>
      <c r="V27" s="250"/>
      <c r="W27" s="257" t="s">
        <v>463</v>
      </c>
      <c r="X27" s="250"/>
      <c r="Y27" s="257" t="s">
        <v>814</v>
      </c>
      <c r="Z27" s="257" t="s">
        <v>313</v>
      </c>
      <c r="AA27" s="257" t="s">
        <v>383</v>
      </c>
      <c r="AB27" s="257" t="s">
        <v>815</v>
      </c>
      <c r="AC27" s="257" t="s">
        <v>155</v>
      </c>
      <c r="AD27" s="257" t="s">
        <v>744</v>
      </c>
      <c r="AE27" s="257" t="s">
        <v>85</v>
      </c>
      <c r="AF27" s="257" t="s">
        <v>323</v>
      </c>
      <c r="AG27" s="250"/>
      <c r="AH27" s="250"/>
      <c r="AI27" s="257" t="s">
        <v>475</v>
      </c>
      <c r="AJ27" s="250"/>
    </row>
    <row r="28" spans="1:36" x14ac:dyDescent="0.3">
      <c r="A28" s="252" t="s">
        <v>205</v>
      </c>
      <c r="B28" s="253">
        <v>45990</v>
      </c>
      <c r="C28" s="254" t="s">
        <v>587</v>
      </c>
      <c r="D28" s="255" t="s">
        <v>784</v>
      </c>
      <c r="E28" s="254" t="s">
        <v>586</v>
      </c>
      <c r="F28" s="254" t="s">
        <v>141</v>
      </c>
      <c r="G28" s="256">
        <v>1</v>
      </c>
      <c r="H28" s="257">
        <v>180</v>
      </c>
      <c r="I28" s="257">
        <v>180</v>
      </c>
      <c r="J28" s="257">
        <v>135</v>
      </c>
      <c r="K28" s="254" t="s">
        <v>142</v>
      </c>
      <c r="L28" s="258" t="s">
        <v>37</v>
      </c>
      <c r="M28" s="257">
        <v>0</v>
      </c>
      <c r="N28" s="257">
        <v>2</v>
      </c>
      <c r="O28" s="257">
        <v>5</v>
      </c>
      <c r="P28" s="254" t="s">
        <v>33</v>
      </c>
      <c r="Q28" s="250"/>
      <c r="R28" s="250"/>
      <c r="S28" s="250"/>
      <c r="T28" s="250"/>
      <c r="U28" s="250"/>
      <c r="V28" s="250"/>
      <c r="W28" s="250"/>
      <c r="X28" s="250"/>
      <c r="Y28" s="257" t="s">
        <v>355</v>
      </c>
      <c r="Z28" s="250"/>
      <c r="AA28" s="250"/>
      <c r="AB28" s="250"/>
      <c r="AC28" s="257" t="s">
        <v>71</v>
      </c>
      <c r="AD28" s="257" t="s">
        <v>228</v>
      </c>
      <c r="AE28" s="257" t="s">
        <v>85</v>
      </c>
      <c r="AF28" s="257" t="s">
        <v>323</v>
      </c>
      <c r="AG28" s="250"/>
      <c r="AH28" s="250"/>
      <c r="AI28" s="257" t="s">
        <v>465</v>
      </c>
      <c r="AJ28" s="257" t="s">
        <v>148</v>
      </c>
    </row>
    <row r="29" spans="1:36" x14ac:dyDescent="0.3">
      <c r="A29" s="252" t="s">
        <v>205</v>
      </c>
      <c r="B29" s="253">
        <v>45990</v>
      </c>
      <c r="C29" s="254" t="s">
        <v>589</v>
      </c>
      <c r="D29" s="255" t="s">
        <v>816</v>
      </c>
      <c r="E29" s="254" t="s">
        <v>586</v>
      </c>
      <c r="F29" s="254" t="s">
        <v>141</v>
      </c>
      <c r="G29" s="256">
        <v>1</v>
      </c>
      <c r="H29" s="257">
        <v>180</v>
      </c>
      <c r="I29" s="257">
        <v>180</v>
      </c>
      <c r="J29" s="257">
        <v>90</v>
      </c>
      <c r="K29" s="254" t="s">
        <v>142</v>
      </c>
      <c r="L29" s="258" t="s">
        <v>624</v>
      </c>
      <c r="M29" s="257">
        <v>0</v>
      </c>
      <c r="N29" s="257">
        <v>0</v>
      </c>
      <c r="O29" s="257">
        <v>0</v>
      </c>
      <c r="P29" s="254" t="s">
        <v>33</v>
      </c>
      <c r="Q29" s="257" t="s">
        <v>817</v>
      </c>
      <c r="R29" s="250"/>
      <c r="S29" s="250"/>
      <c r="T29" s="250"/>
      <c r="U29" s="250"/>
      <c r="V29" s="257" t="s">
        <v>582</v>
      </c>
      <c r="W29" s="257" t="s">
        <v>366</v>
      </c>
      <c r="X29" s="257" t="s">
        <v>818</v>
      </c>
      <c r="Y29" s="257" t="s">
        <v>151</v>
      </c>
      <c r="Z29" s="257" t="s">
        <v>464</v>
      </c>
      <c r="AA29" s="257" t="s">
        <v>770</v>
      </c>
      <c r="AB29" s="257" t="s">
        <v>62</v>
      </c>
      <c r="AC29" s="257" t="s">
        <v>155</v>
      </c>
      <c r="AD29" s="250"/>
      <c r="AE29" s="250"/>
      <c r="AF29" s="250"/>
      <c r="AG29" s="250"/>
      <c r="AH29" s="250"/>
      <c r="AI29" s="257" t="s">
        <v>479</v>
      </c>
      <c r="AJ29" s="250"/>
    </row>
    <row r="30" spans="1:36" x14ac:dyDescent="0.3">
      <c r="A30" s="252" t="s">
        <v>205</v>
      </c>
      <c r="B30" s="253">
        <v>45990</v>
      </c>
      <c r="C30" s="254" t="s">
        <v>599</v>
      </c>
      <c r="D30" s="255" t="s">
        <v>819</v>
      </c>
      <c r="E30" s="254" t="s">
        <v>586</v>
      </c>
      <c r="F30" s="254" t="s">
        <v>141</v>
      </c>
      <c r="G30" s="256">
        <v>0.9556</v>
      </c>
      <c r="H30" s="257">
        <v>180</v>
      </c>
      <c r="I30" s="257">
        <v>172</v>
      </c>
      <c r="J30" s="257">
        <v>0</v>
      </c>
      <c r="K30" s="254" t="s">
        <v>142</v>
      </c>
      <c r="L30" s="258" t="s">
        <v>32</v>
      </c>
      <c r="M30" s="257">
        <v>0</v>
      </c>
      <c r="N30" s="257">
        <v>0</v>
      </c>
      <c r="O30" s="257">
        <v>29</v>
      </c>
      <c r="P30" s="254" t="s">
        <v>408</v>
      </c>
      <c r="Q30" s="250"/>
      <c r="R30" s="250"/>
      <c r="S30" s="250"/>
      <c r="T30" s="257" t="s">
        <v>261</v>
      </c>
      <c r="U30" s="257" t="s">
        <v>577</v>
      </c>
      <c r="V30" s="257" t="s">
        <v>820</v>
      </c>
      <c r="W30" s="257" t="s">
        <v>285</v>
      </c>
      <c r="X30" s="257" t="s">
        <v>354</v>
      </c>
      <c r="Y30" s="257" t="s">
        <v>821</v>
      </c>
      <c r="Z30" s="257" t="s">
        <v>313</v>
      </c>
      <c r="AA30" s="257" t="s">
        <v>303</v>
      </c>
      <c r="AB30" s="257" t="s">
        <v>401</v>
      </c>
      <c r="AC30" s="257" t="s">
        <v>533</v>
      </c>
      <c r="AD30" s="257" t="s">
        <v>744</v>
      </c>
      <c r="AE30" s="257" t="s">
        <v>85</v>
      </c>
      <c r="AF30" s="257" t="s">
        <v>323</v>
      </c>
      <c r="AG30" s="250"/>
      <c r="AH30" s="250"/>
      <c r="AI30" s="250"/>
      <c r="AJ30" s="257" t="s">
        <v>756</v>
      </c>
    </row>
    <row r="31" spans="1:36" x14ac:dyDescent="0.3">
      <c r="A31" s="252" t="s">
        <v>139</v>
      </c>
      <c r="B31" s="253">
        <v>45991</v>
      </c>
      <c r="C31" s="254" t="s">
        <v>587</v>
      </c>
      <c r="D31" s="255" t="s">
        <v>795</v>
      </c>
      <c r="E31" s="254" t="s">
        <v>586</v>
      </c>
      <c r="F31" s="254" t="s">
        <v>141</v>
      </c>
      <c r="G31" s="256">
        <v>1</v>
      </c>
      <c r="H31" s="257">
        <v>180</v>
      </c>
      <c r="I31" s="257">
        <v>180</v>
      </c>
      <c r="J31" s="257">
        <v>90</v>
      </c>
      <c r="K31" s="254" t="s">
        <v>142</v>
      </c>
      <c r="L31" s="258" t="s">
        <v>627</v>
      </c>
      <c r="M31" s="257">
        <v>0</v>
      </c>
      <c r="N31" s="257">
        <v>0</v>
      </c>
      <c r="O31" s="257">
        <v>0</v>
      </c>
      <c r="P31" s="254" t="s">
        <v>33</v>
      </c>
      <c r="Q31" s="250"/>
      <c r="R31" s="250"/>
      <c r="S31" s="250"/>
      <c r="T31" s="250"/>
      <c r="U31" s="250"/>
      <c r="V31" s="250"/>
      <c r="W31" s="250"/>
      <c r="X31" s="250"/>
      <c r="Y31" s="257" t="s">
        <v>320</v>
      </c>
      <c r="Z31" s="257" t="s">
        <v>464</v>
      </c>
      <c r="AA31" s="257" t="s">
        <v>303</v>
      </c>
      <c r="AB31" s="257" t="s">
        <v>401</v>
      </c>
      <c r="AC31" s="257" t="s">
        <v>533</v>
      </c>
      <c r="AD31" s="257" t="s">
        <v>799</v>
      </c>
      <c r="AE31" s="257" t="s">
        <v>85</v>
      </c>
      <c r="AF31" s="257" t="s">
        <v>323</v>
      </c>
      <c r="AG31" s="250"/>
      <c r="AH31" s="250"/>
      <c r="AI31" s="257" t="s">
        <v>479</v>
      </c>
      <c r="AJ31" s="250"/>
    </row>
    <row r="32" spans="1:36" x14ac:dyDescent="0.3">
      <c r="A32" s="252" t="s">
        <v>139</v>
      </c>
      <c r="B32" s="253">
        <v>45991</v>
      </c>
      <c r="C32" s="254" t="s">
        <v>610</v>
      </c>
      <c r="D32" s="255" t="s">
        <v>784</v>
      </c>
      <c r="E32" s="254" t="s">
        <v>586</v>
      </c>
      <c r="F32" s="254" t="s">
        <v>141</v>
      </c>
      <c r="G32" s="256">
        <v>1</v>
      </c>
      <c r="H32" s="257">
        <v>180</v>
      </c>
      <c r="I32" s="257">
        <v>180</v>
      </c>
      <c r="J32" s="257">
        <v>86</v>
      </c>
      <c r="K32" s="254" t="s">
        <v>142</v>
      </c>
      <c r="L32" s="258" t="s">
        <v>102</v>
      </c>
      <c r="M32" s="257">
        <v>0</v>
      </c>
      <c r="N32" s="257">
        <v>0</v>
      </c>
      <c r="O32" s="257">
        <v>23</v>
      </c>
      <c r="P32" s="254" t="s">
        <v>33</v>
      </c>
      <c r="Q32" s="250"/>
      <c r="R32" s="250"/>
      <c r="S32" s="250"/>
      <c r="T32" s="250"/>
      <c r="U32" s="250"/>
      <c r="V32" s="250"/>
      <c r="W32" s="257" t="s">
        <v>266</v>
      </c>
      <c r="X32" s="257" t="s">
        <v>210</v>
      </c>
      <c r="Y32" s="257" t="s">
        <v>822</v>
      </c>
      <c r="Z32" s="257" t="s">
        <v>812</v>
      </c>
      <c r="AA32" s="257" t="s">
        <v>153</v>
      </c>
      <c r="AB32" s="257" t="s">
        <v>231</v>
      </c>
      <c r="AC32" s="257" t="s">
        <v>192</v>
      </c>
      <c r="AD32" s="257" t="s">
        <v>255</v>
      </c>
      <c r="AE32" s="257" t="s">
        <v>100</v>
      </c>
      <c r="AF32" s="257" t="s">
        <v>221</v>
      </c>
      <c r="AG32" s="257" t="s">
        <v>759</v>
      </c>
      <c r="AH32" s="250"/>
      <c r="AI32" s="257" t="s">
        <v>754</v>
      </c>
      <c r="AJ32" s="250"/>
    </row>
    <row r="33" spans="1:36" x14ac:dyDescent="0.3">
      <c r="A33" s="252" t="s">
        <v>139</v>
      </c>
      <c r="B33" s="253">
        <v>45991</v>
      </c>
      <c r="C33" s="254" t="s">
        <v>591</v>
      </c>
      <c r="D33" s="255" t="s">
        <v>823</v>
      </c>
      <c r="E33" s="254" t="s">
        <v>586</v>
      </c>
      <c r="F33" s="254" t="s">
        <v>141</v>
      </c>
      <c r="G33" s="256">
        <v>1</v>
      </c>
      <c r="H33" s="257">
        <v>180</v>
      </c>
      <c r="I33" s="257">
        <v>180</v>
      </c>
      <c r="J33" s="257">
        <v>89</v>
      </c>
      <c r="K33" s="254" t="s">
        <v>142</v>
      </c>
      <c r="L33" s="258" t="s">
        <v>32</v>
      </c>
      <c r="M33" s="257">
        <v>0</v>
      </c>
      <c r="N33" s="257">
        <v>0</v>
      </c>
      <c r="O33" s="257">
        <v>4</v>
      </c>
      <c r="P33" s="254" t="s">
        <v>33</v>
      </c>
      <c r="Q33" s="250"/>
      <c r="R33" s="250"/>
      <c r="S33" s="250"/>
      <c r="T33" s="250"/>
      <c r="U33" s="250"/>
      <c r="V33" s="250"/>
      <c r="W33" s="250"/>
      <c r="X33" s="250"/>
      <c r="Y33" s="257" t="s">
        <v>217</v>
      </c>
      <c r="Z33" s="257" t="s">
        <v>429</v>
      </c>
      <c r="AA33" s="257" t="s">
        <v>561</v>
      </c>
      <c r="AB33" s="257" t="s">
        <v>231</v>
      </c>
      <c r="AC33" s="257" t="s">
        <v>242</v>
      </c>
      <c r="AD33" s="257" t="s">
        <v>744</v>
      </c>
      <c r="AE33" s="257" t="s">
        <v>585</v>
      </c>
      <c r="AF33" s="257" t="s">
        <v>323</v>
      </c>
      <c r="AG33" s="250"/>
      <c r="AH33" s="250"/>
      <c r="AI33" s="257" t="s">
        <v>824</v>
      </c>
      <c r="AJ33" s="250"/>
    </row>
    <row r="34" spans="1:36" x14ac:dyDescent="0.3">
      <c r="A34" s="252" t="s">
        <v>139</v>
      </c>
      <c r="B34" s="253">
        <v>45991</v>
      </c>
      <c r="C34" s="254" t="s">
        <v>589</v>
      </c>
      <c r="D34" s="255" t="s">
        <v>825</v>
      </c>
      <c r="E34" s="254" t="s">
        <v>586</v>
      </c>
      <c r="F34" s="254" t="s">
        <v>141</v>
      </c>
      <c r="G34" s="256">
        <v>0.99439999999999995</v>
      </c>
      <c r="H34" s="257">
        <v>180</v>
      </c>
      <c r="I34" s="257">
        <v>179</v>
      </c>
      <c r="J34" s="257">
        <v>90</v>
      </c>
      <c r="K34" s="254" t="s">
        <v>142</v>
      </c>
      <c r="L34" s="258" t="s">
        <v>75</v>
      </c>
      <c r="M34" s="257">
        <v>1</v>
      </c>
      <c r="N34" s="257">
        <v>3</v>
      </c>
      <c r="O34" s="257">
        <v>31</v>
      </c>
      <c r="P34" s="254" t="s">
        <v>33</v>
      </c>
      <c r="Q34" s="250"/>
      <c r="R34" s="250"/>
      <c r="S34" s="250"/>
      <c r="T34" s="250"/>
      <c r="U34" s="250"/>
      <c r="V34" s="250"/>
      <c r="W34" s="250"/>
      <c r="X34" s="257" t="s">
        <v>38</v>
      </c>
      <c r="Y34" s="257" t="s">
        <v>287</v>
      </c>
      <c r="Z34" s="257" t="s">
        <v>792</v>
      </c>
      <c r="AA34" s="257" t="s">
        <v>212</v>
      </c>
      <c r="AB34" s="257" t="s">
        <v>304</v>
      </c>
      <c r="AC34" s="257" t="s">
        <v>771</v>
      </c>
      <c r="AD34" s="250"/>
      <c r="AE34" s="250"/>
      <c r="AF34" s="250"/>
      <c r="AG34" s="250"/>
      <c r="AH34" s="250"/>
      <c r="AI34" s="257" t="s">
        <v>479</v>
      </c>
      <c r="AJ34" s="250"/>
    </row>
    <row r="35" spans="1:36" x14ac:dyDescent="0.3">
      <c r="A35" s="252" t="s">
        <v>139</v>
      </c>
      <c r="B35" s="253">
        <v>45991</v>
      </c>
      <c r="C35" s="254" t="s">
        <v>595</v>
      </c>
      <c r="D35" s="255" t="s">
        <v>556</v>
      </c>
      <c r="E35" s="254" t="s">
        <v>586</v>
      </c>
      <c r="F35" s="254" t="s">
        <v>141</v>
      </c>
      <c r="G35" s="256">
        <v>0.99439999999999995</v>
      </c>
      <c r="H35" s="257">
        <v>180</v>
      </c>
      <c r="I35" s="257">
        <v>179</v>
      </c>
      <c r="J35" s="257">
        <v>90</v>
      </c>
      <c r="K35" s="254" t="s">
        <v>142</v>
      </c>
      <c r="L35" s="258" t="s">
        <v>37</v>
      </c>
      <c r="M35" s="257">
        <v>0</v>
      </c>
      <c r="N35" s="257">
        <v>4</v>
      </c>
      <c r="O35" s="257">
        <v>15</v>
      </c>
      <c r="P35" s="254" t="s">
        <v>33</v>
      </c>
      <c r="Q35" s="250"/>
      <c r="R35" s="250"/>
      <c r="S35" s="250"/>
      <c r="T35" s="250"/>
      <c r="U35" s="250"/>
      <c r="V35" s="250"/>
      <c r="W35" s="257" t="s">
        <v>43</v>
      </c>
      <c r="X35" s="257" t="s">
        <v>293</v>
      </c>
      <c r="Y35" s="257" t="s">
        <v>480</v>
      </c>
      <c r="Z35" s="257" t="s">
        <v>317</v>
      </c>
      <c r="AA35" s="257" t="s">
        <v>60</v>
      </c>
      <c r="AB35" s="257" t="s">
        <v>62</v>
      </c>
      <c r="AC35" s="257" t="s">
        <v>155</v>
      </c>
      <c r="AD35" s="257" t="s">
        <v>255</v>
      </c>
      <c r="AE35" s="257" t="s">
        <v>100</v>
      </c>
      <c r="AF35" s="257" t="s">
        <v>221</v>
      </c>
      <c r="AG35" s="250"/>
      <c r="AH35" s="250"/>
      <c r="AI35" s="257" t="s">
        <v>479</v>
      </c>
      <c r="AJ35" s="250"/>
    </row>
    <row r="36" spans="1:36" x14ac:dyDescent="0.3">
      <c r="A36" s="252" t="s">
        <v>149</v>
      </c>
      <c r="B36" s="253">
        <v>45992</v>
      </c>
      <c r="C36" s="254" t="s">
        <v>587</v>
      </c>
      <c r="D36" s="255" t="s">
        <v>743</v>
      </c>
      <c r="E36" s="254" t="s">
        <v>586</v>
      </c>
      <c r="F36" s="254" t="s">
        <v>141</v>
      </c>
      <c r="G36" s="256">
        <v>0.9889</v>
      </c>
      <c r="H36" s="257">
        <v>180</v>
      </c>
      <c r="I36" s="257">
        <v>178</v>
      </c>
      <c r="J36" s="257">
        <v>96</v>
      </c>
      <c r="K36" s="254" t="s">
        <v>142</v>
      </c>
      <c r="L36" s="258" t="s">
        <v>47</v>
      </c>
      <c r="M36" s="257">
        <v>0</v>
      </c>
      <c r="N36" s="257">
        <v>0</v>
      </c>
      <c r="O36" s="257">
        <v>27</v>
      </c>
      <c r="P36" s="254" t="s">
        <v>33</v>
      </c>
      <c r="Q36" s="250"/>
      <c r="R36" s="250"/>
      <c r="S36" s="250"/>
      <c r="T36" s="250"/>
      <c r="U36" s="250"/>
      <c r="V36" s="250"/>
      <c r="W36" s="250"/>
      <c r="X36" s="250"/>
      <c r="Y36" s="250"/>
      <c r="Z36" s="257" t="s">
        <v>451</v>
      </c>
      <c r="AA36" s="257" t="s">
        <v>212</v>
      </c>
      <c r="AB36" s="257" t="s">
        <v>390</v>
      </c>
      <c r="AC36" s="257" t="s">
        <v>328</v>
      </c>
      <c r="AD36" s="257" t="s">
        <v>228</v>
      </c>
      <c r="AE36" s="257" t="s">
        <v>85</v>
      </c>
      <c r="AF36" s="257" t="s">
        <v>323</v>
      </c>
      <c r="AG36" s="250"/>
      <c r="AH36" s="250"/>
      <c r="AI36" s="257" t="s">
        <v>826</v>
      </c>
      <c r="AJ36" s="257" t="s">
        <v>794</v>
      </c>
    </row>
    <row r="37" spans="1:36" x14ac:dyDescent="0.3">
      <c r="A37" s="252" t="s">
        <v>149</v>
      </c>
      <c r="B37" s="253">
        <v>45992</v>
      </c>
      <c r="C37" s="254" t="s">
        <v>589</v>
      </c>
      <c r="D37" s="255" t="s">
        <v>462</v>
      </c>
      <c r="E37" s="254" t="s">
        <v>586</v>
      </c>
      <c r="F37" s="254" t="s">
        <v>141</v>
      </c>
      <c r="G37" s="256">
        <v>0.90559999999999996</v>
      </c>
      <c r="H37" s="257">
        <v>180</v>
      </c>
      <c r="I37" s="257">
        <v>163</v>
      </c>
      <c r="J37" s="257">
        <v>115</v>
      </c>
      <c r="K37" s="254" t="s">
        <v>142</v>
      </c>
      <c r="L37" s="258" t="s">
        <v>37</v>
      </c>
      <c r="M37" s="257">
        <v>0</v>
      </c>
      <c r="N37" s="257">
        <v>1</v>
      </c>
      <c r="O37" s="257">
        <v>5</v>
      </c>
      <c r="P37" s="254" t="s">
        <v>366</v>
      </c>
      <c r="Q37" s="250"/>
      <c r="R37" s="250"/>
      <c r="S37" s="250"/>
      <c r="T37" s="250"/>
      <c r="U37" s="250"/>
      <c r="V37" s="250"/>
      <c r="W37" s="257" t="s">
        <v>43</v>
      </c>
      <c r="X37" s="250"/>
      <c r="Y37" s="250"/>
      <c r="Z37" s="257" t="s">
        <v>451</v>
      </c>
      <c r="AA37" s="250"/>
      <c r="AB37" s="250"/>
      <c r="AC37" s="257" t="s">
        <v>202</v>
      </c>
      <c r="AD37" s="257" t="s">
        <v>228</v>
      </c>
      <c r="AE37" s="257" t="s">
        <v>85</v>
      </c>
      <c r="AF37" s="257" t="s">
        <v>248</v>
      </c>
      <c r="AG37" s="250"/>
      <c r="AH37" s="250"/>
      <c r="AI37" s="257" t="s">
        <v>458</v>
      </c>
      <c r="AJ37" s="250"/>
    </row>
    <row r="38" spans="1:36" x14ac:dyDescent="0.3">
      <c r="A38" s="252" t="s">
        <v>149</v>
      </c>
      <c r="B38" s="253">
        <v>45992</v>
      </c>
      <c r="C38" s="254" t="s">
        <v>591</v>
      </c>
      <c r="D38" s="255" t="s">
        <v>515</v>
      </c>
      <c r="E38" s="254" t="s">
        <v>586</v>
      </c>
      <c r="F38" s="254" t="s">
        <v>141</v>
      </c>
      <c r="G38" s="256">
        <v>0.62780000000000002</v>
      </c>
      <c r="H38" s="257">
        <v>180</v>
      </c>
      <c r="I38" s="257">
        <v>113</v>
      </c>
      <c r="J38" s="257">
        <v>0</v>
      </c>
      <c r="K38" s="254" t="s">
        <v>142</v>
      </c>
      <c r="L38" s="258" t="s">
        <v>37</v>
      </c>
      <c r="M38" s="257">
        <v>0</v>
      </c>
      <c r="N38" s="257">
        <v>5</v>
      </c>
      <c r="O38" s="257">
        <v>41</v>
      </c>
      <c r="P38" s="254" t="s">
        <v>45</v>
      </c>
      <c r="Q38" s="250"/>
      <c r="R38" s="250"/>
      <c r="S38" s="250"/>
      <c r="T38" s="250"/>
      <c r="U38" s="250"/>
      <c r="V38" s="250"/>
      <c r="W38" s="257" t="s">
        <v>266</v>
      </c>
      <c r="X38" s="257" t="s">
        <v>293</v>
      </c>
      <c r="Y38" s="257" t="s">
        <v>190</v>
      </c>
      <c r="Z38" s="257" t="s">
        <v>315</v>
      </c>
      <c r="AA38" s="257" t="s">
        <v>219</v>
      </c>
      <c r="AB38" s="257" t="s">
        <v>827</v>
      </c>
      <c r="AC38" s="257" t="s">
        <v>533</v>
      </c>
      <c r="AD38" s="257" t="s">
        <v>228</v>
      </c>
      <c r="AE38" s="257" t="s">
        <v>85</v>
      </c>
      <c r="AF38" s="257" t="s">
        <v>323</v>
      </c>
      <c r="AG38" s="250"/>
      <c r="AH38" s="250"/>
      <c r="AI38" s="250"/>
      <c r="AJ38" s="250"/>
    </row>
    <row r="39" spans="1:36" x14ac:dyDescent="0.3">
      <c r="A39" s="252" t="s">
        <v>157</v>
      </c>
      <c r="B39" s="253">
        <v>45993</v>
      </c>
      <c r="C39" s="254" t="s">
        <v>593</v>
      </c>
      <c r="D39" s="255" t="s">
        <v>752</v>
      </c>
      <c r="E39" s="254" t="s">
        <v>586</v>
      </c>
      <c r="F39" s="254" t="s">
        <v>141</v>
      </c>
      <c r="G39" s="256">
        <v>0.7389</v>
      </c>
      <c r="H39" s="257">
        <v>180</v>
      </c>
      <c r="I39" s="257">
        <v>133</v>
      </c>
      <c r="J39" s="257">
        <v>60</v>
      </c>
      <c r="K39" s="254" t="s">
        <v>142</v>
      </c>
      <c r="L39" s="258" t="s">
        <v>37</v>
      </c>
      <c r="M39" s="257">
        <v>0</v>
      </c>
      <c r="N39" s="257">
        <v>7</v>
      </c>
      <c r="O39" s="257">
        <v>36</v>
      </c>
      <c r="P39" s="254" t="s">
        <v>312</v>
      </c>
      <c r="Q39" s="250"/>
      <c r="R39" s="250"/>
      <c r="S39" s="250"/>
      <c r="T39" s="250"/>
      <c r="U39" s="250"/>
      <c r="V39" s="250"/>
      <c r="W39" s="250"/>
      <c r="X39" s="250"/>
      <c r="Y39" s="250"/>
      <c r="Z39" s="257" t="s">
        <v>422</v>
      </c>
      <c r="AA39" s="257" t="s">
        <v>60</v>
      </c>
      <c r="AB39" s="257" t="s">
        <v>399</v>
      </c>
      <c r="AC39" s="257" t="s">
        <v>583</v>
      </c>
      <c r="AD39" s="257" t="s">
        <v>228</v>
      </c>
      <c r="AE39" s="257" t="s">
        <v>85</v>
      </c>
      <c r="AF39" s="257" t="s">
        <v>323</v>
      </c>
      <c r="AG39" s="250"/>
      <c r="AH39" s="250"/>
      <c r="AI39" s="257" t="s">
        <v>828</v>
      </c>
      <c r="AJ39" s="250"/>
    </row>
    <row r="40" spans="1:36" x14ac:dyDescent="0.3">
      <c r="A40" s="252" t="s">
        <v>157</v>
      </c>
      <c r="B40" s="253">
        <v>45993</v>
      </c>
      <c r="C40" s="254" t="s">
        <v>595</v>
      </c>
      <c r="D40" s="255" t="s">
        <v>296</v>
      </c>
      <c r="E40" s="254" t="s">
        <v>586</v>
      </c>
      <c r="F40" s="254" t="s">
        <v>141</v>
      </c>
      <c r="G40" s="256">
        <v>0.9556</v>
      </c>
      <c r="H40" s="257">
        <v>180</v>
      </c>
      <c r="I40" s="257">
        <v>172</v>
      </c>
      <c r="J40" s="257">
        <v>130</v>
      </c>
      <c r="K40" s="254" t="s">
        <v>142</v>
      </c>
      <c r="L40" s="258" t="s">
        <v>107</v>
      </c>
      <c r="M40" s="257">
        <v>0</v>
      </c>
      <c r="N40" s="257">
        <v>0</v>
      </c>
      <c r="O40" s="257">
        <v>9</v>
      </c>
      <c r="P40" s="254" t="s">
        <v>637</v>
      </c>
      <c r="Q40" s="250"/>
      <c r="R40" s="250"/>
      <c r="S40" s="250"/>
      <c r="T40" s="250"/>
      <c r="U40" s="250"/>
      <c r="V40" s="250"/>
      <c r="W40" s="250"/>
      <c r="X40" s="250"/>
      <c r="Y40" s="250"/>
      <c r="Z40" s="257" t="s">
        <v>199</v>
      </c>
      <c r="AA40" s="250"/>
      <c r="AB40" s="250"/>
      <c r="AC40" s="257" t="s">
        <v>71</v>
      </c>
      <c r="AD40" s="257" t="s">
        <v>228</v>
      </c>
      <c r="AE40" s="257" t="s">
        <v>85</v>
      </c>
      <c r="AF40" s="257" t="s">
        <v>323</v>
      </c>
      <c r="AG40" s="250"/>
      <c r="AH40" s="257" t="s">
        <v>829</v>
      </c>
      <c r="AI40" s="257" t="s">
        <v>479</v>
      </c>
      <c r="AJ40" s="250"/>
    </row>
    <row r="41" spans="1:36" x14ac:dyDescent="0.3">
      <c r="A41" s="252" t="s">
        <v>157</v>
      </c>
      <c r="B41" s="253">
        <v>45993</v>
      </c>
      <c r="C41" s="254" t="s">
        <v>589</v>
      </c>
      <c r="D41" s="255" t="s">
        <v>462</v>
      </c>
      <c r="E41" s="254" t="s">
        <v>586</v>
      </c>
      <c r="F41" s="254" t="s">
        <v>141</v>
      </c>
      <c r="G41" s="256">
        <v>0.93330000000000002</v>
      </c>
      <c r="H41" s="257">
        <v>180</v>
      </c>
      <c r="I41" s="257">
        <v>168</v>
      </c>
      <c r="J41" s="257">
        <v>93</v>
      </c>
      <c r="K41" s="254" t="s">
        <v>142</v>
      </c>
      <c r="L41" s="258" t="s">
        <v>75</v>
      </c>
      <c r="M41" s="257">
        <v>1</v>
      </c>
      <c r="N41" s="257">
        <v>13</v>
      </c>
      <c r="O41" s="257">
        <v>41</v>
      </c>
      <c r="P41" s="254" t="s">
        <v>66</v>
      </c>
      <c r="Q41" s="250"/>
      <c r="R41" s="250"/>
      <c r="S41" s="250"/>
      <c r="T41" s="250"/>
      <c r="U41" s="250"/>
      <c r="V41" s="250"/>
      <c r="W41" s="250"/>
      <c r="X41" s="250"/>
      <c r="Y41" s="250"/>
      <c r="Z41" s="257" t="s">
        <v>226</v>
      </c>
      <c r="AA41" s="257" t="s">
        <v>229</v>
      </c>
      <c r="AB41" s="257" t="s">
        <v>163</v>
      </c>
      <c r="AC41" s="257" t="s">
        <v>533</v>
      </c>
      <c r="AD41" s="257" t="s">
        <v>747</v>
      </c>
      <c r="AE41" s="257" t="s">
        <v>85</v>
      </c>
      <c r="AF41" s="257" t="s">
        <v>323</v>
      </c>
      <c r="AG41" s="250"/>
      <c r="AH41" s="250"/>
      <c r="AI41" s="257" t="s">
        <v>830</v>
      </c>
      <c r="AJ41" s="257" t="s">
        <v>794</v>
      </c>
    </row>
    <row r="42" spans="1:36" x14ac:dyDescent="0.3">
      <c r="A42" s="252" t="s">
        <v>157</v>
      </c>
      <c r="B42" s="253">
        <v>45993</v>
      </c>
      <c r="C42" s="254" t="s">
        <v>591</v>
      </c>
      <c r="D42" s="255" t="s">
        <v>758</v>
      </c>
      <c r="E42" s="254" t="s">
        <v>586</v>
      </c>
      <c r="F42" s="254" t="s">
        <v>141</v>
      </c>
      <c r="G42" s="256">
        <v>0.90559999999999996</v>
      </c>
      <c r="H42" s="257">
        <v>180</v>
      </c>
      <c r="I42" s="257">
        <v>163</v>
      </c>
      <c r="J42" s="257">
        <v>95</v>
      </c>
      <c r="K42" s="254" t="s">
        <v>142</v>
      </c>
      <c r="L42" s="258" t="s">
        <v>37</v>
      </c>
      <c r="M42" s="257">
        <v>0</v>
      </c>
      <c r="N42" s="257">
        <v>5</v>
      </c>
      <c r="O42" s="257">
        <v>32</v>
      </c>
      <c r="P42" s="254" t="s">
        <v>229</v>
      </c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7" t="s">
        <v>66</v>
      </c>
      <c r="AB42" s="257" t="s">
        <v>563</v>
      </c>
      <c r="AC42" s="257" t="s">
        <v>242</v>
      </c>
      <c r="AD42" s="257" t="s">
        <v>747</v>
      </c>
      <c r="AE42" s="257" t="s">
        <v>85</v>
      </c>
      <c r="AF42" s="257" t="s">
        <v>323</v>
      </c>
      <c r="AG42" s="250"/>
      <c r="AH42" s="250"/>
      <c r="AI42" s="257" t="s">
        <v>757</v>
      </c>
      <c r="AJ42" s="250"/>
    </row>
    <row r="43" spans="1:36" x14ac:dyDescent="0.3">
      <c r="A43" s="252" t="s">
        <v>157</v>
      </c>
      <c r="B43" s="253">
        <v>45993</v>
      </c>
      <c r="C43" s="254" t="s">
        <v>599</v>
      </c>
      <c r="D43" s="255" t="s">
        <v>760</v>
      </c>
      <c r="E43" s="254" t="s">
        <v>586</v>
      </c>
      <c r="F43" s="254" t="s">
        <v>141</v>
      </c>
      <c r="G43" s="256">
        <v>0.68889999999999996</v>
      </c>
      <c r="H43" s="257">
        <v>180</v>
      </c>
      <c r="I43" s="257">
        <v>124</v>
      </c>
      <c r="J43" s="257">
        <v>45</v>
      </c>
      <c r="K43" s="254" t="s">
        <v>142</v>
      </c>
      <c r="L43" s="258" t="s">
        <v>37</v>
      </c>
      <c r="M43" s="257">
        <v>0</v>
      </c>
      <c r="N43" s="257">
        <v>2</v>
      </c>
      <c r="O43" s="257">
        <v>35</v>
      </c>
      <c r="P43" s="254" t="s">
        <v>219</v>
      </c>
      <c r="Q43" s="250"/>
      <c r="R43" s="250"/>
      <c r="S43" s="250"/>
      <c r="T43" s="250"/>
      <c r="U43" s="250"/>
      <c r="V43" s="250"/>
      <c r="W43" s="250"/>
      <c r="X43" s="250"/>
      <c r="Y43" s="250"/>
      <c r="Z43" s="257" t="s">
        <v>226</v>
      </c>
      <c r="AA43" s="257" t="s">
        <v>175</v>
      </c>
      <c r="AB43" s="257" t="s">
        <v>399</v>
      </c>
      <c r="AC43" s="257" t="s">
        <v>831</v>
      </c>
      <c r="AD43" s="257" t="s">
        <v>832</v>
      </c>
      <c r="AE43" s="257" t="s">
        <v>85</v>
      </c>
      <c r="AF43" s="257" t="s">
        <v>323</v>
      </c>
      <c r="AG43" s="250"/>
      <c r="AH43" s="250"/>
      <c r="AI43" s="257" t="s">
        <v>475</v>
      </c>
      <c r="AJ43" s="250"/>
    </row>
    <row r="44" spans="1:36" x14ac:dyDescent="0.3">
      <c r="A44" s="252" t="s">
        <v>157</v>
      </c>
      <c r="B44" s="253">
        <v>45993</v>
      </c>
      <c r="C44" s="254" t="s">
        <v>587</v>
      </c>
      <c r="D44" s="255" t="s">
        <v>762</v>
      </c>
      <c r="E44" s="254" t="s">
        <v>586</v>
      </c>
      <c r="F44" s="254" t="s">
        <v>141</v>
      </c>
      <c r="G44" s="256">
        <v>0.58330000000000004</v>
      </c>
      <c r="H44" s="257">
        <v>180</v>
      </c>
      <c r="I44" s="257">
        <v>105</v>
      </c>
      <c r="J44" s="257">
        <v>45</v>
      </c>
      <c r="K44" s="254" t="s">
        <v>142</v>
      </c>
      <c r="L44" s="258" t="s">
        <v>37</v>
      </c>
      <c r="M44" s="257">
        <v>0</v>
      </c>
      <c r="N44" s="257">
        <v>6</v>
      </c>
      <c r="O44" s="257">
        <v>25</v>
      </c>
      <c r="P44" s="254" t="s">
        <v>219</v>
      </c>
      <c r="Q44" s="250"/>
      <c r="R44" s="250"/>
      <c r="S44" s="250"/>
      <c r="T44" s="250"/>
      <c r="U44" s="250"/>
      <c r="V44" s="250"/>
      <c r="W44" s="250"/>
      <c r="X44" s="250"/>
      <c r="Y44" s="250"/>
      <c r="Z44" s="250"/>
      <c r="AA44" s="257" t="s">
        <v>175</v>
      </c>
      <c r="AB44" s="257" t="s">
        <v>399</v>
      </c>
      <c r="AC44" s="257" t="s">
        <v>533</v>
      </c>
      <c r="AD44" s="257" t="s">
        <v>228</v>
      </c>
      <c r="AE44" s="257" t="s">
        <v>85</v>
      </c>
      <c r="AF44" s="257" t="s">
        <v>323</v>
      </c>
      <c r="AG44" s="250"/>
      <c r="AH44" s="250"/>
      <c r="AI44" s="257" t="s">
        <v>475</v>
      </c>
      <c r="AJ44" s="250"/>
    </row>
    <row r="45" spans="1:36" x14ac:dyDescent="0.3">
      <c r="A45" s="252" t="s">
        <v>166</v>
      </c>
      <c r="B45" s="253">
        <v>45994</v>
      </c>
      <c r="C45" s="254" t="s">
        <v>599</v>
      </c>
      <c r="D45" s="255" t="s">
        <v>768</v>
      </c>
      <c r="E45" s="254" t="s">
        <v>586</v>
      </c>
      <c r="F45" s="254" t="s">
        <v>141</v>
      </c>
      <c r="G45" s="256">
        <v>0.44440000000000002</v>
      </c>
      <c r="H45" s="257">
        <v>180</v>
      </c>
      <c r="I45" s="257">
        <v>80</v>
      </c>
      <c r="J45" s="257">
        <v>20</v>
      </c>
      <c r="K45" s="254" t="s">
        <v>142</v>
      </c>
      <c r="L45" s="258" t="s">
        <v>37</v>
      </c>
      <c r="M45" s="257">
        <v>0</v>
      </c>
      <c r="N45" s="257">
        <v>7</v>
      </c>
      <c r="O45" s="257">
        <v>45</v>
      </c>
      <c r="P45" s="254" t="s">
        <v>153</v>
      </c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7" t="s">
        <v>399</v>
      </c>
      <c r="AC45" s="257" t="s">
        <v>533</v>
      </c>
      <c r="AD45" s="257" t="s">
        <v>228</v>
      </c>
      <c r="AE45" s="257" t="s">
        <v>251</v>
      </c>
      <c r="AF45" s="257" t="s">
        <v>323</v>
      </c>
      <c r="AG45" s="250"/>
      <c r="AH45" s="250"/>
      <c r="AI45" s="257" t="s">
        <v>833</v>
      </c>
      <c r="AJ45" s="250"/>
    </row>
    <row r="46" spans="1:36" x14ac:dyDescent="0.3">
      <c r="A46" s="252" t="s">
        <v>166</v>
      </c>
      <c r="B46" s="253">
        <v>45994</v>
      </c>
      <c r="C46" s="254" t="s">
        <v>587</v>
      </c>
      <c r="D46" s="255" t="s">
        <v>769</v>
      </c>
      <c r="E46" s="254" t="s">
        <v>586</v>
      </c>
      <c r="F46" s="254" t="s">
        <v>141</v>
      </c>
      <c r="G46" s="256">
        <v>0.90559999999999996</v>
      </c>
      <c r="H46" s="257">
        <v>180</v>
      </c>
      <c r="I46" s="257">
        <v>163</v>
      </c>
      <c r="J46" s="257">
        <v>90</v>
      </c>
      <c r="K46" s="254" t="s">
        <v>142</v>
      </c>
      <c r="L46" s="258" t="s">
        <v>37</v>
      </c>
      <c r="M46" s="257">
        <v>0</v>
      </c>
      <c r="N46" s="257">
        <v>6</v>
      </c>
      <c r="O46" s="257">
        <v>32</v>
      </c>
      <c r="P46" s="254" t="s">
        <v>64</v>
      </c>
      <c r="Q46" s="250"/>
      <c r="R46" s="250"/>
      <c r="S46" s="250"/>
      <c r="T46" s="250"/>
      <c r="U46" s="250"/>
      <c r="V46" s="250"/>
      <c r="W46" s="250"/>
      <c r="X46" s="250"/>
      <c r="Y46" s="250"/>
      <c r="Z46" s="257" t="s">
        <v>56</v>
      </c>
      <c r="AA46" s="250"/>
      <c r="AB46" s="257" t="s">
        <v>201</v>
      </c>
      <c r="AC46" s="257" t="s">
        <v>533</v>
      </c>
      <c r="AD46" s="257" t="s">
        <v>235</v>
      </c>
      <c r="AE46" s="257" t="s">
        <v>834</v>
      </c>
      <c r="AF46" s="257" t="s">
        <v>323</v>
      </c>
      <c r="AG46" s="257" t="s">
        <v>835</v>
      </c>
      <c r="AH46" s="250"/>
      <c r="AI46" s="257" t="s">
        <v>475</v>
      </c>
      <c r="AJ46" s="250"/>
    </row>
    <row r="47" spans="1:36" x14ac:dyDescent="0.3">
      <c r="A47" s="252" t="s">
        <v>166</v>
      </c>
      <c r="B47" s="253">
        <v>45994</v>
      </c>
      <c r="C47" s="254" t="s">
        <v>591</v>
      </c>
      <c r="D47" s="255" t="s">
        <v>773</v>
      </c>
      <c r="E47" s="254" t="s">
        <v>586</v>
      </c>
      <c r="F47" s="254" t="s">
        <v>141</v>
      </c>
      <c r="G47" s="256">
        <v>0.94440000000000002</v>
      </c>
      <c r="H47" s="257">
        <v>180</v>
      </c>
      <c r="I47" s="257">
        <v>170</v>
      </c>
      <c r="J47" s="257">
        <v>135</v>
      </c>
      <c r="K47" s="254" t="s">
        <v>142</v>
      </c>
      <c r="L47" s="258" t="s">
        <v>82</v>
      </c>
      <c r="M47" s="257">
        <v>0</v>
      </c>
      <c r="N47" s="257">
        <v>0</v>
      </c>
      <c r="O47" s="257">
        <v>9</v>
      </c>
      <c r="P47" s="254" t="s">
        <v>62</v>
      </c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7" t="s">
        <v>99</v>
      </c>
      <c r="AE47" s="257" t="s">
        <v>251</v>
      </c>
      <c r="AF47" s="257" t="s">
        <v>323</v>
      </c>
      <c r="AG47" s="257" t="s">
        <v>835</v>
      </c>
      <c r="AH47" s="250"/>
      <c r="AI47" s="257" t="s">
        <v>479</v>
      </c>
      <c r="AJ47" s="250"/>
    </row>
    <row r="48" spans="1:36" x14ac:dyDescent="0.3">
      <c r="A48" s="252" t="s">
        <v>166</v>
      </c>
      <c r="B48" s="253">
        <v>45994</v>
      </c>
      <c r="C48" s="254" t="s">
        <v>589</v>
      </c>
      <c r="D48" s="255" t="s">
        <v>462</v>
      </c>
      <c r="E48" s="254" t="s">
        <v>586</v>
      </c>
      <c r="F48" s="254" t="s">
        <v>141</v>
      </c>
      <c r="G48" s="256">
        <v>0.65559999999999996</v>
      </c>
      <c r="H48" s="257">
        <v>180</v>
      </c>
      <c r="I48" s="257">
        <v>118</v>
      </c>
      <c r="J48" s="257">
        <v>45</v>
      </c>
      <c r="K48" s="254" t="s">
        <v>142</v>
      </c>
      <c r="L48" s="258" t="s">
        <v>37</v>
      </c>
      <c r="M48" s="257">
        <v>0</v>
      </c>
      <c r="N48" s="257">
        <v>9</v>
      </c>
      <c r="O48" s="257">
        <v>34</v>
      </c>
      <c r="P48" s="254" t="s">
        <v>213</v>
      </c>
      <c r="Q48" s="250"/>
      <c r="R48" s="250"/>
      <c r="S48" s="250"/>
      <c r="T48" s="250"/>
      <c r="U48" s="250"/>
      <c r="V48" s="250"/>
      <c r="W48" s="250"/>
      <c r="X48" s="250"/>
      <c r="Y48" s="250"/>
      <c r="Z48" s="257" t="s">
        <v>294</v>
      </c>
      <c r="AA48" s="257" t="s">
        <v>229</v>
      </c>
      <c r="AB48" s="257" t="s">
        <v>62</v>
      </c>
      <c r="AC48" s="257" t="s">
        <v>533</v>
      </c>
      <c r="AD48" s="257" t="s">
        <v>228</v>
      </c>
      <c r="AE48" s="257" t="s">
        <v>834</v>
      </c>
      <c r="AF48" s="257" t="s">
        <v>323</v>
      </c>
      <c r="AG48" s="250"/>
      <c r="AH48" s="250"/>
      <c r="AI48" s="257" t="s">
        <v>475</v>
      </c>
      <c r="AJ48" s="250"/>
    </row>
    <row r="49" spans="1:36" x14ac:dyDescent="0.3">
      <c r="A49" s="252" t="s">
        <v>166</v>
      </c>
      <c r="B49" s="253">
        <v>45994</v>
      </c>
      <c r="C49" s="254" t="s">
        <v>593</v>
      </c>
      <c r="D49" s="255" t="s">
        <v>775</v>
      </c>
      <c r="E49" s="254" t="s">
        <v>586</v>
      </c>
      <c r="F49" s="254" t="s">
        <v>141</v>
      </c>
      <c r="G49" s="256">
        <v>0.34439999999999998</v>
      </c>
      <c r="H49" s="257">
        <v>180</v>
      </c>
      <c r="I49" s="257">
        <v>62</v>
      </c>
      <c r="J49" s="257">
        <v>0</v>
      </c>
      <c r="K49" s="254" t="s">
        <v>142</v>
      </c>
      <c r="L49" s="258" t="s">
        <v>37</v>
      </c>
      <c r="M49" s="257">
        <v>0</v>
      </c>
      <c r="N49" s="257">
        <v>3</v>
      </c>
      <c r="O49" s="257">
        <v>29</v>
      </c>
      <c r="P49" s="254" t="s">
        <v>304</v>
      </c>
      <c r="Q49" s="250"/>
      <c r="R49" s="250"/>
      <c r="S49" s="250"/>
      <c r="T49" s="250"/>
      <c r="U49" s="250"/>
      <c r="V49" s="250"/>
      <c r="W49" s="250"/>
      <c r="X49" s="250"/>
      <c r="Y49" s="250"/>
      <c r="Z49" s="257" t="s">
        <v>226</v>
      </c>
      <c r="AA49" s="250"/>
      <c r="AB49" s="257" t="s">
        <v>176</v>
      </c>
      <c r="AC49" s="257" t="s">
        <v>533</v>
      </c>
      <c r="AD49" s="257" t="s">
        <v>240</v>
      </c>
      <c r="AE49" s="257" t="s">
        <v>585</v>
      </c>
      <c r="AF49" s="257" t="s">
        <v>323</v>
      </c>
      <c r="AG49" s="250"/>
      <c r="AH49" s="250"/>
      <c r="AI49" s="250"/>
      <c r="AJ49" s="250"/>
    </row>
    <row r="50" spans="1:36" x14ac:dyDescent="0.3">
      <c r="A50" s="252" t="s">
        <v>179</v>
      </c>
      <c r="B50" s="253">
        <v>45995</v>
      </c>
      <c r="C50" s="254" t="s">
        <v>607</v>
      </c>
      <c r="D50" s="255" t="s">
        <v>779</v>
      </c>
      <c r="E50" s="254" t="s">
        <v>586</v>
      </c>
      <c r="F50" s="254" t="s">
        <v>141</v>
      </c>
      <c r="G50" s="256">
        <v>0.31669999999999998</v>
      </c>
      <c r="H50" s="257">
        <v>180</v>
      </c>
      <c r="I50" s="257">
        <v>57</v>
      </c>
      <c r="J50" s="257">
        <v>0</v>
      </c>
      <c r="K50" s="254" t="s">
        <v>142</v>
      </c>
      <c r="L50" s="258" t="s">
        <v>37</v>
      </c>
      <c r="M50" s="257">
        <v>0</v>
      </c>
      <c r="N50" s="257">
        <v>10</v>
      </c>
      <c r="O50" s="257">
        <v>25</v>
      </c>
      <c r="P50" s="254" t="s">
        <v>245</v>
      </c>
      <c r="Q50" s="250"/>
      <c r="R50" s="250"/>
      <c r="S50" s="250"/>
      <c r="T50" s="250"/>
      <c r="U50" s="250"/>
      <c r="V50" s="250"/>
      <c r="W50" s="250"/>
      <c r="X50" s="250"/>
      <c r="Y50" s="250"/>
      <c r="Z50" s="257" t="s">
        <v>233</v>
      </c>
      <c r="AA50" s="250"/>
      <c r="AB50" s="257" t="s">
        <v>88</v>
      </c>
      <c r="AC50" s="257" t="s">
        <v>155</v>
      </c>
      <c r="AD50" s="257" t="s">
        <v>228</v>
      </c>
      <c r="AE50" s="257" t="s">
        <v>85</v>
      </c>
      <c r="AF50" s="257" t="s">
        <v>358</v>
      </c>
      <c r="AG50" s="250"/>
      <c r="AH50" s="250"/>
      <c r="AI50" s="257" t="s">
        <v>767</v>
      </c>
      <c r="AJ50" s="257" t="s">
        <v>148</v>
      </c>
    </row>
    <row r="51" spans="1:36" x14ac:dyDescent="0.3">
      <c r="A51" s="252" t="s">
        <v>179</v>
      </c>
      <c r="B51" s="253">
        <v>45995</v>
      </c>
      <c r="C51" s="254" t="s">
        <v>587</v>
      </c>
      <c r="D51" s="255" t="s">
        <v>784</v>
      </c>
      <c r="E51" s="254" t="s">
        <v>586</v>
      </c>
      <c r="F51" s="254" t="s">
        <v>141</v>
      </c>
      <c r="G51" s="256">
        <v>0.65</v>
      </c>
      <c r="H51" s="257">
        <v>180</v>
      </c>
      <c r="I51" s="257">
        <v>117</v>
      </c>
      <c r="J51" s="257">
        <v>70</v>
      </c>
      <c r="K51" s="254" t="s">
        <v>142</v>
      </c>
      <c r="L51" s="258" t="s">
        <v>37</v>
      </c>
      <c r="M51" s="257">
        <v>0</v>
      </c>
      <c r="N51" s="257">
        <v>9</v>
      </c>
      <c r="O51" s="257">
        <v>24</v>
      </c>
      <c r="P51" s="254" t="s">
        <v>192</v>
      </c>
      <c r="Q51" s="250"/>
      <c r="R51" s="250"/>
      <c r="S51" s="250"/>
      <c r="T51" s="250"/>
      <c r="U51" s="250"/>
      <c r="V51" s="250"/>
      <c r="W51" s="250"/>
      <c r="X51" s="250"/>
      <c r="Y51" s="250"/>
      <c r="Z51" s="257" t="s">
        <v>233</v>
      </c>
      <c r="AA51" s="250"/>
      <c r="AB51" s="250"/>
      <c r="AC51" s="257" t="s">
        <v>836</v>
      </c>
      <c r="AD51" s="257" t="s">
        <v>228</v>
      </c>
      <c r="AE51" s="257" t="s">
        <v>85</v>
      </c>
      <c r="AF51" s="257" t="s">
        <v>323</v>
      </c>
      <c r="AG51" s="250"/>
      <c r="AH51" s="250"/>
      <c r="AI51" s="257" t="s">
        <v>837</v>
      </c>
      <c r="AJ51" s="250"/>
    </row>
    <row r="52" spans="1:36" x14ac:dyDescent="0.3">
      <c r="A52" s="252" t="s">
        <v>179</v>
      </c>
      <c r="B52" s="253">
        <v>45995</v>
      </c>
      <c r="C52" s="254" t="s">
        <v>610</v>
      </c>
      <c r="D52" s="255" t="s">
        <v>787</v>
      </c>
      <c r="E52" s="254" t="s">
        <v>586</v>
      </c>
      <c r="F52" s="254" t="s">
        <v>141</v>
      </c>
      <c r="G52" s="256">
        <v>0.27779999999999999</v>
      </c>
      <c r="H52" s="257">
        <v>180</v>
      </c>
      <c r="I52" s="257">
        <v>50</v>
      </c>
      <c r="J52" s="257">
        <v>0</v>
      </c>
      <c r="K52" s="254" t="s">
        <v>142</v>
      </c>
      <c r="L52" s="258" t="s">
        <v>37</v>
      </c>
      <c r="M52" s="257">
        <v>0</v>
      </c>
      <c r="N52" s="257">
        <v>5</v>
      </c>
      <c r="O52" s="257">
        <v>22</v>
      </c>
      <c r="P52" s="254" t="s">
        <v>202</v>
      </c>
      <c r="Q52" s="250"/>
      <c r="R52" s="250"/>
      <c r="S52" s="250"/>
      <c r="T52" s="250"/>
      <c r="U52" s="250"/>
      <c r="V52" s="250"/>
      <c r="W52" s="250"/>
      <c r="X52" s="250"/>
      <c r="Y52" s="250"/>
      <c r="Z52" s="257" t="s">
        <v>226</v>
      </c>
      <c r="AA52" s="250"/>
      <c r="AB52" s="250"/>
      <c r="AC52" s="257" t="s">
        <v>242</v>
      </c>
      <c r="AD52" s="257" t="s">
        <v>99</v>
      </c>
      <c r="AE52" s="257" t="s">
        <v>244</v>
      </c>
      <c r="AF52" s="257" t="s">
        <v>248</v>
      </c>
      <c r="AG52" s="250"/>
      <c r="AH52" s="250"/>
      <c r="AI52" s="250"/>
      <c r="AJ52" s="257" t="s">
        <v>756</v>
      </c>
    </row>
    <row r="53" spans="1:36" x14ac:dyDescent="0.3">
      <c r="A53" s="252" t="s">
        <v>179</v>
      </c>
      <c r="B53" s="253">
        <v>45995</v>
      </c>
      <c r="C53" s="254" t="s">
        <v>589</v>
      </c>
      <c r="D53" s="255" t="s">
        <v>186</v>
      </c>
      <c r="E53" s="254" t="s">
        <v>586</v>
      </c>
      <c r="F53" s="254" t="s">
        <v>141</v>
      </c>
      <c r="G53" s="256">
        <v>0.87780000000000002</v>
      </c>
      <c r="H53" s="257">
        <v>180</v>
      </c>
      <c r="I53" s="257">
        <v>158</v>
      </c>
      <c r="J53" s="257">
        <v>100</v>
      </c>
      <c r="K53" s="254" t="s">
        <v>142</v>
      </c>
      <c r="L53" s="258" t="s">
        <v>37</v>
      </c>
      <c r="M53" s="257">
        <v>0</v>
      </c>
      <c r="N53" s="257">
        <v>6</v>
      </c>
      <c r="O53" s="257">
        <v>15</v>
      </c>
      <c r="P53" s="254" t="s">
        <v>62</v>
      </c>
      <c r="Q53" s="250"/>
      <c r="R53" s="250"/>
      <c r="S53" s="250"/>
      <c r="T53" s="250"/>
      <c r="U53" s="250"/>
      <c r="V53" s="250"/>
      <c r="W53" s="250"/>
      <c r="X53" s="250"/>
      <c r="Y53" s="250"/>
      <c r="Z53" s="257" t="s">
        <v>211</v>
      </c>
      <c r="AA53" s="250"/>
      <c r="AB53" s="250"/>
      <c r="AC53" s="257" t="s">
        <v>583</v>
      </c>
      <c r="AD53" s="257" t="s">
        <v>99</v>
      </c>
      <c r="AE53" s="257" t="s">
        <v>85</v>
      </c>
      <c r="AF53" s="257" t="s">
        <v>838</v>
      </c>
      <c r="AG53" s="250"/>
      <c r="AH53" s="250"/>
      <c r="AI53" s="257" t="s">
        <v>839</v>
      </c>
      <c r="AJ53" s="257" t="s">
        <v>562</v>
      </c>
    </row>
    <row r="54" spans="1:36" x14ac:dyDescent="0.3">
      <c r="A54" s="252" t="s">
        <v>179</v>
      </c>
      <c r="B54" s="253">
        <v>45995</v>
      </c>
      <c r="C54" s="254" t="s">
        <v>595</v>
      </c>
      <c r="D54" s="255" t="s">
        <v>790</v>
      </c>
      <c r="E54" s="254" t="s">
        <v>586</v>
      </c>
      <c r="F54" s="254" t="s">
        <v>141</v>
      </c>
      <c r="G54" s="256">
        <v>0.7722</v>
      </c>
      <c r="H54" s="257">
        <v>180</v>
      </c>
      <c r="I54" s="257">
        <v>139</v>
      </c>
      <c r="J54" s="257">
        <v>92</v>
      </c>
      <c r="K54" s="254" t="s">
        <v>142</v>
      </c>
      <c r="L54" s="258" t="s">
        <v>37</v>
      </c>
      <c r="M54" s="257">
        <v>0</v>
      </c>
      <c r="N54" s="257">
        <v>7</v>
      </c>
      <c r="O54" s="257">
        <v>14</v>
      </c>
      <c r="P54" s="254" t="s">
        <v>62</v>
      </c>
      <c r="Q54" s="250"/>
      <c r="R54" s="250"/>
      <c r="S54" s="250"/>
      <c r="T54" s="250"/>
      <c r="U54" s="250"/>
      <c r="V54" s="250"/>
      <c r="W54" s="250"/>
      <c r="X54" s="250"/>
      <c r="Y54" s="250"/>
      <c r="Z54" s="257" t="s">
        <v>226</v>
      </c>
      <c r="AA54" s="250"/>
      <c r="AB54" s="257" t="s">
        <v>237</v>
      </c>
      <c r="AC54" s="257" t="s">
        <v>533</v>
      </c>
      <c r="AD54" s="257" t="s">
        <v>228</v>
      </c>
      <c r="AE54" s="257" t="s">
        <v>85</v>
      </c>
      <c r="AF54" s="257" t="s">
        <v>323</v>
      </c>
      <c r="AG54" s="250"/>
      <c r="AH54" s="250"/>
      <c r="AI54" s="257" t="s">
        <v>461</v>
      </c>
      <c r="AJ54" s="250"/>
    </row>
    <row r="55" spans="1:36" x14ac:dyDescent="0.3">
      <c r="A55" s="252" t="s">
        <v>179</v>
      </c>
      <c r="B55" s="253">
        <v>45995</v>
      </c>
      <c r="C55" s="254" t="s">
        <v>599</v>
      </c>
      <c r="D55" s="255" t="s">
        <v>775</v>
      </c>
      <c r="E55" s="254" t="s">
        <v>586</v>
      </c>
      <c r="F55" s="254" t="s">
        <v>141</v>
      </c>
      <c r="G55" s="256">
        <v>0.38890000000000002</v>
      </c>
      <c r="H55" s="257">
        <v>180</v>
      </c>
      <c r="I55" s="257">
        <v>70</v>
      </c>
      <c r="J55" s="257">
        <v>0</v>
      </c>
      <c r="K55" s="254" t="s">
        <v>142</v>
      </c>
      <c r="L55" s="258" t="s">
        <v>37</v>
      </c>
      <c r="M55" s="257">
        <v>0</v>
      </c>
      <c r="N55" s="257">
        <v>4</v>
      </c>
      <c r="O55" s="257">
        <v>28</v>
      </c>
      <c r="P55" s="254" t="s">
        <v>62</v>
      </c>
      <c r="Q55" s="250"/>
      <c r="R55" s="250"/>
      <c r="S55" s="250"/>
      <c r="T55" s="250"/>
      <c r="U55" s="250"/>
      <c r="V55" s="250"/>
      <c r="W55" s="250"/>
      <c r="X55" s="250"/>
      <c r="Y55" s="250"/>
      <c r="Z55" s="257" t="s">
        <v>211</v>
      </c>
      <c r="AA55" s="250"/>
      <c r="AB55" s="250"/>
      <c r="AC55" s="257" t="s">
        <v>533</v>
      </c>
      <c r="AD55" s="257" t="s">
        <v>793</v>
      </c>
      <c r="AE55" s="257" t="s">
        <v>585</v>
      </c>
      <c r="AF55" s="257" t="s">
        <v>323</v>
      </c>
      <c r="AG55" s="250"/>
      <c r="AH55" s="250"/>
      <c r="AI55" s="250"/>
      <c r="AJ55" s="250"/>
    </row>
    <row r="56" spans="1:36" x14ac:dyDescent="0.3">
      <c r="A56" s="252" t="s">
        <v>185</v>
      </c>
      <c r="B56" s="253">
        <v>45996</v>
      </c>
      <c r="C56" s="254" t="s">
        <v>587</v>
      </c>
      <c r="D56" s="255" t="s">
        <v>795</v>
      </c>
      <c r="E56" s="254" t="s">
        <v>586</v>
      </c>
      <c r="F56" s="254" t="s">
        <v>141</v>
      </c>
      <c r="G56" s="256">
        <v>0.51670000000000005</v>
      </c>
      <c r="H56" s="257">
        <v>180</v>
      </c>
      <c r="I56" s="257">
        <v>93</v>
      </c>
      <c r="J56" s="257">
        <v>45</v>
      </c>
      <c r="K56" s="254" t="s">
        <v>142</v>
      </c>
      <c r="L56" s="258" t="s">
        <v>75</v>
      </c>
      <c r="M56" s="257">
        <v>2</v>
      </c>
      <c r="N56" s="257">
        <v>2</v>
      </c>
      <c r="O56" s="257">
        <v>16</v>
      </c>
      <c r="P56" s="254" t="s">
        <v>579</v>
      </c>
      <c r="Q56" s="250"/>
      <c r="R56" s="250"/>
      <c r="S56" s="250"/>
      <c r="T56" s="250"/>
      <c r="U56" s="250"/>
      <c r="V56" s="250"/>
      <c r="W56" s="250"/>
      <c r="X56" s="250"/>
      <c r="Y56" s="250"/>
      <c r="Z56" s="250"/>
      <c r="AA56" s="250"/>
      <c r="AB56" s="250"/>
      <c r="AC56" s="257" t="s">
        <v>202</v>
      </c>
      <c r="AD56" s="257" t="s">
        <v>832</v>
      </c>
      <c r="AE56" s="257" t="s">
        <v>85</v>
      </c>
      <c r="AF56" s="257" t="s">
        <v>323</v>
      </c>
      <c r="AG56" s="250"/>
      <c r="AH56" s="250"/>
      <c r="AI56" s="257" t="s">
        <v>475</v>
      </c>
      <c r="AJ56" s="250"/>
    </row>
    <row r="57" spans="1:36" x14ac:dyDescent="0.3">
      <c r="A57" s="252" t="s">
        <v>185</v>
      </c>
      <c r="B57" s="253">
        <v>45996</v>
      </c>
      <c r="C57" s="254" t="s">
        <v>589</v>
      </c>
      <c r="D57" s="255" t="s">
        <v>801</v>
      </c>
      <c r="E57" s="254" t="s">
        <v>586</v>
      </c>
      <c r="F57" s="254" t="s">
        <v>141</v>
      </c>
      <c r="G57" s="256">
        <v>0.25</v>
      </c>
      <c r="H57" s="257">
        <v>180</v>
      </c>
      <c r="I57" s="257">
        <v>45</v>
      </c>
      <c r="J57" s="257">
        <v>0</v>
      </c>
      <c r="K57" s="254" t="s">
        <v>142</v>
      </c>
      <c r="L57" s="258" t="s">
        <v>37</v>
      </c>
      <c r="M57" s="257">
        <v>0</v>
      </c>
      <c r="N57" s="257">
        <v>1</v>
      </c>
      <c r="O57" s="257">
        <v>23</v>
      </c>
      <c r="P57" s="254" t="s">
        <v>155</v>
      </c>
      <c r="Q57" s="250"/>
      <c r="R57" s="250"/>
      <c r="S57" s="250"/>
      <c r="T57" s="250"/>
      <c r="U57" s="250"/>
      <c r="V57" s="250"/>
      <c r="W57" s="250"/>
      <c r="X57" s="250"/>
      <c r="Y57" s="250"/>
      <c r="Z57" s="257" t="s">
        <v>233</v>
      </c>
      <c r="AA57" s="250"/>
      <c r="AB57" s="250"/>
      <c r="AC57" s="257" t="s">
        <v>58</v>
      </c>
      <c r="AD57" s="257" t="s">
        <v>228</v>
      </c>
      <c r="AE57" s="257" t="s">
        <v>585</v>
      </c>
      <c r="AF57" s="257" t="s">
        <v>323</v>
      </c>
      <c r="AG57" s="250"/>
      <c r="AH57" s="250"/>
      <c r="AI57" s="250"/>
      <c r="AJ57" s="250"/>
    </row>
    <row r="58" spans="1:36" x14ac:dyDescent="0.3">
      <c r="A58" s="252" t="s">
        <v>185</v>
      </c>
      <c r="B58" s="253">
        <v>45996</v>
      </c>
      <c r="C58" s="254" t="s">
        <v>595</v>
      </c>
      <c r="D58" s="255" t="s">
        <v>462</v>
      </c>
      <c r="E58" s="254" t="s">
        <v>586</v>
      </c>
      <c r="F58" s="254" t="s">
        <v>141</v>
      </c>
      <c r="G58" s="256">
        <v>0.25</v>
      </c>
      <c r="H58" s="257">
        <v>180</v>
      </c>
      <c r="I58" s="257">
        <v>45</v>
      </c>
      <c r="J58" s="257">
        <v>0</v>
      </c>
      <c r="K58" s="254" t="s">
        <v>142</v>
      </c>
      <c r="L58" s="258" t="s">
        <v>37</v>
      </c>
      <c r="M58" s="257">
        <v>0</v>
      </c>
      <c r="N58" s="257">
        <v>2</v>
      </c>
      <c r="O58" s="257">
        <v>23</v>
      </c>
      <c r="P58" s="254" t="s">
        <v>155</v>
      </c>
      <c r="Q58" s="250"/>
      <c r="R58" s="250"/>
      <c r="S58" s="250"/>
      <c r="T58" s="250"/>
      <c r="U58" s="250"/>
      <c r="V58" s="250"/>
      <c r="W58" s="250"/>
      <c r="X58" s="250"/>
      <c r="Y58" s="250"/>
      <c r="Z58" s="250"/>
      <c r="AA58" s="250"/>
      <c r="AB58" s="250"/>
      <c r="AC58" s="257" t="s">
        <v>245</v>
      </c>
      <c r="AD58" s="257" t="s">
        <v>228</v>
      </c>
      <c r="AE58" s="257" t="s">
        <v>585</v>
      </c>
      <c r="AF58" s="257" t="s">
        <v>323</v>
      </c>
      <c r="AG58" s="250"/>
      <c r="AH58" s="250"/>
      <c r="AI58" s="250"/>
      <c r="AJ58" s="250"/>
    </row>
    <row r="59" spans="1:36" x14ac:dyDescent="0.3">
      <c r="A59" s="252" t="s">
        <v>185</v>
      </c>
      <c r="B59" s="253">
        <v>45996</v>
      </c>
      <c r="C59" s="254" t="s">
        <v>593</v>
      </c>
      <c r="D59" s="255" t="s">
        <v>806</v>
      </c>
      <c r="E59" s="254" t="s">
        <v>586</v>
      </c>
      <c r="F59" s="254" t="s">
        <v>141</v>
      </c>
      <c r="G59" s="256">
        <v>0.2944</v>
      </c>
      <c r="H59" s="257">
        <v>180</v>
      </c>
      <c r="I59" s="257">
        <v>53</v>
      </c>
      <c r="J59" s="257">
        <v>0</v>
      </c>
      <c r="K59" s="254" t="s">
        <v>142</v>
      </c>
      <c r="L59" s="258" t="s">
        <v>37</v>
      </c>
      <c r="M59" s="257">
        <v>0</v>
      </c>
      <c r="N59" s="257">
        <v>4</v>
      </c>
      <c r="O59" s="257">
        <v>31</v>
      </c>
      <c r="P59" s="254" t="s">
        <v>192</v>
      </c>
      <c r="Q59" s="250"/>
      <c r="R59" s="250"/>
      <c r="S59" s="250"/>
      <c r="T59" s="250"/>
      <c r="U59" s="250"/>
      <c r="V59" s="250"/>
      <c r="W59" s="250"/>
      <c r="X59" s="250"/>
      <c r="Y59" s="250"/>
      <c r="Z59" s="257" t="s">
        <v>199</v>
      </c>
      <c r="AA59" s="250"/>
      <c r="AB59" s="250"/>
      <c r="AC59" s="257" t="s">
        <v>71</v>
      </c>
      <c r="AD59" s="257" t="s">
        <v>832</v>
      </c>
      <c r="AE59" s="257" t="s">
        <v>85</v>
      </c>
      <c r="AF59" s="257" t="s">
        <v>323</v>
      </c>
      <c r="AG59" s="250"/>
      <c r="AH59" s="250"/>
      <c r="AI59" s="250"/>
      <c r="AJ59" s="250"/>
    </row>
    <row r="60" spans="1:36" x14ac:dyDescent="0.3">
      <c r="A60" s="252" t="s">
        <v>185</v>
      </c>
      <c r="B60" s="253">
        <v>45996</v>
      </c>
      <c r="C60" s="254" t="s">
        <v>591</v>
      </c>
      <c r="D60" s="255" t="s">
        <v>809</v>
      </c>
      <c r="E60" s="254" t="s">
        <v>586</v>
      </c>
      <c r="F60" s="254" t="s">
        <v>141</v>
      </c>
      <c r="G60" s="256">
        <v>0.3</v>
      </c>
      <c r="H60" s="257">
        <v>180</v>
      </c>
      <c r="I60" s="257">
        <v>54</v>
      </c>
      <c r="J60" s="257">
        <v>0</v>
      </c>
      <c r="K60" s="254" t="s">
        <v>142</v>
      </c>
      <c r="L60" s="258" t="s">
        <v>37</v>
      </c>
      <c r="M60" s="257">
        <v>0</v>
      </c>
      <c r="N60" s="257">
        <v>5</v>
      </c>
      <c r="O60" s="257">
        <v>26</v>
      </c>
      <c r="P60" s="254" t="s">
        <v>245</v>
      </c>
      <c r="Q60" s="250"/>
      <c r="R60" s="250"/>
      <c r="S60" s="250"/>
      <c r="T60" s="250"/>
      <c r="U60" s="250"/>
      <c r="V60" s="250"/>
      <c r="W60" s="250"/>
      <c r="X60" s="250"/>
      <c r="Y60" s="250"/>
      <c r="Z60" s="257" t="s">
        <v>226</v>
      </c>
      <c r="AA60" s="250"/>
      <c r="AB60" s="250"/>
      <c r="AC60" s="257" t="s">
        <v>155</v>
      </c>
      <c r="AD60" s="257" t="s">
        <v>832</v>
      </c>
      <c r="AE60" s="257" t="s">
        <v>85</v>
      </c>
      <c r="AF60" s="257" t="s">
        <v>323</v>
      </c>
      <c r="AG60" s="250"/>
      <c r="AH60" s="250"/>
      <c r="AI60" s="250"/>
      <c r="AJ60" s="250"/>
    </row>
    <row r="61" spans="1:36" x14ac:dyDescent="0.3">
      <c r="A61" s="252" t="s">
        <v>205</v>
      </c>
      <c r="B61" s="253">
        <v>45997</v>
      </c>
      <c r="C61" s="254" t="s">
        <v>607</v>
      </c>
      <c r="D61" s="255" t="s">
        <v>813</v>
      </c>
      <c r="E61" s="254" t="s">
        <v>586</v>
      </c>
      <c r="F61" s="254" t="s">
        <v>141</v>
      </c>
      <c r="G61" s="256">
        <v>0.71109999999999995</v>
      </c>
      <c r="H61" s="257">
        <v>180</v>
      </c>
      <c r="I61" s="257">
        <v>128</v>
      </c>
      <c r="J61" s="257">
        <v>90</v>
      </c>
      <c r="K61" s="254" t="s">
        <v>142</v>
      </c>
      <c r="L61" s="258" t="s">
        <v>37</v>
      </c>
      <c r="M61" s="257">
        <v>0</v>
      </c>
      <c r="N61" s="257">
        <v>6</v>
      </c>
      <c r="O61" s="257">
        <v>23</v>
      </c>
      <c r="P61" s="254" t="s">
        <v>255</v>
      </c>
      <c r="Q61" s="250"/>
      <c r="R61" s="250"/>
      <c r="S61" s="250"/>
      <c r="T61" s="250"/>
      <c r="U61" s="250"/>
      <c r="V61" s="250"/>
      <c r="W61" s="250"/>
      <c r="X61" s="250"/>
      <c r="Y61" s="250"/>
      <c r="Z61" s="250"/>
      <c r="AA61" s="250"/>
      <c r="AB61" s="250"/>
      <c r="AC61" s="250"/>
      <c r="AD61" s="257" t="s">
        <v>220</v>
      </c>
      <c r="AE61" s="257" t="s">
        <v>585</v>
      </c>
      <c r="AF61" s="257" t="s">
        <v>323</v>
      </c>
      <c r="AG61" s="257" t="s">
        <v>835</v>
      </c>
      <c r="AH61" s="250"/>
      <c r="AI61" s="257" t="s">
        <v>475</v>
      </c>
      <c r="AJ61" s="250"/>
    </row>
    <row r="62" spans="1:36" x14ac:dyDescent="0.3">
      <c r="A62" s="252" t="s">
        <v>205</v>
      </c>
      <c r="B62" s="253">
        <v>45997</v>
      </c>
      <c r="C62" s="254" t="s">
        <v>587</v>
      </c>
      <c r="D62" s="255" t="s">
        <v>784</v>
      </c>
      <c r="E62" s="254" t="s">
        <v>586</v>
      </c>
      <c r="F62" s="254" t="s">
        <v>141</v>
      </c>
      <c r="G62" s="256">
        <v>0.68889999999999996</v>
      </c>
      <c r="H62" s="257">
        <v>180</v>
      </c>
      <c r="I62" s="257">
        <v>124</v>
      </c>
      <c r="J62" s="257">
        <v>90</v>
      </c>
      <c r="K62" s="254" t="s">
        <v>142</v>
      </c>
      <c r="L62" s="258" t="s">
        <v>37</v>
      </c>
      <c r="M62" s="257">
        <v>0</v>
      </c>
      <c r="N62" s="257">
        <v>2</v>
      </c>
      <c r="O62" s="257">
        <v>15</v>
      </c>
      <c r="P62" s="254" t="s">
        <v>249</v>
      </c>
      <c r="Q62" s="250"/>
      <c r="R62" s="250"/>
      <c r="S62" s="250"/>
      <c r="T62" s="250"/>
      <c r="U62" s="250"/>
      <c r="V62" s="250"/>
      <c r="W62" s="250"/>
      <c r="X62" s="250"/>
      <c r="Y62" s="250"/>
      <c r="Z62" s="257" t="s">
        <v>233</v>
      </c>
      <c r="AA62" s="250"/>
      <c r="AB62" s="250"/>
      <c r="AC62" s="257" t="s">
        <v>245</v>
      </c>
      <c r="AD62" s="257" t="s">
        <v>184</v>
      </c>
      <c r="AE62" s="257" t="s">
        <v>85</v>
      </c>
      <c r="AF62" s="257" t="s">
        <v>323</v>
      </c>
      <c r="AG62" s="250"/>
      <c r="AH62" s="250"/>
      <c r="AI62" s="257" t="s">
        <v>479</v>
      </c>
      <c r="AJ62" s="250"/>
    </row>
    <row r="63" spans="1:36" x14ac:dyDescent="0.3">
      <c r="A63" s="252" t="s">
        <v>205</v>
      </c>
      <c r="B63" s="253">
        <v>45997</v>
      </c>
      <c r="C63" s="254" t="s">
        <v>589</v>
      </c>
      <c r="D63" s="255" t="s">
        <v>816</v>
      </c>
      <c r="E63" s="254" t="s">
        <v>586</v>
      </c>
      <c r="F63" s="254" t="s">
        <v>141</v>
      </c>
      <c r="G63" s="256">
        <v>0.98329999999999995</v>
      </c>
      <c r="H63" s="257">
        <v>180</v>
      </c>
      <c r="I63" s="257">
        <v>177</v>
      </c>
      <c r="J63" s="257">
        <v>135</v>
      </c>
      <c r="K63" s="254" t="s">
        <v>142</v>
      </c>
      <c r="L63" s="258" t="s">
        <v>102</v>
      </c>
      <c r="M63" s="257">
        <v>0</v>
      </c>
      <c r="N63" s="257">
        <v>0</v>
      </c>
      <c r="O63" s="257">
        <v>22</v>
      </c>
      <c r="P63" s="254" t="s">
        <v>33</v>
      </c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7" t="s">
        <v>184</v>
      </c>
      <c r="AE63" s="257" t="s">
        <v>585</v>
      </c>
      <c r="AF63" s="257" t="s">
        <v>323</v>
      </c>
      <c r="AG63" s="250"/>
      <c r="AH63" s="250"/>
      <c r="AI63" s="257" t="s">
        <v>465</v>
      </c>
      <c r="AJ63" s="250"/>
    </row>
    <row r="64" spans="1:36" x14ac:dyDescent="0.3">
      <c r="A64" s="252" t="s">
        <v>205</v>
      </c>
      <c r="B64" s="253">
        <v>45997</v>
      </c>
      <c r="C64" s="254" t="s">
        <v>599</v>
      </c>
      <c r="D64" s="255" t="s">
        <v>819</v>
      </c>
      <c r="E64" s="254" t="s">
        <v>586</v>
      </c>
      <c r="F64" s="254" t="s">
        <v>141</v>
      </c>
      <c r="G64" s="256">
        <v>0.25</v>
      </c>
      <c r="H64" s="257">
        <v>180</v>
      </c>
      <c r="I64" s="257">
        <v>45</v>
      </c>
      <c r="J64" s="257">
        <v>0</v>
      </c>
      <c r="K64" s="254" t="s">
        <v>142</v>
      </c>
      <c r="L64" s="258" t="s">
        <v>37</v>
      </c>
      <c r="M64" s="257">
        <v>0</v>
      </c>
      <c r="N64" s="257">
        <v>4</v>
      </c>
      <c r="O64" s="257">
        <v>23</v>
      </c>
      <c r="P64" s="254" t="s">
        <v>249</v>
      </c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7" t="s">
        <v>88</v>
      </c>
      <c r="AC64" s="257" t="s">
        <v>245</v>
      </c>
      <c r="AD64" s="257" t="s">
        <v>184</v>
      </c>
      <c r="AE64" s="257" t="s">
        <v>585</v>
      </c>
      <c r="AF64" s="257" t="s">
        <v>323</v>
      </c>
      <c r="AG64" s="250"/>
      <c r="AH64" s="250"/>
      <c r="AI64" s="250"/>
      <c r="AJ64" s="250"/>
    </row>
    <row r="65" spans="1:36" x14ac:dyDescent="0.3">
      <c r="A65" s="252" t="s">
        <v>139</v>
      </c>
      <c r="B65" s="253">
        <v>45998</v>
      </c>
      <c r="C65" s="254" t="s">
        <v>587</v>
      </c>
      <c r="D65" s="255" t="s">
        <v>795</v>
      </c>
      <c r="E65" s="254" t="s">
        <v>586</v>
      </c>
      <c r="F65" s="254" t="s">
        <v>141</v>
      </c>
      <c r="G65" s="256">
        <v>0.43330000000000002</v>
      </c>
      <c r="H65" s="257">
        <v>180</v>
      </c>
      <c r="I65" s="257">
        <v>78</v>
      </c>
      <c r="J65" s="257">
        <v>45</v>
      </c>
      <c r="K65" s="254" t="s">
        <v>142</v>
      </c>
      <c r="L65" s="258" t="s">
        <v>37</v>
      </c>
      <c r="M65" s="257">
        <v>0</v>
      </c>
      <c r="N65" s="257">
        <v>1</v>
      </c>
      <c r="O65" s="257">
        <v>23</v>
      </c>
      <c r="P65" s="254" t="s">
        <v>99</v>
      </c>
      <c r="Q65" s="250"/>
      <c r="R65" s="250"/>
      <c r="S65" s="250"/>
      <c r="T65" s="250"/>
      <c r="U65" s="250"/>
      <c r="V65" s="250"/>
      <c r="W65" s="250"/>
      <c r="X65" s="250"/>
      <c r="Y65" s="250"/>
      <c r="Z65" s="250"/>
      <c r="AA65" s="257" t="s">
        <v>143</v>
      </c>
      <c r="AB65" s="250"/>
      <c r="AC65" s="250"/>
      <c r="AD65" s="250"/>
      <c r="AE65" s="257" t="s">
        <v>85</v>
      </c>
      <c r="AF65" s="257" t="s">
        <v>358</v>
      </c>
      <c r="AG65" s="250"/>
      <c r="AH65" s="250"/>
      <c r="AI65" s="257" t="s">
        <v>475</v>
      </c>
      <c r="AJ65" s="250"/>
    </row>
    <row r="66" spans="1:36" x14ac:dyDescent="0.3">
      <c r="A66" s="252" t="s">
        <v>139</v>
      </c>
      <c r="B66" s="253">
        <v>45998</v>
      </c>
      <c r="C66" s="254" t="s">
        <v>610</v>
      </c>
      <c r="D66" s="255" t="s">
        <v>784</v>
      </c>
      <c r="E66" s="254" t="s">
        <v>586</v>
      </c>
      <c r="F66" s="254" t="s">
        <v>141</v>
      </c>
      <c r="G66" s="256">
        <v>0.17219999999999999</v>
      </c>
      <c r="H66" s="257">
        <v>180</v>
      </c>
      <c r="I66" s="257">
        <v>31</v>
      </c>
      <c r="J66" s="257">
        <v>0</v>
      </c>
      <c r="K66" s="254" t="s">
        <v>142</v>
      </c>
      <c r="L66" s="258" t="s">
        <v>37</v>
      </c>
      <c r="M66" s="257">
        <v>0</v>
      </c>
      <c r="N66" s="257">
        <v>1</v>
      </c>
      <c r="O66" s="257">
        <v>26</v>
      </c>
      <c r="P66" s="254" t="s">
        <v>203</v>
      </c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0"/>
      <c r="AD66" s="257" t="s">
        <v>249</v>
      </c>
      <c r="AE66" s="257" t="s">
        <v>100</v>
      </c>
      <c r="AF66" s="257" t="s">
        <v>840</v>
      </c>
      <c r="AG66" s="250"/>
      <c r="AH66" s="250"/>
      <c r="AI66" s="250"/>
      <c r="AJ66" s="250"/>
    </row>
    <row r="67" spans="1:36" x14ac:dyDescent="0.3">
      <c r="A67" s="252" t="s">
        <v>139</v>
      </c>
      <c r="B67" s="253">
        <v>45998</v>
      </c>
      <c r="C67" s="254" t="s">
        <v>591</v>
      </c>
      <c r="D67" s="255" t="s">
        <v>823</v>
      </c>
      <c r="E67" s="254" t="s">
        <v>586</v>
      </c>
      <c r="F67" s="254" t="s">
        <v>141</v>
      </c>
      <c r="G67" s="256">
        <v>0.86670000000000003</v>
      </c>
      <c r="H67" s="257">
        <v>180</v>
      </c>
      <c r="I67" s="257">
        <v>156</v>
      </c>
      <c r="J67" s="257">
        <v>135</v>
      </c>
      <c r="K67" s="254" t="s">
        <v>142</v>
      </c>
      <c r="L67" s="258" t="s">
        <v>37</v>
      </c>
      <c r="M67" s="257">
        <v>0</v>
      </c>
      <c r="N67" s="257">
        <v>1</v>
      </c>
      <c r="O67" s="257">
        <v>7</v>
      </c>
      <c r="P67" s="254" t="s">
        <v>99</v>
      </c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7" t="s">
        <v>85</v>
      </c>
      <c r="AF67" s="257" t="s">
        <v>323</v>
      </c>
      <c r="AG67" s="250"/>
      <c r="AH67" s="250"/>
      <c r="AI67" s="257" t="s">
        <v>465</v>
      </c>
      <c r="AJ67" s="250"/>
    </row>
    <row r="68" spans="1:36" x14ac:dyDescent="0.3">
      <c r="A68" s="252" t="s">
        <v>139</v>
      </c>
      <c r="B68" s="253">
        <v>45998</v>
      </c>
      <c r="C68" s="254" t="s">
        <v>589</v>
      </c>
      <c r="D68" s="255" t="s">
        <v>825</v>
      </c>
      <c r="E68" s="254" t="s">
        <v>586</v>
      </c>
      <c r="F68" s="254" t="s">
        <v>141</v>
      </c>
      <c r="G68" s="256">
        <v>0.95</v>
      </c>
      <c r="H68" s="257">
        <v>180</v>
      </c>
      <c r="I68" s="257">
        <v>171</v>
      </c>
      <c r="J68" s="257">
        <v>135</v>
      </c>
      <c r="K68" s="254" t="s">
        <v>142</v>
      </c>
      <c r="L68" s="258" t="s">
        <v>37</v>
      </c>
      <c r="M68" s="257">
        <v>0</v>
      </c>
      <c r="N68" s="257">
        <v>8</v>
      </c>
      <c r="O68" s="257">
        <v>21</v>
      </c>
      <c r="P68" s="254" t="s">
        <v>220</v>
      </c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0"/>
      <c r="AD68" s="257" t="s">
        <v>203</v>
      </c>
      <c r="AE68" s="257" t="s">
        <v>585</v>
      </c>
      <c r="AF68" s="257" t="s">
        <v>323</v>
      </c>
      <c r="AG68" s="250"/>
      <c r="AH68" s="250"/>
      <c r="AI68" s="257" t="s">
        <v>465</v>
      </c>
      <c r="AJ68" s="250"/>
    </row>
    <row r="69" spans="1:36" x14ac:dyDescent="0.3">
      <c r="A69" s="252" t="s">
        <v>139</v>
      </c>
      <c r="B69" s="253">
        <v>45998</v>
      </c>
      <c r="C69" s="254" t="s">
        <v>595</v>
      </c>
      <c r="D69" s="255" t="s">
        <v>556</v>
      </c>
      <c r="E69" s="254" t="s">
        <v>586</v>
      </c>
      <c r="F69" s="254" t="s">
        <v>141</v>
      </c>
      <c r="G69" s="256">
        <v>0.2167</v>
      </c>
      <c r="H69" s="257">
        <v>180</v>
      </c>
      <c r="I69" s="257">
        <v>39</v>
      </c>
      <c r="J69" s="257">
        <v>0</v>
      </c>
      <c r="K69" s="254" t="s">
        <v>142</v>
      </c>
      <c r="L69" s="258" t="s">
        <v>37</v>
      </c>
      <c r="M69" s="257">
        <v>0</v>
      </c>
      <c r="N69" s="257">
        <v>3</v>
      </c>
      <c r="O69" s="257">
        <v>16</v>
      </c>
      <c r="P69" s="254" t="s">
        <v>164</v>
      </c>
      <c r="Q69" s="250"/>
      <c r="R69" s="250"/>
      <c r="S69" s="250"/>
      <c r="T69" s="250"/>
      <c r="U69" s="250"/>
      <c r="V69" s="250"/>
      <c r="W69" s="250"/>
      <c r="X69" s="250"/>
      <c r="Y69" s="250"/>
      <c r="Z69" s="257" t="s">
        <v>422</v>
      </c>
      <c r="AA69" s="250"/>
      <c r="AB69" s="250"/>
      <c r="AC69" s="250"/>
      <c r="AD69" s="257" t="s">
        <v>86</v>
      </c>
      <c r="AE69" s="257" t="s">
        <v>585</v>
      </c>
      <c r="AF69" s="257" t="s">
        <v>323</v>
      </c>
      <c r="AG69" s="250"/>
      <c r="AH69" s="250"/>
      <c r="AI69" s="250"/>
      <c r="AJ69" s="250"/>
    </row>
    <row r="70" spans="1:36" x14ac:dyDescent="0.3">
      <c r="A70" s="252" t="s">
        <v>149</v>
      </c>
      <c r="B70" s="253">
        <v>45999</v>
      </c>
      <c r="C70" s="254" t="s">
        <v>587</v>
      </c>
      <c r="D70" s="255" t="s">
        <v>743</v>
      </c>
      <c r="E70" s="254" t="s">
        <v>586</v>
      </c>
      <c r="F70" s="254" t="s">
        <v>141</v>
      </c>
      <c r="G70" s="256">
        <v>0.87780000000000002</v>
      </c>
      <c r="H70" s="257">
        <v>180</v>
      </c>
      <c r="I70" s="257">
        <v>158</v>
      </c>
      <c r="J70" s="257">
        <v>135</v>
      </c>
      <c r="K70" s="254" t="s">
        <v>142</v>
      </c>
      <c r="L70" s="258" t="s">
        <v>37</v>
      </c>
      <c r="M70" s="257">
        <v>0</v>
      </c>
      <c r="N70" s="257">
        <v>3</v>
      </c>
      <c r="O70" s="257">
        <v>8</v>
      </c>
      <c r="P70" s="254" t="s">
        <v>99</v>
      </c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0"/>
      <c r="AD70" s="257" t="s">
        <v>256</v>
      </c>
      <c r="AE70" s="257" t="s">
        <v>85</v>
      </c>
      <c r="AF70" s="257" t="s">
        <v>323</v>
      </c>
      <c r="AG70" s="250"/>
      <c r="AH70" s="250"/>
      <c r="AI70" s="257" t="s">
        <v>465</v>
      </c>
      <c r="AJ70" s="250"/>
    </row>
    <row r="71" spans="1:36" x14ac:dyDescent="0.3">
      <c r="A71" s="252" t="s">
        <v>149</v>
      </c>
      <c r="B71" s="253">
        <v>45999</v>
      </c>
      <c r="C71" s="254" t="s">
        <v>589</v>
      </c>
      <c r="D71" s="255" t="s">
        <v>462</v>
      </c>
      <c r="E71" s="254" t="s">
        <v>586</v>
      </c>
      <c r="F71" s="254" t="s">
        <v>141</v>
      </c>
      <c r="G71" s="256">
        <v>0.87219999999999998</v>
      </c>
      <c r="H71" s="257">
        <v>180</v>
      </c>
      <c r="I71" s="257">
        <v>157</v>
      </c>
      <c r="J71" s="257">
        <v>135</v>
      </c>
      <c r="K71" s="254" t="s">
        <v>142</v>
      </c>
      <c r="L71" s="258" t="s">
        <v>102</v>
      </c>
      <c r="M71" s="257">
        <v>0</v>
      </c>
      <c r="N71" s="257">
        <v>0</v>
      </c>
      <c r="O71" s="257">
        <v>13</v>
      </c>
      <c r="P71" s="254" t="s">
        <v>99</v>
      </c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7" t="s">
        <v>58</v>
      </c>
      <c r="AD71" s="250"/>
      <c r="AE71" s="257" t="s">
        <v>85</v>
      </c>
      <c r="AF71" s="257" t="s">
        <v>323</v>
      </c>
      <c r="AG71" s="250"/>
      <c r="AH71" s="250"/>
      <c r="AI71" s="257" t="s">
        <v>465</v>
      </c>
      <c r="AJ71" s="250"/>
    </row>
    <row r="72" spans="1:36" x14ac:dyDescent="0.3">
      <c r="A72" s="252" t="s">
        <v>149</v>
      </c>
      <c r="B72" s="253">
        <v>45999</v>
      </c>
      <c r="C72" s="254" t="s">
        <v>591</v>
      </c>
      <c r="D72" s="255" t="s">
        <v>515</v>
      </c>
      <c r="E72" s="254" t="s">
        <v>586</v>
      </c>
      <c r="F72" s="254" t="s">
        <v>141</v>
      </c>
      <c r="G72" s="256">
        <v>0.67779999999999996</v>
      </c>
      <c r="H72" s="257">
        <v>180</v>
      </c>
      <c r="I72" s="257">
        <v>122</v>
      </c>
      <c r="J72" s="257">
        <v>90</v>
      </c>
      <c r="K72" s="254" t="s">
        <v>142</v>
      </c>
      <c r="L72" s="258" t="s">
        <v>37</v>
      </c>
      <c r="M72" s="257">
        <v>0</v>
      </c>
      <c r="N72" s="257">
        <v>4</v>
      </c>
      <c r="O72" s="257">
        <v>23</v>
      </c>
      <c r="P72" s="254" t="s">
        <v>99</v>
      </c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0"/>
      <c r="AD72" s="250"/>
      <c r="AE72" s="257" t="s">
        <v>85</v>
      </c>
      <c r="AF72" s="257" t="s">
        <v>358</v>
      </c>
      <c r="AG72" s="250"/>
      <c r="AH72" s="250"/>
      <c r="AI72" s="257" t="s">
        <v>479</v>
      </c>
      <c r="AJ72" s="250"/>
    </row>
    <row r="73" spans="1:36" x14ac:dyDescent="0.3">
      <c r="A73" s="252" t="s">
        <v>157</v>
      </c>
      <c r="B73" s="253">
        <v>46000</v>
      </c>
      <c r="C73" s="254" t="s">
        <v>593</v>
      </c>
      <c r="D73" s="255" t="s">
        <v>752</v>
      </c>
      <c r="E73" s="254" t="s">
        <v>586</v>
      </c>
      <c r="F73" s="254" t="s">
        <v>141</v>
      </c>
      <c r="G73" s="256">
        <v>0.1389</v>
      </c>
      <c r="H73" s="257">
        <v>180</v>
      </c>
      <c r="I73" s="257">
        <v>25</v>
      </c>
      <c r="J73" s="257">
        <v>0</v>
      </c>
      <c r="K73" s="254" t="s">
        <v>142</v>
      </c>
      <c r="L73" s="258" t="s">
        <v>32</v>
      </c>
      <c r="M73" s="257">
        <v>0</v>
      </c>
      <c r="N73" s="257">
        <v>0</v>
      </c>
      <c r="O73" s="257">
        <v>16</v>
      </c>
      <c r="P73" s="254" t="s">
        <v>73</v>
      </c>
      <c r="Q73" s="250"/>
      <c r="R73" s="250"/>
      <c r="S73" s="250"/>
      <c r="T73" s="250"/>
      <c r="U73" s="250"/>
      <c r="V73" s="250"/>
      <c r="W73" s="250"/>
      <c r="X73" s="250"/>
      <c r="Y73" s="250"/>
      <c r="Z73" s="257" t="s">
        <v>226</v>
      </c>
      <c r="AA73" s="250"/>
      <c r="AB73" s="250"/>
      <c r="AC73" s="250"/>
      <c r="AD73" s="250"/>
      <c r="AE73" s="257" t="s">
        <v>95</v>
      </c>
      <c r="AF73" s="257" t="s">
        <v>358</v>
      </c>
      <c r="AG73" s="250"/>
      <c r="AH73" s="250"/>
      <c r="AI73" s="250"/>
      <c r="AJ73" s="250"/>
    </row>
    <row r="74" spans="1:36" x14ac:dyDescent="0.3">
      <c r="A74" s="252" t="s">
        <v>157</v>
      </c>
      <c r="B74" s="253">
        <v>46000</v>
      </c>
      <c r="C74" s="254" t="s">
        <v>595</v>
      </c>
      <c r="D74" s="255" t="s">
        <v>296</v>
      </c>
      <c r="E74" s="254" t="s">
        <v>586</v>
      </c>
      <c r="F74" s="254" t="s">
        <v>141</v>
      </c>
      <c r="G74" s="256">
        <v>0.65559999999999996</v>
      </c>
      <c r="H74" s="257">
        <v>180</v>
      </c>
      <c r="I74" s="257">
        <v>118</v>
      </c>
      <c r="J74" s="257">
        <v>90</v>
      </c>
      <c r="K74" s="254" t="s">
        <v>142</v>
      </c>
      <c r="L74" s="258" t="s">
        <v>37</v>
      </c>
      <c r="M74" s="257">
        <v>0</v>
      </c>
      <c r="N74" s="257">
        <v>4</v>
      </c>
      <c r="O74" s="257">
        <v>14</v>
      </c>
      <c r="P74" s="254" t="s">
        <v>156</v>
      </c>
      <c r="Q74" s="250"/>
      <c r="R74" s="250"/>
      <c r="S74" s="250"/>
      <c r="T74" s="250"/>
      <c r="U74" s="250"/>
      <c r="V74" s="250"/>
      <c r="W74" s="250"/>
      <c r="X74" s="250"/>
      <c r="Y74" s="250"/>
      <c r="Z74" s="257" t="s">
        <v>422</v>
      </c>
      <c r="AA74" s="250"/>
      <c r="AB74" s="250"/>
      <c r="AC74" s="250"/>
      <c r="AD74" s="250"/>
      <c r="AE74" s="257" t="s">
        <v>322</v>
      </c>
      <c r="AF74" s="257" t="s">
        <v>323</v>
      </c>
      <c r="AG74" s="250"/>
      <c r="AH74" s="250"/>
      <c r="AI74" s="257" t="s">
        <v>479</v>
      </c>
      <c r="AJ74" s="250"/>
    </row>
    <row r="75" spans="1:36" x14ac:dyDescent="0.3">
      <c r="A75" s="252" t="s">
        <v>157</v>
      </c>
      <c r="B75" s="253">
        <v>46000</v>
      </c>
      <c r="C75" s="254" t="s">
        <v>589</v>
      </c>
      <c r="D75" s="255" t="s">
        <v>462</v>
      </c>
      <c r="E75" s="254" t="s">
        <v>586</v>
      </c>
      <c r="F75" s="254" t="s">
        <v>141</v>
      </c>
      <c r="G75" s="256">
        <v>0.40560000000000002</v>
      </c>
      <c r="H75" s="257">
        <v>180</v>
      </c>
      <c r="I75" s="257">
        <v>73</v>
      </c>
      <c r="J75" s="257">
        <v>45</v>
      </c>
      <c r="K75" s="254" t="s">
        <v>142</v>
      </c>
      <c r="L75" s="258" t="s">
        <v>37</v>
      </c>
      <c r="M75" s="257">
        <v>0</v>
      </c>
      <c r="N75" s="257">
        <v>3</v>
      </c>
      <c r="O75" s="257">
        <v>15</v>
      </c>
      <c r="P75" s="254" t="s">
        <v>253</v>
      </c>
      <c r="Q75" s="250"/>
      <c r="R75" s="250"/>
      <c r="S75" s="250"/>
      <c r="T75" s="250"/>
      <c r="U75" s="250"/>
      <c r="V75" s="250"/>
      <c r="W75" s="250"/>
      <c r="X75" s="250"/>
      <c r="Y75" s="250"/>
      <c r="Z75" s="250"/>
      <c r="AA75" s="250"/>
      <c r="AB75" s="250"/>
      <c r="AC75" s="250"/>
      <c r="AD75" s="250"/>
      <c r="AE75" s="257" t="s">
        <v>241</v>
      </c>
      <c r="AF75" s="257" t="s">
        <v>323</v>
      </c>
      <c r="AG75" s="250"/>
      <c r="AH75" s="250"/>
      <c r="AI75" s="257" t="s">
        <v>475</v>
      </c>
      <c r="AJ75" s="250"/>
    </row>
    <row r="76" spans="1:36" x14ac:dyDescent="0.3">
      <c r="A76" s="252" t="s">
        <v>157</v>
      </c>
      <c r="B76" s="253">
        <v>46000</v>
      </c>
      <c r="C76" s="254" t="s">
        <v>591</v>
      </c>
      <c r="D76" s="255" t="s">
        <v>758</v>
      </c>
      <c r="E76" s="254" t="s">
        <v>586</v>
      </c>
      <c r="F76" s="254" t="s">
        <v>141</v>
      </c>
      <c r="G76" s="256">
        <v>0.87219999999999998</v>
      </c>
      <c r="H76" s="257">
        <v>180</v>
      </c>
      <c r="I76" s="257">
        <v>157</v>
      </c>
      <c r="J76" s="257">
        <v>135</v>
      </c>
      <c r="K76" s="254" t="s">
        <v>142</v>
      </c>
      <c r="L76" s="258" t="s">
        <v>37</v>
      </c>
      <c r="M76" s="257">
        <v>0</v>
      </c>
      <c r="N76" s="257">
        <v>3</v>
      </c>
      <c r="O76" s="257">
        <v>11</v>
      </c>
      <c r="P76" s="254" t="s">
        <v>99</v>
      </c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0"/>
      <c r="AB76" s="250"/>
      <c r="AC76" s="250"/>
      <c r="AD76" s="257" t="s">
        <v>249</v>
      </c>
      <c r="AE76" s="257" t="s">
        <v>85</v>
      </c>
      <c r="AF76" s="257" t="s">
        <v>323</v>
      </c>
      <c r="AG76" s="250"/>
      <c r="AH76" s="250"/>
      <c r="AI76" s="257" t="s">
        <v>465</v>
      </c>
      <c r="AJ76" s="250"/>
    </row>
    <row r="77" spans="1:36" x14ac:dyDescent="0.3">
      <c r="A77" s="252" t="s">
        <v>157</v>
      </c>
      <c r="B77" s="253">
        <v>46000</v>
      </c>
      <c r="C77" s="254" t="s">
        <v>599</v>
      </c>
      <c r="D77" s="255" t="s">
        <v>760</v>
      </c>
      <c r="E77" s="254" t="s">
        <v>586</v>
      </c>
      <c r="F77" s="254" t="s">
        <v>141</v>
      </c>
      <c r="G77" s="256">
        <v>0.17780000000000001</v>
      </c>
      <c r="H77" s="257">
        <v>180</v>
      </c>
      <c r="I77" s="257">
        <v>32</v>
      </c>
      <c r="J77" s="257">
        <v>0</v>
      </c>
      <c r="K77" s="254" t="s">
        <v>142</v>
      </c>
      <c r="L77" s="258" t="s">
        <v>37</v>
      </c>
      <c r="M77" s="257">
        <v>0</v>
      </c>
      <c r="N77" s="257">
        <v>9</v>
      </c>
      <c r="O77" s="257">
        <v>22</v>
      </c>
      <c r="P77" s="254" t="s">
        <v>99</v>
      </c>
      <c r="Q77" s="250"/>
      <c r="R77" s="250"/>
      <c r="S77" s="250"/>
      <c r="T77" s="250"/>
      <c r="U77" s="250"/>
      <c r="V77" s="250"/>
      <c r="W77" s="250"/>
      <c r="X77" s="250"/>
      <c r="Y77" s="250"/>
      <c r="Z77" s="250"/>
      <c r="AA77" s="250"/>
      <c r="AB77" s="250"/>
      <c r="AC77" s="250"/>
      <c r="AD77" s="250"/>
      <c r="AE77" s="257" t="s">
        <v>85</v>
      </c>
      <c r="AF77" s="257" t="s">
        <v>358</v>
      </c>
      <c r="AG77" s="250"/>
      <c r="AH77" s="250"/>
      <c r="AI77" s="250"/>
      <c r="AJ77" s="250"/>
    </row>
    <row r="78" spans="1:36" x14ac:dyDescent="0.3">
      <c r="A78" s="252" t="s">
        <v>157</v>
      </c>
      <c r="B78" s="253">
        <v>46000</v>
      </c>
      <c r="C78" s="254" t="s">
        <v>587</v>
      </c>
      <c r="D78" s="255" t="s">
        <v>762</v>
      </c>
      <c r="E78" s="254" t="s">
        <v>586</v>
      </c>
      <c r="F78" s="254" t="s">
        <v>141</v>
      </c>
      <c r="G78" s="256">
        <v>0.41670000000000001</v>
      </c>
      <c r="H78" s="257">
        <v>180</v>
      </c>
      <c r="I78" s="257">
        <v>75</v>
      </c>
      <c r="J78" s="257">
        <v>45</v>
      </c>
      <c r="K78" s="254" t="s">
        <v>142</v>
      </c>
      <c r="L78" s="258" t="s">
        <v>32</v>
      </c>
      <c r="M78" s="257">
        <v>0</v>
      </c>
      <c r="N78" s="257">
        <v>0</v>
      </c>
      <c r="O78" s="257">
        <v>13</v>
      </c>
      <c r="P78" s="254" t="s">
        <v>95</v>
      </c>
      <c r="Q78" s="250"/>
      <c r="R78" s="250"/>
      <c r="S78" s="250"/>
      <c r="T78" s="250"/>
      <c r="U78" s="250"/>
      <c r="V78" s="250"/>
      <c r="W78" s="250"/>
      <c r="X78" s="250"/>
      <c r="Y78" s="250"/>
      <c r="Z78" s="250"/>
      <c r="AA78" s="250"/>
      <c r="AB78" s="250"/>
      <c r="AC78" s="250"/>
      <c r="AD78" s="250"/>
      <c r="AE78" s="257" t="s">
        <v>73</v>
      </c>
      <c r="AF78" s="257" t="s">
        <v>358</v>
      </c>
      <c r="AG78" s="250"/>
      <c r="AH78" s="250"/>
      <c r="AI78" s="257" t="s">
        <v>475</v>
      </c>
      <c r="AJ78" s="250"/>
    </row>
    <row r="79" spans="1:36" x14ac:dyDescent="0.3">
      <c r="A79" s="252" t="s">
        <v>166</v>
      </c>
      <c r="B79" s="253">
        <v>46001</v>
      </c>
      <c r="C79" s="254" t="s">
        <v>599</v>
      </c>
      <c r="D79" s="255" t="s">
        <v>768</v>
      </c>
      <c r="E79" s="254" t="s">
        <v>586</v>
      </c>
      <c r="F79" s="254" t="s">
        <v>141</v>
      </c>
      <c r="G79" s="256">
        <v>0.95</v>
      </c>
      <c r="H79" s="257">
        <v>180</v>
      </c>
      <c r="I79" s="257">
        <v>171</v>
      </c>
      <c r="J79" s="257">
        <v>135</v>
      </c>
      <c r="K79" s="254" t="s">
        <v>142</v>
      </c>
      <c r="L79" s="258" t="s">
        <v>47</v>
      </c>
      <c r="M79" s="257">
        <v>0</v>
      </c>
      <c r="N79" s="257">
        <v>0</v>
      </c>
      <c r="O79" s="257">
        <v>13</v>
      </c>
      <c r="P79" s="254" t="s">
        <v>99</v>
      </c>
      <c r="Q79" s="250"/>
      <c r="R79" s="250"/>
      <c r="S79" s="250"/>
      <c r="T79" s="250"/>
      <c r="U79" s="250"/>
      <c r="V79" s="250"/>
      <c r="W79" s="250"/>
      <c r="X79" s="250"/>
      <c r="Y79" s="250"/>
      <c r="Z79" s="250"/>
      <c r="AA79" s="250"/>
      <c r="AB79" s="250"/>
      <c r="AC79" s="250"/>
      <c r="AD79" s="250"/>
      <c r="AE79" s="257" t="s">
        <v>322</v>
      </c>
      <c r="AF79" s="257" t="s">
        <v>358</v>
      </c>
      <c r="AG79" s="250"/>
      <c r="AH79" s="250"/>
      <c r="AI79" s="257" t="s">
        <v>465</v>
      </c>
      <c r="AJ79" s="257" t="s">
        <v>148</v>
      </c>
    </row>
    <row r="80" spans="1:36" x14ac:dyDescent="0.3">
      <c r="A80" s="252" t="s">
        <v>166</v>
      </c>
      <c r="B80" s="253">
        <v>46001</v>
      </c>
      <c r="C80" s="254" t="s">
        <v>587</v>
      </c>
      <c r="D80" s="255" t="s">
        <v>769</v>
      </c>
      <c r="E80" s="254" t="s">
        <v>586</v>
      </c>
      <c r="F80" s="254" t="s">
        <v>141</v>
      </c>
      <c r="G80" s="256">
        <v>0.85560000000000003</v>
      </c>
      <c r="H80" s="257">
        <v>180</v>
      </c>
      <c r="I80" s="257">
        <v>154</v>
      </c>
      <c r="J80" s="257">
        <v>135</v>
      </c>
      <c r="K80" s="254" t="s">
        <v>142</v>
      </c>
      <c r="L80" s="258" t="s">
        <v>37</v>
      </c>
      <c r="M80" s="257">
        <v>0</v>
      </c>
      <c r="N80" s="257">
        <v>2</v>
      </c>
      <c r="O80" s="257">
        <v>9</v>
      </c>
      <c r="P80" s="254" t="s">
        <v>95</v>
      </c>
      <c r="Q80" s="250"/>
      <c r="R80" s="250"/>
      <c r="S80" s="250"/>
      <c r="T80" s="250"/>
      <c r="U80" s="250"/>
      <c r="V80" s="250"/>
      <c r="W80" s="250"/>
      <c r="X80" s="250"/>
      <c r="Y80" s="250"/>
      <c r="Z80" s="250"/>
      <c r="AA80" s="250"/>
      <c r="AB80" s="250"/>
      <c r="AC80" s="250"/>
      <c r="AD80" s="250"/>
      <c r="AE80" s="257" t="s">
        <v>73</v>
      </c>
      <c r="AF80" s="257" t="s">
        <v>323</v>
      </c>
      <c r="AG80" s="250"/>
      <c r="AH80" s="250"/>
      <c r="AI80" s="257" t="s">
        <v>465</v>
      </c>
      <c r="AJ80" s="250"/>
    </row>
    <row r="81" spans="1:36" x14ac:dyDescent="0.3">
      <c r="A81" s="252" t="s">
        <v>166</v>
      </c>
      <c r="B81" s="253">
        <v>46001</v>
      </c>
      <c r="C81" s="254" t="s">
        <v>591</v>
      </c>
      <c r="D81" s="255" t="s">
        <v>773</v>
      </c>
      <c r="E81" s="254" t="s">
        <v>586</v>
      </c>
      <c r="F81" s="254" t="s">
        <v>141</v>
      </c>
      <c r="G81" s="256">
        <v>0.62219999999999998</v>
      </c>
      <c r="H81" s="257">
        <v>180</v>
      </c>
      <c r="I81" s="257">
        <v>112</v>
      </c>
      <c r="J81" s="257">
        <v>90</v>
      </c>
      <c r="K81" s="254" t="s">
        <v>142</v>
      </c>
      <c r="L81" s="258" t="s">
        <v>37</v>
      </c>
      <c r="M81" s="257">
        <v>0</v>
      </c>
      <c r="N81" s="257">
        <v>8</v>
      </c>
      <c r="O81" s="257">
        <v>12</v>
      </c>
      <c r="P81" s="254" t="s">
        <v>73</v>
      </c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7" t="s">
        <v>249</v>
      </c>
      <c r="AE81" s="257" t="s">
        <v>85</v>
      </c>
      <c r="AF81" s="257" t="s">
        <v>323</v>
      </c>
      <c r="AG81" s="250"/>
      <c r="AH81" s="250"/>
      <c r="AI81" s="257" t="s">
        <v>479</v>
      </c>
      <c r="AJ81" s="250"/>
    </row>
    <row r="82" spans="1:36" x14ac:dyDescent="0.3">
      <c r="A82" s="252" t="s">
        <v>166</v>
      </c>
      <c r="B82" s="253">
        <v>46001</v>
      </c>
      <c r="C82" s="254" t="s">
        <v>589</v>
      </c>
      <c r="D82" s="255" t="s">
        <v>462</v>
      </c>
      <c r="E82" s="254" t="s">
        <v>586</v>
      </c>
      <c r="F82" s="254" t="s">
        <v>141</v>
      </c>
      <c r="G82" s="256">
        <v>0.39439999999999997</v>
      </c>
      <c r="H82" s="257">
        <v>180</v>
      </c>
      <c r="I82" s="257">
        <v>71</v>
      </c>
      <c r="J82" s="257">
        <v>45</v>
      </c>
      <c r="K82" s="254" t="s">
        <v>142</v>
      </c>
      <c r="L82" s="258" t="s">
        <v>37</v>
      </c>
      <c r="M82" s="257">
        <v>0</v>
      </c>
      <c r="N82" s="257">
        <v>5</v>
      </c>
      <c r="O82" s="257">
        <v>16</v>
      </c>
      <c r="P82" s="254" t="s">
        <v>99</v>
      </c>
      <c r="Q82" s="250"/>
      <c r="R82" s="250"/>
      <c r="S82" s="250"/>
      <c r="T82" s="250"/>
      <c r="U82" s="250"/>
      <c r="V82" s="250"/>
      <c r="W82" s="250"/>
      <c r="X82" s="250"/>
      <c r="Y82" s="250"/>
      <c r="Z82" s="250"/>
      <c r="AA82" s="250"/>
      <c r="AB82" s="250"/>
      <c r="AC82" s="257" t="s">
        <v>404</v>
      </c>
      <c r="AD82" s="257" t="s">
        <v>249</v>
      </c>
      <c r="AE82" s="257" t="s">
        <v>85</v>
      </c>
      <c r="AF82" s="257" t="s">
        <v>323</v>
      </c>
      <c r="AG82" s="257" t="s">
        <v>835</v>
      </c>
      <c r="AH82" s="250"/>
      <c r="AI82" s="250"/>
      <c r="AJ82" s="257" t="s">
        <v>148</v>
      </c>
    </row>
    <row r="83" spans="1:36" x14ac:dyDescent="0.3">
      <c r="A83" s="252" t="s">
        <v>166</v>
      </c>
      <c r="B83" s="253">
        <v>46001</v>
      </c>
      <c r="C83" s="254" t="s">
        <v>593</v>
      </c>
      <c r="D83" s="255" t="s">
        <v>775</v>
      </c>
      <c r="E83" s="254" t="s">
        <v>586</v>
      </c>
      <c r="F83" s="254" t="s">
        <v>141</v>
      </c>
      <c r="G83" s="256">
        <v>0.16109999999999999</v>
      </c>
      <c r="H83" s="257">
        <v>180</v>
      </c>
      <c r="I83" s="257">
        <v>29</v>
      </c>
      <c r="J83" s="257">
        <v>0</v>
      </c>
      <c r="K83" s="254" t="s">
        <v>142</v>
      </c>
      <c r="L83" s="258" t="s">
        <v>37</v>
      </c>
      <c r="M83" s="257">
        <v>0</v>
      </c>
      <c r="N83" s="257">
        <v>2</v>
      </c>
      <c r="O83" s="257">
        <v>17</v>
      </c>
      <c r="P83" s="254" t="s">
        <v>224</v>
      </c>
      <c r="Q83" s="250"/>
      <c r="R83" s="250"/>
      <c r="S83" s="250"/>
      <c r="T83" s="250"/>
      <c r="U83" s="250"/>
      <c r="V83" s="250"/>
      <c r="W83" s="250"/>
      <c r="X83" s="250"/>
      <c r="Y83" s="250"/>
      <c r="Z83" s="250"/>
      <c r="AA83" s="250"/>
      <c r="AB83" s="250"/>
      <c r="AC83" s="250"/>
      <c r="AD83" s="250"/>
      <c r="AE83" s="257" t="s">
        <v>156</v>
      </c>
      <c r="AF83" s="257" t="s">
        <v>358</v>
      </c>
      <c r="AG83" s="250"/>
      <c r="AH83" s="250"/>
      <c r="AI83" s="250"/>
      <c r="AJ83" s="250"/>
    </row>
    <row r="84" spans="1:36" x14ac:dyDescent="0.3">
      <c r="A84" s="252" t="s">
        <v>179</v>
      </c>
      <c r="B84" s="253">
        <v>46002</v>
      </c>
      <c r="C84" s="254" t="s">
        <v>607</v>
      </c>
      <c r="D84" s="255" t="s">
        <v>779</v>
      </c>
      <c r="E84" s="254" t="s">
        <v>586</v>
      </c>
      <c r="F84" s="254" t="s">
        <v>141</v>
      </c>
      <c r="G84" s="256">
        <v>0.1111</v>
      </c>
      <c r="H84" s="257">
        <v>180</v>
      </c>
      <c r="I84" s="257">
        <v>20</v>
      </c>
      <c r="J84" s="257">
        <v>0</v>
      </c>
      <c r="K84" s="254" t="s">
        <v>142</v>
      </c>
      <c r="L84" s="258" t="s">
        <v>37</v>
      </c>
      <c r="M84" s="257">
        <v>0</v>
      </c>
      <c r="N84" s="257">
        <v>5</v>
      </c>
      <c r="O84" s="257">
        <v>15</v>
      </c>
      <c r="P84" s="254" t="s">
        <v>104</v>
      </c>
      <c r="Q84" s="250"/>
      <c r="R84" s="250"/>
      <c r="S84" s="250"/>
      <c r="T84" s="250"/>
      <c r="U84" s="250"/>
      <c r="V84" s="250"/>
      <c r="W84" s="250"/>
      <c r="X84" s="250"/>
      <c r="Y84" s="250"/>
      <c r="Z84" s="250"/>
      <c r="AA84" s="250"/>
      <c r="AB84" s="250"/>
      <c r="AC84" s="250"/>
      <c r="AD84" s="250"/>
      <c r="AE84" s="250"/>
      <c r="AF84" s="257" t="s">
        <v>319</v>
      </c>
      <c r="AG84" s="250"/>
      <c r="AH84" s="250"/>
      <c r="AI84" s="250"/>
      <c r="AJ84" s="250"/>
    </row>
    <row r="85" spans="1:36" x14ac:dyDescent="0.3">
      <c r="A85" s="252" t="s">
        <v>179</v>
      </c>
      <c r="B85" s="253">
        <v>46002</v>
      </c>
      <c r="C85" s="254" t="s">
        <v>587</v>
      </c>
      <c r="D85" s="255" t="s">
        <v>784</v>
      </c>
      <c r="E85" s="254" t="s">
        <v>586</v>
      </c>
      <c r="F85" s="254" t="s">
        <v>141</v>
      </c>
      <c r="G85" s="256">
        <v>0.36670000000000003</v>
      </c>
      <c r="H85" s="257">
        <v>180</v>
      </c>
      <c r="I85" s="257">
        <v>66</v>
      </c>
      <c r="J85" s="257">
        <v>45</v>
      </c>
      <c r="K85" s="254" t="s">
        <v>142</v>
      </c>
      <c r="L85" s="258" t="s">
        <v>37</v>
      </c>
      <c r="M85" s="257">
        <v>0</v>
      </c>
      <c r="N85" s="257">
        <v>9</v>
      </c>
      <c r="O85" s="257">
        <v>15</v>
      </c>
      <c r="P85" s="254" t="s">
        <v>73</v>
      </c>
      <c r="Q85" s="250"/>
      <c r="R85" s="250"/>
      <c r="S85" s="250"/>
      <c r="T85" s="250"/>
      <c r="U85" s="250"/>
      <c r="V85" s="250"/>
      <c r="W85" s="250"/>
      <c r="X85" s="250"/>
      <c r="Y85" s="250"/>
      <c r="Z85" s="250"/>
      <c r="AA85" s="250"/>
      <c r="AB85" s="250"/>
      <c r="AC85" s="250"/>
      <c r="AD85" s="250"/>
      <c r="AE85" s="250"/>
      <c r="AF85" s="257" t="s">
        <v>358</v>
      </c>
      <c r="AG85" s="250"/>
      <c r="AH85" s="250"/>
      <c r="AI85" s="257" t="s">
        <v>475</v>
      </c>
      <c r="AJ85" s="250"/>
    </row>
    <row r="86" spans="1:36" x14ac:dyDescent="0.3">
      <c r="A86" s="252" t="s">
        <v>179</v>
      </c>
      <c r="B86" s="253">
        <v>46002</v>
      </c>
      <c r="C86" s="254" t="s">
        <v>610</v>
      </c>
      <c r="D86" s="255" t="s">
        <v>787</v>
      </c>
      <c r="E86" s="254" t="s">
        <v>586</v>
      </c>
      <c r="F86" s="254" t="s">
        <v>141</v>
      </c>
      <c r="G86" s="256">
        <v>6.6699999999999995E-2</v>
      </c>
      <c r="H86" s="257">
        <v>180</v>
      </c>
      <c r="I86" s="257">
        <v>12</v>
      </c>
      <c r="J86" s="257">
        <v>0</v>
      </c>
      <c r="K86" s="254" t="s">
        <v>142</v>
      </c>
      <c r="L86" s="258" t="s">
        <v>37</v>
      </c>
      <c r="M86" s="257">
        <v>0</v>
      </c>
      <c r="N86" s="257">
        <v>4</v>
      </c>
      <c r="O86" s="257">
        <v>9</v>
      </c>
      <c r="P86" s="254" t="s">
        <v>253</v>
      </c>
      <c r="Q86" s="250"/>
      <c r="R86" s="250"/>
      <c r="S86" s="250"/>
      <c r="T86" s="250"/>
      <c r="U86" s="250"/>
      <c r="V86" s="250"/>
      <c r="W86" s="250"/>
      <c r="X86" s="250"/>
      <c r="Y86" s="250"/>
      <c r="Z86" s="257" t="s">
        <v>233</v>
      </c>
      <c r="AA86" s="250"/>
      <c r="AB86" s="250"/>
      <c r="AC86" s="250"/>
      <c r="AD86" s="250"/>
      <c r="AE86" s="257" t="s">
        <v>254</v>
      </c>
      <c r="AF86" s="257" t="s">
        <v>323</v>
      </c>
      <c r="AG86" s="250"/>
      <c r="AH86" s="250"/>
      <c r="AI86" s="250"/>
      <c r="AJ86" s="250"/>
    </row>
    <row r="87" spans="1:36" x14ac:dyDescent="0.3">
      <c r="A87" s="252" t="s">
        <v>179</v>
      </c>
      <c r="B87" s="253">
        <v>46002</v>
      </c>
      <c r="C87" s="254" t="s">
        <v>589</v>
      </c>
      <c r="D87" s="255" t="s">
        <v>186</v>
      </c>
      <c r="E87" s="254" t="s">
        <v>586</v>
      </c>
      <c r="F87" s="254" t="s">
        <v>141</v>
      </c>
      <c r="G87" s="256">
        <v>0.86670000000000003</v>
      </c>
      <c r="H87" s="257">
        <v>180</v>
      </c>
      <c r="I87" s="257">
        <v>156</v>
      </c>
      <c r="J87" s="257">
        <v>140</v>
      </c>
      <c r="K87" s="254" t="s">
        <v>142</v>
      </c>
      <c r="L87" s="258" t="s">
        <v>82</v>
      </c>
      <c r="M87" s="257">
        <v>0</v>
      </c>
      <c r="N87" s="257">
        <v>0</v>
      </c>
      <c r="O87" s="257">
        <v>5</v>
      </c>
      <c r="P87" s="254" t="s">
        <v>73</v>
      </c>
      <c r="Q87" s="250"/>
      <c r="R87" s="250"/>
      <c r="S87" s="250"/>
      <c r="T87" s="250"/>
      <c r="U87" s="250"/>
      <c r="V87" s="250"/>
      <c r="W87" s="250"/>
      <c r="X87" s="250"/>
      <c r="Y87" s="250"/>
      <c r="Z87" s="250"/>
      <c r="AA87" s="250"/>
      <c r="AB87" s="250"/>
      <c r="AC87" s="250"/>
      <c r="AD87" s="250"/>
      <c r="AE87" s="257" t="s">
        <v>95</v>
      </c>
      <c r="AF87" s="257" t="s">
        <v>323</v>
      </c>
      <c r="AG87" s="250"/>
      <c r="AH87" s="250"/>
      <c r="AI87" s="257" t="s">
        <v>481</v>
      </c>
      <c r="AJ87" s="257" t="s">
        <v>794</v>
      </c>
    </row>
    <row r="88" spans="1:36" x14ac:dyDescent="0.3">
      <c r="A88" s="252" t="s">
        <v>179</v>
      </c>
      <c r="B88" s="253">
        <v>46002</v>
      </c>
      <c r="C88" s="254" t="s">
        <v>595</v>
      </c>
      <c r="D88" s="255" t="s">
        <v>790</v>
      </c>
      <c r="E88" s="254" t="s">
        <v>586</v>
      </c>
      <c r="F88" s="254" t="s">
        <v>141</v>
      </c>
      <c r="G88" s="256">
        <v>0.63329999999999997</v>
      </c>
      <c r="H88" s="257">
        <v>180</v>
      </c>
      <c r="I88" s="257">
        <v>114</v>
      </c>
      <c r="J88" s="257">
        <v>90</v>
      </c>
      <c r="K88" s="254" t="s">
        <v>142</v>
      </c>
      <c r="L88" s="258" t="s">
        <v>75</v>
      </c>
      <c r="M88" s="257">
        <v>4</v>
      </c>
      <c r="N88" s="257">
        <v>4</v>
      </c>
      <c r="O88" s="257">
        <v>9</v>
      </c>
      <c r="P88" s="254" t="s">
        <v>73</v>
      </c>
      <c r="Q88" s="250"/>
      <c r="R88" s="250"/>
      <c r="S88" s="250"/>
      <c r="T88" s="250"/>
      <c r="U88" s="250"/>
      <c r="V88" s="250"/>
      <c r="W88" s="250"/>
      <c r="X88" s="250"/>
      <c r="Y88" s="250"/>
      <c r="Z88" s="250"/>
      <c r="AA88" s="250"/>
      <c r="AB88" s="250"/>
      <c r="AC88" s="250"/>
      <c r="AD88" s="257" t="s">
        <v>249</v>
      </c>
      <c r="AE88" s="257" t="s">
        <v>841</v>
      </c>
      <c r="AF88" s="257" t="s">
        <v>248</v>
      </c>
      <c r="AG88" s="250"/>
      <c r="AH88" s="250"/>
      <c r="AI88" s="257" t="s">
        <v>479</v>
      </c>
      <c r="AJ88" s="250"/>
    </row>
    <row r="89" spans="1:36" x14ac:dyDescent="0.3">
      <c r="A89" s="252" t="s">
        <v>179</v>
      </c>
      <c r="B89" s="253">
        <v>46002</v>
      </c>
      <c r="C89" s="254" t="s">
        <v>599</v>
      </c>
      <c r="D89" s="255" t="s">
        <v>775</v>
      </c>
      <c r="E89" s="254" t="s">
        <v>586</v>
      </c>
      <c r="F89" s="254" t="s">
        <v>141</v>
      </c>
      <c r="G89" s="256">
        <v>0.1111</v>
      </c>
      <c r="H89" s="257">
        <v>180</v>
      </c>
      <c r="I89" s="257">
        <v>20</v>
      </c>
      <c r="J89" s="257">
        <v>0</v>
      </c>
      <c r="K89" s="254" t="s">
        <v>142</v>
      </c>
      <c r="L89" s="258" t="s">
        <v>37</v>
      </c>
      <c r="M89" s="257">
        <v>0</v>
      </c>
      <c r="N89" s="257">
        <v>2</v>
      </c>
      <c r="O89" s="257">
        <v>5</v>
      </c>
      <c r="P89" s="254" t="s">
        <v>73</v>
      </c>
      <c r="Q89" s="250"/>
      <c r="R89" s="250"/>
      <c r="S89" s="250"/>
      <c r="T89" s="250"/>
      <c r="U89" s="250"/>
      <c r="V89" s="250"/>
      <c r="W89" s="250"/>
      <c r="X89" s="250"/>
      <c r="Y89" s="250"/>
      <c r="Z89" s="250"/>
      <c r="AA89" s="250"/>
      <c r="AB89" s="250"/>
      <c r="AC89" s="250"/>
      <c r="AD89" s="250"/>
      <c r="AE89" s="257" t="s">
        <v>101</v>
      </c>
      <c r="AF89" s="257" t="s">
        <v>323</v>
      </c>
      <c r="AG89" s="250"/>
      <c r="AH89" s="250"/>
      <c r="AI89" s="250"/>
      <c r="AJ89" s="250"/>
    </row>
    <row r="90" spans="1:36" x14ac:dyDescent="0.3">
      <c r="A90" s="252" t="s">
        <v>185</v>
      </c>
      <c r="B90" s="253">
        <v>46003</v>
      </c>
      <c r="C90" s="254" t="s">
        <v>587</v>
      </c>
      <c r="D90" s="255" t="s">
        <v>795</v>
      </c>
      <c r="E90" s="254" t="s">
        <v>586</v>
      </c>
      <c r="F90" s="254" t="s">
        <v>141</v>
      </c>
      <c r="G90" s="256">
        <v>0.37219999999999998</v>
      </c>
      <c r="H90" s="257">
        <v>180</v>
      </c>
      <c r="I90" s="257">
        <v>67</v>
      </c>
      <c r="J90" s="257">
        <v>45</v>
      </c>
      <c r="K90" s="254" t="s">
        <v>142</v>
      </c>
      <c r="L90" s="258" t="s">
        <v>32</v>
      </c>
      <c r="M90" s="257">
        <v>0</v>
      </c>
      <c r="N90" s="257">
        <v>0</v>
      </c>
      <c r="O90" s="257">
        <v>2</v>
      </c>
      <c r="P90" s="254" t="s">
        <v>254</v>
      </c>
      <c r="Q90" s="250"/>
      <c r="R90" s="250"/>
      <c r="S90" s="250"/>
      <c r="T90" s="250"/>
      <c r="U90" s="250"/>
      <c r="V90" s="250"/>
      <c r="W90" s="250"/>
      <c r="X90" s="250"/>
      <c r="Y90" s="250"/>
      <c r="Z90" s="250"/>
      <c r="AA90" s="250"/>
      <c r="AB90" s="250"/>
      <c r="AC90" s="250"/>
      <c r="AD90" s="250"/>
      <c r="AE90" s="257" t="s">
        <v>101</v>
      </c>
      <c r="AF90" s="257" t="s">
        <v>323</v>
      </c>
      <c r="AG90" s="250"/>
      <c r="AH90" s="250"/>
      <c r="AI90" s="257" t="s">
        <v>475</v>
      </c>
      <c r="AJ90" s="257" t="s">
        <v>562</v>
      </c>
    </row>
    <row r="91" spans="1:36" x14ac:dyDescent="0.3">
      <c r="A91" s="252" t="s">
        <v>185</v>
      </c>
      <c r="B91" s="253">
        <v>46003</v>
      </c>
      <c r="C91" s="254" t="s">
        <v>589</v>
      </c>
      <c r="D91" s="255" t="s">
        <v>801</v>
      </c>
      <c r="E91" s="254" t="s">
        <v>586</v>
      </c>
      <c r="F91" s="254" t="s">
        <v>141</v>
      </c>
      <c r="G91" s="256">
        <v>0.1</v>
      </c>
      <c r="H91" s="257">
        <v>180</v>
      </c>
      <c r="I91" s="257">
        <v>18</v>
      </c>
      <c r="J91" s="257">
        <v>0</v>
      </c>
      <c r="K91" s="254" t="s">
        <v>142</v>
      </c>
      <c r="L91" s="258" t="s">
        <v>102</v>
      </c>
      <c r="M91" s="257">
        <v>0</v>
      </c>
      <c r="N91" s="257">
        <v>0</v>
      </c>
      <c r="O91" s="257">
        <v>4</v>
      </c>
      <c r="P91" s="254" t="s">
        <v>73</v>
      </c>
      <c r="Q91" s="250"/>
      <c r="R91" s="250"/>
      <c r="S91" s="250"/>
      <c r="T91" s="250"/>
      <c r="U91" s="250"/>
      <c r="V91" s="250"/>
      <c r="W91" s="250"/>
      <c r="X91" s="250"/>
      <c r="Y91" s="250"/>
      <c r="Z91" s="257" t="s">
        <v>211</v>
      </c>
      <c r="AA91" s="250"/>
      <c r="AB91" s="250"/>
      <c r="AC91" s="250"/>
      <c r="AD91" s="250"/>
      <c r="AE91" s="257" t="s">
        <v>95</v>
      </c>
      <c r="AF91" s="257" t="s">
        <v>323</v>
      </c>
      <c r="AG91" s="250"/>
      <c r="AH91" s="250"/>
      <c r="AI91" s="250"/>
      <c r="AJ91" s="250"/>
    </row>
    <row r="92" spans="1:36" x14ac:dyDescent="0.3">
      <c r="A92" s="252" t="s">
        <v>185</v>
      </c>
      <c r="B92" s="253">
        <v>46003</v>
      </c>
      <c r="C92" s="254" t="s">
        <v>595</v>
      </c>
      <c r="D92" s="255" t="s">
        <v>462</v>
      </c>
      <c r="E92" s="254" t="s">
        <v>586</v>
      </c>
      <c r="F92" s="254" t="s">
        <v>141</v>
      </c>
      <c r="G92" s="256">
        <v>7.22E-2</v>
      </c>
      <c r="H92" s="257">
        <v>180</v>
      </c>
      <c r="I92" s="257">
        <v>13</v>
      </c>
      <c r="J92" s="257">
        <v>0</v>
      </c>
      <c r="K92" s="254" t="s">
        <v>142</v>
      </c>
      <c r="L92" s="258" t="s">
        <v>32</v>
      </c>
      <c r="M92" s="257">
        <v>0</v>
      </c>
      <c r="N92" s="257">
        <v>0</v>
      </c>
      <c r="O92" s="257">
        <v>4</v>
      </c>
      <c r="P92" s="254" t="s">
        <v>73</v>
      </c>
      <c r="Q92" s="250"/>
      <c r="R92" s="250"/>
      <c r="S92" s="250"/>
      <c r="T92" s="250"/>
      <c r="U92" s="250"/>
      <c r="V92" s="250"/>
      <c r="W92" s="250"/>
      <c r="X92" s="250"/>
      <c r="Y92" s="250"/>
      <c r="Z92" s="257" t="s">
        <v>233</v>
      </c>
      <c r="AA92" s="250"/>
      <c r="AB92" s="250"/>
      <c r="AC92" s="250"/>
      <c r="AD92" s="250"/>
      <c r="AE92" s="257" t="s">
        <v>95</v>
      </c>
      <c r="AF92" s="257" t="s">
        <v>323</v>
      </c>
      <c r="AG92" s="250"/>
      <c r="AH92" s="250"/>
      <c r="AI92" s="250"/>
      <c r="AJ92" s="250"/>
    </row>
    <row r="93" spans="1:36" x14ac:dyDescent="0.3">
      <c r="A93" s="252" t="s">
        <v>185</v>
      </c>
      <c r="B93" s="253">
        <v>46003</v>
      </c>
      <c r="C93" s="254" t="s">
        <v>593</v>
      </c>
      <c r="D93" s="255" t="s">
        <v>806</v>
      </c>
      <c r="E93" s="254" t="s">
        <v>586</v>
      </c>
      <c r="F93" s="254" t="s">
        <v>141</v>
      </c>
      <c r="G93" s="256">
        <v>8.3299999999999999E-2</v>
      </c>
      <c r="H93" s="257">
        <v>180</v>
      </c>
      <c r="I93" s="257">
        <v>15</v>
      </c>
      <c r="J93" s="257">
        <v>0</v>
      </c>
      <c r="K93" s="254" t="s">
        <v>142</v>
      </c>
      <c r="L93" s="258" t="s">
        <v>37</v>
      </c>
      <c r="M93" s="257">
        <v>0</v>
      </c>
      <c r="N93" s="257">
        <v>1</v>
      </c>
      <c r="O93" s="257">
        <v>5</v>
      </c>
      <c r="P93" s="254" t="s">
        <v>84</v>
      </c>
      <c r="Q93" s="250"/>
      <c r="R93" s="250"/>
      <c r="S93" s="250"/>
      <c r="T93" s="250"/>
      <c r="U93" s="250"/>
      <c r="V93" s="250"/>
      <c r="W93" s="250"/>
      <c r="X93" s="250"/>
      <c r="Y93" s="250"/>
      <c r="Z93" s="250"/>
      <c r="AA93" s="250"/>
      <c r="AB93" s="250"/>
      <c r="AC93" s="250"/>
      <c r="AD93" s="250"/>
      <c r="AE93" s="257" t="s">
        <v>100</v>
      </c>
      <c r="AF93" s="257" t="s">
        <v>323</v>
      </c>
      <c r="AG93" s="250"/>
      <c r="AH93" s="250"/>
      <c r="AI93" s="250"/>
      <c r="AJ93" s="250"/>
    </row>
    <row r="94" spans="1:36" x14ac:dyDescent="0.3">
      <c r="A94" s="252" t="s">
        <v>185</v>
      </c>
      <c r="B94" s="253">
        <v>46003</v>
      </c>
      <c r="C94" s="254" t="s">
        <v>591</v>
      </c>
      <c r="D94" s="255" t="s">
        <v>809</v>
      </c>
      <c r="E94" s="254" t="s">
        <v>586</v>
      </c>
      <c r="F94" s="254" t="s">
        <v>141</v>
      </c>
      <c r="G94" s="256">
        <v>0.1278</v>
      </c>
      <c r="H94" s="257">
        <v>180</v>
      </c>
      <c r="I94" s="257">
        <v>23</v>
      </c>
      <c r="J94" s="257">
        <v>0</v>
      </c>
      <c r="K94" s="254" t="s">
        <v>142</v>
      </c>
      <c r="L94" s="258" t="s">
        <v>102</v>
      </c>
      <c r="M94" s="257">
        <v>0</v>
      </c>
      <c r="N94" s="257">
        <v>0</v>
      </c>
      <c r="O94" s="257">
        <v>13</v>
      </c>
      <c r="P94" s="254" t="s">
        <v>99</v>
      </c>
      <c r="Q94" s="250"/>
      <c r="R94" s="250"/>
      <c r="S94" s="250"/>
      <c r="T94" s="250"/>
      <c r="U94" s="250"/>
      <c r="V94" s="250"/>
      <c r="W94" s="250"/>
      <c r="X94" s="250"/>
      <c r="Y94" s="250"/>
      <c r="Z94" s="250"/>
      <c r="AA94" s="257" t="s">
        <v>325</v>
      </c>
      <c r="AB94" s="250"/>
      <c r="AC94" s="250"/>
      <c r="AD94" s="250"/>
      <c r="AE94" s="257" t="s">
        <v>85</v>
      </c>
      <c r="AF94" s="257" t="s">
        <v>323</v>
      </c>
      <c r="AG94" s="250"/>
      <c r="AH94" s="250"/>
      <c r="AI94" s="250"/>
      <c r="AJ94" s="250"/>
    </row>
    <row r="95" spans="1:36" x14ac:dyDescent="0.3">
      <c r="A95" s="252" t="s">
        <v>205</v>
      </c>
      <c r="B95" s="253">
        <v>46004</v>
      </c>
      <c r="C95" s="254" t="s">
        <v>607</v>
      </c>
      <c r="D95" s="255" t="s">
        <v>813</v>
      </c>
      <c r="E95" s="254" t="s">
        <v>586</v>
      </c>
      <c r="F95" s="254" t="s">
        <v>141</v>
      </c>
      <c r="G95" s="256">
        <v>0.30649999999999999</v>
      </c>
      <c r="H95" s="257">
        <v>186</v>
      </c>
      <c r="I95" s="257">
        <v>57</v>
      </c>
      <c r="J95" s="257">
        <v>45</v>
      </c>
      <c r="K95" s="254" t="s">
        <v>142</v>
      </c>
      <c r="L95" s="258" t="s">
        <v>107</v>
      </c>
      <c r="M95" s="257">
        <v>0</v>
      </c>
      <c r="N95" s="257">
        <v>0</v>
      </c>
      <c r="O95" s="257">
        <v>7</v>
      </c>
      <c r="P95" s="254" t="s">
        <v>73</v>
      </c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7" t="s">
        <v>95</v>
      </c>
      <c r="AF95" s="257" t="s">
        <v>323</v>
      </c>
      <c r="AG95" s="250"/>
      <c r="AH95" s="250"/>
      <c r="AI95" s="257" t="s">
        <v>475</v>
      </c>
      <c r="AJ95" s="250"/>
    </row>
    <row r="96" spans="1:36" x14ac:dyDescent="0.3">
      <c r="A96" s="252" t="s">
        <v>205</v>
      </c>
      <c r="B96" s="253">
        <v>46004</v>
      </c>
      <c r="C96" s="254" t="s">
        <v>587</v>
      </c>
      <c r="D96" s="255" t="s">
        <v>784</v>
      </c>
      <c r="E96" s="254" t="s">
        <v>586</v>
      </c>
      <c r="F96" s="254" t="s">
        <v>141</v>
      </c>
      <c r="G96" s="256">
        <v>0.86109999999999998</v>
      </c>
      <c r="H96" s="257">
        <v>180</v>
      </c>
      <c r="I96" s="257">
        <v>155</v>
      </c>
      <c r="J96" s="257">
        <v>140</v>
      </c>
      <c r="K96" s="254" t="s">
        <v>142</v>
      </c>
      <c r="L96" s="258" t="s">
        <v>37</v>
      </c>
      <c r="M96" s="257">
        <v>0</v>
      </c>
      <c r="N96" s="257">
        <v>2</v>
      </c>
      <c r="O96" s="257">
        <v>4</v>
      </c>
      <c r="P96" s="254" t="s">
        <v>84</v>
      </c>
      <c r="Q96" s="250"/>
      <c r="R96" s="250"/>
      <c r="S96" s="250"/>
      <c r="T96" s="250"/>
      <c r="U96" s="250"/>
      <c r="V96" s="250"/>
      <c r="W96" s="250"/>
      <c r="X96" s="250"/>
      <c r="Y96" s="250"/>
      <c r="Z96" s="250"/>
      <c r="AA96" s="250"/>
      <c r="AB96" s="250"/>
      <c r="AC96" s="250"/>
      <c r="AD96" s="250"/>
      <c r="AE96" s="257" t="s">
        <v>100</v>
      </c>
      <c r="AF96" s="257" t="s">
        <v>323</v>
      </c>
      <c r="AG96" s="250"/>
      <c r="AH96" s="250"/>
      <c r="AI96" s="257" t="s">
        <v>481</v>
      </c>
      <c r="AJ96" s="250"/>
    </row>
    <row r="97" spans="1:36" x14ac:dyDescent="0.3">
      <c r="A97" s="252" t="s">
        <v>205</v>
      </c>
      <c r="B97" s="253">
        <v>46004</v>
      </c>
      <c r="C97" s="254" t="s">
        <v>589</v>
      </c>
      <c r="D97" s="255" t="s">
        <v>816</v>
      </c>
      <c r="E97" s="254" t="s">
        <v>586</v>
      </c>
      <c r="F97" s="254" t="s">
        <v>141</v>
      </c>
      <c r="G97" s="256">
        <v>0.88890000000000002</v>
      </c>
      <c r="H97" s="257">
        <v>180</v>
      </c>
      <c r="I97" s="257">
        <v>160</v>
      </c>
      <c r="J97" s="257">
        <v>135</v>
      </c>
      <c r="K97" s="254" t="s">
        <v>142</v>
      </c>
      <c r="L97" s="258" t="s">
        <v>37</v>
      </c>
      <c r="M97" s="257">
        <v>0</v>
      </c>
      <c r="N97" s="257">
        <v>1</v>
      </c>
      <c r="O97" s="257">
        <v>6</v>
      </c>
      <c r="P97" s="254" t="s">
        <v>99</v>
      </c>
      <c r="Q97" s="250"/>
      <c r="R97" s="250"/>
      <c r="S97" s="250"/>
      <c r="T97" s="250"/>
      <c r="U97" s="250"/>
      <c r="V97" s="250"/>
      <c r="W97" s="250"/>
      <c r="X97" s="250"/>
      <c r="Y97" s="250"/>
      <c r="Z97" s="257" t="s">
        <v>226</v>
      </c>
      <c r="AA97" s="250"/>
      <c r="AB97" s="250"/>
      <c r="AC97" s="250"/>
      <c r="AD97" s="257" t="s">
        <v>256</v>
      </c>
      <c r="AE97" s="257" t="s">
        <v>85</v>
      </c>
      <c r="AF97" s="257" t="s">
        <v>323</v>
      </c>
      <c r="AG97" s="250"/>
      <c r="AH97" s="250"/>
      <c r="AI97" s="257" t="s">
        <v>465</v>
      </c>
      <c r="AJ97" s="250"/>
    </row>
    <row r="98" spans="1:36" x14ac:dyDescent="0.3">
      <c r="A98" s="252" t="s">
        <v>205</v>
      </c>
      <c r="B98" s="253">
        <v>46004</v>
      </c>
      <c r="C98" s="254" t="s">
        <v>599</v>
      </c>
      <c r="D98" s="255" t="s">
        <v>819</v>
      </c>
      <c r="E98" s="254" t="s">
        <v>586</v>
      </c>
      <c r="F98" s="254" t="s">
        <v>141</v>
      </c>
      <c r="G98" s="256">
        <v>0.1333</v>
      </c>
      <c r="H98" s="257">
        <v>180</v>
      </c>
      <c r="I98" s="257">
        <v>24</v>
      </c>
      <c r="J98" s="257">
        <v>0</v>
      </c>
      <c r="K98" s="254" t="s">
        <v>142</v>
      </c>
      <c r="L98" s="258" t="s">
        <v>37</v>
      </c>
      <c r="M98" s="257">
        <v>0</v>
      </c>
      <c r="N98" s="257">
        <v>2</v>
      </c>
      <c r="O98" s="257">
        <v>7</v>
      </c>
      <c r="P98" s="254" t="s">
        <v>164</v>
      </c>
      <c r="Q98" s="250"/>
      <c r="R98" s="250"/>
      <c r="S98" s="250"/>
      <c r="T98" s="250"/>
      <c r="U98" s="250"/>
      <c r="V98" s="250"/>
      <c r="W98" s="250"/>
      <c r="X98" s="250"/>
      <c r="Y98" s="250"/>
      <c r="Z98" s="250"/>
      <c r="AA98" s="250"/>
      <c r="AB98" s="250"/>
      <c r="AC98" s="250"/>
      <c r="AD98" s="257" t="s">
        <v>86</v>
      </c>
      <c r="AE98" s="257" t="s">
        <v>85</v>
      </c>
      <c r="AF98" s="257" t="s">
        <v>323</v>
      </c>
      <c r="AG98" s="250"/>
      <c r="AH98" s="250"/>
      <c r="AI98" s="250"/>
      <c r="AJ98" s="250"/>
    </row>
    <row r="99" spans="1:36" x14ac:dyDescent="0.3">
      <c r="A99" s="252" t="s">
        <v>139</v>
      </c>
      <c r="B99" s="253">
        <v>46005</v>
      </c>
      <c r="C99" s="254" t="s">
        <v>587</v>
      </c>
      <c r="D99" s="255" t="s">
        <v>795</v>
      </c>
      <c r="E99" s="254" t="s">
        <v>586</v>
      </c>
      <c r="F99" s="254" t="s">
        <v>141</v>
      </c>
      <c r="G99" s="256">
        <v>0.31109999999999999</v>
      </c>
      <c r="H99" s="257">
        <v>180</v>
      </c>
      <c r="I99" s="257">
        <v>56</v>
      </c>
      <c r="J99" s="257">
        <v>45</v>
      </c>
      <c r="K99" s="254" t="s">
        <v>142</v>
      </c>
      <c r="L99" s="258" t="s">
        <v>102</v>
      </c>
      <c r="M99" s="257">
        <v>0</v>
      </c>
      <c r="N99" s="257">
        <v>0</v>
      </c>
      <c r="O99" s="257">
        <v>8</v>
      </c>
      <c r="P99" s="254" t="s">
        <v>73</v>
      </c>
      <c r="Q99" s="250"/>
      <c r="R99" s="250"/>
      <c r="S99" s="250"/>
      <c r="T99" s="250"/>
      <c r="U99" s="250"/>
      <c r="V99" s="250"/>
      <c r="W99" s="250"/>
      <c r="X99" s="250"/>
      <c r="Y99" s="250"/>
      <c r="Z99" s="250"/>
      <c r="AA99" s="250"/>
      <c r="AB99" s="250"/>
      <c r="AC99" s="250"/>
      <c r="AD99" s="250"/>
      <c r="AE99" s="257" t="s">
        <v>254</v>
      </c>
      <c r="AF99" s="257" t="s">
        <v>323</v>
      </c>
      <c r="AG99" s="250"/>
      <c r="AH99" s="250"/>
      <c r="AI99" s="257" t="s">
        <v>475</v>
      </c>
      <c r="AJ99" s="250"/>
    </row>
    <row r="100" spans="1:36" x14ac:dyDescent="0.3">
      <c r="A100" s="252" t="s">
        <v>139</v>
      </c>
      <c r="B100" s="253">
        <v>46005</v>
      </c>
      <c r="C100" s="254" t="s">
        <v>610</v>
      </c>
      <c r="D100" s="255" t="s">
        <v>784</v>
      </c>
      <c r="E100" s="254" t="s">
        <v>586</v>
      </c>
      <c r="F100" s="254" t="s">
        <v>141</v>
      </c>
      <c r="G100" s="256">
        <v>0.3</v>
      </c>
      <c r="H100" s="257">
        <v>180</v>
      </c>
      <c r="I100" s="257">
        <v>54</v>
      </c>
      <c r="J100" s="257">
        <v>45</v>
      </c>
      <c r="K100" s="254" t="s">
        <v>142</v>
      </c>
      <c r="L100" s="258" t="s">
        <v>37</v>
      </c>
      <c r="M100" s="257">
        <v>0</v>
      </c>
      <c r="N100" s="257">
        <v>1</v>
      </c>
      <c r="O100" s="257">
        <v>5</v>
      </c>
      <c r="P100" s="254" t="s">
        <v>254</v>
      </c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  <c r="AA100" s="250"/>
      <c r="AB100" s="250"/>
      <c r="AC100" s="250"/>
      <c r="AD100" s="250"/>
      <c r="AE100" s="257" t="s">
        <v>253</v>
      </c>
      <c r="AF100" s="257" t="s">
        <v>221</v>
      </c>
      <c r="AG100" s="250"/>
      <c r="AH100" s="250"/>
      <c r="AI100" s="257" t="s">
        <v>475</v>
      </c>
      <c r="AJ100" s="250"/>
    </row>
    <row r="101" spans="1:36" x14ac:dyDescent="0.3">
      <c r="A101" s="252" t="s">
        <v>139</v>
      </c>
      <c r="B101" s="253">
        <v>46005</v>
      </c>
      <c r="C101" s="254" t="s">
        <v>591</v>
      </c>
      <c r="D101" s="255" t="s">
        <v>823</v>
      </c>
      <c r="E101" s="254" t="s">
        <v>586</v>
      </c>
      <c r="F101" s="254" t="s">
        <v>141</v>
      </c>
      <c r="G101" s="256">
        <v>0.98329999999999995</v>
      </c>
      <c r="H101" s="257">
        <v>180</v>
      </c>
      <c r="I101" s="257">
        <v>177</v>
      </c>
      <c r="J101" s="257">
        <v>165</v>
      </c>
      <c r="K101" s="254" t="s">
        <v>142</v>
      </c>
      <c r="L101" s="258" t="s">
        <v>32</v>
      </c>
      <c r="M101" s="257">
        <v>0</v>
      </c>
      <c r="N101" s="257">
        <v>0</v>
      </c>
      <c r="O101" s="257">
        <v>1</v>
      </c>
      <c r="P101" s="254" t="s">
        <v>33</v>
      </c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  <c r="AA101" s="250"/>
      <c r="AB101" s="250"/>
      <c r="AC101" s="250"/>
      <c r="AD101" s="250"/>
      <c r="AE101" s="257" t="s">
        <v>95</v>
      </c>
      <c r="AF101" s="257" t="s">
        <v>323</v>
      </c>
      <c r="AG101" s="250"/>
      <c r="AH101" s="250"/>
      <c r="AI101" s="257" t="s">
        <v>842</v>
      </c>
      <c r="AJ101" s="250"/>
    </row>
    <row r="102" spans="1:36" x14ac:dyDescent="0.3">
      <c r="A102" s="252" t="s">
        <v>139</v>
      </c>
      <c r="B102" s="253">
        <v>46005</v>
      </c>
      <c r="C102" s="254" t="s">
        <v>589</v>
      </c>
      <c r="D102" s="255" t="s">
        <v>825</v>
      </c>
      <c r="E102" s="254" t="s">
        <v>586</v>
      </c>
      <c r="F102" s="254" t="s">
        <v>141</v>
      </c>
      <c r="G102" s="256">
        <v>0.80559999999999998</v>
      </c>
      <c r="H102" s="257">
        <v>180</v>
      </c>
      <c r="I102" s="257">
        <v>145</v>
      </c>
      <c r="J102" s="257">
        <v>135</v>
      </c>
      <c r="K102" s="254" t="s">
        <v>142</v>
      </c>
      <c r="L102" s="258" t="s">
        <v>624</v>
      </c>
      <c r="M102" s="257">
        <v>0</v>
      </c>
      <c r="N102" s="257">
        <v>0</v>
      </c>
      <c r="O102" s="257">
        <v>0</v>
      </c>
      <c r="P102" s="254" t="s">
        <v>73</v>
      </c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  <c r="AA102" s="250"/>
      <c r="AB102" s="250"/>
      <c r="AC102" s="250"/>
      <c r="AD102" s="250"/>
      <c r="AE102" s="250"/>
      <c r="AF102" s="257" t="s">
        <v>323</v>
      </c>
      <c r="AG102" s="250"/>
      <c r="AH102" s="250"/>
      <c r="AI102" s="257" t="s">
        <v>465</v>
      </c>
      <c r="AJ102" s="250"/>
    </row>
    <row r="103" spans="1:36" x14ac:dyDescent="0.3">
      <c r="A103" s="252" t="s">
        <v>139</v>
      </c>
      <c r="B103" s="253">
        <v>46005</v>
      </c>
      <c r="C103" s="254" t="s">
        <v>595</v>
      </c>
      <c r="D103" s="255" t="s">
        <v>556</v>
      </c>
      <c r="E103" s="254" t="s">
        <v>586</v>
      </c>
      <c r="F103" s="254" t="s">
        <v>141</v>
      </c>
      <c r="G103" s="256">
        <v>0.1278</v>
      </c>
      <c r="H103" s="257">
        <v>180</v>
      </c>
      <c r="I103" s="257">
        <v>23</v>
      </c>
      <c r="J103" s="257">
        <v>0</v>
      </c>
      <c r="K103" s="254" t="s">
        <v>142</v>
      </c>
      <c r="L103" s="258" t="s">
        <v>32</v>
      </c>
      <c r="M103" s="257">
        <v>0</v>
      </c>
      <c r="N103" s="257">
        <v>0</v>
      </c>
      <c r="O103" s="257">
        <v>5</v>
      </c>
      <c r="P103" s="254" t="s">
        <v>99</v>
      </c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  <c r="AA103" s="250"/>
      <c r="AB103" s="250"/>
      <c r="AC103" s="250"/>
      <c r="AD103" s="257" t="s">
        <v>256</v>
      </c>
      <c r="AE103" s="257" t="s">
        <v>85</v>
      </c>
      <c r="AF103" s="257" t="s">
        <v>323</v>
      </c>
      <c r="AG103" s="250"/>
      <c r="AH103" s="250"/>
      <c r="AI103" s="250"/>
      <c r="AJ103" s="250"/>
    </row>
    <row r="104" spans="1:36" x14ac:dyDescent="0.3">
      <c r="A104" s="252" t="s">
        <v>149</v>
      </c>
      <c r="B104" s="253">
        <v>46006</v>
      </c>
      <c r="C104" s="254" t="s">
        <v>587</v>
      </c>
      <c r="D104" s="255" t="s">
        <v>743</v>
      </c>
      <c r="E104" s="254" t="s">
        <v>586</v>
      </c>
      <c r="F104" s="254" t="s">
        <v>141</v>
      </c>
      <c r="G104" s="256">
        <v>0.86670000000000003</v>
      </c>
      <c r="H104" s="257">
        <v>180</v>
      </c>
      <c r="I104" s="257">
        <v>156</v>
      </c>
      <c r="J104" s="257">
        <v>135</v>
      </c>
      <c r="K104" s="254" t="s">
        <v>142</v>
      </c>
      <c r="L104" s="258" t="s">
        <v>32</v>
      </c>
      <c r="M104" s="257">
        <v>0</v>
      </c>
      <c r="N104" s="257">
        <v>0</v>
      </c>
      <c r="O104" s="257">
        <v>9</v>
      </c>
      <c r="P104" s="254" t="s">
        <v>253</v>
      </c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7" t="s">
        <v>108</v>
      </c>
      <c r="AF104" s="257" t="s">
        <v>323</v>
      </c>
      <c r="AG104" s="250"/>
      <c r="AH104" s="250"/>
      <c r="AI104" s="257" t="s">
        <v>465</v>
      </c>
      <c r="AJ104" s="257" t="s">
        <v>794</v>
      </c>
    </row>
    <row r="105" spans="1:36" x14ac:dyDescent="0.3">
      <c r="A105" s="252" t="s">
        <v>149</v>
      </c>
      <c r="B105" s="253">
        <v>46006</v>
      </c>
      <c r="C105" s="254" t="s">
        <v>589</v>
      </c>
      <c r="D105" s="255" t="s">
        <v>462</v>
      </c>
      <c r="E105" s="254" t="s">
        <v>586</v>
      </c>
      <c r="F105" s="254" t="s">
        <v>141</v>
      </c>
      <c r="G105" s="256">
        <v>0.59440000000000004</v>
      </c>
      <c r="H105" s="257">
        <v>180</v>
      </c>
      <c r="I105" s="257">
        <v>107</v>
      </c>
      <c r="J105" s="257">
        <v>90</v>
      </c>
      <c r="K105" s="254" t="s">
        <v>142</v>
      </c>
      <c r="L105" s="258" t="s">
        <v>32</v>
      </c>
      <c r="M105" s="257">
        <v>0</v>
      </c>
      <c r="N105" s="257">
        <v>0</v>
      </c>
      <c r="O105" s="257">
        <v>4</v>
      </c>
      <c r="P105" s="254" t="s">
        <v>253</v>
      </c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  <c r="AA105" s="250"/>
      <c r="AB105" s="250"/>
      <c r="AC105" s="250"/>
      <c r="AD105" s="250"/>
      <c r="AE105" s="257" t="s">
        <v>108</v>
      </c>
      <c r="AF105" s="257" t="s">
        <v>323</v>
      </c>
      <c r="AG105" s="250"/>
      <c r="AH105" s="250"/>
      <c r="AI105" s="257" t="s">
        <v>479</v>
      </c>
      <c r="AJ105" s="250"/>
    </row>
    <row r="106" spans="1:36" x14ac:dyDescent="0.3">
      <c r="A106" s="252" t="s">
        <v>149</v>
      </c>
      <c r="B106" s="253">
        <v>46006</v>
      </c>
      <c r="C106" s="254" t="s">
        <v>591</v>
      </c>
      <c r="D106" s="255" t="s">
        <v>515</v>
      </c>
      <c r="E106" s="254" t="s">
        <v>586</v>
      </c>
      <c r="F106" s="254" t="s">
        <v>141</v>
      </c>
      <c r="G106" s="256">
        <v>0.1444</v>
      </c>
      <c r="H106" s="257">
        <v>180</v>
      </c>
      <c r="I106" s="257">
        <v>26</v>
      </c>
      <c r="J106" s="257">
        <v>0</v>
      </c>
      <c r="K106" s="254" t="s">
        <v>142</v>
      </c>
      <c r="L106" s="258" t="s">
        <v>107</v>
      </c>
      <c r="M106" s="257">
        <v>0</v>
      </c>
      <c r="N106" s="257">
        <v>0</v>
      </c>
      <c r="O106" s="257">
        <v>2</v>
      </c>
      <c r="P106" s="254" t="s">
        <v>164</v>
      </c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  <c r="AA106" s="250"/>
      <c r="AB106" s="250"/>
      <c r="AC106" s="257" t="s">
        <v>245</v>
      </c>
      <c r="AD106" s="257" t="s">
        <v>86</v>
      </c>
      <c r="AE106" s="257" t="s">
        <v>85</v>
      </c>
      <c r="AF106" s="257" t="s">
        <v>323</v>
      </c>
      <c r="AG106" s="250"/>
      <c r="AH106" s="250"/>
      <c r="AI106" s="250"/>
      <c r="AJ106" s="250"/>
    </row>
    <row r="107" spans="1:36" x14ac:dyDescent="0.3">
      <c r="A107" s="252" t="s">
        <v>157</v>
      </c>
      <c r="B107" s="253">
        <v>46007</v>
      </c>
      <c r="C107" s="254" t="s">
        <v>593</v>
      </c>
      <c r="D107" s="255" t="s">
        <v>752</v>
      </c>
      <c r="E107" s="254" t="s">
        <v>586</v>
      </c>
      <c r="F107" s="254" t="s">
        <v>141</v>
      </c>
      <c r="G107" s="256">
        <v>0.30559999999999998</v>
      </c>
      <c r="H107" s="257">
        <v>180</v>
      </c>
      <c r="I107" s="257">
        <v>55</v>
      </c>
      <c r="J107" s="257">
        <v>45</v>
      </c>
      <c r="K107" s="254" t="s">
        <v>142</v>
      </c>
      <c r="L107" s="258" t="s">
        <v>37</v>
      </c>
      <c r="M107" s="257">
        <v>0</v>
      </c>
      <c r="N107" s="257">
        <v>1</v>
      </c>
      <c r="O107" s="257">
        <v>4</v>
      </c>
      <c r="P107" s="254" t="s">
        <v>73</v>
      </c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  <c r="AA107" s="250"/>
      <c r="AB107" s="250"/>
      <c r="AC107" s="250"/>
      <c r="AD107" s="250"/>
      <c r="AE107" s="250"/>
      <c r="AF107" s="257" t="s">
        <v>323</v>
      </c>
      <c r="AG107" s="250"/>
      <c r="AH107" s="250"/>
      <c r="AI107" s="257" t="s">
        <v>475</v>
      </c>
      <c r="AJ107" s="250"/>
    </row>
    <row r="108" spans="1:36" x14ac:dyDescent="0.3">
      <c r="A108" s="252" t="s">
        <v>157</v>
      </c>
      <c r="B108" s="253">
        <v>46007</v>
      </c>
      <c r="C108" s="254" t="s">
        <v>595</v>
      </c>
      <c r="D108" s="255" t="s">
        <v>296</v>
      </c>
      <c r="E108" s="254" t="s">
        <v>586</v>
      </c>
      <c r="F108" s="254" t="s">
        <v>141</v>
      </c>
      <c r="G108" s="256">
        <v>0.80559999999999998</v>
      </c>
      <c r="H108" s="257">
        <v>180</v>
      </c>
      <c r="I108" s="257">
        <v>145</v>
      </c>
      <c r="J108" s="257">
        <v>135</v>
      </c>
      <c r="K108" s="254" t="s">
        <v>142</v>
      </c>
      <c r="L108" s="258" t="s">
        <v>47</v>
      </c>
      <c r="M108" s="257">
        <v>0</v>
      </c>
      <c r="N108" s="257">
        <v>0</v>
      </c>
      <c r="O108" s="257">
        <v>8</v>
      </c>
      <c r="P108" s="254" t="s">
        <v>73</v>
      </c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  <c r="AA108" s="250"/>
      <c r="AB108" s="250"/>
      <c r="AC108" s="250"/>
      <c r="AD108" s="250"/>
      <c r="AE108" s="250"/>
      <c r="AF108" s="257" t="s">
        <v>323</v>
      </c>
      <c r="AG108" s="250"/>
      <c r="AH108" s="250"/>
      <c r="AI108" s="257" t="s">
        <v>465</v>
      </c>
      <c r="AJ108" s="250"/>
    </row>
    <row r="109" spans="1:36" x14ac:dyDescent="0.3">
      <c r="A109" s="252" t="s">
        <v>157</v>
      </c>
      <c r="B109" s="253">
        <v>46007</v>
      </c>
      <c r="C109" s="254" t="s">
        <v>589</v>
      </c>
      <c r="D109" s="255" t="s">
        <v>462</v>
      </c>
      <c r="E109" s="254" t="s">
        <v>586</v>
      </c>
      <c r="F109" s="254" t="s">
        <v>141</v>
      </c>
      <c r="G109" s="256">
        <v>5.5599999999999997E-2</v>
      </c>
      <c r="H109" s="257">
        <v>180</v>
      </c>
      <c r="I109" s="257">
        <v>10</v>
      </c>
      <c r="J109" s="257">
        <v>0</v>
      </c>
      <c r="K109" s="254" t="s">
        <v>142</v>
      </c>
      <c r="L109" s="258" t="s">
        <v>47</v>
      </c>
      <c r="M109" s="257">
        <v>0</v>
      </c>
      <c r="N109" s="257">
        <v>0</v>
      </c>
      <c r="O109" s="257">
        <v>3</v>
      </c>
      <c r="P109" s="254" t="s">
        <v>73</v>
      </c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  <c r="AA109" s="250"/>
      <c r="AB109" s="250"/>
      <c r="AC109" s="250"/>
      <c r="AD109" s="250"/>
      <c r="AE109" s="250"/>
      <c r="AF109" s="257" t="s">
        <v>323</v>
      </c>
      <c r="AG109" s="250"/>
      <c r="AH109" s="250"/>
      <c r="AI109" s="250"/>
      <c r="AJ109" s="250"/>
    </row>
    <row r="110" spans="1:36" x14ac:dyDescent="0.3">
      <c r="A110" s="252" t="s">
        <v>157</v>
      </c>
      <c r="B110" s="253">
        <v>46007</v>
      </c>
      <c r="C110" s="254" t="s">
        <v>591</v>
      </c>
      <c r="D110" s="255" t="s">
        <v>758</v>
      </c>
      <c r="E110" s="254" t="s">
        <v>586</v>
      </c>
      <c r="F110" s="254" t="s">
        <v>141</v>
      </c>
      <c r="G110" s="256">
        <v>0.56110000000000004</v>
      </c>
      <c r="H110" s="257">
        <v>180</v>
      </c>
      <c r="I110" s="257">
        <v>101</v>
      </c>
      <c r="J110" s="257">
        <v>90</v>
      </c>
      <c r="K110" s="254" t="s">
        <v>142</v>
      </c>
      <c r="L110" s="258" t="s">
        <v>37</v>
      </c>
      <c r="M110" s="257">
        <v>0</v>
      </c>
      <c r="N110" s="257">
        <v>1</v>
      </c>
      <c r="O110" s="257">
        <v>5</v>
      </c>
      <c r="P110" s="254" t="s">
        <v>73</v>
      </c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  <c r="AA110" s="250"/>
      <c r="AB110" s="250"/>
      <c r="AC110" s="250"/>
      <c r="AD110" s="250"/>
      <c r="AE110" s="257" t="s">
        <v>254</v>
      </c>
      <c r="AF110" s="257" t="s">
        <v>323</v>
      </c>
      <c r="AG110" s="250"/>
      <c r="AH110" s="250"/>
      <c r="AI110" s="257" t="s">
        <v>479</v>
      </c>
      <c r="AJ110" s="250"/>
    </row>
    <row r="111" spans="1:36" x14ac:dyDescent="0.3">
      <c r="A111" s="252" t="s">
        <v>157</v>
      </c>
      <c r="B111" s="253">
        <v>46007</v>
      </c>
      <c r="C111" s="254" t="s">
        <v>599</v>
      </c>
      <c r="D111" s="255" t="s">
        <v>760</v>
      </c>
      <c r="E111" s="254" t="s">
        <v>586</v>
      </c>
      <c r="F111" s="254" t="s">
        <v>141</v>
      </c>
      <c r="G111" s="256">
        <v>0.15</v>
      </c>
      <c r="H111" s="257">
        <v>180</v>
      </c>
      <c r="I111" s="257">
        <v>27</v>
      </c>
      <c r="J111" s="257">
        <v>0</v>
      </c>
      <c r="K111" s="254" t="s">
        <v>142</v>
      </c>
      <c r="L111" s="258" t="s">
        <v>37</v>
      </c>
      <c r="M111" s="257">
        <v>0</v>
      </c>
      <c r="N111" s="257">
        <v>1</v>
      </c>
      <c r="O111" s="257">
        <v>8</v>
      </c>
      <c r="P111" s="254" t="s">
        <v>73</v>
      </c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  <c r="AA111" s="257" t="s">
        <v>325</v>
      </c>
      <c r="AB111" s="250"/>
      <c r="AC111" s="257" t="s">
        <v>348</v>
      </c>
      <c r="AD111" s="250"/>
      <c r="AE111" s="257" t="s">
        <v>95</v>
      </c>
      <c r="AF111" s="257" t="s">
        <v>323</v>
      </c>
      <c r="AG111" s="250"/>
      <c r="AH111" s="250"/>
      <c r="AI111" s="250"/>
      <c r="AJ111" s="250"/>
    </row>
    <row r="112" spans="1:36" x14ac:dyDescent="0.3">
      <c r="A112" s="252" t="s">
        <v>157</v>
      </c>
      <c r="B112" s="253">
        <v>46007</v>
      </c>
      <c r="C112" s="254" t="s">
        <v>587</v>
      </c>
      <c r="D112" s="255" t="s">
        <v>762</v>
      </c>
      <c r="E112" s="254" t="s">
        <v>586</v>
      </c>
      <c r="F112" s="254" t="s">
        <v>141</v>
      </c>
      <c r="G112" s="256">
        <v>0.30559999999999998</v>
      </c>
      <c r="H112" s="257">
        <v>180</v>
      </c>
      <c r="I112" s="257">
        <v>55</v>
      </c>
      <c r="J112" s="257">
        <v>45</v>
      </c>
      <c r="K112" s="254" t="s">
        <v>142</v>
      </c>
      <c r="L112" s="258" t="s">
        <v>32</v>
      </c>
      <c r="M112" s="257">
        <v>0</v>
      </c>
      <c r="N112" s="257">
        <v>0</v>
      </c>
      <c r="O112" s="257">
        <v>2</v>
      </c>
      <c r="P112" s="254" t="s">
        <v>73</v>
      </c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  <c r="AA112" s="250"/>
      <c r="AB112" s="250"/>
      <c r="AC112" s="250"/>
      <c r="AD112" s="250"/>
      <c r="AE112" s="250"/>
      <c r="AF112" s="257" t="s">
        <v>323</v>
      </c>
      <c r="AG112" s="250"/>
      <c r="AH112" s="250"/>
      <c r="AI112" s="257" t="s">
        <v>475</v>
      </c>
      <c r="AJ112" s="250"/>
    </row>
    <row r="113" spans="1:36" x14ac:dyDescent="0.3">
      <c r="A113" s="252" t="s">
        <v>166</v>
      </c>
      <c r="B113" s="253">
        <v>46008</v>
      </c>
      <c r="C113" s="254" t="s">
        <v>599</v>
      </c>
      <c r="D113" s="255" t="s">
        <v>768</v>
      </c>
      <c r="E113" s="254" t="s">
        <v>586</v>
      </c>
      <c r="F113" s="254" t="s">
        <v>141</v>
      </c>
      <c r="G113" s="256">
        <v>0.57220000000000004</v>
      </c>
      <c r="H113" s="257">
        <v>180</v>
      </c>
      <c r="I113" s="257">
        <v>103</v>
      </c>
      <c r="J113" s="257">
        <v>90</v>
      </c>
      <c r="K113" s="254" t="s">
        <v>142</v>
      </c>
      <c r="L113" s="258" t="s">
        <v>37</v>
      </c>
      <c r="M113" s="257">
        <v>0</v>
      </c>
      <c r="N113" s="257">
        <v>3</v>
      </c>
      <c r="O113" s="257">
        <v>10</v>
      </c>
      <c r="P113" s="254" t="s">
        <v>156</v>
      </c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7" t="s">
        <v>224</v>
      </c>
      <c r="AF113" s="257" t="s">
        <v>323</v>
      </c>
      <c r="AG113" s="250"/>
      <c r="AH113" s="250"/>
      <c r="AI113" s="257" t="s">
        <v>479</v>
      </c>
      <c r="AJ113" s="250"/>
    </row>
    <row r="114" spans="1:36" x14ac:dyDescent="0.3">
      <c r="A114" s="252" t="s">
        <v>166</v>
      </c>
      <c r="B114" s="253">
        <v>46008</v>
      </c>
      <c r="C114" s="254" t="s">
        <v>587</v>
      </c>
      <c r="D114" s="255" t="s">
        <v>843</v>
      </c>
      <c r="E114" s="254" t="s">
        <v>586</v>
      </c>
      <c r="F114" s="254" t="s">
        <v>141</v>
      </c>
      <c r="G114" s="256">
        <v>0.58889999999999998</v>
      </c>
      <c r="H114" s="257">
        <v>180</v>
      </c>
      <c r="I114" s="257">
        <v>106</v>
      </c>
      <c r="J114" s="257">
        <v>90</v>
      </c>
      <c r="K114" s="254" t="s">
        <v>142</v>
      </c>
      <c r="L114" s="258" t="s">
        <v>624</v>
      </c>
      <c r="M114" s="257">
        <v>0</v>
      </c>
      <c r="N114" s="257">
        <v>0</v>
      </c>
      <c r="O114" s="257">
        <v>0</v>
      </c>
      <c r="P114" s="254" t="s">
        <v>100</v>
      </c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  <c r="AA114" s="250"/>
      <c r="AB114" s="250"/>
      <c r="AC114" s="250"/>
      <c r="AD114" s="250"/>
      <c r="AE114" s="257" t="s">
        <v>84</v>
      </c>
      <c r="AF114" s="257" t="s">
        <v>323</v>
      </c>
      <c r="AG114" s="250"/>
      <c r="AH114" s="250"/>
      <c r="AI114" s="257" t="s">
        <v>479</v>
      </c>
      <c r="AJ114" s="250"/>
    </row>
    <row r="115" spans="1:36" x14ac:dyDescent="0.3">
      <c r="A115" s="252" t="s">
        <v>166</v>
      </c>
      <c r="B115" s="253">
        <v>46008</v>
      </c>
      <c r="C115" s="254" t="s">
        <v>591</v>
      </c>
      <c r="D115" s="255" t="s">
        <v>773</v>
      </c>
      <c r="E115" s="254" t="s">
        <v>586</v>
      </c>
      <c r="F115" s="254" t="s">
        <v>141</v>
      </c>
      <c r="G115" s="256">
        <v>0.7944</v>
      </c>
      <c r="H115" s="257">
        <v>180</v>
      </c>
      <c r="I115" s="257">
        <v>143</v>
      </c>
      <c r="J115" s="257">
        <v>135</v>
      </c>
      <c r="K115" s="254" t="s">
        <v>142</v>
      </c>
      <c r="L115" s="258" t="s">
        <v>32</v>
      </c>
      <c r="M115" s="257">
        <v>0</v>
      </c>
      <c r="N115" s="257">
        <v>0</v>
      </c>
      <c r="O115" s="257">
        <v>7</v>
      </c>
      <c r="P115" s="254" t="s">
        <v>225</v>
      </c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  <c r="AA115" s="250"/>
      <c r="AB115" s="250"/>
      <c r="AC115" s="250"/>
      <c r="AD115" s="250"/>
      <c r="AE115" s="250"/>
      <c r="AF115" s="257" t="s">
        <v>281</v>
      </c>
      <c r="AG115" s="250"/>
      <c r="AH115" s="250"/>
      <c r="AI115" s="257" t="s">
        <v>465</v>
      </c>
      <c r="AJ115" s="250"/>
    </row>
    <row r="116" spans="1:36" x14ac:dyDescent="0.3">
      <c r="A116" s="252" t="s">
        <v>166</v>
      </c>
      <c r="B116" s="253">
        <v>46008</v>
      </c>
      <c r="C116" s="254" t="s">
        <v>589</v>
      </c>
      <c r="D116" s="255" t="s">
        <v>462</v>
      </c>
      <c r="E116" s="254" t="s">
        <v>586</v>
      </c>
      <c r="F116" s="254" t="s">
        <v>141</v>
      </c>
      <c r="G116" s="256">
        <v>7.7799999999999994E-2</v>
      </c>
      <c r="H116" s="257">
        <v>180</v>
      </c>
      <c r="I116" s="257">
        <v>14</v>
      </c>
      <c r="J116" s="257">
        <v>0</v>
      </c>
      <c r="K116" s="254" t="s">
        <v>142</v>
      </c>
      <c r="L116" s="258" t="s">
        <v>75</v>
      </c>
      <c r="M116" s="257">
        <v>1</v>
      </c>
      <c r="N116" s="257">
        <v>0</v>
      </c>
      <c r="O116" s="257">
        <v>4</v>
      </c>
      <c r="P116" s="254" t="s">
        <v>108</v>
      </c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  <c r="AA116" s="250"/>
      <c r="AB116" s="250"/>
      <c r="AC116" s="250"/>
      <c r="AD116" s="250"/>
      <c r="AE116" s="257" t="s">
        <v>253</v>
      </c>
      <c r="AF116" s="257" t="s">
        <v>323</v>
      </c>
      <c r="AG116" s="250"/>
      <c r="AH116" s="250"/>
      <c r="AI116" s="250"/>
      <c r="AJ116" s="250"/>
    </row>
    <row r="117" spans="1:36" x14ac:dyDescent="0.3">
      <c r="A117" s="252" t="s">
        <v>166</v>
      </c>
      <c r="B117" s="253">
        <v>46008</v>
      </c>
      <c r="C117" s="254" t="s">
        <v>593</v>
      </c>
      <c r="D117" s="255" t="s">
        <v>775</v>
      </c>
      <c r="E117" s="254" t="s">
        <v>586</v>
      </c>
      <c r="F117" s="254" t="s">
        <v>141</v>
      </c>
      <c r="G117" s="256">
        <v>6.6699999999999995E-2</v>
      </c>
      <c r="H117" s="257">
        <v>180</v>
      </c>
      <c r="I117" s="257">
        <v>12</v>
      </c>
      <c r="J117" s="257">
        <v>0</v>
      </c>
      <c r="K117" s="254" t="s">
        <v>142</v>
      </c>
      <c r="L117" s="258" t="s">
        <v>47</v>
      </c>
      <c r="M117" s="257">
        <v>0</v>
      </c>
      <c r="N117" s="257">
        <v>0</v>
      </c>
      <c r="O117" s="257">
        <v>3</v>
      </c>
      <c r="P117" s="254" t="s">
        <v>73</v>
      </c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  <c r="AA117" s="250"/>
      <c r="AB117" s="250"/>
      <c r="AC117" s="257" t="s">
        <v>245</v>
      </c>
      <c r="AD117" s="250"/>
      <c r="AE117" s="250"/>
      <c r="AF117" s="257" t="s">
        <v>323</v>
      </c>
      <c r="AG117" s="250"/>
      <c r="AH117" s="250"/>
      <c r="AI117" s="250"/>
      <c r="AJ117" s="250"/>
    </row>
    <row r="118" spans="1:36" x14ac:dyDescent="0.3">
      <c r="A118" s="252" t="s">
        <v>179</v>
      </c>
      <c r="B118" s="253">
        <v>46009</v>
      </c>
      <c r="C118" s="254" t="s">
        <v>607</v>
      </c>
      <c r="D118" s="255" t="s">
        <v>779</v>
      </c>
      <c r="E118" s="254" t="s">
        <v>586</v>
      </c>
      <c r="F118" s="254" t="s">
        <v>141</v>
      </c>
      <c r="G118" s="256">
        <v>0.59440000000000004</v>
      </c>
      <c r="H118" s="257">
        <v>180</v>
      </c>
      <c r="I118" s="257">
        <v>107</v>
      </c>
      <c r="J118" s="257">
        <v>90</v>
      </c>
      <c r="K118" s="254" t="s">
        <v>142</v>
      </c>
      <c r="L118" s="258" t="s">
        <v>75</v>
      </c>
      <c r="M118" s="257">
        <v>1</v>
      </c>
      <c r="N118" s="257">
        <v>2</v>
      </c>
      <c r="O118" s="257">
        <v>4</v>
      </c>
      <c r="P118" s="254" t="s">
        <v>253</v>
      </c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  <c r="AA118" s="250"/>
      <c r="AB118" s="250"/>
      <c r="AC118" s="250"/>
      <c r="AD118" s="250"/>
      <c r="AE118" s="257" t="s">
        <v>108</v>
      </c>
      <c r="AF118" s="257" t="s">
        <v>323</v>
      </c>
      <c r="AG118" s="250"/>
      <c r="AH118" s="250"/>
      <c r="AI118" s="257" t="s">
        <v>479</v>
      </c>
      <c r="AJ118" s="250"/>
    </row>
    <row r="119" spans="1:36" x14ac:dyDescent="0.3">
      <c r="A119" s="252" t="s">
        <v>179</v>
      </c>
      <c r="B119" s="253">
        <v>46009</v>
      </c>
      <c r="C119" s="254" t="s">
        <v>587</v>
      </c>
      <c r="D119" s="255" t="s">
        <v>784</v>
      </c>
      <c r="E119" s="254" t="s">
        <v>586</v>
      </c>
      <c r="F119" s="254" t="s">
        <v>141</v>
      </c>
      <c r="G119" s="256">
        <v>0.5222</v>
      </c>
      <c r="H119" s="257">
        <v>180</v>
      </c>
      <c r="I119" s="257">
        <v>94</v>
      </c>
      <c r="J119" s="257">
        <v>90</v>
      </c>
      <c r="K119" s="254" t="s">
        <v>142</v>
      </c>
      <c r="L119" s="258" t="s">
        <v>32</v>
      </c>
      <c r="M119" s="257">
        <v>0</v>
      </c>
      <c r="N119" s="257">
        <v>0</v>
      </c>
      <c r="O119" s="257">
        <v>4</v>
      </c>
      <c r="P119" s="254" t="s">
        <v>193</v>
      </c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  <c r="AA119" s="250"/>
      <c r="AB119" s="250"/>
      <c r="AC119" s="250"/>
      <c r="AD119" s="250"/>
      <c r="AE119" s="250"/>
      <c r="AF119" s="257" t="s">
        <v>76</v>
      </c>
      <c r="AG119" s="257" t="s">
        <v>835</v>
      </c>
      <c r="AH119" s="250"/>
      <c r="AI119" s="257" t="s">
        <v>475</v>
      </c>
      <c r="AJ119" s="250"/>
    </row>
    <row r="120" spans="1:36" x14ac:dyDescent="0.3">
      <c r="A120" s="252" t="s">
        <v>179</v>
      </c>
      <c r="B120" s="253">
        <v>46009</v>
      </c>
      <c r="C120" s="254" t="s">
        <v>610</v>
      </c>
      <c r="D120" s="255" t="s">
        <v>787</v>
      </c>
      <c r="E120" s="254" t="s">
        <v>586</v>
      </c>
      <c r="F120" s="254" t="s">
        <v>141</v>
      </c>
      <c r="G120" s="256">
        <v>2.7799999999999998E-2</v>
      </c>
      <c r="H120" s="257">
        <v>180</v>
      </c>
      <c r="I120" s="257">
        <v>5</v>
      </c>
      <c r="J120" s="257">
        <v>0</v>
      </c>
      <c r="K120" s="254" t="s">
        <v>142</v>
      </c>
      <c r="L120" s="258" t="s">
        <v>102</v>
      </c>
      <c r="M120" s="257">
        <v>0</v>
      </c>
      <c r="N120" s="257">
        <v>0</v>
      </c>
      <c r="O120" s="257">
        <v>5</v>
      </c>
      <c r="P120" s="254" t="s">
        <v>100</v>
      </c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  <c r="AA120" s="250"/>
      <c r="AB120" s="250"/>
      <c r="AC120" s="250"/>
      <c r="AD120" s="250"/>
      <c r="AE120" s="250"/>
      <c r="AF120" s="257" t="s">
        <v>221</v>
      </c>
      <c r="AG120" s="250"/>
      <c r="AH120" s="250"/>
      <c r="AI120" s="250"/>
      <c r="AJ120" s="250"/>
    </row>
    <row r="121" spans="1:36" x14ac:dyDescent="0.3">
      <c r="A121" s="252" t="s">
        <v>179</v>
      </c>
      <c r="B121" s="253">
        <v>46009</v>
      </c>
      <c r="C121" s="254" t="s">
        <v>589</v>
      </c>
      <c r="D121" s="255" t="s">
        <v>186</v>
      </c>
      <c r="E121" s="254" t="s">
        <v>586</v>
      </c>
      <c r="F121" s="254" t="s">
        <v>141</v>
      </c>
      <c r="G121" s="256">
        <v>0.86109999999999998</v>
      </c>
      <c r="H121" s="257">
        <v>180</v>
      </c>
      <c r="I121" s="257">
        <v>155</v>
      </c>
      <c r="J121" s="257">
        <v>135</v>
      </c>
      <c r="K121" s="254" t="s">
        <v>142</v>
      </c>
      <c r="L121" s="258" t="s">
        <v>47</v>
      </c>
      <c r="M121" s="257">
        <v>0</v>
      </c>
      <c r="N121" s="257">
        <v>0</v>
      </c>
      <c r="O121" s="257">
        <v>10</v>
      </c>
      <c r="P121" s="254" t="s">
        <v>254</v>
      </c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  <c r="AA121" s="250"/>
      <c r="AB121" s="250"/>
      <c r="AC121" s="250"/>
      <c r="AD121" s="250"/>
      <c r="AE121" s="257" t="s">
        <v>101</v>
      </c>
      <c r="AF121" s="257" t="s">
        <v>323</v>
      </c>
      <c r="AG121" s="250"/>
      <c r="AH121" s="250"/>
      <c r="AI121" s="257" t="s">
        <v>465</v>
      </c>
      <c r="AJ121" s="250"/>
    </row>
    <row r="122" spans="1:36" x14ac:dyDescent="0.3">
      <c r="A122" s="252" t="s">
        <v>179</v>
      </c>
      <c r="B122" s="253">
        <v>46009</v>
      </c>
      <c r="C122" s="254" t="s">
        <v>595</v>
      </c>
      <c r="D122" s="255" t="s">
        <v>790</v>
      </c>
      <c r="E122" s="254" t="s">
        <v>586</v>
      </c>
      <c r="F122" s="254" t="s">
        <v>141</v>
      </c>
      <c r="G122" s="256">
        <v>0.61109999999999998</v>
      </c>
      <c r="H122" s="257">
        <v>180</v>
      </c>
      <c r="I122" s="257">
        <v>110</v>
      </c>
      <c r="J122" s="257">
        <v>90</v>
      </c>
      <c r="K122" s="254" t="s">
        <v>142</v>
      </c>
      <c r="L122" s="258" t="s">
        <v>47</v>
      </c>
      <c r="M122" s="257">
        <v>0</v>
      </c>
      <c r="N122" s="257">
        <v>0</v>
      </c>
      <c r="O122" s="257">
        <v>10</v>
      </c>
      <c r="P122" s="254" t="s">
        <v>254</v>
      </c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  <c r="AA122" s="250"/>
      <c r="AB122" s="250"/>
      <c r="AC122" s="250"/>
      <c r="AD122" s="250"/>
      <c r="AE122" s="257" t="s">
        <v>101</v>
      </c>
      <c r="AF122" s="257" t="s">
        <v>323</v>
      </c>
      <c r="AG122" s="250"/>
      <c r="AH122" s="250"/>
      <c r="AI122" s="257" t="s">
        <v>479</v>
      </c>
      <c r="AJ122" s="250"/>
    </row>
    <row r="123" spans="1:36" x14ac:dyDescent="0.3">
      <c r="A123" s="252" t="s">
        <v>179</v>
      </c>
      <c r="B123" s="253">
        <v>46009</v>
      </c>
      <c r="C123" s="254" t="s">
        <v>599</v>
      </c>
      <c r="D123" s="255" t="s">
        <v>775</v>
      </c>
      <c r="E123" s="254" t="s">
        <v>586</v>
      </c>
      <c r="F123" s="254" t="s">
        <v>141</v>
      </c>
      <c r="G123" s="256">
        <v>0.74439999999999995</v>
      </c>
      <c r="H123" s="257">
        <v>180</v>
      </c>
      <c r="I123" s="257">
        <v>134</v>
      </c>
      <c r="J123" s="257">
        <v>120</v>
      </c>
      <c r="K123" s="254" t="s">
        <v>142</v>
      </c>
      <c r="L123" s="258" t="s">
        <v>102</v>
      </c>
      <c r="M123" s="257">
        <v>0</v>
      </c>
      <c r="N123" s="257">
        <v>0</v>
      </c>
      <c r="O123" s="257">
        <v>6</v>
      </c>
      <c r="P123" s="254" t="s">
        <v>108</v>
      </c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  <c r="AA123" s="250"/>
      <c r="AB123" s="250"/>
      <c r="AC123" s="250"/>
      <c r="AD123" s="250"/>
      <c r="AE123" s="257" t="s">
        <v>253</v>
      </c>
      <c r="AF123" s="257" t="s">
        <v>323</v>
      </c>
      <c r="AG123" s="257" t="s">
        <v>844</v>
      </c>
      <c r="AH123" s="250"/>
      <c r="AI123" s="250"/>
      <c r="AJ123" s="250"/>
    </row>
    <row r="124" spans="1:36" x14ac:dyDescent="0.3">
      <c r="A124" s="252" t="s">
        <v>185</v>
      </c>
      <c r="B124" s="253">
        <v>46010</v>
      </c>
      <c r="C124" s="254" t="s">
        <v>587</v>
      </c>
      <c r="D124" s="255" t="s">
        <v>795</v>
      </c>
      <c r="E124" s="254" t="s">
        <v>586</v>
      </c>
      <c r="F124" s="254" t="s">
        <v>141</v>
      </c>
      <c r="G124" s="256">
        <v>8.3299999999999999E-2</v>
      </c>
      <c r="H124" s="257">
        <v>180</v>
      </c>
      <c r="I124" s="257">
        <v>15</v>
      </c>
      <c r="J124" s="257">
        <v>0</v>
      </c>
      <c r="K124" s="254" t="s">
        <v>142</v>
      </c>
      <c r="L124" s="258" t="s">
        <v>413</v>
      </c>
      <c r="M124" s="257">
        <v>0</v>
      </c>
      <c r="N124" s="257">
        <v>0</v>
      </c>
      <c r="O124" s="257">
        <v>0</v>
      </c>
      <c r="P124" s="254" t="s">
        <v>73</v>
      </c>
      <c r="Q124" s="250"/>
      <c r="R124" s="250"/>
      <c r="S124" s="250"/>
      <c r="T124" s="250"/>
      <c r="U124" s="250"/>
      <c r="V124" s="250"/>
      <c r="W124" s="250"/>
      <c r="X124" s="250"/>
      <c r="Y124" s="250"/>
      <c r="Z124" s="257" t="s">
        <v>226</v>
      </c>
      <c r="AA124" s="257" t="s">
        <v>325</v>
      </c>
      <c r="AB124" s="250"/>
      <c r="AC124" s="250"/>
      <c r="AD124" s="250"/>
      <c r="AE124" s="257" t="s">
        <v>254</v>
      </c>
      <c r="AF124" s="257" t="s">
        <v>323</v>
      </c>
      <c r="AG124" s="250"/>
      <c r="AH124" s="250"/>
      <c r="AI124" s="250"/>
      <c r="AJ124" s="250"/>
    </row>
    <row r="125" spans="1:36" x14ac:dyDescent="0.3">
      <c r="A125" s="252" t="s">
        <v>185</v>
      </c>
      <c r="B125" s="253">
        <v>46010</v>
      </c>
      <c r="C125" s="254" t="s">
        <v>589</v>
      </c>
      <c r="D125" s="255" t="s">
        <v>801</v>
      </c>
      <c r="E125" s="254" t="s">
        <v>586</v>
      </c>
      <c r="F125" s="254" t="s">
        <v>141</v>
      </c>
      <c r="G125" s="256">
        <v>5.5599999999999997E-2</v>
      </c>
      <c r="H125" s="257">
        <v>180</v>
      </c>
      <c r="I125" s="257">
        <v>10</v>
      </c>
      <c r="J125" s="257">
        <v>0</v>
      </c>
      <c r="K125" s="254" t="s">
        <v>142</v>
      </c>
      <c r="L125" s="258" t="s">
        <v>47</v>
      </c>
      <c r="M125" s="257">
        <v>0</v>
      </c>
      <c r="N125" s="257">
        <v>0</v>
      </c>
      <c r="O125" s="257">
        <v>5</v>
      </c>
      <c r="P125" s="254" t="s">
        <v>73</v>
      </c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  <c r="AA125" s="250"/>
      <c r="AB125" s="250"/>
      <c r="AC125" s="250"/>
      <c r="AD125" s="250"/>
      <c r="AE125" s="250"/>
      <c r="AF125" s="257" t="s">
        <v>323</v>
      </c>
      <c r="AG125" s="250"/>
      <c r="AH125" s="250"/>
      <c r="AI125" s="250"/>
      <c r="AJ125" s="250"/>
    </row>
    <row r="126" spans="1:36" x14ac:dyDescent="0.3">
      <c r="A126" s="252" t="s">
        <v>185</v>
      </c>
      <c r="B126" s="253">
        <v>46010</v>
      </c>
      <c r="C126" s="254" t="s">
        <v>595</v>
      </c>
      <c r="D126" s="255" t="s">
        <v>462</v>
      </c>
      <c r="E126" s="254" t="s">
        <v>586</v>
      </c>
      <c r="F126" s="254" t="s">
        <v>141</v>
      </c>
      <c r="G126" s="256">
        <v>9.4399999999999998E-2</v>
      </c>
      <c r="H126" s="257">
        <v>180</v>
      </c>
      <c r="I126" s="257">
        <v>17</v>
      </c>
      <c r="J126" s="257">
        <v>0</v>
      </c>
      <c r="K126" s="254" t="s">
        <v>142</v>
      </c>
      <c r="L126" s="258" t="s">
        <v>717</v>
      </c>
      <c r="M126" s="257">
        <v>0</v>
      </c>
      <c r="N126" s="257">
        <v>0</v>
      </c>
      <c r="O126" s="257">
        <v>0</v>
      </c>
      <c r="P126" s="254" t="s">
        <v>253</v>
      </c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  <c r="AA126" s="250"/>
      <c r="AB126" s="250"/>
      <c r="AC126" s="250"/>
      <c r="AD126" s="250"/>
      <c r="AE126" s="257" t="s">
        <v>108</v>
      </c>
      <c r="AF126" s="257" t="s">
        <v>323</v>
      </c>
      <c r="AG126" s="250"/>
      <c r="AH126" s="250"/>
      <c r="AI126" s="250"/>
      <c r="AJ126" s="250"/>
    </row>
    <row r="127" spans="1:36" x14ac:dyDescent="0.3">
      <c r="A127" s="252" t="s">
        <v>185</v>
      </c>
      <c r="B127" s="253">
        <v>46010</v>
      </c>
      <c r="C127" s="254" t="s">
        <v>593</v>
      </c>
      <c r="D127" s="255" t="s">
        <v>806</v>
      </c>
      <c r="E127" s="254" t="s">
        <v>586</v>
      </c>
      <c r="F127" s="254" t="s">
        <v>141</v>
      </c>
      <c r="G127" s="256">
        <v>0.2</v>
      </c>
      <c r="H127" s="257">
        <v>180</v>
      </c>
      <c r="I127" s="257">
        <v>36</v>
      </c>
      <c r="J127" s="257">
        <v>0</v>
      </c>
      <c r="K127" s="254" t="s">
        <v>142</v>
      </c>
      <c r="L127" s="258" t="s">
        <v>37</v>
      </c>
      <c r="M127" s="257">
        <v>0</v>
      </c>
      <c r="N127" s="257">
        <v>2</v>
      </c>
      <c r="O127" s="257">
        <v>2</v>
      </c>
      <c r="P127" s="254" t="s">
        <v>71</v>
      </c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  <c r="AA127" s="250"/>
      <c r="AB127" s="250"/>
      <c r="AC127" s="257" t="s">
        <v>192</v>
      </c>
      <c r="AD127" s="257" t="s">
        <v>228</v>
      </c>
      <c r="AE127" s="257" t="s">
        <v>841</v>
      </c>
      <c r="AF127" s="257" t="s">
        <v>78</v>
      </c>
      <c r="AG127" s="250"/>
      <c r="AH127" s="250"/>
      <c r="AI127" s="250"/>
      <c r="AJ127" s="250"/>
    </row>
    <row r="128" spans="1:36" x14ac:dyDescent="0.3">
      <c r="A128" s="252" t="s">
        <v>185</v>
      </c>
      <c r="B128" s="253">
        <v>46010</v>
      </c>
      <c r="C128" s="254" t="s">
        <v>591</v>
      </c>
      <c r="D128" s="255" t="s">
        <v>809</v>
      </c>
      <c r="E128" s="254" t="s">
        <v>586</v>
      </c>
      <c r="F128" s="254" t="s">
        <v>141</v>
      </c>
      <c r="G128" s="256">
        <v>7.7799999999999994E-2</v>
      </c>
      <c r="H128" s="257">
        <v>180</v>
      </c>
      <c r="I128" s="257">
        <v>14</v>
      </c>
      <c r="J128" s="257">
        <v>0</v>
      </c>
      <c r="K128" s="254" t="s">
        <v>142</v>
      </c>
      <c r="L128" s="258" t="s">
        <v>37</v>
      </c>
      <c r="M128" s="257">
        <v>0</v>
      </c>
      <c r="N128" s="257">
        <v>1</v>
      </c>
      <c r="O128" s="257">
        <v>2</v>
      </c>
      <c r="P128" s="254" t="s">
        <v>108</v>
      </c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  <c r="AA128" s="250"/>
      <c r="AB128" s="250"/>
      <c r="AC128" s="250"/>
      <c r="AD128" s="250"/>
      <c r="AE128" s="257" t="s">
        <v>253</v>
      </c>
      <c r="AF128" s="257" t="s">
        <v>323</v>
      </c>
      <c r="AG128" s="250"/>
      <c r="AH128" s="250"/>
      <c r="AI128" s="250"/>
      <c r="AJ128" s="250"/>
    </row>
    <row r="129" spans="1:36" x14ac:dyDescent="0.3">
      <c r="A129" s="252" t="s">
        <v>205</v>
      </c>
      <c r="B129" s="253">
        <v>46011</v>
      </c>
      <c r="C129" s="254" t="s">
        <v>607</v>
      </c>
      <c r="D129" s="255" t="s">
        <v>813</v>
      </c>
      <c r="E129" s="254" t="s">
        <v>586</v>
      </c>
      <c r="F129" s="254" t="s">
        <v>141</v>
      </c>
      <c r="G129" s="256">
        <v>0.31109999999999999</v>
      </c>
      <c r="H129" s="257">
        <v>180</v>
      </c>
      <c r="I129" s="257">
        <v>56</v>
      </c>
      <c r="J129" s="257">
        <v>45</v>
      </c>
      <c r="K129" s="254" t="s">
        <v>142</v>
      </c>
      <c r="L129" s="258" t="s">
        <v>32</v>
      </c>
      <c r="M129" s="257">
        <v>0</v>
      </c>
      <c r="N129" s="257">
        <v>0</v>
      </c>
      <c r="O129" s="257">
        <v>9</v>
      </c>
      <c r="P129" s="254" t="s">
        <v>73</v>
      </c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  <c r="AA129" s="250"/>
      <c r="AB129" s="250"/>
      <c r="AC129" s="250"/>
      <c r="AD129" s="250"/>
      <c r="AE129" s="257" t="s">
        <v>254</v>
      </c>
      <c r="AF129" s="257" t="s">
        <v>323</v>
      </c>
      <c r="AG129" s="250"/>
      <c r="AH129" s="250"/>
      <c r="AI129" s="257" t="s">
        <v>475</v>
      </c>
      <c r="AJ129" s="250"/>
    </row>
    <row r="130" spans="1:36" x14ac:dyDescent="0.3">
      <c r="A130" s="252" t="s">
        <v>205</v>
      </c>
      <c r="B130" s="253">
        <v>46011</v>
      </c>
      <c r="C130" s="254" t="s">
        <v>587</v>
      </c>
      <c r="D130" s="255" t="s">
        <v>784</v>
      </c>
      <c r="E130" s="254" t="s">
        <v>586</v>
      </c>
      <c r="F130" s="254" t="s">
        <v>141</v>
      </c>
      <c r="G130" s="256">
        <v>0.82779999999999998</v>
      </c>
      <c r="H130" s="257">
        <v>180</v>
      </c>
      <c r="I130" s="257">
        <v>149</v>
      </c>
      <c r="J130" s="257">
        <v>135</v>
      </c>
      <c r="K130" s="254" t="s">
        <v>142</v>
      </c>
      <c r="L130" s="258" t="s">
        <v>378</v>
      </c>
      <c r="M130" s="257">
        <v>0</v>
      </c>
      <c r="N130" s="257">
        <v>0</v>
      </c>
      <c r="O130" s="257">
        <v>0</v>
      </c>
      <c r="P130" s="254" t="s">
        <v>108</v>
      </c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  <c r="AA130" s="250"/>
      <c r="AB130" s="250"/>
      <c r="AC130" s="250"/>
      <c r="AD130" s="250"/>
      <c r="AE130" s="257" t="s">
        <v>253</v>
      </c>
      <c r="AF130" s="257" t="s">
        <v>323</v>
      </c>
      <c r="AG130" s="250"/>
      <c r="AH130" s="250"/>
      <c r="AI130" s="257" t="s">
        <v>465</v>
      </c>
      <c r="AJ130" s="250"/>
    </row>
    <row r="131" spans="1:36" x14ac:dyDescent="0.3">
      <c r="A131" s="252" t="s">
        <v>205</v>
      </c>
      <c r="B131" s="253">
        <v>46011</v>
      </c>
      <c r="C131" s="254" t="s">
        <v>589</v>
      </c>
      <c r="D131" s="255" t="s">
        <v>816</v>
      </c>
      <c r="E131" s="254" t="s">
        <v>586</v>
      </c>
      <c r="F131" s="254" t="s">
        <v>141</v>
      </c>
      <c r="G131" s="256">
        <v>0.82779999999999998</v>
      </c>
      <c r="H131" s="257">
        <v>180</v>
      </c>
      <c r="I131" s="257">
        <v>149</v>
      </c>
      <c r="J131" s="257">
        <v>137</v>
      </c>
      <c r="K131" s="254" t="s">
        <v>142</v>
      </c>
      <c r="L131" s="258" t="s">
        <v>37</v>
      </c>
      <c r="M131" s="257">
        <v>0</v>
      </c>
      <c r="N131" s="257">
        <v>1</v>
      </c>
      <c r="O131" s="257">
        <v>2</v>
      </c>
      <c r="P131" s="254" t="s">
        <v>73</v>
      </c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  <c r="AA131" s="250"/>
      <c r="AB131" s="250"/>
      <c r="AC131" s="250"/>
      <c r="AD131" s="250"/>
      <c r="AE131" s="257" t="s">
        <v>95</v>
      </c>
      <c r="AF131" s="257" t="s">
        <v>323</v>
      </c>
      <c r="AG131" s="250"/>
      <c r="AH131" s="250"/>
      <c r="AI131" s="257" t="s">
        <v>485</v>
      </c>
      <c r="AJ131" s="250"/>
    </row>
    <row r="132" spans="1:36" x14ac:dyDescent="0.3">
      <c r="A132" s="252" t="s">
        <v>205</v>
      </c>
      <c r="B132" s="253">
        <v>46011</v>
      </c>
      <c r="C132" s="254" t="s">
        <v>599</v>
      </c>
      <c r="D132" s="255" t="s">
        <v>819</v>
      </c>
      <c r="E132" s="254" t="s">
        <v>586</v>
      </c>
      <c r="F132" s="254" t="s">
        <v>141</v>
      </c>
      <c r="G132" s="256">
        <v>0.31109999999999999</v>
      </c>
      <c r="H132" s="257">
        <v>180</v>
      </c>
      <c r="I132" s="257">
        <v>56</v>
      </c>
      <c r="J132" s="257">
        <v>35</v>
      </c>
      <c r="K132" s="254" t="s">
        <v>142</v>
      </c>
      <c r="L132" s="258" t="s">
        <v>32</v>
      </c>
      <c r="M132" s="257">
        <v>0</v>
      </c>
      <c r="N132" s="257">
        <v>0</v>
      </c>
      <c r="O132" s="257">
        <v>5</v>
      </c>
      <c r="P132" s="254" t="s">
        <v>99</v>
      </c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  <c r="AA132" s="250"/>
      <c r="AB132" s="250"/>
      <c r="AC132" s="250"/>
      <c r="AD132" s="250"/>
      <c r="AE132" s="257" t="s">
        <v>85</v>
      </c>
      <c r="AF132" s="257" t="s">
        <v>323</v>
      </c>
      <c r="AG132" s="250"/>
      <c r="AH132" s="250"/>
      <c r="AI132" s="257" t="s">
        <v>800</v>
      </c>
      <c r="AJ132" s="250"/>
    </row>
    <row r="133" spans="1:36" x14ac:dyDescent="0.3">
      <c r="A133" s="252" t="s">
        <v>139</v>
      </c>
      <c r="B133" s="253">
        <v>46012</v>
      </c>
      <c r="C133" s="254" t="s">
        <v>587</v>
      </c>
      <c r="D133" s="255" t="s">
        <v>795</v>
      </c>
      <c r="E133" s="254" t="s">
        <v>586</v>
      </c>
      <c r="F133" s="254" t="s">
        <v>141</v>
      </c>
      <c r="G133" s="256">
        <v>0.31669999999999998</v>
      </c>
      <c r="H133" s="257">
        <v>180</v>
      </c>
      <c r="I133" s="257">
        <v>57</v>
      </c>
      <c r="J133" s="257">
        <v>45</v>
      </c>
      <c r="K133" s="254" t="s">
        <v>142</v>
      </c>
      <c r="L133" s="258" t="s">
        <v>32</v>
      </c>
      <c r="M133" s="257">
        <v>0</v>
      </c>
      <c r="N133" s="257">
        <v>0</v>
      </c>
      <c r="O133" s="257">
        <v>3</v>
      </c>
      <c r="P133" s="254" t="s">
        <v>73</v>
      </c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  <c r="AA133" s="250"/>
      <c r="AB133" s="250"/>
      <c r="AC133" s="257" t="s">
        <v>245</v>
      </c>
      <c r="AD133" s="250"/>
      <c r="AE133" s="250"/>
      <c r="AF133" s="257" t="s">
        <v>323</v>
      </c>
      <c r="AG133" s="250"/>
      <c r="AH133" s="250"/>
      <c r="AI133" s="257" t="s">
        <v>475</v>
      </c>
      <c r="AJ133" s="250"/>
    </row>
    <row r="134" spans="1:36" x14ac:dyDescent="0.3">
      <c r="A134" s="252" t="s">
        <v>139</v>
      </c>
      <c r="B134" s="253">
        <v>46012</v>
      </c>
      <c r="C134" s="254" t="s">
        <v>610</v>
      </c>
      <c r="D134" s="255" t="s">
        <v>784</v>
      </c>
      <c r="E134" s="254" t="s">
        <v>586</v>
      </c>
      <c r="F134" s="254" t="s">
        <v>141</v>
      </c>
      <c r="G134" s="256">
        <v>0.27779999999999999</v>
      </c>
      <c r="H134" s="257">
        <v>180</v>
      </c>
      <c r="I134" s="257">
        <v>50</v>
      </c>
      <c r="J134" s="257">
        <v>45</v>
      </c>
      <c r="K134" s="254" t="s">
        <v>142</v>
      </c>
      <c r="L134" s="258" t="s">
        <v>102</v>
      </c>
      <c r="M134" s="257">
        <v>0</v>
      </c>
      <c r="N134" s="257">
        <v>0</v>
      </c>
      <c r="O134" s="257">
        <v>3</v>
      </c>
      <c r="P134" s="254" t="s">
        <v>100</v>
      </c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  <c r="AA134" s="250"/>
      <c r="AB134" s="250"/>
      <c r="AC134" s="250"/>
      <c r="AD134" s="250"/>
      <c r="AE134" s="250"/>
      <c r="AF134" s="257" t="s">
        <v>221</v>
      </c>
      <c r="AG134" s="250"/>
      <c r="AH134" s="250"/>
      <c r="AI134" s="257" t="s">
        <v>475</v>
      </c>
      <c r="AJ134" s="250"/>
    </row>
    <row r="135" spans="1:36" x14ac:dyDescent="0.3">
      <c r="A135" s="252" t="s">
        <v>139</v>
      </c>
      <c r="B135" s="253">
        <v>46012</v>
      </c>
      <c r="C135" s="254" t="s">
        <v>591</v>
      </c>
      <c r="D135" s="255" t="s">
        <v>823</v>
      </c>
      <c r="E135" s="254" t="s">
        <v>586</v>
      </c>
      <c r="F135" s="254" t="s">
        <v>141</v>
      </c>
      <c r="G135" s="256">
        <v>0.81669999999999998</v>
      </c>
      <c r="H135" s="257">
        <v>180</v>
      </c>
      <c r="I135" s="257">
        <v>147</v>
      </c>
      <c r="J135" s="257">
        <v>135</v>
      </c>
      <c r="K135" s="254" t="s">
        <v>142</v>
      </c>
      <c r="L135" s="258" t="s">
        <v>32</v>
      </c>
      <c r="M135" s="257">
        <v>0</v>
      </c>
      <c r="N135" s="257">
        <v>0</v>
      </c>
      <c r="O135" s="257">
        <v>6</v>
      </c>
      <c r="P135" s="254" t="s">
        <v>104</v>
      </c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  <c r="AA135" s="250"/>
      <c r="AB135" s="250"/>
      <c r="AC135" s="257" t="s">
        <v>245</v>
      </c>
      <c r="AD135" s="250"/>
      <c r="AE135" s="257" t="s">
        <v>254</v>
      </c>
      <c r="AF135" s="257" t="s">
        <v>78</v>
      </c>
      <c r="AG135" s="250"/>
      <c r="AH135" s="250"/>
      <c r="AI135" s="257" t="s">
        <v>465</v>
      </c>
      <c r="AJ135" s="250"/>
    </row>
    <row r="136" spans="1:36" x14ac:dyDescent="0.3">
      <c r="A136" s="252" t="s">
        <v>139</v>
      </c>
      <c r="B136" s="253">
        <v>46012</v>
      </c>
      <c r="C136" s="254" t="s">
        <v>589</v>
      </c>
      <c r="D136" s="255" t="s">
        <v>825</v>
      </c>
      <c r="E136" s="254" t="s">
        <v>586</v>
      </c>
      <c r="F136" s="254" t="s">
        <v>141</v>
      </c>
      <c r="G136" s="256">
        <v>0.80559999999999998</v>
      </c>
      <c r="H136" s="257">
        <v>180</v>
      </c>
      <c r="I136" s="257">
        <v>145</v>
      </c>
      <c r="J136" s="257">
        <v>135</v>
      </c>
      <c r="K136" s="254" t="s">
        <v>142</v>
      </c>
      <c r="L136" s="258" t="s">
        <v>445</v>
      </c>
      <c r="M136" s="257">
        <v>0</v>
      </c>
      <c r="N136" s="257">
        <v>0</v>
      </c>
      <c r="O136" s="257">
        <v>0</v>
      </c>
      <c r="P136" s="254" t="s">
        <v>73</v>
      </c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  <c r="AA136" s="250"/>
      <c r="AB136" s="250"/>
      <c r="AC136" s="250"/>
      <c r="AD136" s="250"/>
      <c r="AE136" s="250"/>
      <c r="AF136" s="257" t="s">
        <v>323</v>
      </c>
      <c r="AG136" s="250"/>
      <c r="AH136" s="250"/>
      <c r="AI136" s="257" t="s">
        <v>465</v>
      </c>
      <c r="AJ136" s="250"/>
    </row>
    <row r="137" spans="1:36" x14ac:dyDescent="0.3">
      <c r="A137" s="252" t="s">
        <v>139</v>
      </c>
      <c r="B137" s="253">
        <v>46012</v>
      </c>
      <c r="C137" s="254" t="s">
        <v>595</v>
      </c>
      <c r="D137" s="255" t="s">
        <v>556</v>
      </c>
      <c r="E137" s="254" t="s">
        <v>586</v>
      </c>
      <c r="F137" s="254" t="s">
        <v>141</v>
      </c>
      <c r="G137" s="256">
        <v>6.6699999999999995E-2</v>
      </c>
      <c r="H137" s="257">
        <v>180</v>
      </c>
      <c r="I137" s="257">
        <v>12</v>
      </c>
      <c r="J137" s="257">
        <v>0</v>
      </c>
      <c r="K137" s="254" t="s">
        <v>142</v>
      </c>
      <c r="L137" s="258" t="s">
        <v>37</v>
      </c>
      <c r="M137" s="257">
        <v>0</v>
      </c>
      <c r="N137" s="257">
        <v>4</v>
      </c>
      <c r="O137" s="257">
        <v>9</v>
      </c>
      <c r="P137" s="254" t="s">
        <v>104</v>
      </c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  <c r="AA137" s="250"/>
      <c r="AB137" s="250"/>
      <c r="AC137" s="250"/>
      <c r="AD137" s="250"/>
      <c r="AE137" s="257" t="s">
        <v>224</v>
      </c>
      <c r="AF137" s="257" t="s">
        <v>78</v>
      </c>
      <c r="AG137" s="250"/>
      <c r="AH137" s="250"/>
      <c r="AI137" s="250"/>
      <c r="AJ137" s="250"/>
    </row>
    <row r="138" spans="1:36" x14ac:dyDescent="0.3">
      <c r="A138" s="252" t="s">
        <v>149</v>
      </c>
      <c r="B138" s="253">
        <v>46013</v>
      </c>
      <c r="C138" s="254" t="s">
        <v>587</v>
      </c>
      <c r="D138" s="255" t="s">
        <v>743</v>
      </c>
      <c r="E138" s="254" t="s">
        <v>586</v>
      </c>
      <c r="F138" s="254" t="s">
        <v>141</v>
      </c>
      <c r="G138" s="256">
        <v>0.80559999999999998</v>
      </c>
      <c r="H138" s="257">
        <v>180</v>
      </c>
      <c r="I138" s="257">
        <v>145</v>
      </c>
      <c r="J138" s="257">
        <v>135</v>
      </c>
      <c r="K138" s="254" t="s">
        <v>142</v>
      </c>
      <c r="L138" s="258" t="s">
        <v>727</v>
      </c>
      <c r="M138" s="257">
        <v>0</v>
      </c>
      <c r="N138" s="257">
        <v>0</v>
      </c>
      <c r="O138" s="257">
        <v>0</v>
      </c>
      <c r="P138" s="254" t="s">
        <v>73</v>
      </c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  <c r="AA138" s="250"/>
      <c r="AB138" s="250"/>
      <c r="AC138" s="250"/>
      <c r="AD138" s="250"/>
      <c r="AE138" s="250"/>
      <c r="AF138" s="257" t="s">
        <v>323</v>
      </c>
      <c r="AG138" s="250"/>
      <c r="AH138" s="250"/>
      <c r="AI138" s="257" t="s">
        <v>465</v>
      </c>
      <c r="AJ138" s="250"/>
    </row>
    <row r="139" spans="1:36" x14ac:dyDescent="0.3">
      <c r="A139" s="252" t="s">
        <v>149</v>
      </c>
      <c r="B139" s="253">
        <v>46013</v>
      </c>
      <c r="C139" s="254" t="s">
        <v>589</v>
      </c>
      <c r="D139" s="255" t="s">
        <v>462</v>
      </c>
      <c r="E139" s="254" t="s">
        <v>586</v>
      </c>
      <c r="F139" s="254" t="s">
        <v>141</v>
      </c>
      <c r="G139" s="256">
        <v>0.57220000000000004</v>
      </c>
      <c r="H139" s="257">
        <v>180</v>
      </c>
      <c r="I139" s="257">
        <v>103</v>
      </c>
      <c r="J139" s="257">
        <v>90</v>
      </c>
      <c r="K139" s="254" t="s">
        <v>142</v>
      </c>
      <c r="L139" s="258" t="s">
        <v>378</v>
      </c>
      <c r="M139" s="257">
        <v>0</v>
      </c>
      <c r="N139" s="257">
        <v>0</v>
      </c>
      <c r="O139" s="257">
        <v>0</v>
      </c>
      <c r="P139" s="254" t="s">
        <v>156</v>
      </c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  <c r="AA139" s="250"/>
      <c r="AB139" s="250"/>
      <c r="AC139" s="250"/>
      <c r="AD139" s="250"/>
      <c r="AE139" s="257" t="s">
        <v>224</v>
      </c>
      <c r="AF139" s="257" t="s">
        <v>323</v>
      </c>
      <c r="AG139" s="250"/>
      <c r="AH139" s="250"/>
      <c r="AI139" s="257" t="s">
        <v>479</v>
      </c>
      <c r="AJ139" s="250"/>
    </row>
    <row r="140" spans="1:36" x14ac:dyDescent="0.3">
      <c r="A140" s="252" t="s">
        <v>149</v>
      </c>
      <c r="B140" s="253">
        <v>46013</v>
      </c>
      <c r="C140" s="254" t="s">
        <v>591</v>
      </c>
      <c r="D140" s="255" t="s">
        <v>515</v>
      </c>
      <c r="E140" s="254" t="s">
        <v>586</v>
      </c>
      <c r="F140" s="254" t="s">
        <v>141</v>
      </c>
      <c r="G140" s="256">
        <v>0.56110000000000004</v>
      </c>
      <c r="H140" s="257">
        <v>180</v>
      </c>
      <c r="I140" s="257">
        <v>101</v>
      </c>
      <c r="J140" s="257">
        <v>90</v>
      </c>
      <c r="K140" s="254" t="s">
        <v>142</v>
      </c>
      <c r="L140" s="258" t="s">
        <v>82</v>
      </c>
      <c r="M140" s="257">
        <v>0</v>
      </c>
      <c r="N140" s="257">
        <v>0</v>
      </c>
      <c r="O140" s="257">
        <v>5</v>
      </c>
      <c r="P140" s="254" t="s">
        <v>73</v>
      </c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  <c r="AA140" s="250"/>
      <c r="AB140" s="250"/>
      <c r="AC140" s="250"/>
      <c r="AD140" s="250"/>
      <c r="AE140" s="257" t="s">
        <v>254</v>
      </c>
      <c r="AF140" s="257" t="s">
        <v>323</v>
      </c>
      <c r="AG140" s="250"/>
      <c r="AH140" s="250"/>
      <c r="AI140" s="257" t="s">
        <v>479</v>
      </c>
      <c r="AJ140" s="250"/>
    </row>
    <row r="141" spans="1:36" x14ac:dyDescent="0.3">
      <c r="A141" s="252" t="s">
        <v>157</v>
      </c>
      <c r="B141" s="253">
        <v>46014</v>
      </c>
      <c r="C141" s="254" t="s">
        <v>593</v>
      </c>
      <c r="D141" s="255" t="s">
        <v>752</v>
      </c>
      <c r="E141" s="254" t="s">
        <v>586</v>
      </c>
      <c r="F141" s="254" t="s">
        <v>141</v>
      </c>
      <c r="G141" s="256">
        <v>0.25559999999999999</v>
      </c>
      <c r="H141" s="257">
        <v>180</v>
      </c>
      <c r="I141" s="257">
        <v>46</v>
      </c>
      <c r="J141" s="257">
        <v>45</v>
      </c>
      <c r="K141" s="254" t="s">
        <v>142</v>
      </c>
      <c r="L141" s="258" t="s">
        <v>32</v>
      </c>
      <c r="M141" s="257">
        <v>0</v>
      </c>
      <c r="N141" s="257">
        <v>0</v>
      </c>
      <c r="O141" s="257">
        <v>1</v>
      </c>
      <c r="P141" s="254" t="s">
        <v>78</v>
      </c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  <c r="AA141" s="250"/>
      <c r="AB141" s="250"/>
      <c r="AC141" s="250"/>
      <c r="AD141" s="250"/>
      <c r="AE141" s="250"/>
      <c r="AF141" s="257" t="s">
        <v>104</v>
      </c>
      <c r="AG141" s="257" t="s">
        <v>835</v>
      </c>
      <c r="AH141" s="250"/>
      <c r="AI141" s="250"/>
      <c r="AJ141" s="250"/>
    </row>
    <row r="142" spans="1:36" x14ac:dyDescent="0.3">
      <c r="A142" s="252" t="s">
        <v>157</v>
      </c>
      <c r="B142" s="253">
        <v>46014</v>
      </c>
      <c r="C142" s="254" t="s">
        <v>595</v>
      </c>
      <c r="D142" s="255" t="s">
        <v>296</v>
      </c>
      <c r="E142" s="254" t="s">
        <v>586</v>
      </c>
      <c r="F142" s="254" t="s">
        <v>141</v>
      </c>
      <c r="G142" s="256">
        <v>0.80559999999999998</v>
      </c>
      <c r="H142" s="257">
        <v>180</v>
      </c>
      <c r="I142" s="257">
        <v>145</v>
      </c>
      <c r="J142" s="257">
        <v>135</v>
      </c>
      <c r="K142" s="254" t="s">
        <v>142</v>
      </c>
      <c r="L142" s="258" t="s">
        <v>82</v>
      </c>
      <c r="M142" s="257">
        <v>0</v>
      </c>
      <c r="N142" s="257">
        <v>0</v>
      </c>
      <c r="O142" s="257">
        <v>2</v>
      </c>
      <c r="P142" s="254" t="s">
        <v>73</v>
      </c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  <c r="AA142" s="250"/>
      <c r="AB142" s="250"/>
      <c r="AC142" s="250"/>
      <c r="AD142" s="250"/>
      <c r="AE142" s="250"/>
      <c r="AF142" s="257" t="s">
        <v>323</v>
      </c>
      <c r="AG142" s="250"/>
      <c r="AH142" s="250"/>
      <c r="AI142" s="257" t="s">
        <v>465</v>
      </c>
      <c r="AJ142" s="250"/>
    </row>
    <row r="143" spans="1:36" x14ac:dyDescent="0.3">
      <c r="A143" s="252" t="s">
        <v>157</v>
      </c>
      <c r="B143" s="253">
        <v>46014</v>
      </c>
      <c r="C143" s="254" t="s">
        <v>589</v>
      </c>
      <c r="D143" s="255" t="s">
        <v>462</v>
      </c>
      <c r="E143" s="254" t="s">
        <v>586</v>
      </c>
      <c r="F143" s="254" t="s">
        <v>141</v>
      </c>
      <c r="G143" s="256">
        <v>0.51670000000000005</v>
      </c>
      <c r="H143" s="257">
        <v>180</v>
      </c>
      <c r="I143" s="257">
        <v>93</v>
      </c>
      <c r="J143" s="257">
        <v>90</v>
      </c>
      <c r="K143" s="254" t="s">
        <v>142</v>
      </c>
      <c r="L143" s="258" t="s">
        <v>82</v>
      </c>
      <c r="M143" s="257">
        <v>0</v>
      </c>
      <c r="N143" s="257">
        <v>0</v>
      </c>
      <c r="O143" s="257">
        <v>1</v>
      </c>
      <c r="P143" s="254" t="s">
        <v>204</v>
      </c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  <c r="AA143" s="250"/>
      <c r="AB143" s="250"/>
      <c r="AC143" s="250"/>
      <c r="AD143" s="250"/>
      <c r="AE143" s="250"/>
      <c r="AF143" s="257" t="s">
        <v>80</v>
      </c>
      <c r="AG143" s="250"/>
      <c r="AH143" s="250"/>
      <c r="AI143" s="257" t="s">
        <v>479</v>
      </c>
      <c r="AJ143" s="250"/>
    </row>
    <row r="144" spans="1:36" x14ac:dyDescent="0.3">
      <c r="A144" s="252" t="s">
        <v>157</v>
      </c>
      <c r="B144" s="253">
        <v>46014</v>
      </c>
      <c r="C144" s="254" t="s">
        <v>591</v>
      </c>
      <c r="D144" s="255" t="s">
        <v>758</v>
      </c>
      <c r="E144" s="254" t="s">
        <v>586</v>
      </c>
      <c r="F144" s="254" t="s">
        <v>141</v>
      </c>
      <c r="G144" s="256">
        <v>0.75560000000000005</v>
      </c>
      <c r="H144" s="257">
        <v>180</v>
      </c>
      <c r="I144" s="257">
        <v>136</v>
      </c>
      <c r="J144" s="257">
        <v>135</v>
      </c>
      <c r="K144" s="254" t="s">
        <v>142</v>
      </c>
      <c r="L144" s="258" t="s">
        <v>730</v>
      </c>
      <c r="M144" s="257">
        <v>0</v>
      </c>
      <c r="N144" s="257">
        <v>0</v>
      </c>
      <c r="O144" s="257">
        <v>0</v>
      </c>
      <c r="P144" s="254" t="s">
        <v>78</v>
      </c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  <c r="AA144" s="250"/>
      <c r="AB144" s="250"/>
      <c r="AC144" s="250"/>
      <c r="AD144" s="250"/>
      <c r="AE144" s="250"/>
      <c r="AF144" s="257" t="s">
        <v>104</v>
      </c>
      <c r="AG144" s="257" t="s">
        <v>835</v>
      </c>
      <c r="AH144" s="250"/>
      <c r="AI144" s="257" t="s">
        <v>479</v>
      </c>
      <c r="AJ144" s="250"/>
    </row>
    <row r="145" spans="1:36" x14ac:dyDescent="0.3">
      <c r="A145" s="252" t="s">
        <v>157</v>
      </c>
      <c r="B145" s="253">
        <v>46014</v>
      </c>
      <c r="C145" s="254" t="s">
        <v>599</v>
      </c>
      <c r="D145" s="255" t="s">
        <v>760</v>
      </c>
      <c r="E145" s="254" t="s">
        <v>586</v>
      </c>
      <c r="F145" s="254" t="s">
        <v>141</v>
      </c>
      <c r="G145" s="256">
        <v>0.05</v>
      </c>
      <c r="H145" s="257">
        <v>180</v>
      </c>
      <c r="I145" s="257">
        <v>9</v>
      </c>
      <c r="J145" s="257">
        <v>0</v>
      </c>
      <c r="K145" s="254" t="s">
        <v>142</v>
      </c>
      <c r="L145" s="258" t="s">
        <v>47</v>
      </c>
      <c r="M145" s="257">
        <v>0</v>
      </c>
      <c r="N145" s="257">
        <v>0</v>
      </c>
      <c r="O145" s="257">
        <v>4</v>
      </c>
      <c r="P145" s="254" t="s">
        <v>104</v>
      </c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  <c r="AA145" s="250"/>
      <c r="AB145" s="250"/>
      <c r="AC145" s="250"/>
      <c r="AD145" s="250"/>
      <c r="AE145" s="250"/>
      <c r="AF145" s="257" t="s">
        <v>78</v>
      </c>
      <c r="AG145" s="250"/>
      <c r="AH145" s="250"/>
      <c r="AI145" s="250"/>
      <c r="AJ145" s="250"/>
    </row>
    <row r="146" spans="1:36" x14ac:dyDescent="0.3">
      <c r="A146" s="252" t="s">
        <v>157</v>
      </c>
      <c r="B146" s="253">
        <v>46014</v>
      </c>
      <c r="C146" s="254" t="s">
        <v>587</v>
      </c>
      <c r="D146" s="255" t="s">
        <v>762</v>
      </c>
      <c r="E146" s="254" t="s">
        <v>586</v>
      </c>
      <c r="F146" s="254" t="s">
        <v>141</v>
      </c>
      <c r="G146" s="256">
        <v>0.84440000000000004</v>
      </c>
      <c r="H146" s="257">
        <v>180</v>
      </c>
      <c r="I146" s="257">
        <v>152</v>
      </c>
      <c r="J146" s="257">
        <v>145</v>
      </c>
      <c r="K146" s="254" t="s">
        <v>142</v>
      </c>
      <c r="L146" s="258" t="s">
        <v>102</v>
      </c>
      <c r="M146" s="257">
        <v>0</v>
      </c>
      <c r="N146" s="257">
        <v>0</v>
      </c>
      <c r="O146" s="257">
        <v>2</v>
      </c>
      <c r="P146" s="254" t="s">
        <v>80</v>
      </c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  <c r="AA146" s="250"/>
      <c r="AB146" s="250"/>
      <c r="AC146" s="250"/>
      <c r="AD146" s="250"/>
      <c r="AE146" s="250"/>
      <c r="AF146" s="257" t="s">
        <v>204</v>
      </c>
      <c r="AG146" s="250"/>
      <c r="AH146" s="250"/>
      <c r="AI146" s="257" t="s">
        <v>845</v>
      </c>
      <c r="AJ146" s="250"/>
    </row>
    <row r="147" spans="1:36" x14ac:dyDescent="0.3">
      <c r="A147" s="252" t="s">
        <v>166</v>
      </c>
      <c r="B147" s="253">
        <v>46015</v>
      </c>
      <c r="C147" s="254" t="s">
        <v>599</v>
      </c>
      <c r="D147" s="255" t="s">
        <v>768</v>
      </c>
      <c r="E147" s="254" t="s">
        <v>586</v>
      </c>
      <c r="F147" s="254" t="s">
        <v>141</v>
      </c>
      <c r="G147" s="256">
        <v>0.55559999999999998</v>
      </c>
      <c r="H147" s="257">
        <v>180</v>
      </c>
      <c r="I147" s="257">
        <v>100</v>
      </c>
      <c r="J147" s="257">
        <v>90</v>
      </c>
      <c r="K147" s="254" t="s">
        <v>142</v>
      </c>
      <c r="L147" s="258" t="s">
        <v>102</v>
      </c>
      <c r="M147" s="257">
        <v>0</v>
      </c>
      <c r="N147" s="257">
        <v>0</v>
      </c>
      <c r="O147" s="257">
        <v>2</v>
      </c>
      <c r="P147" s="254" t="s">
        <v>73</v>
      </c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  <c r="AA147" s="250"/>
      <c r="AB147" s="250"/>
      <c r="AC147" s="250"/>
      <c r="AD147" s="250"/>
      <c r="AE147" s="250"/>
      <c r="AF147" s="257" t="s">
        <v>323</v>
      </c>
      <c r="AG147" s="257" t="s">
        <v>835</v>
      </c>
      <c r="AH147" s="250"/>
      <c r="AI147" s="257" t="s">
        <v>475</v>
      </c>
      <c r="AJ147" s="250"/>
    </row>
    <row r="148" spans="1:36" x14ac:dyDescent="0.3">
      <c r="A148" s="252" t="s">
        <v>166</v>
      </c>
      <c r="B148" s="253">
        <v>46015</v>
      </c>
      <c r="C148" s="254" t="s">
        <v>587</v>
      </c>
      <c r="D148" s="255" t="s">
        <v>843</v>
      </c>
      <c r="E148" s="254" t="s">
        <v>586</v>
      </c>
      <c r="F148" s="254" t="s">
        <v>141</v>
      </c>
      <c r="G148" s="256">
        <v>0.56669999999999998</v>
      </c>
      <c r="H148" s="257">
        <v>180</v>
      </c>
      <c r="I148" s="257">
        <v>102</v>
      </c>
      <c r="J148" s="257">
        <v>90</v>
      </c>
      <c r="K148" s="254" t="s">
        <v>142</v>
      </c>
      <c r="L148" s="258" t="s">
        <v>90</v>
      </c>
      <c r="M148" s="257">
        <v>0</v>
      </c>
      <c r="N148" s="257">
        <v>0</v>
      </c>
      <c r="O148" s="257">
        <v>1</v>
      </c>
      <c r="P148" s="254" t="s">
        <v>73</v>
      </c>
      <c r="Q148" s="250"/>
      <c r="R148" s="250"/>
      <c r="S148" s="250"/>
      <c r="T148" s="250"/>
      <c r="U148" s="250"/>
      <c r="V148" s="250"/>
      <c r="W148" s="250"/>
      <c r="X148" s="250"/>
      <c r="Y148" s="250"/>
      <c r="Z148" s="257" t="s">
        <v>226</v>
      </c>
      <c r="AA148" s="250"/>
      <c r="AB148" s="250"/>
      <c r="AC148" s="250"/>
      <c r="AD148" s="250"/>
      <c r="AE148" s="250"/>
      <c r="AF148" s="257" t="s">
        <v>323</v>
      </c>
      <c r="AG148" s="250"/>
      <c r="AH148" s="250"/>
      <c r="AI148" s="257" t="s">
        <v>479</v>
      </c>
      <c r="AJ148" s="250"/>
    </row>
    <row r="149" spans="1:36" x14ac:dyDescent="0.3">
      <c r="A149" s="252" t="s">
        <v>166</v>
      </c>
      <c r="B149" s="253">
        <v>46015</v>
      </c>
      <c r="C149" s="254" t="s">
        <v>591</v>
      </c>
      <c r="D149" s="255" t="s">
        <v>773</v>
      </c>
      <c r="E149" s="254" t="s">
        <v>586</v>
      </c>
      <c r="F149" s="254" t="s">
        <v>141</v>
      </c>
      <c r="G149" s="256">
        <v>0.56669999999999998</v>
      </c>
      <c r="H149" s="257">
        <v>180</v>
      </c>
      <c r="I149" s="257">
        <v>102</v>
      </c>
      <c r="J149" s="257">
        <v>90</v>
      </c>
      <c r="K149" s="254" t="s">
        <v>142</v>
      </c>
      <c r="L149" s="258" t="s">
        <v>37</v>
      </c>
      <c r="M149" s="257">
        <v>0</v>
      </c>
      <c r="N149" s="257">
        <v>3</v>
      </c>
      <c r="O149" s="257">
        <v>3</v>
      </c>
      <c r="P149" s="254" t="s">
        <v>104</v>
      </c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  <c r="AA149" s="250"/>
      <c r="AB149" s="250"/>
      <c r="AC149" s="250"/>
      <c r="AD149" s="250"/>
      <c r="AE149" s="257" t="s">
        <v>224</v>
      </c>
      <c r="AF149" s="257" t="s">
        <v>78</v>
      </c>
      <c r="AG149" s="250"/>
      <c r="AH149" s="250"/>
      <c r="AI149" s="257" t="s">
        <v>479</v>
      </c>
      <c r="AJ149" s="250"/>
    </row>
    <row r="150" spans="1:36" x14ac:dyDescent="0.3">
      <c r="A150" s="252" t="s">
        <v>166</v>
      </c>
      <c r="B150" s="253">
        <v>46015</v>
      </c>
      <c r="C150" s="254" t="s">
        <v>589</v>
      </c>
      <c r="D150" s="255" t="s">
        <v>462</v>
      </c>
      <c r="E150" s="254" t="s">
        <v>586</v>
      </c>
      <c r="F150" s="254" t="s">
        <v>141</v>
      </c>
      <c r="G150" s="256">
        <v>0.61670000000000003</v>
      </c>
      <c r="H150" s="257">
        <v>180</v>
      </c>
      <c r="I150" s="257">
        <v>111</v>
      </c>
      <c r="J150" s="257">
        <v>90</v>
      </c>
      <c r="K150" s="254" t="s">
        <v>142</v>
      </c>
      <c r="L150" s="258" t="s">
        <v>32</v>
      </c>
      <c r="M150" s="257">
        <v>0</v>
      </c>
      <c r="N150" s="257">
        <v>0</v>
      </c>
      <c r="O150" s="257">
        <v>3</v>
      </c>
      <c r="P150" s="254" t="s">
        <v>99</v>
      </c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50"/>
      <c r="AC150" s="250"/>
      <c r="AD150" s="250"/>
      <c r="AE150" s="257" t="s">
        <v>85</v>
      </c>
      <c r="AF150" s="257" t="s">
        <v>323</v>
      </c>
      <c r="AG150" s="250"/>
      <c r="AH150" s="250"/>
      <c r="AI150" s="257" t="s">
        <v>479</v>
      </c>
      <c r="AJ150" s="250"/>
    </row>
    <row r="151" spans="1:36" x14ac:dyDescent="0.3">
      <c r="A151" s="252" t="s">
        <v>166</v>
      </c>
      <c r="B151" s="253">
        <v>46015</v>
      </c>
      <c r="C151" s="254" t="s">
        <v>593</v>
      </c>
      <c r="D151" s="255" t="s">
        <v>775</v>
      </c>
      <c r="E151" s="254" t="s">
        <v>586</v>
      </c>
      <c r="F151" s="254" t="s">
        <v>141</v>
      </c>
      <c r="G151" s="256">
        <v>5.5599999999999997E-2</v>
      </c>
      <c r="H151" s="257">
        <v>180</v>
      </c>
      <c r="I151" s="257">
        <v>10</v>
      </c>
      <c r="J151" s="257">
        <v>0</v>
      </c>
      <c r="K151" s="254" t="s">
        <v>142</v>
      </c>
      <c r="L151" s="258" t="s">
        <v>37</v>
      </c>
      <c r="M151" s="257">
        <v>0</v>
      </c>
      <c r="N151" s="257">
        <v>1</v>
      </c>
      <c r="O151" s="257">
        <v>1</v>
      </c>
      <c r="P151" s="254" t="s">
        <v>73</v>
      </c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  <c r="AA151" s="250"/>
      <c r="AB151" s="250"/>
      <c r="AC151" s="250"/>
      <c r="AD151" s="250"/>
      <c r="AE151" s="250"/>
      <c r="AF151" s="257" t="s">
        <v>323</v>
      </c>
      <c r="AG151" s="250"/>
      <c r="AH151" s="250"/>
      <c r="AI151" s="250"/>
      <c r="AJ151" s="250"/>
    </row>
    <row r="152" spans="1:36" x14ac:dyDescent="0.3">
      <c r="A152" s="252" t="s">
        <v>179</v>
      </c>
      <c r="B152" s="253">
        <v>46016</v>
      </c>
      <c r="C152" s="254" t="s">
        <v>607</v>
      </c>
      <c r="D152" s="255" t="s">
        <v>779</v>
      </c>
      <c r="E152" s="254" t="s">
        <v>586</v>
      </c>
      <c r="F152" s="254" t="s">
        <v>141</v>
      </c>
      <c r="G152" s="256">
        <v>0.51670000000000005</v>
      </c>
      <c r="H152" s="257">
        <v>180</v>
      </c>
      <c r="I152" s="257">
        <v>93</v>
      </c>
      <c r="J152" s="257">
        <v>90</v>
      </c>
      <c r="K152" s="254" t="s">
        <v>142</v>
      </c>
      <c r="L152" s="258" t="s">
        <v>47</v>
      </c>
      <c r="M152" s="257">
        <v>0</v>
      </c>
      <c r="N152" s="257">
        <v>0</v>
      </c>
      <c r="O152" s="257">
        <v>2</v>
      </c>
      <c r="P152" s="254" t="s">
        <v>281</v>
      </c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  <c r="AA152" s="250"/>
      <c r="AB152" s="250"/>
      <c r="AC152" s="257" t="s">
        <v>58</v>
      </c>
      <c r="AD152" s="250"/>
      <c r="AE152" s="250"/>
      <c r="AF152" s="257" t="s">
        <v>225</v>
      </c>
      <c r="AG152" s="250"/>
      <c r="AH152" s="250"/>
      <c r="AI152" s="257" t="s">
        <v>479</v>
      </c>
      <c r="AJ152" s="250"/>
    </row>
    <row r="153" spans="1:36" x14ac:dyDescent="0.3">
      <c r="A153" s="252" t="s">
        <v>179</v>
      </c>
      <c r="B153" s="253">
        <v>46016</v>
      </c>
      <c r="C153" s="254" t="s">
        <v>587</v>
      </c>
      <c r="D153" s="255" t="s">
        <v>784</v>
      </c>
      <c r="E153" s="254" t="s">
        <v>586</v>
      </c>
      <c r="F153" s="254" t="s">
        <v>141</v>
      </c>
      <c r="G153" s="256">
        <v>0.53890000000000005</v>
      </c>
      <c r="H153" s="257">
        <v>180</v>
      </c>
      <c r="I153" s="257">
        <v>97</v>
      </c>
      <c r="J153" s="257">
        <v>90</v>
      </c>
      <c r="K153" s="254" t="s">
        <v>142</v>
      </c>
      <c r="L153" s="258" t="s">
        <v>107</v>
      </c>
      <c r="M153" s="257">
        <v>0</v>
      </c>
      <c r="N153" s="257">
        <v>0</v>
      </c>
      <c r="O153" s="257">
        <v>1</v>
      </c>
      <c r="P153" s="254" t="s">
        <v>80</v>
      </c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  <c r="AA153" s="250"/>
      <c r="AB153" s="250"/>
      <c r="AC153" s="250"/>
      <c r="AD153" s="250"/>
      <c r="AE153" s="250"/>
      <c r="AF153" s="257" t="s">
        <v>204</v>
      </c>
      <c r="AG153" s="250"/>
      <c r="AH153" s="250"/>
      <c r="AI153" s="257" t="s">
        <v>479</v>
      </c>
      <c r="AJ153" s="250"/>
    </row>
    <row r="154" spans="1:36" x14ac:dyDescent="0.3">
      <c r="A154" s="252" t="s">
        <v>179</v>
      </c>
      <c r="B154" s="253">
        <v>46016</v>
      </c>
      <c r="C154" s="254" t="s">
        <v>610</v>
      </c>
      <c r="D154" s="255" t="s">
        <v>787</v>
      </c>
      <c r="E154" s="254" t="s">
        <v>586</v>
      </c>
      <c r="F154" s="254" t="s">
        <v>141</v>
      </c>
      <c r="G154" s="256">
        <v>1.67E-2</v>
      </c>
      <c r="H154" s="257">
        <v>180</v>
      </c>
      <c r="I154" s="257">
        <v>3</v>
      </c>
      <c r="J154" s="257">
        <v>0</v>
      </c>
      <c r="K154" s="254" t="s">
        <v>142</v>
      </c>
      <c r="L154" s="258" t="s">
        <v>32</v>
      </c>
      <c r="M154" s="257">
        <v>0</v>
      </c>
      <c r="N154" s="257">
        <v>0</v>
      </c>
      <c r="O154" s="257">
        <v>2</v>
      </c>
      <c r="P154" s="254" t="s">
        <v>225</v>
      </c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  <c r="AA154" s="250"/>
      <c r="AB154" s="250"/>
      <c r="AC154" s="250"/>
      <c r="AD154" s="250"/>
      <c r="AE154" s="250"/>
      <c r="AF154" s="257" t="s">
        <v>80</v>
      </c>
      <c r="AG154" s="250"/>
      <c r="AH154" s="250"/>
      <c r="AI154" s="250"/>
      <c r="AJ154" s="250"/>
    </row>
    <row r="155" spans="1:36" x14ac:dyDescent="0.3">
      <c r="A155" s="252" t="s">
        <v>179</v>
      </c>
      <c r="B155" s="253">
        <v>46016</v>
      </c>
      <c r="C155" s="254" t="s">
        <v>589</v>
      </c>
      <c r="D155" s="255" t="s">
        <v>186</v>
      </c>
      <c r="E155" s="254" t="s">
        <v>586</v>
      </c>
      <c r="F155" s="254" t="s">
        <v>141</v>
      </c>
      <c r="G155" s="256">
        <v>0.7278</v>
      </c>
      <c r="H155" s="257">
        <v>180</v>
      </c>
      <c r="I155" s="257">
        <v>131</v>
      </c>
      <c r="J155" s="257">
        <v>105</v>
      </c>
      <c r="K155" s="254" t="s">
        <v>142</v>
      </c>
      <c r="L155" s="258" t="s">
        <v>37</v>
      </c>
      <c r="M155" s="257">
        <v>0</v>
      </c>
      <c r="N155" s="257">
        <v>6</v>
      </c>
      <c r="O155" s="257">
        <v>13</v>
      </c>
      <c r="P155" s="254" t="s">
        <v>254</v>
      </c>
      <c r="Q155" s="250"/>
      <c r="R155" s="250"/>
      <c r="S155" s="250"/>
      <c r="T155" s="250"/>
      <c r="U155" s="250"/>
      <c r="V155" s="250"/>
      <c r="W155" s="250"/>
      <c r="X155" s="250"/>
      <c r="Y155" s="257" t="s">
        <v>397</v>
      </c>
      <c r="Z155" s="250"/>
      <c r="AA155" s="250"/>
      <c r="AB155" s="250"/>
      <c r="AC155" s="250"/>
      <c r="AD155" s="257" t="s">
        <v>86</v>
      </c>
      <c r="AE155" s="257" t="s">
        <v>101</v>
      </c>
      <c r="AF155" s="257" t="s">
        <v>323</v>
      </c>
      <c r="AG155" s="250"/>
      <c r="AH155" s="250"/>
      <c r="AI155" s="257" t="s">
        <v>846</v>
      </c>
      <c r="AJ155" s="250"/>
    </row>
    <row r="156" spans="1:36" x14ac:dyDescent="0.3">
      <c r="A156" s="252" t="s">
        <v>179</v>
      </c>
      <c r="B156" s="253">
        <v>46016</v>
      </c>
      <c r="C156" s="254" t="s">
        <v>595</v>
      </c>
      <c r="D156" s="255" t="s">
        <v>790</v>
      </c>
      <c r="E156" s="254" t="s">
        <v>586</v>
      </c>
      <c r="F156" s="254" t="s">
        <v>141</v>
      </c>
      <c r="G156" s="256">
        <v>0.82779999999999998</v>
      </c>
      <c r="H156" s="257">
        <v>180</v>
      </c>
      <c r="I156" s="257">
        <v>149</v>
      </c>
      <c r="J156" s="257">
        <v>135</v>
      </c>
      <c r="K156" s="254" t="s">
        <v>142</v>
      </c>
      <c r="L156" s="258" t="s">
        <v>107</v>
      </c>
      <c r="M156" s="257">
        <v>0</v>
      </c>
      <c r="N156" s="257">
        <v>0</v>
      </c>
      <c r="O156" s="257">
        <v>1</v>
      </c>
      <c r="P156" s="254" t="s">
        <v>108</v>
      </c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  <c r="AA156" s="250"/>
      <c r="AB156" s="250"/>
      <c r="AC156" s="250"/>
      <c r="AD156" s="250"/>
      <c r="AE156" s="257" t="s">
        <v>253</v>
      </c>
      <c r="AF156" s="257" t="s">
        <v>323</v>
      </c>
      <c r="AG156" s="250"/>
      <c r="AH156" s="250"/>
      <c r="AI156" s="257" t="s">
        <v>465</v>
      </c>
      <c r="AJ156" s="250"/>
    </row>
    <row r="157" spans="1:36" x14ac:dyDescent="0.3">
      <c r="A157" s="252" t="s">
        <v>179</v>
      </c>
      <c r="B157" s="253">
        <v>46016</v>
      </c>
      <c r="C157" s="254" t="s">
        <v>599</v>
      </c>
      <c r="D157" s="255" t="s">
        <v>775</v>
      </c>
      <c r="E157" s="254" t="s">
        <v>586</v>
      </c>
      <c r="F157" s="254" t="s">
        <v>141</v>
      </c>
      <c r="G157" s="256">
        <v>0.34439999999999998</v>
      </c>
      <c r="H157" s="257">
        <v>180</v>
      </c>
      <c r="I157" s="257">
        <v>62</v>
      </c>
      <c r="J157" s="257">
        <v>40</v>
      </c>
      <c r="K157" s="254" t="s">
        <v>142</v>
      </c>
      <c r="L157" s="258" t="s">
        <v>82</v>
      </c>
      <c r="M157" s="257">
        <v>0</v>
      </c>
      <c r="N157" s="257">
        <v>0</v>
      </c>
      <c r="O157" s="257">
        <v>2</v>
      </c>
      <c r="P157" s="254" t="s">
        <v>104</v>
      </c>
      <c r="Q157" s="250"/>
      <c r="R157" s="250"/>
      <c r="S157" s="250"/>
      <c r="T157" s="250"/>
      <c r="U157" s="250"/>
      <c r="V157" s="250"/>
      <c r="W157" s="250"/>
      <c r="X157" s="250"/>
      <c r="Y157" s="257" t="s">
        <v>847</v>
      </c>
      <c r="Z157" s="250"/>
      <c r="AA157" s="250"/>
      <c r="AB157" s="250"/>
      <c r="AC157" s="257" t="s">
        <v>71</v>
      </c>
      <c r="AD157" s="250"/>
      <c r="AE157" s="250"/>
      <c r="AF157" s="257" t="s">
        <v>78</v>
      </c>
      <c r="AG157" s="257" t="s">
        <v>759</v>
      </c>
      <c r="AH157" s="250"/>
      <c r="AI157" s="250"/>
      <c r="AJ157" s="250"/>
    </row>
    <row r="158" spans="1:36" x14ac:dyDescent="0.3">
      <c r="A158" s="252" t="s">
        <v>185</v>
      </c>
      <c r="B158" s="253">
        <v>46017</v>
      </c>
      <c r="C158" s="254" t="s">
        <v>587</v>
      </c>
      <c r="D158" s="255" t="s">
        <v>795</v>
      </c>
      <c r="E158" s="254" t="s">
        <v>586</v>
      </c>
      <c r="F158" s="254" t="s">
        <v>141</v>
      </c>
      <c r="G158" s="256">
        <v>0.56110000000000004</v>
      </c>
      <c r="H158" s="257">
        <v>180</v>
      </c>
      <c r="I158" s="257">
        <v>101</v>
      </c>
      <c r="J158" s="257">
        <v>90</v>
      </c>
      <c r="K158" s="254" t="s">
        <v>142</v>
      </c>
      <c r="L158" s="258" t="s">
        <v>37</v>
      </c>
      <c r="M158" s="257">
        <v>0</v>
      </c>
      <c r="N158" s="257">
        <v>1</v>
      </c>
      <c r="O158" s="257">
        <v>2</v>
      </c>
      <c r="P158" s="254" t="s">
        <v>73</v>
      </c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  <c r="AA158" s="250"/>
      <c r="AB158" s="250"/>
      <c r="AC158" s="250"/>
      <c r="AD158" s="250"/>
      <c r="AE158" s="257" t="s">
        <v>254</v>
      </c>
      <c r="AF158" s="257" t="s">
        <v>323</v>
      </c>
      <c r="AG158" s="250"/>
      <c r="AH158" s="250"/>
      <c r="AI158" s="257" t="s">
        <v>479</v>
      </c>
      <c r="AJ158" s="250"/>
    </row>
    <row r="159" spans="1:36" x14ac:dyDescent="0.3">
      <c r="A159" s="252" t="s">
        <v>185</v>
      </c>
      <c r="B159" s="253">
        <v>46017</v>
      </c>
      <c r="C159" s="254" t="s">
        <v>589</v>
      </c>
      <c r="D159" s="255" t="s">
        <v>801</v>
      </c>
      <c r="E159" s="254" t="s">
        <v>586</v>
      </c>
      <c r="F159" s="254" t="s">
        <v>141</v>
      </c>
      <c r="G159" s="256">
        <v>0.2944</v>
      </c>
      <c r="H159" s="257">
        <v>180</v>
      </c>
      <c r="I159" s="257">
        <v>53</v>
      </c>
      <c r="J159" s="257">
        <v>45</v>
      </c>
      <c r="K159" s="254" t="s">
        <v>142</v>
      </c>
      <c r="L159" s="258" t="s">
        <v>37</v>
      </c>
      <c r="M159" s="257">
        <v>0</v>
      </c>
      <c r="N159" s="257">
        <v>3</v>
      </c>
      <c r="O159" s="257">
        <v>4</v>
      </c>
      <c r="P159" s="254" t="s">
        <v>225</v>
      </c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  <c r="AA159" s="250"/>
      <c r="AB159" s="250"/>
      <c r="AC159" s="250"/>
      <c r="AD159" s="250"/>
      <c r="AE159" s="250"/>
      <c r="AF159" s="257" t="s">
        <v>281</v>
      </c>
      <c r="AG159" s="257" t="s">
        <v>835</v>
      </c>
      <c r="AH159" s="250"/>
      <c r="AI159" s="250"/>
      <c r="AJ159" s="250"/>
    </row>
    <row r="160" spans="1:36" x14ac:dyDescent="0.3">
      <c r="A160" s="252" t="s">
        <v>185</v>
      </c>
      <c r="B160" s="253">
        <v>46017</v>
      </c>
      <c r="C160" s="254" t="s">
        <v>595</v>
      </c>
      <c r="D160" s="255" t="s">
        <v>462</v>
      </c>
      <c r="E160" s="254" t="s">
        <v>586</v>
      </c>
      <c r="F160" s="254" t="s">
        <v>141</v>
      </c>
      <c r="G160" s="256">
        <v>3.8899999999999997E-2</v>
      </c>
      <c r="H160" s="257">
        <v>180</v>
      </c>
      <c r="I160" s="257">
        <v>7</v>
      </c>
      <c r="J160" s="257">
        <v>0</v>
      </c>
      <c r="K160" s="254" t="s">
        <v>142</v>
      </c>
      <c r="L160" s="258" t="s">
        <v>37</v>
      </c>
      <c r="M160" s="257">
        <v>0</v>
      </c>
      <c r="N160" s="257">
        <v>1</v>
      </c>
      <c r="O160" s="257">
        <v>4</v>
      </c>
      <c r="P160" s="254" t="s">
        <v>80</v>
      </c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  <c r="AA160" s="250"/>
      <c r="AB160" s="250"/>
      <c r="AC160" s="250"/>
      <c r="AD160" s="250"/>
      <c r="AE160" s="250"/>
      <c r="AF160" s="257" t="s">
        <v>204</v>
      </c>
      <c r="AG160" s="250"/>
      <c r="AH160" s="250"/>
      <c r="AI160" s="250"/>
      <c r="AJ160" s="250"/>
    </row>
    <row r="161" spans="1:36" x14ac:dyDescent="0.3">
      <c r="A161" s="252" t="s">
        <v>185</v>
      </c>
      <c r="B161" s="253">
        <v>46017</v>
      </c>
      <c r="C161" s="254" t="s">
        <v>593</v>
      </c>
      <c r="D161" s="255" t="s">
        <v>806</v>
      </c>
      <c r="E161" s="254" t="s">
        <v>586</v>
      </c>
      <c r="F161" s="254" t="s">
        <v>141</v>
      </c>
      <c r="G161" s="256">
        <v>3.3300000000000003E-2</v>
      </c>
      <c r="H161" s="257">
        <v>180</v>
      </c>
      <c r="I161" s="257">
        <v>6</v>
      </c>
      <c r="J161" s="257">
        <v>0</v>
      </c>
      <c r="K161" s="254" t="s">
        <v>142</v>
      </c>
      <c r="L161" s="258" t="s">
        <v>32</v>
      </c>
      <c r="M161" s="257">
        <v>0</v>
      </c>
      <c r="N161" s="257">
        <v>0</v>
      </c>
      <c r="O161" s="257">
        <v>3</v>
      </c>
      <c r="P161" s="254" t="s">
        <v>76</v>
      </c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  <c r="AA161" s="250"/>
      <c r="AB161" s="250"/>
      <c r="AC161" s="250"/>
      <c r="AD161" s="250"/>
      <c r="AE161" s="250"/>
      <c r="AF161" s="257" t="s">
        <v>193</v>
      </c>
      <c r="AG161" s="250"/>
      <c r="AH161" s="250"/>
      <c r="AI161" s="250"/>
      <c r="AJ161" s="250"/>
    </row>
    <row r="162" spans="1:36" x14ac:dyDescent="0.3">
      <c r="A162" s="252" t="s">
        <v>185</v>
      </c>
      <c r="B162" s="253">
        <v>46017</v>
      </c>
      <c r="C162" s="254" t="s">
        <v>591</v>
      </c>
      <c r="D162" s="255" t="s">
        <v>809</v>
      </c>
      <c r="E162" s="254" t="s">
        <v>586</v>
      </c>
      <c r="F162" s="254" t="s">
        <v>141</v>
      </c>
      <c r="G162" s="256">
        <v>8.3299999999999999E-2</v>
      </c>
      <c r="H162" s="257">
        <v>180</v>
      </c>
      <c r="I162" s="257">
        <v>15</v>
      </c>
      <c r="J162" s="257">
        <v>0</v>
      </c>
      <c r="K162" s="254" t="s">
        <v>142</v>
      </c>
      <c r="L162" s="258" t="s">
        <v>47</v>
      </c>
      <c r="M162" s="257">
        <v>0</v>
      </c>
      <c r="N162" s="257">
        <v>0</v>
      </c>
      <c r="O162" s="257">
        <v>2</v>
      </c>
      <c r="P162" s="254" t="s">
        <v>73</v>
      </c>
      <c r="Q162" s="250"/>
      <c r="R162" s="250"/>
      <c r="S162" s="250"/>
      <c r="T162" s="250"/>
      <c r="U162" s="250"/>
      <c r="V162" s="250"/>
      <c r="W162" s="250"/>
      <c r="X162" s="250"/>
      <c r="Y162" s="250"/>
      <c r="Z162" s="257" t="s">
        <v>199</v>
      </c>
      <c r="AA162" s="250"/>
      <c r="AB162" s="257" t="s">
        <v>88</v>
      </c>
      <c r="AC162" s="250"/>
      <c r="AD162" s="250"/>
      <c r="AE162" s="257" t="s">
        <v>254</v>
      </c>
      <c r="AF162" s="257" t="s">
        <v>323</v>
      </c>
      <c r="AG162" s="250"/>
      <c r="AH162" s="250"/>
      <c r="AI162" s="250"/>
      <c r="AJ162" s="250"/>
    </row>
    <row r="163" spans="1:36" ht="21" x14ac:dyDescent="0.3">
      <c r="A163" s="259" t="s">
        <v>900</v>
      </c>
      <c r="B163" s="260"/>
      <c r="C163" s="259">
        <f>SUBTOTAL(103,CAI_JED_LF_LEGACY[Flt])</f>
        <v>161</v>
      </c>
      <c r="D163" s="259"/>
      <c r="E163" s="259">
        <f>SUBTOTAL(103,CAI_JED_LF_LEGACY[Brd-Off])</f>
        <v>161</v>
      </c>
      <c r="F163" s="259"/>
      <c r="G163" s="261">
        <f>SUBTOTAL(101,CAI_JED_LF_LEGACY[LF%])</f>
        <v>0.59641863354037139</v>
      </c>
      <c r="H163" s="262">
        <f>SUBTOTAL(109,CAI_JED_LF_LEGACY[CAP])</f>
        <v>28986</v>
      </c>
      <c r="I163" s="262">
        <f>SUBTOTAL(109,CAI_JED_LF_LEGACY[BKG(Y)])</f>
        <v>17286</v>
      </c>
      <c r="J163" s="262">
        <f>SUBTOTAL(109,CAI_JED_LF_LEGACY[GRP(Y)])</f>
        <v>10249</v>
      </c>
      <c r="K163" s="259"/>
      <c r="L163" s="260"/>
      <c r="M163" s="262">
        <f>SUBTOTAL(109,CAI_JED_LF_LEGACY[TO-DAY])</f>
        <v>13</v>
      </c>
      <c r="N163" s="262">
        <f>SUBTOTAL(109,CAI_JED_LF_LEGACY[Y-DAY])</f>
        <v>441</v>
      </c>
      <c r="O163" s="262">
        <f>SUBTOTAL(109,CAI_JED_LF_LEGACY[WEEKLY])</f>
        <v>2437</v>
      </c>
      <c r="P163" s="263"/>
      <c r="Q163" s="262">
        <f>SUBTOTAL(109,CAI_JED_LF_LEGACY[Y])</f>
        <v>0</v>
      </c>
      <c r="R163" s="262">
        <f>SUBTOTAL(109,CAI_JED_LF_LEGACY[B])</f>
        <v>0</v>
      </c>
      <c r="S163" s="262">
        <f>SUBTOTAL(109,CAI_JED_LF_LEGACY[M])</f>
        <v>0</v>
      </c>
      <c r="T163" s="262">
        <f>SUBTOTAL(109,CAI_JED_LF_LEGACY[H])</f>
        <v>0</v>
      </c>
      <c r="U163" s="262">
        <f>SUBTOTAL(109,CAI_JED_LF_LEGACY[Q])</f>
        <v>0</v>
      </c>
      <c r="V163" s="262">
        <f>SUBTOTAL(109,CAI_JED_LF_LEGACY[K])</f>
        <v>0</v>
      </c>
      <c r="W163" s="262">
        <f>SUBTOTAL(109,CAI_JED_LF_LEGACY[V])</f>
        <v>0</v>
      </c>
      <c r="X163" s="262">
        <f>SUBTOTAL(109,CAI_JED_LF_LEGACY[L])</f>
        <v>0</v>
      </c>
      <c r="Y163" s="262">
        <f>SUBTOTAL(109,CAI_JED_LF_LEGACY[G])</f>
        <v>0</v>
      </c>
      <c r="Z163" s="262">
        <f>SUBTOTAL(109,CAI_JED_LF_LEGACY[S])</f>
        <v>0</v>
      </c>
      <c r="AA163" s="262">
        <f>SUBTOTAL(109,CAI_JED_LF_LEGACY[W])</f>
        <v>0</v>
      </c>
      <c r="AB163" s="262">
        <f>SUBTOTAL(109,CAI_JED_LF_LEGACY[T])</f>
        <v>0</v>
      </c>
      <c r="AC163" s="262">
        <f>SUBTOTAL(109,CAI_JED_LF_LEGACY[X])</f>
        <v>0</v>
      </c>
      <c r="AD163" s="262">
        <f>SUBTOTAL(109,CAI_JED_LF_LEGACY[U])</f>
        <v>0</v>
      </c>
      <c r="AE163" s="262">
        <f>SUBTOTAL(109,CAI_JED_LF_LEGACY[O])</f>
        <v>0</v>
      </c>
      <c r="AF163" s="262">
        <f>SUBTOTAL(109,CAI_JED_LF_LEGACY[I])</f>
        <v>0</v>
      </c>
      <c r="AG163" s="262">
        <f>SUBTOTAL(109,CAI_JED_LF_LEGACY[E])</f>
        <v>0</v>
      </c>
      <c r="AH163" s="262">
        <f>SUBTOTAL(109,CAI_JED_LF_LEGACY[A])</f>
        <v>0</v>
      </c>
      <c r="AI163" s="262">
        <f>SUBTOTAL(109,CAI_JED_LF_LEGACY[P])</f>
        <v>0</v>
      </c>
      <c r="AJ163" s="262">
        <f>SUBTOTAL(103,CAI_JED_LF_LEGACY[N])</f>
        <v>17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104"/>
  <sheetViews>
    <sheetView workbookViewId="0"/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19" bestFit="1" customWidth="1"/>
    <col min="5" max="5" width="16.44140625" bestFit="1" customWidth="1"/>
    <col min="6" max="6" width="23.44140625" bestFit="1" customWidth="1"/>
    <col min="7" max="7" width="46.1093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3.88671875" bestFit="1" customWidth="1"/>
  </cols>
  <sheetData>
    <row r="1" spans="1:92" ht="28.8" customHeight="1" x14ac:dyDescent="0.3">
      <c r="A1" s="236" t="s">
        <v>0</v>
      </c>
      <c r="B1" s="235"/>
      <c r="C1" s="235"/>
      <c r="D1" s="235"/>
      <c r="E1" s="235"/>
      <c r="F1" s="1" t="s">
        <v>848</v>
      </c>
      <c r="G1" s="2" t="s">
        <v>2</v>
      </c>
      <c r="H1" s="234" t="s">
        <v>3</v>
      </c>
      <c r="I1" s="235"/>
      <c r="J1" s="235"/>
      <c r="K1" s="235"/>
      <c r="L1" s="235"/>
      <c r="M1" s="1" t="s">
        <v>4</v>
      </c>
      <c r="N1" s="244" t="s">
        <v>5</v>
      </c>
      <c r="O1" s="235"/>
      <c r="P1" s="235"/>
      <c r="Q1" s="235"/>
      <c r="R1" s="235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242" t="s">
        <v>6</v>
      </c>
      <c r="B2" s="235"/>
      <c r="C2" s="235"/>
      <c r="D2" s="235"/>
      <c r="E2" s="235"/>
      <c r="F2" s="235"/>
      <c r="G2" s="243">
        <v>45984.228756890021</v>
      </c>
      <c r="H2" s="235"/>
      <c r="I2" s="235"/>
      <c r="J2" s="235"/>
      <c r="K2" s="245">
        <v>45984.228756890428</v>
      </c>
      <c r="L2" s="235"/>
      <c r="M2" s="235"/>
      <c r="N2" s="235"/>
      <c r="O2" s="235"/>
      <c r="P2" s="235"/>
      <c r="Q2" s="235"/>
      <c r="R2" s="235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247" t="s">
        <v>7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248" t="s">
        <v>8</v>
      </c>
      <c r="B4" s="239"/>
      <c r="C4" s="239"/>
      <c r="D4" s="239"/>
      <c r="E4" s="239"/>
      <c r="F4" s="240"/>
      <c r="G4" s="4">
        <v>45984</v>
      </c>
      <c r="H4" s="246" t="s">
        <v>9</v>
      </c>
      <c r="I4" s="239"/>
      <c r="J4" s="239"/>
      <c r="K4" s="239"/>
      <c r="L4" s="239"/>
      <c r="M4" s="239"/>
      <c r="N4" s="239"/>
      <c r="O4" s="239"/>
      <c r="P4" s="239"/>
      <c r="Q4" s="239"/>
      <c r="R4" s="24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  <c r="Q5" s="5" t="s">
        <v>26</v>
      </c>
      <c r="R5" s="5" t="s">
        <v>27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thickTop="1" thickBot="1" x14ac:dyDescent="0.5">
      <c r="A6" s="80" t="s">
        <v>28</v>
      </c>
      <c r="B6" s="80" t="s">
        <v>849</v>
      </c>
      <c r="C6" s="81">
        <v>0.74305555555555547</v>
      </c>
      <c r="D6" s="80" t="s">
        <v>30</v>
      </c>
      <c r="E6" s="82"/>
      <c r="F6" s="80" t="s">
        <v>407</v>
      </c>
      <c r="G6" s="237"/>
      <c r="H6" s="100" t="s">
        <v>849</v>
      </c>
      <c r="I6" s="148">
        <v>0.98319999999999996</v>
      </c>
      <c r="J6" s="102">
        <v>176</v>
      </c>
      <c r="K6" s="103" t="s">
        <v>82</v>
      </c>
      <c r="L6" s="102">
        <v>1</v>
      </c>
      <c r="M6" s="102">
        <v>0</v>
      </c>
      <c r="N6" s="102">
        <v>0</v>
      </c>
      <c r="O6" s="104" t="s">
        <v>180</v>
      </c>
      <c r="P6" s="105">
        <v>0.74305555555555547</v>
      </c>
      <c r="Q6" s="102">
        <v>179</v>
      </c>
      <c r="R6" s="106" t="s">
        <v>850</v>
      </c>
    </row>
    <row r="7" spans="1:92" ht="17.399999999999999" customHeight="1" thickBot="1" x14ac:dyDescent="0.35">
      <c r="A7" s="264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6"/>
    </row>
    <row r="8" spans="1:92" ht="22.05" customHeight="1" thickTop="1" thickBot="1" x14ac:dyDescent="0.35">
      <c r="A8" s="241" t="s">
        <v>8</v>
      </c>
      <c r="B8" s="239"/>
      <c r="C8" s="239"/>
      <c r="D8" s="239"/>
      <c r="E8" s="239"/>
      <c r="F8" s="240"/>
      <c r="G8" s="18">
        <v>45985</v>
      </c>
      <c r="H8" s="238" t="s">
        <v>9</v>
      </c>
      <c r="I8" s="239"/>
      <c r="J8" s="239"/>
      <c r="K8" s="239"/>
      <c r="L8" s="239"/>
      <c r="M8" s="239"/>
      <c r="N8" s="239"/>
      <c r="O8" s="239"/>
      <c r="P8" s="239"/>
      <c r="Q8" s="239"/>
      <c r="R8" s="240"/>
    </row>
    <row r="9" spans="1:92" ht="24" customHeight="1" x14ac:dyDescent="0.3">
      <c r="A9" s="19" t="s">
        <v>10</v>
      </c>
      <c r="B9" s="19" t="s">
        <v>11</v>
      </c>
      <c r="C9" s="20" t="s">
        <v>12</v>
      </c>
      <c r="D9" s="19" t="s">
        <v>13</v>
      </c>
      <c r="E9" s="19" t="s">
        <v>14</v>
      </c>
      <c r="F9" s="21" t="s">
        <v>15</v>
      </c>
      <c r="G9" s="22" t="s">
        <v>16</v>
      </c>
      <c r="H9" s="19" t="s">
        <v>17</v>
      </c>
      <c r="I9" s="23" t="s">
        <v>18</v>
      </c>
      <c r="J9" s="24" t="s">
        <v>19</v>
      </c>
      <c r="K9" s="25" t="s">
        <v>20</v>
      </c>
      <c r="L9" s="24" t="s">
        <v>21</v>
      </c>
      <c r="M9" s="24" t="s">
        <v>22</v>
      </c>
      <c r="N9" s="24" t="s">
        <v>23</v>
      </c>
      <c r="O9" s="19" t="s">
        <v>24</v>
      </c>
      <c r="P9" s="20" t="s">
        <v>25</v>
      </c>
      <c r="Q9" s="24" t="s">
        <v>26</v>
      </c>
      <c r="R9" s="19" t="s">
        <v>27</v>
      </c>
    </row>
    <row r="10" spans="1:92" ht="49.95" customHeight="1" thickTop="1" thickBot="1" x14ac:dyDescent="0.35">
      <c r="A10" s="36" t="s">
        <v>28</v>
      </c>
      <c r="B10" s="36" t="s">
        <v>851</v>
      </c>
      <c r="C10" s="37">
        <v>0.86805555555555547</v>
      </c>
      <c r="D10" s="36" t="s">
        <v>30</v>
      </c>
      <c r="E10" s="38"/>
      <c r="F10" s="36" t="s">
        <v>31</v>
      </c>
      <c r="G10" s="232"/>
      <c r="H10" s="112" t="s">
        <v>851</v>
      </c>
      <c r="I10" s="150">
        <v>0.99439999999999995</v>
      </c>
      <c r="J10" s="114">
        <v>179</v>
      </c>
      <c r="K10" s="115" t="s">
        <v>37</v>
      </c>
      <c r="L10" s="114">
        <v>6</v>
      </c>
      <c r="M10" s="114">
        <v>0</v>
      </c>
      <c r="N10" s="114">
        <v>4</v>
      </c>
      <c r="O10" s="116" t="s">
        <v>33</v>
      </c>
      <c r="P10" s="117">
        <v>0.86805555555555547</v>
      </c>
      <c r="Q10" s="114">
        <v>180</v>
      </c>
      <c r="R10" s="118" t="s">
        <v>852</v>
      </c>
    </row>
    <row r="11" spans="1:92" ht="17.399999999999999" customHeight="1" thickBot="1" x14ac:dyDescent="0.35">
      <c r="A11" s="264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6"/>
    </row>
    <row r="12" spans="1:92" ht="22.05" customHeight="1" thickTop="1" thickBot="1" x14ac:dyDescent="0.35">
      <c r="A12" s="241" t="s">
        <v>8</v>
      </c>
      <c r="B12" s="239"/>
      <c r="C12" s="239"/>
      <c r="D12" s="239"/>
      <c r="E12" s="239"/>
      <c r="F12" s="240"/>
      <c r="G12" s="18">
        <v>45986</v>
      </c>
      <c r="H12" s="238" t="s">
        <v>9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40"/>
    </row>
    <row r="13" spans="1:92" ht="24" customHeight="1" x14ac:dyDescent="0.3">
      <c r="A13" s="19" t="s">
        <v>10</v>
      </c>
      <c r="B13" s="19" t="s">
        <v>11</v>
      </c>
      <c r="C13" s="20" t="s">
        <v>12</v>
      </c>
      <c r="D13" s="19" t="s">
        <v>13</v>
      </c>
      <c r="E13" s="19" t="s">
        <v>14</v>
      </c>
      <c r="F13" s="21" t="s">
        <v>15</v>
      </c>
      <c r="G13" s="22" t="s">
        <v>16</v>
      </c>
      <c r="H13" s="19" t="s">
        <v>17</v>
      </c>
      <c r="I13" s="23" t="s">
        <v>18</v>
      </c>
      <c r="J13" s="24" t="s">
        <v>19</v>
      </c>
      <c r="K13" s="25" t="s">
        <v>20</v>
      </c>
      <c r="L13" s="24" t="s">
        <v>21</v>
      </c>
      <c r="M13" s="24" t="s">
        <v>22</v>
      </c>
      <c r="N13" s="24" t="s">
        <v>23</v>
      </c>
      <c r="O13" s="19" t="s">
        <v>24</v>
      </c>
      <c r="P13" s="20" t="s">
        <v>25</v>
      </c>
      <c r="Q13" s="24" t="s">
        <v>26</v>
      </c>
      <c r="R13" s="19" t="s">
        <v>27</v>
      </c>
    </row>
    <row r="14" spans="1:92" ht="49.95" customHeight="1" x14ac:dyDescent="0.3">
      <c r="A14" s="56" t="s">
        <v>28</v>
      </c>
      <c r="B14" s="56" t="s">
        <v>853</v>
      </c>
      <c r="C14" s="57">
        <v>0.11805555555555559</v>
      </c>
      <c r="D14" s="56" t="s">
        <v>30</v>
      </c>
      <c r="E14" s="58"/>
      <c r="F14" s="56" t="s">
        <v>407</v>
      </c>
      <c r="G14" s="232"/>
      <c r="H14" s="184" t="s">
        <v>853</v>
      </c>
      <c r="I14" s="185">
        <v>0.97219999999999995</v>
      </c>
      <c r="J14" s="186">
        <v>175</v>
      </c>
      <c r="K14" s="187" t="s">
        <v>37</v>
      </c>
      <c r="L14" s="186">
        <v>1</v>
      </c>
      <c r="M14" s="186">
        <v>0</v>
      </c>
      <c r="N14" s="186">
        <v>1</v>
      </c>
      <c r="O14" s="188" t="s">
        <v>312</v>
      </c>
      <c r="P14" s="189">
        <v>0.11805555555555559</v>
      </c>
      <c r="Q14" s="186">
        <v>180</v>
      </c>
      <c r="R14" s="190" t="s">
        <v>854</v>
      </c>
    </row>
    <row r="15" spans="1:92" ht="49.95" customHeight="1" thickBot="1" x14ac:dyDescent="0.35">
      <c r="A15" s="134" t="s">
        <v>28</v>
      </c>
      <c r="B15" s="134" t="s">
        <v>849</v>
      </c>
      <c r="C15" s="135">
        <v>0.81944444444444453</v>
      </c>
      <c r="D15" s="134" t="s">
        <v>30</v>
      </c>
      <c r="E15" s="136"/>
      <c r="F15" s="134" t="s">
        <v>31</v>
      </c>
      <c r="G15" s="233"/>
      <c r="H15" s="11" t="s">
        <v>849</v>
      </c>
      <c r="I15" s="155">
        <v>1</v>
      </c>
      <c r="J15" s="13">
        <v>180</v>
      </c>
      <c r="K15" s="14" t="s">
        <v>37</v>
      </c>
      <c r="L15" s="13">
        <v>6</v>
      </c>
      <c r="M15" s="13">
        <v>0</v>
      </c>
      <c r="N15" s="13">
        <v>2</v>
      </c>
      <c r="O15" s="15" t="s">
        <v>33</v>
      </c>
      <c r="P15" s="16">
        <v>0.81944444444444453</v>
      </c>
      <c r="Q15" s="13">
        <v>180</v>
      </c>
      <c r="R15" s="17" t="s">
        <v>855</v>
      </c>
    </row>
    <row r="16" spans="1:92" ht="17.399999999999999" customHeight="1" thickBot="1" x14ac:dyDescent="0.35">
      <c r="A16" s="264"/>
      <c r="B16" s="265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6"/>
    </row>
    <row r="17" spans="1:18" ht="22.05" customHeight="1" thickTop="1" thickBot="1" x14ac:dyDescent="0.35">
      <c r="A17" s="241" t="s">
        <v>8</v>
      </c>
      <c r="B17" s="239"/>
      <c r="C17" s="239"/>
      <c r="D17" s="239"/>
      <c r="E17" s="239"/>
      <c r="F17" s="240"/>
      <c r="G17" s="18">
        <v>45988</v>
      </c>
      <c r="H17" s="238" t="s">
        <v>9</v>
      </c>
      <c r="I17" s="239"/>
      <c r="J17" s="239"/>
      <c r="K17" s="239"/>
      <c r="L17" s="239"/>
      <c r="M17" s="239"/>
      <c r="N17" s="239"/>
      <c r="O17" s="239"/>
      <c r="P17" s="239"/>
      <c r="Q17" s="239"/>
      <c r="R17" s="240"/>
    </row>
    <row r="18" spans="1:18" ht="24" customHeight="1" x14ac:dyDescent="0.3">
      <c r="A18" s="19" t="s">
        <v>10</v>
      </c>
      <c r="B18" s="19" t="s">
        <v>11</v>
      </c>
      <c r="C18" s="20" t="s">
        <v>12</v>
      </c>
      <c r="D18" s="19" t="s">
        <v>13</v>
      </c>
      <c r="E18" s="19" t="s">
        <v>14</v>
      </c>
      <c r="F18" s="21" t="s">
        <v>15</v>
      </c>
      <c r="G18" s="22" t="s">
        <v>16</v>
      </c>
      <c r="H18" s="19" t="s">
        <v>17</v>
      </c>
      <c r="I18" s="23" t="s">
        <v>18</v>
      </c>
      <c r="J18" s="24" t="s">
        <v>19</v>
      </c>
      <c r="K18" s="25" t="s">
        <v>20</v>
      </c>
      <c r="L18" s="24" t="s">
        <v>21</v>
      </c>
      <c r="M18" s="24" t="s">
        <v>22</v>
      </c>
      <c r="N18" s="24" t="s">
        <v>23</v>
      </c>
      <c r="O18" s="19" t="s">
        <v>24</v>
      </c>
      <c r="P18" s="20" t="s">
        <v>25</v>
      </c>
      <c r="Q18" s="24" t="s">
        <v>26</v>
      </c>
      <c r="R18" s="19" t="s">
        <v>27</v>
      </c>
    </row>
    <row r="19" spans="1:18" ht="49.95" customHeight="1" thickTop="1" thickBot="1" x14ac:dyDescent="0.35">
      <c r="A19" s="66" t="s">
        <v>28</v>
      </c>
      <c r="B19" s="66" t="s">
        <v>849</v>
      </c>
      <c r="C19" s="67">
        <v>0.38194444444444442</v>
      </c>
      <c r="D19" s="66" t="s">
        <v>30</v>
      </c>
      <c r="E19" s="68"/>
      <c r="F19" s="66" t="s">
        <v>31</v>
      </c>
      <c r="G19" s="232"/>
      <c r="H19" s="127" t="s">
        <v>849</v>
      </c>
      <c r="I19" s="152">
        <v>1</v>
      </c>
      <c r="J19" s="129">
        <v>180</v>
      </c>
      <c r="K19" s="130" t="s">
        <v>445</v>
      </c>
      <c r="L19" s="129">
        <v>0</v>
      </c>
      <c r="M19" s="129">
        <v>0</v>
      </c>
      <c r="N19" s="129">
        <v>0</v>
      </c>
      <c r="O19" s="131" t="s">
        <v>33</v>
      </c>
      <c r="P19" s="132">
        <v>0.38194444444444442</v>
      </c>
      <c r="Q19" s="129">
        <v>180</v>
      </c>
      <c r="R19" s="133" t="s">
        <v>856</v>
      </c>
    </row>
    <row r="20" spans="1:18" ht="17.399999999999999" customHeight="1" thickBot="1" x14ac:dyDescent="0.35">
      <c r="A20" s="264"/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6"/>
    </row>
    <row r="21" spans="1:18" ht="22.05" customHeight="1" thickTop="1" thickBot="1" x14ac:dyDescent="0.35">
      <c r="A21" s="241" t="s">
        <v>8</v>
      </c>
      <c r="B21" s="239"/>
      <c r="C21" s="239"/>
      <c r="D21" s="239"/>
      <c r="E21" s="239"/>
      <c r="F21" s="240"/>
      <c r="G21" s="18">
        <v>45990</v>
      </c>
      <c r="H21" s="238" t="s">
        <v>9</v>
      </c>
      <c r="I21" s="239"/>
      <c r="J21" s="239"/>
      <c r="K21" s="239"/>
      <c r="L21" s="239"/>
      <c r="M21" s="239"/>
      <c r="N21" s="239"/>
      <c r="O21" s="239"/>
      <c r="P21" s="239"/>
      <c r="Q21" s="239"/>
      <c r="R21" s="240"/>
    </row>
    <row r="22" spans="1:18" ht="24" customHeight="1" x14ac:dyDescent="0.3">
      <c r="A22" s="19" t="s">
        <v>10</v>
      </c>
      <c r="B22" s="19" t="s">
        <v>11</v>
      </c>
      <c r="C22" s="20" t="s">
        <v>12</v>
      </c>
      <c r="D22" s="19" t="s">
        <v>13</v>
      </c>
      <c r="E22" s="19" t="s">
        <v>14</v>
      </c>
      <c r="F22" s="21" t="s">
        <v>15</v>
      </c>
      <c r="G22" s="22" t="s">
        <v>16</v>
      </c>
      <c r="H22" s="19" t="s">
        <v>17</v>
      </c>
      <c r="I22" s="23" t="s">
        <v>18</v>
      </c>
      <c r="J22" s="24" t="s">
        <v>19</v>
      </c>
      <c r="K22" s="25" t="s">
        <v>20</v>
      </c>
      <c r="L22" s="24" t="s">
        <v>21</v>
      </c>
      <c r="M22" s="24" t="s">
        <v>22</v>
      </c>
      <c r="N22" s="24" t="s">
        <v>23</v>
      </c>
      <c r="O22" s="19" t="s">
        <v>24</v>
      </c>
      <c r="P22" s="20" t="s">
        <v>25</v>
      </c>
      <c r="Q22" s="24" t="s">
        <v>26</v>
      </c>
      <c r="R22" s="19" t="s">
        <v>27</v>
      </c>
    </row>
    <row r="23" spans="1:18" ht="49.95" customHeight="1" thickTop="1" thickBot="1" x14ac:dyDescent="0.35">
      <c r="A23" s="8" t="s">
        <v>28</v>
      </c>
      <c r="B23" s="8" t="s">
        <v>849</v>
      </c>
      <c r="C23" s="9">
        <v>0.2361111111111111</v>
      </c>
      <c r="D23" s="8" t="s">
        <v>30</v>
      </c>
      <c r="E23" s="10"/>
      <c r="F23" s="8" t="s">
        <v>31</v>
      </c>
      <c r="G23" s="232"/>
      <c r="H23" s="11" t="s">
        <v>849</v>
      </c>
      <c r="I23" s="155">
        <v>0.99439999999999995</v>
      </c>
      <c r="J23" s="13">
        <v>179</v>
      </c>
      <c r="K23" s="14" t="s">
        <v>90</v>
      </c>
      <c r="L23" s="13">
        <v>1</v>
      </c>
      <c r="M23" s="13">
        <v>0</v>
      </c>
      <c r="N23" s="13">
        <v>0</v>
      </c>
      <c r="O23" s="15" t="s">
        <v>33</v>
      </c>
      <c r="P23" s="16">
        <v>0.2361111111111111</v>
      </c>
      <c r="Q23" s="13">
        <v>180</v>
      </c>
      <c r="R23" s="17" t="s">
        <v>857</v>
      </c>
    </row>
    <row r="24" spans="1:18" ht="17.399999999999999" customHeight="1" thickBot="1" x14ac:dyDescent="0.35">
      <c r="A24" s="264"/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6"/>
    </row>
    <row r="25" spans="1:18" ht="22.05" customHeight="1" thickTop="1" thickBot="1" x14ac:dyDescent="0.35">
      <c r="A25" s="241" t="s">
        <v>8</v>
      </c>
      <c r="B25" s="239"/>
      <c r="C25" s="239"/>
      <c r="D25" s="239"/>
      <c r="E25" s="239"/>
      <c r="F25" s="240"/>
      <c r="G25" s="18">
        <v>45991</v>
      </c>
      <c r="H25" s="238" t="s">
        <v>9</v>
      </c>
      <c r="I25" s="239"/>
      <c r="J25" s="239"/>
      <c r="K25" s="239"/>
      <c r="L25" s="239"/>
      <c r="M25" s="239"/>
      <c r="N25" s="239"/>
      <c r="O25" s="239"/>
      <c r="P25" s="239"/>
      <c r="Q25" s="239"/>
      <c r="R25" s="240"/>
    </row>
    <row r="26" spans="1:18" ht="24" customHeight="1" x14ac:dyDescent="0.3">
      <c r="A26" s="19" t="s">
        <v>10</v>
      </c>
      <c r="B26" s="19" t="s">
        <v>11</v>
      </c>
      <c r="C26" s="20" t="s">
        <v>12</v>
      </c>
      <c r="D26" s="19" t="s">
        <v>13</v>
      </c>
      <c r="E26" s="19" t="s">
        <v>14</v>
      </c>
      <c r="F26" s="21" t="s">
        <v>15</v>
      </c>
      <c r="G26" s="22" t="s">
        <v>16</v>
      </c>
      <c r="H26" s="19" t="s">
        <v>17</v>
      </c>
      <c r="I26" s="23" t="s">
        <v>18</v>
      </c>
      <c r="J26" s="24" t="s">
        <v>19</v>
      </c>
      <c r="K26" s="25" t="s">
        <v>20</v>
      </c>
      <c r="L26" s="24" t="s">
        <v>21</v>
      </c>
      <c r="M26" s="24" t="s">
        <v>22</v>
      </c>
      <c r="N26" s="24" t="s">
        <v>23</v>
      </c>
      <c r="O26" s="19" t="s">
        <v>24</v>
      </c>
      <c r="P26" s="20" t="s">
        <v>25</v>
      </c>
      <c r="Q26" s="24" t="s">
        <v>26</v>
      </c>
      <c r="R26" s="19" t="s">
        <v>27</v>
      </c>
    </row>
    <row r="27" spans="1:18" ht="49.95" customHeight="1" thickTop="1" thickBot="1" x14ac:dyDescent="0.35">
      <c r="A27" s="76" t="s">
        <v>28</v>
      </c>
      <c r="B27" s="76" t="s">
        <v>849</v>
      </c>
      <c r="C27" s="77">
        <v>0.74305555555555547</v>
      </c>
      <c r="D27" s="76" t="s">
        <v>30</v>
      </c>
      <c r="E27" s="78"/>
      <c r="F27" s="76" t="s">
        <v>407</v>
      </c>
      <c r="G27" s="232"/>
      <c r="H27" s="49" t="s">
        <v>849</v>
      </c>
      <c r="I27" s="151">
        <v>0.99439999999999995</v>
      </c>
      <c r="J27" s="51">
        <v>179</v>
      </c>
      <c r="K27" s="52" t="s">
        <v>90</v>
      </c>
      <c r="L27" s="51">
        <v>2</v>
      </c>
      <c r="M27" s="51">
        <v>0</v>
      </c>
      <c r="N27" s="51">
        <v>0</v>
      </c>
      <c r="O27" s="53" t="s">
        <v>45</v>
      </c>
      <c r="P27" s="54">
        <v>0.74305555555555547</v>
      </c>
      <c r="Q27" s="51">
        <v>180</v>
      </c>
      <c r="R27" s="55" t="s">
        <v>858</v>
      </c>
    </row>
    <row r="28" spans="1:18" ht="17.399999999999999" customHeight="1" thickBot="1" x14ac:dyDescent="0.35">
      <c r="A28" s="264"/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6"/>
    </row>
    <row r="29" spans="1:18" ht="22.05" customHeight="1" thickTop="1" thickBot="1" x14ac:dyDescent="0.35">
      <c r="A29" s="241" t="s">
        <v>8</v>
      </c>
      <c r="B29" s="239"/>
      <c r="C29" s="239"/>
      <c r="D29" s="239"/>
      <c r="E29" s="239"/>
      <c r="F29" s="240"/>
      <c r="G29" s="18">
        <v>45992</v>
      </c>
      <c r="H29" s="238" t="s">
        <v>9</v>
      </c>
      <c r="I29" s="239"/>
      <c r="J29" s="239"/>
      <c r="K29" s="239"/>
      <c r="L29" s="239"/>
      <c r="M29" s="239"/>
      <c r="N29" s="239"/>
      <c r="O29" s="239"/>
      <c r="P29" s="239"/>
      <c r="Q29" s="239"/>
      <c r="R29" s="240"/>
    </row>
    <row r="30" spans="1:18" ht="24" customHeight="1" x14ac:dyDescent="0.3">
      <c r="A30" s="19" t="s">
        <v>10</v>
      </c>
      <c r="B30" s="19" t="s">
        <v>11</v>
      </c>
      <c r="C30" s="20" t="s">
        <v>12</v>
      </c>
      <c r="D30" s="19" t="s">
        <v>13</v>
      </c>
      <c r="E30" s="19" t="s">
        <v>14</v>
      </c>
      <c r="F30" s="21" t="s">
        <v>15</v>
      </c>
      <c r="G30" s="22" t="s">
        <v>16</v>
      </c>
      <c r="H30" s="19" t="s">
        <v>17</v>
      </c>
      <c r="I30" s="23" t="s">
        <v>18</v>
      </c>
      <c r="J30" s="24" t="s">
        <v>19</v>
      </c>
      <c r="K30" s="25" t="s">
        <v>20</v>
      </c>
      <c r="L30" s="24" t="s">
        <v>21</v>
      </c>
      <c r="M30" s="24" t="s">
        <v>22</v>
      </c>
      <c r="N30" s="24" t="s">
        <v>23</v>
      </c>
      <c r="O30" s="19" t="s">
        <v>24</v>
      </c>
      <c r="P30" s="20" t="s">
        <v>25</v>
      </c>
      <c r="Q30" s="24" t="s">
        <v>26</v>
      </c>
      <c r="R30" s="19" t="s">
        <v>27</v>
      </c>
    </row>
    <row r="31" spans="1:18" ht="49.95" customHeight="1" thickTop="1" thickBot="1" x14ac:dyDescent="0.35">
      <c r="A31" s="80" t="s">
        <v>28</v>
      </c>
      <c r="B31" s="80" t="s">
        <v>851</v>
      </c>
      <c r="C31" s="81">
        <v>0.86805555555555547</v>
      </c>
      <c r="D31" s="80" t="s">
        <v>30</v>
      </c>
      <c r="E31" s="82"/>
      <c r="F31" s="80" t="s">
        <v>36</v>
      </c>
      <c r="G31" s="232"/>
      <c r="H31" s="100" t="s">
        <v>851</v>
      </c>
      <c r="I31" s="158">
        <v>0.75</v>
      </c>
      <c r="J31" s="102">
        <v>135</v>
      </c>
      <c r="K31" s="103" t="s">
        <v>37</v>
      </c>
      <c r="L31" s="102">
        <v>46</v>
      </c>
      <c r="M31" s="102">
        <v>0</v>
      </c>
      <c r="N31" s="102">
        <v>15</v>
      </c>
      <c r="O31" s="104" t="s">
        <v>151</v>
      </c>
      <c r="P31" s="105">
        <v>0.86805555555555547</v>
      </c>
      <c r="Q31" s="102">
        <v>180</v>
      </c>
      <c r="R31" s="106" t="s">
        <v>859</v>
      </c>
    </row>
    <row r="32" spans="1:18" ht="17.399999999999999" customHeight="1" thickBot="1" x14ac:dyDescent="0.35">
      <c r="A32" s="264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6"/>
    </row>
    <row r="33" spans="1:18" ht="22.05" customHeight="1" thickTop="1" thickBot="1" x14ac:dyDescent="0.35">
      <c r="A33" s="241" t="s">
        <v>8</v>
      </c>
      <c r="B33" s="239"/>
      <c r="C33" s="239"/>
      <c r="D33" s="239"/>
      <c r="E33" s="239"/>
      <c r="F33" s="240"/>
      <c r="G33" s="18">
        <v>45993</v>
      </c>
      <c r="H33" s="238" t="s">
        <v>9</v>
      </c>
      <c r="I33" s="239"/>
      <c r="J33" s="239"/>
      <c r="K33" s="239"/>
      <c r="L33" s="239"/>
      <c r="M33" s="239"/>
      <c r="N33" s="239"/>
      <c r="O33" s="239"/>
      <c r="P33" s="239"/>
      <c r="Q33" s="239"/>
      <c r="R33" s="240"/>
    </row>
    <row r="34" spans="1:18" ht="24" customHeight="1" x14ac:dyDescent="0.3">
      <c r="A34" s="19" t="s">
        <v>10</v>
      </c>
      <c r="B34" s="19" t="s">
        <v>11</v>
      </c>
      <c r="C34" s="20" t="s">
        <v>12</v>
      </c>
      <c r="D34" s="19" t="s">
        <v>13</v>
      </c>
      <c r="E34" s="19" t="s">
        <v>14</v>
      </c>
      <c r="F34" s="21" t="s">
        <v>15</v>
      </c>
      <c r="G34" s="22" t="s">
        <v>16</v>
      </c>
      <c r="H34" s="19" t="s">
        <v>17</v>
      </c>
      <c r="I34" s="23" t="s">
        <v>18</v>
      </c>
      <c r="J34" s="24" t="s">
        <v>19</v>
      </c>
      <c r="K34" s="25" t="s">
        <v>20</v>
      </c>
      <c r="L34" s="24" t="s">
        <v>21</v>
      </c>
      <c r="M34" s="24" t="s">
        <v>22</v>
      </c>
      <c r="N34" s="24" t="s">
        <v>23</v>
      </c>
      <c r="O34" s="19" t="s">
        <v>24</v>
      </c>
      <c r="P34" s="20" t="s">
        <v>25</v>
      </c>
      <c r="Q34" s="24" t="s">
        <v>26</v>
      </c>
      <c r="R34" s="19" t="s">
        <v>27</v>
      </c>
    </row>
    <row r="35" spans="1:18" ht="49.95" customHeight="1" x14ac:dyDescent="0.3">
      <c r="A35" s="80" t="s">
        <v>28</v>
      </c>
      <c r="B35" s="80" t="s">
        <v>853</v>
      </c>
      <c r="C35" s="81">
        <v>0.11805555555555559</v>
      </c>
      <c r="D35" s="80" t="s">
        <v>30</v>
      </c>
      <c r="E35" s="82"/>
      <c r="F35" s="80" t="s">
        <v>31</v>
      </c>
      <c r="G35" s="232"/>
      <c r="H35" s="83" t="s">
        <v>853</v>
      </c>
      <c r="I35" s="159">
        <v>0.99439999999999995</v>
      </c>
      <c r="J35" s="85">
        <v>179</v>
      </c>
      <c r="K35" s="86" t="s">
        <v>37</v>
      </c>
      <c r="L35" s="85">
        <v>50</v>
      </c>
      <c r="M35" s="85">
        <v>0</v>
      </c>
      <c r="N35" s="85">
        <v>9</v>
      </c>
      <c r="O35" s="87" t="s">
        <v>33</v>
      </c>
      <c r="P35" s="88">
        <v>0.11805555555555559</v>
      </c>
      <c r="Q35" s="85">
        <v>180</v>
      </c>
      <c r="R35" s="89" t="s">
        <v>860</v>
      </c>
    </row>
    <row r="36" spans="1:18" ht="49.95" customHeight="1" thickBot="1" x14ac:dyDescent="0.35">
      <c r="A36" s="134" t="s">
        <v>28</v>
      </c>
      <c r="B36" s="134" t="s">
        <v>849</v>
      </c>
      <c r="C36" s="135">
        <v>0.81944444444444453</v>
      </c>
      <c r="D36" s="134" t="s">
        <v>30</v>
      </c>
      <c r="E36" s="136"/>
      <c r="F36" s="134" t="s">
        <v>365</v>
      </c>
      <c r="G36" s="233"/>
      <c r="H36" s="11" t="s">
        <v>849</v>
      </c>
      <c r="I36" s="155">
        <v>0.92220000000000002</v>
      </c>
      <c r="J36" s="13">
        <v>166</v>
      </c>
      <c r="K36" s="14" t="s">
        <v>37</v>
      </c>
      <c r="L36" s="13">
        <v>34</v>
      </c>
      <c r="M36" s="13">
        <v>0</v>
      </c>
      <c r="N36" s="13">
        <v>17</v>
      </c>
      <c r="O36" s="15" t="s">
        <v>233</v>
      </c>
      <c r="P36" s="16">
        <v>0.81944444444444453</v>
      </c>
      <c r="Q36" s="13">
        <v>180</v>
      </c>
      <c r="R36" s="17" t="s">
        <v>861</v>
      </c>
    </row>
    <row r="37" spans="1:18" ht="17.399999999999999" customHeight="1" thickBot="1" x14ac:dyDescent="0.35">
      <c r="A37" s="264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6"/>
    </row>
    <row r="38" spans="1:18" ht="22.05" customHeight="1" thickTop="1" thickBot="1" x14ac:dyDescent="0.35">
      <c r="A38" s="241" t="s">
        <v>8</v>
      </c>
      <c r="B38" s="239"/>
      <c r="C38" s="239"/>
      <c r="D38" s="239"/>
      <c r="E38" s="239"/>
      <c r="F38" s="240"/>
      <c r="G38" s="18">
        <v>45995</v>
      </c>
      <c r="H38" s="238" t="s">
        <v>9</v>
      </c>
      <c r="I38" s="239"/>
      <c r="J38" s="239"/>
      <c r="K38" s="239"/>
      <c r="L38" s="239"/>
      <c r="M38" s="239"/>
      <c r="N38" s="239"/>
      <c r="O38" s="239"/>
      <c r="P38" s="239"/>
      <c r="Q38" s="239"/>
      <c r="R38" s="240"/>
    </row>
    <row r="39" spans="1:18" ht="24" customHeight="1" x14ac:dyDescent="0.3">
      <c r="A39" s="19" t="s">
        <v>10</v>
      </c>
      <c r="B39" s="19" t="s">
        <v>11</v>
      </c>
      <c r="C39" s="20" t="s">
        <v>12</v>
      </c>
      <c r="D39" s="19" t="s">
        <v>13</v>
      </c>
      <c r="E39" s="19" t="s">
        <v>14</v>
      </c>
      <c r="F39" s="21" t="s">
        <v>15</v>
      </c>
      <c r="G39" s="22" t="s">
        <v>16</v>
      </c>
      <c r="H39" s="19" t="s">
        <v>17</v>
      </c>
      <c r="I39" s="23" t="s">
        <v>18</v>
      </c>
      <c r="J39" s="24" t="s">
        <v>19</v>
      </c>
      <c r="K39" s="25" t="s">
        <v>20</v>
      </c>
      <c r="L39" s="24" t="s">
        <v>21</v>
      </c>
      <c r="M39" s="24" t="s">
        <v>22</v>
      </c>
      <c r="N39" s="24" t="s">
        <v>23</v>
      </c>
      <c r="O39" s="19" t="s">
        <v>24</v>
      </c>
      <c r="P39" s="20" t="s">
        <v>25</v>
      </c>
      <c r="Q39" s="24" t="s">
        <v>26</v>
      </c>
      <c r="R39" s="19" t="s">
        <v>27</v>
      </c>
    </row>
    <row r="40" spans="1:18" ht="49.95" customHeight="1" thickTop="1" thickBot="1" x14ac:dyDescent="0.5">
      <c r="A40" s="56" t="s">
        <v>28</v>
      </c>
      <c r="B40" s="56" t="s">
        <v>849</v>
      </c>
      <c r="C40" s="57">
        <v>0.38194444444444442</v>
      </c>
      <c r="D40" s="56" t="s">
        <v>30</v>
      </c>
      <c r="E40" s="58"/>
      <c r="F40" s="56" t="s">
        <v>31</v>
      </c>
      <c r="G40" s="237"/>
      <c r="H40" s="59" t="s">
        <v>849</v>
      </c>
      <c r="I40" s="231">
        <v>1.0111000000000001</v>
      </c>
      <c r="J40" s="61">
        <v>182</v>
      </c>
      <c r="K40" s="62" t="s">
        <v>102</v>
      </c>
      <c r="L40" s="61">
        <v>1</v>
      </c>
      <c r="M40" s="61">
        <v>0</v>
      </c>
      <c r="N40" s="61">
        <v>0</v>
      </c>
      <c r="O40" s="63" t="s">
        <v>33</v>
      </c>
      <c r="P40" s="64">
        <v>0.38194444444444442</v>
      </c>
      <c r="Q40" s="61">
        <v>180</v>
      </c>
      <c r="R40" s="65" t="s">
        <v>862</v>
      </c>
    </row>
    <row r="41" spans="1:18" ht="17.399999999999999" customHeight="1" thickBot="1" x14ac:dyDescent="0.35">
      <c r="A41" s="264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6"/>
    </row>
    <row r="42" spans="1:18" ht="22.05" customHeight="1" thickTop="1" thickBot="1" x14ac:dyDescent="0.35">
      <c r="A42" s="241" t="s">
        <v>8</v>
      </c>
      <c r="B42" s="239"/>
      <c r="C42" s="239"/>
      <c r="D42" s="239"/>
      <c r="E42" s="239"/>
      <c r="F42" s="240"/>
      <c r="G42" s="18">
        <v>45997</v>
      </c>
      <c r="H42" s="238" t="s">
        <v>9</v>
      </c>
      <c r="I42" s="239"/>
      <c r="J42" s="239"/>
      <c r="K42" s="239"/>
      <c r="L42" s="239"/>
      <c r="M42" s="239"/>
      <c r="N42" s="239"/>
      <c r="O42" s="239"/>
      <c r="P42" s="239"/>
      <c r="Q42" s="239"/>
      <c r="R42" s="240"/>
    </row>
    <row r="43" spans="1:18" ht="24" customHeight="1" x14ac:dyDescent="0.3">
      <c r="A43" s="19" t="s">
        <v>10</v>
      </c>
      <c r="B43" s="19" t="s">
        <v>11</v>
      </c>
      <c r="C43" s="20" t="s">
        <v>12</v>
      </c>
      <c r="D43" s="19" t="s">
        <v>13</v>
      </c>
      <c r="E43" s="19" t="s">
        <v>14</v>
      </c>
      <c r="F43" s="21" t="s">
        <v>15</v>
      </c>
      <c r="G43" s="22" t="s">
        <v>16</v>
      </c>
      <c r="H43" s="19" t="s">
        <v>17</v>
      </c>
      <c r="I43" s="23" t="s">
        <v>18</v>
      </c>
      <c r="J43" s="24" t="s">
        <v>19</v>
      </c>
      <c r="K43" s="25" t="s">
        <v>20</v>
      </c>
      <c r="L43" s="24" t="s">
        <v>21</v>
      </c>
      <c r="M43" s="24" t="s">
        <v>22</v>
      </c>
      <c r="N43" s="24" t="s">
        <v>23</v>
      </c>
      <c r="O43" s="19" t="s">
        <v>24</v>
      </c>
      <c r="P43" s="20" t="s">
        <v>25</v>
      </c>
      <c r="Q43" s="24" t="s">
        <v>26</v>
      </c>
      <c r="R43" s="19" t="s">
        <v>27</v>
      </c>
    </row>
    <row r="44" spans="1:18" ht="49.95" customHeight="1" thickTop="1" thickBot="1" x14ac:dyDescent="0.35">
      <c r="A44" s="66" t="s">
        <v>28</v>
      </c>
      <c r="B44" s="66" t="s">
        <v>849</v>
      </c>
      <c r="C44" s="67">
        <v>0.2361111111111111</v>
      </c>
      <c r="D44" s="66" t="s">
        <v>30</v>
      </c>
      <c r="E44" s="68"/>
      <c r="F44" s="66" t="s">
        <v>31</v>
      </c>
      <c r="G44" s="232"/>
      <c r="H44" s="127" t="s">
        <v>849</v>
      </c>
      <c r="I44" s="152">
        <v>0.98329999999999995</v>
      </c>
      <c r="J44" s="129">
        <v>177</v>
      </c>
      <c r="K44" s="130" t="s">
        <v>102</v>
      </c>
      <c r="L44" s="129">
        <v>5</v>
      </c>
      <c r="M44" s="129">
        <v>0</v>
      </c>
      <c r="N44" s="129">
        <v>0</v>
      </c>
      <c r="O44" s="131" t="s">
        <v>33</v>
      </c>
      <c r="P44" s="132">
        <v>0.2361111111111111</v>
      </c>
      <c r="Q44" s="129">
        <v>180</v>
      </c>
      <c r="R44" s="133" t="s">
        <v>863</v>
      </c>
    </row>
    <row r="45" spans="1:18" ht="17.399999999999999" customHeight="1" thickBot="1" x14ac:dyDescent="0.35">
      <c r="A45" s="264"/>
      <c r="B45" s="265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6"/>
    </row>
    <row r="46" spans="1:18" ht="22.05" customHeight="1" thickTop="1" thickBot="1" x14ac:dyDescent="0.35">
      <c r="A46" s="241" t="s">
        <v>8</v>
      </c>
      <c r="B46" s="239"/>
      <c r="C46" s="239"/>
      <c r="D46" s="239"/>
      <c r="E46" s="239"/>
      <c r="F46" s="240"/>
      <c r="G46" s="18">
        <v>45998</v>
      </c>
      <c r="H46" s="238" t="s">
        <v>9</v>
      </c>
      <c r="I46" s="239"/>
      <c r="J46" s="239"/>
      <c r="K46" s="239"/>
      <c r="L46" s="239"/>
      <c r="M46" s="239"/>
      <c r="N46" s="239"/>
      <c r="O46" s="239"/>
      <c r="P46" s="239"/>
      <c r="Q46" s="239"/>
      <c r="R46" s="240"/>
    </row>
    <row r="47" spans="1:18" ht="24" customHeight="1" x14ac:dyDescent="0.3">
      <c r="A47" s="19" t="s">
        <v>10</v>
      </c>
      <c r="B47" s="19" t="s">
        <v>11</v>
      </c>
      <c r="C47" s="20" t="s">
        <v>12</v>
      </c>
      <c r="D47" s="19" t="s">
        <v>13</v>
      </c>
      <c r="E47" s="19" t="s">
        <v>14</v>
      </c>
      <c r="F47" s="21" t="s">
        <v>15</v>
      </c>
      <c r="G47" s="22" t="s">
        <v>16</v>
      </c>
      <c r="H47" s="19" t="s">
        <v>17</v>
      </c>
      <c r="I47" s="23" t="s">
        <v>18</v>
      </c>
      <c r="J47" s="24" t="s">
        <v>19</v>
      </c>
      <c r="K47" s="25" t="s">
        <v>20</v>
      </c>
      <c r="L47" s="24" t="s">
        <v>21</v>
      </c>
      <c r="M47" s="24" t="s">
        <v>22</v>
      </c>
      <c r="N47" s="24" t="s">
        <v>23</v>
      </c>
      <c r="O47" s="19" t="s">
        <v>24</v>
      </c>
      <c r="P47" s="20" t="s">
        <v>25</v>
      </c>
      <c r="Q47" s="24" t="s">
        <v>26</v>
      </c>
      <c r="R47" s="19" t="s">
        <v>27</v>
      </c>
    </row>
    <row r="48" spans="1:18" ht="49.95" customHeight="1" thickTop="1" thickBot="1" x14ac:dyDescent="0.35">
      <c r="A48" s="80" t="s">
        <v>28</v>
      </c>
      <c r="B48" s="80" t="s">
        <v>849</v>
      </c>
      <c r="C48" s="81">
        <v>0.74305555555555547</v>
      </c>
      <c r="D48" s="80" t="s">
        <v>30</v>
      </c>
      <c r="E48" s="82"/>
      <c r="F48" s="80" t="s">
        <v>365</v>
      </c>
      <c r="G48" s="232"/>
      <c r="H48" s="100" t="s">
        <v>849</v>
      </c>
      <c r="I48" s="148">
        <v>0.92779999999999996</v>
      </c>
      <c r="J48" s="102">
        <v>167</v>
      </c>
      <c r="K48" s="103" t="s">
        <v>37</v>
      </c>
      <c r="L48" s="102">
        <v>15</v>
      </c>
      <c r="M48" s="102">
        <v>0</v>
      </c>
      <c r="N48" s="102">
        <v>1</v>
      </c>
      <c r="O48" s="104" t="s">
        <v>304</v>
      </c>
      <c r="P48" s="105">
        <v>0.74305555555555547</v>
      </c>
      <c r="Q48" s="102">
        <v>180</v>
      </c>
      <c r="R48" s="106" t="s">
        <v>864</v>
      </c>
    </row>
    <row r="49" spans="1:18" ht="17.399999999999999" customHeight="1" thickBot="1" x14ac:dyDescent="0.35">
      <c r="A49" s="264"/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6"/>
    </row>
    <row r="50" spans="1:18" ht="22.05" customHeight="1" thickTop="1" thickBot="1" x14ac:dyDescent="0.35">
      <c r="A50" s="241" t="s">
        <v>8</v>
      </c>
      <c r="B50" s="239"/>
      <c r="C50" s="239"/>
      <c r="D50" s="239"/>
      <c r="E50" s="239"/>
      <c r="F50" s="240"/>
      <c r="G50" s="18">
        <v>45999</v>
      </c>
      <c r="H50" s="238" t="s">
        <v>9</v>
      </c>
      <c r="I50" s="239"/>
      <c r="J50" s="239"/>
      <c r="K50" s="239"/>
      <c r="L50" s="239"/>
      <c r="M50" s="239"/>
      <c r="N50" s="239"/>
      <c r="O50" s="239"/>
      <c r="P50" s="239"/>
      <c r="Q50" s="239"/>
      <c r="R50" s="240"/>
    </row>
    <row r="51" spans="1:18" ht="24" customHeight="1" x14ac:dyDescent="0.3">
      <c r="A51" s="19" t="s">
        <v>10</v>
      </c>
      <c r="B51" s="19" t="s">
        <v>11</v>
      </c>
      <c r="C51" s="20" t="s">
        <v>12</v>
      </c>
      <c r="D51" s="19" t="s">
        <v>13</v>
      </c>
      <c r="E51" s="19" t="s">
        <v>14</v>
      </c>
      <c r="F51" s="21" t="s">
        <v>15</v>
      </c>
      <c r="G51" s="22" t="s">
        <v>16</v>
      </c>
      <c r="H51" s="19" t="s">
        <v>17</v>
      </c>
      <c r="I51" s="23" t="s">
        <v>18</v>
      </c>
      <c r="J51" s="24" t="s">
        <v>19</v>
      </c>
      <c r="K51" s="25" t="s">
        <v>20</v>
      </c>
      <c r="L51" s="24" t="s">
        <v>21</v>
      </c>
      <c r="M51" s="24" t="s">
        <v>22</v>
      </c>
      <c r="N51" s="24" t="s">
        <v>23</v>
      </c>
      <c r="O51" s="19" t="s">
        <v>24</v>
      </c>
      <c r="P51" s="20" t="s">
        <v>25</v>
      </c>
      <c r="Q51" s="24" t="s">
        <v>26</v>
      </c>
      <c r="R51" s="19" t="s">
        <v>27</v>
      </c>
    </row>
    <row r="52" spans="1:18" ht="49.95" customHeight="1" thickTop="1" thickBot="1" x14ac:dyDescent="0.35">
      <c r="A52" s="66" t="s">
        <v>28</v>
      </c>
      <c r="B52" s="66" t="s">
        <v>851</v>
      </c>
      <c r="C52" s="67">
        <v>0.86805555555555547</v>
      </c>
      <c r="D52" s="66" t="s">
        <v>30</v>
      </c>
      <c r="E52" s="68"/>
      <c r="F52" s="66" t="s">
        <v>36</v>
      </c>
      <c r="G52" s="232"/>
      <c r="H52" s="127" t="s">
        <v>851</v>
      </c>
      <c r="I52" s="149">
        <v>0.68889999999999996</v>
      </c>
      <c r="J52" s="129">
        <v>124</v>
      </c>
      <c r="K52" s="130" t="s">
        <v>37</v>
      </c>
      <c r="L52" s="129">
        <v>17</v>
      </c>
      <c r="M52" s="129">
        <v>0</v>
      </c>
      <c r="N52" s="129">
        <v>3</v>
      </c>
      <c r="O52" s="131" t="s">
        <v>155</v>
      </c>
      <c r="P52" s="132">
        <v>0.86805555555555547</v>
      </c>
      <c r="Q52" s="129">
        <v>180</v>
      </c>
      <c r="R52" s="133" t="s">
        <v>865</v>
      </c>
    </row>
    <row r="53" spans="1:18" ht="17.399999999999999" customHeight="1" thickBot="1" x14ac:dyDescent="0.35">
      <c r="A53" s="264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6"/>
    </row>
    <row r="54" spans="1:18" ht="22.05" customHeight="1" thickTop="1" thickBot="1" x14ac:dyDescent="0.35">
      <c r="A54" s="241" t="s">
        <v>8</v>
      </c>
      <c r="B54" s="239"/>
      <c r="C54" s="239"/>
      <c r="D54" s="239"/>
      <c r="E54" s="239"/>
      <c r="F54" s="240"/>
      <c r="G54" s="18">
        <v>46000</v>
      </c>
      <c r="H54" s="238" t="s">
        <v>9</v>
      </c>
      <c r="I54" s="239"/>
      <c r="J54" s="239"/>
      <c r="K54" s="239"/>
      <c r="L54" s="239"/>
      <c r="M54" s="239"/>
      <c r="N54" s="239"/>
      <c r="O54" s="239"/>
      <c r="P54" s="239"/>
      <c r="Q54" s="239"/>
      <c r="R54" s="240"/>
    </row>
    <row r="55" spans="1:18" ht="24" customHeight="1" x14ac:dyDescent="0.3">
      <c r="A55" s="19" t="s">
        <v>10</v>
      </c>
      <c r="B55" s="19" t="s">
        <v>11</v>
      </c>
      <c r="C55" s="20" t="s">
        <v>12</v>
      </c>
      <c r="D55" s="19" t="s">
        <v>13</v>
      </c>
      <c r="E55" s="19" t="s">
        <v>14</v>
      </c>
      <c r="F55" s="21" t="s">
        <v>15</v>
      </c>
      <c r="G55" s="22" t="s">
        <v>16</v>
      </c>
      <c r="H55" s="19" t="s">
        <v>17</v>
      </c>
      <c r="I55" s="23" t="s">
        <v>18</v>
      </c>
      <c r="J55" s="24" t="s">
        <v>19</v>
      </c>
      <c r="K55" s="25" t="s">
        <v>20</v>
      </c>
      <c r="L55" s="24" t="s">
        <v>21</v>
      </c>
      <c r="M55" s="24" t="s">
        <v>22</v>
      </c>
      <c r="N55" s="24" t="s">
        <v>23</v>
      </c>
      <c r="O55" s="19" t="s">
        <v>24</v>
      </c>
      <c r="P55" s="20" t="s">
        <v>25</v>
      </c>
      <c r="Q55" s="24" t="s">
        <v>26</v>
      </c>
      <c r="R55" s="19" t="s">
        <v>27</v>
      </c>
    </row>
    <row r="56" spans="1:18" ht="49.95" customHeight="1" x14ac:dyDescent="0.3">
      <c r="A56" s="66" t="s">
        <v>28</v>
      </c>
      <c r="B56" s="66" t="s">
        <v>853</v>
      </c>
      <c r="C56" s="67">
        <v>0.11805555555555559</v>
      </c>
      <c r="D56" s="66" t="s">
        <v>30</v>
      </c>
      <c r="E56" s="68"/>
      <c r="F56" s="66" t="s">
        <v>407</v>
      </c>
      <c r="G56" s="232"/>
      <c r="H56" s="69" t="s">
        <v>853</v>
      </c>
      <c r="I56" s="200">
        <v>0.98329999999999995</v>
      </c>
      <c r="J56" s="71">
        <v>177</v>
      </c>
      <c r="K56" s="72" t="s">
        <v>37</v>
      </c>
      <c r="L56" s="71">
        <v>34</v>
      </c>
      <c r="M56" s="71">
        <v>0</v>
      </c>
      <c r="N56" s="71">
        <v>2</v>
      </c>
      <c r="O56" s="73" t="s">
        <v>245</v>
      </c>
      <c r="P56" s="74">
        <v>0.11805555555555559</v>
      </c>
      <c r="Q56" s="71">
        <v>180</v>
      </c>
      <c r="R56" s="75" t="s">
        <v>866</v>
      </c>
    </row>
    <row r="57" spans="1:18" ht="49.95" customHeight="1" thickBot="1" x14ac:dyDescent="0.35">
      <c r="A57" s="109" t="s">
        <v>28</v>
      </c>
      <c r="B57" s="109" t="s">
        <v>849</v>
      </c>
      <c r="C57" s="110">
        <v>0.81944444444444453</v>
      </c>
      <c r="D57" s="109" t="s">
        <v>30</v>
      </c>
      <c r="E57" s="111"/>
      <c r="F57" s="109" t="s">
        <v>31</v>
      </c>
      <c r="G57" s="233"/>
      <c r="H57" s="112" t="s">
        <v>849</v>
      </c>
      <c r="I57" s="150">
        <v>1</v>
      </c>
      <c r="J57" s="114">
        <v>180</v>
      </c>
      <c r="K57" s="115" t="s">
        <v>37</v>
      </c>
      <c r="L57" s="114">
        <v>18</v>
      </c>
      <c r="M57" s="114">
        <v>0</v>
      </c>
      <c r="N57" s="114">
        <v>2</v>
      </c>
      <c r="O57" s="116" t="s">
        <v>33</v>
      </c>
      <c r="P57" s="117">
        <v>0.81944444444444453</v>
      </c>
      <c r="Q57" s="114">
        <v>180</v>
      </c>
      <c r="R57" s="118" t="s">
        <v>867</v>
      </c>
    </row>
    <row r="58" spans="1:18" ht="17.399999999999999" customHeight="1" thickBot="1" x14ac:dyDescent="0.35">
      <c r="A58" s="264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6"/>
    </row>
    <row r="59" spans="1:18" ht="22.05" customHeight="1" thickTop="1" thickBot="1" x14ac:dyDescent="0.35">
      <c r="A59" s="241" t="s">
        <v>8</v>
      </c>
      <c r="B59" s="239"/>
      <c r="C59" s="239"/>
      <c r="D59" s="239"/>
      <c r="E59" s="239"/>
      <c r="F59" s="240"/>
      <c r="G59" s="18">
        <v>46002</v>
      </c>
      <c r="H59" s="238" t="s">
        <v>9</v>
      </c>
      <c r="I59" s="239"/>
      <c r="J59" s="239"/>
      <c r="K59" s="239"/>
      <c r="L59" s="239"/>
      <c r="M59" s="239"/>
      <c r="N59" s="239"/>
      <c r="O59" s="239"/>
      <c r="P59" s="239"/>
      <c r="Q59" s="239"/>
      <c r="R59" s="240"/>
    </row>
    <row r="60" spans="1:18" ht="24" customHeight="1" x14ac:dyDescent="0.3">
      <c r="A60" s="19" t="s">
        <v>10</v>
      </c>
      <c r="B60" s="19" t="s">
        <v>11</v>
      </c>
      <c r="C60" s="20" t="s">
        <v>12</v>
      </c>
      <c r="D60" s="19" t="s">
        <v>13</v>
      </c>
      <c r="E60" s="19" t="s">
        <v>14</v>
      </c>
      <c r="F60" s="21" t="s">
        <v>15</v>
      </c>
      <c r="G60" s="22" t="s">
        <v>16</v>
      </c>
      <c r="H60" s="19" t="s">
        <v>17</v>
      </c>
      <c r="I60" s="23" t="s">
        <v>18</v>
      </c>
      <c r="J60" s="24" t="s">
        <v>19</v>
      </c>
      <c r="K60" s="25" t="s">
        <v>20</v>
      </c>
      <c r="L60" s="24" t="s">
        <v>21</v>
      </c>
      <c r="M60" s="24" t="s">
        <v>22</v>
      </c>
      <c r="N60" s="24" t="s">
        <v>23</v>
      </c>
      <c r="O60" s="19" t="s">
        <v>24</v>
      </c>
      <c r="P60" s="20" t="s">
        <v>25</v>
      </c>
      <c r="Q60" s="24" t="s">
        <v>26</v>
      </c>
      <c r="R60" s="19" t="s">
        <v>27</v>
      </c>
    </row>
    <row r="61" spans="1:18" ht="49.95" customHeight="1" thickTop="1" thickBot="1" x14ac:dyDescent="0.35">
      <c r="A61" s="8" t="s">
        <v>28</v>
      </c>
      <c r="B61" s="8" t="s">
        <v>849</v>
      </c>
      <c r="C61" s="9">
        <v>0.38194444444444442</v>
      </c>
      <c r="D61" s="8" t="s">
        <v>30</v>
      </c>
      <c r="E61" s="10"/>
      <c r="F61" s="8" t="s">
        <v>407</v>
      </c>
      <c r="G61" s="232"/>
      <c r="H61" s="11" t="s">
        <v>849</v>
      </c>
      <c r="I61" s="155">
        <v>0.99439999999999995</v>
      </c>
      <c r="J61" s="13">
        <v>179</v>
      </c>
      <c r="K61" s="14" t="s">
        <v>32</v>
      </c>
      <c r="L61" s="13">
        <v>1</v>
      </c>
      <c r="M61" s="13">
        <v>0</v>
      </c>
      <c r="N61" s="13">
        <v>0</v>
      </c>
      <c r="O61" s="15" t="s">
        <v>40</v>
      </c>
      <c r="P61" s="16">
        <v>0.38194444444444442</v>
      </c>
      <c r="Q61" s="13">
        <v>180</v>
      </c>
      <c r="R61" s="17" t="s">
        <v>868</v>
      </c>
    </row>
    <row r="62" spans="1:18" ht="17.399999999999999" customHeight="1" thickBot="1" x14ac:dyDescent="0.35">
      <c r="A62" s="264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6"/>
    </row>
    <row r="63" spans="1:18" ht="22.05" customHeight="1" thickTop="1" thickBot="1" x14ac:dyDescent="0.35">
      <c r="A63" s="241" t="s">
        <v>8</v>
      </c>
      <c r="B63" s="239"/>
      <c r="C63" s="239"/>
      <c r="D63" s="239"/>
      <c r="E63" s="239"/>
      <c r="F63" s="240"/>
      <c r="G63" s="18">
        <v>46004</v>
      </c>
      <c r="H63" s="238" t="s">
        <v>9</v>
      </c>
      <c r="I63" s="239"/>
      <c r="J63" s="239"/>
      <c r="K63" s="239"/>
      <c r="L63" s="239"/>
      <c r="M63" s="239"/>
      <c r="N63" s="239"/>
      <c r="O63" s="239"/>
      <c r="P63" s="239"/>
      <c r="Q63" s="239"/>
      <c r="R63" s="240"/>
    </row>
    <row r="64" spans="1:18" ht="24" customHeight="1" x14ac:dyDescent="0.3">
      <c r="A64" s="19" t="s">
        <v>10</v>
      </c>
      <c r="B64" s="19" t="s">
        <v>11</v>
      </c>
      <c r="C64" s="20" t="s">
        <v>12</v>
      </c>
      <c r="D64" s="19" t="s">
        <v>13</v>
      </c>
      <c r="E64" s="19" t="s">
        <v>14</v>
      </c>
      <c r="F64" s="21" t="s">
        <v>15</v>
      </c>
      <c r="G64" s="22" t="s">
        <v>16</v>
      </c>
      <c r="H64" s="19" t="s">
        <v>17</v>
      </c>
      <c r="I64" s="23" t="s">
        <v>18</v>
      </c>
      <c r="J64" s="24" t="s">
        <v>19</v>
      </c>
      <c r="K64" s="25" t="s">
        <v>20</v>
      </c>
      <c r="L64" s="24" t="s">
        <v>21</v>
      </c>
      <c r="M64" s="24" t="s">
        <v>22</v>
      </c>
      <c r="N64" s="24" t="s">
        <v>23</v>
      </c>
      <c r="O64" s="19" t="s">
        <v>24</v>
      </c>
      <c r="P64" s="20" t="s">
        <v>25</v>
      </c>
      <c r="Q64" s="24" t="s">
        <v>26</v>
      </c>
      <c r="R64" s="19" t="s">
        <v>27</v>
      </c>
    </row>
    <row r="65" spans="1:18" ht="49.95" customHeight="1" thickTop="1" thickBot="1" x14ac:dyDescent="0.35">
      <c r="A65" s="56" t="s">
        <v>28</v>
      </c>
      <c r="B65" s="56" t="s">
        <v>849</v>
      </c>
      <c r="C65" s="57">
        <v>0.2361111111111111</v>
      </c>
      <c r="D65" s="56" t="s">
        <v>30</v>
      </c>
      <c r="E65" s="58"/>
      <c r="F65" s="56" t="s">
        <v>365</v>
      </c>
      <c r="G65" s="232"/>
      <c r="H65" s="59" t="s">
        <v>849</v>
      </c>
      <c r="I65" s="231">
        <v>0.90559999999999996</v>
      </c>
      <c r="J65" s="61">
        <v>163</v>
      </c>
      <c r="K65" s="62" t="s">
        <v>37</v>
      </c>
      <c r="L65" s="61">
        <v>17</v>
      </c>
      <c r="M65" s="61">
        <v>0</v>
      </c>
      <c r="N65" s="61">
        <v>9</v>
      </c>
      <c r="O65" s="63" t="s">
        <v>254</v>
      </c>
      <c r="P65" s="64">
        <v>0.2361111111111111</v>
      </c>
      <c r="Q65" s="61">
        <v>180</v>
      </c>
      <c r="R65" s="65" t="s">
        <v>869</v>
      </c>
    </row>
    <row r="66" spans="1:18" ht="17.399999999999999" customHeight="1" thickBot="1" x14ac:dyDescent="0.35">
      <c r="A66" s="264"/>
      <c r="B66" s="265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6"/>
    </row>
    <row r="67" spans="1:18" ht="22.05" customHeight="1" thickTop="1" thickBot="1" x14ac:dyDescent="0.35">
      <c r="A67" s="241" t="s">
        <v>8</v>
      </c>
      <c r="B67" s="239"/>
      <c r="C67" s="239"/>
      <c r="D67" s="239"/>
      <c r="E67" s="239"/>
      <c r="F67" s="240"/>
      <c r="G67" s="18">
        <v>46005</v>
      </c>
      <c r="H67" s="238" t="s">
        <v>9</v>
      </c>
      <c r="I67" s="239"/>
      <c r="J67" s="239"/>
      <c r="K67" s="239"/>
      <c r="L67" s="239"/>
      <c r="M67" s="239"/>
      <c r="N67" s="239"/>
      <c r="O67" s="239"/>
      <c r="P67" s="239"/>
      <c r="Q67" s="239"/>
      <c r="R67" s="240"/>
    </row>
    <row r="68" spans="1:18" ht="24" customHeight="1" x14ac:dyDescent="0.3">
      <c r="A68" s="19" t="s">
        <v>10</v>
      </c>
      <c r="B68" s="19" t="s">
        <v>11</v>
      </c>
      <c r="C68" s="20" t="s">
        <v>12</v>
      </c>
      <c r="D68" s="19" t="s">
        <v>13</v>
      </c>
      <c r="E68" s="19" t="s">
        <v>14</v>
      </c>
      <c r="F68" s="21" t="s">
        <v>15</v>
      </c>
      <c r="G68" s="22" t="s">
        <v>16</v>
      </c>
      <c r="H68" s="19" t="s">
        <v>17</v>
      </c>
      <c r="I68" s="23" t="s">
        <v>18</v>
      </c>
      <c r="J68" s="24" t="s">
        <v>19</v>
      </c>
      <c r="K68" s="25" t="s">
        <v>20</v>
      </c>
      <c r="L68" s="24" t="s">
        <v>21</v>
      </c>
      <c r="M68" s="24" t="s">
        <v>22</v>
      </c>
      <c r="N68" s="24" t="s">
        <v>23</v>
      </c>
      <c r="O68" s="19" t="s">
        <v>24</v>
      </c>
      <c r="P68" s="20" t="s">
        <v>25</v>
      </c>
      <c r="Q68" s="24" t="s">
        <v>26</v>
      </c>
      <c r="R68" s="19" t="s">
        <v>27</v>
      </c>
    </row>
    <row r="69" spans="1:18" ht="49.95" customHeight="1" thickTop="1" thickBot="1" x14ac:dyDescent="0.35">
      <c r="A69" s="26" t="s">
        <v>28</v>
      </c>
      <c r="B69" s="26" t="s">
        <v>849</v>
      </c>
      <c r="C69" s="27">
        <v>0.74305555555555547</v>
      </c>
      <c r="D69" s="26" t="s">
        <v>30</v>
      </c>
      <c r="E69" s="28"/>
      <c r="F69" s="26" t="s">
        <v>31</v>
      </c>
      <c r="G69" s="232"/>
      <c r="H69" s="29" t="s">
        <v>849</v>
      </c>
      <c r="I69" s="154">
        <v>0.9889</v>
      </c>
      <c r="J69" s="31">
        <v>178</v>
      </c>
      <c r="K69" s="32" t="s">
        <v>870</v>
      </c>
      <c r="L69" s="31">
        <v>0</v>
      </c>
      <c r="M69" s="31">
        <v>0</v>
      </c>
      <c r="N69" s="31">
        <v>0</v>
      </c>
      <c r="O69" s="33" t="s">
        <v>33</v>
      </c>
      <c r="P69" s="34">
        <v>0.74305555555555547</v>
      </c>
      <c r="Q69" s="31">
        <v>180</v>
      </c>
      <c r="R69" s="35" t="s">
        <v>871</v>
      </c>
    </row>
    <row r="70" spans="1:18" ht="17.399999999999999" customHeight="1" thickBot="1" x14ac:dyDescent="0.35">
      <c r="A70" s="26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6"/>
    </row>
    <row r="71" spans="1:18" ht="22.05" customHeight="1" thickTop="1" thickBot="1" x14ac:dyDescent="0.35">
      <c r="A71" s="241" t="s">
        <v>8</v>
      </c>
      <c r="B71" s="239"/>
      <c r="C71" s="239"/>
      <c r="D71" s="239"/>
      <c r="E71" s="239"/>
      <c r="F71" s="240"/>
      <c r="G71" s="18">
        <v>46006</v>
      </c>
      <c r="H71" s="238" t="s">
        <v>9</v>
      </c>
      <c r="I71" s="239"/>
      <c r="J71" s="239"/>
      <c r="K71" s="239"/>
      <c r="L71" s="239"/>
      <c r="M71" s="239"/>
      <c r="N71" s="239"/>
      <c r="O71" s="239"/>
      <c r="P71" s="239"/>
      <c r="Q71" s="239"/>
      <c r="R71" s="240"/>
    </row>
    <row r="72" spans="1:18" ht="24" customHeight="1" x14ac:dyDescent="0.3">
      <c r="A72" s="19" t="s">
        <v>10</v>
      </c>
      <c r="B72" s="19" t="s">
        <v>11</v>
      </c>
      <c r="C72" s="20" t="s">
        <v>12</v>
      </c>
      <c r="D72" s="19" t="s">
        <v>13</v>
      </c>
      <c r="E72" s="19" t="s">
        <v>14</v>
      </c>
      <c r="F72" s="21" t="s">
        <v>15</v>
      </c>
      <c r="G72" s="22" t="s">
        <v>16</v>
      </c>
      <c r="H72" s="19" t="s">
        <v>17</v>
      </c>
      <c r="I72" s="23" t="s">
        <v>18</v>
      </c>
      <c r="J72" s="24" t="s">
        <v>19</v>
      </c>
      <c r="K72" s="25" t="s">
        <v>20</v>
      </c>
      <c r="L72" s="24" t="s">
        <v>21</v>
      </c>
      <c r="M72" s="24" t="s">
        <v>22</v>
      </c>
      <c r="N72" s="24" t="s">
        <v>23</v>
      </c>
      <c r="O72" s="19" t="s">
        <v>24</v>
      </c>
      <c r="P72" s="20" t="s">
        <v>25</v>
      </c>
      <c r="Q72" s="24" t="s">
        <v>26</v>
      </c>
      <c r="R72" s="19" t="s">
        <v>27</v>
      </c>
    </row>
    <row r="73" spans="1:18" ht="49.95" customHeight="1" thickTop="1" thickBot="1" x14ac:dyDescent="0.35">
      <c r="A73" s="76" t="s">
        <v>28</v>
      </c>
      <c r="B73" s="76" t="s">
        <v>851</v>
      </c>
      <c r="C73" s="77">
        <v>0.86805555555555547</v>
      </c>
      <c r="D73" s="76" t="s">
        <v>30</v>
      </c>
      <c r="E73" s="78"/>
      <c r="F73" s="76" t="s">
        <v>365</v>
      </c>
      <c r="G73" s="232"/>
      <c r="H73" s="49" t="s">
        <v>851</v>
      </c>
      <c r="I73" s="151">
        <v>0.87219999999999998</v>
      </c>
      <c r="J73" s="51">
        <v>157</v>
      </c>
      <c r="K73" s="52" t="s">
        <v>47</v>
      </c>
      <c r="L73" s="51">
        <v>10</v>
      </c>
      <c r="M73" s="51">
        <v>0</v>
      </c>
      <c r="N73" s="51">
        <v>0</v>
      </c>
      <c r="O73" s="53" t="s">
        <v>99</v>
      </c>
      <c r="P73" s="54">
        <v>0.86805555555555547</v>
      </c>
      <c r="Q73" s="51">
        <v>180</v>
      </c>
      <c r="R73" s="55" t="s">
        <v>674</v>
      </c>
    </row>
    <row r="74" spans="1:18" ht="17.399999999999999" customHeight="1" thickBot="1" x14ac:dyDescent="0.35">
      <c r="A74" s="264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6"/>
    </row>
    <row r="75" spans="1:18" ht="22.05" customHeight="1" thickTop="1" thickBot="1" x14ac:dyDescent="0.35">
      <c r="A75" s="241" t="s">
        <v>8</v>
      </c>
      <c r="B75" s="239"/>
      <c r="C75" s="239"/>
      <c r="D75" s="239"/>
      <c r="E75" s="239"/>
      <c r="F75" s="240"/>
      <c r="G75" s="18">
        <v>46007</v>
      </c>
      <c r="H75" s="238" t="s">
        <v>9</v>
      </c>
      <c r="I75" s="239"/>
      <c r="J75" s="239"/>
      <c r="K75" s="239"/>
      <c r="L75" s="239"/>
      <c r="M75" s="239"/>
      <c r="N75" s="239"/>
      <c r="O75" s="239"/>
      <c r="P75" s="239"/>
      <c r="Q75" s="239"/>
      <c r="R75" s="240"/>
    </row>
    <row r="76" spans="1:18" ht="24" customHeight="1" x14ac:dyDescent="0.3">
      <c r="A76" s="19" t="s">
        <v>10</v>
      </c>
      <c r="B76" s="19" t="s">
        <v>11</v>
      </c>
      <c r="C76" s="20" t="s">
        <v>12</v>
      </c>
      <c r="D76" s="19" t="s">
        <v>13</v>
      </c>
      <c r="E76" s="19" t="s">
        <v>14</v>
      </c>
      <c r="F76" s="21" t="s">
        <v>15</v>
      </c>
      <c r="G76" s="22" t="s">
        <v>16</v>
      </c>
      <c r="H76" s="19" t="s">
        <v>17</v>
      </c>
      <c r="I76" s="23" t="s">
        <v>18</v>
      </c>
      <c r="J76" s="24" t="s">
        <v>19</v>
      </c>
      <c r="K76" s="25" t="s">
        <v>20</v>
      </c>
      <c r="L76" s="24" t="s">
        <v>21</v>
      </c>
      <c r="M76" s="24" t="s">
        <v>22</v>
      </c>
      <c r="N76" s="24" t="s">
        <v>23</v>
      </c>
      <c r="O76" s="19" t="s">
        <v>24</v>
      </c>
      <c r="P76" s="20" t="s">
        <v>25</v>
      </c>
      <c r="Q76" s="24" t="s">
        <v>26</v>
      </c>
      <c r="R76" s="19" t="s">
        <v>27</v>
      </c>
    </row>
    <row r="77" spans="1:18" ht="49.95" customHeight="1" x14ac:dyDescent="0.3">
      <c r="A77" s="8" t="s">
        <v>28</v>
      </c>
      <c r="B77" s="8" t="s">
        <v>853</v>
      </c>
      <c r="C77" s="9">
        <v>0.11805555555555559</v>
      </c>
      <c r="D77" s="8" t="s">
        <v>30</v>
      </c>
      <c r="E77" s="10"/>
      <c r="F77" s="8" t="s">
        <v>36</v>
      </c>
      <c r="G77" s="232"/>
      <c r="H77" s="204" t="s">
        <v>853</v>
      </c>
      <c r="I77" s="225">
        <v>0.56110000000000004</v>
      </c>
      <c r="J77" s="206">
        <v>101</v>
      </c>
      <c r="K77" s="207" t="s">
        <v>47</v>
      </c>
      <c r="L77" s="206">
        <v>10</v>
      </c>
      <c r="M77" s="206">
        <v>0</v>
      </c>
      <c r="N77" s="206">
        <v>0</v>
      </c>
      <c r="O77" s="208" t="s">
        <v>73</v>
      </c>
      <c r="P77" s="209">
        <v>0.11805555555555559</v>
      </c>
      <c r="Q77" s="206">
        <v>180</v>
      </c>
      <c r="R77" s="210" t="s">
        <v>872</v>
      </c>
    </row>
    <row r="78" spans="1:18" ht="49.95" customHeight="1" thickBot="1" x14ac:dyDescent="0.35">
      <c r="A78" s="124" t="s">
        <v>28</v>
      </c>
      <c r="B78" s="124" t="s">
        <v>849</v>
      </c>
      <c r="C78" s="125">
        <v>0.81944444444444453</v>
      </c>
      <c r="D78" s="124" t="s">
        <v>30</v>
      </c>
      <c r="E78" s="126"/>
      <c r="F78" s="124" t="s">
        <v>31</v>
      </c>
      <c r="G78" s="233"/>
      <c r="H78" s="127" t="s">
        <v>849</v>
      </c>
      <c r="I78" s="152">
        <v>0.98329999999999995</v>
      </c>
      <c r="J78" s="129">
        <v>177</v>
      </c>
      <c r="K78" s="130" t="s">
        <v>102</v>
      </c>
      <c r="L78" s="129">
        <v>3</v>
      </c>
      <c r="M78" s="129">
        <v>0</v>
      </c>
      <c r="N78" s="129">
        <v>0</v>
      </c>
      <c r="O78" s="131" t="s">
        <v>33</v>
      </c>
      <c r="P78" s="132">
        <v>0.81944444444444453</v>
      </c>
      <c r="Q78" s="129">
        <v>180</v>
      </c>
      <c r="R78" s="133" t="s">
        <v>873</v>
      </c>
    </row>
    <row r="79" spans="1:18" ht="17.399999999999999" customHeight="1" thickBot="1" x14ac:dyDescent="0.35">
      <c r="A79" s="264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6"/>
    </row>
    <row r="80" spans="1:18" ht="22.05" customHeight="1" thickTop="1" thickBot="1" x14ac:dyDescent="0.35">
      <c r="A80" s="241" t="s">
        <v>8</v>
      </c>
      <c r="B80" s="239"/>
      <c r="C80" s="239"/>
      <c r="D80" s="239"/>
      <c r="E80" s="239"/>
      <c r="F80" s="240"/>
      <c r="G80" s="18">
        <v>46009</v>
      </c>
      <c r="H80" s="238" t="s">
        <v>9</v>
      </c>
      <c r="I80" s="239"/>
      <c r="J80" s="239"/>
      <c r="K80" s="239"/>
      <c r="L80" s="239"/>
      <c r="M80" s="239"/>
      <c r="N80" s="239"/>
      <c r="O80" s="239"/>
      <c r="P80" s="239"/>
      <c r="Q80" s="239"/>
      <c r="R80" s="240"/>
    </row>
    <row r="81" spans="1:18" ht="24" customHeight="1" x14ac:dyDescent="0.3">
      <c r="A81" s="19" t="s">
        <v>10</v>
      </c>
      <c r="B81" s="19" t="s">
        <v>11</v>
      </c>
      <c r="C81" s="20" t="s">
        <v>12</v>
      </c>
      <c r="D81" s="19" t="s">
        <v>13</v>
      </c>
      <c r="E81" s="19" t="s">
        <v>14</v>
      </c>
      <c r="F81" s="21" t="s">
        <v>15</v>
      </c>
      <c r="G81" s="22" t="s">
        <v>16</v>
      </c>
      <c r="H81" s="19" t="s">
        <v>17</v>
      </c>
      <c r="I81" s="23" t="s">
        <v>18</v>
      </c>
      <c r="J81" s="24" t="s">
        <v>19</v>
      </c>
      <c r="K81" s="25" t="s">
        <v>20</v>
      </c>
      <c r="L81" s="24" t="s">
        <v>21</v>
      </c>
      <c r="M81" s="24" t="s">
        <v>22</v>
      </c>
      <c r="N81" s="24" t="s">
        <v>23</v>
      </c>
      <c r="O81" s="19" t="s">
        <v>24</v>
      </c>
      <c r="P81" s="20" t="s">
        <v>25</v>
      </c>
      <c r="Q81" s="24" t="s">
        <v>26</v>
      </c>
      <c r="R81" s="19" t="s">
        <v>27</v>
      </c>
    </row>
    <row r="82" spans="1:18" ht="49.95" customHeight="1" thickTop="1" thickBot="1" x14ac:dyDescent="0.35">
      <c r="A82" s="26" t="s">
        <v>28</v>
      </c>
      <c r="B82" s="26" t="s">
        <v>849</v>
      </c>
      <c r="C82" s="27">
        <v>0.38194444444444442</v>
      </c>
      <c r="D82" s="26" t="s">
        <v>30</v>
      </c>
      <c r="E82" s="28"/>
      <c r="F82" s="26" t="s">
        <v>36</v>
      </c>
      <c r="G82" s="232"/>
      <c r="H82" s="29" t="s">
        <v>849</v>
      </c>
      <c r="I82" s="30">
        <v>0.80559999999999998</v>
      </c>
      <c r="J82" s="31">
        <v>145</v>
      </c>
      <c r="K82" s="32" t="s">
        <v>344</v>
      </c>
      <c r="L82" s="31">
        <v>0</v>
      </c>
      <c r="M82" s="31">
        <v>0</v>
      </c>
      <c r="N82" s="31">
        <v>0</v>
      </c>
      <c r="O82" s="33" t="s">
        <v>201</v>
      </c>
      <c r="P82" s="34">
        <v>0.38194444444444442</v>
      </c>
      <c r="Q82" s="31">
        <v>180</v>
      </c>
      <c r="R82" s="35" t="s">
        <v>874</v>
      </c>
    </row>
    <row r="83" spans="1:18" ht="17.399999999999999" customHeight="1" thickBot="1" x14ac:dyDescent="0.35">
      <c r="A83" s="264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6"/>
    </row>
    <row r="84" spans="1:18" ht="22.05" customHeight="1" thickTop="1" thickBot="1" x14ac:dyDescent="0.35">
      <c r="A84" s="241" t="s">
        <v>8</v>
      </c>
      <c r="B84" s="239"/>
      <c r="C84" s="239"/>
      <c r="D84" s="239"/>
      <c r="E84" s="239"/>
      <c r="F84" s="240"/>
      <c r="G84" s="18">
        <v>46011</v>
      </c>
      <c r="H84" s="238" t="s">
        <v>9</v>
      </c>
      <c r="I84" s="239"/>
      <c r="J84" s="239"/>
      <c r="K84" s="239"/>
      <c r="L84" s="239"/>
      <c r="M84" s="239"/>
      <c r="N84" s="239"/>
      <c r="O84" s="239"/>
      <c r="P84" s="239"/>
      <c r="Q84" s="239"/>
      <c r="R84" s="240"/>
    </row>
    <row r="85" spans="1:18" ht="24" customHeight="1" x14ac:dyDescent="0.3">
      <c r="A85" s="19" t="s">
        <v>10</v>
      </c>
      <c r="B85" s="19" t="s">
        <v>11</v>
      </c>
      <c r="C85" s="20" t="s">
        <v>12</v>
      </c>
      <c r="D85" s="19" t="s">
        <v>13</v>
      </c>
      <c r="E85" s="19" t="s">
        <v>14</v>
      </c>
      <c r="F85" s="21" t="s">
        <v>15</v>
      </c>
      <c r="G85" s="22" t="s">
        <v>16</v>
      </c>
      <c r="H85" s="19" t="s">
        <v>17</v>
      </c>
      <c r="I85" s="23" t="s">
        <v>18</v>
      </c>
      <c r="J85" s="24" t="s">
        <v>19</v>
      </c>
      <c r="K85" s="25" t="s">
        <v>20</v>
      </c>
      <c r="L85" s="24" t="s">
        <v>21</v>
      </c>
      <c r="M85" s="24" t="s">
        <v>22</v>
      </c>
      <c r="N85" s="24" t="s">
        <v>23</v>
      </c>
      <c r="O85" s="19" t="s">
        <v>24</v>
      </c>
      <c r="P85" s="20" t="s">
        <v>25</v>
      </c>
      <c r="Q85" s="24" t="s">
        <v>26</v>
      </c>
      <c r="R85" s="19" t="s">
        <v>27</v>
      </c>
    </row>
    <row r="86" spans="1:18" ht="49.95" customHeight="1" thickTop="1" thickBot="1" x14ac:dyDescent="0.35">
      <c r="A86" s="56" t="s">
        <v>28</v>
      </c>
      <c r="B86" s="56" t="s">
        <v>849</v>
      </c>
      <c r="C86" s="57">
        <v>0.2361111111111111</v>
      </c>
      <c r="D86" s="56" t="s">
        <v>30</v>
      </c>
      <c r="E86" s="58"/>
      <c r="F86" s="56" t="s">
        <v>407</v>
      </c>
      <c r="G86" s="232"/>
      <c r="H86" s="59" t="s">
        <v>849</v>
      </c>
      <c r="I86" s="231">
        <v>0.9778</v>
      </c>
      <c r="J86" s="61">
        <v>176</v>
      </c>
      <c r="K86" s="62" t="s">
        <v>624</v>
      </c>
      <c r="L86" s="61">
        <v>0</v>
      </c>
      <c r="M86" s="61">
        <v>0</v>
      </c>
      <c r="N86" s="61">
        <v>0</v>
      </c>
      <c r="O86" s="63" t="s">
        <v>88</v>
      </c>
      <c r="P86" s="64">
        <v>0.2361111111111111</v>
      </c>
      <c r="Q86" s="61">
        <v>180</v>
      </c>
      <c r="R86" s="65" t="s">
        <v>875</v>
      </c>
    </row>
    <row r="87" spans="1:18" ht="17.399999999999999" customHeight="1" thickBot="1" x14ac:dyDescent="0.35">
      <c r="A87" s="264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6"/>
    </row>
    <row r="88" spans="1:18" ht="22.05" customHeight="1" thickTop="1" thickBot="1" x14ac:dyDescent="0.35">
      <c r="A88" s="241" t="s">
        <v>8</v>
      </c>
      <c r="B88" s="239"/>
      <c r="C88" s="239"/>
      <c r="D88" s="239"/>
      <c r="E88" s="239"/>
      <c r="F88" s="240"/>
      <c r="G88" s="18">
        <v>46012</v>
      </c>
      <c r="H88" s="238" t="s">
        <v>9</v>
      </c>
      <c r="I88" s="239"/>
      <c r="J88" s="239"/>
      <c r="K88" s="239"/>
      <c r="L88" s="239"/>
      <c r="M88" s="239"/>
      <c r="N88" s="239"/>
      <c r="O88" s="239"/>
      <c r="P88" s="239"/>
      <c r="Q88" s="239"/>
      <c r="R88" s="240"/>
    </row>
    <row r="89" spans="1:18" ht="24" customHeight="1" x14ac:dyDescent="0.3">
      <c r="A89" s="19" t="s">
        <v>10</v>
      </c>
      <c r="B89" s="19" t="s">
        <v>11</v>
      </c>
      <c r="C89" s="20" t="s">
        <v>12</v>
      </c>
      <c r="D89" s="19" t="s">
        <v>13</v>
      </c>
      <c r="E89" s="19" t="s">
        <v>14</v>
      </c>
      <c r="F89" s="21" t="s">
        <v>15</v>
      </c>
      <c r="G89" s="22" t="s">
        <v>16</v>
      </c>
      <c r="H89" s="19" t="s">
        <v>17</v>
      </c>
      <c r="I89" s="23" t="s">
        <v>18</v>
      </c>
      <c r="J89" s="24" t="s">
        <v>19</v>
      </c>
      <c r="K89" s="25" t="s">
        <v>20</v>
      </c>
      <c r="L89" s="24" t="s">
        <v>21</v>
      </c>
      <c r="M89" s="24" t="s">
        <v>22</v>
      </c>
      <c r="N89" s="24" t="s">
        <v>23</v>
      </c>
      <c r="O89" s="19" t="s">
        <v>24</v>
      </c>
      <c r="P89" s="20" t="s">
        <v>25</v>
      </c>
      <c r="Q89" s="24" t="s">
        <v>26</v>
      </c>
      <c r="R89" s="19" t="s">
        <v>27</v>
      </c>
    </row>
    <row r="90" spans="1:18" ht="49.95" customHeight="1" thickTop="1" thickBot="1" x14ac:dyDescent="0.35">
      <c r="A90" s="66" t="s">
        <v>28</v>
      </c>
      <c r="B90" s="66" t="s">
        <v>849</v>
      </c>
      <c r="C90" s="67">
        <v>0.74305555555555547</v>
      </c>
      <c r="D90" s="66" t="s">
        <v>30</v>
      </c>
      <c r="E90" s="68"/>
      <c r="F90" s="66" t="s">
        <v>407</v>
      </c>
      <c r="G90" s="232"/>
      <c r="H90" s="127" t="s">
        <v>849</v>
      </c>
      <c r="I90" s="152">
        <v>0.97219999999999995</v>
      </c>
      <c r="J90" s="129">
        <v>175</v>
      </c>
      <c r="K90" s="130" t="s">
        <v>876</v>
      </c>
      <c r="L90" s="129">
        <v>0</v>
      </c>
      <c r="M90" s="129">
        <v>0</v>
      </c>
      <c r="N90" s="129">
        <v>0</v>
      </c>
      <c r="O90" s="131" t="s">
        <v>237</v>
      </c>
      <c r="P90" s="132">
        <v>0.74305555555555547</v>
      </c>
      <c r="Q90" s="129">
        <v>180</v>
      </c>
      <c r="R90" s="133" t="s">
        <v>877</v>
      </c>
    </row>
    <row r="91" spans="1:18" ht="17.399999999999999" customHeight="1" thickBot="1" x14ac:dyDescent="0.35">
      <c r="A91" s="264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6"/>
    </row>
    <row r="92" spans="1:18" ht="22.05" customHeight="1" thickTop="1" thickBot="1" x14ac:dyDescent="0.35">
      <c r="A92" s="241" t="s">
        <v>8</v>
      </c>
      <c r="B92" s="239"/>
      <c r="C92" s="239"/>
      <c r="D92" s="239"/>
      <c r="E92" s="239"/>
      <c r="F92" s="240"/>
      <c r="G92" s="18">
        <v>46013</v>
      </c>
      <c r="H92" s="238" t="s">
        <v>9</v>
      </c>
      <c r="I92" s="239"/>
      <c r="J92" s="239"/>
      <c r="K92" s="239"/>
      <c r="L92" s="239"/>
      <c r="M92" s="239"/>
      <c r="N92" s="239"/>
      <c r="O92" s="239"/>
      <c r="P92" s="239"/>
      <c r="Q92" s="239"/>
      <c r="R92" s="240"/>
    </row>
    <row r="93" spans="1:18" ht="24" customHeight="1" x14ac:dyDescent="0.3">
      <c r="A93" s="19" t="s">
        <v>10</v>
      </c>
      <c r="B93" s="19" t="s">
        <v>11</v>
      </c>
      <c r="C93" s="20" t="s">
        <v>12</v>
      </c>
      <c r="D93" s="19" t="s">
        <v>13</v>
      </c>
      <c r="E93" s="19" t="s">
        <v>14</v>
      </c>
      <c r="F93" s="21" t="s">
        <v>15</v>
      </c>
      <c r="G93" s="22" t="s">
        <v>16</v>
      </c>
      <c r="H93" s="19" t="s">
        <v>17</v>
      </c>
      <c r="I93" s="23" t="s">
        <v>18</v>
      </c>
      <c r="J93" s="24" t="s">
        <v>19</v>
      </c>
      <c r="K93" s="25" t="s">
        <v>20</v>
      </c>
      <c r="L93" s="24" t="s">
        <v>21</v>
      </c>
      <c r="M93" s="24" t="s">
        <v>22</v>
      </c>
      <c r="N93" s="24" t="s">
        <v>23</v>
      </c>
      <c r="O93" s="19" t="s">
        <v>24</v>
      </c>
      <c r="P93" s="20" t="s">
        <v>25</v>
      </c>
      <c r="Q93" s="24" t="s">
        <v>26</v>
      </c>
      <c r="R93" s="19" t="s">
        <v>27</v>
      </c>
    </row>
    <row r="94" spans="1:18" ht="49.95" customHeight="1" thickTop="1" thickBot="1" x14ac:dyDescent="0.35">
      <c r="A94" s="8" t="s">
        <v>28</v>
      </c>
      <c r="B94" s="8" t="s">
        <v>851</v>
      </c>
      <c r="C94" s="9">
        <v>0.86805555555555547</v>
      </c>
      <c r="D94" s="8" t="s">
        <v>30</v>
      </c>
      <c r="E94" s="10"/>
      <c r="F94" s="8" t="s">
        <v>365</v>
      </c>
      <c r="G94" s="232"/>
      <c r="H94" s="11" t="s">
        <v>851</v>
      </c>
      <c r="I94" s="155">
        <v>0.85560000000000003</v>
      </c>
      <c r="J94" s="13">
        <v>154</v>
      </c>
      <c r="K94" s="14" t="s">
        <v>37</v>
      </c>
      <c r="L94" s="13">
        <v>2</v>
      </c>
      <c r="M94" s="13">
        <v>0</v>
      </c>
      <c r="N94" s="13">
        <v>2</v>
      </c>
      <c r="O94" s="15" t="s">
        <v>219</v>
      </c>
      <c r="P94" s="16">
        <v>0.86805555555555547</v>
      </c>
      <c r="Q94" s="13">
        <v>180</v>
      </c>
      <c r="R94" s="17" t="s">
        <v>878</v>
      </c>
    </row>
    <row r="95" spans="1:18" ht="17.399999999999999" customHeight="1" thickBot="1" x14ac:dyDescent="0.35">
      <c r="A95" s="264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6"/>
    </row>
    <row r="96" spans="1:18" ht="22.05" customHeight="1" thickTop="1" thickBot="1" x14ac:dyDescent="0.35">
      <c r="A96" s="241" t="s">
        <v>8</v>
      </c>
      <c r="B96" s="239"/>
      <c r="C96" s="239"/>
      <c r="D96" s="239"/>
      <c r="E96" s="239"/>
      <c r="F96" s="240"/>
      <c r="G96" s="18">
        <v>46014</v>
      </c>
      <c r="H96" s="238" t="s">
        <v>9</v>
      </c>
      <c r="I96" s="239"/>
      <c r="J96" s="239"/>
      <c r="K96" s="239"/>
      <c r="L96" s="239"/>
      <c r="M96" s="239"/>
      <c r="N96" s="239"/>
      <c r="O96" s="239"/>
      <c r="P96" s="239"/>
      <c r="Q96" s="239"/>
      <c r="R96" s="240"/>
    </row>
    <row r="97" spans="1:18" ht="24" customHeight="1" x14ac:dyDescent="0.3">
      <c r="A97" s="19" t="s">
        <v>10</v>
      </c>
      <c r="B97" s="19" t="s">
        <v>11</v>
      </c>
      <c r="C97" s="20" t="s">
        <v>12</v>
      </c>
      <c r="D97" s="19" t="s">
        <v>13</v>
      </c>
      <c r="E97" s="19" t="s">
        <v>14</v>
      </c>
      <c r="F97" s="21" t="s">
        <v>15</v>
      </c>
      <c r="G97" s="22" t="s">
        <v>16</v>
      </c>
      <c r="H97" s="19" t="s">
        <v>17</v>
      </c>
      <c r="I97" s="23" t="s">
        <v>18</v>
      </c>
      <c r="J97" s="24" t="s">
        <v>19</v>
      </c>
      <c r="K97" s="25" t="s">
        <v>20</v>
      </c>
      <c r="L97" s="24" t="s">
        <v>21</v>
      </c>
      <c r="M97" s="24" t="s">
        <v>22</v>
      </c>
      <c r="N97" s="24" t="s">
        <v>23</v>
      </c>
      <c r="O97" s="19" t="s">
        <v>24</v>
      </c>
      <c r="P97" s="20" t="s">
        <v>25</v>
      </c>
      <c r="Q97" s="24" t="s">
        <v>26</v>
      </c>
      <c r="R97" s="19" t="s">
        <v>27</v>
      </c>
    </row>
    <row r="98" spans="1:18" ht="49.95" customHeight="1" thickTop="1" thickBot="1" x14ac:dyDescent="0.5">
      <c r="A98" s="36" t="s">
        <v>28</v>
      </c>
      <c r="B98" s="36" t="s">
        <v>849</v>
      </c>
      <c r="C98" s="37">
        <v>0.81944444444444453</v>
      </c>
      <c r="D98" s="36" t="s">
        <v>30</v>
      </c>
      <c r="E98" s="38"/>
      <c r="F98" s="36" t="s">
        <v>407</v>
      </c>
      <c r="G98" s="237"/>
      <c r="H98" s="112" t="s">
        <v>849</v>
      </c>
      <c r="I98" s="150">
        <v>0.9556</v>
      </c>
      <c r="J98" s="114">
        <v>172</v>
      </c>
      <c r="K98" s="115" t="s">
        <v>82</v>
      </c>
      <c r="L98" s="114">
        <v>3</v>
      </c>
      <c r="M98" s="114">
        <v>0</v>
      </c>
      <c r="N98" s="114">
        <v>0</v>
      </c>
      <c r="O98" s="116" t="s">
        <v>175</v>
      </c>
      <c r="P98" s="117">
        <v>0.81944444444444453</v>
      </c>
      <c r="Q98" s="114">
        <v>180</v>
      </c>
      <c r="R98" s="118" t="s">
        <v>879</v>
      </c>
    </row>
    <row r="99" spans="1:18" ht="17.399999999999999" customHeight="1" thickBot="1" x14ac:dyDescent="0.35">
      <c r="A99" s="264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6"/>
    </row>
    <row r="100" spans="1:18" ht="22.05" customHeight="1" thickTop="1" thickBot="1" x14ac:dyDescent="0.35">
      <c r="A100" s="241" t="s">
        <v>8</v>
      </c>
      <c r="B100" s="239"/>
      <c r="C100" s="239"/>
      <c r="D100" s="239"/>
      <c r="E100" s="239"/>
      <c r="F100" s="240"/>
      <c r="G100" s="18">
        <v>46016</v>
      </c>
      <c r="H100" s="238" t="s">
        <v>9</v>
      </c>
      <c r="I100" s="239"/>
      <c r="J100" s="239"/>
      <c r="K100" s="239"/>
      <c r="L100" s="239"/>
      <c r="M100" s="239"/>
      <c r="N100" s="239"/>
      <c r="O100" s="239"/>
      <c r="P100" s="239"/>
      <c r="Q100" s="239"/>
      <c r="R100" s="240"/>
    </row>
    <row r="101" spans="1:18" ht="24" customHeight="1" x14ac:dyDescent="0.3">
      <c r="A101" s="19" t="s">
        <v>10</v>
      </c>
      <c r="B101" s="19" t="s">
        <v>11</v>
      </c>
      <c r="C101" s="20" t="s">
        <v>12</v>
      </c>
      <c r="D101" s="19" t="s">
        <v>13</v>
      </c>
      <c r="E101" s="19" t="s">
        <v>14</v>
      </c>
      <c r="F101" s="21" t="s">
        <v>15</v>
      </c>
      <c r="G101" s="22" t="s">
        <v>16</v>
      </c>
      <c r="H101" s="19" t="s">
        <v>17</v>
      </c>
      <c r="I101" s="23" t="s">
        <v>18</v>
      </c>
      <c r="J101" s="24" t="s">
        <v>19</v>
      </c>
      <c r="K101" s="25" t="s">
        <v>20</v>
      </c>
      <c r="L101" s="24" t="s">
        <v>21</v>
      </c>
      <c r="M101" s="24" t="s">
        <v>22</v>
      </c>
      <c r="N101" s="24" t="s">
        <v>23</v>
      </c>
      <c r="O101" s="19" t="s">
        <v>24</v>
      </c>
      <c r="P101" s="20" t="s">
        <v>25</v>
      </c>
      <c r="Q101" s="24" t="s">
        <v>26</v>
      </c>
      <c r="R101" s="19" t="s">
        <v>27</v>
      </c>
    </row>
    <row r="102" spans="1:18" ht="49.95" customHeight="1" thickTop="1" thickBot="1" x14ac:dyDescent="0.5">
      <c r="A102" s="56" t="s">
        <v>28</v>
      </c>
      <c r="B102" s="56" t="s">
        <v>849</v>
      </c>
      <c r="C102" s="57">
        <v>0.38194444444444442</v>
      </c>
      <c r="D102" s="56" t="s">
        <v>30</v>
      </c>
      <c r="E102" s="58"/>
      <c r="F102" s="56" t="s">
        <v>36</v>
      </c>
      <c r="G102" s="237"/>
      <c r="H102" s="59" t="s">
        <v>849</v>
      </c>
      <c r="I102" s="60">
        <v>0.8</v>
      </c>
      <c r="J102" s="61">
        <v>144</v>
      </c>
      <c r="K102" s="62" t="s">
        <v>37</v>
      </c>
      <c r="L102" s="61">
        <v>2</v>
      </c>
      <c r="M102" s="61">
        <v>0</v>
      </c>
      <c r="N102" s="61">
        <v>2</v>
      </c>
      <c r="O102" s="63" t="s">
        <v>69</v>
      </c>
      <c r="P102" s="64">
        <v>0.38194444444444442</v>
      </c>
      <c r="Q102" s="61">
        <v>180</v>
      </c>
      <c r="R102" s="65" t="s">
        <v>880</v>
      </c>
    </row>
    <row r="103" spans="1:18" ht="17.399999999999999" customHeight="1" thickBot="1" x14ac:dyDescent="0.35">
      <c r="A103" s="264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6"/>
    </row>
    <row r="104" spans="1:18" ht="15" thickTop="1" x14ac:dyDescent="0.3"/>
  </sheetData>
  <mergeCells count="103">
    <mergeCell ref="G2:J2"/>
    <mergeCell ref="A17:F17"/>
    <mergeCell ref="A100:F100"/>
    <mergeCell ref="N1:R1"/>
    <mergeCell ref="A63:F63"/>
    <mergeCell ref="G23"/>
    <mergeCell ref="H100:R100"/>
    <mergeCell ref="K2:R2"/>
    <mergeCell ref="A92:F92"/>
    <mergeCell ref="H84:R84"/>
    <mergeCell ref="G56:G57"/>
    <mergeCell ref="H92:R92"/>
    <mergeCell ref="A80:F80"/>
    <mergeCell ref="H29:R29"/>
    <mergeCell ref="A66:R66"/>
    <mergeCell ref="A12:F12"/>
    <mergeCell ref="A21:F21"/>
    <mergeCell ref="H4:R4"/>
    <mergeCell ref="A3:R3"/>
    <mergeCell ref="A95:R95"/>
    <mergeCell ref="H46:R46"/>
    <mergeCell ref="H21:R21"/>
    <mergeCell ref="A4:F4"/>
    <mergeCell ref="A96:F96"/>
    <mergeCell ref="H38:R38"/>
    <mergeCell ref="G94"/>
    <mergeCell ref="A37:R37"/>
    <mergeCell ref="G44"/>
    <mergeCell ref="A71:F71"/>
    <mergeCell ref="G31"/>
    <mergeCell ref="G102"/>
    <mergeCell ref="A8:F8"/>
    <mergeCell ref="A32:R32"/>
    <mergeCell ref="G86"/>
    <mergeCell ref="G14:G15"/>
    <mergeCell ref="H88:R88"/>
    <mergeCell ref="A20:R20"/>
    <mergeCell ref="G61"/>
    <mergeCell ref="G48"/>
    <mergeCell ref="A67:F67"/>
    <mergeCell ref="A58:R58"/>
    <mergeCell ref="A24:R24"/>
    <mergeCell ref="H33:R33"/>
    <mergeCell ref="A70:R70"/>
    <mergeCell ref="H42:R42"/>
    <mergeCell ref="A25:F25"/>
    <mergeCell ref="H96:R96"/>
    <mergeCell ref="A49:R49"/>
    <mergeCell ref="A88:F88"/>
    <mergeCell ref="A45:R45"/>
    <mergeCell ref="G77:G78"/>
    <mergeCell ref="A103:R103"/>
    <mergeCell ref="A54:F54"/>
    <mergeCell ref="A87:R87"/>
    <mergeCell ref="A46:F46"/>
    <mergeCell ref="H1:L1"/>
    <mergeCell ref="A1:E1"/>
    <mergeCell ref="A50:F50"/>
    <mergeCell ref="G90"/>
    <mergeCell ref="G52"/>
    <mergeCell ref="H59:R59"/>
    <mergeCell ref="A29:F29"/>
    <mergeCell ref="A38:F38"/>
    <mergeCell ref="A62:R62"/>
    <mergeCell ref="A28:R28"/>
    <mergeCell ref="G19"/>
    <mergeCell ref="G35:G36"/>
    <mergeCell ref="G6"/>
    <mergeCell ref="G69"/>
    <mergeCell ref="A11:R11"/>
    <mergeCell ref="H71:R71"/>
    <mergeCell ref="A79:R79"/>
    <mergeCell ref="H8:R8"/>
    <mergeCell ref="H54:R54"/>
    <mergeCell ref="H63:R63"/>
    <mergeCell ref="H50:R50"/>
    <mergeCell ref="A74:R74"/>
    <mergeCell ref="G40"/>
    <mergeCell ref="A2:F2"/>
    <mergeCell ref="G65"/>
    <mergeCell ref="A7:R7"/>
    <mergeCell ref="A84:F84"/>
    <mergeCell ref="G73"/>
    <mergeCell ref="A41:R41"/>
    <mergeCell ref="A16:R16"/>
    <mergeCell ref="A75:F75"/>
    <mergeCell ref="A99:R99"/>
    <mergeCell ref="H67:R67"/>
    <mergeCell ref="A33:F33"/>
    <mergeCell ref="A42:F42"/>
    <mergeCell ref="H25:R25"/>
    <mergeCell ref="A91:R91"/>
    <mergeCell ref="G27"/>
    <mergeCell ref="G98"/>
    <mergeCell ref="A53:R53"/>
    <mergeCell ref="H17:R17"/>
    <mergeCell ref="G82"/>
    <mergeCell ref="H75:R75"/>
    <mergeCell ref="G10"/>
    <mergeCell ref="A59:F59"/>
    <mergeCell ref="A83:R83"/>
    <mergeCell ref="H80:R80"/>
    <mergeCell ref="H12:R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30"/>
  <sheetViews>
    <sheetView workbookViewId="0"/>
  </sheetViews>
  <sheetFormatPr defaultRowHeight="15.6" outlineLevelCol="1" x14ac:dyDescent="0.3"/>
  <cols>
    <col min="1" max="1" width="9.88671875" style="251" bestFit="1" customWidth="1"/>
    <col min="2" max="2" width="10.44140625" style="251" bestFit="1" customWidth="1"/>
    <col min="3" max="3" width="6.77734375" style="251" bestFit="1" customWidth="1"/>
    <col min="4" max="4" width="5.5546875" style="251" bestFit="1" customWidth="1"/>
    <col min="5" max="5" width="8.5546875" style="251" bestFit="1" customWidth="1"/>
    <col min="6" max="6" width="4.21875" style="251" bestFit="1" customWidth="1"/>
    <col min="7" max="7" width="10" style="251" bestFit="1" customWidth="1"/>
    <col min="8" max="10" width="8.5546875" style="251" bestFit="1" customWidth="1"/>
    <col min="11" max="11" width="10.5546875" style="251" bestFit="1" customWidth="1"/>
    <col min="12" max="12" width="18.109375" style="251" bestFit="1" customWidth="1"/>
    <col min="13" max="13" width="7.6640625" style="251" bestFit="1" customWidth="1" outlineLevel="1"/>
    <col min="14" max="14" width="6.33203125" style="251" bestFit="1" customWidth="1" outlineLevel="1"/>
    <col min="15" max="15" width="8" style="251" bestFit="1" customWidth="1" outlineLevel="1"/>
    <col min="16" max="16" width="13.6640625" style="251" bestFit="1" customWidth="1"/>
    <col min="17" max="25" width="3.88671875" style="251" bestFit="1" customWidth="1"/>
    <col min="26" max="26" width="4.109375" style="251" bestFit="1" customWidth="1"/>
    <col min="27" max="27" width="5" style="251" bestFit="1" customWidth="1"/>
    <col min="28" max="29" width="4.21875" style="251" bestFit="1" customWidth="1"/>
    <col min="30" max="31" width="4.5546875" style="251" bestFit="1" customWidth="1"/>
    <col min="32" max="32" width="3.88671875" style="251" bestFit="1" customWidth="1"/>
    <col min="33" max="33" width="5.21875" style="251" bestFit="1" customWidth="1"/>
    <col min="34" max="34" width="3.88671875" style="251" bestFit="1" customWidth="1"/>
    <col min="35" max="35" width="5.21875" style="251" bestFit="1" customWidth="1"/>
    <col min="36" max="36" width="3.88671875" style="251" bestFit="1" customWidth="1"/>
    <col min="37" max="16384" width="8.88671875" style="251"/>
  </cols>
  <sheetData>
    <row r="1" spans="1:36" x14ac:dyDescent="0.3">
      <c r="A1" s="250" t="s">
        <v>110</v>
      </c>
      <c r="B1" s="250" t="s">
        <v>111</v>
      </c>
      <c r="C1" s="250" t="s">
        <v>112</v>
      </c>
      <c r="D1" s="250" t="s">
        <v>25</v>
      </c>
      <c r="E1" s="250" t="s">
        <v>113</v>
      </c>
      <c r="F1" s="250" t="s">
        <v>114</v>
      </c>
      <c r="G1" s="250" t="s">
        <v>18</v>
      </c>
      <c r="H1" s="250" t="s">
        <v>115</v>
      </c>
      <c r="I1" s="250" t="s">
        <v>116</v>
      </c>
      <c r="J1" s="250" t="s">
        <v>117</v>
      </c>
      <c r="K1" s="250" t="s">
        <v>118</v>
      </c>
      <c r="L1" s="250" t="s">
        <v>20</v>
      </c>
      <c r="M1" s="250" t="s">
        <v>22</v>
      </c>
      <c r="N1" s="250" t="s">
        <v>23</v>
      </c>
      <c r="O1" s="250" t="s">
        <v>21</v>
      </c>
      <c r="P1" s="250" t="s">
        <v>24</v>
      </c>
      <c r="Q1" s="250" t="s">
        <v>119</v>
      </c>
      <c r="R1" s="250" t="s">
        <v>120</v>
      </c>
      <c r="S1" s="250" t="s">
        <v>121</v>
      </c>
      <c r="T1" s="250" t="s">
        <v>122</v>
      </c>
      <c r="U1" s="250" t="s">
        <v>123</v>
      </c>
      <c r="V1" s="250" t="s">
        <v>124</v>
      </c>
      <c r="W1" s="250" t="s">
        <v>125</v>
      </c>
      <c r="X1" s="250" t="s">
        <v>126</v>
      </c>
      <c r="Y1" s="250" t="s">
        <v>127</v>
      </c>
      <c r="Z1" s="250" t="s">
        <v>128</v>
      </c>
      <c r="AA1" s="250" t="s">
        <v>129</v>
      </c>
      <c r="AB1" s="250" t="s">
        <v>130</v>
      </c>
      <c r="AC1" s="250" t="s">
        <v>131</v>
      </c>
      <c r="AD1" s="250" t="s">
        <v>132</v>
      </c>
      <c r="AE1" s="250" t="s">
        <v>133</v>
      </c>
      <c r="AF1" s="250" t="s">
        <v>134</v>
      </c>
      <c r="AG1" s="250" t="s">
        <v>135</v>
      </c>
      <c r="AH1" s="250" t="s">
        <v>136</v>
      </c>
      <c r="AI1" s="250" t="s">
        <v>137</v>
      </c>
      <c r="AJ1" s="250" t="s">
        <v>138</v>
      </c>
    </row>
    <row r="2" spans="1:36" x14ac:dyDescent="0.3">
      <c r="A2" s="252" t="s">
        <v>139</v>
      </c>
      <c r="B2" s="253">
        <v>45984</v>
      </c>
      <c r="C2" s="254" t="s">
        <v>849</v>
      </c>
      <c r="D2" s="255" t="s">
        <v>881</v>
      </c>
      <c r="E2" s="254" t="s">
        <v>848</v>
      </c>
      <c r="F2" s="254" t="s">
        <v>141</v>
      </c>
      <c r="G2" s="256">
        <v>0.98319999999999996</v>
      </c>
      <c r="H2" s="257">
        <v>179</v>
      </c>
      <c r="I2" s="257">
        <v>176</v>
      </c>
      <c r="J2" s="257">
        <v>139</v>
      </c>
      <c r="K2" s="254" t="s">
        <v>142</v>
      </c>
      <c r="L2" s="258" t="s">
        <v>82</v>
      </c>
      <c r="M2" s="257">
        <v>0</v>
      </c>
      <c r="N2" s="257">
        <v>0</v>
      </c>
      <c r="O2" s="257">
        <v>1</v>
      </c>
      <c r="P2" s="254" t="s">
        <v>180</v>
      </c>
      <c r="Q2" s="250"/>
      <c r="R2" s="250"/>
      <c r="S2" s="250"/>
      <c r="T2" s="250"/>
      <c r="U2" s="250"/>
      <c r="V2" s="250"/>
      <c r="W2" s="257" t="s">
        <v>463</v>
      </c>
      <c r="X2" s="250"/>
      <c r="Y2" s="250"/>
      <c r="Z2" s="250"/>
      <c r="AA2" s="250"/>
      <c r="AB2" s="250"/>
      <c r="AC2" s="257" t="s">
        <v>202</v>
      </c>
      <c r="AD2" s="257" t="s">
        <v>184</v>
      </c>
      <c r="AE2" s="257" t="s">
        <v>85</v>
      </c>
      <c r="AF2" s="257" t="s">
        <v>323</v>
      </c>
      <c r="AG2" s="250"/>
      <c r="AH2" s="250"/>
      <c r="AI2" s="257" t="s">
        <v>755</v>
      </c>
      <c r="AJ2" s="250"/>
    </row>
    <row r="3" spans="1:36" x14ac:dyDescent="0.3">
      <c r="A3" s="252" t="s">
        <v>149</v>
      </c>
      <c r="B3" s="253">
        <v>45985</v>
      </c>
      <c r="C3" s="254" t="s">
        <v>851</v>
      </c>
      <c r="D3" s="255" t="s">
        <v>882</v>
      </c>
      <c r="E3" s="254" t="s">
        <v>848</v>
      </c>
      <c r="F3" s="254" t="s">
        <v>141</v>
      </c>
      <c r="G3" s="256">
        <v>0.99439999999999995</v>
      </c>
      <c r="H3" s="257">
        <v>180</v>
      </c>
      <c r="I3" s="257">
        <v>179</v>
      </c>
      <c r="J3" s="257">
        <v>161</v>
      </c>
      <c r="K3" s="254" t="s">
        <v>142</v>
      </c>
      <c r="L3" s="258" t="s">
        <v>37</v>
      </c>
      <c r="M3" s="257">
        <v>0</v>
      </c>
      <c r="N3" s="257">
        <v>4</v>
      </c>
      <c r="O3" s="257">
        <v>6</v>
      </c>
      <c r="P3" s="254" t="s">
        <v>33</v>
      </c>
      <c r="Q3" s="250"/>
      <c r="R3" s="250"/>
      <c r="S3" s="250"/>
      <c r="T3" s="250"/>
      <c r="U3" s="250"/>
      <c r="V3" s="250"/>
      <c r="W3" s="257" t="s">
        <v>309</v>
      </c>
      <c r="X3" s="250"/>
      <c r="Y3" s="257" t="s">
        <v>40</v>
      </c>
      <c r="Z3" s="250"/>
      <c r="AA3" s="250"/>
      <c r="AB3" s="250"/>
      <c r="AC3" s="250"/>
      <c r="AD3" s="250"/>
      <c r="AE3" s="250"/>
      <c r="AF3" s="257" t="s">
        <v>78</v>
      </c>
      <c r="AG3" s="250"/>
      <c r="AH3" s="250"/>
      <c r="AI3" s="257" t="s">
        <v>883</v>
      </c>
      <c r="AJ3" s="257" t="s">
        <v>562</v>
      </c>
    </row>
    <row r="4" spans="1:36" x14ac:dyDescent="0.3">
      <c r="A4" s="252" t="s">
        <v>157</v>
      </c>
      <c r="B4" s="253">
        <v>45986</v>
      </c>
      <c r="C4" s="254" t="s">
        <v>853</v>
      </c>
      <c r="D4" s="255" t="s">
        <v>884</v>
      </c>
      <c r="E4" s="254" t="s">
        <v>848</v>
      </c>
      <c r="F4" s="254" t="s">
        <v>141</v>
      </c>
      <c r="G4" s="256">
        <v>0.97219999999999995</v>
      </c>
      <c r="H4" s="257">
        <v>180</v>
      </c>
      <c r="I4" s="257">
        <v>175</v>
      </c>
      <c r="J4" s="257">
        <v>125</v>
      </c>
      <c r="K4" s="254" t="s">
        <v>142</v>
      </c>
      <c r="L4" s="258" t="s">
        <v>37</v>
      </c>
      <c r="M4" s="257">
        <v>0</v>
      </c>
      <c r="N4" s="257">
        <v>1</v>
      </c>
      <c r="O4" s="257">
        <v>1</v>
      </c>
      <c r="P4" s="254" t="s">
        <v>312</v>
      </c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7" t="s">
        <v>231</v>
      </c>
      <c r="AC4" s="257" t="s">
        <v>242</v>
      </c>
      <c r="AD4" s="257" t="s">
        <v>184</v>
      </c>
      <c r="AE4" s="257" t="s">
        <v>101</v>
      </c>
      <c r="AF4" s="257" t="s">
        <v>323</v>
      </c>
      <c r="AG4" s="250"/>
      <c r="AH4" s="250"/>
      <c r="AI4" s="257" t="s">
        <v>885</v>
      </c>
      <c r="AJ4" s="250"/>
    </row>
    <row r="5" spans="1:36" x14ac:dyDescent="0.3">
      <c r="A5" s="252" t="s">
        <v>157</v>
      </c>
      <c r="B5" s="253">
        <v>45986</v>
      </c>
      <c r="C5" s="254" t="s">
        <v>849</v>
      </c>
      <c r="D5" s="255" t="s">
        <v>886</v>
      </c>
      <c r="E5" s="254" t="s">
        <v>848</v>
      </c>
      <c r="F5" s="254" t="s">
        <v>141</v>
      </c>
      <c r="G5" s="256">
        <v>1</v>
      </c>
      <c r="H5" s="257">
        <v>180</v>
      </c>
      <c r="I5" s="257">
        <v>180</v>
      </c>
      <c r="J5" s="257">
        <v>152</v>
      </c>
      <c r="K5" s="254" t="s">
        <v>142</v>
      </c>
      <c r="L5" s="258" t="s">
        <v>37</v>
      </c>
      <c r="M5" s="257">
        <v>0</v>
      </c>
      <c r="N5" s="257">
        <v>2</v>
      </c>
      <c r="O5" s="257">
        <v>6</v>
      </c>
      <c r="P5" s="254" t="s">
        <v>33</v>
      </c>
      <c r="Q5" s="250"/>
      <c r="R5" s="250"/>
      <c r="S5" s="250"/>
      <c r="T5" s="250"/>
      <c r="U5" s="250"/>
      <c r="V5" s="250"/>
      <c r="W5" s="250"/>
      <c r="X5" s="250"/>
      <c r="Y5" s="257" t="s">
        <v>397</v>
      </c>
      <c r="Z5" s="250"/>
      <c r="AA5" s="250"/>
      <c r="AB5" s="250"/>
      <c r="AC5" s="250"/>
      <c r="AD5" s="257" t="s">
        <v>86</v>
      </c>
      <c r="AE5" s="257" t="s">
        <v>841</v>
      </c>
      <c r="AF5" s="257" t="s">
        <v>281</v>
      </c>
      <c r="AG5" s="257" t="s">
        <v>887</v>
      </c>
      <c r="AH5" s="250"/>
      <c r="AI5" s="257" t="s">
        <v>888</v>
      </c>
      <c r="AJ5" s="257" t="s">
        <v>562</v>
      </c>
    </row>
    <row r="6" spans="1:36" x14ac:dyDescent="0.3">
      <c r="A6" s="252" t="s">
        <v>179</v>
      </c>
      <c r="B6" s="253">
        <v>45988</v>
      </c>
      <c r="C6" s="254" t="s">
        <v>849</v>
      </c>
      <c r="D6" s="255" t="s">
        <v>296</v>
      </c>
      <c r="E6" s="254" t="s">
        <v>848</v>
      </c>
      <c r="F6" s="254" t="s">
        <v>141</v>
      </c>
      <c r="G6" s="256">
        <v>1</v>
      </c>
      <c r="H6" s="257">
        <v>180</v>
      </c>
      <c r="I6" s="257">
        <v>180</v>
      </c>
      <c r="J6" s="257">
        <v>168</v>
      </c>
      <c r="K6" s="254" t="s">
        <v>142</v>
      </c>
      <c r="L6" s="258" t="s">
        <v>445</v>
      </c>
      <c r="M6" s="257">
        <v>0</v>
      </c>
      <c r="N6" s="257">
        <v>0</v>
      </c>
      <c r="O6" s="257">
        <v>0</v>
      </c>
      <c r="P6" s="254" t="s">
        <v>33</v>
      </c>
      <c r="Q6" s="250"/>
      <c r="R6" s="250"/>
      <c r="S6" s="250"/>
      <c r="T6" s="250"/>
      <c r="U6" s="250"/>
      <c r="V6" s="250"/>
      <c r="W6" s="250"/>
      <c r="X6" s="257" t="s">
        <v>45</v>
      </c>
      <c r="Y6" s="250"/>
      <c r="Z6" s="250"/>
      <c r="AA6" s="250"/>
      <c r="AB6" s="250"/>
      <c r="AC6" s="250"/>
      <c r="AD6" s="250"/>
      <c r="AE6" s="257" t="s">
        <v>224</v>
      </c>
      <c r="AF6" s="257" t="s">
        <v>281</v>
      </c>
      <c r="AG6" s="250"/>
      <c r="AH6" s="250"/>
      <c r="AI6" s="257" t="s">
        <v>889</v>
      </c>
      <c r="AJ6" s="250"/>
    </row>
    <row r="7" spans="1:36" x14ac:dyDescent="0.3">
      <c r="A7" s="252" t="s">
        <v>205</v>
      </c>
      <c r="B7" s="253">
        <v>45990</v>
      </c>
      <c r="C7" s="254" t="s">
        <v>849</v>
      </c>
      <c r="D7" s="255" t="s">
        <v>890</v>
      </c>
      <c r="E7" s="254" t="s">
        <v>848</v>
      </c>
      <c r="F7" s="254" t="s">
        <v>141</v>
      </c>
      <c r="G7" s="256">
        <v>0.99439999999999995</v>
      </c>
      <c r="H7" s="257">
        <v>180</v>
      </c>
      <c r="I7" s="257">
        <v>179</v>
      </c>
      <c r="J7" s="257">
        <v>138</v>
      </c>
      <c r="K7" s="254" t="s">
        <v>142</v>
      </c>
      <c r="L7" s="258" t="s">
        <v>90</v>
      </c>
      <c r="M7" s="257">
        <v>0</v>
      </c>
      <c r="N7" s="257">
        <v>0</v>
      </c>
      <c r="O7" s="257">
        <v>1</v>
      </c>
      <c r="P7" s="254" t="s">
        <v>33</v>
      </c>
      <c r="Q7" s="250"/>
      <c r="R7" s="250"/>
      <c r="S7" s="250"/>
      <c r="T7" s="250"/>
      <c r="U7" s="250"/>
      <c r="V7" s="250"/>
      <c r="W7" s="250"/>
      <c r="X7" s="250"/>
      <c r="Y7" s="257" t="s">
        <v>320</v>
      </c>
      <c r="Z7" s="250"/>
      <c r="AA7" s="250"/>
      <c r="AB7" s="250"/>
      <c r="AC7" s="257" t="s">
        <v>71</v>
      </c>
      <c r="AD7" s="257" t="s">
        <v>228</v>
      </c>
      <c r="AE7" s="257" t="s">
        <v>85</v>
      </c>
      <c r="AF7" s="257" t="s">
        <v>323</v>
      </c>
      <c r="AG7" s="250"/>
      <c r="AH7" s="250"/>
      <c r="AI7" s="257" t="s">
        <v>465</v>
      </c>
      <c r="AJ7" s="257" t="s">
        <v>756</v>
      </c>
    </row>
    <row r="8" spans="1:36" x14ac:dyDescent="0.3">
      <c r="A8" s="252" t="s">
        <v>139</v>
      </c>
      <c r="B8" s="253">
        <v>45991</v>
      </c>
      <c r="C8" s="254" t="s">
        <v>849</v>
      </c>
      <c r="D8" s="255" t="s">
        <v>881</v>
      </c>
      <c r="E8" s="254" t="s">
        <v>848</v>
      </c>
      <c r="F8" s="254" t="s">
        <v>141</v>
      </c>
      <c r="G8" s="256">
        <v>0.99439999999999995</v>
      </c>
      <c r="H8" s="257">
        <v>180</v>
      </c>
      <c r="I8" s="257">
        <v>179</v>
      </c>
      <c r="J8" s="257">
        <v>135</v>
      </c>
      <c r="K8" s="254" t="s">
        <v>142</v>
      </c>
      <c r="L8" s="258" t="s">
        <v>90</v>
      </c>
      <c r="M8" s="257">
        <v>0</v>
      </c>
      <c r="N8" s="257">
        <v>0</v>
      </c>
      <c r="O8" s="257">
        <v>2</v>
      </c>
      <c r="P8" s="254" t="s">
        <v>45</v>
      </c>
      <c r="Q8" s="250"/>
      <c r="R8" s="250"/>
      <c r="S8" s="250"/>
      <c r="T8" s="250"/>
      <c r="U8" s="250"/>
      <c r="V8" s="250"/>
      <c r="W8" s="250"/>
      <c r="X8" s="257" t="s">
        <v>54</v>
      </c>
      <c r="Y8" s="250"/>
      <c r="Z8" s="250"/>
      <c r="AA8" s="250"/>
      <c r="AB8" s="250"/>
      <c r="AC8" s="257" t="s">
        <v>400</v>
      </c>
      <c r="AD8" s="257" t="s">
        <v>228</v>
      </c>
      <c r="AE8" s="257" t="s">
        <v>85</v>
      </c>
      <c r="AF8" s="257" t="s">
        <v>323</v>
      </c>
      <c r="AG8" s="250"/>
      <c r="AH8" s="250"/>
      <c r="AI8" s="257" t="s">
        <v>465</v>
      </c>
      <c r="AJ8" s="250"/>
    </row>
    <row r="9" spans="1:36" x14ac:dyDescent="0.3">
      <c r="A9" s="252" t="s">
        <v>149</v>
      </c>
      <c r="B9" s="253">
        <v>45992</v>
      </c>
      <c r="C9" s="254" t="s">
        <v>851</v>
      </c>
      <c r="D9" s="255" t="s">
        <v>882</v>
      </c>
      <c r="E9" s="254" t="s">
        <v>848</v>
      </c>
      <c r="F9" s="254" t="s">
        <v>141</v>
      </c>
      <c r="G9" s="256">
        <v>0.75</v>
      </c>
      <c r="H9" s="257">
        <v>180</v>
      </c>
      <c r="I9" s="257">
        <v>135</v>
      </c>
      <c r="J9" s="257">
        <v>45</v>
      </c>
      <c r="K9" s="254" t="s">
        <v>142</v>
      </c>
      <c r="L9" s="258" t="s">
        <v>37</v>
      </c>
      <c r="M9" s="257">
        <v>0</v>
      </c>
      <c r="N9" s="257">
        <v>15</v>
      </c>
      <c r="O9" s="257">
        <v>46</v>
      </c>
      <c r="P9" s="254" t="s">
        <v>151</v>
      </c>
      <c r="Q9" s="250"/>
      <c r="R9" s="250"/>
      <c r="S9" s="250"/>
      <c r="T9" s="250"/>
      <c r="U9" s="250"/>
      <c r="V9" s="250"/>
      <c r="W9" s="250"/>
      <c r="X9" s="250"/>
      <c r="Y9" s="250"/>
      <c r="Z9" s="257" t="s">
        <v>317</v>
      </c>
      <c r="AA9" s="257" t="s">
        <v>561</v>
      </c>
      <c r="AB9" s="257" t="s">
        <v>390</v>
      </c>
      <c r="AC9" s="257" t="s">
        <v>239</v>
      </c>
      <c r="AD9" s="257" t="s">
        <v>184</v>
      </c>
      <c r="AE9" s="257" t="s">
        <v>85</v>
      </c>
      <c r="AF9" s="257" t="s">
        <v>323</v>
      </c>
      <c r="AG9" s="250"/>
      <c r="AH9" s="250"/>
      <c r="AI9" s="257" t="s">
        <v>475</v>
      </c>
      <c r="AJ9" s="250"/>
    </row>
    <row r="10" spans="1:36" x14ac:dyDescent="0.3">
      <c r="A10" s="252" t="s">
        <v>157</v>
      </c>
      <c r="B10" s="253">
        <v>45993</v>
      </c>
      <c r="C10" s="254" t="s">
        <v>853</v>
      </c>
      <c r="D10" s="255" t="s">
        <v>884</v>
      </c>
      <c r="E10" s="254" t="s">
        <v>848</v>
      </c>
      <c r="F10" s="254" t="s">
        <v>141</v>
      </c>
      <c r="G10" s="256">
        <v>0.99439999999999995</v>
      </c>
      <c r="H10" s="257">
        <v>180</v>
      </c>
      <c r="I10" s="257">
        <v>179</v>
      </c>
      <c r="J10" s="257">
        <v>95</v>
      </c>
      <c r="K10" s="254" t="s">
        <v>142</v>
      </c>
      <c r="L10" s="258" t="s">
        <v>37</v>
      </c>
      <c r="M10" s="257">
        <v>0</v>
      </c>
      <c r="N10" s="257">
        <v>9</v>
      </c>
      <c r="O10" s="257">
        <v>50</v>
      </c>
      <c r="P10" s="254" t="s">
        <v>33</v>
      </c>
      <c r="Q10" s="250"/>
      <c r="R10" s="250"/>
      <c r="S10" s="250"/>
      <c r="T10" s="250"/>
      <c r="U10" s="250"/>
      <c r="V10" s="250"/>
      <c r="W10" s="250"/>
      <c r="X10" s="250"/>
      <c r="Y10" s="250"/>
      <c r="Z10" s="257" t="s">
        <v>464</v>
      </c>
      <c r="AA10" s="257" t="s">
        <v>153</v>
      </c>
      <c r="AB10" s="257" t="s">
        <v>390</v>
      </c>
      <c r="AC10" s="257" t="s">
        <v>771</v>
      </c>
      <c r="AD10" s="257" t="s">
        <v>184</v>
      </c>
      <c r="AE10" s="257" t="s">
        <v>101</v>
      </c>
      <c r="AF10" s="257" t="s">
        <v>323</v>
      </c>
      <c r="AG10" s="250"/>
      <c r="AH10" s="250"/>
      <c r="AI10" s="257" t="s">
        <v>757</v>
      </c>
      <c r="AJ10" s="250"/>
    </row>
    <row r="11" spans="1:36" x14ac:dyDescent="0.3">
      <c r="A11" s="252" t="s">
        <v>157</v>
      </c>
      <c r="B11" s="253">
        <v>45993</v>
      </c>
      <c r="C11" s="254" t="s">
        <v>849</v>
      </c>
      <c r="D11" s="255" t="s">
        <v>886</v>
      </c>
      <c r="E11" s="254" t="s">
        <v>848</v>
      </c>
      <c r="F11" s="254" t="s">
        <v>141</v>
      </c>
      <c r="G11" s="256">
        <v>0.92220000000000002</v>
      </c>
      <c r="H11" s="257">
        <v>180</v>
      </c>
      <c r="I11" s="257">
        <v>166</v>
      </c>
      <c r="J11" s="257">
        <v>90</v>
      </c>
      <c r="K11" s="254" t="s">
        <v>142</v>
      </c>
      <c r="L11" s="258" t="s">
        <v>37</v>
      </c>
      <c r="M11" s="257">
        <v>0</v>
      </c>
      <c r="N11" s="257">
        <v>17</v>
      </c>
      <c r="O11" s="257">
        <v>34</v>
      </c>
      <c r="P11" s="254" t="s">
        <v>233</v>
      </c>
      <c r="Q11" s="250"/>
      <c r="R11" s="250"/>
      <c r="S11" s="250"/>
      <c r="T11" s="250"/>
      <c r="U11" s="250"/>
      <c r="V11" s="250"/>
      <c r="W11" s="250"/>
      <c r="X11" s="250"/>
      <c r="Y11" s="250"/>
      <c r="Z11" s="257" t="s">
        <v>464</v>
      </c>
      <c r="AA11" s="257" t="s">
        <v>561</v>
      </c>
      <c r="AB11" s="257" t="s">
        <v>399</v>
      </c>
      <c r="AC11" s="257" t="s">
        <v>533</v>
      </c>
      <c r="AD11" s="257" t="s">
        <v>228</v>
      </c>
      <c r="AE11" s="257" t="s">
        <v>85</v>
      </c>
      <c r="AF11" s="257" t="s">
        <v>323</v>
      </c>
      <c r="AG11" s="250"/>
      <c r="AH11" s="250"/>
      <c r="AI11" s="257" t="s">
        <v>479</v>
      </c>
      <c r="AJ11" s="250"/>
    </row>
    <row r="12" spans="1:36" x14ac:dyDescent="0.3">
      <c r="A12" s="252" t="s">
        <v>179</v>
      </c>
      <c r="B12" s="253">
        <v>45995</v>
      </c>
      <c r="C12" s="254" t="s">
        <v>849</v>
      </c>
      <c r="D12" s="255" t="s">
        <v>296</v>
      </c>
      <c r="E12" s="254" t="s">
        <v>848</v>
      </c>
      <c r="F12" s="254" t="s">
        <v>141</v>
      </c>
      <c r="G12" s="256">
        <v>1.0111000000000001</v>
      </c>
      <c r="H12" s="257">
        <v>180</v>
      </c>
      <c r="I12" s="257">
        <v>182</v>
      </c>
      <c r="J12" s="257">
        <v>169</v>
      </c>
      <c r="K12" s="254" t="s">
        <v>142</v>
      </c>
      <c r="L12" s="258" t="s">
        <v>102</v>
      </c>
      <c r="M12" s="257">
        <v>0</v>
      </c>
      <c r="N12" s="257">
        <v>0</v>
      </c>
      <c r="O12" s="257">
        <v>1</v>
      </c>
      <c r="P12" s="254" t="s">
        <v>33</v>
      </c>
      <c r="Q12" s="250"/>
      <c r="R12" s="250"/>
      <c r="S12" s="250"/>
      <c r="T12" s="250"/>
      <c r="U12" s="250"/>
      <c r="V12" s="250"/>
      <c r="W12" s="250"/>
      <c r="X12" s="250"/>
      <c r="Y12" s="257" t="s">
        <v>40</v>
      </c>
      <c r="Z12" s="250"/>
      <c r="AA12" s="250"/>
      <c r="AB12" s="250"/>
      <c r="AC12" s="250"/>
      <c r="AD12" s="250"/>
      <c r="AE12" s="257" t="s">
        <v>254</v>
      </c>
      <c r="AF12" s="257" t="s">
        <v>248</v>
      </c>
      <c r="AG12" s="250"/>
      <c r="AH12" s="250"/>
      <c r="AI12" s="257" t="s">
        <v>891</v>
      </c>
      <c r="AJ12" s="250"/>
    </row>
    <row r="13" spans="1:36" x14ac:dyDescent="0.3">
      <c r="A13" s="252" t="s">
        <v>205</v>
      </c>
      <c r="B13" s="253">
        <v>45997</v>
      </c>
      <c r="C13" s="254" t="s">
        <v>849</v>
      </c>
      <c r="D13" s="255" t="s">
        <v>890</v>
      </c>
      <c r="E13" s="254" t="s">
        <v>848</v>
      </c>
      <c r="F13" s="254" t="s">
        <v>141</v>
      </c>
      <c r="G13" s="256">
        <v>0.98329999999999995</v>
      </c>
      <c r="H13" s="257">
        <v>180</v>
      </c>
      <c r="I13" s="257">
        <v>177</v>
      </c>
      <c r="J13" s="257">
        <v>144</v>
      </c>
      <c r="K13" s="254" t="s">
        <v>142</v>
      </c>
      <c r="L13" s="258" t="s">
        <v>102</v>
      </c>
      <c r="M13" s="257">
        <v>0</v>
      </c>
      <c r="N13" s="257">
        <v>0</v>
      </c>
      <c r="O13" s="257">
        <v>5</v>
      </c>
      <c r="P13" s="254" t="s">
        <v>33</v>
      </c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7" t="s">
        <v>245</v>
      </c>
      <c r="AD13" s="257" t="s">
        <v>184</v>
      </c>
      <c r="AE13" s="257" t="s">
        <v>85</v>
      </c>
      <c r="AF13" s="257" t="s">
        <v>323</v>
      </c>
      <c r="AG13" s="257" t="s">
        <v>892</v>
      </c>
      <c r="AH13" s="250"/>
      <c r="AI13" s="257" t="s">
        <v>481</v>
      </c>
      <c r="AJ13" s="250"/>
    </row>
    <row r="14" spans="1:36" x14ac:dyDescent="0.3">
      <c r="A14" s="252" t="s">
        <v>139</v>
      </c>
      <c r="B14" s="253">
        <v>45998</v>
      </c>
      <c r="C14" s="254" t="s">
        <v>849</v>
      </c>
      <c r="D14" s="255" t="s">
        <v>881</v>
      </c>
      <c r="E14" s="254" t="s">
        <v>848</v>
      </c>
      <c r="F14" s="254" t="s">
        <v>141</v>
      </c>
      <c r="G14" s="256">
        <v>0.92779999999999996</v>
      </c>
      <c r="H14" s="257">
        <v>180</v>
      </c>
      <c r="I14" s="257">
        <v>167</v>
      </c>
      <c r="J14" s="257">
        <v>130</v>
      </c>
      <c r="K14" s="254" t="s">
        <v>142</v>
      </c>
      <c r="L14" s="258" t="s">
        <v>37</v>
      </c>
      <c r="M14" s="257">
        <v>0</v>
      </c>
      <c r="N14" s="257">
        <v>1</v>
      </c>
      <c r="O14" s="257">
        <v>15</v>
      </c>
      <c r="P14" s="254" t="s">
        <v>304</v>
      </c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7" t="s">
        <v>175</v>
      </c>
      <c r="AB14" s="250"/>
      <c r="AC14" s="257" t="s">
        <v>400</v>
      </c>
      <c r="AD14" s="257" t="s">
        <v>164</v>
      </c>
      <c r="AE14" s="257" t="s">
        <v>156</v>
      </c>
      <c r="AF14" s="257" t="s">
        <v>281</v>
      </c>
      <c r="AG14" s="257" t="s">
        <v>893</v>
      </c>
      <c r="AH14" s="250"/>
      <c r="AI14" s="257" t="s">
        <v>475</v>
      </c>
      <c r="AJ14" s="250"/>
    </row>
    <row r="15" spans="1:36" x14ac:dyDescent="0.3">
      <c r="A15" s="252" t="s">
        <v>149</v>
      </c>
      <c r="B15" s="253">
        <v>45999</v>
      </c>
      <c r="C15" s="254" t="s">
        <v>851</v>
      </c>
      <c r="D15" s="255" t="s">
        <v>882</v>
      </c>
      <c r="E15" s="254" t="s">
        <v>848</v>
      </c>
      <c r="F15" s="254" t="s">
        <v>141</v>
      </c>
      <c r="G15" s="256">
        <v>0.68889999999999996</v>
      </c>
      <c r="H15" s="257">
        <v>180</v>
      </c>
      <c r="I15" s="257">
        <v>124</v>
      </c>
      <c r="J15" s="257">
        <v>90</v>
      </c>
      <c r="K15" s="254" t="s">
        <v>142</v>
      </c>
      <c r="L15" s="258" t="s">
        <v>37</v>
      </c>
      <c r="M15" s="257">
        <v>0</v>
      </c>
      <c r="N15" s="257">
        <v>3</v>
      </c>
      <c r="O15" s="257">
        <v>17</v>
      </c>
      <c r="P15" s="254" t="s">
        <v>155</v>
      </c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7" t="s">
        <v>245</v>
      </c>
      <c r="AD15" s="257" t="s">
        <v>228</v>
      </c>
      <c r="AE15" s="257" t="s">
        <v>85</v>
      </c>
      <c r="AF15" s="257" t="s">
        <v>323</v>
      </c>
      <c r="AG15" s="250"/>
      <c r="AH15" s="250"/>
      <c r="AI15" s="257" t="s">
        <v>479</v>
      </c>
      <c r="AJ15" s="250"/>
    </row>
    <row r="16" spans="1:36" x14ac:dyDescent="0.3">
      <c r="A16" s="252" t="s">
        <v>157</v>
      </c>
      <c r="B16" s="253">
        <v>46000</v>
      </c>
      <c r="C16" s="254" t="s">
        <v>853</v>
      </c>
      <c r="D16" s="255" t="s">
        <v>884</v>
      </c>
      <c r="E16" s="254" t="s">
        <v>848</v>
      </c>
      <c r="F16" s="254" t="s">
        <v>141</v>
      </c>
      <c r="G16" s="256">
        <v>0.98329999999999995</v>
      </c>
      <c r="H16" s="257">
        <v>180</v>
      </c>
      <c r="I16" s="257">
        <v>177</v>
      </c>
      <c r="J16" s="257">
        <v>125</v>
      </c>
      <c r="K16" s="254" t="s">
        <v>142</v>
      </c>
      <c r="L16" s="258" t="s">
        <v>37</v>
      </c>
      <c r="M16" s="257">
        <v>0</v>
      </c>
      <c r="N16" s="257">
        <v>2</v>
      </c>
      <c r="O16" s="257">
        <v>34</v>
      </c>
      <c r="P16" s="254" t="s">
        <v>245</v>
      </c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7" t="s">
        <v>404</v>
      </c>
      <c r="AD16" s="257" t="s">
        <v>184</v>
      </c>
      <c r="AE16" s="257" t="s">
        <v>894</v>
      </c>
      <c r="AF16" s="257" t="s">
        <v>323</v>
      </c>
      <c r="AG16" s="250"/>
      <c r="AH16" s="250"/>
      <c r="AI16" s="257" t="s">
        <v>885</v>
      </c>
      <c r="AJ16" s="250"/>
    </row>
    <row r="17" spans="1:36" x14ac:dyDescent="0.3">
      <c r="A17" s="252" t="s">
        <v>157</v>
      </c>
      <c r="B17" s="253">
        <v>46000</v>
      </c>
      <c r="C17" s="254" t="s">
        <v>849</v>
      </c>
      <c r="D17" s="255" t="s">
        <v>886</v>
      </c>
      <c r="E17" s="254" t="s">
        <v>848</v>
      </c>
      <c r="F17" s="254" t="s">
        <v>141</v>
      </c>
      <c r="G17" s="256">
        <v>1</v>
      </c>
      <c r="H17" s="257">
        <v>180</v>
      </c>
      <c r="I17" s="257">
        <v>180</v>
      </c>
      <c r="J17" s="257">
        <v>145</v>
      </c>
      <c r="K17" s="254" t="s">
        <v>142</v>
      </c>
      <c r="L17" s="258" t="s">
        <v>37</v>
      </c>
      <c r="M17" s="257">
        <v>0</v>
      </c>
      <c r="N17" s="257">
        <v>2</v>
      </c>
      <c r="O17" s="257">
        <v>18</v>
      </c>
      <c r="P17" s="254" t="s">
        <v>33</v>
      </c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7" t="s">
        <v>245</v>
      </c>
      <c r="AD17" s="257" t="s">
        <v>744</v>
      </c>
      <c r="AE17" s="257" t="s">
        <v>85</v>
      </c>
      <c r="AF17" s="257" t="s">
        <v>323</v>
      </c>
      <c r="AG17" s="257" t="s">
        <v>895</v>
      </c>
      <c r="AH17" s="250"/>
      <c r="AI17" s="257" t="s">
        <v>475</v>
      </c>
      <c r="AJ17" s="250"/>
    </row>
    <row r="18" spans="1:36" x14ac:dyDescent="0.3">
      <c r="A18" s="252" t="s">
        <v>179</v>
      </c>
      <c r="B18" s="253">
        <v>46002</v>
      </c>
      <c r="C18" s="254" t="s">
        <v>849</v>
      </c>
      <c r="D18" s="255" t="s">
        <v>296</v>
      </c>
      <c r="E18" s="254" t="s">
        <v>848</v>
      </c>
      <c r="F18" s="254" t="s">
        <v>141</v>
      </c>
      <c r="G18" s="256">
        <v>0.99439999999999995</v>
      </c>
      <c r="H18" s="257">
        <v>180</v>
      </c>
      <c r="I18" s="257">
        <v>179</v>
      </c>
      <c r="J18" s="257">
        <v>175</v>
      </c>
      <c r="K18" s="254" t="s">
        <v>142</v>
      </c>
      <c r="L18" s="258" t="s">
        <v>32</v>
      </c>
      <c r="M18" s="257">
        <v>0</v>
      </c>
      <c r="N18" s="257">
        <v>0</v>
      </c>
      <c r="O18" s="257">
        <v>1</v>
      </c>
      <c r="P18" s="254" t="s">
        <v>40</v>
      </c>
      <c r="Q18" s="250"/>
      <c r="R18" s="250"/>
      <c r="S18" s="250"/>
      <c r="T18" s="250"/>
      <c r="U18" s="250"/>
      <c r="V18" s="250"/>
      <c r="W18" s="250"/>
      <c r="X18" s="250"/>
      <c r="Y18" s="257" t="s">
        <v>40</v>
      </c>
      <c r="Z18" s="257" t="s">
        <v>226</v>
      </c>
      <c r="AA18" s="250"/>
      <c r="AB18" s="250"/>
      <c r="AC18" s="250"/>
      <c r="AD18" s="250"/>
      <c r="AE18" s="250"/>
      <c r="AF18" s="257" t="s">
        <v>104</v>
      </c>
      <c r="AG18" s="250"/>
      <c r="AH18" s="250"/>
      <c r="AI18" s="257" t="s">
        <v>896</v>
      </c>
      <c r="AJ18" s="250"/>
    </row>
    <row r="19" spans="1:36" x14ac:dyDescent="0.3">
      <c r="A19" s="252" t="s">
        <v>205</v>
      </c>
      <c r="B19" s="253">
        <v>46004</v>
      </c>
      <c r="C19" s="254" t="s">
        <v>849</v>
      </c>
      <c r="D19" s="255" t="s">
        <v>890</v>
      </c>
      <c r="E19" s="254" t="s">
        <v>848</v>
      </c>
      <c r="F19" s="254" t="s">
        <v>141</v>
      </c>
      <c r="G19" s="256">
        <v>0.90559999999999996</v>
      </c>
      <c r="H19" s="257">
        <v>180</v>
      </c>
      <c r="I19" s="257">
        <v>163</v>
      </c>
      <c r="J19" s="257">
        <v>135</v>
      </c>
      <c r="K19" s="254" t="s">
        <v>142</v>
      </c>
      <c r="L19" s="258" t="s">
        <v>37</v>
      </c>
      <c r="M19" s="257">
        <v>0</v>
      </c>
      <c r="N19" s="257">
        <v>9</v>
      </c>
      <c r="O19" s="257">
        <v>17</v>
      </c>
      <c r="P19" s="254" t="s">
        <v>254</v>
      </c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7" t="s">
        <v>58</v>
      </c>
      <c r="AD19" s="257" t="s">
        <v>145</v>
      </c>
      <c r="AE19" s="257" t="s">
        <v>101</v>
      </c>
      <c r="AF19" s="257" t="s">
        <v>323</v>
      </c>
      <c r="AG19" s="250"/>
      <c r="AH19" s="250"/>
      <c r="AI19" s="257" t="s">
        <v>465</v>
      </c>
      <c r="AJ19" s="250"/>
    </row>
    <row r="20" spans="1:36" x14ac:dyDescent="0.3">
      <c r="A20" s="252" t="s">
        <v>139</v>
      </c>
      <c r="B20" s="253">
        <v>46005</v>
      </c>
      <c r="C20" s="254" t="s">
        <v>849</v>
      </c>
      <c r="D20" s="255" t="s">
        <v>881</v>
      </c>
      <c r="E20" s="254" t="s">
        <v>848</v>
      </c>
      <c r="F20" s="254" t="s">
        <v>141</v>
      </c>
      <c r="G20" s="256">
        <v>0.9889</v>
      </c>
      <c r="H20" s="257">
        <v>180</v>
      </c>
      <c r="I20" s="257">
        <v>178</v>
      </c>
      <c r="J20" s="257">
        <v>175</v>
      </c>
      <c r="K20" s="254" t="s">
        <v>142</v>
      </c>
      <c r="L20" s="258" t="s">
        <v>870</v>
      </c>
      <c r="M20" s="257">
        <v>0</v>
      </c>
      <c r="N20" s="257">
        <v>0</v>
      </c>
      <c r="O20" s="257">
        <v>0</v>
      </c>
      <c r="P20" s="254" t="s">
        <v>33</v>
      </c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7" t="s">
        <v>80</v>
      </c>
      <c r="AG20" s="257" t="s">
        <v>759</v>
      </c>
      <c r="AH20" s="250"/>
      <c r="AI20" s="257" t="s">
        <v>465</v>
      </c>
      <c r="AJ20" s="250"/>
    </row>
    <row r="21" spans="1:36" x14ac:dyDescent="0.3">
      <c r="A21" s="252" t="s">
        <v>149</v>
      </c>
      <c r="B21" s="253">
        <v>46006</v>
      </c>
      <c r="C21" s="254" t="s">
        <v>851</v>
      </c>
      <c r="D21" s="255" t="s">
        <v>882</v>
      </c>
      <c r="E21" s="254" t="s">
        <v>848</v>
      </c>
      <c r="F21" s="254" t="s">
        <v>141</v>
      </c>
      <c r="G21" s="256">
        <v>0.87219999999999998</v>
      </c>
      <c r="H21" s="257">
        <v>180</v>
      </c>
      <c r="I21" s="257">
        <v>157</v>
      </c>
      <c r="J21" s="257">
        <v>135</v>
      </c>
      <c r="K21" s="254" t="s">
        <v>142</v>
      </c>
      <c r="L21" s="258" t="s">
        <v>47</v>
      </c>
      <c r="M21" s="257">
        <v>0</v>
      </c>
      <c r="N21" s="257">
        <v>0</v>
      </c>
      <c r="O21" s="257">
        <v>10</v>
      </c>
      <c r="P21" s="254" t="s">
        <v>99</v>
      </c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7" t="s">
        <v>249</v>
      </c>
      <c r="AE21" s="257" t="s">
        <v>85</v>
      </c>
      <c r="AF21" s="257" t="s">
        <v>323</v>
      </c>
      <c r="AG21" s="250"/>
      <c r="AH21" s="250"/>
      <c r="AI21" s="257" t="s">
        <v>465</v>
      </c>
      <c r="AJ21" s="250"/>
    </row>
    <row r="22" spans="1:36" x14ac:dyDescent="0.3">
      <c r="A22" s="252" t="s">
        <v>157</v>
      </c>
      <c r="B22" s="253">
        <v>46007</v>
      </c>
      <c r="C22" s="254" t="s">
        <v>853</v>
      </c>
      <c r="D22" s="255" t="s">
        <v>884</v>
      </c>
      <c r="E22" s="254" t="s">
        <v>848</v>
      </c>
      <c r="F22" s="254" t="s">
        <v>141</v>
      </c>
      <c r="G22" s="256">
        <v>0.56110000000000004</v>
      </c>
      <c r="H22" s="257">
        <v>180</v>
      </c>
      <c r="I22" s="257">
        <v>101</v>
      </c>
      <c r="J22" s="257">
        <v>90</v>
      </c>
      <c r="K22" s="254" t="s">
        <v>142</v>
      </c>
      <c r="L22" s="258" t="s">
        <v>47</v>
      </c>
      <c r="M22" s="257">
        <v>0</v>
      </c>
      <c r="N22" s="257">
        <v>0</v>
      </c>
      <c r="O22" s="257">
        <v>10</v>
      </c>
      <c r="P22" s="254" t="s">
        <v>73</v>
      </c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7" t="s">
        <v>249</v>
      </c>
      <c r="AE22" s="250"/>
      <c r="AF22" s="257" t="s">
        <v>323</v>
      </c>
      <c r="AG22" s="250"/>
      <c r="AH22" s="250"/>
      <c r="AI22" s="257" t="s">
        <v>479</v>
      </c>
      <c r="AJ22" s="250"/>
    </row>
    <row r="23" spans="1:36" x14ac:dyDescent="0.3">
      <c r="A23" s="252" t="s">
        <v>157</v>
      </c>
      <c r="B23" s="253">
        <v>46007</v>
      </c>
      <c r="C23" s="254" t="s">
        <v>849</v>
      </c>
      <c r="D23" s="255" t="s">
        <v>886</v>
      </c>
      <c r="E23" s="254" t="s">
        <v>848</v>
      </c>
      <c r="F23" s="254" t="s">
        <v>141</v>
      </c>
      <c r="G23" s="256">
        <v>0.98329999999999995</v>
      </c>
      <c r="H23" s="257">
        <v>180</v>
      </c>
      <c r="I23" s="257">
        <v>177</v>
      </c>
      <c r="J23" s="257">
        <v>165</v>
      </c>
      <c r="K23" s="254" t="s">
        <v>142</v>
      </c>
      <c r="L23" s="258" t="s">
        <v>102</v>
      </c>
      <c r="M23" s="257">
        <v>0</v>
      </c>
      <c r="N23" s="257">
        <v>0</v>
      </c>
      <c r="O23" s="257">
        <v>3</v>
      </c>
      <c r="P23" s="254" t="s">
        <v>33</v>
      </c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7" t="s">
        <v>253</v>
      </c>
      <c r="AF23" s="257" t="s">
        <v>281</v>
      </c>
      <c r="AG23" s="257" t="s">
        <v>897</v>
      </c>
      <c r="AH23" s="250"/>
      <c r="AI23" s="257" t="s">
        <v>479</v>
      </c>
      <c r="AJ23" s="250"/>
    </row>
    <row r="24" spans="1:36" x14ac:dyDescent="0.3">
      <c r="A24" s="252" t="s">
        <v>179</v>
      </c>
      <c r="B24" s="253">
        <v>46009</v>
      </c>
      <c r="C24" s="254" t="s">
        <v>849</v>
      </c>
      <c r="D24" s="255" t="s">
        <v>296</v>
      </c>
      <c r="E24" s="254" t="s">
        <v>848</v>
      </c>
      <c r="F24" s="254" t="s">
        <v>141</v>
      </c>
      <c r="G24" s="256">
        <v>0.80559999999999998</v>
      </c>
      <c r="H24" s="257">
        <v>180</v>
      </c>
      <c r="I24" s="257">
        <v>145</v>
      </c>
      <c r="J24" s="257">
        <v>140</v>
      </c>
      <c r="K24" s="254" t="s">
        <v>142</v>
      </c>
      <c r="L24" s="258" t="s">
        <v>344</v>
      </c>
      <c r="M24" s="257">
        <v>0</v>
      </c>
      <c r="N24" s="257">
        <v>0</v>
      </c>
      <c r="O24" s="257">
        <v>0</v>
      </c>
      <c r="P24" s="254" t="s">
        <v>201</v>
      </c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7" t="s">
        <v>201</v>
      </c>
      <c r="AC24" s="250"/>
      <c r="AD24" s="250"/>
      <c r="AE24" s="250"/>
      <c r="AF24" s="250"/>
      <c r="AG24" s="250"/>
      <c r="AH24" s="250"/>
      <c r="AI24" s="257" t="s">
        <v>481</v>
      </c>
      <c r="AJ24" s="250"/>
    </row>
    <row r="25" spans="1:36" x14ac:dyDescent="0.3">
      <c r="A25" s="252" t="s">
        <v>205</v>
      </c>
      <c r="B25" s="253">
        <v>46011</v>
      </c>
      <c r="C25" s="254" t="s">
        <v>849</v>
      </c>
      <c r="D25" s="255" t="s">
        <v>890</v>
      </c>
      <c r="E25" s="254" t="s">
        <v>848</v>
      </c>
      <c r="F25" s="254" t="s">
        <v>141</v>
      </c>
      <c r="G25" s="256">
        <v>0.9778</v>
      </c>
      <c r="H25" s="257">
        <v>180</v>
      </c>
      <c r="I25" s="257">
        <v>176</v>
      </c>
      <c r="J25" s="257">
        <v>175</v>
      </c>
      <c r="K25" s="254" t="s">
        <v>142</v>
      </c>
      <c r="L25" s="258" t="s">
        <v>624</v>
      </c>
      <c r="M25" s="257">
        <v>0</v>
      </c>
      <c r="N25" s="257">
        <v>0</v>
      </c>
      <c r="O25" s="257">
        <v>0</v>
      </c>
      <c r="P25" s="254" t="s">
        <v>88</v>
      </c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7" t="s">
        <v>88</v>
      </c>
      <c r="AC25" s="250"/>
      <c r="AD25" s="250"/>
      <c r="AE25" s="250"/>
      <c r="AF25" s="250"/>
      <c r="AG25" s="250"/>
      <c r="AH25" s="250"/>
      <c r="AI25" s="257" t="s">
        <v>896</v>
      </c>
      <c r="AJ25" s="250"/>
    </row>
    <row r="26" spans="1:36" x14ac:dyDescent="0.3">
      <c r="A26" s="252" t="s">
        <v>139</v>
      </c>
      <c r="B26" s="253">
        <v>46012</v>
      </c>
      <c r="C26" s="254" t="s">
        <v>849</v>
      </c>
      <c r="D26" s="255" t="s">
        <v>881</v>
      </c>
      <c r="E26" s="254" t="s">
        <v>848</v>
      </c>
      <c r="F26" s="254" t="s">
        <v>141</v>
      </c>
      <c r="G26" s="256">
        <v>0.97219999999999995</v>
      </c>
      <c r="H26" s="257">
        <v>180</v>
      </c>
      <c r="I26" s="257">
        <v>175</v>
      </c>
      <c r="J26" s="257">
        <v>170</v>
      </c>
      <c r="K26" s="254" t="s">
        <v>142</v>
      </c>
      <c r="L26" s="258" t="s">
        <v>876</v>
      </c>
      <c r="M26" s="257">
        <v>0</v>
      </c>
      <c r="N26" s="257">
        <v>0</v>
      </c>
      <c r="O26" s="257">
        <v>0</v>
      </c>
      <c r="P26" s="254" t="s">
        <v>237</v>
      </c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7" t="s">
        <v>201</v>
      </c>
      <c r="AC26" s="250"/>
      <c r="AD26" s="250"/>
      <c r="AE26" s="250"/>
      <c r="AF26" s="250"/>
      <c r="AG26" s="257" t="s">
        <v>898</v>
      </c>
      <c r="AH26" s="250"/>
      <c r="AI26" s="250"/>
      <c r="AJ26" s="250"/>
    </row>
    <row r="27" spans="1:36" x14ac:dyDescent="0.3">
      <c r="A27" s="252" t="s">
        <v>149</v>
      </c>
      <c r="B27" s="253">
        <v>46013</v>
      </c>
      <c r="C27" s="254" t="s">
        <v>851</v>
      </c>
      <c r="D27" s="255" t="s">
        <v>882</v>
      </c>
      <c r="E27" s="254" t="s">
        <v>848</v>
      </c>
      <c r="F27" s="254" t="s">
        <v>141</v>
      </c>
      <c r="G27" s="256">
        <v>0.85560000000000003</v>
      </c>
      <c r="H27" s="257">
        <v>180</v>
      </c>
      <c r="I27" s="257">
        <v>154</v>
      </c>
      <c r="J27" s="257">
        <v>135</v>
      </c>
      <c r="K27" s="254" t="s">
        <v>142</v>
      </c>
      <c r="L27" s="258" t="s">
        <v>37</v>
      </c>
      <c r="M27" s="257">
        <v>0</v>
      </c>
      <c r="N27" s="257">
        <v>2</v>
      </c>
      <c r="O27" s="257">
        <v>2</v>
      </c>
      <c r="P27" s="254" t="s">
        <v>219</v>
      </c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7" t="s">
        <v>153</v>
      </c>
      <c r="AB27" s="257" t="s">
        <v>231</v>
      </c>
      <c r="AC27" s="250"/>
      <c r="AD27" s="250"/>
      <c r="AE27" s="250"/>
      <c r="AF27" s="250"/>
      <c r="AG27" s="250"/>
      <c r="AH27" s="250"/>
      <c r="AI27" s="257" t="s">
        <v>465</v>
      </c>
      <c r="AJ27" s="250"/>
    </row>
    <row r="28" spans="1:36" x14ac:dyDescent="0.3">
      <c r="A28" s="252" t="s">
        <v>157</v>
      </c>
      <c r="B28" s="253">
        <v>46014</v>
      </c>
      <c r="C28" s="254" t="s">
        <v>849</v>
      </c>
      <c r="D28" s="255" t="s">
        <v>886</v>
      </c>
      <c r="E28" s="254" t="s">
        <v>848</v>
      </c>
      <c r="F28" s="254" t="s">
        <v>141</v>
      </c>
      <c r="G28" s="256">
        <v>0.9556</v>
      </c>
      <c r="H28" s="257">
        <v>180</v>
      </c>
      <c r="I28" s="257">
        <v>172</v>
      </c>
      <c r="J28" s="257">
        <v>160</v>
      </c>
      <c r="K28" s="254" t="s">
        <v>142</v>
      </c>
      <c r="L28" s="258" t="s">
        <v>82</v>
      </c>
      <c r="M28" s="257">
        <v>0</v>
      </c>
      <c r="N28" s="257">
        <v>0</v>
      </c>
      <c r="O28" s="257">
        <v>3</v>
      </c>
      <c r="P28" s="254" t="s">
        <v>175</v>
      </c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7" t="s">
        <v>231</v>
      </c>
      <c r="AC28" s="250"/>
      <c r="AD28" s="250"/>
      <c r="AE28" s="250"/>
      <c r="AF28" s="250"/>
      <c r="AG28" s="257" t="s">
        <v>899</v>
      </c>
      <c r="AH28" s="250"/>
      <c r="AI28" s="250"/>
      <c r="AJ28" s="257" t="s">
        <v>562</v>
      </c>
    </row>
    <row r="29" spans="1:36" x14ac:dyDescent="0.3">
      <c r="A29" s="252" t="s">
        <v>179</v>
      </c>
      <c r="B29" s="253">
        <v>46016</v>
      </c>
      <c r="C29" s="254" t="s">
        <v>849</v>
      </c>
      <c r="D29" s="255" t="s">
        <v>296</v>
      </c>
      <c r="E29" s="254" t="s">
        <v>848</v>
      </c>
      <c r="F29" s="254" t="s">
        <v>141</v>
      </c>
      <c r="G29" s="256">
        <v>0.8</v>
      </c>
      <c r="H29" s="257">
        <v>180</v>
      </c>
      <c r="I29" s="257">
        <v>144</v>
      </c>
      <c r="J29" s="257">
        <v>140</v>
      </c>
      <c r="K29" s="254" t="s">
        <v>142</v>
      </c>
      <c r="L29" s="258" t="s">
        <v>37</v>
      </c>
      <c r="M29" s="257">
        <v>0</v>
      </c>
      <c r="N29" s="257">
        <v>2</v>
      </c>
      <c r="O29" s="257">
        <v>2</v>
      </c>
      <c r="P29" s="254" t="s">
        <v>69</v>
      </c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7" t="s">
        <v>176</v>
      </c>
      <c r="AC29" s="250"/>
      <c r="AD29" s="250"/>
      <c r="AE29" s="250"/>
      <c r="AF29" s="250"/>
      <c r="AG29" s="250"/>
      <c r="AH29" s="250"/>
      <c r="AI29" s="257" t="s">
        <v>481</v>
      </c>
      <c r="AJ29" s="250"/>
    </row>
    <row r="30" spans="1:36" ht="21" x14ac:dyDescent="0.3">
      <c r="A30" s="259" t="s">
        <v>900</v>
      </c>
      <c r="B30" s="260"/>
      <c r="C30" s="259">
        <f>SUBTOTAL(103,CAI_MED_LF_LEGACY[Flt])</f>
        <v>28</v>
      </c>
      <c r="D30" s="259"/>
      <c r="E30" s="259">
        <f>SUBTOTAL(103,CAI_MED_LF_LEGACY[Brd-Off])</f>
        <v>28</v>
      </c>
      <c r="F30" s="259"/>
      <c r="G30" s="261">
        <f>SUBTOTAL(101,CAI_MED_LF_LEGACY[LF%])</f>
        <v>0.9239964285714285</v>
      </c>
      <c r="H30" s="262">
        <f>SUBTOTAL(109,CAI_MED_LF_LEGACY[CAP])</f>
        <v>5039</v>
      </c>
      <c r="I30" s="262">
        <f>SUBTOTAL(109,CAI_MED_LF_LEGACY[BKG(Y)])</f>
        <v>4656</v>
      </c>
      <c r="J30" s="262">
        <f>SUBTOTAL(109,CAI_MED_LF_LEGACY[GRP(Y)])</f>
        <v>3846</v>
      </c>
      <c r="K30" s="259"/>
      <c r="L30" s="260"/>
      <c r="M30" s="262">
        <f>SUBTOTAL(109,CAI_MED_LF_LEGACY[TO-DAY])</f>
        <v>0</v>
      </c>
      <c r="N30" s="262">
        <f>SUBTOTAL(109,CAI_MED_LF_LEGACY[Y-DAY])</f>
        <v>69</v>
      </c>
      <c r="O30" s="262">
        <f>SUBTOTAL(109,CAI_MED_LF_LEGACY[WEEKLY])</f>
        <v>285</v>
      </c>
      <c r="P30" s="263"/>
      <c r="Q30" s="262">
        <f>SUBTOTAL(109,CAI_MED_LF_LEGACY[Y])</f>
        <v>0</v>
      </c>
      <c r="R30" s="262">
        <f>SUBTOTAL(109,CAI_MED_LF_LEGACY[B])</f>
        <v>0</v>
      </c>
      <c r="S30" s="262">
        <f>SUBTOTAL(109,CAI_MED_LF_LEGACY[M])</f>
        <v>0</v>
      </c>
      <c r="T30" s="262">
        <f>SUBTOTAL(109,CAI_MED_LF_LEGACY[H])</f>
        <v>0</v>
      </c>
      <c r="U30" s="262">
        <f>SUBTOTAL(109,CAI_MED_LF_LEGACY[Q])</f>
        <v>0</v>
      </c>
      <c r="V30" s="262">
        <f>SUBTOTAL(109,CAI_MED_LF_LEGACY[K])</f>
        <v>0</v>
      </c>
      <c r="W30" s="262">
        <f>SUBTOTAL(109,CAI_MED_LF_LEGACY[V])</f>
        <v>0</v>
      </c>
      <c r="X30" s="262">
        <f>SUBTOTAL(109,CAI_MED_LF_LEGACY[L])</f>
        <v>0</v>
      </c>
      <c r="Y30" s="262">
        <f>SUBTOTAL(109,CAI_MED_LF_LEGACY[G])</f>
        <v>0</v>
      </c>
      <c r="Z30" s="262">
        <f>SUBTOTAL(109,CAI_MED_LF_LEGACY[S])</f>
        <v>0</v>
      </c>
      <c r="AA30" s="262">
        <f>SUBTOTAL(109,CAI_MED_LF_LEGACY[W])</f>
        <v>0</v>
      </c>
      <c r="AB30" s="262">
        <f>SUBTOTAL(109,CAI_MED_LF_LEGACY[T])</f>
        <v>0</v>
      </c>
      <c r="AC30" s="262">
        <f>SUBTOTAL(109,CAI_MED_LF_LEGACY[X])</f>
        <v>0</v>
      </c>
      <c r="AD30" s="262">
        <f>SUBTOTAL(109,CAI_MED_LF_LEGACY[U])</f>
        <v>0</v>
      </c>
      <c r="AE30" s="262">
        <f>SUBTOTAL(109,CAI_MED_LF_LEGACY[O])</f>
        <v>0</v>
      </c>
      <c r="AF30" s="262">
        <f>SUBTOTAL(109,CAI_MED_LF_LEGACY[I])</f>
        <v>0</v>
      </c>
      <c r="AG30" s="262">
        <f>SUBTOTAL(109,CAI_MED_LF_LEGACY[E])</f>
        <v>0</v>
      </c>
      <c r="AH30" s="262">
        <f>SUBTOTAL(109,CAI_MED_LF_LEGACY[A])</f>
        <v>0</v>
      </c>
      <c r="AI30" s="262">
        <f>SUBTOTAL(109,CAI_MED_LF_LEGACY[P])</f>
        <v>0</v>
      </c>
      <c r="AJ30" s="262">
        <f>SUBTOTAL(103,CAI_MED_LF_LEGACY[N])</f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CAI-RUH</vt:lpstr>
      <vt:lpstr>CAI-RUH LF LEGACY</vt:lpstr>
      <vt:lpstr>CAI-DMM</vt:lpstr>
      <vt:lpstr>CAI-DMM LF LEGACY</vt:lpstr>
      <vt:lpstr>CAI-TUU</vt:lpstr>
      <vt:lpstr>CAI-TUU LF LEGACY</vt:lpstr>
      <vt:lpstr>CAI-AJF</vt:lpstr>
      <vt:lpstr>CAI-AJF LF LEGACY</vt:lpstr>
      <vt:lpstr>CAI-YNB</vt:lpstr>
      <vt:lpstr>CAI-YNB LF LEGACY</vt:lpstr>
      <vt:lpstr>CAI-AHB</vt:lpstr>
      <vt:lpstr>CAI-AHB LF LEGACY</vt:lpstr>
      <vt:lpstr>CAI-ELQ</vt:lpstr>
      <vt:lpstr>CAI-ELQ LF LEGACY</vt:lpstr>
      <vt:lpstr>CAI-GIZ</vt:lpstr>
      <vt:lpstr>CAI-GIZ LF LEGACY</vt:lpstr>
      <vt:lpstr>CAI-JED</vt:lpstr>
      <vt:lpstr>CAI-JED LF LEGACY</vt:lpstr>
      <vt:lpstr>CAI-MED</vt:lpstr>
      <vt:lpstr>CAI-MED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2025-11-23T02:31:00Z</dcterms:created>
  <dcterms:modified xsi:type="dcterms:W3CDTF">2025-11-23T02:31:41Z</dcterms:modified>
</cp:coreProperties>
</file>