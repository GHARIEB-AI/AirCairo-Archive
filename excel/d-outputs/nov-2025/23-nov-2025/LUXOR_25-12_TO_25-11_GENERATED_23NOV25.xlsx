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F03E2ACE-B812-4993-B367-9CE8244A49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XR-JED" sheetId="1" r:id="rId1"/>
    <sheet name="LXR-JED LF LEGAC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2" l="1"/>
  <c r="E20" i="2"/>
  <c r="G20" i="2"/>
  <c r="H20" i="2"/>
  <c r="I20" i="2"/>
  <c r="J20" i="2"/>
  <c r="M20" i="2"/>
  <c r="N20" i="2"/>
  <c r="O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</calcChain>
</file>

<file path=xl/sharedStrings.xml><?xml version="1.0" encoding="utf-8"?>
<sst xmlns="http://schemas.openxmlformats.org/spreadsheetml/2006/main" count="533" uniqueCount="76">
  <si>
    <t>COMPREHENSIVE REPORT</t>
  </si>
  <si>
    <t>LXR-JED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</si>
  <si>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</si>
  <si>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</si>
  <si>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</si>
  <si>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</si>
  <si>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</si>
  <si>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</si>
  <si>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</si>
  <si>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</si>
  <si>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</si>
  <si>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</si>
  <si>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</si>
  <si>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</si>
  <si>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</si>
  <si>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</si>
  <si>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</si>
  <si>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</si>
  <si>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</si>
  <si>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</si>
  <si>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</si>
  <si>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</si>
  <si>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</si>
  <si>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</si>
  <si>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</si>
  <si>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</si>
  <si>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</si>
  <si>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</si>
  <si>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</si>
  <si>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SM481</t>
  </si>
  <si>
    <t>30KG + 7KG CABIN</t>
  </si>
  <si>
    <t>FULLY BOOKED</t>
  </si>
  <si>
    <t>NIL</t>
  </si>
  <si>
    <t>CLOSED</t>
  </si>
  <si>
    <t>SM429</t>
  </si>
  <si>
    <t>SM483</t>
  </si>
  <si>
    <t>SM981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</si>
  <si>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</si>
  <si>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</si>
  <si>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</si>
  <si>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</si>
  <si>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</si>
  <si>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</si>
  <si>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</si>
  <si>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</si>
  <si>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</si>
  <si>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</si>
  <si>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</si>
  <si>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</si>
  <si>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</si>
  <si>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</si>
  <si>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</si>
  <si>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</si>
  <si>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</si>
  <si>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</si>
  <si>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</si>
  <si>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</si>
  <si>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</si>
  <si>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</si>
  <si>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</si>
  <si>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</si>
  <si>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</si>
  <si>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</si>
  <si>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</si>
  <si>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</si>
  <si>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</si>
  <si>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</si>
  <si>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23:05</t>
  </si>
  <si>
    <t>320</t>
  </si>
  <si>
    <t>UPCOMING</t>
  </si>
  <si>
    <t>TUESDAY</t>
  </si>
  <si>
    <t>06:20</t>
  </si>
  <si>
    <t>15:20</t>
  </si>
  <si>
    <t>19:00</t>
  </si>
  <si>
    <t>19:10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</si>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</sst>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E4B5"/>
      </patternFill>
    </fill>
    <fill>
      <patternFill patternType="solid">
        <fgColor rgb="FFCCCCCC"/>
        <bgColor rgb="FFCCCCCC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36549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8" xfId="0" applyNumberFormat="1" applyFont="1" applyFill="1" applyBorder="1" applyAlignment="1">
      <alignment horizontal="center" vertical="center"/>
    </xf>
    <xf numFmtId="168" fontId="14" fillId="10" borderId="9" xfId="0" applyNumberFormat="1" applyFont="1" applyFill="1" applyBorder="1" applyAlignment="1">
      <alignment horizontal="center" vertical="center"/>
    </xf>
    <xf numFmtId="1" fontId="13" fillId="10" borderId="9" xfId="0" applyNumberFormat="1" applyFont="1" applyFill="1" applyBorder="1" applyAlignment="1">
      <alignment horizontal="center" vertical="center"/>
    </xf>
    <xf numFmtId="16" fontId="13" fillId="10" borderId="9" xfId="0" applyNumberFormat="1" applyFont="1" applyFill="1" applyBorder="1" applyAlignment="1">
      <alignment horizontal="center" vertical="center"/>
    </xf>
    <xf numFmtId="49" fontId="15" fillId="10" borderId="9" xfId="0" applyNumberFormat="1" applyFont="1" applyFill="1" applyBorder="1" applyAlignment="1">
      <alignment horizontal="center" vertical="center"/>
    </xf>
    <xf numFmtId="167" fontId="13" fillId="10" borderId="9" xfId="0" applyNumberFormat="1" applyFont="1" applyFill="1" applyBorder="1" applyAlignment="1">
      <alignment horizontal="center" vertical="center"/>
    </xf>
    <xf numFmtId="49" fontId="13" fillId="10" borderId="10" xfId="0" applyNumberFormat="1" applyFont="1" applyFill="1" applyBorder="1" applyAlignment="1">
      <alignment horizontal="center" vertical="center"/>
    </xf>
    <xf numFmtId="49" fontId="17" fillId="11" borderId="2" xfId="0" applyNumberFormat="1" applyFont="1" applyFill="1" applyBorder="1" applyAlignment="1">
      <alignment horizontal="center" vertical="center"/>
    </xf>
    <xf numFmtId="167" fontId="17" fillId="11" borderId="2" xfId="0" applyNumberFormat="1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49" fontId="13" fillId="11" borderId="8" xfId="0" applyNumberFormat="1" applyFont="1" applyFill="1" applyBorder="1" applyAlignment="1">
      <alignment horizontal="center" vertical="center"/>
    </xf>
    <xf numFmtId="168" fontId="14" fillId="11" borderId="9" xfId="0" applyNumberFormat="1" applyFont="1" applyFill="1" applyBorder="1" applyAlignment="1">
      <alignment horizontal="center" vertical="center"/>
    </xf>
    <xf numFmtId="1" fontId="13" fillId="11" borderId="9" xfId="0" applyNumberFormat="1" applyFont="1" applyFill="1" applyBorder="1" applyAlignment="1">
      <alignment horizontal="center" vertical="center"/>
    </xf>
    <xf numFmtId="16" fontId="13" fillId="11" borderId="9" xfId="0" applyNumberFormat="1" applyFont="1" applyFill="1" applyBorder="1" applyAlignment="1">
      <alignment horizontal="center" vertical="center"/>
    </xf>
    <xf numFmtId="49" fontId="15" fillId="11" borderId="9" xfId="0" applyNumberFormat="1" applyFont="1" applyFill="1" applyBorder="1" applyAlignment="1">
      <alignment horizontal="center" vertical="center"/>
    </xf>
    <xf numFmtId="167" fontId="13" fillId="11" borderId="9" xfId="0" applyNumberFormat="1" applyFont="1" applyFill="1" applyBorder="1" applyAlignment="1">
      <alignment horizontal="center" vertical="center"/>
    </xf>
    <xf numFmtId="49" fontId="13" fillId="11" borderId="10" xfId="0" applyNumberFormat="1" applyFont="1" applyFill="1" applyBorder="1" applyAlignment="1">
      <alignment horizontal="center" vertical="center"/>
    </xf>
    <xf numFmtId="49" fontId="17" fillId="12" borderId="11" xfId="0" applyNumberFormat="1" applyFont="1" applyFill="1" applyBorder="1" applyAlignment="1">
      <alignment horizontal="center" vertical="center"/>
    </xf>
    <xf numFmtId="167" fontId="17" fillId="12" borderId="11" xfId="0" applyNumberFormat="1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8" xfId="0" applyNumberFormat="1" applyFont="1" applyFill="1" applyBorder="1" applyAlignment="1">
      <alignment horizontal="center" vertical="center"/>
    </xf>
    <xf numFmtId="168" fontId="14" fillId="13" borderId="9" xfId="0" applyNumberFormat="1" applyFont="1" applyFill="1" applyBorder="1" applyAlignment="1">
      <alignment horizontal="center" vertical="center"/>
    </xf>
    <xf numFmtId="1" fontId="13" fillId="13" borderId="9" xfId="0" applyNumberFormat="1" applyFont="1" applyFill="1" applyBorder="1" applyAlignment="1">
      <alignment horizontal="center" vertical="center"/>
    </xf>
    <xf numFmtId="16" fontId="13" fillId="13" borderId="9" xfId="0" applyNumberFormat="1" applyFont="1" applyFill="1" applyBorder="1" applyAlignment="1">
      <alignment horizontal="center" vertical="center"/>
    </xf>
    <xf numFmtId="49" fontId="15" fillId="13" borderId="9" xfId="0" applyNumberFormat="1" applyFont="1" applyFill="1" applyBorder="1" applyAlignment="1">
      <alignment horizontal="center" vertical="center"/>
    </xf>
    <xf numFmtId="167" fontId="13" fillId="13" borderId="9" xfId="0" applyNumberFormat="1" applyFont="1" applyFill="1" applyBorder="1" applyAlignment="1">
      <alignment horizontal="center" vertical="center"/>
    </xf>
    <xf numFmtId="49" fontId="13" fillId="13" borderId="10" xfId="0" applyNumberFormat="1" applyFont="1" applyFill="1" applyBorder="1" applyAlignment="1">
      <alignment horizontal="center" vertical="center"/>
    </xf>
    <xf numFmtId="49" fontId="17" fillId="11" borderId="11" xfId="0" applyNumberFormat="1" applyFont="1" applyFill="1" applyBorder="1" applyAlignment="1">
      <alignment horizontal="center" vertical="center"/>
    </xf>
    <xf numFmtId="167" fontId="17" fillId="11" borderId="11" xfId="0" applyNumberFormat="1" applyFont="1" applyFill="1" applyBorder="1" applyAlignment="1">
      <alignment horizontal="center" vertical="center"/>
    </xf>
    <xf numFmtId="0" fontId="17" fillId="11" borderId="11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7" fillId="13" borderId="2" xfId="0" applyNumberFormat="1" applyFont="1" applyFill="1" applyBorder="1" applyAlignment="1">
      <alignment horizontal="center" vertical="center"/>
    </xf>
    <xf numFmtId="167" fontId="17" fillId="13" borderId="2" xfId="0" applyNumberFormat="1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49" fontId="17" fillId="14" borderId="11" xfId="0" applyNumberFormat="1" applyFont="1" applyFill="1" applyBorder="1" applyAlignment="1">
      <alignment horizontal="center" vertical="center"/>
    </xf>
    <xf numFmtId="167" fontId="17" fillId="14" borderId="11" xfId="0" applyNumberFormat="1" applyFont="1" applyFill="1" applyBorder="1" applyAlignment="1">
      <alignment horizontal="center" vertical="center"/>
    </xf>
    <xf numFmtId="0" fontId="17" fillId="14" borderId="11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8" xfId="0" applyNumberFormat="1" applyFont="1" applyFill="1" applyBorder="1" applyAlignment="1">
      <alignment horizontal="center" vertical="center"/>
    </xf>
    <xf numFmtId="168" fontId="14" fillId="15" borderId="9" xfId="0" applyNumberFormat="1" applyFont="1" applyFill="1" applyBorder="1" applyAlignment="1">
      <alignment horizontal="center" vertical="center"/>
    </xf>
    <xf numFmtId="1" fontId="13" fillId="15" borderId="9" xfId="0" applyNumberFormat="1" applyFont="1" applyFill="1" applyBorder="1" applyAlignment="1">
      <alignment horizontal="center" vertical="center"/>
    </xf>
    <xf numFmtId="16" fontId="13" fillId="15" borderId="9" xfId="0" applyNumberFormat="1" applyFont="1" applyFill="1" applyBorder="1" applyAlignment="1">
      <alignment horizontal="center" vertical="center"/>
    </xf>
    <xf numFmtId="49" fontId="15" fillId="15" borderId="9" xfId="0" applyNumberFormat="1" applyFont="1" applyFill="1" applyBorder="1" applyAlignment="1">
      <alignment horizontal="center" vertical="center"/>
    </xf>
    <xf numFmtId="167" fontId="13" fillId="15" borderId="9" xfId="0" applyNumberFormat="1" applyFont="1" applyFill="1" applyBorder="1" applyAlignment="1">
      <alignment horizontal="center" vertical="center"/>
    </xf>
    <xf numFmtId="49" fontId="13" fillId="15" borderId="10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8" xfId="0" applyNumberFormat="1" applyFont="1" applyFill="1" applyBorder="1" applyAlignment="1">
      <alignment horizontal="center" vertical="center"/>
    </xf>
    <xf numFmtId="168" fontId="14" fillId="14" borderId="9" xfId="0" applyNumberFormat="1" applyFont="1" applyFill="1" applyBorder="1" applyAlignment="1">
      <alignment horizontal="center" vertical="center"/>
    </xf>
    <xf numFmtId="1" fontId="13" fillId="14" borderId="9" xfId="0" applyNumberFormat="1" applyFont="1" applyFill="1" applyBorder="1" applyAlignment="1">
      <alignment horizontal="center" vertical="center"/>
    </xf>
    <xf numFmtId="16" fontId="13" fillId="14" borderId="9" xfId="0" applyNumberFormat="1" applyFont="1" applyFill="1" applyBorder="1" applyAlignment="1">
      <alignment horizontal="center" vertical="center"/>
    </xf>
    <xf numFmtId="49" fontId="15" fillId="14" borderId="9" xfId="0" applyNumberFormat="1" applyFont="1" applyFill="1" applyBorder="1" applyAlignment="1">
      <alignment horizontal="center" vertical="center"/>
    </xf>
    <xf numFmtId="167" fontId="13" fillId="14" borderId="9" xfId="0" applyNumberFormat="1" applyFont="1" applyFill="1" applyBorder="1" applyAlignment="1">
      <alignment horizontal="center" vertical="center"/>
    </xf>
    <xf numFmtId="49" fontId="13" fillId="14" borderId="10" xfId="0" applyNumberFormat="1" applyFont="1" applyFill="1" applyBorder="1" applyAlignment="1">
      <alignment horizontal="center" vertical="center"/>
    </xf>
    <xf numFmtId="49" fontId="17" fillId="8" borderId="2" xfId="0" applyNumberFormat="1" applyFont="1" applyFill="1" applyBorder="1" applyAlignment="1">
      <alignment horizontal="center" vertical="center"/>
    </xf>
    <xf numFmtId="167" fontId="17" fillId="8" borderId="2" xfId="0" applyNumberFormat="1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49" fontId="13" fillId="8" borderId="8" xfId="0" applyNumberFormat="1" applyFont="1" applyFill="1" applyBorder="1" applyAlignment="1">
      <alignment horizontal="center" vertical="center"/>
    </xf>
    <xf numFmtId="168" fontId="14" fillId="8" borderId="9" xfId="0" applyNumberFormat="1" applyFont="1" applyFill="1" applyBorder="1" applyAlignment="1">
      <alignment horizontal="center" vertical="center"/>
    </xf>
    <xf numFmtId="1" fontId="13" fillId="8" borderId="9" xfId="0" applyNumberFormat="1" applyFont="1" applyFill="1" applyBorder="1" applyAlignment="1">
      <alignment horizontal="center" vertical="center"/>
    </xf>
    <xf numFmtId="16" fontId="13" fillId="8" borderId="9" xfId="0" applyNumberFormat="1" applyFont="1" applyFill="1" applyBorder="1" applyAlignment="1">
      <alignment horizontal="center" vertical="center"/>
    </xf>
    <xf numFmtId="49" fontId="15" fillId="8" borderId="9" xfId="0" applyNumberFormat="1" applyFont="1" applyFill="1" applyBorder="1" applyAlignment="1">
      <alignment horizontal="center" vertical="center"/>
    </xf>
    <xf numFmtId="167" fontId="13" fillId="8" borderId="9" xfId="0" applyNumberFormat="1" applyFont="1" applyFill="1" applyBorder="1" applyAlignment="1">
      <alignment horizontal="center" vertical="center"/>
    </xf>
    <xf numFmtId="49" fontId="13" fillId="8" borderId="10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4" xfId="0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12" fillId="0" borderId="4" xfId="0" applyFont="1" applyBorder="1"/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169" fontId="18" fillId="0" borderId="0" xfId="0" applyNumberFormat="1" applyFont="1" applyAlignment="1">
      <alignment horizontal="center" vertical="center"/>
    </xf>
    <xf numFmtId="15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19" fillId="16" borderId="0" xfId="0" applyFont="1" applyFill="1" applyAlignment="1">
      <alignment horizontal="center" vertical="center"/>
    </xf>
    <xf numFmtId="15" fontId="19" fillId="16" borderId="0" xfId="0" applyNumberFormat="1" applyFont="1" applyFill="1" applyAlignment="1">
      <alignment horizontal="center" vertical="center"/>
    </xf>
    <xf numFmtId="168" fontId="19" fillId="16" borderId="0" xfId="0" applyNumberFormat="1" applyFont="1" applyFill="1" applyAlignment="1">
      <alignment horizontal="center" vertical="center"/>
    </xf>
    <xf numFmtId="1" fontId="19" fillId="16" borderId="0" xfId="0" applyNumberFormat="1" applyFont="1" applyFill="1" applyAlignment="1">
      <alignment horizontal="center" vertical="center"/>
    </xf>
    <xf numFmtId="0" fontId="19" fillId="16" borderId="0" xfId="0" applyNumberFormat="1" applyFont="1" applyFill="1" applyAlignment="1">
      <alignment horizontal="center" vertical="center"/>
    </xf>
    <xf numFmtId="0" fontId="16" fillId="9" borderId="16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XR_JED_LF_LEGACY" displayName="LXR_JED_LF_LEGACY" ref="A1:AJ20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2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777343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136" t="s">
        <v>0</v>
      </c>
      <c r="B1" s="135"/>
      <c r="C1" s="135"/>
      <c r="D1" s="135"/>
      <c r="E1" s="135"/>
      <c r="F1" s="1" t="s">
        <v>1</v>
      </c>
      <c r="G1" s="2" t="s">
        <v>2</v>
      </c>
      <c r="H1" s="134" t="s">
        <v>3</v>
      </c>
      <c r="I1" s="135"/>
      <c r="J1" s="135"/>
      <c r="K1" s="135"/>
      <c r="L1" s="135"/>
      <c r="M1" s="1" t="s">
        <v>4</v>
      </c>
      <c r="N1" s="145" t="s">
        <v>5</v>
      </c>
      <c r="O1" s="135"/>
      <c r="P1" s="135"/>
      <c r="Q1" s="135"/>
      <c r="R1" s="13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41" t="s">
        <v>6</v>
      </c>
      <c r="B2" s="135"/>
      <c r="C2" s="135"/>
      <c r="D2" s="135"/>
      <c r="E2" s="135"/>
      <c r="F2" s="135"/>
      <c r="G2" s="143">
        <v>45984.228724064516</v>
      </c>
      <c r="H2" s="135"/>
      <c r="I2" s="135"/>
      <c r="J2" s="135"/>
      <c r="K2" s="146">
        <v>45984.228724064968</v>
      </c>
      <c r="L2" s="135"/>
      <c r="M2" s="135"/>
      <c r="N2" s="135"/>
      <c r="O2" s="135"/>
      <c r="P2" s="135"/>
      <c r="Q2" s="135"/>
      <c r="R2" s="13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42" t="s">
        <v>7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44" t="s">
        <v>8</v>
      </c>
      <c r="B4" s="130"/>
      <c r="C4" s="130"/>
      <c r="D4" s="130"/>
      <c r="E4" s="130"/>
      <c r="F4" s="131"/>
      <c r="G4" s="4">
        <v>45985</v>
      </c>
      <c r="H4" s="140" t="s">
        <v>9</v>
      </c>
      <c r="I4" s="130"/>
      <c r="J4" s="130"/>
      <c r="K4" s="130"/>
      <c r="L4" s="130"/>
      <c r="M4" s="130"/>
      <c r="N4" s="130"/>
      <c r="O4" s="130"/>
      <c r="P4" s="130"/>
      <c r="Q4" s="130"/>
      <c r="R4" s="13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0.96180555555555547</v>
      </c>
      <c r="D6" s="8" t="s">
        <v>30</v>
      </c>
      <c r="E6" s="10"/>
      <c r="F6" s="8" t="s">
        <v>31</v>
      </c>
      <c r="G6" s="139"/>
      <c r="H6" s="11" t="s">
        <v>29</v>
      </c>
      <c r="I6" s="12">
        <v>0</v>
      </c>
      <c r="J6" s="13">
        <v>0</v>
      </c>
      <c r="K6" s="14" t="s">
        <v>32</v>
      </c>
      <c r="L6" s="13">
        <v>0</v>
      </c>
      <c r="M6" s="13">
        <v>0</v>
      </c>
      <c r="N6" s="13">
        <v>0</v>
      </c>
      <c r="O6" s="15" t="s">
        <v>33</v>
      </c>
      <c r="P6" s="16">
        <v>0.96180555555555547</v>
      </c>
      <c r="Q6" s="13">
        <v>180</v>
      </c>
      <c r="R6" s="17" t="s">
        <v>32</v>
      </c>
    </row>
    <row r="7" spans="1:92" ht="17.399999999999999" customHeight="1" thickBot="1" x14ac:dyDescent="0.35">
      <c r="A7" s="161"/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3"/>
    </row>
    <row r="8" spans="1:92" ht="22.05" customHeight="1" thickTop="1" thickBot="1" x14ac:dyDescent="0.35">
      <c r="A8" s="132" t="s">
        <v>8</v>
      </c>
      <c r="B8" s="130"/>
      <c r="C8" s="130"/>
      <c r="D8" s="130"/>
      <c r="E8" s="130"/>
      <c r="F8" s="131"/>
      <c r="G8" s="18">
        <v>45986</v>
      </c>
      <c r="H8" s="129" t="s">
        <v>9</v>
      </c>
      <c r="I8" s="130"/>
      <c r="J8" s="130"/>
      <c r="K8" s="130"/>
      <c r="L8" s="130"/>
      <c r="M8" s="130"/>
      <c r="N8" s="130"/>
      <c r="O8" s="130"/>
      <c r="P8" s="130"/>
      <c r="Q8" s="130"/>
      <c r="R8" s="131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x14ac:dyDescent="0.3">
      <c r="A10" s="26" t="s">
        <v>28</v>
      </c>
      <c r="B10" s="26" t="s">
        <v>34</v>
      </c>
      <c r="C10" s="27">
        <v>0.2638888888888889</v>
      </c>
      <c r="D10" s="26" t="s">
        <v>30</v>
      </c>
      <c r="E10" s="28"/>
      <c r="F10" s="26" t="s">
        <v>31</v>
      </c>
      <c r="G10" s="133"/>
      <c r="H10" s="29" t="s">
        <v>34</v>
      </c>
      <c r="I10" s="30">
        <v>0</v>
      </c>
      <c r="J10" s="31">
        <v>0</v>
      </c>
      <c r="K10" s="32" t="s">
        <v>32</v>
      </c>
      <c r="L10" s="31">
        <v>0</v>
      </c>
      <c r="M10" s="31">
        <v>0</v>
      </c>
      <c r="N10" s="31">
        <v>0</v>
      </c>
      <c r="O10" s="33" t="s">
        <v>33</v>
      </c>
      <c r="P10" s="34">
        <v>0.2638888888888889</v>
      </c>
      <c r="Q10" s="31">
        <v>180</v>
      </c>
      <c r="R10" s="35" t="s">
        <v>32</v>
      </c>
    </row>
    <row r="11" spans="1:92" ht="49.95" customHeight="1" x14ac:dyDescent="0.3">
      <c r="A11" s="36" t="s">
        <v>28</v>
      </c>
      <c r="B11" s="36" t="s">
        <v>35</v>
      </c>
      <c r="C11" s="37">
        <v>0.63888888888888895</v>
      </c>
      <c r="D11" s="36" t="s">
        <v>30</v>
      </c>
      <c r="E11" s="38"/>
      <c r="F11" s="36" t="s">
        <v>31</v>
      </c>
      <c r="G11" s="137"/>
      <c r="H11" s="39" t="s">
        <v>35</v>
      </c>
      <c r="I11" s="40">
        <v>0</v>
      </c>
      <c r="J11" s="41">
        <v>0</v>
      </c>
      <c r="K11" s="42" t="s">
        <v>32</v>
      </c>
      <c r="L11" s="41">
        <v>0</v>
      </c>
      <c r="M11" s="41">
        <v>0</v>
      </c>
      <c r="N11" s="41">
        <v>0</v>
      </c>
      <c r="O11" s="43" t="s">
        <v>33</v>
      </c>
      <c r="P11" s="44">
        <v>0.63888888888888895</v>
      </c>
      <c r="Q11" s="41">
        <v>180</v>
      </c>
      <c r="R11" s="45" t="s">
        <v>32</v>
      </c>
    </row>
    <row r="12" spans="1:92" ht="49.95" customHeight="1" thickBot="1" x14ac:dyDescent="0.35">
      <c r="A12" s="46" t="s">
        <v>28</v>
      </c>
      <c r="B12" s="46" t="s">
        <v>36</v>
      </c>
      <c r="C12" s="47">
        <v>0.79166666666666663</v>
      </c>
      <c r="D12" s="46" t="s">
        <v>30</v>
      </c>
      <c r="E12" s="48"/>
      <c r="F12" s="46" t="s">
        <v>31</v>
      </c>
      <c r="G12" s="138"/>
      <c r="H12" s="49" t="s">
        <v>36</v>
      </c>
      <c r="I12" s="50">
        <v>0</v>
      </c>
      <c r="J12" s="51">
        <v>0</v>
      </c>
      <c r="K12" s="52" t="s">
        <v>32</v>
      </c>
      <c r="L12" s="51">
        <v>0</v>
      </c>
      <c r="M12" s="51">
        <v>0</v>
      </c>
      <c r="N12" s="51">
        <v>0</v>
      </c>
      <c r="O12" s="53" t="s">
        <v>33</v>
      </c>
      <c r="P12" s="54">
        <v>0.79166666666666663</v>
      </c>
      <c r="Q12" s="51">
        <v>180</v>
      </c>
      <c r="R12" s="55" t="s">
        <v>32</v>
      </c>
    </row>
    <row r="13" spans="1:92" ht="17.399999999999999" customHeight="1" thickBot="1" x14ac:dyDescent="0.35">
      <c r="A13" s="161"/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3"/>
    </row>
    <row r="14" spans="1:92" ht="22.05" customHeight="1" thickTop="1" thickBot="1" x14ac:dyDescent="0.35">
      <c r="A14" s="132" t="s">
        <v>8</v>
      </c>
      <c r="B14" s="130"/>
      <c r="C14" s="130"/>
      <c r="D14" s="130"/>
      <c r="E14" s="130"/>
      <c r="F14" s="131"/>
      <c r="G14" s="18">
        <v>45992</v>
      </c>
      <c r="H14" s="129" t="s">
        <v>9</v>
      </c>
      <c r="I14" s="130"/>
      <c r="J14" s="130"/>
      <c r="K14" s="130"/>
      <c r="L14" s="130"/>
      <c r="M14" s="130"/>
      <c r="N14" s="130"/>
      <c r="O14" s="130"/>
      <c r="P14" s="130"/>
      <c r="Q14" s="130"/>
      <c r="R14" s="131"/>
    </row>
    <row r="15" spans="1:92" ht="24" customHeight="1" x14ac:dyDescent="0.3">
      <c r="A15" s="19" t="s">
        <v>10</v>
      </c>
      <c r="B15" s="19" t="s">
        <v>11</v>
      </c>
      <c r="C15" s="20" t="s">
        <v>12</v>
      </c>
      <c r="D15" s="19" t="s">
        <v>13</v>
      </c>
      <c r="E15" s="19" t="s">
        <v>14</v>
      </c>
      <c r="F15" s="21" t="s">
        <v>15</v>
      </c>
      <c r="G15" s="22" t="s">
        <v>16</v>
      </c>
      <c r="H15" s="19" t="s">
        <v>17</v>
      </c>
      <c r="I15" s="23" t="s">
        <v>18</v>
      </c>
      <c r="J15" s="24" t="s">
        <v>19</v>
      </c>
      <c r="K15" s="25" t="s">
        <v>20</v>
      </c>
      <c r="L15" s="24" t="s">
        <v>21</v>
      </c>
      <c r="M15" s="24" t="s">
        <v>22</v>
      </c>
      <c r="N15" s="24" t="s">
        <v>23</v>
      </c>
      <c r="O15" s="19" t="s">
        <v>24</v>
      </c>
      <c r="P15" s="20" t="s">
        <v>25</v>
      </c>
      <c r="Q15" s="24" t="s">
        <v>26</v>
      </c>
      <c r="R15" s="19" t="s">
        <v>27</v>
      </c>
    </row>
    <row r="16" spans="1:92" ht="49.95" customHeight="1" thickTop="1" thickBot="1" x14ac:dyDescent="0.35">
      <c r="A16" s="8" t="s">
        <v>28</v>
      </c>
      <c r="B16" s="8" t="s">
        <v>29</v>
      </c>
      <c r="C16" s="9">
        <v>0.96180555555555547</v>
      </c>
      <c r="D16" s="8" t="s">
        <v>30</v>
      </c>
      <c r="E16" s="10"/>
      <c r="F16" s="8" t="s">
        <v>31</v>
      </c>
      <c r="G16" s="133"/>
      <c r="H16" s="11" t="s">
        <v>29</v>
      </c>
      <c r="I16" s="12">
        <v>0</v>
      </c>
      <c r="J16" s="13">
        <v>0</v>
      </c>
      <c r="K16" s="14" t="s">
        <v>32</v>
      </c>
      <c r="L16" s="13">
        <v>0</v>
      </c>
      <c r="M16" s="13">
        <v>0</v>
      </c>
      <c r="N16" s="13">
        <v>0</v>
      </c>
      <c r="O16" s="15" t="s">
        <v>33</v>
      </c>
      <c r="P16" s="16">
        <v>0.96180555555555547</v>
      </c>
      <c r="Q16" s="13">
        <v>180</v>
      </c>
      <c r="R16" s="17" t="s">
        <v>32</v>
      </c>
    </row>
    <row r="17" spans="1:18" ht="17.399999999999999" customHeight="1" thickBot="1" x14ac:dyDescent="0.35">
      <c r="A17" s="161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3"/>
    </row>
    <row r="18" spans="1:18" ht="22.05" customHeight="1" thickTop="1" thickBot="1" x14ac:dyDescent="0.35">
      <c r="A18" s="132" t="s">
        <v>8</v>
      </c>
      <c r="B18" s="130"/>
      <c r="C18" s="130"/>
      <c r="D18" s="130"/>
      <c r="E18" s="130"/>
      <c r="F18" s="131"/>
      <c r="G18" s="18">
        <v>45993</v>
      </c>
      <c r="H18" s="129" t="s">
        <v>9</v>
      </c>
      <c r="I18" s="130"/>
      <c r="J18" s="130"/>
      <c r="K18" s="130"/>
      <c r="L18" s="130"/>
      <c r="M18" s="130"/>
      <c r="N18" s="130"/>
      <c r="O18" s="130"/>
      <c r="P18" s="130"/>
      <c r="Q18" s="130"/>
      <c r="R18" s="131"/>
    </row>
    <row r="19" spans="1:18" ht="24" customHeight="1" x14ac:dyDescent="0.3">
      <c r="A19" s="19" t="s">
        <v>10</v>
      </c>
      <c r="B19" s="19" t="s">
        <v>11</v>
      </c>
      <c r="C19" s="20" t="s">
        <v>12</v>
      </c>
      <c r="D19" s="19" t="s">
        <v>13</v>
      </c>
      <c r="E19" s="19" t="s">
        <v>14</v>
      </c>
      <c r="F19" s="21" t="s">
        <v>15</v>
      </c>
      <c r="G19" s="22" t="s">
        <v>16</v>
      </c>
      <c r="H19" s="19" t="s">
        <v>17</v>
      </c>
      <c r="I19" s="23" t="s">
        <v>18</v>
      </c>
      <c r="J19" s="24" t="s">
        <v>19</v>
      </c>
      <c r="K19" s="25" t="s">
        <v>20</v>
      </c>
      <c r="L19" s="24" t="s">
        <v>21</v>
      </c>
      <c r="M19" s="24" t="s">
        <v>22</v>
      </c>
      <c r="N19" s="24" t="s">
        <v>23</v>
      </c>
      <c r="O19" s="19" t="s">
        <v>24</v>
      </c>
      <c r="P19" s="20" t="s">
        <v>25</v>
      </c>
      <c r="Q19" s="24" t="s">
        <v>26</v>
      </c>
      <c r="R19" s="19" t="s">
        <v>27</v>
      </c>
    </row>
    <row r="20" spans="1:18" ht="49.95" customHeight="1" x14ac:dyDescent="0.3">
      <c r="A20" s="56" t="s">
        <v>28</v>
      </c>
      <c r="B20" s="56" t="s">
        <v>34</v>
      </c>
      <c r="C20" s="57">
        <v>0.2638888888888889</v>
      </c>
      <c r="D20" s="56" t="s">
        <v>30</v>
      </c>
      <c r="E20" s="58"/>
      <c r="F20" s="56" t="s">
        <v>31</v>
      </c>
      <c r="G20" s="133"/>
      <c r="H20" s="59" t="s">
        <v>34</v>
      </c>
      <c r="I20" s="60">
        <v>0</v>
      </c>
      <c r="J20" s="61">
        <v>0</v>
      </c>
      <c r="K20" s="62" t="s">
        <v>32</v>
      </c>
      <c r="L20" s="61">
        <v>0</v>
      </c>
      <c r="M20" s="61">
        <v>0</v>
      </c>
      <c r="N20" s="61">
        <v>0</v>
      </c>
      <c r="O20" s="63" t="s">
        <v>33</v>
      </c>
      <c r="P20" s="64">
        <v>0.2638888888888889</v>
      </c>
      <c r="Q20" s="61">
        <v>180</v>
      </c>
      <c r="R20" s="65" t="s">
        <v>32</v>
      </c>
    </row>
    <row r="21" spans="1:18" ht="49.95" customHeight="1" thickBot="1" x14ac:dyDescent="0.35">
      <c r="A21" s="66" t="s">
        <v>28</v>
      </c>
      <c r="B21" s="66" t="s">
        <v>35</v>
      </c>
      <c r="C21" s="67">
        <v>0.63888888888888895</v>
      </c>
      <c r="D21" s="66" t="s">
        <v>30</v>
      </c>
      <c r="E21" s="68"/>
      <c r="F21" s="66" t="s">
        <v>31</v>
      </c>
      <c r="G21" s="138"/>
      <c r="H21" s="69" t="s">
        <v>35</v>
      </c>
      <c r="I21" s="70">
        <v>0</v>
      </c>
      <c r="J21" s="71">
        <v>0</v>
      </c>
      <c r="K21" s="72" t="s">
        <v>32</v>
      </c>
      <c r="L21" s="71">
        <v>0</v>
      </c>
      <c r="M21" s="71">
        <v>0</v>
      </c>
      <c r="N21" s="71">
        <v>0</v>
      </c>
      <c r="O21" s="73" t="s">
        <v>33</v>
      </c>
      <c r="P21" s="74">
        <v>0.63888888888888895</v>
      </c>
      <c r="Q21" s="71">
        <v>180</v>
      </c>
      <c r="R21" s="75" t="s">
        <v>32</v>
      </c>
    </row>
    <row r="22" spans="1:18" ht="17.399999999999999" customHeight="1" thickBot="1" x14ac:dyDescent="0.35">
      <c r="A22" s="161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3"/>
    </row>
    <row r="23" spans="1:18" ht="22.05" customHeight="1" thickTop="1" thickBot="1" x14ac:dyDescent="0.35">
      <c r="A23" s="132" t="s">
        <v>8</v>
      </c>
      <c r="B23" s="130"/>
      <c r="C23" s="130"/>
      <c r="D23" s="130"/>
      <c r="E23" s="130"/>
      <c r="F23" s="131"/>
      <c r="G23" s="18">
        <v>45999</v>
      </c>
      <c r="H23" s="129" t="s">
        <v>9</v>
      </c>
      <c r="I23" s="130"/>
      <c r="J23" s="130"/>
      <c r="K23" s="130"/>
      <c r="L23" s="130"/>
      <c r="M23" s="130"/>
      <c r="N23" s="130"/>
      <c r="O23" s="130"/>
      <c r="P23" s="130"/>
      <c r="Q23" s="130"/>
      <c r="R23" s="131"/>
    </row>
    <row r="24" spans="1:18" ht="24" customHeight="1" x14ac:dyDescent="0.3">
      <c r="A24" s="19" t="s">
        <v>10</v>
      </c>
      <c r="B24" s="19" t="s">
        <v>11</v>
      </c>
      <c r="C24" s="20" t="s">
        <v>12</v>
      </c>
      <c r="D24" s="19" t="s">
        <v>13</v>
      </c>
      <c r="E24" s="19" t="s">
        <v>14</v>
      </c>
      <c r="F24" s="21" t="s">
        <v>15</v>
      </c>
      <c r="G24" s="22" t="s">
        <v>16</v>
      </c>
      <c r="H24" s="19" t="s">
        <v>17</v>
      </c>
      <c r="I24" s="23" t="s">
        <v>18</v>
      </c>
      <c r="J24" s="24" t="s">
        <v>19</v>
      </c>
      <c r="K24" s="25" t="s">
        <v>20</v>
      </c>
      <c r="L24" s="24" t="s">
        <v>21</v>
      </c>
      <c r="M24" s="24" t="s">
        <v>22</v>
      </c>
      <c r="N24" s="24" t="s">
        <v>23</v>
      </c>
      <c r="O24" s="19" t="s">
        <v>24</v>
      </c>
      <c r="P24" s="20" t="s">
        <v>25</v>
      </c>
      <c r="Q24" s="24" t="s">
        <v>26</v>
      </c>
      <c r="R24" s="19" t="s">
        <v>27</v>
      </c>
    </row>
    <row r="25" spans="1:18" ht="49.95" customHeight="1" thickTop="1" thickBot="1" x14ac:dyDescent="0.35">
      <c r="A25" s="56" t="s">
        <v>28</v>
      </c>
      <c r="B25" s="56" t="s">
        <v>29</v>
      </c>
      <c r="C25" s="57">
        <v>0.96180555555555547</v>
      </c>
      <c r="D25" s="56" t="s">
        <v>30</v>
      </c>
      <c r="E25" s="58"/>
      <c r="F25" s="56" t="s">
        <v>31</v>
      </c>
      <c r="G25" s="133"/>
      <c r="H25" s="76" t="s">
        <v>29</v>
      </c>
      <c r="I25" s="77">
        <v>0</v>
      </c>
      <c r="J25" s="78">
        <v>0</v>
      </c>
      <c r="K25" s="79" t="s">
        <v>32</v>
      </c>
      <c r="L25" s="78">
        <v>0</v>
      </c>
      <c r="M25" s="78">
        <v>0</v>
      </c>
      <c r="N25" s="78">
        <v>0</v>
      </c>
      <c r="O25" s="80" t="s">
        <v>33</v>
      </c>
      <c r="P25" s="81">
        <v>0.96180555555555547</v>
      </c>
      <c r="Q25" s="78">
        <v>180</v>
      </c>
      <c r="R25" s="82" t="s">
        <v>32</v>
      </c>
    </row>
    <row r="26" spans="1:18" ht="17.399999999999999" customHeight="1" thickBot="1" x14ac:dyDescent="0.35">
      <c r="A26" s="161"/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3"/>
    </row>
    <row r="27" spans="1:18" ht="22.05" customHeight="1" thickTop="1" thickBot="1" x14ac:dyDescent="0.35">
      <c r="A27" s="132" t="s">
        <v>8</v>
      </c>
      <c r="B27" s="130"/>
      <c r="C27" s="130"/>
      <c r="D27" s="130"/>
      <c r="E27" s="130"/>
      <c r="F27" s="131"/>
      <c r="G27" s="18">
        <v>46000</v>
      </c>
      <c r="H27" s="129" t="s">
        <v>9</v>
      </c>
      <c r="I27" s="130"/>
      <c r="J27" s="130"/>
      <c r="K27" s="130"/>
      <c r="L27" s="130"/>
      <c r="M27" s="130"/>
      <c r="N27" s="130"/>
      <c r="O27" s="130"/>
      <c r="P27" s="130"/>
      <c r="Q27" s="130"/>
      <c r="R27" s="131"/>
    </row>
    <row r="28" spans="1:18" ht="24" customHeight="1" x14ac:dyDescent="0.3">
      <c r="A28" s="19" t="s">
        <v>10</v>
      </c>
      <c r="B28" s="19" t="s">
        <v>11</v>
      </c>
      <c r="C28" s="20" t="s">
        <v>12</v>
      </c>
      <c r="D28" s="19" t="s">
        <v>13</v>
      </c>
      <c r="E28" s="19" t="s">
        <v>14</v>
      </c>
      <c r="F28" s="21" t="s">
        <v>15</v>
      </c>
      <c r="G28" s="22" t="s">
        <v>16</v>
      </c>
      <c r="H28" s="19" t="s">
        <v>17</v>
      </c>
      <c r="I28" s="23" t="s">
        <v>18</v>
      </c>
      <c r="J28" s="24" t="s">
        <v>19</v>
      </c>
      <c r="K28" s="25" t="s">
        <v>20</v>
      </c>
      <c r="L28" s="24" t="s">
        <v>21</v>
      </c>
      <c r="M28" s="24" t="s">
        <v>22</v>
      </c>
      <c r="N28" s="24" t="s">
        <v>23</v>
      </c>
      <c r="O28" s="19" t="s">
        <v>24</v>
      </c>
      <c r="P28" s="20" t="s">
        <v>25</v>
      </c>
      <c r="Q28" s="24" t="s">
        <v>26</v>
      </c>
      <c r="R28" s="19" t="s">
        <v>27</v>
      </c>
    </row>
    <row r="29" spans="1:18" ht="49.95" customHeight="1" x14ac:dyDescent="0.3">
      <c r="A29" s="83" t="s">
        <v>28</v>
      </c>
      <c r="B29" s="83" t="s">
        <v>34</v>
      </c>
      <c r="C29" s="84">
        <v>0.2638888888888889</v>
      </c>
      <c r="D29" s="83" t="s">
        <v>30</v>
      </c>
      <c r="E29" s="85"/>
      <c r="F29" s="83" t="s">
        <v>31</v>
      </c>
      <c r="G29" s="133"/>
      <c r="H29" s="39" t="s">
        <v>34</v>
      </c>
      <c r="I29" s="40">
        <v>0</v>
      </c>
      <c r="J29" s="41">
        <v>0</v>
      </c>
      <c r="K29" s="42" t="s">
        <v>32</v>
      </c>
      <c r="L29" s="41">
        <v>0</v>
      </c>
      <c r="M29" s="41">
        <v>0</v>
      </c>
      <c r="N29" s="41">
        <v>0</v>
      </c>
      <c r="O29" s="43" t="s">
        <v>33</v>
      </c>
      <c r="P29" s="44">
        <v>0.2638888888888889</v>
      </c>
      <c r="Q29" s="41">
        <v>180</v>
      </c>
      <c r="R29" s="45" t="s">
        <v>32</v>
      </c>
    </row>
    <row r="30" spans="1:18" ht="49.95" customHeight="1" x14ac:dyDescent="0.3">
      <c r="A30" s="86" t="s">
        <v>28</v>
      </c>
      <c r="B30" s="86" t="s">
        <v>35</v>
      </c>
      <c r="C30" s="87">
        <v>0.63888888888888895</v>
      </c>
      <c r="D30" s="86" t="s">
        <v>30</v>
      </c>
      <c r="E30" s="88"/>
      <c r="F30" s="86" t="s">
        <v>31</v>
      </c>
      <c r="G30" s="137"/>
      <c r="H30" s="59" t="s">
        <v>35</v>
      </c>
      <c r="I30" s="60">
        <v>0</v>
      </c>
      <c r="J30" s="61">
        <v>0</v>
      </c>
      <c r="K30" s="62" t="s">
        <v>32</v>
      </c>
      <c r="L30" s="61">
        <v>0</v>
      </c>
      <c r="M30" s="61">
        <v>0</v>
      </c>
      <c r="N30" s="61">
        <v>0</v>
      </c>
      <c r="O30" s="63" t="s">
        <v>33</v>
      </c>
      <c r="P30" s="64">
        <v>0.63888888888888895</v>
      </c>
      <c r="Q30" s="61">
        <v>180</v>
      </c>
      <c r="R30" s="65" t="s">
        <v>32</v>
      </c>
    </row>
    <row r="31" spans="1:18" ht="49.95" customHeight="1" thickBot="1" x14ac:dyDescent="0.35">
      <c r="A31" s="89" t="s">
        <v>28</v>
      </c>
      <c r="B31" s="89" t="s">
        <v>36</v>
      </c>
      <c r="C31" s="90">
        <v>0.79861111111111116</v>
      </c>
      <c r="D31" s="89" t="s">
        <v>30</v>
      </c>
      <c r="E31" s="91"/>
      <c r="F31" s="89" t="s">
        <v>31</v>
      </c>
      <c r="G31" s="138"/>
      <c r="H31" s="92" t="s">
        <v>36</v>
      </c>
      <c r="I31" s="93">
        <v>0</v>
      </c>
      <c r="J31" s="94">
        <v>0</v>
      </c>
      <c r="K31" s="95" t="s">
        <v>32</v>
      </c>
      <c r="L31" s="94">
        <v>0</v>
      </c>
      <c r="M31" s="94">
        <v>0</v>
      </c>
      <c r="N31" s="94">
        <v>0</v>
      </c>
      <c r="O31" s="96" t="s">
        <v>33</v>
      </c>
      <c r="P31" s="97">
        <v>0.79861111111111116</v>
      </c>
      <c r="Q31" s="94">
        <v>180</v>
      </c>
      <c r="R31" s="98" t="s">
        <v>32</v>
      </c>
    </row>
    <row r="32" spans="1:18" ht="17.399999999999999" customHeight="1" thickBot="1" x14ac:dyDescent="0.35">
      <c r="A32" s="161"/>
      <c r="B32" s="162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3"/>
    </row>
    <row r="33" spans="1:18" ht="22.05" customHeight="1" thickTop="1" thickBot="1" x14ac:dyDescent="0.35">
      <c r="A33" s="132" t="s">
        <v>8</v>
      </c>
      <c r="B33" s="130"/>
      <c r="C33" s="130"/>
      <c r="D33" s="130"/>
      <c r="E33" s="130"/>
      <c r="F33" s="131"/>
      <c r="G33" s="18">
        <v>46006</v>
      </c>
      <c r="H33" s="129" t="s">
        <v>9</v>
      </c>
      <c r="I33" s="130"/>
      <c r="J33" s="130"/>
      <c r="K33" s="130"/>
      <c r="L33" s="130"/>
      <c r="M33" s="130"/>
      <c r="N33" s="130"/>
      <c r="O33" s="130"/>
      <c r="P33" s="130"/>
      <c r="Q33" s="130"/>
      <c r="R33" s="131"/>
    </row>
    <row r="34" spans="1:18" ht="24" customHeight="1" x14ac:dyDescent="0.3">
      <c r="A34" s="19" t="s">
        <v>10</v>
      </c>
      <c r="B34" s="19" t="s">
        <v>11</v>
      </c>
      <c r="C34" s="20" t="s">
        <v>12</v>
      </c>
      <c r="D34" s="19" t="s">
        <v>13</v>
      </c>
      <c r="E34" s="19" t="s">
        <v>14</v>
      </c>
      <c r="F34" s="21" t="s">
        <v>15</v>
      </c>
      <c r="G34" s="22" t="s">
        <v>16</v>
      </c>
      <c r="H34" s="19" t="s">
        <v>17</v>
      </c>
      <c r="I34" s="23" t="s">
        <v>18</v>
      </c>
      <c r="J34" s="24" t="s">
        <v>19</v>
      </c>
      <c r="K34" s="25" t="s">
        <v>20</v>
      </c>
      <c r="L34" s="24" t="s">
        <v>21</v>
      </c>
      <c r="M34" s="24" t="s">
        <v>22</v>
      </c>
      <c r="N34" s="24" t="s">
        <v>23</v>
      </c>
      <c r="O34" s="19" t="s">
        <v>24</v>
      </c>
      <c r="P34" s="20" t="s">
        <v>25</v>
      </c>
      <c r="Q34" s="24" t="s">
        <v>26</v>
      </c>
      <c r="R34" s="19" t="s">
        <v>27</v>
      </c>
    </row>
    <row r="35" spans="1:18" ht="49.95" customHeight="1" thickTop="1" thickBot="1" x14ac:dyDescent="0.35">
      <c r="A35" s="56" t="s">
        <v>28</v>
      </c>
      <c r="B35" s="56" t="s">
        <v>29</v>
      </c>
      <c r="C35" s="57">
        <v>0.96180555555555547</v>
      </c>
      <c r="D35" s="56" t="s">
        <v>30</v>
      </c>
      <c r="E35" s="58"/>
      <c r="F35" s="56" t="s">
        <v>31</v>
      </c>
      <c r="G35" s="133"/>
      <c r="H35" s="76" t="s">
        <v>29</v>
      </c>
      <c r="I35" s="77">
        <v>0</v>
      </c>
      <c r="J35" s="78">
        <v>0</v>
      </c>
      <c r="K35" s="79" t="s">
        <v>32</v>
      </c>
      <c r="L35" s="78">
        <v>0</v>
      </c>
      <c r="M35" s="78">
        <v>0</v>
      </c>
      <c r="N35" s="78">
        <v>0</v>
      </c>
      <c r="O35" s="80" t="s">
        <v>33</v>
      </c>
      <c r="P35" s="81">
        <v>0.96180555555555547</v>
      </c>
      <c r="Q35" s="78">
        <v>180</v>
      </c>
      <c r="R35" s="82" t="s">
        <v>32</v>
      </c>
    </row>
    <row r="36" spans="1:18" ht="17.399999999999999" customHeight="1" thickBot="1" x14ac:dyDescent="0.35">
      <c r="A36" s="161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3"/>
    </row>
    <row r="37" spans="1:18" ht="22.05" customHeight="1" thickTop="1" thickBot="1" x14ac:dyDescent="0.35">
      <c r="A37" s="132" t="s">
        <v>8</v>
      </c>
      <c r="B37" s="130"/>
      <c r="C37" s="130"/>
      <c r="D37" s="130"/>
      <c r="E37" s="130"/>
      <c r="F37" s="131"/>
      <c r="G37" s="18">
        <v>46007</v>
      </c>
      <c r="H37" s="129" t="s">
        <v>9</v>
      </c>
      <c r="I37" s="130"/>
      <c r="J37" s="130"/>
      <c r="K37" s="130"/>
      <c r="L37" s="130"/>
      <c r="M37" s="130"/>
      <c r="N37" s="130"/>
      <c r="O37" s="130"/>
      <c r="P37" s="130"/>
      <c r="Q37" s="130"/>
      <c r="R37" s="131"/>
    </row>
    <row r="38" spans="1:18" ht="24" customHeight="1" x14ac:dyDescent="0.3">
      <c r="A38" s="19" t="s">
        <v>10</v>
      </c>
      <c r="B38" s="19" t="s">
        <v>11</v>
      </c>
      <c r="C38" s="20" t="s">
        <v>12</v>
      </c>
      <c r="D38" s="19" t="s">
        <v>13</v>
      </c>
      <c r="E38" s="19" t="s">
        <v>14</v>
      </c>
      <c r="F38" s="21" t="s">
        <v>15</v>
      </c>
      <c r="G38" s="22" t="s">
        <v>16</v>
      </c>
      <c r="H38" s="19" t="s">
        <v>17</v>
      </c>
      <c r="I38" s="23" t="s">
        <v>18</v>
      </c>
      <c r="J38" s="24" t="s">
        <v>19</v>
      </c>
      <c r="K38" s="25" t="s">
        <v>20</v>
      </c>
      <c r="L38" s="24" t="s">
        <v>21</v>
      </c>
      <c r="M38" s="24" t="s">
        <v>22</v>
      </c>
      <c r="N38" s="24" t="s">
        <v>23</v>
      </c>
      <c r="O38" s="19" t="s">
        <v>24</v>
      </c>
      <c r="P38" s="20" t="s">
        <v>25</v>
      </c>
      <c r="Q38" s="24" t="s">
        <v>26</v>
      </c>
      <c r="R38" s="19" t="s">
        <v>27</v>
      </c>
    </row>
    <row r="39" spans="1:18" ht="49.95" customHeight="1" x14ac:dyDescent="0.3">
      <c r="A39" s="99" t="s">
        <v>28</v>
      </c>
      <c r="B39" s="99" t="s">
        <v>34</v>
      </c>
      <c r="C39" s="100">
        <v>0.2638888888888889</v>
      </c>
      <c r="D39" s="99" t="s">
        <v>30</v>
      </c>
      <c r="E39" s="101"/>
      <c r="F39" s="99" t="s">
        <v>31</v>
      </c>
      <c r="G39" s="139"/>
      <c r="H39" s="102" t="s">
        <v>34</v>
      </c>
      <c r="I39" s="103">
        <v>0</v>
      </c>
      <c r="J39" s="104">
        <v>0</v>
      </c>
      <c r="K39" s="105" t="s">
        <v>32</v>
      </c>
      <c r="L39" s="104">
        <v>0</v>
      </c>
      <c r="M39" s="104">
        <v>0</v>
      </c>
      <c r="N39" s="104">
        <v>0</v>
      </c>
      <c r="O39" s="106" t="s">
        <v>33</v>
      </c>
      <c r="P39" s="107">
        <v>0.2638888888888889</v>
      </c>
      <c r="Q39" s="104">
        <v>180</v>
      </c>
      <c r="R39" s="108" t="s">
        <v>32</v>
      </c>
    </row>
    <row r="40" spans="1:18" ht="49.95" customHeight="1" thickBot="1" x14ac:dyDescent="0.35">
      <c r="A40" s="89" t="s">
        <v>28</v>
      </c>
      <c r="B40" s="89" t="s">
        <v>35</v>
      </c>
      <c r="C40" s="90">
        <v>0.63888888888888895</v>
      </c>
      <c r="D40" s="89" t="s">
        <v>30</v>
      </c>
      <c r="E40" s="91"/>
      <c r="F40" s="89" t="s">
        <v>31</v>
      </c>
      <c r="G40" s="138"/>
      <c r="H40" s="92" t="s">
        <v>35</v>
      </c>
      <c r="I40" s="93">
        <v>0</v>
      </c>
      <c r="J40" s="94">
        <v>0</v>
      </c>
      <c r="K40" s="95" t="s">
        <v>32</v>
      </c>
      <c r="L40" s="94">
        <v>0</v>
      </c>
      <c r="M40" s="94">
        <v>0</v>
      </c>
      <c r="N40" s="94">
        <v>0</v>
      </c>
      <c r="O40" s="96" t="s">
        <v>33</v>
      </c>
      <c r="P40" s="97">
        <v>0.63888888888888895</v>
      </c>
      <c r="Q40" s="94">
        <v>180</v>
      </c>
      <c r="R40" s="98" t="s">
        <v>32</v>
      </c>
    </row>
    <row r="41" spans="1:18" ht="17.399999999999999" customHeight="1" thickBot="1" x14ac:dyDescent="0.35">
      <c r="A41" s="161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3"/>
    </row>
    <row r="42" spans="1:18" ht="22.05" customHeight="1" thickTop="1" thickBot="1" x14ac:dyDescent="0.35">
      <c r="A42" s="132" t="s">
        <v>8</v>
      </c>
      <c r="B42" s="130"/>
      <c r="C42" s="130"/>
      <c r="D42" s="130"/>
      <c r="E42" s="130"/>
      <c r="F42" s="131"/>
      <c r="G42" s="18">
        <v>46013</v>
      </c>
      <c r="H42" s="129" t="s">
        <v>9</v>
      </c>
      <c r="I42" s="130"/>
      <c r="J42" s="130"/>
      <c r="K42" s="130"/>
      <c r="L42" s="130"/>
      <c r="M42" s="130"/>
      <c r="N42" s="130"/>
      <c r="O42" s="130"/>
      <c r="P42" s="130"/>
      <c r="Q42" s="130"/>
      <c r="R42" s="131"/>
    </row>
    <row r="43" spans="1:18" ht="24" customHeight="1" x14ac:dyDescent="0.3">
      <c r="A43" s="19" t="s">
        <v>10</v>
      </c>
      <c r="B43" s="19" t="s">
        <v>11</v>
      </c>
      <c r="C43" s="20" t="s">
        <v>12</v>
      </c>
      <c r="D43" s="19" t="s">
        <v>13</v>
      </c>
      <c r="E43" s="19" t="s">
        <v>14</v>
      </c>
      <c r="F43" s="21" t="s">
        <v>15</v>
      </c>
      <c r="G43" s="22" t="s">
        <v>16</v>
      </c>
      <c r="H43" s="19" t="s">
        <v>17</v>
      </c>
      <c r="I43" s="23" t="s">
        <v>18</v>
      </c>
      <c r="J43" s="24" t="s">
        <v>19</v>
      </c>
      <c r="K43" s="25" t="s">
        <v>20</v>
      </c>
      <c r="L43" s="24" t="s">
        <v>21</v>
      </c>
      <c r="M43" s="24" t="s">
        <v>22</v>
      </c>
      <c r="N43" s="24" t="s">
        <v>23</v>
      </c>
      <c r="O43" s="19" t="s">
        <v>24</v>
      </c>
      <c r="P43" s="20" t="s">
        <v>25</v>
      </c>
      <c r="Q43" s="24" t="s">
        <v>26</v>
      </c>
      <c r="R43" s="19" t="s">
        <v>27</v>
      </c>
    </row>
    <row r="44" spans="1:18" ht="49.95" customHeight="1" thickTop="1" thickBot="1" x14ac:dyDescent="0.35">
      <c r="A44" s="109" t="s">
        <v>28</v>
      </c>
      <c r="B44" s="109" t="s">
        <v>29</v>
      </c>
      <c r="C44" s="110">
        <v>0.96180555555555547</v>
      </c>
      <c r="D44" s="109" t="s">
        <v>30</v>
      </c>
      <c r="E44" s="111"/>
      <c r="F44" s="109" t="s">
        <v>31</v>
      </c>
      <c r="G44" s="133"/>
      <c r="H44" s="92" t="s">
        <v>29</v>
      </c>
      <c r="I44" s="93">
        <v>0</v>
      </c>
      <c r="J44" s="94">
        <v>0</v>
      </c>
      <c r="K44" s="95" t="s">
        <v>32</v>
      </c>
      <c r="L44" s="94">
        <v>0</v>
      </c>
      <c r="M44" s="94">
        <v>0</v>
      </c>
      <c r="N44" s="94">
        <v>0</v>
      </c>
      <c r="O44" s="96" t="s">
        <v>33</v>
      </c>
      <c r="P44" s="97">
        <v>0.96180555555555547</v>
      </c>
      <c r="Q44" s="94">
        <v>180</v>
      </c>
      <c r="R44" s="98" t="s">
        <v>32</v>
      </c>
    </row>
    <row r="45" spans="1:18" ht="17.399999999999999" customHeight="1" thickBot="1" x14ac:dyDescent="0.35">
      <c r="A45" s="161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3"/>
    </row>
    <row r="46" spans="1:18" ht="22.05" customHeight="1" thickTop="1" thickBot="1" x14ac:dyDescent="0.35">
      <c r="A46" s="132" t="s">
        <v>8</v>
      </c>
      <c r="B46" s="130"/>
      <c r="C46" s="130"/>
      <c r="D46" s="130"/>
      <c r="E46" s="130"/>
      <c r="F46" s="131"/>
      <c r="G46" s="18">
        <v>46014</v>
      </c>
      <c r="H46" s="129" t="s">
        <v>9</v>
      </c>
      <c r="I46" s="130"/>
      <c r="J46" s="130"/>
      <c r="K46" s="130"/>
      <c r="L46" s="130"/>
      <c r="M46" s="130"/>
      <c r="N46" s="130"/>
      <c r="O46" s="130"/>
      <c r="P46" s="130"/>
      <c r="Q46" s="130"/>
      <c r="R46" s="131"/>
    </row>
    <row r="47" spans="1:18" ht="24" customHeight="1" x14ac:dyDescent="0.3">
      <c r="A47" s="19" t="s">
        <v>10</v>
      </c>
      <c r="B47" s="19" t="s">
        <v>11</v>
      </c>
      <c r="C47" s="20" t="s">
        <v>12</v>
      </c>
      <c r="D47" s="19" t="s">
        <v>13</v>
      </c>
      <c r="E47" s="19" t="s">
        <v>14</v>
      </c>
      <c r="F47" s="21" t="s">
        <v>15</v>
      </c>
      <c r="G47" s="22" t="s">
        <v>16</v>
      </c>
      <c r="H47" s="19" t="s">
        <v>17</v>
      </c>
      <c r="I47" s="23" t="s">
        <v>18</v>
      </c>
      <c r="J47" s="24" t="s">
        <v>19</v>
      </c>
      <c r="K47" s="25" t="s">
        <v>20</v>
      </c>
      <c r="L47" s="24" t="s">
        <v>21</v>
      </c>
      <c r="M47" s="24" t="s">
        <v>22</v>
      </c>
      <c r="N47" s="24" t="s">
        <v>23</v>
      </c>
      <c r="O47" s="19" t="s">
        <v>24</v>
      </c>
      <c r="P47" s="20" t="s">
        <v>25</v>
      </c>
      <c r="Q47" s="24" t="s">
        <v>26</v>
      </c>
      <c r="R47" s="19" t="s">
        <v>27</v>
      </c>
    </row>
    <row r="48" spans="1:18" ht="49.95" customHeight="1" x14ac:dyDescent="0.3">
      <c r="A48" s="109" t="s">
        <v>28</v>
      </c>
      <c r="B48" s="109" t="s">
        <v>34</v>
      </c>
      <c r="C48" s="110">
        <v>0.2638888888888889</v>
      </c>
      <c r="D48" s="109" t="s">
        <v>30</v>
      </c>
      <c r="E48" s="111"/>
      <c r="F48" s="109" t="s">
        <v>31</v>
      </c>
      <c r="G48" s="139"/>
      <c r="H48" s="112" t="s">
        <v>34</v>
      </c>
      <c r="I48" s="113">
        <v>0</v>
      </c>
      <c r="J48" s="114">
        <v>0</v>
      </c>
      <c r="K48" s="115" t="s">
        <v>32</v>
      </c>
      <c r="L48" s="114">
        <v>0</v>
      </c>
      <c r="M48" s="114">
        <v>0</v>
      </c>
      <c r="N48" s="114">
        <v>0</v>
      </c>
      <c r="O48" s="116" t="s">
        <v>33</v>
      </c>
      <c r="P48" s="117">
        <v>0.2638888888888889</v>
      </c>
      <c r="Q48" s="114">
        <v>180</v>
      </c>
      <c r="R48" s="118" t="s">
        <v>32</v>
      </c>
    </row>
    <row r="49" spans="1:18" ht="49.95" customHeight="1" x14ac:dyDescent="0.3">
      <c r="A49" s="119" t="s">
        <v>28</v>
      </c>
      <c r="B49" s="119" t="s">
        <v>35</v>
      </c>
      <c r="C49" s="120">
        <v>0.63888888888888895</v>
      </c>
      <c r="D49" s="119" t="s">
        <v>30</v>
      </c>
      <c r="E49" s="121"/>
      <c r="F49" s="119" t="s">
        <v>31</v>
      </c>
      <c r="G49" s="137"/>
      <c r="H49" s="122" t="s">
        <v>35</v>
      </c>
      <c r="I49" s="123">
        <v>0</v>
      </c>
      <c r="J49" s="124">
        <v>0</v>
      </c>
      <c r="K49" s="125" t="s">
        <v>32</v>
      </c>
      <c r="L49" s="124">
        <v>0</v>
      </c>
      <c r="M49" s="124">
        <v>0</v>
      </c>
      <c r="N49" s="124">
        <v>0</v>
      </c>
      <c r="O49" s="126" t="s">
        <v>33</v>
      </c>
      <c r="P49" s="127">
        <v>0.63888888888888895</v>
      </c>
      <c r="Q49" s="124">
        <v>180</v>
      </c>
      <c r="R49" s="128" t="s">
        <v>32</v>
      </c>
    </row>
    <row r="50" spans="1:18" ht="49.95" customHeight="1" thickBot="1" x14ac:dyDescent="0.35">
      <c r="A50" s="89" t="s">
        <v>28</v>
      </c>
      <c r="B50" s="89" t="s">
        <v>36</v>
      </c>
      <c r="C50" s="90">
        <v>0.79861111111111116</v>
      </c>
      <c r="D50" s="89" t="s">
        <v>30</v>
      </c>
      <c r="E50" s="91"/>
      <c r="F50" s="89" t="s">
        <v>31</v>
      </c>
      <c r="G50" s="138"/>
      <c r="H50" s="92" t="s">
        <v>36</v>
      </c>
      <c r="I50" s="93">
        <v>0</v>
      </c>
      <c r="J50" s="94">
        <v>0</v>
      </c>
      <c r="K50" s="95" t="s">
        <v>32</v>
      </c>
      <c r="L50" s="94">
        <v>0</v>
      </c>
      <c r="M50" s="94">
        <v>0</v>
      </c>
      <c r="N50" s="94">
        <v>0</v>
      </c>
      <c r="O50" s="96" t="s">
        <v>33</v>
      </c>
      <c r="P50" s="97">
        <v>0.79861111111111116</v>
      </c>
      <c r="Q50" s="94">
        <v>180</v>
      </c>
      <c r="R50" s="98" t="s">
        <v>32</v>
      </c>
    </row>
    <row r="51" spans="1:18" ht="17.399999999999999" customHeight="1" thickBot="1" x14ac:dyDescent="0.35">
      <c r="A51" s="161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3"/>
    </row>
    <row r="52" spans="1:18" ht="15" thickTop="1" x14ac:dyDescent="0.3"/>
  </sheetData>
  <mergeCells count="47">
    <mergeCell ref="A51:R51"/>
    <mergeCell ref="A36:R36"/>
    <mergeCell ref="H33:R33"/>
    <mergeCell ref="A45:R45"/>
    <mergeCell ref="H42:R42"/>
    <mergeCell ref="N1:R1"/>
    <mergeCell ref="G48:G50"/>
    <mergeCell ref="A13:R13"/>
    <mergeCell ref="K2:R2"/>
    <mergeCell ref="H37:R37"/>
    <mergeCell ref="G6"/>
    <mergeCell ref="G10:G12"/>
    <mergeCell ref="H27:R27"/>
    <mergeCell ref="H18:R18"/>
    <mergeCell ref="H14:R14"/>
    <mergeCell ref="H1:L1"/>
    <mergeCell ref="A1:E1"/>
    <mergeCell ref="G25"/>
    <mergeCell ref="A18:F18"/>
    <mergeCell ref="G29:G31"/>
    <mergeCell ref="G16"/>
    <mergeCell ref="H4:R4"/>
    <mergeCell ref="A2:F2"/>
    <mergeCell ref="A3:R3"/>
    <mergeCell ref="A26:R26"/>
    <mergeCell ref="A14:F14"/>
    <mergeCell ref="A23:F23"/>
    <mergeCell ref="A8:F8"/>
    <mergeCell ref="G2:J2"/>
    <mergeCell ref="A4:F4"/>
    <mergeCell ref="A17:R17"/>
    <mergeCell ref="H23:R23"/>
    <mergeCell ref="H8:R8"/>
    <mergeCell ref="A46:F46"/>
    <mergeCell ref="A7:R7"/>
    <mergeCell ref="G35"/>
    <mergeCell ref="A41:R41"/>
    <mergeCell ref="A37:F37"/>
    <mergeCell ref="A27:F27"/>
    <mergeCell ref="G39:G40"/>
    <mergeCell ref="G44"/>
    <mergeCell ref="A33:F33"/>
    <mergeCell ref="A42:F42"/>
    <mergeCell ref="H46:R46"/>
    <mergeCell ref="A32:R32"/>
    <mergeCell ref="G20:G21"/>
    <mergeCell ref="A22:R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0"/>
  <sheetViews>
    <sheetView workbookViewId="0"/>
  </sheetViews>
  <sheetFormatPr defaultRowHeight="15.6" outlineLevelCol="1" x14ac:dyDescent="0.3"/>
  <cols>
    <col min="1" max="1" width="8.6640625" style="148" bestFit="1" customWidth="1"/>
    <col min="2" max="2" width="10.44140625" style="148" bestFit="1" customWidth="1"/>
    <col min="3" max="3" width="6.77734375" style="148" bestFit="1" customWidth="1"/>
    <col min="4" max="4" width="5.5546875" style="148" bestFit="1" customWidth="1"/>
    <col min="5" max="5" width="7.77734375" style="148" bestFit="1" customWidth="1"/>
    <col min="6" max="6" width="4.21875" style="148" bestFit="1" customWidth="1"/>
    <col min="7" max="7" width="8.44140625" style="148" bestFit="1" customWidth="1"/>
    <col min="8" max="8" width="8.5546875" style="148" bestFit="1" customWidth="1"/>
    <col min="9" max="10" width="7" style="148" bestFit="1" customWidth="1"/>
    <col min="11" max="11" width="10.5546875" style="148" bestFit="1" customWidth="1"/>
    <col min="12" max="12" width="9" style="148" bestFit="1" customWidth="1"/>
    <col min="13" max="13" width="7.6640625" style="148" bestFit="1" customWidth="1" outlineLevel="1"/>
    <col min="14" max="14" width="6.33203125" style="148" bestFit="1" customWidth="1" outlineLevel="1"/>
    <col min="15" max="15" width="8" style="148" bestFit="1" customWidth="1" outlineLevel="1"/>
    <col min="16" max="16" width="13.6640625" style="148" bestFit="1" customWidth="1"/>
    <col min="17" max="36" width="3.88671875" style="148" bestFit="1" customWidth="1"/>
    <col min="37" max="16384" width="8.88671875" style="148"/>
  </cols>
  <sheetData>
    <row r="1" spans="1:36" x14ac:dyDescent="0.3">
      <c r="A1" s="147" t="s">
        <v>37</v>
      </c>
      <c r="B1" s="147" t="s">
        <v>38</v>
      </c>
      <c r="C1" s="147" t="s">
        <v>39</v>
      </c>
      <c r="D1" s="147" t="s">
        <v>25</v>
      </c>
      <c r="E1" s="147" t="s">
        <v>40</v>
      </c>
      <c r="F1" s="147" t="s">
        <v>41</v>
      </c>
      <c r="G1" s="147" t="s">
        <v>18</v>
      </c>
      <c r="H1" s="147" t="s">
        <v>42</v>
      </c>
      <c r="I1" s="147" t="s">
        <v>43</v>
      </c>
      <c r="J1" s="147" t="s">
        <v>44</v>
      </c>
      <c r="K1" s="147" t="s">
        <v>45</v>
      </c>
      <c r="L1" s="147" t="s">
        <v>20</v>
      </c>
      <c r="M1" s="147" t="s">
        <v>22</v>
      </c>
      <c r="N1" s="147" t="s">
        <v>23</v>
      </c>
      <c r="O1" s="147" t="s">
        <v>21</v>
      </c>
      <c r="P1" s="147" t="s">
        <v>24</v>
      </c>
      <c r="Q1" s="147" t="s">
        <v>46</v>
      </c>
      <c r="R1" s="147" t="s">
        <v>47</v>
      </c>
      <c r="S1" s="147" t="s">
        <v>48</v>
      </c>
      <c r="T1" s="147" t="s">
        <v>49</v>
      </c>
      <c r="U1" s="147" t="s">
        <v>50</v>
      </c>
      <c r="V1" s="147" t="s">
        <v>51</v>
      </c>
      <c r="W1" s="147" t="s">
        <v>52</v>
      </c>
      <c r="X1" s="147" t="s">
        <v>53</v>
      </c>
      <c r="Y1" s="147" t="s">
        <v>54</v>
      </c>
      <c r="Z1" s="147" t="s">
        <v>55</v>
      </c>
      <c r="AA1" s="147" t="s">
        <v>56</v>
      </c>
      <c r="AB1" s="147" t="s">
        <v>57</v>
      </c>
      <c r="AC1" s="147" t="s">
        <v>58</v>
      </c>
      <c r="AD1" s="147" t="s">
        <v>59</v>
      </c>
      <c r="AE1" s="147" t="s">
        <v>60</v>
      </c>
      <c r="AF1" s="147" t="s">
        <v>61</v>
      </c>
      <c r="AG1" s="147" t="s">
        <v>62</v>
      </c>
      <c r="AH1" s="147" t="s">
        <v>63</v>
      </c>
      <c r="AI1" s="147" t="s">
        <v>64</v>
      </c>
      <c r="AJ1" s="147" t="s">
        <v>65</v>
      </c>
    </row>
    <row r="2" spans="1:36" x14ac:dyDescent="0.3">
      <c r="A2" s="149" t="s">
        <v>66</v>
      </c>
      <c r="B2" s="150">
        <v>45985</v>
      </c>
      <c r="C2" s="151" t="s">
        <v>29</v>
      </c>
      <c r="D2" s="152" t="s">
        <v>67</v>
      </c>
      <c r="E2" s="151" t="s">
        <v>1</v>
      </c>
      <c r="F2" s="151" t="s">
        <v>68</v>
      </c>
      <c r="G2" s="153">
        <v>0</v>
      </c>
      <c r="H2" s="154">
        <v>180</v>
      </c>
      <c r="I2" s="154">
        <v>0</v>
      </c>
      <c r="J2" s="154">
        <v>0</v>
      </c>
      <c r="K2" s="151" t="s">
        <v>69</v>
      </c>
      <c r="L2" s="155" t="s">
        <v>32</v>
      </c>
      <c r="M2" s="154">
        <v>0</v>
      </c>
      <c r="N2" s="154">
        <v>0</v>
      </c>
      <c r="O2" s="154">
        <v>0</v>
      </c>
      <c r="P2" s="151" t="s">
        <v>33</v>
      </c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</row>
    <row r="3" spans="1:36" x14ac:dyDescent="0.3">
      <c r="A3" s="149" t="s">
        <v>70</v>
      </c>
      <c r="B3" s="150">
        <v>45986</v>
      </c>
      <c r="C3" s="151" t="s">
        <v>34</v>
      </c>
      <c r="D3" s="152" t="s">
        <v>71</v>
      </c>
      <c r="E3" s="151" t="s">
        <v>1</v>
      </c>
      <c r="F3" s="151" t="s">
        <v>68</v>
      </c>
      <c r="G3" s="153">
        <v>0</v>
      </c>
      <c r="H3" s="154">
        <v>180</v>
      </c>
      <c r="I3" s="154">
        <v>0</v>
      </c>
      <c r="J3" s="154">
        <v>0</v>
      </c>
      <c r="K3" s="151" t="s">
        <v>69</v>
      </c>
      <c r="L3" s="155" t="s">
        <v>32</v>
      </c>
      <c r="M3" s="154">
        <v>0</v>
      </c>
      <c r="N3" s="154">
        <v>0</v>
      </c>
      <c r="O3" s="154">
        <v>0</v>
      </c>
      <c r="P3" s="151" t="s">
        <v>33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</row>
    <row r="4" spans="1:36" x14ac:dyDescent="0.3">
      <c r="A4" s="149" t="s">
        <v>70</v>
      </c>
      <c r="B4" s="150">
        <v>45986</v>
      </c>
      <c r="C4" s="151" t="s">
        <v>35</v>
      </c>
      <c r="D4" s="152" t="s">
        <v>72</v>
      </c>
      <c r="E4" s="151" t="s">
        <v>1</v>
      </c>
      <c r="F4" s="151" t="s">
        <v>68</v>
      </c>
      <c r="G4" s="153">
        <v>0</v>
      </c>
      <c r="H4" s="154">
        <v>180</v>
      </c>
      <c r="I4" s="154">
        <v>0</v>
      </c>
      <c r="J4" s="154">
        <v>0</v>
      </c>
      <c r="K4" s="151" t="s">
        <v>69</v>
      </c>
      <c r="L4" s="155" t="s">
        <v>32</v>
      </c>
      <c r="M4" s="154">
        <v>0</v>
      </c>
      <c r="N4" s="154">
        <v>0</v>
      </c>
      <c r="O4" s="154">
        <v>0</v>
      </c>
      <c r="P4" s="151" t="s">
        <v>33</v>
      </c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</row>
    <row r="5" spans="1:36" x14ac:dyDescent="0.3">
      <c r="A5" s="149" t="s">
        <v>70</v>
      </c>
      <c r="B5" s="150">
        <v>45986</v>
      </c>
      <c r="C5" s="151" t="s">
        <v>36</v>
      </c>
      <c r="D5" s="152" t="s">
        <v>73</v>
      </c>
      <c r="E5" s="151" t="s">
        <v>1</v>
      </c>
      <c r="F5" s="151" t="s">
        <v>68</v>
      </c>
      <c r="G5" s="153">
        <v>0</v>
      </c>
      <c r="H5" s="154">
        <v>180</v>
      </c>
      <c r="I5" s="154">
        <v>0</v>
      </c>
      <c r="J5" s="154">
        <v>0</v>
      </c>
      <c r="K5" s="151" t="s">
        <v>69</v>
      </c>
      <c r="L5" s="155" t="s">
        <v>32</v>
      </c>
      <c r="M5" s="154">
        <v>0</v>
      </c>
      <c r="N5" s="154">
        <v>0</v>
      </c>
      <c r="O5" s="154">
        <v>0</v>
      </c>
      <c r="P5" s="151" t="s">
        <v>33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</row>
    <row r="6" spans="1:36" x14ac:dyDescent="0.3">
      <c r="A6" s="149" t="s">
        <v>66</v>
      </c>
      <c r="B6" s="150">
        <v>45992</v>
      </c>
      <c r="C6" s="151" t="s">
        <v>29</v>
      </c>
      <c r="D6" s="152" t="s">
        <v>67</v>
      </c>
      <c r="E6" s="151" t="s">
        <v>1</v>
      </c>
      <c r="F6" s="151" t="s">
        <v>68</v>
      </c>
      <c r="G6" s="153">
        <v>0</v>
      </c>
      <c r="H6" s="154">
        <v>180</v>
      </c>
      <c r="I6" s="154">
        <v>0</v>
      </c>
      <c r="J6" s="154">
        <v>0</v>
      </c>
      <c r="K6" s="151" t="s">
        <v>69</v>
      </c>
      <c r="L6" s="155" t="s">
        <v>32</v>
      </c>
      <c r="M6" s="154">
        <v>0</v>
      </c>
      <c r="N6" s="154">
        <v>0</v>
      </c>
      <c r="O6" s="154">
        <v>0</v>
      </c>
      <c r="P6" s="151" t="s">
        <v>33</v>
      </c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</row>
    <row r="7" spans="1:36" x14ac:dyDescent="0.3">
      <c r="A7" s="149" t="s">
        <v>70</v>
      </c>
      <c r="B7" s="150">
        <v>45993</v>
      </c>
      <c r="C7" s="151" t="s">
        <v>34</v>
      </c>
      <c r="D7" s="152" t="s">
        <v>71</v>
      </c>
      <c r="E7" s="151" t="s">
        <v>1</v>
      </c>
      <c r="F7" s="151" t="s">
        <v>68</v>
      </c>
      <c r="G7" s="153">
        <v>0</v>
      </c>
      <c r="H7" s="154">
        <v>180</v>
      </c>
      <c r="I7" s="154">
        <v>0</v>
      </c>
      <c r="J7" s="154">
        <v>0</v>
      </c>
      <c r="K7" s="151" t="s">
        <v>69</v>
      </c>
      <c r="L7" s="155" t="s">
        <v>32</v>
      </c>
      <c r="M7" s="154">
        <v>0</v>
      </c>
      <c r="N7" s="154">
        <v>0</v>
      </c>
      <c r="O7" s="154">
        <v>0</v>
      </c>
      <c r="P7" s="151" t="s">
        <v>33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</row>
    <row r="8" spans="1:36" x14ac:dyDescent="0.3">
      <c r="A8" s="149" t="s">
        <v>70</v>
      </c>
      <c r="B8" s="150">
        <v>45993</v>
      </c>
      <c r="C8" s="151" t="s">
        <v>35</v>
      </c>
      <c r="D8" s="152" t="s">
        <v>72</v>
      </c>
      <c r="E8" s="151" t="s">
        <v>1</v>
      </c>
      <c r="F8" s="151" t="s">
        <v>68</v>
      </c>
      <c r="G8" s="153">
        <v>0</v>
      </c>
      <c r="H8" s="154">
        <v>180</v>
      </c>
      <c r="I8" s="154">
        <v>0</v>
      </c>
      <c r="J8" s="154">
        <v>0</v>
      </c>
      <c r="K8" s="151" t="s">
        <v>69</v>
      </c>
      <c r="L8" s="155" t="s">
        <v>32</v>
      </c>
      <c r="M8" s="154">
        <v>0</v>
      </c>
      <c r="N8" s="154">
        <v>0</v>
      </c>
      <c r="O8" s="154">
        <v>0</v>
      </c>
      <c r="P8" s="151" t="s">
        <v>33</v>
      </c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</row>
    <row r="9" spans="1:36" x14ac:dyDescent="0.3">
      <c r="A9" s="149" t="s">
        <v>66</v>
      </c>
      <c r="B9" s="150">
        <v>45999</v>
      </c>
      <c r="C9" s="151" t="s">
        <v>29</v>
      </c>
      <c r="D9" s="152" t="s">
        <v>67</v>
      </c>
      <c r="E9" s="151" t="s">
        <v>1</v>
      </c>
      <c r="F9" s="151" t="s">
        <v>68</v>
      </c>
      <c r="G9" s="153">
        <v>0</v>
      </c>
      <c r="H9" s="154">
        <v>180</v>
      </c>
      <c r="I9" s="154">
        <v>0</v>
      </c>
      <c r="J9" s="154">
        <v>0</v>
      </c>
      <c r="K9" s="151" t="s">
        <v>69</v>
      </c>
      <c r="L9" s="155" t="s">
        <v>32</v>
      </c>
      <c r="M9" s="154">
        <v>0</v>
      </c>
      <c r="N9" s="154">
        <v>0</v>
      </c>
      <c r="O9" s="154">
        <v>0</v>
      </c>
      <c r="P9" s="151" t="s">
        <v>33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</row>
    <row r="10" spans="1:36" x14ac:dyDescent="0.3">
      <c r="A10" s="149" t="s">
        <v>70</v>
      </c>
      <c r="B10" s="150">
        <v>46000</v>
      </c>
      <c r="C10" s="151" t="s">
        <v>34</v>
      </c>
      <c r="D10" s="152" t="s">
        <v>71</v>
      </c>
      <c r="E10" s="151" t="s">
        <v>1</v>
      </c>
      <c r="F10" s="151" t="s">
        <v>68</v>
      </c>
      <c r="G10" s="153">
        <v>0</v>
      </c>
      <c r="H10" s="154">
        <v>180</v>
      </c>
      <c r="I10" s="154">
        <v>0</v>
      </c>
      <c r="J10" s="154">
        <v>0</v>
      </c>
      <c r="K10" s="151" t="s">
        <v>69</v>
      </c>
      <c r="L10" s="155" t="s">
        <v>32</v>
      </c>
      <c r="M10" s="154">
        <v>0</v>
      </c>
      <c r="N10" s="154">
        <v>0</v>
      </c>
      <c r="O10" s="154">
        <v>0</v>
      </c>
      <c r="P10" s="151" t="s">
        <v>33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</row>
    <row r="11" spans="1:36" x14ac:dyDescent="0.3">
      <c r="A11" s="149" t="s">
        <v>70</v>
      </c>
      <c r="B11" s="150">
        <v>46000</v>
      </c>
      <c r="C11" s="151" t="s">
        <v>35</v>
      </c>
      <c r="D11" s="152" t="s">
        <v>72</v>
      </c>
      <c r="E11" s="151" t="s">
        <v>1</v>
      </c>
      <c r="F11" s="151" t="s">
        <v>68</v>
      </c>
      <c r="G11" s="153">
        <v>0</v>
      </c>
      <c r="H11" s="154">
        <v>180</v>
      </c>
      <c r="I11" s="154">
        <v>0</v>
      </c>
      <c r="J11" s="154">
        <v>0</v>
      </c>
      <c r="K11" s="151" t="s">
        <v>69</v>
      </c>
      <c r="L11" s="155" t="s">
        <v>32</v>
      </c>
      <c r="M11" s="154">
        <v>0</v>
      </c>
      <c r="N11" s="154">
        <v>0</v>
      </c>
      <c r="O11" s="154">
        <v>0</v>
      </c>
      <c r="P11" s="151" t="s">
        <v>33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</row>
    <row r="12" spans="1:36" x14ac:dyDescent="0.3">
      <c r="A12" s="149" t="s">
        <v>70</v>
      </c>
      <c r="B12" s="150">
        <v>46000</v>
      </c>
      <c r="C12" s="151" t="s">
        <v>36</v>
      </c>
      <c r="D12" s="152" t="s">
        <v>74</v>
      </c>
      <c r="E12" s="151" t="s">
        <v>1</v>
      </c>
      <c r="F12" s="151" t="s">
        <v>68</v>
      </c>
      <c r="G12" s="153">
        <v>0</v>
      </c>
      <c r="H12" s="154">
        <v>180</v>
      </c>
      <c r="I12" s="154">
        <v>0</v>
      </c>
      <c r="J12" s="154">
        <v>0</v>
      </c>
      <c r="K12" s="151" t="s">
        <v>69</v>
      </c>
      <c r="L12" s="155" t="s">
        <v>32</v>
      </c>
      <c r="M12" s="154">
        <v>0</v>
      </c>
      <c r="N12" s="154">
        <v>0</v>
      </c>
      <c r="O12" s="154">
        <v>0</v>
      </c>
      <c r="P12" s="151" t="s">
        <v>33</v>
      </c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</row>
    <row r="13" spans="1:36" x14ac:dyDescent="0.3">
      <c r="A13" s="149" t="s">
        <v>66</v>
      </c>
      <c r="B13" s="150">
        <v>46006</v>
      </c>
      <c r="C13" s="151" t="s">
        <v>29</v>
      </c>
      <c r="D13" s="152" t="s">
        <v>67</v>
      </c>
      <c r="E13" s="151" t="s">
        <v>1</v>
      </c>
      <c r="F13" s="151" t="s">
        <v>68</v>
      </c>
      <c r="G13" s="153">
        <v>0</v>
      </c>
      <c r="H13" s="154">
        <v>180</v>
      </c>
      <c r="I13" s="154">
        <v>0</v>
      </c>
      <c r="J13" s="154">
        <v>0</v>
      </c>
      <c r="K13" s="151" t="s">
        <v>69</v>
      </c>
      <c r="L13" s="155" t="s">
        <v>32</v>
      </c>
      <c r="M13" s="154">
        <v>0</v>
      </c>
      <c r="N13" s="154">
        <v>0</v>
      </c>
      <c r="O13" s="154">
        <v>0</v>
      </c>
      <c r="P13" s="151" t="s">
        <v>33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</row>
    <row r="14" spans="1:36" x14ac:dyDescent="0.3">
      <c r="A14" s="149" t="s">
        <v>70</v>
      </c>
      <c r="B14" s="150">
        <v>46007</v>
      </c>
      <c r="C14" s="151" t="s">
        <v>34</v>
      </c>
      <c r="D14" s="152" t="s">
        <v>71</v>
      </c>
      <c r="E14" s="151" t="s">
        <v>1</v>
      </c>
      <c r="F14" s="151" t="s">
        <v>68</v>
      </c>
      <c r="G14" s="153">
        <v>0</v>
      </c>
      <c r="H14" s="154">
        <v>180</v>
      </c>
      <c r="I14" s="154">
        <v>0</v>
      </c>
      <c r="J14" s="154">
        <v>0</v>
      </c>
      <c r="K14" s="151" t="s">
        <v>69</v>
      </c>
      <c r="L14" s="155" t="s">
        <v>32</v>
      </c>
      <c r="M14" s="154">
        <v>0</v>
      </c>
      <c r="N14" s="154">
        <v>0</v>
      </c>
      <c r="O14" s="154">
        <v>0</v>
      </c>
      <c r="P14" s="151" t="s">
        <v>33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</row>
    <row r="15" spans="1:36" x14ac:dyDescent="0.3">
      <c r="A15" s="149" t="s">
        <v>70</v>
      </c>
      <c r="B15" s="150">
        <v>46007</v>
      </c>
      <c r="C15" s="151" t="s">
        <v>35</v>
      </c>
      <c r="D15" s="152" t="s">
        <v>72</v>
      </c>
      <c r="E15" s="151" t="s">
        <v>1</v>
      </c>
      <c r="F15" s="151" t="s">
        <v>68</v>
      </c>
      <c r="G15" s="153">
        <v>0</v>
      </c>
      <c r="H15" s="154">
        <v>180</v>
      </c>
      <c r="I15" s="154">
        <v>0</v>
      </c>
      <c r="J15" s="154">
        <v>0</v>
      </c>
      <c r="K15" s="151" t="s">
        <v>69</v>
      </c>
      <c r="L15" s="155" t="s">
        <v>32</v>
      </c>
      <c r="M15" s="154">
        <v>0</v>
      </c>
      <c r="N15" s="154">
        <v>0</v>
      </c>
      <c r="O15" s="154">
        <v>0</v>
      </c>
      <c r="P15" s="151" t="s">
        <v>33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</row>
    <row r="16" spans="1:36" x14ac:dyDescent="0.3">
      <c r="A16" s="149" t="s">
        <v>66</v>
      </c>
      <c r="B16" s="150">
        <v>46013</v>
      </c>
      <c r="C16" s="151" t="s">
        <v>29</v>
      </c>
      <c r="D16" s="152" t="s">
        <v>67</v>
      </c>
      <c r="E16" s="151" t="s">
        <v>1</v>
      </c>
      <c r="F16" s="151" t="s">
        <v>68</v>
      </c>
      <c r="G16" s="153">
        <v>0</v>
      </c>
      <c r="H16" s="154">
        <v>180</v>
      </c>
      <c r="I16" s="154">
        <v>0</v>
      </c>
      <c r="J16" s="154">
        <v>0</v>
      </c>
      <c r="K16" s="151" t="s">
        <v>69</v>
      </c>
      <c r="L16" s="155" t="s">
        <v>32</v>
      </c>
      <c r="M16" s="154">
        <v>0</v>
      </c>
      <c r="N16" s="154">
        <v>0</v>
      </c>
      <c r="O16" s="154">
        <v>0</v>
      </c>
      <c r="P16" s="151" t="s">
        <v>33</v>
      </c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</row>
    <row r="17" spans="1:36" x14ac:dyDescent="0.3">
      <c r="A17" s="149" t="s">
        <v>70</v>
      </c>
      <c r="B17" s="150">
        <v>46014</v>
      </c>
      <c r="C17" s="151" t="s">
        <v>34</v>
      </c>
      <c r="D17" s="152" t="s">
        <v>71</v>
      </c>
      <c r="E17" s="151" t="s">
        <v>1</v>
      </c>
      <c r="F17" s="151" t="s">
        <v>68</v>
      </c>
      <c r="G17" s="153">
        <v>0</v>
      </c>
      <c r="H17" s="154">
        <v>180</v>
      </c>
      <c r="I17" s="154">
        <v>0</v>
      </c>
      <c r="J17" s="154">
        <v>0</v>
      </c>
      <c r="K17" s="151" t="s">
        <v>69</v>
      </c>
      <c r="L17" s="155" t="s">
        <v>32</v>
      </c>
      <c r="M17" s="154">
        <v>0</v>
      </c>
      <c r="N17" s="154">
        <v>0</v>
      </c>
      <c r="O17" s="154">
        <v>0</v>
      </c>
      <c r="P17" s="151" t="s">
        <v>33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</row>
    <row r="18" spans="1:36" x14ac:dyDescent="0.3">
      <c r="A18" s="149" t="s">
        <v>70</v>
      </c>
      <c r="B18" s="150">
        <v>46014</v>
      </c>
      <c r="C18" s="151" t="s">
        <v>35</v>
      </c>
      <c r="D18" s="152" t="s">
        <v>72</v>
      </c>
      <c r="E18" s="151" t="s">
        <v>1</v>
      </c>
      <c r="F18" s="151" t="s">
        <v>68</v>
      </c>
      <c r="G18" s="153">
        <v>0</v>
      </c>
      <c r="H18" s="154">
        <v>180</v>
      </c>
      <c r="I18" s="154">
        <v>0</v>
      </c>
      <c r="J18" s="154">
        <v>0</v>
      </c>
      <c r="K18" s="151" t="s">
        <v>69</v>
      </c>
      <c r="L18" s="155" t="s">
        <v>32</v>
      </c>
      <c r="M18" s="154">
        <v>0</v>
      </c>
      <c r="N18" s="154">
        <v>0</v>
      </c>
      <c r="O18" s="154">
        <v>0</v>
      </c>
      <c r="P18" s="151" t="s">
        <v>33</v>
      </c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</row>
    <row r="19" spans="1:36" x14ac:dyDescent="0.3">
      <c r="A19" s="149" t="s">
        <v>70</v>
      </c>
      <c r="B19" s="150">
        <v>46014</v>
      </c>
      <c r="C19" s="151" t="s">
        <v>36</v>
      </c>
      <c r="D19" s="152" t="s">
        <v>74</v>
      </c>
      <c r="E19" s="151" t="s">
        <v>1</v>
      </c>
      <c r="F19" s="151" t="s">
        <v>68</v>
      </c>
      <c r="G19" s="153">
        <v>0</v>
      </c>
      <c r="H19" s="154">
        <v>180</v>
      </c>
      <c r="I19" s="154">
        <v>0</v>
      </c>
      <c r="J19" s="154">
        <v>0</v>
      </c>
      <c r="K19" s="151" t="s">
        <v>69</v>
      </c>
      <c r="L19" s="155" t="s">
        <v>32</v>
      </c>
      <c r="M19" s="154">
        <v>0</v>
      </c>
      <c r="N19" s="154">
        <v>0</v>
      </c>
      <c r="O19" s="154">
        <v>0</v>
      </c>
      <c r="P19" s="151" t="s">
        <v>33</v>
      </c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</row>
    <row r="20" spans="1:36" ht="21" x14ac:dyDescent="0.3">
      <c r="A20" s="156" t="s">
        <v>75</v>
      </c>
      <c r="B20" s="157"/>
      <c r="C20" s="156">
        <f>SUBTOTAL(103,LXR_JED_LF_LEGACY[Flt])</f>
        <v>18</v>
      </c>
      <c r="D20" s="156"/>
      <c r="E20" s="156">
        <f>SUBTOTAL(103,LXR_JED_LF_LEGACY[Brd-Off])</f>
        <v>18</v>
      </c>
      <c r="F20" s="156"/>
      <c r="G20" s="158">
        <f>SUBTOTAL(101,LXR_JED_LF_LEGACY[LF%])</f>
        <v>0</v>
      </c>
      <c r="H20" s="159">
        <f>SUBTOTAL(109,LXR_JED_LF_LEGACY[CAP])</f>
        <v>3240</v>
      </c>
      <c r="I20" s="159">
        <f>SUBTOTAL(109,LXR_JED_LF_LEGACY[BKG(Y)])</f>
        <v>0</v>
      </c>
      <c r="J20" s="159">
        <f>SUBTOTAL(109,LXR_JED_LF_LEGACY[GRP(Y)])</f>
        <v>0</v>
      </c>
      <c r="K20" s="156"/>
      <c r="L20" s="157"/>
      <c r="M20" s="159">
        <f>SUBTOTAL(109,LXR_JED_LF_LEGACY[TO-DAY])</f>
        <v>0</v>
      </c>
      <c r="N20" s="159">
        <f>SUBTOTAL(109,LXR_JED_LF_LEGACY[Y-DAY])</f>
        <v>0</v>
      </c>
      <c r="O20" s="159">
        <f>SUBTOTAL(109,LXR_JED_LF_LEGACY[WEEKLY])</f>
        <v>0</v>
      </c>
      <c r="P20" s="160"/>
      <c r="Q20" s="159">
        <f>SUBTOTAL(109,LXR_JED_LF_LEGACY[Y])</f>
        <v>0</v>
      </c>
      <c r="R20" s="159">
        <f>SUBTOTAL(109,LXR_JED_LF_LEGACY[B])</f>
        <v>0</v>
      </c>
      <c r="S20" s="159">
        <f>SUBTOTAL(109,LXR_JED_LF_LEGACY[M])</f>
        <v>0</v>
      </c>
      <c r="T20" s="159">
        <f>SUBTOTAL(109,LXR_JED_LF_LEGACY[H])</f>
        <v>0</v>
      </c>
      <c r="U20" s="159">
        <f>SUBTOTAL(109,LXR_JED_LF_LEGACY[Q])</f>
        <v>0</v>
      </c>
      <c r="V20" s="159">
        <f>SUBTOTAL(109,LXR_JED_LF_LEGACY[K])</f>
        <v>0</v>
      </c>
      <c r="W20" s="159">
        <f>SUBTOTAL(109,LXR_JED_LF_LEGACY[V])</f>
        <v>0</v>
      </c>
      <c r="X20" s="159">
        <f>SUBTOTAL(109,LXR_JED_LF_LEGACY[L])</f>
        <v>0</v>
      </c>
      <c r="Y20" s="159">
        <f>SUBTOTAL(109,LXR_JED_LF_LEGACY[G])</f>
        <v>0</v>
      </c>
      <c r="Z20" s="159">
        <f>SUBTOTAL(109,LXR_JED_LF_LEGACY[S])</f>
        <v>0</v>
      </c>
      <c r="AA20" s="159">
        <f>SUBTOTAL(109,LXR_JED_LF_LEGACY[W])</f>
        <v>0</v>
      </c>
      <c r="AB20" s="159">
        <f>SUBTOTAL(109,LXR_JED_LF_LEGACY[T])</f>
        <v>0</v>
      </c>
      <c r="AC20" s="159">
        <f>SUBTOTAL(109,LXR_JED_LF_LEGACY[X])</f>
        <v>0</v>
      </c>
      <c r="AD20" s="159">
        <f>SUBTOTAL(109,LXR_JED_LF_LEGACY[U])</f>
        <v>0</v>
      </c>
      <c r="AE20" s="159">
        <f>SUBTOTAL(109,LXR_JED_LF_LEGACY[O])</f>
        <v>0</v>
      </c>
      <c r="AF20" s="159">
        <f>SUBTOTAL(109,LXR_JED_LF_LEGACY[I])</f>
        <v>0</v>
      </c>
      <c r="AG20" s="159">
        <f>SUBTOTAL(109,LXR_JED_LF_LEGACY[E])</f>
        <v>0</v>
      </c>
      <c r="AH20" s="159">
        <f>SUBTOTAL(109,LXR_JED_LF_LEGACY[A])</f>
        <v>0</v>
      </c>
      <c r="AI20" s="159">
        <f>SUBTOTAL(109,LXR_JED_LF_LEGACY[P])</f>
        <v>0</v>
      </c>
      <c r="AJ20" s="159">
        <f>SUBTOTAL(103,LXR_JED_LF_LEGACY[N])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LXR-JED</vt:lpstr>
      <vt:lpstr>LXR-JED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2025-11-23T02:32:12Z</dcterms:created>
  <dcterms:modified xsi:type="dcterms:W3CDTF">2025-11-23T02:32:16Z</dcterms:modified>
</cp:coreProperties>
</file>