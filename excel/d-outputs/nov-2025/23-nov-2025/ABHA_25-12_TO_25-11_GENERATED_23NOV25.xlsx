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DEDB6CA-7398-4607-A7E4-E5CF1B89C2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B-CAI" sheetId="1" r:id="rId1"/>
    <sheet name="AHB-CAI LF LEGACY" sheetId="2" r:id="rId2"/>
    <sheet name="AHB-ATZ" sheetId="3" r:id="rId3"/>
    <sheet name="AHB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6" i="2"/>
  <c r="E16" i="2"/>
  <c r="G16" i="2"/>
  <c r="H16" i="2"/>
  <c r="I16" i="2"/>
  <c r="J16" i="2"/>
  <c r="M16" i="2"/>
  <c r="N16" i="2"/>
  <c r="O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</calcChain>
</file>

<file path=xl/sharedStrings.xml><?xml version="1.0" encoding="utf-8"?>
<sst xmlns="http://schemas.openxmlformats.org/spreadsheetml/2006/main" count="859" uniqueCount="157">
  <si>
    <t>COMPREHENSIVE REPORT</t>
  </si>
  <si>
    <t>AHB-CAI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</si>
  <si>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</si>
  <si>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</si>
  <si>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</si>
  <si>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</si>
  <si>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</si>
  <si>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</si>
  <si>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</si>
  <si>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</si>
  <si>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</si>
  <si>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</si>
  <si>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</si>
  <si>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</si>
  <si>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</si>
  <si>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</si>
  <si>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</si>
  <si>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</si>
  <si>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</si>
  <si>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</si>
  <si>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</si>
  <si>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</si>
  <si>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</si>
  <si>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</si>
  <si>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</si>
  <si>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</si>
  <si>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</si>
  <si>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</si>
  <si>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</si>
  <si>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SM448</t>
  </si>
  <si>
    <t>30KG + 7KG CABIN</t>
  </si>
  <si>
    <t>SEATS AVAILABLE</t>
  </si>
  <si>
    <t>2025-11-22 00:00:00</t>
  </si>
  <si>
    <t>T1</t>
  </si>
  <si>
    <t>S3 &amp; W4 &amp; T9 &amp; X67 &amp; O1</t>
  </si>
  <si>
    <t>SM444</t>
  </si>
  <si>
    <t>2025-11-23 00:00:00</t>
  </si>
  <si>
    <t>T9</t>
  </si>
  <si>
    <t>W3 &amp; T8 &amp; X56 &amp; U9 &amp; O9</t>
  </si>
  <si>
    <t>X9</t>
  </si>
  <si>
    <t>S1 &amp; W2 &amp; T1 &amp; X36 &amp; U6 &amp; O9 &amp; I8</t>
  </si>
  <si>
    <t>LOW DEMAND</t>
  </si>
  <si>
    <t>2025-11-21 00:00:00</t>
  </si>
  <si>
    <t>S3 &amp; X16 &amp; U7 &amp; O3</t>
  </si>
  <si>
    <t>T3</t>
  </si>
  <si>
    <t>G2 &amp; S3 &amp; W7 &amp; T5 &amp; X29 &amp; U11 &amp; O1</t>
  </si>
  <si>
    <t>2025-11-12 00:00:00</t>
  </si>
  <si>
    <t>S1 &amp; X11 &amp; U4 &amp; O4</t>
  </si>
  <si>
    <t>S3 &amp; W2 &amp; X12</t>
  </si>
  <si>
    <t>W1 &amp; X4</t>
  </si>
  <si>
    <t>2025-11-20 00:00:00</t>
  </si>
  <si>
    <t>G1 &amp; S5 &amp; W4 &amp; X12</t>
  </si>
  <si>
    <t>X4</t>
  </si>
  <si>
    <t>G3 &amp; X17 &amp; U8 &amp; O5</t>
  </si>
  <si>
    <t>V1 &amp; X2 &amp; U10 &amp; O1</t>
  </si>
  <si>
    <t>S1 &amp; X9 &amp; U5 &amp; O5</t>
  </si>
  <si>
    <t>2025-11-19 00:00:00</t>
  </si>
  <si>
    <t>X5 &amp; U8 &amp; O5</t>
  </si>
  <si>
    <t>W5 &amp; X10 &amp; U9 &amp; O3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</si>
  <si>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</si>
  <si>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</si>
  <si>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</si>
  <si>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</si>
  <si>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</si>
  <si>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</si>
  <si>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</si>
  <si>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</si>
  <si>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</si>
  <si>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</si>
  <si>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</si>
  <si>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</si>
  <si>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</si>
  <si>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</si>
  <si>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</si>
  <si>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</si>
  <si>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</si>
  <si>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</si>
  <si>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</si>
  <si>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</si>
  <si>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</si>
  <si>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</si>
  <si>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</si>
  <si>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</si>
  <si>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</si>
  <si>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</si>
  <si>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</si>
  <si>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</si>
  <si>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</si>
  <si>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</si>
  <si>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01:05</t>
  </si>
  <si>
    <t>320</t>
  </si>
  <si>
    <t>UPCOMING</t>
  </si>
  <si>
    <t>S3</t>
  </si>
  <si>
    <t>W4</t>
  </si>
  <si>
    <t>X67</t>
  </si>
  <si>
    <t>O1</t>
  </si>
  <si>
    <t>FRIDAY</t>
  </si>
  <si>
    <t>00:05</t>
  </si>
  <si>
    <t>W3</t>
  </si>
  <si>
    <t>T8</t>
  </si>
  <si>
    <t>X56</t>
  </si>
  <si>
    <t>U9</t>
  </si>
  <si>
    <t>O9</t>
  </si>
  <si>
    <t>SUNDAY</t>
  </si>
  <si>
    <t>S1</t>
  </si>
  <si>
    <t>W2</t>
  </si>
  <si>
    <t>X36</t>
  </si>
  <si>
    <t>U6</t>
  </si>
  <si>
    <t>I8</t>
  </si>
  <si>
    <t>X16</t>
  </si>
  <si>
    <t>U7</t>
  </si>
  <si>
    <t>O3</t>
  </si>
  <si>
    <t>G2</t>
  </si>
  <si>
    <t>W7</t>
  </si>
  <si>
    <t>T5</t>
  </si>
  <si>
    <t>X29</t>
  </si>
  <si>
    <t>U11</t>
  </si>
  <si>
    <t>X11</t>
  </si>
  <si>
    <t>U4</t>
  </si>
  <si>
    <t>O4</t>
  </si>
  <si>
    <t>X12</t>
  </si>
  <si>
    <t>W1</t>
  </si>
  <si>
    <t>G1</t>
  </si>
  <si>
    <t>S5</t>
  </si>
  <si>
    <t>G3</t>
  </si>
  <si>
    <t>X17</t>
  </si>
  <si>
    <t>U8</t>
  </si>
  <si>
    <t>O5</t>
  </si>
  <si>
    <t>V1</t>
  </si>
  <si>
    <t>X2</t>
  </si>
  <si>
    <t>U10</t>
  </si>
  <si>
    <t>U5</t>
  </si>
  <si>
    <t>X5</t>
  </si>
  <si>
    <t>W5</t>
  </si>
  <si>
    <t>X10</t>
  </si>
  <si>
    <t>AHB-ATZ</t>
  </si>
  <si>
    <t>SM446</t>
  </si>
  <si>
    <t>G9</t>
  </si>
  <si>
    <t>L3 &amp; G22 &amp; S14 &amp; W10</t>
  </si>
  <si>
    <t>L9</t>
  </si>
  <si>
    <t>G26 &amp; S3 &amp; W5 &amp; T5 &amp; X9 &amp; O2</t>
  </si>
  <si>
    <t>K9</t>
  </si>
  <si>
    <t>V10 &amp; L10 &amp; G4 &amp; S3 &amp; W1</t>
  </si>
  <si>
    <t>G1 &amp; S5 &amp; W4 &amp; T5 &amp; X11</t>
  </si>
  <si>
    <t>L5</t>
  </si>
  <si>
    <t>G3 &amp; S5 &amp; W4 &amp; T5 &amp; X11</t>
  </si>
  <si>
    <t>18:15</t>
  </si>
  <si>
    <t>L3</t>
  </si>
  <si>
    <t>G22</t>
  </si>
  <si>
    <t>S14</t>
  </si>
  <si>
    <t>W10</t>
  </si>
  <si>
    <t>G26</t>
  </si>
  <si>
    <t>O2</t>
  </si>
  <si>
    <t>V10</t>
  </si>
  <si>
    <t>L10</t>
  </si>
  <si>
    <t>G4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</si>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</sst>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HB_CAI_LF_LEGACY" displayName="AHB_CAI_LF_LEGACY" ref="A1:AJ1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HB_ATZ_LF_LEGACY" displayName="AHB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41.664062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45984.228685272406</v>
      </c>
      <c r="H2" s="102"/>
      <c r="I2" s="102"/>
      <c r="J2" s="102"/>
      <c r="K2" s="111">
        <v>45984.228685272967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45988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4.5138888888888888E-2</v>
      </c>
      <c r="D6" s="8" t="s">
        <v>30</v>
      </c>
      <c r="E6" s="10"/>
      <c r="F6" s="8" t="s">
        <v>31</v>
      </c>
      <c r="G6" s="100"/>
      <c r="H6" s="11" t="s">
        <v>29</v>
      </c>
      <c r="I6" s="12">
        <v>0.5</v>
      </c>
      <c r="J6" s="13">
        <v>84</v>
      </c>
      <c r="K6" s="14" t="s">
        <v>32</v>
      </c>
      <c r="L6" s="13">
        <v>48</v>
      </c>
      <c r="M6" s="13">
        <v>0</v>
      </c>
      <c r="N6" s="13">
        <v>4</v>
      </c>
      <c r="O6" s="15" t="s">
        <v>33</v>
      </c>
      <c r="P6" s="16">
        <v>4.5138888888888888E-2</v>
      </c>
      <c r="Q6" s="13">
        <v>168</v>
      </c>
      <c r="R6" s="17" t="s">
        <v>34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45989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35</v>
      </c>
      <c r="C10" s="27">
        <v>3.472222222222222E-3</v>
      </c>
      <c r="D10" s="26" t="s">
        <v>30</v>
      </c>
      <c r="E10" s="28"/>
      <c r="F10" s="26" t="s">
        <v>31</v>
      </c>
      <c r="G10" s="104"/>
      <c r="H10" s="29" t="s">
        <v>35</v>
      </c>
      <c r="I10" s="30">
        <v>0.50600000000000001</v>
      </c>
      <c r="J10" s="31">
        <v>85</v>
      </c>
      <c r="K10" s="32" t="s">
        <v>36</v>
      </c>
      <c r="L10" s="31">
        <v>43</v>
      </c>
      <c r="M10" s="31">
        <v>1</v>
      </c>
      <c r="N10" s="31">
        <v>16</v>
      </c>
      <c r="O10" s="33" t="s">
        <v>37</v>
      </c>
      <c r="P10" s="34">
        <v>3.472222222222222E-3</v>
      </c>
      <c r="Q10" s="31">
        <v>168</v>
      </c>
      <c r="R10" s="35" t="s">
        <v>38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45991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35</v>
      </c>
      <c r="C14" s="37">
        <v>3.472222222222222E-3</v>
      </c>
      <c r="D14" s="36" t="s">
        <v>30</v>
      </c>
      <c r="E14" s="38"/>
      <c r="F14" s="36" t="s">
        <v>31</v>
      </c>
      <c r="G14" s="104"/>
      <c r="H14" s="39" t="s">
        <v>35</v>
      </c>
      <c r="I14" s="40">
        <v>0.375</v>
      </c>
      <c r="J14" s="41">
        <v>63</v>
      </c>
      <c r="K14" s="42" t="s">
        <v>32</v>
      </c>
      <c r="L14" s="41">
        <v>20</v>
      </c>
      <c r="M14" s="41">
        <v>0</v>
      </c>
      <c r="N14" s="41">
        <v>4</v>
      </c>
      <c r="O14" s="43" t="s">
        <v>39</v>
      </c>
      <c r="P14" s="44">
        <v>3.472222222222222E-3</v>
      </c>
      <c r="Q14" s="41">
        <v>168</v>
      </c>
      <c r="R14" s="45" t="s">
        <v>40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45995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4.5138888888888888E-2</v>
      </c>
      <c r="D18" s="46" t="s">
        <v>30</v>
      </c>
      <c r="E18" s="48"/>
      <c r="F18" s="46" t="s">
        <v>41</v>
      </c>
      <c r="G18" s="104"/>
      <c r="H18" s="49" t="s">
        <v>29</v>
      </c>
      <c r="I18" s="50">
        <v>0.1726</v>
      </c>
      <c r="J18" s="51">
        <v>29</v>
      </c>
      <c r="K18" s="52" t="s">
        <v>42</v>
      </c>
      <c r="L18" s="51">
        <v>10</v>
      </c>
      <c r="M18" s="51">
        <v>0</v>
      </c>
      <c r="N18" s="51">
        <v>0</v>
      </c>
      <c r="O18" s="53" t="s">
        <v>39</v>
      </c>
      <c r="P18" s="54">
        <v>4.5138888888888888E-2</v>
      </c>
      <c r="Q18" s="51">
        <v>168</v>
      </c>
      <c r="R18" s="55" t="s">
        <v>43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45996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35</v>
      </c>
      <c r="C22" s="27">
        <v>3.472222222222222E-3</v>
      </c>
      <c r="D22" s="26" t="s">
        <v>30</v>
      </c>
      <c r="E22" s="28"/>
      <c r="F22" s="26" t="s">
        <v>31</v>
      </c>
      <c r="G22" s="104"/>
      <c r="H22" s="29" t="s">
        <v>35</v>
      </c>
      <c r="I22" s="30">
        <v>0.34520000000000001</v>
      </c>
      <c r="J22" s="31">
        <v>58</v>
      </c>
      <c r="K22" s="32" t="s">
        <v>32</v>
      </c>
      <c r="L22" s="31">
        <v>19</v>
      </c>
      <c r="M22" s="31">
        <v>0</v>
      </c>
      <c r="N22" s="31">
        <v>3</v>
      </c>
      <c r="O22" s="33" t="s">
        <v>44</v>
      </c>
      <c r="P22" s="34">
        <v>3.472222222222222E-3</v>
      </c>
      <c r="Q22" s="31">
        <v>168</v>
      </c>
      <c r="R22" s="35" t="s">
        <v>45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45998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35</v>
      </c>
      <c r="C26" s="57">
        <v>3.472222222222222E-3</v>
      </c>
      <c r="D26" s="56" t="s">
        <v>30</v>
      </c>
      <c r="E26" s="58"/>
      <c r="F26" s="56" t="s">
        <v>41</v>
      </c>
      <c r="G26" s="100"/>
      <c r="H26" s="59" t="s">
        <v>35</v>
      </c>
      <c r="I26" s="60">
        <v>0.11899999999999999</v>
      </c>
      <c r="J26" s="61">
        <v>20</v>
      </c>
      <c r="K26" s="62" t="s">
        <v>46</v>
      </c>
      <c r="L26" s="61">
        <v>0</v>
      </c>
      <c r="M26" s="61">
        <v>0</v>
      </c>
      <c r="N26" s="61">
        <v>0</v>
      </c>
      <c r="O26" s="63" t="s">
        <v>39</v>
      </c>
      <c r="P26" s="64">
        <v>3.472222222222222E-3</v>
      </c>
      <c r="Q26" s="61">
        <v>168</v>
      </c>
      <c r="R26" s="65" t="s">
        <v>47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46002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29</v>
      </c>
      <c r="C30" s="57">
        <v>4.5138888888888888E-2</v>
      </c>
      <c r="D30" s="56" t="s">
        <v>30</v>
      </c>
      <c r="E30" s="58"/>
      <c r="F30" s="56" t="s">
        <v>41</v>
      </c>
      <c r="G30" s="104"/>
      <c r="H30" s="59" t="s">
        <v>29</v>
      </c>
      <c r="I30" s="60">
        <v>0.1012</v>
      </c>
      <c r="J30" s="61">
        <v>17</v>
      </c>
      <c r="K30" s="62" t="s">
        <v>32</v>
      </c>
      <c r="L30" s="61">
        <v>5</v>
      </c>
      <c r="M30" s="61">
        <v>0</v>
      </c>
      <c r="N30" s="61">
        <v>1</v>
      </c>
      <c r="O30" s="63" t="s">
        <v>39</v>
      </c>
      <c r="P30" s="64">
        <v>4.5138888888888888E-2</v>
      </c>
      <c r="Q30" s="61">
        <v>168</v>
      </c>
      <c r="R30" s="65" t="s">
        <v>48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46003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6" t="s">
        <v>28</v>
      </c>
      <c r="B34" s="56" t="s">
        <v>35</v>
      </c>
      <c r="C34" s="57">
        <v>3.472222222222222E-3</v>
      </c>
      <c r="D34" s="56" t="s">
        <v>30</v>
      </c>
      <c r="E34" s="58"/>
      <c r="F34" s="56" t="s">
        <v>41</v>
      </c>
      <c r="G34" s="104"/>
      <c r="H34" s="59" t="s">
        <v>35</v>
      </c>
      <c r="I34" s="60">
        <v>2.98E-2</v>
      </c>
      <c r="J34" s="61">
        <v>5</v>
      </c>
      <c r="K34" s="62" t="s">
        <v>42</v>
      </c>
      <c r="L34" s="61">
        <v>1</v>
      </c>
      <c r="M34" s="61">
        <v>0</v>
      </c>
      <c r="N34" s="61">
        <v>0</v>
      </c>
      <c r="O34" s="63" t="s">
        <v>39</v>
      </c>
      <c r="P34" s="64">
        <v>3.472222222222222E-3</v>
      </c>
      <c r="Q34" s="61">
        <v>168</v>
      </c>
      <c r="R34" s="65" t="s">
        <v>49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46005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26" t="s">
        <v>28</v>
      </c>
      <c r="B38" s="26" t="s">
        <v>35</v>
      </c>
      <c r="C38" s="27">
        <v>3.472222222222222E-3</v>
      </c>
      <c r="D38" s="26" t="s">
        <v>30</v>
      </c>
      <c r="E38" s="28"/>
      <c r="F38" s="26" t="s">
        <v>41</v>
      </c>
      <c r="G38" s="104"/>
      <c r="H38" s="29" t="s">
        <v>35</v>
      </c>
      <c r="I38" s="30">
        <v>0.13100000000000001</v>
      </c>
      <c r="J38" s="31">
        <v>22</v>
      </c>
      <c r="K38" s="32" t="s">
        <v>50</v>
      </c>
      <c r="L38" s="31">
        <v>3</v>
      </c>
      <c r="M38" s="31">
        <v>0</v>
      </c>
      <c r="N38" s="31">
        <v>0</v>
      </c>
      <c r="O38" s="33" t="s">
        <v>39</v>
      </c>
      <c r="P38" s="34">
        <v>3.472222222222222E-3</v>
      </c>
      <c r="Q38" s="31">
        <v>168</v>
      </c>
      <c r="R38" s="35" t="s">
        <v>51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46009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6" t="s">
        <v>28</v>
      </c>
      <c r="B42" s="66" t="s">
        <v>29</v>
      </c>
      <c r="C42" s="67">
        <v>4.5138888888888888E-2</v>
      </c>
      <c r="D42" s="66" t="s">
        <v>30</v>
      </c>
      <c r="E42" s="68"/>
      <c r="F42" s="66" t="s">
        <v>41</v>
      </c>
      <c r="G42" s="104"/>
      <c r="H42" s="69" t="s">
        <v>29</v>
      </c>
      <c r="I42" s="70">
        <v>0.19639999999999999</v>
      </c>
      <c r="J42" s="71">
        <v>33</v>
      </c>
      <c r="K42" s="72" t="s">
        <v>42</v>
      </c>
      <c r="L42" s="71">
        <v>13</v>
      </c>
      <c r="M42" s="71">
        <v>0</v>
      </c>
      <c r="N42" s="71">
        <v>0</v>
      </c>
      <c r="O42" s="73" t="s">
        <v>52</v>
      </c>
      <c r="P42" s="74">
        <v>4.5138888888888888E-2</v>
      </c>
      <c r="Q42" s="71">
        <v>168</v>
      </c>
      <c r="R42" s="75" t="s">
        <v>53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22.05" customHeight="1" thickTop="1" thickBot="1" x14ac:dyDescent="0.35">
      <c r="A44" s="96" t="s">
        <v>8</v>
      </c>
      <c r="B44" s="97"/>
      <c r="C44" s="97"/>
      <c r="D44" s="97"/>
      <c r="E44" s="97"/>
      <c r="F44" s="98"/>
      <c r="G44" s="18">
        <v>46010</v>
      </c>
      <c r="H44" s="99" t="s">
        <v>9</v>
      </c>
      <c r="I44" s="97"/>
      <c r="J44" s="97"/>
      <c r="K44" s="97"/>
      <c r="L44" s="97"/>
      <c r="M44" s="97"/>
      <c r="N44" s="97"/>
      <c r="O44" s="97"/>
      <c r="P44" s="97"/>
      <c r="Q44" s="97"/>
      <c r="R44" s="9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66" t="s">
        <v>28</v>
      </c>
      <c r="B46" s="66" t="s">
        <v>35</v>
      </c>
      <c r="C46" s="67">
        <v>3.472222222222222E-3</v>
      </c>
      <c r="D46" s="66" t="s">
        <v>30</v>
      </c>
      <c r="E46" s="68"/>
      <c r="F46" s="66" t="s">
        <v>41</v>
      </c>
      <c r="G46" s="104"/>
      <c r="H46" s="69" t="s">
        <v>35</v>
      </c>
      <c r="I46" s="70">
        <v>8.3299999999999999E-2</v>
      </c>
      <c r="J46" s="71">
        <v>14</v>
      </c>
      <c r="K46" s="72" t="s">
        <v>32</v>
      </c>
      <c r="L46" s="71">
        <v>1</v>
      </c>
      <c r="M46" s="71">
        <v>0</v>
      </c>
      <c r="N46" s="71">
        <v>1</v>
      </c>
      <c r="O46" s="73" t="s">
        <v>39</v>
      </c>
      <c r="P46" s="74">
        <v>3.472222222222222E-3</v>
      </c>
      <c r="Q46" s="71">
        <v>168</v>
      </c>
      <c r="R46" s="75" t="s">
        <v>54</v>
      </c>
    </row>
    <row r="47" spans="1:18" ht="17.399999999999999" customHeight="1" thickBot="1" x14ac:dyDescent="0.35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</row>
    <row r="48" spans="1:18" ht="22.05" customHeight="1" thickTop="1" thickBot="1" x14ac:dyDescent="0.35">
      <c r="A48" s="96" t="s">
        <v>8</v>
      </c>
      <c r="B48" s="97"/>
      <c r="C48" s="97"/>
      <c r="D48" s="97"/>
      <c r="E48" s="97"/>
      <c r="F48" s="98"/>
      <c r="G48" s="18">
        <v>46012</v>
      </c>
      <c r="H48" s="99" t="s">
        <v>9</v>
      </c>
      <c r="I48" s="97"/>
      <c r="J48" s="97"/>
      <c r="K48" s="97"/>
      <c r="L48" s="97"/>
      <c r="M48" s="97"/>
      <c r="N48" s="97"/>
      <c r="O48" s="97"/>
      <c r="P48" s="97"/>
      <c r="Q48" s="97"/>
      <c r="R48" s="9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76" t="s">
        <v>28</v>
      </c>
      <c r="B50" s="76" t="s">
        <v>35</v>
      </c>
      <c r="C50" s="77">
        <v>3.472222222222222E-3</v>
      </c>
      <c r="D50" s="76" t="s">
        <v>30</v>
      </c>
      <c r="E50" s="78"/>
      <c r="F50" s="76" t="s">
        <v>41</v>
      </c>
      <c r="G50" s="104"/>
      <c r="H50" s="79" t="s">
        <v>35</v>
      </c>
      <c r="I50" s="80">
        <v>0.11899999999999999</v>
      </c>
      <c r="J50" s="81">
        <v>20</v>
      </c>
      <c r="K50" s="82" t="s">
        <v>42</v>
      </c>
      <c r="L50" s="81">
        <v>6</v>
      </c>
      <c r="M50" s="81">
        <v>0</v>
      </c>
      <c r="N50" s="81">
        <v>0</v>
      </c>
      <c r="O50" s="83" t="s">
        <v>39</v>
      </c>
      <c r="P50" s="84">
        <v>3.472222222222222E-3</v>
      </c>
      <c r="Q50" s="81">
        <v>168</v>
      </c>
      <c r="R50" s="85" t="s">
        <v>55</v>
      </c>
    </row>
    <row r="51" spans="1:18" ht="17.399999999999999" customHeight="1" thickBot="1" x14ac:dyDescent="0.35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ht="22.05" customHeight="1" thickTop="1" thickBot="1" x14ac:dyDescent="0.35">
      <c r="A52" s="96" t="s">
        <v>8</v>
      </c>
      <c r="B52" s="97"/>
      <c r="C52" s="97"/>
      <c r="D52" s="97"/>
      <c r="E52" s="97"/>
      <c r="F52" s="98"/>
      <c r="G52" s="18">
        <v>46016</v>
      </c>
      <c r="H52" s="99" t="s">
        <v>9</v>
      </c>
      <c r="I52" s="97"/>
      <c r="J52" s="97"/>
      <c r="K52" s="97"/>
      <c r="L52" s="97"/>
      <c r="M52" s="97"/>
      <c r="N52" s="97"/>
      <c r="O52" s="97"/>
      <c r="P52" s="97"/>
      <c r="Q52" s="97"/>
      <c r="R52" s="9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26" t="s">
        <v>28</v>
      </c>
      <c r="B54" s="26" t="s">
        <v>29</v>
      </c>
      <c r="C54" s="27">
        <v>4.5138888888888888E-2</v>
      </c>
      <c r="D54" s="26" t="s">
        <v>30</v>
      </c>
      <c r="E54" s="28"/>
      <c r="F54" s="26" t="s">
        <v>41</v>
      </c>
      <c r="G54" s="100"/>
      <c r="H54" s="29" t="s">
        <v>29</v>
      </c>
      <c r="I54" s="30">
        <v>0.1071</v>
      </c>
      <c r="J54" s="31">
        <v>18</v>
      </c>
      <c r="K54" s="32" t="s">
        <v>56</v>
      </c>
      <c r="L54" s="31">
        <v>3</v>
      </c>
      <c r="M54" s="31">
        <v>0</v>
      </c>
      <c r="N54" s="31">
        <v>0</v>
      </c>
      <c r="O54" s="33" t="s">
        <v>39</v>
      </c>
      <c r="P54" s="34">
        <v>4.5138888888888888E-2</v>
      </c>
      <c r="Q54" s="31">
        <v>168</v>
      </c>
      <c r="R54" s="35" t="s">
        <v>57</v>
      </c>
    </row>
    <row r="55" spans="1:18" ht="17.399999999999999" customHeight="1" thickBot="1" x14ac:dyDescent="0.35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8"/>
    </row>
    <row r="56" spans="1:18" ht="22.05" customHeight="1" thickTop="1" thickBot="1" x14ac:dyDescent="0.35">
      <c r="A56" s="96" t="s">
        <v>8</v>
      </c>
      <c r="B56" s="97"/>
      <c r="C56" s="97"/>
      <c r="D56" s="97"/>
      <c r="E56" s="97"/>
      <c r="F56" s="98"/>
      <c r="G56" s="18">
        <v>46017</v>
      </c>
      <c r="H56" s="99" t="s">
        <v>9</v>
      </c>
      <c r="I56" s="97"/>
      <c r="J56" s="97"/>
      <c r="K56" s="97"/>
      <c r="L56" s="97"/>
      <c r="M56" s="97"/>
      <c r="N56" s="97"/>
      <c r="O56" s="97"/>
      <c r="P56" s="97"/>
      <c r="Q56" s="97"/>
      <c r="R56" s="9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x14ac:dyDescent="0.45">
      <c r="A58" s="36" t="s">
        <v>28</v>
      </c>
      <c r="B58" s="36" t="s">
        <v>35</v>
      </c>
      <c r="C58" s="37">
        <v>3.472222222222222E-3</v>
      </c>
      <c r="D58" s="36" t="s">
        <v>30</v>
      </c>
      <c r="E58" s="38"/>
      <c r="F58" s="36" t="s">
        <v>41</v>
      </c>
      <c r="G58" s="100"/>
      <c r="H58" s="39" t="s">
        <v>35</v>
      </c>
      <c r="I58" s="40">
        <v>0.16070000000000001</v>
      </c>
      <c r="J58" s="41">
        <v>27</v>
      </c>
      <c r="K58" s="42" t="s">
        <v>32</v>
      </c>
      <c r="L58" s="41">
        <v>8</v>
      </c>
      <c r="M58" s="41">
        <v>0</v>
      </c>
      <c r="N58" s="41">
        <v>8</v>
      </c>
      <c r="O58" s="43" t="s">
        <v>39</v>
      </c>
      <c r="P58" s="44">
        <v>3.472222222222222E-3</v>
      </c>
      <c r="Q58" s="41">
        <v>168</v>
      </c>
      <c r="R58" s="45" t="s">
        <v>58</v>
      </c>
    </row>
  </sheetData>
  <mergeCells count="62">
    <mergeCell ref="G58"/>
    <mergeCell ref="G14"/>
    <mergeCell ref="A36:F36"/>
    <mergeCell ref="G34"/>
    <mergeCell ref="A11:R11"/>
    <mergeCell ref="A51:R51"/>
    <mergeCell ref="H48:R48"/>
    <mergeCell ref="G30"/>
    <mergeCell ref="H24:R2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2:R12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/>
  </sheetViews>
  <sheetFormatPr defaultRowHeight="15.6" outlineLevelCol="1" x14ac:dyDescent="0.3"/>
  <cols>
    <col min="1" max="1" width="9.88671875" style="113" bestFit="1" customWidth="1"/>
    <col min="2" max="2" width="10.44140625" style="113" bestFit="1" customWidth="1"/>
    <col min="3" max="3" width="6.77734375" style="113" bestFit="1" customWidth="1"/>
    <col min="4" max="4" width="5.5546875" style="113" bestFit="1" customWidth="1"/>
    <col min="5" max="5" width="8.109375" style="113" bestFit="1" customWidth="1"/>
    <col min="6" max="6" width="4.21875" style="113" bestFit="1" customWidth="1"/>
    <col min="7" max="7" width="10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28" width="3.88671875" style="113" bestFit="1" customWidth="1"/>
    <col min="29" max="29" width="4.21875" style="113" bestFit="1" customWidth="1"/>
    <col min="30" max="30" width="4.5546875" style="113" bestFit="1" customWidth="1"/>
    <col min="31" max="36" width="3.88671875" style="113" bestFit="1" customWidth="1"/>
    <col min="37" max="16384" width="8.88671875" style="113"/>
  </cols>
  <sheetData>
    <row r="1" spans="1:36" x14ac:dyDescent="0.3">
      <c r="A1" s="112" t="s">
        <v>59</v>
      </c>
      <c r="B1" s="112" t="s">
        <v>60</v>
      </c>
      <c r="C1" s="112" t="s">
        <v>61</v>
      </c>
      <c r="D1" s="112" t="s">
        <v>25</v>
      </c>
      <c r="E1" s="112" t="s">
        <v>62</v>
      </c>
      <c r="F1" s="112" t="s">
        <v>63</v>
      </c>
      <c r="G1" s="112" t="s">
        <v>18</v>
      </c>
      <c r="H1" s="112" t="s">
        <v>64</v>
      </c>
      <c r="I1" s="112" t="s">
        <v>65</v>
      </c>
      <c r="J1" s="112" t="s">
        <v>66</v>
      </c>
      <c r="K1" s="112" t="s">
        <v>67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68</v>
      </c>
      <c r="R1" s="112" t="s">
        <v>69</v>
      </c>
      <c r="S1" s="112" t="s">
        <v>70</v>
      </c>
      <c r="T1" s="112" t="s">
        <v>71</v>
      </c>
      <c r="U1" s="112" t="s">
        <v>72</v>
      </c>
      <c r="V1" s="112" t="s">
        <v>73</v>
      </c>
      <c r="W1" s="112" t="s">
        <v>74</v>
      </c>
      <c r="X1" s="112" t="s">
        <v>75</v>
      </c>
      <c r="Y1" s="112" t="s">
        <v>76</v>
      </c>
      <c r="Z1" s="112" t="s">
        <v>77</v>
      </c>
      <c r="AA1" s="112" t="s">
        <v>78</v>
      </c>
      <c r="AB1" s="112" t="s">
        <v>79</v>
      </c>
      <c r="AC1" s="112" t="s">
        <v>80</v>
      </c>
      <c r="AD1" s="112" t="s">
        <v>81</v>
      </c>
      <c r="AE1" s="112" t="s">
        <v>82</v>
      </c>
      <c r="AF1" s="112" t="s">
        <v>83</v>
      </c>
      <c r="AG1" s="112" t="s">
        <v>84</v>
      </c>
      <c r="AH1" s="112" t="s">
        <v>85</v>
      </c>
      <c r="AI1" s="112" t="s">
        <v>86</v>
      </c>
      <c r="AJ1" s="112" t="s">
        <v>87</v>
      </c>
    </row>
    <row r="2" spans="1:36" x14ac:dyDescent="0.3">
      <c r="A2" s="114" t="s">
        <v>88</v>
      </c>
      <c r="B2" s="115">
        <v>45988</v>
      </c>
      <c r="C2" s="116" t="s">
        <v>29</v>
      </c>
      <c r="D2" s="117" t="s">
        <v>89</v>
      </c>
      <c r="E2" s="116" t="s">
        <v>1</v>
      </c>
      <c r="F2" s="116" t="s">
        <v>90</v>
      </c>
      <c r="G2" s="118">
        <v>0.5</v>
      </c>
      <c r="H2" s="119">
        <v>168</v>
      </c>
      <c r="I2" s="119">
        <v>84</v>
      </c>
      <c r="J2" s="119">
        <v>0</v>
      </c>
      <c r="K2" s="116" t="s">
        <v>91</v>
      </c>
      <c r="L2" s="120" t="s">
        <v>32</v>
      </c>
      <c r="M2" s="119">
        <v>0</v>
      </c>
      <c r="N2" s="119">
        <v>4</v>
      </c>
      <c r="O2" s="119">
        <v>48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2"/>
      <c r="Z2" s="119" t="s">
        <v>92</v>
      </c>
      <c r="AA2" s="119" t="s">
        <v>93</v>
      </c>
      <c r="AB2" s="119" t="s">
        <v>37</v>
      </c>
      <c r="AC2" s="119" t="s">
        <v>94</v>
      </c>
      <c r="AD2" s="112"/>
      <c r="AE2" s="119" t="s">
        <v>95</v>
      </c>
      <c r="AF2" s="112"/>
      <c r="AG2" s="112"/>
      <c r="AH2" s="112"/>
      <c r="AI2" s="112"/>
      <c r="AJ2" s="112"/>
    </row>
    <row r="3" spans="1:36" x14ac:dyDescent="0.3">
      <c r="A3" s="114" t="s">
        <v>96</v>
      </c>
      <c r="B3" s="115">
        <v>45989</v>
      </c>
      <c r="C3" s="116" t="s">
        <v>35</v>
      </c>
      <c r="D3" s="117" t="s">
        <v>97</v>
      </c>
      <c r="E3" s="116" t="s">
        <v>1</v>
      </c>
      <c r="F3" s="116" t="s">
        <v>90</v>
      </c>
      <c r="G3" s="118">
        <v>0.50600000000000001</v>
      </c>
      <c r="H3" s="119">
        <v>168</v>
      </c>
      <c r="I3" s="119">
        <v>85</v>
      </c>
      <c r="J3" s="119">
        <v>0</v>
      </c>
      <c r="K3" s="116" t="s">
        <v>91</v>
      </c>
      <c r="L3" s="120" t="s">
        <v>36</v>
      </c>
      <c r="M3" s="119">
        <v>1</v>
      </c>
      <c r="N3" s="119">
        <v>16</v>
      </c>
      <c r="O3" s="119">
        <v>43</v>
      </c>
      <c r="P3" s="116" t="s">
        <v>37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9" t="s">
        <v>98</v>
      </c>
      <c r="AB3" s="119" t="s">
        <v>99</v>
      </c>
      <c r="AC3" s="119" t="s">
        <v>100</v>
      </c>
      <c r="AD3" s="119" t="s">
        <v>101</v>
      </c>
      <c r="AE3" s="119" t="s">
        <v>102</v>
      </c>
      <c r="AF3" s="112"/>
      <c r="AG3" s="112"/>
      <c r="AH3" s="112"/>
      <c r="AI3" s="112"/>
      <c r="AJ3" s="112"/>
    </row>
    <row r="4" spans="1:36" x14ac:dyDescent="0.3">
      <c r="A4" s="114" t="s">
        <v>103</v>
      </c>
      <c r="B4" s="115">
        <v>45991</v>
      </c>
      <c r="C4" s="116" t="s">
        <v>35</v>
      </c>
      <c r="D4" s="117" t="s">
        <v>97</v>
      </c>
      <c r="E4" s="116" t="s">
        <v>1</v>
      </c>
      <c r="F4" s="116" t="s">
        <v>90</v>
      </c>
      <c r="G4" s="118">
        <v>0.375</v>
      </c>
      <c r="H4" s="119">
        <v>168</v>
      </c>
      <c r="I4" s="119">
        <v>63</v>
      </c>
      <c r="J4" s="119">
        <v>0</v>
      </c>
      <c r="K4" s="116" t="s">
        <v>91</v>
      </c>
      <c r="L4" s="120" t="s">
        <v>32</v>
      </c>
      <c r="M4" s="119">
        <v>0</v>
      </c>
      <c r="N4" s="119">
        <v>4</v>
      </c>
      <c r="O4" s="119">
        <v>20</v>
      </c>
      <c r="P4" s="116" t="s">
        <v>39</v>
      </c>
      <c r="Q4" s="112"/>
      <c r="R4" s="112"/>
      <c r="S4" s="112"/>
      <c r="T4" s="112"/>
      <c r="U4" s="112"/>
      <c r="V4" s="112"/>
      <c r="W4" s="112"/>
      <c r="X4" s="112"/>
      <c r="Y4" s="112"/>
      <c r="Z4" s="119" t="s">
        <v>104</v>
      </c>
      <c r="AA4" s="119" t="s">
        <v>105</v>
      </c>
      <c r="AB4" s="119" t="s">
        <v>33</v>
      </c>
      <c r="AC4" s="119" t="s">
        <v>106</v>
      </c>
      <c r="AD4" s="119" t="s">
        <v>107</v>
      </c>
      <c r="AE4" s="119" t="s">
        <v>102</v>
      </c>
      <c r="AF4" s="119" t="s">
        <v>108</v>
      </c>
      <c r="AG4" s="112"/>
      <c r="AH4" s="112"/>
      <c r="AI4" s="112"/>
      <c r="AJ4" s="112"/>
    </row>
    <row r="5" spans="1:36" x14ac:dyDescent="0.3">
      <c r="A5" s="114" t="s">
        <v>88</v>
      </c>
      <c r="B5" s="115">
        <v>45995</v>
      </c>
      <c r="C5" s="116" t="s">
        <v>29</v>
      </c>
      <c r="D5" s="117" t="s">
        <v>89</v>
      </c>
      <c r="E5" s="116" t="s">
        <v>1</v>
      </c>
      <c r="F5" s="116" t="s">
        <v>90</v>
      </c>
      <c r="G5" s="118">
        <v>0.1726</v>
      </c>
      <c r="H5" s="119">
        <v>168</v>
      </c>
      <c r="I5" s="119">
        <v>29</v>
      </c>
      <c r="J5" s="119">
        <v>0</v>
      </c>
      <c r="K5" s="116" t="s">
        <v>91</v>
      </c>
      <c r="L5" s="120" t="s">
        <v>42</v>
      </c>
      <c r="M5" s="119">
        <v>0</v>
      </c>
      <c r="N5" s="119">
        <v>0</v>
      </c>
      <c r="O5" s="119">
        <v>10</v>
      </c>
      <c r="P5" s="116" t="s">
        <v>39</v>
      </c>
      <c r="Q5" s="112"/>
      <c r="R5" s="112"/>
      <c r="S5" s="112"/>
      <c r="T5" s="112"/>
      <c r="U5" s="112"/>
      <c r="V5" s="112"/>
      <c r="W5" s="112"/>
      <c r="X5" s="112"/>
      <c r="Y5" s="112"/>
      <c r="Z5" s="119" t="s">
        <v>92</v>
      </c>
      <c r="AA5" s="112"/>
      <c r="AB5" s="112"/>
      <c r="AC5" s="119" t="s">
        <v>109</v>
      </c>
      <c r="AD5" s="119" t="s">
        <v>110</v>
      </c>
      <c r="AE5" s="119" t="s">
        <v>111</v>
      </c>
      <c r="AF5" s="112"/>
      <c r="AG5" s="112"/>
      <c r="AH5" s="112"/>
      <c r="AI5" s="112"/>
      <c r="AJ5" s="112"/>
    </row>
    <row r="6" spans="1:36" x14ac:dyDescent="0.3">
      <c r="A6" s="114" t="s">
        <v>96</v>
      </c>
      <c r="B6" s="115">
        <v>45996</v>
      </c>
      <c r="C6" s="116" t="s">
        <v>35</v>
      </c>
      <c r="D6" s="117" t="s">
        <v>97</v>
      </c>
      <c r="E6" s="116" t="s">
        <v>1</v>
      </c>
      <c r="F6" s="116" t="s">
        <v>90</v>
      </c>
      <c r="G6" s="118">
        <v>0.34520000000000001</v>
      </c>
      <c r="H6" s="119">
        <v>168</v>
      </c>
      <c r="I6" s="119">
        <v>58</v>
      </c>
      <c r="J6" s="119">
        <v>0</v>
      </c>
      <c r="K6" s="116" t="s">
        <v>91</v>
      </c>
      <c r="L6" s="120" t="s">
        <v>32</v>
      </c>
      <c r="M6" s="119">
        <v>0</v>
      </c>
      <c r="N6" s="119">
        <v>3</v>
      </c>
      <c r="O6" s="119">
        <v>19</v>
      </c>
      <c r="P6" s="116" t="s">
        <v>44</v>
      </c>
      <c r="Q6" s="112"/>
      <c r="R6" s="112"/>
      <c r="S6" s="112"/>
      <c r="T6" s="112"/>
      <c r="U6" s="112"/>
      <c r="V6" s="112"/>
      <c r="W6" s="112"/>
      <c r="X6" s="112"/>
      <c r="Y6" s="119" t="s">
        <v>112</v>
      </c>
      <c r="Z6" s="119" t="s">
        <v>92</v>
      </c>
      <c r="AA6" s="119" t="s">
        <v>113</v>
      </c>
      <c r="AB6" s="119" t="s">
        <v>114</v>
      </c>
      <c r="AC6" s="119" t="s">
        <v>115</v>
      </c>
      <c r="AD6" s="119" t="s">
        <v>116</v>
      </c>
      <c r="AE6" s="119" t="s">
        <v>95</v>
      </c>
      <c r="AF6" s="112"/>
      <c r="AG6" s="112"/>
      <c r="AH6" s="112"/>
      <c r="AI6" s="112"/>
      <c r="AJ6" s="112"/>
    </row>
    <row r="7" spans="1:36" x14ac:dyDescent="0.3">
      <c r="A7" s="114" t="s">
        <v>103</v>
      </c>
      <c r="B7" s="115">
        <v>45998</v>
      </c>
      <c r="C7" s="116" t="s">
        <v>35</v>
      </c>
      <c r="D7" s="117" t="s">
        <v>97</v>
      </c>
      <c r="E7" s="116" t="s">
        <v>1</v>
      </c>
      <c r="F7" s="116" t="s">
        <v>90</v>
      </c>
      <c r="G7" s="118">
        <v>0.11899999999999999</v>
      </c>
      <c r="H7" s="119">
        <v>168</v>
      </c>
      <c r="I7" s="119">
        <v>20</v>
      </c>
      <c r="J7" s="119">
        <v>0</v>
      </c>
      <c r="K7" s="116" t="s">
        <v>91</v>
      </c>
      <c r="L7" s="120" t="s">
        <v>46</v>
      </c>
      <c r="M7" s="119">
        <v>0</v>
      </c>
      <c r="N7" s="119">
        <v>0</v>
      </c>
      <c r="O7" s="119">
        <v>0</v>
      </c>
      <c r="P7" s="116" t="s">
        <v>39</v>
      </c>
      <c r="Q7" s="112"/>
      <c r="R7" s="112"/>
      <c r="S7" s="112"/>
      <c r="T7" s="112"/>
      <c r="U7" s="112"/>
      <c r="V7" s="112"/>
      <c r="W7" s="112"/>
      <c r="X7" s="112"/>
      <c r="Y7" s="112"/>
      <c r="Z7" s="119" t="s">
        <v>104</v>
      </c>
      <c r="AA7" s="112"/>
      <c r="AB7" s="112"/>
      <c r="AC7" s="119" t="s">
        <v>117</v>
      </c>
      <c r="AD7" s="119" t="s">
        <v>118</v>
      </c>
      <c r="AE7" s="119" t="s">
        <v>119</v>
      </c>
      <c r="AF7" s="112"/>
      <c r="AG7" s="112"/>
      <c r="AH7" s="112"/>
      <c r="AI7" s="112"/>
      <c r="AJ7" s="112"/>
    </row>
    <row r="8" spans="1:36" x14ac:dyDescent="0.3">
      <c r="A8" s="114" t="s">
        <v>88</v>
      </c>
      <c r="B8" s="115">
        <v>46002</v>
      </c>
      <c r="C8" s="116" t="s">
        <v>29</v>
      </c>
      <c r="D8" s="117" t="s">
        <v>89</v>
      </c>
      <c r="E8" s="116" t="s">
        <v>1</v>
      </c>
      <c r="F8" s="116" t="s">
        <v>90</v>
      </c>
      <c r="G8" s="118">
        <v>0.1012</v>
      </c>
      <c r="H8" s="119">
        <v>168</v>
      </c>
      <c r="I8" s="119">
        <v>17</v>
      </c>
      <c r="J8" s="119">
        <v>0</v>
      </c>
      <c r="K8" s="116" t="s">
        <v>91</v>
      </c>
      <c r="L8" s="120" t="s">
        <v>32</v>
      </c>
      <c r="M8" s="119">
        <v>0</v>
      </c>
      <c r="N8" s="119">
        <v>1</v>
      </c>
      <c r="O8" s="119">
        <v>5</v>
      </c>
      <c r="P8" s="116" t="s">
        <v>39</v>
      </c>
      <c r="Q8" s="112"/>
      <c r="R8" s="112"/>
      <c r="S8" s="112"/>
      <c r="T8" s="112"/>
      <c r="U8" s="112"/>
      <c r="V8" s="112"/>
      <c r="W8" s="112"/>
      <c r="X8" s="112"/>
      <c r="Y8" s="112"/>
      <c r="Z8" s="119" t="s">
        <v>92</v>
      </c>
      <c r="AA8" s="119" t="s">
        <v>105</v>
      </c>
      <c r="AB8" s="112"/>
      <c r="AC8" s="119" t="s">
        <v>120</v>
      </c>
      <c r="AD8" s="112"/>
      <c r="AE8" s="112"/>
      <c r="AF8" s="112"/>
      <c r="AG8" s="112"/>
      <c r="AH8" s="112"/>
      <c r="AI8" s="112"/>
      <c r="AJ8" s="112"/>
    </row>
    <row r="9" spans="1:36" x14ac:dyDescent="0.3">
      <c r="A9" s="114" t="s">
        <v>96</v>
      </c>
      <c r="B9" s="115">
        <v>46003</v>
      </c>
      <c r="C9" s="116" t="s">
        <v>35</v>
      </c>
      <c r="D9" s="117" t="s">
        <v>97</v>
      </c>
      <c r="E9" s="116" t="s">
        <v>1</v>
      </c>
      <c r="F9" s="116" t="s">
        <v>90</v>
      </c>
      <c r="G9" s="118">
        <v>2.98E-2</v>
      </c>
      <c r="H9" s="119">
        <v>168</v>
      </c>
      <c r="I9" s="119">
        <v>5</v>
      </c>
      <c r="J9" s="119">
        <v>0</v>
      </c>
      <c r="K9" s="116" t="s">
        <v>91</v>
      </c>
      <c r="L9" s="120" t="s">
        <v>42</v>
      </c>
      <c r="M9" s="119">
        <v>0</v>
      </c>
      <c r="N9" s="119">
        <v>0</v>
      </c>
      <c r="O9" s="119">
        <v>1</v>
      </c>
      <c r="P9" s="116" t="s">
        <v>39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9" t="s">
        <v>121</v>
      </c>
      <c r="AB9" s="112"/>
      <c r="AC9" s="119" t="s">
        <v>52</v>
      </c>
      <c r="AD9" s="112"/>
      <c r="AE9" s="112"/>
      <c r="AF9" s="112"/>
      <c r="AG9" s="112"/>
      <c r="AH9" s="112"/>
      <c r="AI9" s="112"/>
      <c r="AJ9" s="112"/>
    </row>
    <row r="10" spans="1:36" x14ac:dyDescent="0.3">
      <c r="A10" s="114" t="s">
        <v>103</v>
      </c>
      <c r="B10" s="115">
        <v>46005</v>
      </c>
      <c r="C10" s="116" t="s">
        <v>35</v>
      </c>
      <c r="D10" s="117" t="s">
        <v>97</v>
      </c>
      <c r="E10" s="116" t="s">
        <v>1</v>
      </c>
      <c r="F10" s="116" t="s">
        <v>90</v>
      </c>
      <c r="G10" s="118">
        <v>0.13100000000000001</v>
      </c>
      <c r="H10" s="119">
        <v>168</v>
      </c>
      <c r="I10" s="119">
        <v>22</v>
      </c>
      <c r="J10" s="119">
        <v>0</v>
      </c>
      <c r="K10" s="116" t="s">
        <v>91</v>
      </c>
      <c r="L10" s="120" t="s">
        <v>50</v>
      </c>
      <c r="M10" s="119">
        <v>0</v>
      </c>
      <c r="N10" s="119">
        <v>0</v>
      </c>
      <c r="O10" s="119">
        <v>3</v>
      </c>
      <c r="P10" s="116" t="s">
        <v>39</v>
      </c>
      <c r="Q10" s="112"/>
      <c r="R10" s="112"/>
      <c r="S10" s="112"/>
      <c r="T10" s="112"/>
      <c r="U10" s="112"/>
      <c r="V10" s="112"/>
      <c r="W10" s="112"/>
      <c r="X10" s="112"/>
      <c r="Y10" s="119" t="s">
        <v>122</v>
      </c>
      <c r="Z10" s="119" t="s">
        <v>123</v>
      </c>
      <c r="AA10" s="119" t="s">
        <v>93</v>
      </c>
      <c r="AB10" s="112"/>
      <c r="AC10" s="119" t="s">
        <v>120</v>
      </c>
      <c r="AD10" s="112"/>
      <c r="AE10" s="112"/>
      <c r="AF10" s="112"/>
      <c r="AG10" s="112"/>
      <c r="AH10" s="112"/>
      <c r="AI10" s="112"/>
      <c r="AJ10" s="112"/>
    </row>
    <row r="11" spans="1:36" x14ac:dyDescent="0.3">
      <c r="A11" s="114" t="s">
        <v>88</v>
      </c>
      <c r="B11" s="115">
        <v>46009</v>
      </c>
      <c r="C11" s="116" t="s">
        <v>29</v>
      </c>
      <c r="D11" s="117" t="s">
        <v>89</v>
      </c>
      <c r="E11" s="116" t="s">
        <v>1</v>
      </c>
      <c r="F11" s="116" t="s">
        <v>90</v>
      </c>
      <c r="G11" s="118">
        <v>0.19639999999999999</v>
      </c>
      <c r="H11" s="119">
        <v>168</v>
      </c>
      <c r="I11" s="119">
        <v>33</v>
      </c>
      <c r="J11" s="119">
        <v>0</v>
      </c>
      <c r="K11" s="116" t="s">
        <v>91</v>
      </c>
      <c r="L11" s="120" t="s">
        <v>42</v>
      </c>
      <c r="M11" s="119">
        <v>0</v>
      </c>
      <c r="N11" s="119">
        <v>0</v>
      </c>
      <c r="O11" s="119">
        <v>13</v>
      </c>
      <c r="P11" s="116" t="s">
        <v>52</v>
      </c>
      <c r="Q11" s="112"/>
      <c r="R11" s="112"/>
      <c r="S11" s="112"/>
      <c r="T11" s="112"/>
      <c r="U11" s="112"/>
      <c r="V11" s="112"/>
      <c r="W11" s="112"/>
      <c r="X11" s="112"/>
      <c r="Y11" s="119" t="s">
        <v>124</v>
      </c>
      <c r="Z11" s="112"/>
      <c r="AA11" s="112"/>
      <c r="AB11" s="112"/>
      <c r="AC11" s="119" t="s">
        <v>125</v>
      </c>
      <c r="AD11" s="119" t="s">
        <v>126</v>
      </c>
      <c r="AE11" s="119" t="s">
        <v>127</v>
      </c>
      <c r="AF11" s="112"/>
      <c r="AG11" s="112"/>
      <c r="AH11" s="112"/>
      <c r="AI11" s="112"/>
      <c r="AJ11" s="112"/>
    </row>
    <row r="12" spans="1:36" x14ac:dyDescent="0.3">
      <c r="A12" s="114" t="s">
        <v>96</v>
      </c>
      <c r="B12" s="115">
        <v>46010</v>
      </c>
      <c r="C12" s="116" t="s">
        <v>35</v>
      </c>
      <c r="D12" s="117" t="s">
        <v>97</v>
      </c>
      <c r="E12" s="116" t="s">
        <v>1</v>
      </c>
      <c r="F12" s="116" t="s">
        <v>90</v>
      </c>
      <c r="G12" s="118">
        <v>8.3299999999999999E-2</v>
      </c>
      <c r="H12" s="119">
        <v>168</v>
      </c>
      <c r="I12" s="119">
        <v>14</v>
      </c>
      <c r="J12" s="119">
        <v>0</v>
      </c>
      <c r="K12" s="116" t="s">
        <v>91</v>
      </c>
      <c r="L12" s="120" t="s">
        <v>32</v>
      </c>
      <c r="M12" s="119">
        <v>0</v>
      </c>
      <c r="N12" s="119">
        <v>1</v>
      </c>
      <c r="O12" s="119">
        <v>1</v>
      </c>
      <c r="P12" s="116" t="s">
        <v>39</v>
      </c>
      <c r="Q12" s="112"/>
      <c r="R12" s="112"/>
      <c r="S12" s="112"/>
      <c r="T12" s="112"/>
      <c r="U12" s="112"/>
      <c r="V12" s="112"/>
      <c r="W12" s="119" t="s">
        <v>128</v>
      </c>
      <c r="X12" s="112"/>
      <c r="Y12" s="112"/>
      <c r="Z12" s="112"/>
      <c r="AA12" s="112"/>
      <c r="AB12" s="112"/>
      <c r="AC12" s="119" t="s">
        <v>129</v>
      </c>
      <c r="AD12" s="119" t="s">
        <v>130</v>
      </c>
      <c r="AE12" s="119" t="s">
        <v>95</v>
      </c>
      <c r="AF12" s="112"/>
      <c r="AG12" s="112"/>
      <c r="AH12" s="112"/>
      <c r="AI12" s="112"/>
      <c r="AJ12" s="112"/>
    </row>
    <row r="13" spans="1:36" x14ac:dyDescent="0.3">
      <c r="A13" s="114" t="s">
        <v>103</v>
      </c>
      <c r="B13" s="115">
        <v>46012</v>
      </c>
      <c r="C13" s="116" t="s">
        <v>35</v>
      </c>
      <c r="D13" s="117" t="s">
        <v>97</v>
      </c>
      <c r="E13" s="116" t="s">
        <v>1</v>
      </c>
      <c r="F13" s="116" t="s">
        <v>90</v>
      </c>
      <c r="G13" s="118">
        <v>0.11899999999999999</v>
      </c>
      <c r="H13" s="119">
        <v>168</v>
      </c>
      <c r="I13" s="119">
        <v>20</v>
      </c>
      <c r="J13" s="119">
        <v>0</v>
      </c>
      <c r="K13" s="116" t="s">
        <v>91</v>
      </c>
      <c r="L13" s="120" t="s">
        <v>42</v>
      </c>
      <c r="M13" s="119">
        <v>0</v>
      </c>
      <c r="N13" s="119">
        <v>0</v>
      </c>
      <c r="O13" s="119">
        <v>6</v>
      </c>
      <c r="P13" s="116" t="s">
        <v>39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9" t="s">
        <v>104</v>
      </c>
      <c r="AA13" s="112"/>
      <c r="AB13" s="112"/>
      <c r="AC13" s="119" t="s">
        <v>39</v>
      </c>
      <c r="AD13" s="119" t="s">
        <v>131</v>
      </c>
      <c r="AE13" s="119" t="s">
        <v>127</v>
      </c>
      <c r="AF13" s="112"/>
      <c r="AG13" s="112"/>
      <c r="AH13" s="112"/>
      <c r="AI13" s="112"/>
      <c r="AJ13" s="112"/>
    </row>
    <row r="14" spans="1:36" x14ac:dyDescent="0.3">
      <c r="A14" s="114" t="s">
        <v>88</v>
      </c>
      <c r="B14" s="115">
        <v>46016</v>
      </c>
      <c r="C14" s="116" t="s">
        <v>29</v>
      </c>
      <c r="D14" s="117" t="s">
        <v>89</v>
      </c>
      <c r="E14" s="116" t="s">
        <v>1</v>
      </c>
      <c r="F14" s="116" t="s">
        <v>90</v>
      </c>
      <c r="G14" s="118">
        <v>0.1071</v>
      </c>
      <c r="H14" s="119">
        <v>168</v>
      </c>
      <c r="I14" s="119">
        <v>18</v>
      </c>
      <c r="J14" s="119">
        <v>0</v>
      </c>
      <c r="K14" s="116" t="s">
        <v>91</v>
      </c>
      <c r="L14" s="120" t="s">
        <v>56</v>
      </c>
      <c r="M14" s="119">
        <v>0</v>
      </c>
      <c r="N14" s="119">
        <v>0</v>
      </c>
      <c r="O14" s="119">
        <v>3</v>
      </c>
      <c r="P14" s="116" t="s">
        <v>39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9" t="s">
        <v>132</v>
      </c>
      <c r="AD14" s="119" t="s">
        <v>126</v>
      </c>
      <c r="AE14" s="119" t="s">
        <v>127</v>
      </c>
      <c r="AF14" s="112"/>
      <c r="AG14" s="112"/>
      <c r="AH14" s="112"/>
      <c r="AI14" s="112"/>
      <c r="AJ14" s="112"/>
    </row>
    <row r="15" spans="1:36" x14ac:dyDescent="0.3">
      <c r="A15" s="114" t="s">
        <v>96</v>
      </c>
      <c r="B15" s="115">
        <v>46017</v>
      </c>
      <c r="C15" s="116" t="s">
        <v>35</v>
      </c>
      <c r="D15" s="117" t="s">
        <v>97</v>
      </c>
      <c r="E15" s="116" t="s">
        <v>1</v>
      </c>
      <c r="F15" s="116" t="s">
        <v>90</v>
      </c>
      <c r="G15" s="118">
        <v>0.16070000000000001</v>
      </c>
      <c r="H15" s="119">
        <v>168</v>
      </c>
      <c r="I15" s="119">
        <v>27</v>
      </c>
      <c r="J15" s="119">
        <v>0</v>
      </c>
      <c r="K15" s="116" t="s">
        <v>91</v>
      </c>
      <c r="L15" s="120" t="s">
        <v>32</v>
      </c>
      <c r="M15" s="119">
        <v>0</v>
      </c>
      <c r="N15" s="119">
        <v>8</v>
      </c>
      <c r="O15" s="119">
        <v>8</v>
      </c>
      <c r="P15" s="116" t="s">
        <v>39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9" t="s">
        <v>133</v>
      </c>
      <c r="AB15" s="112"/>
      <c r="AC15" s="119" t="s">
        <v>134</v>
      </c>
      <c r="AD15" s="119" t="s">
        <v>101</v>
      </c>
      <c r="AE15" s="119" t="s">
        <v>111</v>
      </c>
      <c r="AF15" s="112"/>
      <c r="AG15" s="112"/>
      <c r="AH15" s="112"/>
      <c r="AI15" s="112"/>
      <c r="AJ15" s="112"/>
    </row>
    <row r="16" spans="1:36" ht="21" x14ac:dyDescent="0.3">
      <c r="A16" s="121" t="s">
        <v>156</v>
      </c>
      <c r="B16" s="122"/>
      <c r="C16" s="121">
        <f>SUBTOTAL(103,AHB_CAI_LF_LEGACY[Flt])</f>
        <v>14</v>
      </c>
      <c r="D16" s="121"/>
      <c r="E16" s="121">
        <f>SUBTOTAL(103,AHB_CAI_LF_LEGACY[Brd-Off])</f>
        <v>14</v>
      </c>
      <c r="F16" s="121"/>
      <c r="G16" s="123">
        <f>SUBTOTAL(101,AHB_CAI_LF_LEGACY[LF%])</f>
        <v>0.21044999999999997</v>
      </c>
      <c r="H16" s="124">
        <f>SUBTOTAL(109,AHB_CAI_LF_LEGACY[CAP])</f>
        <v>2352</v>
      </c>
      <c r="I16" s="124">
        <f>SUBTOTAL(109,AHB_CAI_LF_LEGACY[BKG(Y)])</f>
        <v>495</v>
      </c>
      <c r="J16" s="124">
        <f>SUBTOTAL(109,AHB_CAI_LF_LEGACY[GRP(Y)])</f>
        <v>0</v>
      </c>
      <c r="K16" s="121"/>
      <c r="L16" s="122"/>
      <c r="M16" s="124">
        <f>SUBTOTAL(109,AHB_CAI_LF_LEGACY[TO-DAY])</f>
        <v>1</v>
      </c>
      <c r="N16" s="124">
        <f>SUBTOTAL(109,AHB_CAI_LF_LEGACY[Y-DAY])</f>
        <v>37</v>
      </c>
      <c r="O16" s="124">
        <f>SUBTOTAL(109,AHB_CAI_LF_LEGACY[WEEKLY])</f>
        <v>180</v>
      </c>
      <c r="P16" s="125"/>
      <c r="Q16" s="124">
        <f>SUBTOTAL(109,AHB_CAI_LF_LEGACY[Y])</f>
        <v>0</v>
      </c>
      <c r="R16" s="124">
        <f>SUBTOTAL(109,AHB_CAI_LF_LEGACY[B])</f>
        <v>0</v>
      </c>
      <c r="S16" s="124">
        <f>SUBTOTAL(109,AHB_CAI_LF_LEGACY[M])</f>
        <v>0</v>
      </c>
      <c r="T16" s="124">
        <f>SUBTOTAL(109,AHB_CAI_LF_LEGACY[H])</f>
        <v>0</v>
      </c>
      <c r="U16" s="124">
        <f>SUBTOTAL(109,AHB_CAI_LF_LEGACY[Q])</f>
        <v>0</v>
      </c>
      <c r="V16" s="124">
        <f>SUBTOTAL(109,AHB_CAI_LF_LEGACY[K])</f>
        <v>0</v>
      </c>
      <c r="W16" s="124">
        <f>SUBTOTAL(109,AHB_CAI_LF_LEGACY[V])</f>
        <v>0</v>
      </c>
      <c r="X16" s="124">
        <f>SUBTOTAL(109,AHB_CAI_LF_LEGACY[L])</f>
        <v>0</v>
      </c>
      <c r="Y16" s="124">
        <f>SUBTOTAL(109,AHB_CAI_LF_LEGACY[G])</f>
        <v>0</v>
      </c>
      <c r="Z16" s="124">
        <f>SUBTOTAL(109,AHB_CAI_LF_LEGACY[S])</f>
        <v>0</v>
      </c>
      <c r="AA16" s="124">
        <f>SUBTOTAL(109,AHB_CAI_LF_LEGACY[W])</f>
        <v>0</v>
      </c>
      <c r="AB16" s="124">
        <f>SUBTOTAL(109,AHB_CAI_LF_LEGACY[T])</f>
        <v>0</v>
      </c>
      <c r="AC16" s="124">
        <f>SUBTOTAL(109,AHB_CAI_LF_LEGACY[X])</f>
        <v>0</v>
      </c>
      <c r="AD16" s="124">
        <f>SUBTOTAL(109,AHB_CAI_LF_LEGACY[U])</f>
        <v>0</v>
      </c>
      <c r="AE16" s="124">
        <f>SUBTOTAL(109,AHB_CAI_LF_LEGACY[O])</f>
        <v>0</v>
      </c>
      <c r="AF16" s="124">
        <f>SUBTOTAL(109,AHB_CAI_LF_LEGACY[I])</f>
        <v>0</v>
      </c>
      <c r="AG16" s="124">
        <f>SUBTOTAL(109,AHB_CAI_LF_LEGACY[E])</f>
        <v>0</v>
      </c>
      <c r="AH16" s="124">
        <f>SUBTOTAL(109,AHB_CAI_LF_LEGACY[A])</f>
        <v>0</v>
      </c>
      <c r="AI16" s="124">
        <f>SUBTOTAL(109,AHB_CAI_LF_LEGACY[P])</f>
        <v>0</v>
      </c>
      <c r="AJ16" s="124">
        <f>SUBTOTAL(103,AHB_CAI_LF_LEGACY[N])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4.664062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135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45984.228687277668</v>
      </c>
      <c r="H2" s="102"/>
      <c r="I2" s="102"/>
      <c r="J2" s="102"/>
      <c r="K2" s="111">
        <v>45984.228687278257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45989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136</v>
      </c>
      <c r="C6" s="27">
        <v>0.76041666666666663</v>
      </c>
      <c r="D6" s="26" t="s">
        <v>30</v>
      </c>
      <c r="E6" s="28"/>
      <c r="F6" s="26" t="s">
        <v>41</v>
      </c>
      <c r="G6" s="100"/>
      <c r="H6" s="29" t="s">
        <v>136</v>
      </c>
      <c r="I6" s="30">
        <v>0.29170000000000001</v>
      </c>
      <c r="J6" s="31">
        <v>49</v>
      </c>
      <c r="K6" s="32" t="s">
        <v>32</v>
      </c>
      <c r="L6" s="31">
        <v>15</v>
      </c>
      <c r="M6" s="31">
        <v>0</v>
      </c>
      <c r="N6" s="31">
        <v>6</v>
      </c>
      <c r="O6" s="33" t="s">
        <v>137</v>
      </c>
      <c r="P6" s="34">
        <v>0.76041666666666663</v>
      </c>
      <c r="Q6" s="31">
        <v>168</v>
      </c>
      <c r="R6" s="35" t="s">
        <v>138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45996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46" t="s">
        <v>28</v>
      </c>
      <c r="B10" s="46" t="s">
        <v>136</v>
      </c>
      <c r="C10" s="47">
        <v>0.76041666666666663</v>
      </c>
      <c r="D10" s="46" t="s">
        <v>30</v>
      </c>
      <c r="E10" s="48"/>
      <c r="F10" s="46" t="s">
        <v>41</v>
      </c>
      <c r="G10" s="104"/>
      <c r="H10" s="49" t="s">
        <v>136</v>
      </c>
      <c r="I10" s="50">
        <v>0.29759999999999998</v>
      </c>
      <c r="J10" s="51">
        <v>50</v>
      </c>
      <c r="K10" s="52" t="s">
        <v>32</v>
      </c>
      <c r="L10" s="51">
        <v>25</v>
      </c>
      <c r="M10" s="51">
        <v>0</v>
      </c>
      <c r="N10" s="51">
        <v>20</v>
      </c>
      <c r="O10" s="53" t="s">
        <v>139</v>
      </c>
      <c r="P10" s="54">
        <v>0.76041666666666663</v>
      </c>
      <c r="Q10" s="51">
        <v>168</v>
      </c>
      <c r="R10" s="55" t="s">
        <v>140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46003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6" t="s">
        <v>28</v>
      </c>
      <c r="B14" s="86" t="s">
        <v>136</v>
      </c>
      <c r="C14" s="87">
        <v>0.76041666666666663</v>
      </c>
      <c r="D14" s="86" t="s">
        <v>30</v>
      </c>
      <c r="E14" s="88"/>
      <c r="F14" s="86" t="s">
        <v>41</v>
      </c>
      <c r="G14" s="104"/>
      <c r="H14" s="89" t="s">
        <v>136</v>
      </c>
      <c r="I14" s="90">
        <v>0.16669999999999999</v>
      </c>
      <c r="J14" s="91">
        <v>28</v>
      </c>
      <c r="K14" s="92" t="s">
        <v>42</v>
      </c>
      <c r="L14" s="91">
        <v>7</v>
      </c>
      <c r="M14" s="91">
        <v>0</v>
      </c>
      <c r="N14" s="91">
        <v>0</v>
      </c>
      <c r="O14" s="93" t="s">
        <v>141</v>
      </c>
      <c r="P14" s="94">
        <v>0.76041666666666663</v>
      </c>
      <c r="Q14" s="91">
        <v>168</v>
      </c>
      <c r="R14" s="95" t="s">
        <v>142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46010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56" t="s">
        <v>28</v>
      </c>
      <c r="B18" s="56" t="s">
        <v>136</v>
      </c>
      <c r="C18" s="57">
        <v>0.76041666666666663</v>
      </c>
      <c r="D18" s="56" t="s">
        <v>30</v>
      </c>
      <c r="E18" s="58"/>
      <c r="F18" s="56" t="s">
        <v>41</v>
      </c>
      <c r="G18" s="100"/>
      <c r="H18" s="59" t="s">
        <v>136</v>
      </c>
      <c r="I18" s="60">
        <v>0.15479999999999999</v>
      </c>
      <c r="J18" s="61">
        <v>26</v>
      </c>
      <c r="K18" s="62" t="s">
        <v>32</v>
      </c>
      <c r="L18" s="61">
        <v>8</v>
      </c>
      <c r="M18" s="61">
        <v>0</v>
      </c>
      <c r="N18" s="61">
        <v>1</v>
      </c>
      <c r="O18" s="63" t="s">
        <v>112</v>
      </c>
      <c r="P18" s="64">
        <v>0.76041666666666663</v>
      </c>
      <c r="Q18" s="61">
        <v>168</v>
      </c>
      <c r="R18" s="65" t="s">
        <v>143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46017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26" t="s">
        <v>28</v>
      </c>
      <c r="B22" s="26" t="s">
        <v>136</v>
      </c>
      <c r="C22" s="27">
        <v>0.76041666666666663</v>
      </c>
      <c r="D22" s="26" t="s">
        <v>30</v>
      </c>
      <c r="E22" s="28"/>
      <c r="F22" s="26" t="s">
        <v>41</v>
      </c>
      <c r="G22" s="100"/>
      <c r="H22" s="29" t="s">
        <v>136</v>
      </c>
      <c r="I22" s="30">
        <v>0.16669999999999999</v>
      </c>
      <c r="J22" s="31">
        <v>28</v>
      </c>
      <c r="K22" s="32" t="s">
        <v>32</v>
      </c>
      <c r="L22" s="31">
        <v>12</v>
      </c>
      <c r="M22" s="31">
        <v>0</v>
      </c>
      <c r="N22" s="31">
        <v>3</v>
      </c>
      <c r="O22" s="33" t="s">
        <v>144</v>
      </c>
      <c r="P22" s="34">
        <v>0.76041666666666663</v>
      </c>
      <c r="Q22" s="31">
        <v>168</v>
      </c>
      <c r="R22" s="35" t="s">
        <v>145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13" bestFit="1" customWidth="1"/>
    <col min="2" max="2" width="10.44140625" style="113" bestFit="1" customWidth="1"/>
    <col min="3" max="3" width="6.77734375" style="113" bestFit="1" customWidth="1"/>
    <col min="4" max="4" width="5.5546875" style="113" bestFit="1" customWidth="1"/>
    <col min="5" max="5" width="8.33203125" style="113" bestFit="1" customWidth="1"/>
    <col min="6" max="6" width="4.21875" style="113" bestFit="1" customWidth="1"/>
    <col min="7" max="7" width="10" style="113" bestFit="1" customWidth="1"/>
    <col min="8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2" width="3.88671875" style="113" bestFit="1" customWidth="1"/>
    <col min="23" max="23" width="4.33203125" style="113" bestFit="1" customWidth="1"/>
    <col min="24" max="24" width="4.109375" style="113" bestFit="1" customWidth="1"/>
    <col min="25" max="25" width="4.44140625" style="113" bestFit="1" customWidth="1"/>
    <col min="26" max="26" width="4.109375" style="113" bestFit="1" customWidth="1"/>
    <col min="27" max="27" width="5" style="113" bestFit="1" customWidth="1"/>
    <col min="28" max="28" width="3.88671875" style="113" bestFit="1" customWidth="1"/>
    <col min="29" max="29" width="4.21875" style="113" bestFit="1" customWidth="1"/>
    <col min="30" max="36" width="3.88671875" style="113" bestFit="1" customWidth="1"/>
    <col min="37" max="16384" width="8.88671875" style="113"/>
  </cols>
  <sheetData>
    <row r="1" spans="1:36" x14ac:dyDescent="0.3">
      <c r="A1" s="112" t="s">
        <v>59</v>
      </c>
      <c r="B1" s="112" t="s">
        <v>60</v>
      </c>
      <c r="C1" s="112" t="s">
        <v>61</v>
      </c>
      <c r="D1" s="112" t="s">
        <v>25</v>
      </c>
      <c r="E1" s="112" t="s">
        <v>62</v>
      </c>
      <c r="F1" s="112" t="s">
        <v>63</v>
      </c>
      <c r="G1" s="112" t="s">
        <v>18</v>
      </c>
      <c r="H1" s="112" t="s">
        <v>64</v>
      </c>
      <c r="I1" s="112" t="s">
        <v>65</v>
      </c>
      <c r="J1" s="112" t="s">
        <v>66</v>
      </c>
      <c r="K1" s="112" t="s">
        <v>67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68</v>
      </c>
      <c r="R1" s="112" t="s">
        <v>69</v>
      </c>
      <c r="S1" s="112" t="s">
        <v>70</v>
      </c>
      <c r="T1" s="112" t="s">
        <v>71</v>
      </c>
      <c r="U1" s="112" t="s">
        <v>72</v>
      </c>
      <c r="V1" s="112" t="s">
        <v>73</v>
      </c>
      <c r="W1" s="112" t="s">
        <v>74</v>
      </c>
      <c r="X1" s="112" t="s">
        <v>75</v>
      </c>
      <c r="Y1" s="112" t="s">
        <v>76</v>
      </c>
      <c r="Z1" s="112" t="s">
        <v>77</v>
      </c>
      <c r="AA1" s="112" t="s">
        <v>78</v>
      </c>
      <c r="AB1" s="112" t="s">
        <v>79</v>
      </c>
      <c r="AC1" s="112" t="s">
        <v>80</v>
      </c>
      <c r="AD1" s="112" t="s">
        <v>81</v>
      </c>
      <c r="AE1" s="112" t="s">
        <v>82</v>
      </c>
      <c r="AF1" s="112" t="s">
        <v>83</v>
      </c>
      <c r="AG1" s="112" t="s">
        <v>84</v>
      </c>
      <c r="AH1" s="112" t="s">
        <v>85</v>
      </c>
      <c r="AI1" s="112" t="s">
        <v>86</v>
      </c>
      <c r="AJ1" s="112" t="s">
        <v>87</v>
      </c>
    </row>
    <row r="2" spans="1:36" x14ac:dyDescent="0.3">
      <c r="A2" s="114" t="s">
        <v>96</v>
      </c>
      <c r="B2" s="115">
        <v>45989</v>
      </c>
      <c r="C2" s="116" t="s">
        <v>136</v>
      </c>
      <c r="D2" s="117" t="s">
        <v>146</v>
      </c>
      <c r="E2" s="116" t="s">
        <v>135</v>
      </c>
      <c r="F2" s="116" t="s">
        <v>90</v>
      </c>
      <c r="G2" s="118">
        <v>0.29170000000000001</v>
      </c>
      <c r="H2" s="119">
        <v>168</v>
      </c>
      <c r="I2" s="119">
        <v>49</v>
      </c>
      <c r="J2" s="119">
        <v>0</v>
      </c>
      <c r="K2" s="116" t="s">
        <v>91</v>
      </c>
      <c r="L2" s="120" t="s">
        <v>32</v>
      </c>
      <c r="M2" s="119">
        <v>0</v>
      </c>
      <c r="N2" s="119">
        <v>6</v>
      </c>
      <c r="O2" s="119">
        <v>15</v>
      </c>
      <c r="P2" s="116" t="s">
        <v>137</v>
      </c>
      <c r="Q2" s="112"/>
      <c r="R2" s="112"/>
      <c r="S2" s="112"/>
      <c r="T2" s="112"/>
      <c r="U2" s="112"/>
      <c r="V2" s="112"/>
      <c r="W2" s="112"/>
      <c r="X2" s="119" t="s">
        <v>147</v>
      </c>
      <c r="Y2" s="119" t="s">
        <v>148</v>
      </c>
      <c r="Z2" s="119" t="s">
        <v>149</v>
      </c>
      <c r="AA2" s="119" t="s">
        <v>150</v>
      </c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6" x14ac:dyDescent="0.3">
      <c r="A3" s="114" t="s">
        <v>96</v>
      </c>
      <c r="B3" s="115">
        <v>45996</v>
      </c>
      <c r="C3" s="116" t="s">
        <v>136</v>
      </c>
      <c r="D3" s="117" t="s">
        <v>146</v>
      </c>
      <c r="E3" s="116" t="s">
        <v>135</v>
      </c>
      <c r="F3" s="116" t="s">
        <v>90</v>
      </c>
      <c r="G3" s="118">
        <v>0.29759999999999998</v>
      </c>
      <c r="H3" s="119">
        <v>168</v>
      </c>
      <c r="I3" s="119">
        <v>50</v>
      </c>
      <c r="J3" s="119">
        <v>0</v>
      </c>
      <c r="K3" s="116" t="s">
        <v>91</v>
      </c>
      <c r="L3" s="120" t="s">
        <v>32</v>
      </c>
      <c r="M3" s="119">
        <v>0</v>
      </c>
      <c r="N3" s="119">
        <v>20</v>
      </c>
      <c r="O3" s="119">
        <v>25</v>
      </c>
      <c r="P3" s="116" t="s">
        <v>139</v>
      </c>
      <c r="Q3" s="112"/>
      <c r="R3" s="112"/>
      <c r="S3" s="112"/>
      <c r="T3" s="112"/>
      <c r="U3" s="112"/>
      <c r="V3" s="112"/>
      <c r="W3" s="112"/>
      <c r="X3" s="112"/>
      <c r="Y3" s="119" t="s">
        <v>151</v>
      </c>
      <c r="Z3" s="119" t="s">
        <v>92</v>
      </c>
      <c r="AA3" s="119" t="s">
        <v>133</v>
      </c>
      <c r="AB3" s="119" t="s">
        <v>114</v>
      </c>
      <c r="AC3" s="119" t="s">
        <v>39</v>
      </c>
      <c r="AD3" s="112"/>
      <c r="AE3" s="119" t="s">
        <v>152</v>
      </c>
      <c r="AF3" s="112"/>
      <c r="AG3" s="112"/>
      <c r="AH3" s="112"/>
      <c r="AI3" s="112"/>
      <c r="AJ3" s="112"/>
    </row>
    <row r="4" spans="1:36" x14ac:dyDescent="0.3">
      <c r="A4" s="114" t="s">
        <v>96</v>
      </c>
      <c r="B4" s="115">
        <v>46003</v>
      </c>
      <c r="C4" s="116" t="s">
        <v>136</v>
      </c>
      <c r="D4" s="117" t="s">
        <v>146</v>
      </c>
      <c r="E4" s="116" t="s">
        <v>135</v>
      </c>
      <c r="F4" s="116" t="s">
        <v>90</v>
      </c>
      <c r="G4" s="118">
        <v>0.16669999999999999</v>
      </c>
      <c r="H4" s="119">
        <v>168</v>
      </c>
      <c r="I4" s="119">
        <v>28</v>
      </c>
      <c r="J4" s="119">
        <v>0</v>
      </c>
      <c r="K4" s="116" t="s">
        <v>91</v>
      </c>
      <c r="L4" s="120" t="s">
        <v>42</v>
      </c>
      <c r="M4" s="119">
        <v>0</v>
      </c>
      <c r="N4" s="119">
        <v>0</v>
      </c>
      <c r="O4" s="119">
        <v>7</v>
      </c>
      <c r="P4" s="116" t="s">
        <v>141</v>
      </c>
      <c r="Q4" s="112"/>
      <c r="R4" s="112"/>
      <c r="S4" s="112"/>
      <c r="T4" s="112"/>
      <c r="U4" s="112"/>
      <c r="V4" s="112"/>
      <c r="W4" s="119" t="s">
        <v>153</v>
      </c>
      <c r="X4" s="119" t="s">
        <v>154</v>
      </c>
      <c r="Y4" s="119" t="s">
        <v>155</v>
      </c>
      <c r="Z4" s="119" t="s">
        <v>92</v>
      </c>
      <c r="AA4" s="119" t="s">
        <v>121</v>
      </c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x14ac:dyDescent="0.3">
      <c r="A5" s="114" t="s">
        <v>96</v>
      </c>
      <c r="B5" s="115">
        <v>46010</v>
      </c>
      <c r="C5" s="116" t="s">
        <v>136</v>
      </c>
      <c r="D5" s="117" t="s">
        <v>146</v>
      </c>
      <c r="E5" s="116" t="s">
        <v>135</v>
      </c>
      <c r="F5" s="116" t="s">
        <v>90</v>
      </c>
      <c r="G5" s="118">
        <v>0.15479999999999999</v>
      </c>
      <c r="H5" s="119">
        <v>168</v>
      </c>
      <c r="I5" s="119">
        <v>26</v>
      </c>
      <c r="J5" s="119">
        <v>0</v>
      </c>
      <c r="K5" s="116" t="s">
        <v>91</v>
      </c>
      <c r="L5" s="120" t="s">
        <v>32</v>
      </c>
      <c r="M5" s="119">
        <v>0</v>
      </c>
      <c r="N5" s="119">
        <v>1</v>
      </c>
      <c r="O5" s="119">
        <v>8</v>
      </c>
      <c r="P5" s="116" t="s">
        <v>112</v>
      </c>
      <c r="Q5" s="112"/>
      <c r="R5" s="112"/>
      <c r="S5" s="112"/>
      <c r="T5" s="112"/>
      <c r="U5" s="112"/>
      <c r="V5" s="112"/>
      <c r="W5" s="112"/>
      <c r="X5" s="112"/>
      <c r="Y5" s="119" t="s">
        <v>122</v>
      </c>
      <c r="Z5" s="119" t="s">
        <v>123</v>
      </c>
      <c r="AA5" s="119" t="s">
        <v>93</v>
      </c>
      <c r="AB5" s="119" t="s">
        <v>114</v>
      </c>
      <c r="AC5" s="119" t="s">
        <v>117</v>
      </c>
      <c r="AD5" s="112"/>
      <c r="AE5" s="112"/>
      <c r="AF5" s="112"/>
      <c r="AG5" s="112"/>
      <c r="AH5" s="112"/>
      <c r="AI5" s="112"/>
      <c r="AJ5" s="112"/>
    </row>
    <row r="6" spans="1:36" x14ac:dyDescent="0.3">
      <c r="A6" s="114" t="s">
        <v>96</v>
      </c>
      <c r="B6" s="115">
        <v>46017</v>
      </c>
      <c r="C6" s="116" t="s">
        <v>136</v>
      </c>
      <c r="D6" s="117" t="s">
        <v>146</v>
      </c>
      <c r="E6" s="116" t="s">
        <v>135</v>
      </c>
      <c r="F6" s="116" t="s">
        <v>90</v>
      </c>
      <c r="G6" s="118">
        <v>0.16669999999999999</v>
      </c>
      <c r="H6" s="119">
        <v>168</v>
      </c>
      <c r="I6" s="119">
        <v>28</v>
      </c>
      <c r="J6" s="119">
        <v>0</v>
      </c>
      <c r="K6" s="116" t="s">
        <v>91</v>
      </c>
      <c r="L6" s="120" t="s">
        <v>32</v>
      </c>
      <c r="M6" s="119">
        <v>0</v>
      </c>
      <c r="N6" s="119">
        <v>3</v>
      </c>
      <c r="O6" s="119">
        <v>12</v>
      </c>
      <c r="P6" s="116" t="s">
        <v>144</v>
      </c>
      <c r="Q6" s="112"/>
      <c r="R6" s="112"/>
      <c r="S6" s="112"/>
      <c r="T6" s="112"/>
      <c r="U6" s="112"/>
      <c r="V6" s="112"/>
      <c r="W6" s="112"/>
      <c r="X6" s="112"/>
      <c r="Y6" s="119" t="s">
        <v>124</v>
      </c>
      <c r="Z6" s="119" t="s">
        <v>123</v>
      </c>
      <c r="AA6" s="119" t="s">
        <v>93</v>
      </c>
      <c r="AB6" s="119" t="s">
        <v>114</v>
      </c>
      <c r="AC6" s="119" t="s">
        <v>117</v>
      </c>
      <c r="AD6" s="112"/>
      <c r="AE6" s="112"/>
      <c r="AF6" s="112"/>
      <c r="AG6" s="112"/>
      <c r="AH6" s="112"/>
      <c r="AI6" s="112"/>
      <c r="AJ6" s="112"/>
    </row>
    <row r="7" spans="1:36" ht="21" x14ac:dyDescent="0.3">
      <c r="A7" s="121" t="s">
        <v>156</v>
      </c>
      <c r="B7" s="122"/>
      <c r="C7" s="121">
        <f>SUBTOTAL(103,AHB_ATZ_LF_LEGACY[Flt])</f>
        <v>5</v>
      </c>
      <c r="D7" s="121"/>
      <c r="E7" s="121">
        <f>SUBTOTAL(103,AHB_ATZ_LF_LEGACY[Brd-Off])</f>
        <v>5</v>
      </c>
      <c r="F7" s="121"/>
      <c r="G7" s="123">
        <f>SUBTOTAL(101,AHB_ATZ_LF_LEGACY[LF%])</f>
        <v>0.21549999999999997</v>
      </c>
      <c r="H7" s="124">
        <f>SUBTOTAL(109,AHB_ATZ_LF_LEGACY[CAP])</f>
        <v>840</v>
      </c>
      <c r="I7" s="124">
        <f>SUBTOTAL(109,AHB_ATZ_LF_LEGACY[BKG(Y)])</f>
        <v>181</v>
      </c>
      <c r="J7" s="124">
        <f>SUBTOTAL(109,AHB_ATZ_LF_LEGACY[GRP(Y)])</f>
        <v>0</v>
      </c>
      <c r="K7" s="121"/>
      <c r="L7" s="122"/>
      <c r="M7" s="124">
        <f>SUBTOTAL(109,AHB_ATZ_LF_LEGACY[TO-DAY])</f>
        <v>0</v>
      </c>
      <c r="N7" s="124">
        <f>SUBTOTAL(109,AHB_ATZ_LF_LEGACY[Y-DAY])</f>
        <v>30</v>
      </c>
      <c r="O7" s="124">
        <f>SUBTOTAL(109,AHB_ATZ_LF_LEGACY[WEEKLY])</f>
        <v>67</v>
      </c>
      <c r="P7" s="125"/>
      <c r="Q7" s="124">
        <f>SUBTOTAL(109,AHB_ATZ_LF_LEGACY[Y])</f>
        <v>0</v>
      </c>
      <c r="R7" s="124">
        <f>SUBTOTAL(109,AHB_ATZ_LF_LEGACY[B])</f>
        <v>0</v>
      </c>
      <c r="S7" s="124">
        <f>SUBTOTAL(109,AHB_ATZ_LF_LEGACY[M])</f>
        <v>0</v>
      </c>
      <c r="T7" s="124">
        <f>SUBTOTAL(109,AHB_ATZ_LF_LEGACY[H])</f>
        <v>0</v>
      </c>
      <c r="U7" s="124">
        <f>SUBTOTAL(109,AHB_ATZ_LF_LEGACY[Q])</f>
        <v>0</v>
      </c>
      <c r="V7" s="124">
        <f>SUBTOTAL(109,AHB_ATZ_LF_LEGACY[K])</f>
        <v>0</v>
      </c>
      <c r="W7" s="124">
        <f>SUBTOTAL(109,AHB_ATZ_LF_LEGACY[V])</f>
        <v>0</v>
      </c>
      <c r="X7" s="124">
        <f>SUBTOTAL(109,AHB_ATZ_LF_LEGACY[L])</f>
        <v>0</v>
      </c>
      <c r="Y7" s="124">
        <f>SUBTOTAL(109,AHB_ATZ_LF_LEGACY[G])</f>
        <v>0</v>
      </c>
      <c r="Z7" s="124">
        <f>SUBTOTAL(109,AHB_ATZ_LF_LEGACY[S])</f>
        <v>0</v>
      </c>
      <c r="AA7" s="124">
        <f>SUBTOTAL(109,AHB_ATZ_LF_LEGACY[W])</f>
        <v>0</v>
      </c>
      <c r="AB7" s="124">
        <f>SUBTOTAL(109,AHB_ATZ_LF_LEGACY[T])</f>
        <v>0</v>
      </c>
      <c r="AC7" s="124">
        <f>SUBTOTAL(109,AHB_ATZ_LF_LEGACY[X])</f>
        <v>0</v>
      </c>
      <c r="AD7" s="124">
        <f>SUBTOTAL(109,AHB_ATZ_LF_LEGACY[U])</f>
        <v>0</v>
      </c>
      <c r="AE7" s="124">
        <f>SUBTOTAL(109,AHB_ATZ_LF_LEGACY[O])</f>
        <v>0</v>
      </c>
      <c r="AF7" s="124">
        <f>SUBTOTAL(109,AHB_ATZ_LF_LEGACY[I])</f>
        <v>0</v>
      </c>
      <c r="AG7" s="124">
        <f>SUBTOTAL(109,AHB_ATZ_LF_LEGACY[E])</f>
        <v>0</v>
      </c>
      <c r="AH7" s="124">
        <f>SUBTOTAL(109,AHB_ATZ_LF_LEGACY[A])</f>
        <v>0</v>
      </c>
      <c r="AI7" s="124">
        <f>SUBTOTAL(109,AHB_ATZ_LF_LEGACY[P])</f>
        <v>0</v>
      </c>
      <c r="AJ7" s="124">
        <f>SUBTOTAL(103,AHB_ATZ_LF_LEGACY[N])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AHB-CAI</vt:lpstr>
      <vt:lpstr>AHB-CAI LF LEGACY</vt:lpstr>
      <vt:lpstr>AHB-ATZ</vt:lpstr>
      <vt:lpstr>AHB-ATZ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2025-11-23T02:30:48Z</dcterms:created>
  <dcterms:modified xsi:type="dcterms:W3CDTF">2025-11-23T02:30:53Z</dcterms:modified>
</cp:coreProperties>
</file>