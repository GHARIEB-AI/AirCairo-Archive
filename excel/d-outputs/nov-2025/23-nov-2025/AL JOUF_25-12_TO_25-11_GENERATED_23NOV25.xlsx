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09D5CFC-EFF2-4B70-9980-3BE50805B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F-CAI" sheetId="1" r:id="rId1"/>
    <sheet name="AJF-CAI LF LEGACY" sheetId="2" r:id="rId2"/>
    <sheet name="AJF-ATZ" sheetId="3" r:id="rId3"/>
    <sheet name="AJF-ATZ LF LEGAC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E7" i="4"/>
  <c r="G7" i="4"/>
  <c r="H7" i="4"/>
  <c r="I7" i="4"/>
  <c r="J7" i="4"/>
  <c r="M7" i="4"/>
  <c r="N7" i="4"/>
  <c r="O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16" i="2"/>
  <c r="E16" i="2"/>
  <c r="G16" i="2"/>
  <c r="H16" i="2"/>
  <c r="I16" i="2"/>
  <c r="J16" i="2"/>
  <c r="M16" i="2"/>
  <c r="N16" i="2"/>
  <c r="O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</calcChain>
</file>

<file path=xl/sharedStrings.xml><?xml version="1.0" encoding="utf-8"?>
<sst xmlns="http://schemas.openxmlformats.org/spreadsheetml/2006/main" count="825" uniqueCount="140">
  <si>
    <t>COMPREHENSIVE REPORT</t>
  </si>
  <si>
    <t>AJF-CAI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</si>
  <si>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</si>
  <si>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</si>
  <si>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</si>
  <si>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</si>
  <si>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</si>
  <si>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</si>
  <si>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</si>
  <si>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</si>
  <si>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</si>
  <si>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</si>
  <si>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</si>
  <si>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</si>
  <si>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</si>
  <si>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</si>
  <si>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</si>
  <si>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</si>
  <si>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</si>
  <si>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</si>
  <si>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</si>
  <si>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</si>
  <si>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</si>
  <si>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</si>
  <si>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</si>
  <si>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</si>
  <si>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</si>
  <si>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</si>
  <si>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</si>
  <si>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SM322</t>
  </si>
  <si>
    <t>30KG + 7KG CABIN</t>
  </si>
  <si>
    <t>SEATS AVAILABLE</t>
  </si>
  <si>
    <t>2025-11-22 00:00:00</t>
  </si>
  <si>
    <t>X1</t>
  </si>
  <si>
    <t>S1 &amp; W4 &amp; T19 &amp; X29 &amp; U20 &amp; O25 &amp; I35</t>
  </si>
  <si>
    <t>O9</t>
  </si>
  <si>
    <t>T4 &amp; X1 &amp; O30 &amp; I37</t>
  </si>
  <si>
    <t>LOW DEMAND</t>
  </si>
  <si>
    <t>W1 &amp; O46 &amp; I1</t>
  </si>
  <si>
    <t>O7</t>
  </si>
  <si>
    <t>S2 &amp; O42 &amp; I1</t>
  </si>
  <si>
    <t>O11 &amp; I18</t>
  </si>
  <si>
    <t>2025-11-21 00:00:00</t>
  </si>
  <si>
    <t>O7 &amp; I3</t>
  </si>
  <si>
    <t>U2 &amp; O11</t>
  </si>
  <si>
    <t>S1 &amp; O8 &amp; I1</t>
  </si>
  <si>
    <t>O4 &amp; I1</t>
  </si>
  <si>
    <t>2025-11-19 00:00:00</t>
  </si>
  <si>
    <t>S1 &amp; O10 &amp; I1</t>
  </si>
  <si>
    <t>2025-11-12 00:00:00</t>
  </si>
  <si>
    <t>O3 &amp; I2</t>
  </si>
  <si>
    <t>2025-11-06 00:00:00</t>
  </si>
  <si>
    <t>O1 &amp; I5</t>
  </si>
  <si>
    <t>2025-11-18 00:00:00</t>
  </si>
  <si>
    <t>U5</t>
  </si>
  <si>
    <t>U1 &amp; O3 &amp; N2</t>
  </si>
  <si>
    <t>2025-10-30 00:00:00</t>
  </si>
  <si>
    <t>O1</t>
  </si>
  <si>
    <t>S1 &amp; O4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</si>
  <si>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</si>
  <si>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</si>
  <si>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</si>
  <si>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</si>
  <si>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</si>
  <si>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</si>
  <si>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</si>
  <si>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</si>
  <si>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</si>
  <si>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</si>
  <si>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</si>
  <si>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</si>
  <si>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</si>
  <si>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</si>
  <si>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</si>
  <si>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</si>
  <si>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</si>
  <si>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</si>
  <si>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</si>
  <si>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</si>
  <si>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</si>
  <si>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</si>
  <si>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</si>
  <si>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</si>
  <si>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</si>
  <si>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</si>
  <si>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</si>
  <si>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</si>
  <si>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</si>
  <si>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</si>
  <si>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11:00</t>
  </si>
  <si>
    <t>320</t>
  </si>
  <si>
    <t>UPCOMING</t>
  </si>
  <si>
    <t>S1</t>
  </si>
  <si>
    <t>W4</t>
  </si>
  <si>
    <t>T19</t>
  </si>
  <si>
    <t>X29</t>
  </si>
  <si>
    <t>U20</t>
  </si>
  <si>
    <t>O25</t>
  </si>
  <si>
    <t>I35</t>
  </si>
  <si>
    <t>THURSDAY</t>
  </si>
  <si>
    <t>21:55</t>
  </si>
  <si>
    <t>T4</t>
  </si>
  <si>
    <t>O30</t>
  </si>
  <si>
    <t>I37</t>
  </si>
  <si>
    <t>SATURDAY</t>
  </si>
  <si>
    <t>20:45</t>
  </si>
  <si>
    <t>W1</t>
  </si>
  <si>
    <t>O46</t>
  </si>
  <si>
    <t>I1</t>
  </si>
  <si>
    <t>S2</t>
  </si>
  <si>
    <t>O42</t>
  </si>
  <si>
    <t>O11</t>
  </si>
  <si>
    <t>I18</t>
  </si>
  <si>
    <t>I3</t>
  </si>
  <si>
    <t>U2</t>
  </si>
  <si>
    <t>O8</t>
  </si>
  <si>
    <t>O4</t>
  </si>
  <si>
    <t>O10</t>
  </si>
  <si>
    <t>O3</t>
  </si>
  <si>
    <t>I2</t>
  </si>
  <si>
    <t>I5</t>
  </si>
  <si>
    <t>U1</t>
  </si>
  <si>
    <t>N2</t>
  </si>
  <si>
    <t>AJF-ATZ</t>
  </si>
  <si>
    <t>SM324</t>
  </si>
  <si>
    <t>U39 &amp; O49 &amp; I1</t>
  </si>
  <si>
    <t>O39 &amp; I2</t>
  </si>
  <si>
    <t>2025-11-20 00:00:00</t>
  </si>
  <si>
    <t>S2 &amp; O9 &amp; I17</t>
  </si>
  <si>
    <t>Y4 &amp; O4 &amp; I17</t>
  </si>
  <si>
    <t>NO BOOKINGS YET</t>
  </si>
  <si>
    <t>NIL</t>
  </si>
  <si>
    <t>FRIDAY</t>
  </si>
  <si>
    <t>15:15</t>
  </si>
  <si>
    <t>U39</t>
  </si>
  <si>
    <t>O49</t>
  </si>
  <si>
    <t>O39</t>
  </si>
  <si>
    <t>I17</t>
  </si>
  <si>
    <t>Y4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</si>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</sst>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1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36549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4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6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4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6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4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6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4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6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4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168" fontId="16" fillId="8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6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4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6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4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8" fillId="4" borderId="2" xfId="0" applyNumberFormat="1" applyFont="1" applyFill="1" applyBorder="1" applyAlignment="1">
      <alignment horizontal="center" vertical="center"/>
    </xf>
    <xf numFmtId="0" fontId="12" fillId="0" borderId="4" xfId="0" applyFont="1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4" xfId="0" applyBorder="1"/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9" fontId="17" fillId="0" borderId="0" xfId="0" applyNumberFormat="1" applyFont="1" applyAlignment="1">
      <alignment horizontal="center" vertical="center"/>
    </xf>
    <xf numFmtId="15" fontId="17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" fontId="17" fillId="0" borderId="0" xfId="0" applyNumberFormat="1" applyFont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15" fontId="18" fillId="16" borderId="0" xfId="0" applyNumberFormat="1" applyFont="1" applyFill="1" applyAlignment="1">
      <alignment horizontal="center" vertical="center"/>
    </xf>
    <xf numFmtId="168" fontId="18" fillId="16" borderId="0" xfId="0" applyNumberFormat="1" applyFont="1" applyFill="1" applyAlignment="1">
      <alignment horizontal="center" vertical="center"/>
    </xf>
    <xf numFmtId="1" fontId="18" fillId="16" borderId="0" xfId="0" applyNumberFormat="1" applyFont="1" applyFill="1" applyAlignment="1">
      <alignment horizontal="center" vertical="center"/>
    </xf>
    <xf numFmtId="0" fontId="18" fillId="16" borderId="0" xfId="0" applyNumberFormat="1" applyFont="1" applyFill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JF_CAI_LF_LEGACY" displayName="AJF_CAI_LF_LEGACY" ref="A1:AJ16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JF_ATZ_LF_LEGACY" displayName="AJF_ATZ_LF_LEGACY" ref="A1:AJ7" totalsRowCount="1" headerRowDxfId="74" dataDxfId="37" totalsRowDxfId="0">
  <tableColumns count="36">
    <tableColumn id="1" xr3:uid="{00000000-0010-0000-0100-000001000000}" name="Day" totalsRowLabel="TOTAL" dataDxfId="73" totalsRowDxfId="36"/>
    <tableColumn id="2" xr3:uid="{00000000-0010-0000-0100-000002000000}" name="Flt Dt" dataDxfId="72" totalsRowDxfId="35"/>
    <tableColumn id="3" xr3:uid="{00000000-0010-0000-0100-000003000000}" name="Flt" totalsRowFunction="count" dataDxfId="71" totalsRowDxfId="34"/>
    <tableColumn id="4" xr3:uid="{00000000-0010-0000-0100-000004000000}" name="DEP" dataDxfId="70" totalsRowDxfId="33"/>
    <tableColumn id="5" xr3:uid="{00000000-0010-0000-0100-000005000000}" name="Brd-Off" totalsRowFunction="count" dataDxfId="69" totalsRowDxfId="32"/>
    <tableColumn id="6" xr3:uid="{00000000-0010-0000-0100-000006000000}" name="Eqp" dataDxfId="68" totalsRowDxfId="31"/>
    <tableColumn id="7" xr3:uid="{00000000-0010-0000-0100-000007000000}" name="LF%" totalsRowFunction="average" dataDxfId="67" totalsRowDxfId="30"/>
    <tableColumn id="8" xr3:uid="{00000000-0010-0000-0100-000008000000}" name="CAP" totalsRowFunction="sum" dataDxfId="66" totalsRowDxfId="29"/>
    <tableColumn id="9" xr3:uid="{00000000-0010-0000-0100-000009000000}" name="BKG(Y)" totalsRowFunction="sum" dataDxfId="65" totalsRowDxfId="28"/>
    <tableColumn id="10" xr3:uid="{00000000-0010-0000-0100-00000A000000}" name="GRP(Y)" totalsRowFunction="sum" dataDxfId="64" totalsRowDxfId="27"/>
    <tableColumn id="11" xr3:uid="{00000000-0010-0000-0100-00000B000000}" name="FLT ST" dataDxfId="63" totalsRowDxfId="26"/>
    <tableColumn id="12" xr3:uid="{00000000-0010-0000-0100-00000C000000}" name="LST-SOLD" dataDxfId="62" totalsRowDxfId="25"/>
    <tableColumn id="13" xr3:uid="{00000000-0010-0000-0100-00000D000000}" name="TO-DAY" totalsRowFunction="sum" dataDxfId="61" totalsRowDxfId="24"/>
    <tableColumn id="14" xr3:uid="{00000000-0010-0000-0100-00000E000000}" name="Y-DAY" totalsRowFunction="sum" dataDxfId="60" totalsRowDxfId="23"/>
    <tableColumn id="15" xr3:uid="{00000000-0010-0000-0100-00000F000000}" name="WEEKLY" totalsRowFunction="sum" dataDxfId="59" totalsRowDxfId="22"/>
    <tableColumn id="16" xr3:uid="{00000000-0010-0000-0100-000010000000}" name="LOWEST AVAIL" dataDxfId="58" totalsRowDxfId="21"/>
    <tableColumn id="17" xr3:uid="{00000000-0010-0000-0100-000011000000}" name="Y" totalsRowFunction="sum" dataDxfId="57" totalsRowDxfId="20"/>
    <tableColumn id="18" xr3:uid="{00000000-0010-0000-0100-000012000000}" name="B" totalsRowFunction="sum" dataDxfId="56" totalsRowDxfId="19"/>
    <tableColumn id="19" xr3:uid="{00000000-0010-0000-0100-000013000000}" name="M" totalsRowFunction="sum" dataDxfId="55" totalsRowDxfId="18"/>
    <tableColumn id="20" xr3:uid="{00000000-0010-0000-0100-000014000000}" name="H" totalsRowFunction="sum" dataDxfId="54" totalsRowDxfId="17"/>
    <tableColumn id="21" xr3:uid="{00000000-0010-0000-0100-000015000000}" name="Q" totalsRowFunction="sum" dataDxfId="53" totalsRowDxfId="16"/>
    <tableColumn id="22" xr3:uid="{00000000-0010-0000-0100-000016000000}" name="K" totalsRowFunction="sum" dataDxfId="52" totalsRowDxfId="15"/>
    <tableColumn id="23" xr3:uid="{00000000-0010-0000-0100-000017000000}" name="V" totalsRowFunction="sum" dataDxfId="51" totalsRowDxfId="14"/>
    <tableColumn id="24" xr3:uid="{00000000-0010-0000-0100-000018000000}" name="L" totalsRowFunction="sum" dataDxfId="50" totalsRowDxfId="13"/>
    <tableColumn id="25" xr3:uid="{00000000-0010-0000-0100-000019000000}" name="G" totalsRowFunction="sum" dataDxfId="49" totalsRowDxfId="12"/>
    <tableColumn id="26" xr3:uid="{00000000-0010-0000-0100-00001A000000}" name="S" totalsRowFunction="sum" dataDxfId="48" totalsRowDxfId="11"/>
    <tableColumn id="27" xr3:uid="{00000000-0010-0000-0100-00001B000000}" name="W" totalsRowFunction="sum" dataDxfId="47" totalsRowDxfId="10"/>
    <tableColumn id="28" xr3:uid="{00000000-0010-0000-0100-00001C000000}" name="T" totalsRowFunction="sum" dataDxfId="46" totalsRowDxfId="9"/>
    <tableColumn id="29" xr3:uid="{00000000-0010-0000-0100-00001D000000}" name="X" totalsRowFunction="sum" dataDxfId="45" totalsRowDxfId="8"/>
    <tableColumn id="30" xr3:uid="{00000000-0010-0000-0100-00001E000000}" name="U" totalsRowFunction="sum" dataDxfId="44" totalsRowDxfId="7"/>
    <tableColumn id="31" xr3:uid="{00000000-0010-0000-0100-00001F000000}" name="O" totalsRowFunction="sum" dataDxfId="43" totalsRowDxfId="6"/>
    <tableColumn id="32" xr3:uid="{00000000-0010-0000-0100-000020000000}" name="I" totalsRowFunction="sum" dataDxfId="42" totalsRowDxfId="5"/>
    <tableColumn id="33" xr3:uid="{00000000-0010-0000-0100-000021000000}" name="E" totalsRowFunction="sum" dataDxfId="41" totalsRowDxfId="4"/>
    <tableColumn id="34" xr3:uid="{00000000-0010-0000-0100-000022000000}" name="A" totalsRowFunction="sum" dataDxfId="40" totalsRowDxfId="3"/>
    <tableColumn id="35" xr3:uid="{00000000-0010-0000-0100-000023000000}" name="P" totalsRowFunction="sum" dataDxfId="39" totalsRowDxfId="2"/>
    <tableColumn id="36" xr3:uid="{00000000-0010-0000-01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0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66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4.5546875" bestFit="1" customWidth="1"/>
  </cols>
  <sheetData>
    <row r="1" spans="1:92" ht="28.8" customHeight="1" x14ac:dyDescent="0.3">
      <c r="A1" s="94" t="s">
        <v>0</v>
      </c>
      <c r="B1" s="93"/>
      <c r="C1" s="93"/>
      <c r="D1" s="93"/>
      <c r="E1" s="93"/>
      <c r="F1" s="1" t="s">
        <v>1</v>
      </c>
      <c r="G1" s="2" t="s">
        <v>2</v>
      </c>
      <c r="H1" s="92" t="s">
        <v>3</v>
      </c>
      <c r="I1" s="93"/>
      <c r="J1" s="93"/>
      <c r="K1" s="93"/>
      <c r="L1" s="93"/>
      <c r="M1" s="1" t="s">
        <v>4</v>
      </c>
      <c r="N1" s="101" t="s">
        <v>5</v>
      </c>
      <c r="O1" s="93"/>
      <c r="P1" s="93"/>
      <c r="Q1" s="93"/>
      <c r="R1" s="9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7" t="s">
        <v>6</v>
      </c>
      <c r="B2" s="93"/>
      <c r="C2" s="93"/>
      <c r="D2" s="93"/>
      <c r="E2" s="93"/>
      <c r="F2" s="93"/>
      <c r="G2" s="99">
        <v>45984.228677914587</v>
      </c>
      <c r="H2" s="93"/>
      <c r="I2" s="93"/>
      <c r="J2" s="93"/>
      <c r="K2" s="102">
        <v>45984.228677915227</v>
      </c>
      <c r="L2" s="93"/>
      <c r="M2" s="93"/>
      <c r="N2" s="93"/>
      <c r="O2" s="93"/>
      <c r="P2" s="93"/>
      <c r="Q2" s="93"/>
      <c r="R2" s="9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8" t="s">
        <v>7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0" t="s">
        <v>8</v>
      </c>
      <c r="B4" s="88"/>
      <c r="C4" s="88"/>
      <c r="D4" s="88"/>
      <c r="E4" s="88"/>
      <c r="F4" s="89"/>
      <c r="G4" s="4">
        <v>45986</v>
      </c>
      <c r="H4" s="96" t="s">
        <v>9</v>
      </c>
      <c r="I4" s="88"/>
      <c r="J4" s="88"/>
      <c r="K4" s="88"/>
      <c r="L4" s="88"/>
      <c r="M4" s="88"/>
      <c r="N4" s="88"/>
      <c r="O4" s="88"/>
      <c r="P4" s="88"/>
      <c r="Q4" s="88"/>
      <c r="R4" s="8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0.45833333333333331</v>
      </c>
      <c r="D6" s="8" t="s">
        <v>30</v>
      </c>
      <c r="E6" s="10"/>
      <c r="F6" s="8" t="s">
        <v>31</v>
      </c>
      <c r="G6" s="91"/>
      <c r="H6" s="11" t="s">
        <v>29</v>
      </c>
      <c r="I6" s="12">
        <v>0.79169999999999996</v>
      </c>
      <c r="J6" s="13">
        <v>133</v>
      </c>
      <c r="K6" s="14" t="s">
        <v>32</v>
      </c>
      <c r="L6" s="13">
        <v>77</v>
      </c>
      <c r="M6" s="13">
        <v>0</v>
      </c>
      <c r="N6" s="13">
        <v>15</v>
      </c>
      <c r="O6" s="15" t="s">
        <v>33</v>
      </c>
      <c r="P6" s="16">
        <v>0.45833333333333331</v>
      </c>
      <c r="Q6" s="13">
        <v>168</v>
      </c>
      <c r="R6" s="17" t="s">
        <v>34</v>
      </c>
    </row>
    <row r="7" spans="1:92" ht="17.399999999999999" customHeight="1" thickBot="1" x14ac:dyDescent="0.35">
      <c r="A7" s="117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9"/>
    </row>
    <row r="8" spans="1:92" ht="22.05" customHeight="1" thickTop="1" thickBot="1" x14ac:dyDescent="0.35">
      <c r="A8" s="87" t="s">
        <v>8</v>
      </c>
      <c r="B8" s="88"/>
      <c r="C8" s="88"/>
      <c r="D8" s="88"/>
      <c r="E8" s="88"/>
      <c r="F8" s="89"/>
      <c r="G8" s="18">
        <v>45988</v>
      </c>
      <c r="H8" s="90" t="s">
        <v>9</v>
      </c>
      <c r="I8" s="88"/>
      <c r="J8" s="88"/>
      <c r="K8" s="88"/>
      <c r="L8" s="88"/>
      <c r="M8" s="88"/>
      <c r="N8" s="88"/>
      <c r="O8" s="88"/>
      <c r="P8" s="88"/>
      <c r="Q8" s="88"/>
      <c r="R8" s="89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26" t="s">
        <v>28</v>
      </c>
      <c r="B10" s="26" t="s">
        <v>29</v>
      </c>
      <c r="C10" s="27">
        <v>0.91319444444444453</v>
      </c>
      <c r="D10" s="26" t="s">
        <v>30</v>
      </c>
      <c r="E10" s="28"/>
      <c r="F10" s="26" t="s">
        <v>31</v>
      </c>
      <c r="G10" s="95"/>
      <c r="H10" s="29" t="s">
        <v>29</v>
      </c>
      <c r="I10" s="30">
        <v>0.42859999999999998</v>
      </c>
      <c r="J10" s="31">
        <v>72</v>
      </c>
      <c r="K10" s="32" t="s">
        <v>32</v>
      </c>
      <c r="L10" s="31">
        <v>54</v>
      </c>
      <c r="M10" s="31">
        <v>0</v>
      </c>
      <c r="N10" s="31">
        <v>6</v>
      </c>
      <c r="O10" s="33" t="s">
        <v>35</v>
      </c>
      <c r="P10" s="34">
        <v>0.91319444444444453</v>
      </c>
      <c r="Q10" s="31">
        <v>168</v>
      </c>
      <c r="R10" s="35" t="s">
        <v>36</v>
      </c>
    </row>
    <row r="11" spans="1:92" ht="17.399999999999999" customHeight="1" thickBot="1" x14ac:dyDescent="0.3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9"/>
    </row>
    <row r="12" spans="1:92" ht="22.05" customHeight="1" thickTop="1" thickBot="1" x14ac:dyDescent="0.35">
      <c r="A12" s="87" t="s">
        <v>8</v>
      </c>
      <c r="B12" s="88"/>
      <c r="C12" s="88"/>
      <c r="D12" s="88"/>
      <c r="E12" s="88"/>
      <c r="F12" s="89"/>
      <c r="G12" s="18">
        <v>45990</v>
      </c>
      <c r="H12" s="90" t="s">
        <v>9</v>
      </c>
      <c r="I12" s="88"/>
      <c r="J12" s="88"/>
      <c r="K12" s="88"/>
      <c r="L12" s="88"/>
      <c r="M12" s="88"/>
      <c r="N12" s="88"/>
      <c r="O12" s="88"/>
      <c r="P12" s="88"/>
      <c r="Q12" s="88"/>
      <c r="R12" s="89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29</v>
      </c>
      <c r="C14" s="37">
        <v>0.86458333333333337</v>
      </c>
      <c r="D14" s="36" t="s">
        <v>30</v>
      </c>
      <c r="E14" s="38"/>
      <c r="F14" s="36" t="s">
        <v>37</v>
      </c>
      <c r="G14" s="95"/>
      <c r="H14" s="39" t="s">
        <v>29</v>
      </c>
      <c r="I14" s="40">
        <v>0.28570000000000001</v>
      </c>
      <c r="J14" s="41">
        <v>48</v>
      </c>
      <c r="K14" s="42" t="s">
        <v>32</v>
      </c>
      <c r="L14" s="41">
        <v>33</v>
      </c>
      <c r="M14" s="41">
        <v>0</v>
      </c>
      <c r="N14" s="41">
        <v>9</v>
      </c>
      <c r="O14" s="43" t="s">
        <v>35</v>
      </c>
      <c r="P14" s="44">
        <v>0.86458333333333337</v>
      </c>
      <c r="Q14" s="41">
        <v>168</v>
      </c>
      <c r="R14" s="45" t="s">
        <v>38</v>
      </c>
    </row>
    <row r="15" spans="1:92" ht="17.399999999999999" customHeight="1" thickBot="1" x14ac:dyDescent="0.35">
      <c r="A15" s="117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9"/>
    </row>
    <row r="16" spans="1:92" ht="22.05" customHeight="1" thickTop="1" thickBot="1" x14ac:dyDescent="0.35">
      <c r="A16" s="87" t="s">
        <v>8</v>
      </c>
      <c r="B16" s="88"/>
      <c r="C16" s="88"/>
      <c r="D16" s="88"/>
      <c r="E16" s="88"/>
      <c r="F16" s="89"/>
      <c r="G16" s="18">
        <v>45993</v>
      </c>
      <c r="H16" s="90" t="s">
        <v>9</v>
      </c>
      <c r="I16" s="88"/>
      <c r="J16" s="88"/>
      <c r="K16" s="88"/>
      <c r="L16" s="88"/>
      <c r="M16" s="88"/>
      <c r="N16" s="88"/>
      <c r="O16" s="88"/>
      <c r="P16" s="88"/>
      <c r="Q16" s="88"/>
      <c r="R16" s="89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46" t="s">
        <v>28</v>
      </c>
      <c r="B18" s="46" t="s">
        <v>29</v>
      </c>
      <c r="C18" s="47">
        <v>0.45833333333333331</v>
      </c>
      <c r="D18" s="46" t="s">
        <v>30</v>
      </c>
      <c r="E18" s="48"/>
      <c r="F18" s="46" t="s">
        <v>37</v>
      </c>
      <c r="G18" s="95"/>
      <c r="H18" s="49" t="s">
        <v>29</v>
      </c>
      <c r="I18" s="50">
        <v>0.26790000000000003</v>
      </c>
      <c r="J18" s="51">
        <v>45</v>
      </c>
      <c r="K18" s="52" t="s">
        <v>32</v>
      </c>
      <c r="L18" s="51">
        <v>20</v>
      </c>
      <c r="M18" s="51">
        <v>0</v>
      </c>
      <c r="N18" s="51">
        <v>4</v>
      </c>
      <c r="O18" s="53" t="s">
        <v>39</v>
      </c>
      <c r="P18" s="54">
        <v>0.45833333333333331</v>
      </c>
      <c r="Q18" s="51">
        <v>168</v>
      </c>
      <c r="R18" s="55" t="s">
        <v>40</v>
      </c>
    </row>
    <row r="19" spans="1:18" ht="17.399999999999999" customHeight="1" thickBot="1" x14ac:dyDescent="0.35">
      <c r="A19" s="117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9"/>
    </row>
    <row r="20" spans="1:18" ht="22.05" customHeight="1" thickTop="1" thickBot="1" x14ac:dyDescent="0.35">
      <c r="A20" s="87" t="s">
        <v>8</v>
      </c>
      <c r="B20" s="88"/>
      <c r="C20" s="88"/>
      <c r="D20" s="88"/>
      <c r="E20" s="88"/>
      <c r="F20" s="89"/>
      <c r="G20" s="18">
        <v>45995</v>
      </c>
      <c r="H20" s="90" t="s">
        <v>9</v>
      </c>
      <c r="I20" s="88"/>
      <c r="J20" s="88"/>
      <c r="K20" s="88"/>
      <c r="L20" s="88"/>
      <c r="M20" s="88"/>
      <c r="N20" s="88"/>
      <c r="O20" s="88"/>
      <c r="P20" s="88"/>
      <c r="Q20" s="88"/>
      <c r="R20" s="89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6" t="s">
        <v>28</v>
      </c>
      <c r="B22" s="56" t="s">
        <v>29</v>
      </c>
      <c r="C22" s="57">
        <v>0.91319444444444453</v>
      </c>
      <c r="D22" s="56" t="s">
        <v>30</v>
      </c>
      <c r="E22" s="58"/>
      <c r="F22" s="56" t="s">
        <v>37</v>
      </c>
      <c r="G22" s="95"/>
      <c r="H22" s="59" t="s">
        <v>29</v>
      </c>
      <c r="I22" s="60">
        <v>0.1726</v>
      </c>
      <c r="J22" s="61">
        <v>29</v>
      </c>
      <c r="K22" s="62" t="s">
        <v>32</v>
      </c>
      <c r="L22" s="61">
        <v>6</v>
      </c>
      <c r="M22" s="61">
        <v>0</v>
      </c>
      <c r="N22" s="61">
        <v>1</v>
      </c>
      <c r="O22" s="63" t="s">
        <v>35</v>
      </c>
      <c r="P22" s="64">
        <v>0.91319444444444453</v>
      </c>
      <c r="Q22" s="61">
        <v>168</v>
      </c>
      <c r="R22" s="65" t="s">
        <v>41</v>
      </c>
    </row>
    <row r="23" spans="1:18" ht="17.399999999999999" customHeight="1" thickBot="1" x14ac:dyDescent="0.35">
      <c r="A23" s="117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9"/>
    </row>
    <row r="24" spans="1:18" ht="22.05" customHeight="1" thickTop="1" thickBot="1" x14ac:dyDescent="0.35">
      <c r="A24" s="87" t="s">
        <v>8</v>
      </c>
      <c r="B24" s="88"/>
      <c r="C24" s="88"/>
      <c r="D24" s="88"/>
      <c r="E24" s="88"/>
      <c r="F24" s="89"/>
      <c r="G24" s="18">
        <v>45997</v>
      </c>
      <c r="H24" s="90" t="s">
        <v>9</v>
      </c>
      <c r="I24" s="88"/>
      <c r="J24" s="88"/>
      <c r="K24" s="88"/>
      <c r="L24" s="88"/>
      <c r="M24" s="88"/>
      <c r="N24" s="88"/>
      <c r="O24" s="88"/>
      <c r="P24" s="88"/>
      <c r="Q24" s="88"/>
      <c r="R24" s="89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26" t="s">
        <v>28</v>
      </c>
      <c r="B26" s="26" t="s">
        <v>29</v>
      </c>
      <c r="C26" s="27">
        <v>0.86458333333333337</v>
      </c>
      <c r="D26" s="26" t="s">
        <v>30</v>
      </c>
      <c r="E26" s="28"/>
      <c r="F26" s="26" t="s">
        <v>37</v>
      </c>
      <c r="G26" s="91"/>
      <c r="H26" s="29" t="s">
        <v>29</v>
      </c>
      <c r="I26" s="30">
        <v>5.9499999999999997E-2</v>
      </c>
      <c r="J26" s="31">
        <v>10</v>
      </c>
      <c r="K26" s="32" t="s">
        <v>42</v>
      </c>
      <c r="L26" s="31">
        <v>4</v>
      </c>
      <c r="M26" s="31">
        <v>0</v>
      </c>
      <c r="N26" s="31">
        <v>0</v>
      </c>
      <c r="O26" s="33" t="s">
        <v>35</v>
      </c>
      <c r="P26" s="34">
        <v>0.86458333333333337</v>
      </c>
      <c r="Q26" s="31">
        <v>168</v>
      </c>
      <c r="R26" s="35" t="s">
        <v>43</v>
      </c>
    </row>
    <row r="27" spans="1:18" ht="17.399999999999999" customHeight="1" thickBot="1" x14ac:dyDescent="0.35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9"/>
    </row>
    <row r="28" spans="1:18" ht="22.05" customHeight="1" thickTop="1" thickBot="1" x14ac:dyDescent="0.35">
      <c r="A28" s="87" t="s">
        <v>8</v>
      </c>
      <c r="B28" s="88"/>
      <c r="C28" s="88"/>
      <c r="D28" s="88"/>
      <c r="E28" s="88"/>
      <c r="F28" s="89"/>
      <c r="G28" s="18">
        <v>46000</v>
      </c>
      <c r="H28" s="90" t="s">
        <v>9</v>
      </c>
      <c r="I28" s="88"/>
      <c r="J28" s="88"/>
      <c r="K28" s="88"/>
      <c r="L28" s="88"/>
      <c r="M28" s="88"/>
      <c r="N28" s="88"/>
      <c r="O28" s="88"/>
      <c r="P28" s="88"/>
      <c r="Q28" s="88"/>
      <c r="R28" s="89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6" t="s">
        <v>28</v>
      </c>
      <c r="B30" s="56" t="s">
        <v>29</v>
      </c>
      <c r="C30" s="57">
        <v>0.45833333333333331</v>
      </c>
      <c r="D30" s="56" t="s">
        <v>30</v>
      </c>
      <c r="E30" s="58"/>
      <c r="F30" s="56" t="s">
        <v>37</v>
      </c>
      <c r="G30" s="95"/>
      <c r="H30" s="59" t="s">
        <v>29</v>
      </c>
      <c r="I30" s="60">
        <v>7.7399999999999997E-2</v>
      </c>
      <c r="J30" s="61">
        <v>13</v>
      </c>
      <c r="K30" s="62" t="s">
        <v>32</v>
      </c>
      <c r="L30" s="61">
        <v>4</v>
      </c>
      <c r="M30" s="61">
        <v>0</v>
      </c>
      <c r="N30" s="61">
        <v>1</v>
      </c>
      <c r="O30" s="63" t="s">
        <v>35</v>
      </c>
      <c r="P30" s="64">
        <v>0.45833333333333331</v>
      </c>
      <c r="Q30" s="61">
        <v>168</v>
      </c>
      <c r="R30" s="65" t="s">
        <v>44</v>
      </c>
    </row>
    <row r="31" spans="1:18" ht="17.399999999999999" customHeight="1" thickBot="1" x14ac:dyDescent="0.35">
      <c r="A31" s="117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9"/>
    </row>
    <row r="32" spans="1:18" ht="22.05" customHeight="1" thickTop="1" thickBot="1" x14ac:dyDescent="0.35">
      <c r="A32" s="87" t="s">
        <v>8</v>
      </c>
      <c r="B32" s="88"/>
      <c r="C32" s="88"/>
      <c r="D32" s="88"/>
      <c r="E32" s="88"/>
      <c r="F32" s="89"/>
      <c r="G32" s="18">
        <v>46002</v>
      </c>
      <c r="H32" s="90" t="s">
        <v>9</v>
      </c>
      <c r="I32" s="88"/>
      <c r="J32" s="88"/>
      <c r="K32" s="88"/>
      <c r="L32" s="88"/>
      <c r="M32" s="88"/>
      <c r="N32" s="88"/>
      <c r="O32" s="88"/>
      <c r="P32" s="88"/>
      <c r="Q32" s="88"/>
      <c r="R32" s="89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26" t="s">
        <v>28</v>
      </c>
      <c r="B34" s="26" t="s">
        <v>29</v>
      </c>
      <c r="C34" s="27">
        <v>0.91319444444444453</v>
      </c>
      <c r="D34" s="26" t="s">
        <v>30</v>
      </c>
      <c r="E34" s="28"/>
      <c r="F34" s="26" t="s">
        <v>37</v>
      </c>
      <c r="G34" s="95"/>
      <c r="H34" s="29" t="s">
        <v>29</v>
      </c>
      <c r="I34" s="30">
        <v>5.9499999999999997E-2</v>
      </c>
      <c r="J34" s="31">
        <v>10</v>
      </c>
      <c r="K34" s="32" t="s">
        <v>42</v>
      </c>
      <c r="L34" s="31">
        <v>7</v>
      </c>
      <c r="M34" s="31">
        <v>0</v>
      </c>
      <c r="N34" s="31">
        <v>0</v>
      </c>
      <c r="O34" s="33" t="s">
        <v>35</v>
      </c>
      <c r="P34" s="34">
        <v>0.91319444444444453</v>
      </c>
      <c r="Q34" s="31">
        <v>168</v>
      </c>
      <c r="R34" s="35" t="s">
        <v>45</v>
      </c>
    </row>
    <row r="35" spans="1:18" ht="17.399999999999999" customHeight="1" thickBot="1" x14ac:dyDescent="0.35">
      <c r="A35" s="117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9"/>
    </row>
    <row r="36" spans="1:18" ht="22.05" customHeight="1" thickTop="1" thickBot="1" x14ac:dyDescent="0.35">
      <c r="A36" s="87" t="s">
        <v>8</v>
      </c>
      <c r="B36" s="88"/>
      <c r="C36" s="88"/>
      <c r="D36" s="88"/>
      <c r="E36" s="88"/>
      <c r="F36" s="89"/>
      <c r="G36" s="18">
        <v>46004</v>
      </c>
      <c r="H36" s="90" t="s">
        <v>9</v>
      </c>
      <c r="I36" s="88"/>
      <c r="J36" s="88"/>
      <c r="K36" s="88"/>
      <c r="L36" s="88"/>
      <c r="M36" s="88"/>
      <c r="N36" s="88"/>
      <c r="O36" s="88"/>
      <c r="P36" s="88"/>
      <c r="Q36" s="88"/>
      <c r="R36" s="89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46" t="s">
        <v>28</v>
      </c>
      <c r="B38" s="46" t="s">
        <v>29</v>
      </c>
      <c r="C38" s="47">
        <v>0.86458333333333337</v>
      </c>
      <c r="D38" s="46" t="s">
        <v>30</v>
      </c>
      <c r="E38" s="48"/>
      <c r="F38" s="46" t="s">
        <v>37</v>
      </c>
      <c r="G38" s="95"/>
      <c r="H38" s="49" t="s">
        <v>29</v>
      </c>
      <c r="I38" s="50">
        <v>2.98E-2</v>
      </c>
      <c r="J38" s="51">
        <v>5</v>
      </c>
      <c r="K38" s="52" t="s">
        <v>42</v>
      </c>
      <c r="L38" s="51">
        <v>3</v>
      </c>
      <c r="M38" s="51">
        <v>0</v>
      </c>
      <c r="N38" s="51">
        <v>0</v>
      </c>
      <c r="O38" s="53" t="s">
        <v>35</v>
      </c>
      <c r="P38" s="54">
        <v>0.86458333333333337</v>
      </c>
      <c r="Q38" s="51">
        <v>168</v>
      </c>
      <c r="R38" s="55" t="s">
        <v>46</v>
      </c>
    </row>
    <row r="39" spans="1:18" ht="17.399999999999999" customHeight="1" thickBot="1" x14ac:dyDescent="0.3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9"/>
    </row>
    <row r="40" spans="1:18" ht="22.05" customHeight="1" thickTop="1" thickBot="1" x14ac:dyDescent="0.35">
      <c r="A40" s="87" t="s">
        <v>8</v>
      </c>
      <c r="B40" s="88"/>
      <c r="C40" s="88"/>
      <c r="D40" s="88"/>
      <c r="E40" s="88"/>
      <c r="F40" s="89"/>
      <c r="G40" s="18">
        <v>46007</v>
      </c>
      <c r="H40" s="90" t="s">
        <v>9</v>
      </c>
      <c r="I40" s="88"/>
      <c r="J40" s="88"/>
      <c r="K40" s="88"/>
      <c r="L40" s="88"/>
      <c r="M40" s="88"/>
      <c r="N40" s="88"/>
      <c r="O40" s="88"/>
      <c r="P40" s="88"/>
      <c r="Q40" s="88"/>
      <c r="R40" s="89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56" t="s">
        <v>28</v>
      </c>
      <c r="B42" s="56" t="s">
        <v>29</v>
      </c>
      <c r="C42" s="57">
        <v>0.45833333333333331</v>
      </c>
      <c r="D42" s="56" t="s">
        <v>30</v>
      </c>
      <c r="E42" s="58"/>
      <c r="F42" s="56" t="s">
        <v>37</v>
      </c>
      <c r="G42" s="95"/>
      <c r="H42" s="59" t="s">
        <v>29</v>
      </c>
      <c r="I42" s="60">
        <v>7.1400000000000005E-2</v>
      </c>
      <c r="J42" s="61">
        <v>12</v>
      </c>
      <c r="K42" s="62" t="s">
        <v>47</v>
      </c>
      <c r="L42" s="61">
        <v>5</v>
      </c>
      <c r="M42" s="61">
        <v>0</v>
      </c>
      <c r="N42" s="61">
        <v>0</v>
      </c>
      <c r="O42" s="63" t="s">
        <v>35</v>
      </c>
      <c r="P42" s="64">
        <v>0.45833333333333331</v>
      </c>
      <c r="Q42" s="61">
        <v>168</v>
      </c>
      <c r="R42" s="65" t="s">
        <v>48</v>
      </c>
    </row>
    <row r="43" spans="1:18" ht="17.399999999999999" customHeight="1" thickBot="1" x14ac:dyDescent="0.35">
      <c r="A43" s="117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9"/>
    </row>
    <row r="44" spans="1:18" ht="22.05" customHeight="1" thickTop="1" thickBot="1" x14ac:dyDescent="0.35">
      <c r="A44" s="87" t="s">
        <v>8</v>
      </c>
      <c r="B44" s="88"/>
      <c r="C44" s="88"/>
      <c r="D44" s="88"/>
      <c r="E44" s="88"/>
      <c r="F44" s="89"/>
      <c r="G44" s="18">
        <v>46009</v>
      </c>
      <c r="H44" s="90" t="s">
        <v>9</v>
      </c>
      <c r="I44" s="88"/>
      <c r="J44" s="88"/>
      <c r="K44" s="88"/>
      <c r="L44" s="88"/>
      <c r="M44" s="88"/>
      <c r="N44" s="88"/>
      <c r="O44" s="88"/>
      <c r="P44" s="88"/>
      <c r="Q44" s="88"/>
      <c r="R44" s="89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8" t="s">
        <v>28</v>
      </c>
      <c r="B46" s="8" t="s">
        <v>29</v>
      </c>
      <c r="C46" s="9">
        <v>0.91319444444444453</v>
      </c>
      <c r="D46" s="8" t="s">
        <v>30</v>
      </c>
      <c r="E46" s="10"/>
      <c r="F46" s="8" t="s">
        <v>37</v>
      </c>
      <c r="G46" s="95"/>
      <c r="H46" s="11" t="s">
        <v>29</v>
      </c>
      <c r="I46" s="66">
        <v>2.98E-2</v>
      </c>
      <c r="J46" s="13">
        <v>5</v>
      </c>
      <c r="K46" s="14" t="s">
        <v>49</v>
      </c>
      <c r="L46" s="13">
        <v>0</v>
      </c>
      <c r="M46" s="13">
        <v>0</v>
      </c>
      <c r="N46" s="13">
        <v>0</v>
      </c>
      <c r="O46" s="15" t="s">
        <v>35</v>
      </c>
      <c r="P46" s="16">
        <v>0.91319444444444453</v>
      </c>
      <c r="Q46" s="13">
        <v>168</v>
      </c>
      <c r="R46" s="17" t="s">
        <v>50</v>
      </c>
    </row>
    <row r="47" spans="1:18" ht="17.399999999999999" customHeight="1" thickBot="1" x14ac:dyDescent="0.35">
      <c r="A47" s="117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9"/>
    </row>
    <row r="48" spans="1:18" ht="22.05" customHeight="1" thickTop="1" thickBot="1" x14ac:dyDescent="0.35">
      <c r="A48" s="87" t="s">
        <v>8</v>
      </c>
      <c r="B48" s="88"/>
      <c r="C48" s="88"/>
      <c r="D48" s="88"/>
      <c r="E48" s="88"/>
      <c r="F48" s="89"/>
      <c r="G48" s="18">
        <v>46011</v>
      </c>
      <c r="H48" s="90" t="s">
        <v>9</v>
      </c>
      <c r="I48" s="88"/>
      <c r="J48" s="88"/>
      <c r="K48" s="88"/>
      <c r="L48" s="88"/>
      <c r="M48" s="88"/>
      <c r="N48" s="88"/>
      <c r="O48" s="88"/>
      <c r="P48" s="88"/>
      <c r="Q48" s="88"/>
      <c r="R48" s="89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36" t="s">
        <v>28</v>
      </c>
      <c r="B50" s="36" t="s">
        <v>29</v>
      </c>
      <c r="C50" s="37">
        <v>0.86458333333333337</v>
      </c>
      <c r="D50" s="36" t="s">
        <v>30</v>
      </c>
      <c r="E50" s="38"/>
      <c r="F50" s="36" t="s">
        <v>37</v>
      </c>
      <c r="G50" s="95"/>
      <c r="H50" s="39" t="s">
        <v>29</v>
      </c>
      <c r="I50" s="40">
        <v>3.5700000000000003E-2</v>
      </c>
      <c r="J50" s="41">
        <v>6</v>
      </c>
      <c r="K50" s="42" t="s">
        <v>51</v>
      </c>
      <c r="L50" s="41">
        <v>0</v>
      </c>
      <c r="M50" s="41">
        <v>0</v>
      </c>
      <c r="N50" s="41">
        <v>0</v>
      </c>
      <c r="O50" s="43" t="s">
        <v>35</v>
      </c>
      <c r="P50" s="44">
        <v>0.86458333333333337</v>
      </c>
      <c r="Q50" s="41">
        <v>168</v>
      </c>
      <c r="R50" s="45" t="s">
        <v>52</v>
      </c>
    </row>
    <row r="51" spans="1:18" ht="17.399999999999999" customHeight="1" thickBot="1" x14ac:dyDescent="0.35">
      <c r="A51" s="117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9"/>
    </row>
    <row r="52" spans="1:18" ht="22.05" customHeight="1" thickTop="1" thickBot="1" x14ac:dyDescent="0.35">
      <c r="A52" s="87" t="s">
        <v>8</v>
      </c>
      <c r="B52" s="88"/>
      <c r="C52" s="88"/>
      <c r="D52" s="88"/>
      <c r="E52" s="88"/>
      <c r="F52" s="89"/>
      <c r="G52" s="18">
        <v>46014</v>
      </c>
      <c r="H52" s="90" t="s">
        <v>9</v>
      </c>
      <c r="I52" s="88"/>
      <c r="J52" s="88"/>
      <c r="K52" s="88"/>
      <c r="L52" s="88"/>
      <c r="M52" s="88"/>
      <c r="N52" s="88"/>
      <c r="O52" s="88"/>
      <c r="P52" s="88"/>
      <c r="Q52" s="88"/>
      <c r="R52" s="89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56" t="s">
        <v>28</v>
      </c>
      <c r="B54" s="56" t="s">
        <v>29</v>
      </c>
      <c r="C54" s="57">
        <v>0.45833333333333331</v>
      </c>
      <c r="D54" s="56" t="s">
        <v>30</v>
      </c>
      <c r="E54" s="58"/>
      <c r="F54" s="56" t="s">
        <v>37</v>
      </c>
      <c r="G54" s="91"/>
      <c r="H54" s="59" t="s">
        <v>29</v>
      </c>
      <c r="I54" s="60">
        <v>3.5700000000000003E-2</v>
      </c>
      <c r="J54" s="61">
        <v>6</v>
      </c>
      <c r="K54" s="62" t="s">
        <v>53</v>
      </c>
      <c r="L54" s="61">
        <v>1</v>
      </c>
      <c r="M54" s="61">
        <v>0</v>
      </c>
      <c r="N54" s="61">
        <v>0</v>
      </c>
      <c r="O54" s="63" t="s">
        <v>54</v>
      </c>
      <c r="P54" s="64">
        <v>0.45833333333333331</v>
      </c>
      <c r="Q54" s="61">
        <v>168</v>
      </c>
      <c r="R54" s="65" t="s">
        <v>55</v>
      </c>
    </row>
    <row r="55" spans="1:18" ht="17.399999999999999" customHeight="1" thickBot="1" x14ac:dyDescent="0.35">
      <c r="A55" s="117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9"/>
    </row>
    <row r="56" spans="1:18" ht="22.05" customHeight="1" thickTop="1" thickBot="1" x14ac:dyDescent="0.35">
      <c r="A56" s="87" t="s">
        <v>8</v>
      </c>
      <c r="B56" s="88"/>
      <c r="C56" s="88"/>
      <c r="D56" s="88"/>
      <c r="E56" s="88"/>
      <c r="F56" s="89"/>
      <c r="G56" s="18">
        <v>46016</v>
      </c>
      <c r="H56" s="90" t="s">
        <v>9</v>
      </c>
      <c r="I56" s="88"/>
      <c r="J56" s="88"/>
      <c r="K56" s="88"/>
      <c r="L56" s="88"/>
      <c r="M56" s="88"/>
      <c r="N56" s="88"/>
      <c r="O56" s="88"/>
      <c r="P56" s="88"/>
      <c r="Q56" s="88"/>
      <c r="R56" s="89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8" t="s">
        <v>28</v>
      </c>
      <c r="B58" s="8" t="s">
        <v>29</v>
      </c>
      <c r="C58" s="9">
        <v>0.91319444444444453</v>
      </c>
      <c r="D58" s="8" t="s">
        <v>30</v>
      </c>
      <c r="E58" s="10"/>
      <c r="F58" s="8" t="s">
        <v>37</v>
      </c>
      <c r="G58" s="91"/>
      <c r="H58" s="11" t="s">
        <v>29</v>
      </c>
      <c r="I58" s="66">
        <v>2.98E-2</v>
      </c>
      <c r="J58" s="13">
        <v>5</v>
      </c>
      <c r="K58" s="14" t="s">
        <v>56</v>
      </c>
      <c r="L58" s="13">
        <v>0</v>
      </c>
      <c r="M58" s="13">
        <v>0</v>
      </c>
      <c r="N58" s="13">
        <v>0</v>
      </c>
      <c r="O58" s="15" t="s">
        <v>57</v>
      </c>
      <c r="P58" s="16">
        <v>0.91319444444444453</v>
      </c>
      <c r="Q58" s="13">
        <v>168</v>
      </c>
      <c r="R58" s="17" t="s">
        <v>58</v>
      </c>
    </row>
    <row r="59" spans="1:18" ht="17.399999999999999" customHeight="1" thickBot="1" x14ac:dyDescent="0.35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9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6"/>
  <sheetViews>
    <sheetView workbookViewId="0"/>
  </sheetViews>
  <sheetFormatPr defaultRowHeight="15.6" outlineLevelCol="1" x14ac:dyDescent="0.3"/>
  <cols>
    <col min="1" max="1" width="9.88671875" style="104" bestFit="1" customWidth="1"/>
    <col min="2" max="2" width="10.44140625" style="104" bestFit="1" customWidth="1"/>
    <col min="3" max="3" width="6.77734375" style="104" bestFit="1" customWidth="1"/>
    <col min="4" max="4" width="5.5546875" style="104" bestFit="1" customWidth="1"/>
    <col min="5" max="5" width="7.44140625" style="104" bestFit="1" customWidth="1"/>
    <col min="6" max="6" width="4.21875" style="104" bestFit="1" customWidth="1"/>
    <col min="7" max="7" width="10" style="104" bestFit="1" customWidth="1"/>
    <col min="8" max="8" width="8.5546875" style="104" bestFit="1" customWidth="1"/>
    <col min="9" max="10" width="7" style="104" bestFit="1" customWidth="1"/>
    <col min="11" max="11" width="10.5546875" style="104" bestFit="1" customWidth="1"/>
    <col min="12" max="12" width="18.109375" style="104" bestFit="1" customWidth="1"/>
    <col min="13" max="13" width="7.6640625" style="104" bestFit="1" customWidth="1" outlineLevel="1"/>
    <col min="14" max="14" width="6.33203125" style="104" bestFit="1" customWidth="1" outlineLevel="1"/>
    <col min="15" max="15" width="8" style="104" bestFit="1" customWidth="1" outlineLevel="1"/>
    <col min="16" max="16" width="13.6640625" style="104" bestFit="1" customWidth="1"/>
    <col min="17" max="26" width="3.88671875" style="104" bestFit="1" customWidth="1"/>
    <col min="27" max="27" width="4" style="104" bestFit="1" customWidth="1"/>
    <col min="28" max="29" width="4.21875" style="104" bestFit="1" customWidth="1"/>
    <col min="30" max="31" width="4.5546875" style="104" bestFit="1" customWidth="1"/>
    <col min="32" max="36" width="3.88671875" style="104" bestFit="1" customWidth="1"/>
    <col min="37" max="16384" width="8.88671875" style="104"/>
  </cols>
  <sheetData>
    <row r="1" spans="1:36" x14ac:dyDescent="0.3">
      <c r="A1" s="103" t="s">
        <v>59</v>
      </c>
      <c r="B1" s="103" t="s">
        <v>60</v>
      </c>
      <c r="C1" s="103" t="s">
        <v>61</v>
      </c>
      <c r="D1" s="103" t="s">
        <v>25</v>
      </c>
      <c r="E1" s="103" t="s">
        <v>62</v>
      </c>
      <c r="F1" s="103" t="s">
        <v>63</v>
      </c>
      <c r="G1" s="103" t="s">
        <v>18</v>
      </c>
      <c r="H1" s="103" t="s">
        <v>64</v>
      </c>
      <c r="I1" s="103" t="s">
        <v>65</v>
      </c>
      <c r="J1" s="103" t="s">
        <v>66</v>
      </c>
      <c r="K1" s="103" t="s">
        <v>67</v>
      </c>
      <c r="L1" s="103" t="s">
        <v>20</v>
      </c>
      <c r="M1" s="103" t="s">
        <v>22</v>
      </c>
      <c r="N1" s="103" t="s">
        <v>23</v>
      </c>
      <c r="O1" s="103" t="s">
        <v>21</v>
      </c>
      <c r="P1" s="103" t="s">
        <v>24</v>
      </c>
      <c r="Q1" s="103" t="s">
        <v>68</v>
      </c>
      <c r="R1" s="103" t="s">
        <v>69</v>
      </c>
      <c r="S1" s="103" t="s">
        <v>70</v>
      </c>
      <c r="T1" s="103" t="s">
        <v>71</v>
      </c>
      <c r="U1" s="103" t="s">
        <v>72</v>
      </c>
      <c r="V1" s="103" t="s">
        <v>73</v>
      </c>
      <c r="W1" s="103" t="s">
        <v>74</v>
      </c>
      <c r="X1" s="103" t="s">
        <v>75</v>
      </c>
      <c r="Y1" s="103" t="s">
        <v>76</v>
      </c>
      <c r="Z1" s="103" t="s">
        <v>77</v>
      </c>
      <c r="AA1" s="103" t="s">
        <v>78</v>
      </c>
      <c r="AB1" s="103" t="s">
        <v>79</v>
      </c>
      <c r="AC1" s="103" t="s">
        <v>80</v>
      </c>
      <c r="AD1" s="103" t="s">
        <v>81</v>
      </c>
      <c r="AE1" s="103" t="s">
        <v>82</v>
      </c>
      <c r="AF1" s="103" t="s">
        <v>83</v>
      </c>
      <c r="AG1" s="103" t="s">
        <v>84</v>
      </c>
      <c r="AH1" s="103" t="s">
        <v>85</v>
      </c>
      <c r="AI1" s="103" t="s">
        <v>86</v>
      </c>
      <c r="AJ1" s="103" t="s">
        <v>87</v>
      </c>
    </row>
    <row r="2" spans="1:36" x14ac:dyDescent="0.3">
      <c r="A2" s="105" t="s">
        <v>88</v>
      </c>
      <c r="B2" s="106">
        <v>45986</v>
      </c>
      <c r="C2" s="107" t="s">
        <v>29</v>
      </c>
      <c r="D2" s="108" t="s">
        <v>89</v>
      </c>
      <c r="E2" s="107" t="s">
        <v>1</v>
      </c>
      <c r="F2" s="107" t="s">
        <v>90</v>
      </c>
      <c r="G2" s="109">
        <v>0.79169999999999996</v>
      </c>
      <c r="H2" s="110">
        <v>168</v>
      </c>
      <c r="I2" s="110">
        <v>133</v>
      </c>
      <c r="J2" s="110">
        <v>0</v>
      </c>
      <c r="K2" s="107" t="s">
        <v>91</v>
      </c>
      <c r="L2" s="111" t="s">
        <v>32</v>
      </c>
      <c r="M2" s="110">
        <v>0</v>
      </c>
      <c r="N2" s="110">
        <v>15</v>
      </c>
      <c r="O2" s="110">
        <v>77</v>
      </c>
      <c r="P2" s="107" t="s">
        <v>33</v>
      </c>
      <c r="Q2" s="103"/>
      <c r="R2" s="103"/>
      <c r="S2" s="103"/>
      <c r="T2" s="103"/>
      <c r="U2" s="103"/>
      <c r="V2" s="103"/>
      <c r="W2" s="103"/>
      <c r="X2" s="103"/>
      <c r="Y2" s="103"/>
      <c r="Z2" s="110" t="s">
        <v>92</v>
      </c>
      <c r="AA2" s="110" t="s">
        <v>93</v>
      </c>
      <c r="AB2" s="110" t="s">
        <v>94</v>
      </c>
      <c r="AC2" s="110" t="s">
        <v>95</v>
      </c>
      <c r="AD2" s="110" t="s">
        <v>96</v>
      </c>
      <c r="AE2" s="110" t="s">
        <v>97</v>
      </c>
      <c r="AF2" s="110" t="s">
        <v>98</v>
      </c>
      <c r="AG2" s="103"/>
      <c r="AH2" s="103"/>
      <c r="AI2" s="103"/>
      <c r="AJ2" s="103"/>
    </row>
    <row r="3" spans="1:36" x14ac:dyDescent="0.3">
      <c r="A3" s="105" t="s">
        <v>99</v>
      </c>
      <c r="B3" s="106">
        <v>45988</v>
      </c>
      <c r="C3" s="107" t="s">
        <v>29</v>
      </c>
      <c r="D3" s="108" t="s">
        <v>100</v>
      </c>
      <c r="E3" s="107" t="s">
        <v>1</v>
      </c>
      <c r="F3" s="107" t="s">
        <v>90</v>
      </c>
      <c r="G3" s="109">
        <v>0.42859999999999998</v>
      </c>
      <c r="H3" s="110">
        <v>168</v>
      </c>
      <c r="I3" s="110">
        <v>72</v>
      </c>
      <c r="J3" s="110">
        <v>0</v>
      </c>
      <c r="K3" s="107" t="s">
        <v>91</v>
      </c>
      <c r="L3" s="111" t="s">
        <v>32</v>
      </c>
      <c r="M3" s="110">
        <v>0</v>
      </c>
      <c r="N3" s="110">
        <v>6</v>
      </c>
      <c r="O3" s="110">
        <v>54</v>
      </c>
      <c r="P3" s="107" t="s">
        <v>35</v>
      </c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10" t="s">
        <v>101</v>
      </c>
      <c r="AC3" s="110" t="s">
        <v>33</v>
      </c>
      <c r="AD3" s="103"/>
      <c r="AE3" s="110" t="s">
        <v>102</v>
      </c>
      <c r="AF3" s="110" t="s">
        <v>103</v>
      </c>
      <c r="AG3" s="103"/>
      <c r="AH3" s="103"/>
      <c r="AI3" s="103"/>
      <c r="AJ3" s="103"/>
    </row>
    <row r="4" spans="1:36" x14ac:dyDescent="0.3">
      <c r="A4" s="105" t="s">
        <v>104</v>
      </c>
      <c r="B4" s="106">
        <v>45990</v>
      </c>
      <c r="C4" s="107" t="s">
        <v>29</v>
      </c>
      <c r="D4" s="108" t="s">
        <v>105</v>
      </c>
      <c r="E4" s="107" t="s">
        <v>1</v>
      </c>
      <c r="F4" s="107" t="s">
        <v>90</v>
      </c>
      <c r="G4" s="109">
        <v>0.28570000000000001</v>
      </c>
      <c r="H4" s="110">
        <v>168</v>
      </c>
      <c r="I4" s="110">
        <v>48</v>
      </c>
      <c r="J4" s="110">
        <v>0</v>
      </c>
      <c r="K4" s="107" t="s">
        <v>91</v>
      </c>
      <c r="L4" s="111" t="s">
        <v>32</v>
      </c>
      <c r="M4" s="110">
        <v>0</v>
      </c>
      <c r="N4" s="110">
        <v>9</v>
      </c>
      <c r="O4" s="110">
        <v>33</v>
      </c>
      <c r="P4" s="107" t="s">
        <v>35</v>
      </c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10" t="s">
        <v>106</v>
      </c>
      <c r="AB4" s="103"/>
      <c r="AC4" s="103"/>
      <c r="AD4" s="103"/>
      <c r="AE4" s="110" t="s">
        <v>107</v>
      </c>
      <c r="AF4" s="110" t="s">
        <v>108</v>
      </c>
      <c r="AG4" s="103"/>
      <c r="AH4" s="103"/>
      <c r="AI4" s="103"/>
      <c r="AJ4" s="103"/>
    </row>
    <row r="5" spans="1:36" x14ac:dyDescent="0.3">
      <c r="A5" s="105" t="s">
        <v>88</v>
      </c>
      <c r="B5" s="106">
        <v>45993</v>
      </c>
      <c r="C5" s="107" t="s">
        <v>29</v>
      </c>
      <c r="D5" s="108" t="s">
        <v>89</v>
      </c>
      <c r="E5" s="107" t="s">
        <v>1</v>
      </c>
      <c r="F5" s="107" t="s">
        <v>90</v>
      </c>
      <c r="G5" s="109">
        <v>0.26790000000000003</v>
      </c>
      <c r="H5" s="110">
        <v>168</v>
      </c>
      <c r="I5" s="110">
        <v>45</v>
      </c>
      <c r="J5" s="110">
        <v>0</v>
      </c>
      <c r="K5" s="107" t="s">
        <v>91</v>
      </c>
      <c r="L5" s="111" t="s">
        <v>32</v>
      </c>
      <c r="M5" s="110">
        <v>0</v>
      </c>
      <c r="N5" s="110">
        <v>4</v>
      </c>
      <c r="O5" s="110">
        <v>20</v>
      </c>
      <c r="P5" s="107" t="s">
        <v>39</v>
      </c>
      <c r="Q5" s="103"/>
      <c r="R5" s="103"/>
      <c r="S5" s="103"/>
      <c r="T5" s="103"/>
      <c r="U5" s="103"/>
      <c r="V5" s="103"/>
      <c r="W5" s="103"/>
      <c r="X5" s="103"/>
      <c r="Y5" s="103"/>
      <c r="Z5" s="110" t="s">
        <v>109</v>
      </c>
      <c r="AA5" s="103"/>
      <c r="AB5" s="103"/>
      <c r="AC5" s="103"/>
      <c r="AD5" s="103"/>
      <c r="AE5" s="110" t="s">
        <v>110</v>
      </c>
      <c r="AF5" s="110" t="s">
        <v>108</v>
      </c>
      <c r="AG5" s="103"/>
      <c r="AH5" s="103"/>
      <c r="AI5" s="103"/>
      <c r="AJ5" s="103"/>
    </row>
    <row r="6" spans="1:36" x14ac:dyDescent="0.3">
      <c r="A6" s="105" t="s">
        <v>99</v>
      </c>
      <c r="B6" s="106">
        <v>45995</v>
      </c>
      <c r="C6" s="107" t="s">
        <v>29</v>
      </c>
      <c r="D6" s="108" t="s">
        <v>100</v>
      </c>
      <c r="E6" s="107" t="s">
        <v>1</v>
      </c>
      <c r="F6" s="107" t="s">
        <v>90</v>
      </c>
      <c r="G6" s="109">
        <v>0.1726</v>
      </c>
      <c r="H6" s="110">
        <v>168</v>
      </c>
      <c r="I6" s="110">
        <v>29</v>
      </c>
      <c r="J6" s="110">
        <v>0</v>
      </c>
      <c r="K6" s="107" t="s">
        <v>91</v>
      </c>
      <c r="L6" s="111" t="s">
        <v>32</v>
      </c>
      <c r="M6" s="110">
        <v>0</v>
      </c>
      <c r="N6" s="110">
        <v>1</v>
      </c>
      <c r="O6" s="110">
        <v>6</v>
      </c>
      <c r="P6" s="107" t="s">
        <v>35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10" t="s">
        <v>111</v>
      </c>
      <c r="AF6" s="110" t="s">
        <v>112</v>
      </c>
      <c r="AG6" s="103"/>
      <c r="AH6" s="103"/>
      <c r="AI6" s="103"/>
      <c r="AJ6" s="103"/>
    </row>
    <row r="7" spans="1:36" x14ac:dyDescent="0.3">
      <c r="A7" s="105" t="s">
        <v>104</v>
      </c>
      <c r="B7" s="106">
        <v>45997</v>
      </c>
      <c r="C7" s="107" t="s">
        <v>29</v>
      </c>
      <c r="D7" s="108" t="s">
        <v>105</v>
      </c>
      <c r="E7" s="107" t="s">
        <v>1</v>
      </c>
      <c r="F7" s="107" t="s">
        <v>90</v>
      </c>
      <c r="G7" s="109">
        <v>5.9499999999999997E-2</v>
      </c>
      <c r="H7" s="110">
        <v>168</v>
      </c>
      <c r="I7" s="110">
        <v>10</v>
      </c>
      <c r="J7" s="110">
        <v>0</v>
      </c>
      <c r="K7" s="107" t="s">
        <v>91</v>
      </c>
      <c r="L7" s="111" t="s">
        <v>42</v>
      </c>
      <c r="M7" s="110">
        <v>0</v>
      </c>
      <c r="N7" s="110">
        <v>0</v>
      </c>
      <c r="O7" s="110">
        <v>4</v>
      </c>
      <c r="P7" s="107" t="s">
        <v>35</v>
      </c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10" t="s">
        <v>39</v>
      </c>
      <c r="AF7" s="110" t="s">
        <v>113</v>
      </c>
      <c r="AG7" s="103"/>
      <c r="AH7" s="103"/>
      <c r="AI7" s="103"/>
      <c r="AJ7" s="103"/>
    </row>
    <row r="8" spans="1:36" x14ac:dyDescent="0.3">
      <c r="A8" s="105" t="s">
        <v>88</v>
      </c>
      <c r="B8" s="106">
        <v>46000</v>
      </c>
      <c r="C8" s="107" t="s">
        <v>29</v>
      </c>
      <c r="D8" s="108" t="s">
        <v>89</v>
      </c>
      <c r="E8" s="107" t="s">
        <v>1</v>
      </c>
      <c r="F8" s="107" t="s">
        <v>90</v>
      </c>
      <c r="G8" s="109">
        <v>7.7399999999999997E-2</v>
      </c>
      <c r="H8" s="110">
        <v>168</v>
      </c>
      <c r="I8" s="110">
        <v>13</v>
      </c>
      <c r="J8" s="110">
        <v>0</v>
      </c>
      <c r="K8" s="107" t="s">
        <v>91</v>
      </c>
      <c r="L8" s="111" t="s">
        <v>32</v>
      </c>
      <c r="M8" s="110">
        <v>0</v>
      </c>
      <c r="N8" s="110">
        <v>1</v>
      </c>
      <c r="O8" s="110">
        <v>4</v>
      </c>
      <c r="P8" s="107" t="s">
        <v>35</v>
      </c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10" t="s">
        <v>114</v>
      </c>
      <c r="AE8" s="110" t="s">
        <v>111</v>
      </c>
      <c r="AF8" s="103"/>
      <c r="AG8" s="103"/>
      <c r="AH8" s="103"/>
      <c r="AI8" s="103"/>
      <c r="AJ8" s="103"/>
    </row>
    <row r="9" spans="1:36" x14ac:dyDescent="0.3">
      <c r="A9" s="105" t="s">
        <v>99</v>
      </c>
      <c r="B9" s="106">
        <v>46002</v>
      </c>
      <c r="C9" s="107" t="s">
        <v>29</v>
      </c>
      <c r="D9" s="108" t="s">
        <v>100</v>
      </c>
      <c r="E9" s="107" t="s">
        <v>1</v>
      </c>
      <c r="F9" s="107" t="s">
        <v>90</v>
      </c>
      <c r="G9" s="109">
        <v>5.9499999999999997E-2</v>
      </c>
      <c r="H9" s="110">
        <v>168</v>
      </c>
      <c r="I9" s="110">
        <v>10</v>
      </c>
      <c r="J9" s="110">
        <v>0</v>
      </c>
      <c r="K9" s="107" t="s">
        <v>91</v>
      </c>
      <c r="L9" s="111" t="s">
        <v>42</v>
      </c>
      <c r="M9" s="110">
        <v>0</v>
      </c>
      <c r="N9" s="110">
        <v>0</v>
      </c>
      <c r="O9" s="110">
        <v>7</v>
      </c>
      <c r="P9" s="107" t="s">
        <v>35</v>
      </c>
      <c r="Q9" s="103"/>
      <c r="R9" s="103"/>
      <c r="S9" s="103"/>
      <c r="T9" s="103"/>
      <c r="U9" s="103"/>
      <c r="V9" s="103"/>
      <c r="W9" s="103"/>
      <c r="X9" s="103"/>
      <c r="Y9" s="103"/>
      <c r="Z9" s="110" t="s">
        <v>92</v>
      </c>
      <c r="AA9" s="103"/>
      <c r="AB9" s="103"/>
      <c r="AC9" s="103"/>
      <c r="AD9" s="103"/>
      <c r="AE9" s="110" t="s">
        <v>115</v>
      </c>
      <c r="AF9" s="110" t="s">
        <v>108</v>
      </c>
      <c r="AG9" s="103"/>
      <c r="AH9" s="103"/>
      <c r="AI9" s="103"/>
      <c r="AJ9" s="103"/>
    </row>
    <row r="10" spans="1:36" x14ac:dyDescent="0.3">
      <c r="A10" s="105" t="s">
        <v>104</v>
      </c>
      <c r="B10" s="106">
        <v>46004</v>
      </c>
      <c r="C10" s="107" t="s">
        <v>29</v>
      </c>
      <c r="D10" s="108" t="s">
        <v>105</v>
      </c>
      <c r="E10" s="107" t="s">
        <v>1</v>
      </c>
      <c r="F10" s="107" t="s">
        <v>90</v>
      </c>
      <c r="G10" s="109">
        <v>2.98E-2</v>
      </c>
      <c r="H10" s="110">
        <v>168</v>
      </c>
      <c r="I10" s="110">
        <v>5</v>
      </c>
      <c r="J10" s="110">
        <v>0</v>
      </c>
      <c r="K10" s="107" t="s">
        <v>91</v>
      </c>
      <c r="L10" s="111" t="s">
        <v>42</v>
      </c>
      <c r="M10" s="110">
        <v>0</v>
      </c>
      <c r="N10" s="110">
        <v>0</v>
      </c>
      <c r="O10" s="110">
        <v>3</v>
      </c>
      <c r="P10" s="107" t="s">
        <v>35</v>
      </c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10" t="s">
        <v>116</v>
      </c>
      <c r="AF10" s="110" t="s">
        <v>108</v>
      </c>
      <c r="AG10" s="103"/>
      <c r="AH10" s="103"/>
      <c r="AI10" s="103"/>
      <c r="AJ10" s="103"/>
    </row>
    <row r="11" spans="1:36" x14ac:dyDescent="0.3">
      <c r="A11" s="105" t="s">
        <v>88</v>
      </c>
      <c r="B11" s="106">
        <v>46007</v>
      </c>
      <c r="C11" s="107" t="s">
        <v>29</v>
      </c>
      <c r="D11" s="108" t="s">
        <v>89</v>
      </c>
      <c r="E11" s="107" t="s">
        <v>1</v>
      </c>
      <c r="F11" s="107" t="s">
        <v>90</v>
      </c>
      <c r="G11" s="109">
        <v>7.1400000000000005E-2</v>
      </c>
      <c r="H11" s="110">
        <v>168</v>
      </c>
      <c r="I11" s="110">
        <v>12</v>
      </c>
      <c r="J11" s="110">
        <v>0</v>
      </c>
      <c r="K11" s="107" t="s">
        <v>91</v>
      </c>
      <c r="L11" s="111" t="s">
        <v>47</v>
      </c>
      <c r="M11" s="110">
        <v>0</v>
      </c>
      <c r="N11" s="110">
        <v>0</v>
      </c>
      <c r="O11" s="110">
        <v>5</v>
      </c>
      <c r="P11" s="107" t="s">
        <v>35</v>
      </c>
      <c r="Q11" s="103"/>
      <c r="R11" s="103"/>
      <c r="S11" s="103"/>
      <c r="T11" s="103"/>
      <c r="U11" s="103"/>
      <c r="V11" s="103"/>
      <c r="W11" s="103"/>
      <c r="X11" s="103"/>
      <c r="Y11" s="103"/>
      <c r="Z11" s="110" t="s">
        <v>92</v>
      </c>
      <c r="AA11" s="103"/>
      <c r="AB11" s="103"/>
      <c r="AC11" s="103"/>
      <c r="AD11" s="103"/>
      <c r="AE11" s="110" t="s">
        <v>117</v>
      </c>
      <c r="AF11" s="110" t="s">
        <v>108</v>
      </c>
      <c r="AG11" s="103"/>
      <c r="AH11" s="103"/>
      <c r="AI11" s="103"/>
      <c r="AJ11" s="103"/>
    </row>
    <row r="12" spans="1:36" x14ac:dyDescent="0.3">
      <c r="A12" s="105" t="s">
        <v>99</v>
      </c>
      <c r="B12" s="106">
        <v>46009</v>
      </c>
      <c r="C12" s="107" t="s">
        <v>29</v>
      </c>
      <c r="D12" s="108" t="s">
        <v>100</v>
      </c>
      <c r="E12" s="107" t="s">
        <v>1</v>
      </c>
      <c r="F12" s="107" t="s">
        <v>90</v>
      </c>
      <c r="G12" s="109">
        <v>2.98E-2</v>
      </c>
      <c r="H12" s="110">
        <v>168</v>
      </c>
      <c r="I12" s="110">
        <v>5</v>
      </c>
      <c r="J12" s="110">
        <v>0</v>
      </c>
      <c r="K12" s="107" t="s">
        <v>91</v>
      </c>
      <c r="L12" s="111" t="s">
        <v>49</v>
      </c>
      <c r="M12" s="110">
        <v>0</v>
      </c>
      <c r="N12" s="110">
        <v>0</v>
      </c>
      <c r="O12" s="110">
        <v>0</v>
      </c>
      <c r="P12" s="107" t="s">
        <v>35</v>
      </c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10" t="s">
        <v>118</v>
      </c>
      <c r="AF12" s="110" t="s">
        <v>119</v>
      </c>
      <c r="AG12" s="103"/>
      <c r="AH12" s="103"/>
      <c r="AI12" s="103"/>
      <c r="AJ12" s="103"/>
    </row>
    <row r="13" spans="1:36" x14ac:dyDescent="0.3">
      <c r="A13" s="105" t="s">
        <v>104</v>
      </c>
      <c r="B13" s="106">
        <v>46011</v>
      </c>
      <c r="C13" s="107" t="s">
        <v>29</v>
      </c>
      <c r="D13" s="108" t="s">
        <v>105</v>
      </c>
      <c r="E13" s="107" t="s">
        <v>1</v>
      </c>
      <c r="F13" s="107" t="s">
        <v>90</v>
      </c>
      <c r="G13" s="109">
        <v>3.5700000000000003E-2</v>
      </c>
      <c r="H13" s="110">
        <v>168</v>
      </c>
      <c r="I13" s="110">
        <v>6</v>
      </c>
      <c r="J13" s="110">
        <v>0</v>
      </c>
      <c r="K13" s="107" t="s">
        <v>91</v>
      </c>
      <c r="L13" s="111" t="s">
        <v>51</v>
      </c>
      <c r="M13" s="110">
        <v>0</v>
      </c>
      <c r="N13" s="110">
        <v>0</v>
      </c>
      <c r="O13" s="110">
        <v>0</v>
      </c>
      <c r="P13" s="107" t="s">
        <v>35</v>
      </c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10" t="s">
        <v>57</v>
      </c>
      <c r="AF13" s="110" t="s">
        <v>120</v>
      </c>
      <c r="AG13" s="103"/>
      <c r="AH13" s="103"/>
      <c r="AI13" s="103"/>
      <c r="AJ13" s="103"/>
    </row>
    <row r="14" spans="1:36" x14ac:dyDescent="0.3">
      <c r="A14" s="105" t="s">
        <v>88</v>
      </c>
      <c r="B14" s="106">
        <v>46014</v>
      </c>
      <c r="C14" s="107" t="s">
        <v>29</v>
      </c>
      <c r="D14" s="108" t="s">
        <v>89</v>
      </c>
      <c r="E14" s="107" t="s">
        <v>1</v>
      </c>
      <c r="F14" s="107" t="s">
        <v>90</v>
      </c>
      <c r="G14" s="109">
        <v>3.5700000000000003E-2</v>
      </c>
      <c r="H14" s="110">
        <v>168</v>
      </c>
      <c r="I14" s="110">
        <v>6</v>
      </c>
      <c r="J14" s="110">
        <v>0</v>
      </c>
      <c r="K14" s="107" t="s">
        <v>91</v>
      </c>
      <c r="L14" s="111" t="s">
        <v>53</v>
      </c>
      <c r="M14" s="110">
        <v>0</v>
      </c>
      <c r="N14" s="110">
        <v>0</v>
      </c>
      <c r="O14" s="110">
        <v>1</v>
      </c>
      <c r="P14" s="107" t="s">
        <v>54</v>
      </c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10" t="s">
        <v>121</v>
      </c>
      <c r="AE14" s="110" t="s">
        <v>118</v>
      </c>
      <c r="AF14" s="103"/>
      <c r="AG14" s="103"/>
      <c r="AH14" s="103"/>
      <c r="AI14" s="103"/>
      <c r="AJ14" s="110" t="s">
        <v>122</v>
      </c>
    </row>
    <row r="15" spans="1:36" x14ac:dyDescent="0.3">
      <c r="A15" s="105" t="s">
        <v>99</v>
      </c>
      <c r="B15" s="106">
        <v>46016</v>
      </c>
      <c r="C15" s="107" t="s">
        <v>29</v>
      </c>
      <c r="D15" s="108" t="s">
        <v>100</v>
      </c>
      <c r="E15" s="107" t="s">
        <v>1</v>
      </c>
      <c r="F15" s="107" t="s">
        <v>90</v>
      </c>
      <c r="G15" s="109">
        <v>2.98E-2</v>
      </c>
      <c r="H15" s="110">
        <v>168</v>
      </c>
      <c r="I15" s="110">
        <v>5</v>
      </c>
      <c r="J15" s="110">
        <v>0</v>
      </c>
      <c r="K15" s="107" t="s">
        <v>91</v>
      </c>
      <c r="L15" s="111" t="s">
        <v>56</v>
      </c>
      <c r="M15" s="110">
        <v>0</v>
      </c>
      <c r="N15" s="110">
        <v>0</v>
      </c>
      <c r="O15" s="110">
        <v>0</v>
      </c>
      <c r="P15" s="107" t="s">
        <v>57</v>
      </c>
      <c r="Q15" s="103"/>
      <c r="R15" s="103"/>
      <c r="S15" s="103"/>
      <c r="T15" s="103"/>
      <c r="U15" s="103"/>
      <c r="V15" s="103"/>
      <c r="W15" s="103"/>
      <c r="X15" s="103"/>
      <c r="Y15" s="103"/>
      <c r="Z15" s="110" t="s">
        <v>92</v>
      </c>
      <c r="AA15" s="103"/>
      <c r="AB15" s="103"/>
      <c r="AC15" s="103"/>
      <c r="AD15" s="103"/>
      <c r="AE15" s="110" t="s">
        <v>116</v>
      </c>
      <c r="AF15" s="103"/>
      <c r="AG15" s="103"/>
      <c r="AH15" s="103"/>
      <c r="AI15" s="103"/>
      <c r="AJ15" s="103"/>
    </row>
    <row r="16" spans="1:36" ht="21" x14ac:dyDescent="0.3">
      <c r="A16" s="112" t="s">
        <v>139</v>
      </c>
      <c r="B16" s="113"/>
      <c r="C16" s="112">
        <f>SUBTOTAL(103,AJF_CAI_LF_LEGACY[Flt])</f>
        <v>14</v>
      </c>
      <c r="D16" s="112"/>
      <c r="E16" s="112">
        <f>SUBTOTAL(103,AJF_CAI_LF_LEGACY[Brd-Off])</f>
        <v>14</v>
      </c>
      <c r="F16" s="112"/>
      <c r="G16" s="114">
        <f>SUBTOTAL(101,AJF_CAI_LF_LEGACY[LF%])</f>
        <v>0.16964999999999994</v>
      </c>
      <c r="H16" s="115">
        <f>SUBTOTAL(109,AJF_CAI_LF_LEGACY[CAP])</f>
        <v>2352</v>
      </c>
      <c r="I16" s="115">
        <f>SUBTOTAL(109,AJF_CAI_LF_LEGACY[BKG(Y)])</f>
        <v>399</v>
      </c>
      <c r="J16" s="115">
        <f>SUBTOTAL(109,AJF_CAI_LF_LEGACY[GRP(Y)])</f>
        <v>0</v>
      </c>
      <c r="K16" s="112"/>
      <c r="L16" s="113"/>
      <c r="M16" s="115">
        <f>SUBTOTAL(109,AJF_CAI_LF_LEGACY[TO-DAY])</f>
        <v>0</v>
      </c>
      <c r="N16" s="115">
        <f>SUBTOTAL(109,AJF_CAI_LF_LEGACY[Y-DAY])</f>
        <v>36</v>
      </c>
      <c r="O16" s="115">
        <f>SUBTOTAL(109,AJF_CAI_LF_LEGACY[WEEKLY])</f>
        <v>214</v>
      </c>
      <c r="P16" s="116"/>
      <c r="Q16" s="115">
        <f>SUBTOTAL(109,AJF_CAI_LF_LEGACY[Y])</f>
        <v>0</v>
      </c>
      <c r="R16" s="115">
        <f>SUBTOTAL(109,AJF_CAI_LF_LEGACY[B])</f>
        <v>0</v>
      </c>
      <c r="S16" s="115">
        <f>SUBTOTAL(109,AJF_CAI_LF_LEGACY[M])</f>
        <v>0</v>
      </c>
      <c r="T16" s="115">
        <f>SUBTOTAL(109,AJF_CAI_LF_LEGACY[H])</f>
        <v>0</v>
      </c>
      <c r="U16" s="115">
        <f>SUBTOTAL(109,AJF_CAI_LF_LEGACY[Q])</f>
        <v>0</v>
      </c>
      <c r="V16" s="115">
        <f>SUBTOTAL(109,AJF_CAI_LF_LEGACY[K])</f>
        <v>0</v>
      </c>
      <c r="W16" s="115">
        <f>SUBTOTAL(109,AJF_CAI_LF_LEGACY[V])</f>
        <v>0</v>
      </c>
      <c r="X16" s="115">
        <f>SUBTOTAL(109,AJF_CAI_LF_LEGACY[L])</f>
        <v>0</v>
      </c>
      <c r="Y16" s="115">
        <f>SUBTOTAL(109,AJF_CAI_LF_LEGACY[G])</f>
        <v>0</v>
      </c>
      <c r="Z16" s="115">
        <f>SUBTOTAL(109,AJF_CAI_LF_LEGACY[S])</f>
        <v>0</v>
      </c>
      <c r="AA16" s="115">
        <f>SUBTOTAL(109,AJF_CAI_LF_LEGACY[W])</f>
        <v>0</v>
      </c>
      <c r="AB16" s="115">
        <f>SUBTOTAL(109,AJF_CAI_LF_LEGACY[T])</f>
        <v>0</v>
      </c>
      <c r="AC16" s="115">
        <f>SUBTOTAL(109,AJF_CAI_LF_LEGACY[X])</f>
        <v>0</v>
      </c>
      <c r="AD16" s="115">
        <f>SUBTOTAL(109,AJF_CAI_LF_LEGACY[U])</f>
        <v>0</v>
      </c>
      <c r="AE16" s="115">
        <f>SUBTOTAL(109,AJF_CAI_LF_LEGACY[O])</f>
        <v>0</v>
      </c>
      <c r="AF16" s="115">
        <f>SUBTOTAL(109,AJF_CAI_LF_LEGACY[I])</f>
        <v>0</v>
      </c>
      <c r="AG16" s="115">
        <f>SUBTOTAL(109,AJF_CAI_LF_LEGACY[E])</f>
        <v>0</v>
      </c>
      <c r="AH16" s="115">
        <f>SUBTOTAL(109,AJF_CAI_LF_LEGACY[A])</f>
        <v>0</v>
      </c>
      <c r="AI16" s="115">
        <f>SUBTOTAL(109,AJF_CAI_LF_LEGACY[P])</f>
        <v>0</v>
      </c>
      <c r="AJ16" s="115">
        <f>SUBTOTAL(103,AJF_CAI_LF_LEGACY[N])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2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17.88671875" bestFit="1" customWidth="1"/>
  </cols>
  <sheetData>
    <row r="1" spans="1:92" ht="28.8" customHeight="1" x14ac:dyDescent="0.3">
      <c r="A1" s="94" t="s">
        <v>0</v>
      </c>
      <c r="B1" s="93"/>
      <c r="C1" s="93"/>
      <c r="D1" s="93"/>
      <c r="E1" s="93"/>
      <c r="F1" s="1" t="s">
        <v>123</v>
      </c>
      <c r="G1" s="2" t="s">
        <v>2</v>
      </c>
      <c r="H1" s="92" t="s">
        <v>3</v>
      </c>
      <c r="I1" s="93"/>
      <c r="J1" s="93"/>
      <c r="K1" s="93"/>
      <c r="L1" s="93"/>
      <c r="M1" s="1" t="s">
        <v>4</v>
      </c>
      <c r="N1" s="101" t="s">
        <v>5</v>
      </c>
      <c r="O1" s="93"/>
      <c r="P1" s="93"/>
      <c r="Q1" s="93"/>
      <c r="R1" s="9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7" t="s">
        <v>6</v>
      </c>
      <c r="B2" s="93"/>
      <c r="C2" s="93"/>
      <c r="D2" s="93"/>
      <c r="E2" s="93"/>
      <c r="F2" s="93"/>
      <c r="G2" s="99">
        <v>45984.22867991891</v>
      </c>
      <c r="H2" s="93"/>
      <c r="I2" s="93"/>
      <c r="J2" s="93"/>
      <c r="K2" s="102">
        <v>45984.228679919361</v>
      </c>
      <c r="L2" s="93"/>
      <c r="M2" s="93"/>
      <c r="N2" s="93"/>
      <c r="O2" s="93"/>
      <c r="P2" s="93"/>
      <c r="Q2" s="93"/>
      <c r="R2" s="9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8" t="s">
        <v>7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00" t="s">
        <v>8</v>
      </c>
      <c r="B4" s="88"/>
      <c r="C4" s="88"/>
      <c r="D4" s="88"/>
      <c r="E4" s="88"/>
      <c r="F4" s="89"/>
      <c r="G4" s="4">
        <v>45989</v>
      </c>
      <c r="H4" s="96" t="s">
        <v>9</v>
      </c>
      <c r="I4" s="88"/>
      <c r="J4" s="88"/>
      <c r="K4" s="88"/>
      <c r="L4" s="88"/>
      <c r="M4" s="88"/>
      <c r="N4" s="88"/>
      <c r="O4" s="88"/>
      <c r="P4" s="88"/>
      <c r="Q4" s="88"/>
      <c r="R4" s="8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67" t="s">
        <v>28</v>
      </c>
      <c r="B6" s="67" t="s">
        <v>124</v>
      </c>
      <c r="C6" s="68">
        <v>0.63541666666666663</v>
      </c>
      <c r="D6" s="67" t="s">
        <v>30</v>
      </c>
      <c r="E6" s="69"/>
      <c r="F6" s="67" t="s">
        <v>31</v>
      </c>
      <c r="G6" s="91"/>
      <c r="H6" s="70" t="s">
        <v>124</v>
      </c>
      <c r="I6" s="71">
        <v>0.52980000000000005</v>
      </c>
      <c r="J6" s="72">
        <v>89</v>
      </c>
      <c r="K6" s="73" t="s">
        <v>32</v>
      </c>
      <c r="L6" s="72">
        <v>60</v>
      </c>
      <c r="M6" s="72">
        <v>0</v>
      </c>
      <c r="N6" s="72">
        <v>15</v>
      </c>
      <c r="O6" s="74" t="s">
        <v>121</v>
      </c>
      <c r="P6" s="75">
        <v>0.63541666666666663</v>
      </c>
      <c r="Q6" s="72">
        <v>168</v>
      </c>
      <c r="R6" s="76" t="s">
        <v>125</v>
      </c>
    </row>
    <row r="7" spans="1:92" ht="17.399999999999999" customHeight="1" thickBot="1" x14ac:dyDescent="0.35">
      <c r="A7" s="117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9"/>
    </row>
    <row r="8" spans="1:92" ht="22.05" customHeight="1" thickTop="1" thickBot="1" x14ac:dyDescent="0.35">
      <c r="A8" s="87" t="s">
        <v>8</v>
      </c>
      <c r="B8" s="88"/>
      <c r="C8" s="88"/>
      <c r="D8" s="88"/>
      <c r="E8" s="88"/>
      <c r="F8" s="89"/>
      <c r="G8" s="18">
        <v>45996</v>
      </c>
      <c r="H8" s="90" t="s">
        <v>9</v>
      </c>
      <c r="I8" s="88"/>
      <c r="J8" s="88"/>
      <c r="K8" s="88"/>
      <c r="L8" s="88"/>
      <c r="M8" s="88"/>
      <c r="N8" s="88"/>
      <c r="O8" s="88"/>
      <c r="P8" s="88"/>
      <c r="Q8" s="88"/>
      <c r="R8" s="89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67" t="s">
        <v>28</v>
      </c>
      <c r="B10" s="67" t="s">
        <v>124</v>
      </c>
      <c r="C10" s="68">
        <v>0.63541666666666663</v>
      </c>
      <c r="D10" s="67" t="s">
        <v>30</v>
      </c>
      <c r="E10" s="69"/>
      <c r="F10" s="67" t="s">
        <v>37</v>
      </c>
      <c r="G10" s="95"/>
      <c r="H10" s="70" t="s">
        <v>124</v>
      </c>
      <c r="I10" s="71">
        <v>0.24399999999999999</v>
      </c>
      <c r="J10" s="72">
        <v>41</v>
      </c>
      <c r="K10" s="73" t="s">
        <v>32</v>
      </c>
      <c r="L10" s="72">
        <v>27</v>
      </c>
      <c r="M10" s="72">
        <v>0</v>
      </c>
      <c r="N10" s="72">
        <v>2</v>
      </c>
      <c r="O10" s="74" t="s">
        <v>35</v>
      </c>
      <c r="P10" s="75">
        <v>0.63541666666666663</v>
      </c>
      <c r="Q10" s="72">
        <v>168</v>
      </c>
      <c r="R10" s="76" t="s">
        <v>126</v>
      </c>
    </row>
    <row r="11" spans="1:92" ht="17.399999999999999" customHeight="1" thickBot="1" x14ac:dyDescent="0.3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9"/>
    </row>
    <row r="12" spans="1:92" ht="22.05" customHeight="1" thickTop="1" thickBot="1" x14ac:dyDescent="0.35">
      <c r="A12" s="87" t="s">
        <v>8</v>
      </c>
      <c r="B12" s="88"/>
      <c r="C12" s="88"/>
      <c r="D12" s="88"/>
      <c r="E12" s="88"/>
      <c r="F12" s="89"/>
      <c r="G12" s="18">
        <v>46003</v>
      </c>
      <c r="H12" s="90" t="s">
        <v>9</v>
      </c>
      <c r="I12" s="88"/>
      <c r="J12" s="88"/>
      <c r="K12" s="88"/>
      <c r="L12" s="88"/>
      <c r="M12" s="88"/>
      <c r="N12" s="88"/>
      <c r="O12" s="88"/>
      <c r="P12" s="88"/>
      <c r="Q12" s="88"/>
      <c r="R12" s="89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77" t="s">
        <v>28</v>
      </c>
      <c r="B14" s="77" t="s">
        <v>124</v>
      </c>
      <c r="C14" s="78">
        <v>0.63541666666666663</v>
      </c>
      <c r="D14" s="77" t="s">
        <v>30</v>
      </c>
      <c r="E14" s="79"/>
      <c r="F14" s="77" t="s">
        <v>37</v>
      </c>
      <c r="G14" s="95"/>
      <c r="H14" s="80" t="s">
        <v>124</v>
      </c>
      <c r="I14" s="81">
        <v>0.16669999999999999</v>
      </c>
      <c r="J14" s="82">
        <v>28</v>
      </c>
      <c r="K14" s="83" t="s">
        <v>127</v>
      </c>
      <c r="L14" s="82">
        <v>8</v>
      </c>
      <c r="M14" s="82">
        <v>0</v>
      </c>
      <c r="N14" s="82">
        <v>0</v>
      </c>
      <c r="O14" s="84" t="s">
        <v>115</v>
      </c>
      <c r="P14" s="85">
        <v>0.63541666666666663</v>
      </c>
      <c r="Q14" s="82">
        <v>168</v>
      </c>
      <c r="R14" s="86" t="s">
        <v>128</v>
      </c>
    </row>
    <row r="15" spans="1:92" ht="17.399999999999999" customHeight="1" thickBot="1" x14ac:dyDescent="0.35">
      <c r="A15" s="117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9"/>
    </row>
    <row r="16" spans="1:92" ht="22.05" customHeight="1" thickTop="1" thickBot="1" x14ac:dyDescent="0.35">
      <c r="A16" s="87" t="s">
        <v>8</v>
      </c>
      <c r="B16" s="88"/>
      <c r="C16" s="88"/>
      <c r="D16" s="88"/>
      <c r="E16" s="88"/>
      <c r="F16" s="89"/>
      <c r="G16" s="18">
        <v>46010</v>
      </c>
      <c r="H16" s="90" t="s">
        <v>9</v>
      </c>
      <c r="I16" s="88"/>
      <c r="J16" s="88"/>
      <c r="K16" s="88"/>
      <c r="L16" s="88"/>
      <c r="M16" s="88"/>
      <c r="N16" s="88"/>
      <c r="O16" s="88"/>
      <c r="P16" s="88"/>
      <c r="Q16" s="88"/>
      <c r="R16" s="89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5">
      <c r="A18" s="8" t="s">
        <v>28</v>
      </c>
      <c r="B18" s="8" t="s">
        <v>124</v>
      </c>
      <c r="C18" s="9">
        <v>0.63541666666666663</v>
      </c>
      <c r="D18" s="8" t="s">
        <v>30</v>
      </c>
      <c r="E18" s="10"/>
      <c r="F18" s="8" t="s">
        <v>37</v>
      </c>
      <c r="G18" s="91"/>
      <c r="H18" s="11" t="s">
        <v>124</v>
      </c>
      <c r="I18" s="66">
        <v>0.14879999999999999</v>
      </c>
      <c r="J18" s="13">
        <v>25</v>
      </c>
      <c r="K18" s="14" t="s">
        <v>32</v>
      </c>
      <c r="L18" s="13">
        <v>3</v>
      </c>
      <c r="M18" s="13">
        <v>0</v>
      </c>
      <c r="N18" s="13">
        <v>1</v>
      </c>
      <c r="O18" s="15" t="s">
        <v>35</v>
      </c>
      <c r="P18" s="16">
        <v>0.63541666666666663</v>
      </c>
      <c r="Q18" s="13">
        <v>168</v>
      </c>
      <c r="R18" s="17" t="s">
        <v>129</v>
      </c>
    </row>
    <row r="19" spans="1:18" ht="17.399999999999999" customHeight="1" thickBot="1" x14ac:dyDescent="0.35">
      <c r="A19" s="117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9"/>
    </row>
    <row r="20" spans="1:18" ht="22.05" customHeight="1" thickTop="1" thickBot="1" x14ac:dyDescent="0.35">
      <c r="A20" s="87" t="s">
        <v>8</v>
      </c>
      <c r="B20" s="88"/>
      <c r="C20" s="88"/>
      <c r="D20" s="88"/>
      <c r="E20" s="88"/>
      <c r="F20" s="89"/>
      <c r="G20" s="18">
        <v>46017</v>
      </c>
      <c r="H20" s="90" t="s">
        <v>9</v>
      </c>
      <c r="I20" s="88"/>
      <c r="J20" s="88"/>
      <c r="K20" s="88"/>
      <c r="L20" s="88"/>
      <c r="M20" s="88"/>
      <c r="N20" s="88"/>
      <c r="O20" s="88"/>
      <c r="P20" s="88"/>
      <c r="Q20" s="88"/>
      <c r="R20" s="89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x14ac:dyDescent="0.45">
      <c r="A22" s="26" t="s">
        <v>28</v>
      </c>
      <c r="B22" s="26" t="s">
        <v>124</v>
      </c>
      <c r="C22" s="27">
        <v>0.63541666666666663</v>
      </c>
      <c r="D22" s="26" t="s">
        <v>30</v>
      </c>
      <c r="E22" s="28"/>
      <c r="F22" s="26" t="s">
        <v>130</v>
      </c>
      <c r="G22" s="91"/>
      <c r="H22" s="29" t="s">
        <v>124</v>
      </c>
      <c r="I22" s="30">
        <v>0</v>
      </c>
      <c r="J22" s="31">
        <v>0</v>
      </c>
      <c r="K22" s="32" t="s">
        <v>131</v>
      </c>
      <c r="L22" s="31">
        <v>0</v>
      </c>
      <c r="M22" s="31">
        <v>0</v>
      </c>
      <c r="N22" s="31">
        <v>0</v>
      </c>
      <c r="O22" s="33" t="s">
        <v>35</v>
      </c>
      <c r="P22" s="34">
        <v>0.63541666666666663</v>
      </c>
      <c r="Q22" s="31">
        <v>168</v>
      </c>
      <c r="R22" s="35" t="s">
        <v>131</v>
      </c>
    </row>
  </sheetData>
  <mergeCells count="26">
    <mergeCell ref="G22"/>
    <mergeCell ref="A2:F2"/>
    <mergeCell ref="A3:R3"/>
    <mergeCell ref="A8:F8"/>
    <mergeCell ref="G2:J2"/>
    <mergeCell ref="A4:F4"/>
    <mergeCell ref="A20:F20"/>
    <mergeCell ref="A19:R19"/>
    <mergeCell ref="H16:R16"/>
    <mergeCell ref="K2:R2"/>
    <mergeCell ref="G10"/>
    <mergeCell ref="G6"/>
    <mergeCell ref="G18"/>
    <mergeCell ref="A15:R15"/>
    <mergeCell ref="H12:R12"/>
    <mergeCell ref="A11:R11"/>
    <mergeCell ref="A16:F16"/>
    <mergeCell ref="H8:R8"/>
    <mergeCell ref="A7:R7"/>
    <mergeCell ref="H20:R20"/>
    <mergeCell ref="H1:L1"/>
    <mergeCell ref="A1:E1"/>
    <mergeCell ref="A12:F12"/>
    <mergeCell ref="H4:R4"/>
    <mergeCell ref="N1:R1"/>
    <mergeCell ref="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"/>
  <sheetViews>
    <sheetView workbookViewId="0"/>
  </sheetViews>
  <sheetFormatPr defaultRowHeight="15.6" outlineLevelCol="1" x14ac:dyDescent="0.3"/>
  <cols>
    <col min="1" max="1" width="6.88671875" style="104" bestFit="1" customWidth="1"/>
    <col min="2" max="2" width="10.44140625" style="104" bestFit="1" customWidth="1"/>
    <col min="3" max="3" width="6.77734375" style="104" bestFit="1" customWidth="1"/>
    <col min="4" max="4" width="5.5546875" style="104" bestFit="1" customWidth="1"/>
    <col min="5" max="5" width="7.5546875" style="104" bestFit="1" customWidth="1"/>
    <col min="6" max="6" width="4.21875" style="104" bestFit="1" customWidth="1"/>
    <col min="7" max="7" width="10" style="104" bestFit="1" customWidth="1"/>
    <col min="8" max="10" width="7" style="104" bestFit="1" customWidth="1"/>
    <col min="11" max="11" width="10.5546875" style="104" bestFit="1" customWidth="1"/>
    <col min="12" max="12" width="18.109375" style="104" bestFit="1" customWidth="1"/>
    <col min="13" max="13" width="7.6640625" style="104" bestFit="1" customWidth="1" outlineLevel="1"/>
    <col min="14" max="14" width="6.33203125" style="104" bestFit="1" customWidth="1" outlineLevel="1"/>
    <col min="15" max="15" width="8" style="104" bestFit="1" customWidth="1" outlineLevel="1"/>
    <col min="16" max="16" width="13.6640625" style="104" bestFit="1" customWidth="1"/>
    <col min="17" max="29" width="3.88671875" style="104" bestFit="1" customWidth="1"/>
    <col min="30" max="31" width="4.5546875" style="104" bestFit="1" customWidth="1"/>
    <col min="32" max="36" width="3.88671875" style="104" bestFit="1" customWidth="1"/>
    <col min="37" max="16384" width="8.88671875" style="104"/>
  </cols>
  <sheetData>
    <row r="1" spans="1:36" x14ac:dyDescent="0.3">
      <c r="A1" s="103" t="s">
        <v>59</v>
      </c>
      <c r="B1" s="103" t="s">
        <v>60</v>
      </c>
      <c r="C1" s="103" t="s">
        <v>61</v>
      </c>
      <c r="D1" s="103" t="s">
        <v>25</v>
      </c>
      <c r="E1" s="103" t="s">
        <v>62</v>
      </c>
      <c r="F1" s="103" t="s">
        <v>63</v>
      </c>
      <c r="G1" s="103" t="s">
        <v>18</v>
      </c>
      <c r="H1" s="103" t="s">
        <v>64</v>
      </c>
      <c r="I1" s="103" t="s">
        <v>65</v>
      </c>
      <c r="J1" s="103" t="s">
        <v>66</v>
      </c>
      <c r="K1" s="103" t="s">
        <v>67</v>
      </c>
      <c r="L1" s="103" t="s">
        <v>20</v>
      </c>
      <c r="M1" s="103" t="s">
        <v>22</v>
      </c>
      <c r="N1" s="103" t="s">
        <v>23</v>
      </c>
      <c r="O1" s="103" t="s">
        <v>21</v>
      </c>
      <c r="P1" s="103" t="s">
        <v>24</v>
      </c>
      <c r="Q1" s="103" t="s">
        <v>68</v>
      </c>
      <c r="R1" s="103" t="s">
        <v>69</v>
      </c>
      <c r="S1" s="103" t="s">
        <v>70</v>
      </c>
      <c r="T1" s="103" t="s">
        <v>71</v>
      </c>
      <c r="U1" s="103" t="s">
        <v>72</v>
      </c>
      <c r="V1" s="103" t="s">
        <v>73</v>
      </c>
      <c r="W1" s="103" t="s">
        <v>74</v>
      </c>
      <c r="X1" s="103" t="s">
        <v>75</v>
      </c>
      <c r="Y1" s="103" t="s">
        <v>76</v>
      </c>
      <c r="Z1" s="103" t="s">
        <v>77</v>
      </c>
      <c r="AA1" s="103" t="s">
        <v>78</v>
      </c>
      <c r="AB1" s="103" t="s">
        <v>79</v>
      </c>
      <c r="AC1" s="103" t="s">
        <v>80</v>
      </c>
      <c r="AD1" s="103" t="s">
        <v>81</v>
      </c>
      <c r="AE1" s="103" t="s">
        <v>82</v>
      </c>
      <c r="AF1" s="103" t="s">
        <v>83</v>
      </c>
      <c r="AG1" s="103" t="s">
        <v>84</v>
      </c>
      <c r="AH1" s="103" t="s">
        <v>85</v>
      </c>
      <c r="AI1" s="103" t="s">
        <v>86</v>
      </c>
      <c r="AJ1" s="103" t="s">
        <v>87</v>
      </c>
    </row>
    <row r="2" spans="1:36" x14ac:dyDescent="0.3">
      <c r="A2" s="105" t="s">
        <v>132</v>
      </c>
      <c r="B2" s="106">
        <v>45989</v>
      </c>
      <c r="C2" s="107" t="s">
        <v>124</v>
      </c>
      <c r="D2" s="108" t="s">
        <v>133</v>
      </c>
      <c r="E2" s="107" t="s">
        <v>123</v>
      </c>
      <c r="F2" s="107" t="s">
        <v>90</v>
      </c>
      <c r="G2" s="109">
        <v>0.52980000000000005</v>
      </c>
      <c r="H2" s="110">
        <v>168</v>
      </c>
      <c r="I2" s="110">
        <v>89</v>
      </c>
      <c r="J2" s="110">
        <v>0</v>
      </c>
      <c r="K2" s="107" t="s">
        <v>91</v>
      </c>
      <c r="L2" s="111" t="s">
        <v>32</v>
      </c>
      <c r="M2" s="110">
        <v>0</v>
      </c>
      <c r="N2" s="110">
        <v>15</v>
      </c>
      <c r="O2" s="110">
        <v>60</v>
      </c>
      <c r="P2" s="107" t="s">
        <v>121</v>
      </c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10" t="s">
        <v>134</v>
      </c>
      <c r="AE2" s="110" t="s">
        <v>135</v>
      </c>
      <c r="AF2" s="110" t="s">
        <v>108</v>
      </c>
      <c r="AG2" s="103"/>
      <c r="AH2" s="103"/>
      <c r="AI2" s="103"/>
      <c r="AJ2" s="103"/>
    </row>
    <row r="3" spans="1:36" x14ac:dyDescent="0.3">
      <c r="A3" s="105" t="s">
        <v>132</v>
      </c>
      <c r="B3" s="106">
        <v>45996</v>
      </c>
      <c r="C3" s="107" t="s">
        <v>124</v>
      </c>
      <c r="D3" s="108" t="s">
        <v>133</v>
      </c>
      <c r="E3" s="107" t="s">
        <v>123</v>
      </c>
      <c r="F3" s="107" t="s">
        <v>90</v>
      </c>
      <c r="G3" s="109">
        <v>0.24399999999999999</v>
      </c>
      <c r="H3" s="110">
        <v>168</v>
      </c>
      <c r="I3" s="110">
        <v>41</v>
      </c>
      <c r="J3" s="110">
        <v>0</v>
      </c>
      <c r="K3" s="107" t="s">
        <v>91</v>
      </c>
      <c r="L3" s="111" t="s">
        <v>32</v>
      </c>
      <c r="M3" s="110">
        <v>0</v>
      </c>
      <c r="N3" s="110">
        <v>2</v>
      </c>
      <c r="O3" s="110">
        <v>27</v>
      </c>
      <c r="P3" s="107" t="s">
        <v>35</v>
      </c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10" t="s">
        <v>136</v>
      </c>
      <c r="AF3" s="110" t="s">
        <v>119</v>
      </c>
      <c r="AG3" s="103"/>
      <c r="AH3" s="103"/>
      <c r="AI3" s="103"/>
      <c r="AJ3" s="103"/>
    </row>
    <row r="4" spans="1:36" x14ac:dyDescent="0.3">
      <c r="A4" s="105" t="s">
        <v>132</v>
      </c>
      <c r="B4" s="106">
        <v>46003</v>
      </c>
      <c r="C4" s="107" t="s">
        <v>124</v>
      </c>
      <c r="D4" s="108" t="s">
        <v>133</v>
      </c>
      <c r="E4" s="107" t="s">
        <v>123</v>
      </c>
      <c r="F4" s="107" t="s">
        <v>90</v>
      </c>
      <c r="G4" s="109">
        <v>0.16669999999999999</v>
      </c>
      <c r="H4" s="110">
        <v>168</v>
      </c>
      <c r="I4" s="110">
        <v>28</v>
      </c>
      <c r="J4" s="110">
        <v>0</v>
      </c>
      <c r="K4" s="107" t="s">
        <v>91</v>
      </c>
      <c r="L4" s="111" t="s">
        <v>127</v>
      </c>
      <c r="M4" s="110">
        <v>0</v>
      </c>
      <c r="N4" s="110">
        <v>0</v>
      </c>
      <c r="O4" s="110">
        <v>8</v>
      </c>
      <c r="P4" s="107" t="s">
        <v>115</v>
      </c>
      <c r="Q4" s="103"/>
      <c r="R4" s="103"/>
      <c r="S4" s="103"/>
      <c r="T4" s="103"/>
      <c r="U4" s="103"/>
      <c r="V4" s="103"/>
      <c r="W4" s="103"/>
      <c r="X4" s="103"/>
      <c r="Y4" s="103"/>
      <c r="Z4" s="110" t="s">
        <v>109</v>
      </c>
      <c r="AA4" s="103"/>
      <c r="AB4" s="103"/>
      <c r="AC4" s="103"/>
      <c r="AD4" s="103"/>
      <c r="AE4" s="110" t="s">
        <v>35</v>
      </c>
      <c r="AF4" s="110" t="s">
        <v>137</v>
      </c>
      <c r="AG4" s="103"/>
      <c r="AH4" s="103"/>
      <c r="AI4" s="103"/>
      <c r="AJ4" s="103"/>
    </row>
    <row r="5" spans="1:36" x14ac:dyDescent="0.3">
      <c r="A5" s="105" t="s">
        <v>132</v>
      </c>
      <c r="B5" s="106">
        <v>46010</v>
      </c>
      <c r="C5" s="107" t="s">
        <v>124</v>
      </c>
      <c r="D5" s="108" t="s">
        <v>133</v>
      </c>
      <c r="E5" s="107" t="s">
        <v>123</v>
      </c>
      <c r="F5" s="107" t="s">
        <v>90</v>
      </c>
      <c r="G5" s="109">
        <v>0.14879999999999999</v>
      </c>
      <c r="H5" s="110">
        <v>168</v>
      </c>
      <c r="I5" s="110">
        <v>25</v>
      </c>
      <c r="J5" s="110">
        <v>0</v>
      </c>
      <c r="K5" s="107" t="s">
        <v>91</v>
      </c>
      <c r="L5" s="111" t="s">
        <v>32</v>
      </c>
      <c r="M5" s="110">
        <v>0</v>
      </c>
      <c r="N5" s="110">
        <v>1</v>
      </c>
      <c r="O5" s="110">
        <v>3</v>
      </c>
      <c r="P5" s="107" t="s">
        <v>35</v>
      </c>
      <c r="Q5" s="110" t="s">
        <v>138</v>
      </c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10" t="s">
        <v>116</v>
      </c>
      <c r="AF5" s="110" t="s">
        <v>137</v>
      </c>
      <c r="AG5" s="103"/>
      <c r="AH5" s="103"/>
      <c r="AI5" s="103"/>
      <c r="AJ5" s="103"/>
    </row>
    <row r="6" spans="1:36" x14ac:dyDescent="0.3">
      <c r="A6" s="105" t="s">
        <v>132</v>
      </c>
      <c r="B6" s="106">
        <v>46017</v>
      </c>
      <c r="C6" s="107" t="s">
        <v>124</v>
      </c>
      <c r="D6" s="108" t="s">
        <v>133</v>
      </c>
      <c r="E6" s="107" t="s">
        <v>123</v>
      </c>
      <c r="F6" s="107" t="s">
        <v>90</v>
      </c>
      <c r="G6" s="109">
        <v>0</v>
      </c>
      <c r="H6" s="110">
        <v>168</v>
      </c>
      <c r="I6" s="110">
        <v>0</v>
      </c>
      <c r="J6" s="110">
        <v>0</v>
      </c>
      <c r="K6" s="107" t="s">
        <v>91</v>
      </c>
      <c r="L6" s="111" t="s">
        <v>131</v>
      </c>
      <c r="M6" s="110">
        <v>0</v>
      </c>
      <c r="N6" s="110">
        <v>0</v>
      </c>
      <c r="O6" s="110">
        <v>0</v>
      </c>
      <c r="P6" s="107" t="s">
        <v>35</v>
      </c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</row>
    <row r="7" spans="1:36" ht="21" x14ac:dyDescent="0.3">
      <c r="A7" s="112" t="s">
        <v>139</v>
      </c>
      <c r="B7" s="113"/>
      <c r="C7" s="112">
        <f>SUBTOTAL(103,AJF_ATZ_LF_LEGACY[Flt])</f>
        <v>5</v>
      </c>
      <c r="D7" s="112"/>
      <c r="E7" s="112">
        <f>SUBTOTAL(103,AJF_ATZ_LF_LEGACY[Brd-Off])</f>
        <v>5</v>
      </c>
      <c r="F7" s="112"/>
      <c r="G7" s="114">
        <f>SUBTOTAL(101,AJF_ATZ_LF_LEGACY[LF%])</f>
        <v>0.21786</v>
      </c>
      <c r="H7" s="115">
        <f>SUBTOTAL(109,AJF_ATZ_LF_LEGACY[CAP])</f>
        <v>840</v>
      </c>
      <c r="I7" s="115">
        <f>SUBTOTAL(109,AJF_ATZ_LF_LEGACY[BKG(Y)])</f>
        <v>183</v>
      </c>
      <c r="J7" s="115">
        <f>SUBTOTAL(109,AJF_ATZ_LF_LEGACY[GRP(Y)])</f>
        <v>0</v>
      </c>
      <c r="K7" s="112"/>
      <c r="L7" s="113"/>
      <c r="M7" s="115">
        <f>SUBTOTAL(109,AJF_ATZ_LF_LEGACY[TO-DAY])</f>
        <v>0</v>
      </c>
      <c r="N7" s="115">
        <f>SUBTOTAL(109,AJF_ATZ_LF_LEGACY[Y-DAY])</f>
        <v>18</v>
      </c>
      <c r="O7" s="115">
        <f>SUBTOTAL(109,AJF_ATZ_LF_LEGACY[WEEKLY])</f>
        <v>98</v>
      </c>
      <c r="P7" s="116"/>
      <c r="Q7" s="115">
        <f>SUBTOTAL(109,AJF_ATZ_LF_LEGACY[Y])</f>
        <v>0</v>
      </c>
      <c r="R7" s="115">
        <f>SUBTOTAL(109,AJF_ATZ_LF_LEGACY[B])</f>
        <v>0</v>
      </c>
      <c r="S7" s="115">
        <f>SUBTOTAL(109,AJF_ATZ_LF_LEGACY[M])</f>
        <v>0</v>
      </c>
      <c r="T7" s="115">
        <f>SUBTOTAL(109,AJF_ATZ_LF_LEGACY[H])</f>
        <v>0</v>
      </c>
      <c r="U7" s="115">
        <f>SUBTOTAL(109,AJF_ATZ_LF_LEGACY[Q])</f>
        <v>0</v>
      </c>
      <c r="V7" s="115">
        <f>SUBTOTAL(109,AJF_ATZ_LF_LEGACY[K])</f>
        <v>0</v>
      </c>
      <c r="W7" s="115">
        <f>SUBTOTAL(109,AJF_ATZ_LF_LEGACY[V])</f>
        <v>0</v>
      </c>
      <c r="X7" s="115">
        <f>SUBTOTAL(109,AJF_ATZ_LF_LEGACY[L])</f>
        <v>0</v>
      </c>
      <c r="Y7" s="115">
        <f>SUBTOTAL(109,AJF_ATZ_LF_LEGACY[G])</f>
        <v>0</v>
      </c>
      <c r="Z7" s="115">
        <f>SUBTOTAL(109,AJF_ATZ_LF_LEGACY[S])</f>
        <v>0</v>
      </c>
      <c r="AA7" s="115">
        <f>SUBTOTAL(109,AJF_ATZ_LF_LEGACY[W])</f>
        <v>0</v>
      </c>
      <c r="AB7" s="115">
        <f>SUBTOTAL(109,AJF_ATZ_LF_LEGACY[T])</f>
        <v>0</v>
      </c>
      <c r="AC7" s="115">
        <f>SUBTOTAL(109,AJF_ATZ_LF_LEGACY[X])</f>
        <v>0</v>
      </c>
      <c r="AD7" s="115">
        <f>SUBTOTAL(109,AJF_ATZ_LF_LEGACY[U])</f>
        <v>0</v>
      </c>
      <c r="AE7" s="115">
        <f>SUBTOTAL(109,AJF_ATZ_LF_LEGACY[O])</f>
        <v>0</v>
      </c>
      <c r="AF7" s="115">
        <f>SUBTOTAL(109,AJF_ATZ_LF_LEGACY[I])</f>
        <v>0</v>
      </c>
      <c r="AG7" s="115">
        <f>SUBTOTAL(109,AJF_ATZ_LF_LEGACY[E])</f>
        <v>0</v>
      </c>
      <c r="AH7" s="115">
        <f>SUBTOTAL(109,AJF_ATZ_LF_LEGACY[A])</f>
        <v>0</v>
      </c>
      <c r="AI7" s="115">
        <f>SUBTOTAL(109,AJF_ATZ_LF_LEGACY[P])</f>
        <v>0</v>
      </c>
      <c r="AJ7" s="115">
        <f>SUBTOTAL(103,AJF_ATZ_LF_LEGACY[N])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AJF-CAI</vt:lpstr>
      <vt:lpstr>AJF-CAI LF LEGACY</vt:lpstr>
      <vt:lpstr>AJF-ATZ</vt:lpstr>
      <vt:lpstr>AJF-ATZ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2025-11-23T02:30:36Z</dcterms:created>
  <dcterms:modified xsi:type="dcterms:W3CDTF">2025-11-23T02:30:41Z</dcterms:modified>
</cp:coreProperties>
</file>